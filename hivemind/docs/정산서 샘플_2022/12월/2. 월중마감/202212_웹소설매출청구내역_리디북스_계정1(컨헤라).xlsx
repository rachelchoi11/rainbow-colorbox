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2.월중마감\"/>
    </mc:Choice>
  </mc:AlternateContent>
  <bookViews>
    <workbookView xWindow="20010" yWindow="0" windowWidth="18225" windowHeight="8070" tabRatio="665"/>
  </bookViews>
  <sheets>
    <sheet name="전체(11)" sheetId="212" r:id="rId1"/>
  </sheets>
  <definedNames>
    <definedName name="_xlnm._FilterDatabase" localSheetId="0" hidden="1">'전체(11)'!#REF!</definedName>
    <definedName name="_xlnm.Extract" localSheetId="0">'전체(11)'!#REF!</definedName>
  </definedNames>
  <calcPr calcId="152511"/>
</workbook>
</file>

<file path=xl/calcChain.xml><?xml version="1.0" encoding="utf-8"?>
<calcChain xmlns="http://schemas.openxmlformats.org/spreadsheetml/2006/main">
  <c r="AY3099" i="212" l="1"/>
  <c r="BE3098" i="212"/>
  <c r="BC3098" i="212"/>
  <c r="I3098" i="212"/>
  <c r="H3098" i="212"/>
  <c r="E3098" i="212"/>
  <c r="D3098" i="212"/>
  <c r="C3098" i="212"/>
  <c r="BE3097" i="212"/>
  <c r="BC3097" i="212"/>
  <c r="I3097" i="212"/>
  <c r="H3097" i="212"/>
  <c r="E3097" i="212"/>
  <c r="D3097" i="212"/>
  <c r="C3097" i="212"/>
  <c r="BE3096" i="212"/>
  <c r="BC3096" i="212"/>
  <c r="I3096" i="212"/>
  <c r="H3096" i="212"/>
  <c r="E3096" i="212"/>
  <c r="D3096" i="212"/>
  <c r="C3096" i="212"/>
  <c r="BE3095" i="212"/>
  <c r="BD3095" i="212"/>
  <c r="BC3095" i="212"/>
  <c r="BA3095" i="212"/>
  <c r="I3095" i="212"/>
  <c r="H3095" i="212"/>
  <c r="E3095" i="212"/>
  <c r="D3095" i="212"/>
  <c r="C3095" i="212"/>
  <c r="BE3094" i="212"/>
  <c r="I3094" i="212"/>
  <c r="H3094" i="212"/>
  <c r="E3094" i="212"/>
  <c r="D3094" i="212"/>
  <c r="C3094" i="212"/>
  <c r="BE3093" i="212"/>
  <c r="BC3093" i="212"/>
  <c r="I3093" i="212"/>
  <c r="H3093" i="212"/>
  <c r="E3093" i="212"/>
  <c r="D3093" i="212"/>
  <c r="C3093" i="212"/>
  <c r="BE3092" i="212"/>
  <c r="BC3092" i="212"/>
  <c r="I3092" i="212"/>
  <c r="H3092" i="212"/>
  <c r="E3092" i="212"/>
  <c r="D3092" i="212"/>
  <c r="C3092" i="212"/>
  <c r="BE3091" i="212"/>
  <c r="BC3091" i="212"/>
  <c r="BA3091" i="212"/>
  <c r="I3091" i="212"/>
  <c r="H3091" i="212"/>
  <c r="E3091" i="212"/>
  <c r="D3091" i="212"/>
  <c r="C3091" i="212"/>
  <c r="BE3090" i="212"/>
  <c r="I3090" i="212"/>
  <c r="H3090" i="212"/>
  <c r="E3090" i="212"/>
  <c r="D3090" i="212"/>
  <c r="C3090" i="212"/>
  <c r="BE3089" i="212"/>
  <c r="BC3089" i="212"/>
  <c r="I3089" i="212"/>
  <c r="H3089" i="212"/>
  <c r="E3089" i="212"/>
  <c r="D3089" i="212"/>
  <c r="C3089" i="212"/>
  <c r="BE3088" i="212"/>
  <c r="BC3088" i="212"/>
  <c r="I3088" i="212"/>
  <c r="H3088" i="212"/>
  <c r="E3088" i="212"/>
  <c r="D3088" i="212"/>
  <c r="C3088" i="212"/>
  <c r="BE3087" i="212"/>
  <c r="BC3087" i="212"/>
  <c r="I3087" i="212"/>
  <c r="H3087" i="212"/>
  <c r="E3087" i="212"/>
  <c r="D3087" i="212"/>
  <c r="C3087" i="212"/>
  <c r="BE3086" i="212"/>
  <c r="BC3086" i="212"/>
  <c r="I3086" i="212"/>
  <c r="H3086" i="212"/>
  <c r="E3086" i="212"/>
  <c r="D3086" i="212"/>
  <c r="C3086" i="212"/>
  <c r="BE3085" i="212"/>
  <c r="BC3085" i="212"/>
  <c r="I3085" i="212"/>
  <c r="H3085" i="212"/>
  <c r="E3085" i="212"/>
  <c r="D3085" i="212"/>
  <c r="C3085" i="212"/>
  <c r="BE3084" i="212"/>
  <c r="BC3084" i="212"/>
  <c r="BA3084" i="212"/>
  <c r="I3084" i="212"/>
  <c r="H3084" i="212"/>
  <c r="E3084" i="212"/>
  <c r="D3084" i="212"/>
  <c r="C3084" i="212"/>
  <c r="BE3083" i="212"/>
  <c r="BC3083" i="212"/>
  <c r="I3083" i="212"/>
  <c r="H3083" i="212"/>
  <c r="E3083" i="212"/>
  <c r="D3083" i="212"/>
  <c r="C3083" i="212"/>
  <c r="BE3082" i="212"/>
  <c r="BC3082" i="212"/>
  <c r="I3082" i="212"/>
  <c r="H3082" i="212"/>
  <c r="E3082" i="212"/>
  <c r="D3082" i="212"/>
  <c r="C3082" i="212"/>
  <c r="BE3081" i="212"/>
  <c r="BC3081" i="212"/>
  <c r="I3081" i="212"/>
  <c r="H3081" i="212"/>
  <c r="E3081" i="212"/>
  <c r="D3081" i="212"/>
  <c r="C3081" i="212"/>
  <c r="BE3080" i="212"/>
  <c r="BC3080" i="212"/>
  <c r="BA3080" i="212"/>
  <c r="I3080" i="212"/>
  <c r="H3080" i="212"/>
  <c r="E3080" i="212"/>
  <c r="D3080" i="212"/>
  <c r="C3080" i="212"/>
  <c r="BE3079" i="212"/>
  <c r="BC3079" i="212"/>
  <c r="I3079" i="212"/>
  <c r="H3079" i="212"/>
  <c r="E3079" i="212"/>
  <c r="D3079" i="212"/>
  <c r="C3079" i="212"/>
  <c r="BE3078" i="212"/>
  <c r="BC3078" i="212"/>
  <c r="I3078" i="212"/>
  <c r="H3078" i="212"/>
  <c r="E3078" i="212"/>
  <c r="D3078" i="212"/>
  <c r="C3078" i="212"/>
  <c r="BE3077" i="212"/>
  <c r="BC3077" i="212"/>
  <c r="I3077" i="212"/>
  <c r="H3077" i="212"/>
  <c r="E3077" i="212"/>
  <c r="D3077" i="212"/>
  <c r="C3077" i="212"/>
  <c r="BE3076" i="212"/>
  <c r="BC3076" i="212"/>
  <c r="I3076" i="212"/>
  <c r="H3076" i="212"/>
  <c r="E3076" i="212"/>
  <c r="D3076" i="212"/>
  <c r="C3076" i="212"/>
  <c r="BE3075" i="212"/>
  <c r="BC3075" i="212"/>
  <c r="I3075" i="212"/>
  <c r="H3075" i="212"/>
  <c r="E3075" i="212"/>
  <c r="D3075" i="212"/>
  <c r="C3075" i="212"/>
  <c r="BE3074" i="212"/>
  <c r="BD3074" i="212"/>
  <c r="BC3074" i="212"/>
  <c r="BA3074" i="212"/>
  <c r="I3074" i="212"/>
  <c r="H3074" i="212"/>
  <c r="E3074" i="212"/>
  <c r="D3074" i="212"/>
  <c r="C3074" i="212"/>
  <c r="BE3073" i="212"/>
  <c r="BC3073" i="212"/>
  <c r="I3073" i="212"/>
  <c r="H3073" i="212"/>
  <c r="E3073" i="212"/>
  <c r="D3073" i="212"/>
  <c r="C3073" i="212"/>
  <c r="BE3072" i="212"/>
  <c r="BC3072" i="212"/>
  <c r="BA3072" i="212"/>
  <c r="I3072" i="212"/>
  <c r="H3072" i="212"/>
  <c r="E3072" i="212"/>
  <c r="D3072" i="212"/>
  <c r="C3072" i="212"/>
  <c r="BE3071" i="212"/>
  <c r="BC3071" i="212"/>
  <c r="I3071" i="212"/>
  <c r="H3071" i="212"/>
  <c r="E3071" i="212"/>
  <c r="D3071" i="212"/>
  <c r="C3071" i="212"/>
  <c r="BE3070" i="212"/>
  <c r="BC3070" i="212"/>
  <c r="BA3070" i="212"/>
  <c r="I3070" i="212"/>
  <c r="H3070" i="212"/>
  <c r="E3070" i="212"/>
  <c r="D3070" i="212"/>
  <c r="C3070" i="212"/>
  <c r="BE3069" i="212"/>
  <c r="BC3069" i="212"/>
  <c r="I3069" i="212"/>
  <c r="H3069" i="212"/>
  <c r="E3069" i="212"/>
  <c r="D3069" i="212"/>
  <c r="C3069" i="212"/>
  <c r="BE3068" i="212"/>
  <c r="I3068" i="212"/>
  <c r="H3068" i="212"/>
  <c r="E3068" i="212"/>
  <c r="D3068" i="212"/>
  <c r="C3068" i="212"/>
  <c r="BE3067" i="212"/>
  <c r="BC3067" i="212"/>
  <c r="I3067" i="212"/>
  <c r="H3067" i="212"/>
  <c r="E3067" i="212"/>
  <c r="D3067" i="212"/>
  <c r="C3067" i="212"/>
  <c r="BE3066" i="212"/>
  <c r="BC3066" i="212"/>
  <c r="I3066" i="212"/>
  <c r="H3066" i="212"/>
  <c r="E3066" i="212"/>
  <c r="D3066" i="212"/>
  <c r="C3066" i="212"/>
  <c r="BE3065" i="212"/>
  <c r="BC3065" i="212"/>
  <c r="I3065" i="212"/>
  <c r="H3065" i="212"/>
  <c r="E3065" i="212"/>
  <c r="D3065" i="212"/>
  <c r="C3065" i="212"/>
  <c r="BE3064" i="212"/>
  <c r="BC3064" i="212"/>
  <c r="I3064" i="212"/>
  <c r="H3064" i="212"/>
  <c r="E3064" i="212"/>
  <c r="D3064" i="212"/>
  <c r="C3064" i="212"/>
  <c r="BE3063" i="212"/>
  <c r="BC3063" i="212"/>
  <c r="I3063" i="212"/>
  <c r="H3063" i="212"/>
  <c r="E3063" i="212"/>
  <c r="D3063" i="212"/>
  <c r="C3063" i="212"/>
  <c r="BE3062" i="212"/>
  <c r="BC3062" i="212"/>
  <c r="I3062" i="212"/>
  <c r="H3062" i="212"/>
  <c r="E3062" i="212"/>
  <c r="D3062" i="212"/>
  <c r="C3062" i="212"/>
  <c r="BE3061" i="212"/>
  <c r="BC3061" i="212"/>
  <c r="I3061" i="212"/>
  <c r="H3061" i="212"/>
  <c r="E3061" i="212"/>
  <c r="D3061" i="212"/>
  <c r="C3061" i="212"/>
  <c r="BE3060" i="212"/>
  <c r="BC3060" i="212"/>
  <c r="I3060" i="212"/>
  <c r="H3060" i="212"/>
  <c r="E3060" i="212"/>
  <c r="D3060" i="212"/>
  <c r="C3060" i="212"/>
  <c r="BE3059" i="212"/>
  <c r="BC3059" i="212"/>
  <c r="I3059" i="212"/>
  <c r="H3059" i="212"/>
  <c r="E3059" i="212"/>
  <c r="D3059" i="212"/>
  <c r="C3059" i="212"/>
  <c r="BE3058" i="212"/>
  <c r="BC3058" i="212"/>
  <c r="I3058" i="212"/>
  <c r="H3058" i="212"/>
  <c r="E3058" i="212"/>
  <c r="D3058" i="212"/>
  <c r="C3058" i="212"/>
  <c r="BE3057" i="212"/>
  <c r="BC3057" i="212"/>
  <c r="BA3057" i="212"/>
  <c r="I3057" i="212"/>
  <c r="H3057" i="212"/>
  <c r="E3057" i="212"/>
  <c r="D3057" i="212"/>
  <c r="C3057" i="212"/>
  <c r="BE3056" i="212"/>
  <c r="BC3056" i="212"/>
  <c r="I3056" i="212"/>
  <c r="H3056" i="212"/>
  <c r="E3056" i="212"/>
  <c r="D3056" i="212"/>
  <c r="C3056" i="212"/>
  <c r="BE3055" i="212"/>
  <c r="BC3055" i="212"/>
  <c r="I3055" i="212"/>
  <c r="H3055" i="212"/>
  <c r="E3055" i="212"/>
  <c r="D3055" i="212"/>
  <c r="C3055" i="212"/>
  <c r="BE3054" i="212"/>
  <c r="BC3054" i="212"/>
  <c r="I3054" i="212"/>
  <c r="H3054" i="212"/>
  <c r="E3054" i="212"/>
  <c r="D3054" i="212"/>
  <c r="C3054" i="212"/>
  <c r="BE3053" i="212"/>
  <c r="BD3053" i="212"/>
  <c r="BC3053" i="212"/>
  <c r="BA3053" i="212"/>
  <c r="I3053" i="212"/>
  <c r="H3053" i="212"/>
  <c r="E3053" i="212"/>
  <c r="D3053" i="212"/>
  <c r="C3053" i="212"/>
  <c r="BE3052" i="212"/>
  <c r="BC3052" i="212"/>
  <c r="I3052" i="212"/>
  <c r="H3052" i="212"/>
  <c r="E3052" i="212"/>
  <c r="D3052" i="212"/>
  <c r="C3052" i="212"/>
  <c r="BE3051" i="212"/>
  <c r="BC3051" i="212"/>
  <c r="I3051" i="212"/>
  <c r="H3051" i="212"/>
  <c r="E3051" i="212"/>
  <c r="D3051" i="212"/>
  <c r="C3051" i="212"/>
  <c r="BE3050" i="212"/>
  <c r="BC3050" i="212"/>
  <c r="I3050" i="212"/>
  <c r="H3050" i="212"/>
  <c r="E3050" i="212"/>
  <c r="D3050" i="212"/>
  <c r="C3050" i="212"/>
  <c r="BE3049" i="212"/>
  <c r="I3049" i="212"/>
  <c r="H3049" i="212"/>
  <c r="E3049" i="212"/>
  <c r="D3049" i="212"/>
  <c r="C3049" i="212"/>
  <c r="BE3048" i="212"/>
  <c r="BC3048" i="212"/>
  <c r="I3048" i="212"/>
  <c r="H3048" i="212"/>
  <c r="E3048" i="212"/>
  <c r="D3048" i="212"/>
  <c r="C3048" i="212"/>
  <c r="BE3047" i="212"/>
  <c r="BC3047" i="212"/>
  <c r="I3047" i="212"/>
  <c r="H3047" i="212"/>
  <c r="E3047" i="212"/>
  <c r="D3047" i="212"/>
  <c r="C3047" i="212"/>
  <c r="BE3046" i="212"/>
  <c r="BC3046" i="212"/>
  <c r="I3046" i="212"/>
  <c r="H3046" i="212"/>
  <c r="E3046" i="212"/>
  <c r="D3046" i="212"/>
  <c r="C3046" i="212"/>
  <c r="BE3045" i="212"/>
  <c r="BC3045" i="212"/>
  <c r="I3045" i="212"/>
  <c r="H3045" i="212"/>
  <c r="E3045" i="212"/>
  <c r="D3045" i="212"/>
  <c r="C3045" i="212"/>
  <c r="BE3044" i="212"/>
  <c r="BC3044" i="212"/>
  <c r="I3044" i="212"/>
  <c r="H3044" i="212"/>
  <c r="E3044" i="212"/>
  <c r="D3044" i="212"/>
  <c r="C3044" i="212"/>
  <c r="BE3043" i="212"/>
  <c r="I3043" i="212"/>
  <c r="H3043" i="212"/>
  <c r="E3043" i="212"/>
  <c r="D3043" i="212"/>
  <c r="C3043" i="212"/>
  <c r="BE3042" i="212"/>
  <c r="BC3042" i="212"/>
  <c r="I3042" i="212"/>
  <c r="H3042" i="212"/>
  <c r="E3042" i="212"/>
  <c r="D3042" i="212"/>
  <c r="C3042" i="212"/>
  <c r="BE3041" i="212"/>
  <c r="BC3041" i="212"/>
  <c r="I3041" i="212"/>
  <c r="H3041" i="212"/>
  <c r="E3041" i="212"/>
  <c r="D3041" i="212"/>
  <c r="C3041" i="212"/>
  <c r="BE3040" i="212"/>
  <c r="BC3040" i="212"/>
  <c r="BA3040" i="212"/>
  <c r="I3040" i="212"/>
  <c r="H3040" i="212"/>
  <c r="E3040" i="212"/>
  <c r="D3040" i="212"/>
  <c r="C3040" i="212"/>
  <c r="BE3039" i="212"/>
  <c r="I3039" i="212"/>
  <c r="H3039" i="212"/>
  <c r="E3039" i="212"/>
  <c r="D3039" i="212"/>
  <c r="C3039" i="212"/>
  <c r="BE3038" i="212"/>
  <c r="BC3038" i="212"/>
  <c r="I3038" i="212"/>
  <c r="H3038" i="212"/>
  <c r="E3038" i="212"/>
  <c r="D3038" i="212"/>
  <c r="C3038" i="212"/>
  <c r="BE3037" i="212"/>
  <c r="BC3037" i="212"/>
  <c r="I3037" i="212"/>
  <c r="H3037" i="212"/>
  <c r="E3037" i="212"/>
  <c r="D3037" i="212"/>
  <c r="C3037" i="212"/>
  <c r="BE3036" i="212"/>
  <c r="BC3036" i="212"/>
  <c r="I3036" i="212"/>
  <c r="H3036" i="212"/>
  <c r="E3036" i="212"/>
  <c r="D3036" i="212"/>
  <c r="C3036" i="212"/>
  <c r="BE3035" i="212"/>
  <c r="BC3035" i="212"/>
  <c r="I3035" i="212"/>
  <c r="H3035" i="212"/>
  <c r="E3035" i="212"/>
  <c r="D3035" i="212"/>
  <c r="C3035" i="212"/>
  <c r="BE3034" i="212"/>
  <c r="BC3034" i="212"/>
  <c r="I3034" i="212"/>
  <c r="H3034" i="212"/>
  <c r="E3034" i="212"/>
  <c r="D3034" i="212"/>
  <c r="C3034" i="212"/>
  <c r="BE3033" i="212"/>
  <c r="BC3033" i="212"/>
  <c r="I3033" i="212"/>
  <c r="H3033" i="212"/>
  <c r="E3033" i="212"/>
  <c r="D3033" i="212"/>
  <c r="C3033" i="212"/>
  <c r="BE3032" i="212"/>
  <c r="BC3032" i="212"/>
  <c r="I3032" i="212"/>
  <c r="H3032" i="212"/>
  <c r="E3032" i="212"/>
  <c r="D3032" i="212"/>
  <c r="C3032" i="212"/>
  <c r="BE3031" i="212"/>
  <c r="BC3031" i="212"/>
  <c r="I3031" i="212"/>
  <c r="H3031" i="212"/>
  <c r="E3031" i="212"/>
  <c r="D3031" i="212"/>
  <c r="C3031" i="212"/>
  <c r="BE3030" i="212"/>
  <c r="BC3030" i="212"/>
  <c r="BA3030" i="212"/>
  <c r="I3030" i="212"/>
  <c r="H3030" i="212"/>
  <c r="E3030" i="212"/>
  <c r="D3030" i="212"/>
  <c r="C3030" i="212"/>
  <c r="BE3029" i="212"/>
  <c r="BC3029" i="212"/>
  <c r="I3029" i="212"/>
  <c r="H3029" i="212"/>
  <c r="E3029" i="212"/>
  <c r="D3029" i="212"/>
  <c r="C3029" i="212"/>
  <c r="BE3028" i="212"/>
  <c r="BC3028" i="212"/>
  <c r="I3028" i="212"/>
  <c r="H3028" i="212"/>
  <c r="E3028" i="212"/>
  <c r="D3028" i="212"/>
  <c r="C3028" i="212"/>
  <c r="BE3027" i="212"/>
  <c r="BC3027" i="212"/>
  <c r="I3027" i="212"/>
  <c r="H3027" i="212"/>
  <c r="E3027" i="212"/>
  <c r="D3027" i="212"/>
  <c r="C3027" i="212"/>
  <c r="BE3026" i="212"/>
  <c r="BC3026" i="212"/>
  <c r="I3026" i="212"/>
  <c r="H3026" i="212"/>
  <c r="E3026" i="212"/>
  <c r="D3026" i="212"/>
  <c r="C3026" i="212"/>
  <c r="BE3025" i="212"/>
  <c r="BC3025" i="212"/>
  <c r="I3025" i="212"/>
  <c r="H3025" i="212"/>
  <c r="E3025" i="212"/>
  <c r="D3025" i="212"/>
  <c r="C3025" i="212"/>
  <c r="BE3024" i="212"/>
  <c r="BC3024" i="212"/>
  <c r="I3024" i="212"/>
  <c r="H3024" i="212"/>
  <c r="E3024" i="212"/>
  <c r="D3024" i="212"/>
  <c r="C3024" i="212"/>
  <c r="BE3023" i="212"/>
  <c r="BC3023" i="212"/>
  <c r="I3023" i="212"/>
  <c r="H3023" i="212"/>
  <c r="E3023" i="212"/>
  <c r="D3023" i="212"/>
  <c r="C3023" i="212"/>
  <c r="BE3022" i="212"/>
  <c r="BC3022" i="212"/>
  <c r="BA3022" i="212"/>
  <c r="I3022" i="212"/>
  <c r="H3022" i="212"/>
  <c r="E3022" i="212"/>
  <c r="D3022" i="212"/>
  <c r="C3022" i="212"/>
  <c r="BE3021" i="212"/>
  <c r="BC3021" i="212"/>
  <c r="I3021" i="212"/>
  <c r="H3021" i="212"/>
  <c r="E3021" i="212"/>
  <c r="D3021" i="212"/>
  <c r="C3021" i="212"/>
  <c r="BE3020" i="212"/>
  <c r="I3020" i="212"/>
  <c r="H3020" i="212"/>
  <c r="E3020" i="212"/>
  <c r="D3020" i="212"/>
  <c r="C3020" i="212"/>
  <c r="BE3019" i="212"/>
  <c r="BC3019" i="212"/>
  <c r="I3019" i="212"/>
  <c r="H3019" i="212"/>
  <c r="E3019" i="212"/>
  <c r="D3019" i="212"/>
  <c r="C3019" i="212"/>
  <c r="BE3018" i="212"/>
  <c r="BC3018" i="212"/>
  <c r="I3018" i="212"/>
  <c r="H3018" i="212"/>
  <c r="E3018" i="212"/>
  <c r="D3018" i="212"/>
  <c r="C3018" i="212"/>
  <c r="BE3017" i="212"/>
  <c r="BC3017" i="212"/>
  <c r="I3017" i="212"/>
  <c r="H3017" i="212"/>
  <c r="E3017" i="212"/>
  <c r="D3017" i="212"/>
  <c r="C3017" i="212"/>
  <c r="BE3016" i="212"/>
  <c r="BC3016" i="212"/>
  <c r="I3016" i="212"/>
  <c r="H3016" i="212"/>
  <c r="E3016" i="212"/>
  <c r="D3016" i="212"/>
  <c r="C3016" i="212"/>
  <c r="BE3015" i="212"/>
  <c r="BC3015" i="212"/>
  <c r="I3015" i="212"/>
  <c r="H3015" i="212"/>
  <c r="E3015" i="212"/>
  <c r="D3015" i="212"/>
  <c r="C3015" i="212"/>
  <c r="BE3014" i="212"/>
  <c r="BC3014" i="212"/>
  <c r="I3014" i="212"/>
  <c r="H3014" i="212"/>
  <c r="E3014" i="212"/>
  <c r="D3014" i="212"/>
  <c r="C3014" i="212"/>
  <c r="BE3013" i="212"/>
  <c r="BC3013" i="212"/>
  <c r="I3013" i="212"/>
  <c r="H3013" i="212"/>
  <c r="E3013" i="212"/>
  <c r="D3013" i="212"/>
  <c r="C3013" i="212"/>
  <c r="BE3012" i="212"/>
  <c r="BC3012" i="212"/>
  <c r="I3012" i="212"/>
  <c r="H3012" i="212"/>
  <c r="E3012" i="212"/>
  <c r="D3012" i="212"/>
  <c r="C3012" i="212"/>
  <c r="BE3011" i="212"/>
  <c r="I3011" i="212"/>
  <c r="H3011" i="212"/>
  <c r="E3011" i="212"/>
  <c r="D3011" i="212"/>
  <c r="C3011" i="212"/>
  <c r="BE3010" i="212"/>
  <c r="BC3010" i="212"/>
  <c r="I3010" i="212"/>
  <c r="H3010" i="212"/>
  <c r="E3010" i="212"/>
  <c r="D3010" i="212"/>
  <c r="C3010" i="212"/>
  <c r="BE3009" i="212"/>
  <c r="BC3009" i="212"/>
  <c r="I3009" i="212"/>
  <c r="H3009" i="212"/>
  <c r="E3009" i="212"/>
  <c r="D3009" i="212"/>
  <c r="C3009" i="212"/>
  <c r="BE3008" i="212"/>
  <c r="BC3008" i="212"/>
  <c r="I3008" i="212"/>
  <c r="H3008" i="212"/>
  <c r="E3008" i="212"/>
  <c r="D3008" i="212"/>
  <c r="C3008" i="212"/>
  <c r="BE3007" i="212"/>
  <c r="BC3007" i="212"/>
  <c r="I3007" i="212"/>
  <c r="H3007" i="212"/>
  <c r="E3007" i="212"/>
  <c r="D3007" i="212"/>
  <c r="C3007" i="212"/>
  <c r="BE3006" i="212"/>
  <c r="BC3006" i="212"/>
  <c r="I3006" i="212"/>
  <c r="H3006" i="212"/>
  <c r="E3006" i="212"/>
  <c r="D3006" i="212"/>
  <c r="C3006" i="212"/>
  <c r="BE3005" i="212"/>
  <c r="BC3005" i="212"/>
  <c r="BA3005" i="212"/>
  <c r="I3005" i="212"/>
  <c r="H3005" i="212"/>
  <c r="E3005" i="212"/>
  <c r="D3005" i="212"/>
  <c r="C3005" i="212"/>
  <c r="BE3004" i="212"/>
  <c r="BC3004" i="212"/>
  <c r="I3004" i="212"/>
  <c r="H3004" i="212"/>
  <c r="E3004" i="212"/>
  <c r="D3004" i="212"/>
  <c r="C3004" i="212"/>
  <c r="BE3003" i="212"/>
  <c r="BC3003" i="212"/>
  <c r="I3003" i="212"/>
  <c r="H3003" i="212"/>
  <c r="E3003" i="212"/>
  <c r="D3003" i="212"/>
  <c r="C3003" i="212"/>
  <c r="BE3002" i="212"/>
  <c r="BC3002" i="212"/>
  <c r="I3002" i="212"/>
  <c r="H3002" i="212"/>
  <c r="E3002" i="212"/>
  <c r="D3002" i="212"/>
  <c r="C3002" i="212"/>
  <c r="BE3001" i="212"/>
  <c r="BC3001" i="212"/>
  <c r="I3001" i="212"/>
  <c r="H3001" i="212"/>
  <c r="E3001" i="212"/>
  <c r="D3001" i="212"/>
  <c r="C3001" i="212"/>
  <c r="BE3000" i="212"/>
  <c r="BC3000" i="212"/>
  <c r="I3000" i="212"/>
  <c r="H3000" i="212"/>
  <c r="E3000" i="212"/>
  <c r="D3000" i="212"/>
  <c r="C3000" i="212"/>
  <c r="BE2999" i="212"/>
  <c r="BC2999" i="212"/>
  <c r="I2999" i="212"/>
  <c r="H2999" i="212"/>
  <c r="E2999" i="212"/>
  <c r="D2999" i="212"/>
  <c r="C2999" i="212"/>
  <c r="BE2998" i="212"/>
  <c r="I2998" i="212"/>
  <c r="H2998" i="212"/>
  <c r="E2998" i="212"/>
  <c r="D2998" i="212"/>
  <c r="C2998" i="212"/>
  <c r="BE2997" i="212"/>
  <c r="BC2997" i="212"/>
  <c r="I2997" i="212"/>
  <c r="H2997" i="212"/>
  <c r="E2997" i="212"/>
  <c r="D2997" i="212"/>
  <c r="C2997" i="212"/>
  <c r="BE2996" i="212"/>
  <c r="BC2996" i="212"/>
  <c r="I2996" i="212"/>
  <c r="H2996" i="212"/>
  <c r="E2996" i="212"/>
  <c r="D2996" i="212"/>
  <c r="C2996" i="212"/>
  <c r="BE2995" i="212"/>
  <c r="BC2995" i="212"/>
  <c r="I2995" i="212"/>
  <c r="H2995" i="212"/>
  <c r="E2995" i="212"/>
  <c r="D2995" i="212"/>
  <c r="C2995" i="212"/>
  <c r="BE2994" i="212"/>
  <c r="BC2994" i="212"/>
  <c r="BA2994" i="212"/>
  <c r="I2994" i="212"/>
  <c r="H2994" i="212"/>
  <c r="E2994" i="212"/>
  <c r="D2994" i="212"/>
  <c r="C2994" i="212"/>
  <c r="BE2993" i="212"/>
  <c r="BC2993" i="212"/>
  <c r="I2993" i="212"/>
  <c r="H2993" i="212"/>
  <c r="E2993" i="212"/>
  <c r="D2993" i="212"/>
  <c r="C2993" i="212"/>
  <c r="BE2992" i="212"/>
  <c r="BC2992" i="212"/>
  <c r="I2992" i="212"/>
  <c r="H2992" i="212"/>
  <c r="E2992" i="212"/>
  <c r="D2992" i="212"/>
  <c r="C2992" i="212"/>
  <c r="BE2991" i="212"/>
  <c r="BC2991" i="212"/>
  <c r="I2991" i="212"/>
  <c r="H2991" i="212"/>
  <c r="E2991" i="212"/>
  <c r="D2991" i="212"/>
  <c r="C2991" i="212"/>
  <c r="BE2990" i="212"/>
  <c r="I2990" i="212"/>
  <c r="H2990" i="212"/>
  <c r="E2990" i="212"/>
  <c r="D2990" i="212"/>
  <c r="C2990" i="212"/>
  <c r="BE2989" i="212"/>
  <c r="BC2989" i="212"/>
  <c r="I2989" i="212"/>
  <c r="H2989" i="212"/>
  <c r="E2989" i="212"/>
  <c r="D2989" i="212"/>
  <c r="C2989" i="212"/>
  <c r="BE2988" i="212"/>
  <c r="BC2988" i="212"/>
  <c r="BA2988" i="212"/>
  <c r="I2988" i="212"/>
  <c r="H2988" i="212"/>
  <c r="E2988" i="212"/>
  <c r="D2988" i="212"/>
  <c r="C2988" i="212"/>
  <c r="BE2987" i="212"/>
  <c r="I2987" i="212"/>
  <c r="H2987" i="212"/>
  <c r="E2987" i="212"/>
  <c r="D2987" i="212"/>
  <c r="C2987" i="212"/>
  <c r="BE2986" i="212"/>
  <c r="I2986" i="212"/>
  <c r="H2986" i="212"/>
  <c r="E2986" i="212"/>
  <c r="D2986" i="212"/>
  <c r="C2986" i="212"/>
  <c r="BE2985" i="212"/>
  <c r="BC2985" i="212"/>
  <c r="I2985" i="212"/>
  <c r="H2985" i="212"/>
  <c r="E2985" i="212"/>
  <c r="D2985" i="212"/>
  <c r="C2985" i="212"/>
  <c r="BE2984" i="212"/>
  <c r="BC2984" i="212"/>
  <c r="I2984" i="212"/>
  <c r="H2984" i="212"/>
  <c r="E2984" i="212"/>
  <c r="D2984" i="212"/>
  <c r="C2984" i="212"/>
  <c r="BE2983" i="212"/>
  <c r="BC2983" i="212"/>
  <c r="I2983" i="212"/>
  <c r="H2983" i="212"/>
  <c r="E2983" i="212"/>
  <c r="D2983" i="212"/>
  <c r="C2983" i="212"/>
  <c r="BE2982" i="212"/>
  <c r="BC2982" i="212"/>
  <c r="I2982" i="212"/>
  <c r="H2982" i="212"/>
  <c r="E2982" i="212"/>
  <c r="D2982" i="212"/>
  <c r="C2982" i="212"/>
  <c r="BE2981" i="212"/>
  <c r="BC2981" i="212"/>
  <c r="I2981" i="212"/>
  <c r="H2981" i="212"/>
  <c r="E2981" i="212"/>
  <c r="D2981" i="212"/>
  <c r="C2981" i="212"/>
  <c r="BE2980" i="212"/>
  <c r="BC2980" i="212"/>
  <c r="I2980" i="212"/>
  <c r="H2980" i="212"/>
  <c r="E2980" i="212"/>
  <c r="D2980" i="212"/>
  <c r="C2980" i="212"/>
  <c r="BE2979" i="212"/>
  <c r="BC2979" i="212"/>
  <c r="I2979" i="212"/>
  <c r="H2979" i="212"/>
  <c r="E2979" i="212"/>
  <c r="D2979" i="212"/>
  <c r="C2979" i="212"/>
  <c r="BE2978" i="212"/>
  <c r="BC2978" i="212"/>
  <c r="I2978" i="212"/>
  <c r="H2978" i="212"/>
  <c r="E2978" i="212"/>
  <c r="D2978" i="212"/>
  <c r="C2978" i="212"/>
  <c r="BE2977" i="212"/>
  <c r="BC2977" i="212"/>
  <c r="BA2977" i="212"/>
  <c r="I2977" i="212"/>
  <c r="H2977" i="212"/>
  <c r="E2977" i="212"/>
  <c r="D2977" i="212"/>
  <c r="C2977" i="212"/>
  <c r="BE2976" i="212"/>
  <c r="BC2976" i="212"/>
  <c r="I2976" i="212"/>
  <c r="H2976" i="212"/>
  <c r="E2976" i="212"/>
  <c r="D2976" i="212"/>
  <c r="C2976" i="212"/>
  <c r="BE2975" i="212"/>
  <c r="BC2975" i="212"/>
  <c r="I2975" i="212"/>
  <c r="H2975" i="212"/>
  <c r="E2975" i="212"/>
  <c r="D2975" i="212"/>
  <c r="C2975" i="212"/>
  <c r="BE2974" i="212"/>
  <c r="BC2974" i="212"/>
  <c r="I2974" i="212"/>
  <c r="H2974" i="212"/>
  <c r="E2974" i="212"/>
  <c r="D2974" i="212"/>
  <c r="C2974" i="212"/>
  <c r="BE2973" i="212"/>
  <c r="BC2973" i="212"/>
  <c r="I2973" i="212"/>
  <c r="H2973" i="212"/>
  <c r="E2973" i="212"/>
  <c r="D2973" i="212"/>
  <c r="C2973" i="212"/>
  <c r="BE2972" i="212"/>
  <c r="BC2972" i="212"/>
  <c r="I2972" i="212"/>
  <c r="H2972" i="212"/>
  <c r="E2972" i="212"/>
  <c r="D2972" i="212"/>
  <c r="C2972" i="212"/>
  <c r="BE2971" i="212"/>
  <c r="BC2971" i="212"/>
  <c r="I2971" i="212"/>
  <c r="H2971" i="212"/>
  <c r="E2971" i="212"/>
  <c r="D2971" i="212"/>
  <c r="C2971" i="212"/>
  <c r="BE2970" i="212"/>
  <c r="BC2970" i="212"/>
  <c r="I2970" i="212"/>
  <c r="H2970" i="212"/>
  <c r="E2970" i="212"/>
  <c r="D2970" i="212"/>
  <c r="C2970" i="212"/>
  <c r="BE2969" i="212"/>
  <c r="BC2969" i="212"/>
  <c r="I2969" i="212"/>
  <c r="H2969" i="212"/>
  <c r="E2969" i="212"/>
  <c r="D2969" i="212"/>
  <c r="C2969" i="212"/>
  <c r="BE2968" i="212"/>
  <c r="BC2968" i="212"/>
  <c r="BA2968" i="212"/>
  <c r="I2968" i="212"/>
  <c r="H2968" i="212"/>
  <c r="E2968" i="212"/>
  <c r="D2968" i="212"/>
  <c r="C2968" i="212"/>
  <c r="BE2967" i="212"/>
  <c r="BC2967" i="212"/>
  <c r="I2967" i="212"/>
  <c r="H2967" i="212"/>
  <c r="E2967" i="212"/>
  <c r="D2967" i="212"/>
  <c r="C2967" i="212"/>
  <c r="BE2966" i="212"/>
  <c r="BC2966" i="212"/>
  <c r="I2966" i="212"/>
  <c r="H2966" i="212"/>
  <c r="E2966" i="212"/>
  <c r="D2966" i="212"/>
  <c r="C2966" i="212"/>
  <c r="BE2965" i="212"/>
  <c r="I2965" i="212"/>
  <c r="H2965" i="212"/>
  <c r="E2965" i="212"/>
  <c r="D2965" i="212"/>
  <c r="C2965" i="212"/>
  <c r="BE2964" i="212"/>
  <c r="BC2964" i="212"/>
  <c r="I2964" i="212"/>
  <c r="H2964" i="212"/>
  <c r="E2964" i="212"/>
  <c r="D2964" i="212"/>
  <c r="C2964" i="212"/>
  <c r="BE2963" i="212"/>
  <c r="BC2963" i="212"/>
  <c r="I2963" i="212"/>
  <c r="H2963" i="212"/>
  <c r="E2963" i="212"/>
  <c r="D2963" i="212"/>
  <c r="C2963" i="212"/>
  <c r="BE2962" i="212"/>
  <c r="BC2962" i="212"/>
  <c r="I2962" i="212"/>
  <c r="H2962" i="212"/>
  <c r="E2962" i="212"/>
  <c r="D2962" i="212"/>
  <c r="C2962" i="212"/>
  <c r="BE2961" i="212"/>
  <c r="BD2961" i="212"/>
  <c r="BC2961" i="212"/>
  <c r="BA2961" i="212"/>
  <c r="I2961" i="212"/>
  <c r="H2961" i="212"/>
  <c r="E2961" i="212"/>
  <c r="D2961" i="212"/>
  <c r="C2961" i="212"/>
  <c r="BE2960" i="212"/>
  <c r="BC2960" i="212"/>
  <c r="I2960" i="212"/>
  <c r="H2960" i="212"/>
  <c r="E2960" i="212"/>
  <c r="D2960" i="212"/>
  <c r="C2960" i="212"/>
  <c r="BE2959" i="212"/>
  <c r="BC2959" i="212"/>
  <c r="I2959" i="212"/>
  <c r="H2959" i="212"/>
  <c r="E2959" i="212"/>
  <c r="D2959" i="212"/>
  <c r="C2959" i="212"/>
  <c r="BE2958" i="212"/>
  <c r="BC2958" i="212"/>
  <c r="I2958" i="212"/>
  <c r="H2958" i="212"/>
  <c r="E2958" i="212"/>
  <c r="D2958" i="212"/>
  <c r="C2958" i="212"/>
  <c r="BE2957" i="212"/>
  <c r="I2957" i="212"/>
  <c r="H2957" i="212"/>
  <c r="E2957" i="212"/>
  <c r="D2957" i="212"/>
  <c r="C2957" i="212"/>
  <c r="BE2956" i="212"/>
  <c r="BC2956" i="212"/>
  <c r="I2956" i="212"/>
  <c r="H2956" i="212"/>
  <c r="E2956" i="212"/>
  <c r="D2956" i="212"/>
  <c r="C2956" i="212"/>
  <c r="BE2955" i="212"/>
  <c r="BC2955" i="212"/>
  <c r="I2955" i="212"/>
  <c r="H2955" i="212"/>
  <c r="E2955" i="212"/>
  <c r="D2955" i="212"/>
  <c r="C2955" i="212"/>
  <c r="BE2954" i="212"/>
  <c r="BC2954" i="212"/>
  <c r="I2954" i="212"/>
  <c r="H2954" i="212"/>
  <c r="E2954" i="212"/>
  <c r="D2954" i="212"/>
  <c r="C2954" i="212"/>
  <c r="BE2953" i="212"/>
  <c r="BC2953" i="212"/>
  <c r="I2953" i="212"/>
  <c r="H2953" i="212"/>
  <c r="E2953" i="212"/>
  <c r="D2953" i="212"/>
  <c r="C2953" i="212"/>
  <c r="BE2952" i="212"/>
  <c r="BC2952" i="212"/>
  <c r="BA2952" i="212"/>
  <c r="I2952" i="212"/>
  <c r="H2952" i="212"/>
  <c r="E2952" i="212"/>
  <c r="D2952" i="212"/>
  <c r="C2952" i="212"/>
  <c r="BE2951" i="212"/>
  <c r="BC2951" i="212"/>
  <c r="I2951" i="212"/>
  <c r="H2951" i="212"/>
  <c r="E2951" i="212"/>
  <c r="D2951" i="212"/>
  <c r="C2951" i="212"/>
  <c r="BE2950" i="212"/>
  <c r="BC2950" i="212"/>
  <c r="I2950" i="212"/>
  <c r="H2950" i="212"/>
  <c r="E2950" i="212"/>
  <c r="D2950" i="212"/>
  <c r="C2950" i="212"/>
  <c r="BE2949" i="212"/>
  <c r="BC2949" i="212"/>
  <c r="I2949" i="212"/>
  <c r="H2949" i="212"/>
  <c r="E2949" i="212"/>
  <c r="D2949" i="212"/>
  <c r="C2949" i="212"/>
  <c r="BE2948" i="212"/>
  <c r="BC2948" i="212"/>
  <c r="I2948" i="212"/>
  <c r="H2948" i="212"/>
  <c r="E2948" i="212"/>
  <c r="D2948" i="212"/>
  <c r="C2948" i="212"/>
  <c r="BE2947" i="212"/>
  <c r="BC2947" i="212"/>
  <c r="I2947" i="212"/>
  <c r="H2947" i="212"/>
  <c r="E2947" i="212"/>
  <c r="D2947" i="212"/>
  <c r="C2947" i="212"/>
  <c r="BE2946" i="212"/>
  <c r="BC2946" i="212"/>
  <c r="I2946" i="212"/>
  <c r="H2946" i="212"/>
  <c r="E2946" i="212"/>
  <c r="D2946" i="212"/>
  <c r="C2946" i="212"/>
  <c r="BE2945" i="212"/>
  <c r="I2945" i="212"/>
  <c r="H2945" i="212"/>
  <c r="E2945" i="212"/>
  <c r="D2945" i="212"/>
  <c r="C2945" i="212"/>
  <c r="BE2944" i="212"/>
  <c r="BC2944" i="212"/>
  <c r="I2944" i="212"/>
  <c r="H2944" i="212"/>
  <c r="E2944" i="212"/>
  <c r="D2944" i="212"/>
  <c r="C2944" i="212"/>
  <c r="BE2943" i="212"/>
  <c r="BC2943" i="212"/>
  <c r="I2943" i="212"/>
  <c r="H2943" i="212"/>
  <c r="E2943" i="212"/>
  <c r="D2943" i="212"/>
  <c r="C2943" i="212"/>
  <c r="BE2942" i="212"/>
  <c r="BC2942" i="212"/>
  <c r="I2942" i="212"/>
  <c r="H2942" i="212"/>
  <c r="E2942" i="212"/>
  <c r="D2942" i="212"/>
  <c r="C2942" i="212"/>
  <c r="BE2941" i="212"/>
  <c r="BC2941" i="212"/>
  <c r="I2941" i="212"/>
  <c r="H2941" i="212"/>
  <c r="E2941" i="212"/>
  <c r="D2941" i="212"/>
  <c r="C2941" i="212"/>
  <c r="BE2940" i="212"/>
  <c r="BC2940" i="212"/>
  <c r="I2940" i="212"/>
  <c r="H2940" i="212"/>
  <c r="E2940" i="212"/>
  <c r="D2940" i="212"/>
  <c r="C2940" i="212"/>
  <c r="BE2939" i="212"/>
  <c r="BC2939" i="212"/>
  <c r="I2939" i="212"/>
  <c r="H2939" i="212"/>
  <c r="E2939" i="212"/>
  <c r="D2939" i="212"/>
  <c r="C2939" i="212"/>
  <c r="BE2938" i="212"/>
  <c r="I2938" i="212"/>
  <c r="H2938" i="212"/>
  <c r="E2938" i="212"/>
  <c r="D2938" i="212"/>
  <c r="C2938" i="212"/>
  <c r="BE2937" i="212"/>
  <c r="BC2937" i="212"/>
  <c r="I2937" i="212"/>
  <c r="H2937" i="212"/>
  <c r="E2937" i="212"/>
  <c r="D2937" i="212"/>
  <c r="C2937" i="212"/>
  <c r="BE2936" i="212"/>
  <c r="BC2936" i="212"/>
  <c r="BA2936" i="212"/>
  <c r="I2936" i="212"/>
  <c r="H2936" i="212"/>
  <c r="E2936" i="212"/>
  <c r="D2936" i="212"/>
  <c r="C2936" i="212"/>
  <c r="BE2935" i="212"/>
  <c r="I2935" i="212"/>
  <c r="H2935" i="212"/>
  <c r="E2935" i="212"/>
  <c r="D2935" i="212"/>
  <c r="C2935" i="212"/>
  <c r="BE2934" i="212"/>
  <c r="BC2934" i="212"/>
  <c r="I2934" i="212"/>
  <c r="H2934" i="212"/>
  <c r="E2934" i="212"/>
  <c r="D2934" i="212"/>
  <c r="C2934" i="212"/>
  <c r="BE2933" i="212"/>
  <c r="BC2933" i="212"/>
  <c r="I2933" i="212"/>
  <c r="H2933" i="212"/>
  <c r="E2933" i="212"/>
  <c r="D2933" i="212"/>
  <c r="C2933" i="212"/>
  <c r="BE2932" i="212"/>
  <c r="BC2932" i="212"/>
  <c r="I2932" i="212"/>
  <c r="H2932" i="212"/>
  <c r="E2932" i="212"/>
  <c r="D2932" i="212"/>
  <c r="C2932" i="212"/>
  <c r="BE2931" i="212"/>
  <c r="I2931" i="212"/>
  <c r="H2931" i="212"/>
  <c r="E2931" i="212"/>
  <c r="D2931" i="212"/>
  <c r="C2931" i="212"/>
  <c r="BE2930" i="212"/>
  <c r="BC2930" i="212"/>
  <c r="I2930" i="212"/>
  <c r="H2930" i="212"/>
  <c r="E2930" i="212"/>
  <c r="D2930" i="212"/>
  <c r="C2930" i="212"/>
  <c r="BE2929" i="212"/>
  <c r="BC2929" i="212"/>
  <c r="I2929" i="212"/>
  <c r="H2929" i="212"/>
  <c r="E2929" i="212"/>
  <c r="D2929" i="212"/>
  <c r="C2929" i="212"/>
  <c r="BE2928" i="212"/>
  <c r="BC2928" i="212"/>
  <c r="I2928" i="212"/>
  <c r="H2928" i="212"/>
  <c r="E2928" i="212"/>
  <c r="D2928" i="212"/>
  <c r="C2928" i="212"/>
  <c r="BE2927" i="212"/>
  <c r="BC2927" i="212"/>
  <c r="I2927" i="212"/>
  <c r="H2927" i="212"/>
  <c r="E2927" i="212"/>
  <c r="D2927" i="212"/>
  <c r="C2927" i="212"/>
  <c r="BE2926" i="212"/>
  <c r="BC2926" i="212"/>
  <c r="I2926" i="212"/>
  <c r="H2926" i="212"/>
  <c r="E2926" i="212"/>
  <c r="D2926" i="212"/>
  <c r="C2926" i="212"/>
  <c r="BE2925" i="212"/>
  <c r="BC2925" i="212"/>
  <c r="I2925" i="212"/>
  <c r="H2925" i="212"/>
  <c r="E2925" i="212"/>
  <c r="D2925" i="212"/>
  <c r="C2925" i="212"/>
  <c r="BE2924" i="212"/>
  <c r="BC2924" i="212"/>
  <c r="I2924" i="212"/>
  <c r="H2924" i="212"/>
  <c r="E2924" i="212"/>
  <c r="D2924" i="212"/>
  <c r="C2924" i="212"/>
  <c r="BE2923" i="212"/>
  <c r="BC2923" i="212"/>
  <c r="I2923" i="212"/>
  <c r="H2923" i="212"/>
  <c r="E2923" i="212"/>
  <c r="D2923" i="212"/>
  <c r="C2923" i="212"/>
  <c r="BE2922" i="212"/>
  <c r="BC2922" i="212"/>
  <c r="BA2922" i="212"/>
  <c r="I2922" i="212"/>
  <c r="H2922" i="212"/>
  <c r="E2922" i="212"/>
  <c r="D2922" i="212"/>
  <c r="C2922" i="212"/>
  <c r="BE2921" i="212"/>
  <c r="BC2921" i="212"/>
  <c r="I2921" i="212"/>
  <c r="H2921" i="212"/>
  <c r="E2921" i="212"/>
  <c r="D2921" i="212"/>
  <c r="C2921" i="212"/>
  <c r="BE2920" i="212"/>
  <c r="BC2920" i="212"/>
  <c r="I2920" i="212"/>
  <c r="H2920" i="212"/>
  <c r="E2920" i="212"/>
  <c r="D2920" i="212"/>
  <c r="C2920" i="212"/>
  <c r="BE2919" i="212"/>
  <c r="BC2919" i="212"/>
  <c r="I2919" i="212"/>
  <c r="H2919" i="212"/>
  <c r="E2919" i="212"/>
  <c r="D2919" i="212"/>
  <c r="C2919" i="212"/>
  <c r="BE2918" i="212"/>
  <c r="BC2918" i="212"/>
  <c r="I2918" i="212"/>
  <c r="H2918" i="212"/>
  <c r="E2918" i="212"/>
  <c r="D2918" i="212"/>
  <c r="C2918" i="212"/>
  <c r="BE2917" i="212"/>
  <c r="BC2917" i="212"/>
  <c r="I2917" i="212"/>
  <c r="H2917" i="212"/>
  <c r="E2917" i="212"/>
  <c r="D2917" i="212"/>
  <c r="C2917" i="212"/>
  <c r="BE2916" i="212"/>
  <c r="BC2916" i="212"/>
  <c r="I2916" i="212"/>
  <c r="H2916" i="212"/>
  <c r="E2916" i="212"/>
  <c r="D2916" i="212"/>
  <c r="C2916" i="212"/>
  <c r="BE2915" i="212"/>
  <c r="BC2915" i="212"/>
  <c r="I2915" i="212"/>
  <c r="H2915" i="212"/>
  <c r="E2915" i="212"/>
  <c r="D2915" i="212"/>
  <c r="C2915" i="212"/>
  <c r="BE2914" i="212"/>
  <c r="BC2914" i="212"/>
  <c r="I2914" i="212"/>
  <c r="H2914" i="212"/>
  <c r="E2914" i="212"/>
  <c r="D2914" i="212"/>
  <c r="C2914" i="212"/>
  <c r="BE2913" i="212"/>
  <c r="BC2913" i="212"/>
  <c r="I2913" i="212"/>
  <c r="H2913" i="212"/>
  <c r="E2913" i="212"/>
  <c r="D2913" i="212"/>
  <c r="C2913" i="212"/>
  <c r="BE2912" i="212"/>
  <c r="BC2912" i="212"/>
  <c r="BA2912" i="212"/>
  <c r="I2912" i="212"/>
  <c r="H2912" i="212"/>
  <c r="E2912" i="212"/>
  <c r="D2912" i="212"/>
  <c r="C2912" i="212"/>
  <c r="BE2911" i="212"/>
  <c r="BC2911" i="212"/>
  <c r="I2911" i="212"/>
  <c r="H2911" i="212"/>
  <c r="E2911" i="212"/>
  <c r="D2911" i="212"/>
  <c r="C2911" i="212"/>
  <c r="BE2910" i="212"/>
  <c r="BC2910" i="212"/>
  <c r="I2910" i="212"/>
  <c r="H2910" i="212"/>
  <c r="E2910" i="212"/>
  <c r="D2910" i="212"/>
  <c r="C2910" i="212"/>
  <c r="BE2909" i="212"/>
  <c r="I2909" i="212"/>
  <c r="H2909" i="212"/>
  <c r="E2909" i="212"/>
  <c r="D2909" i="212"/>
  <c r="C2909" i="212"/>
  <c r="BE2908" i="212"/>
  <c r="BC2908" i="212"/>
  <c r="I2908" i="212"/>
  <c r="H2908" i="212"/>
  <c r="E2908" i="212"/>
  <c r="D2908" i="212"/>
  <c r="C2908" i="212"/>
  <c r="BE2907" i="212"/>
  <c r="BC2907" i="212"/>
  <c r="I2907" i="212"/>
  <c r="H2907" i="212"/>
  <c r="E2907" i="212"/>
  <c r="D2907" i="212"/>
  <c r="C2907" i="212"/>
  <c r="BE2906" i="212"/>
  <c r="BC2906" i="212"/>
  <c r="I2906" i="212"/>
  <c r="H2906" i="212"/>
  <c r="E2906" i="212"/>
  <c r="D2906" i="212"/>
  <c r="C2906" i="212"/>
  <c r="BE2905" i="212"/>
  <c r="BD2905" i="212"/>
  <c r="BC2905" i="212"/>
  <c r="BA2905" i="212"/>
  <c r="I2905" i="212"/>
  <c r="H2905" i="212"/>
  <c r="E2905" i="212"/>
  <c r="D2905" i="212"/>
  <c r="C2905" i="212"/>
  <c r="BE2904" i="212"/>
  <c r="BC2904" i="212"/>
  <c r="I2904" i="212"/>
  <c r="H2904" i="212"/>
  <c r="E2904" i="212"/>
  <c r="D2904" i="212"/>
  <c r="C2904" i="212"/>
  <c r="BE2903" i="212"/>
  <c r="BC2903" i="212"/>
  <c r="I2903" i="212"/>
  <c r="H2903" i="212"/>
  <c r="E2903" i="212"/>
  <c r="D2903" i="212"/>
  <c r="C2903" i="212"/>
  <c r="BE2902" i="212"/>
  <c r="BC2902" i="212"/>
  <c r="I2902" i="212"/>
  <c r="H2902" i="212"/>
  <c r="E2902" i="212"/>
  <c r="D2902" i="212"/>
  <c r="C2902" i="212"/>
  <c r="BE2901" i="212"/>
  <c r="BC2901" i="212"/>
  <c r="BA2901" i="212"/>
  <c r="I2901" i="212"/>
  <c r="H2901" i="212"/>
  <c r="E2901" i="212"/>
  <c r="D2901" i="212"/>
  <c r="C2901" i="212"/>
  <c r="BE2900" i="212"/>
  <c r="BC2900" i="212"/>
  <c r="I2900" i="212"/>
  <c r="H2900" i="212"/>
  <c r="E2900" i="212"/>
  <c r="D2900" i="212"/>
  <c r="C2900" i="212"/>
  <c r="BE2899" i="212"/>
  <c r="BC2899" i="212"/>
  <c r="I2899" i="212"/>
  <c r="H2899" i="212"/>
  <c r="E2899" i="212"/>
  <c r="D2899" i="212"/>
  <c r="C2899" i="212"/>
  <c r="BE2898" i="212"/>
  <c r="BC2898" i="212"/>
  <c r="I2898" i="212"/>
  <c r="H2898" i="212"/>
  <c r="E2898" i="212"/>
  <c r="D2898" i="212"/>
  <c r="C2898" i="212"/>
  <c r="BE2897" i="212"/>
  <c r="BC2897" i="212"/>
  <c r="I2897" i="212"/>
  <c r="H2897" i="212"/>
  <c r="E2897" i="212"/>
  <c r="D2897" i="212"/>
  <c r="C2897" i="212"/>
  <c r="BE2896" i="212"/>
  <c r="BC2896" i="212"/>
  <c r="BA2896" i="212"/>
  <c r="I2896" i="212"/>
  <c r="H2896" i="212"/>
  <c r="E2896" i="212"/>
  <c r="D2896" i="212"/>
  <c r="C2896" i="212"/>
  <c r="BE2895" i="212"/>
  <c r="BC2895" i="212"/>
  <c r="I2895" i="212"/>
  <c r="H2895" i="212"/>
  <c r="E2895" i="212"/>
  <c r="D2895" i="212"/>
  <c r="C2895" i="212"/>
  <c r="BE2894" i="212"/>
  <c r="BC2894" i="212"/>
  <c r="I2894" i="212"/>
  <c r="H2894" i="212"/>
  <c r="E2894" i="212"/>
  <c r="D2894" i="212"/>
  <c r="C2894" i="212"/>
  <c r="BE2893" i="212"/>
  <c r="BC2893" i="212"/>
  <c r="I2893" i="212"/>
  <c r="H2893" i="212"/>
  <c r="E2893" i="212"/>
  <c r="D2893" i="212"/>
  <c r="C2893" i="212"/>
  <c r="BE2892" i="212"/>
  <c r="BC2892" i="212"/>
  <c r="I2892" i="212"/>
  <c r="H2892" i="212"/>
  <c r="E2892" i="212"/>
  <c r="D2892" i="212"/>
  <c r="C2892" i="212"/>
  <c r="BE2891" i="212"/>
  <c r="BC2891" i="212"/>
  <c r="I2891" i="212"/>
  <c r="H2891" i="212"/>
  <c r="E2891" i="212"/>
  <c r="D2891" i="212"/>
  <c r="C2891" i="212"/>
  <c r="BE2890" i="212"/>
  <c r="BC2890" i="212"/>
  <c r="I2890" i="212"/>
  <c r="H2890" i="212"/>
  <c r="E2890" i="212"/>
  <c r="D2890" i="212"/>
  <c r="C2890" i="212"/>
  <c r="BE2889" i="212"/>
  <c r="I2889" i="212"/>
  <c r="H2889" i="212"/>
  <c r="E2889" i="212"/>
  <c r="D2889" i="212"/>
  <c r="C2889" i="212"/>
  <c r="BE2888" i="212"/>
  <c r="BC2888" i="212"/>
  <c r="I2888" i="212"/>
  <c r="H2888" i="212"/>
  <c r="E2888" i="212"/>
  <c r="D2888" i="212"/>
  <c r="C2888" i="212"/>
  <c r="BE2887" i="212"/>
  <c r="BC2887" i="212"/>
  <c r="I2887" i="212"/>
  <c r="H2887" i="212"/>
  <c r="E2887" i="212"/>
  <c r="D2887" i="212"/>
  <c r="C2887" i="212"/>
  <c r="BE2886" i="212"/>
  <c r="BC2886" i="212"/>
  <c r="I2886" i="212"/>
  <c r="H2886" i="212"/>
  <c r="E2886" i="212"/>
  <c r="D2886" i="212"/>
  <c r="C2886" i="212"/>
  <c r="BE2885" i="212"/>
  <c r="BC2885" i="212"/>
  <c r="I2885" i="212"/>
  <c r="H2885" i="212"/>
  <c r="E2885" i="212"/>
  <c r="D2885" i="212"/>
  <c r="C2885" i="212"/>
  <c r="BE2884" i="212"/>
  <c r="I2884" i="212"/>
  <c r="H2884" i="212"/>
  <c r="E2884" i="212"/>
  <c r="D2884" i="212"/>
  <c r="C2884" i="212"/>
  <c r="BE2883" i="212"/>
  <c r="BC2883" i="212"/>
  <c r="BA2883" i="212"/>
  <c r="I2883" i="212"/>
  <c r="H2883" i="212"/>
  <c r="E2883" i="212"/>
  <c r="D2883" i="212"/>
  <c r="C2883" i="212"/>
  <c r="BE2882" i="212"/>
  <c r="I2882" i="212"/>
  <c r="H2882" i="212"/>
  <c r="E2882" i="212"/>
  <c r="D2882" i="212"/>
  <c r="C2882" i="212"/>
  <c r="BE2881" i="212"/>
  <c r="BC2881" i="212"/>
  <c r="I2881" i="212"/>
  <c r="H2881" i="212"/>
  <c r="E2881" i="212"/>
  <c r="D2881" i="212"/>
  <c r="C2881" i="212"/>
  <c r="BE2880" i="212"/>
  <c r="BC2880" i="212"/>
  <c r="I2880" i="212"/>
  <c r="H2880" i="212"/>
  <c r="E2880" i="212"/>
  <c r="D2880" i="212"/>
  <c r="C2880" i="212"/>
  <c r="BE2879" i="212"/>
  <c r="BC2879" i="212"/>
  <c r="I2879" i="212"/>
  <c r="H2879" i="212"/>
  <c r="E2879" i="212"/>
  <c r="D2879" i="212"/>
  <c r="C2879" i="212"/>
  <c r="BE2878" i="212"/>
  <c r="I2878" i="212"/>
  <c r="H2878" i="212"/>
  <c r="E2878" i="212"/>
  <c r="D2878" i="212"/>
  <c r="C2878" i="212"/>
  <c r="BE2877" i="212"/>
  <c r="BC2877" i="212"/>
  <c r="I2877" i="212"/>
  <c r="H2877" i="212"/>
  <c r="E2877" i="212"/>
  <c r="D2877" i="212"/>
  <c r="C2877" i="212"/>
  <c r="BE2876" i="212"/>
  <c r="BC2876" i="212"/>
  <c r="I2876" i="212"/>
  <c r="H2876" i="212"/>
  <c r="E2876" i="212"/>
  <c r="D2876" i="212"/>
  <c r="C2876" i="212"/>
  <c r="BE2875" i="212"/>
  <c r="BC2875" i="212"/>
  <c r="I2875" i="212"/>
  <c r="H2875" i="212"/>
  <c r="E2875" i="212"/>
  <c r="D2875" i="212"/>
  <c r="C2875" i="212"/>
  <c r="BE2874" i="212"/>
  <c r="BC2874" i="212"/>
  <c r="I2874" i="212"/>
  <c r="H2874" i="212"/>
  <c r="E2874" i="212"/>
  <c r="D2874" i="212"/>
  <c r="C2874" i="212"/>
  <c r="BE2873" i="212"/>
  <c r="BC2873" i="212"/>
  <c r="I2873" i="212"/>
  <c r="H2873" i="212"/>
  <c r="E2873" i="212"/>
  <c r="D2873" i="212"/>
  <c r="C2873" i="212"/>
  <c r="BE2872" i="212"/>
  <c r="BC2872" i="212"/>
  <c r="I2872" i="212"/>
  <c r="H2872" i="212"/>
  <c r="E2872" i="212"/>
  <c r="D2872" i="212"/>
  <c r="C2872" i="212"/>
  <c r="BE2871" i="212"/>
  <c r="BC2871" i="212"/>
  <c r="I2871" i="212"/>
  <c r="H2871" i="212"/>
  <c r="E2871" i="212"/>
  <c r="D2871" i="212"/>
  <c r="C2871" i="212"/>
  <c r="BE2870" i="212"/>
  <c r="BC2870" i="212"/>
  <c r="BA2870" i="212"/>
  <c r="I2870" i="212"/>
  <c r="H2870" i="212"/>
  <c r="E2870" i="212"/>
  <c r="D2870" i="212"/>
  <c r="C2870" i="212"/>
  <c r="BE2869" i="212"/>
  <c r="BC2869" i="212"/>
  <c r="I2869" i="212"/>
  <c r="H2869" i="212"/>
  <c r="E2869" i="212"/>
  <c r="D2869" i="212"/>
  <c r="C2869" i="212"/>
  <c r="BE2868" i="212"/>
  <c r="BC2868" i="212"/>
  <c r="I2868" i="212"/>
  <c r="H2868" i="212"/>
  <c r="E2868" i="212"/>
  <c r="D2868" i="212"/>
  <c r="C2868" i="212"/>
  <c r="BE2867" i="212"/>
  <c r="I2867" i="212"/>
  <c r="H2867" i="212"/>
  <c r="E2867" i="212"/>
  <c r="D2867" i="212"/>
  <c r="C2867" i="212"/>
  <c r="BE2866" i="212"/>
  <c r="BC2866" i="212"/>
  <c r="BA2866" i="212"/>
  <c r="I2866" i="212"/>
  <c r="H2866" i="212"/>
  <c r="E2866" i="212"/>
  <c r="D2866" i="212"/>
  <c r="C2866" i="212"/>
  <c r="BE2865" i="212"/>
  <c r="BC2865" i="212"/>
  <c r="I2865" i="212"/>
  <c r="H2865" i="212"/>
  <c r="E2865" i="212"/>
  <c r="D2865" i="212"/>
  <c r="C2865" i="212"/>
  <c r="BE2864" i="212"/>
  <c r="BC2864" i="212"/>
  <c r="I2864" i="212"/>
  <c r="H2864" i="212"/>
  <c r="E2864" i="212"/>
  <c r="D2864" i="212"/>
  <c r="C2864" i="212"/>
  <c r="BE2863" i="212"/>
  <c r="BC2863" i="212"/>
  <c r="I2863" i="212"/>
  <c r="H2863" i="212"/>
  <c r="E2863" i="212"/>
  <c r="D2863" i="212"/>
  <c r="C2863" i="212"/>
  <c r="BE2862" i="212"/>
  <c r="BC2862" i="212"/>
  <c r="I2862" i="212"/>
  <c r="H2862" i="212"/>
  <c r="E2862" i="212"/>
  <c r="D2862" i="212"/>
  <c r="C2862" i="212"/>
  <c r="BE2861" i="212"/>
  <c r="BC2861" i="212"/>
  <c r="I2861" i="212"/>
  <c r="H2861" i="212"/>
  <c r="E2861" i="212"/>
  <c r="D2861" i="212"/>
  <c r="C2861" i="212"/>
  <c r="BE2860" i="212"/>
  <c r="BC2860" i="212"/>
  <c r="I2860" i="212"/>
  <c r="H2860" i="212"/>
  <c r="E2860" i="212"/>
  <c r="D2860" i="212"/>
  <c r="C2860" i="212"/>
  <c r="BE2859" i="212"/>
  <c r="BC2859" i="212"/>
  <c r="I2859" i="212"/>
  <c r="H2859" i="212"/>
  <c r="E2859" i="212"/>
  <c r="D2859" i="212"/>
  <c r="C2859" i="212"/>
  <c r="BE2858" i="212"/>
  <c r="BC2858" i="212"/>
  <c r="BA2858" i="212"/>
  <c r="I2858" i="212"/>
  <c r="H2858" i="212"/>
  <c r="E2858" i="212"/>
  <c r="D2858" i="212"/>
  <c r="C2858" i="212"/>
  <c r="BE2857" i="212"/>
  <c r="BC2857" i="212"/>
  <c r="I2857" i="212"/>
  <c r="H2857" i="212"/>
  <c r="E2857" i="212"/>
  <c r="D2857" i="212"/>
  <c r="C2857" i="212"/>
  <c r="BE2856" i="212"/>
  <c r="I2856" i="212"/>
  <c r="H2856" i="212"/>
  <c r="E2856" i="212"/>
  <c r="D2856" i="212"/>
  <c r="C2856" i="212"/>
  <c r="BE2855" i="212"/>
  <c r="BC2855" i="212"/>
  <c r="I2855" i="212"/>
  <c r="H2855" i="212"/>
  <c r="E2855" i="212"/>
  <c r="D2855" i="212"/>
  <c r="C2855" i="212"/>
  <c r="BE2854" i="212"/>
  <c r="BC2854" i="212"/>
  <c r="I2854" i="212"/>
  <c r="H2854" i="212"/>
  <c r="E2854" i="212"/>
  <c r="D2854" i="212"/>
  <c r="C2854" i="212"/>
  <c r="BE2853" i="212"/>
  <c r="BC2853" i="212"/>
  <c r="I2853" i="212"/>
  <c r="H2853" i="212"/>
  <c r="E2853" i="212"/>
  <c r="D2853" i="212"/>
  <c r="C2853" i="212"/>
  <c r="BE2852" i="212"/>
  <c r="BD2852" i="212"/>
  <c r="BC2852" i="212"/>
  <c r="BA2852" i="212"/>
  <c r="I2852" i="212"/>
  <c r="H2852" i="212"/>
  <c r="E2852" i="212"/>
  <c r="D2852" i="212"/>
  <c r="C2852" i="212"/>
  <c r="BE2851" i="212"/>
  <c r="BC2851" i="212"/>
  <c r="I2851" i="212"/>
  <c r="H2851" i="212"/>
  <c r="E2851" i="212"/>
  <c r="D2851" i="212"/>
  <c r="C2851" i="212"/>
  <c r="BE2850" i="212"/>
  <c r="BC2850" i="212"/>
  <c r="I2850" i="212"/>
  <c r="H2850" i="212"/>
  <c r="E2850" i="212"/>
  <c r="D2850" i="212"/>
  <c r="C2850" i="212"/>
  <c r="BE2849" i="212"/>
  <c r="BC2849" i="212"/>
  <c r="I2849" i="212"/>
  <c r="H2849" i="212"/>
  <c r="E2849" i="212"/>
  <c r="D2849" i="212"/>
  <c r="C2849" i="212"/>
  <c r="BE2848" i="212"/>
  <c r="BC2848" i="212"/>
  <c r="I2848" i="212"/>
  <c r="H2848" i="212"/>
  <c r="E2848" i="212"/>
  <c r="D2848" i="212"/>
  <c r="C2848" i="212"/>
  <c r="BE2847" i="212"/>
  <c r="BC2847" i="212"/>
  <c r="BA2847" i="212"/>
  <c r="I2847" i="212"/>
  <c r="H2847" i="212"/>
  <c r="E2847" i="212"/>
  <c r="D2847" i="212"/>
  <c r="C2847" i="212"/>
  <c r="BE2846" i="212"/>
  <c r="BC2846" i="212"/>
  <c r="I2846" i="212"/>
  <c r="H2846" i="212"/>
  <c r="E2846" i="212"/>
  <c r="D2846" i="212"/>
  <c r="C2846" i="212"/>
  <c r="BE2845" i="212"/>
  <c r="BC2845" i="212"/>
  <c r="I2845" i="212"/>
  <c r="H2845" i="212"/>
  <c r="E2845" i="212"/>
  <c r="D2845" i="212"/>
  <c r="C2845" i="212"/>
  <c r="BE2844" i="212"/>
  <c r="BC2844" i="212"/>
  <c r="I2844" i="212"/>
  <c r="H2844" i="212"/>
  <c r="E2844" i="212"/>
  <c r="D2844" i="212"/>
  <c r="C2844" i="212"/>
  <c r="BE2843" i="212"/>
  <c r="BC2843" i="212"/>
  <c r="BA2843" i="212"/>
  <c r="I2843" i="212"/>
  <c r="H2843" i="212"/>
  <c r="E2843" i="212"/>
  <c r="D2843" i="212"/>
  <c r="C2843" i="212"/>
  <c r="BE2842" i="212"/>
  <c r="BC2842" i="212"/>
  <c r="I2842" i="212"/>
  <c r="H2842" i="212"/>
  <c r="E2842" i="212"/>
  <c r="D2842" i="212"/>
  <c r="C2842" i="212"/>
  <c r="BE2841" i="212"/>
  <c r="BC2841" i="212"/>
  <c r="I2841" i="212"/>
  <c r="H2841" i="212"/>
  <c r="E2841" i="212"/>
  <c r="D2841" i="212"/>
  <c r="C2841" i="212"/>
  <c r="BE2840" i="212"/>
  <c r="BC2840" i="212"/>
  <c r="I2840" i="212"/>
  <c r="H2840" i="212"/>
  <c r="E2840" i="212"/>
  <c r="D2840" i="212"/>
  <c r="C2840" i="212"/>
  <c r="BE2839" i="212"/>
  <c r="BC2839" i="212"/>
  <c r="I2839" i="212"/>
  <c r="H2839" i="212"/>
  <c r="E2839" i="212"/>
  <c r="D2839" i="212"/>
  <c r="C2839" i="212"/>
  <c r="BE2838" i="212"/>
  <c r="BC2838" i="212"/>
  <c r="I2838" i="212"/>
  <c r="H2838" i="212"/>
  <c r="E2838" i="212"/>
  <c r="D2838" i="212"/>
  <c r="C2838" i="212"/>
  <c r="BE2837" i="212"/>
  <c r="BC2837" i="212"/>
  <c r="I2837" i="212"/>
  <c r="H2837" i="212"/>
  <c r="E2837" i="212"/>
  <c r="D2837" i="212"/>
  <c r="C2837" i="212"/>
  <c r="BE2836" i="212"/>
  <c r="I2836" i="212"/>
  <c r="H2836" i="212"/>
  <c r="E2836" i="212"/>
  <c r="D2836" i="212"/>
  <c r="C2836" i="212"/>
  <c r="BE2835" i="212"/>
  <c r="BC2835" i="212"/>
  <c r="I2835" i="212"/>
  <c r="H2835" i="212"/>
  <c r="E2835" i="212"/>
  <c r="D2835" i="212"/>
  <c r="C2835" i="212"/>
  <c r="BE2834" i="212"/>
  <c r="BC2834" i="212"/>
  <c r="I2834" i="212"/>
  <c r="H2834" i="212"/>
  <c r="E2834" i="212"/>
  <c r="D2834" i="212"/>
  <c r="C2834" i="212"/>
  <c r="BE2833" i="212"/>
  <c r="BC2833" i="212"/>
  <c r="I2833" i="212"/>
  <c r="H2833" i="212"/>
  <c r="E2833" i="212"/>
  <c r="D2833" i="212"/>
  <c r="C2833" i="212"/>
  <c r="BE2832" i="212"/>
  <c r="BC2832" i="212"/>
  <c r="I2832" i="212"/>
  <c r="H2832" i="212"/>
  <c r="E2832" i="212"/>
  <c r="D2832" i="212"/>
  <c r="C2832" i="212"/>
  <c r="BE2831" i="212"/>
  <c r="BC2831" i="212"/>
  <c r="I2831" i="212"/>
  <c r="H2831" i="212"/>
  <c r="E2831" i="212"/>
  <c r="D2831" i="212"/>
  <c r="C2831" i="212"/>
  <c r="BE2830" i="212"/>
  <c r="I2830" i="212"/>
  <c r="H2830" i="212"/>
  <c r="E2830" i="212"/>
  <c r="D2830" i="212"/>
  <c r="C2830" i="212"/>
  <c r="BE2829" i="212"/>
  <c r="BC2829" i="212"/>
  <c r="I2829" i="212"/>
  <c r="H2829" i="212"/>
  <c r="E2829" i="212"/>
  <c r="D2829" i="212"/>
  <c r="C2829" i="212"/>
  <c r="BE2828" i="212"/>
  <c r="BC2828" i="212"/>
  <c r="BA2828" i="212"/>
  <c r="I2828" i="212"/>
  <c r="H2828" i="212"/>
  <c r="E2828" i="212"/>
  <c r="D2828" i="212"/>
  <c r="C2828" i="212"/>
  <c r="BE2827" i="212"/>
  <c r="I2827" i="212"/>
  <c r="H2827" i="212"/>
  <c r="E2827" i="212"/>
  <c r="D2827" i="212"/>
  <c r="C2827" i="212"/>
  <c r="BE2826" i="212"/>
  <c r="BC2826" i="212"/>
  <c r="I2826" i="212"/>
  <c r="H2826" i="212"/>
  <c r="E2826" i="212"/>
  <c r="D2826" i="212"/>
  <c r="C2826" i="212"/>
  <c r="BE2825" i="212"/>
  <c r="BC2825" i="212"/>
  <c r="I2825" i="212"/>
  <c r="H2825" i="212"/>
  <c r="E2825" i="212"/>
  <c r="D2825" i="212"/>
  <c r="C2825" i="212"/>
  <c r="BE2824" i="212"/>
  <c r="BC2824" i="212"/>
  <c r="I2824" i="212"/>
  <c r="H2824" i="212"/>
  <c r="E2824" i="212"/>
  <c r="D2824" i="212"/>
  <c r="C2824" i="212"/>
  <c r="BE2823" i="212"/>
  <c r="I2823" i="212"/>
  <c r="H2823" i="212"/>
  <c r="E2823" i="212"/>
  <c r="D2823" i="212"/>
  <c r="C2823" i="212"/>
  <c r="BE2822" i="212"/>
  <c r="BC2822" i="212"/>
  <c r="I2822" i="212"/>
  <c r="H2822" i="212"/>
  <c r="E2822" i="212"/>
  <c r="D2822" i="212"/>
  <c r="C2822" i="212"/>
  <c r="BE2821" i="212"/>
  <c r="BC2821" i="212"/>
  <c r="I2821" i="212"/>
  <c r="H2821" i="212"/>
  <c r="E2821" i="212"/>
  <c r="D2821" i="212"/>
  <c r="C2821" i="212"/>
  <c r="BE2820" i="212"/>
  <c r="BC2820" i="212"/>
  <c r="I2820" i="212"/>
  <c r="H2820" i="212"/>
  <c r="E2820" i="212"/>
  <c r="D2820" i="212"/>
  <c r="C2820" i="212"/>
  <c r="BE2819" i="212"/>
  <c r="BC2819" i="212"/>
  <c r="I2819" i="212"/>
  <c r="H2819" i="212"/>
  <c r="E2819" i="212"/>
  <c r="D2819" i="212"/>
  <c r="C2819" i="212"/>
  <c r="BE2818" i="212"/>
  <c r="BC2818" i="212"/>
  <c r="I2818" i="212"/>
  <c r="H2818" i="212"/>
  <c r="E2818" i="212"/>
  <c r="D2818" i="212"/>
  <c r="C2818" i="212"/>
  <c r="BE2817" i="212"/>
  <c r="BC2817" i="212"/>
  <c r="I2817" i="212"/>
  <c r="H2817" i="212"/>
  <c r="E2817" i="212"/>
  <c r="D2817" i="212"/>
  <c r="C2817" i="212"/>
  <c r="BE2816" i="212"/>
  <c r="BC2816" i="212"/>
  <c r="I2816" i="212"/>
  <c r="H2816" i="212"/>
  <c r="E2816" i="212"/>
  <c r="D2816" i="212"/>
  <c r="C2816" i="212"/>
  <c r="BE2815" i="212"/>
  <c r="BC2815" i="212"/>
  <c r="BA2815" i="212"/>
  <c r="I2815" i="212"/>
  <c r="H2815" i="212"/>
  <c r="E2815" i="212"/>
  <c r="D2815" i="212"/>
  <c r="C2815" i="212"/>
  <c r="BE2814" i="212"/>
  <c r="BC2814" i="212"/>
  <c r="I2814" i="212"/>
  <c r="H2814" i="212"/>
  <c r="E2814" i="212"/>
  <c r="D2814" i="212"/>
  <c r="C2814" i="212"/>
  <c r="BE2813" i="212"/>
  <c r="BC2813" i="212"/>
  <c r="I2813" i="212"/>
  <c r="H2813" i="212"/>
  <c r="E2813" i="212"/>
  <c r="D2813" i="212"/>
  <c r="C2813" i="212"/>
  <c r="BE2812" i="212"/>
  <c r="I2812" i="212"/>
  <c r="H2812" i="212"/>
  <c r="E2812" i="212"/>
  <c r="D2812" i="212"/>
  <c r="C2812" i="212"/>
  <c r="BE2811" i="212"/>
  <c r="BC2811" i="212"/>
  <c r="BA2811" i="212"/>
  <c r="I2811" i="212"/>
  <c r="H2811" i="212"/>
  <c r="E2811" i="212"/>
  <c r="D2811" i="212"/>
  <c r="C2811" i="212"/>
  <c r="BE2810" i="212"/>
  <c r="BC2810" i="212"/>
  <c r="I2810" i="212"/>
  <c r="H2810" i="212"/>
  <c r="E2810" i="212"/>
  <c r="D2810" i="212"/>
  <c r="C2810" i="212"/>
  <c r="BE2809" i="212"/>
  <c r="BC2809" i="212"/>
  <c r="I2809" i="212"/>
  <c r="H2809" i="212"/>
  <c r="E2809" i="212"/>
  <c r="D2809" i="212"/>
  <c r="C2809" i="212"/>
  <c r="BE2808" i="212"/>
  <c r="BC2808" i="212"/>
  <c r="I2808" i="212"/>
  <c r="H2808" i="212"/>
  <c r="E2808" i="212"/>
  <c r="D2808" i="212"/>
  <c r="C2808" i="212"/>
  <c r="BE2807" i="212"/>
  <c r="BC2807" i="212"/>
  <c r="I2807" i="212"/>
  <c r="H2807" i="212"/>
  <c r="E2807" i="212"/>
  <c r="D2807" i="212"/>
  <c r="C2807" i="212"/>
  <c r="BE2806" i="212"/>
  <c r="BC2806" i="212"/>
  <c r="I2806" i="212"/>
  <c r="H2806" i="212"/>
  <c r="E2806" i="212"/>
  <c r="D2806" i="212"/>
  <c r="C2806" i="212"/>
  <c r="BE2805" i="212"/>
  <c r="BC2805" i="212"/>
  <c r="I2805" i="212"/>
  <c r="H2805" i="212"/>
  <c r="E2805" i="212"/>
  <c r="D2805" i="212"/>
  <c r="C2805" i="212"/>
  <c r="BE2804" i="212"/>
  <c r="BC2804" i="212"/>
  <c r="I2804" i="212"/>
  <c r="H2804" i="212"/>
  <c r="E2804" i="212"/>
  <c r="D2804" i="212"/>
  <c r="C2804" i="212"/>
  <c r="BE2803" i="212"/>
  <c r="BC2803" i="212"/>
  <c r="BA2803" i="212"/>
  <c r="I2803" i="212"/>
  <c r="H2803" i="212"/>
  <c r="E2803" i="212"/>
  <c r="D2803" i="212"/>
  <c r="C2803" i="212"/>
  <c r="BE2802" i="212"/>
  <c r="BC2802" i="212"/>
  <c r="I2802" i="212"/>
  <c r="H2802" i="212"/>
  <c r="E2802" i="212"/>
  <c r="D2802" i="212"/>
  <c r="C2802" i="212"/>
  <c r="BE2801" i="212"/>
  <c r="I2801" i="212"/>
  <c r="H2801" i="212"/>
  <c r="E2801" i="212"/>
  <c r="D2801" i="212"/>
  <c r="C2801" i="212"/>
  <c r="BE2800" i="212"/>
  <c r="BC2800" i="212"/>
  <c r="I2800" i="212"/>
  <c r="H2800" i="212"/>
  <c r="E2800" i="212"/>
  <c r="D2800" i="212"/>
  <c r="C2800" i="212"/>
  <c r="BE2799" i="212"/>
  <c r="BC2799" i="212"/>
  <c r="I2799" i="212"/>
  <c r="H2799" i="212"/>
  <c r="E2799" i="212"/>
  <c r="D2799" i="212"/>
  <c r="C2799" i="212"/>
  <c r="BE2798" i="212"/>
  <c r="BC2798" i="212"/>
  <c r="I2798" i="212"/>
  <c r="H2798" i="212"/>
  <c r="E2798" i="212"/>
  <c r="D2798" i="212"/>
  <c r="C2798" i="212"/>
  <c r="BE2797" i="212"/>
  <c r="BC2797" i="212"/>
  <c r="I2797" i="212"/>
  <c r="H2797" i="212"/>
  <c r="E2797" i="212"/>
  <c r="D2797" i="212"/>
  <c r="C2797" i="212"/>
  <c r="BE2796" i="212"/>
  <c r="BD2796" i="212"/>
  <c r="BC2796" i="212"/>
  <c r="BA2796" i="212"/>
  <c r="I2796" i="212"/>
  <c r="H2796" i="212"/>
  <c r="E2796" i="212"/>
  <c r="D2796" i="212"/>
  <c r="C2796" i="212"/>
  <c r="BE2795" i="212"/>
  <c r="BC2795" i="212"/>
  <c r="I2795" i="212"/>
  <c r="H2795" i="212"/>
  <c r="E2795" i="212"/>
  <c r="D2795" i="212"/>
  <c r="C2795" i="212"/>
  <c r="BE2794" i="212"/>
  <c r="BC2794" i="212"/>
  <c r="I2794" i="212"/>
  <c r="H2794" i="212"/>
  <c r="E2794" i="212"/>
  <c r="D2794" i="212"/>
  <c r="C2794" i="212"/>
  <c r="BE2793" i="212"/>
  <c r="BC2793" i="212"/>
  <c r="I2793" i="212"/>
  <c r="H2793" i="212"/>
  <c r="E2793" i="212"/>
  <c r="D2793" i="212"/>
  <c r="C2793" i="212"/>
  <c r="BE2792" i="212"/>
  <c r="I2792" i="212"/>
  <c r="H2792" i="212"/>
  <c r="E2792" i="212"/>
  <c r="D2792" i="212"/>
  <c r="C2792" i="212"/>
  <c r="BE2791" i="212"/>
  <c r="BC2791" i="212"/>
  <c r="BA2791" i="212"/>
  <c r="I2791" i="212"/>
  <c r="H2791" i="212"/>
  <c r="E2791" i="212"/>
  <c r="D2791" i="212"/>
  <c r="C2791" i="212"/>
  <c r="BE2790" i="212"/>
  <c r="BC2790" i="212"/>
  <c r="I2790" i="212"/>
  <c r="H2790" i="212"/>
  <c r="E2790" i="212"/>
  <c r="D2790" i="212"/>
  <c r="C2790" i="212"/>
  <c r="BE2789" i="212"/>
  <c r="BC2789" i="212"/>
  <c r="I2789" i="212"/>
  <c r="H2789" i="212"/>
  <c r="E2789" i="212"/>
  <c r="D2789" i="212"/>
  <c r="C2789" i="212"/>
  <c r="BE2788" i="212"/>
  <c r="BC2788" i="212"/>
  <c r="I2788" i="212"/>
  <c r="H2788" i="212"/>
  <c r="E2788" i="212"/>
  <c r="D2788" i="212"/>
  <c r="C2788" i="212"/>
  <c r="BE2787" i="212"/>
  <c r="BC2787" i="212"/>
  <c r="I2787" i="212"/>
  <c r="H2787" i="212"/>
  <c r="E2787" i="212"/>
  <c r="D2787" i="212"/>
  <c r="C2787" i="212"/>
  <c r="BE2786" i="212"/>
  <c r="BC2786" i="212"/>
  <c r="I2786" i="212"/>
  <c r="H2786" i="212"/>
  <c r="E2786" i="212"/>
  <c r="D2786" i="212"/>
  <c r="C2786" i="212"/>
  <c r="BE2785" i="212"/>
  <c r="BC2785" i="212"/>
  <c r="I2785" i="212"/>
  <c r="H2785" i="212"/>
  <c r="E2785" i="212"/>
  <c r="D2785" i="212"/>
  <c r="C2785" i="212"/>
  <c r="BE2784" i="212"/>
  <c r="BC2784" i="212"/>
  <c r="I2784" i="212"/>
  <c r="H2784" i="212"/>
  <c r="E2784" i="212"/>
  <c r="D2784" i="212"/>
  <c r="C2784" i="212"/>
  <c r="BE2783" i="212"/>
  <c r="BC2783" i="212"/>
  <c r="I2783" i="212"/>
  <c r="H2783" i="212"/>
  <c r="E2783" i="212"/>
  <c r="D2783" i="212"/>
  <c r="C2783" i="212"/>
  <c r="BE2782" i="212"/>
  <c r="BC2782" i="212"/>
  <c r="I2782" i="212"/>
  <c r="H2782" i="212"/>
  <c r="E2782" i="212"/>
  <c r="D2782" i="212"/>
  <c r="C2782" i="212"/>
  <c r="BE2781" i="212"/>
  <c r="I2781" i="212"/>
  <c r="H2781" i="212"/>
  <c r="E2781" i="212"/>
  <c r="D2781" i="212"/>
  <c r="C2781" i="212"/>
  <c r="BE2780" i="212"/>
  <c r="BC2780" i="212"/>
  <c r="I2780" i="212"/>
  <c r="H2780" i="212"/>
  <c r="E2780" i="212"/>
  <c r="D2780" i="212"/>
  <c r="C2780" i="212"/>
  <c r="BE2779" i="212"/>
  <c r="BC2779" i="212"/>
  <c r="I2779" i="212"/>
  <c r="H2779" i="212"/>
  <c r="E2779" i="212"/>
  <c r="D2779" i="212"/>
  <c r="C2779" i="212"/>
  <c r="BE2778" i="212"/>
  <c r="BC2778" i="212"/>
  <c r="I2778" i="212"/>
  <c r="H2778" i="212"/>
  <c r="E2778" i="212"/>
  <c r="D2778" i="212"/>
  <c r="C2778" i="212"/>
  <c r="BE2777" i="212"/>
  <c r="I2777" i="212"/>
  <c r="H2777" i="212"/>
  <c r="E2777" i="212"/>
  <c r="D2777" i="212"/>
  <c r="C2777" i="212"/>
  <c r="BE2776" i="212"/>
  <c r="BC2776" i="212"/>
  <c r="I2776" i="212"/>
  <c r="H2776" i="212"/>
  <c r="E2776" i="212"/>
  <c r="D2776" i="212"/>
  <c r="C2776" i="212"/>
  <c r="BE2775" i="212"/>
  <c r="BC2775" i="212"/>
  <c r="I2775" i="212"/>
  <c r="H2775" i="212"/>
  <c r="E2775" i="212"/>
  <c r="D2775" i="212"/>
  <c r="C2775" i="212"/>
  <c r="BE2774" i="212"/>
  <c r="I2774" i="212"/>
  <c r="H2774" i="212"/>
  <c r="E2774" i="212"/>
  <c r="D2774" i="212"/>
  <c r="C2774" i="212"/>
  <c r="BE2773" i="212"/>
  <c r="BC2773" i="212"/>
  <c r="I2773" i="212"/>
  <c r="H2773" i="212"/>
  <c r="E2773" i="212"/>
  <c r="D2773" i="212"/>
  <c r="C2773" i="212"/>
  <c r="BE2772" i="212"/>
  <c r="BC2772" i="212"/>
  <c r="I2772" i="212"/>
  <c r="H2772" i="212"/>
  <c r="E2772" i="212"/>
  <c r="D2772" i="212"/>
  <c r="C2772" i="212"/>
  <c r="BE2771" i="212"/>
  <c r="BC2771" i="212"/>
  <c r="I2771" i="212"/>
  <c r="H2771" i="212"/>
  <c r="E2771" i="212"/>
  <c r="D2771" i="212"/>
  <c r="C2771" i="212"/>
  <c r="BE2770" i="212"/>
  <c r="I2770" i="212"/>
  <c r="H2770" i="212"/>
  <c r="E2770" i="212"/>
  <c r="D2770" i="212"/>
  <c r="C2770" i="212"/>
  <c r="BE2769" i="212"/>
  <c r="BC2769" i="212"/>
  <c r="I2769" i="212"/>
  <c r="H2769" i="212"/>
  <c r="E2769" i="212"/>
  <c r="D2769" i="212"/>
  <c r="C2769" i="212"/>
  <c r="BE2768" i="212"/>
  <c r="BC2768" i="212"/>
  <c r="I2768" i="212"/>
  <c r="H2768" i="212"/>
  <c r="E2768" i="212"/>
  <c r="D2768" i="212"/>
  <c r="C2768" i="212"/>
  <c r="BE2767" i="212"/>
  <c r="BC2767" i="212"/>
  <c r="I2767" i="212"/>
  <c r="H2767" i="212"/>
  <c r="E2767" i="212"/>
  <c r="D2767" i="212"/>
  <c r="C2767" i="212"/>
  <c r="BE2766" i="212"/>
  <c r="BC2766" i="212"/>
  <c r="I2766" i="212"/>
  <c r="H2766" i="212"/>
  <c r="E2766" i="212"/>
  <c r="D2766" i="212"/>
  <c r="C2766" i="212"/>
  <c r="BE2765" i="212"/>
  <c r="BC2765" i="212"/>
  <c r="I2765" i="212"/>
  <c r="H2765" i="212"/>
  <c r="E2765" i="212"/>
  <c r="D2765" i="212"/>
  <c r="C2765" i="212"/>
  <c r="BE2764" i="212"/>
  <c r="BC2764" i="212"/>
  <c r="I2764" i="212"/>
  <c r="H2764" i="212"/>
  <c r="E2764" i="212"/>
  <c r="D2764" i="212"/>
  <c r="C2764" i="212"/>
  <c r="BE2763" i="212"/>
  <c r="BC2763" i="212"/>
  <c r="I2763" i="212"/>
  <c r="H2763" i="212"/>
  <c r="E2763" i="212"/>
  <c r="D2763" i="212"/>
  <c r="C2763" i="212"/>
  <c r="BE2762" i="212"/>
  <c r="BC2762" i="212"/>
  <c r="I2762" i="212"/>
  <c r="H2762" i="212"/>
  <c r="E2762" i="212"/>
  <c r="D2762" i="212"/>
  <c r="C2762" i="212"/>
  <c r="BE2761" i="212"/>
  <c r="BC2761" i="212"/>
  <c r="I2761" i="212"/>
  <c r="H2761" i="212"/>
  <c r="E2761" i="212"/>
  <c r="D2761" i="212"/>
  <c r="C2761" i="212"/>
  <c r="BE2760" i="212"/>
  <c r="I2760" i="212"/>
  <c r="H2760" i="212"/>
  <c r="E2760" i="212"/>
  <c r="D2760" i="212"/>
  <c r="C2760" i="212"/>
  <c r="BE2759" i="212"/>
  <c r="BC2759" i="212"/>
  <c r="BA2759" i="212"/>
  <c r="I2759" i="212"/>
  <c r="H2759" i="212"/>
  <c r="E2759" i="212"/>
  <c r="D2759" i="212"/>
  <c r="C2759" i="212"/>
  <c r="BE2758" i="212"/>
  <c r="BC2758" i="212"/>
  <c r="BA2758" i="212"/>
  <c r="I2758" i="212"/>
  <c r="H2758" i="212"/>
  <c r="E2758" i="212"/>
  <c r="D2758" i="212"/>
  <c r="C2758" i="212"/>
  <c r="BE2757" i="212"/>
  <c r="BC2757" i="212"/>
  <c r="BA2757" i="212"/>
  <c r="I2757" i="212"/>
  <c r="H2757" i="212"/>
  <c r="E2757" i="212"/>
  <c r="D2757" i="212"/>
  <c r="C2757" i="212"/>
  <c r="BE2756" i="212"/>
  <c r="BC2756" i="212"/>
  <c r="I2756" i="212"/>
  <c r="H2756" i="212"/>
  <c r="E2756" i="212"/>
  <c r="D2756" i="212"/>
  <c r="C2756" i="212"/>
  <c r="BE2755" i="212"/>
  <c r="BC2755" i="212"/>
  <c r="I2755" i="212"/>
  <c r="H2755" i="212"/>
  <c r="E2755" i="212"/>
  <c r="D2755" i="212"/>
  <c r="C2755" i="212"/>
  <c r="BE2754" i="212"/>
  <c r="BC2754" i="212"/>
  <c r="I2754" i="212"/>
  <c r="H2754" i="212"/>
  <c r="E2754" i="212"/>
  <c r="D2754" i="212"/>
  <c r="C2754" i="212"/>
  <c r="BE2753" i="212"/>
  <c r="BC2753" i="212"/>
  <c r="I2753" i="212"/>
  <c r="H2753" i="212"/>
  <c r="E2753" i="212"/>
  <c r="D2753" i="212"/>
  <c r="C2753" i="212"/>
  <c r="BE2752" i="212"/>
  <c r="BC2752" i="212"/>
  <c r="BA2752" i="212"/>
  <c r="I2752" i="212"/>
  <c r="H2752" i="212"/>
  <c r="E2752" i="212"/>
  <c r="D2752" i="212"/>
  <c r="C2752" i="212"/>
  <c r="BE2751" i="212"/>
  <c r="BC2751" i="212"/>
  <c r="I2751" i="212"/>
  <c r="H2751" i="212"/>
  <c r="E2751" i="212"/>
  <c r="D2751" i="212"/>
  <c r="C2751" i="212"/>
  <c r="BE2750" i="212"/>
  <c r="I2750" i="212"/>
  <c r="H2750" i="212"/>
  <c r="E2750" i="212"/>
  <c r="D2750" i="212"/>
  <c r="C2750" i="212"/>
  <c r="BE2749" i="212"/>
  <c r="BC2749" i="212"/>
  <c r="I2749" i="212"/>
  <c r="H2749" i="212"/>
  <c r="E2749" i="212"/>
  <c r="D2749" i="212"/>
  <c r="C2749" i="212"/>
  <c r="BE2748" i="212"/>
  <c r="BC2748" i="212"/>
  <c r="I2748" i="212"/>
  <c r="H2748" i="212"/>
  <c r="E2748" i="212"/>
  <c r="D2748" i="212"/>
  <c r="C2748" i="212"/>
  <c r="BE2747" i="212"/>
  <c r="BC2747" i="212"/>
  <c r="I2747" i="212"/>
  <c r="H2747" i="212"/>
  <c r="E2747" i="212"/>
  <c r="D2747" i="212"/>
  <c r="C2747" i="212"/>
  <c r="BE2746" i="212"/>
  <c r="BC2746" i="212"/>
  <c r="I2746" i="212"/>
  <c r="H2746" i="212"/>
  <c r="E2746" i="212"/>
  <c r="D2746" i="212"/>
  <c r="C2746" i="212"/>
  <c r="BE2745" i="212"/>
  <c r="BD2745" i="212"/>
  <c r="BC2745" i="212"/>
  <c r="BA2745" i="212"/>
  <c r="I2745" i="212"/>
  <c r="H2745" i="212"/>
  <c r="E2745" i="212"/>
  <c r="D2745" i="212"/>
  <c r="C2745" i="212"/>
  <c r="BE2744" i="212"/>
  <c r="BC2744" i="212"/>
  <c r="I2744" i="212"/>
  <c r="H2744" i="212"/>
  <c r="E2744" i="212"/>
  <c r="D2744" i="212"/>
  <c r="C2744" i="212"/>
  <c r="BE2743" i="212"/>
  <c r="BC2743" i="212"/>
  <c r="I2743" i="212"/>
  <c r="H2743" i="212"/>
  <c r="E2743" i="212"/>
  <c r="D2743" i="212"/>
  <c r="C2743" i="212"/>
  <c r="BE2742" i="212"/>
  <c r="BC2742" i="212"/>
  <c r="BA2742" i="212"/>
  <c r="I2742" i="212"/>
  <c r="H2742" i="212"/>
  <c r="E2742" i="212"/>
  <c r="D2742" i="212"/>
  <c r="C2742" i="212"/>
  <c r="BE2741" i="212"/>
  <c r="BC2741" i="212"/>
  <c r="I2741" i="212"/>
  <c r="H2741" i="212"/>
  <c r="E2741" i="212"/>
  <c r="D2741" i="212"/>
  <c r="C2741" i="212"/>
  <c r="BE2740" i="212"/>
  <c r="BC2740" i="212"/>
  <c r="I2740" i="212"/>
  <c r="H2740" i="212"/>
  <c r="E2740" i="212"/>
  <c r="D2740" i="212"/>
  <c r="C2740" i="212"/>
  <c r="BE2739" i="212"/>
  <c r="BC2739" i="212"/>
  <c r="I2739" i="212"/>
  <c r="H2739" i="212"/>
  <c r="E2739" i="212"/>
  <c r="D2739" i="212"/>
  <c r="C2739" i="212"/>
  <c r="BE2738" i="212"/>
  <c r="BC2738" i="212"/>
  <c r="I2738" i="212"/>
  <c r="H2738" i="212"/>
  <c r="E2738" i="212"/>
  <c r="D2738" i="212"/>
  <c r="C2738" i="212"/>
  <c r="BE2737" i="212"/>
  <c r="BC2737" i="212"/>
  <c r="I2737" i="212"/>
  <c r="H2737" i="212"/>
  <c r="E2737" i="212"/>
  <c r="D2737" i="212"/>
  <c r="C2737" i="212"/>
  <c r="BE2736" i="212"/>
  <c r="BC2736" i="212"/>
  <c r="I2736" i="212"/>
  <c r="H2736" i="212"/>
  <c r="E2736" i="212"/>
  <c r="D2736" i="212"/>
  <c r="C2736" i="212"/>
  <c r="BE2735" i="212"/>
  <c r="BC2735" i="212"/>
  <c r="I2735" i="212"/>
  <c r="H2735" i="212"/>
  <c r="E2735" i="212"/>
  <c r="D2735" i="212"/>
  <c r="C2735" i="212"/>
  <c r="BE2734" i="212"/>
  <c r="BC2734" i="212"/>
  <c r="I2734" i="212"/>
  <c r="H2734" i="212"/>
  <c r="E2734" i="212"/>
  <c r="D2734" i="212"/>
  <c r="C2734" i="212"/>
  <c r="BE2733" i="212"/>
  <c r="BC2733" i="212"/>
  <c r="I2733" i="212"/>
  <c r="H2733" i="212"/>
  <c r="E2733" i="212"/>
  <c r="D2733" i="212"/>
  <c r="C2733" i="212"/>
  <c r="BE2732" i="212"/>
  <c r="I2732" i="212"/>
  <c r="H2732" i="212"/>
  <c r="E2732" i="212"/>
  <c r="D2732" i="212"/>
  <c r="C2732" i="212"/>
  <c r="BE2731" i="212"/>
  <c r="BC2731" i="212"/>
  <c r="I2731" i="212"/>
  <c r="H2731" i="212"/>
  <c r="E2731" i="212"/>
  <c r="D2731" i="212"/>
  <c r="C2731" i="212"/>
  <c r="BE2730" i="212"/>
  <c r="BC2730" i="212"/>
  <c r="I2730" i="212"/>
  <c r="H2730" i="212"/>
  <c r="E2730" i="212"/>
  <c r="D2730" i="212"/>
  <c r="C2730" i="212"/>
  <c r="BE2729" i="212"/>
  <c r="BC2729" i="212"/>
  <c r="I2729" i="212"/>
  <c r="H2729" i="212"/>
  <c r="E2729" i="212"/>
  <c r="D2729" i="212"/>
  <c r="C2729" i="212"/>
  <c r="BE2728" i="212"/>
  <c r="BC2728" i="212"/>
  <c r="BA2728" i="212"/>
  <c r="I2728" i="212"/>
  <c r="H2728" i="212"/>
  <c r="E2728" i="212"/>
  <c r="D2728" i="212"/>
  <c r="C2728" i="212"/>
  <c r="BE2727" i="212"/>
  <c r="I2727" i="212"/>
  <c r="H2727" i="212"/>
  <c r="E2727" i="212"/>
  <c r="D2727" i="212"/>
  <c r="C2727" i="212"/>
  <c r="BE2726" i="212"/>
  <c r="BD2726" i="212"/>
  <c r="BC2726" i="212"/>
  <c r="I2726" i="212"/>
  <c r="H2726" i="212"/>
  <c r="E2726" i="212"/>
  <c r="D2726" i="212"/>
  <c r="C2726" i="212"/>
  <c r="BE2725" i="212"/>
  <c r="BC2725" i="212"/>
  <c r="I2725" i="212"/>
  <c r="H2725" i="212"/>
  <c r="E2725" i="212"/>
  <c r="D2725" i="212"/>
  <c r="C2725" i="212"/>
  <c r="BE2724" i="212"/>
  <c r="BC2724" i="212"/>
  <c r="I2724" i="212"/>
  <c r="H2724" i="212"/>
  <c r="E2724" i="212"/>
  <c r="D2724" i="212"/>
  <c r="C2724" i="212"/>
  <c r="BE2723" i="212"/>
  <c r="BC2723" i="212"/>
  <c r="I2723" i="212"/>
  <c r="H2723" i="212"/>
  <c r="E2723" i="212"/>
  <c r="D2723" i="212"/>
  <c r="C2723" i="212"/>
  <c r="BE2722" i="212"/>
  <c r="BC2722" i="212"/>
  <c r="I2722" i="212"/>
  <c r="H2722" i="212"/>
  <c r="E2722" i="212"/>
  <c r="D2722" i="212"/>
  <c r="C2722" i="212"/>
  <c r="BE2721" i="212"/>
  <c r="BC2721" i="212"/>
  <c r="I2721" i="212"/>
  <c r="H2721" i="212"/>
  <c r="E2721" i="212"/>
  <c r="D2721" i="212"/>
  <c r="C2721" i="212"/>
  <c r="BE2720" i="212"/>
  <c r="I2720" i="212"/>
  <c r="H2720" i="212"/>
  <c r="E2720" i="212"/>
  <c r="D2720" i="212"/>
  <c r="C2720" i="212"/>
  <c r="BE2719" i="212"/>
  <c r="BC2719" i="212"/>
  <c r="I2719" i="212"/>
  <c r="H2719" i="212"/>
  <c r="E2719" i="212"/>
  <c r="D2719" i="212"/>
  <c r="C2719" i="212"/>
  <c r="BE2718" i="212"/>
  <c r="BC2718" i="212"/>
  <c r="I2718" i="212"/>
  <c r="H2718" i="212"/>
  <c r="E2718" i="212"/>
  <c r="D2718" i="212"/>
  <c r="C2718" i="212"/>
  <c r="BE2717" i="212"/>
  <c r="BC2717" i="212"/>
  <c r="I2717" i="212"/>
  <c r="H2717" i="212"/>
  <c r="E2717" i="212"/>
  <c r="D2717" i="212"/>
  <c r="C2717" i="212"/>
  <c r="BE2716" i="212"/>
  <c r="BC2716" i="212"/>
  <c r="BA2716" i="212"/>
  <c r="I2716" i="212"/>
  <c r="H2716" i="212"/>
  <c r="E2716" i="212"/>
  <c r="D2716" i="212"/>
  <c r="C2716" i="212"/>
  <c r="BE2715" i="212"/>
  <c r="I2715" i="212"/>
  <c r="H2715" i="212"/>
  <c r="E2715" i="212"/>
  <c r="D2715" i="212"/>
  <c r="C2715" i="212"/>
  <c r="BE2714" i="212"/>
  <c r="BC2714" i="212"/>
  <c r="I2714" i="212"/>
  <c r="H2714" i="212"/>
  <c r="E2714" i="212"/>
  <c r="D2714" i="212"/>
  <c r="C2714" i="212"/>
  <c r="BE2713" i="212"/>
  <c r="BC2713" i="212"/>
  <c r="I2713" i="212"/>
  <c r="H2713" i="212"/>
  <c r="E2713" i="212"/>
  <c r="D2713" i="212"/>
  <c r="C2713" i="212"/>
  <c r="BE2712" i="212"/>
  <c r="BC2712" i="212"/>
  <c r="I2712" i="212"/>
  <c r="H2712" i="212"/>
  <c r="E2712" i="212"/>
  <c r="D2712" i="212"/>
  <c r="C2712" i="212"/>
  <c r="BE2711" i="212"/>
  <c r="BC2711" i="212"/>
  <c r="I2711" i="212"/>
  <c r="H2711" i="212"/>
  <c r="E2711" i="212"/>
  <c r="D2711" i="212"/>
  <c r="C2711" i="212"/>
  <c r="BE2710" i="212"/>
  <c r="BC2710" i="212"/>
  <c r="I2710" i="212"/>
  <c r="H2710" i="212"/>
  <c r="E2710" i="212"/>
  <c r="D2710" i="212"/>
  <c r="C2710" i="212"/>
  <c r="BE2709" i="212"/>
  <c r="I2709" i="212"/>
  <c r="H2709" i="212"/>
  <c r="E2709" i="212"/>
  <c r="D2709" i="212"/>
  <c r="C2709" i="212"/>
  <c r="BE2708" i="212"/>
  <c r="BC2708" i="212"/>
  <c r="BA2708" i="212"/>
  <c r="I2708" i="212"/>
  <c r="H2708" i="212"/>
  <c r="E2708" i="212"/>
  <c r="D2708" i="212"/>
  <c r="C2708" i="212"/>
  <c r="BE2707" i="212"/>
  <c r="BC2707" i="212"/>
  <c r="BA2707" i="212"/>
  <c r="I2707" i="212"/>
  <c r="H2707" i="212"/>
  <c r="E2707" i="212"/>
  <c r="D2707" i="212"/>
  <c r="C2707" i="212"/>
  <c r="BE2706" i="212"/>
  <c r="I2706" i="212"/>
  <c r="H2706" i="212"/>
  <c r="E2706" i="212"/>
  <c r="D2706" i="212"/>
  <c r="C2706" i="212"/>
  <c r="BE2705" i="212"/>
  <c r="BC2705" i="212"/>
  <c r="I2705" i="212"/>
  <c r="H2705" i="212"/>
  <c r="E2705" i="212"/>
  <c r="D2705" i="212"/>
  <c r="C2705" i="212"/>
  <c r="BE2704" i="212"/>
  <c r="BC2704" i="212"/>
  <c r="I2704" i="212"/>
  <c r="H2704" i="212"/>
  <c r="E2704" i="212"/>
  <c r="D2704" i="212"/>
  <c r="C2704" i="212"/>
  <c r="BE2703" i="212"/>
  <c r="BC2703" i="212"/>
  <c r="BA2703" i="212"/>
  <c r="I2703" i="212"/>
  <c r="H2703" i="212"/>
  <c r="E2703" i="212"/>
  <c r="D2703" i="212"/>
  <c r="C2703" i="212"/>
  <c r="BE2702" i="212"/>
  <c r="BC2702" i="212"/>
  <c r="I2702" i="212"/>
  <c r="H2702" i="212"/>
  <c r="E2702" i="212"/>
  <c r="D2702" i="212"/>
  <c r="C2702" i="212"/>
  <c r="BE2701" i="212"/>
  <c r="I2701" i="212"/>
  <c r="H2701" i="212"/>
  <c r="E2701" i="212"/>
  <c r="D2701" i="212"/>
  <c r="C2701" i="212"/>
  <c r="BE2700" i="212"/>
  <c r="BC2700" i="212"/>
  <c r="I2700" i="212"/>
  <c r="H2700" i="212"/>
  <c r="E2700" i="212"/>
  <c r="D2700" i="212"/>
  <c r="C2700" i="212"/>
  <c r="BE2699" i="212"/>
  <c r="BC2699" i="212"/>
  <c r="I2699" i="212"/>
  <c r="H2699" i="212"/>
  <c r="E2699" i="212"/>
  <c r="D2699" i="212"/>
  <c r="C2699" i="212"/>
  <c r="BE2698" i="212"/>
  <c r="BC2698" i="212"/>
  <c r="I2698" i="212"/>
  <c r="H2698" i="212"/>
  <c r="E2698" i="212"/>
  <c r="D2698" i="212"/>
  <c r="C2698" i="212"/>
  <c r="BE2697" i="212"/>
  <c r="BC2697" i="212"/>
  <c r="I2697" i="212"/>
  <c r="H2697" i="212"/>
  <c r="E2697" i="212"/>
  <c r="D2697" i="212"/>
  <c r="C2697" i="212"/>
  <c r="BE2696" i="212"/>
  <c r="BC2696" i="212"/>
  <c r="I2696" i="212"/>
  <c r="H2696" i="212"/>
  <c r="E2696" i="212"/>
  <c r="D2696" i="212"/>
  <c r="C2696" i="212"/>
  <c r="BE2695" i="212"/>
  <c r="BC2695" i="212"/>
  <c r="I2695" i="212"/>
  <c r="H2695" i="212"/>
  <c r="E2695" i="212"/>
  <c r="D2695" i="212"/>
  <c r="C2695" i="212"/>
  <c r="BE2694" i="212"/>
  <c r="BC2694" i="212"/>
  <c r="I2694" i="212"/>
  <c r="H2694" i="212"/>
  <c r="E2694" i="212"/>
  <c r="D2694" i="212"/>
  <c r="C2694" i="212"/>
  <c r="BE2693" i="212"/>
  <c r="BC2693" i="212"/>
  <c r="I2693" i="212"/>
  <c r="H2693" i="212"/>
  <c r="E2693" i="212"/>
  <c r="D2693" i="212"/>
  <c r="C2693" i="212"/>
  <c r="BE2692" i="212"/>
  <c r="BC2692" i="212"/>
  <c r="I2692" i="212"/>
  <c r="H2692" i="212"/>
  <c r="E2692" i="212"/>
  <c r="D2692" i="212"/>
  <c r="C2692" i="212"/>
  <c r="BE2691" i="212"/>
  <c r="BC2691" i="212"/>
  <c r="I2691" i="212"/>
  <c r="H2691" i="212"/>
  <c r="E2691" i="212"/>
  <c r="D2691" i="212"/>
  <c r="C2691" i="212"/>
  <c r="BE2690" i="212"/>
  <c r="BC2690" i="212"/>
  <c r="I2690" i="212"/>
  <c r="H2690" i="212"/>
  <c r="E2690" i="212"/>
  <c r="D2690" i="212"/>
  <c r="C2690" i="212"/>
  <c r="BE2689" i="212"/>
  <c r="BC2689" i="212"/>
  <c r="BA2689" i="212"/>
  <c r="I2689" i="212"/>
  <c r="H2689" i="212"/>
  <c r="E2689" i="212"/>
  <c r="D2689" i="212"/>
  <c r="C2689" i="212"/>
  <c r="BE2688" i="212"/>
  <c r="BC2688" i="212"/>
  <c r="I2688" i="212"/>
  <c r="H2688" i="212"/>
  <c r="E2688" i="212"/>
  <c r="D2688" i="212"/>
  <c r="C2688" i="212"/>
  <c r="BE2687" i="212"/>
  <c r="BC2687" i="212"/>
  <c r="I2687" i="212"/>
  <c r="H2687" i="212"/>
  <c r="E2687" i="212"/>
  <c r="D2687" i="212"/>
  <c r="C2687" i="212"/>
  <c r="BE2686" i="212"/>
  <c r="BC2686" i="212"/>
  <c r="I2686" i="212"/>
  <c r="H2686" i="212"/>
  <c r="E2686" i="212"/>
  <c r="D2686" i="212"/>
  <c r="C2686" i="212"/>
  <c r="BE2685" i="212"/>
  <c r="BC2685" i="212"/>
  <c r="I2685" i="212"/>
  <c r="H2685" i="212"/>
  <c r="E2685" i="212"/>
  <c r="D2685" i="212"/>
  <c r="C2685" i="212"/>
  <c r="BE2684" i="212"/>
  <c r="BC2684" i="212"/>
  <c r="I2684" i="212"/>
  <c r="H2684" i="212"/>
  <c r="E2684" i="212"/>
  <c r="D2684" i="212"/>
  <c r="C2684" i="212"/>
  <c r="BE2683" i="212"/>
  <c r="BC2683" i="212"/>
  <c r="I2683" i="212"/>
  <c r="H2683" i="212"/>
  <c r="E2683" i="212"/>
  <c r="D2683" i="212"/>
  <c r="C2683" i="212"/>
  <c r="BE2682" i="212"/>
  <c r="BC2682" i="212"/>
  <c r="I2682" i="212"/>
  <c r="H2682" i="212"/>
  <c r="E2682" i="212"/>
  <c r="D2682" i="212"/>
  <c r="C2682" i="212"/>
  <c r="BE2681" i="212"/>
  <c r="BC2681" i="212"/>
  <c r="I2681" i="212"/>
  <c r="H2681" i="212"/>
  <c r="E2681" i="212"/>
  <c r="D2681" i="212"/>
  <c r="C2681" i="212"/>
  <c r="BE2680" i="212"/>
  <c r="BC2680" i="212"/>
  <c r="I2680" i="212"/>
  <c r="H2680" i="212"/>
  <c r="E2680" i="212"/>
  <c r="D2680" i="212"/>
  <c r="C2680" i="212"/>
  <c r="BE2679" i="212"/>
  <c r="BC2679" i="212"/>
  <c r="I2679" i="212"/>
  <c r="H2679" i="212"/>
  <c r="E2679" i="212"/>
  <c r="D2679" i="212"/>
  <c r="C2679" i="212"/>
  <c r="BE2678" i="212"/>
  <c r="BC2678" i="212"/>
  <c r="I2678" i="212"/>
  <c r="H2678" i="212"/>
  <c r="E2678" i="212"/>
  <c r="D2678" i="212"/>
  <c r="C2678" i="212"/>
  <c r="BE2677" i="212"/>
  <c r="BC2677" i="212"/>
  <c r="I2677" i="212"/>
  <c r="H2677" i="212"/>
  <c r="E2677" i="212"/>
  <c r="D2677" i="212"/>
  <c r="C2677" i="212"/>
  <c r="BE2676" i="212"/>
  <c r="BC2676" i="212"/>
  <c r="I2676" i="212"/>
  <c r="H2676" i="212"/>
  <c r="E2676" i="212"/>
  <c r="D2676" i="212"/>
  <c r="C2676" i="212"/>
  <c r="BE2675" i="212"/>
  <c r="I2675" i="212"/>
  <c r="H2675" i="212"/>
  <c r="E2675" i="212"/>
  <c r="D2675" i="212"/>
  <c r="C2675" i="212"/>
  <c r="BE2674" i="212"/>
  <c r="BC2674" i="212"/>
  <c r="I2674" i="212"/>
  <c r="H2674" i="212"/>
  <c r="E2674" i="212"/>
  <c r="D2674" i="212"/>
  <c r="C2674" i="212"/>
  <c r="BE2673" i="212"/>
  <c r="BC2673" i="212"/>
  <c r="I2673" i="212"/>
  <c r="H2673" i="212"/>
  <c r="E2673" i="212"/>
  <c r="D2673" i="212"/>
  <c r="C2673" i="212"/>
  <c r="BE2672" i="212"/>
  <c r="BC2672" i="212"/>
  <c r="I2672" i="212"/>
  <c r="H2672" i="212"/>
  <c r="E2672" i="212"/>
  <c r="D2672" i="212"/>
  <c r="C2672" i="212"/>
  <c r="BE2671" i="212"/>
  <c r="BC2671" i="212"/>
  <c r="I2671" i="212"/>
  <c r="H2671" i="212"/>
  <c r="E2671" i="212"/>
  <c r="D2671" i="212"/>
  <c r="C2671" i="212"/>
  <c r="BE2670" i="212"/>
  <c r="I2670" i="212"/>
  <c r="H2670" i="212"/>
  <c r="E2670" i="212"/>
  <c r="D2670" i="212"/>
  <c r="C2670" i="212"/>
  <c r="BE2669" i="212"/>
  <c r="BD2669" i="212"/>
  <c r="BC2669" i="212"/>
  <c r="I2669" i="212"/>
  <c r="H2669" i="212"/>
  <c r="E2669" i="212"/>
  <c r="D2669" i="212"/>
  <c r="C2669" i="212"/>
  <c r="BE2668" i="212"/>
  <c r="BC2668" i="212"/>
  <c r="I2668" i="212"/>
  <c r="H2668" i="212"/>
  <c r="E2668" i="212"/>
  <c r="D2668" i="212"/>
  <c r="C2668" i="212"/>
  <c r="BE2667" i="212"/>
  <c r="BC2667" i="212"/>
  <c r="I2667" i="212"/>
  <c r="H2667" i="212"/>
  <c r="E2667" i="212"/>
  <c r="D2667" i="212"/>
  <c r="C2667" i="212"/>
  <c r="BE2666" i="212"/>
  <c r="BC2666" i="212"/>
  <c r="I2666" i="212"/>
  <c r="H2666" i="212"/>
  <c r="E2666" i="212"/>
  <c r="D2666" i="212"/>
  <c r="C2666" i="212"/>
  <c r="BE2665" i="212"/>
  <c r="BC2665" i="212"/>
  <c r="I2665" i="212"/>
  <c r="H2665" i="212"/>
  <c r="E2665" i="212"/>
  <c r="D2665" i="212"/>
  <c r="C2665" i="212"/>
  <c r="BE2664" i="212"/>
  <c r="BC2664" i="212"/>
  <c r="I2664" i="212"/>
  <c r="H2664" i="212"/>
  <c r="E2664" i="212"/>
  <c r="D2664" i="212"/>
  <c r="C2664" i="212"/>
  <c r="BE2663" i="212"/>
  <c r="BC2663" i="212"/>
  <c r="I2663" i="212"/>
  <c r="H2663" i="212"/>
  <c r="E2663" i="212"/>
  <c r="D2663" i="212"/>
  <c r="C2663" i="212"/>
  <c r="BE2662" i="212"/>
  <c r="BC2662" i="212"/>
  <c r="I2662" i="212"/>
  <c r="H2662" i="212"/>
  <c r="E2662" i="212"/>
  <c r="D2662" i="212"/>
  <c r="C2662" i="212"/>
  <c r="BE2661" i="212"/>
  <c r="BC2661" i="212"/>
  <c r="I2661" i="212"/>
  <c r="H2661" i="212"/>
  <c r="E2661" i="212"/>
  <c r="D2661" i="212"/>
  <c r="C2661" i="212"/>
  <c r="BE2660" i="212"/>
  <c r="BC2660" i="212"/>
  <c r="I2660" i="212"/>
  <c r="H2660" i="212"/>
  <c r="E2660" i="212"/>
  <c r="D2660" i="212"/>
  <c r="C2660" i="212"/>
  <c r="BE2659" i="212"/>
  <c r="BC2659" i="212"/>
  <c r="I2659" i="212"/>
  <c r="H2659" i="212"/>
  <c r="E2659" i="212"/>
  <c r="D2659" i="212"/>
  <c r="C2659" i="212"/>
  <c r="BE2658" i="212"/>
  <c r="BC2658" i="212"/>
  <c r="I2658" i="212"/>
  <c r="H2658" i="212"/>
  <c r="E2658" i="212"/>
  <c r="D2658" i="212"/>
  <c r="C2658" i="212"/>
  <c r="BE2657" i="212"/>
  <c r="BC2657" i="212"/>
  <c r="I2657" i="212"/>
  <c r="H2657" i="212"/>
  <c r="E2657" i="212"/>
  <c r="D2657" i="212"/>
  <c r="C2657" i="212"/>
  <c r="BE2656" i="212"/>
  <c r="I2656" i="212"/>
  <c r="H2656" i="212"/>
  <c r="E2656" i="212"/>
  <c r="D2656" i="212"/>
  <c r="C2656" i="212"/>
  <c r="BE2655" i="212"/>
  <c r="BC2655" i="212"/>
  <c r="BA2655" i="212"/>
  <c r="I2655" i="212"/>
  <c r="H2655" i="212"/>
  <c r="E2655" i="212"/>
  <c r="D2655" i="212"/>
  <c r="C2655" i="212"/>
  <c r="BE2654" i="212"/>
  <c r="BC2654" i="212"/>
  <c r="BA2654" i="212"/>
  <c r="I2654" i="212"/>
  <c r="H2654" i="212"/>
  <c r="E2654" i="212"/>
  <c r="D2654" i="212"/>
  <c r="C2654" i="212"/>
  <c r="BE2653" i="212"/>
  <c r="I2653" i="212"/>
  <c r="H2653" i="212"/>
  <c r="E2653" i="212"/>
  <c r="D2653" i="212"/>
  <c r="C2653" i="212"/>
  <c r="BE2652" i="212"/>
  <c r="BC2652" i="212"/>
  <c r="I2652" i="212"/>
  <c r="H2652" i="212"/>
  <c r="E2652" i="212"/>
  <c r="D2652" i="212"/>
  <c r="C2652" i="212"/>
  <c r="BE2651" i="212"/>
  <c r="BC2651" i="212"/>
  <c r="I2651" i="212"/>
  <c r="H2651" i="212"/>
  <c r="E2651" i="212"/>
  <c r="D2651" i="212"/>
  <c r="C2651" i="212"/>
  <c r="BE2650" i="212"/>
  <c r="BC2650" i="212"/>
  <c r="I2650" i="212"/>
  <c r="H2650" i="212"/>
  <c r="E2650" i="212"/>
  <c r="D2650" i="212"/>
  <c r="C2650" i="212"/>
  <c r="BE2649" i="212"/>
  <c r="BC2649" i="212"/>
  <c r="I2649" i="212"/>
  <c r="H2649" i="212"/>
  <c r="E2649" i="212"/>
  <c r="D2649" i="212"/>
  <c r="C2649" i="212"/>
  <c r="BE2648" i="212"/>
  <c r="I2648" i="212"/>
  <c r="H2648" i="212"/>
  <c r="E2648" i="212"/>
  <c r="D2648" i="212"/>
  <c r="C2648" i="212"/>
  <c r="BE2647" i="212"/>
  <c r="BC2647" i="212"/>
  <c r="I2647" i="212"/>
  <c r="H2647" i="212"/>
  <c r="E2647" i="212"/>
  <c r="D2647" i="212"/>
  <c r="C2647" i="212"/>
  <c r="BE2646" i="212"/>
  <c r="BC2646" i="212"/>
  <c r="I2646" i="212"/>
  <c r="H2646" i="212"/>
  <c r="E2646" i="212"/>
  <c r="D2646" i="212"/>
  <c r="C2646" i="212"/>
  <c r="BE2645" i="212"/>
  <c r="BC2645" i="212"/>
  <c r="I2645" i="212"/>
  <c r="H2645" i="212"/>
  <c r="E2645" i="212"/>
  <c r="D2645" i="212"/>
  <c r="C2645" i="212"/>
  <c r="BE2644" i="212"/>
  <c r="BC2644" i="212"/>
  <c r="I2644" i="212"/>
  <c r="H2644" i="212"/>
  <c r="E2644" i="212"/>
  <c r="D2644" i="212"/>
  <c r="C2644" i="212"/>
  <c r="BE2643" i="212"/>
  <c r="BC2643" i="212"/>
  <c r="I2643" i="212"/>
  <c r="H2643" i="212"/>
  <c r="E2643" i="212"/>
  <c r="D2643" i="212"/>
  <c r="C2643" i="212"/>
  <c r="BE2642" i="212"/>
  <c r="BC2642" i="212"/>
  <c r="I2642" i="212"/>
  <c r="H2642" i="212"/>
  <c r="E2642" i="212"/>
  <c r="D2642" i="212"/>
  <c r="C2642" i="212"/>
  <c r="BE2641" i="212"/>
  <c r="BC2641" i="212"/>
  <c r="I2641" i="212"/>
  <c r="H2641" i="212"/>
  <c r="E2641" i="212"/>
  <c r="D2641" i="212"/>
  <c r="C2641" i="212"/>
  <c r="BE2640" i="212"/>
  <c r="BC2640" i="212"/>
  <c r="I2640" i="212"/>
  <c r="H2640" i="212"/>
  <c r="E2640" i="212"/>
  <c r="D2640" i="212"/>
  <c r="C2640" i="212"/>
  <c r="BE2639" i="212"/>
  <c r="BC2639" i="212"/>
  <c r="I2639" i="212"/>
  <c r="H2639" i="212"/>
  <c r="E2639" i="212"/>
  <c r="D2639" i="212"/>
  <c r="C2639" i="212"/>
  <c r="BE2638" i="212"/>
  <c r="BC2638" i="212"/>
  <c r="I2638" i="212"/>
  <c r="H2638" i="212"/>
  <c r="E2638" i="212"/>
  <c r="D2638" i="212"/>
  <c r="C2638" i="212"/>
  <c r="BE2637" i="212"/>
  <c r="BC2637" i="212"/>
  <c r="I2637" i="212"/>
  <c r="H2637" i="212"/>
  <c r="E2637" i="212"/>
  <c r="D2637" i="212"/>
  <c r="C2637" i="212"/>
  <c r="BE2636" i="212"/>
  <c r="BC2636" i="212"/>
  <c r="BA2636" i="212"/>
  <c r="I2636" i="212"/>
  <c r="H2636" i="212"/>
  <c r="E2636" i="212"/>
  <c r="D2636" i="212"/>
  <c r="C2636" i="212"/>
  <c r="BE2635" i="212"/>
  <c r="BC2635" i="212"/>
  <c r="I2635" i="212"/>
  <c r="H2635" i="212"/>
  <c r="E2635" i="212"/>
  <c r="D2635" i="212"/>
  <c r="C2635" i="212"/>
  <c r="BE2634" i="212"/>
  <c r="BC2634" i="212"/>
  <c r="I2634" i="212"/>
  <c r="H2634" i="212"/>
  <c r="E2634" i="212"/>
  <c r="D2634" i="212"/>
  <c r="C2634" i="212"/>
  <c r="BE2633" i="212"/>
  <c r="BC2633" i="212"/>
  <c r="I2633" i="212"/>
  <c r="H2633" i="212"/>
  <c r="E2633" i="212"/>
  <c r="D2633" i="212"/>
  <c r="C2633" i="212"/>
  <c r="BE2632" i="212"/>
  <c r="BC2632" i="212"/>
  <c r="I2632" i="212"/>
  <c r="H2632" i="212"/>
  <c r="E2632" i="212"/>
  <c r="D2632" i="212"/>
  <c r="C2632" i="212"/>
  <c r="BE2631" i="212"/>
  <c r="BC2631" i="212"/>
  <c r="I2631" i="212"/>
  <c r="H2631" i="212"/>
  <c r="E2631" i="212"/>
  <c r="D2631" i="212"/>
  <c r="C2631" i="212"/>
  <c r="BE2630" i="212"/>
  <c r="BC2630" i="212"/>
  <c r="BA2630" i="212"/>
  <c r="I2630" i="212"/>
  <c r="H2630" i="212"/>
  <c r="E2630" i="212"/>
  <c r="D2630" i="212"/>
  <c r="C2630" i="212"/>
  <c r="BE2629" i="212"/>
  <c r="BC2629" i="212"/>
  <c r="I2629" i="212"/>
  <c r="H2629" i="212"/>
  <c r="E2629" i="212"/>
  <c r="D2629" i="212"/>
  <c r="C2629" i="212"/>
  <c r="BE2628" i="212"/>
  <c r="BC2628" i="212"/>
  <c r="I2628" i="212"/>
  <c r="H2628" i="212"/>
  <c r="E2628" i="212"/>
  <c r="D2628" i="212"/>
  <c r="C2628" i="212"/>
  <c r="BE2627" i="212"/>
  <c r="BC2627" i="212"/>
  <c r="I2627" i="212"/>
  <c r="H2627" i="212"/>
  <c r="E2627" i="212"/>
  <c r="D2627" i="212"/>
  <c r="C2627" i="212"/>
  <c r="BE2626" i="212"/>
  <c r="BC2626" i="212"/>
  <c r="I2626" i="212"/>
  <c r="H2626" i="212"/>
  <c r="E2626" i="212"/>
  <c r="D2626" i="212"/>
  <c r="C2626" i="212"/>
  <c r="BE2625" i="212"/>
  <c r="BC2625" i="212"/>
  <c r="I2625" i="212"/>
  <c r="H2625" i="212"/>
  <c r="E2625" i="212"/>
  <c r="D2625" i="212"/>
  <c r="C2625" i="212"/>
  <c r="BE2624" i="212"/>
  <c r="BC2624" i="212"/>
  <c r="I2624" i="212"/>
  <c r="H2624" i="212"/>
  <c r="E2624" i="212"/>
  <c r="D2624" i="212"/>
  <c r="C2624" i="212"/>
  <c r="BE2623" i="212"/>
  <c r="BC2623" i="212"/>
  <c r="I2623" i="212"/>
  <c r="H2623" i="212"/>
  <c r="E2623" i="212"/>
  <c r="D2623" i="212"/>
  <c r="C2623" i="212"/>
  <c r="BE2622" i="212"/>
  <c r="BC2622" i="212"/>
  <c r="I2622" i="212"/>
  <c r="H2622" i="212"/>
  <c r="E2622" i="212"/>
  <c r="D2622" i="212"/>
  <c r="C2622" i="212"/>
  <c r="BE2621" i="212"/>
  <c r="I2621" i="212"/>
  <c r="H2621" i="212"/>
  <c r="E2621" i="212"/>
  <c r="D2621" i="212"/>
  <c r="C2621" i="212"/>
  <c r="BE2620" i="212"/>
  <c r="BC2620" i="212"/>
  <c r="I2620" i="212"/>
  <c r="H2620" i="212"/>
  <c r="E2620" i="212"/>
  <c r="D2620" i="212"/>
  <c r="C2620" i="212"/>
  <c r="BE2619" i="212"/>
  <c r="BC2619" i="212"/>
  <c r="I2619" i="212"/>
  <c r="H2619" i="212"/>
  <c r="E2619" i="212"/>
  <c r="D2619" i="212"/>
  <c r="C2619" i="212"/>
  <c r="BE2618" i="212"/>
  <c r="BC2618" i="212"/>
  <c r="I2618" i="212"/>
  <c r="H2618" i="212"/>
  <c r="E2618" i="212"/>
  <c r="D2618" i="212"/>
  <c r="C2618" i="212"/>
  <c r="BE2617" i="212"/>
  <c r="BC2617" i="212"/>
  <c r="BA2617" i="212"/>
  <c r="I2617" i="212"/>
  <c r="H2617" i="212"/>
  <c r="E2617" i="212"/>
  <c r="D2617" i="212"/>
  <c r="C2617" i="212"/>
  <c r="BE2616" i="212"/>
  <c r="I2616" i="212"/>
  <c r="H2616" i="212"/>
  <c r="E2616" i="212"/>
  <c r="D2616" i="212"/>
  <c r="C2616" i="212"/>
  <c r="BE2615" i="212"/>
  <c r="BC2615" i="212"/>
  <c r="I2615" i="212"/>
  <c r="H2615" i="212"/>
  <c r="E2615" i="212"/>
  <c r="D2615" i="212"/>
  <c r="C2615" i="212"/>
  <c r="BE2614" i="212"/>
  <c r="BC2614" i="212"/>
  <c r="I2614" i="212"/>
  <c r="H2614" i="212"/>
  <c r="E2614" i="212"/>
  <c r="D2614" i="212"/>
  <c r="C2614" i="212"/>
  <c r="BE2613" i="212"/>
  <c r="BC2613" i="212"/>
  <c r="I2613" i="212"/>
  <c r="H2613" i="212"/>
  <c r="E2613" i="212"/>
  <c r="D2613" i="212"/>
  <c r="C2613" i="212"/>
  <c r="BE2612" i="212"/>
  <c r="BC2612" i="212"/>
  <c r="I2612" i="212"/>
  <c r="H2612" i="212"/>
  <c r="E2612" i="212"/>
  <c r="D2612" i="212"/>
  <c r="C2612" i="212"/>
  <c r="BE2611" i="212"/>
  <c r="BC2611" i="212"/>
  <c r="I2611" i="212"/>
  <c r="H2611" i="212"/>
  <c r="E2611" i="212"/>
  <c r="D2611" i="212"/>
  <c r="C2611" i="212"/>
  <c r="BE2610" i="212"/>
  <c r="BC2610" i="212"/>
  <c r="I2610" i="212"/>
  <c r="H2610" i="212"/>
  <c r="E2610" i="212"/>
  <c r="D2610" i="212"/>
  <c r="C2610" i="212"/>
  <c r="BE2609" i="212"/>
  <c r="BC2609" i="212"/>
  <c r="I2609" i="212"/>
  <c r="H2609" i="212"/>
  <c r="E2609" i="212"/>
  <c r="D2609" i="212"/>
  <c r="C2609" i="212"/>
  <c r="BE2608" i="212"/>
  <c r="BC2608" i="212"/>
  <c r="I2608" i="212"/>
  <c r="H2608" i="212"/>
  <c r="E2608" i="212"/>
  <c r="D2608" i="212"/>
  <c r="C2608" i="212"/>
  <c r="BE2607" i="212"/>
  <c r="BC2607" i="212"/>
  <c r="BA2607" i="212"/>
  <c r="I2607" i="212"/>
  <c r="H2607" i="212"/>
  <c r="E2607" i="212"/>
  <c r="D2607" i="212"/>
  <c r="C2607" i="212"/>
  <c r="BE2606" i="212"/>
  <c r="BC2606" i="212"/>
  <c r="I2606" i="212"/>
  <c r="H2606" i="212"/>
  <c r="E2606" i="212"/>
  <c r="D2606" i="212"/>
  <c r="C2606" i="212"/>
  <c r="BE2605" i="212"/>
  <c r="BC2605" i="212"/>
  <c r="I2605" i="212"/>
  <c r="H2605" i="212"/>
  <c r="E2605" i="212"/>
  <c r="D2605" i="212"/>
  <c r="C2605" i="212"/>
  <c r="BE2604" i="212"/>
  <c r="BC2604" i="212"/>
  <c r="I2604" i="212"/>
  <c r="H2604" i="212"/>
  <c r="E2604" i="212"/>
  <c r="D2604" i="212"/>
  <c r="C2604" i="212"/>
  <c r="BE2603" i="212"/>
  <c r="BC2603" i="212"/>
  <c r="I2603" i="212"/>
  <c r="H2603" i="212"/>
  <c r="E2603" i="212"/>
  <c r="D2603" i="212"/>
  <c r="C2603" i="212"/>
  <c r="BE2602" i="212"/>
  <c r="BC2602" i="212"/>
  <c r="I2602" i="212"/>
  <c r="H2602" i="212"/>
  <c r="E2602" i="212"/>
  <c r="D2602" i="212"/>
  <c r="C2602" i="212"/>
  <c r="BE2601" i="212"/>
  <c r="I2601" i="212"/>
  <c r="H2601" i="212"/>
  <c r="E2601" i="212"/>
  <c r="D2601" i="212"/>
  <c r="C2601" i="212"/>
  <c r="BE2600" i="212"/>
  <c r="BC2600" i="212"/>
  <c r="BA2600" i="212"/>
  <c r="I2600" i="212"/>
  <c r="H2600" i="212"/>
  <c r="E2600" i="212"/>
  <c r="D2600" i="212"/>
  <c r="C2600" i="212"/>
  <c r="BE2599" i="212"/>
  <c r="BC2599" i="212"/>
  <c r="I2599" i="212"/>
  <c r="H2599" i="212"/>
  <c r="E2599" i="212"/>
  <c r="D2599" i="212"/>
  <c r="C2599" i="212"/>
  <c r="BE2598" i="212"/>
  <c r="BC2598" i="212"/>
  <c r="BA2598" i="212"/>
  <c r="I2598" i="212"/>
  <c r="H2598" i="212"/>
  <c r="E2598" i="212"/>
  <c r="D2598" i="212"/>
  <c r="C2598" i="212"/>
  <c r="BE2597" i="212"/>
  <c r="I2597" i="212"/>
  <c r="H2597" i="212"/>
  <c r="E2597" i="212"/>
  <c r="D2597" i="212"/>
  <c r="C2597" i="212"/>
  <c r="BE2596" i="212"/>
  <c r="BC2596" i="212"/>
  <c r="I2596" i="212"/>
  <c r="H2596" i="212"/>
  <c r="E2596" i="212"/>
  <c r="D2596" i="212"/>
  <c r="C2596" i="212"/>
  <c r="BE2595" i="212"/>
  <c r="BC2595" i="212"/>
  <c r="I2595" i="212"/>
  <c r="H2595" i="212"/>
  <c r="E2595" i="212"/>
  <c r="D2595" i="212"/>
  <c r="C2595" i="212"/>
  <c r="BE2594" i="212"/>
  <c r="BC2594" i="212"/>
  <c r="I2594" i="212"/>
  <c r="H2594" i="212"/>
  <c r="E2594" i="212"/>
  <c r="D2594" i="212"/>
  <c r="C2594" i="212"/>
  <c r="BE2593" i="212"/>
  <c r="BC2593" i="212"/>
  <c r="I2593" i="212"/>
  <c r="H2593" i="212"/>
  <c r="E2593" i="212"/>
  <c r="D2593" i="212"/>
  <c r="C2593" i="212"/>
  <c r="BE2592" i="212"/>
  <c r="I2592" i="212"/>
  <c r="H2592" i="212"/>
  <c r="E2592" i="212"/>
  <c r="D2592" i="212"/>
  <c r="C2592" i="212"/>
  <c r="BE2591" i="212"/>
  <c r="BC2591" i="212"/>
  <c r="I2591" i="212"/>
  <c r="H2591" i="212"/>
  <c r="E2591" i="212"/>
  <c r="D2591" i="212"/>
  <c r="C2591" i="212"/>
  <c r="BE2590" i="212"/>
  <c r="BC2590" i="212"/>
  <c r="I2590" i="212"/>
  <c r="H2590" i="212"/>
  <c r="E2590" i="212"/>
  <c r="D2590" i="212"/>
  <c r="C2590" i="212"/>
  <c r="BE2589" i="212"/>
  <c r="BC2589" i="212"/>
  <c r="I2589" i="212"/>
  <c r="H2589" i="212"/>
  <c r="E2589" i="212"/>
  <c r="D2589" i="212"/>
  <c r="C2589" i="212"/>
  <c r="BE2588" i="212"/>
  <c r="BC2588" i="212"/>
  <c r="I2588" i="212"/>
  <c r="H2588" i="212"/>
  <c r="E2588" i="212"/>
  <c r="D2588" i="212"/>
  <c r="C2588" i="212"/>
  <c r="BE2587" i="212"/>
  <c r="BC2587" i="212"/>
  <c r="I2587" i="212"/>
  <c r="H2587" i="212"/>
  <c r="E2587" i="212"/>
  <c r="D2587" i="212"/>
  <c r="C2587" i="212"/>
  <c r="BE2586" i="212"/>
  <c r="BC2586" i="212"/>
  <c r="I2586" i="212"/>
  <c r="H2586" i="212"/>
  <c r="E2586" i="212"/>
  <c r="D2586" i="212"/>
  <c r="C2586" i="212"/>
  <c r="BE2585" i="212"/>
  <c r="BD2585" i="212"/>
  <c r="BC2585" i="212"/>
  <c r="BA2585" i="212"/>
  <c r="I2585" i="212"/>
  <c r="H2585" i="212"/>
  <c r="E2585" i="212"/>
  <c r="D2585" i="212"/>
  <c r="C2585" i="212"/>
  <c r="BE2584" i="212"/>
  <c r="BC2584" i="212"/>
  <c r="I2584" i="212"/>
  <c r="H2584" i="212"/>
  <c r="E2584" i="212"/>
  <c r="D2584" i="212"/>
  <c r="C2584" i="212"/>
  <c r="BE2583" i="212"/>
  <c r="BC2583" i="212"/>
  <c r="I2583" i="212"/>
  <c r="H2583" i="212"/>
  <c r="E2583" i="212"/>
  <c r="D2583" i="212"/>
  <c r="C2583" i="212"/>
  <c r="BE2582" i="212"/>
  <c r="BC2582" i="212"/>
  <c r="BA2582" i="212"/>
  <c r="I2582" i="212"/>
  <c r="H2582" i="212"/>
  <c r="E2582" i="212"/>
  <c r="D2582" i="212"/>
  <c r="C2582" i="212"/>
  <c r="BE2581" i="212"/>
  <c r="BC2581" i="212"/>
  <c r="I2581" i="212"/>
  <c r="H2581" i="212"/>
  <c r="E2581" i="212"/>
  <c r="D2581" i="212"/>
  <c r="C2581" i="212"/>
  <c r="BE2580" i="212"/>
  <c r="BC2580" i="212"/>
  <c r="I2580" i="212"/>
  <c r="H2580" i="212"/>
  <c r="E2580" i="212"/>
  <c r="D2580" i="212"/>
  <c r="C2580" i="212"/>
  <c r="BE2579" i="212"/>
  <c r="BC2579" i="212"/>
  <c r="BA2579" i="212"/>
  <c r="I2579" i="212"/>
  <c r="H2579" i="212"/>
  <c r="E2579" i="212"/>
  <c r="D2579" i="212"/>
  <c r="C2579" i="212"/>
  <c r="BE2578" i="212"/>
  <c r="BC2578" i="212"/>
  <c r="I2578" i="212"/>
  <c r="H2578" i="212"/>
  <c r="E2578" i="212"/>
  <c r="D2578" i="212"/>
  <c r="C2578" i="212"/>
  <c r="BE2577" i="212"/>
  <c r="BC2577" i="212"/>
  <c r="I2577" i="212"/>
  <c r="H2577" i="212"/>
  <c r="E2577" i="212"/>
  <c r="D2577" i="212"/>
  <c r="C2577" i="212"/>
  <c r="BE2576" i="212"/>
  <c r="BC2576" i="212"/>
  <c r="I2576" i="212"/>
  <c r="H2576" i="212"/>
  <c r="E2576" i="212"/>
  <c r="D2576" i="212"/>
  <c r="C2576" i="212"/>
  <c r="BE2575" i="212"/>
  <c r="BC2575" i="212"/>
  <c r="I2575" i="212"/>
  <c r="H2575" i="212"/>
  <c r="E2575" i="212"/>
  <c r="D2575" i="212"/>
  <c r="C2575" i="212"/>
  <c r="BE2574" i="212"/>
  <c r="BC2574" i="212"/>
  <c r="I2574" i="212"/>
  <c r="H2574" i="212"/>
  <c r="E2574" i="212"/>
  <c r="D2574" i="212"/>
  <c r="C2574" i="212"/>
  <c r="BE2573" i="212"/>
  <c r="BC2573" i="212"/>
  <c r="I2573" i="212"/>
  <c r="H2573" i="212"/>
  <c r="E2573" i="212"/>
  <c r="D2573" i="212"/>
  <c r="C2573" i="212"/>
  <c r="BE2572" i="212"/>
  <c r="BC2572" i="212"/>
  <c r="I2572" i="212"/>
  <c r="H2572" i="212"/>
  <c r="E2572" i="212"/>
  <c r="D2572" i="212"/>
  <c r="C2572" i="212"/>
  <c r="BE2571" i="212"/>
  <c r="BC2571" i="212"/>
  <c r="I2571" i="212"/>
  <c r="H2571" i="212"/>
  <c r="E2571" i="212"/>
  <c r="D2571" i="212"/>
  <c r="C2571" i="212"/>
  <c r="BE2570" i="212"/>
  <c r="BC2570" i="212"/>
  <c r="I2570" i="212"/>
  <c r="H2570" i="212"/>
  <c r="E2570" i="212"/>
  <c r="D2570" i="212"/>
  <c r="C2570" i="212"/>
  <c r="BE2569" i="212"/>
  <c r="BC2569" i="212"/>
  <c r="I2569" i="212"/>
  <c r="H2569" i="212"/>
  <c r="E2569" i="212"/>
  <c r="D2569" i="212"/>
  <c r="C2569" i="212"/>
  <c r="BE2568" i="212"/>
  <c r="I2568" i="212"/>
  <c r="H2568" i="212"/>
  <c r="E2568" i="212"/>
  <c r="D2568" i="212"/>
  <c r="C2568" i="212"/>
  <c r="BE2567" i="212"/>
  <c r="BC2567" i="212"/>
  <c r="I2567" i="212"/>
  <c r="H2567" i="212"/>
  <c r="E2567" i="212"/>
  <c r="D2567" i="212"/>
  <c r="C2567" i="212"/>
  <c r="BE2566" i="212"/>
  <c r="BC2566" i="212"/>
  <c r="I2566" i="212"/>
  <c r="H2566" i="212"/>
  <c r="E2566" i="212"/>
  <c r="D2566" i="212"/>
  <c r="C2566" i="212"/>
  <c r="BE2565" i="212"/>
  <c r="BC2565" i="212"/>
  <c r="I2565" i="212"/>
  <c r="H2565" i="212"/>
  <c r="E2565" i="212"/>
  <c r="D2565" i="212"/>
  <c r="C2565" i="212"/>
  <c r="BE2564" i="212"/>
  <c r="BC2564" i="212"/>
  <c r="I2564" i="212"/>
  <c r="H2564" i="212"/>
  <c r="E2564" i="212"/>
  <c r="D2564" i="212"/>
  <c r="C2564" i="212"/>
  <c r="BE2563" i="212"/>
  <c r="BC2563" i="212"/>
  <c r="BA2563" i="212"/>
  <c r="I2563" i="212"/>
  <c r="H2563" i="212"/>
  <c r="E2563" i="212"/>
  <c r="D2563" i="212"/>
  <c r="C2563" i="212"/>
  <c r="BE2562" i="212"/>
  <c r="I2562" i="212"/>
  <c r="H2562" i="212"/>
  <c r="E2562" i="212"/>
  <c r="D2562" i="212"/>
  <c r="C2562" i="212"/>
  <c r="BE2561" i="212"/>
  <c r="BC2561" i="212"/>
  <c r="I2561" i="212"/>
  <c r="H2561" i="212"/>
  <c r="E2561" i="212"/>
  <c r="D2561" i="212"/>
  <c r="C2561" i="212"/>
  <c r="BE2560" i="212"/>
  <c r="BC2560" i="212"/>
  <c r="I2560" i="212"/>
  <c r="H2560" i="212"/>
  <c r="E2560" i="212"/>
  <c r="D2560" i="212"/>
  <c r="C2560" i="212"/>
  <c r="BE2559" i="212"/>
  <c r="BC2559" i="212"/>
  <c r="I2559" i="212"/>
  <c r="H2559" i="212"/>
  <c r="E2559" i="212"/>
  <c r="D2559" i="212"/>
  <c r="C2559" i="212"/>
  <c r="BE2558" i="212"/>
  <c r="BC2558" i="212"/>
  <c r="I2558" i="212"/>
  <c r="H2558" i="212"/>
  <c r="E2558" i="212"/>
  <c r="D2558" i="212"/>
  <c r="C2558" i="212"/>
  <c r="BE2557" i="212"/>
  <c r="BC2557" i="212"/>
  <c r="I2557" i="212"/>
  <c r="H2557" i="212"/>
  <c r="E2557" i="212"/>
  <c r="D2557" i="212"/>
  <c r="C2557" i="212"/>
  <c r="BE2556" i="212"/>
  <c r="BC2556" i="212"/>
  <c r="I2556" i="212"/>
  <c r="H2556" i="212"/>
  <c r="E2556" i="212"/>
  <c r="D2556" i="212"/>
  <c r="C2556" i="212"/>
  <c r="BE2555" i="212"/>
  <c r="BC2555" i="212"/>
  <c r="I2555" i="212"/>
  <c r="H2555" i="212"/>
  <c r="E2555" i="212"/>
  <c r="D2555" i="212"/>
  <c r="C2555" i="212"/>
  <c r="BE2554" i="212"/>
  <c r="BC2554" i="212"/>
  <c r="I2554" i="212"/>
  <c r="H2554" i="212"/>
  <c r="E2554" i="212"/>
  <c r="D2554" i="212"/>
  <c r="C2554" i="212"/>
  <c r="BE2553" i="212"/>
  <c r="BC2553" i="212"/>
  <c r="I2553" i="212"/>
  <c r="H2553" i="212"/>
  <c r="E2553" i="212"/>
  <c r="D2553" i="212"/>
  <c r="C2553" i="212"/>
  <c r="BE2552" i="212"/>
  <c r="BC2552" i="212"/>
  <c r="I2552" i="212"/>
  <c r="H2552" i="212"/>
  <c r="E2552" i="212"/>
  <c r="D2552" i="212"/>
  <c r="C2552" i="212"/>
  <c r="BE2551" i="212"/>
  <c r="BC2551" i="212"/>
  <c r="BA2551" i="212"/>
  <c r="I2551" i="212"/>
  <c r="H2551" i="212"/>
  <c r="E2551" i="212"/>
  <c r="D2551" i="212"/>
  <c r="C2551" i="212"/>
  <c r="BE2550" i="212"/>
  <c r="BC2550" i="212"/>
  <c r="BA2550" i="212"/>
  <c r="I2550" i="212"/>
  <c r="H2550" i="212"/>
  <c r="E2550" i="212"/>
  <c r="D2550" i="212"/>
  <c r="C2550" i="212"/>
  <c r="BE2549" i="212"/>
  <c r="BC2549" i="212"/>
  <c r="I2549" i="212"/>
  <c r="H2549" i="212"/>
  <c r="E2549" i="212"/>
  <c r="D2549" i="212"/>
  <c r="C2549" i="212"/>
  <c r="BE2548" i="212"/>
  <c r="BC2548" i="212"/>
  <c r="I2548" i="212"/>
  <c r="H2548" i="212"/>
  <c r="E2548" i="212"/>
  <c r="D2548" i="212"/>
  <c r="C2548" i="212"/>
  <c r="BE2547" i="212"/>
  <c r="BC2547" i="212"/>
  <c r="I2547" i="212"/>
  <c r="H2547" i="212"/>
  <c r="E2547" i="212"/>
  <c r="D2547" i="212"/>
  <c r="C2547" i="212"/>
  <c r="BE2546" i="212"/>
  <c r="BC2546" i="212"/>
  <c r="I2546" i="212"/>
  <c r="H2546" i="212"/>
  <c r="E2546" i="212"/>
  <c r="D2546" i="212"/>
  <c r="C2546" i="212"/>
  <c r="BE2545" i="212"/>
  <c r="BC2545" i="212"/>
  <c r="I2545" i="212"/>
  <c r="H2545" i="212"/>
  <c r="E2545" i="212"/>
  <c r="D2545" i="212"/>
  <c r="C2545" i="212"/>
  <c r="BE2544" i="212"/>
  <c r="I2544" i="212"/>
  <c r="H2544" i="212"/>
  <c r="E2544" i="212"/>
  <c r="D2544" i="212"/>
  <c r="C2544" i="212"/>
  <c r="BE2543" i="212"/>
  <c r="BC2543" i="212"/>
  <c r="BA2543" i="212"/>
  <c r="I2543" i="212"/>
  <c r="H2543" i="212"/>
  <c r="E2543" i="212"/>
  <c r="D2543" i="212"/>
  <c r="C2543" i="212"/>
  <c r="BE2542" i="212"/>
  <c r="BC2542" i="212"/>
  <c r="I2542" i="212"/>
  <c r="H2542" i="212"/>
  <c r="E2542" i="212"/>
  <c r="D2542" i="212"/>
  <c r="C2542" i="212"/>
  <c r="BE2541" i="212"/>
  <c r="BC2541" i="212"/>
  <c r="BA2541" i="212"/>
  <c r="I2541" i="212"/>
  <c r="H2541" i="212"/>
  <c r="E2541" i="212"/>
  <c r="D2541" i="212"/>
  <c r="C2541" i="212"/>
  <c r="BE2540" i="212"/>
  <c r="BC2540" i="212"/>
  <c r="I2540" i="212"/>
  <c r="H2540" i="212"/>
  <c r="E2540" i="212"/>
  <c r="D2540" i="212"/>
  <c r="C2540" i="212"/>
  <c r="BE2539" i="212"/>
  <c r="I2539" i="212"/>
  <c r="H2539" i="212"/>
  <c r="E2539" i="212"/>
  <c r="D2539" i="212"/>
  <c r="C2539" i="212"/>
  <c r="BE2538" i="212"/>
  <c r="BC2538" i="212"/>
  <c r="I2538" i="212"/>
  <c r="H2538" i="212"/>
  <c r="E2538" i="212"/>
  <c r="D2538" i="212"/>
  <c r="C2538" i="212"/>
  <c r="BE2537" i="212"/>
  <c r="BC2537" i="212"/>
  <c r="I2537" i="212"/>
  <c r="H2537" i="212"/>
  <c r="E2537" i="212"/>
  <c r="D2537" i="212"/>
  <c r="C2537" i="212"/>
  <c r="BE2536" i="212"/>
  <c r="BC2536" i="212"/>
  <c r="I2536" i="212"/>
  <c r="H2536" i="212"/>
  <c r="E2536" i="212"/>
  <c r="D2536" i="212"/>
  <c r="C2536" i="212"/>
  <c r="BE2535" i="212"/>
  <c r="BC2535" i="212"/>
  <c r="I2535" i="212"/>
  <c r="H2535" i="212"/>
  <c r="E2535" i="212"/>
  <c r="D2535" i="212"/>
  <c r="C2535" i="212"/>
  <c r="BE2534" i="212"/>
  <c r="I2534" i="212"/>
  <c r="H2534" i="212"/>
  <c r="E2534" i="212"/>
  <c r="D2534" i="212"/>
  <c r="C2534" i="212"/>
  <c r="BE2533" i="212"/>
  <c r="I2533" i="212"/>
  <c r="H2533" i="212"/>
  <c r="E2533" i="212"/>
  <c r="D2533" i="212"/>
  <c r="C2533" i="212"/>
  <c r="BE2532" i="212"/>
  <c r="BC2532" i="212"/>
  <c r="I2532" i="212"/>
  <c r="H2532" i="212"/>
  <c r="E2532" i="212"/>
  <c r="D2532" i="212"/>
  <c r="C2532" i="212"/>
  <c r="BE2531" i="212"/>
  <c r="BC2531" i="212"/>
  <c r="I2531" i="212"/>
  <c r="H2531" i="212"/>
  <c r="E2531" i="212"/>
  <c r="D2531" i="212"/>
  <c r="C2531" i="212"/>
  <c r="BE2530" i="212"/>
  <c r="BC2530" i="212"/>
  <c r="I2530" i="212"/>
  <c r="H2530" i="212"/>
  <c r="E2530" i="212"/>
  <c r="D2530" i="212"/>
  <c r="C2530" i="212"/>
  <c r="BE2529" i="212"/>
  <c r="BC2529" i="212"/>
  <c r="I2529" i="212"/>
  <c r="H2529" i="212"/>
  <c r="E2529" i="212"/>
  <c r="D2529" i="212"/>
  <c r="C2529" i="212"/>
  <c r="BE2528" i="212"/>
  <c r="BC2528" i="212"/>
  <c r="I2528" i="212"/>
  <c r="H2528" i="212"/>
  <c r="E2528" i="212"/>
  <c r="D2528" i="212"/>
  <c r="C2528" i="212"/>
  <c r="BE2527" i="212"/>
  <c r="BC2527" i="212"/>
  <c r="I2527" i="212"/>
  <c r="H2527" i="212"/>
  <c r="E2527" i="212"/>
  <c r="D2527" i="212"/>
  <c r="C2527" i="212"/>
  <c r="BE2526" i="212"/>
  <c r="BC2526" i="212"/>
  <c r="I2526" i="212"/>
  <c r="H2526" i="212"/>
  <c r="E2526" i="212"/>
  <c r="D2526" i="212"/>
  <c r="C2526" i="212"/>
  <c r="BE2525" i="212"/>
  <c r="BC2525" i="212"/>
  <c r="I2525" i="212"/>
  <c r="H2525" i="212"/>
  <c r="E2525" i="212"/>
  <c r="D2525" i="212"/>
  <c r="C2525" i="212"/>
  <c r="BE2524" i="212"/>
  <c r="BC2524" i="212"/>
  <c r="I2524" i="212"/>
  <c r="H2524" i="212"/>
  <c r="E2524" i="212"/>
  <c r="D2524" i="212"/>
  <c r="C2524" i="212"/>
  <c r="BE2523" i="212"/>
  <c r="BC2523" i="212"/>
  <c r="BA2523" i="212"/>
  <c r="I2523" i="212"/>
  <c r="H2523" i="212"/>
  <c r="E2523" i="212"/>
  <c r="D2523" i="212"/>
  <c r="C2523" i="212"/>
  <c r="BE2522" i="212"/>
  <c r="BC2522" i="212"/>
  <c r="I2522" i="212"/>
  <c r="H2522" i="212"/>
  <c r="E2522" i="212"/>
  <c r="D2522" i="212"/>
  <c r="C2522" i="212"/>
  <c r="BE2521" i="212"/>
  <c r="BC2521" i="212"/>
  <c r="I2521" i="212"/>
  <c r="H2521" i="212"/>
  <c r="E2521" i="212"/>
  <c r="D2521" i="212"/>
  <c r="C2521" i="212"/>
  <c r="BE2520" i="212"/>
  <c r="BC2520" i="212"/>
  <c r="I2520" i="212"/>
  <c r="H2520" i="212"/>
  <c r="E2520" i="212"/>
  <c r="D2520" i="212"/>
  <c r="C2520" i="212"/>
  <c r="BE2519" i="212"/>
  <c r="BC2519" i="212"/>
  <c r="I2519" i="212"/>
  <c r="H2519" i="212"/>
  <c r="E2519" i="212"/>
  <c r="D2519" i="212"/>
  <c r="C2519" i="212"/>
  <c r="BE2518" i="212"/>
  <c r="BC2518" i="212"/>
  <c r="I2518" i="212"/>
  <c r="H2518" i="212"/>
  <c r="E2518" i="212"/>
  <c r="D2518" i="212"/>
  <c r="C2518" i="212"/>
  <c r="BE2517" i="212"/>
  <c r="BC2517" i="212"/>
  <c r="BA2517" i="212"/>
  <c r="I2517" i="212"/>
  <c r="H2517" i="212"/>
  <c r="E2517" i="212"/>
  <c r="D2517" i="212"/>
  <c r="C2517" i="212"/>
  <c r="BE2516" i="212"/>
  <c r="BC2516" i="212"/>
  <c r="I2516" i="212"/>
  <c r="H2516" i="212"/>
  <c r="E2516" i="212"/>
  <c r="D2516" i="212"/>
  <c r="C2516" i="212"/>
  <c r="BE2515" i="212"/>
  <c r="BC2515" i="212"/>
  <c r="I2515" i="212"/>
  <c r="H2515" i="212"/>
  <c r="E2515" i="212"/>
  <c r="D2515" i="212"/>
  <c r="C2515" i="212"/>
  <c r="BE2514" i="212"/>
  <c r="BD2514" i="212"/>
  <c r="BC2514" i="212"/>
  <c r="BA2514" i="212"/>
  <c r="I2514" i="212"/>
  <c r="H2514" i="212"/>
  <c r="E2514" i="212"/>
  <c r="D2514" i="212"/>
  <c r="C2514" i="212"/>
  <c r="BE2513" i="212"/>
  <c r="BC2513" i="212"/>
  <c r="I2513" i="212"/>
  <c r="H2513" i="212"/>
  <c r="E2513" i="212"/>
  <c r="D2513" i="212"/>
  <c r="C2513" i="212"/>
  <c r="BE2512" i="212"/>
  <c r="BC2512" i="212"/>
  <c r="I2512" i="212"/>
  <c r="H2512" i="212"/>
  <c r="E2512" i="212"/>
  <c r="D2512" i="212"/>
  <c r="C2512" i="212"/>
  <c r="BE2511" i="212"/>
  <c r="BC2511" i="212"/>
  <c r="I2511" i="212"/>
  <c r="H2511" i="212"/>
  <c r="E2511" i="212"/>
  <c r="D2511" i="212"/>
  <c r="C2511" i="212"/>
  <c r="BE2510" i="212"/>
  <c r="BC2510" i="212"/>
  <c r="I2510" i="212"/>
  <c r="H2510" i="212"/>
  <c r="E2510" i="212"/>
  <c r="D2510" i="212"/>
  <c r="C2510" i="212"/>
  <c r="BE2509" i="212"/>
  <c r="BC2509" i="212"/>
  <c r="I2509" i="212"/>
  <c r="H2509" i="212"/>
  <c r="E2509" i="212"/>
  <c r="D2509" i="212"/>
  <c r="C2509" i="212"/>
  <c r="BE2508" i="212"/>
  <c r="BC2508" i="212"/>
  <c r="I2508" i="212"/>
  <c r="H2508" i="212"/>
  <c r="E2508" i="212"/>
  <c r="D2508" i="212"/>
  <c r="C2508" i="212"/>
  <c r="BE2507" i="212"/>
  <c r="BC2507" i="212"/>
  <c r="I2507" i="212"/>
  <c r="H2507" i="212"/>
  <c r="E2507" i="212"/>
  <c r="D2507" i="212"/>
  <c r="C2507" i="212"/>
  <c r="BE2506" i="212"/>
  <c r="BC2506" i="212"/>
  <c r="I2506" i="212"/>
  <c r="H2506" i="212"/>
  <c r="E2506" i="212"/>
  <c r="D2506" i="212"/>
  <c r="C2506" i="212"/>
  <c r="BE2505" i="212"/>
  <c r="BC2505" i="212"/>
  <c r="I2505" i="212"/>
  <c r="H2505" i="212"/>
  <c r="E2505" i="212"/>
  <c r="D2505" i="212"/>
  <c r="C2505" i="212"/>
  <c r="BE2504" i="212"/>
  <c r="BC2504" i="212"/>
  <c r="I2504" i="212"/>
  <c r="H2504" i="212"/>
  <c r="E2504" i="212"/>
  <c r="D2504" i="212"/>
  <c r="C2504" i="212"/>
  <c r="BE2503" i="212"/>
  <c r="BC2503" i="212"/>
  <c r="I2503" i="212"/>
  <c r="H2503" i="212"/>
  <c r="E2503" i="212"/>
  <c r="D2503" i="212"/>
  <c r="C2503" i="212"/>
  <c r="BE2502" i="212"/>
  <c r="BC2502" i="212"/>
  <c r="I2502" i="212"/>
  <c r="H2502" i="212"/>
  <c r="E2502" i="212"/>
  <c r="D2502" i="212"/>
  <c r="C2502" i="212"/>
  <c r="BE2501" i="212"/>
  <c r="BC2501" i="212"/>
  <c r="I2501" i="212"/>
  <c r="H2501" i="212"/>
  <c r="E2501" i="212"/>
  <c r="D2501" i="212"/>
  <c r="C2501" i="212"/>
  <c r="BE2500" i="212"/>
  <c r="BC2500" i="212"/>
  <c r="BA2500" i="212"/>
  <c r="I2500" i="212"/>
  <c r="H2500" i="212"/>
  <c r="E2500" i="212"/>
  <c r="D2500" i="212"/>
  <c r="C2500" i="212"/>
  <c r="BE2499" i="212"/>
  <c r="BC2499" i="212"/>
  <c r="I2499" i="212"/>
  <c r="H2499" i="212"/>
  <c r="E2499" i="212"/>
  <c r="D2499" i="212"/>
  <c r="C2499" i="212"/>
  <c r="BE2498" i="212"/>
  <c r="BC2498" i="212"/>
  <c r="I2498" i="212"/>
  <c r="H2498" i="212"/>
  <c r="E2498" i="212"/>
  <c r="D2498" i="212"/>
  <c r="C2498" i="212"/>
  <c r="BE2497" i="212"/>
  <c r="BC2497" i="212"/>
  <c r="I2497" i="212"/>
  <c r="H2497" i="212"/>
  <c r="E2497" i="212"/>
  <c r="D2497" i="212"/>
  <c r="C2497" i="212"/>
  <c r="BE2496" i="212"/>
  <c r="BC2496" i="212"/>
  <c r="I2496" i="212"/>
  <c r="H2496" i="212"/>
  <c r="E2496" i="212"/>
  <c r="D2496" i="212"/>
  <c r="C2496" i="212"/>
  <c r="BE2495" i="212"/>
  <c r="BC2495" i="212"/>
  <c r="I2495" i="212"/>
  <c r="H2495" i="212"/>
  <c r="E2495" i="212"/>
  <c r="D2495" i="212"/>
  <c r="C2495" i="212"/>
  <c r="BE2494" i="212"/>
  <c r="BC2494" i="212"/>
  <c r="I2494" i="212"/>
  <c r="H2494" i="212"/>
  <c r="E2494" i="212"/>
  <c r="D2494" i="212"/>
  <c r="C2494" i="212"/>
  <c r="BE2493" i="212"/>
  <c r="BC2493" i="212"/>
  <c r="I2493" i="212"/>
  <c r="H2493" i="212"/>
  <c r="E2493" i="212"/>
  <c r="D2493" i="212"/>
  <c r="C2493" i="212"/>
  <c r="BE2492" i="212"/>
  <c r="BC2492" i="212"/>
  <c r="I2492" i="212"/>
  <c r="H2492" i="212"/>
  <c r="E2492" i="212"/>
  <c r="D2492" i="212"/>
  <c r="C2492" i="212"/>
  <c r="BE2491" i="212"/>
  <c r="BC2491" i="212"/>
  <c r="I2491" i="212"/>
  <c r="H2491" i="212"/>
  <c r="E2491" i="212"/>
  <c r="D2491" i="212"/>
  <c r="C2491" i="212"/>
  <c r="BE2490" i="212"/>
  <c r="BC2490" i="212"/>
  <c r="I2490" i="212"/>
  <c r="H2490" i="212"/>
  <c r="E2490" i="212"/>
  <c r="D2490" i="212"/>
  <c r="C2490" i="212"/>
  <c r="BE2489" i="212"/>
  <c r="BC2489" i="212"/>
  <c r="I2489" i="212"/>
  <c r="H2489" i="212"/>
  <c r="E2489" i="212"/>
  <c r="D2489" i="212"/>
  <c r="C2489" i="212"/>
  <c r="BE2488" i="212"/>
  <c r="BC2488" i="212"/>
  <c r="I2488" i="212"/>
  <c r="H2488" i="212"/>
  <c r="E2488" i="212"/>
  <c r="D2488" i="212"/>
  <c r="C2488" i="212"/>
  <c r="BE2487" i="212"/>
  <c r="BC2487" i="212"/>
  <c r="I2487" i="212"/>
  <c r="H2487" i="212"/>
  <c r="E2487" i="212"/>
  <c r="D2487" i="212"/>
  <c r="C2487" i="212"/>
  <c r="BE2486" i="212"/>
  <c r="BC2486" i="212"/>
  <c r="I2486" i="212"/>
  <c r="H2486" i="212"/>
  <c r="E2486" i="212"/>
  <c r="D2486" i="212"/>
  <c r="C2486" i="212"/>
  <c r="BE2485" i="212"/>
  <c r="BC2485" i="212"/>
  <c r="I2485" i="212"/>
  <c r="H2485" i="212"/>
  <c r="E2485" i="212"/>
  <c r="D2485" i="212"/>
  <c r="C2485" i="212"/>
  <c r="BE2484" i="212"/>
  <c r="BC2484" i="212"/>
  <c r="I2484" i="212"/>
  <c r="H2484" i="212"/>
  <c r="E2484" i="212"/>
  <c r="D2484" i="212"/>
  <c r="C2484" i="212"/>
  <c r="BE2483" i="212"/>
  <c r="BC2483" i="212"/>
  <c r="I2483" i="212"/>
  <c r="H2483" i="212"/>
  <c r="E2483" i="212"/>
  <c r="D2483" i="212"/>
  <c r="C2483" i="212"/>
  <c r="BE2482" i="212"/>
  <c r="BC2482" i="212"/>
  <c r="I2482" i="212"/>
  <c r="H2482" i="212"/>
  <c r="E2482" i="212"/>
  <c r="D2482" i="212"/>
  <c r="C2482" i="212"/>
  <c r="BE2481" i="212"/>
  <c r="BC2481" i="212"/>
  <c r="BA2481" i="212"/>
  <c r="I2481" i="212"/>
  <c r="H2481" i="212"/>
  <c r="E2481" i="212"/>
  <c r="D2481" i="212"/>
  <c r="C2481" i="212"/>
  <c r="BE2480" i="212"/>
  <c r="BC2480" i="212"/>
  <c r="I2480" i="212"/>
  <c r="H2480" i="212"/>
  <c r="E2480" i="212"/>
  <c r="D2480" i="212"/>
  <c r="C2480" i="212"/>
  <c r="BE2479" i="212"/>
  <c r="BC2479" i="212"/>
  <c r="I2479" i="212"/>
  <c r="H2479" i="212"/>
  <c r="E2479" i="212"/>
  <c r="D2479" i="212"/>
  <c r="C2479" i="212"/>
  <c r="BE2478" i="212"/>
  <c r="BC2478" i="212"/>
  <c r="I2478" i="212"/>
  <c r="H2478" i="212"/>
  <c r="E2478" i="212"/>
  <c r="D2478" i="212"/>
  <c r="C2478" i="212"/>
  <c r="BE2477" i="212"/>
  <c r="BC2477" i="212"/>
  <c r="I2477" i="212"/>
  <c r="H2477" i="212"/>
  <c r="E2477" i="212"/>
  <c r="D2477" i="212"/>
  <c r="C2477" i="212"/>
  <c r="BE2476" i="212"/>
  <c r="BC2476" i="212"/>
  <c r="I2476" i="212"/>
  <c r="H2476" i="212"/>
  <c r="E2476" i="212"/>
  <c r="D2476" i="212"/>
  <c r="C2476" i="212"/>
  <c r="BE2475" i="212"/>
  <c r="BC2475" i="212"/>
  <c r="I2475" i="212"/>
  <c r="H2475" i="212"/>
  <c r="E2475" i="212"/>
  <c r="D2475" i="212"/>
  <c r="C2475" i="212"/>
  <c r="BE2474" i="212"/>
  <c r="BC2474" i="212"/>
  <c r="I2474" i="212"/>
  <c r="H2474" i="212"/>
  <c r="E2474" i="212"/>
  <c r="D2474" i="212"/>
  <c r="C2474" i="212"/>
  <c r="BE2473" i="212"/>
  <c r="BC2473" i="212"/>
  <c r="I2473" i="212"/>
  <c r="H2473" i="212"/>
  <c r="E2473" i="212"/>
  <c r="D2473" i="212"/>
  <c r="C2473" i="212"/>
  <c r="BE2472" i="212"/>
  <c r="BC2472" i="212"/>
  <c r="I2472" i="212"/>
  <c r="H2472" i="212"/>
  <c r="E2472" i="212"/>
  <c r="D2472" i="212"/>
  <c r="C2472" i="212"/>
  <c r="BE2471" i="212"/>
  <c r="BC2471" i="212"/>
  <c r="I2471" i="212"/>
  <c r="H2471" i="212"/>
  <c r="E2471" i="212"/>
  <c r="D2471" i="212"/>
  <c r="C2471" i="212"/>
  <c r="BE2470" i="212"/>
  <c r="BC2470" i="212"/>
  <c r="I2470" i="212"/>
  <c r="H2470" i="212"/>
  <c r="E2470" i="212"/>
  <c r="D2470" i="212"/>
  <c r="C2470" i="212"/>
  <c r="BE2469" i="212"/>
  <c r="BC2469" i="212"/>
  <c r="I2469" i="212"/>
  <c r="H2469" i="212"/>
  <c r="E2469" i="212"/>
  <c r="D2469" i="212"/>
  <c r="C2469" i="212"/>
  <c r="BE2468" i="212"/>
  <c r="BC2468" i="212"/>
  <c r="BA2468" i="212"/>
  <c r="I2468" i="212"/>
  <c r="H2468" i="212"/>
  <c r="E2468" i="212"/>
  <c r="D2468" i="212"/>
  <c r="C2468" i="212"/>
  <c r="BE2467" i="212"/>
  <c r="BC2467" i="212"/>
  <c r="I2467" i="212"/>
  <c r="H2467" i="212"/>
  <c r="E2467" i="212"/>
  <c r="D2467" i="212"/>
  <c r="C2467" i="212"/>
  <c r="BE2466" i="212"/>
  <c r="BC2466" i="212"/>
  <c r="BA2466" i="212"/>
  <c r="I2466" i="212"/>
  <c r="H2466" i="212"/>
  <c r="E2466" i="212"/>
  <c r="D2466" i="212"/>
  <c r="C2466" i="212"/>
  <c r="BE2465" i="212"/>
  <c r="BC2465" i="212"/>
  <c r="I2465" i="212"/>
  <c r="H2465" i="212"/>
  <c r="E2465" i="212"/>
  <c r="D2465" i="212"/>
  <c r="C2465" i="212"/>
  <c r="BE2464" i="212"/>
  <c r="BC2464" i="212"/>
  <c r="I2464" i="212"/>
  <c r="H2464" i="212"/>
  <c r="E2464" i="212"/>
  <c r="D2464" i="212"/>
  <c r="C2464" i="212"/>
  <c r="BE2463" i="212"/>
  <c r="BC2463" i="212"/>
  <c r="I2463" i="212"/>
  <c r="H2463" i="212"/>
  <c r="E2463" i="212"/>
  <c r="D2463" i="212"/>
  <c r="C2463" i="212"/>
  <c r="BE2462" i="212"/>
  <c r="BC2462" i="212"/>
  <c r="I2462" i="212"/>
  <c r="H2462" i="212"/>
  <c r="E2462" i="212"/>
  <c r="D2462" i="212"/>
  <c r="C2462" i="212"/>
  <c r="BE2461" i="212"/>
  <c r="BC2461" i="212"/>
  <c r="I2461" i="212"/>
  <c r="H2461" i="212"/>
  <c r="E2461" i="212"/>
  <c r="D2461" i="212"/>
  <c r="C2461" i="212"/>
  <c r="BE2460" i="212"/>
  <c r="BC2460" i="212"/>
  <c r="I2460" i="212"/>
  <c r="H2460" i="212"/>
  <c r="E2460" i="212"/>
  <c r="D2460" i="212"/>
  <c r="C2460" i="212"/>
  <c r="BE2459" i="212"/>
  <c r="BC2459" i="212"/>
  <c r="I2459" i="212"/>
  <c r="H2459" i="212"/>
  <c r="E2459" i="212"/>
  <c r="D2459" i="212"/>
  <c r="C2459" i="212"/>
  <c r="BE2458" i="212"/>
  <c r="BC2458" i="212"/>
  <c r="I2458" i="212"/>
  <c r="H2458" i="212"/>
  <c r="E2458" i="212"/>
  <c r="D2458" i="212"/>
  <c r="C2458" i="212"/>
  <c r="BE2457" i="212"/>
  <c r="BC2457" i="212"/>
  <c r="I2457" i="212"/>
  <c r="H2457" i="212"/>
  <c r="E2457" i="212"/>
  <c r="D2457" i="212"/>
  <c r="C2457" i="212"/>
  <c r="BE2456" i="212"/>
  <c r="BC2456" i="212"/>
  <c r="I2456" i="212"/>
  <c r="H2456" i="212"/>
  <c r="E2456" i="212"/>
  <c r="D2456" i="212"/>
  <c r="C2456" i="212"/>
  <c r="BE2455" i="212"/>
  <c r="BC2455" i="212"/>
  <c r="I2455" i="212"/>
  <c r="H2455" i="212"/>
  <c r="E2455" i="212"/>
  <c r="D2455" i="212"/>
  <c r="C2455" i="212"/>
  <c r="BE2454" i="212"/>
  <c r="BC2454" i="212"/>
  <c r="I2454" i="212"/>
  <c r="H2454" i="212"/>
  <c r="E2454" i="212"/>
  <c r="D2454" i="212"/>
  <c r="C2454" i="212"/>
  <c r="BE2453" i="212"/>
  <c r="BC2453" i="212"/>
  <c r="I2453" i="212"/>
  <c r="H2453" i="212"/>
  <c r="E2453" i="212"/>
  <c r="D2453" i="212"/>
  <c r="C2453" i="212"/>
  <c r="BE2452" i="212"/>
  <c r="BC2452" i="212"/>
  <c r="BA2452" i="212"/>
  <c r="I2452" i="212"/>
  <c r="H2452" i="212"/>
  <c r="E2452" i="212"/>
  <c r="D2452" i="212"/>
  <c r="C2452" i="212"/>
  <c r="BE2451" i="212"/>
  <c r="BC2451" i="212"/>
  <c r="I2451" i="212"/>
  <c r="H2451" i="212"/>
  <c r="E2451" i="212"/>
  <c r="D2451" i="212"/>
  <c r="C2451" i="212"/>
  <c r="BE2450" i="212"/>
  <c r="BC2450" i="212"/>
  <c r="I2450" i="212"/>
  <c r="H2450" i="212"/>
  <c r="E2450" i="212"/>
  <c r="D2450" i="212"/>
  <c r="C2450" i="212"/>
  <c r="BE2449" i="212"/>
  <c r="BC2449" i="212"/>
  <c r="I2449" i="212"/>
  <c r="H2449" i="212"/>
  <c r="E2449" i="212"/>
  <c r="D2449" i="212"/>
  <c r="C2449" i="212"/>
  <c r="BE2448" i="212"/>
  <c r="BC2448" i="212"/>
  <c r="I2448" i="212"/>
  <c r="H2448" i="212"/>
  <c r="E2448" i="212"/>
  <c r="D2448" i="212"/>
  <c r="C2448" i="212"/>
  <c r="BE2447" i="212"/>
  <c r="BC2447" i="212"/>
  <c r="I2447" i="212"/>
  <c r="H2447" i="212"/>
  <c r="E2447" i="212"/>
  <c r="D2447" i="212"/>
  <c r="C2447" i="212"/>
  <c r="BE2446" i="212"/>
  <c r="BC2446" i="212"/>
  <c r="I2446" i="212"/>
  <c r="H2446" i="212"/>
  <c r="E2446" i="212"/>
  <c r="D2446" i="212"/>
  <c r="C2446" i="212"/>
  <c r="BE2445" i="212"/>
  <c r="BC2445" i="212"/>
  <c r="I2445" i="212"/>
  <c r="H2445" i="212"/>
  <c r="E2445" i="212"/>
  <c r="D2445" i="212"/>
  <c r="C2445" i="212"/>
  <c r="BE2444" i="212"/>
  <c r="BC2444" i="212"/>
  <c r="I2444" i="212"/>
  <c r="H2444" i="212"/>
  <c r="E2444" i="212"/>
  <c r="D2444" i="212"/>
  <c r="C2444" i="212"/>
  <c r="BE2443" i="212"/>
  <c r="BC2443" i="212"/>
  <c r="BA2443" i="212"/>
  <c r="I2443" i="212"/>
  <c r="H2443" i="212"/>
  <c r="E2443" i="212"/>
  <c r="D2443" i="212"/>
  <c r="C2443" i="212"/>
  <c r="BE2442" i="212"/>
  <c r="BC2442" i="212"/>
  <c r="I2442" i="212"/>
  <c r="H2442" i="212"/>
  <c r="E2442" i="212"/>
  <c r="D2442" i="212"/>
  <c r="C2442" i="212"/>
  <c r="BE2441" i="212"/>
  <c r="BC2441" i="212"/>
  <c r="I2441" i="212"/>
  <c r="H2441" i="212"/>
  <c r="E2441" i="212"/>
  <c r="D2441" i="212"/>
  <c r="C2441" i="212"/>
  <c r="BE2440" i="212"/>
  <c r="BC2440" i="212"/>
  <c r="I2440" i="212"/>
  <c r="H2440" i="212"/>
  <c r="E2440" i="212"/>
  <c r="D2440" i="212"/>
  <c r="C2440" i="212"/>
  <c r="BE2439" i="212"/>
  <c r="BC2439" i="212"/>
  <c r="I2439" i="212"/>
  <c r="H2439" i="212"/>
  <c r="E2439" i="212"/>
  <c r="D2439" i="212"/>
  <c r="C2439" i="212"/>
  <c r="BE2438" i="212"/>
  <c r="BC2438" i="212"/>
  <c r="BA2438" i="212"/>
  <c r="I2438" i="212"/>
  <c r="H2438" i="212"/>
  <c r="E2438" i="212"/>
  <c r="D2438" i="212"/>
  <c r="C2438" i="212"/>
  <c r="BE2437" i="212"/>
  <c r="BC2437" i="212"/>
  <c r="I2437" i="212"/>
  <c r="H2437" i="212"/>
  <c r="E2437" i="212"/>
  <c r="D2437" i="212"/>
  <c r="C2437" i="212"/>
  <c r="BE2436" i="212"/>
  <c r="BC2436" i="212"/>
  <c r="I2436" i="212"/>
  <c r="H2436" i="212"/>
  <c r="E2436" i="212"/>
  <c r="D2436" i="212"/>
  <c r="C2436" i="212"/>
  <c r="BE2435" i="212"/>
  <c r="BC2435" i="212"/>
  <c r="I2435" i="212"/>
  <c r="H2435" i="212"/>
  <c r="E2435" i="212"/>
  <c r="D2435" i="212"/>
  <c r="C2435" i="212"/>
  <c r="BE2434" i="212"/>
  <c r="BC2434" i="212"/>
  <c r="I2434" i="212"/>
  <c r="H2434" i="212"/>
  <c r="E2434" i="212"/>
  <c r="D2434" i="212"/>
  <c r="C2434" i="212"/>
  <c r="BE2433" i="212"/>
  <c r="BC2433" i="212"/>
  <c r="I2433" i="212"/>
  <c r="H2433" i="212"/>
  <c r="E2433" i="212"/>
  <c r="D2433" i="212"/>
  <c r="C2433" i="212"/>
  <c r="BE2432" i="212"/>
  <c r="BD2432" i="212"/>
  <c r="BC2432" i="212"/>
  <c r="BA2432" i="212"/>
  <c r="I2432" i="212"/>
  <c r="H2432" i="212"/>
  <c r="E2432" i="212"/>
  <c r="D2432" i="212"/>
  <c r="C2432" i="212"/>
  <c r="BE2431" i="212"/>
  <c r="BC2431" i="212"/>
  <c r="I2431" i="212"/>
  <c r="H2431" i="212"/>
  <c r="E2431" i="212"/>
  <c r="D2431" i="212"/>
  <c r="C2431" i="212"/>
  <c r="BE2430" i="212"/>
  <c r="BC2430" i="212"/>
  <c r="I2430" i="212"/>
  <c r="H2430" i="212"/>
  <c r="E2430" i="212"/>
  <c r="D2430" i="212"/>
  <c r="C2430" i="212"/>
  <c r="BE2429" i="212"/>
  <c r="BC2429" i="212"/>
  <c r="I2429" i="212"/>
  <c r="H2429" i="212"/>
  <c r="E2429" i="212"/>
  <c r="D2429" i="212"/>
  <c r="C2429" i="212"/>
  <c r="BE2428" i="212"/>
  <c r="BC2428" i="212"/>
  <c r="I2428" i="212"/>
  <c r="H2428" i="212"/>
  <c r="E2428" i="212"/>
  <c r="D2428" i="212"/>
  <c r="C2428" i="212"/>
  <c r="BE2427" i="212"/>
  <c r="BC2427" i="212"/>
  <c r="I2427" i="212"/>
  <c r="H2427" i="212"/>
  <c r="E2427" i="212"/>
  <c r="D2427" i="212"/>
  <c r="C2427" i="212"/>
  <c r="BE2426" i="212"/>
  <c r="BC2426" i="212"/>
  <c r="I2426" i="212"/>
  <c r="H2426" i="212"/>
  <c r="E2426" i="212"/>
  <c r="D2426" i="212"/>
  <c r="C2426" i="212"/>
  <c r="BE2425" i="212"/>
  <c r="BC2425" i="212"/>
  <c r="I2425" i="212"/>
  <c r="H2425" i="212"/>
  <c r="E2425" i="212"/>
  <c r="D2425" i="212"/>
  <c r="C2425" i="212"/>
  <c r="BE2424" i="212"/>
  <c r="BD2424" i="212"/>
  <c r="BC2424" i="212"/>
  <c r="BA2424" i="212"/>
  <c r="I2424" i="212"/>
  <c r="H2424" i="212"/>
  <c r="E2424" i="212"/>
  <c r="D2424" i="212"/>
  <c r="C2424" i="212"/>
  <c r="BE2423" i="212"/>
  <c r="BC2423" i="212"/>
  <c r="I2423" i="212"/>
  <c r="H2423" i="212"/>
  <c r="E2423" i="212"/>
  <c r="D2423" i="212"/>
  <c r="C2423" i="212"/>
  <c r="BE2422" i="212"/>
  <c r="BC2422" i="212"/>
  <c r="BA2422" i="212"/>
  <c r="I2422" i="212"/>
  <c r="H2422" i="212"/>
  <c r="E2422" i="212"/>
  <c r="D2422" i="212"/>
  <c r="C2422" i="212"/>
  <c r="BE2421" i="212"/>
  <c r="BC2421" i="212"/>
  <c r="I2421" i="212"/>
  <c r="H2421" i="212"/>
  <c r="E2421" i="212"/>
  <c r="D2421" i="212"/>
  <c r="C2421" i="212"/>
  <c r="BE2420" i="212"/>
  <c r="BC2420" i="212"/>
  <c r="I2420" i="212"/>
  <c r="H2420" i="212"/>
  <c r="E2420" i="212"/>
  <c r="D2420" i="212"/>
  <c r="C2420" i="212"/>
  <c r="BE2419" i="212"/>
  <c r="BC2419" i="212"/>
  <c r="I2419" i="212"/>
  <c r="H2419" i="212"/>
  <c r="E2419" i="212"/>
  <c r="D2419" i="212"/>
  <c r="C2419" i="212"/>
  <c r="BE2418" i="212"/>
  <c r="BC2418" i="212"/>
  <c r="I2418" i="212"/>
  <c r="H2418" i="212"/>
  <c r="E2418" i="212"/>
  <c r="D2418" i="212"/>
  <c r="C2418" i="212"/>
  <c r="BE2417" i="212"/>
  <c r="BC2417" i="212"/>
  <c r="I2417" i="212"/>
  <c r="H2417" i="212"/>
  <c r="E2417" i="212"/>
  <c r="D2417" i="212"/>
  <c r="C2417" i="212"/>
  <c r="BE2416" i="212"/>
  <c r="BC2416" i="212"/>
  <c r="I2416" i="212"/>
  <c r="H2416" i="212"/>
  <c r="E2416" i="212"/>
  <c r="D2416" i="212"/>
  <c r="C2416" i="212"/>
  <c r="BE2415" i="212"/>
  <c r="BC2415" i="212"/>
  <c r="I2415" i="212"/>
  <c r="H2415" i="212"/>
  <c r="E2415" i="212"/>
  <c r="D2415" i="212"/>
  <c r="C2415" i="212"/>
  <c r="BE2414" i="212"/>
  <c r="BC2414" i="212"/>
  <c r="I2414" i="212"/>
  <c r="H2414" i="212"/>
  <c r="E2414" i="212"/>
  <c r="D2414" i="212"/>
  <c r="C2414" i="212"/>
  <c r="BE2413" i="212"/>
  <c r="BC2413" i="212"/>
  <c r="I2413" i="212"/>
  <c r="H2413" i="212"/>
  <c r="E2413" i="212"/>
  <c r="D2413" i="212"/>
  <c r="C2413" i="212"/>
  <c r="BE2412" i="212"/>
  <c r="BC2412" i="212"/>
  <c r="I2412" i="212"/>
  <c r="H2412" i="212"/>
  <c r="E2412" i="212"/>
  <c r="D2412" i="212"/>
  <c r="C2412" i="212"/>
  <c r="BE2411" i="212"/>
  <c r="BC2411" i="212"/>
  <c r="I2411" i="212"/>
  <c r="H2411" i="212"/>
  <c r="E2411" i="212"/>
  <c r="D2411" i="212"/>
  <c r="C2411" i="212"/>
  <c r="BE2410" i="212"/>
  <c r="BC2410" i="212"/>
  <c r="I2410" i="212"/>
  <c r="H2410" i="212"/>
  <c r="E2410" i="212"/>
  <c r="D2410" i="212"/>
  <c r="C2410" i="212"/>
  <c r="BE2409" i="212"/>
  <c r="BC2409" i="212"/>
  <c r="I2409" i="212"/>
  <c r="H2409" i="212"/>
  <c r="E2409" i="212"/>
  <c r="D2409" i="212"/>
  <c r="C2409" i="212"/>
  <c r="BE2408" i="212"/>
  <c r="BC2408" i="212"/>
  <c r="I2408" i="212"/>
  <c r="H2408" i="212"/>
  <c r="E2408" i="212"/>
  <c r="D2408" i="212"/>
  <c r="C2408" i="212"/>
  <c r="BE2407" i="212"/>
  <c r="BC2407" i="212"/>
  <c r="I2407" i="212"/>
  <c r="H2407" i="212"/>
  <c r="E2407" i="212"/>
  <c r="D2407" i="212"/>
  <c r="C2407" i="212"/>
  <c r="BE2406" i="212"/>
  <c r="BD2406" i="212"/>
  <c r="BC2406" i="212"/>
  <c r="BA2406" i="212"/>
  <c r="I2406" i="212"/>
  <c r="H2406" i="212"/>
  <c r="E2406" i="212"/>
  <c r="D2406" i="212"/>
  <c r="C2406" i="212"/>
  <c r="BE2405" i="212"/>
  <c r="BC2405" i="212"/>
  <c r="I2405" i="212"/>
  <c r="H2405" i="212"/>
  <c r="E2405" i="212"/>
  <c r="D2405" i="212"/>
  <c r="C2405" i="212"/>
  <c r="BE2404" i="212"/>
  <c r="BC2404" i="212"/>
  <c r="I2404" i="212"/>
  <c r="H2404" i="212"/>
  <c r="E2404" i="212"/>
  <c r="D2404" i="212"/>
  <c r="C2404" i="212"/>
  <c r="BE2403" i="212"/>
  <c r="BC2403" i="212"/>
  <c r="I2403" i="212"/>
  <c r="H2403" i="212"/>
  <c r="E2403" i="212"/>
  <c r="D2403" i="212"/>
  <c r="C2403" i="212"/>
  <c r="BE2402" i="212"/>
  <c r="BC2402" i="212"/>
  <c r="I2402" i="212"/>
  <c r="H2402" i="212"/>
  <c r="E2402" i="212"/>
  <c r="D2402" i="212"/>
  <c r="C2402" i="212"/>
  <c r="BE2401" i="212"/>
  <c r="BC2401" i="212"/>
  <c r="I2401" i="212"/>
  <c r="H2401" i="212"/>
  <c r="E2401" i="212"/>
  <c r="D2401" i="212"/>
  <c r="C2401" i="212"/>
  <c r="BE2400" i="212"/>
  <c r="BC2400" i="212"/>
  <c r="I2400" i="212"/>
  <c r="H2400" i="212"/>
  <c r="E2400" i="212"/>
  <c r="D2400" i="212"/>
  <c r="C2400" i="212"/>
  <c r="BE2399" i="212"/>
  <c r="BC2399" i="212"/>
  <c r="I2399" i="212"/>
  <c r="H2399" i="212"/>
  <c r="E2399" i="212"/>
  <c r="D2399" i="212"/>
  <c r="C2399" i="212"/>
  <c r="BE2398" i="212"/>
  <c r="BC2398" i="212"/>
  <c r="I2398" i="212"/>
  <c r="H2398" i="212"/>
  <c r="E2398" i="212"/>
  <c r="D2398" i="212"/>
  <c r="C2398" i="212"/>
  <c r="BE2397" i="212"/>
  <c r="BD2397" i="212"/>
  <c r="BC2397" i="212"/>
  <c r="BA2397" i="212"/>
  <c r="I2397" i="212"/>
  <c r="H2397" i="212"/>
  <c r="E2397" i="212"/>
  <c r="D2397" i="212"/>
  <c r="C2397" i="212"/>
  <c r="BE2396" i="212"/>
  <c r="BC2396" i="212"/>
  <c r="I2396" i="212"/>
  <c r="H2396" i="212"/>
  <c r="E2396" i="212"/>
  <c r="D2396" i="212"/>
  <c r="C2396" i="212"/>
  <c r="BE2395" i="212"/>
  <c r="BC2395" i="212"/>
  <c r="I2395" i="212"/>
  <c r="H2395" i="212"/>
  <c r="E2395" i="212"/>
  <c r="D2395" i="212"/>
  <c r="C2395" i="212"/>
  <c r="BE2394" i="212"/>
  <c r="BC2394" i="212"/>
  <c r="I2394" i="212"/>
  <c r="H2394" i="212"/>
  <c r="E2394" i="212"/>
  <c r="D2394" i="212"/>
  <c r="C2394" i="212"/>
  <c r="BE2393" i="212"/>
  <c r="BC2393" i="212"/>
  <c r="I2393" i="212"/>
  <c r="H2393" i="212"/>
  <c r="E2393" i="212"/>
  <c r="D2393" i="212"/>
  <c r="C2393" i="212"/>
  <c r="BE2392" i="212"/>
  <c r="BC2392" i="212"/>
  <c r="I2392" i="212"/>
  <c r="H2392" i="212"/>
  <c r="E2392" i="212"/>
  <c r="D2392" i="212"/>
  <c r="C2392" i="212"/>
  <c r="BE2391" i="212"/>
  <c r="BC2391" i="212"/>
  <c r="I2391" i="212"/>
  <c r="H2391" i="212"/>
  <c r="E2391" i="212"/>
  <c r="D2391" i="212"/>
  <c r="C2391" i="212"/>
  <c r="BE2390" i="212"/>
  <c r="BC2390" i="212"/>
  <c r="I2390" i="212"/>
  <c r="H2390" i="212"/>
  <c r="E2390" i="212"/>
  <c r="D2390" i="212"/>
  <c r="C2390" i="212"/>
  <c r="BE2389" i="212"/>
  <c r="BC2389" i="212"/>
  <c r="I2389" i="212"/>
  <c r="H2389" i="212"/>
  <c r="E2389" i="212"/>
  <c r="D2389" i="212"/>
  <c r="C2389" i="212"/>
  <c r="BE2388" i="212"/>
  <c r="BC2388" i="212"/>
  <c r="I2388" i="212"/>
  <c r="H2388" i="212"/>
  <c r="E2388" i="212"/>
  <c r="D2388" i="212"/>
  <c r="C2388" i="212"/>
  <c r="BE2387" i="212"/>
  <c r="BC2387" i="212"/>
  <c r="I2387" i="212"/>
  <c r="H2387" i="212"/>
  <c r="E2387" i="212"/>
  <c r="D2387" i="212"/>
  <c r="C2387" i="212"/>
  <c r="BE2386" i="212"/>
  <c r="BC2386" i="212"/>
  <c r="I2386" i="212"/>
  <c r="H2386" i="212"/>
  <c r="E2386" i="212"/>
  <c r="D2386" i="212"/>
  <c r="C2386" i="212"/>
  <c r="BE2385" i="212"/>
  <c r="BC2385" i="212"/>
  <c r="I2385" i="212"/>
  <c r="H2385" i="212"/>
  <c r="E2385" i="212"/>
  <c r="D2385" i="212"/>
  <c r="C2385" i="212"/>
  <c r="BE2384" i="212"/>
  <c r="BC2384" i="212"/>
  <c r="I2384" i="212"/>
  <c r="H2384" i="212"/>
  <c r="E2384" i="212"/>
  <c r="D2384" i="212"/>
  <c r="C2384" i="212"/>
  <c r="BE2383" i="212"/>
  <c r="BC2383" i="212"/>
  <c r="I2383" i="212"/>
  <c r="H2383" i="212"/>
  <c r="E2383" i="212"/>
  <c r="D2383" i="212"/>
  <c r="C2383" i="212"/>
  <c r="BE2382" i="212"/>
  <c r="BC2382" i="212"/>
  <c r="I2382" i="212"/>
  <c r="H2382" i="212"/>
  <c r="E2382" i="212"/>
  <c r="D2382" i="212"/>
  <c r="C2382" i="212"/>
  <c r="BE2381" i="212"/>
  <c r="BC2381" i="212"/>
  <c r="I2381" i="212"/>
  <c r="H2381" i="212"/>
  <c r="E2381" i="212"/>
  <c r="D2381" i="212"/>
  <c r="C2381" i="212"/>
  <c r="BE2380" i="212"/>
  <c r="BC2380" i="212"/>
  <c r="I2380" i="212"/>
  <c r="H2380" i="212"/>
  <c r="E2380" i="212"/>
  <c r="D2380" i="212"/>
  <c r="C2380" i="212"/>
  <c r="BE2379" i="212"/>
  <c r="BC2379" i="212"/>
  <c r="I2379" i="212"/>
  <c r="H2379" i="212"/>
  <c r="E2379" i="212"/>
  <c r="D2379" i="212"/>
  <c r="C2379" i="212"/>
  <c r="BE2378" i="212"/>
  <c r="BC2378" i="212"/>
  <c r="I2378" i="212"/>
  <c r="H2378" i="212"/>
  <c r="E2378" i="212"/>
  <c r="D2378" i="212"/>
  <c r="C2378" i="212"/>
  <c r="BE2377" i="212"/>
  <c r="BC2377" i="212"/>
  <c r="I2377" i="212"/>
  <c r="H2377" i="212"/>
  <c r="E2377" i="212"/>
  <c r="D2377" i="212"/>
  <c r="C2377" i="212"/>
  <c r="BE2376" i="212"/>
  <c r="BC2376" i="212"/>
  <c r="I2376" i="212"/>
  <c r="H2376" i="212"/>
  <c r="E2376" i="212"/>
  <c r="D2376" i="212"/>
  <c r="C2376" i="212"/>
  <c r="BE2375" i="212"/>
  <c r="BC2375" i="212"/>
  <c r="I2375" i="212"/>
  <c r="H2375" i="212"/>
  <c r="E2375" i="212"/>
  <c r="D2375" i="212"/>
  <c r="C2375" i="212"/>
  <c r="BE2374" i="212"/>
  <c r="BC2374" i="212"/>
  <c r="BA2374" i="212"/>
  <c r="I2374" i="212"/>
  <c r="H2374" i="212"/>
  <c r="E2374" i="212"/>
  <c r="D2374" i="212"/>
  <c r="C2374" i="212"/>
  <c r="BE2373" i="212"/>
  <c r="BC2373" i="212"/>
  <c r="I2373" i="212"/>
  <c r="H2373" i="212"/>
  <c r="E2373" i="212"/>
  <c r="D2373" i="212"/>
  <c r="C2373" i="212"/>
  <c r="BE2372" i="212"/>
  <c r="BC2372" i="212"/>
  <c r="I2372" i="212"/>
  <c r="H2372" i="212"/>
  <c r="E2372" i="212"/>
  <c r="D2372" i="212"/>
  <c r="C2372" i="212"/>
  <c r="BE2371" i="212"/>
  <c r="BC2371" i="212"/>
  <c r="BA2371" i="212"/>
  <c r="I2371" i="212"/>
  <c r="H2371" i="212"/>
  <c r="E2371" i="212"/>
  <c r="D2371" i="212"/>
  <c r="C2371" i="212"/>
  <c r="BE2370" i="212"/>
  <c r="BC2370" i="212"/>
  <c r="I2370" i="212"/>
  <c r="H2370" i="212"/>
  <c r="E2370" i="212"/>
  <c r="D2370" i="212"/>
  <c r="C2370" i="212"/>
  <c r="BE2369" i="212"/>
  <c r="BC2369" i="212"/>
  <c r="I2369" i="212"/>
  <c r="H2369" i="212"/>
  <c r="E2369" i="212"/>
  <c r="D2369" i="212"/>
  <c r="C2369" i="212"/>
  <c r="BE2368" i="212"/>
  <c r="BC2368" i="212"/>
  <c r="I2368" i="212"/>
  <c r="H2368" i="212"/>
  <c r="E2368" i="212"/>
  <c r="D2368" i="212"/>
  <c r="C2368" i="212"/>
  <c r="BE2367" i="212"/>
  <c r="BC2367" i="212"/>
  <c r="I2367" i="212"/>
  <c r="H2367" i="212"/>
  <c r="E2367" i="212"/>
  <c r="D2367" i="212"/>
  <c r="C2367" i="212"/>
  <c r="BE2366" i="212"/>
  <c r="BD2366" i="212"/>
  <c r="BC2366" i="212"/>
  <c r="BA2366" i="212"/>
  <c r="I2366" i="212"/>
  <c r="H2366" i="212"/>
  <c r="E2366" i="212"/>
  <c r="D2366" i="212"/>
  <c r="C2366" i="212"/>
  <c r="BE2365" i="212"/>
  <c r="BC2365" i="212"/>
  <c r="I2365" i="212"/>
  <c r="H2365" i="212"/>
  <c r="E2365" i="212"/>
  <c r="D2365" i="212"/>
  <c r="C2365" i="212"/>
  <c r="BE2364" i="212"/>
  <c r="BC2364" i="212"/>
  <c r="I2364" i="212"/>
  <c r="H2364" i="212"/>
  <c r="E2364" i="212"/>
  <c r="D2364" i="212"/>
  <c r="C2364" i="212"/>
  <c r="BE2363" i="212"/>
  <c r="BC2363" i="212"/>
  <c r="I2363" i="212"/>
  <c r="H2363" i="212"/>
  <c r="E2363" i="212"/>
  <c r="D2363" i="212"/>
  <c r="C2363" i="212"/>
  <c r="BE2362" i="212"/>
  <c r="BC2362" i="212"/>
  <c r="I2362" i="212"/>
  <c r="H2362" i="212"/>
  <c r="E2362" i="212"/>
  <c r="D2362" i="212"/>
  <c r="C2362" i="212"/>
  <c r="BE2361" i="212"/>
  <c r="BC2361" i="212"/>
  <c r="I2361" i="212"/>
  <c r="H2361" i="212"/>
  <c r="E2361" i="212"/>
  <c r="D2361" i="212"/>
  <c r="C2361" i="212"/>
  <c r="BE2360" i="212"/>
  <c r="BC2360" i="212"/>
  <c r="I2360" i="212"/>
  <c r="H2360" i="212"/>
  <c r="E2360" i="212"/>
  <c r="D2360" i="212"/>
  <c r="C2360" i="212"/>
  <c r="BE2359" i="212"/>
  <c r="BC2359" i="212"/>
  <c r="I2359" i="212"/>
  <c r="H2359" i="212"/>
  <c r="E2359" i="212"/>
  <c r="D2359" i="212"/>
  <c r="C2359" i="212"/>
  <c r="BE2358" i="212"/>
  <c r="BC2358" i="212"/>
  <c r="I2358" i="212"/>
  <c r="H2358" i="212"/>
  <c r="E2358" i="212"/>
  <c r="D2358" i="212"/>
  <c r="C2358" i="212"/>
  <c r="BE2357" i="212"/>
  <c r="BC2357" i="212"/>
  <c r="I2357" i="212"/>
  <c r="H2357" i="212"/>
  <c r="E2357" i="212"/>
  <c r="D2357" i="212"/>
  <c r="C2357" i="212"/>
  <c r="BE2356" i="212"/>
  <c r="BC2356" i="212"/>
  <c r="BA2356" i="212"/>
  <c r="I2356" i="212"/>
  <c r="H2356" i="212"/>
  <c r="E2356" i="212"/>
  <c r="D2356" i="212"/>
  <c r="C2356" i="212"/>
  <c r="BE2355" i="212"/>
  <c r="BC2355" i="212"/>
  <c r="I2355" i="212"/>
  <c r="H2355" i="212"/>
  <c r="E2355" i="212"/>
  <c r="D2355" i="212"/>
  <c r="C2355" i="212"/>
  <c r="BE2354" i="212"/>
  <c r="BC2354" i="212"/>
  <c r="BA2354" i="212"/>
  <c r="I2354" i="212"/>
  <c r="H2354" i="212"/>
  <c r="E2354" i="212"/>
  <c r="D2354" i="212"/>
  <c r="C2354" i="212"/>
  <c r="BE2353" i="212"/>
  <c r="BD2353" i="212"/>
  <c r="BC2353" i="212"/>
  <c r="BA2353" i="212"/>
  <c r="I2353" i="212"/>
  <c r="H2353" i="212"/>
  <c r="E2353" i="212"/>
  <c r="D2353" i="212"/>
  <c r="C2353" i="212"/>
  <c r="BE2352" i="212"/>
  <c r="BC2352" i="212"/>
  <c r="I2352" i="212"/>
  <c r="H2352" i="212"/>
  <c r="E2352" i="212"/>
  <c r="D2352" i="212"/>
  <c r="C2352" i="212"/>
  <c r="BE2351" i="212"/>
  <c r="BC2351" i="212"/>
  <c r="I2351" i="212"/>
  <c r="H2351" i="212"/>
  <c r="E2351" i="212"/>
  <c r="D2351" i="212"/>
  <c r="C2351" i="212"/>
  <c r="BE2350" i="212"/>
  <c r="BC2350" i="212"/>
  <c r="I2350" i="212"/>
  <c r="H2350" i="212"/>
  <c r="E2350" i="212"/>
  <c r="D2350" i="212"/>
  <c r="C2350" i="212"/>
  <c r="BE2349" i="212"/>
  <c r="BC2349" i="212"/>
  <c r="I2349" i="212"/>
  <c r="H2349" i="212"/>
  <c r="E2349" i="212"/>
  <c r="D2349" i="212"/>
  <c r="C2349" i="212"/>
  <c r="BE2348" i="212"/>
  <c r="BC2348" i="212"/>
  <c r="I2348" i="212"/>
  <c r="H2348" i="212"/>
  <c r="E2348" i="212"/>
  <c r="D2348" i="212"/>
  <c r="C2348" i="212"/>
  <c r="BE2347" i="212"/>
  <c r="BC2347" i="212"/>
  <c r="I2347" i="212"/>
  <c r="H2347" i="212"/>
  <c r="E2347" i="212"/>
  <c r="D2347" i="212"/>
  <c r="C2347" i="212"/>
  <c r="BE2346" i="212"/>
  <c r="BC2346" i="212"/>
  <c r="I2346" i="212"/>
  <c r="H2346" i="212"/>
  <c r="E2346" i="212"/>
  <c r="D2346" i="212"/>
  <c r="C2346" i="212"/>
  <c r="BE2345" i="212"/>
  <c r="BC2345" i="212"/>
  <c r="I2345" i="212"/>
  <c r="H2345" i="212"/>
  <c r="E2345" i="212"/>
  <c r="D2345" i="212"/>
  <c r="C2345" i="212"/>
  <c r="BE2344" i="212"/>
  <c r="BC2344" i="212"/>
  <c r="I2344" i="212"/>
  <c r="H2344" i="212"/>
  <c r="E2344" i="212"/>
  <c r="D2344" i="212"/>
  <c r="C2344" i="212"/>
  <c r="BE2343" i="212"/>
  <c r="BC2343" i="212"/>
  <c r="I2343" i="212"/>
  <c r="H2343" i="212"/>
  <c r="E2343" i="212"/>
  <c r="D2343" i="212"/>
  <c r="C2343" i="212"/>
  <c r="BE2342" i="212"/>
  <c r="BC2342" i="212"/>
  <c r="I2342" i="212"/>
  <c r="H2342" i="212"/>
  <c r="E2342" i="212"/>
  <c r="D2342" i="212"/>
  <c r="C2342" i="212"/>
  <c r="BE2341" i="212"/>
  <c r="BC2341" i="212"/>
  <c r="I2341" i="212"/>
  <c r="H2341" i="212"/>
  <c r="E2341" i="212"/>
  <c r="D2341" i="212"/>
  <c r="C2341" i="212"/>
  <c r="BE2340" i="212"/>
  <c r="BC2340" i="212"/>
  <c r="BA2340" i="212"/>
  <c r="I2340" i="212"/>
  <c r="H2340" i="212"/>
  <c r="E2340" i="212"/>
  <c r="D2340" i="212"/>
  <c r="C2340" i="212"/>
  <c r="BE2339" i="212"/>
  <c r="BC2339" i="212"/>
  <c r="I2339" i="212"/>
  <c r="H2339" i="212"/>
  <c r="E2339" i="212"/>
  <c r="D2339" i="212"/>
  <c r="C2339" i="212"/>
  <c r="BE2338" i="212"/>
  <c r="BC2338" i="212"/>
  <c r="I2338" i="212"/>
  <c r="H2338" i="212"/>
  <c r="E2338" i="212"/>
  <c r="D2338" i="212"/>
  <c r="C2338" i="212"/>
  <c r="BE2337" i="212"/>
  <c r="BC2337" i="212"/>
  <c r="I2337" i="212"/>
  <c r="H2337" i="212"/>
  <c r="E2337" i="212"/>
  <c r="D2337" i="212"/>
  <c r="C2337" i="212"/>
  <c r="BE2336" i="212"/>
  <c r="BC2336" i="212"/>
  <c r="I2336" i="212"/>
  <c r="H2336" i="212"/>
  <c r="E2336" i="212"/>
  <c r="D2336" i="212"/>
  <c r="C2336" i="212"/>
  <c r="BE2335" i="212"/>
  <c r="BC2335" i="212"/>
  <c r="I2335" i="212"/>
  <c r="H2335" i="212"/>
  <c r="E2335" i="212"/>
  <c r="D2335" i="212"/>
  <c r="C2335" i="212"/>
  <c r="BE2334" i="212"/>
  <c r="BC2334" i="212"/>
  <c r="I2334" i="212"/>
  <c r="H2334" i="212"/>
  <c r="E2334" i="212"/>
  <c r="D2334" i="212"/>
  <c r="C2334" i="212"/>
  <c r="BE2333" i="212"/>
  <c r="BC2333" i="212"/>
  <c r="I2333" i="212"/>
  <c r="H2333" i="212"/>
  <c r="E2333" i="212"/>
  <c r="D2333" i="212"/>
  <c r="C2333" i="212"/>
  <c r="BE2332" i="212"/>
  <c r="BC2332" i="212"/>
  <c r="I2332" i="212"/>
  <c r="H2332" i="212"/>
  <c r="E2332" i="212"/>
  <c r="D2332" i="212"/>
  <c r="C2332" i="212"/>
  <c r="BE2331" i="212"/>
  <c r="BC2331" i="212"/>
  <c r="BA2331" i="212"/>
  <c r="I2331" i="212"/>
  <c r="H2331" i="212"/>
  <c r="E2331" i="212"/>
  <c r="D2331" i="212"/>
  <c r="C2331" i="212"/>
  <c r="BE2330" i="212"/>
  <c r="BC2330" i="212"/>
  <c r="I2330" i="212"/>
  <c r="H2330" i="212"/>
  <c r="E2330" i="212"/>
  <c r="D2330" i="212"/>
  <c r="C2330" i="212"/>
  <c r="BE2329" i="212"/>
  <c r="BC2329" i="212"/>
  <c r="I2329" i="212"/>
  <c r="H2329" i="212"/>
  <c r="E2329" i="212"/>
  <c r="D2329" i="212"/>
  <c r="C2329" i="212"/>
  <c r="BE2328" i="212"/>
  <c r="BC2328" i="212"/>
  <c r="BA2328" i="212"/>
  <c r="I2328" i="212"/>
  <c r="H2328" i="212"/>
  <c r="E2328" i="212"/>
  <c r="D2328" i="212"/>
  <c r="C2328" i="212"/>
  <c r="BE2327" i="212"/>
  <c r="BC2327" i="212"/>
  <c r="I2327" i="212"/>
  <c r="H2327" i="212"/>
  <c r="E2327" i="212"/>
  <c r="D2327" i="212"/>
  <c r="C2327" i="212"/>
  <c r="BE2326" i="212"/>
  <c r="BC2326" i="212"/>
  <c r="I2326" i="212"/>
  <c r="H2326" i="212"/>
  <c r="E2326" i="212"/>
  <c r="D2326" i="212"/>
  <c r="C2326" i="212"/>
  <c r="BE2325" i="212"/>
  <c r="BC2325" i="212"/>
  <c r="I2325" i="212"/>
  <c r="H2325" i="212"/>
  <c r="E2325" i="212"/>
  <c r="D2325" i="212"/>
  <c r="C2325" i="212"/>
  <c r="BE2324" i="212"/>
  <c r="BC2324" i="212"/>
  <c r="I2324" i="212"/>
  <c r="H2324" i="212"/>
  <c r="E2324" i="212"/>
  <c r="D2324" i="212"/>
  <c r="C2324" i="212"/>
  <c r="BE2323" i="212"/>
  <c r="BC2323" i="212"/>
  <c r="I2323" i="212"/>
  <c r="H2323" i="212"/>
  <c r="E2323" i="212"/>
  <c r="D2323" i="212"/>
  <c r="C2323" i="212"/>
  <c r="BE2322" i="212"/>
  <c r="BD2322" i="212"/>
  <c r="BC2322" i="212"/>
  <c r="BA2322" i="212"/>
  <c r="I2322" i="212"/>
  <c r="H2322" i="212"/>
  <c r="E2322" i="212"/>
  <c r="D2322" i="212"/>
  <c r="C2322" i="212"/>
  <c r="BE2321" i="212"/>
  <c r="BC2321" i="212"/>
  <c r="I2321" i="212"/>
  <c r="H2321" i="212"/>
  <c r="E2321" i="212"/>
  <c r="D2321" i="212"/>
  <c r="C2321" i="212"/>
  <c r="BE2320" i="212"/>
  <c r="BC2320" i="212"/>
  <c r="I2320" i="212"/>
  <c r="H2320" i="212"/>
  <c r="E2320" i="212"/>
  <c r="D2320" i="212"/>
  <c r="C2320" i="212"/>
  <c r="BE2319" i="212"/>
  <c r="BC2319" i="212"/>
  <c r="I2319" i="212"/>
  <c r="H2319" i="212"/>
  <c r="E2319" i="212"/>
  <c r="D2319" i="212"/>
  <c r="C2319" i="212"/>
  <c r="BE2318" i="212"/>
  <c r="BC2318" i="212"/>
  <c r="I2318" i="212"/>
  <c r="H2318" i="212"/>
  <c r="E2318" i="212"/>
  <c r="D2318" i="212"/>
  <c r="C2318" i="212"/>
  <c r="BE2317" i="212"/>
  <c r="BC2317" i="212"/>
  <c r="I2317" i="212"/>
  <c r="H2317" i="212"/>
  <c r="E2317" i="212"/>
  <c r="D2317" i="212"/>
  <c r="C2317" i="212"/>
  <c r="BE2316" i="212"/>
  <c r="BC2316" i="212"/>
  <c r="I2316" i="212"/>
  <c r="H2316" i="212"/>
  <c r="E2316" i="212"/>
  <c r="D2316" i="212"/>
  <c r="C2316" i="212"/>
  <c r="BE2315" i="212"/>
  <c r="BC2315" i="212"/>
  <c r="I2315" i="212"/>
  <c r="H2315" i="212"/>
  <c r="E2315" i="212"/>
  <c r="D2315" i="212"/>
  <c r="C2315" i="212"/>
  <c r="BE2314" i="212"/>
  <c r="BD2314" i="212"/>
  <c r="BC2314" i="212"/>
  <c r="BA2314" i="212"/>
  <c r="I2314" i="212"/>
  <c r="H2314" i="212"/>
  <c r="E2314" i="212"/>
  <c r="D2314" i="212"/>
  <c r="C2314" i="212"/>
  <c r="BE2313" i="212"/>
  <c r="BC2313" i="212"/>
  <c r="I2313" i="212"/>
  <c r="H2313" i="212"/>
  <c r="E2313" i="212"/>
  <c r="D2313" i="212"/>
  <c r="C2313" i="212"/>
  <c r="BE2312" i="212"/>
  <c r="BC2312" i="212"/>
  <c r="I2312" i="212"/>
  <c r="H2312" i="212"/>
  <c r="E2312" i="212"/>
  <c r="D2312" i="212"/>
  <c r="C2312" i="212"/>
  <c r="BE2311" i="212"/>
  <c r="BC2311" i="212"/>
  <c r="I2311" i="212"/>
  <c r="H2311" i="212"/>
  <c r="E2311" i="212"/>
  <c r="D2311" i="212"/>
  <c r="C2311" i="212"/>
  <c r="BE2310" i="212"/>
  <c r="BC2310" i="212"/>
  <c r="BA2310" i="212"/>
  <c r="I2310" i="212"/>
  <c r="H2310" i="212"/>
  <c r="E2310" i="212"/>
  <c r="D2310" i="212"/>
  <c r="C2310" i="212"/>
  <c r="BE2309" i="212"/>
  <c r="BC2309" i="212"/>
  <c r="I2309" i="212"/>
  <c r="H2309" i="212"/>
  <c r="E2309" i="212"/>
  <c r="D2309" i="212"/>
  <c r="C2309" i="212"/>
  <c r="BE2308" i="212"/>
  <c r="BC2308" i="212"/>
  <c r="I2308" i="212"/>
  <c r="H2308" i="212"/>
  <c r="E2308" i="212"/>
  <c r="D2308" i="212"/>
  <c r="C2308" i="212"/>
  <c r="BE2307" i="212"/>
  <c r="BC2307" i="212"/>
  <c r="I2307" i="212"/>
  <c r="H2307" i="212"/>
  <c r="E2307" i="212"/>
  <c r="D2307" i="212"/>
  <c r="C2307" i="212"/>
  <c r="BE2306" i="212"/>
  <c r="BD2306" i="212"/>
  <c r="BC2306" i="212"/>
  <c r="BA2306" i="212"/>
  <c r="I2306" i="212"/>
  <c r="H2306" i="212"/>
  <c r="E2306" i="212"/>
  <c r="D2306" i="212"/>
  <c r="C2306" i="212"/>
  <c r="BE2305" i="212"/>
  <c r="BC2305" i="212"/>
  <c r="I2305" i="212"/>
  <c r="H2305" i="212"/>
  <c r="E2305" i="212"/>
  <c r="D2305" i="212"/>
  <c r="C2305" i="212"/>
  <c r="BE2304" i="212"/>
  <c r="BC2304" i="212"/>
  <c r="I2304" i="212"/>
  <c r="H2304" i="212"/>
  <c r="E2304" i="212"/>
  <c r="D2304" i="212"/>
  <c r="C2304" i="212"/>
  <c r="BE2303" i="212"/>
  <c r="BC2303" i="212"/>
  <c r="I2303" i="212"/>
  <c r="H2303" i="212"/>
  <c r="E2303" i="212"/>
  <c r="D2303" i="212"/>
  <c r="C2303" i="212"/>
  <c r="BE2302" i="212"/>
  <c r="BC2302" i="212"/>
  <c r="I2302" i="212"/>
  <c r="H2302" i="212"/>
  <c r="E2302" i="212"/>
  <c r="D2302" i="212"/>
  <c r="C2302" i="212"/>
  <c r="BE2301" i="212"/>
  <c r="BC2301" i="212"/>
  <c r="I2301" i="212"/>
  <c r="H2301" i="212"/>
  <c r="E2301" i="212"/>
  <c r="D2301" i="212"/>
  <c r="C2301" i="212"/>
  <c r="BE2300" i="212"/>
  <c r="BC2300" i="212"/>
  <c r="I2300" i="212"/>
  <c r="H2300" i="212"/>
  <c r="E2300" i="212"/>
  <c r="D2300" i="212"/>
  <c r="C2300" i="212"/>
  <c r="BE2299" i="212"/>
  <c r="BC2299" i="212"/>
  <c r="I2299" i="212"/>
  <c r="H2299" i="212"/>
  <c r="E2299" i="212"/>
  <c r="D2299" i="212"/>
  <c r="C2299" i="212"/>
  <c r="BE2298" i="212"/>
  <c r="BC2298" i="212"/>
  <c r="I2298" i="212"/>
  <c r="H2298" i="212"/>
  <c r="E2298" i="212"/>
  <c r="D2298" i="212"/>
  <c r="C2298" i="212"/>
  <c r="BE2297" i="212"/>
  <c r="BC2297" i="212"/>
  <c r="I2297" i="212"/>
  <c r="H2297" i="212"/>
  <c r="E2297" i="212"/>
  <c r="D2297" i="212"/>
  <c r="C2297" i="212"/>
  <c r="BE2296" i="212"/>
  <c r="BC2296" i="212"/>
  <c r="I2296" i="212"/>
  <c r="H2296" i="212"/>
  <c r="E2296" i="212"/>
  <c r="D2296" i="212"/>
  <c r="C2296" i="212"/>
  <c r="BE2295" i="212"/>
  <c r="BC2295" i="212"/>
  <c r="I2295" i="212"/>
  <c r="H2295" i="212"/>
  <c r="E2295" i="212"/>
  <c r="D2295" i="212"/>
  <c r="C2295" i="212"/>
  <c r="BE2294" i="212"/>
  <c r="BD2294" i="212"/>
  <c r="BC2294" i="212"/>
  <c r="BA2294" i="212"/>
  <c r="I2294" i="212"/>
  <c r="H2294" i="212"/>
  <c r="E2294" i="212"/>
  <c r="D2294" i="212"/>
  <c r="C2294" i="212"/>
  <c r="BE2293" i="212"/>
  <c r="BC2293" i="212"/>
  <c r="I2293" i="212"/>
  <c r="H2293" i="212"/>
  <c r="E2293" i="212"/>
  <c r="D2293" i="212"/>
  <c r="C2293" i="212"/>
  <c r="BE2292" i="212"/>
  <c r="BC2292" i="212"/>
  <c r="I2292" i="212"/>
  <c r="H2292" i="212"/>
  <c r="E2292" i="212"/>
  <c r="D2292" i="212"/>
  <c r="C2292" i="212"/>
  <c r="BE2291" i="212"/>
  <c r="BC2291" i="212"/>
  <c r="I2291" i="212"/>
  <c r="H2291" i="212"/>
  <c r="E2291" i="212"/>
  <c r="D2291" i="212"/>
  <c r="C2291" i="212"/>
  <c r="BE2290" i="212"/>
  <c r="BC2290" i="212"/>
  <c r="I2290" i="212"/>
  <c r="H2290" i="212"/>
  <c r="E2290" i="212"/>
  <c r="D2290" i="212"/>
  <c r="C2290" i="212"/>
  <c r="BE2289" i="212"/>
  <c r="BC2289" i="212"/>
  <c r="I2289" i="212"/>
  <c r="H2289" i="212"/>
  <c r="E2289" i="212"/>
  <c r="D2289" i="212"/>
  <c r="C2289" i="212"/>
  <c r="BE2288" i="212"/>
  <c r="BC2288" i="212"/>
  <c r="I2288" i="212"/>
  <c r="H2288" i="212"/>
  <c r="E2288" i="212"/>
  <c r="D2288" i="212"/>
  <c r="C2288" i="212"/>
  <c r="BE2287" i="212"/>
  <c r="BC2287" i="212"/>
  <c r="I2287" i="212"/>
  <c r="H2287" i="212"/>
  <c r="E2287" i="212"/>
  <c r="D2287" i="212"/>
  <c r="C2287" i="212"/>
  <c r="BE2286" i="212"/>
  <c r="BC2286" i="212"/>
  <c r="I2286" i="212"/>
  <c r="H2286" i="212"/>
  <c r="E2286" i="212"/>
  <c r="D2286" i="212"/>
  <c r="C2286" i="212"/>
  <c r="BE2285" i="212"/>
  <c r="BC2285" i="212"/>
  <c r="I2285" i="212"/>
  <c r="H2285" i="212"/>
  <c r="E2285" i="212"/>
  <c r="D2285" i="212"/>
  <c r="C2285" i="212"/>
  <c r="BE2284" i="212"/>
  <c r="BC2284" i="212"/>
  <c r="I2284" i="212"/>
  <c r="H2284" i="212"/>
  <c r="E2284" i="212"/>
  <c r="D2284" i="212"/>
  <c r="C2284" i="212"/>
  <c r="BE2283" i="212"/>
  <c r="BD2283" i="212"/>
  <c r="BC2283" i="212"/>
  <c r="BA2283" i="212"/>
  <c r="I2283" i="212"/>
  <c r="H2283" i="212"/>
  <c r="E2283" i="212"/>
  <c r="D2283" i="212"/>
  <c r="C2283" i="212"/>
  <c r="BE2282" i="212"/>
  <c r="BC2282" i="212"/>
  <c r="I2282" i="212"/>
  <c r="H2282" i="212"/>
  <c r="E2282" i="212"/>
  <c r="D2282" i="212"/>
  <c r="C2282" i="212"/>
  <c r="BE2281" i="212"/>
  <c r="BC2281" i="212"/>
  <c r="I2281" i="212"/>
  <c r="H2281" i="212"/>
  <c r="E2281" i="212"/>
  <c r="D2281" i="212"/>
  <c r="C2281" i="212"/>
  <c r="BE2280" i="212"/>
  <c r="BC2280" i="212"/>
  <c r="I2280" i="212"/>
  <c r="H2280" i="212"/>
  <c r="E2280" i="212"/>
  <c r="D2280" i="212"/>
  <c r="C2280" i="212"/>
  <c r="BE2279" i="212"/>
  <c r="BC2279" i="212"/>
  <c r="I2279" i="212"/>
  <c r="H2279" i="212"/>
  <c r="E2279" i="212"/>
  <c r="D2279" i="212"/>
  <c r="C2279" i="212"/>
  <c r="BE2278" i="212"/>
  <c r="BC2278" i="212"/>
  <c r="I2278" i="212"/>
  <c r="H2278" i="212"/>
  <c r="E2278" i="212"/>
  <c r="D2278" i="212"/>
  <c r="C2278" i="212"/>
  <c r="BE2277" i="212"/>
  <c r="BC2277" i="212"/>
  <c r="I2277" i="212"/>
  <c r="H2277" i="212"/>
  <c r="E2277" i="212"/>
  <c r="D2277" i="212"/>
  <c r="C2277" i="212"/>
  <c r="BE2276" i="212"/>
  <c r="BC2276" i="212"/>
  <c r="I2276" i="212"/>
  <c r="H2276" i="212"/>
  <c r="E2276" i="212"/>
  <c r="D2276" i="212"/>
  <c r="C2276" i="212"/>
  <c r="BE2275" i="212"/>
  <c r="BC2275" i="212"/>
  <c r="I2275" i="212"/>
  <c r="H2275" i="212"/>
  <c r="E2275" i="212"/>
  <c r="D2275" i="212"/>
  <c r="C2275" i="212"/>
  <c r="BE2274" i="212"/>
  <c r="BC2274" i="212"/>
  <c r="I2274" i="212"/>
  <c r="H2274" i="212"/>
  <c r="E2274" i="212"/>
  <c r="D2274" i="212"/>
  <c r="C2274" i="212"/>
  <c r="BE2273" i="212"/>
  <c r="BC2273" i="212"/>
  <c r="I2273" i="212"/>
  <c r="H2273" i="212"/>
  <c r="E2273" i="212"/>
  <c r="D2273" i="212"/>
  <c r="C2273" i="212"/>
  <c r="BE2272" i="212"/>
  <c r="BC2272" i="212"/>
  <c r="I2272" i="212"/>
  <c r="H2272" i="212"/>
  <c r="E2272" i="212"/>
  <c r="D2272" i="212"/>
  <c r="C2272" i="212"/>
  <c r="BE2271" i="212"/>
  <c r="BC2271" i="212"/>
  <c r="I2271" i="212"/>
  <c r="H2271" i="212"/>
  <c r="E2271" i="212"/>
  <c r="D2271" i="212"/>
  <c r="C2271" i="212"/>
  <c r="BE2270" i="212"/>
  <c r="BC2270" i="212"/>
  <c r="I2270" i="212"/>
  <c r="H2270" i="212"/>
  <c r="E2270" i="212"/>
  <c r="D2270" i="212"/>
  <c r="C2270" i="212"/>
  <c r="BE2269" i="212"/>
  <c r="BC2269" i="212"/>
  <c r="I2269" i="212"/>
  <c r="H2269" i="212"/>
  <c r="E2269" i="212"/>
  <c r="D2269" i="212"/>
  <c r="C2269" i="212"/>
  <c r="BE2268" i="212"/>
  <c r="BC2268" i="212"/>
  <c r="I2268" i="212"/>
  <c r="H2268" i="212"/>
  <c r="E2268" i="212"/>
  <c r="D2268" i="212"/>
  <c r="C2268" i="212"/>
  <c r="BE2267" i="212"/>
  <c r="BC2267" i="212"/>
  <c r="I2267" i="212"/>
  <c r="H2267" i="212"/>
  <c r="E2267" i="212"/>
  <c r="D2267" i="212"/>
  <c r="C2267" i="212"/>
  <c r="BE2266" i="212"/>
  <c r="BC2266" i="212"/>
  <c r="I2266" i="212"/>
  <c r="H2266" i="212"/>
  <c r="E2266" i="212"/>
  <c r="D2266" i="212"/>
  <c r="C2266" i="212"/>
  <c r="BE2265" i="212"/>
  <c r="BC2265" i="212"/>
  <c r="I2265" i="212"/>
  <c r="H2265" i="212"/>
  <c r="E2265" i="212"/>
  <c r="D2265" i="212"/>
  <c r="C2265" i="212"/>
  <c r="BE2264" i="212"/>
  <c r="BC2264" i="212"/>
  <c r="I2264" i="212"/>
  <c r="H2264" i="212"/>
  <c r="E2264" i="212"/>
  <c r="D2264" i="212"/>
  <c r="C2264" i="212"/>
  <c r="BE2263" i="212"/>
  <c r="BC2263" i="212"/>
  <c r="I2263" i="212"/>
  <c r="H2263" i="212"/>
  <c r="E2263" i="212"/>
  <c r="D2263" i="212"/>
  <c r="C2263" i="212"/>
  <c r="BE2262" i="212"/>
  <c r="BC2262" i="212"/>
  <c r="I2262" i="212"/>
  <c r="H2262" i="212"/>
  <c r="E2262" i="212"/>
  <c r="D2262" i="212"/>
  <c r="C2262" i="212"/>
  <c r="BE2261" i="212"/>
  <c r="BC2261" i="212"/>
  <c r="I2261" i="212"/>
  <c r="H2261" i="212"/>
  <c r="E2261" i="212"/>
  <c r="D2261" i="212"/>
  <c r="C2261" i="212"/>
  <c r="BE2260" i="212"/>
  <c r="BC2260" i="212"/>
  <c r="I2260" i="212"/>
  <c r="H2260" i="212"/>
  <c r="E2260" i="212"/>
  <c r="D2260" i="212"/>
  <c r="C2260" i="212"/>
  <c r="BE2259" i="212"/>
  <c r="BC2259" i="212"/>
  <c r="I2259" i="212"/>
  <c r="H2259" i="212"/>
  <c r="E2259" i="212"/>
  <c r="D2259" i="212"/>
  <c r="C2259" i="212"/>
  <c r="BE2258" i="212"/>
  <c r="BC2258" i="212"/>
  <c r="I2258" i="212"/>
  <c r="H2258" i="212"/>
  <c r="E2258" i="212"/>
  <c r="D2258" i="212"/>
  <c r="C2258" i="212"/>
  <c r="BE2257" i="212"/>
  <c r="BC2257" i="212"/>
  <c r="BA2257" i="212"/>
  <c r="I2257" i="212"/>
  <c r="H2257" i="212"/>
  <c r="E2257" i="212"/>
  <c r="D2257" i="212"/>
  <c r="C2257" i="212"/>
  <c r="BE2256" i="212"/>
  <c r="BC2256" i="212"/>
  <c r="I2256" i="212"/>
  <c r="H2256" i="212"/>
  <c r="E2256" i="212"/>
  <c r="D2256" i="212"/>
  <c r="C2256" i="212"/>
  <c r="BE2255" i="212"/>
  <c r="BC2255" i="212"/>
  <c r="I2255" i="212"/>
  <c r="H2255" i="212"/>
  <c r="E2255" i="212"/>
  <c r="D2255" i="212"/>
  <c r="C2255" i="212"/>
  <c r="BE2254" i="212"/>
  <c r="BC2254" i="212"/>
  <c r="I2254" i="212"/>
  <c r="H2254" i="212"/>
  <c r="E2254" i="212"/>
  <c r="D2254" i="212"/>
  <c r="C2254" i="212"/>
  <c r="BE2253" i="212"/>
  <c r="BC2253" i="212"/>
  <c r="BA2253" i="212"/>
  <c r="I2253" i="212"/>
  <c r="H2253" i="212"/>
  <c r="E2253" i="212"/>
  <c r="D2253" i="212"/>
  <c r="C2253" i="212"/>
  <c r="BE2252" i="212"/>
  <c r="BC2252" i="212"/>
  <c r="I2252" i="212"/>
  <c r="H2252" i="212"/>
  <c r="E2252" i="212"/>
  <c r="D2252" i="212"/>
  <c r="C2252" i="212"/>
  <c r="BE2251" i="212"/>
  <c r="BC2251" i="212"/>
  <c r="I2251" i="212"/>
  <c r="H2251" i="212"/>
  <c r="E2251" i="212"/>
  <c r="D2251" i="212"/>
  <c r="C2251" i="212"/>
  <c r="BE2250" i="212"/>
  <c r="BC2250" i="212"/>
  <c r="I2250" i="212"/>
  <c r="H2250" i="212"/>
  <c r="E2250" i="212"/>
  <c r="D2250" i="212"/>
  <c r="C2250" i="212"/>
  <c r="BE2249" i="212"/>
  <c r="BC2249" i="212"/>
  <c r="I2249" i="212"/>
  <c r="H2249" i="212"/>
  <c r="E2249" i="212"/>
  <c r="D2249" i="212"/>
  <c r="C2249" i="212"/>
  <c r="BE2248" i="212"/>
  <c r="BC2248" i="212"/>
  <c r="I2248" i="212"/>
  <c r="H2248" i="212"/>
  <c r="E2248" i="212"/>
  <c r="D2248" i="212"/>
  <c r="C2248" i="212"/>
  <c r="BE2247" i="212"/>
  <c r="BD2247" i="212"/>
  <c r="BC2247" i="212"/>
  <c r="BA2247" i="212"/>
  <c r="I2247" i="212"/>
  <c r="H2247" i="212"/>
  <c r="E2247" i="212"/>
  <c r="D2247" i="212"/>
  <c r="C2247" i="212"/>
  <c r="BE2246" i="212"/>
  <c r="BC2246" i="212"/>
  <c r="I2246" i="212"/>
  <c r="H2246" i="212"/>
  <c r="E2246" i="212"/>
  <c r="D2246" i="212"/>
  <c r="C2246" i="212"/>
  <c r="BE2245" i="212"/>
  <c r="BC2245" i="212"/>
  <c r="I2245" i="212"/>
  <c r="H2245" i="212"/>
  <c r="E2245" i="212"/>
  <c r="D2245" i="212"/>
  <c r="C2245" i="212"/>
  <c r="BE2244" i="212"/>
  <c r="BC2244" i="212"/>
  <c r="I2244" i="212"/>
  <c r="H2244" i="212"/>
  <c r="E2244" i="212"/>
  <c r="D2244" i="212"/>
  <c r="C2244" i="212"/>
  <c r="BE2243" i="212"/>
  <c r="BC2243" i="212"/>
  <c r="I2243" i="212"/>
  <c r="H2243" i="212"/>
  <c r="E2243" i="212"/>
  <c r="D2243" i="212"/>
  <c r="C2243" i="212"/>
  <c r="BE2242" i="212"/>
  <c r="BC2242" i="212"/>
  <c r="I2242" i="212"/>
  <c r="H2242" i="212"/>
  <c r="E2242" i="212"/>
  <c r="D2242" i="212"/>
  <c r="C2242" i="212"/>
  <c r="BE2241" i="212"/>
  <c r="BC2241" i="212"/>
  <c r="I2241" i="212"/>
  <c r="H2241" i="212"/>
  <c r="E2241" i="212"/>
  <c r="D2241" i="212"/>
  <c r="C2241" i="212"/>
  <c r="BE2240" i="212"/>
  <c r="BC2240" i="212"/>
  <c r="I2240" i="212"/>
  <c r="H2240" i="212"/>
  <c r="E2240" i="212"/>
  <c r="D2240" i="212"/>
  <c r="C2240" i="212"/>
  <c r="BE2239" i="212"/>
  <c r="BC2239" i="212"/>
  <c r="I2239" i="212"/>
  <c r="H2239" i="212"/>
  <c r="E2239" i="212"/>
  <c r="D2239" i="212"/>
  <c r="C2239" i="212"/>
  <c r="BE2238" i="212"/>
  <c r="BC2238" i="212"/>
  <c r="I2238" i="212"/>
  <c r="H2238" i="212"/>
  <c r="E2238" i="212"/>
  <c r="D2238" i="212"/>
  <c r="C2238" i="212"/>
  <c r="BE2237" i="212"/>
  <c r="BC2237" i="212"/>
  <c r="I2237" i="212"/>
  <c r="H2237" i="212"/>
  <c r="E2237" i="212"/>
  <c r="D2237" i="212"/>
  <c r="C2237" i="212"/>
  <c r="BE2236" i="212"/>
  <c r="BC2236" i="212"/>
  <c r="BA2236" i="212"/>
  <c r="I2236" i="212"/>
  <c r="H2236" i="212"/>
  <c r="E2236" i="212"/>
  <c r="D2236" i="212"/>
  <c r="C2236" i="212"/>
  <c r="BE2235" i="212"/>
  <c r="BC2235" i="212"/>
  <c r="I2235" i="212"/>
  <c r="H2235" i="212"/>
  <c r="E2235" i="212"/>
  <c r="D2235" i="212"/>
  <c r="C2235" i="212"/>
  <c r="BE2234" i="212"/>
  <c r="BC2234" i="212"/>
  <c r="BA2234" i="212"/>
  <c r="I2234" i="212"/>
  <c r="H2234" i="212"/>
  <c r="E2234" i="212"/>
  <c r="D2234" i="212"/>
  <c r="C2234" i="212"/>
  <c r="BE2233" i="212"/>
  <c r="BD2233" i="212"/>
  <c r="BC2233" i="212"/>
  <c r="BA2233" i="212"/>
  <c r="I2233" i="212"/>
  <c r="H2233" i="212"/>
  <c r="E2233" i="212"/>
  <c r="D2233" i="212"/>
  <c r="C2233" i="212"/>
  <c r="BE2232" i="212"/>
  <c r="BC2232" i="212"/>
  <c r="I2232" i="212"/>
  <c r="H2232" i="212"/>
  <c r="E2232" i="212"/>
  <c r="D2232" i="212"/>
  <c r="C2232" i="212"/>
  <c r="BE2231" i="212"/>
  <c r="BC2231" i="212"/>
  <c r="I2231" i="212"/>
  <c r="H2231" i="212"/>
  <c r="E2231" i="212"/>
  <c r="D2231" i="212"/>
  <c r="C2231" i="212"/>
  <c r="BE2230" i="212"/>
  <c r="BC2230" i="212"/>
  <c r="I2230" i="212"/>
  <c r="H2230" i="212"/>
  <c r="E2230" i="212"/>
  <c r="D2230" i="212"/>
  <c r="C2230" i="212"/>
  <c r="BE2229" i="212"/>
  <c r="BC2229" i="212"/>
  <c r="I2229" i="212"/>
  <c r="H2229" i="212"/>
  <c r="E2229" i="212"/>
  <c r="D2229" i="212"/>
  <c r="C2229" i="212"/>
  <c r="BE2228" i="212"/>
  <c r="BC2228" i="212"/>
  <c r="I2228" i="212"/>
  <c r="H2228" i="212"/>
  <c r="E2228" i="212"/>
  <c r="D2228" i="212"/>
  <c r="C2228" i="212"/>
  <c r="BE2227" i="212"/>
  <c r="BC2227" i="212"/>
  <c r="I2227" i="212"/>
  <c r="H2227" i="212"/>
  <c r="E2227" i="212"/>
  <c r="D2227" i="212"/>
  <c r="C2227" i="212"/>
  <c r="BE2226" i="212"/>
  <c r="BC2226" i="212"/>
  <c r="I2226" i="212"/>
  <c r="H2226" i="212"/>
  <c r="E2226" i="212"/>
  <c r="D2226" i="212"/>
  <c r="C2226" i="212"/>
  <c r="BE2225" i="212"/>
  <c r="BC2225" i="212"/>
  <c r="I2225" i="212"/>
  <c r="H2225" i="212"/>
  <c r="E2225" i="212"/>
  <c r="D2225" i="212"/>
  <c r="C2225" i="212"/>
  <c r="BE2224" i="212"/>
  <c r="BC2224" i="212"/>
  <c r="I2224" i="212"/>
  <c r="H2224" i="212"/>
  <c r="E2224" i="212"/>
  <c r="D2224" i="212"/>
  <c r="C2224" i="212"/>
  <c r="BE2223" i="212"/>
  <c r="BC2223" i="212"/>
  <c r="I2223" i="212"/>
  <c r="H2223" i="212"/>
  <c r="E2223" i="212"/>
  <c r="D2223" i="212"/>
  <c r="C2223" i="212"/>
  <c r="BE2222" i="212"/>
  <c r="BC2222" i="212"/>
  <c r="I2222" i="212"/>
  <c r="H2222" i="212"/>
  <c r="E2222" i="212"/>
  <c r="D2222" i="212"/>
  <c r="C2222" i="212"/>
  <c r="BE2221" i="212"/>
  <c r="BC2221" i="212"/>
  <c r="BA2221" i="212"/>
  <c r="I2221" i="212"/>
  <c r="H2221" i="212"/>
  <c r="E2221" i="212"/>
  <c r="D2221" i="212"/>
  <c r="C2221" i="212"/>
  <c r="BE2220" i="212"/>
  <c r="BC2220" i="212"/>
  <c r="I2220" i="212"/>
  <c r="H2220" i="212"/>
  <c r="E2220" i="212"/>
  <c r="D2220" i="212"/>
  <c r="C2220" i="212"/>
  <c r="BE2219" i="212"/>
  <c r="BC2219" i="212"/>
  <c r="I2219" i="212"/>
  <c r="H2219" i="212"/>
  <c r="E2219" i="212"/>
  <c r="D2219" i="212"/>
  <c r="C2219" i="212"/>
  <c r="BE2218" i="212"/>
  <c r="BC2218" i="212"/>
  <c r="I2218" i="212"/>
  <c r="H2218" i="212"/>
  <c r="E2218" i="212"/>
  <c r="D2218" i="212"/>
  <c r="C2218" i="212"/>
  <c r="BE2217" i="212"/>
  <c r="BC2217" i="212"/>
  <c r="I2217" i="212"/>
  <c r="H2217" i="212"/>
  <c r="E2217" i="212"/>
  <c r="D2217" i="212"/>
  <c r="C2217" i="212"/>
  <c r="BE2216" i="212"/>
  <c r="BC2216" i="212"/>
  <c r="I2216" i="212"/>
  <c r="H2216" i="212"/>
  <c r="E2216" i="212"/>
  <c r="D2216" i="212"/>
  <c r="C2216" i="212"/>
  <c r="BE2215" i="212"/>
  <c r="BC2215" i="212"/>
  <c r="I2215" i="212"/>
  <c r="H2215" i="212"/>
  <c r="E2215" i="212"/>
  <c r="D2215" i="212"/>
  <c r="C2215" i="212"/>
  <c r="BE2214" i="212"/>
  <c r="BC2214" i="212"/>
  <c r="I2214" i="212"/>
  <c r="H2214" i="212"/>
  <c r="E2214" i="212"/>
  <c r="D2214" i="212"/>
  <c r="C2214" i="212"/>
  <c r="BE2213" i="212"/>
  <c r="BC2213" i="212"/>
  <c r="I2213" i="212"/>
  <c r="H2213" i="212"/>
  <c r="E2213" i="212"/>
  <c r="D2213" i="212"/>
  <c r="C2213" i="212"/>
  <c r="BE2212" i="212"/>
  <c r="BC2212" i="212"/>
  <c r="BA2212" i="212"/>
  <c r="I2212" i="212"/>
  <c r="H2212" i="212"/>
  <c r="E2212" i="212"/>
  <c r="D2212" i="212"/>
  <c r="C2212" i="212"/>
  <c r="BE2211" i="212"/>
  <c r="BC2211" i="212"/>
  <c r="I2211" i="212"/>
  <c r="H2211" i="212"/>
  <c r="E2211" i="212"/>
  <c r="D2211" i="212"/>
  <c r="C2211" i="212"/>
  <c r="BE2210" i="212"/>
  <c r="BC2210" i="212"/>
  <c r="I2210" i="212"/>
  <c r="H2210" i="212"/>
  <c r="E2210" i="212"/>
  <c r="D2210" i="212"/>
  <c r="C2210" i="212"/>
  <c r="BE2209" i="212"/>
  <c r="BC2209" i="212"/>
  <c r="I2209" i="212"/>
  <c r="H2209" i="212"/>
  <c r="E2209" i="212"/>
  <c r="D2209" i="212"/>
  <c r="C2209" i="212"/>
  <c r="BE2208" i="212"/>
  <c r="BD2208" i="212"/>
  <c r="BC2208" i="212"/>
  <c r="BA2208" i="212"/>
  <c r="I2208" i="212"/>
  <c r="H2208" i="212"/>
  <c r="E2208" i="212"/>
  <c r="D2208" i="212"/>
  <c r="C2208" i="212"/>
  <c r="BE2207" i="212"/>
  <c r="BC2207" i="212"/>
  <c r="I2207" i="212"/>
  <c r="H2207" i="212"/>
  <c r="E2207" i="212"/>
  <c r="D2207" i="212"/>
  <c r="C2207" i="212"/>
  <c r="BE2206" i="212"/>
  <c r="BC2206" i="212"/>
  <c r="I2206" i="212"/>
  <c r="H2206" i="212"/>
  <c r="E2206" i="212"/>
  <c r="D2206" i="212"/>
  <c r="C2206" i="212"/>
  <c r="BE2205" i="212"/>
  <c r="BC2205" i="212"/>
  <c r="I2205" i="212"/>
  <c r="H2205" i="212"/>
  <c r="E2205" i="212"/>
  <c r="D2205" i="212"/>
  <c r="C2205" i="212"/>
  <c r="BE2204" i="212"/>
  <c r="BC2204" i="212"/>
  <c r="I2204" i="212"/>
  <c r="H2204" i="212"/>
  <c r="E2204" i="212"/>
  <c r="D2204" i="212"/>
  <c r="C2204" i="212"/>
  <c r="BE2203" i="212"/>
  <c r="BC2203" i="212"/>
  <c r="I2203" i="212"/>
  <c r="H2203" i="212"/>
  <c r="E2203" i="212"/>
  <c r="D2203" i="212"/>
  <c r="C2203" i="212"/>
  <c r="BE2202" i="212"/>
  <c r="BC2202" i="212"/>
  <c r="I2202" i="212"/>
  <c r="H2202" i="212"/>
  <c r="E2202" i="212"/>
  <c r="D2202" i="212"/>
  <c r="C2202" i="212"/>
  <c r="BE2201" i="212"/>
  <c r="BC2201" i="212"/>
  <c r="I2201" i="212"/>
  <c r="H2201" i="212"/>
  <c r="E2201" i="212"/>
  <c r="D2201" i="212"/>
  <c r="C2201" i="212"/>
  <c r="BE2200" i="212"/>
  <c r="BD2200" i="212"/>
  <c r="BC2200" i="212"/>
  <c r="BA2200" i="212"/>
  <c r="I2200" i="212"/>
  <c r="H2200" i="212"/>
  <c r="E2200" i="212"/>
  <c r="D2200" i="212"/>
  <c r="C2200" i="212"/>
  <c r="BE2199" i="212"/>
  <c r="BC2199" i="212"/>
  <c r="I2199" i="212"/>
  <c r="H2199" i="212"/>
  <c r="E2199" i="212"/>
  <c r="D2199" i="212"/>
  <c r="C2199" i="212"/>
  <c r="BE2198" i="212"/>
  <c r="BC2198" i="212"/>
  <c r="I2198" i="212"/>
  <c r="H2198" i="212"/>
  <c r="E2198" i="212"/>
  <c r="D2198" i="212"/>
  <c r="C2198" i="212"/>
  <c r="BE2197" i="212"/>
  <c r="BC2197" i="212"/>
  <c r="I2197" i="212"/>
  <c r="H2197" i="212"/>
  <c r="E2197" i="212"/>
  <c r="D2197" i="212"/>
  <c r="C2197" i="212"/>
  <c r="BE2196" i="212"/>
  <c r="BC2196" i="212"/>
  <c r="BA2196" i="212"/>
  <c r="I2196" i="212"/>
  <c r="H2196" i="212"/>
  <c r="E2196" i="212"/>
  <c r="D2196" i="212"/>
  <c r="C2196" i="212"/>
  <c r="BE2195" i="212"/>
  <c r="BC2195" i="212"/>
  <c r="I2195" i="212"/>
  <c r="H2195" i="212"/>
  <c r="E2195" i="212"/>
  <c r="D2195" i="212"/>
  <c r="C2195" i="212"/>
  <c r="BE2194" i="212"/>
  <c r="BC2194" i="212"/>
  <c r="I2194" i="212"/>
  <c r="H2194" i="212"/>
  <c r="E2194" i="212"/>
  <c r="D2194" i="212"/>
  <c r="C2194" i="212"/>
  <c r="BE2193" i="212"/>
  <c r="BC2193" i="212"/>
  <c r="I2193" i="212"/>
  <c r="H2193" i="212"/>
  <c r="E2193" i="212"/>
  <c r="D2193" i="212"/>
  <c r="C2193" i="212"/>
  <c r="BE2192" i="212"/>
  <c r="BD2192" i="212"/>
  <c r="BC2192" i="212"/>
  <c r="BA2192" i="212"/>
  <c r="I2192" i="212"/>
  <c r="H2192" i="212"/>
  <c r="E2192" i="212"/>
  <c r="D2192" i="212"/>
  <c r="C2192" i="212"/>
  <c r="BE2191" i="212"/>
  <c r="BC2191" i="212"/>
  <c r="I2191" i="212"/>
  <c r="H2191" i="212"/>
  <c r="E2191" i="212"/>
  <c r="D2191" i="212"/>
  <c r="C2191" i="212"/>
  <c r="BE2190" i="212"/>
  <c r="BC2190" i="212"/>
  <c r="I2190" i="212"/>
  <c r="H2190" i="212"/>
  <c r="E2190" i="212"/>
  <c r="D2190" i="212"/>
  <c r="C2190" i="212"/>
  <c r="BE2189" i="212"/>
  <c r="BC2189" i="212"/>
  <c r="I2189" i="212"/>
  <c r="H2189" i="212"/>
  <c r="E2189" i="212"/>
  <c r="D2189" i="212"/>
  <c r="C2189" i="212"/>
  <c r="BE2188" i="212"/>
  <c r="BC2188" i="212"/>
  <c r="I2188" i="212"/>
  <c r="H2188" i="212"/>
  <c r="E2188" i="212"/>
  <c r="D2188" i="212"/>
  <c r="C2188" i="212"/>
  <c r="BE2187" i="212"/>
  <c r="BC2187" i="212"/>
  <c r="I2187" i="212"/>
  <c r="H2187" i="212"/>
  <c r="E2187" i="212"/>
  <c r="D2187" i="212"/>
  <c r="C2187" i="212"/>
  <c r="BE2186" i="212"/>
  <c r="BC2186" i="212"/>
  <c r="I2186" i="212"/>
  <c r="H2186" i="212"/>
  <c r="E2186" i="212"/>
  <c r="D2186" i="212"/>
  <c r="C2186" i="212"/>
  <c r="BE2185" i="212"/>
  <c r="BC2185" i="212"/>
  <c r="I2185" i="212"/>
  <c r="H2185" i="212"/>
  <c r="E2185" i="212"/>
  <c r="D2185" i="212"/>
  <c r="C2185" i="212"/>
  <c r="BE2184" i="212"/>
  <c r="BC2184" i="212"/>
  <c r="I2184" i="212"/>
  <c r="H2184" i="212"/>
  <c r="E2184" i="212"/>
  <c r="D2184" i="212"/>
  <c r="C2184" i="212"/>
  <c r="BE2183" i="212"/>
  <c r="BC2183" i="212"/>
  <c r="I2183" i="212"/>
  <c r="H2183" i="212"/>
  <c r="E2183" i="212"/>
  <c r="D2183" i="212"/>
  <c r="C2183" i="212"/>
  <c r="BE2182" i="212"/>
  <c r="BC2182" i="212"/>
  <c r="I2182" i="212"/>
  <c r="H2182" i="212"/>
  <c r="E2182" i="212"/>
  <c r="D2182" i="212"/>
  <c r="C2182" i="212"/>
  <c r="BE2181" i="212"/>
  <c r="BC2181" i="212"/>
  <c r="I2181" i="212"/>
  <c r="H2181" i="212"/>
  <c r="E2181" i="212"/>
  <c r="D2181" i="212"/>
  <c r="C2181" i="212"/>
  <c r="BE2180" i="212"/>
  <c r="BD2180" i="212"/>
  <c r="BC2180" i="212"/>
  <c r="BA2180" i="212"/>
  <c r="I2180" i="212"/>
  <c r="H2180" i="212"/>
  <c r="E2180" i="212"/>
  <c r="D2180" i="212"/>
  <c r="C2180" i="212"/>
  <c r="BE2179" i="212"/>
  <c r="BC2179" i="212"/>
  <c r="I2179" i="212"/>
  <c r="H2179" i="212"/>
  <c r="E2179" i="212"/>
  <c r="D2179" i="212"/>
  <c r="C2179" i="212"/>
  <c r="BE2178" i="212"/>
  <c r="BC2178" i="212"/>
  <c r="I2178" i="212"/>
  <c r="H2178" i="212"/>
  <c r="E2178" i="212"/>
  <c r="D2178" i="212"/>
  <c r="C2178" i="212"/>
  <c r="BE2177" i="212"/>
  <c r="BC2177" i="212"/>
  <c r="I2177" i="212"/>
  <c r="H2177" i="212"/>
  <c r="E2177" i="212"/>
  <c r="D2177" i="212"/>
  <c r="C2177" i="212"/>
  <c r="BE2176" i="212"/>
  <c r="BC2176" i="212"/>
  <c r="I2176" i="212"/>
  <c r="H2176" i="212"/>
  <c r="E2176" i="212"/>
  <c r="D2176" i="212"/>
  <c r="C2176" i="212"/>
  <c r="BE2175" i="212"/>
  <c r="BC2175" i="212"/>
  <c r="I2175" i="212"/>
  <c r="H2175" i="212"/>
  <c r="E2175" i="212"/>
  <c r="D2175" i="212"/>
  <c r="C2175" i="212"/>
  <c r="BE2174" i="212"/>
  <c r="BC2174" i="212"/>
  <c r="BA2174" i="212"/>
  <c r="I2174" i="212"/>
  <c r="H2174" i="212"/>
  <c r="E2174" i="212"/>
  <c r="D2174" i="212"/>
  <c r="C2174" i="212"/>
  <c r="BE2173" i="212"/>
  <c r="BC2173" i="212"/>
  <c r="I2173" i="212"/>
  <c r="H2173" i="212"/>
  <c r="E2173" i="212"/>
  <c r="D2173" i="212"/>
  <c r="C2173" i="212"/>
  <c r="BE2172" i="212"/>
  <c r="BC2172" i="212"/>
  <c r="I2172" i="212"/>
  <c r="H2172" i="212"/>
  <c r="E2172" i="212"/>
  <c r="D2172" i="212"/>
  <c r="C2172" i="212"/>
  <c r="BE2171" i="212"/>
  <c r="BC2171" i="212"/>
  <c r="I2171" i="212"/>
  <c r="H2171" i="212"/>
  <c r="E2171" i="212"/>
  <c r="D2171" i="212"/>
  <c r="C2171" i="212"/>
  <c r="BE2170" i="212"/>
  <c r="BC2170" i="212"/>
  <c r="I2170" i="212"/>
  <c r="H2170" i="212"/>
  <c r="E2170" i="212"/>
  <c r="D2170" i="212"/>
  <c r="C2170" i="212"/>
  <c r="BE2169" i="212"/>
  <c r="BD2169" i="212"/>
  <c r="BC2169" i="212"/>
  <c r="BA2169" i="212"/>
  <c r="I2169" i="212"/>
  <c r="H2169" i="212"/>
  <c r="E2169" i="212"/>
  <c r="D2169" i="212"/>
  <c r="C2169" i="212"/>
  <c r="BE2168" i="212"/>
  <c r="BC2168" i="212"/>
  <c r="I2168" i="212"/>
  <c r="H2168" i="212"/>
  <c r="E2168" i="212"/>
  <c r="D2168" i="212"/>
  <c r="C2168" i="212"/>
  <c r="BE2167" i="212"/>
  <c r="BC2167" i="212"/>
  <c r="I2167" i="212"/>
  <c r="H2167" i="212"/>
  <c r="E2167" i="212"/>
  <c r="D2167" i="212"/>
  <c r="C2167" i="212"/>
  <c r="BE2166" i="212"/>
  <c r="BC2166" i="212"/>
  <c r="I2166" i="212"/>
  <c r="H2166" i="212"/>
  <c r="E2166" i="212"/>
  <c r="D2166" i="212"/>
  <c r="C2166" i="212"/>
  <c r="BE2165" i="212"/>
  <c r="BC2165" i="212"/>
  <c r="I2165" i="212"/>
  <c r="H2165" i="212"/>
  <c r="E2165" i="212"/>
  <c r="D2165" i="212"/>
  <c r="C2165" i="212"/>
  <c r="BE2164" i="212"/>
  <c r="BC2164" i="212"/>
  <c r="I2164" i="212"/>
  <c r="H2164" i="212"/>
  <c r="E2164" i="212"/>
  <c r="D2164" i="212"/>
  <c r="C2164" i="212"/>
  <c r="BE2163" i="212"/>
  <c r="BC2163" i="212"/>
  <c r="I2163" i="212"/>
  <c r="H2163" i="212"/>
  <c r="E2163" i="212"/>
  <c r="D2163" i="212"/>
  <c r="C2163" i="212"/>
  <c r="BE2162" i="212"/>
  <c r="BC2162" i="212"/>
  <c r="I2162" i="212"/>
  <c r="H2162" i="212"/>
  <c r="E2162" i="212"/>
  <c r="D2162" i="212"/>
  <c r="C2162" i="212"/>
  <c r="BE2161" i="212"/>
  <c r="BC2161" i="212"/>
  <c r="I2161" i="212"/>
  <c r="H2161" i="212"/>
  <c r="E2161" i="212"/>
  <c r="D2161" i="212"/>
  <c r="C2161" i="212"/>
  <c r="BE2160" i="212"/>
  <c r="BC2160" i="212"/>
  <c r="I2160" i="212"/>
  <c r="H2160" i="212"/>
  <c r="E2160" i="212"/>
  <c r="D2160" i="212"/>
  <c r="C2160" i="212"/>
  <c r="BE2159" i="212"/>
  <c r="BC2159" i="212"/>
  <c r="I2159" i="212"/>
  <c r="H2159" i="212"/>
  <c r="E2159" i="212"/>
  <c r="D2159" i="212"/>
  <c r="C2159" i="212"/>
  <c r="BE2158" i="212"/>
  <c r="BC2158" i="212"/>
  <c r="I2158" i="212"/>
  <c r="H2158" i="212"/>
  <c r="E2158" i="212"/>
  <c r="D2158" i="212"/>
  <c r="C2158" i="212"/>
  <c r="BE2157" i="212"/>
  <c r="BC2157" i="212"/>
  <c r="I2157" i="212"/>
  <c r="H2157" i="212"/>
  <c r="E2157" i="212"/>
  <c r="D2157" i="212"/>
  <c r="C2157" i="212"/>
  <c r="BE2156" i="212"/>
  <c r="BC2156" i="212"/>
  <c r="I2156" i="212"/>
  <c r="H2156" i="212"/>
  <c r="E2156" i="212"/>
  <c r="D2156" i="212"/>
  <c r="C2156" i="212"/>
  <c r="BE2155" i="212"/>
  <c r="BC2155" i="212"/>
  <c r="I2155" i="212"/>
  <c r="H2155" i="212"/>
  <c r="E2155" i="212"/>
  <c r="D2155" i="212"/>
  <c r="C2155" i="212"/>
  <c r="BE2154" i="212"/>
  <c r="BC2154" i="212"/>
  <c r="I2154" i="212"/>
  <c r="H2154" i="212"/>
  <c r="E2154" i="212"/>
  <c r="D2154" i="212"/>
  <c r="C2154" i="212"/>
  <c r="BE2153" i="212"/>
  <c r="BC2153" i="212"/>
  <c r="I2153" i="212"/>
  <c r="H2153" i="212"/>
  <c r="E2153" i="212"/>
  <c r="D2153" i="212"/>
  <c r="C2153" i="212"/>
  <c r="BE2152" i="212"/>
  <c r="BC2152" i="212"/>
  <c r="I2152" i="212"/>
  <c r="H2152" i="212"/>
  <c r="E2152" i="212"/>
  <c r="D2152" i="212"/>
  <c r="C2152" i="212"/>
  <c r="BE2151" i="212"/>
  <c r="BC2151" i="212"/>
  <c r="I2151" i="212"/>
  <c r="H2151" i="212"/>
  <c r="E2151" i="212"/>
  <c r="D2151" i="212"/>
  <c r="C2151" i="212"/>
  <c r="BE2150" i="212"/>
  <c r="BC2150" i="212"/>
  <c r="I2150" i="212"/>
  <c r="H2150" i="212"/>
  <c r="E2150" i="212"/>
  <c r="D2150" i="212"/>
  <c r="C2150" i="212"/>
  <c r="BE2149" i="212"/>
  <c r="BC2149" i="212"/>
  <c r="I2149" i="212"/>
  <c r="H2149" i="212"/>
  <c r="E2149" i="212"/>
  <c r="D2149" i="212"/>
  <c r="C2149" i="212"/>
  <c r="BE2148" i="212"/>
  <c r="BC2148" i="212"/>
  <c r="I2148" i="212"/>
  <c r="H2148" i="212"/>
  <c r="E2148" i="212"/>
  <c r="D2148" i="212"/>
  <c r="C2148" i="212"/>
  <c r="BE2147" i="212"/>
  <c r="BC2147" i="212"/>
  <c r="I2147" i="212"/>
  <c r="H2147" i="212"/>
  <c r="E2147" i="212"/>
  <c r="D2147" i="212"/>
  <c r="C2147" i="212"/>
  <c r="BE2146" i="212"/>
  <c r="BC2146" i="212"/>
  <c r="I2146" i="212"/>
  <c r="H2146" i="212"/>
  <c r="E2146" i="212"/>
  <c r="D2146" i="212"/>
  <c r="C2146" i="212"/>
  <c r="BE2145" i="212"/>
  <c r="BC2145" i="212"/>
  <c r="I2145" i="212"/>
  <c r="H2145" i="212"/>
  <c r="E2145" i="212"/>
  <c r="D2145" i="212"/>
  <c r="C2145" i="212"/>
  <c r="BE2144" i="212"/>
  <c r="BC2144" i="212"/>
  <c r="BA2144" i="212"/>
  <c r="I2144" i="212"/>
  <c r="H2144" i="212"/>
  <c r="E2144" i="212"/>
  <c r="D2144" i="212"/>
  <c r="C2144" i="212"/>
  <c r="BE2143" i="212"/>
  <c r="BC2143" i="212"/>
  <c r="I2143" i="212"/>
  <c r="H2143" i="212"/>
  <c r="E2143" i="212"/>
  <c r="D2143" i="212"/>
  <c r="C2143" i="212"/>
  <c r="BE2142" i="212"/>
  <c r="BC2142" i="212"/>
  <c r="I2142" i="212"/>
  <c r="H2142" i="212"/>
  <c r="E2142" i="212"/>
  <c r="D2142" i="212"/>
  <c r="C2142" i="212"/>
  <c r="BE2141" i="212"/>
  <c r="BC2141" i="212"/>
  <c r="I2141" i="212"/>
  <c r="H2141" i="212"/>
  <c r="E2141" i="212"/>
  <c r="D2141" i="212"/>
  <c r="C2141" i="212"/>
  <c r="BE2140" i="212"/>
  <c r="BC2140" i="212"/>
  <c r="BA2140" i="212"/>
  <c r="I2140" i="212"/>
  <c r="H2140" i="212"/>
  <c r="E2140" i="212"/>
  <c r="D2140" i="212"/>
  <c r="C2140" i="212"/>
  <c r="BE2139" i="212"/>
  <c r="BC2139" i="212"/>
  <c r="I2139" i="212"/>
  <c r="H2139" i="212"/>
  <c r="E2139" i="212"/>
  <c r="D2139" i="212"/>
  <c r="C2139" i="212"/>
  <c r="BE2138" i="212"/>
  <c r="BC2138" i="212"/>
  <c r="I2138" i="212"/>
  <c r="H2138" i="212"/>
  <c r="E2138" i="212"/>
  <c r="D2138" i="212"/>
  <c r="C2138" i="212"/>
  <c r="BE2137" i="212"/>
  <c r="BC2137" i="212"/>
  <c r="I2137" i="212"/>
  <c r="H2137" i="212"/>
  <c r="E2137" i="212"/>
  <c r="D2137" i="212"/>
  <c r="C2137" i="212"/>
  <c r="BE2136" i="212"/>
  <c r="BC2136" i="212"/>
  <c r="I2136" i="212"/>
  <c r="H2136" i="212"/>
  <c r="E2136" i="212"/>
  <c r="D2136" i="212"/>
  <c r="C2136" i="212"/>
  <c r="BE2135" i="212"/>
  <c r="BC2135" i="212"/>
  <c r="I2135" i="212"/>
  <c r="H2135" i="212"/>
  <c r="E2135" i="212"/>
  <c r="D2135" i="212"/>
  <c r="C2135" i="212"/>
  <c r="BE2134" i="212"/>
  <c r="BC2134" i="212"/>
  <c r="I2134" i="212"/>
  <c r="H2134" i="212"/>
  <c r="E2134" i="212"/>
  <c r="D2134" i="212"/>
  <c r="C2134" i="212"/>
  <c r="BE2133" i="212"/>
  <c r="BC2133" i="212"/>
  <c r="I2133" i="212"/>
  <c r="H2133" i="212"/>
  <c r="E2133" i="212"/>
  <c r="D2133" i="212"/>
  <c r="C2133" i="212"/>
  <c r="BE2132" i="212"/>
  <c r="BC2132" i="212"/>
  <c r="I2132" i="212"/>
  <c r="H2132" i="212"/>
  <c r="E2132" i="212"/>
  <c r="D2132" i="212"/>
  <c r="C2132" i="212"/>
  <c r="BE2131" i="212"/>
  <c r="BC2131" i="212"/>
  <c r="I2131" i="212"/>
  <c r="H2131" i="212"/>
  <c r="E2131" i="212"/>
  <c r="D2131" i="212"/>
  <c r="C2131" i="212"/>
  <c r="BE2130" i="212"/>
  <c r="BC2130" i="212"/>
  <c r="I2130" i="212"/>
  <c r="H2130" i="212"/>
  <c r="E2130" i="212"/>
  <c r="D2130" i="212"/>
  <c r="C2130" i="212"/>
  <c r="BE2129" i="212"/>
  <c r="BC2129" i="212"/>
  <c r="I2129" i="212"/>
  <c r="H2129" i="212"/>
  <c r="E2129" i="212"/>
  <c r="D2129" i="212"/>
  <c r="C2129" i="212"/>
  <c r="BE2128" i="212"/>
  <c r="BC2128" i="212"/>
  <c r="I2128" i="212"/>
  <c r="H2128" i="212"/>
  <c r="E2128" i="212"/>
  <c r="D2128" i="212"/>
  <c r="C2128" i="212"/>
  <c r="BE2127" i="212"/>
  <c r="BC2127" i="212"/>
  <c r="I2127" i="212"/>
  <c r="H2127" i="212"/>
  <c r="E2127" i="212"/>
  <c r="D2127" i="212"/>
  <c r="C2127" i="212"/>
  <c r="BE2126" i="212"/>
  <c r="BC2126" i="212"/>
  <c r="BA2126" i="212"/>
  <c r="I2126" i="212"/>
  <c r="H2126" i="212"/>
  <c r="E2126" i="212"/>
  <c r="D2126" i="212"/>
  <c r="C2126" i="212"/>
  <c r="BE2125" i="212"/>
  <c r="BC2125" i="212"/>
  <c r="I2125" i="212"/>
  <c r="H2125" i="212"/>
  <c r="E2125" i="212"/>
  <c r="D2125" i="212"/>
  <c r="C2125" i="212"/>
  <c r="BE2124" i="212"/>
  <c r="BC2124" i="212"/>
  <c r="BA2124" i="212"/>
  <c r="I2124" i="212"/>
  <c r="H2124" i="212"/>
  <c r="E2124" i="212"/>
  <c r="D2124" i="212"/>
  <c r="C2124" i="212"/>
  <c r="BE2123" i="212"/>
  <c r="BD2123" i="212"/>
  <c r="BC2123" i="212"/>
  <c r="BA2123" i="212"/>
  <c r="I2123" i="212"/>
  <c r="H2123" i="212"/>
  <c r="E2123" i="212"/>
  <c r="D2123" i="212"/>
  <c r="C2123" i="212"/>
  <c r="BE2122" i="212"/>
  <c r="BC2122" i="212"/>
  <c r="I2122" i="212"/>
  <c r="H2122" i="212"/>
  <c r="E2122" i="212"/>
  <c r="D2122" i="212"/>
  <c r="C2122" i="212"/>
  <c r="BE2121" i="212"/>
  <c r="BC2121" i="212"/>
  <c r="I2121" i="212"/>
  <c r="H2121" i="212"/>
  <c r="E2121" i="212"/>
  <c r="D2121" i="212"/>
  <c r="C2121" i="212"/>
  <c r="BE2120" i="212"/>
  <c r="BC2120" i="212"/>
  <c r="I2120" i="212"/>
  <c r="H2120" i="212"/>
  <c r="E2120" i="212"/>
  <c r="D2120" i="212"/>
  <c r="C2120" i="212"/>
  <c r="BE2119" i="212"/>
  <c r="BC2119" i="212"/>
  <c r="I2119" i="212"/>
  <c r="H2119" i="212"/>
  <c r="E2119" i="212"/>
  <c r="D2119" i="212"/>
  <c r="C2119" i="212"/>
  <c r="BE2118" i="212"/>
  <c r="BC2118" i="212"/>
  <c r="I2118" i="212"/>
  <c r="H2118" i="212"/>
  <c r="E2118" i="212"/>
  <c r="D2118" i="212"/>
  <c r="C2118" i="212"/>
  <c r="BE2117" i="212"/>
  <c r="BC2117" i="212"/>
  <c r="I2117" i="212"/>
  <c r="H2117" i="212"/>
  <c r="E2117" i="212"/>
  <c r="D2117" i="212"/>
  <c r="C2117" i="212"/>
  <c r="BE2116" i="212"/>
  <c r="BC2116" i="212"/>
  <c r="I2116" i="212"/>
  <c r="H2116" i="212"/>
  <c r="E2116" i="212"/>
  <c r="D2116" i="212"/>
  <c r="C2116" i="212"/>
  <c r="BE2115" i="212"/>
  <c r="BC2115" i="212"/>
  <c r="I2115" i="212"/>
  <c r="H2115" i="212"/>
  <c r="E2115" i="212"/>
  <c r="D2115" i="212"/>
  <c r="C2115" i="212"/>
  <c r="BE2114" i="212"/>
  <c r="BC2114" i="212"/>
  <c r="I2114" i="212"/>
  <c r="H2114" i="212"/>
  <c r="E2114" i="212"/>
  <c r="D2114" i="212"/>
  <c r="C2114" i="212"/>
  <c r="BE2113" i="212"/>
  <c r="BC2113" i="212"/>
  <c r="I2113" i="212"/>
  <c r="H2113" i="212"/>
  <c r="E2113" i="212"/>
  <c r="D2113" i="212"/>
  <c r="C2113" i="212"/>
  <c r="BE2112" i="212"/>
  <c r="BC2112" i="212"/>
  <c r="I2112" i="212"/>
  <c r="H2112" i="212"/>
  <c r="E2112" i="212"/>
  <c r="D2112" i="212"/>
  <c r="C2112" i="212"/>
  <c r="BE2111" i="212"/>
  <c r="BC2111" i="212"/>
  <c r="BA2111" i="212"/>
  <c r="I2111" i="212"/>
  <c r="H2111" i="212"/>
  <c r="E2111" i="212"/>
  <c r="D2111" i="212"/>
  <c r="C2111" i="212"/>
  <c r="BE2110" i="212"/>
  <c r="BC2110" i="212"/>
  <c r="I2110" i="212"/>
  <c r="H2110" i="212"/>
  <c r="E2110" i="212"/>
  <c r="D2110" i="212"/>
  <c r="C2110" i="212"/>
  <c r="BE2109" i="212"/>
  <c r="BC2109" i="212"/>
  <c r="I2109" i="212"/>
  <c r="H2109" i="212"/>
  <c r="E2109" i="212"/>
  <c r="D2109" i="212"/>
  <c r="C2109" i="212"/>
  <c r="BE2108" i="212"/>
  <c r="BC2108" i="212"/>
  <c r="I2108" i="212"/>
  <c r="H2108" i="212"/>
  <c r="E2108" i="212"/>
  <c r="D2108" i="212"/>
  <c r="C2108" i="212"/>
  <c r="BE2107" i="212"/>
  <c r="BC2107" i="212"/>
  <c r="I2107" i="212"/>
  <c r="H2107" i="212"/>
  <c r="E2107" i="212"/>
  <c r="D2107" i="212"/>
  <c r="C2107" i="212"/>
  <c r="BE2106" i="212"/>
  <c r="BC2106" i="212"/>
  <c r="I2106" i="212"/>
  <c r="H2106" i="212"/>
  <c r="E2106" i="212"/>
  <c r="D2106" i="212"/>
  <c r="C2106" i="212"/>
  <c r="BE2105" i="212"/>
  <c r="BC2105" i="212"/>
  <c r="I2105" i="212"/>
  <c r="H2105" i="212"/>
  <c r="E2105" i="212"/>
  <c r="D2105" i="212"/>
  <c r="C2105" i="212"/>
  <c r="BE2104" i="212"/>
  <c r="BC2104" i="212"/>
  <c r="I2104" i="212"/>
  <c r="H2104" i="212"/>
  <c r="E2104" i="212"/>
  <c r="D2104" i="212"/>
  <c r="C2104" i="212"/>
  <c r="BE2103" i="212"/>
  <c r="BC2103" i="212"/>
  <c r="I2103" i="212"/>
  <c r="H2103" i="212"/>
  <c r="E2103" i="212"/>
  <c r="D2103" i="212"/>
  <c r="C2103" i="212"/>
  <c r="BE2102" i="212"/>
  <c r="BC2102" i="212"/>
  <c r="BA2102" i="212"/>
  <c r="I2102" i="212"/>
  <c r="H2102" i="212"/>
  <c r="E2102" i="212"/>
  <c r="D2102" i="212"/>
  <c r="C2102" i="212"/>
  <c r="BE2101" i="212"/>
  <c r="BC2101" i="212"/>
  <c r="I2101" i="212"/>
  <c r="H2101" i="212"/>
  <c r="E2101" i="212"/>
  <c r="D2101" i="212"/>
  <c r="C2101" i="212"/>
  <c r="BE2100" i="212"/>
  <c r="BC2100" i="212"/>
  <c r="I2100" i="212"/>
  <c r="H2100" i="212"/>
  <c r="E2100" i="212"/>
  <c r="D2100" i="212"/>
  <c r="C2100" i="212"/>
  <c r="BE2099" i="212"/>
  <c r="BC2099" i="212"/>
  <c r="I2099" i="212"/>
  <c r="H2099" i="212"/>
  <c r="E2099" i="212"/>
  <c r="D2099" i="212"/>
  <c r="C2099" i="212"/>
  <c r="BE2098" i="212"/>
  <c r="BC2098" i="212"/>
  <c r="I2098" i="212"/>
  <c r="H2098" i="212"/>
  <c r="E2098" i="212"/>
  <c r="D2098" i="212"/>
  <c r="C2098" i="212"/>
  <c r="BE2097" i="212"/>
  <c r="BC2097" i="212"/>
  <c r="I2097" i="212"/>
  <c r="H2097" i="212"/>
  <c r="E2097" i="212"/>
  <c r="D2097" i="212"/>
  <c r="C2097" i="212"/>
  <c r="BE2096" i="212"/>
  <c r="BC2096" i="212"/>
  <c r="I2096" i="212"/>
  <c r="H2096" i="212"/>
  <c r="E2096" i="212"/>
  <c r="D2096" i="212"/>
  <c r="C2096" i="212"/>
  <c r="BE2095" i="212"/>
  <c r="BC2095" i="212"/>
  <c r="I2095" i="212"/>
  <c r="H2095" i="212"/>
  <c r="E2095" i="212"/>
  <c r="D2095" i="212"/>
  <c r="C2095" i="212"/>
  <c r="BE2094" i="212"/>
  <c r="BC2094" i="212"/>
  <c r="I2094" i="212"/>
  <c r="H2094" i="212"/>
  <c r="E2094" i="212"/>
  <c r="D2094" i="212"/>
  <c r="C2094" i="212"/>
  <c r="BE2093" i="212"/>
  <c r="BD2093" i="212"/>
  <c r="BC2093" i="212"/>
  <c r="BA2093" i="212"/>
  <c r="I2093" i="212"/>
  <c r="H2093" i="212"/>
  <c r="E2093" i="212"/>
  <c r="D2093" i="212"/>
  <c r="C2093" i="212"/>
  <c r="BE2092" i="212"/>
  <c r="BC2092" i="212"/>
  <c r="I2092" i="212"/>
  <c r="H2092" i="212"/>
  <c r="E2092" i="212"/>
  <c r="D2092" i="212"/>
  <c r="C2092" i="212"/>
  <c r="BE2091" i="212"/>
  <c r="BC2091" i="212"/>
  <c r="I2091" i="212"/>
  <c r="H2091" i="212"/>
  <c r="E2091" i="212"/>
  <c r="D2091" i="212"/>
  <c r="C2091" i="212"/>
  <c r="BE2090" i="212"/>
  <c r="BC2090" i="212"/>
  <c r="I2090" i="212"/>
  <c r="H2090" i="212"/>
  <c r="E2090" i="212"/>
  <c r="D2090" i="212"/>
  <c r="C2090" i="212"/>
  <c r="BE2089" i="212"/>
  <c r="BC2089" i="212"/>
  <c r="I2089" i="212"/>
  <c r="H2089" i="212"/>
  <c r="E2089" i="212"/>
  <c r="D2089" i="212"/>
  <c r="C2089" i="212"/>
  <c r="BE2088" i="212"/>
  <c r="BC2088" i="212"/>
  <c r="I2088" i="212"/>
  <c r="H2088" i="212"/>
  <c r="E2088" i="212"/>
  <c r="D2088" i="212"/>
  <c r="C2088" i="212"/>
  <c r="BE2087" i="212"/>
  <c r="BC2087" i="212"/>
  <c r="I2087" i="212"/>
  <c r="H2087" i="212"/>
  <c r="E2087" i="212"/>
  <c r="D2087" i="212"/>
  <c r="C2087" i="212"/>
  <c r="BE2086" i="212"/>
  <c r="BC2086" i="212"/>
  <c r="I2086" i="212"/>
  <c r="H2086" i="212"/>
  <c r="E2086" i="212"/>
  <c r="D2086" i="212"/>
  <c r="C2086" i="212"/>
  <c r="BE2085" i="212"/>
  <c r="BC2085" i="212"/>
  <c r="BA2085" i="212"/>
  <c r="I2085" i="212"/>
  <c r="H2085" i="212"/>
  <c r="E2085" i="212"/>
  <c r="D2085" i="212"/>
  <c r="C2085" i="212"/>
  <c r="BE2084" i="212"/>
  <c r="BC2084" i="212"/>
  <c r="I2084" i="212"/>
  <c r="H2084" i="212"/>
  <c r="E2084" i="212"/>
  <c r="D2084" i="212"/>
  <c r="C2084" i="212"/>
  <c r="BE2083" i="212"/>
  <c r="BC2083" i="212"/>
  <c r="I2083" i="212"/>
  <c r="H2083" i="212"/>
  <c r="E2083" i="212"/>
  <c r="D2083" i="212"/>
  <c r="C2083" i="212"/>
  <c r="BE2082" i="212"/>
  <c r="BC2082" i="212"/>
  <c r="BA2082" i="212"/>
  <c r="I2082" i="212"/>
  <c r="H2082" i="212"/>
  <c r="E2082" i="212"/>
  <c r="D2082" i="212"/>
  <c r="C2082" i="212"/>
  <c r="BE2081" i="212"/>
  <c r="BC2081" i="212"/>
  <c r="I2081" i="212"/>
  <c r="H2081" i="212"/>
  <c r="E2081" i="212"/>
  <c r="D2081" i="212"/>
  <c r="C2081" i="212"/>
  <c r="BE2080" i="212"/>
  <c r="BC2080" i="212"/>
  <c r="I2080" i="212"/>
  <c r="H2080" i="212"/>
  <c r="E2080" i="212"/>
  <c r="D2080" i="212"/>
  <c r="C2080" i="212"/>
  <c r="BE2079" i="212"/>
  <c r="BC2079" i="212"/>
  <c r="I2079" i="212"/>
  <c r="H2079" i="212"/>
  <c r="E2079" i="212"/>
  <c r="D2079" i="212"/>
  <c r="C2079" i="212"/>
  <c r="BE2078" i="212"/>
  <c r="BD2078" i="212"/>
  <c r="BC2078" i="212"/>
  <c r="BA2078" i="212"/>
  <c r="I2078" i="212"/>
  <c r="H2078" i="212"/>
  <c r="E2078" i="212"/>
  <c r="D2078" i="212"/>
  <c r="C2078" i="212"/>
  <c r="BE2077" i="212"/>
  <c r="BC2077" i="212"/>
  <c r="I2077" i="212"/>
  <c r="H2077" i="212"/>
  <c r="E2077" i="212"/>
  <c r="D2077" i="212"/>
  <c r="C2077" i="212"/>
  <c r="BE2076" i="212"/>
  <c r="BC2076" i="212"/>
  <c r="I2076" i="212"/>
  <c r="H2076" i="212"/>
  <c r="E2076" i="212"/>
  <c r="D2076" i="212"/>
  <c r="C2076" i="212"/>
  <c r="BE2075" i="212"/>
  <c r="BC2075" i="212"/>
  <c r="I2075" i="212"/>
  <c r="H2075" i="212"/>
  <c r="E2075" i="212"/>
  <c r="D2075" i="212"/>
  <c r="C2075" i="212"/>
  <c r="BE2074" i="212"/>
  <c r="BC2074" i="212"/>
  <c r="I2074" i="212"/>
  <c r="H2074" i="212"/>
  <c r="E2074" i="212"/>
  <c r="D2074" i="212"/>
  <c r="C2074" i="212"/>
  <c r="BE2073" i="212"/>
  <c r="BC2073" i="212"/>
  <c r="I2073" i="212"/>
  <c r="H2073" i="212"/>
  <c r="E2073" i="212"/>
  <c r="D2073" i="212"/>
  <c r="C2073" i="212"/>
  <c r="BE2072" i="212"/>
  <c r="BC2072" i="212"/>
  <c r="I2072" i="212"/>
  <c r="H2072" i="212"/>
  <c r="E2072" i="212"/>
  <c r="D2072" i="212"/>
  <c r="C2072" i="212"/>
  <c r="BE2071" i="212"/>
  <c r="BC2071" i="212"/>
  <c r="I2071" i="212"/>
  <c r="H2071" i="212"/>
  <c r="E2071" i="212"/>
  <c r="D2071" i="212"/>
  <c r="C2071" i="212"/>
  <c r="BE2070" i="212"/>
  <c r="BC2070" i="212"/>
  <c r="I2070" i="212"/>
  <c r="H2070" i="212"/>
  <c r="E2070" i="212"/>
  <c r="D2070" i="212"/>
  <c r="C2070" i="212"/>
  <c r="BE2069" i="212"/>
  <c r="BC2069" i="212"/>
  <c r="I2069" i="212"/>
  <c r="H2069" i="212"/>
  <c r="E2069" i="212"/>
  <c r="D2069" i="212"/>
  <c r="C2069" i="212"/>
  <c r="BE2068" i="212"/>
  <c r="BC2068" i="212"/>
  <c r="I2068" i="212"/>
  <c r="H2068" i="212"/>
  <c r="E2068" i="212"/>
  <c r="D2068" i="212"/>
  <c r="C2068" i="212"/>
  <c r="BE2067" i="212"/>
  <c r="BC2067" i="212"/>
  <c r="I2067" i="212"/>
  <c r="H2067" i="212"/>
  <c r="E2067" i="212"/>
  <c r="D2067" i="212"/>
  <c r="C2067" i="212"/>
  <c r="BE2066" i="212"/>
  <c r="BD2066" i="212"/>
  <c r="BC2066" i="212"/>
  <c r="BA2066" i="212"/>
  <c r="I2066" i="212"/>
  <c r="H2066" i="212"/>
  <c r="E2066" i="212"/>
  <c r="D2066" i="212"/>
  <c r="C2066" i="212"/>
  <c r="BE2065" i="212"/>
  <c r="BC2065" i="212"/>
  <c r="I2065" i="212"/>
  <c r="H2065" i="212"/>
  <c r="E2065" i="212"/>
  <c r="D2065" i="212"/>
  <c r="C2065" i="212"/>
  <c r="BE2064" i="212"/>
  <c r="BC2064" i="212"/>
  <c r="I2064" i="212"/>
  <c r="H2064" i="212"/>
  <c r="E2064" i="212"/>
  <c r="D2064" i="212"/>
  <c r="C2064" i="212"/>
  <c r="BE2063" i="212"/>
  <c r="BC2063" i="212"/>
  <c r="I2063" i="212"/>
  <c r="H2063" i="212"/>
  <c r="E2063" i="212"/>
  <c r="D2063" i="212"/>
  <c r="C2063" i="212"/>
  <c r="BE2062" i="212"/>
  <c r="BC2062" i="212"/>
  <c r="I2062" i="212"/>
  <c r="H2062" i="212"/>
  <c r="E2062" i="212"/>
  <c r="D2062" i="212"/>
  <c r="C2062" i="212"/>
  <c r="BE2061" i="212"/>
  <c r="BC2061" i="212"/>
  <c r="I2061" i="212"/>
  <c r="H2061" i="212"/>
  <c r="E2061" i="212"/>
  <c r="D2061" i="212"/>
  <c r="C2061" i="212"/>
  <c r="BE2060" i="212"/>
  <c r="BC2060" i="212"/>
  <c r="I2060" i="212"/>
  <c r="H2060" i="212"/>
  <c r="E2060" i="212"/>
  <c r="D2060" i="212"/>
  <c r="C2060" i="212"/>
  <c r="BE2059" i="212"/>
  <c r="BC2059" i="212"/>
  <c r="BA2059" i="212"/>
  <c r="I2059" i="212"/>
  <c r="H2059" i="212"/>
  <c r="E2059" i="212"/>
  <c r="D2059" i="212"/>
  <c r="C2059" i="212"/>
  <c r="BE2058" i="212"/>
  <c r="BC2058" i="212"/>
  <c r="I2058" i="212"/>
  <c r="H2058" i="212"/>
  <c r="E2058" i="212"/>
  <c r="D2058" i="212"/>
  <c r="C2058" i="212"/>
  <c r="BE2057" i="212"/>
  <c r="BC2057" i="212"/>
  <c r="I2057" i="212"/>
  <c r="H2057" i="212"/>
  <c r="E2057" i="212"/>
  <c r="D2057" i="212"/>
  <c r="C2057" i="212"/>
  <c r="BE2056" i="212"/>
  <c r="BC2056" i="212"/>
  <c r="I2056" i="212"/>
  <c r="H2056" i="212"/>
  <c r="E2056" i="212"/>
  <c r="D2056" i="212"/>
  <c r="C2056" i="212"/>
  <c r="BE2055" i="212"/>
  <c r="BC2055" i="212"/>
  <c r="I2055" i="212"/>
  <c r="H2055" i="212"/>
  <c r="E2055" i="212"/>
  <c r="D2055" i="212"/>
  <c r="C2055" i="212"/>
  <c r="BE2054" i="212"/>
  <c r="BC2054" i="212"/>
  <c r="I2054" i="212"/>
  <c r="H2054" i="212"/>
  <c r="E2054" i="212"/>
  <c r="D2054" i="212"/>
  <c r="C2054" i="212"/>
  <c r="BE2053" i="212"/>
  <c r="BC2053" i="212"/>
  <c r="I2053" i="212"/>
  <c r="H2053" i="212"/>
  <c r="E2053" i="212"/>
  <c r="D2053" i="212"/>
  <c r="C2053" i="212"/>
  <c r="BE2052" i="212"/>
  <c r="BC2052" i="212"/>
  <c r="I2052" i="212"/>
  <c r="H2052" i="212"/>
  <c r="E2052" i="212"/>
  <c r="D2052" i="212"/>
  <c r="C2052" i="212"/>
  <c r="BE2051" i="212"/>
  <c r="BC2051" i="212"/>
  <c r="I2051" i="212"/>
  <c r="H2051" i="212"/>
  <c r="E2051" i="212"/>
  <c r="D2051" i="212"/>
  <c r="C2051" i="212"/>
  <c r="BE2050" i="212"/>
  <c r="BC2050" i="212"/>
  <c r="I2050" i="212"/>
  <c r="H2050" i="212"/>
  <c r="E2050" i="212"/>
  <c r="D2050" i="212"/>
  <c r="C2050" i="212"/>
  <c r="BE2049" i="212"/>
  <c r="BC2049" i="212"/>
  <c r="I2049" i="212"/>
  <c r="H2049" i="212"/>
  <c r="E2049" i="212"/>
  <c r="D2049" i="212"/>
  <c r="C2049" i="212"/>
  <c r="BE2048" i="212"/>
  <c r="BC2048" i="212"/>
  <c r="I2048" i="212"/>
  <c r="H2048" i="212"/>
  <c r="E2048" i="212"/>
  <c r="D2048" i="212"/>
  <c r="C2048" i="212"/>
  <c r="BE2047" i="212"/>
  <c r="BC2047" i="212"/>
  <c r="I2047" i="212"/>
  <c r="H2047" i="212"/>
  <c r="E2047" i="212"/>
  <c r="D2047" i="212"/>
  <c r="C2047" i="212"/>
  <c r="BE2046" i="212"/>
  <c r="BC2046" i="212"/>
  <c r="I2046" i="212"/>
  <c r="H2046" i="212"/>
  <c r="E2046" i="212"/>
  <c r="D2046" i="212"/>
  <c r="C2046" i="212"/>
  <c r="BE2045" i="212"/>
  <c r="BC2045" i="212"/>
  <c r="I2045" i="212"/>
  <c r="H2045" i="212"/>
  <c r="E2045" i="212"/>
  <c r="D2045" i="212"/>
  <c r="C2045" i="212"/>
  <c r="BE2044" i="212"/>
  <c r="BC2044" i="212"/>
  <c r="I2044" i="212"/>
  <c r="H2044" i="212"/>
  <c r="E2044" i="212"/>
  <c r="D2044" i="212"/>
  <c r="C2044" i="212"/>
  <c r="BE2043" i="212"/>
  <c r="BC2043" i="212"/>
  <c r="I2043" i="212"/>
  <c r="H2043" i="212"/>
  <c r="E2043" i="212"/>
  <c r="D2043" i="212"/>
  <c r="C2043" i="212"/>
  <c r="BE2042" i="212"/>
  <c r="BC2042" i="212"/>
  <c r="I2042" i="212"/>
  <c r="H2042" i="212"/>
  <c r="E2042" i="212"/>
  <c r="D2042" i="212"/>
  <c r="C2042" i="212"/>
  <c r="BE2041" i="212"/>
  <c r="BC2041" i="212"/>
  <c r="I2041" i="212"/>
  <c r="H2041" i="212"/>
  <c r="E2041" i="212"/>
  <c r="D2041" i="212"/>
  <c r="C2041" i="212"/>
  <c r="BE2040" i="212"/>
  <c r="BC2040" i="212"/>
  <c r="I2040" i="212"/>
  <c r="H2040" i="212"/>
  <c r="E2040" i="212"/>
  <c r="D2040" i="212"/>
  <c r="C2040" i="212"/>
  <c r="BE2039" i="212"/>
  <c r="BC2039" i="212"/>
  <c r="I2039" i="212"/>
  <c r="H2039" i="212"/>
  <c r="E2039" i="212"/>
  <c r="D2039" i="212"/>
  <c r="C2039" i="212"/>
  <c r="BE2038" i="212"/>
  <c r="BC2038" i="212"/>
  <c r="I2038" i="212"/>
  <c r="H2038" i="212"/>
  <c r="E2038" i="212"/>
  <c r="D2038" i="212"/>
  <c r="C2038" i="212"/>
  <c r="BE2037" i="212"/>
  <c r="BC2037" i="212"/>
  <c r="I2037" i="212"/>
  <c r="H2037" i="212"/>
  <c r="E2037" i="212"/>
  <c r="D2037" i="212"/>
  <c r="C2037" i="212"/>
  <c r="BE2036" i="212"/>
  <c r="BC2036" i="212"/>
  <c r="I2036" i="212"/>
  <c r="H2036" i="212"/>
  <c r="E2036" i="212"/>
  <c r="D2036" i="212"/>
  <c r="C2036" i="212"/>
  <c r="BE2035" i="212"/>
  <c r="BC2035" i="212"/>
  <c r="I2035" i="212"/>
  <c r="H2035" i="212"/>
  <c r="E2035" i="212"/>
  <c r="D2035" i="212"/>
  <c r="C2035" i="212"/>
  <c r="BE2034" i="212"/>
  <c r="BC2034" i="212"/>
  <c r="I2034" i="212"/>
  <c r="H2034" i="212"/>
  <c r="E2034" i="212"/>
  <c r="D2034" i="212"/>
  <c r="C2034" i="212"/>
  <c r="BE2033" i="212"/>
  <c r="BC2033" i="212"/>
  <c r="I2033" i="212"/>
  <c r="H2033" i="212"/>
  <c r="E2033" i="212"/>
  <c r="D2033" i="212"/>
  <c r="C2033" i="212"/>
  <c r="BE2032" i="212"/>
  <c r="BC2032" i="212"/>
  <c r="I2032" i="212"/>
  <c r="H2032" i="212"/>
  <c r="E2032" i="212"/>
  <c r="D2032" i="212"/>
  <c r="C2032" i="212"/>
  <c r="BE2031" i="212"/>
  <c r="BC2031" i="212"/>
  <c r="BA2031" i="212"/>
  <c r="I2031" i="212"/>
  <c r="H2031" i="212"/>
  <c r="E2031" i="212"/>
  <c r="D2031" i="212"/>
  <c r="C2031" i="212"/>
  <c r="BE2030" i="212"/>
  <c r="BC2030" i="212"/>
  <c r="I2030" i="212"/>
  <c r="H2030" i="212"/>
  <c r="E2030" i="212"/>
  <c r="D2030" i="212"/>
  <c r="C2030" i="212"/>
  <c r="BE2029" i="212"/>
  <c r="BC2029" i="212"/>
  <c r="I2029" i="212"/>
  <c r="H2029" i="212"/>
  <c r="E2029" i="212"/>
  <c r="D2029" i="212"/>
  <c r="C2029" i="212"/>
  <c r="BE2028" i="212"/>
  <c r="BC2028" i="212"/>
  <c r="I2028" i="212"/>
  <c r="H2028" i="212"/>
  <c r="E2028" i="212"/>
  <c r="D2028" i="212"/>
  <c r="C2028" i="212"/>
  <c r="BE2027" i="212"/>
  <c r="BC2027" i="212"/>
  <c r="I2027" i="212"/>
  <c r="H2027" i="212"/>
  <c r="E2027" i="212"/>
  <c r="D2027" i="212"/>
  <c r="C2027" i="212"/>
  <c r="BE2026" i="212"/>
  <c r="BC2026" i="212"/>
  <c r="BA2026" i="212"/>
  <c r="I2026" i="212"/>
  <c r="H2026" i="212"/>
  <c r="E2026" i="212"/>
  <c r="D2026" i="212"/>
  <c r="C2026" i="212"/>
  <c r="BE2025" i="212"/>
  <c r="BC2025" i="212"/>
  <c r="I2025" i="212"/>
  <c r="H2025" i="212"/>
  <c r="E2025" i="212"/>
  <c r="D2025" i="212"/>
  <c r="C2025" i="212"/>
  <c r="BE2024" i="212"/>
  <c r="BC2024" i="212"/>
  <c r="I2024" i="212"/>
  <c r="H2024" i="212"/>
  <c r="E2024" i="212"/>
  <c r="D2024" i="212"/>
  <c r="C2024" i="212"/>
  <c r="BE2023" i="212"/>
  <c r="BC2023" i="212"/>
  <c r="I2023" i="212"/>
  <c r="H2023" i="212"/>
  <c r="E2023" i="212"/>
  <c r="D2023" i="212"/>
  <c r="C2023" i="212"/>
  <c r="BE2022" i="212"/>
  <c r="BC2022" i="212"/>
  <c r="I2022" i="212"/>
  <c r="H2022" i="212"/>
  <c r="E2022" i="212"/>
  <c r="D2022" i="212"/>
  <c r="C2022" i="212"/>
  <c r="BE2021" i="212"/>
  <c r="BC2021" i="212"/>
  <c r="I2021" i="212"/>
  <c r="H2021" i="212"/>
  <c r="E2021" i="212"/>
  <c r="D2021" i="212"/>
  <c r="C2021" i="212"/>
  <c r="BE2020" i="212"/>
  <c r="BC2020" i="212"/>
  <c r="I2020" i="212"/>
  <c r="H2020" i="212"/>
  <c r="E2020" i="212"/>
  <c r="D2020" i="212"/>
  <c r="C2020" i="212"/>
  <c r="BE2019" i="212"/>
  <c r="BC2019" i="212"/>
  <c r="I2019" i="212"/>
  <c r="H2019" i="212"/>
  <c r="E2019" i="212"/>
  <c r="D2019" i="212"/>
  <c r="C2019" i="212"/>
  <c r="BE2018" i="212"/>
  <c r="BC2018" i="212"/>
  <c r="I2018" i="212"/>
  <c r="H2018" i="212"/>
  <c r="E2018" i="212"/>
  <c r="D2018" i="212"/>
  <c r="C2018" i="212"/>
  <c r="BE2017" i="212"/>
  <c r="BC2017" i="212"/>
  <c r="I2017" i="212"/>
  <c r="H2017" i="212"/>
  <c r="E2017" i="212"/>
  <c r="D2017" i="212"/>
  <c r="C2017" i="212"/>
  <c r="BE2016" i="212"/>
  <c r="BC2016" i="212"/>
  <c r="BA2016" i="212"/>
  <c r="I2016" i="212"/>
  <c r="H2016" i="212"/>
  <c r="E2016" i="212"/>
  <c r="D2016" i="212"/>
  <c r="C2016" i="212"/>
  <c r="BE2015" i="212"/>
  <c r="BD2015" i="212"/>
  <c r="BC2015" i="212"/>
  <c r="BA2015" i="212"/>
  <c r="I2015" i="212"/>
  <c r="H2015" i="212"/>
  <c r="E2015" i="212"/>
  <c r="D2015" i="212"/>
  <c r="C2015" i="212"/>
  <c r="BE2014" i="212"/>
  <c r="BC2014" i="212"/>
  <c r="I2014" i="212"/>
  <c r="H2014" i="212"/>
  <c r="E2014" i="212"/>
  <c r="D2014" i="212"/>
  <c r="C2014" i="212"/>
  <c r="BE2013" i="212"/>
  <c r="BC2013" i="212"/>
  <c r="I2013" i="212"/>
  <c r="H2013" i="212"/>
  <c r="E2013" i="212"/>
  <c r="D2013" i="212"/>
  <c r="C2013" i="212"/>
  <c r="BE2012" i="212"/>
  <c r="BC2012" i="212"/>
  <c r="BA2012" i="212"/>
  <c r="I2012" i="212"/>
  <c r="H2012" i="212"/>
  <c r="E2012" i="212"/>
  <c r="D2012" i="212"/>
  <c r="C2012" i="212"/>
  <c r="BE2011" i="212"/>
  <c r="BC2011" i="212"/>
  <c r="I2011" i="212"/>
  <c r="H2011" i="212"/>
  <c r="E2011" i="212"/>
  <c r="D2011" i="212"/>
  <c r="C2011" i="212"/>
  <c r="BE2010" i="212"/>
  <c r="BC2010" i="212"/>
  <c r="BA2010" i="212"/>
  <c r="I2010" i="212"/>
  <c r="H2010" i="212"/>
  <c r="E2010" i="212"/>
  <c r="D2010" i="212"/>
  <c r="C2010" i="212"/>
  <c r="BE2009" i="212"/>
  <c r="BD2009" i="212"/>
  <c r="BC2009" i="212"/>
  <c r="BA2009" i="212"/>
  <c r="I2009" i="212"/>
  <c r="H2009" i="212"/>
  <c r="E2009" i="212"/>
  <c r="D2009" i="212"/>
  <c r="C2009" i="212"/>
  <c r="BE2008" i="212"/>
  <c r="BC2008" i="212"/>
  <c r="I2008" i="212"/>
  <c r="H2008" i="212"/>
  <c r="E2008" i="212"/>
  <c r="D2008" i="212"/>
  <c r="C2008" i="212"/>
  <c r="BE2007" i="212"/>
  <c r="BC2007" i="212"/>
  <c r="I2007" i="212"/>
  <c r="H2007" i="212"/>
  <c r="E2007" i="212"/>
  <c r="D2007" i="212"/>
  <c r="C2007" i="212"/>
  <c r="BE2006" i="212"/>
  <c r="BC2006" i="212"/>
  <c r="I2006" i="212"/>
  <c r="H2006" i="212"/>
  <c r="E2006" i="212"/>
  <c r="D2006" i="212"/>
  <c r="C2006" i="212"/>
  <c r="BE2005" i="212"/>
  <c r="BC2005" i="212"/>
  <c r="I2005" i="212"/>
  <c r="H2005" i="212"/>
  <c r="E2005" i="212"/>
  <c r="D2005" i="212"/>
  <c r="C2005" i="212"/>
  <c r="BE2004" i="212"/>
  <c r="BC2004" i="212"/>
  <c r="I2004" i="212"/>
  <c r="H2004" i="212"/>
  <c r="E2004" i="212"/>
  <c r="D2004" i="212"/>
  <c r="C2004" i="212"/>
  <c r="BE2003" i="212"/>
  <c r="BC2003" i="212"/>
  <c r="I2003" i="212"/>
  <c r="H2003" i="212"/>
  <c r="E2003" i="212"/>
  <c r="D2003" i="212"/>
  <c r="C2003" i="212"/>
  <c r="BE2002" i="212"/>
  <c r="BC2002" i="212"/>
  <c r="I2002" i="212"/>
  <c r="H2002" i="212"/>
  <c r="E2002" i="212"/>
  <c r="D2002" i="212"/>
  <c r="C2002" i="212"/>
  <c r="BE2001" i="212"/>
  <c r="BC2001" i="212"/>
  <c r="I2001" i="212"/>
  <c r="H2001" i="212"/>
  <c r="E2001" i="212"/>
  <c r="D2001" i="212"/>
  <c r="C2001" i="212"/>
  <c r="BE2000" i="212"/>
  <c r="BC2000" i="212"/>
  <c r="I2000" i="212"/>
  <c r="H2000" i="212"/>
  <c r="E2000" i="212"/>
  <c r="D2000" i="212"/>
  <c r="C2000" i="212"/>
  <c r="BE1999" i="212"/>
  <c r="BC1999" i="212"/>
  <c r="I1999" i="212"/>
  <c r="H1999" i="212"/>
  <c r="E1999" i="212"/>
  <c r="D1999" i="212"/>
  <c r="C1999" i="212"/>
  <c r="BE1998" i="212"/>
  <c r="BC1998" i="212"/>
  <c r="I1998" i="212"/>
  <c r="H1998" i="212"/>
  <c r="E1998" i="212"/>
  <c r="D1998" i="212"/>
  <c r="C1998" i="212"/>
  <c r="BE1997" i="212"/>
  <c r="BC1997" i="212"/>
  <c r="I1997" i="212"/>
  <c r="H1997" i="212"/>
  <c r="E1997" i="212"/>
  <c r="D1997" i="212"/>
  <c r="C1997" i="212"/>
  <c r="BE1996" i="212"/>
  <c r="BC1996" i="212"/>
  <c r="BA1996" i="212"/>
  <c r="I1996" i="212"/>
  <c r="H1996" i="212"/>
  <c r="E1996" i="212"/>
  <c r="D1996" i="212"/>
  <c r="C1996" i="212"/>
  <c r="BE1995" i="212"/>
  <c r="BC1995" i="212"/>
  <c r="I1995" i="212"/>
  <c r="H1995" i="212"/>
  <c r="E1995" i="212"/>
  <c r="D1995" i="212"/>
  <c r="C1995" i="212"/>
  <c r="BE1994" i="212"/>
  <c r="BC1994" i="212"/>
  <c r="I1994" i="212"/>
  <c r="H1994" i="212"/>
  <c r="E1994" i="212"/>
  <c r="D1994" i="212"/>
  <c r="C1994" i="212"/>
  <c r="BE1993" i="212"/>
  <c r="BC1993" i="212"/>
  <c r="I1993" i="212"/>
  <c r="H1993" i="212"/>
  <c r="E1993" i="212"/>
  <c r="D1993" i="212"/>
  <c r="C1993" i="212"/>
  <c r="BE1992" i="212"/>
  <c r="BC1992" i="212"/>
  <c r="I1992" i="212"/>
  <c r="H1992" i="212"/>
  <c r="E1992" i="212"/>
  <c r="D1992" i="212"/>
  <c r="C1992" i="212"/>
  <c r="BE1991" i="212"/>
  <c r="BC1991" i="212"/>
  <c r="I1991" i="212"/>
  <c r="H1991" i="212"/>
  <c r="E1991" i="212"/>
  <c r="D1991" i="212"/>
  <c r="C1991" i="212"/>
  <c r="BE1990" i="212"/>
  <c r="BC1990" i="212"/>
  <c r="I1990" i="212"/>
  <c r="H1990" i="212"/>
  <c r="E1990" i="212"/>
  <c r="D1990" i="212"/>
  <c r="C1990" i="212"/>
  <c r="BE1989" i="212"/>
  <c r="BC1989" i="212"/>
  <c r="I1989" i="212"/>
  <c r="H1989" i="212"/>
  <c r="E1989" i="212"/>
  <c r="D1989" i="212"/>
  <c r="C1989" i="212"/>
  <c r="BE1988" i="212"/>
  <c r="BC1988" i="212"/>
  <c r="I1988" i="212"/>
  <c r="H1988" i="212"/>
  <c r="E1988" i="212"/>
  <c r="D1988" i="212"/>
  <c r="C1988" i="212"/>
  <c r="BE1987" i="212"/>
  <c r="BC1987" i="212"/>
  <c r="BA1987" i="212"/>
  <c r="I1987" i="212"/>
  <c r="H1987" i="212"/>
  <c r="E1987" i="212"/>
  <c r="D1987" i="212"/>
  <c r="C1987" i="212"/>
  <c r="BE1986" i="212"/>
  <c r="BC1986" i="212"/>
  <c r="I1986" i="212"/>
  <c r="H1986" i="212"/>
  <c r="E1986" i="212"/>
  <c r="D1986" i="212"/>
  <c r="C1986" i="212"/>
  <c r="BE1985" i="212"/>
  <c r="BC1985" i="212"/>
  <c r="I1985" i="212"/>
  <c r="H1985" i="212"/>
  <c r="E1985" i="212"/>
  <c r="D1985" i="212"/>
  <c r="C1985" i="212"/>
  <c r="BE1984" i="212"/>
  <c r="BC1984" i="212"/>
  <c r="I1984" i="212"/>
  <c r="H1984" i="212"/>
  <c r="E1984" i="212"/>
  <c r="D1984" i="212"/>
  <c r="C1984" i="212"/>
  <c r="BE1983" i="212"/>
  <c r="BC1983" i="212"/>
  <c r="I1983" i="212"/>
  <c r="H1983" i="212"/>
  <c r="E1983" i="212"/>
  <c r="D1983" i="212"/>
  <c r="C1983" i="212"/>
  <c r="BE1982" i="212"/>
  <c r="BC1982" i="212"/>
  <c r="I1982" i="212"/>
  <c r="H1982" i="212"/>
  <c r="E1982" i="212"/>
  <c r="D1982" i="212"/>
  <c r="C1982" i="212"/>
  <c r="BE1981" i="212"/>
  <c r="BC1981" i="212"/>
  <c r="I1981" i="212"/>
  <c r="H1981" i="212"/>
  <c r="E1981" i="212"/>
  <c r="D1981" i="212"/>
  <c r="C1981" i="212"/>
  <c r="BE1980" i="212"/>
  <c r="BC1980" i="212"/>
  <c r="I1980" i="212"/>
  <c r="H1980" i="212"/>
  <c r="E1980" i="212"/>
  <c r="D1980" i="212"/>
  <c r="C1980" i="212"/>
  <c r="BE1979" i="212"/>
  <c r="BC1979" i="212"/>
  <c r="I1979" i="212"/>
  <c r="H1979" i="212"/>
  <c r="E1979" i="212"/>
  <c r="D1979" i="212"/>
  <c r="C1979" i="212"/>
  <c r="BE1978" i="212"/>
  <c r="BC1978" i="212"/>
  <c r="I1978" i="212"/>
  <c r="H1978" i="212"/>
  <c r="E1978" i="212"/>
  <c r="D1978" i="212"/>
  <c r="C1978" i="212"/>
  <c r="BE1977" i="212"/>
  <c r="BC1977" i="212"/>
  <c r="I1977" i="212"/>
  <c r="H1977" i="212"/>
  <c r="E1977" i="212"/>
  <c r="D1977" i="212"/>
  <c r="C1977" i="212"/>
  <c r="BE1976" i="212"/>
  <c r="BC1976" i="212"/>
  <c r="I1976" i="212"/>
  <c r="H1976" i="212"/>
  <c r="E1976" i="212"/>
  <c r="D1976" i="212"/>
  <c r="C1976" i="212"/>
  <c r="BE1975" i="212"/>
  <c r="BC1975" i="212"/>
  <c r="I1975" i="212"/>
  <c r="H1975" i="212"/>
  <c r="E1975" i="212"/>
  <c r="D1975" i="212"/>
  <c r="C1975" i="212"/>
  <c r="BE1974" i="212"/>
  <c r="BC1974" i="212"/>
  <c r="I1974" i="212"/>
  <c r="H1974" i="212"/>
  <c r="E1974" i="212"/>
  <c r="D1974" i="212"/>
  <c r="C1974" i="212"/>
  <c r="BE1973" i="212"/>
  <c r="BC1973" i="212"/>
  <c r="I1973" i="212"/>
  <c r="H1973" i="212"/>
  <c r="E1973" i="212"/>
  <c r="D1973" i="212"/>
  <c r="C1973" i="212"/>
  <c r="BE1972" i="212"/>
  <c r="BC1972" i="212"/>
  <c r="I1972" i="212"/>
  <c r="H1972" i="212"/>
  <c r="E1972" i="212"/>
  <c r="D1972" i="212"/>
  <c r="C1972" i="212"/>
  <c r="BE1971" i="212"/>
  <c r="BC1971" i="212"/>
  <c r="I1971" i="212"/>
  <c r="H1971" i="212"/>
  <c r="E1971" i="212"/>
  <c r="D1971" i="212"/>
  <c r="C1971" i="212"/>
  <c r="BE1970" i="212"/>
  <c r="BC1970" i="212"/>
  <c r="I1970" i="212"/>
  <c r="H1970" i="212"/>
  <c r="E1970" i="212"/>
  <c r="D1970" i="212"/>
  <c r="C1970" i="212"/>
  <c r="BE1969" i="212"/>
  <c r="BC1969" i="212"/>
  <c r="I1969" i="212"/>
  <c r="H1969" i="212"/>
  <c r="E1969" i="212"/>
  <c r="D1969" i="212"/>
  <c r="C1969" i="212"/>
  <c r="BE1968" i="212"/>
  <c r="BC1968" i="212"/>
  <c r="I1968" i="212"/>
  <c r="H1968" i="212"/>
  <c r="E1968" i="212"/>
  <c r="D1968" i="212"/>
  <c r="C1968" i="212"/>
  <c r="BE1967" i="212"/>
  <c r="BC1967" i="212"/>
  <c r="BA1967" i="212"/>
  <c r="I1967" i="212"/>
  <c r="H1967" i="212"/>
  <c r="E1967" i="212"/>
  <c r="D1967" i="212"/>
  <c r="C1967" i="212"/>
  <c r="BE1966" i="212"/>
  <c r="BC1966" i="212"/>
  <c r="I1966" i="212"/>
  <c r="H1966" i="212"/>
  <c r="E1966" i="212"/>
  <c r="D1966" i="212"/>
  <c r="C1966" i="212"/>
  <c r="BE1965" i="212"/>
  <c r="BC1965" i="212"/>
  <c r="I1965" i="212"/>
  <c r="H1965" i="212"/>
  <c r="E1965" i="212"/>
  <c r="D1965" i="212"/>
  <c r="C1965" i="212"/>
  <c r="BE1964" i="212"/>
  <c r="BC1964" i="212"/>
  <c r="I1964" i="212"/>
  <c r="H1964" i="212"/>
  <c r="E1964" i="212"/>
  <c r="D1964" i="212"/>
  <c r="C1964" i="212"/>
  <c r="BE1963" i="212"/>
  <c r="BC1963" i="212"/>
  <c r="BA1963" i="212"/>
  <c r="I1963" i="212"/>
  <c r="H1963" i="212"/>
  <c r="E1963" i="212"/>
  <c r="D1963" i="212"/>
  <c r="C1963" i="212"/>
  <c r="BE1962" i="212"/>
  <c r="BC1962" i="212"/>
  <c r="I1962" i="212"/>
  <c r="H1962" i="212"/>
  <c r="E1962" i="212"/>
  <c r="D1962" i="212"/>
  <c r="C1962" i="212"/>
  <c r="BE1961" i="212"/>
  <c r="BC1961" i="212"/>
  <c r="I1961" i="212"/>
  <c r="H1961" i="212"/>
  <c r="E1961" i="212"/>
  <c r="D1961" i="212"/>
  <c r="C1961" i="212"/>
  <c r="BE1960" i="212"/>
  <c r="BC1960" i="212"/>
  <c r="I1960" i="212"/>
  <c r="H1960" i="212"/>
  <c r="E1960" i="212"/>
  <c r="D1960" i="212"/>
  <c r="C1960" i="212"/>
  <c r="BE1959" i="212"/>
  <c r="BD1959" i="212"/>
  <c r="BC1959" i="212"/>
  <c r="BA1959" i="212"/>
  <c r="I1959" i="212"/>
  <c r="H1959" i="212"/>
  <c r="E1959" i="212"/>
  <c r="D1959" i="212"/>
  <c r="C1959" i="212"/>
  <c r="BE1958" i="212"/>
  <c r="BC1958" i="212"/>
  <c r="I1958" i="212"/>
  <c r="H1958" i="212"/>
  <c r="E1958" i="212"/>
  <c r="D1958" i="212"/>
  <c r="C1958" i="212"/>
  <c r="BE1957" i="212"/>
  <c r="BC1957" i="212"/>
  <c r="I1957" i="212"/>
  <c r="H1957" i="212"/>
  <c r="E1957" i="212"/>
  <c r="D1957" i="212"/>
  <c r="C1957" i="212"/>
  <c r="BE1956" i="212"/>
  <c r="BC1956" i="212"/>
  <c r="I1956" i="212"/>
  <c r="H1956" i="212"/>
  <c r="E1956" i="212"/>
  <c r="D1956" i="212"/>
  <c r="C1956" i="212"/>
  <c r="BE1955" i="212"/>
  <c r="BC1955" i="212"/>
  <c r="I1955" i="212"/>
  <c r="H1955" i="212"/>
  <c r="E1955" i="212"/>
  <c r="D1955" i="212"/>
  <c r="C1955" i="212"/>
  <c r="BE1954" i="212"/>
  <c r="BC1954" i="212"/>
  <c r="I1954" i="212"/>
  <c r="H1954" i="212"/>
  <c r="E1954" i="212"/>
  <c r="D1954" i="212"/>
  <c r="C1954" i="212"/>
  <c r="BE1953" i="212"/>
  <c r="BC1953" i="212"/>
  <c r="I1953" i="212"/>
  <c r="H1953" i="212"/>
  <c r="E1953" i="212"/>
  <c r="D1953" i="212"/>
  <c r="C1953" i="212"/>
  <c r="BE1952" i="212"/>
  <c r="BC1952" i="212"/>
  <c r="I1952" i="212"/>
  <c r="H1952" i="212"/>
  <c r="E1952" i="212"/>
  <c r="D1952" i="212"/>
  <c r="C1952" i="212"/>
  <c r="BE1951" i="212"/>
  <c r="BC1951" i="212"/>
  <c r="I1951" i="212"/>
  <c r="H1951" i="212"/>
  <c r="E1951" i="212"/>
  <c r="D1951" i="212"/>
  <c r="C1951" i="212"/>
  <c r="BE1950" i="212"/>
  <c r="BC1950" i="212"/>
  <c r="I1950" i="212"/>
  <c r="H1950" i="212"/>
  <c r="E1950" i="212"/>
  <c r="D1950" i="212"/>
  <c r="C1950" i="212"/>
  <c r="BE1949" i="212"/>
  <c r="BC1949" i="212"/>
  <c r="I1949" i="212"/>
  <c r="H1949" i="212"/>
  <c r="E1949" i="212"/>
  <c r="D1949" i="212"/>
  <c r="C1949" i="212"/>
  <c r="BE1948" i="212"/>
  <c r="BD1948" i="212"/>
  <c r="BC1948" i="212"/>
  <c r="BA1948" i="212"/>
  <c r="I1948" i="212"/>
  <c r="H1948" i="212"/>
  <c r="E1948" i="212"/>
  <c r="D1948" i="212"/>
  <c r="C1948" i="212"/>
  <c r="BE1947" i="212"/>
  <c r="BC1947" i="212"/>
  <c r="I1947" i="212"/>
  <c r="H1947" i="212"/>
  <c r="E1947" i="212"/>
  <c r="D1947" i="212"/>
  <c r="C1947" i="212"/>
  <c r="BE1946" i="212"/>
  <c r="BC1946" i="212"/>
  <c r="I1946" i="212"/>
  <c r="H1946" i="212"/>
  <c r="E1946" i="212"/>
  <c r="D1946" i="212"/>
  <c r="C1946" i="212"/>
  <c r="BE1945" i="212"/>
  <c r="BC1945" i="212"/>
  <c r="I1945" i="212"/>
  <c r="H1945" i="212"/>
  <c r="E1945" i="212"/>
  <c r="D1945" i="212"/>
  <c r="C1945" i="212"/>
  <c r="BE1944" i="212"/>
  <c r="BC1944" i="212"/>
  <c r="I1944" i="212"/>
  <c r="H1944" i="212"/>
  <c r="E1944" i="212"/>
  <c r="D1944" i="212"/>
  <c r="C1944" i="212"/>
  <c r="BE1943" i="212"/>
  <c r="BC1943" i="212"/>
  <c r="I1943" i="212"/>
  <c r="H1943" i="212"/>
  <c r="E1943" i="212"/>
  <c r="D1943" i="212"/>
  <c r="C1943" i="212"/>
  <c r="BE1942" i="212"/>
  <c r="BC1942" i="212"/>
  <c r="I1942" i="212"/>
  <c r="H1942" i="212"/>
  <c r="E1942" i="212"/>
  <c r="D1942" i="212"/>
  <c r="C1942" i="212"/>
  <c r="BE1941" i="212"/>
  <c r="BC1941" i="212"/>
  <c r="I1941" i="212"/>
  <c r="H1941" i="212"/>
  <c r="E1941" i="212"/>
  <c r="D1941" i="212"/>
  <c r="C1941" i="212"/>
  <c r="BE1940" i="212"/>
  <c r="BC1940" i="212"/>
  <c r="BA1940" i="212"/>
  <c r="I1940" i="212"/>
  <c r="H1940" i="212"/>
  <c r="E1940" i="212"/>
  <c r="D1940" i="212"/>
  <c r="C1940" i="212"/>
  <c r="BE1939" i="212"/>
  <c r="BC1939" i="212"/>
  <c r="I1939" i="212"/>
  <c r="H1939" i="212"/>
  <c r="E1939" i="212"/>
  <c r="D1939" i="212"/>
  <c r="C1939" i="212"/>
  <c r="BE1938" i="212"/>
  <c r="BC1938" i="212"/>
  <c r="I1938" i="212"/>
  <c r="H1938" i="212"/>
  <c r="E1938" i="212"/>
  <c r="D1938" i="212"/>
  <c r="C1938" i="212"/>
  <c r="BE1937" i="212"/>
  <c r="BC1937" i="212"/>
  <c r="I1937" i="212"/>
  <c r="H1937" i="212"/>
  <c r="E1937" i="212"/>
  <c r="D1937" i="212"/>
  <c r="C1937" i="212"/>
  <c r="BE1936" i="212"/>
  <c r="BC1936" i="212"/>
  <c r="I1936" i="212"/>
  <c r="H1936" i="212"/>
  <c r="E1936" i="212"/>
  <c r="D1936" i="212"/>
  <c r="C1936" i="212"/>
  <c r="BE1935" i="212"/>
  <c r="BC1935" i="212"/>
  <c r="I1935" i="212"/>
  <c r="H1935" i="212"/>
  <c r="E1935" i="212"/>
  <c r="D1935" i="212"/>
  <c r="C1935" i="212"/>
  <c r="BE1934" i="212"/>
  <c r="BC1934" i="212"/>
  <c r="I1934" i="212"/>
  <c r="H1934" i="212"/>
  <c r="E1934" i="212"/>
  <c r="D1934" i="212"/>
  <c r="C1934" i="212"/>
  <c r="BE1933" i="212"/>
  <c r="BC1933" i="212"/>
  <c r="I1933" i="212"/>
  <c r="H1933" i="212"/>
  <c r="E1933" i="212"/>
  <c r="D1933" i="212"/>
  <c r="C1933" i="212"/>
  <c r="BE1932" i="212"/>
  <c r="BC1932" i="212"/>
  <c r="I1932" i="212"/>
  <c r="H1932" i="212"/>
  <c r="E1932" i="212"/>
  <c r="D1932" i="212"/>
  <c r="C1932" i="212"/>
  <c r="BE1931" i="212"/>
  <c r="BC1931" i="212"/>
  <c r="I1931" i="212"/>
  <c r="H1931" i="212"/>
  <c r="E1931" i="212"/>
  <c r="D1931" i="212"/>
  <c r="C1931" i="212"/>
  <c r="BE1930" i="212"/>
  <c r="BC1930" i="212"/>
  <c r="BA1930" i="212"/>
  <c r="I1930" i="212"/>
  <c r="H1930" i="212"/>
  <c r="E1930" i="212"/>
  <c r="D1930" i="212"/>
  <c r="C1930" i="212"/>
  <c r="BE1929" i="212"/>
  <c r="BC1929" i="212"/>
  <c r="I1929" i="212"/>
  <c r="H1929" i="212"/>
  <c r="E1929" i="212"/>
  <c r="D1929" i="212"/>
  <c r="C1929" i="212"/>
  <c r="BE1928" i="212"/>
  <c r="BC1928" i="212"/>
  <c r="I1928" i="212"/>
  <c r="H1928" i="212"/>
  <c r="E1928" i="212"/>
  <c r="D1928" i="212"/>
  <c r="C1928" i="212"/>
  <c r="BE1927" i="212"/>
  <c r="BC1927" i="212"/>
  <c r="I1927" i="212"/>
  <c r="H1927" i="212"/>
  <c r="E1927" i="212"/>
  <c r="D1927" i="212"/>
  <c r="C1927" i="212"/>
  <c r="BE1926" i="212"/>
  <c r="BC1926" i="212"/>
  <c r="I1926" i="212"/>
  <c r="H1926" i="212"/>
  <c r="E1926" i="212"/>
  <c r="D1926" i="212"/>
  <c r="C1926" i="212"/>
  <c r="BE1925" i="212"/>
  <c r="BC1925" i="212"/>
  <c r="I1925" i="212"/>
  <c r="H1925" i="212"/>
  <c r="E1925" i="212"/>
  <c r="D1925" i="212"/>
  <c r="C1925" i="212"/>
  <c r="BE1924" i="212"/>
  <c r="BC1924" i="212"/>
  <c r="I1924" i="212"/>
  <c r="H1924" i="212"/>
  <c r="E1924" i="212"/>
  <c r="D1924" i="212"/>
  <c r="C1924" i="212"/>
  <c r="BE1923" i="212"/>
  <c r="BC1923" i="212"/>
  <c r="I1923" i="212"/>
  <c r="H1923" i="212"/>
  <c r="E1923" i="212"/>
  <c r="D1923" i="212"/>
  <c r="C1923" i="212"/>
  <c r="BE1922" i="212"/>
  <c r="BC1922" i="212"/>
  <c r="I1922" i="212"/>
  <c r="H1922" i="212"/>
  <c r="E1922" i="212"/>
  <c r="D1922" i="212"/>
  <c r="C1922" i="212"/>
  <c r="BE1921" i="212"/>
  <c r="BC1921" i="212"/>
  <c r="I1921" i="212"/>
  <c r="H1921" i="212"/>
  <c r="E1921" i="212"/>
  <c r="D1921" i="212"/>
  <c r="C1921" i="212"/>
  <c r="BE1920" i="212"/>
  <c r="BC1920" i="212"/>
  <c r="I1920" i="212"/>
  <c r="H1920" i="212"/>
  <c r="E1920" i="212"/>
  <c r="D1920" i="212"/>
  <c r="C1920" i="212"/>
  <c r="BE1919" i="212"/>
  <c r="BC1919" i="212"/>
  <c r="I1919" i="212"/>
  <c r="H1919" i="212"/>
  <c r="E1919" i="212"/>
  <c r="D1919" i="212"/>
  <c r="C1919" i="212"/>
  <c r="BE1918" i="212"/>
  <c r="BC1918" i="212"/>
  <c r="I1918" i="212"/>
  <c r="H1918" i="212"/>
  <c r="E1918" i="212"/>
  <c r="D1918" i="212"/>
  <c r="C1918" i="212"/>
  <c r="BE1917" i="212"/>
  <c r="BC1917" i="212"/>
  <c r="I1917" i="212"/>
  <c r="H1917" i="212"/>
  <c r="E1917" i="212"/>
  <c r="D1917" i="212"/>
  <c r="C1917" i="212"/>
  <c r="BE1916" i="212"/>
  <c r="BC1916" i="212"/>
  <c r="I1916" i="212"/>
  <c r="H1916" i="212"/>
  <c r="E1916" i="212"/>
  <c r="D1916" i="212"/>
  <c r="C1916" i="212"/>
  <c r="BE1915" i="212"/>
  <c r="BC1915" i="212"/>
  <c r="I1915" i="212"/>
  <c r="H1915" i="212"/>
  <c r="E1915" i="212"/>
  <c r="D1915" i="212"/>
  <c r="C1915" i="212"/>
  <c r="BE1914" i="212"/>
  <c r="BC1914" i="212"/>
  <c r="I1914" i="212"/>
  <c r="H1914" i="212"/>
  <c r="E1914" i="212"/>
  <c r="D1914" i="212"/>
  <c r="C1914" i="212"/>
  <c r="BE1913" i="212"/>
  <c r="BC1913" i="212"/>
  <c r="I1913" i="212"/>
  <c r="H1913" i="212"/>
  <c r="E1913" i="212"/>
  <c r="D1913" i="212"/>
  <c r="C1913" i="212"/>
  <c r="BE1912" i="212"/>
  <c r="BC1912" i="212"/>
  <c r="I1912" i="212"/>
  <c r="H1912" i="212"/>
  <c r="E1912" i="212"/>
  <c r="D1912" i="212"/>
  <c r="C1912" i="212"/>
  <c r="BE1911" i="212"/>
  <c r="BC1911" i="212"/>
  <c r="I1911" i="212"/>
  <c r="H1911" i="212"/>
  <c r="E1911" i="212"/>
  <c r="D1911" i="212"/>
  <c r="C1911" i="212"/>
  <c r="BE1910" i="212"/>
  <c r="BC1910" i="212"/>
  <c r="I1910" i="212"/>
  <c r="H1910" i="212"/>
  <c r="E1910" i="212"/>
  <c r="D1910" i="212"/>
  <c r="C1910" i="212"/>
  <c r="BE1909" i="212"/>
  <c r="BC1909" i="212"/>
  <c r="I1909" i="212"/>
  <c r="H1909" i="212"/>
  <c r="E1909" i="212"/>
  <c r="D1909" i="212"/>
  <c r="C1909" i="212"/>
  <c r="BE1908" i="212"/>
  <c r="BC1908" i="212"/>
  <c r="BA1908" i="212"/>
  <c r="I1908" i="212"/>
  <c r="H1908" i="212"/>
  <c r="E1908" i="212"/>
  <c r="D1908" i="212"/>
  <c r="C1908" i="212"/>
  <c r="BE1907" i="212"/>
  <c r="BC1907" i="212"/>
  <c r="I1907" i="212"/>
  <c r="H1907" i="212"/>
  <c r="E1907" i="212"/>
  <c r="D1907" i="212"/>
  <c r="C1907" i="212"/>
  <c r="BE1906" i="212"/>
  <c r="BC1906" i="212"/>
  <c r="I1906" i="212"/>
  <c r="H1906" i="212"/>
  <c r="E1906" i="212"/>
  <c r="D1906" i="212"/>
  <c r="C1906" i="212"/>
  <c r="BE1905" i="212"/>
  <c r="BC1905" i="212"/>
  <c r="I1905" i="212"/>
  <c r="H1905" i="212"/>
  <c r="E1905" i="212"/>
  <c r="D1905" i="212"/>
  <c r="C1905" i="212"/>
  <c r="BE1904" i="212"/>
  <c r="BC1904" i="212"/>
  <c r="I1904" i="212"/>
  <c r="H1904" i="212"/>
  <c r="E1904" i="212"/>
  <c r="D1904" i="212"/>
  <c r="C1904" i="212"/>
  <c r="BE1903" i="212"/>
  <c r="BC1903" i="212"/>
  <c r="BA1903" i="212"/>
  <c r="I1903" i="212"/>
  <c r="H1903" i="212"/>
  <c r="E1903" i="212"/>
  <c r="D1903" i="212"/>
  <c r="C1903" i="212"/>
  <c r="BE1902" i="212"/>
  <c r="BC1902" i="212"/>
  <c r="I1902" i="212"/>
  <c r="H1902" i="212"/>
  <c r="E1902" i="212"/>
  <c r="D1902" i="212"/>
  <c r="C1902" i="212"/>
  <c r="BE1901" i="212"/>
  <c r="BC1901" i="212"/>
  <c r="I1901" i="212"/>
  <c r="H1901" i="212"/>
  <c r="E1901" i="212"/>
  <c r="D1901" i="212"/>
  <c r="C1901" i="212"/>
  <c r="BE1900" i="212"/>
  <c r="BC1900" i="212"/>
  <c r="I1900" i="212"/>
  <c r="H1900" i="212"/>
  <c r="E1900" i="212"/>
  <c r="D1900" i="212"/>
  <c r="C1900" i="212"/>
  <c r="BE1899" i="212"/>
  <c r="BC1899" i="212"/>
  <c r="I1899" i="212"/>
  <c r="H1899" i="212"/>
  <c r="E1899" i="212"/>
  <c r="D1899" i="212"/>
  <c r="C1899" i="212"/>
  <c r="BE1898" i="212"/>
  <c r="BC1898" i="212"/>
  <c r="I1898" i="212"/>
  <c r="H1898" i="212"/>
  <c r="E1898" i="212"/>
  <c r="D1898" i="212"/>
  <c r="C1898" i="212"/>
  <c r="BE1897" i="212"/>
  <c r="BC1897" i="212"/>
  <c r="I1897" i="212"/>
  <c r="H1897" i="212"/>
  <c r="E1897" i="212"/>
  <c r="D1897" i="212"/>
  <c r="C1897" i="212"/>
  <c r="BE1896" i="212"/>
  <c r="BC1896" i="212"/>
  <c r="I1896" i="212"/>
  <c r="H1896" i="212"/>
  <c r="E1896" i="212"/>
  <c r="D1896" i="212"/>
  <c r="C1896" i="212"/>
  <c r="BE1895" i="212"/>
  <c r="BC1895" i="212"/>
  <c r="I1895" i="212"/>
  <c r="H1895" i="212"/>
  <c r="E1895" i="212"/>
  <c r="D1895" i="212"/>
  <c r="C1895" i="212"/>
  <c r="BE1894" i="212"/>
  <c r="BC1894" i="212"/>
  <c r="I1894" i="212"/>
  <c r="H1894" i="212"/>
  <c r="E1894" i="212"/>
  <c r="D1894" i="212"/>
  <c r="C1894" i="212"/>
  <c r="BE1893" i="212"/>
  <c r="BC1893" i="212"/>
  <c r="I1893" i="212"/>
  <c r="H1893" i="212"/>
  <c r="E1893" i="212"/>
  <c r="D1893" i="212"/>
  <c r="C1893" i="212"/>
  <c r="BE1892" i="212"/>
  <c r="BC1892" i="212"/>
  <c r="BA1892" i="212"/>
  <c r="I1892" i="212"/>
  <c r="H1892" i="212"/>
  <c r="E1892" i="212"/>
  <c r="D1892" i="212"/>
  <c r="C1892" i="212"/>
  <c r="BE1891" i="212"/>
  <c r="BD1891" i="212"/>
  <c r="BC1891" i="212"/>
  <c r="BA1891" i="212"/>
  <c r="I1891" i="212"/>
  <c r="H1891" i="212"/>
  <c r="E1891" i="212"/>
  <c r="D1891" i="212"/>
  <c r="C1891" i="212"/>
  <c r="BE1890" i="212"/>
  <c r="BC1890" i="212"/>
  <c r="I1890" i="212"/>
  <c r="H1890" i="212"/>
  <c r="E1890" i="212"/>
  <c r="D1890" i="212"/>
  <c r="C1890" i="212"/>
  <c r="BE1889" i="212"/>
  <c r="BC1889" i="212"/>
  <c r="I1889" i="212"/>
  <c r="H1889" i="212"/>
  <c r="E1889" i="212"/>
  <c r="D1889" i="212"/>
  <c r="C1889" i="212"/>
  <c r="BE1888" i="212"/>
  <c r="BC1888" i="212"/>
  <c r="I1888" i="212"/>
  <c r="H1888" i="212"/>
  <c r="E1888" i="212"/>
  <c r="D1888" i="212"/>
  <c r="C1888" i="212"/>
  <c r="BE1887" i="212"/>
  <c r="BC1887" i="212"/>
  <c r="I1887" i="212"/>
  <c r="H1887" i="212"/>
  <c r="E1887" i="212"/>
  <c r="D1887" i="212"/>
  <c r="C1887" i="212"/>
  <c r="BE1886" i="212"/>
  <c r="BC1886" i="212"/>
  <c r="BA1886" i="212"/>
  <c r="I1886" i="212"/>
  <c r="H1886" i="212"/>
  <c r="E1886" i="212"/>
  <c r="D1886" i="212"/>
  <c r="C1886" i="212"/>
  <c r="BE1885" i="212"/>
  <c r="BC1885" i="212"/>
  <c r="I1885" i="212"/>
  <c r="H1885" i="212"/>
  <c r="E1885" i="212"/>
  <c r="D1885" i="212"/>
  <c r="C1885" i="212"/>
  <c r="BE1884" i="212"/>
  <c r="BC1884" i="212"/>
  <c r="BA1884" i="212"/>
  <c r="I1884" i="212"/>
  <c r="H1884" i="212"/>
  <c r="E1884" i="212"/>
  <c r="D1884" i="212"/>
  <c r="C1884" i="212"/>
  <c r="BE1883" i="212"/>
  <c r="BD1883" i="212"/>
  <c r="BC1883" i="212"/>
  <c r="BA1883" i="212"/>
  <c r="I1883" i="212"/>
  <c r="H1883" i="212"/>
  <c r="E1883" i="212"/>
  <c r="D1883" i="212"/>
  <c r="C1883" i="212"/>
  <c r="BE1882" i="212"/>
  <c r="BC1882" i="212"/>
  <c r="I1882" i="212"/>
  <c r="H1882" i="212"/>
  <c r="E1882" i="212"/>
  <c r="D1882" i="212"/>
  <c r="C1882" i="212"/>
  <c r="BE1881" i="212"/>
  <c r="BC1881" i="212"/>
  <c r="I1881" i="212"/>
  <c r="H1881" i="212"/>
  <c r="E1881" i="212"/>
  <c r="D1881" i="212"/>
  <c r="C1881" i="212"/>
  <c r="BE1880" i="212"/>
  <c r="BC1880" i="212"/>
  <c r="I1880" i="212"/>
  <c r="H1880" i="212"/>
  <c r="E1880" i="212"/>
  <c r="D1880" i="212"/>
  <c r="C1880" i="212"/>
  <c r="BE1879" i="212"/>
  <c r="BC1879" i="212"/>
  <c r="I1879" i="212"/>
  <c r="H1879" i="212"/>
  <c r="E1879" i="212"/>
  <c r="D1879" i="212"/>
  <c r="C1879" i="212"/>
  <c r="BE1878" i="212"/>
  <c r="BC1878" i="212"/>
  <c r="I1878" i="212"/>
  <c r="H1878" i="212"/>
  <c r="E1878" i="212"/>
  <c r="D1878" i="212"/>
  <c r="C1878" i="212"/>
  <c r="BE1877" i="212"/>
  <c r="BC1877" i="212"/>
  <c r="I1877" i="212"/>
  <c r="H1877" i="212"/>
  <c r="E1877" i="212"/>
  <c r="D1877" i="212"/>
  <c r="C1877" i="212"/>
  <c r="BE1876" i="212"/>
  <c r="BC1876" i="212"/>
  <c r="I1876" i="212"/>
  <c r="H1876" i="212"/>
  <c r="E1876" i="212"/>
  <c r="D1876" i="212"/>
  <c r="C1876" i="212"/>
  <c r="BE1875" i="212"/>
  <c r="BC1875" i="212"/>
  <c r="I1875" i="212"/>
  <c r="H1875" i="212"/>
  <c r="E1875" i="212"/>
  <c r="D1875" i="212"/>
  <c r="C1875" i="212"/>
  <c r="BE1874" i="212"/>
  <c r="BC1874" i="212"/>
  <c r="I1874" i="212"/>
  <c r="H1874" i="212"/>
  <c r="E1874" i="212"/>
  <c r="D1874" i="212"/>
  <c r="C1874" i="212"/>
  <c r="BE1873" i="212"/>
  <c r="BC1873" i="212"/>
  <c r="I1873" i="212"/>
  <c r="H1873" i="212"/>
  <c r="E1873" i="212"/>
  <c r="D1873" i="212"/>
  <c r="C1873" i="212"/>
  <c r="BE1872" i="212"/>
  <c r="BC1872" i="212"/>
  <c r="I1872" i="212"/>
  <c r="H1872" i="212"/>
  <c r="E1872" i="212"/>
  <c r="D1872" i="212"/>
  <c r="C1872" i="212"/>
  <c r="BE1871" i="212"/>
  <c r="BC1871" i="212"/>
  <c r="I1871" i="212"/>
  <c r="H1871" i="212"/>
  <c r="E1871" i="212"/>
  <c r="D1871" i="212"/>
  <c r="C1871" i="212"/>
  <c r="BE1870" i="212"/>
  <c r="BC1870" i="212"/>
  <c r="BA1870" i="212"/>
  <c r="I1870" i="212"/>
  <c r="H1870" i="212"/>
  <c r="E1870" i="212"/>
  <c r="D1870" i="212"/>
  <c r="C1870" i="212"/>
  <c r="BE1869" i="212"/>
  <c r="BC1869" i="212"/>
  <c r="I1869" i="212"/>
  <c r="H1869" i="212"/>
  <c r="E1869" i="212"/>
  <c r="D1869" i="212"/>
  <c r="C1869" i="212"/>
  <c r="BE1868" i="212"/>
  <c r="BC1868" i="212"/>
  <c r="I1868" i="212"/>
  <c r="H1868" i="212"/>
  <c r="E1868" i="212"/>
  <c r="D1868" i="212"/>
  <c r="C1868" i="212"/>
  <c r="BE1867" i="212"/>
  <c r="BC1867" i="212"/>
  <c r="I1867" i="212"/>
  <c r="H1867" i="212"/>
  <c r="E1867" i="212"/>
  <c r="D1867" i="212"/>
  <c r="C1867" i="212"/>
  <c r="BE1866" i="212"/>
  <c r="BC1866" i="212"/>
  <c r="I1866" i="212"/>
  <c r="H1866" i="212"/>
  <c r="E1866" i="212"/>
  <c r="D1866" i="212"/>
  <c r="C1866" i="212"/>
  <c r="BF1865" i="212"/>
  <c r="BE1865" i="212"/>
  <c r="BD1865" i="212"/>
  <c r="BC1865" i="212"/>
  <c r="BA1865" i="212"/>
  <c r="I1865" i="212"/>
  <c r="H1865" i="212"/>
  <c r="E1865" i="212"/>
  <c r="D1865" i="212"/>
  <c r="C1865" i="212"/>
  <c r="BE1864" i="212"/>
  <c r="BC1864" i="212"/>
  <c r="I1864" i="212"/>
  <c r="H1864" i="212"/>
  <c r="E1864" i="212"/>
  <c r="D1864" i="212"/>
  <c r="C1864" i="212"/>
  <c r="BE1863" i="212"/>
  <c r="BC1863" i="212"/>
  <c r="I1863" i="212"/>
  <c r="H1863" i="212"/>
  <c r="E1863" i="212"/>
  <c r="D1863" i="212"/>
  <c r="C1863" i="212"/>
  <c r="BE1862" i="212"/>
  <c r="BC1862" i="212"/>
  <c r="I1862" i="212"/>
  <c r="H1862" i="212"/>
  <c r="E1862" i="212"/>
  <c r="D1862" i="212"/>
  <c r="C1862" i="212"/>
  <c r="BE1861" i="212"/>
  <c r="BC1861" i="212"/>
  <c r="I1861" i="212"/>
  <c r="H1861" i="212"/>
  <c r="E1861" i="212"/>
  <c r="D1861" i="212"/>
  <c r="C1861" i="212"/>
  <c r="BE1860" i="212"/>
  <c r="BC1860" i="212"/>
  <c r="I1860" i="212"/>
  <c r="H1860" i="212"/>
  <c r="E1860" i="212"/>
  <c r="D1860" i="212"/>
  <c r="C1860" i="212"/>
  <c r="BE1859" i="212"/>
  <c r="BC1859" i="212"/>
  <c r="I1859" i="212"/>
  <c r="H1859" i="212"/>
  <c r="E1859" i="212"/>
  <c r="D1859" i="212"/>
  <c r="C1859" i="212"/>
  <c r="BE1858" i="212"/>
  <c r="BC1858" i="212"/>
  <c r="I1858" i="212"/>
  <c r="H1858" i="212"/>
  <c r="E1858" i="212"/>
  <c r="D1858" i="212"/>
  <c r="C1858" i="212"/>
  <c r="BE1857" i="212"/>
  <c r="BC1857" i="212"/>
  <c r="I1857" i="212"/>
  <c r="H1857" i="212"/>
  <c r="E1857" i="212"/>
  <c r="D1857" i="212"/>
  <c r="C1857" i="212"/>
  <c r="BE1856" i="212"/>
  <c r="BC1856" i="212"/>
  <c r="I1856" i="212"/>
  <c r="H1856" i="212"/>
  <c r="E1856" i="212"/>
  <c r="D1856" i="212"/>
  <c r="C1856" i="212"/>
  <c r="BE1855" i="212"/>
  <c r="BC1855" i="212"/>
  <c r="I1855" i="212"/>
  <c r="H1855" i="212"/>
  <c r="E1855" i="212"/>
  <c r="D1855" i="212"/>
  <c r="C1855" i="212"/>
  <c r="BE1854" i="212"/>
  <c r="BC1854" i="212"/>
  <c r="I1854" i="212"/>
  <c r="H1854" i="212"/>
  <c r="E1854" i="212"/>
  <c r="D1854" i="212"/>
  <c r="C1854" i="212"/>
  <c r="BE1853" i="212"/>
  <c r="BC1853" i="212"/>
  <c r="I1853" i="212"/>
  <c r="H1853" i="212"/>
  <c r="E1853" i="212"/>
  <c r="D1853" i="212"/>
  <c r="C1853" i="212"/>
  <c r="BE1852" i="212"/>
  <c r="BC1852" i="212"/>
  <c r="I1852" i="212"/>
  <c r="H1852" i="212"/>
  <c r="E1852" i="212"/>
  <c r="D1852" i="212"/>
  <c r="C1852" i="212"/>
  <c r="BE1851" i="212"/>
  <c r="BC1851" i="212"/>
  <c r="I1851" i="212"/>
  <c r="H1851" i="212"/>
  <c r="E1851" i="212"/>
  <c r="D1851" i="212"/>
  <c r="C1851" i="212"/>
  <c r="BE1850" i="212"/>
  <c r="BC1850" i="212"/>
  <c r="I1850" i="212"/>
  <c r="H1850" i="212"/>
  <c r="E1850" i="212"/>
  <c r="D1850" i="212"/>
  <c r="C1850" i="212"/>
  <c r="BE1849" i="212"/>
  <c r="BC1849" i="212"/>
  <c r="I1849" i="212"/>
  <c r="H1849" i="212"/>
  <c r="E1849" i="212"/>
  <c r="D1849" i="212"/>
  <c r="C1849" i="212"/>
  <c r="BE1848" i="212"/>
  <c r="BC1848" i="212"/>
  <c r="I1848" i="212"/>
  <c r="H1848" i="212"/>
  <c r="E1848" i="212"/>
  <c r="D1848" i="212"/>
  <c r="C1848" i="212"/>
  <c r="BE1847" i="212"/>
  <c r="BC1847" i="212"/>
  <c r="I1847" i="212"/>
  <c r="H1847" i="212"/>
  <c r="E1847" i="212"/>
  <c r="D1847" i="212"/>
  <c r="C1847" i="212"/>
  <c r="BE1846" i="212"/>
  <c r="BC1846" i="212"/>
  <c r="I1846" i="212"/>
  <c r="H1846" i="212"/>
  <c r="E1846" i="212"/>
  <c r="D1846" i="212"/>
  <c r="C1846" i="212"/>
  <c r="BE1845" i="212"/>
  <c r="BD1845" i="212"/>
  <c r="BC1845" i="212"/>
  <c r="BA1845" i="212"/>
  <c r="I1845" i="212"/>
  <c r="H1845" i="212"/>
  <c r="E1845" i="212"/>
  <c r="D1845" i="212"/>
  <c r="C1845" i="212"/>
  <c r="BE1844" i="212"/>
  <c r="BC1844" i="212"/>
  <c r="I1844" i="212"/>
  <c r="H1844" i="212"/>
  <c r="E1844" i="212"/>
  <c r="D1844" i="212"/>
  <c r="C1844" i="212"/>
  <c r="BE1843" i="212"/>
  <c r="BC1843" i="212"/>
  <c r="I1843" i="212"/>
  <c r="H1843" i="212"/>
  <c r="E1843" i="212"/>
  <c r="D1843" i="212"/>
  <c r="C1843" i="212"/>
  <c r="BE1842" i="212"/>
  <c r="BC1842" i="212"/>
  <c r="I1842" i="212"/>
  <c r="H1842" i="212"/>
  <c r="E1842" i="212"/>
  <c r="D1842" i="212"/>
  <c r="C1842" i="212"/>
  <c r="BE1841" i="212"/>
  <c r="BC1841" i="212"/>
  <c r="BA1841" i="212"/>
  <c r="I1841" i="212"/>
  <c r="H1841" i="212"/>
  <c r="E1841" i="212"/>
  <c r="D1841" i="212"/>
  <c r="C1841" i="212"/>
  <c r="BE1840" i="212"/>
  <c r="BC1840" i="212"/>
  <c r="I1840" i="212"/>
  <c r="H1840" i="212"/>
  <c r="E1840" i="212"/>
  <c r="D1840" i="212"/>
  <c r="C1840" i="212"/>
  <c r="BE1839" i="212"/>
  <c r="BC1839" i="212"/>
  <c r="I1839" i="212"/>
  <c r="H1839" i="212"/>
  <c r="E1839" i="212"/>
  <c r="D1839" i="212"/>
  <c r="C1839" i="212"/>
  <c r="BE1838" i="212"/>
  <c r="BD1838" i="212"/>
  <c r="BC1838" i="212"/>
  <c r="BA1838" i="212"/>
  <c r="I1838" i="212"/>
  <c r="H1838" i="212"/>
  <c r="E1838" i="212"/>
  <c r="D1838" i="212"/>
  <c r="C1838" i="212"/>
  <c r="BE1837" i="212"/>
  <c r="BC1837" i="212"/>
  <c r="I1837" i="212"/>
  <c r="H1837" i="212"/>
  <c r="E1837" i="212"/>
  <c r="D1837" i="212"/>
  <c r="C1837" i="212"/>
  <c r="BE1836" i="212"/>
  <c r="BC1836" i="212"/>
  <c r="I1836" i="212"/>
  <c r="H1836" i="212"/>
  <c r="E1836" i="212"/>
  <c r="D1836" i="212"/>
  <c r="C1836" i="212"/>
  <c r="BE1835" i="212"/>
  <c r="BC1835" i="212"/>
  <c r="I1835" i="212"/>
  <c r="H1835" i="212"/>
  <c r="E1835" i="212"/>
  <c r="D1835" i="212"/>
  <c r="C1835" i="212"/>
  <c r="BE1834" i="212"/>
  <c r="BC1834" i="212"/>
  <c r="I1834" i="212"/>
  <c r="H1834" i="212"/>
  <c r="E1834" i="212"/>
  <c r="D1834" i="212"/>
  <c r="C1834" i="212"/>
  <c r="BE1833" i="212"/>
  <c r="BC1833" i="212"/>
  <c r="I1833" i="212"/>
  <c r="H1833" i="212"/>
  <c r="E1833" i="212"/>
  <c r="D1833" i="212"/>
  <c r="C1833" i="212"/>
  <c r="BE1832" i="212"/>
  <c r="BC1832" i="212"/>
  <c r="I1832" i="212"/>
  <c r="H1832" i="212"/>
  <c r="E1832" i="212"/>
  <c r="D1832" i="212"/>
  <c r="C1832" i="212"/>
  <c r="BE1831" i="212"/>
  <c r="BD1831" i="212"/>
  <c r="BC1831" i="212"/>
  <c r="BA1831" i="212"/>
  <c r="I1831" i="212"/>
  <c r="H1831" i="212"/>
  <c r="E1831" i="212"/>
  <c r="D1831" i="212"/>
  <c r="C1831" i="212"/>
  <c r="BE1830" i="212"/>
  <c r="BC1830" i="212"/>
  <c r="I1830" i="212"/>
  <c r="H1830" i="212"/>
  <c r="E1830" i="212"/>
  <c r="D1830" i="212"/>
  <c r="C1830" i="212"/>
  <c r="BE1829" i="212"/>
  <c r="BC1829" i="212"/>
  <c r="I1829" i="212"/>
  <c r="H1829" i="212"/>
  <c r="E1829" i="212"/>
  <c r="D1829" i="212"/>
  <c r="C1829" i="212"/>
  <c r="BE1828" i="212"/>
  <c r="BC1828" i="212"/>
  <c r="I1828" i="212"/>
  <c r="H1828" i="212"/>
  <c r="E1828" i="212"/>
  <c r="D1828" i="212"/>
  <c r="C1828" i="212"/>
  <c r="BE1827" i="212"/>
  <c r="BC1827" i="212"/>
  <c r="I1827" i="212"/>
  <c r="H1827" i="212"/>
  <c r="E1827" i="212"/>
  <c r="D1827" i="212"/>
  <c r="C1827" i="212"/>
  <c r="BE1826" i="212"/>
  <c r="BC1826" i="212"/>
  <c r="I1826" i="212"/>
  <c r="H1826" i="212"/>
  <c r="E1826" i="212"/>
  <c r="D1826" i="212"/>
  <c r="C1826" i="212"/>
  <c r="BE1825" i="212"/>
  <c r="BC1825" i="212"/>
  <c r="I1825" i="212"/>
  <c r="H1825" i="212"/>
  <c r="E1825" i="212"/>
  <c r="D1825" i="212"/>
  <c r="C1825" i="212"/>
  <c r="BE1824" i="212"/>
  <c r="BC1824" i="212"/>
  <c r="I1824" i="212"/>
  <c r="H1824" i="212"/>
  <c r="E1824" i="212"/>
  <c r="D1824" i="212"/>
  <c r="C1824" i="212"/>
  <c r="BE1823" i="212"/>
  <c r="BC1823" i="212"/>
  <c r="I1823" i="212"/>
  <c r="H1823" i="212"/>
  <c r="E1823" i="212"/>
  <c r="D1823" i="212"/>
  <c r="C1823" i="212"/>
  <c r="BE1822" i="212"/>
  <c r="BC1822" i="212"/>
  <c r="I1822" i="212"/>
  <c r="H1822" i="212"/>
  <c r="E1822" i="212"/>
  <c r="D1822" i="212"/>
  <c r="C1822" i="212"/>
  <c r="BE1821" i="212"/>
  <c r="BC1821" i="212"/>
  <c r="I1821" i="212"/>
  <c r="H1821" i="212"/>
  <c r="E1821" i="212"/>
  <c r="D1821" i="212"/>
  <c r="C1821" i="212"/>
  <c r="BE1820" i="212"/>
  <c r="BC1820" i="212"/>
  <c r="I1820" i="212"/>
  <c r="H1820" i="212"/>
  <c r="E1820" i="212"/>
  <c r="D1820" i="212"/>
  <c r="C1820" i="212"/>
  <c r="BE1819" i="212"/>
  <c r="BC1819" i="212"/>
  <c r="I1819" i="212"/>
  <c r="H1819" i="212"/>
  <c r="E1819" i="212"/>
  <c r="D1819" i="212"/>
  <c r="C1819" i="212"/>
  <c r="BE1818" i="212"/>
  <c r="BC1818" i="212"/>
  <c r="I1818" i="212"/>
  <c r="H1818" i="212"/>
  <c r="E1818" i="212"/>
  <c r="D1818" i="212"/>
  <c r="C1818" i="212"/>
  <c r="BE1817" i="212"/>
  <c r="BC1817" i="212"/>
  <c r="I1817" i="212"/>
  <c r="H1817" i="212"/>
  <c r="E1817" i="212"/>
  <c r="D1817" i="212"/>
  <c r="C1817" i="212"/>
  <c r="BE1816" i="212"/>
  <c r="BC1816" i="212"/>
  <c r="I1816" i="212"/>
  <c r="H1816" i="212"/>
  <c r="E1816" i="212"/>
  <c r="D1816" i="212"/>
  <c r="C1816" i="212"/>
  <c r="BE1815" i="212"/>
  <c r="BC1815" i="212"/>
  <c r="I1815" i="212"/>
  <c r="H1815" i="212"/>
  <c r="E1815" i="212"/>
  <c r="D1815" i="212"/>
  <c r="C1815" i="212"/>
  <c r="BE1814" i="212"/>
  <c r="BC1814" i="212"/>
  <c r="BA1814" i="212"/>
  <c r="I1814" i="212"/>
  <c r="H1814" i="212"/>
  <c r="E1814" i="212"/>
  <c r="D1814" i="212"/>
  <c r="C1814" i="212"/>
  <c r="BE1813" i="212"/>
  <c r="BC1813" i="212"/>
  <c r="I1813" i="212"/>
  <c r="H1813" i="212"/>
  <c r="E1813" i="212"/>
  <c r="D1813" i="212"/>
  <c r="C1813" i="212"/>
  <c r="BE1812" i="212"/>
  <c r="BC1812" i="212"/>
  <c r="I1812" i="212"/>
  <c r="H1812" i="212"/>
  <c r="E1812" i="212"/>
  <c r="D1812" i="212"/>
  <c r="C1812" i="212"/>
  <c r="BE1811" i="212"/>
  <c r="BC1811" i="212"/>
  <c r="I1811" i="212"/>
  <c r="H1811" i="212"/>
  <c r="E1811" i="212"/>
  <c r="D1811" i="212"/>
  <c r="C1811" i="212"/>
  <c r="BE1810" i="212"/>
  <c r="BC1810" i="212"/>
  <c r="I1810" i="212"/>
  <c r="H1810" i="212"/>
  <c r="E1810" i="212"/>
  <c r="D1810" i="212"/>
  <c r="C1810" i="212"/>
  <c r="BE1809" i="212"/>
  <c r="BC1809" i="212"/>
  <c r="I1809" i="212"/>
  <c r="H1809" i="212"/>
  <c r="E1809" i="212"/>
  <c r="D1809" i="212"/>
  <c r="C1809" i="212"/>
  <c r="BE1808" i="212"/>
  <c r="BC1808" i="212"/>
  <c r="I1808" i="212"/>
  <c r="H1808" i="212"/>
  <c r="E1808" i="212"/>
  <c r="D1808" i="212"/>
  <c r="C1808" i="212"/>
  <c r="BE1807" i="212"/>
  <c r="BC1807" i="212"/>
  <c r="I1807" i="212"/>
  <c r="H1807" i="212"/>
  <c r="E1807" i="212"/>
  <c r="D1807" i="212"/>
  <c r="C1807" i="212"/>
  <c r="BE1806" i="212"/>
  <c r="BC1806" i="212"/>
  <c r="I1806" i="212"/>
  <c r="H1806" i="212"/>
  <c r="E1806" i="212"/>
  <c r="D1806" i="212"/>
  <c r="C1806" i="212"/>
  <c r="BE1805" i="212"/>
  <c r="BC1805" i="212"/>
  <c r="I1805" i="212"/>
  <c r="H1805" i="212"/>
  <c r="E1805" i="212"/>
  <c r="D1805" i="212"/>
  <c r="C1805" i="212"/>
  <c r="BE1804" i="212"/>
  <c r="BC1804" i="212"/>
  <c r="I1804" i="212"/>
  <c r="H1804" i="212"/>
  <c r="E1804" i="212"/>
  <c r="D1804" i="212"/>
  <c r="C1804" i="212"/>
  <c r="BE1803" i="212"/>
  <c r="BC1803" i="212"/>
  <c r="I1803" i="212"/>
  <c r="H1803" i="212"/>
  <c r="E1803" i="212"/>
  <c r="D1803" i="212"/>
  <c r="C1803" i="212"/>
  <c r="BE1802" i="212"/>
  <c r="BC1802" i="212"/>
  <c r="I1802" i="212"/>
  <c r="H1802" i="212"/>
  <c r="E1802" i="212"/>
  <c r="D1802" i="212"/>
  <c r="C1802" i="212"/>
  <c r="BE1801" i="212"/>
  <c r="BC1801" i="212"/>
  <c r="I1801" i="212"/>
  <c r="H1801" i="212"/>
  <c r="E1801" i="212"/>
  <c r="D1801" i="212"/>
  <c r="C1801" i="212"/>
  <c r="BE1800" i="212"/>
  <c r="BC1800" i="212"/>
  <c r="I1800" i="212"/>
  <c r="H1800" i="212"/>
  <c r="E1800" i="212"/>
  <c r="D1800" i="212"/>
  <c r="C1800" i="212"/>
  <c r="BE1799" i="212"/>
  <c r="BC1799" i="212"/>
  <c r="I1799" i="212"/>
  <c r="H1799" i="212"/>
  <c r="E1799" i="212"/>
  <c r="D1799" i="212"/>
  <c r="C1799" i="212"/>
  <c r="BE1798" i="212"/>
  <c r="BC1798" i="212"/>
  <c r="I1798" i="212"/>
  <c r="H1798" i="212"/>
  <c r="E1798" i="212"/>
  <c r="D1798" i="212"/>
  <c r="C1798" i="212"/>
  <c r="BE1797" i="212"/>
  <c r="BC1797" i="212"/>
  <c r="I1797" i="212"/>
  <c r="H1797" i="212"/>
  <c r="E1797" i="212"/>
  <c r="D1797" i="212"/>
  <c r="C1797" i="212"/>
  <c r="BE1796" i="212"/>
  <c r="BC1796" i="212"/>
  <c r="I1796" i="212"/>
  <c r="H1796" i="212"/>
  <c r="E1796" i="212"/>
  <c r="D1796" i="212"/>
  <c r="C1796" i="212"/>
  <c r="BE1795" i="212"/>
  <c r="BC1795" i="212"/>
  <c r="I1795" i="212"/>
  <c r="H1795" i="212"/>
  <c r="E1795" i="212"/>
  <c r="D1795" i="212"/>
  <c r="C1795" i="212"/>
  <c r="BE1794" i="212"/>
  <c r="BC1794" i="212"/>
  <c r="I1794" i="212"/>
  <c r="H1794" i="212"/>
  <c r="E1794" i="212"/>
  <c r="D1794" i="212"/>
  <c r="C1794" i="212"/>
  <c r="BE1793" i="212"/>
  <c r="BC1793" i="212"/>
  <c r="BA1793" i="212"/>
  <c r="I1793" i="212"/>
  <c r="H1793" i="212"/>
  <c r="E1793" i="212"/>
  <c r="D1793" i="212"/>
  <c r="C1793" i="212"/>
  <c r="BE1792" i="212"/>
  <c r="BC1792" i="212"/>
  <c r="I1792" i="212"/>
  <c r="H1792" i="212"/>
  <c r="E1792" i="212"/>
  <c r="D1792" i="212"/>
  <c r="C1792" i="212"/>
  <c r="BE1791" i="212"/>
  <c r="BC1791" i="212"/>
  <c r="I1791" i="212"/>
  <c r="H1791" i="212"/>
  <c r="E1791" i="212"/>
  <c r="D1791" i="212"/>
  <c r="C1791" i="212"/>
  <c r="BE1790" i="212"/>
  <c r="BC1790" i="212"/>
  <c r="I1790" i="212"/>
  <c r="H1790" i="212"/>
  <c r="E1790" i="212"/>
  <c r="D1790" i="212"/>
  <c r="C1790" i="212"/>
  <c r="BE1789" i="212"/>
  <c r="BC1789" i="212"/>
  <c r="I1789" i="212"/>
  <c r="H1789" i="212"/>
  <c r="E1789" i="212"/>
  <c r="D1789" i="212"/>
  <c r="C1789" i="212"/>
  <c r="BE1788" i="212"/>
  <c r="BC1788" i="212"/>
  <c r="BA1788" i="212"/>
  <c r="I1788" i="212"/>
  <c r="H1788" i="212"/>
  <c r="E1788" i="212"/>
  <c r="D1788" i="212"/>
  <c r="C1788" i="212"/>
  <c r="BE1787" i="212"/>
  <c r="BC1787" i="212"/>
  <c r="I1787" i="212"/>
  <c r="H1787" i="212"/>
  <c r="E1787" i="212"/>
  <c r="D1787" i="212"/>
  <c r="C1787" i="212"/>
  <c r="BE1786" i="212"/>
  <c r="BC1786" i="212"/>
  <c r="I1786" i="212"/>
  <c r="H1786" i="212"/>
  <c r="E1786" i="212"/>
  <c r="D1786" i="212"/>
  <c r="C1786" i="212"/>
  <c r="BE1785" i="212"/>
  <c r="BC1785" i="212"/>
  <c r="I1785" i="212"/>
  <c r="H1785" i="212"/>
  <c r="E1785" i="212"/>
  <c r="D1785" i="212"/>
  <c r="C1785" i="212"/>
  <c r="BE1784" i="212"/>
  <c r="BC1784" i="212"/>
  <c r="I1784" i="212"/>
  <c r="H1784" i="212"/>
  <c r="E1784" i="212"/>
  <c r="D1784" i="212"/>
  <c r="C1784" i="212"/>
  <c r="BE1783" i="212"/>
  <c r="BC1783" i="212"/>
  <c r="I1783" i="212"/>
  <c r="H1783" i="212"/>
  <c r="E1783" i="212"/>
  <c r="D1783" i="212"/>
  <c r="C1783" i="212"/>
  <c r="BE1782" i="212"/>
  <c r="BC1782" i="212"/>
  <c r="I1782" i="212"/>
  <c r="H1782" i="212"/>
  <c r="E1782" i="212"/>
  <c r="D1782" i="212"/>
  <c r="C1782" i="212"/>
  <c r="BE1781" i="212"/>
  <c r="BC1781" i="212"/>
  <c r="I1781" i="212"/>
  <c r="H1781" i="212"/>
  <c r="E1781" i="212"/>
  <c r="D1781" i="212"/>
  <c r="C1781" i="212"/>
  <c r="BE1780" i="212"/>
  <c r="BC1780" i="212"/>
  <c r="I1780" i="212"/>
  <c r="H1780" i="212"/>
  <c r="E1780" i="212"/>
  <c r="D1780" i="212"/>
  <c r="C1780" i="212"/>
  <c r="BE1779" i="212"/>
  <c r="BC1779" i="212"/>
  <c r="I1779" i="212"/>
  <c r="H1779" i="212"/>
  <c r="E1779" i="212"/>
  <c r="D1779" i="212"/>
  <c r="C1779" i="212"/>
  <c r="BE1778" i="212"/>
  <c r="BC1778" i="212"/>
  <c r="BA1778" i="212"/>
  <c r="I1778" i="212"/>
  <c r="H1778" i="212"/>
  <c r="E1778" i="212"/>
  <c r="D1778" i="212"/>
  <c r="C1778" i="212"/>
  <c r="BE1777" i="212"/>
  <c r="BC1777" i="212"/>
  <c r="I1777" i="212"/>
  <c r="H1777" i="212"/>
  <c r="E1777" i="212"/>
  <c r="D1777" i="212"/>
  <c r="C1777" i="212"/>
  <c r="BE1776" i="212"/>
  <c r="BC1776" i="212"/>
  <c r="I1776" i="212"/>
  <c r="H1776" i="212"/>
  <c r="E1776" i="212"/>
  <c r="D1776" i="212"/>
  <c r="C1776" i="212"/>
  <c r="BE1775" i="212"/>
  <c r="BC1775" i="212"/>
  <c r="BA1775" i="212"/>
  <c r="I1775" i="212"/>
  <c r="H1775" i="212"/>
  <c r="E1775" i="212"/>
  <c r="D1775" i="212"/>
  <c r="C1775" i="212"/>
  <c r="BE1774" i="212"/>
  <c r="BD1774" i="212"/>
  <c r="BC1774" i="212"/>
  <c r="BA1774" i="212"/>
  <c r="I1774" i="212"/>
  <c r="H1774" i="212"/>
  <c r="E1774" i="212"/>
  <c r="D1774" i="212"/>
  <c r="C1774" i="212"/>
  <c r="BE1773" i="212"/>
  <c r="BC1773" i="212"/>
  <c r="I1773" i="212"/>
  <c r="H1773" i="212"/>
  <c r="E1773" i="212"/>
  <c r="D1773" i="212"/>
  <c r="C1773" i="212"/>
  <c r="BE1772" i="212"/>
  <c r="BC1772" i="212"/>
  <c r="I1772" i="212"/>
  <c r="H1772" i="212"/>
  <c r="E1772" i="212"/>
  <c r="D1772" i="212"/>
  <c r="C1772" i="212"/>
  <c r="BE1771" i="212"/>
  <c r="BC1771" i="212"/>
  <c r="I1771" i="212"/>
  <c r="H1771" i="212"/>
  <c r="E1771" i="212"/>
  <c r="D1771" i="212"/>
  <c r="C1771" i="212"/>
  <c r="BE1770" i="212"/>
  <c r="BC1770" i="212"/>
  <c r="I1770" i="212"/>
  <c r="H1770" i="212"/>
  <c r="E1770" i="212"/>
  <c r="D1770" i="212"/>
  <c r="C1770" i="212"/>
  <c r="BE1769" i="212"/>
  <c r="BC1769" i="212"/>
  <c r="I1769" i="212"/>
  <c r="H1769" i="212"/>
  <c r="E1769" i="212"/>
  <c r="D1769" i="212"/>
  <c r="C1769" i="212"/>
  <c r="BE1768" i="212"/>
  <c r="BC1768" i="212"/>
  <c r="I1768" i="212"/>
  <c r="H1768" i="212"/>
  <c r="E1768" i="212"/>
  <c r="D1768" i="212"/>
  <c r="C1768" i="212"/>
  <c r="BE1767" i="212"/>
  <c r="BC1767" i="212"/>
  <c r="I1767" i="212"/>
  <c r="H1767" i="212"/>
  <c r="E1767" i="212"/>
  <c r="D1767" i="212"/>
  <c r="C1767" i="212"/>
  <c r="BE1766" i="212"/>
  <c r="BC1766" i="212"/>
  <c r="I1766" i="212"/>
  <c r="H1766" i="212"/>
  <c r="E1766" i="212"/>
  <c r="D1766" i="212"/>
  <c r="C1766" i="212"/>
  <c r="BE1765" i="212"/>
  <c r="BC1765" i="212"/>
  <c r="BA1765" i="212"/>
  <c r="I1765" i="212"/>
  <c r="H1765" i="212"/>
  <c r="E1765" i="212"/>
  <c r="D1765" i="212"/>
  <c r="C1765" i="212"/>
  <c r="BE1764" i="212"/>
  <c r="BC1764" i="212"/>
  <c r="I1764" i="212"/>
  <c r="H1764" i="212"/>
  <c r="E1764" i="212"/>
  <c r="D1764" i="212"/>
  <c r="C1764" i="212"/>
  <c r="BE1763" i="212"/>
  <c r="BC1763" i="212"/>
  <c r="BA1763" i="212"/>
  <c r="I1763" i="212"/>
  <c r="H1763" i="212"/>
  <c r="E1763" i="212"/>
  <c r="D1763" i="212"/>
  <c r="C1763" i="212"/>
  <c r="BE1762" i="212"/>
  <c r="BD1762" i="212"/>
  <c r="BC1762" i="212"/>
  <c r="BA1762" i="212"/>
  <c r="I1762" i="212"/>
  <c r="H1762" i="212"/>
  <c r="E1762" i="212"/>
  <c r="D1762" i="212"/>
  <c r="C1762" i="212"/>
  <c r="BE1761" i="212"/>
  <c r="BC1761" i="212"/>
  <c r="I1761" i="212"/>
  <c r="H1761" i="212"/>
  <c r="E1761" i="212"/>
  <c r="D1761" i="212"/>
  <c r="C1761" i="212"/>
  <c r="BE1760" i="212"/>
  <c r="BC1760" i="212"/>
  <c r="I1760" i="212"/>
  <c r="H1760" i="212"/>
  <c r="E1760" i="212"/>
  <c r="D1760" i="212"/>
  <c r="C1760" i="212"/>
  <c r="BE1759" i="212"/>
  <c r="BC1759" i="212"/>
  <c r="I1759" i="212"/>
  <c r="H1759" i="212"/>
  <c r="E1759" i="212"/>
  <c r="D1759" i="212"/>
  <c r="C1759" i="212"/>
  <c r="BE1758" i="212"/>
  <c r="BC1758" i="212"/>
  <c r="I1758" i="212"/>
  <c r="H1758" i="212"/>
  <c r="E1758" i="212"/>
  <c r="D1758" i="212"/>
  <c r="C1758" i="212"/>
  <c r="BE1757" i="212"/>
  <c r="BC1757" i="212"/>
  <c r="I1757" i="212"/>
  <c r="H1757" i="212"/>
  <c r="E1757" i="212"/>
  <c r="D1757" i="212"/>
  <c r="C1757" i="212"/>
  <c r="BE1756" i="212"/>
  <c r="BC1756" i="212"/>
  <c r="I1756" i="212"/>
  <c r="H1756" i="212"/>
  <c r="E1756" i="212"/>
  <c r="D1756" i="212"/>
  <c r="C1756" i="212"/>
  <c r="BE1755" i="212"/>
  <c r="BC1755" i="212"/>
  <c r="I1755" i="212"/>
  <c r="H1755" i="212"/>
  <c r="E1755" i="212"/>
  <c r="D1755" i="212"/>
  <c r="C1755" i="212"/>
  <c r="BE1754" i="212"/>
  <c r="BC1754" i="212"/>
  <c r="I1754" i="212"/>
  <c r="H1754" i="212"/>
  <c r="E1754" i="212"/>
  <c r="D1754" i="212"/>
  <c r="C1754" i="212"/>
  <c r="BE1753" i="212"/>
  <c r="BC1753" i="212"/>
  <c r="I1753" i="212"/>
  <c r="H1753" i="212"/>
  <c r="E1753" i="212"/>
  <c r="D1753" i="212"/>
  <c r="C1753" i="212"/>
  <c r="BE1752" i="212"/>
  <c r="BC1752" i="212"/>
  <c r="I1752" i="212"/>
  <c r="H1752" i="212"/>
  <c r="E1752" i="212"/>
  <c r="D1752" i="212"/>
  <c r="C1752" i="212"/>
  <c r="BE1751" i="212"/>
  <c r="BC1751" i="212"/>
  <c r="I1751" i="212"/>
  <c r="H1751" i="212"/>
  <c r="E1751" i="212"/>
  <c r="D1751" i="212"/>
  <c r="C1751" i="212"/>
  <c r="BE1750" i="212"/>
  <c r="BC1750" i="212"/>
  <c r="I1750" i="212"/>
  <c r="H1750" i="212"/>
  <c r="E1750" i="212"/>
  <c r="D1750" i="212"/>
  <c r="C1750" i="212"/>
  <c r="BE1749" i="212"/>
  <c r="BC1749" i="212"/>
  <c r="BA1749" i="212"/>
  <c r="I1749" i="212"/>
  <c r="H1749" i="212"/>
  <c r="E1749" i="212"/>
  <c r="D1749" i="212"/>
  <c r="C1749" i="212"/>
  <c r="BE1748" i="212"/>
  <c r="BC1748" i="212"/>
  <c r="I1748" i="212"/>
  <c r="H1748" i="212"/>
  <c r="E1748" i="212"/>
  <c r="D1748" i="212"/>
  <c r="C1748" i="212"/>
  <c r="BE1747" i="212"/>
  <c r="BC1747" i="212"/>
  <c r="I1747" i="212"/>
  <c r="H1747" i="212"/>
  <c r="E1747" i="212"/>
  <c r="D1747" i="212"/>
  <c r="C1747" i="212"/>
  <c r="BE1746" i="212"/>
  <c r="BC1746" i="212"/>
  <c r="I1746" i="212"/>
  <c r="H1746" i="212"/>
  <c r="E1746" i="212"/>
  <c r="D1746" i="212"/>
  <c r="C1746" i="212"/>
  <c r="BE1745" i="212"/>
  <c r="BC1745" i="212"/>
  <c r="I1745" i="212"/>
  <c r="H1745" i="212"/>
  <c r="E1745" i="212"/>
  <c r="D1745" i="212"/>
  <c r="C1745" i="212"/>
  <c r="BF1744" i="212"/>
  <c r="BE1744" i="212"/>
  <c r="BD1744" i="212"/>
  <c r="BC1744" i="212"/>
  <c r="BA1744" i="212"/>
  <c r="I1744" i="212"/>
  <c r="H1744" i="212"/>
  <c r="E1744" i="212"/>
  <c r="D1744" i="212"/>
  <c r="C1744" i="212"/>
  <c r="BE1743" i="212"/>
  <c r="BC1743" i="212"/>
  <c r="I1743" i="212"/>
  <c r="H1743" i="212"/>
  <c r="E1743" i="212"/>
  <c r="D1743" i="212"/>
  <c r="C1743" i="212"/>
  <c r="BE1742" i="212"/>
  <c r="BC1742" i="212"/>
  <c r="I1742" i="212"/>
  <c r="H1742" i="212"/>
  <c r="E1742" i="212"/>
  <c r="D1742" i="212"/>
  <c r="C1742" i="212"/>
  <c r="BE1741" i="212"/>
  <c r="BC1741" i="212"/>
  <c r="I1741" i="212"/>
  <c r="H1741" i="212"/>
  <c r="E1741" i="212"/>
  <c r="D1741" i="212"/>
  <c r="C1741" i="212"/>
  <c r="BE1740" i="212"/>
  <c r="BC1740" i="212"/>
  <c r="I1740" i="212"/>
  <c r="H1740" i="212"/>
  <c r="E1740" i="212"/>
  <c r="D1740" i="212"/>
  <c r="C1740" i="212"/>
  <c r="BE1739" i="212"/>
  <c r="BC1739" i="212"/>
  <c r="I1739" i="212"/>
  <c r="H1739" i="212"/>
  <c r="E1739" i="212"/>
  <c r="D1739" i="212"/>
  <c r="C1739" i="212"/>
  <c r="BE1738" i="212"/>
  <c r="BC1738" i="212"/>
  <c r="I1738" i="212"/>
  <c r="H1738" i="212"/>
  <c r="E1738" i="212"/>
  <c r="D1738" i="212"/>
  <c r="C1738" i="212"/>
  <c r="BE1737" i="212"/>
  <c r="BC1737" i="212"/>
  <c r="I1737" i="212"/>
  <c r="H1737" i="212"/>
  <c r="E1737" i="212"/>
  <c r="D1737" i="212"/>
  <c r="C1737" i="212"/>
  <c r="BE1736" i="212"/>
  <c r="BC1736" i="212"/>
  <c r="I1736" i="212"/>
  <c r="H1736" i="212"/>
  <c r="E1736" i="212"/>
  <c r="D1736" i="212"/>
  <c r="C1736" i="212"/>
  <c r="BE1735" i="212"/>
  <c r="BC1735" i="212"/>
  <c r="I1735" i="212"/>
  <c r="H1735" i="212"/>
  <c r="E1735" i="212"/>
  <c r="D1735" i="212"/>
  <c r="C1735" i="212"/>
  <c r="BE1734" i="212"/>
  <c r="BC1734" i="212"/>
  <c r="I1734" i="212"/>
  <c r="H1734" i="212"/>
  <c r="E1734" i="212"/>
  <c r="D1734" i="212"/>
  <c r="C1734" i="212"/>
  <c r="BE1733" i="212"/>
  <c r="BC1733" i="212"/>
  <c r="I1733" i="212"/>
  <c r="H1733" i="212"/>
  <c r="E1733" i="212"/>
  <c r="D1733" i="212"/>
  <c r="C1733" i="212"/>
  <c r="BE1732" i="212"/>
  <c r="BC1732" i="212"/>
  <c r="I1732" i="212"/>
  <c r="H1732" i="212"/>
  <c r="E1732" i="212"/>
  <c r="D1732" i="212"/>
  <c r="C1732" i="212"/>
  <c r="BE1731" i="212"/>
  <c r="BC1731" i="212"/>
  <c r="I1731" i="212"/>
  <c r="H1731" i="212"/>
  <c r="E1731" i="212"/>
  <c r="D1731" i="212"/>
  <c r="C1731" i="212"/>
  <c r="BE1730" i="212"/>
  <c r="BC1730" i="212"/>
  <c r="I1730" i="212"/>
  <c r="H1730" i="212"/>
  <c r="E1730" i="212"/>
  <c r="D1730" i="212"/>
  <c r="C1730" i="212"/>
  <c r="BE1729" i="212"/>
  <c r="BC1729" i="212"/>
  <c r="I1729" i="212"/>
  <c r="H1729" i="212"/>
  <c r="E1729" i="212"/>
  <c r="D1729" i="212"/>
  <c r="C1729" i="212"/>
  <c r="BE1728" i="212"/>
  <c r="BC1728" i="212"/>
  <c r="I1728" i="212"/>
  <c r="H1728" i="212"/>
  <c r="E1728" i="212"/>
  <c r="D1728" i="212"/>
  <c r="C1728" i="212"/>
  <c r="BE1727" i="212"/>
  <c r="BC1727" i="212"/>
  <c r="I1727" i="212"/>
  <c r="H1727" i="212"/>
  <c r="E1727" i="212"/>
  <c r="D1727" i="212"/>
  <c r="C1727" i="212"/>
  <c r="BE1726" i="212"/>
  <c r="BC1726" i="212"/>
  <c r="I1726" i="212"/>
  <c r="H1726" i="212"/>
  <c r="E1726" i="212"/>
  <c r="D1726" i="212"/>
  <c r="C1726" i="212"/>
  <c r="BE1725" i="212"/>
  <c r="BD1725" i="212"/>
  <c r="BC1725" i="212"/>
  <c r="BA1725" i="212"/>
  <c r="I1725" i="212"/>
  <c r="H1725" i="212"/>
  <c r="E1725" i="212"/>
  <c r="D1725" i="212"/>
  <c r="C1725" i="212"/>
  <c r="BE1724" i="212"/>
  <c r="BC1724" i="212"/>
  <c r="I1724" i="212"/>
  <c r="H1724" i="212"/>
  <c r="E1724" i="212"/>
  <c r="D1724" i="212"/>
  <c r="C1724" i="212"/>
  <c r="BE1723" i="212"/>
  <c r="BC1723" i="212"/>
  <c r="I1723" i="212"/>
  <c r="H1723" i="212"/>
  <c r="E1723" i="212"/>
  <c r="D1723" i="212"/>
  <c r="C1723" i="212"/>
  <c r="BE1722" i="212"/>
  <c r="BC1722" i="212"/>
  <c r="I1722" i="212"/>
  <c r="H1722" i="212"/>
  <c r="E1722" i="212"/>
  <c r="D1722" i="212"/>
  <c r="C1722" i="212"/>
  <c r="BE1721" i="212"/>
  <c r="BC1721" i="212"/>
  <c r="BA1721" i="212"/>
  <c r="I1721" i="212"/>
  <c r="H1721" i="212"/>
  <c r="E1721" i="212"/>
  <c r="D1721" i="212"/>
  <c r="C1721" i="212"/>
  <c r="BE1720" i="212"/>
  <c r="BC1720" i="212"/>
  <c r="I1720" i="212"/>
  <c r="H1720" i="212"/>
  <c r="E1720" i="212"/>
  <c r="D1720" i="212"/>
  <c r="C1720" i="212"/>
  <c r="BE1719" i="212"/>
  <c r="BC1719" i="212"/>
  <c r="I1719" i="212"/>
  <c r="H1719" i="212"/>
  <c r="E1719" i="212"/>
  <c r="D1719" i="212"/>
  <c r="C1719" i="212"/>
  <c r="BE1718" i="212"/>
  <c r="BD1718" i="212"/>
  <c r="BC1718" i="212"/>
  <c r="BA1718" i="212"/>
  <c r="I1718" i="212"/>
  <c r="H1718" i="212"/>
  <c r="E1718" i="212"/>
  <c r="D1718" i="212"/>
  <c r="C1718" i="212"/>
  <c r="BE1717" i="212"/>
  <c r="BC1717" i="212"/>
  <c r="I1717" i="212"/>
  <c r="H1717" i="212"/>
  <c r="E1717" i="212"/>
  <c r="D1717" i="212"/>
  <c r="C1717" i="212"/>
  <c r="BE1716" i="212"/>
  <c r="BC1716" i="212"/>
  <c r="I1716" i="212"/>
  <c r="H1716" i="212"/>
  <c r="E1716" i="212"/>
  <c r="D1716" i="212"/>
  <c r="C1716" i="212"/>
  <c r="BE1715" i="212"/>
  <c r="BC1715" i="212"/>
  <c r="I1715" i="212"/>
  <c r="H1715" i="212"/>
  <c r="E1715" i="212"/>
  <c r="D1715" i="212"/>
  <c r="C1715" i="212"/>
  <c r="BE1714" i="212"/>
  <c r="BC1714" i="212"/>
  <c r="I1714" i="212"/>
  <c r="H1714" i="212"/>
  <c r="E1714" i="212"/>
  <c r="D1714" i="212"/>
  <c r="C1714" i="212"/>
  <c r="BE1713" i="212"/>
  <c r="BC1713" i="212"/>
  <c r="I1713" i="212"/>
  <c r="H1713" i="212"/>
  <c r="E1713" i="212"/>
  <c r="D1713" i="212"/>
  <c r="C1713" i="212"/>
  <c r="BE1712" i="212"/>
  <c r="BC1712" i="212"/>
  <c r="I1712" i="212"/>
  <c r="H1712" i="212"/>
  <c r="E1712" i="212"/>
  <c r="D1712" i="212"/>
  <c r="C1712" i="212"/>
  <c r="BE1711" i="212"/>
  <c r="BD1711" i="212"/>
  <c r="BC1711" i="212"/>
  <c r="BA1711" i="212"/>
  <c r="I1711" i="212"/>
  <c r="H1711" i="212"/>
  <c r="E1711" i="212"/>
  <c r="D1711" i="212"/>
  <c r="C1711" i="212"/>
  <c r="BE1710" i="212"/>
  <c r="BC1710" i="212"/>
  <c r="I1710" i="212"/>
  <c r="H1710" i="212"/>
  <c r="E1710" i="212"/>
  <c r="D1710" i="212"/>
  <c r="C1710" i="212"/>
  <c r="BE1709" i="212"/>
  <c r="BC1709" i="212"/>
  <c r="I1709" i="212"/>
  <c r="H1709" i="212"/>
  <c r="E1709" i="212"/>
  <c r="D1709" i="212"/>
  <c r="C1709" i="212"/>
  <c r="BE1708" i="212"/>
  <c r="BC1708" i="212"/>
  <c r="I1708" i="212"/>
  <c r="H1708" i="212"/>
  <c r="E1708" i="212"/>
  <c r="D1708" i="212"/>
  <c r="C1708" i="212"/>
  <c r="BE1707" i="212"/>
  <c r="BC1707" i="212"/>
  <c r="I1707" i="212"/>
  <c r="H1707" i="212"/>
  <c r="E1707" i="212"/>
  <c r="D1707" i="212"/>
  <c r="C1707" i="212"/>
  <c r="BE1706" i="212"/>
  <c r="BC1706" i="212"/>
  <c r="I1706" i="212"/>
  <c r="H1706" i="212"/>
  <c r="E1706" i="212"/>
  <c r="D1706" i="212"/>
  <c r="C1706" i="212"/>
  <c r="BE1705" i="212"/>
  <c r="BC1705" i="212"/>
  <c r="I1705" i="212"/>
  <c r="H1705" i="212"/>
  <c r="E1705" i="212"/>
  <c r="D1705" i="212"/>
  <c r="C1705" i="212"/>
  <c r="BE1704" i="212"/>
  <c r="BC1704" i="212"/>
  <c r="I1704" i="212"/>
  <c r="H1704" i="212"/>
  <c r="E1704" i="212"/>
  <c r="D1704" i="212"/>
  <c r="C1704" i="212"/>
  <c r="BE1703" i="212"/>
  <c r="BC1703" i="212"/>
  <c r="BA1703" i="212"/>
  <c r="I1703" i="212"/>
  <c r="H1703" i="212"/>
  <c r="E1703" i="212"/>
  <c r="D1703" i="212"/>
  <c r="C1703" i="212"/>
  <c r="BE1702" i="212"/>
  <c r="BC1702" i="212"/>
  <c r="I1702" i="212"/>
  <c r="H1702" i="212"/>
  <c r="E1702" i="212"/>
  <c r="D1702" i="212"/>
  <c r="C1702" i="212"/>
  <c r="BE1701" i="212"/>
  <c r="BC1701" i="212"/>
  <c r="I1701" i="212"/>
  <c r="H1701" i="212"/>
  <c r="E1701" i="212"/>
  <c r="D1701" i="212"/>
  <c r="C1701" i="212"/>
  <c r="BE1700" i="212"/>
  <c r="BC1700" i="212"/>
  <c r="I1700" i="212"/>
  <c r="H1700" i="212"/>
  <c r="E1700" i="212"/>
  <c r="D1700" i="212"/>
  <c r="C1700" i="212"/>
  <c r="BE1699" i="212"/>
  <c r="BC1699" i="212"/>
  <c r="I1699" i="212"/>
  <c r="H1699" i="212"/>
  <c r="E1699" i="212"/>
  <c r="D1699" i="212"/>
  <c r="C1699" i="212"/>
  <c r="BE1698" i="212"/>
  <c r="BC1698" i="212"/>
  <c r="I1698" i="212"/>
  <c r="H1698" i="212"/>
  <c r="E1698" i="212"/>
  <c r="D1698" i="212"/>
  <c r="C1698" i="212"/>
  <c r="BE1697" i="212"/>
  <c r="BC1697" i="212"/>
  <c r="I1697" i="212"/>
  <c r="H1697" i="212"/>
  <c r="E1697" i="212"/>
  <c r="D1697" i="212"/>
  <c r="C1697" i="212"/>
  <c r="BE1696" i="212"/>
  <c r="BC1696" i="212"/>
  <c r="I1696" i="212"/>
  <c r="H1696" i="212"/>
  <c r="E1696" i="212"/>
  <c r="D1696" i="212"/>
  <c r="C1696" i="212"/>
  <c r="BE1695" i="212"/>
  <c r="BC1695" i="212"/>
  <c r="I1695" i="212"/>
  <c r="H1695" i="212"/>
  <c r="E1695" i="212"/>
  <c r="D1695" i="212"/>
  <c r="C1695" i="212"/>
  <c r="BE1694" i="212"/>
  <c r="BC1694" i="212"/>
  <c r="I1694" i="212"/>
  <c r="H1694" i="212"/>
  <c r="E1694" i="212"/>
  <c r="D1694" i="212"/>
  <c r="C1694" i="212"/>
  <c r="BE1693" i="212"/>
  <c r="BC1693" i="212"/>
  <c r="I1693" i="212"/>
  <c r="H1693" i="212"/>
  <c r="E1693" i="212"/>
  <c r="D1693" i="212"/>
  <c r="C1693" i="212"/>
  <c r="BE1692" i="212"/>
  <c r="BC1692" i="212"/>
  <c r="I1692" i="212"/>
  <c r="H1692" i="212"/>
  <c r="E1692" i="212"/>
  <c r="D1692" i="212"/>
  <c r="C1692" i="212"/>
  <c r="BE1691" i="212"/>
  <c r="BC1691" i="212"/>
  <c r="I1691" i="212"/>
  <c r="H1691" i="212"/>
  <c r="E1691" i="212"/>
  <c r="D1691" i="212"/>
  <c r="C1691" i="212"/>
  <c r="BE1690" i="212"/>
  <c r="BC1690" i="212"/>
  <c r="I1690" i="212"/>
  <c r="H1690" i="212"/>
  <c r="E1690" i="212"/>
  <c r="D1690" i="212"/>
  <c r="C1690" i="212"/>
  <c r="BE1689" i="212"/>
  <c r="BC1689" i="212"/>
  <c r="I1689" i="212"/>
  <c r="H1689" i="212"/>
  <c r="E1689" i="212"/>
  <c r="D1689" i="212"/>
  <c r="C1689" i="212"/>
  <c r="BE1688" i="212"/>
  <c r="BC1688" i="212"/>
  <c r="I1688" i="212"/>
  <c r="H1688" i="212"/>
  <c r="E1688" i="212"/>
  <c r="D1688" i="212"/>
  <c r="C1688" i="212"/>
  <c r="BE1687" i="212"/>
  <c r="BC1687" i="212"/>
  <c r="I1687" i="212"/>
  <c r="H1687" i="212"/>
  <c r="E1687" i="212"/>
  <c r="D1687" i="212"/>
  <c r="C1687" i="212"/>
  <c r="BE1686" i="212"/>
  <c r="BC1686" i="212"/>
  <c r="I1686" i="212"/>
  <c r="H1686" i="212"/>
  <c r="E1686" i="212"/>
  <c r="D1686" i="212"/>
  <c r="C1686" i="212"/>
  <c r="BE1685" i="212"/>
  <c r="BC1685" i="212"/>
  <c r="I1685" i="212"/>
  <c r="H1685" i="212"/>
  <c r="E1685" i="212"/>
  <c r="D1685" i="212"/>
  <c r="C1685" i="212"/>
  <c r="BE1684" i="212"/>
  <c r="BC1684" i="212"/>
  <c r="I1684" i="212"/>
  <c r="H1684" i="212"/>
  <c r="E1684" i="212"/>
  <c r="D1684" i="212"/>
  <c r="C1684" i="212"/>
  <c r="BE1683" i="212"/>
  <c r="BC1683" i="212"/>
  <c r="I1683" i="212"/>
  <c r="H1683" i="212"/>
  <c r="E1683" i="212"/>
  <c r="D1683" i="212"/>
  <c r="C1683" i="212"/>
  <c r="BE1682" i="212"/>
  <c r="BC1682" i="212"/>
  <c r="I1682" i="212"/>
  <c r="H1682" i="212"/>
  <c r="E1682" i="212"/>
  <c r="D1682" i="212"/>
  <c r="C1682" i="212"/>
  <c r="BE1681" i="212"/>
  <c r="BC1681" i="212"/>
  <c r="I1681" i="212"/>
  <c r="H1681" i="212"/>
  <c r="E1681" i="212"/>
  <c r="D1681" i="212"/>
  <c r="C1681" i="212"/>
  <c r="BE1680" i="212"/>
  <c r="BC1680" i="212"/>
  <c r="I1680" i="212"/>
  <c r="H1680" i="212"/>
  <c r="E1680" i="212"/>
  <c r="D1680" i="212"/>
  <c r="C1680" i="212"/>
  <c r="BE1679" i="212"/>
  <c r="BC1679" i="212"/>
  <c r="I1679" i="212"/>
  <c r="H1679" i="212"/>
  <c r="E1679" i="212"/>
  <c r="D1679" i="212"/>
  <c r="C1679" i="212"/>
  <c r="BE1678" i="212"/>
  <c r="BC1678" i="212"/>
  <c r="BA1678" i="212"/>
  <c r="I1678" i="212"/>
  <c r="H1678" i="212"/>
  <c r="E1678" i="212"/>
  <c r="D1678" i="212"/>
  <c r="C1678" i="212"/>
  <c r="BE1677" i="212"/>
  <c r="BC1677" i="212"/>
  <c r="I1677" i="212"/>
  <c r="H1677" i="212"/>
  <c r="E1677" i="212"/>
  <c r="D1677" i="212"/>
  <c r="C1677" i="212"/>
  <c r="BE1676" i="212"/>
  <c r="BC1676" i="212"/>
  <c r="I1676" i="212"/>
  <c r="H1676" i="212"/>
  <c r="E1676" i="212"/>
  <c r="D1676" i="212"/>
  <c r="C1676" i="212"/>
  <c r="BE1675" i="212"/>
  <c r="BC1675" i="212"/>
  <c r="I1675" i="212"/>
  <c r="H1675" i="212"/>
  <c r="E1675" i="212"/>
  <c r="D1675" i="212"/>
  <c r="C1675" i="212"/>
  <c r="BE1674" i="212"/>
  <c r="BC1674" i="212"/>
  <c r="I1674" i="212"/>
  <c r="H1674" i="212"/>
  <c r="E1674" i="212"/>
  <c r="D1674" i="212"/>
  <c r="C1674" i="212"/>
  <c r="BE1673" i="212"/>
  <c r="BC1673" i="212"/>
  <c r="I1673" i="212"/>
  <c r="H1673" i="212"/>
  <c r="E1673" i="212"/>
  <c r="D1673" i="212"/>
  <c r="C1673" i="212"/>
  <c r="BE1672" i="212"/>
  <c r="BC1672" i="212"/>
  <c r="BA1672" i="212"/>
  <c r="I1672" i="212"/>
  <c r="H1672" i="212"/>
  <c r="E1672" i="212"/>
  <c r="D1672" i="212"/>
  <c r="C1672" i="212"/>
  <c r="BE1671" i="212"/>
  <c r="BC1671" i="212"/>
  <c r="I1671" i="212"/>
  <c r="H1671" i="212"/>
  <c r="E1671" i="212"/>
  <c r="D1671" i="212"/>
  <c r="C1671" i="212"/>
  <c r="BE1670" i="212"/>
  <c r="BC1670" i="212"/>
  <c r="I1670" i="212"/>
  <c r="H1670" i="212"/>
  <c r="E1670" i="212"/>
  <c r="D1670" i="212"/>
  <c r="C1670" i="212"/>
  <c r="BE1669" i="212"/>
  <c r="BC1669" i="212"/>
  <c r="I1669" i="212"/>
  <c r="H1669" i="212"/>
  <c r="E1669" i="212"/>
  <c r="D1669" i="212"/>
  <c r="C1669" i="212"/>
  <c r="BE1668" i="212"/>
  <c r="BC1668" i="212"/>
  <c r="I1668" i="212"/>
  <c r="H1668" i="212"/>
  <c r="E1668" i="212"/>
  <c r="D1668" i="212"/>
  <c r="C1668" i="212"/>
  <c r="BE1667" i="212"/>
  <c r="BC1667" i="212"/>
  <c r="I1667" i="212"/>
  <c r="H1667" i="212"/>
  <c r="E1667" i="212"/>
  <c r="D1667" i="212"/>
  <c r="C1667" i="212"/>
  <c r="BE1666" i="212"/>
  <c r="BC1666" i="212"/>
  <c r="I1666" i="212"/>
  <c r="H1666" i="212"/>
  <c r="E1666" i="212"/>
  <c r="D1666" i="212"/>
  <c r="C1666" i="212"/>
  <c r="BE1665" i="212"/>
  <c r="BC1665" i="212"/>
  <c r="I1665" i="212"/>
  <c r="H1665" i="212"/>
  <c r="E1665" i="212"/>
  <c r="D1665" i="212"/>
  <c r="C1665" i="212"/>
  <c r="BE1664" i="212"/>
  <c r="BC1664" i="212"/>
  <c r="I1664" i="212"/>
  <c r="H1664" i="212"/>
  <c r="E1664" i="212"/>
  <c r="D1664" i="212"/>
  <c r="C1664" i="212"/>
  <c r="BE1663" i="212"/>
  <c r="BC1663" i="212"/>
  <c r="I1663" i="212"/>
  <c r="H1663" i="212"/>
  <c r="E1663" i="212"/>
  <c r="D1663" i="212"/>
  <c r="C1663" i="212"/>
  <c r="BE1662" i="212"/>
  <c r="BC1662" i="212"/>
  <c r="BA1662" i="212"/>
  <c r="I1662" i="212"/>
  <c r="H1662" i="212"/>
  <c r="E1662" i="212"/>
  <c r="D1662" i="212"/>
  <c r="C1662" i="212"/>
  <c r="BE1661" i="212"/>
  <c r="BC1661" i="212"/>
  <c r="I1661" i="212"/>
  <c r="H1661" i="212"/>
  <c r="E1661" i="212"/>
  <c r="D1661" i="212"/>
  <c r="C1661" i="212"/>
  <c r="BE1660" i="212"/>
  <c r="BC1660" i="212"/>
  <c r="I1660" i="212"/>
  <c r="H1660" i="212"/>
  <c r="E1660" i="212"/>
  <c r="D1660" i="212"/>
  <c r="C1660" i="212"/>
  <c r="BE1659" i="212"/>
  <c r="BC1659" i="212"/>
  <c r="BA1659" i="212"/>
  <c r="I1659" i="212"/>
  <c r="H1659" i="212"/>
  <c r="E1659" i="212"/>
  <c r="D1659" i="212"/>
  <c r="C1659" i="212"/>
  <c r="BE1658" i="212"/>
  <c r="BD1658" i="212"/>
  <c r="BC1658" i="212"/>
  <c r="BA1658" i="212"/>
  <c r="I1658" i="212"/>
  <c r="H1658" i="212"/>
  <c r="E1658" i="212"/>
  <c r="D1658" i="212"/>
  <c r="C1658" i="212"/>
  <c r="BE1657" i="212"/>
  <c r="BC1657" i="212"/>
  <c r="I1657" i="212"/>
  <c r="H1657" i="212"/>
  <c r="E1657" i="212"/>
  <c r="D1657" i="212"/>
  <c r="C1657" i="212"/>
  <c r="BE1656" i="212"/>
  <c r="BC1656" i="212"/>
  <c r="I1656" i="212"/>
  <c r="H1656" i="212"/>
  <c r="E1656" i="212"/>
  <c r="D1656" i="212"/>
  <c r="C1656" i="212"/>
  <c r="BE1655" i="212"/>
  <c r="BC1655" i="212"/>
  <c r="I1655" i="212"/>
  <c r="H1655" i="212"/>
  <c r="E1655" i="212"/>
  <c r="D1655" i="212"/>
  <c r="C1655" i="212"/>
  <c r="BE1654" i="212"/>
  <c r="BC1654" i="212"/>
  <c r="I1654" i="212"/>
  <c r="H1654" i="212"/>
  <c r="E1654" i="212"/>
  <c r="D1654" i="212"/>
  <c r="C1654" i="212"/>
  <c r="BE1653" i="212"/>
  <c r="BC1653" i="212"/>
  <c r="I1653" i="212"/>
  <c r="H1653" i="212"/>
  <c r="E1653" i="212"/>
  <c r="D1653" i="212"/>
  <c r="C1653" i="212"/>
  <c r="BE1652" i="212"/>
  <c r="BC1652" i="212"/>
  <c r="I1652" i="212"/>
  <c r="H1652" i="212"/>
  <c r="E1652" i="212"/>
  <c r="D1652" i="212"/>
  <c r="C1652" i="212"/>
  <c r="BE1651" i="212"/>
  <c r="BC1651" i="212"/>
  <c r="I1651" i="212"/>
  <c r="H1651" i="212"/>
  <c r="E1651" i="212"/>
  <c r="D1651" i="212"/>
  <c r="C1651" i="212"/>
  <c r="BE1650" i="212"/>
  <c r="BC1650" i="212"/>
  <c r="I1650" i="212"/>
  <c r="H1650" i="212"/>
  <c r="E1650" i="212"/>
  <c r="D1650" i="212"/>
  <c r="C1650" i="212"/>
  <c r="BE1649" i="212"/>
  <c r="BC1649" i="212"/>
  <c r="I1649" i="212"/>
  <c r="H1649" i="212"/>
  <c r="E1649" i="212"/>
  <c r="D1649" i="212"/>
  <c r="C1649" i="212"/>
  <c r="BE1648" i="212"/>
  <c r="BC1648" i="212"/>
  <c r="I1648" i="212"/>
  <c r="H1648" i="212"/>
  <c r="E1648" i="212"/>
  <c r="D1648" i="212"/>
  <c r="C1648" i="212"/>
  <c r="BE1647" i="212"/>
  <c r="BC1647" i="212"/>
  <c r="I1647" i="212"/>
  <c r="H1647" i="212"/>
  <c r="E1647" i="212"/>
  <c r="D1647" i="212"/>
  <c r="C1647" i="212"/>
  <c r="BE1646" i="212"/>
  <c r="BC1646" i="212"/>
  <c r="I1646" i="212"/>
  <c r="H1646" i="212"/>
  <c r="E1646" i="212"/>
  <c r="D1646" i="212"/>
  <c r="C1646" i="212"/>
  <c r="BE1645" i="212"/>
  <c r="BC1645" i="212"/>
  <c r="I1645" i="212"/>
  <c r="H1645" i="212"/>
  <c r="E1645" i="212"/>
  <c r="D1645" i="212"/>
  <c r="C1645" i="212"/>
  <c r="BE1644" i="212"/>
  <c r="BC1644" i="212"/>
  <c r="I1644" i="212"/>
  <c r="H1644" i="212"/>
  <c r="E1644" i="212"/>
  <c r="D1644" i="212"/>
  <c r="C1644" i="212"/>
  <c r="BE1643" i="212"/>
  <c r="BC1643" i="212"/>
  <c r="I1643" i="212"/>
  <c r="H1643" i="212"/>
  <c r="E1643" i="212"/>
  <c r="D1643" i="212"/>
  <c r="C1643" i="212"/>
  <c r="BE1642" i="212"/>
  <c r="BC1642" i="212"/>
  <c r="I1642" i="212"/>
  <c r="H1642" i="212"/>
  <c r="E1642" i="212"/>
  <c r="D1642" i="212"/>
  <c r="C1642" i="212"/>
  <c r="BE1641" i="212"/>
  <c r="BC1641" i="212"/>
  <c r="I1641" i="212"/>
  <c r="H1641" i="212"/>
  <c r="E1641" i="212"/>
  <c r="D1641" i="212"/>
  <c r="C1641" i="212"/>
  <c r="BE1640" i="212"/>
  <c r="BC1640" i="212"/>
  <c r="I1640" i="212"/>
  <c r="H1640" i="212"/>
  <c r="E1640" i="212"/>
  <c r="D1640" i="212"/>
  <c r="C1640" i="212"/>
  <c r="BE1639" i="212"/>
  <c r="BC1639" i="212"/>
  <c r="I1639" i="212"/>
  <c r="H1639" i="212"/>
  <c r="E1639" i="212"/>
  <c r="D1639" i="212"/>
  <c r="C1639" i="212"/>
  <c r="BE1638" i="212"/>
  <c r="BC1638" i="212"/>
  <c r="I1638" i="212"/>
  <c r="H1638" i="212"/>
  <c r="E1638" i="212"/>
  <c r="D1638" i="212"/>
  <c r="C1638" i="212"/>
  <c r="BE1637" i="212"/>
  <c r="BC1637" i="212"/>
  <c r="I1637" i="212"/>
  <c r="H1637" i="212"/>
  <c r="E1637" i="212"/>
  <c r="D1637" i="212"/>
  <c r="C1637" i="212"/>
  <c r="BE1636" i="212"/>
  <c r="BC1636" i="212"/>
  <c r="I1636" i="212"/>
  <c r="H1636" i="212"/>
  <c r="E1636" i="212"/>
  <c r="D1636" i="212"/>
  <c r="C1636" i="212"/>
  <c r="BE1635" i="212"/>
  <c r="BC1635" i="212"/>
  <c r="I1635" i="212"/>
  <c r="H1635" i="212"/>
  <c r="E1635" i="212"/>
  <c r="D1635" i="212"/>
  <c r="C1635" i="212"/>
  <c r="BE1634" i="212"/>
  <c r="BC1634" i="212"/>
  <c r="I1634" i="212"/>
  <c r="H1634" i="212"/>
  <c r="E1634" i="212"/>
  <c r="D1634" i="212"/>
  <c r="C1634" i="212"/>
  <c r="BE1633" i="212"/>
  <c r="BC1633" i="212"/>
  <c r="I1633" i="212"/>
  <c r="H1633" i="212"/>
  <c r="E1633" i="212"/>
  <c r="D1633" i="212"/>
  <c r="C1633" i="212"/>
  <c r="BE1632" i="212"/>
  <c r="BC1632" i="212"/>
  <c r="BA1632" i="212"/>
  <c r="I1632" i="212"/>
  <c r="H1632" i="212"/>
  <c r="E1632" i="212"/>
  <c r="D1632" i="212"/>
  <c r="C1632" i="212"/>
  <c r="BE1631" i="212"/>
  <c r="BC1631" i="212"/>
  <c r="I1631" i="212"/>
  <c r="H1631" i="212"/>
  <c r="E1631" i="212"/>
  <c r="D1631" i="212"/>
  <c r="C1631" i="212"/>
  <c r="BE1630" i="212"/>
  <c r="BC1630" i="212"/>
  <c r="I1630" i="212"/>
  <c r="H1630" i="212"/>
  <c r="E1630" i="212"/>
  <c r="D1630" i="212"/>
  <c r="C1630" i="212"/>
  <c r="BE1629" i="212"/>
  <c r="BC1629" i="212"/>
  <c r="I1629" i="212"/>
  <c r="H1629" i="212"/>
  <c r="E1629" i="212"/>
  <c r="D1629" i="212"/>
  <c r="C1629" i="212"/>
  <c r="BE1628" i="212"/>
  <c r="BC1628" i="212"/>
  <c r="I1628" i="212"/>
  <c r="H1628" i="212"/>
  <c r="E1628" i="212"/>
  <c r="D1628" i="212"/>
  <c r="C1628" i="212"/>
  <c r="BE1627" i="212"/>
  <c r="BC1627" i="212"/>
  <c r="I1627" i="212"/>
  <c r="H1627" i="212"/>
  <c r="E1627" i="212"/>
  <c r="D1627" i="212"/>
  <c r="C1627" i="212"/>
  <c r="BF1626" i="212"/>
  <c r="BE1626" i="212"/>
  <c r="BD1626" i="212"/>
  <c r="BC1626" i="212"/>
  <c r="BA1626" i="212"/>
  <c r="I1626" i="212"/>
  <c r="H1626" i="212"/>
  <c r="E1626" i="212"/>
  <c r="D1626" i="212"/>
  <c r="C1626" i="212"/>
  <c r="BE1625" i="212"/>
  <c r="BC1625" i="212"/>
  <c r="I1625" i="212"/>
  <c r="H1625" i="212"/>
  <c r="E1625" i="212"/>
  <c r="D1625" i="212"/>
  <c r="C1625" i="212"/>
  <c r="BE1624" i="212"/>
  <c r="BC1624" i="212"/>
  <c r="I1624" i="212"/>
  <c r="H1624" i="212"/>
  <c r="E1624" i="212"/>
  <c r="D1624" i="212"/>
  <c r="C1624" i="212"/>
  <c r="BE1623" i="212"/>
  <c r="BC1623" i="212"/>
  <c r="I1623" i="212"/>
  <c r="H1623" i="212"/>
  <c r="E1623" i="212"/>
  <c r="D1623" i="212"/>
  <c r="C1623" i="212"/>
  <c r="BE1622" i="212"/>
  <c r="BC1622" i="212"/>
  <c r="I1622" i="212"/>
  <c r="H1622" i="212"/>
  <c r="E1622" i="212"/>
  <c r="D1622" i="212"/>
  <c r="C1622" i="212"/>
  <c r="BE1621" i="212"/>
  <c r="BC1621" i="212"/>
  <c r="I1621" i="212"/>
  <c r="H1621" i="212"/>
  <c r="E1621" i="212"/>
  <c r="D1621" i="212"/>
  <c r="C1621" i="212"/>
  <c r="BE1620" i="212"/>
  <c r="BC1620" i="212"/>
  <c r="I1620" i="212"/>
  <c r="H1620" i="212"/>
  <c r="E1620" i="212"/>
  <c r="D1620" i="212"/>
  <c r="C1620" i="212"/>
  <c r="BE1619" i="212"/>
  <c r="BD1619" i="212"/>
  <c r="BC1619" i="212"/>
  <c r="BA1619" i="212"/>
  <c r="I1619" i="212"/>
  <c r="H1619" i="212"/>
  <c r="E1619" i="212"/>
  <c r="D1619" i="212"/>
  <c r="C1619" i="212"/>
  <c r="BE1618" i="212"/>
  <c r="BC1618" i="212"/>
  <c r="I1618" i="212"/>
  <c r="H1618" i="212"/>
  <c r="E1618" i="212"/>
  <c r="D1618" i="212"/>
  <c r="C1618" i="212"/>
  <c r="BE1617" i="212"/>
  <c r="BC1617" i="212"/>
  <c r="I1617" i="212"/>
  <c r="H1617" i="212"/>
  <c r="E1617" i="212"/>
  <c r="D1617" i="212"/>
  <c r="C1617" i="212"/>
  <c r="BE1616" i="212"/>
  <c r="BC1616" i="212"/>
  <c r="I1616" i="212"/>
  <c r="H1616" i="212"/>
  <c r="E1616" i="212"/>
  <c r="D1616" i="212"/>
  <c r="C1616" i="212"/>
  <c r="BE1615" i="212"/>
  <c r="BC1615" i="212"/>
  <c r="I1615" i="212"/>
  <c r="H1615" i="212"/>
  <c r="E1615" i="212"/>
  <c r="D1615" i="212"/>
  <c r="C1615" i="212"/>
  <c r="BE1614" i="212"/>
  <c r="BC1614" i="212"/>
  <c r="I1614" i="212"/>
  <c r="H1614" i="212"/>
  <c r="E1614" i="212"/>
  <c r="D1614" i="212"/>
  <c r="C1614" i="212"/>
  <c r="BE1613" i="212"/>
  <c r="BC1613" i="212"/>
  <c r="I1613" i="212"/>
  <c r="H1613" i="212"/>
  <c r="E1613" i="212"/>
  <c r="D1613" i="212"/>
  <c r="C1613" i="212"/>
  <c r="BE1612" i="212"/>
  <c r="BC1612" i="212"/>
  <c r="I1612" i="212"/>
  <c r="H1612" i="212"/>
  <c r="E1612" i="212"/>
  <c r="D1612" i="212"/>
  <c r="C1612" i="212"/>
  <c r="BE1611" i="212"/>
  <c r="BC1611" i="212"/>
  <c r="I1611" i="212"/>
  <c r="H1611" i="212"/>
  <c r="E1611" i="212"/>
  <c r="D1611" i="212"/>
  <c r="C1611" i="212"/>
  <c r="BE1610" i="212"/>
  <c r="BC1610" i="212"/>
  <c r="I1610" i="212"/>
  <c r="H1610" i="212"/>
  <c r="E1610" i="212"/>
  <c r="D1610" i="212"/>
  <c r="C1610" i="212"/>
  <c r="BE1609" i="212"/>
  <c r="BD1609" i="212"/>
  <c r="BC1609" i="212"/>
  <c r="BA1609" i="212"/>
  <c r="I1609" i="212"/>
  <c r="H1609" i="212"/>
  <c r="E1609" i="212"/>
  <c r="D1609" i="212"/>
  <c r="C1609" i="212"/>
  <c r="BE1608" i="212"/>
  <c r="BC1608" i="212"/>
  <c r="I1608" i="212"/>
  <c r="H1608" i="212"/>
  <c r="E1608" i="212"/>
  <c r="D1608" i="212"/>
  <c r="C1608" i="212"/>
  <c r="BE1607" i="212"/>
  <c r="BC1607" i="212"/>
  <c r="I1607" i="212"/>
  <c r="H1607" i="212"/>
  <c r="E1607" i="212"/>
  <c r="D1607" i="212"/>
  <c r="C1607" i="212"/>
  <c r="BE1606" i="212"/>
  <c r="BC1606" i="212"/>
  <c r="I1606" i="212"/>
  <c r="H1606" i="212"/>
  <c r="E1606" i="212"/>
  <c r="D1606" i="212"/>
  <c r="C1606" i="212"/>
  <c r="BE1605" i="212"/>
  <c r="BC1605" i="212"/>
  <c r="BA1605" i="212"/>
  <c r="I1605" i="212"/>
  <c r="H1605" i="212"/>
  <c r="E1605" i="212"/>
  <c r="D1605" i="212"/>
  <c r="C1605" i="212"/>
  <c r="BE1604" i="212"/>
  <c r="BC1604" i="212"/>
  <c r="I1604" i="212"/>
  <c r="H1604" i="212"/>
  <c r="E1604" i="212"/>
  <c r="D1604" i="212"/>
  <c r="C1604" i="212"/>
  <c r="BE1603" i="212"/>
  <c r="BC1603" i="212"/>
  <c r="I1603" i="212"/>
  <c r="H1603" i="212"/>
  <c r="E1603" i="212"/>
  <c r="D1603" i="212"/>
  <c r="C1603" i="212"/>
  <c r="BE1602" i="212"/>
  <c r="BC1602" i="212"/>
  <c r="BA1602" i="212"/>
  <c r="I1602" i="212"/>
  <c r="H1602" i="212"/>
  <c r="E1602" i="212"/>
  <c r="D1602" i="212"/>
  <c r="C1602" i="212"/>
  <c r="BE1601" i="212"/>
  <c r="BC1601" i="212"/>
  <c r="I1601" i="212"/>
  <c r="H1601" i="212"/>
  <c r="E1601" i="212"/>
  <c r="D1601" i="212"/>
  <c r="C1601" i="212"/>
  <c r="BE1600" i="212"/>
  <c r="BD1600" i="212"/>
  <c r="BC1600" i="212"/>
  <c r="BA1600" i="212"/>
  <c r="I1600" i="212"/>
  <c r="H1600" i="212"/>
  <c r="E1600" i="212"/>
  <c r="D1600" i="212"/>
  <c r="C1600" i="212"/>
  <c r="BE1599" i="212"/>
  <c r="BC1599" i="212"/>
  <c r="I1599" i="212"/>
  <c r="H1599" i="212"/>
  <c r="E1599" i="212"/>
  <c r="D1599" i="212"/>
  <c r="C1599" i="212"/>
  <c r="BE1598" i="212"/>
  <c r="BC1598" i="212"/>
  <c r="I1598" i="212"/>
  <c r="H1598" i="212"/>
  <c r="E1598" i="212"/>
  <c r="D1598" i="212"/>
  <c r="C1598" i="212"/>
  <c r="BE1597" i="212"/>
  <c r="BC1597" i="212"/>
  <c r="I1597" i="212"/>
  <c r="H1597" i="212"/>
  <c r="E1597" i="212"/>
  <c r="D1597" i="212"/>
  <c r="C1597" i="212"/>
  <c r="BE1596" i="212"/>
  <c r="BC1596" i="212"/>
  <c r="I1596" i="212"/>
  <c r="H1596" i="212"/>
  <c r="E1596" i="212"/>
  <c r="D1596" i="212"/>
  <c r="C1596" i="212"/>
  <c r="BE1595" i="212"/>
  <c r="BC1595" i="212"/>
  <c r="BA1595" i="212"/>
  <c r="I1595" i="212"/>
  <c r="H1595" i="212"/>
  <c r="E1595" i="212"/>
  <c r="D1595" i="212"/>
  <c r="C1595" i="212"/>
  <c r="BE1594" i="212"/>
  <c r="BC1594" i="212"/>
  <c r="I1594" i="212"/>
  <c r="H1594" i="212"/>
  <c r="E1594" i="212"/>
  <c r="D1594" i="212"/>
  <c r="C1594" i="212"/>
  <c r="BE1593" i="212"/>
  <c r="BC1593" i="212"/>
  <c r="I1593" i="212"/>
  <c r="H1593" i="212"/>
  <c r="E1593" i="212"/>
  <c r="D1593" i="212"/>
  <c r="C1593" i="212"/>
  <c r="BE1592" i="212"/>
  <c r="BD1592" i="212"/>
  <c r="BC1592" i="212"/>
  <c r="BA1592" i="212"/>
  <c r="I1592" i="212"/>
  <c r="H1592" i="212"/>
  <c r="E1592" i="212"/>
  <c r="D1592" i="212"/>
  <c r="C1592" i="212"/>
  <c r="BE1591" i="212"/>
  <c r="BC1591" i="212"/>
  <c r="I1591" i="212"/>
  <c r="H1591" i="212"/>
  <c r="E1591" i="212"/>
  <c r="D1591" i="212"/>
  <c r="C1591" i="212"/>
  <c r="BE1590" i="212"/>
  <c r="BC1590" i="212"/>
  <c r="I1590" i="212"/>
  <c r="H1590" i="212"/>
  <c r="E1590" i="212"/>
  <c r="D1590" i="212"/>
  <c r="C1590" i="212"/>
  <c r="BE1589" i="212"/>
  <c r="BC1589" i="212"/>
  <c r="I1589" i="212"/>
  <c r="H1589" i="212"/>
  <c r="E1589" i="212"/>
  <c r="D1589" i="212"/>
  <c r="C1589" i="212"/>
  <c r="BE1588" i="212"/>
  <c r="BC1588" i="212"/>
  <c r="I1588" i="212"/>
  <c r="H1588" i="212"/>
  <c r="E1588" i="212"/>
  <c r="D1588" i="212"/>
  <c r="C1588" i="212"/>
  <c r="BE1587" i="212"/>
  <c r="BC1587" i="212"/>
  <c r="I1587" i="212"/>
  <c r="H1587" i="212"/>
  <c r="E1587" i="212"/>
  <c r="D1587" i="212"/>
  <c r="C1587" i="212"/>
  <c r="BE1586" i="212"/>
  <c r="BC1586" i="212"/>
  <c r="I1586" i="212"/>
  <c r="H1586" i="212"/>
  <c r="E1586" i="212"/>
  <c r="D1586" i="212"/>
  <c r="C1586" i="212"/>
  <c r="BE1585" i="212"/>
  <c r="BD1585" i="212"/>
  <c r="BC1585" i="212"/>
  <c r="BA1585" i="212"/>
  <c r="I1585" i="212"/>
  <c r="H1585" i="212"/>
  <c r="E1585" i="212"/>
  <c r="D1585" i="212"/>
  <c r="C1585" i="212"/>
  <c r="BE1584" i="212"/>
  <c r="BC1584" i="212"/>
  <c r="I1584" i="212"/>
  <c r="H1584" i="212"/>
  <c r="E1584" i="212"/>
  <c r="D1584" i="212"/>
  <c r="C1584" i="212"/>
  <c r="BE1583" i="212"/>
  <c r="BC1583" i="212"/>
  <c r="I1583" i="212"/>
  <c r="H1583" i="212"/>
  <c r="E1583" i="212"/>
  <c r="D1583" i="212"/>
  <c r="C1583" i="212"/>
  <c r="BE1582" i="212"/>
  <c r="BC1582" i="212"/>
  <c r="I1582" i="212"/>
  <c r="H1582" i="212"/>
  <c r="E1582" i="212"/>
  <c r="D1582" i="212"/>
  <c r="C1582" i="212"/>
  <c r="BE1581" i="212"/>
  <c r="BC1581" i="212"/>
  <c r="I1581" i="212"/>
  <c r="H1581" i="212"/>
  <c r="E1581" i="212"/>
  <c r="D1581" i="212"/>
  <c r="C1581" i="212"/>
  <c r="BE1580" i="212"/>
  <c r="BC1580" i="212"/>
  <c r="I1580" i="212"/>
  <c r="H1580" i="212"/>
  <c r="E1580" i="212"/>
  <c r="D1580" i="212"/>
  <c r="C1580" i="212"/>
  <c r="BE1579" i="212"/>
  <c r="BC1579" i="212"/>
  <c r="I1579" i="212"/>
  <c r="H1579" i="212"/>
  <c r="E1579" i="212"/>
  <c r="D1579" i="212"/>
  <c r="C1579" i="212"/>
  <c r="BE1578" i="212"/>
  <c r="BC1578" i="212"/>
  <c r="I1578" i="212"/>
  <c r="H1578" i="212"/>
  <c r="E1578" i="212"/>
  <c r="D1578" i="212"/>
  <c r="C1578" i="212"/>
  <c r="BE1577" i="212"/>
  <c r="BC1577" i="212"/>
  <c r="BA1577" i="212"/>
  <c r="I1577" i="212"/>
  <c r="H1577" i="212"/>
  <c r="E1577" i="212"/>
  <c r="D1577" i="212"/>
  <c r="C1577" i="212"/>
  <c r="BE1576" i="212"/>
  <c r="BC1576" i="212"/>
  <c r="I1576" i="212"/>
  <c r="H1576" i="212"/>
  <c r="E1576" i="212"/>
  <c r="D1576" i="212"/>
  <c r="C1576" i="212"/>
  <c r="BE1575" i="212"/>
  <c r="BC1575" i="212"/>
  <c r="I1575" i="212"/>
  <c r="H1575" i="212"/>
  <c r="E1575" i="212"/>
  <c r="D1575" i="212"/>
  <c r="C1575" i="212"/>
  <c r="BE1574" i="212"/>
  <c r="BC1574" i="212"/>
  <c r="I1574" i="212"/>
  <c r="H1574" i="212"/>
  <c r="E1574" i="212"/>
  <c r="D1574" i="212"/>
  <c r="C1574" i="212"/>
  <c r="BE1573" i="212"/>
  <c r="BC1573" i="212"/>
  <c r="I1573" i="212"/>
  <c r="H1573" i="212"/>
  <c r="E1573" i="212"/>
  <c r="D1573" i="212"/>
  <c r="C1573" i="212"/>
  <c r="BE1572" i="212"/>
  <c r="BC1572" i="212"/>
  <c r="I1572" i="212"/>
  <c r="H1572" i="212"/>
  <c r="E1572" i="212"/>
  <c r="D1572" i="212"/>
  <c r="C1572" i="212"/>
  <c r="BE1571" i="212"/>
  <c r="BC1571" i="212"/>
  <c r="I1571" i="212"/>
  <c r="H1571" i="212"/>
  <c r="E1571" i="212"/>
  <c r="D1571" i="212"/>
  <c r="C1571" i="212"/>
  <c r="BE1570" i="212"/>
  <c r="BC1570" i="212"/>
  <c r="I1570" i="212"/>
  <c r="H1570" i="212"/>
  <c r="E1570" i="212"/>
  <c r="D1570" i="212"/>
  <c r="C1570" i="212"/>
  <c r="BE1569" i="212"/>
  <c r="BC1569" i="212"/>
  <c r="I1569" i="212"/>
  <c r="H1569" i="212"/>
  <c r="E1569" i="212"/>
  <c r="D1569" i="212"/>
  <c r="C1569" i="212"/>
  <c r="BE1568" i="212"/>
  <c r="BC1568" i="212"/>
  <c r="I1568" i="212"/>
  <c r="H1568" i="212"/>
  <c r="E1568" i="212"/>
  <c r="D1568" i="212"/>
  <c r="C1568" i="212"/>
  <c r="BE1567" i="212"/>
  <c r="BC1567" i="212"/>
  <c r="I1567" i="212"/>
  <c r="H1567" i="212"/>
  <c r="E1567" i="212"/>
  <c r="D1567" i="212"/>
  <c r="C1567" i="212"/>
  <c r="BE1566" i="212"/>
  <c r="BC1566" i="212"/>
  <c r="I1566" i="212"/>
  <c r="H1566" i="212"/>
  <c r="E1566" i="212"/>
  <c r="D1566" i="212"/>
  <c r="C1566" i="212"/>
  <c r="BE1565" i="212"/>
  <c r="BC1565" i="212"/>
  <c r="I1565" i="212"/>
  <c r="H1565" i="212"/>
  <c r="E1565" i="212"/>
  <c r="D1565" i="212"/>
  <c r="C1565" i="212"/>
  <c r="BE1564" i="212"/>
  <c r="BC1564" i="212"/>
  <c r="I1564" i="212"/>
  <c r="H1564" i="212"/>
  <c r="E1564" i="212"/>
  <c r="D1564" i="212"/>
  <c r="C1564" i="212"/>
  <c r="BE1563" i="212"/>
  <c r="BC1563" i="212"/>
  <c r="I1563" i="212"/>
  <c r="H1563" i="212"/>
  <c r="E1563" i="212"/>
  <c r="D1563" i="212"/>
  <c r="C1563" i="212"/>
  <c r="BE1562" i="212"/>
  <c r="BC1562" i="212"/>
  <c r="I1562" i="212"/>
  <c r="H1562" i="212"/>
  <c r="E1562" i="212"/>
  <c r="D1562" i="212"/>
  <c r="C1562" i="212"/>
  <c r="BE1561" i="212"/>
  <c r="BC1561" i="212"/>
  <c r="I1561" i="212"/>
  <c r="H1561" i="212"/>
  <c r="E1561" i="212"/>
  <c r="D1561" i="212"/>
  <c r="C1561" i="212"/>
  <c r="BE1560" i="212"/>
  <c r="BD1560" i="212"/>
  <c r="BC1560" i="212"/>
  <c r="BA1560" i="212"/>
  <c r="I1560" i="212"/>
  <c r="H1560" i="212"/>
  <c r="E1560" i="212"/>
  <c r="D1560" i="212"/>
  <c r="C1560" i="212"/>
  <c r="BE1559" i="212"/>
  <c r="BC1559" i="212"/>
  <c r="I1559" i="212"/>
  <c r="H1559" i="212"/>
  <c r="E1559" i="212"/>
  <c r="D1559" i="212"/>
  <c r="C1559" i="212"/>
  <c r="BE1558" i="212"/>
  <c r="BC1558" i="212"/>
  <c r="I1558" i="212"/>
  <c r="H1558" i="212"/>
  <c r="E1558" i="212"/>
  <c r="D1558" i="212"/>
  <c r="C1558" i="212"/>
  <c r="BE1557" i="212"/>
  <c r="BC1557" i="212"/>
  <c r="I1557" i="212"/>
  <c r="H1557" i="212"/>
  <c r="E1557" i="212"/>
  <c r="D1557" i="212"/>
  <c r="C1557" i="212"/>
  <c r="BE1556" i="212"/>
  <c r="BC1556" i="212"/>
  <c r="I1556" i="212"/>
  <c r="H1556" i="212"/>
  <c r="E1556" i="212"/>
  <c r="D1556" i="212"/>
  <c r="C1556" i="212"/>
  <c r="BE1555" i="212"/>
  <c r="BC1555" i="212"/>
  <c r="I1555" i="212"/>
  <c r="H1555" i="212"/>
  <c r="E1555" i="212"/>
  <c r="D1555" i="212"/>
  <c r="C1555" i="212"/>
  <c r="BE1554" i="212"/>
  <c r="BC1554" i="212"/>
  <c r="I1554" i="212"/>
  <c r="H1554" i="212"/>
  <c r="E1554" i="212"/>
  <c r="D1554" i="212"/>
  <c r="C1554" i="212"/>
  <c r="BE1553" i="212"/>
  <c r="BC1553" i="212"/>
  <c r="I1553" i="212"/>
  <c r="H1553" i="212"/>
  <c r="E1553" i="212"/>
  <c r="D1553" i="212"/>
  <c r="C1553" i="212"/>
  <c r="BE1552" i="212"/>
  <c r="BC1552" i="212"/>
  <c r="I1552" i="212"/>
  <c r="H1552" i="212"/>
  <c r="E1552" i="212"/>
  <c r="D1552" i="212"/>
  <c r="C1552" i="212"/>
  <c r="BE1551" i="212"/>
  <c r="BC1551" i="212"/>
  <c r="I1551" i="212"/>
  <c r="H1551" i="212"/>
  <c r="E1551" i="212"/>
  <c r="D1551" i="212"/>
  <c r="C1551" i="212"/>
  <c r="BE1550" i="212"/>
  <c r="BC1550" i="212"/>
  <c r="BA1550" i="212"/>
  <c r="I1550" i="212"/>
  <c r="H1550" i="212"/>
  <c r="E1550" i="212"/>
  <c r="D1550" i="212"/>
  <c r="C1550" i="212"/>
  <c r="BE1549" i="212"/>
  <c r="BC1549" i="212"/>
  <c r="I1549" i="212"/>
  <c r="H1549" i="212"/>
  <c r="E1549" i="212"/>
  <c r="D1549" i="212"/>
  <c r="C1549" i="212"/>
  <c r="BE1548" i="212"/>
  <c r="BC1548" i="212"/>
  <c r="I1548" i="212"/>
  <c r="H1548" i="212"/>
  <c r="E1548" i="212"/>
  <c r="D1548" i="212"/>
  <c r="C1548" i="212"/>
  <c r="BE1547" i="212"/>
  <c r="BC1547" i="212"/>
  <c r="I1547" i="212"/>
  <c r="H1547" i="212"/>
  <c r="E1547" i="212"/>
  <c r="D1547" i="212"/>
  <c r="C1547" i="212"/>
  <c r="BE1546" i="212"/>
  <c r="BC1546" i="212"/>
  <c r="I1546" i="212"/>
  <c r="H1546" i="212"/>
  <c r="E1546" i="212"/>
  <c r="D1546" i="212"/>
  <c r="C1546" i="212"/>
  <c r="BE1545" i="212"/>
  <c r="BC1545" i="212"/>
  <c r="I1545" i="212"/>
  <c r="H1545" i="212"/>
  <c r="E1545" i="212"/>
  <c r="D1545" i="212"/>
  <c r="C1545" i="212"/>
  <c r="BE1544" i="212"/>
  <c r="BC1544" i="212"/>
  <c r="BA1544" i="212"/>
  <c r="I1544" i="212"/>
  <c r="H1544" i="212"/>
  <c r="E1544" i="212"/>
  <c r="D1544" i="212"/>
  <c r="C1544" i="212"/>
  <c r="BE1543" i="212"/>
  <c r="BC1543" i="212"/>
  <c r="I1543" i="212"/>
  <c r="H1543" i="212"/>
  <c r="E1543" i="212"/>
  <c r="D1543" i="212"/>
  <c r="C1543" i="212"/>
  <c r="BE1542" i="212"/>
  <c r="BC1542" i="212"/>
  <c r="I1542" i="212"/>
  <c r="H1542" i="212"/>
  <c r="E1542" i="212"/>
  <c r="D1542" i="212"/>
  <c r="C1542" i="212"/>
  <c r="BE1541" i="212"/>
  <c r="BC1541" i="212"/>
  <c r="I1541" i="212"/>
  <c r="H1541" i="212"/>
  <c r="E1541" i="212"/>
  <c r="D1541" i="212"/>
  <c r="C1541" i="212"/>
  <c r="BE1540" i="212"/>
  <c r="BC1540" i="212"/>
  <c r="I1540" i="212"/>
  <c r="H1540" i="212"/>
  <c r="E1540" i="212"/>
  <c r="D1540" i="212"/>
  <c r="C1540" i="212"/>
  <c r="BE1539" i="212"/>
  <c r="BC1539" i="212"/>
  <c r="I1539" i="212"/>
  <c r="H1539" i="212"/>
  <c r="E1539" i="212"/>
  <c r="D1539" i="212"/>
  <c r="C1539" i="212"/>
  <c r="BE1538" i="212"/>
  <c r="BC1538" i="212"/>
  <c r="I1538" i="212"/>
  <c r="H1538" i="212"/>
  <c r="E1538" i="212"/>
  <c r="D1538" i="212"/>
  <c r="C1538" i="212"/>
  <c r="BE1537" i="212"/>
  <c r="BC1537" i="212"/>
  <c r="I1537" i="212"/>
  <c r="H1537" i="212"/>
  <c r="E1537" i="212"/>
  <c r="D1537" i="212"/>
  <c r="C1537" i="212"/>
  <c r="BE1536" i="212"/>
  <c r="BC1536" i="212"/>
  <c r="I1536" i="212"/>
  <c r="H1536" i="212"/>
  <c r="E1536" i="212"/>
  <c r="D1536" i="212"/>
  <c r="C1536" i="212"/>
  <c r="BE1535" i="212"/>
  <c r="BC1535" i="212"/>
  <c r="I1535" i="212"/>
  <c r="H1535" i="212"/>
  <c r="E1535" i="212"/>
  <c r="D1535" i="212"/>
  <c r="C1535" i="212"/>
  <c r="BE1534" i="212"/>
  <c r="BC1534" i="212"/>
  <c r="BA1534" i="212"/>
  <c r="I1534" i="212"/>
  <c r="H1534" i="212"/>
  <c r="E1534" i="212"/>
  <c r="D1534" i="212"/>
  <c r="C1534" i="212"/>
  <c r="BE1533" i="212"/>
  <c r="BC1533" i="212"/>
  <c r="I1533" i="212"/>
  <c r="H1533" i="212"/>
  <c r="E1533" i="212"/>
  <c r="D1533" i="212"/>
  <c r="C1533" i="212"/>
  <c r="BE1532" i="212"/>
  <c r="BC1532" i="212"/>
  <c r="I1532" i="212"/>
  <c r="H1532" i="212"/>
  <c r="E1532" i="212"/>
  <c r="D1532" i="212"/>
  <c r="C1532" i="212"/>
  <c r="BE1531" i="212"/>
  <c r="BD1531" i="212"/>
  <c r="BC1531" i="212"/>
  <c r="BA1531" i="212"/>
  <c r="I1531" i="212"/>
  <c r="H1531" i="212"/>
  <c r="E1531" i="212"/>
  <c r="D1531" i="212"/>
  <c r="C1531" i="212"/>
  <c r="BE1530" i="212"/>
  <c r="BC1530" i="212"/>
  <c r="I1530" i="212"/>
  <c r="H1530" i="212"/>
  <c r="E1530" i="212"/>
  <c r="D1530" i="212"/>
  <c r="C1530" i="212"/>
  <c r="BE1529" i="212"/>
  <c r="BC1529" i="212"/>
  <c r="I1529" i="212"/>
  <c r="H1529" i="212"/>
  <c r="E1529" i="212"/>
  <c r="D1529" i="212"/>
  <c r="C1529" i="212"/>
  <c r="BE1528" i="212"/>
  <c r="BC1528" i="212"/>
  <c r="I1528" i="212"/>
  <c r="H1528" i="212"/>
  <c r="E1528" i="212"/>
  <c r="D1528" i="212"/>
  <c r="C1528" i="212"/>
  <c r="BE1527" i="212"/>
  <c r="BC1527" i="212"/>
  <c r="I1527" i="212"/>
  <c r="H1527" i="212"/>
  <c r="E1527" i="212"/>
  <c r="D1527" i="212"/>
  <c r="C1527" i="212"/>
  <c r="BE1526" i="212"/>
  <c r="BC1526" i="212"/>
  <c r="I1526" i="212"/>
  <c r="H1526" i="212"/>
  <c r="E1526" i="212"/>
  <c r="D1526" i="212"/>
  <c r="C1526" i="212"/>
  <c r="BE1525" i="212"/>
  <c r="BC1525" i="212"/>
  <c r="I1525" i="212"/>
  <c r="H1525" i="212"/>
  <c r="E1525" i="212"/>
  <c r="D1525" i="212"/>
  <c r="C1525" i="212"/>
  <c r="BE1524" i="212"/>
  <c r="BC1524" i="212"/>
  <c r="I1524" i="212"/>
  <c r="H1524" i="212"/>
  <c r="E1524" i="212"/>
  <c r="D1524" i="212"/>
  <c r="C1524" i="212"/>
  <c r="BE1523" i="212"/>
  <c r="BC1523" i="212"/>
  <c r="I1523" i="212"/>
  <c r="H1523" i="212"/>
  <c r="E1523" i="212"/>
  <c r="D1523" i="212"/>
  <c r="C1523" i="212"/>
  <c r="BE1522" i="212"/>
  <c r="BC1522" i="212"/>
  <c r="I1522" i="212"/>
  <c r="H1522" i="212"/>
  <c r="E1522" i="212"/>
  <c r="D1522" i="212"/>
  <c r="C1522" i="212"/>
  <c r="BE1521" i="212"/>
  <c r="BC1521" i="212"/>
  <c r="I1521" i="212"/>
  <c r="H1521" i="212"/>
  <c r="E1521" i="212"/>
  <c r="D1521" i="212"/>
  <c r="C1521" i="212"/>
  <c r="BE1520" i="212"/>
  <c r="BC1520" i="212"/>
  <c r="I1520" i="212"/>
  <c r="H1520" i="212"/>
  <c r="E1520" i="212"/>
  <c r="D1520" i="212"/>
  <c r="C1520" i="212"/>
  <c r="BE1519" i="212"/>
  <c r="BC1519" i="212"/>
  <c r="I1519" i="212"/>
  <c r="H1519" i="212"/>
  <c r="E1519" i="212"/>
  <c r="D1519" i="212"/>
  <c r="C1519" i="212"/>
  <c r="BE1518" i="212"/>
  <c r="BC1518" i="212"/>
  <c r="I1518" i="212"/>
  <c r="H1518" i="212"/>
  <c r="E1518" i="212"/>
  <c r="D1518" i="212"/>
  <c r="C1518" i="212"/>
  <c r="BE1517" i="212"/>
  <c r="BC1517" i="212"/>
  <c r="I1517" i="212"/>
  <c r="H1517" i="212"/>
  <c r="E1517" i="212"/>
  <c r="D1517" i="212"/>
  <c r="C1517" i="212"/>
  <c r="BE1516" i="212"/>
  <c r="BC1516" i="212"/>
  <c r="I1516" i="212"/>
  <c r="H1516" i="212"/>
  <c r="E1516" i="212"/>
  <c r="D1516" i="212"/>
  <c r="C1516" i="212"/>
  <c r="BE1515" i="212"/>
  <c r="BC1515" i="212"/>
  <c r="I1515" i="212"/>
  <c r="H1515" i="212"/>
  <c r="E1515" i="212"/>
  <c r="D1515" i="212"/>
  <c r="C1515" i="212"/>
  <c r="BE1514" i="212"/>
  <c r="BC1514" i="212"/>
  <c r="I1514" i="212"/>
  <c r="H1514" i="212"/>
  <c r="E1514" i="212"/>
  <c r="D1514" i="212"/>
  <c r="C1514" i="212"/>
  <c r="BE1513" i="212"/>
  <c r="BC1513" i="212"/>
  <c r="I1513" i="212"/>
  <c r="H1513" i="212"/>
  <c r="E1513" i="212"/>
  <c r="D1513" i="212"/>
  <c r="C1513" i="212"/>
  <c r="BE1512" i="212"/>
  <c r="BC1512" i="212"/>
  <c r="I1512" i="212"/>
  <c r="H1512" i="212"/>
  <c r="E1512" i="212"/>
  <c r="D1512" i="212"/>
  <c r="C1512" i="212"/>
  <c r="BE1511" i="212"/>
  <c r="BC1511" i="212"/>
  <c r="I1511" i="212"/>
  <c r="H1511" i="212"/>
  <c r="E1511" i="212"/>
  <c r="D1511" i="212"/>
  <c r="C1511" i="212"/>
  <c r="BE1510" i="212"/>
  <c r="BC1510" i="212"/>
  <c r="I1510" i="212"/>
  <c r="H1510" i="212"/>
  <c r="E1510" i="212"/>
  <c r="D1510" i="212"/>
  <c r="C1510" i="212"/>
  <c r="BE1509" i="212"/>
  <c r="BC1509" i="212"/>
  <c r="I1509" i="212"/>
  <c r="H1509" i="212"/>
  <c r="E1509" i="212"/>
  <c r="D1509" i="212"/>
  <c r="C1509" i="212"/>
  <c r="BE1508" i="212"/>
  <c r="BC1508" i="212"/>
  <c r="I1508" i="212"/>
  <c r="H1508" i="212"/>
  <c r="E1508" i="212"/>
  <c r="D1508" i="212"/>
  <c r="C1508" i="212"/>
  <c r="BE1507" i="212"/>
  <c r="BC1507" i="212"/>
  <c r="I1507" i="212"/>
  <c r="H1507" i="212"/>
  <c r="E1507" i="212"/>
  <c r="D1507" i="212"/>
  <c r="C1507" i="212"/>
  <c r="BE1506" i="212"/>
  <c r="BC1506" i="212"/>
  <c r="BA1506" i="212"/>
  <c r="I1506" i="212"/>
  <c r="H1506" i="212"/>
  <c r="E1506" i="212"/>
  <c r="D1506" i="212"/>
  <c r="C1506" i="212"/>
  <c r="BE1505" i="212"/>
  <c r="BC1505" i="212"/>
  <c r="I1505" i="212"/>
  <c r="H1505" i="212"/>
  <c r="E1505" i="212"/>
  <c r="D1505" i="212"/>
  <c r="C1505" i="212"/>
  <c r="BE1504" i="212"/>
  <c r="BC1504" i="212"/>
  <c r="I1504" i="212"/>
  <c r="H1504" i="212"/>
  <c r="E1504" i="212"/>
  <c r="D1504" i="212"/>
  <c r="C1504" i="212"/>
  <c r="BE1503" i="212"/>
  <c r="BC1503" i="212"/>
  <c r="I1503" i="212"/>
  <c r="H1503" i="212"/>
  <c r="E1503" i="212"/>
  <c r="D1503" i="212"/>
  <c r="C1503" i="212"/>
  <c r="BE1502" i="212"/>
  <c r="BC1502" i="212"/>
  <c r="I1502" i="212"/>
  <c r="H1502" i="212"/>
  <c r="E1502" i="212"/>
  <c r="D1502" i="212"/>
  <c r="C1502" i="212"/>
  <c r="BE1501" i="212"/>
  <c r="BC1501" i="212"/>
  <c r="I1501" i="212"/>
  <c r="H1501" i="212"/>
  <c r="E1501" i="212"/>
  <c r="D1501" i="212"/>
  <c r="C1501" i="212"/>
  <c r="BE1500" i="212"/>
  <c r="BC1500" i="212"/>
  <c r="BA1500" i="212"/>
  <c r="I1500" i="212"/>
  <c r="H1500" i="212"/>
  <c r="E1500" i="212"/>
  <c r="D1500" i="212"/>
  <c r="C1500" i="212"/>
  <c r="BE1499" i="212"/>
  <c r="BC1499" i="212"/>
  <c r="I1499" i="212"/>
  <c r="H1499" i="212"/>
  <c r="E1499" i="212"/>
  <c r="D1499" i="212"/>
  <c r="C1499" i="212"/>
  <c r="BE1498" i="212"/>
  <c r="BC1498" i="212"/>
  <c r="I1498" i="212"/>
  <c r="H1498" i="212"/>
  <c r="E1498" i="212"/>
  <c r="D1498" i="212"/>
  <c r="C1498" i="212"/>
  <c r="BE1497" i="212"/>
  <c r="BC1497" i="212"/>
  <c r="I1497" i="212"/>
  <c r="H1497" i="212"/>
  <c r="E1497" i="212"/>
  <c r="D1497" i="212"/>
  <c r="C1497" i="212"/>
  <c r="BE1496" i="212"/>
  <c r="BC1496" i="212"/>
  <c r="I1496" i="212"/>
  <c r="H1496" i="212"/>
  <c r="E1496" i="212"/>
  <c r="D1496" i="212"/>
  <c r="C1496" i="212"/>
  <c r="BE1495" i="212"/>
  <c r="BD1495" i="212"/>
  <c r="BC1495" i="212"/>
  <c r="BA1495" i="212"/>
  <c r="I1495" i="212"/>
  <c r="H1495" i="212"/>
  <c r="E1495" i="212"/>
  <c r="D1495" i="212"/>
  <c r="C1495" i="212"/>
  <c r="BE1494" i="212"/>
  <c r="BC1494" i="212"/>
  <c r="I1494" i="212"/>
  <c r="H1494" i="212"/>
  <c r="E1494" i="212"/>
  <c r="D1494" i="212"/>
  <c r="C1494" i="212"/>
  <c r="BE1493" i="212"/>
  <c r="BC1493" i="212"/>
  <c r="I1493" i="212"/>
  <c r="H1493" i="212"/>
  <c r="E1493" i="212"/>
  <c r="D1493" i="212"/>
  <c r="C1493" i="212"/>
  <c r="BE1492" i="212"/>
  <c r="BC1492" i="212"/>
  <c r="I1492" i="212"/>
  <c r="H1492" i="212"/>
  <c r="E1492" i="212"/>
  <c r="D1492" i="212"/>
  <c r="C1492" i="212"/>
  <c r="BE1491" i="212"/>
  <c r="BC1491" i="212"/>
  <c r="I1491" i="212"/>
  <c r="H1491" i="212"/>
  <c r="E1491" i="212"/>
  <c r="D1491" i="212"/>
  <c r="C1491" i="212"/>
  <c r="BE1490" i="212"/>
  <c r="BC1490" i="212"/>
  <c r="I1490" i="212"/>
  <c r="H1490" i="212"/>
  <c r="E1490" i="212"/>
  <c r="D1490" i="212"/>
  <c r="C1490" i="212"/>
  <c r="BE1489" i="212"/>
  <c r="BC1489" i="212"/>
  <c r="I1489" i="212"/>
  <c r="H1489" i="212"/>
  <c r="E1489" i="212"/>
  <c r="D1489" i="212"/>
  <c r="C1489" i="212"/>
  <c r="BE1488" i="212"/>
  <c r="BC1488" i="212"/>
  <c r="I1488" i="212"/>
  <c r="H1488" i="212"/>
  <c r="E1488" i="212"/>
  <c r="D1488" i="212"/>
  <c r="C1488" i="212"/>
  <c r="BE1487" i="212"/>
  <c r="BC1487" i="212"/>
  <c r="I1487" i="212"/>
  <c r="H1487" i="212"/>
  <c r="E1487" i="212"/>
  <c r="D1487" i="212"/>
  <c r="C1487" i="212"/>
  <c r="BE1486" i="212"/>
  <c r="BD1486" i="212"/>
  <c r="BC1486" i="212"/>
  <c r="BA1486" i="212"/>
  <c r="I1486" i="212"/>
  <c r="H1486" i="212"/>
  <c r="E1486" i="212"/>
  <c r="D1486" i="212"/>
  <c r="C1486" i="212"/>
  <c r="BE1485" i="212"/>
  <c r="BC1485" i="212"/>
  <c r="I1485" i="212"/>
  <c r="H1485" i="212"/>
  <c r="E1485" i="212"/>
  <c r="D1485" i="212"/>
  <c r="C1485" i="212"/>
  <c r="BE1484" i="212"/>
  <c r="BC1484" i="212"/>
  <c r="BA1484" i="212"/>
  <c r="I1484" i="212"/>
  <c r="H1484" i="212"/>
  <c r="E1484" i="212"/>
  <c r="D1484" i="212"/>
  <c r="C1484" i="212"/>
  <c r="BE1483" i="212"/>
  <c r="BC1483" i="212"/>
  <c r="I1483" i="212"/>
  <c r="H1483" i="212"/>
  <c r="E1483" i="212"/>
  <c r="D1483" i="212"/>
  <c r="C1483" i="212"/>
  <c r="BE1482" i="212"/>
  <c r="BC1482" i="212"/>
  <c r="I1482" i="212"/>
  <c r="H1482" i="212"/>
  <c r="E1482" i="212"/>
  <c r="D1482" i="212"/>
  <c r="C1482" i="212"/>
  <c r="BE1481" i="212"/>
  <c r="BC1481" i="212"/>
  <c r="I1481" i="212"/>
  <c r="H1481" i="212"/>
  <c r="E1481" i="212"/>
  <c r="D1481" i="212"/>
  <c r="C1481" i="212"/>
  <c r="BE1480" i="212"/>
  <c r="BD1480" i="212"/>
  <c r="BC1480" i="212"/>
  <c r="BA1480" i="212"/>
  <c r="I1480" i="212"/>
  <c r="H1480" i="212"/>
  <c r="E1480" i="212"/>
  <c r="D1480" i="212"/>
  <c r="C1480" i="212"/>
  <c r="BE1479" i="212"/>
  <c r="BC1479" i="212"/>
  <c r="I1479" i="212"/>
  <c r="H1479" i="212"/>
  <c r="E1479" i="212"/>
  <c r="D1479" i="212"/>
  <c r="C1479" i="212"/>
  <c r="BE1478" i="212"/>
  <c r="BC1478" i="212"/>
  <c r="I1478" i="212"/>
  <c r="H1478" i="212"/>
  <c r="E1478" i="212"/>
  <c r="D1478" i="212"/>
  <c r="C1478" i="212"/>
  <c r="BE1477" i="212"/>
  <c r="BC1477" i="212"/>
  <c r="I1477" i="212"/>
  <c r="H1477" i="212"/>
  <c r="E1477" i="212"/>
  <c r="D1477" i="212"/>
  <c r="C1477" i="212"/>
  <c r="BE1476" i="212"/>
  <c r="BC1476" i="212"/>
  <c r="I1476" i="212"/>
  <c r="H1476" i="212"/>
  <c r="E1476" i="212"/>
  <c r="D1476" i="212"/>
  <c r="C1476" i="212"/>
  <c r="BE1475" i="212"/>
  <c r="BC1475" i="212"/>
  <c r="BA1475" i="212"/>
  <c r="I1475" i="212"/>
  <c r="H1475" i="212"/>
  <c r="E1475" i="212"/>
  <c r="D1475" i="212"/>
  <c r="C1475" i="212"/>
  <c r="BE1474" i="212"/>
  <c r="BC1474" i="212"/>
  <c r="I1474" i="212"/>
  <c r="H1474" i="212"/>
  <c r="E1474" i="212"/>
  <c r="D1474" i="212"/>
  <c r="C1474" i="212"/>
  <c r="BE1473" i="212"/>
  <c r="BC1473" i="212"/>
  <c r="I1473" i="212"/>
  <c r="H1473" i="212"/>
  <c r="E1473" i="212"/>
  <c r="D1473" i="212"/>
  <c r="C1473" i="212"/>
  <c r="BE1472" i="212"/>
  <c r="BD1472" i="212"/>
  <c r="BC1472" i="212"/>
  <c r="BA1472" i="212"/>
  <c r="I1472" i="212"/>
  <c r="H1472" i="212"/>
  <c r="E1472" i="212"/>
  <c r="D1472" i="212"/>
  <c r="C1472" i="212"/>
  <c r="BE1471" i="212"/>
  <c r="BC1471" i="212"/>
  <c r="I1471" i="212"/>
  <c r="H1471" i="212"/>
  <c r="E1471" i="212"/>
  <c r="D1471" i="212"/>
  <c r="C1471" i="212"/>
  <c r="BE1470" i="212"/>
  <c r="BC1470" i="212"/>
  <c r="I1470" i="212"/>
  <c r="H1470" i="212"/>
  <c r="E1470" i="212"/>
  <c r="D1470" i="212"/>
  <c r="C1470" i="212"/>
  <c r="BE1469" i="212"/>
  <c r="BC1469" i="212"/>
  <c r="I1469" i="212"/>
  <c r="H1469" i="212"/>
  <c r="E1469" i="212"/>
  <c r="D1469" i="212"/>
  <c r="C1469" i="212"/>
  <c r="BE1468" i="212"/>
  <c r="BC1468" i="212"/>
  <c r="I1468" i="212"/>
  <c r="H1468" i="212"/>
  <c r="E1468" i="212"/>
  <c r="D1468" i="212"/>
  <c r="C1468" i="212"/>
  <c r="BE1467" i="212"/>
  <c r="BC1467" i="212"/>
  <c r="I1467" i="212"/>
  <c r="H1467" i="212"/>
  <c r="E1467" i="212"/>
  <c r="D1467" i="212"/>
  <c r="C1467" i="212"/>
  <c r="BE1466" i="212"/>
  <c r="BC1466" i="212"/>
  <c r="I1466" i="212"/>
  <c r="H1466" i="212"/>
  <c r="E1466" i="212"/>
  <c r="D1466" i="212"/>
  <c r="C1466" i="212"/>
  <c r="BE1465" i="212"/>
  <c r="BC1465" i="212"/>
  <c r="I1465" i="212"/>
  <c r="H1465" i="212"/>
  <c r="E1465" i="212"/>
  <c r="D1465" i="212"/>
  <c r="C1465" i="212"/>
  <c r="BE1464" i="212"/>
  <c r="BD1464" i="212"/>
  <c r="BC1464" i="212"/>
  <c r="BA1464" i="212"/>
  <c r="I1464" i="212"/>
  <c r="H1464" i="212"/>
  <c r="E1464" i="212"/>
  <c r="D1464" i="212"/>
  <c r="C1464" i="212"/>
  <c r="BE1463" i="212"/>
  <c r="BC1463" i="212"/>
  <c r="I1463" i="212"/>
  <c r="H1463" i="212"/>
  <c r="E1463" i="212"/>
  <c r="D1463" i="212"/>
  <c r="C1463" i="212"/>
  <c r="BE1462" i="212"/>
  <c r="BC1462" i="212"/>
  <c r="I1462" i="212"/>
  <c r="H1462" i="212"/>
  <c r="E1462" i="212"/>
  <c r="D1462" i="212"/>
  <c r="C1462" i="212"/>
  <c r="BE1461" i="212"/>
  <c r="BC1461" i="212"/>
  <c r="I1461" i="212"/>
  <c r="H1461" i="212"/>
  <c r="E1461" i="212"/>
  <c r="D1461" i="212"/>
  <c r="C1461" i="212"/>
  <c r="BE1460" i="212"/>
  <c r="BC1460" i="212"/>
  <c r="I1460" i="212"/>
  <c r="H1460" i="212"/>
  <c r="E1460" i="212"/>
  <c r="D1460" i="212"/>
  <c r="C1460" i="212"/>
  <c r="BE1459" i="212"/>
  <c r="BC1459" i="212"/>
  <c r="I1459" i="212"/>
  <c r="H1459" i="212"/>
  <c r="E1459" i="212"/>
  <c r="D1459" i="212"/>
  <c r="C1459" i="212"/>
  <c r="BE1458" i="212"/>
  <c r="BC1458" i="212"/>
  <c r="I1458" i="212"/>
  <c r="H1458" i="212"/>
  <c r="E1458" i="212"/>
  <c r="D1458" i="212"/>
  <c r="C1458" i="212"/>
  <c r="BE1457" i="212"/>
  <c r="BC1457" i="212"/>
  <c r="I1457" i="212"/>
  <c r="H1457" i="212"/>
  <c r="E1457" i="212"/>
  <c r="D1457" i="212"/>
  <c r="C1457" i="212"/>
  <c r="BE1456" i="212"/>
  <c r="BC1456" i="212"/>
  <c r="BA1456" i="212"/>
  <c r="I1456" i="212"/>
  <c r="H1456" i="212"/>
  <c r="E1456" i="212"/>
  <c r="D1456" i="212"/>
  <c r="C1456" i="212"/>
  <c r="BE1455" i="212"/>
  <c r="BC1455" i="212"/>
  <c r="I1455" i="212"/>
  <c r="H1455" i="212"/>
  <c r="E1455" i="212"/>
  <c r="D1455" i="212"/>
  <c r="C1455" i="212"/>
  <c r="BE1454" i="212"/>
  <c r="BC1454" i="212"/>
  <c r="I1454" i="212"/>
  <c r="H1454" i="212"/>
  <c r="E1454" i="212"/>
  <c r="D1454" i="212"/>
  <c r="C1454" i="212"/>
  <c r="BE1453" i="212"/>
  <c r="BC1453" i="212"/>
  <c r="I1453" i="212"/>
  <c r="H1453" i="212"/>
  <c r="E1453" i="212"/>
  <c r="D1453" i="212"/>
  <c r="C1453" i="212"/>
  <c r="BE1452" i="212"/>
  <c r="BC1452" i="212"/>
  <c r="I1452" i="212"/>
  <c r="H1452" i="212"/>
  <c r="E1452" i="212"/>
  <c r="D1452" i="212"/>
  <c r="C1452" i="212"/>
  <c r="BE1451" i="212"/>
  <c r="BC1451" i="212"/>
  <c r="I1451" i="212"/>
  <c r="H1451" i="212"/>
  <c r="E1451" i="212"/>
  <c r="D1451" i="212"/>
  <c r="C1451" i="212"/>
  <c r="BE1450" i="212"/>
  <c r="BC1450" i="212"/>
  <c r="I1450" i="212"/>
  <c r="H1450" i="212"/>
  <c r="E1450" i="212"/>
  <c r="D1450" i="212"/>
  <c r="C1450" i="212"/>
  <c r="BE1449" i="212"/>
  <c r="BC1449" i="212"/>
  <c r="I1449" i="212"/>
  <c r="H1449" i="212"/>
  <c r="E1449" i="212"/>
  <c r="D1449" i="212"/>
  <c r="C1449" i="212"/>
  <c r="BE1448" i="212"/>
  <c r="BC1448" i="212"/>
  <c r="I1448" i="212"/>
  <c r="H1448" i="212"/>
  <c r="E1448" i="212"/>
  <c r="D1448" i="212"/>
  <c r="C1448" i="212"/>
  <c r="BE1447" i="212"/>
  <c r="BC1447" i="212"/>
  <c r="I1447" i="212"/>
  <c r="H1447" i="212"/>
  <c r="E1447" i="212"/>
  <c r="D1447" i="212"/>
  <c r="C1447" i="212"/>
  <c r="BE1446" i="212"/>
  <c r="BC1446" i="212"/>
  <c r="I1446" i="212"/>
  <c r="H1446" i="212"/>
  <c r="E1446" i="212"/>
  <c r="D1446" i="212"/>
  <c r="C1446" i="212"/>
  <c r="BE1445" i="212"/>
  <c r="BC1445" i="212"/>
  <c r="I1445" i="212"/>
  <c r="H1445" i="212"/>
  <c r="E1445" i="212"/>
  <c r="D1445" i="212"/>
  <c r="C1445" i="212"/>
  <c r="BE1444" i="212"/>
  <c r="BC1444" i="212"/>
  <c r="I1444" i="212"/>
  <c r="H1444" i="212"/>
  <c r="E1444" i="212"/>
  <c r="D1444" i="212"/>
  <c r="C1444" i="212"/>
  <c r="BE1443" i="212"/>
  <c r="BC1443" i="212"/>
  <c r="I1443" i="212"/>
  <c r="H1443" i="212"/>
  <c r="E1443" i="212"/>
  <c r="D1443" i="212"/>
  <c r="C1443" i="212"/>
  <c r="BE1442" i="212"/>
  <c r="BC1442" i="212"/>
  <c r="I1442" i="212"/>
  <c r="H1442" i="212"/>
  <c r="E1442" i="212"/>
  <c r="D1442" i="212"/>
  <c r="C1442" i="212"/>
  <c r="BE1441" i="212"/>
  <c r="BC1441" i="212"/>
  <c r="I1441" i="212"/>
  <c r="H1441" i="212"/>
  <c r="E1441" i="212"/>
  <c r="D1441" i="212"/>
  <c r="C1441" i="212"/>
  <c r="BE1440" i="212"/>
  <c r="BD1440" i="212"/>
  <c r="BC1440" i="212"/>
  <c r="BA1440" i="212"/>
  <c r="I1440" i="212"/>
  <c r="H1440" i="212"/>
  <c r="E1440" i="212"/>
  <c r="D1440" i="212"/>
  <c r="C1440" i="212"/>
  <c r="BE1439" i="212"/>
  <c r="BC1439" i="212"/>
  <c r="I1439" i="212"/>
  <c r="H1439" i="212"/>
  <c r="E1439" i="212"/>
  <c r="D1439" i="212"/>
  <c r="C1439" i="212"/>
  <c r="BE1438" i="212"/>
  <c r="BC1438" i="212"/>
  <c r="I1438" i="212"/>
  <c r="H1438" i="212"/>
  <c r="E1438" i="212"/>
  <c r="D1438" i="212"/>
  <c r="C1438" i="212"/>
  <c r="BE1437" i="212"/>
  <c r="BC1437" i="212"/>
  <c r="I1437" i="212"/>
  <c r="H1437" i="212"/>
  <c r="E1437" i="212"/>
  <c r="D1437" i="212"/>
  <c r="C1437" i="212"/>
  <c r="BE1436" i="212"/>
  <c r="BC1436" i="212"/>
  <c r="I1436" i="212"/>
  <c r="H1436" i="212"/>
  <c r="E1436" i="212"/>
  <c r="D1436" i="212"/>
  <c r="C1436" i="212"/>
  <c r="BE1435" i="212"/>
  <c r="BC1435" i="212"/>
  <c r="I1435" i="212"/>
  <c r="H1435" i="212"/>
  <c r="E1435" i="212"/>
  <c r="D1435" i="212"/>
  <c r="C1435" i="212"/>
  <c r="BE1434" i="212"/>
  <c r="BC1434" i="212"/>
  <c r="I1434" i="212"/>
  <c r="H1434" i="212"/>
  <c r="E1434" i="212"/>
  <c r="D1434" i="212"/>
  <c r="C1434" i="212"/>
  <c r="BE1433" i="212"/>
  <c r="BC1433" i="212"/>
  <c r="I1433" i="212"/>
  <c r="H1433" i="212"/>
  <c r="E1433" i="212"/>
  <c r="D1433" i="212"/>
  <c r="C1433" i="212"/>
  <c r="BE1432" i="212"/>
  <c r="BC1432" i="212"/>
  <c r="BA1432" i="212"/>
  <c r="I1432" i="212"/>
  <c r="H1432" i="212"/>
  <c r="E1432" i="212"/>
  <c r="D1432" i="212"/>
  <c r="C1432" i="212"/>
  <c r="BE1431" i="212"/>
  <c r="BC1431" i="212"/>
  <c r="I1431" i="212"/>
  <c r="H1431" i="212"/>
  <c r="E1431" i="212"/>
  <c r="D1431" i="212"/>
  <c r="C1431" i="212"/>
  <c r="BE1430" i="212"/>
  <c r="BC1430" i="212"/>
  <c r="I1430" i="212"/>
  <c r="H1430" i="212"/>
  <c r="E1430" i="212"/>
  <c r="D1430" i="212"/>
  <c r="C1430" i="212"/>
  <c r="BE1429" i="212"/>
  <c r="BC1429" i="212"/>
  <c r="I1429" i="212"/>
  <c r="H1429" i="212"/>
  <c r="E1429" i="212"/>
  <c r="D1429" i="212"/>
  <c r="C1429" i="212"/>
  <c r="BE1428" i="212"/>
  <c r="BC1428" i="212"/>
  <c r="I1428" i="212"/>
  <c r="H1428" i="212"/>
  <c r="E1428" i="212"/>
  <c r="D1428" i="212"/>
  <c r="C1428" i="212"/>
  <c r="BE1427" i="212"/>
  <c r="BC1427" i="212"/>
  <c r="I1427" i="212"/>
  <c r="H1427" i="212"/>
  <c r="E1427" i="212"/>
  <c r="D1427" i="212"/>
  <c r="C1427" i="212"/>
  <c r="BE1426" i="212"/>
  <c r="BC1426" i="212"/>
  <c r="I1426" i="212"/>
  <c r="H1426" i="212"/>
  <c r="E1426" i="212"/>
  <c r="D1426" i="212"/>
  <c r="C1426" i="212"/>
  <c r="BE1425" i="212"/>
  <c r="BC1425" i="212"/>
  <c r="I1425" i="212"/>
  <c r="H1425" i="212"/>
  <c r="E1425" i="212"/>
  <c r="D1425" i="212"/>
  <c r="C1425" i="212"/>
  <c r="BE1424" i="212"/>
  <c r="BC1424" i="212"/>
  <c r="I1424" i="212"/>
  <c r="H1424" i="212"/>
  <c r="E1424" i="212"/>
  <c r="D1424" i="212"/>
  <c r="C1424" i="212"/>
  <c r="BE1423" i="212"/>
  <c r="BC1423" i="212"/>
  <c r="I1423" i="212"/>
  <c r="H1423" i="212"/>
  <c r="E1423" i="212"/>
  <c r="D1423" i="212"/>
  <c r="C1423" i="212"/>
  <c r="BE1422" i="212"/>
  <c r="BC1422" i="212"/>
  <c r="I1422" i="212"/>
  <c r="H1422" i="212"/>
  <c r="E1422" i="212"/>
  <c r="D1422" i="212"/>
  <c r="C1422" i="212"/>
  <c r="BE1421" i="212"/>
  <c r="BC1421" i="212"/>
  <c r="I1421" i="212"/>
  <c r="H1421" i="212"/>
  <c r="E1421" i="212"/>
  <c r="D1421" i="212"/>
  <c r="C1421" i="212"/>
  <c r="BE1420" i="212"/>
  <c r="BC1420" i="212"/>
  <c r="I1420" i="212"/>
  <c r="H1420" i="212"/>
  <c r="E1420" i="212"/>
  <c r="D1420" i="212"/>
  <c r="C1420" i="212"/>
  <c r="BE1419" i="212"/>
  <c r="BC1419" i="212"/>
  <c r="I1419" i="212"/>
  <c r="H1419" i="212"/>
  <c r="E1419" i="212"/>
  <c r="D1419" i="212"/>
  <c r="C1419" i="212"/>
  <c r="BE1418" i="212"/>
  <c r="BC1418" i="212"/>
  <c r="I1418" i="212"/>
  <c r="H1418" i="212"/>
  <c r="E1418" i="212"/>
  <c r="D1418" i="212"/>
  <c r="C1418" i="212"/>
  <c r="BE1417" i="212"/>
  <c r="BC1417" i="212"/>
  <c r="I1417" i="212"/>
  <c r="H1417" i="212"/>
  <c r="E1417" i="212"/>
  <c r="D1417" i="212"/>
  <c r="C1417" i="212"/>
  <c r="BE1416" i="212"/>
  <c r="BC1416" i="212"/>
  <c r="BA1416" i="212"/>
  <c r="I1416" i="212"/>
  <c r="H1416" i="212"/>
  <c r="E1416" i="212"/>
  <c r="D1416" i="212"/>
  <c r="C1416" i="212"/>
  <c r="BE1415" i="212"/>
  <c r="BC1415" i="212"/>
  <c r="I1415" i="212"/>
  <c r="H1415" i="212"/>
  <c r="E1415" i="212"/>
  <c r="D1415" i="212"/>
  <c r="C1415" i="212"/>
  <c r="BE1414" i="212"/>
  <c r="BC1414" i="212"/>
  <c r="BA1414" i="212"/>
  <c r="I1414" i="212"/>
  <c r="H1414" i="212"/>
  <c r="E1414" i="212"/>
  <c r="D1414" i="212"/>
  <c r="C1414" i="212"/>
  <c r="BE1413" i="212"/>
  <c r="BD1413" i="212"/>
  <c r="BC1413" i="212"/>
  <c r="BA1413" i="212"/>
  <c r="I1413" i="212"/>
  <c r="H1413" i="212"/>
  <c r="E1413" i="212"/>
  <c r="D1413" i="212"/>
  <c r="C1413" i="212"/>
  <c r="BE1412" i="212"/>
  <c r="BC1412" i="212"/>
  <c r="I1412" i="212"/>
  <c r="H1412" i="212"/>
  <c r="E1412" i="212"/>
  <c r="D1412" i="212"/>
  <c r="C1412" i="212"/>
  <c r="BE1411" i="212"/>
  <c r="BC1411" i="212"/>
  <c r="I1411" i="212"/>
  <c r="H1411" i="212"/>
  <c r="E1411" i="212"/>
  <c r="D1411" i="212"/>
  <c r="C1411" i="212"/>
  <c r="BE1410" i="212"/>
  <c r="BC1410" i="212"/>
  <c r="I1410" i="212"/>
  <c r="H1410" i="212"/>
  <c r="E1410" i="212"/>
  <c r="D1410" i="212"/>
  <c r="C1410" i="212"/>
  <c r="BE1409" i="212"/>
  <c r="BC1409" i="212"/>
  <c r="I1409" i="212"/>
  <c r="H1409" i="212"/>
  <c r="E1409" i="212"/>
  <c r="D1409" i="212"/>
  <c r="C1409" i="212"/>
  <c r="BE1408" i="212"/>
  <c r="BC1408" i="212"/>
  <c r="I1408" i="212"/>
  <c r="H1408" i="212"/>
  <c r="E1408" i="212"/>
  <c r="D1408" i="212"/>
  <c r="C1408" i="212"/>
  <c r="BE1407" i="212"/>
  <c r="BC1407" i="212"/>
  <c r="I1407" i="212"/>
  <c r="H1407" i="212"/>
  <c r="E1407" i="212"/>
  <c r="D1407" i="212"/>
  <c r="C1407" i="212"/>
  <c r="BE1406" i="212"/>
  <c r="BC1406" i="212"/>
  <c r="I1406" i="212"/>
  <c r="H1406" i="212"/>
  <c r="E1406" i="212"/>
  <c r="D1406" i="212"/>
  <c r="C1406" i="212"/>
  <c r="BE1405" i="212"/>
  <c r="BC1405" i="212"/>
  <c r="I1405" i="212"/>
  <c r="H1405" i="212"/>
  <c r="E1405" i="212"/>
  <c r="D1405" i="212"/>
  <c r="C1405" i="212"/>
  <c r="BE1404" i="212"/>
  <c r="BC1404" i="212"/>
  <c r="I1404" i="212"/>
  <c r="H1404" i="212"/>
  <c r="E1404" i="212"/>
  <c r="D1404" i="212"/>
  <c r="C1404" i="212"/>
  <c r="BE1403" i="212"/>
  <c r="BC1403" i="212"/>
  <c r="I1403" i="212"/>
  <c r="H1403" i="212"/>
  <c r="E1403" i="212"/>
  <c r="D1403" i="212"/>
  <c r="C1403" i="212"/>
  <c r="BE1402" i="212"/>
  <c r="BC1402" i="212"/>
  <c r="I1402" i="212"/>
  <c r="H1402" i="212"/>
  <c r="E1402" i="212"/>
  <c r="D1402" i="212"/>
  <c r="C1402" i="212"/>
  <c r="BE1401" i="212"/>
  <c r="BC1401" i="212"/>
  <c r="I1401" i="212"/>
  <c r="H1401" i="212"/>
  <c r="E1401" i="212"/>
  <c r="D1401" i="212"/>
  <c r="C1401" i="212"/>
  <c r="BE1400" i="212"/>
  <c r="BC1400" i="212"/>
  <c r="I1400" i="212"/>
  <c r="H1400" i="212"/>
  <c r="E1400" i="212"/>
  <c r="D1400" i="212"/>
  <c r="C1400" i="212"/>
  <c r="BE1399" i="212"/>
  <c r="BC1399" i="212"/>
  <c r="I1399" i="212"/>
  <c r="H1399" i="212"/>
  <c r="E1399" i="212"/>
  <c r="D1399" i="212"/>
  <c r="C1399" i="212"/>
  <c r="BE1398" i="212"/>
  <c r="BC1398" i="212"/>
  <c r="I1398" i="212"/>
  <c r="H1398" i="212"/>
  <c r="E1398" i="212"/>
  <c r="D1398" i="212"/>
  <c r="C1398" i="212"/>
  <c r="BE1397" i="212"/>
  <c r="BC1397" i="212"/>
  <c r="I1397" i="212"/>
  <c r="H1397" i="212"/>
  <c r="E1397" i="212"/>
  <c r="D1397" i="212"/>
  <c r="C1397" i="212"/>
  <c r="BE1396" i="212"/>
  <c r="BC1396" i="212"/>
  <c r="I1396" i="212"/>
  <c r="H1396" i="212"/>
  <c r="E1396" i="212"/>
  <c r="D1396" i="212"/>
  <c r="C1396" i="212"/>
  <c r="BE1395" i="212"/>
  <c r="BC1395" i="212"/>
  <c r="I1395" i="212"/>
  <c r="H1395" i="212"/>
  <c r="E1395" i="212"/>
  <c r="D1395" i="212"/>
  <c r="C1395" i="212"/>
  <c r="BE1394" i="212"/>
  <c r="BC1394" i="212"/>
  <c r="I1394" i="212"/>
  <c r="H1394" i="212"/>
  <c r="E1394" i="212"/>
  <c r="D1394" i="212"/>
  <c r="C1394" i="212"/>
  <c r="BE1393" i="212"/>
  <c r="BC1393" i="212"/>
  <c r="I1393" i="212"/>
  <c r="H1393" i="212"/>
  <c r="E1393" i="212"/>
  <c r="D1393" i="212"/>
  <c r="C1393" i="212"/>
  <c r="BE1392" i="212"/>
  <c r="BC1392" i="212"/>
  <c r="I1392" i="212"/>
  <c r="H1392" i="212"/>
  <c r="E1392" i="212"/>
  <c r="D1392" i="212"/>
  <c r="C1392" i="212"/>
  <c r="BE1391" i="212"/>
  <c r="BC1391" i="212"/>
  <c r="I1391" i="212"/>
  <c r="H1391" i="212"/>
  <c r="E1391" i="212"/>
  <c r="D1391" i="212"/>
  <c r="C1391" i="212"/>
  <c r="BE1390" i="212"/>
  <c r="BC1390" i="212"/>
  <c r="I1390" i="212"/>
  <c r="H1390" i="212"/>
  <c r="E1390" i="212"/>
  <c r="D1390" i="212"/>
  <c r="C1390" i="212"/>
  <c r="BE1389" i="212"/>
  <c r="BC1389" i="212"/>
  <c r="BA1389" i="212"/>
  <c r="I1389" i="212"/>
  <c r="H1389" i="212"/>
  <c r="E1389" i="212"/>
  <c r="D1389" i="212"/>
  <c r="C1389" i="212"/>
  <c r="BE1388" i="212"/>
  <c r="BC1388" i="212"/>
  <c r="I1388" i="212"/>
  <c r="H1388" i="212"/>
  <c r="E1388" i="212"/>
  <c r="D1388" i="212"/>
  <c r="C1388" i="212"/>
  <c r="BE1387" i="212"/>
  <c r="BC1387" i="212"/>
  <c r="I1387" i="212"/>
  <c r="H1387" i="212"/>
  <c r="E1387" i="212"/>
  <c r="D1387" i="212"/>
  <c r="C1387" i="212"/>
  <c r="BE1386" i="212"/>
  <c r="BC1386" i="212"/>
  <c r="I1386" i="212"/>
  <c r="H1386" i="212"/>
  <c r="E1386" i="212"/>
  <c r="D1386" i="212"/>
  <c r="C1386" i="212"/>
  <c r="BE1385" i="212"/>
  <c r="BC1385" i="212"/>
  <c r="I1385" i="212"/>
  <c r="H1385" i="212"/>
  <c r="E1385" i="212"/>
  <c r="D1385" i="212"/>
  <c r="C1385" i="212"/>
  <c r="BE1384" i="212"/>
  <c r="BC1384" i="212"/>
  <c r="I1384" i="212"/>
  <c r="H1384" i="212"/>
  <c r="E1384" i="212"/>
  <c r="D1384" i="212"/>
  <c r="C1384" i="212"/>
  <c r="BE1383" i="212"/>
  <c r="BC1383" i="212"/>
  <c r="BA1383" i="212"/>
  <c r="I1383" i="212"/>
  <c r="H1383" i="212"/>
  <c r="E1383" i="212"/>
  <c r="D1383" i="212"/>
  <c r="C1383" i="212"/>
  <c r="BE1382" i="212"/>
  <c r="BC1382" i="212"/>
  <c r="I1382" i="212"/>
  <c r="H1382" i="212"/>
  <c r="E1382" i="212"/>
  <c r="D1382" i="212"/>
  <c r="C1382" i="212"/>
  <c r="BE1381" i="212"/>
  <c r="BC1381" i="212"/>
  <c r="I1381" i="212"/>
  <c r="H1381" i="212"/>
  <c r="E1381" i="212"/>
  <c r="D1381" i="212"/>
  <c r="C1381" i="212"/>
  <c r="BE1380" i="212"/>
  <c r="BC1380" i="212"/>
  <c r="I1380" i="212"/>
  <c r="H1380" i="212"/>
  <c r="E1380" i="212"/>
  <c r="D1380" i="212"/>
  <c r="C1380" i="212"/>
  <c r="BE1379" i="212"/>
  <c r="BC1379" i="212"/>
  <c r="I1379" i="212"/>
  <c r="H1379" i="212"/>
  <c r="E1379" i="212"/>
  <c r="D1379" i="212"/>
  <c r="C1379" i="212"/>
  <c r="BE1378" i="212"/>
  <c r="BC1378" i="212"/>
  <c r="I1378" i="212"/>
  <c r="H1378" i="212"/>
  <c r="E1378" i="212"/>
  <c r="D1378" i="212"/>
  <c r="C1378" i="212"/>
  <c r="BE1377" i="212"/>
  <c r="BC1377" i="212"/>
  <c r="I1377" i="212"/>
  <c r="H1377" i="212"/>
  <c r="E1377" i="212"/>
  <c r="D1377" i="212"/>
  <c r="C1377" i="212"/>
  <c r="BE1376" i="212"/>
  <c r="BC1376" i="212"/>
  <c r="I1376" i="212"/>
  <c r="H1376" i="212"/>
  <c r="E1376" i="212"/>
  <c r="D1376" i="212"/>
  <c r="C1376" i="212"/>
  <c r="BE1375" i="212"/>
  <c r="BC1375" i="212"/>
  <c r="I1375" i="212"/>
  <c r="H1375" i="212"/>
  <c r="E1375" i="212"/>
  <c r="D1375" i="212"/>
  <c r="C1375" i="212"/>
  <c r="BE1374" i="212"/>
  <c r="BC1374" i="212"/>
  <c r="I1374" i="212"/>
  <c r="H1374" i="212"/>
  <c r="E1374" i="212"/>
  <c r="D1374" i="212"/>
  <c r="C1374" i="212"/>
  <c r="BE1373" i="212"/>
  <c r="BC1373" i="212"/>
  <c r="I1373" i="212"/>
  <c r="H1373" i="212"/>
  <c r="E1373" i="212"/>
  <c r="D1373" i="212"/>
  <c r="C1373" i="212"/>
  <c r="BE1372" i="212"/>
  <c r="BC1372" i="212"/>
  <c r="I1372" i="212"/>
  <c r="H1372" i="212"/>
  <c r="E1372" i="212"/>
  <c r="D1372" i="212"/>
  <c r="C1372" i="212"/>
  <c r="BE1371" i="212"/>
  <c r="BC1371" i="212"/>
  <c r="I1371" i="212"/>
  <c r="H1371" i="212"/>
  <c r="E1371" i="212"/>
  <c r="D1371" i="212"/>
  <c r="C1371" i="212"/>
  <c r="BE1370" i="212"/>
  <c r="BC1370" i="212"/>
  <c r="I1370" i="212"/>
  <c r="H1370" i="212"/>
  <c r="E1370" i="212"/>
  <c r="D1370" i="212"/>
  <c r="C1370" i="212"/>
  <c r="BE1369" i="212"/>
  <c r="BD1369" i="212"/>
  <c r="BC1369" i="212"/>
  <c r="BA1369" i="212"/>
  <c r="I1369" i="212"/>
  <c r="H1369" i="212"/>
  <c r="E1369" i="212"/>
  <c r="D1369" i="212"/>
  <c r="C1369" i="212"/>
  <c r="BE1368" i="212"/>
  <c r="BC1368" i="212"/>
  <c r="I1368" i="212"/>
  <c r="H1368" i="212"/>
  <c r="E1368" i="212"/>
  <c r="D1368" i="212"/>
  <c r="C1368" i="212"/>
  <c r="BE1367" i="212"/>
  <c r="BC1367" i="212"/>
  <c r="BA1367" i="212"/>
  <c r="I1367" i="212"/>
  <c r="H1367" i="212"/>
  <c r="E1367" i="212"/>
  <c r="D1367" i="212"/>
  <c r="C1367" i="212"/>
  <c r="BE1366" i="212"/>
  <c r="BC1366" i="212"/>
  <c r="I1366" i="212"/>
  <c r="H1366" i="212"/>
  <c r="E1366" i="212"/>
  <c r="D1366" i="212"/>
  <c r="C1366" i="212"/>
  <c r="BE1365" i="212"/>
  <c r="BC1365" i="212"/>
  <c r="I1365" i="212"/>
  <c r="H1365" i="212"/>
  <c r="E1365" i="212"/>
  <c r="D1365" i="212"/>
  <c r="C1365" i="212"/>
  <c r="BE1364" i="212"/>
  <c r="BC1364" i="212"/>
  <c r="I1364" i="212"/>
  <c r="H1364" i="212"/>
  <c r="E1364" i="212"/>
  <c r="D1364" i="212"/>
  <c r="C1364" i="212"/>
  <c r="BE1363" i="212"/>
  <c r="BD1363" i="212"/>
  <c r="BC1363" i="212"/>
  <c r="I1363" i="212"/>
  <c r="H1363" i="212"/>
  <c r="E1363" i="212"/>
  <c r="D1363" i="212"/>
  <c r="C1363" i="212"/>
  <c r="BE1362" i="212"/>
  <c r="BC1362" i="212"/>
  <c r="I1362" i="212"/>
  <c r="H1362" i="212"/>
  <c r="E1362" i="212"/>
  <c r="D1362" i="212"/>
  <c r="C1362" i="212"/>
  <c r="BE1361" i="212"/>
  <c r="BC1361" i="212"/>
  <c r="I1361" i="212"/>
  <c r="H1361" i="212"/>
  <c r="E1361" i="212"/>
  <c r="D1361" i="212"/>
  <c r="C1361" i="212"/>
  <c r="BE1360" i="212"/>
  <c r="BC1360" i="212"/>
  <c r="I1360" i="212"/>
  <c r="H1360" i="212"/>
  <c r="E1360" i="212"/>
  <c r="D1360" i="212"/>
  <c r="C1360" i="212"/>
  <c r="BE1359" i="212"/>
  <c r="BC1359" i="212"/>
  <c r="I1359" i="212"/>
  <c r="H1359" i="212"/>
  <c r="E1359" i="212"/>
  <c r="D1359" i="212"/>
  <c r="C1359" i="212"/>
  <c r="BE1358" i="212"/>
  <c r="BC1358" i="212"/>
  <c r="I1358" i="212"/>
  <c r="H1358" i="212"/>
  <c r="E1358" i="212"/>
  <c r="D1358" i="212"/>
  <c r="C1358" i="212"/>
  <c r="BE1357" i="212"/>
  <c r="BC1357" i="212"/>
  <c r="I1357" i="212"/>
  <c r="H1357" i="212"/>
  <c r="E1357" i="212"/>
  <c r="D1357" i="212"/>
  <c r="C1357" i="212"/>
  <c r="BE1356" i="212"/>
  <c r="BC1356" i="212"/>
  <c r="BA1356" i="212"/>
  <c r="I1356" i="212"/>
  <c r="H1356" i="212"/>
  <c r="E1356" i="212"/>
  <c r="D1356" i="212"/>
  <c r="C1356" i="212"/>
  <c r="BE1355" i="212"/>
  <c r="BC1355" i="212"/>
  <c r="I1355" i="212"/>
  <c r="H1355" i="212"/>
  <c r="E1355" i="212"/>
  <c r="D1355" i="212"/>
  <c r="C1355" i="212"/>
  <c r="BE1354" i="212"/>
  <c r="BC1354" i="212"/>
  <c r="I1354" i="212"/>
  <c r="H1354" i="212"/>
  <c r="E1354" i="212"/>
  <c r="D1354" i="212"/>
  <c r="C1354" i="212"/>
  <c r="BE1353" i="212"/>
  <c r="BC1353" i="212"/>
  <c r="I1353" i="212"/>
  <c r="H1353" i="212"/>
  <c r="E1353" i="212"/>
  <c r="D1353" i="212"/>
  <c r="C1353" i="212"/>
  <c r="BE1352" i="212"/>
  <c r="BD1352" i="212"/>
  <c r="BC1352" i="212"/>
  <c r="BA1352" i="212"/>
  <c r="I1352" i="212"/>
  <c r="H1352" i="212"/>
  <c r="E1352" i="212"/>
  <c r="D1352" i="212"/>
  <c r="C1352" i="212"/>
  <c r="BE1351" i="212"/>
  <c r="BC1351" i="212"/>
  <c r="I1351" i="212"/>
  <c r="H1351" i="212"/>
  <c r="E1351" i="212"/>
  <c r="D1351" i="212"/>
  <c r="C1351" i="212"/>
  <c r="BE1350" i="212"/>
  <c r="BC1350" i="212"/>
  <c r="I1350" i="212"/>
  <c r="H1350" i="212"/>
  <c r="E1350" i="212"/>
  <c r="D1350" i="212"/>
  <c r="C1350" i="212"/>
  <c r="BE1349" i="212"/>
  <c r="BC1349" i="212"/>
  <c r="I1349" i="212"/>
  <c r="H1349" i="212"/>
  <c r="E1349" i="212"/>
  <c r="D1349" i="212"/>
  <c r="C1349" i="212"/>
  <c r="BE1348" i="212"/>
  <c r="BC1348" i="212"/>
  <c r="I1348" i="212"/>
  <c r="H1348" i="212"/>
  <c r="E1348" i="212"/>
  <c r="D1348" i="212"/>
  <c r="C1348" i="212"/>
  <c r="BE1347" i="212"/>
  <c r="BC1347" i="212"/>
  <c r="I1347" i="212"/>
  <c r="H1347" i="212"/>
  <c r="E1347" i="212"/>
  <c r="D1347" i="212"/>
  <c r="C1347" i="212"/>
  <c r="BE1346" i="212"/>
  <c r="BC1346" i="212"/>
  <c r="I1346" i="212"/>
  <c r="H1346" i="212"/>
  <c r="E1346" i="212"/>
  <c r="D1346" i="212"/>
  <c r="C1346" i="212"/>
  <c r="BE1345" i="212"/>
  <c r="BC1345" i="212"/>
  <c r="I1345" i="212"/>
  <c r="H1345" i="212"/>
  <c r="E1345" i="212"/>
  <c r="D1345" i="212"/>
  <c r="C1345" i="212"/>
  <c r="BE1344" i="212"/>
  <c r="BD1344" i="212"/>
  <c r="BC1344" i="212"/>
  <c r="BA1344" i="212"/>
  <c r="I1344" i="212"/>
  <c r="H1344" i="212"/>
  <c r="E1344" i="212"/>
  <c r="D1344" i="212"/>
  <c r="C1344" i="212"/>
  <c r="BE1343" i="212"/>
  <c r="BC1343" i="212"/>
  <c r="I1343" i="212"/>
  <c r="H1343" i="212"/>
  <c r="E1343" i="212"/>
  <c r="D1343" i="212"/>
  <c r="C1343" i="212"/>
  <c r="BE1342" i="212"/>
  <c r="BC1342" i="212"/>
  <c r="I1342" i="212"/>
  <c r="H1342" i="212"/>
  <c r="E1342" i="212"/>
  <c r="D1342" i="212"/>
  <c r="C1342" i="212"/>
  <c r="BE1341" i="212"/>
  <c r="BC1341" i="212"/>
  <c r="I1341" i="212"/>
  <c r="H1341" i="212"/>
  <c r="E1341" i="212"/>
  <c r="D1341" i="212"/>
  <c r="C1341" i="212"/>
  <c r="BE1340" i="212"/>
  <c r="BC1340" i="212"/>
  <c r="I1340" i="212"/>
  <c r="H1340" i="212"/>
  <c r="E1340" i="212"/>
  <c r="D1340" i="212"/>
  <c r="C1340" i="212"/>
  <c r="BE1339" i="212"/>
  <c r="BC1339" i="212"/>
  <c r="I1339" i="212"/>
  <c r="H1339" i="212"/>
  <c r="E1339" i="212"/>
  <c r="D1339" i="212"/>
  <c r="C1339" i="212"/>
  <c r="BE1338" i="212"/>
  <c r="BC1338" i="212"/>
  <c r="I1338" i="212"/>
  <c r="H1338" i="212"/>
  <c r="E1338" i="212"/>
  <c r="D1338" i="212"/>
  <c r="C1338" i="212"/>
  <c r="BE1337" i="212"/>
  <c r="BC1337" i="212"/>
  <c r="BA1337" i="212"/>
  <c r="I1337" i="212"/>
  <c r="H1337" i="212"/>
  <c r="E1337" i="212"/>
  <c r="D1337" i="212"/>
  <c r="C1337" i="212"/>
  <c r="BE1336" i="212"/>
  <c r="BC1336" i="212"/>
  <c r="I1336" i="212"/>
  <c r="H1336" i="212"/>
  <c r="E1336" i="212"/>
  <c r="D1336" i="212"/>
  <c r="C1336" i="212"/>
  <c r="BE1335" i="212"/>
  <c r="BC1335" i="212"/>
  <c r="I1335" i="212"/>
  <c r="H1335" i="212"/>
  <c r="E1335" i="212"/>
  <c r="D1335" i="212"/>
  <c r="C1335" i="212"/>
  <c r="BE1334" i="212"/>
  <c r="BC1334" i="212"/>
  <c r="I1334" i="212"/>
  <c r="H1334" i="212"/>
  <c r="E1334" i="212"/>
  <c r="D1334" i="212"/>
  <c r="C1334" i="212"/>
  <c r="BE1333" i="212"/>
  <c r="BC1333" i="212"/>
  <c r="I1333" i="212"/>
  <c r="H1333" i="212"/>
  <c r="E1333" i="212"/>
  <c r="D1333" i="212"/>
  <c r="C1333" i="212"/>
  <c r="BE1332" i="212"/>
  <c r="BC1332" i="212"/>
  <c r="I1332" i="212"/>
  <c r="H1332" i="212"/>
  <c r="E1332" i="212"/>
  <c r="D1332" i="212"/>
  <c r="C1332" i="212"/>
  <c r="BE1331" i="212"/>
  <c r="BC1331" i="212"/>
  <c r="I1331" i="212"/>
  <c r="H1331" i="212"/>
  <c r="E1331" i="212"/>
  <c r="D1331" i="212"/>
  <c r="C1331" i="212"/>
  <c r="BE1330" i="212"/>
  <c r="BC1330" i="212"/>
  <c r="I1330" i="212"/>
  <c r="H1330" i="212"/>
  <c r="E1330" i="212"/>
  <c r="D1330" i="212"/>
  <c r="C1330" i="212"/>
  <c r="BE1329" i="212"/>
  <c r="BC1329" i="212"/>
  <c r="I1329" i="212"/>
  <c r="H1329" i="212"/>
  <c r="E1329" i="212"/>
  <c r="D1329" i="212"/>
  <c r="C1329" i="212"/>
  <c r="BE1328" i="212"/>
  <c r="BC1328" i="212"/>
  <c r="I1328" i="212"/>
  <c r="H1328" i="212"/>
  <c r="E1328" i="212"/>
  <c r="D1328" i="212"/>
  <c r="C1328" i="212"/>
  <c r="BE1327" i="212"/>
  <c r="BC1327" i="212"/>
  <c r="I1327" i="212"/>
  <c r="H1327" i="212"/>
  <c r="E1327" i="212"/>
  <c r="D1327" i="212"/>
  <c r="C1327" i="212"/>
  <c r="BE1326" i="212"/>
  <c r="BC1326" i="212"/>
  <c r="I1326" i="212"/>
  <c r="H1326" i="212"/>
  <c r="E1326" i="212"/>
  <c r="D1326" i="212"/>
  <c r="C1326" i="212"/>
  <c r="BE1325" i="212"/>
  <c r="BC1325" i="212"/>
  <c r="I1325" i="212"/>
  <c r="H1325" i="212"/>
  <c r="E1325" i="212"/>
  <c r="D1325" i="212"/>
  <c r="C1325" i="212"/>
  <c r="BE1324" i="212"/>
  <c r="BC1324" i="212"/>
  <c r="I1324" i="212"/>
  <c r="H1324" i="212"/>
  <c r="E1324" i="212"/>
  <c r="D1324" i="212"/>
  <c r="C1324" i="212"/>
  <c r="BE1323" i="212"/>
  <c r="BC1323" i="212"/>
  <c r="I1323" i="212"/>
  <c r="H1323" i="212"/>
  <c r="E1323" i="212"/>
  <c r="D1323" i="212"/>
  <c r="C1323" i="212"/>
  <c r="BE1322" i="212"/>
  <c r="BD1322" i="212"/>
  <c r="BC1322" i="212"/>
  <c r="BA1322" i="212"/>
  <c r="I1322" i="212"/>
  <c r="H1322" i="212"/>
  <c r="E1322" i="212"/>
  <c r="D1322" i="212"/>
  <c r="C1322" i="212"/>
  <c r="BE1321" i="212"/>
  <c r="BC1321" i="212"/>
  <c r="I1321" i="212"/>
  <c r="H1321" i="212"/>
  <c r="E1321" i="212"/>
  <c r="D1321" i="212"/>
  <c r="C1321" i="212"/>
  <c r="BE1320" i="212"/>
  <c r="BC1320" i="212"/>
  <c r="I1320" i="212"/>
  <c r="H1320" i="212"/>
  <c r="E1320" i="212"/>
  <c r="D1320" i="212"/>
  <c r="C1320" i="212"/>
  <c r="BE1319" i="212"/>
  <c r="BC1319" i="212"/>
  <c r="I1319" i="212"/>
  <c r="H1319" i="212"/>
  <c r="E1319" i="212"/>
  <c r="D1319" i="212"/>
  <c r="C1319" i="212"/>
  <c r="BE1318" i="212"/>
  <c r="BC1318" i="212"/>
  <c r="I1318" i="212"/>
  <c r="H1318" i="212"/>
  <c r="E1318" i="212"/>
  <c r="D1318" i="212"/>
  <c r="C1318" i="212"/>
  <c r="BE1317" i="212"/>
  <c r="BC1317" i="212"/>
  <c r="I1317" i="212"/>
  <c r="H1317" i="212"/>
  <c r="E1317" i="212"/>
  <c r="D1317" i="212"/>
  <c r="C1317" i="212"/>
  <c r="BE1316" i="212"/>
  <c r="BC1316" i="212"/>
  <c r="BA1316" i="212"/>
  <c r="I1316" i="212"/>
  <c r="H1316" i="212"/>
  <c r="E1316" i="212"/>
  <c r="D1316" i="212"/>
  <c r="C1316" i="212"/>
  <c r="BE1315" i="212"/>
  <c r="BC1315" i="212"/>
  <c r="I1315" i="212"/>
  <c r="H1315" i="212"/>
  <c r="E1315" i="212"/>
  <c r="D1315" i="212"/>
  <c r="C1315" i="212"/>
  <c r="BE1314" i="212"/>
  <c r="BC1314" i="212"/>
  <c r="I1314" i="212"/>
  <c r="H1314" i="212"/>
  <c r="E1314" i="212"/>
  <c r="D1314" i="212"/>
  <c r="C1314" i="212"/>
  <c r="BE1313" i="212"/>
  <c r="BC1313" i="212"/>
  <c r="I1313" i="212"/>
  <c r="H1313" i="212"/>
  <c r="E1313" i="212"/>
  <c r="D1313" i="212"/>
  <c r="C1313" i="212"/>
  <c r="BE1312" i="212"/>
  <c r="BC1312" i="212"/>
  <c r="I1312" i="212"/>
  <c r="H1312" i="212"/>
  <c r="E1312" i="212"/>
  <c r="D1312" i="212"/>
  <c r="C1312" i="212"/>
  <c r="BE1311" i="212"/>
  <c r="BC1311" i="212"/>
  <c r="I1311" i="212"/>
  <c r="H1311" i="212"/>
  <c r="E1311" i="212"/>
  <c r="D1311" i="212"/>
  <c r="C1311" i="212"/>
  <c r="BE1310" i="212"/>
  <c r="BC1310" i="212"/>
  <c r="I1310" i="212"/>
  <c r="H1310" i="212"/>
  <c r="E1310" i="212"/>
  <c r="D1310" i="212"/>
  <c r="C1310" i="212"/>
  <c r="BE1309" i="212"/>
  <c r="BC1309" i="212"/>
  <c r="I1309" i="212"/>
  <c r="H1309" i="212"/>
  <c r="E1309" i="212"/>
  <c r="D1309" i="212"/>
  <c r="C1309" i="212"/>
  <c r="BE1308" i="212"/>
  <c r="BC1308" i="212"/>
  <c r="I1308" i="212"/>
  <c r="H1308" i="212"/>
  <c r="E1308" i="212"/>
  <c r="D1308" i="212"/>
  <c r="C1308" i="212"/>
  <c r="BE1307" i="212"/>
  <c r="BC1307" i="212"/>
  <c r="I1307" i="212"/>
  <c r="H1307" i="212"/>
  <c r="E1307" i="212"/>
  <c r="D1307" i="212"/>
  <c r="C1307" i="212"/>
  <c r="BE1306" i="212"/>
  <c r="BC1306" i="212"/>
  <c r="I1306" i="212"/>
  <c r="H1306" i="212"/>
  <c r="E1306" i="212"/>
  <c r="D1306" i="212"/>
  <c r="C1306" i="212"/>
  <c r="BE1305" i="212"/>
  <c r="BC1305" i="212"/>
  <c r="I1305" i="212"/>
  <c r="H1305" i="212"/>
  <c r="E1305" i="212"/>
  <c r="D1305" i="212"/>
  <c r="C1305" i="212"/>
  <c r="BE1304" i="212"/>
  <c r="BC1304" i="212"/>
  <c r="I1304" i="212"/>
  <c r="H1304" i="212"/>
  <c r="E1304" i="212"/>
  <c r="D1304" i="212"/>
  <c r="C1304" i="212"/>
  <c r="BE1303" i="212"/>
  <c r="BC1303" i="212"/>
  <c r="I1303" i="212"/>
  <c r="H1303" i="212"/>
  <c r="E1303" i="212"/>
  <c r="D1303" i="212"/>
  <c r="C1303" i="212"/>
  <c r="BE1302" i="212"/>
  <c r="BC1302" i="212"/>
  <c r="BA1302" i="212"/>
  <c r="I1302" i="212"/>
  <c r="H1302" i="212"/>
  <c r="E1302" i="212"/>
  <c r="D1302" i="212"/>
  <c r="C1302" i="212"/>
  <c r="BE1301" i="212"/>
  <c r="BC1301" i="212"/>
  <c r="I1301" i="212"/>
  <c r="H1301" i="212"/>
  <c r="E1301" i="212"/>
  <c r="D1301" i="212"/>
  <c r="C1301" i="212"/>
  <c r="BE1300" i="212"/>
  <c r="BC1300" i="212"/>
  <c r="BA1300" i="212"/>
  <c r="I1300" i="212"/>
  <c r="H1300" i="212"/>
  <c r="E1300" i="212"/>
  <c r="D1300" i="212"/>
  <c r="C1300" i="212"/>
  <c r="BE1299" i="212"/>
  <c r="BD1299" i="212"/>
  <c r="BC1299" i="212"/>
  <c r="BA1299" i="212"/>
  <c r="I1299" i="212"/>
  <c r="H1299" i="212"/>
  <c r="E1299" i="212"/>
  <c r="D1299" i="212"/>
  <c r="C1299" i="212"/>
  <c r="BE1298" i="212"/>
  <c r="BC1298" i="212"/>
  <c r="I1298" i="212"/>
  <c r="H1298" i="212"/>
  <c r="E1298" i="212"/>
  <c r="D1298" i="212"/>
  <c r="C1298" i="212"/>
  <c r="BE1297" i="212"/>
  <c r="BC1297" i="212"/>
  <c r="I1297" i="212"/>
  <c r="H1297" i="212"/>
  <c r="E1297" i="212"/>
  <c r="D1297" i="212"/>
  <c r="C1297" i="212"/>
  <c r="BE1296" i="212"/>
  <c r="BC1296" i="212"/>
  <c r="I1296" i="212"/>
  <c r="H1296" i="212"/>
  <c r="E1296" i="212"/>
  <c r="D1296" i="212"/>
  <c r="C1296" i="212"/>
  <c r="BE1295" i="212"/>
  <c r="BC1295" i="212"/>
  <c r="I1295" i="212"/>
  <c r="H1295" i="212"/>
  <c r="E1295" i="212"/>
  <c r="D1295" i="212"/>
  <c r="C1295" i="212"/>
  <c r="BE1294" i="212"/>
  <c r="BC1294" i="212"/>
  <c r="I1294" i="212"/>
  <c r="H1294" i="212"/>
  <c r="E1294" i="212"/>
  <c r="D1294" i="212"/>
  <c r="C1294" i="212"/>
  <c r="BE1293" i="212"/>
  <c r="BC1293" i="212"/>
  <c r="I1293" i="212"/>
  <c r="H1293" i="212"/>
  <c r="E1293" i="212"/>
  <c r="D1293" i="212"/>
  <c r="C1293" i="212"/>
  <c r="BE1292" i="212"/>
  <c r="BC1292" i="212"/>
  <c r="I1292" i="212"/>
  <c r="H1292" i="212"/>
  <c r="E1292" i="212"/>
  <c r="D1292" i="212"/>
  <c r="C1292" i="212"/>
  <c r="BE1291" i="212"/>
  <c r="BC1291" i="212"/>
  <c r="I1291" i="212"/>
  <c r="H1291" i="212"/>
  <c r="E1291" i="212"/>
  <c r="D1291" i="212"/>
  <c r="C1291" i="212"/>
  <c r="BE1290" i="212"/>
  <c r="BC1290" i="212"/>
  <c r="I1290" i="212"/>
  <c r="H1290" i="212"/>
  <c r="E1290" i="212"/>
  <c r="D1290" i="212"/>
  <c r="C1290" i="212"/>
  <c r="BE1289" i="212"/>
  <c r="BC1289" i="212"/>
  <c r="I1289" i="212"/>
  <c r="H1289" i="212"/>
  <c r="E1289" i="212"/>
  <c r="D1289" i="212"/>
  <c r="C1289" i="212"/>
  <c r="BE1288" i="212"/>
  <c r="BC1288" i="212"/>
  <c r="I1288" i="212"/>
  <c r="H1288" i="212"/>
  <c r="E1288" i="212"/>
  <c r="D1288" i="212"/>
  <c r="C1288" i="212"/>
  <c r="BE1287" i="212"/>
  <c r="BC1287" i="212"/>
  <c r="I1287" i="212"/>
  <c r="H1287" i="212"/>
  <c r="E1287" i="212"/>
  <c r="D1287" i="212"/>
  <c r="C1287" i="212"/>
  <c r="BE1286" i="212"/>
  <c r="BC1286" i="212"/>
  <c r="I1286" i="212"/>
  <c r="H1286" i="212"/>
  <c r="E1286" i="212"/>
  <c r="D1286" i="212"/>
  <c r="C1286" i="212"/>
  <c r="BE1285" i="212"/>
  <c r="BC1285" i="212"/>
  <c r="I1285" i="212"/>
  <c r="H1285" i="212"/>
  <c r="E1285" i="212"/>
  <c r="D1285" i="212"/>
  <c r="C1285" i="212"/>
  <c r="BE1284" i="212"/>
  <c r="BC1284" i="212"/>
  <c r="I1284" i="212"/>
  <c r="H1284" i="212"/>
  <c r="E1284" i="212"/>
  <c r="D1284" i="212"/>
  <c r="C1284" i="212"/>
  <c r="BE1283" i="212"/>
  <c r="BC1283" i="212"/>
  <c r="I1283" i="212"/>
  <c r="H1283" i="212"/>
  <c r="E1283" i="212"/>
  <c r="D1283" i="212"/>
  <c r="C1283" i="212"/>
  <c r="BE1282" i="212"/>
  <c r="BC1282" i="212"/>
  <c r="I1282" i="212"/>
  <c r="H1282" i="212"/>
  <c r="E1282" i="212"/>
  <c r="D1282" i="212"/>
  <c r="C1282" i="212"/>
  <c r="BE1281" i="212"/>
  <c r="BC1281" i="212"/>
  <c r="I1281" i="212"/>
  <c r="H1281" i="212"/>
  <c r="E1281" i="212"/>
  <c r="D1281" i="212"/>
  <c r="C1281" i="212"/>
  <c r="BE1280" i="212"/>
  <c r="BC1280" i="212"/>
  <c r="I1280" i="212"/>
  <c r="H1280" i="212"/>
  <c r="E1280" i="212"/>
  <c r="D1280" i="212"/>
  <c r="C1280" i="212"/>
  <c r="BE1279" i="212"/>
  <c r="BC1279" i="212"/>
  <c r="I1279" i="212"/>
  <c r="H1279" i="212"/>
  <c r="E1279" i="212"/>
  <c r="D1279" i="212"/>
  <c r="C1279" i="212"/>
  <c r="BE1278" i="212"/>
  <c r="BC1278" i="212"/>
  <c r="I1278" i="212"/>
  <c r="H1278" i="212"/>
  <c r="E1278" i="212"/>
  <c r="D1278" i="212"/>
  <c r="C1278" i="212"/>
  <c r="BE1277" i="212"/>
  <c r="BC1277" i="212"/>
  <c r="I1277" i="212"/>
  <c r="H1277" i="212"/>
  <c r="E1277" i="212"/>
  <c r="D1277" i="212"/>
  <c r="C1277" i="212"/>
  <c r="BE1276" i="212"/>
  <c r="BC1276" i="212"/>
  <c r="I1276" i="212"/>
  <c r="H1276" i="212"/>
  <c r="E1276" i="212"/>
  <c r="D1276" i="212"/>
  <c r="C1276" i="212"/>
  <c r="BE1275" i="212"/>
  <c r="BC1275" i="212"/>
  <c r="BA1275" i="212"/>
  <c r="I1275" i="212"/>
  <c r="H1275" i="212"/>
  <c r="E1275" i="212"/>
  <c r="D1275" i="212"/>
  <c r="C1275" i="212"/>
  <c r="BE1274" i="212"/>
  <c r="BC1274" i="212"/>
  <c r="I1274" i="212"/>
  <c r="H1274" i="212"/>
  <c r="E1274" i="212"/>
  <c r="D1274" i="212"/>
  <c r="C1274" i="212"/>
  <c r="BE1273" i="212"/>
  <c r="BC1273" i="212"/>
  <c r="I1273" i="212"/>
  <c r="H1273" i="212"/>
  <c r="E1273" i="212"/>
  <c r="D1273" i="212"/>
  <c r="C1273" i="212"/>
  <c r="BE1272" i="212"/>
  <c r="BC1272" i="212"/>
  <c r="I1272" i="212"/>
  <c r="H1272" i="212"/>
  <c r="E1272" i="212"/>
  <c r="D1272" i="212"/>
  <c r="C1272" i="212"/>
  <c r="BE1271" i="212"/>
  <c r="BC1271" i="212"/>
  <c r="I1271" i="212"/>
  <c r="H1271" i="212"/>
  <c r="E1271" i="212"/>
  <c r="D1271" i="212"/>
  <c r="C1271" i="212"/>
  <c r="BE1270" i="212"/>
  <c r="BC1270" i="212"/>
  <c r="I1270" i="212"/>
  <c r="H1270" i="212"/>
  <c r="E1270" i="212"/>
  <c r="D1270" i="212"/>
  <c r="C1270" i="212"/>
  <c r="BE1269" i="212"/>
  <c r="BC1269" i="212"/>
  <c r="BA1269" i="212"/>
  <c r="I1269" i="212"/>
  <c r="H1269" i="212"/>
  <c r="E1269" i="212"/>
  <c r="D1269" i="212"/>
  <c r="C1269" i="212"/>
  <c r="BE1268" i="212"/>
  <c r="BC1268" i="212"/>
  <c r="I1268" i="212"/>
  <c r="H1268" i="212"/>
  <c r="E1268" i="212"/>
  <c r="D1268" i="212"/>
  <c r="C1268" i="212"/>
  <c r="BE1267" i="212"/>
  <c r="BC1267" i="212"/>
  <c r="I1267" i="212"/>
  <c r="H1267" i="212"/>
  <c r="E1267" i="212"/>
  <c r="D1267" i="212"/>
  <c r="C1267" i="212"/>
  <c r="BE1266" i="212"/>
  <c r="BC1266" i="212"/>
  <c r="I1266" i="212"/>
  <c r="H1266" i="212"/>
  <c r="E1266" i="212"/>
  <c r="D1266" i="212"/>
  <c r="C1266" i="212"/>
  <c r="BE1265" i="212"/>
  <c r="BC1265" i="212"/>
  <c r="I1265" i="212"/>
  <c r="H1265" i="212"/>
  <c r="E1265" i="212"/>
  <c r="D1265" i="212"/>
  <c r="C1265" i="212"/>
  <c r="BE1264" i="212"/>
  <c r="BC1264" i="212"/>
  <c r="I1264" i="212"/>
  <c r="H1264" i="212"/>
  <c r="E1264" i="212"/>
  <c r="D1264" i="212"/>
  <c r="C1264" i="212"/>
  <c r="BE1263" i="212"/>
  <c r="BD1263" i="212"/>
  <c r="BC1263" i="212"/>
  <c r="BA1263" i="212"/>
  <c r="I1263" i="212"/>
  <c r="H1263" i="212"/>
  <c r="E1263" i="212"/>
  <c r="D1263" i="212"/>
  <c r="C1263" i="212"/>
  <c r="BE1262" i="212"/>
  <c r="BC1262" i="212"/>
  <c r="I1262" i="212"/>
  <c r="H1262" i="212"/>
  <c r="E1262" i="212"/>
  <c r="D1262" i="212"/>
  <c r="C1262" i="212"/>
  <c r="BE1261" i="212"/>
  <c r="BC1261" i="212"/>
  <c r="I1261" i="212"/>
  <c r="H1261" i="212"/>
  <c r="E1261" i="212"/>
  <c r="D1261" i="212"/>
  <c r="C1261" i="212"/>
  <c r="BE1260" i="212"/>
  <c r="BC1260" i="212"/>
  <c r="I1260" i="212"/>
  <c r="H1260" i="212"/>
  <c r="E1260" i="212"/>
  <c r="D1260" i="212"/>
  <c r="C1260" i="212"/>
  <c r="BE1259" i="212"/>
  <c r="BC1259" i="212"/>
  <c r="I1259" i="212"/>
  <c r="H1259" i="212"/>
  <c r="E1259" i="212"/>
  <c r="D1259" i="212"/>
  <c r="C1259" i="212"/>
  <c r="BE1258" i="212"/>
  <c r="BC1258" i="212"/>
  <c r="I1258" i="212"/>
  <c r="H1258" i="212"/>
  <c r="E1258" i="212"/>
  <c r="D1258" i="212"/>
  <c r="C1258" i="212"/>
  <c r="BE1257" i="212"/>
  <c r="BC1257" i="212"/>
  <c r="I1257" i="212"/>
  <c r="H1257" i="212"/>
  <c r="E1257" i="212"/>
  <c r="D1257" i="212"/>
  <c r="C1257" i="212"/>
  <c r="BE1256" i="212"/>
  <c r="BC1256" i="212"/>
  <c r="I1256" i="212"/>
  <c r="H1256" i="212"/>
  <c r="E1256" i="212"/>
  <c r="D1256" i="212"/>
  <c r="C1256" i="212"/>
  <c r="BE1255" i="212"/>
  <c r="BC1255" i="212"/>
  <c r="I1255" i="212"/>
  <c r="H1255" i="212"/>
  <c r="E1255" i="212"/>
  <c r="D1255" i="212"/>
  <c r="C1255" i="212"/>
  <c r="BE1254" i="212"/>
  <c r="BC1254" i="212"/>
  <c r="I1254" i="212"/>
  <c r="H1254" i="212"/>
  <c r="E1254" i="212"/>
  <c r="D1254" i="212"/>
  <c r="C1254" i="212"/>
  <c r="BE1253" i="212"/>
  <c r="BD1253" i="212"/>
  <c r="BC1253" i="212"/>
  <c r="BA1253" i="212"/>
  <c r="I1253" i="212"/>
  <c r="H1253" i="212"/>
  <c r="E1253" i="212"/>
  <c r="D1253" i="212"/>
  <c r="C1253" i="212"/>
  <c r="BE1252" i="212"/>
  <c r="BC1252" i="212"/>
  <c r="I1252" i="212"/>
  <c r="H1252" i="212"/>
  <c r="E1252" i="212"/>
  <c r="D1252" i="212"/>
  <c r="C1252" i="212"/>
  <c r="BE1251" i="212"/>
  <c r="BC1251" i="212"/>
  <c r="BA1251" i="212"/>
  <c r="I1251" i="212"/>
  <c r="H1251" i="212"/>
  <c r="E1251" i="212"/>
  <c r="D1251" i="212"/>
  <c r="C1251" i="212"/>
  <c r="BE1250" i="212"/>
  <c r="BC1250" i="212"/>
  <c r="I1250" i="212"/>
  <c r="H1250" i="212"/>
  <c r="E1250" i="212"/>
  <c r="D1250" i="212"/>
  <c r="C1250" i="212"/>
  <c r="BE1249" i="212"/>
  <c r="BC1249" i="212"/>
  <c r="I1249" i="212"/>
  <c r="H1249" i="212"/>
  <c r="E1249" i="212"/>
  <c r="D1249" i="212"/>
  <c r="C1249" i="212"/>
  <c r="BE1248" i="212"/>
  <c r="BC1248" i="212"/>
  <c r="I1248" i="212"/>
  <c r="H1248" i="212"/>
  <c r="E1248" i="212"/>
  <c r="D1248" i="212"/>
  <c r="C1248" i="212"/>
  <c r="BE1247" i="212"/>
  <c r="BD1247" i="212"/>
  <c r="BC1247" i="212"/>
  <c r="BA1247" i="212"/>
  <c r="I1247" i="212"/>
  <c r="H1247" i="212"/>
  <c r="E1247" i="212"/>
  <c r="D1247" i="212"/>
  <c r="C1247" i="212"/>
  <c r="BE1246" i="212"/>
  <c r="BC1246" i="212"/>
  <c r="I1246" i="212"/>
  <c r="H1246" i="212"/>
  <c r="E1246" i="212"/>
  <c r="D1246" i="212"/>
  <c r="C1246" i="212"/>
  <c r="BE1245" i="212"/>
  <c r="BC1245" i="212"/>
  <c r="I1245" i="212"/>
  <c r="H1245" i="212"/>
  <c r="E1245" i="212"/>
  <c r="D1245" i="212"/>
  <c r="C1245" i="212"/>
  <c r="BE1244" i="212"/>
  <c r="BC1244" i="212"/>
  <c r="I1244" i="212"/>
  <c r="H1244" i="212"/>
  <c r="E1244" i="212"/>
  <c r="D1244" i="212"/>
  <c r="C1244" i="212"/>
  <c r="BE1243" i="212"/>
  <c r="BC1243" i="212"/>
  <c r="I1243" i="212"/>
  <c r="H1243" i="212"/>
  <c r="E1243" i="212"/>
  <c r="D1243" i="212"/>
  <c r="C1243" i="212"/>
  <c r="BE1242" i="212"/>
  <c r="BC1242" i="212"/>
  <c r="I1242" i="212"/>
  <c r="H1242" i="212"/>
  <c r="E1242" i="212"/>
  <c r="D1242" i="212"/>
  <c r="C1242" i="212"/>
  <c r="BE1241" i="212"/>
  <c r="BC1241" i="212"/>
  <c r="I1241" i="212"/>
  <c r="H1241" i="212"/>
  <c r="E1241" i="212"/>
  <c r="D1241" i="212"/>
  <c r="C1241" i="212"/>
  <c r="BE1240" i="212"/>
  <c r="BC1240" i="212"/>
  <c r="I1240" i="212"/>
  <c r="H1240" i="212"/>
  <c r="E1240" i="212"/>
  <c r="D1240" i="212"/>
  <c r="C1240" i="212"/>
  <c r="BE1239" i="212"/>
  <c r="BC1239" i="212"/>
  <c r="I1239" i="212"/>
  <c r="H1239" i="212"/>
  <c r="E1239" i="212"/>
  <c r="D1239" i="212"/>
  <c r="C1239" i="212"/>
  <c r="BE1238" i="212"/>
  <c r="BC1238" i="212"/>
  <c r="I1238" i="212"/>
  <c r="H1238" i="212"/>
  <c r="E1238" i="212"/>
  <c r="D1238" i="212"/>
  <c r="C1238" i="212"/>
  <c r="BE1237" i="212"/>
  <c r="BC1237" i="212"/>
  <c r="I1237" i="212"/>
  <c r="H1237" i="212"/>
  <c r="E1237" i="212"/>
  <c r="D1237" i="212"/>
  <c r="C1237" i="212"/>
  <c r="BE1236" i="212"/>
  <c r="BC1236" i="212"/>
  <c r="I1236" i="212"/>
  <c r="H1236" i="212"/>
  <c r="E1236" i="212"/>
  <c r="D1236" i="212"/>
  <c r="C1236" i="212"/>
  <c r="BE1235" i="212"/>
  <c r="BC1235" i="212"/>
  <c r="I1235" i="212"/>
  <c r="H1235" i="212"/>
  <c r="E1235" i="212"/>
  <c r="D1235" i="212"/>
  <c r="C1235" i="212"/>
  <c r="BE1234" i="212"/>
  <c r="BC1234" i="212"/>
  <c r="I1234" i="212"/>
  <c r="H1234" i="212"/>
  <c r="E1234" i="212"/>
  <c r="D1234" i="212"/>
  <c r="C1234" i="212"/>
  <c r="BE1233" i="212"/>
  <c r="BC1233" i="212"/>
  <c r="I1233" i="212"/>
  <c r="H1233" i="212"/>
  <c r="E1233" i="212"/>
  <c r="D1233" i="212"/>
  <c r="C1233" i="212"/>
  <c r="BE1232" i="212"/>
  <c r="BC1232" i="212"/>
  <c r="I1232" i="212"/>
  <c r="H1232" i="212"/>
  <c r="E1232" i="212"/>
  <c r="D1232" i="212"/>
  <c r="C1232" i="212"/>
  <c r="BE1231" i="212"/>
  <c r="BC1231" i="212"/>
  <c r="I1231" i="212"/>
  <c r="H1231" i="212"/>
  <c r="E1231" i="212"/>
  <c r="D1231" i="212"/>
  <c r="C1231" i="212"/>
  <c r="BE1230" i="212"/>
  <c r="BC1230" i="212"/>
  <c r="I1230" i="212"/>
  <c r="H1230" i="212"/>
  <c r="E1230" i="212"/>
  <c r="D1230" i="212"/>
  <c r="C1230" i="212"/>
  <c r="BE1229" i="212"/>
  <c r="BC1229" i="212"/>
  <c r="I1229" i="212"/>
  <c r="H1229" i="212"/>
  <c r="E1229" i="212"/>
  <c r="D1229" i="212"/>
  <c r="C1229" i="212"/>
  <c r="BE1228" i="212"/>
  <c r="BC1228" i="212"/>
  <c r="I1228" i="212"/>
  <c r="H1228" i="212"/>
  <c r="E1228" i="212"/>
  <c r="D1228" i="212"/>
  <c r="C1228" i="212"/>
  <c r="BE1227" i="212"/>
  <c r="BC1227" i="212"/>
  <c r="I1227" i="212"/>
  <c r="H1227" i="212"/>
  <c r="E1227" i="212"/>
  <c r="D1227" i="212"/>
  <c r="C1227" i="212"/>
  <c r="BE1226" i="212"/>
  <c r="BC1226" i="212"/>
  <c r="I1226" i="212"/>
  <c r="H1226" i="212"/>
  <c r="E1226" i="212"/>
  <c r="D1226" i="212"/>
  <c r="C1226" i="212"/>
  <c r="BE1225" i="212"/>
  <c r="BC1225" i="212"/>
  <c r="I1225" i="212"/>
  <c r="H1225" i="212"/>
  <c r="E1225" i="212"/>
  <c r="D1225" i="212"/>
  <c r="C1225" i="212"/>
  <c r="BE1224" i="212"/>
  <c r="BC1224" i="212"/>
  <c r="I1224" i="212"/>
  <c r="H1224" i="212"/>
  <c r="E1224" i="212"/>
  <c r="D1224" i="212"/>
  <c r="C1224" i="212"/>
  <c r="BE1223" i="212"/>
  <c r="BC1223" i="212"/>
  <c r="I1223" i="212"/>
  <c r="H1223" i="212"/>
  <c r="E1223" i="212"/>
  <c r="D1223" i="212"/>
  <c r="C1223" i="212"/>
  <c r="BE1222" i="212"/>
  <c r="BC1222" i="212"/>
  <c r="I1222" i="212"/>
  <c r="H1222" i="212"/>
  <c r="E1222" i="212"/>
  <c r="D1222" i="212"/>
  <c r="C1222" i="212"/>
  <c r="BE1221" i="212"/>
  <c r="BC1221" i="212"/>
  <c r="I1221" i="212"/>
  <c r="H1221" i="212"/>
  <c r="E1221" i="212"/>
  <c r="D1221" i="212"/>
  <c r="C1221" i="212"/>
  <c r="BE1220" i="212"/>
  <c r="BC1220" i="212"/>
  <c r="I1220" i="212"/>
  <c r="H1220" i="212"/>
  <c r="E1220" i="212"/>
  <c r="D1220" i="212"/>
  <c r="C1220" i="212"/>
  <c r="BE1219" i="212"/>
  <c r="BC1219" i="212"/>
  <c r="I1219" i="212"/>
  <c r="H1219" i="212"/>
  <c r="E1219" i="212"/>
  <c r="D1219" i="212"/>
  <c r="C1219" i="212"/>
  <c r="BE1218" i="212"/>
  <c r="BC1218" i="212"/>
  <c r="I1218" i="212"/>
  <c r="H1218" i="212"/>
  <c r="E1218" i="212"/>
  <c r="D1218" i="212"/>
  <c r="C1218" i="212"/>
  <c r="BE1217" i="212"/>
  <c r="BC1217" i="212"/>
  <c r="I1217" i="212"/>
  <c r="H1217" i="212"/>
  <c r="E1217" i="212"/>
  <c r="D1217" i="212"/>
  <c r="C1217" i="212"/>
  <c r="BE1216" i="212"/>
  <c r="BC1216" i="212"/>
  <c r="I1216" i="212"/>
  <c r="H1216" i="212"/>
  <c r="E1216" i="212"/>
  <c r="D1216" i="212"/>
  <c r="C1216" i="212"/>
  <c r="BE1215" i="212"/>
  <c r="BC1215" i="212"/>
  <c r="I1215" i="212"/>
  <c r="H1215" i="212"/>
  <c r="E1215" i="212"/>
  <c r="D1215" i="212"/>
  <c r="C1215" i="212"/>
  <c r="BE1214" i="212"/>
  <c r="BC1214" i="212"/>
  <c r="I1214" i="212"/>
  <c r="H1214" i="212"/>
  <c r="E1214" i="212"/>
  <c r="D1214" i="212"/>
  <c r="C1214" i="212"/>
  <c r="BE1213" i="212"/>
  <c r="BC1213" i="212"/>
  <c r="I1213" i="212"/>
  <c r="H1213" i="212"/>
  <c r="E1213" i="212"/>
  <c r="D1213" i="212"/>
  <c r="C1213" i="212"/>
  <c r="BE1212" i="212"/>
  <c r="BC1212" i="212"/>
  <c r="I1212" i="212"/>
  <c r="H1212" i="212"/>
  <c r="E1212" i="212"/>
  <c r="D1212" i="212"/>
  <c r="C1212" i="212"/>
  <c r="BE1211" i="212"/>
  <c r="BC1211" i="212"/>
  <c r="I1211" i="212"/>
  <c r="H1211" i="212"/>
  <c r="E1211" i="212"/>
  <c r="D1211" i="212"/>
  <c r="C1211" i="212"/>
  <c r="BE1210" i="212"/>
  <c r="BC1210" i="212"/>
  <c r="I1210" i="212"/>
  <c r="H1210" i="212"/>
  <c r="E1210" i="212"/>
  <c r="D1210" i="212"/>
  <c r="C1210" i="212"/>
  <c r="BE1209" i="212"/>
  <c r="BC1209" i="212"/>
  <c r="I1209" i="212"/>
  <c r="H1209" i="212"/>
  <c r="E1209" i="212"/>
  <c r="D1209" i="212"/>
  <c r="C1209" i="212"/>
  <c r="BE1208" i="212"/>
  <c r="BC1208" i="212"/>
  <c r="I1208" i="212"/>
  <c r="H1208" i="212"/>
  <c r="E1208" i="212"/>
  <c r="D1208" i="212"/>
  <c r="C1208" i="212"/>
  <c r="BE1207" i="212"/>
  <c r="BC1207" i="212"/>
  <c r="I1207" i="212"/>
  <c r="H1207" i="212"/>
  <c r="E1207" i="212"/>
  <c r="D1207" i="212"/>
  <c r="C1207" i="212"/>
  <c r="BE1206" i="212"/>
  <c r="BC1206" i="212"/>
  <c r="I1206" i="212"/>
  <c r="H1206" i="212"/>
  <c r="E1206" i="212"/>
  <c r="D1206" i="212"/>
  <c r="C1206" i="212"/>
  <c r="BE1205" i="212"/>
  <c r="BC1205" i="212"/>
  <c r="I1205" i="212"/>
  <c r="H1205" i="212"/>
  <c r="E1205" i="212"/>
  <c r="D1205" i="212"/>
  <c r="C1205" i="212"/>
  <c r="BE1204" i="212"/>
  <c r="BC1204" i="212"/>
  <c r="I1204" i="212"/>
  <c r="H1204" i="212"/>
  <c r="E1204" i="212"/>
  <c r="D1204" i="212"/>
  <c r="C1204" i="212"/>
  <c r="BE1203" i="212"/>
  <c r="BC1203" i="212"/>
  <c r="I1203" i="212"/>
  <c r="H1203" i="212"/>
  <c r="E1203" i="212"/>
  <c r="D1203" i="212"/>
  <c r="C1203" i="212"/>
  <c r="BE1202" i="212"/>
  <c r="BC1202" i="212"/>
  <c r="I1202" i="212"/>
  <c r="H1202" i="212"/>
  <c r="E1202" i="212"/>
  <c r="D1202" i="212"/>
  <c r="C1202" i="212"/>
  <c r="BE1201" i="212"/>
  <c r="BC1201" i="212"/>
  <c r="I1201" i="212"/>
  <c r="H1201" i="212"/>
  <c r="E1201" i="212"/>
  <c r="D1201" i="212"/>
  <c r="C1201" i="212"/>
  <c r="BE1200" i="212"/>
  <c r="BC1200" i="212"/>
  <c r="I1200" i="212"/>
  <c r="H1200" i="212"/>
  <c r="E1200" i="212"/>
  <c r="D1200" i="212"/>
  <c r="C1200" i="212"/>
  <c r="BE1199" i="212"/>
  <c r="BC1199" i="212"/>
  <c r="I1199" i="212"/>
  <c r="H1199" i="212"/>
  <c r="E1199" i="212"/>
  <c r="D1199" i="212"/>
  <c r="C1199" i="212"/>
  <c r="BE1198" i="212"/>
  <c r="BC1198" i="212"/>
  <c r="I1198" i="212"/>
  <c r="H1198" i="212"/>
  <c r="E1198" i="212"/>
  <c r="D1198" i="212"/>
  <c r="C1198" i="212"/>
  <c r="BE1197" i="212"/>
  <c r="BC1197" i="212"/>
  <c r="I1197" i="212"/>
  <c r="H1197" i="212"/>
  <c r="E1197" i="212"/>
  <c r="D1197" i="212"/>
  <c r="C1197" i="212"/>
  <c r="BE1196" i="212"/>
  <c r="BC1196" i="212"/>
  <c r="I1196" i="212"/>
  <c r="H1196" i="212"/>
  <c r="E1196" i="212"/>
  <c r="D1196" i="212"/>
  <c r="C1196" i="212"/>
  <c r="BE1195" i="212"/>
  <c r="BC1195" i="212"/>
  <c r="I1195" i="212"/>
  <c r="H1195" i="212"/>
  <c r="E1195" i="212"/>
  <c r="D1195" i="212"/>
  <c r="C1195" i="212"/>
  <c r="BE1194" i="212"/>
  <c r="BC1194" i="212"/>
  <c r="I1194" i="212"/>
  <c r="H1194" i="212"/>
  <c r="E1194" i="212"/>
  <c r="D1194" i="212"/>
  <c r="C1194" i="212"/>
  <c r="BE1193" i="212"/>
  <c r="BC1193" i="212"/>
  <c r="I1193" i="212"/>
  <c r="H1193" i="212"/>
  <c r="E1193" i="212"/>
  <c r="D1193" i="212"/>
  <c r="C1193" i="212"/>
  <c r="BE1192" i="212"/>
  <c r="BC1192" i="212"/>
  <c r="I1192" i="212"/>
  <c r="H1192" i="212"/>
  <c r="E1192" i="212"/>
  <c r="D1192" i="212"/>
  <c r="C1192" i="212"/>
  <c r="BE1191" i="212"/>
  <c r="BC1191" i="212"/>
  <c r="I1191" i="212"/>
  <c r="H1191" i="212"/>
  <c r="E1191" i="212"/>
  <c r="D1191" i="212"/>
  <c r="C1191" i="212"/>
  <c r="BE1190" i="212"/>
  <c r="BC1190" i="212"/>
  <c r="I1190" i="212"/>
  <c r="H1190" i="212"/>
  <c r="E1190" i="212"/>
  <c r="D1190" i="212"/>
  <c r="C1190" i="212"/>
  <c r="BE1189" i="212"/>
  <c r="BC1189" i="212"/>
  <c r="I1189" i="212"/>
  <c r="H1189" i="212"/>
  <c r="E1189" i="212"/>
  <c r="D1189" i="212"/>
  <c r="C1189" i="212"/>
  <c r="BE1188" i="212"/>
  <c r="BC1188" i="212"/>
  <c r="I1188" i="212"/>
  <c r="H1188" i="212"/>
  <c r="E1188" i="212"/>
  <c r="D1188" i="212"/>
  <c r="C1188" i="212"/>
  <c r="BE1187" i="212"/>
  <c r="BC1187" i="212"/>
  <c r="I1187" i="212"/>
  <c r="H1187" i="212"/>
  <c r="E1187" i="212"/>
  <c r="D1187" i="212"/>
  <c r="C1187" i="212"/>
  <c r="BE1186" i="212"/>
  <c r="BC1186" i="212"/>
  <c r="I1186" i="212"/>
  <c r="H1186" i="212"/>
  <c r="E1186" i="212"/>
  <c r="D1186" i="212"/>
  <c r="C1186" i="212"/>
  <c r="BE1185" i="212"/>
  <c r="BC1185" i="212"/>
  <c r="I1185" i="212"/>
  <c r="H1185" i="212"/>
  <c r="E1185" i="212"/>
  <c r="D1185" i="212"/>
  <c r="C1185" i="212"/>
  <c r="BE1184" i="212"/>
  <c r="BC1184" i="212"/>
  <c r="I1184" i="212"/>
  <c r="H1184" i="212"/>
  <c r="E1184" i="212"/>
  <c r="D1184" i="212"/>
  <c r="C1184" i="212"/>
  <c r="BE1183" i="212"/>
  <c r="BC1183" i="212"/>
  <c r="I1183" i="212"/>
  <c r="H1183" i="212"/>
  <c r="E1183" i="212"/>
  <c r="D1183" i="212"/>
  <c r="C1183" i="212"/>
  <c r="BE1182" i="212"/>
  <c r="BC1182" i="212"/>
  <c r="I1182" i="212"/>
  <c r="H1182" i="212"/>
  <c r="E1182" i="212"/>
  <c r="D1182" i="212"/>
  <c r="C1182" i="212"/>
  <c r="BE1181" i="212"/>
  <c r="BC1181" i="212"/>
  <c r="I1181" i="212"/>
  <c r="H1181" i="212"/>
  <c r="E1181" i="212"/>
  <c r="D1181" i="212"/>
  <c r="C1181" i="212"/>
  <c r="BE1180" i="212"/>
  <c r="BC1180" i="212"/>
  <c r="I1180" i="212"/>
  <c r="H1180" i="212"/>
  <c r="E1180" i="212"/>
  <c r="D1180" i="212"/>
  <c r="C1180" i="212"/>
  <c r="BE1179" i="212"/>
  <c r="BC1179" i="212"/>
  <c r="I1179" i="212"/>
  <c r="H1179" i="212"/>
  <c r="E1179" i="212"/>
  <c r="D1179" i="212"/>
  <c r="C1179" i="212"/>
  <c r="BE1178" i="212"/>
  <c r="BC1178" i="212"/>
  <c r="I1178" i="212"/>
  <c r="H1178" i="212"/>
  <c r="E1178" i="212"/>
  <c r="D1178" i="212"/>
  <c r="C1178" i="212"/>
  <c r="BE1177" i="212"/>
  <c r="BC1177" i="212"/>
  <c r="I1177" i="212"/>
  <c r="H1177" i="212"/>
  <c r="E1177" i="212"/>
  <c r="D1177" i="212"/>
  <c r="C1177" i="212"/>
  <c r="BE1176" i="212"/>
  <c r="BC1176" i="212"/>
  <c r="I1176" i="212"/>
  <c r="H1176" i="212"/>
  <c r="E1176" i="212"/>
  <c r="D1176" i="212"/>
  <c r="C1176" i="212"/>
  <c r="BE1175" i="212"/>
  <c r="BC1175" i="212"/>
  <c r="I1175" i="212"/>
  <c r="H1175" i="212"/>
  <c r="E1175" i="212"/>
  <c r="D1175" i="212"/>
  <c r="C1175" i="212"/>
  <c r="BE1174" i="212"/>
  <c r="BC1174" i="212"/>
  <c r="I1174" i="212"/>
  <c r="H1174" i="212"/>
  <c r="E1174" i="212"/>
  <c r="D1174" i="212"/>
  <c r="C1174" i="212"/>
  <c r="BE1173" i="212"/>
  <c r="BC1173" i="212"/>
  <c r="I1173" i="212"/>
  <c r="H1173" i="212"/>
  <c r="E1173" i="212"/>
  <c r="D1173" i="212"/>
  <c r="C1173" i="212"/>
  <c r="BE1172" i="212"/>
  <c r="BC1172" i="212"/>
  <c r="I1172" i="212"/>
  <c r="H1172" i="212"/>
  <c r="E1172" i="212"/>
  <c r="D1172" i="212"/>
  <c r="C1172" i="212"/>
  <c r="BE1171" i="212"/>
  <c r="BC1171" i="212"/>
  <c r="I1171" i="212"/>
  <c r="H1171" i="212"/>
  <c r="E1171" i="212"/>
  <c r="D1171" i="212"/>
  <c r="C1171" i="212"/>
  <c r="BE1170" i="212"/>
  <c r="BC1170" i="212"/>
  <c r="I1170" i="212"/>
  <c r="H1170" i="212"/>
  <c r="E1170" i="212"/>
  <c r="D1170" i="212"/>
  <c r="C1170" i="212"/>
  <c r="BE1169" i="212"/>
  <c r="BC1169" i="212"/>
  <c r="I1169" i="212"/>
  <c r="H1169" i="212"/>
  <c r="E1169" i="212"/>
  <c r="D1169" i="212"/>
  <c r="C1169" i="212"/>
  <c r="BE1168" i="212"/>
  <c r="BC1168" i="212"/>
  <c r="I1168" i="212"/>
  <c r="H1168" i="212"/>
  <c r="E1168" i="212"/>
  <c r="D1168" i="212"/>
  <c r="C1168" i="212"/>
  <c r="BE1167" i="212"/>
  <c r="BC1167" i="212"/>
  <c r="I1167" i="212"/>
  <c r="H1167" i="212"/>
  <c r="E1167" i="212"/>
  <c r="D1167" i="212"/>
  <c r="C1167" i="212"/>
  <c r="BE1166" i="212"/>
  <c r="BC1166" i="212"/>
  <c r="I1166" i="212"/>
  <c r="H1166" i="212"/>
  <c r="E1166" i="212"/>
  <c r="D1166" i="212"/>
  <c r="C1166" i="212"/>
  <c r="BE1165" i="212"/>
  <c r="BC1165" i="212"/>
  <c r="I1165" i="212"/>
  <c r="H1165" i="212"/>
  <c r="E1165" i="212"/>
  <c r="D1165" i="212"/>
  <c r="C1165" i="212"/>
  <c r="BE1164" i="212"/>
  <c r="BC1164" i="212"/>
  <c r="I1164" i="212"/>
  <c r="H1164" i="212"/>
  <c r="E1164" i="212"/>
  <c r="D1164" i="212"/>
  <c r="C1164" i="212"/>
  <c r="BE1163" i="212"/>
  <c r="BC1163" i="212"/>
  <c r="I1163" i="212"/>
  <c r="H1163" i="212"/>
  <c r="E1163" i="212"/>
  <c r="D1163" i="212"/>
  <c r="C1163" i="212"/>
  <c r="BE1162" i="212"/>
  <c r="BC1162" i="212"/>
  <c r="I1162" i="212"/>
  <c r="H1162" i="212"/>
  <c r="E1162" i="212"/>
  <c r="D1162" i="212"/>
  <c r="C1162" i="212"/>
  <c r="BE1161" i="212"/>
  <c r="BC1161" i="212"/>
  <c r="I1161" i="212"/>
  <c r="H1161" i="212"/>
  <c r="E1161" i="212"/>
  <c r="D1161" i="212"/>
  <c r="C1161" i="212"/>
  <c r="BE1160" i="212"/>
  <c r="BC1160" i="212"/>
  <c r="I1160" i="212"/>
  <c r="H1160" i="212"/>
  <c r="E1160" i="212"/>
  <c r="D1160" i="212"/>
  <c r="C1160" i="212"/>
  <c r="BE1159" i="212"/>
  <c r="BC1159" i="212"/>
  <c r="I1159" i="212"/>
  <c r="H1159" i="212"/>
  <c r="E1159" i="212"/>
  <c r="D1159" i="212"/>
  <c r="C1159" i="212"/>
  <c r="BE1158" i="212"/>
  <c r="BC1158" i="212"/>
  <c r="I1158" i="212"/>
  <c r="H1158" i="212"/>
  <c r="E1158" i="212"/>
  <c r="D1158" i="212"/>
  <c r="C1158" i="212"/>
  <c r="BE1157" i="212"/>
  <c r="BC1157" i="212"/>
  <c r="I1157" i="212"/>
  <c r="H1157" i="212"/>
  <c r="E1157" i="212"/>
  <c r="D1157" i="212"/>
  <c r="C1157" i="212"/>
  <c r="BE1156" i="212"/>
  <c r="BC1156" i="212"/>
  <c r="I1156" i="212"/>
  <c r="H1156" i="212"/>
  <c r="E1156" i="212"/>
  <c r="D1156" i="212"/>
  <c r="C1156" i="212"/>
  <c r="BE1155" i="212"/>
  <c r="BC1155" i="212"/>
  <c r="I1155" i="212"/>
  <c r="H1155" i="212"/>
  <c r="E1155" i="212"/>
  <c r="D1155" i="212"/>
  <c r="C1155" i="212"/>
  <c r="BE1154" i="212"/>
  <c r="BC1154" i="212"/>
  <c r="I1154" i="212"/>
  <c r="H1154" i="212"/>
  <c r="E1154" i="212"/>
  <c r="D1154" i="212"/>
  <c r="C1154" i="212"/>
  <c r="BE1153" i="212"/>
  <c r="BC1153" i="212"/>
  <c r="I1153" i="212"/>
  <c r="H1153" i="212"/>
  <c r="E1153" i="212"/>
  <c r="D1153" i="212"/>
  <c r="C1153" i="212"/>
  <c r="BE1152" i="212"/>
  <c r="BC1152" i="212"/>
  <c r="I1152" i="212"/>
  <c r="H1152" i="212"/>
  <c r="E1152" i="212"/>
  <c r="D1152" i="212"/>
  <c r="C1152" i="212"/>
  <c r="BE1151" i="212"/>
  <c r="BC1151" i="212"/>
  <c r="I1151" i="212"/>
  <c r="H1151" i="212"/>
  <c r="E1151" i="212"/>
  <c r="D1151" i="212"/>
  <c r="C1151" i="212"/>
  <c r="BE1150" i="212"/>
  <c r="BC1150" i="212"/>
  <c r="I1150" i="212"/>
  <c r="H1150" i="212"/>
  <c r="E1150" i="212"/>
  <c r="D1150" i="212"/>
  <c r="C1150" i="212"/>
  <c r="BE1149" i="212"/>
  <c r="BC1149" i="212"/>
  <c r="I1149" i="212"/>
  <c r="H1149" i="212"/>
  <c r="E1149" i="212"/>
  <c r="D1149" i="212"/>
  <c r="C1149" i="212"/>
  <c r="BE1148" i="212"/>
  <c r="BC1148" i="212"/>
  <c r="I1148" i="212"/>
  <c r="H1148" i="212"/>
  <c r="E1148" i="212"/>
  <c r="D1148" i="212"/>
  <c r="C1148" i="212"/>
  <c r="BE1147" i="212"/>
  <c r="BC1147" i="212"/>
  <c r="I1147" i="212"/>
  <c r="H1147" i="212"/>
  <c r="E1147" i="212"/>
  <c r="D1147" i="212"/>
  <c r="C1147" i="212"/>
  <c r="BE1146" i="212"/>
  <c r="BC1146" i="212"/>
  <c r="I1146" i="212"/>
  <c r="H1146" i="212"/>
  <c r="E1146" i="212"/>
  <c r="D1146" i="212"/>
  <c r="C1146" i="212"/>
  <c r="BE1145" i="212"/>
  <c r="BC1145" i="212"/>
  <c r="I1145" i="212"/>
  <c r="H1145" i="212"/>
  <c r="E1145" i="212"/>
  <c r="D1145" i="212"/>
  <c r="C1145" i="212"/>
  <c r="BE1144" i="212"/>
  <c r="BC1144" i="212"/>
  <c r="I1144" i="212"/>
  <c r="H1144" i="212"/>
  <c r="E1144" i="212"/>
  <c r="D1144" i="212"/>
  <c r="C1144" i="212"/>
  <c r="BE1143" i="212"/>
  <c r="BC1143" i="212"/>
  <c r="I1143" i="212"/>
  <c r="H1143" i="212"/>
  <c r="E1143" i="212"/>
  <c r="D1143" i="212"/>
  <c r="C1143" i="212"/>
  <c r="BE1142" i="212"/>
  <c r="BC1142" i="212"/>
  <c r="I1142" i="212"/>
  <c r="H1142" i="212"/>
  <c r="E1142" i="212"/>
  <c r="D1142" i="212"/>
  <c r="C1142" i="212"/>
  <c r="BE1141" i="212"/>
  <c r="BC1141" i="212"/>
  <c r="I1141" i="212"/>
  <c r="H1141" i="212"/>
  <c r="E1141" i="212"/>
  <c r="D1141" i="212"/>
  <c r="C1141" i="212"/>
  <c r="BE1140" i="212"/>
  <c r="BC1140" i="212"/>
  <c r="I1140" i="212"/>
  <c r="H1140" i="212"/>
  <c r="E1140" i="212"/>
  <c r="D1140" i="212"/>
  <c r="C1140" i="212"/>
  <c r="BE1139" i="212"/>
  <c r="BC1139" i="212"/>
  <c r="I1139" i="212"/>
  <c r="H1139" i="212"/>
  <c r="E1139" i="212"/>
  <c r="D1139" i="212"/>
  <c r="C1139" i="212"/>
  <c r="BE1138" i="212"/>
  <c r="BC1138" i="212"/>
  <c r="I1138" i="212"/>
  <c r="H1138" i="212"/>
  <c r="E1138" i="212"/>
  <c r="D1138" i="212"/>
  <c r="C1138" i="212"/>
  <c r="BE1137" i="212"/>
  <c r="BC1137" i="212"/>
  <c r="I1137" i="212"/>
  <c r="H1137" i="212"/>
  <c r="E1137" i="212"/>
  <c r="D1137" i="212"/>
  <c r="C1137" i="212"/>
  <c r="BE1136" i="212"/>
  <c r="BC1136" i="212"/>
  <c r="I1136" i="212"/>
  <c r="H1136" i="212"/>
  <c r="E1136" i="212"/>
  <c r="D1136" i="212"/>
  <c r="C1136" i="212"/>
  <c r="BE1135" i="212"/>
  <c r="BC1135" i="212"/>
  <c r="I1135" i="212"/>
  <c r="H1135" i="212"/>
  <c r="E1135" i="212"/>
  <c r="D1135" i="212"/>
  <c r="C1135" i="212"/>
  <c r="BE1134" i="212"/>
  <c r="BC1134" i="212"/>
  <c r="I1134" i="212"/>
  <c r="H1134" i="212"/>
  <c r="E1134" i="212"/>
  <c r="D1134" i="212"/>
  <c r="C1134" i="212"/>
  <c r="BE1133" i="212"/>
  <c r="BC1133" i="212"/>
  <c r="I1133" i="212"/>
  <c r="H1133" i="212"/>
  <c r="E1133" i="212"/>
  <c r="D1133" i="212"/>
  <c r="C1133" i="212"/>
  <c r="BE1132" i="212"/>
  <c r="BC1132" i="212"/>
  <c r="I1132" i="212"/>
  <c r="H1132" i="212"/>
  <c r="E1132" i="212"/>
  <c r="D1132" i="212"/>
  <c r="C1132" i="212"/>
  <c r="BE1131" i="212"/>
  <c r="BC1131" i="212"/>
  <c r="I1131" i="212"/>
  <c r="H1131" i="212"/>
  <c r="E1131" i="212"/>
  <c r="D1131" i="212"/>
  <c r="C1131" i="212"/>
  <c r="BE1130" i="212"/>
  <c r="BC1130" i="212"/>
  <c r="I1130" i="212"/>
  <c r="H1130" i="212"/>
  <c r="E1130" i="212"/>
  <c r="D1130" i="212"/>
  <c r="C1130" i="212"/>
  <c r="BE1129" i="212"/>
  <c r="BC1129" i="212"/>
  <c r="I1129" i="212"/>
  <c r="H1129" i="212"/>
  <c r="E1129" i="212"/>
  <c r="D1129" i="212"/>
  <c r="C1129" i="212"/>
  <c r="BE1128" i="212"/>
  <c r="BC1128" i="212"/>
  <c r="I1128" i="212"/>
  <c r="H1128" i="212"/>
  <c r="E1128" i="212"/>
  <c r="D1128" i="212"/>
  <c r="C1128" i="212"/>
  <c r="BE1127" i="212"/>
  <c r="BC1127" i="212"/>
  <c r="I1127" i="212"/>
  <c r="H1127" i="212"/>
  <c r="E1127" i="212"/>
  <c r="D1127" i="212"/>
  <c r="C1127" i="212"/>
  <c r="BE1126" i="212"/>
  <c r="BC1126" i="212"/>
  <c r="I1126" i="212"/>
  <c r="H1126" i="212"/>
  <c r="E1126" i="212"/>
  <c r="D1126" i="212"/>
  <c r="C1126" i="212"/>
  <c r="BE1125" i="212"/>
  <c r="BC1125" i="212"/>
  <c r="I1125" i="212"/>
  <c r="H1125" i="212"/>
  <c r="E1125" i="212"/>
  <c r="D1125" i="212"/>
  <c r="C1125" i="212"/>
  <c r="BE1124" i="212"/>
  <c r="BC1124" i="212"/>
  <c r="I1124" i="212"/>
  <c r="H1124" i="212"/>
  <c r="E1124" i="212"/>
  <c r="D1124" i="212"/>
  <c r="C1124" i="212"/>
  <c r="BE1123" i="212"/>
  <c r="BC1123" i="212"/>
  <c r="I1123" i="212"/>
  <c r="H1123" i="212"/>
  <c r="E1123" i="212"/>
  <c r="D1123" i="212"/>
  <c r="C1123" i="212"/>
  <c r="BE1122" i="212"/>
  <c r="BC1122" i="212"/>
  <c r="I1122" i="212"/>
  <c r="H1122" i="212"/>
  <c r="E1122" i="212"/>
  <c r="D1122" i="212"/>
  <c r="C1122" i="212"/>
  <c r="BE1121" i="212"/>
  <c r="BC1121" i="212"/>
  <c r="I1121" i="212"/>
  <c r="H1121" i="212"/>
  <c r="E1121" i="212"/>
  <c r="D1121" i="212"/>
  <c r="C1121" i="212"/>
  <c r="BE1120" i="212"/>
  <c r="BC1120" i="212"/>
  <c r="I1120" i="212"/>
  <c r="H1120" i="212"/>
  <c r="E1120" i="212"/>
  <c r="D1120" i="212"/>
  <c r="C1120" i="212"/>
  <c r="BE1119" i="212"/>
  <c r="BC1119" i="212"/>
  <c r="I1119" i="212"/>
  <c r="H1119" i="212"/>
  <c r="E1119" i="212"/>
  <c r="D1119" i="212"/>
  <c r="C1119" i="212"/>
  <c r="BE1118" i="212"/>
  <c r="BC1118" i="212"/>
  <c r="I1118" i="212"/>
  <c r="H1118" i="212"/>
  <c r="E1118" i="212"/>
  <c r="D1118" i="212"/>
  <c r="C1118" i="212"/>
  <c r="BE1117" i="212"/>
  <c r="BC1117" i="212"/>
  <c r="I1117" i="212"/>
  <c r="H1117" i="212"/>
  <c r="E1117" i="212"/>
  <c r="D1117" i="212"/>
  <c r="C1117" i="212"/>
  <c r="BE1116" i="212"/>
  <c r="BC1116" i="212"/>
  <c r="I1116" i="212"/>
  <c r="H1116" i="212"/>
  <c r="E1116" i="212"/>
  <c r="D1116" i="212"/>
  <c r="C1116" i="212"/>
  <c r="BE1115" i="212"/>
  <c r="BC1115" i="212"/>
  <c r="I1115" i="212"/>
  <c r="H1115" i="212"/>
  <c r="E1115" i="212"/>
  <c r="D1115" i="212"/>
  <c r="C1115" i="212"/>
  <c r="BE1114" i="212"/>
  <c r="BC1114" i="212"/>
  <c r="I1114" i="212"/>
  <c r="H1114" i="212"/>
  <c r="E1114" i="212"/>
  <c r="D1114" i="212"/>
  <c r="C1114" i="212"/>
  <c r="BE1113" i="212"/>
  <c r="BC1113" i="212"/>
  <c r="I1113" i="212"/>
  <c r="H1113" i="212"/>
  <c r="E1113" i="212"/>
  <c r="D1113" i="212"/>
  <c r="C1113" i="212"/>
  <c r="BE1112" i="212"/>
  <c r="BC1112" i="212"/>
  <c r="I1112" i="212"/>
  <c r="H1112" i="212"/>
  <c r="E1112" i="212"/>
  <c r="D1112" i="212"/>
  <c r="C1112" i="212"/>
  <c r="BE1111" i="212"/>
  <c r="BC1111" i="212"/>
  <c r="I1111" i="212"/>
  <c r="H1111" i="212"/>
  <c r="E1111" i="212"/>
  <c r="D1111" i="212"/>
  <c r="C1111" i="212"/>
  <c r="BE1110" i="212"/>
  <c r="BC1110" i="212"/>
  <c r="I1110" i="212"/>
  <c r="H1110" i="212"/>
  <c r="E1110" i="212"/>
  <c r="D1110" i="212"/>
  <c r="C1110" i="212"/>
  <c r="BE1109" i="212"/>
  <c r="BC1109" i="212"/>
  <c r="I1109" i="212"/>
  <c r="H1109" i="212"/>
  <c r="E1109" i="212"/>
  <c r="D1109" i="212"/>
  <c r="C1109" i="212"/>
  <c r="BE1108" i="212"/>
  <c r="BC1108" i="212"/>
  <c r="I1108" i="212"/>
  <c r="H1108" i="212"/>
  <c r="E1108" i="212"/>
  <c r="D1108" i="212"/>
  <c r="C1108" i="212"/>
  <c r="BE1107" i="212"/>
  <c r="BC1107" i="212"/>
  <c r="I1107" i="212"/>
  <c r="H1107" i="212"/>
  <c r="E1107" i="212"/>
  <c r="D1107" i="212"/>
  <c r="C1107" i="212"/>
  <c r="BE1106" i="212"/>
  <c r="BC1106" i="212"/>
  <c r="I1106" i="212"/>
  <c r="H1106" i="212"/>
  <c r="E1106" i="212"/>
  <c r="D1106" i="212"/>
  <c r="C1106" i="212"/>
  <c r="BE1105" i="212"/>
  <c r="BC1105" i="212"/>
  <c r="I1105" i="212"/>
  <c r="H1105" i="212"/>
  <c r="E1105" i="212"/>
  <c r="D1105" i="212"/>
  <c r="C1105" i="212"/>
  <c r="BE1104" i="212"/>
  <c r="BC1104" i="212"/>
  <c r="I1104" i="212"/>
  <c r="H1104" i="212"/>
  <c r="E1104" i="212"/>
  <c r="D1104" i="212"/>
  <c r="C1104" i="212"/>
  <c r="BE1103" i="212"/>
  <c r="BC1103" i="212"/>
  <c r="I1103" i="212"/>
  <c r="H1103" i="212"/>
  <c r="E1103" i="212"/>
  <c r="D1103" i="212"/>
  <c r="C1103" i="212"/>
  <c r="BE1102" i="212"/>
  <c r="BC1102" i="212"/>
  <c r="I1102" i="212"/>
  <c r="H1102" i="212"/>
  <c r="E1102" i="212"/>
  <c r="D1102" i="212"/>
  <c r="C1102" i="212"/>
  <c r="BE1101" i="212"/>
  <c r="BC1101" i="212"/>
  <c r="I1101" i="212"/>
  <c r="H1101" i="212"/>
  <c r="E1101" i="212"/>
  <c r="D1101" i="212"/>
  <c r="C1101" i="212"/>
  <c r="BE1100" i="212"/>
  <c r="BC1100" i="212"/>
  <c r="I1100" i="212"/>
  <c r="H1100" i="212"/>
  <c r="E1100" i="212"/>
  <c r="D1100" i="212"/>
  <c r="C1100" i="212"/>
  <c r="BE1099" i="212"/>
  <c r="BC1099" i="212"/>
  <c r="I1099" i="212"/>
  <c r="H1099" i="212"/>
  <c r="E1099" i="212"/>
  <c r="D1099" i="212"/>
  <c r="C1099" i="212"/>
  <c r="BE1098" i="212"/>
  <c r="BC1098" i="212"/>
  <c r="I1098" i="212"/>
  <c r="H1098" i="212"/>
  <c r="E1098" i="212"/>
  <c r="D1098" i="212"/>
  <c r="C1098" i="212"/>
  <c r="BE1097" i="212"/>
  <c r="BC1097" i="212"/>
  <c r="I1097" i="212"/>
  <c r="H1097" i="212"/>
  <c r="E1097" i="212"/>
  <c r="D1097" i="212"/>
  <c r="C1097" i="212"/>
  <c r="BE1096" i="212"/>
  <c r="BC1096" i="212"/>
  <c r="I1096" i="212"/>
  <c r="H1096" i="212"/>
  <c r="E1096" i="212"/>
  <c r="D1096" i="212"/>
  <c r="C1096" i="212"/>
  <c r="BE1095" i="212"/>
  <c r="BC1095" i="212"/>
  <c r="I1095" i="212"/>
  <c r="H1095" i="212"/>
  <c r="E1095" i="212"/>
  <c r="D1095" i="212"/>
  <c r="C1095" i="212"/>
  <c r="BE1094" i="212"/>
  <c r="BC1094" i="212"/>
  <c r="I1094" i="212"/>
  <c r="H1094" i="212"/>
  <c r="E1094" i="212"/>
  <c r="D1094" i="212"/>
  <c r="C1094" i="212"/>
  <c r="BE1093" i="212"/>
  <c r="BC1093" i="212"/>
  <c r="I1093" i="212"/>
  <c r="H1093" i="212"/>
  <c r="E1093" i="212"/>
  <c r="D1093" i="212"/>
  <c r="C1093" i="212"/>
  <c r="BE1092" i="212"/>
  <c r="BC1092" i="212"/>
  <c r="I1092" i="212"/>
  <c r="H1092" i="212"/>
  <c r="E1092" i="212"/>
  <c r="D1092" i="212"/>
  <c r="C1092" i="212"/>
  <c r="BE1091" i="212"/>
  <c r="BC1091" i="212"/>
  <c r="I1091" i="212"/>
  <c r="H1091" i="212"/>
  <c r="E1091" i="212"/>
  <c r="D1091" i="212"/>
  <c r="C1091" i="212"/>
  <c r="BE1090" i="212"/>
  <c r="BC1090" i="212"/>
  <c r="I1090" i="212"/>
  <c r="H1090" i="212"/>
  <c r="E1090" i="212"/>
  <c r="D1090" i="212"/>
  <c r="C1090" i="212"/>
  <c r="BE1089" i="212"/>
  <c r="BC1089" i="212"/>
  <c r="I1089" i="212"/>
  <c r="H1089" i="212"/>
  <c r="E1089" i="212"/>
  <c r="D1089" i="212"/>
  <c r="C1089" i="212"/>
  <c r="BE1088" i="212"/>
  <c r="BC1088" i="212"/>
  <c r="I1088" i="212"/>
  <c r="H1088" i="212"/>
  <c r="E1088" i="212"/>
  <c r="D1088" i="212"/>
  <c r="C1088" i="212"/>
  <c r="BE1087" i="212"/>
  <c r="BC1087" i="212"/>
  <c r="I1087" i="212"/>
  <c r="H1087" i="212"/>
  <c r="E1087" i="212"/>
  <c r="D1087" i="212"/>
  <c r="C1087" i="212"/>
  <c r="BE1086" i="212"/>
  <c r="BC1086" i="212"/>
  <c r="I1086" i="212"/>
  <c r="H1086" i="212"/>
  <c r="E1086" i="212"/>
  <c r="D1086" i="212"/>
  <c r="C1086" i="212"/>
  <c r="BE1085" i="212"/>
  <c r="BC1085" i="212"/>
  <c r="I1085" i="212"/>
  <c r="H1085" i="212"/>
  <c r="E1085" i="212"/>
  <c r="D1085" i="212"/>
  <c r="C1085" i="212"/>
  <c r="BE1084" i="212"/>
  <c r="BC1084" i="212"/>
  <c r="I1084" i="212"/>
  <c r="H1084" i="212"/>
  <c r="E1084" i="212"/>
  <c r="D1084" i="212"/>
  <c r="C1084" i="212"/>
  <c r="BE1083" i="212"/>
  <c r="BC1083" i="212"/>
  <c r="I1083" i="212"/>
  <c r="H1083" i="212"/>
  <c r="E1083" i="212"/>
  <c r="D1083" i="212"/>
  <c r="C1083" i="212"/>
  <c r="BE1082" i="212"/>
  <c r="BC1082" i="212"/>
  <c r="I1082" i="212"/>
  <c r="H1082" i="212"/>
  <c r="E1082" i="212"/>
  <c r="D1082" i="212"/>
  <c r="C1082" i="212"/>
  <c r="BE1081" i="212"/>
  <c r="BC1081" i="212"/>
  <c r="I1081" i="212"/>
  <c r="H1081" i="212"/>
  <c r="E1081" i="212"/>
  <c r="D1081" i="212"/>
  <c r="C1081" i="212"/>
  <c r="BE1080" i="212"/>
  <c r="BC1080" i="212"/>
  <c r="I1080" i="212"/>
  <c r="H1080" i="212"/>
  <c r="E1080" i="212"/>
  <c r="D1080" i="212"/>
  <c r="C1080" i="212"/>
  <c r="BE1079" i="212"/>
  <c r="BC1079" i="212"/>
  <c r="I1079" i="212"/>
  <c r="H1079" i="212"/>
  <c r="E1079" i="212"/>
  <c r="D1079" i="212"/>
  <c r="C1079" i="212"/>
  <c r="BE1078" i="212"/>
  <c r="BC1078" i="212"/>
  <c r="I1078" i="212"/>
  <c r="H1078" i="212"/>
  <c r="E1078" i="212"/>
  <c r="D1078" i="212"/>
  <c r="C1078" i="212"/>
  <c r="BE1077" i="212"/>
  <c r="BC1077" i="212"/>
  <c r="I1077" i="212"/>
  <c r="H1077" i="212"/>
  <c r="E1077" i="212"/>
  <c r="D1077" i="212"/>
  <c r="C1077" i="212"/>
  <c r="BE1076" i="212"/>
  <c r="BC1076" i="212"/>
  <c r="I1076" i="212"/>
  <c r="H1076" i="212"/>
  <c r="E1076" i="212"/>
  <c r="D1076" i="212"/>
  <c r="C1076" i="212"/>
  <c r="BE1075" i="212"/>
  <c r="BC1075" i="212"/>
  <c r="I1075" i="212"/>
  <c r="H1075" i="212"/>
  <c r="E1075" i="212"/>
  <c r="D1075" i="212"/>
  <c r="C1075" i="212"/>
  <c r="BE1074" i="212"/>
  <c r="BC1074" i="212"/>
  <c r="I1074" i="212"/>
  <c r="H1074" i="212"/>
  <c r="E1074" i="212"/>
  <c r="D1074" i="212"/>
  <c r="C1074" i="212"/>
  <c r="BE1073" i="212"/>
  <c r="BC1073" i="212"/>
  <c r="I1073" i="212"/>
  <c r="H1073" i="212"/>
  <c r="E1073" i="212"/>
  <c r="D1073" i="212"/>
  <c r="C1073" i="212"/>
  <c r="BE1072" i="212"/>
  <c r="BC1072" i="212"/>
  <c r="I1072" i="212"/>
  <c r="H1072" i="212"/>
  <c r="E1072" i="212"/>
  <c r="D1072" i="212"/>
  <c r="C1072" i="212"/>
  <c r="BE1071" i="212"/>
  <c r="BC1071" i="212"/>
  <c r="I1071" i="212"/>
  <c r="H1071" i="212"/>
  <c r="E1071" i="212"/>
  <c r="D1071" i="212"/>
  <c r="C1071" i="212"/>
  <c r="BE1070" i="212"/>
  <c r="BC1070" i="212"/>
  <c r="I1070" i="212"/>
  <c r="H1070" i="212"/>
  <c r="E1070" i="212"/>
  <c r="D1070" i="212"/>
  <c r="C1070" i="212"/>
  <c r="BE1069" i="212"/>
  <c r="BC1069" i="212"/>
  <c r="I1069" i="212"/>
  <c r="H1069" i="212"/>
  <c r="E1069" i="212"/>
  <c r="D1069" i="212"/>
  <c r="C1069" i="212"/>
  <c r="BE1068" i="212"/>
  <c r="BC1068" i="212"/>
  <c r="I1068" i="212"/>
  <c r="H1068" i="212"/>
  <c r="E1068" i="212"/>
  <c r="D1068" i="212"/>
  <c r="C1068" i="212"/>
  <c r="BE1067" i="212"/>
  <c r="BC1067" i="212"/>
  <c r="I1067" i="212"/>
  <c r="H1067" i="212"/>
  <c r="E1067" i="212"/>
  <c r="D1067" i="212"/>
  <c r="C1067" i="212"/>
  <c r="BE1066" i="212"/>
  <c r="BC1066" i="212"/>
  <c r="I1066" i="212"/>
  <c r="H1066" i="212"/>
  <c r="E1066" i="212"/>
  <c r="D1066" i="212"/>
  <c r="C1066" i="212"/>
  <c r="BE1065" i="212"/>
  <c r="BC1065" i="212"/>
  <c r="I1065" i="212"/>
  <c r="H1065" i="212"/>
  <c r="E1065" i="212"/>
  <c r="D1065" i="212"/>
  <c r="C1065" i="212"/>
  <c r="BE1064" i="212"/>
  <c r="BC1064" i="212"/>
  <c r="I1064" i="212"/>
  <c r="H1064" i="212"/>
  <c r="E1064" i="212"/>
  <c r="D1064" i="212"/>
  <c r="C1064" i="212"/>
  <c r="BE1063" i="212"/>
  <c r="BC1063" i="212"/>
  <c r="I1063" i="212"/>
  <c r="H1063" i="212"/>
  <c r="E1063" i="212"/>
  <c r="D1063" i="212"/>
  <c r="C1063" i="212"/>
  <c r="BE1062" i="212"/>
  <c r="BC1062" i="212"/>
  <c r="I1062" i="212"/>
  <c r="H1062" i="212"/>
  <c r="E1062" i="212"/>
  <c r="D1062" i="212"/>
  <c r="C1062" i="212"/>
  <c r="BE1061" i="212"/>
  <c r="BC1061" i="212"/>
  <c r="I1061" i="212"/>
  <c r="H1061" i="212"/>
  <c r="E1061" i="212"/>
  <c r="D1061" i="212"/>
  <c r="C1061" i="212"/>
  <c r="BE1060" i="212"/>
  <c r="BC1060" i="212"/>
  <c r="I1060" i="212"/>
  <c r="H1060" i="212"/>
  <c r="E1060" i="212"/>
  <c r="D1060" i="212"/>
  <c r="C1060" i="212"/>
  <c r="BE1059" i="212"/>
  <c r="BC1059" i="212"/>
  <c r="I1059" i="212"/>
  <c r="H1059" i="212"/>
  <c r="E1059" i="212"/>
  <c r="D1059" i="212"/>
  <c r="C1059" i="212"/>
  <c r="BE1058" i="212"/>
  <c r="BC1058" i="212"/>
  <c r="I1058" i="212"/>
  <c r="H1058" i="212"/>
  <c r="E1058" i="212"/>
  <c r="D1058" i="212"/>
  <c r="C1058" i="212"/>
  <c r="BE1057" i="212"/>
  <c r="BC1057" i="212"/>
  <c r="I1057" i="212"/>
  <c r="H1057" i="212"/>
  <c r="E1057" i="212"/>
  <c r="D1057" i="212"/>
  <c r="C1057" i="212"/>
  <c r="BE1056" i="212"/>
  <c r="BC1056" i="212"/>
  <c r="I1056" i="212"/>
  <c r="H1056" i="212"/>
  <c r="E1056" i="212"/>
  <c r="D1056" i="212"/>
  <c r="C1056" i="212"/>
  <c r="BE1055" i="212"/>
  <c r="BC1055" i="212"/>
  <c r="I1055" i="212"/>
  <c r="H1055" i="212"/>
  <c r="E1055" i="212"/>
  <c r="D1055" i="212"/>
  <c r="C1055" i="212"/>
  <c r="BE1054" i="212"/>
  <c r="BC1054" i="212"/>
  <c r="I1054" i="212"/>
  <c r="H1054" i="212"/>
  <c r="E1054" i="212"/>
  <c r="D1054" i="212"/>
  <c r="C1054" i="212"/>
  <c r="BE1053" i="212"/>
  <c r="BC1053" i="212"/>
  <c r="I1053" i="212"/>
  <c r="H1053" i="212"/>
  <c r="E1053" i="212"/>
  <c r="D1053" i="212"/>
  <c r="C1053" i="212"/>
  <c r="BE1052" i="212"/>
  <c r="BC1052" i="212"/>
  <c r="I1052" i="212"/>
  <c r="H1052" i="212"/>
  <c r="E1052" i="212"/>
  <c r="D1052" i="212"/>
  <c r="C1052" i="212"/>
  <c r="BE1051" i="212"/>
  <c r="BC1051" i="212"/>
  <c r="I1051" i="212"/>
  <c r="H1051" i="212"/>
  <c r="E1051" i="212"/>
  <c r="D1051" i="212"/>
  <c r="C1051" i="212"/>
  <c r="BE1050" i="212"/>
  <c r="BC1050" i="212"/>
  <c r="I1050" i="212"/>
  <c r="H1050" i="212"/>
  <c r="E1050" i="212"/>
  <c r="D1050" i="212"/>
  <c r="C1050" i="212"/>
  <c r="BE1049" i="212"/>
  <c r="BC1049" i="212"/>
  <c r="I1049" i="212"/>
  <c r="H1049" i="212"/>
  <c r="E1049" i="212"/>
  <c r="D1049" i="212"/>
  <c r="C1049" i="212"/>
  <c r="BE1048" i="212"/>
  <c r="BC1048" i="212"/>
  <c r="I1048" i="212"/>
  <c r="H1048" i="212"/>
  <c r="E1048" i="212"/>
  <c r="D1048" i="212"/>
  <c r="C1048" i="212"/>
  <c r="BE1047" i="212"/>
  <c r="BC1047" i="212"/>
  <c r="I1047" i="212"/>
  <c r="H1047" i="212"/>
  <c r="E1047" i="212"/>
  <c r="D1047" i="212"/>
  <c r="C1047" i="212"/>
  <c r="BE1046" i="212"/>
  <c r="BC1046" i="212"/>
  <c r="I1046" i="212"/>
  <c r="H1046" i="212"/>
  <c r="E1046" i="212"/>
  <c r="D1046" i="212"/>
  <c r="C1046" i="212"/>
  <c r="BE1045" i="212"/>
  <c r="BC1045" i="212"/>
  <c r="I1045" i="212"/>
  <c r="H1045" i="212"/>
  <c r="E1045" i="212"/>
  <c r="D1045" i="212"/>
  <c r="C1045" i="212"/>
  <c r="BE1044" i="212"/>
  <c r="BC1044" i="212"/>
  <c r="I1044" i="212"/>
  <c r="H1044" i="212"/>
  <c r="E1044" i="212"/>
  <c r="D1044" i="212"/>
  <c r="C1044" i="212"/>
  <c r="BE1043" i="212"/>
  <c r="BC1043" i="212"/>
  <c r="I1043" i="212"/>
  <c r="H1043" i="212"/>
  <c r="E1043" i="212"/>
  <c r="D1043" i="212"/>
  <c r="C1043" i="212"/>
  <c r="BE1042" i="212"/>
  <c r="BC1042" i="212"/>
  <c r="I1042" i="212"/>
  <c r="H1042" i="212"/>
  <c r="E1042" i="212"/>
  <c r="D1042" i="212"/>
  <c r="C1042" i="212"/>
  <c r="BE1041" i="212"/>
  <c r="BC1041" i="212"/>
  <c r="I1041" i="212"/>
  <c r="H1041" i="212"/>
  <c r="E1041" i="212"/>
  <c r="D1041" i="212"/>
  <c r="C1041" i="212"/>
  <c r="BE1040" i="212"/>
  <c r="BC1040" i="212"/>
  <c r="I1040" i="212"/>
  <c r="H1040" i="212"/>
  <c r="E1040" i="212"/>
  <c r="D1040" i="212"/>
  <c r="C1040" i="212"/>
  <c r="BE1039" i="212"/>
  <c r="BC1039" i="212"/>
  <c r="I1039" i="212"/>
  <c r="H1039" i="212"/>
  <c r="E1039" i="212"/>
  <c r="D1039" i="212"/>
  <c r="C1039" i="212"/>
  <c r="BE1038" i="212"/>
  <c r="BC1038" i="212"/>
  <c r="I1038" i="212"/>
  <c r="H1038" i="212"/>
  <c r="E1038" i="212"/>
  <c r="D1038" i="212"/>
  <c r="C1038" i="212"/>
  <c r="BE1037" i="212"/>
  <c r="BC1037" i="212"/>
  <c r="I1037" i="212"/>
  <c r="H1037" i="212"/>
  <c r="E1037" i="212"/>
  <c r="D1037" i="212"/>
  <c r="C1037" i="212"/>
  <c r="BE1036" i="212"/>
  <c r="BC1036" i="212"/>
  <c r="I1036" i="212"/>
  <c r="H1036" i="212"/>
  <c r="E1036" i="212"/>
  <c r="D1036" i="212"/>
  <c r="C1036" i="212"/>
  <c r="BE1035" i="212"/>
  <c r="BC1035" i="212"/>
  <c r="I1035" i="212"/>
  <c r="H1035" i="212"/>
  <c r="E1035" i="212"/>
  <c r="D1035" i="212"/>
  <c r="C1035" i="212"/>
  <c r="BE1034" i="212"/>
  <c r="BC1034" i="212"/>
  <c r="I1034" i="212"/>
  <c r="H1034" i="212"/>
  <c r="E1034" i="212"/>
  <c r="D1034" i="212"/>
  <c r="C1034" i="212"/>
  <c r="BE1033" i="212"/>
  <c r="BC1033" i="212"/>
  <c r="I1033" i="212"/>
  <c r="H1033" i="212"/>
  <c r="E1033" i="212"/>
  <c r="D1033" i="212"/>
  <c r="C1033" i="212"/>
  <c r="BE1032" i="212"/>
  <c r="BC1032" i="212"/>
  <c r="I1032" i="212"/>
  <c r="H1032" i="212"/>
  <c r="E1032" i="212"/>
  <c r="D1032" i="212"/>
  <c r="C1032" i="212"/>
  <c r="BE1031" i="212"/>
  <c r="BC1031" i="212"/>
  <c r="I1031" i="212"/>
  <c r="H1031" i="212"/>
  <c r="E1031" i="212"/>
  <c r="D1031" i="212"/>
  <c r="C1031" i="212"/>
  <c r="BE1030" i="212"/>
  <c r="BC1030" i="212"/>
  <c r="I1030" i="212"/>
  <c r="H1030" i="212"/>
  <c r="E1030" i="212"/>
  <c r="D1030" i="212"/>
  <c r="C1030" i="212"/>
  <c r="BE1029" i="212"/>
  <c r="BC1029" i="212"/>
  <c r="I1029" i="212"/>
  <c r="H1029" i="212"/>
  <c r="E1029" i="212"/>
  <c r="D1029" i="212"/>
  <c r="C1029" i="212"/>
  <c r="BE1028" i="212"/>
  <c r="BC1028" i="212"/>
  <c r="I1028" i="212"/>
  <c r="H1028" i="212"/>
  <c r="E1028" i="212"/>
  <c r="D1028" i="212"/>
  <c r="C1028" i="212"/>
  <c r="BE1027" i="212"/>
  <c r="BC1027" i="212"/>
  <c r="I1027" i="212"/>
  <c r="H1027" i="212"/>
  <c r="E1027" i="212"/>
  <c r="D1027" i="212"/>
  <c r="C1027" i="212"/>
  <c r="BE1026" i="212"/>
  <c r="BC1026" i="212"/>
  <c r="I1026" i="212"/>
  <c r="H1026" i="212"/>
  <c r="E1026" i="212"/>
  <c r="D1026" i="212"/>
  <c r="C1026" i="212"/>
  <c r="BE1025" i="212"/>
  <c r="BC1025" i="212"/>
  <c r="I1025" i="212"/>
  <c r="H1025" i="212"/>
  <c r="E1025" i="212"/>
  <c r="D1025" i="212"/>
  <c r="C1025" i="212"/>
  <c r="BE1024" i="212"/>
  <c r="BC1024" i="212"/>
  <c r="I1024" i="212"/>
  <c r="H1024" i="212"/>
  <c r="E1024" i="212"/>
  <c r="D1024" i="212"/>
  <c r="C1024" i="212"/>
  <c r="BE1023" i="212"/>
  <c r="BC1023" i="212"/>
  <c r="I1023" i="212"/>
  <c r="H1023" i="212"/>
  <c r="E1023" i="212"/>
  <c r="D1023" i="212"/>
  <c r="C1023" i="212"/>
  <c r="BE1022" i="212"/>
  <c r="BC1022" i="212"/>
  <c r="I1022" i="212"/>
  <c r="H1022" i="212"/>
  <c r="E1022" i="212"/>
  <c r="D1022" i="212"/>
  <c r="C1022" i="212"/>
  <c r="BE1021" i="212"/>
  <c r="BC1021" i="212"/>
  <c r="I1021" i="212"/>
  <c r="H1021" i="212"/>
  <c r="E1021" i="212"/>
  <c r="D1021" i="212"/>
  <c r="C1021" i="212"/>
  <c r="BE1020" i="212"/>
  <c r="BC1020" i="212"/>
  <c r="I1020" i="212"/>
  <c r="H1020" i="212"/>
  <c r="E1020" i="212"/>
  <c r="D1020" i="212"/>
  <c r="C1020" i="212"/>
  <c r="BE1019" i="212"/>
  <c r="BC1019" i="212"/>
  <c r="I1019" i="212"/>
  <c r="H1019" i="212"/>
  <c r="E1019" i="212"/>
  <c r="D1019" i="212"/>
  <c r="C1019" i="212"/>
  <c r="BE1018" i="212"/>
  <c r="BC1018" i="212"/>
  <c r="I1018" i="212"/>
  <c r="H1018" i="212"/>
  <c r="E1018" i="212"/>
  <c r="D1018" i="212"/>
  <c r="C1018" i="212"/>
  <c r="BE1017" i="212"/>
  <c r="BC1017" i="212"/>
  <c r="I1017" i="212"/>
  <c r="H1017" i="212"/>
  <c r="E1017" i="212"/>
  <c r="D1017" i="212"/>
  <c r="C1017" i="212"/>
  <c r="BE1016" i="212"/>
  <c r="BC1016" i="212"/>
  <c r="I1016" i="212"/>
  <c r="H1016" i="212"/>
  <c r="E1016" i="212"/>
  <c r="D1016" i="212"/>
  <c r="C1016" i="212"/>
  <c r="BE1015" i="212"/>
  <c r="BC1015" i="212"/>
  <c r="I1015" i="212"/>
  <c r="H1015" i="212"/>
  <c r="E1015" i="212"/>
  <c r="D1015" i="212"/>
  <c r="C1015" i="212"/>
  <c r="BE1014" i="212"/>
  <c r="BC1014" i="212"/>
  <c r="I1014" i="212"/>
  <c r="H1014" i="212"/>
  <c r="E1014" i="212"/>
  <c r="D1014" i="212"/>
  <c r="C1014" i="212"/>
  <c r="BE1013" i="212"/>
  <c r="BC1013" i="212"/>
  <c r="I1013" i="212"/>
  <c r="H1013" i="212"/>
  <c r="E1013" i="212"/>
  <c r="D1013" i="212"/>
  <c r="C1013" i="212"/>
  <c r="BE1012" i="212"/>
  <c r="BC1012" i="212"/>
  <c r="I1012" i="212"/>
  <c r="H1012" i="212"/>
  <c r="E1012" i="212"/>
  <c r="D1012" i="212"/>
  <c r="C1012" i="212"/>
  <c r="BE1011" i="212"/>
  <c r="BC1011" i="212"/>
  <c r="I1011" i="212"/>
  <c r="H1011" i="212"/>
  <c r="E1011" i="212"/>
  <c r="D1011" i="212"/>
  <c r="C1011" i="212"/>
  <c r="BE1010" i="212"/>
  <c r="BC1010" i="212"/>
  <c r="I1010" i="212"/>
  <c r="H1010" i="212"/>
  <c r="E1010" i="212"/>
  <c r="D1010" i="212"/>
  <c r="C1010" i="212"/>
  <c r="BE1009" i="212"/>
  <c r="BC1009" i="212"/>
  <c r="I1009" i="212"/>
  <c r="H1009" i="212"/>
  <c r="E1009" i="212"/>
  <c r="D1009" i="212"/>
  <c r="C1009" i="212"/>
  <c r="BE1008" i="212"/>
  <c r="BC1008" i="212"/>
  <c r="I1008" i="212"/>
  <c r="H1008" i="212"/>
  <c r="E1008" i="212"/>
  <c r="D1008" i="212"/>
  <c r="C1008" i="212"/>
  <c r="BE1007" i="212"/>
  <c r="BC1007" i="212"/>
  <c r="I1007" i="212"/>
  <c r="H1007" i="212"/>
  <c r="E1007" i="212"/>
  <c r="D1007" i="212"/>
  <c r="C1007" i="212"/>
  <c r="BE1006" i="212"/>
  <c r="BC1006" i="212"/>
  <c r="I1006" i="212"/>
  <c r="H1006" i="212"/>
  <c r="E1006" i="212"/>
  <c r="D1006" i="212"/>
  <c r="C1006" i="212"/>
  <c r="BE1005" i="212"/>
  <c r="BC1005" i="212"/>
  <c r="I1005" i="212"/>
  <c r="H1005" i="212"/>
  <c r="E1005" i="212"/>
  <c r="D1005" i="212"/>
  <c r="C1005" i="212"/>
  <c r="BE1004" i="212"/>
  <c r="BC1004" i="212"/>
  <c r="I1004" i="212"/>
  <c r="H1004" i="212"/>
  <c r="E1004" i="212"/>
  <c r="D1004" i="212"/>
  <c r="C1004" i="212"/>
  <c r="BE1003" i="212"/>
  <c r="BC1003" i="212"/>
  <c r="I1003" i="212"/>
  <c r="H1003" i="212"/>
  <c r="E1003" i="212"/>
  <c r="D1003" i="212"/>
  <c r="C1003" i="212"/>
  <c r="BE1002" i="212"/>
  <c r="BC1002" i="212"/>
  <c r="I1002" i="212"/>
  <c r="H1002" i="212"/>
  <c r="E1002" i="212"/>
  <c r="D1002" i="212"/>
  <c r="C1002" i="212"/>
  <c r="BE1001" i="212"/>
  <c r="BC1001" i="212"/>
  <c r="I1001" i="212"/>
  <c r="H1001" i="212"/>
  <c r="E1001" i="212"/>
  <c r="D1001" i="212"/>
  <c r="C1001" i="212"/>
  <c r="BE1000" i="212"/>
  <c r="BC1000" i="212"/>
  <c r="I1000" i="212"/>
  <c r="H1000" i="212"/>
  <c r="E1000" i="212"/>
  <c r="D1000" i="212"/>
  <c r="C1000" i="212"/>
  <c r="BE999" i="212"/>
  <c r="BC999" i="212"/>
  <c r="I999" i="212"/>
  <c r="H999" i="212"/>
  <c r="E999" i="212"/>
  <c r="D999" i="212"/>
  <c r="C999" i="212"/>
  <c r="BE998" i="212"/>
  <c r="BC998" i="212"/>
  <c r="I998" i="212"/>
  <c r="H998" i="212"/>
  <c r="E998" i="212"/>
  <c r="D998" i="212"/>
  <c r="C998" i="212"/>
  <c r="BE997" i="212"/>
  <c r="BC997" i="212"/>
  <c r="I997" i="212"/>
  <c r="H997" i="212"/>
  <c r="E997" i="212"/>
  <c r="D997" i="212"/>
  <c r="C997" i="212"/>
  <c r="BE996" i="212"/>
  <c r="BC996" i="212"/>
  <c r="I996" i="212"/>
  <c r="H996" i="212"/>
  <c r="E996" i="212"/>
  <c r="D996" i="212"/>
  <c r="C996" i="212"/>
  <c r="BE995" i="212"/>
  <c r="BC995" i="212"/>
  <c r="I995" i="212"/>
  <c r="H995" i="212"/>
  <c r="E995" i="212"/>
  <c r="D995" i="212"/>
  <c r="C995" i="212"/>
  <c r="BE994" i="212"/>
  <c r="BC994" i="212"/>
  <c r="I994" i="212"/>
  <c r="H994" i="212"/>
  <c r="E994" i="212"/>
  <c r="D994" i="212"/>
  <c r="C994" i="212"/>
  <c r="BE993" i="212"/>
  <c r="BC993" i="212"/>
  <c r="I993" i="212"/>
  <c r="H993" i="212"/>
  <c r="E993" i="212"/>
  <c r="D993" i="212"/>
  <c r="C993" i="212"/>
  <c r="BE992" i="212"/>
  <c r="BC992" i="212"/>
  <c r="I992" i="212"/>
  <c r="H992" i="212"/>
  <c r="E992" i="212"/>
  <c r="D992" i="212"/>
  <c r="C992" i="212"/>
  <c r="BE991" i="212"/>
  <c r="BC991" i="212"/>
  <c r="I991" i="212"/>
  <c r="H991" i="212"/>
  <c r="E991" i="212"/>
  <c r="D991" i="212"/>
  <c r="C991" i="212"/>
  <c r="BE990" i="212"/>
  <c r="BC990" i="212"/>
  <c r="I990" i="212"/>
  <c r="H990" i="212"/>
  <c r="E990" i="212"/>
  <c r="D990" i="212"/>
  <c r="C990" i="212"/>
  <c r="BE989" i="212"/>
  <c r="BC989" i="212"/>
  <c r="I989" i="212"/>
  <c r="H989" i="212"/>
  <c r="E989" i="212"/>
  <c r="D989" i="212"/>
  <c r="C989" i="212"/>
  <c r="BE988" i="212"/>
  <c r="BC988" i="212"/>
  <c r="I988" i="212"/>
  <c r="H988" i="212"/>
  <c r="E988" i="212"/>
  <c r="D988" i="212"/>
  <c r="C988" i="212"/>
  <c r="BE987" i="212"/>
  <c r="BC987" i="212"/>
  <c r="I987" i="212"/>
  <c r="H987" i="212"/>
  <c r="E987" i="212"/>
  <c r="D987" i="212"/>
  <c r="C987" i="212"/>
  <c r="BE986" i="212"/>
  <c r="BC986" i="212"/>
  <c r="I986" i="212"/>
  <c r="H986" i="212"/>
  <c r="E986" i="212"/>
  <c r="D986" i="212"/>
  <c r="C986" i="212"/>
  <c r="BE985" i="212"/>
  <c r="BC985" i="212"/>
  <c r="I985" i="212"/>
  <c r="H985" i="212"/>
  <c r="E985" i="212"/>
  <c r="D985" i="212"/>
  <c r="C985" i="212"/>
  <c r="BE984" i="212"/>
  <c r="BC984" i="212"/>
  <c r="I984" i="212"/>
  <c r="H984" i="212"/>
  <c r="E984" i="212"/>
  <c r="D984" i="212"/>
  <c r="C984" i="212"/>
  <c r="BE983" i="212"/>
  <c r="BC983" i="212"/>
  <c r="I983" i="212"/>
  <c r="H983" i="212"/>
  <c r="E983" i="212"/>
  <c r="D983" i="212"/>
  <c r="C983" i="212"/>
  <c r="BE982" i="212"/>
  <c r="BC982" i="212"/>
  <c r="I982" i="212"/>
  <c r="H982" i="212"/>
  <c r="E982" i="212"/>
  <c r="D982" i="212"/>
  <c r="C982" i="212"/>
  <c r="BE981" i="212"/>
  <c r="BC981" i="212"/>
  <c r="I981" i="212"/>
  <c r="H981" i="212"/>
  <c r="E981" i="212"/>
  <c r="D981" i="212"/>
  <c r="C981" i="212"/>
  <c r="BE980" i="212"/>
  <c r="BC980" i="212"/>
  <c r="I980" i="212"/>
  <c r="H980" i="212"/>
  <c r="E980" i="212"/>
  <c r="D980" i="212"/>
  <c r="C980" i="212"/>
  <c r="BE979" i="212"/>
  <c r="BC979" i="212"/>
  <c r="I979" i="212"/>
  <c r="H979" i="212"/>
  <c r="E979" i="212"/>
  <c r="D979" i="212"/>
  <c r="C979" i="212"/>
  <c r="BE978" i="212"/>
  <c r="BC978" i="212"/>
  <c r="I978" i="212"/>
  <c r="H978" i="212"/>
  <c r="E978" i="212"/>
  <c r="D978" i="212"/>
  <c r="C978" i="212"/>
  <c r="BE977" i="212"/>
  <c r="BC977" i="212"/>
  <c r="I977" i="212"/>
  <c r="H977" i="212"/>
  <c r="E977" i="212"/>
  <c r="D977" i="212"/>
  <c r="C977" i="212"/>
  <c r="BE976" i="212"/>
  <c r="BC976" i="212"/>
  <c r="I976" i="212"/>
  <c r="H976" i="212"/>
  <c r="E976" i="212"/>
  <c r="D976" i="212"/>
  <c r="C976" i="212"/>
  <c r="BE975" i="212"/>
  <c r="BC975" i="212"/>
  <c r="I975" i="212"/>
  <c r="H975" i="212"/>
  <c r="E975" i="212"/>
  <c r="D975" i="212"/>
  <c r="C975" i="212"/>
  <c r="BE974" i="212"/>
  <c r="BC974" i="212"/>
  <c r="I974" i="212"/>
  <c r="H974" i="212"/>
  <c r="E974" i="212"/>
  <c r="D974" i="212"/>
  <c r="C974" i="212"/>
  <c r="BE973" i="212"/>
  <c r="BC973" i="212"/>
  <c r="I973" i="212"/>
  <c r="H973" i="212"/>
  <c r="E973" i="212"/>
  <c r="D973" i="212"/>
  <c r="C973" i="212"/>
  <c r="BE972" i="212"/>
  <c r="BC972" i="212"/>
  <c r="I972" i="212"/>
  <c r="H972" i="212"/>
  <c r="E972" i="212"/>
  <c r="D972" i="212"/>
  <c r="C972" i="212"/>
  <c r="BE971" i="212"/>
  <c r="BC971" i="212"/>
  <c r="I971" i="212"/>
  <c r="H971" i="212"/>
  <c r="E971" i="212"/>
  <c r="D971" i="212"/>
  <c r="C971" i="212"/>
  <c r="BE970" i="212"/>
  <c r="BC970" i="212"/>
  <c r="I970" i="212"/>
  <c r="H970" i="212"/>
  <c r="E970" i="212"/>
  <c r="D970" i="212"/>
  <c r="C970" i="212"/>
  <c r="BE969" i="212"/>
  <c r="BC969" i="212"/>
  <c r="I969" i="212"/>
  <c r="H969" i="212"/>
  <c r="E969" i="212"/>
  <c r="D969" i="212"/>
  <c r="C969" i="212"/>
  <c r="BE968" i="212"/>
  <c r="BC968" i="212"/>
  <c r="I968" i="212"/>
  <c r="H968" i="212"/>
  <c r="E968" i="212"/>
  <c r="D968" i="212"/>
  <c r="C968" i="212"/>
  <c r="BE967" i="212"/>
  <c r="BC967" i="212"/>
  <c r="I967" i="212"/>
  <c r="H967" i="212"/>
  <c r="E967" i="212"/>
  <c r="D967" i="212"/>
  <c r="C967" i="212"/>
  <c r="BE966" i="212"/>
  <c r="BC966" i="212"/>
  <c r="I966" i="212"/>
  <c r="H966" i="212"/>
  <c r="E966" i="212"/>
  <c r="D966" i="212"/>
  <c r="C966" i="212"/>
  <c r="BE965" i="212"/>
  <c r="BC965" i="212"/>
  <c r="I965" i="212"/>
  <c r="H965" i="212"/>
  <c r="E965" i="212"/>
  <c r="D965" i="212"/>
  <c r="C965" i="212"/>
  <c r="BE964" i="212"/>
  <c r="BC964" i="212"/>
  <c r="I964" i="212"/>
  <c r="H964" i="212"/>
  <c r="E964" i="212"/>
  <c r="D964" i="212"/>
  <c r="C964" i="212"/>
  <c r="BE963" i="212"/>
  <c r="BC963" i="212"/>
  <c r="I963" i="212"/>
  <c r="H963" i="212"/>
  <c r="E963" i="212"/>
  <c r="D963" i="212"/>
  <c r="C963" i="212"/>
  <c r="BE962" i="212"/>
  <c r="BC962" i="212"/>
  <c r="I962" i="212"/>
  <c r="H962" i="212"/>
  <c r="E962" i="212"/>
  <c r="D962" i="212"/>
  <c r="C962" i="212"/>
  <c r="BE961" i="212"/>
  <c r="BC961" i="212"/>
  <c r="I961" i="212"/>
  <c r="H961" i="212"/>
  <c r="E961" i="212"/>
  <c r="D961" i="212"/>
  <c r="C961" i="212"/>
  <c r="BE960" i="212"/>
  <c r="BC960" i="212"/>
  <c r="I960" i="212"/>
  <c r="H960" i="212"/>
  <c r="E960" i="212"/>
  <c r="D960" i="212"/>
  <c r="C960" i="212"/>
  <c r="BE959" i="212"/>
  <c r="BC959" i="212"/>
  <c r="I959" i="212"/>
  <c r="H959" i="212"/>
  <c r="E959" i="212"/>
  <c r="D959" i="212"/>
  <c r="C959" i="212"/>
  <c r="BE958" i="212"/>
  <c r="BC958" i="212"/>
  <c r="I958" i="212"/>
  <c r="H958" i="212"/>
  <c r="E958" i="212"/>
  <c r="D958" i="212"/>
  <c r="C958" i="212"/>
  <c r="BE957" i="212"/>
  <c r="BC957" i="212"/>
  <c r="I957" i="212"/>
  <c r="H957" i="212"/>
  <c r="E957" i="212"/>
  <c r="D957" i="212"/>
  <c r="C957" i="212"/>
  <c r="BE956" i="212"/>
  <c r="BC956" i="212"/>
  <c r="I956" i="212"/>
  <c r="H956" i="212"/>
  <c r="E956" i="212"/>
  <c r="D956" i="212"/>
  <c r="C956" i="212"/>
  <c r="BE955" i="212"/>
  <c r="BC955" i="212"/>
  <c r="I955" i="212"/>
  <c r="H955" i="212"/>
  <c r="E955" i="212"/>
  <c r="D955" i="212"/>
  <c r="C955" i="212"/>
  <c r="BE954" i="212"/>
  <c r="BC954" i="212"/>
  <c r="I954" i="212"/>
  <c r="H954" i="212"/>
  <c r="E954" i="212"/>
  <c r="D954" i="212"/>
  <c r="C954" i="212"/>
  <c r="BE953" i="212"/>
  <c r="BC953" i="212"/>
  <c r="I953" i="212"/>
  <c r="H953" i="212"/>
  <c r="E953" i="212"/>
  <c r="D953" i="212"/>
  <c r="C953" i="212"/>
  <c r="BE952" i="212"/>
  <c r="BC952" i="212"/>
  <c r="I952" i="212"/>
  <c r="H952" i="212"/>
  <c r="E952" i="212"/>
  <c r="D952" i="212"/>
  <c r="C952" i="212"/>
  <c r="BE951" i="212"/>
  <c r="BC951" i="212"/>
  <c r="I951" i="212"/>
  <c r="H951" i="212"/>
  <c r="E951" i="212"/>
  <c r="D951" i="212"/>
  <c r="C951" i="212"/>
  <c r="BE950" i="212"/>
  <c r="BC950" i="212"/>
  <c r="I950" i="212"/>
  <c r="H950" i="212"/>
  <c r="E950" i="212"/>
  <c r="D950" i="212"/>
  <c r="C950" i="212"/>
  <c r="BE949" i="212"/>
  <c r="BC949" i="212"/>
  <c r="I949" i="212"/>
  <c r="H949" i="212"/>
  <c r="E949" i="212"/>
  <c r="D949" i="212"/>
  <c r="C949" i="212"/>
  <c r="BE948" i="212"/>
  <c r="BC948" i="212"/>
  <c r="I948" i="212"/>
  <c r="H948" i="212"/>
  <c r="E948" i="212"/>
  <c r="D948" i="212"/>
  <c r="C948" i="212"/>
  <c r="BE947" i="212"/>
  <c r="BC947" i="212"/>
  <c r="I947" i="212"/>
  <c r="H947" i="212"/>
  <c r="E947" i="212"/>
  <c r="D947" i="212"/>
  <c r="C947" i="212"/>
  <c r="BE946" i="212"/>
  <c r="BC946" i="212"/>
  <c r="I946" i="212"/>
  <c r="H946" i="212"/>
  <c r="E946" i="212"/>
  <c r="D946" i="212"/>
  <c r="C946" i="212"/>
  <c r="BE945" i="212"/>
  <c r="BC945" i="212"/>
  <c r="I945" i="212"/>
  <c r="H945" i="212"/>
  <c r="E945" i="212"/>
  <c r="D945" i="212"/>
  <c r="C945" i="212"/>
  <c r="BE944" i="212"/>
  <c r="BC944" i="212"/>
  <c r="I944" i="212"/>
  <c r="H944" i="212"/>
  <c r="E944" i="212"/>
  <c r="D944" i="212"/>
  <c r="C944" i="212"/>
  <c r="BE943" i="212"/>
  <c r="BC943" i="212"/>
  <c r="I943" i="212"/>
  <c r="H943" i="212"/>
  <c r="E943" i="212"/>
  <c r="D943" i="212"/>
  <c r="C943" i="212"/>
  <c r="BE942" i="212"/>
  <c r="BC942" i="212"/>
  <c r="I942" i="212"/>
  <c r="H942" i="212"/>
  <c r="E942" i="212"/>
  <c r="D942" i="212"/>
  <c r="C942" i="212"/>
  <c r="BE941" i="212"/>
  <c r="BC941" i="212"/>
  <c r="I941" i="212"/>
  <c r="H941" i="212"/>
  <c r="E941" i="212"/>
  <c r="D941" i="212"/>
  <c r="C941" i="212"/>
  <c r="BE940" i="212"/>
  <c r="BC940" i="212"/>
  <c r="I940" i="212"/>
  <c r="H940" i="212"/>
  <c r="E940" i="212"/>
  <c r="D940" i="212"/>
  <c r="C940" i="212"/>
  <c r="BE939" i="212"/>
  <c r="BC939" i="212"/>
  <c r="I939" i="212"/>
  <c r="H939" i="212"/>
  <c r="E939" i="212"/>
  <c r="D939" i="212"/>
  <c r="C939" i="212"/>
  <c r="BE938" i="212"/>
  <c r="BC938" i="212"/>
  <c r="I938" i="212"/>
  <c r="H938" i="212"/>
  <c r="E938" i="212"/>
  <c r="D938" i="212"/>
  <c r="C938" i="212"/>
  <c r="BE937" i="212"/>
  <c r="BC937" i="212"/>
  <c r="I937" i="212"/>
  <c r="H937" i="212"/>
  <c r="E937" i="212"/>
  <c r="D937" i="212"/>
  <c r="C937" i="212"/>
  <c r="BE936" i="212"/>
  <c r="BC936" i="212"/>
  <c r="I936" i="212"/>
  <c r="H936" i="212"/>
  <c r="E936" i="212"/>
  <c r="D936" i="212"/>
  <c r="C936" i="212"/>
  <c r="BE935" i="212"/>
  <c r="BC935" i="212"/>
  <c r="I935" i="212"/>
  <c r="H935" i="212"/>
  <c r="E935" i="212"/>
  <c r="D935" i="212"/>
  <c r="C935" i="212"/>
  <c r="BE934" i="212"/>
  <c r="BC934" i="212"/>
  <c r="I934" i="212"/>
  <c r="H934" i="212"/>
  <c r="E934" i="212"/>
  <c r="D934" i="212"/>
  <c r="C934" i="212"/>
  <c r="BE933" i="212"/>
  <c r="BC933" i="212"/>
  <c r="I933" i="212"/>
  <c r="H933" i="212"/>
  <c r="E933" i="212"/>
  <c r="D933" i="212"/>
  <c r="C933" i="212"/>
  <c r="BE932" i="212"/>
  <c r="BC932" i="212"/>
  <c r="I932" i="212"/>
  <c r="H932" i="212"/>
  <c r="E932" i="212"/>
  <c r="D932" i="212"/>
  <c r="C932" i="212"/>
  <c r="BE931" i="212"/>
  <c r="BC931" i="212"/>
  <c r="I931" i="212"/>
  <c r="H931" i="212"/>
  <c r="E931" i="212"/>
  <c r="D931" i="212"/>
  <c r="C931" i="212"/>
  <c r="BE930" i="212"/>
  <c r="BC930" i="212"/>
  <c r="I930" i="212"/>
  <c r="H930" i="212"/>
  <c r="E930" i="212"/>
  <c r="D930" i="212"/>
  <c r="C930" i="212"/>
  <c r="BE929" i="212"/>
  <c r="BC929" i="212"/>
  <c r="I929" i="212"/>
  <c r="H929" i="212"/>
  <c r="E929" i="212"/>
  <c r="D929" i="212"/>
  <c r="C929" i="212"/>
  <c r="BE928" i="212"/>
  <c r="BC928" i="212"/>
  <c r="I928" i="212"/>
  <c r="H928" i="212"/>
  <c r="E928" i="212"/>
  <c r="D928" i="212"/>
  <c r="C928" i="212"/>
  <c r="BE927" i="212"/>
  <c r="BC927" i="212"/>
  <c r="I927" i="212"/>
  <c r="H927" i="212"/>
  <c r="E927" i="212"/>
  <c r="D927" i="212"/>
  <c r="C927" i="212"/>
  <c r="BE926" i="212"/>
  <c r="BC926" i="212"/>
  <c r="I926" i="212"/>
  <c r="H926" i="212"/>
  <c r="E926" i="212"/>
  <c r="D926" i="212"/>
  <c r="C926" i="212"/>
  <c r="BE925" i="212"/>
  <c r="BC925" i="212"/>
  <c r="I925" i="212"/>
  <c r="H925" i="212"/>
  <c r="E925" i="212"/>
  <c r="D925" i="212"/>
  <c r="C925" i="212"/>
  <c r="BE924" i="212"/>
  <c r="BC924" i="212"/>
  <c r="I924" i="212"/>
  <c r="H924" i="212"/>
  <c r="E924" i="212"/>
  <c r="D924" i="212"/>
  <c r="C924" i="212"/>
  <c r="BE923" i="212"/>
  <c r="BC923" i="212"/>
  <c r="I923" i="212"/>
  <c r="H923" i="212"/>
  <c r="E923" i="212"/>
  <c r="D923" i="212"/>
  <c r="C923" i="212"/>
  <c r="BE922" i="212"/>
  <c r="BC922" i="212"/>
  <c r="I922" i="212"/>
  <c r="H922" i="212"/>
  <c r="E922" i="212"/>
  <c r="D922" i="212"/>
  <c r="C922" i="212"/>
  <c r="BE921" i="212"/>
  <c r="BC921" i="212"/>
  <c r="I921" i="212"/>
  <c r="H921" i="212"/>
  <c r="E921" i="212"/>
  <c r="D921" i="212"/>
  <c r="C921" i="212"/>
  <c r="BE920" i="212"/>
  <c r="BC920" i="212"/>
  <c r="I920" i="212"/>
  <c r="H920" i="212"/>
  <c r="E920" i="212"/>
  <c r="D920" i="212"/>
  <c r="C920" i="212"/>
  <c r="BE919" i="212"/>
  <c r="BC919" i="212"/>
  <c r="I919" i="212"/>
  <c r="H919" i="212"/>
  <c r="E919" i="212"/>
  <c r="D919" i="212"/>
  <c r="C919" i="212"/>
  <c r="BE918" i="212"/>
  <c r="BC918" i="212"/>
  <c r="I918" i="212"/>
  <c r="H918" i="212"/>
  <c r="E918" i="212"/>
  <c r="D918" i="212"/>
  <c r="C918" i="212"/>
  <c r="BE917" i="212"/>
  <c r="BC917" i="212"/>
  <c r="I917" i="212"/>
  <c r="H917" i="212"/>
  <c r="E917" i="212"/>
  <c r="D917" i="212"/>
  <c r="C917" i="212"/>
  <c r="BE916" i="212"/>
  <c r="BC916" i="212"/>
  <c r="I916" i="212"/>
  <c r="H916" i="212"/>
  <c r="E916" i="212"/>
  <c r="D916" i="212"/>
  <c r="C916" i="212"/>
  <c r="BE915" i="212"/>
  <c r="BC915" i="212"/>
  <c r="I915" i="212"/>
  <c r="H915" i="212"/>
  <c r="E915" i="212"/>
  <c r="D915" i="212"/>
  <c r="C915" i="212"/>
  <c r="BE914" i="212"/>
  <c r="BC914" i="212"/>
  <c r="I914" i="212"/>
  <c r="H914" i="212"/>
  <c r="E914" i="212"/>
  <c r="D914" i="212"/>
  <c r="C914" i="212"/>
  <c r="BE913" i="212"/>
  <c r="BC913" i="212"/>
  <c r="I913" i="212"/>
  <c r="H913" i="212"/>
  <c r="E913" i="212"/>
  <c r="D913" i="212"/>
  <c r="C913" i="212"/>
  <c r="BE912" i="212"/>
  <c r="BC912" i="212"/>
  <c r="I912" i="212"/>
  <c r="H912" i="212"/>
  <c r="E912" i="212"/>
  <c r="D912" i="212"/>
  <c r="C912" i="212"/>
  <c r="BE911" i="212"/>
  <c r="BC911" i="212"/>
  <c r="I911" i="212"/>
  <c r="H911" i="212"/>
  <c r="E911" i="212"/>
  <c r="D911" i="212"/>
  <c r="C911" i="212"/>
  <c r="BE910" i="212"/>
  <c r="BC910" i="212"/>
  <c r="I910" i="212"/>
  <c r="H910" i="212"/>
  <c r="E910" i="212"/>
  <c r="D910" i="212"/>
  <c r="C910" i="212"/>
  <c r="BE909" i="212"/>
  <c r="BC909" i="212"/>
  <c r="I909" i="212"/>
  <c r="H909" i="212"/>
  <c r="E909" i="212"/>
  <c r="D909" i="212"/>
  <c r="C909" i="212"/>
  <c r="BE908" i="212"/>
  <c r="BC908" i="212"/>
  <c r="I908" i="212"/>
  <c r="H908" i="212"/>
  <c r="E908" i="212"/>
  <c r="D908" i="212"/>
  <c r="C908" i="212"/>
  <c r="BE907" i="212"/>
  <c r="BC907" i="212"/>
  <c r="I907" i="212"/>
  <c r="H907" i="212"/>
  <c r="E907" i="212"/>
  <c r="D907" i="212"/>
  <c r="C907" i="212"/>
  <c r="BE906" i="212"/>
  <c r="BC906" i="212"/>
  <c r="I906" i="212"/>
  <c r="H906" i="212"/>
  <c r="E906" i="212"/>
  <c r="D906" i="212"/>
  <c r="C906" i="212"/>
  <c r="BE905" i="212"/>
  <c r="BC905" i="212"/>
  <c r="I905" i="212"/>
  <c r="H905" i="212"/>
  <c r="E905" i="212"/>
  <c r="D905" i="212"/>
  <c r="C905" i="212"/>
  <c r="BE904" i="212"/>
  <c r="BC904" i="212"/>
  <c r="I904" i="212"/>
  <c r="H904" i="212"/>
  <c r="E904" i="212"/>
  <c r="D904" i="212"/>
  <c r="C904" i="212"/>
  <c r="BE903" i="212"/>
  <c r="BC903" i="212"/>
  <c r="I903" i="212"/>
  <c r="H903" i="212"/>
  <c r="E903" i="212"/>
  <c r="D903" i="212"/>
  <c r="C903" i="212"/>
  <c r="BE902" i="212"/>
  <c r="BC902" i="212"/>
  <c r="I902" i="212"/>
  <c r="H902" i="212"/>
  <c r="E902" i="212"/>
  <c r="D902" i="212"/>
  <c r="C902" i="212"/>
  <c r="BE901" i="212"/>
  <c r="BC901" i="212"/>
  <c r="I901" i="212"/>
  <c r="H901" i="212"/>
  <c r="E901" i="212"/>
  <c r="D901" i="212"/>
  <c r="C901" i="212"/>
  <c r="BE900" i="212"/>
  <c r="BC900" i="212"/>
  <c r="I900" i="212"/>
  <c r="H900" i="212"/>
  <c r="E900" i="212"/>
  <c r="D900" i="212"/>
  <c r="C900" i="212"/>
  <c r="BE899" i="212"/>
  <c r="BC899" i="212"/>
  <c r="I899" i="212"/>
  <c r="H899" i="212"/>
  <c r="E899" i="212"/>
  <c r="D899" i="212"/>
  <c r="C899" i="212"/>
  <c r="BE898" i="212"/>
  <c r="BC898" i="212"/>
  <c r="I898" i="212"/>
  <c r="H898" i="212"/>
  <c r="E898" i="212"/>
  <c r="D898" i="212"/>
  <c r="C898" i="212"/>
  <c r="BE897" i="212"/>
  <c r="BC897" i="212"/>
  <c r="I897" i="212"/>
  <c r="H897" i="212"/>
  <c r="E897" i="212"/>
  <c r="D897" i="212"/>
  <c r="C897" i="212"/>
  <c r="BE896" i="212"/>
  <c r="BC896" i="212"/>
  <c r="I896" i="212"/>
  <c r="H896" i="212"/>
  <c r="E896" i="212"/>
  <c r="D896" i="212"/>
  <c r="C896" i="212"/>
  <c r="BE895" i="212"/>
  <c r="BC895" i="212"/>
  <c r="I895" i="212"/>
  <c r="H895" i="212"/>
  <c r="E895" i="212"/>
  <c r="D895" i="212"/>
  <c r="C895" i="212"/>
  <c r="BE894" i="212"/>
  <c r="BC894" i="212"/>
  <c r="I894" i="212"/>
  <c r="H894" i="212"/>
  <c r="E894" i="212"/>
  <c r="D894" i="212"/>
  <c r="C894" i="212"/>
  <c r="BE893" i="212"/>
  <c r="BC893" i="212"/>
  <c r="I893" i="212"/>
  <c r="H893" i="212"/>
  <c r="E893" i="212"/>
  <c r="D893" i="212"/>
  <c r="C893" i="212"/>
  <c r="BE892" i="212"/>
  <c r="BC892" i="212"/>
  <c r="I892" i="212"/>
  <c r="H892" i="212"/>
  <c r="E892" i="212"/>
  <c r="D892" i="212"/>
  <c r="C892" i="212"/>
  <c r="BE891" i="212"/>
  <c r="BC891" i="212"/>
  <c r="I891" i="212"/>
  <c r="H891" i="212"/>
  <c r="E891" i="212"/>
  <c r="D891" i="212"/>
  <c r="C891" i="212"/>
  <c r="BE890" i="212"/>
  <c r="BC890" i="212"/>
  <c r="I890" i="212"/>
  <c r="H890" i="212"/>
  <c r="E890" i="212"/>
  <c r="D890" i="212"/>
  <c r="C890" i="212"/>
  <c r="BE889" i="212"/>
  <c r="BC889" i="212"/>
  <c r="I889" i="212"/>
  <c r="H889" i="212"/>
  <c r="E889" i="212"/>
  <c r="D889" i="212"/>
  <c r="C889" i="212"/>
  <c r="BE888" i="212"/>
  <c r="BC888" i="212"/>
  <c r="I888" i="212"/>
  <c r="H888" i="212"/>
  <c r="E888" i="212"/>
  <c r="D888" i="212"/>
  <c r="C888" i="212"/>
  <c r="BE887" i="212"/>
  <c r="BC887" i="212"/>
  <c r="I887" i="212"/>
  <c r="H887" i="212"/>
  <c r="E887" i="212"/>
  <c r="D887" i="212"/>
  <c r="C887" i="212"/>
  <c r="BE886" i="212"/>
  <c r="BC886" i="212"/>
  <c r="I886" i="212"/>
  <c r="H886" i="212"/>
  <c r="E886" i="212"/>
  <c r="D886" i="212"/>
  <c r="C886" i="212"/>
  <c r="BE885" i="212"/>
  <c r="BC885" i="212"/>
  <c r="I885" i="212"/>
  <c r="H885" i="212"/>
  <c r="E885" i="212"/>
  <c r="D885" i="212"/>
  <c r="C885" i="212"/>
  <c r="BE884" i="212"/>
  <c r="BC884" i="212"/>
  <c r="I884" i="212"/>
  <c r="H884" i="212"/>
  <c r="E884" i="212"/>
  <c r="D884" i="212"/>
  <c r="C884" i="212"/>
  <c r="BE883" i="212"/>
  <c r="BC883" i="212"/>
  <c r="I883" i="212"/>
  <c r="H883" i="212"/>
  <c r="E883" i="212"/>
  <c r="D883" i="212"/>
  <c r="C883" i="212"/>
  <c r="BE882" i="212"/>
  <c r="BC882" i="212"/>
  <c r="I882" i="212"/>
  <c r="H882" i="212"/>
  <c r="E882" i="212"/>
  <c r="D882" i="212"/>
  <c r="C882" i="212"/>
  <c r="BE881" i="212"/>
  <c r="BC881" i="212"/>
  <c r="I881" i="212"/>
  <c r="H881" i="212"/>
  <c r="E881" i="212"/>
  <c r="D881" i="212"/>
  <c r="C881" i="212"/>
  <c r="BE880" i="212"/>
  <c r="BC880" i="212"/>
  <c r="I880" i="212"/>
  <c r="H880" i="212"/>
  <c r="E880" i="212"/>
  <c r="D880" i="212"/>
  <c r="C880" i="212"/>
  <c r="BE879" i="212"/>
  <c r="BC879" i="212"/>
  <c r="I879" i="212"/>
  <c r="H879" i="212"/>
  <c r="E879" i="212"/>
  <c r="D879" i="212"/>
  <c r="C879" i="212"/>
  <c r="BE878" i="212"/>
  <c r="BC878" i="212"/>
  <c r="I878" i="212"/>
  <c r="H878" i="212"/>
  <c r="E878" i="212"/>
  <c r="D878" i="212"/>
  <c r="C878" i="212"/>
  <c r="BE877" i="212"/>
  <c r="BC877" i="212"/>
  <c r="I877" i="212"/>
  <c r="H877" i="212"/>
  <c r="E877" i="212"/>
  <c r="D877" i="212"/>
  <c r="C877" i="212"/>
  <c r="BE876" i="212"/>
  <c r="BC876" i="212"/>
  <c r="I876" i="212"/>
  <c r="H876" i="212"/>
  <c r="E876" i="212"/>
  <c r="D876" i="212"/>
  <c r="C876" i="212"/>
  <c r="BE875" i="212"/>
  <c r="BC875" i="212"/>
  <c r="I875" i="212"/>
  <c r="H875" i="212"/>
  <c r="E875" i="212"/>
  <c r="D875" i="212"/>
  <c r="C875" i="212"/>
  <c r="BE874" i="212"/>
  <c r="BC874" i="212"/>
  <c r="I874" i="212"/>
  <c r="H874" i="212"/>
  <c r="E874" i="212"/>
  <c r="D874" i="212"/>
  <c r="C874" i="212"/>
  <c r="BE873" i="212"/>
  <c r="BC873" i="212"/>
  <c r="I873" i="212"/>
  <c r="H873" i="212"/>
  <c r="E873" i="212"/>
  <c r="D873" i="212"/>
  <c r="C873" i="212"/>
  <c r="BE872" i="212"/>
  <c r="BC872" i="212"/>
  <c r="I872" i="212"/>
  <c r="H872" i="212"/>
  <c r="E872" i="212"/>
  <c r="D872" i="212"/>
  <c r="C872" i="212"/>
  <c r="BE871" i="212"/>
  <c r="BC871" i="212"/>
  <c r="I871" i="212"/>
  <c r="H871" i="212"/>
  <c r="E871" i="212"/>
  <c r="D871" i="212"/>
  <c r="C871" i="212"/>
  <c r="BE870" i="212"/>
  <c r="BC870" i="212"/>
  <c r="I870" i="212"/>
  <c r="H870" i="212"/>
  <c r="E870" i="212"/>
  <c r="D870" i="212"/>
  <c r="C870" i="212"/>
  <c r="BE869" i="212"/>
  <c r="BC869" i="212"/>
  <c r="I869" i="212"/>
  <c r="H869" i="212"/>
  <c r="E869" i="212"/>
  <c r="D869" i="212"/>
  <c r="C869" i="212"/>
  <c r="BE868" i="212"/>
  <c r="BC868" i="212"/>
  <c r="I868" i="212"/>
  <c r="H868" i="212"/>
  <c r="E868" i="212"/>
  <c r="D868" i="212"/>
  <c r="C868" i="212"/>
  <c r="BE867" i="212"/>
  <c r="BC867" i="212"/>
  <c r="I867" i="212"/>
  <c r="H867" i="212"/>
  <c r="E867" i="212"/>
  <c r="D867" i="212"/>
  <c r="C867" i="212"/>
  <c r="BE866" i="212"/>
  <c r="BC866" i="212"/>
  <c r="I866" i="212"/>
  <c r="H866" i="212"/>
  <c r="E866" i="212"/>
  <c r="D866" i="212"/>
  <c r="C866" i="212"/>
  <c r="BE865" i="212"/>
  <c r="BC865" i="212"/>
  <c r="I865" i="212"/>
  <c r="H865" i="212"/>
  <c r="E865" i="212"/>
  <c r="D865" i="212"/>
  <c r="C865" i="212"/>
  <c r="BE864" i="212"/>
  <c r="BC864" i="212"/>
  <c r="I864" i="212"/>
  <c r="H864" i="212"/>
  <c r="E864" i="212"/>
  <c r="D864" i="212"/>
  <c r="C864" i="212"/>
  <c r="BE863" i="212"/>
  <c r="BC863" i="212"/>
  <c r="I863" i="212"/>
  <c r="H863" i="212"/>
  <c r="E863" i="212"/>
  <c r="D863" i="212"/>
  <c r="C863" i="212"/>
  <c r="BE862" i="212"/>
  <c r="BC862" i="212"/>
  <c r="I862" i="212"/>
  <c r="H862" i="212"/>
  <c r="E862" i="212"/>
  <c r="D862" i="212"/>
  <c r="C862" i="212"/>
  <c r="BE861" i="212"/>
  <c r="BC861" i="212"/>
  <c r="I861" i="212"/>
  <c r="H861" i="212"/>
  <c r="E861" i="212"/>
  <c r="D861" i="212"/>
  <c r="C861" i="212"/>
  <c r="BE860" i="212"/>
  <c r="BC860" i="212"/>
  <c r="I860" i="212"/>
  <c r="H860" i="212"/>
  <c r="E860" i="212"/>
  <c r="D860" i="212"/>
  <c r="C860" i="212"/>
  <c r="BE859" i="212"/>
  <c r="BC859" i="212"/>
  <c r="I859" i="212"/>
  <c r="H859" i="212"/>
  <c r="E859" i="212"/>
  <c r="D859" i="212"/>
  <c r="C859" i="212"/>
  <c r="BE858" i="212"/>
  <c r="BC858" i="212"/>
  <c r="I858" i="212"/>
  <c r="H858" i="212"/>
  <c r="E858" i="212"/>
  <c r="D858" i="212"/>
  <c r="C858" i="212"/>
  <c r="BE857" i="212"/>
  <c r="BC857" i="212"/>
  <c r="I857" i="212"/>
  <c r="H857" i="212"/>
  <c r="E857" i="212"/>
  <c r="D857" i="212"/>
  <c r="C857" i="212"/>
  <c r="BE856" i="212"/>
  <c r="BC856" i="212"/>
  <c r="I856" i="212"/>
  <c r="H856" i="212"/>
  <c r="E856" i="212"/>
  <c r="D856" i="212"/>
  <c r="C856" i="212"/>
  <c r="BE855" i="212"/>
  <c r="BC855" i="212"/>
  <c r="I855" i="212"/>
  <c r="H855" i="212"/>
  <c r="E855" i="212"/>
  <c r="D855" i="212"/>
  <c r="C855" i="212"/>
  <c r="BE854" i="212"/>
  <c r="BC854" i="212"/>
  <c r="I854" i="212"/>
  <c r="H854" i="212"/>
  <c r="E854" i="212"/>
  <c r="D854" i="212"/>
  <c r="C854" i="212"/>
  <c r="BE853" i="212"/>
  <c r="BC853" i="212"/>
  <c r="I853" i="212"/>
  <c r="H853" i="212"/>
  <c r="E853" i="212"/>
  <c r="D853" i="212"/>
  <c r="C853" i="212"/>
  <c r="BE852" i="212"/>
  <c r="BC852" i="212"/>
  <c r="I852" i="212"/>
  <c r="H852" i="212"/>
  <c r="E852" i="212"/>
  <c r="D852" i="212"/>
  <c r="C852" i="212"/>
  <c r="BE851" i="212"/>
  <c r="BC851" i="212"/>
  <c r="I851" i="212"/>
  <c r="H851" i="212"/>
  <c r="E851" i="212"/>
  <c r="D851" i="212"/>
  <c r="C851" i="212"/>
  <c r="BE850" i="212"/>
  <c r="BC850" i="212"/>
  <c r="I850" i="212"/>
  <c r="H850" i="212"/>
  <c r="E850" i="212"/>
  <c r="D850" i="212"/>
  <c r="C850" i="212"/>
  <c r="BE849" i="212"/>
  <c r="BC849" i="212"/>
  <c r="I849" i="212"/>
  <c r="H849" i="212"/>
  <c r="E849" i="212"/>
  <c r="D849" i="212"/>
  <c r="C849" i="212"/>
  <c r="BE848" i="212"/>
  <c r="BC848" i="212"/>
  <c r="I848" i="212"/>
  <c r="H848" i="212"/>
  <c r="E848" i="212"/>
  <c r="D848" i="212"/>
  <c r="C848" i="212"/>
  <c r="BE847" i="212"/>
  <c r="BC847" i="212"/>
  <c r="I847" i="212"/>
  <c r="H847" i="212"/>
  <c r="E847" i="212"/>
  <c r="D847" i="212"/>
  <c r="C847" i="212"/>
  <c r="BE846" i="212"/>
  <c r="BC846" i="212"/>
  <c r="I846" i="212"/>
  <c r="H846" i="212"/>
  <c r="E846" i="212"/>
  <c r="D846" i="212"/>
  <c r="C846" i="212"/>
  <c r="BE845" i="212"/>
  <c r="BC845" i="212"/>
  <c r="I845" i="212"/>
  <c r="H845" i="212"/>
  <c r="E845" i="212"/>
  <c r="D845" i="212"/>
  <c r="C845" i="212"/>
  <c r="BE844" i="212"/>
  <c r="BC844" i="212"/>
  <c r="I844" i="212"/>
  <c r="H844" i="212"/>
  <c r="E844" i="212"/>
  <c r="D844" i="212"/>
  <c r="C844" i="212"/>
  <c r="BE843" i="212"/>
  <c r="BC843" i="212"/>
  <c r="I843" i="212"/>
  <c r="H843" i="212"/>
  <c r="E843" i="212"/>
  <c r="D843" i="212"/>
  <c r="C843" i="212"/>
  <c r="BE842" i="212"/>
  <c r="BC842" i="212"/>
  <c r="I842" i="212"/>
  <c r="H842" i="212"/>
  <c r="E842" i="212"/>
  <c r="D842" i="212"/>
  <c r="C842" i="212"/>
  <c r="BE841" i="212"/>
  <c r="BC841" i="212"/>
  <c r="I841" i="212"/>
  <c r="H841" i="212"/>
  <c r="E841" i="212"/>
  <c r="D841" i="212"/>
  <c r="C841" i="212"/>
  <c r="BE840" i="212"/>
  <c r="BC840" i="212"/>
  <c r="I840" i="212"/>
  <c r="H840" i="212"/>
  <c r="E840" i="212"/>
  <c r="D840" i="212"/>
  <c r="C840" i="212"/>
  <c r="BE839" i="212"/>
  <c r="BC839" i="212"/>
  <c r="I839" i="212"/>
  <c r="H839" i="212"/>
  <c r="E839" i="212"/>
  <c r="D839" i="212"/>
  <c r="C839" i="212"/>
  <c r="BE838" i="212"/>
  <c r="BC838" i="212"/>
  <c r="I838" i="212"/>
  <c r="H838" i="212"/>
  <c r="E838" i="212"/>
  <c r="D838" i="212"/>
  <c r="C838" i="212"/>
  <c r="BE837" i="212"/>
  <c r="BC837" i="212"/>
  <c r="I837" i="212"/>
  <c r="H837" i="212"/>
  <c r="E837" i="212"/>
  <c r="D837" i="212"/>
  <c r="C837" i="212"/>
  <c r="BE836" i="212"/>
  <c r="BC836" i="212"/>
  <c r="I836" i="212"/>
  <c r="H836" i="212"/>
  <c r="E836" i="212"/>
  <c r="D836" i="212"/>
  <c r="C836" i="212"/>
  <c r="BE835" i="212"/>
  <c r="BC835" i="212"/>
  <c r="I835" i="212"/>
  <c r="H835" i="212"/>
  <c r="E835" i="212"/>
  <c r="D835" i="212"/>
  <c r="C835" i="212"/>
  <c r="BE834" i="212"/>
  <c r="BC834" i="212"/>
  <c r="I834" i="212"/>
  <c r="H834" i="212"/>
  <c r="E834" i="212"/>
  <c r="D834" i="212"/>
  <c r="C834" i="212"/>
  <c r="BE833" i="212"/>
  <c r="BC833" i="212"/>
  <c r="I833" i="212"/>
  <c r="H833" i="212"/>
  <c r="E833" i="212"/>
  <c r="D833" i="212"/>
  <c r="C833" i="212"/>
  <c r="BE832" i="212"/>
  <c r="BC832" i="212"/>
  <c r="I832" i="212"/>
  <c r="H832" i="212"/>
  <c r="E832" i="212"/>
  <c r="D832" i="212"/>
  <c r="C832" i="212"/>
  <c r="BE831" i="212"/>
  <c r="BC831" i="212"/>
  <c r="I831" i="212"/>
  <c r="H831" i="212"/>
  <c r="E831" i="212"/>
  <c r="D831" i="212"/>
  <c r="C831" i="212"/>
  <c r="BE830" i="212"/>
  <c r="BC830" i="212"/>
  <c r="I830" i="212"/>
  <c r="H830" i="212"/>
  <c r="E830" i="212"/>
  <c r="D830" i="212"/>
  <c r="C830" i="212"/>
  <c r="BE829" i="212"/>
  <c r="BC829" i="212"/>
  <c r="I829" i="212"/>
  <c r="H829" i="212"/>
  <c r="E829" i="212"/>
  <c r="D829" i="212"/>
  <c r="C829" i="212"/>
  <c r="BE828" i="212"/>
  <c r="BC828" i="212"/>
  <c r="I828" i="212"/>
  <c r="H828" i="212"/>
  <c r="E828" i="212"/>
  <c r="D828" i="212"/>
  <c r="C828" i="212"/>
  <c r="BE827" i="212"/>
  <c r="BC827" i="212"/>
  <c r="I827" i="212"/>
  <c r="H827" i="212"/>
  <c r="E827" i="212"/>
  <c r="D827" i="212"/>
  <c r="C827" i="212"/>
  <c r="BE826" i="212"/>
  <c r="BC826" i="212"/>
  <c r="I826" i="212"/>
  <c r="H826" i="212"/>
  <c r="E826" i="212"/>
  <c r="D826" i="212"/>
  <c r="C826" i="212"/>
  <c r="BE825" i="212"/>
  <c r="BC825" i="212"/>
  <c r="I825" i="212"/>
  <c r="H825" i="212"/>
  <c r="E825" i="212"/>
  <c r="D825" i="212"/>
  <c r="C825" i="212"/>
  <c r="BE824" i="212"/>
  <c r="BC824" i="212"/>
  <c r="I824" i="212"/>
  <c r="H824" i="212"/>
  <c r="E824" i="212"/>
  <c r="D824" i="212"/>
  <c r="C824" i="212"/>
  <c r="BE823" i="212"/>
  <c r="BC823" i="212"/>
  <c r="I823" i="212"/>
  <c r="H823" i="212"/>
  <c r="E823" i="212"/>
  <c r="D823" i="212"/>
  <c r="C823" i="212"/>
  <c r="BE822" i="212"/>
  <c r="BC822" i="212"/>
  <c r="I822" i="212"/>
  <c r="H822" i="212"/>
  <c r="E822" i="212"/>
  <c r="D822" i="212"/>
  <c r="C822" i="212"/>
  <c r="BE821" i="212"/>
  <c r="BC821" i="212"/>
  <c r="I821" i="212"/>
  <c r="H821" i="212"/>
  <c r="E821" i="212"/>
  <c r="D821" i="212"/>
  <c r="C821" i="212"/>
  <c r="BE820" i="212"/>
  <c r="BC820" i="212"/>
  <c r="I820" i="212"/>
  <c r="H820" i="212"/>
  <c r="E820" i="212"/>
  <c r="D820" i="212"/>
  <c r="C820" i="212"/>
  <c r="BE819" i="212"/>
  <c r="BC819" i="212"/>
  <c r="I819" i="212"/>
  <c r="H819" i="212"/>
  <c r="E819" i="212"/>
  <c r="D819" i="212"/>
  <c r="C819" i="212"/>
  <c r="BE818" i="212"/>
  <c r="BC818" i="212"/>
  <c r="I818" i="212"/>
  <c r="H818" i="212"/>
  <c r="E818" i="212"/>
  <c r="D818" i="212"/>
  <c r="C818" i="212"/>
  <c r="BE817" i="212"/>
  <c r="BC817" i="212"/>
  <c r="I817" i="212"/>
  <c r="H817" i="212"/>
  <c r="E817" i="212"/>
  <c r="D817" i="212"/>
  <c r="C817" i="212"/>
  <c r="BE816" i="212"/>
  <c r="BC816" i="212"/>
  <c r="I816" i="212"/>
  <c r="H816" i="212"/>
  <c r="E816" i="212"/>
  <c r="D816" i="212"/>
  <c r="C816" i="212"/>
  <c r="BE815" i="212"/>
  <c r="BC815" i="212"/>
  <c r="I815" i="212"/>
  <c r="H815" i="212"/>
  <c r="E815" i="212"/>
  <c r="D815" i="212"/>
  <c r="C815" i="212"/>
  <c r="BE814" i="212"/>
  <c r="BC814" i="212"/>
  <c r="I814" i="212"/>
  <c r="H814" i="212"/>
  <c r="E814" i="212"/>
  <c r="D814" i="212"/>
  <c r="C814" i="212"/>
  <c r="BE813" i="212"/>
  <c r="BC813" i="212"/>
  <c r="I813" i="212"/>
  <c r="H813" i="212"/>
  <c r="E813" i="212"/>
  <c r="D813" i="212"/>
  <c r="C813" i="212"/>
  <c r="BE812" i="212"/>
  <c r="BC812" i="212"/>
  <c r="I812" i="212"/>
  <c r="H812" i="212"/>
  <c r="E812" i="212"/>
  <c r="D812" i="212"/>
  <c r="C812" i="212"/>
  <c r="BE811" i="212"/>
  <c r="BC811" i="212"/>
  <c r="I811" i="212"/>
  <c r="H811" i="212"/>
  <c r="E811" i="212"/>
  <c r="D811" i="212"/>
  <c r="C811" i="212"/>
  <c r="BE810" i="212"/>
  <c r="BC810" i="212"/>
  <c r="I810" i="212"/>
  <c r="H810" i="212"/>
  <c r="E810" i="212"/>
  <c r="D810" i="212"/>
  <c r="C810" i="212"/>
  <c r="BE809" i="212"/>
  <c r="BC809" i="212"/>
  <c r="I809" i="212"/>
  <c r="H809" i="212"/>
  <c r="E809" i="212"/>
  <c r="D809" i="212"/>
  <c r="C809" i="212"/>
  <c r="BE808" i="212"/>
  <c r="BC808" i="212"/>
  <c r="I808" i="212"/>
  <c r="H808" i="212"/>
  <c r="E808" i="212"/>
  <c r="D808" i="212"/>
  <c r="C808" i="212"/>
  <c r="BE807" i="212"/>
  <c r="BC807" i="212"/>
  <c r="I807" i="212"/>
  <c r="H807" i="212"/>
  <c r="E807" i="212"/>
  <c r="D807" i="212"/>
  <c r="C807" i="212"/>
  <c r="BE806" i="212"/>
  <c r="BC806" i="212"/>
  <c r="I806" i="212"/>
  <c r="H806" i="212"/>
  <c r="E806" i="212"/>
  <c r="D806" i="212"/>
  <c r="C806" i="212"/>
  <c r="BE805" i="212"/>
  <c r="BC805" i="212"/>
  <c r="I805" i="212"/>
  <c r="H805" i="212"/>
  <c r="E805" i="212"/>
  <c r="D805" i="212"/>
  <c r="C805" i="212"/>
  <c r="BE804" i="212"/>
  <c r="BC804" i="212"/>
  <c r="I804" i="212"/>
  <c r="H804" i="212"/>
  <c r="E804" i="212"/>
  <c r="D804" i="212"/>
  <c r="C804" i="212"/>
  <c r="BE803" i="212"/>
  <c r="BC803" i="212"/>
  <c r="I803" i="212"/>
  <c r="H803" i="212"/>
  <c r="E803" i="212"/>
  <c r="D803" i="212"/>
  <c r="C803" i="212"/>
  <c r="BE802" i="212"/>
  <c r="BC802" i="212"/>
  <c r="I802" i="212"/>
  <c r="H802" i="212"/>
  <c r="E802" i="212"/>
  <c r="D802" i="212"/>
  <c r="C802" i="212"/>
  <c r="BE801" i="212"/>
  <c r="BC801" i="212"/>
  <c r="I801" i="212"/>
  <c r="H801" i="212"/>
  <c r="E801" i="212"/>
  <c r="D801" i="212"/>
  <c r="C801" i="212"/>
  <c r="BE800" i="212"/>
  <c r="BC800" i="212"/>
  <c r="I800" i="212"/>
  <c r="H800" i="212"/>
  <c r="E800" i="212"/>
  <c r="D800" i="212"/>
  <c r="C800" i="212"/>
  <c r="BE799" i="212"/>
  <c r="BC799" i="212"/>
  <c r="I799" i="212"/>
  <c r="H799" i="212"/>
  <c r="E799" i="212"/>
  <c r="D799" i="212"/>
  <c r="C799" i="212"/>
  <c r="BE798" i="212"/>
  <c r="BC798" i="212"/>
  <c r="I798" i="212"/>
  <c r="H798" i="212"/>
  <c r="E798" i="212"/>
  <c r="D798" i="212"/>
  <c r="C798" i="212"/>
  <c r="BE797" i="212"/>
  <c r="BC797" i="212"/>
  <c r="I797" i="212"/>
  <c r="H797" i="212"/>
  <c r="E797" i="212"/>
  <c r="D797" i="212"/>
  <c r="C797" i="212"/>
  <c r="BE796" i="212"/>
  <c r="BC796" i="212"/>
  <c r="I796" i="212"/>
  <c r="H796" i="212"/>
  <c r="E796" i="212"/>
  <c r="D796" i="212"/>
  <c r="C796" i="212"/>
  <c r="BE795" i="212"/>
  <c r="BC795" i="212"/>
  <c r="I795" i="212"/>
  <c r="H795" i="212"/>
  <c r="E795" i="212"/>
  <c r="D795" i="212"/>
  <c r="C795" i="212"/>
  <c r="BE794" i="212"/>
  <c r="BC794" i="212"/>
  <c r="I794" i="212"/>
  <c r="H794" i="212"/>
  <c r="E794" i="212"/>
  <c r="D794" i="212"/>
  <c r="C794" i="212"/>
  <c r="BE793" i="212"/>
  <c r="BC793" i="212"/>
  <c r="I793" i="212"/>
  <c r="H793" i="212"/>
  <c r="E793" i="212"/>
  <c r="D793" i="212"/>
  <c r="C793" i="212"/>
  <c r="BE792" i="212"/>
  <c r="BC792" i="212"/>
  <c r="I792" i="212"/>
  <c r="H792" i="212"/>
  <c r="E792" i="212"/>
  <c r="D792" i="212"/>
  <c r="C792" i="212"/>
  <c r="BE791" i="212"/>
  <c r="BC791" i="212"/>
  <c r="I791" i="212"/>
  <c r="H791" i="212"/>
  <c r="E791" i="212"/>
  <c r="D791" i="212"/>
  <c r="C791" i="212"/>
  <c r="BE790" i="212"/>
  <c r="BC790" i="212"/>
  <c r="I790" i="212"/>
  <c r="H790" i="212"/>
  <c r="E790" i="212"/>
  <c r="D790" i="212"/>
  <c r="C790" i="212"/>
  <c r="BE789" i="212"/>
  <c r="BC789" i="212"/>
  <c r="I789" i="212"/>
  <c r="H789" i="212"/>
  <c r="E789" i="212"/>
  <c r="D789" i="212"/>
  <c r="C789" i="212"/>
  <c r="BE788" i="212"/>
  <c r="BC788" i="212"/>
  <c r="I788" i="212"/>
  <c r="H788" i="212"/>
  <c r="E788" i="212"/>
  <c r="D788" i="212"/>
  <c r="C788" i="212"/>
  <c r="BE787" i="212"/>
  <c r="BC787" i="212"/>
  <c r="I787" i="212"/>
  <c r="H787" i="212"/>
  <c r="E787" i="212"/>
  <c r="D787" i="212"/>
  <c r="C787" i="212"/>
  <c r="BE786" i="212"/>
  <c r="BC786" i="212"/>
  <c r="I786" i="212"/>
  <c r="H786" i="212"/>
  <c r="E786" i="212"/>
  <c r="D786" i="212"/>
  <c r="C786" i="212"/>
  <c r="BE785" i="212"/>
  <c r="BC785" i="212"/>
  <c r="I785" i="212"/>
  <c r="H785" i="212"/>
  <c r="E785" i="212"/>
  <c r="D785" i="212"/>
  <c r="C785" i="212"/>
  <c r="BE784" i="212"/>
  <c r="BC784" i="212"/>
  <c r="I784" i="212"/>
  <c r="H784" i="212"/>
  <c r="E784" i="212"/>
  <c r="D784" i="212"/>
  <c r="C784" i="212"/>
  <c r="BE783" i="212"/>
  <c r="BC783" i="212"/>
  <c r="I783" i="212"/>
  <c r="H783" i="212"/>
  <c r="E783" i="212"/>
  <c r="D783" i="212"/>
  <c r="C783" i="212"/>
  <c r="BE782" i="212"/>
  <c r="BC782" i="212"/>
  <c r="I782" i="212"/>
  <c r="H782" i="212"/>
  <c r="E782" i="212"/>
  <c r="D782" i="212"/>
  <c r="C782" i="212"/>
  <c r="BE781" i="212"/>
  <c r="BC781" i="212"/>
  <c r="I781" i="212"/>
  <c r="H781" i="212"/>
  <c r="E781" i="212"/>
  <c r="D781" i="212"/>
  <c r="C781" i="212"/>
  <c r="BE780" i="212"/>
  <c r="BC780" i="212"/>
  <c r="I780" i="212"/>
  <c r="H780" i="212"/>
  <c r="E780" i="212"/>
  <c r="D780" i="212"/>
  <c r="C780" i="212"/>
  <c r="BE779" i="212"/>
  <c r="BC779" i="212"/>
  <c r="I779" i="212"/>
  <c r="H779" i="212"/>
  <c r="E779" i="212"/>
  <c r="D779" i="212"/>
  <c r="C779" i="212"/>
  <c r="BE778" i="212"/>
  <c r="BC778" i="212"/>
  <c r="I778" i="212"/>
  <c r="H778" i="212"/>
  <c r="E778" i="212"/>
  <c r="D778" i="212"/>
  <c r="C778" i="212"/>
  <c r="BE777" i="212"/>
  <c r="BC777" i="212"/>
  <c r="I777" i="212"/>
  <c r="H777" i="212"/>
  <c r="E777" i="212"/>
  <c r="D777" i="212"/>
  <c r="C777" i="212"/>
  <c r="BE776" i="212"/>
  <c r="BC776" i="212"/>
  <c r="I776" i="212"/>
  <c r="H776" i="212"/>
  <c r="E776" i="212"/>
  <c r="D776" i="212"/>
  <c r="C776" i="212"/>
  <c r="BE775" i="212"/>
  <c r="BC775" i="212"/>
  <c r="I775" i="212"/>
  <c r="H775" i="212"/>
  <c r="E775" i="212"/>
  <c r="D775" i="212"/>
  <c r="C775" i="212"/>
  <c r="BE774" i="212"/>
  <c r="BC774" i="212"/>
  <c r="I774" i="212"/>
  <c r="H774" i="212"/>
  <c r="E774" i="212"/>
  <c r="D774" i="212"/>
  <c r="C774" i="212"/>
  <c r="BE773" i="212"/>
  <c r="BC773" i="212"/>
  <c r="I773" i="212"/>
  <c r="H773" i="212"/>
  <c r="E773" i="212"/>
  <c r="D773" i="212"/>
  <c r="C773" i="212"/>
  <c r="BE772" i="212"/>
  <c r="BC772" i="212"/>
  <c r="I772" i="212"/>
  <c r="H772" i="212"/>
  <c r="E772" i="212"/>
  <c r="D772" i="212"/>
  <c r="C772" i="212"/>
  <c r="BE771" i="212"/>
  <c r="BC771" i="212"/>
  <c r="I771" i="212"/>
  <c r="H771" i="212"/>
  <c r="E771" i="212"/>
  <c r="D771" i="212"/>
  <c r="C771" i="212"/>
  <c r="BE770" i="212"/>
  <c r="BC770" i="212"/>
  <c r="I770" i="212"/>
  <c r="H770" i="212"/>
  <c r="E770" i="212"/>
  <c r="D770" i="212"/>
  <c r="C770" i="212"/>
  <c r="BE769" i="212"/>
  <c r="BC769" i="212"/>
  <c r="I769" i="212"/>
  <c r="H769" i="212"/>
  <c r="E769" i="212"/>
  <c r="D769" i="212"/>
  <c r="C769" i="212"/>
  <c r="BE768" i="212"/>
  <c r="BC768" i="212"/>
  <c r="I768" i="212"/>
  <c r="H768" i="212"/>
  <c r="E768" i="212"/>
  <c r="D768" i="212"/>
  <c r="C768" i="212"/>
  <c r="BE767" i="212"/>
  <c r="BC767" i="212"/>
  <c r="I767" i="212"/>
  <c r="H767" i="212"/>
  <c r="E767" i="212"/>
  <c r="D767" i="212"/>
  <c r="C767" i="212"/>
  <c r="BE766" i="212"/>
  <c r="BC766" i="212"/>
  <c r="I766" i="212"/>
  <c r="H766" i="212"/>
  <c r="E766" i="212"/>
  <c r="D766" i="212"/>
  <c r="C766" i="212"/>
  <c r="BE765" i="212"/>
  <c r="BC765" i="212"/>
  <c r="I765" i="212"/>
  <c r="H765" i="212"/>
  <c r="E765" i="212"/>
  <c r="D765" i="212"/>
  <c r="C765" i="212"/>
  <c r="BE764" i="212"/>
  <c r="BC764" i="212"/>
  <c r="I764" i="212"/>
  <c r="H764" i="212"/>
  <c r="E764" i="212"/>
  <c r="D764" i="212"/>
  <c r="C764" i="212"/>
  <c r="BE763" i="212"/>
  <c r="BC763" i="212"/>
  <c r="I763" i="212"/>
  <c r="H763" i="212"/>
  <c r="E763" i="212"/>
  <c r="D763" i="212"/>
  <c r="C763" i="212"/>
  <c r="BE762" i="212"/>
  <c r="BC762" i="212"/>
  <c r="I762" i="212"/>
  <c r="H762" i="212"/>
  <c r="E762" i="212"/>
  <c r="D762" i="212"/>
  <c r="C762" i="212"/>
  <c r="BE761" i="212"/>
  <c r="BC761" i="212"/>
  <c r="I761" i="212"/>
  <c r="H761" i="212"/>
  <c r="E761" i="212"/>
  <c r="D761" i="212"/>
  <c r="C761" i="212"/>
  <c r="BE760" i="212"/>
  <c r="BC760" i="212"/>
  <c r="I760" i="212"/>
  <c r="H760" i="212"/>
  <c r="E760" i="212"/>
  <c r="D760" i="212"/>
  <c r="C760" i="212"/>
  <c r="BE759" i="212"/>
  <c r="BC759" i="212"/>
  <c r="I759" i="212"/>
  <c r="H759" i="212"/>
  <c r="E759" i="212"/>
  <c r="D759" i="212"/>
  <c r="C759" i="212"/>
  <c r="BE758" i="212"/>
  <c r="BC758" i="212"/>
  <c r="I758" i="212"/>
  <c r="H758" i="212"/>
  <c r="E758" i="212"/>
  <c r="D758" i="212"/>
  <c r="C758" i="212"/>
  <c r="BE757" i="212"/>
  <c r="BC757" i="212"/>
  <c r="I757" i="212"/>
  <c r="H757" i="212"/>
  <c r="E757" i="212"/>
  <c r="D757" i="212"/>
  <c r="C757" i="212"/>
  <c r="BE756" i="212"/>
  <c r="BC756" i="212"/>
  <c r="I756" i="212"/>
  <c r="H756" i="212"/>
  <c r="E756" i="212"/>
  <c r="D756" i="212"/>
  <c r="C756" i="212"/>
  <c r="BE755" i="212"/>
  <c r="BC755" i="212"/>
  <c r="I755" i="212"/>
  <c r="H755" i="212"/>
  <c r="E755" i="212"/>
  <c r="D755" i="212"/>
  <c r="C755" i="212"/>
  <c r="BE754" i="212"/>
  <c r="BC754" i="212"/>
  <c r="I754" i="212"/>
  <c r="H754" i="212"/>
  <c r="E754" i="212"/>
  <c r="D754" i="212"/>
  <c r="C754" i="212"/>
  <c r="BE753" i="212"/>
  <c r="BC753" i="212"/>
  <c r="I753" i="212"/>
  <c r="H753" i="212"/>
  <c r="E753" i="212"/>
  <c r="D753" i="212"/>
  <c r="C753" i="212"/>
  <c r="BE752" i="212"/>
  <c r="BC752" i="212"/>
  <c r="I752" i="212"/>
  <c r="H752" i="212"/>
  <c r="E752" i="212"/>
  <c r="D752" i="212"/>
  <c r="C752" i="212"/>
  <c r="BE751" i="212"/>
  <c r="BC751" i="212"/>
  <c r="I751" i="212"/>
  <c r="H751" i="212"/>
  <c r="E751" i="212"/>
  <c r="D751" i="212"/>
  <c r="C751" i="212"/>
  <c r="BE750" i="212"/>
  <c r="BC750" i="212"/>
  <c r="I750" i="212"/>
  <c r="H750" i="212"/>
  <c r="E750" i="212"/>
  <c r="D750" i="212"/>
  <c r="C750" i="212"/>
  <c r="BE749" i="212"/>
  <c r="BC749" i="212"/>
  <c r="I749" i="212"/>
  <c r="H749" i="212"/>
  <c r="E749" i="212"/>
  <c r="D749" i="212"/>
  <c r="C749" i="212"/>
  <c r="BE748" i="212"/>
  <c r="BC748" i="212"/>
  <c r="I748" i="212"/>
  <c r="H748" i="212"/>
  <c r="E748" i="212"/>
  <c r="D748" i="212"/>
  <c r="C748" i="212"/>
  <c r="BE747" i="212"/>
  <c r="BC747" i="212"/>
  <c r="I747" i="212"/>
  <c r="H747" i="212"/>
  <c r="E747" i="212"/>
  <c r="D747" i="212"/>
  <c r="C747" i="212"/>
  <c r="BE746" i="212"/>
  <c r="BC746" i="212"/>
  <c r="I746" i="212"/>
  <c r="H746" i="212"/>
  <c r="E746" i="212"/>
  <c r="D746" i="212"/>
  <c r="C746" i="212"/>
  <c r="BE745" i="212"/>
  <c r="BC745" i="212"/>
  <c r="I745" i="212"/>
  <c r="H745" i="212"/>
  <c r="E745" i="212"/>
  <c r="D745" i="212"/>
  <c r="C745" i="212"/>
  <c r="BE744" i="212"/>
  <c r="BC744" i="212"/>
  <c r="I744" i="212"/>
  <c r="H744" i="212"/>
  <c r="E744" i="212"/>
  <c r="D744" i="212"/>
  <c r="C744" i="212"/>
  <c r="BE743" i="212"/>
  <c r="BC743" i="212"/>
  <c r="I743" i="212"/>
  <c r="H743" i="212"/>
  <c r="E743" i="212"/>
  <c r="D743" i="212"/>
  <c r="C743" i="212"/>
  <c r="BE742" i="212"/>
  <c r="BC742" i="212"/>
  <c r="I742" i="212"/>
  <c r="H742" i="212"/>
  <c r="E742" i="212"/>
  <c r="D742" i="212"/>
  <c r="C742" i="212"/>
  <c r="BE741" i="212"/>
  <c r="BC741" i="212"/>
  <c r="I741" i="212"/>
  <c r="H741" i="212"/>
  <c r="E741" i="212"/>
  <c r="D741" i="212"/>
  <c r="C741" i="212"/>
  <c r="BE740" i="212"/>
  <c r="BC740" i="212"/>
  <c r="I740" i="212"/>
  <c r="H740" i="212"/>
  <c r="E740" i="212"/>
  <c r="D740" i="212"/>
  <c r="C740" i="212"/>
  <c r="BE739" i="212"/>
  <c r="BC739" i="212"/>
  <c r="I739" i="212"/>
  <c r="H739" i="212"/>
  <c r="E739" i="212"/>
  <c r="D739" i="212"/>
  <c r="C739" i="212"/>
  <c r="BE738" i="212"/>
  <c r="BC738" i="212"/>
  <c r="I738" i="212"/>
  <c r="H738" i="212"/>
  <c r="E738" i="212"/>
  <c r="D738" i="212"/>
  <c r="C738" i="212"/>
  <c r="BE737" i="212"/>
  <c r="BC737" i="212"/>
  <c r="I737" i="212"/>
  <c r="H737" i="212"/>
  <c r="E737" i="212"/>
  <c r="D737" i="212"/>
  <c r="C737" i="212"/>
  <c r="BE736" i="212"/>
  <c r="BC736" i="212"/>
  <c r="I736" i="212"/>
  <c r="H736" i="212"/>
  <c r="E736" i="212"/>
  <c r="D736" i="212"/>
  <c r="C736" i="212"/>
  <c r="BE735" i="212"/>
  <c r="BC735" i="212"/>
  <c r="I735" i="212"/>
  <c r="H735" i="212"/>
  <c r="E735" i="212"/>
  <c r="D735" i="212"/>
  <c r="C735" i="212"/>
  <c r="BE734" i="212"/>
  <c r="BC734" i="212"/>
  <c r="I734" i="212"/>
  <c r="H734" i="212"/>
  <c r="E734" i="212"/>
  <c r="D734" i="212"/>
  <c r="C734" i="212"/>
  <c r="BE733" i="212"/>
  <c r="BC733" i="212"/>
  <c r="I733" i="212"/>
  <c r="H733" i="212"/>
  <c r="E733" i="212"/>
  <c r="D733" i="212"/>
  <c r="C733" i="212"/>
  <c r="BE732" i="212"/>
  <c r="BC732" i="212"/>
  <c r="I732" i="212"/>
  <c r="H732" i="212"/>
  <c r="E732" i="212"/>
  <c r="D732" i="212"/>
  <c r="C732" i="212"/>
  <c r="BE731" i="212"/>
  <c r="BC731" i="212"/>
  <c r="I731" i="212"/>
  <c r="H731" i="212"/>
  <c r="E731" i="212"/>
  <c r="D731" i="212"/>
  <c r="C731" i="212"/>
  <c r="BE730" i="212"/>
  <c r="BC730" i="212"/>
  <c r="I730" i="212"/>
  <c r="H730" i="212"/>
  <c r="E730" i="212"/>
  <c r="D730" i="212"/>
  <c r="C730" i="212"/>
  <c r="BE729" i="212"/>
  <c r="BC729" i="212"/>
  <c r="I729" i="212"/>
  <c r="H729" i="212"/>
  <c r="E729" i="212"/>
  <c r="D729" i="212"/>
  <c r="C729" i="212"/>
  <c r="BE728" i="212"/>
  <c r="BC728" i="212"/>
  <c r="I728" i="212"/>
  <c r="H728" i="212"/>
  <c r="E728" i="212"/>
  <c r="D728" i="212"/>
  <c r="C728" i="212"/>
  <c r="BE727" i="212"/>
  <c r="BC727" i="212"/>
  <c r="I727" i="212"/>
  <c r="H727" i="212"/>
  <c r="E727" i="212"/>
  <c r="D727" i="212"/>
  <c r="C727" i="212"/>
  <c r="BE726" i="212"/>
  <c r="BC726" i="212"/>
  <c r="I726" i="212"/>
  <c r="H726" i="212"/>
  <c r="E726" i="212"/>
  <c r="D726" i="212"/>
  <c r="C726" i="212"/>
  <c r="BE725" i="212"/>
  <c r="BC725" i="212"/>
  <c r="I725" i="212"/>
  <c r="H725" i="212"/>
  <c r="E725" i="212"/>
  <c r="D725" i="212"/>
  <c r="C725" i="212"/>
  <c r="BE724" i="212"/>
  <c r="BC724" i="212"/>
  <c r="I724" i="212"/>
  <c r="H724" i="212"/>
  <c r="E724" i="212"/>
  <c r="D724" i="212"/>
  <c r="C724" i="212"/>
  <c r="BE723" i="212"/>
  <c r="BC723" i="212"/>
  <c r="I723" i="212"/>
  <c r="H723" i="212"/>
  <c r="E723" i="212"/>
  <c r="D723" i="212"/>
  <c r="C723" i="212"/>
  <c r="BE722" i="212"/>
  <c r="BC722" i="212"/>
  <c r="I722" i="212"/>
  <c r="H722" i="212"/>
  <c r="E722" i="212"/>
  <c r="D722" i="212"/>
  <c r="C722" i="212"/>
  <c r="BE721" i="212"/>
  <c r="BC721" i="212"/>
  <c r="I721" i="212"/>
  <c r="H721" i="212"/>
  <c r="E721" i="212"/>
  <c r="D721" i="212"/>
  <c r="C721" i="212"/>
  <c r="BE720" i="212"/>
  <c r="BC720" i="212"/>
  <c r="I720" i="212"/>
  <c r="H720" i="212"/>
  <c r="E720" i="212"/>
  <c r="D720" i="212"/>
  <c r="C720" i="212"/>
  <c r="BE719" i="212"/>
  <c r="BC719" i="212"/>
  <c r="I719" i="212"/>
  <c r="H719" i="212"/>
  <c r="E719" i="212"/>
  <c r="D719" i="212"/>
  <c r="C719" i="212"/>
  <c r="BE718" i="212"/>
  <c r="BC718" i="212"/>
  <c r="I718" i="212"/>
  <c r="H718" i="212"/>
  <c r="E718" i="212"/>
  <c r="D718" i="212"/>
  <c r="C718" i="212"/>
  <c r="BE717" i="212"/>
  <c r="BC717" i="212"/>
  <c r="I717" i="212"/>
  <c r="H717" i="212"/>
  <c r="E717" i="212"/>
  <c r="D717" i="212"/>
  <c r="C717" i="212"/>
  <c r="BE716" i="212"/>
  <c r="BC716" i="212"/>
  <c r="I716" i="212"/>
  <c r="H716" i="212"/>
  <c r="E716" i="212"/>
  <c r="D716" i="212"/>
  <c r="C716" i="212"/>
  <c r="BE715" i="212"/>
  <c r="BC715" i="212"/>
  <c r="I715" i="212"/>
  <c r="H715" i="212"/>
  <c r="E715" i="212"/>
  <c r="D715" i="212"/>
  <c r="C715" i="212"/>
  <c r="BE714" i="212"/>
  <c r="BC714" i="212"/>
  <c r="I714" i="212"/>
  <c r="H714" i="212"/>
  <c r="E714" i="212"/>
  <c r="D714" i="212"/>
  <c r="C714" i="212"/>
  <c r="BE713" i="212"/>
  <c r="BC713" i="212"/>
  <c r="I713" i="212"/>
  <c r="H713" i="212"/>
  <c r="E713" i="212"/>
  <c r="D713" i="212"/>
  <c r="C713" i="212"/>
  <c r="BE712" i="212"/>
  <c r="BC712" i="212"/>
  <c r="I712" i="212"/>
  <c r="H712" i="212"/>
  <c r="E712" i="212"/>
  <c r="D712" i="212"/>
  <c r="C712" i="212"/>
  <c r="BE711" i="212"/>
  <c r="BC711" i="212"/>
  <c r="I711" i="212"/>
  <c r="H711" i="212"/>
  <c r="E711" i="212"/>
  <c r="D711" i="212"/>
  <c r="C711" i="212"/>
  <c r="BE710" i="212"/>
  <c r="BC710" i="212"/>
  <c r="I710" i="212"/>
  <c r="H710" i="212"/>
  <c r="E710" i="212"/>
  <c r="D710" i="212"/>
  <c r="C710" i="212"/>
  <c r="BE709" i="212"/>
  <c r="BC709" i="212"/>
  <c r="I709" i="212"/>
  <c r="H709" i="212"/>
  <c r="E709" i="212"/>
  <c r="D709" i="212"/>
  <c r="C709" i="212"/>
  <c r="BE708" i="212"/>
  <c r="BC708" i="212"/>
  <c r="I708" i="212"/>
  <c r="H708" i="212"/>
  <c r="E708" i="212"/>
  <c r="D708" i="212"/>
  <c r="C708" i="212"/>
  <c r="BE707" i="212"/>
  <c r="BC707" i="212"/>
  <c r="I707" i="212"/>
  <c r="H707" i="212"/>
  <c r="E707" i="212"/>
  <c r="D707" i="212"/>
  <c r="C707" i="212"/>
  <c r="BE706" i="212"/>
  <c r="BC706" i="212"/>
  <c r="I706" i="212"/>
  <c r="H706" i="212"/>
  <c r="E706" i="212"/>
  <c r="D706" i="212"/>
  <c r="C706" i="212"/>
  <c r="BE705" i="212"/>
  <c r="BC705" i="212"/>
  <c r="I705" i="212"/>
  <c r="H705" i="212"/>
  <c r="E705" i="212"/>
  <c r="D705" i="212"/>
  <c r="C705" i="212"/>
  <c r="BE704" i="212"/>
  <c r="BC704" i="212"/>
  <c r="I704" i="212"/>
  <c r="H704" i="212"/>
  <c r="E704" i="212"/>
  <c r="D704" i="212"/>
  <c r="C704" i="212"/>
  <c r="BE703" i="212"/>
  <c r="BC703" i="212"/>
  <c r="I703" i="212"/>
  <c r="H703" i="212"/>
  <c r="E703" i="212"/>
  <c r="D703" i="212"/>
  <c r="C703" i="212"/>
  <c r="BE702" i="212"/>
  <c r="BC702" i="212"/>
  <c r="I702" i="212"/>
  <c r="H702" i="212"/>
  <c r="E702" i="212"/>
  <c r="D702" i="212"/>
  <c r="C702" i="212"/>
  <c r="BE701" i="212"/>
  <c r="BC701" i="212"/>
  <c r="I701" i="212"/>
  <c r="H701" i="212"/>
  <c r="E701" i="212"/>
  <c r="D701" i="212"/>
  <c r="C701" i="212"/>
  <c r="BE700" i="212"/>
  <c r="BC700" i="212"/>
  <c r="I700" i="212"/>
  <c r="H700" i="212"/>
  <c r="E700" i="212"/>
  <c r="D700" i="212"/>
  <c r="C700" i="212"/>
  <c r="BE699" i="212"/>
  <c r="BC699" i="212"/>
  <c r="I699" i="212"/>
  <c r="H699" i="212"/>
  <c r="E699" i="212"/>
  <c r="D699" i="212"/>
  <c r="C699" i="212"/>
  <c r="BE698" i="212"/>
  <c r="BC698" i="212"/>
  <c r="I698" i="212"/>
  <c r="H698" i="212"/>
  <c r="E698" i="212"/>
  <c r="D698" i="212"/>
  <c r="C698" i="212"/>
  <c r="BE697" i="212"/>
  <c r="BC697" i="212"/>
  <c r="I697" i="212"/>
  <c r="H697" i="212"/>
  <c r="E697" i="212"/>
  <c r="D697" i="212"/>
  <c r="C697" i="212"/>
  <c r="BE696" i="212"/>
  <c r="BC696" i="212"/>
  <c r="I696" i="212"/>
  <c r="H696" i="212"/>
  <c r="E696" i="212"/>
  <c r="D696" i="212"/>
  <c r="C696" i="212"/>
  <c r="BE695" i="212"/>
  <c r="BC695" i="212"/>
  <c r="I695" i="212"/>
  <c r="H695" i="212"/>
  <c r="E695" i="212"/>
  <c r="D695" i="212"/>
  <c r="C695" i="212"/>
  <c r="BE694" i="212"/>
  <c r="BC694" i="212"/>
  <c r="I694" i="212"/>
  <c r="H694" i="212"/>
  <c r="E694" i="212"/>
  <c r="D694" i="212"/>
  <c r="C694" i="212"/>
  <c r="BE693" i="212"/>
  <c r="BC693" i="212"/>
  <c r="I693" i="212"/>
  <c r="H693" i="212"/>
  <c r="E693" i="212"/>
  <c r="D693" i="212"/>
  <c r="C693" i="212"/>
  <c r="BE692" i="212"/>
  <c r="BC692" i="212"/>
  <c r="I692" i="212"/>
  <c r="H692" i="212"/>
  <c r="E692" i="212"/>
  <c r="D692" i="212"/>
  <c r="C692" i="212"/>
  <c r="BE691" i="212"/>
  <c r="BC691" i="212"/>
  <c r="I691" i="212"/>
  <c r="H691" i="212"/>
  <c r="E691" i="212"/>
  <c r="D691" i="212"/>
  <c r="C691" i="212"/>
  <c r="BE690" i="212"/>
  <c r="BC690" i="212"/>
  <c r="I690" i="212"/>
  <c r="H690" i="212"/>
  <c r="E690" i="212"/>
  <c r="D690" i="212"/>
  <c r="C690" i="212"/>
  <c r="BE689" i="212"/>
  <c r="BC689" i="212"/>
  <c r="I689" i="212"/>
  <c r="H689" i="212"/>
  <c r="E689" i="212"/>
  <c r="D689" i="212"/>
  <c r="C689" i="212"/>
  <c r="BE688" i="212"/>
  <c r="BC688" i="212"/>
  <c r="I688" i="212"/>
  <c r="H688" i="212"/>
  <c r="E688" i="212"/>
  <c r="D688" i="212"/>
  <c r="C688" i="212"/>
  <c r="BE687" i="212"/>
  <c r="BC687" i="212"/>
  <c r="I687" i="212"/>
  <c r="H687" i="212"/>
  <c r="E687" i="212"/>
  <c r="D687" i="212"/>
  <c r="C687" i="212"/>
  <c r="BE686" i="212"/>
  <c r="BC686" i="212"/>
  <c r="I686" i="212"/>
  <c r="H686" i="212"/>
  <c r="E686" i="212"/>
  <c r="D686" i="212"/>
  <c r="C686" i="212"/>
  <c r="BE685" i="212"/>
  <c r="BC685" i="212"/>
  <c r="I685" i="212"/>
  <c r="H685" i="212"/>
  <c r="E685" i="212"/>
  <c r="D685" i="212"/>
  <c r="C685" i="212"/>
  <c r="BE684" i="212"/>
  <c r="BC684" i="212"/>
  <c r="I684" i="212"/>
  <c r="H684" i="212"/>
  <c r="E684" i="212"/>
  <c r="D684" i="212"/>
  <c r="C684" i="212"/>
  <c r="BE683" i="212"/>
  <c r="BC683" i="212"/>
  <c r="I683" i="212"/>
  <c r="H683" i="212"/>
  <c r="E683" i="212"/>
  <c r="D683" i="212"/>
  <c r="C683" i="212"/>
  <c r="BE682" i="212"/>
  <c r="BC682" i="212"/>
  <c r="I682" i="212"/>
  <c r="H682" i="212"/>
  <c r="E682" i="212"/>
  <c r="D682" i="212"/>
  <c r="C682" i="212"/>
  <c r="BE681" i="212"/>
  <c r="BC681" i="212"/>
  <c r="I681" i="212"/>
  <c r="H681" i="212"/>
  <c r="E681" i="212"/>
  <c r="D681" i="212"/>
  <c r="C681" i="212"/>
  <c r="BE680" i="212"/>
  <c r="BC680" i="212"/>
  <c r="I680" i="212"/>
  <c r="H680" i="212"/>
  <c r="E680" i="212"/>
  <c r="D680" i="212"/>
  <c r="C680" i="212"/>
  <c r="BE679" i="212"/>
  <c r="BC679" i="212"/>
  <c r="I679" i="212"/>
  <c r="H679" i="212"/>
  <c r="E679" i="212"/>
  <c r="D679" i="212"/>
  <c r="C679" i="212"/>
  <c r="BE678" i="212"/>
  <c r="BC678" i="212"/>
  <c r="I678" i="212"/>
  <c r="H678" i="212"/>
  <c r="E678" i="212"/>
  <c r="D678" i="212"/>
  <c r="C678" i="212"/>
  <c r="BE677" i="212"/>
  <c r="BC677" i="212"/>
  <c r="I677" i="212"/>
  <c r="H677" i="212"/>
  <c r="E677" i="212"/>
  <c r="D677" i="212"/>
  <c r="C677" i="212"/>
  <c r="BE676" i="212"/>
  <c r="BC676" i="212"/>
  <c r="I676" i="212"/>
  <c r="H676" i="212"/>
  <c r="E676" i="212"/>
  <c r="D676" i="212"/>
  <c r="C676" i="212"/>
  <c r="BE675" i="212"/>
  <c r="BC675" i="212"/>
  <c r="I675" i="212"/>
  <c r="H675" i="212"/>
  <c r="E675" i="212"/>
  <c r="D675" i="212"/>
  <c r="C675" i="212"/>
  <c r="BE674" i="212"/>
  <c r="BC674" i="212"/>
  <c r="I674" i="212"/>
  <c r="H674" i="212"/>
  <c r="E674" i="212"/>
  <c r="D674" i="212"/>
  <c r="C674" i="212"/>
  <c r="BE673" i="212"/>
  <c r="BC673" i="212"/>
  <c r="I673" i="212"/>
  <c r="H673" i="212"/>
  <c r="E673" i="212"/>
  <c r="D673" i="212"/>
  <c r="C673" i="212"/>
  <c r="BE672" i="212"/>
  <c r="BC672" i="212"/>
  <c r="I672" i="212"/>
  <c r="H672" i="212"/>
  <c r="E672" i="212"/>
  <c r="D672" i="212"/>
  <c r="C672" i="212"/>
  <c r="BE671" i="212"/>
  <c r="BC671" i="212"/>
  <c r="I671" i="212"/>
  <c r="H671" i="212"/>
  <c r="E671" i="212"/>
  <c r="D671" i="212"/>
  <c r="C671" i="212"/>
  <c r="BE670" i="212"/>
  <c r="BC670" i="212"/>
  <c r="I670" i="212"/>
  <c r="H670" i="212"/>
  <c r="E670" i="212"/>
  <c r="D670" i="212"/>
  <c r="C670" i="212"/>
  <c r="BE669" i="212"/>
  <c r="BC669" i="212"/>
  <c r="I669" i="212"/>
  <c r="H669" i="212"/>
  <c r="E669" i="212"/>
  <c r="D669" i="212"/>
  <c r="C669" i="212"/>
  <c r="BE668" i="212"/>
  <c r="BC668" i="212"/>
  <c r="I668" i="212"/>
  <c r="H668" i="212"/>
  <c r="E668" i="212"/>
  <c r="D668" i="212"/>
  <c r="C668" i="212"/>
  <c r="BE667" i="212"/>
  <c r="BC667" i="212"/>
  <c r="I667" i="212"/>
  <c r="H667" i="212"/>
  <c r="E667" i="212"/>
  <c r="D667" i="212"/>
  <c r="C667" i="212"/>
  <c r="BE666" i="212"/>
  <c r="BC666" i="212"/>
  <c r="I666" i="212"/>
  <c r="H666" i="212"/>
  <c r="E666" i="212"/>
  <c r="D666" i="212"/>
  <c r="C666" i="212"/>
  <c r="BE665" i="212"/>
  <c r="BC665" i="212"/>
  <c r="I665" i="212"/>
  <c r="H665" i="212"/>
  <c r="E665" i="212"/>
  <c r="D665" i="212"/>
  <c r="C665" i="212"/>
  <c r="BE664" i="212"/>
  <c r="BC664" i="212"/>
  <c r="I664" i="212"/>
  <c r="H664" i="212"/>
  <c r="E664" i="212"/>
  <c r="D664" i="212"/>
  <c r="C664" i="212"/>
  <c r="BE663" i="212"/>
  <c r="BC663" i="212"/>
  <c r="I663" i="212"/>
  <c r="H663" i="212"/>
  <c r="E663" i="212"/>
  <c r="D663" i="212"/>
  <c r="C663" i="212"/>
  <c r="BE662" i="212"/>
  <c r="BC662" i="212"/>
  <c r="I662" i="212"/>
  <c r="H662" i="212"/>
  <c r="E662" i="212"/>
  <c r="D662" i="212"/>
  <c r="C662" i="212"/>
  <c r="BE661" i="212"/>
  <c r="BC661" i="212"/>
  <c r="I661" i="212"/>
  <c r="H661" i="212"/>
  <c r="E661" i="212"/>
  <c r="D661" i="212"/>
  <c r="C661" i="212"/>
  <c r="BE660" i="212"/>
  <c r="BC660" i="212"/>
  <c r="I660" i="212"/>
  <c r="H660" i="212"/>
  <c r="E660" i="212"/>
  <c r="D660" i="212"/>
  <c r="C660" i="212"/>
  <c r="BE659" i="212"/>
  <c r="BC659" i="212"/>
  <c r="I659" i="212"/>
  <c r="H659" i="212"/>
  <c r="E659" i="212"/>
  <c r="D659" i="212"/>
  <c r="C659" i="212"/>
  <c r="BE658" i="212"/>
  <c r="BC658" i="212"/>
  <c r="I658" i="212"/>
  <c r="H658" i="212"/>
  <c r="E658" i="212"/>
  <c r="D658" i="212"/>
  <c r="C658" i="212"/>
  <c r="BE657" i="212"/>
  <c r="BC657" i="212"/>
  <c r="I657" i="212"/>
  <c r="H657" i="212"/>
  <c r="E657" i="212"/>
  <c r="D657" i="212"/>
  <c r="C657" i="212"/>
  <c r="BE656" i="212"/>
  <c r="BC656" i="212"/>
  <c r="I656" i="212"/>
  <c r="H656" i="212"/>
  <c r="E656" i="212"/>
  <c r="D656" i="212"/>
  <c r="C656" i="212"/>
  <c r="BE655" i="212"/>
  <c r="BC655" i="212"/>
  <c r="I655" i="212"/>
  <c r="H655" i="212"/>
  <c r="E655" i="212"/>
  <c r="D655" i="212"/>
  <c r="C655" i="212"/>
  <c r="BE654" i="212"/>
  <c r="BC654" i="212"/>
  <c r="I654" i="212"/>
  <c r="H654" i="212"/>
  <c r="E654" i="212"/>
  <c r="D654" i="212"/>
  <c r="C654" i="212"/>
  <c r="BE653" i="212"/>
  <c r="BC653" i="212"/>
  <c r="I653" i="212"/>
  <c r="H653" i="212"/>
  <c r="E653" i="212"/>
  <c r="D653" i="212"/>
  <c r="C653" i="212"/>
  <c r="BE652" i="212"/>
  <c r="BC652" i="212"/>
  <c r="I652" i="212"/>
  <c r="H652" i="212"/>
  <c r="E652" i="212"/>
  <c r="D652" i="212"/>
  <c r="C652" i="212"/>
  <c r="BE651" i="212"/>
  <c r="BC651" i="212"/>
  <c r="I651" i="212"/>
  <c r="H651" i="212"/>
  <c r="E651" i="212"/>
  <c r="D651" i="212"/>
  <c r="C651" i="212"/>
  <c r="BE650" i="212"/>
  <c r="BC650" i="212"/>
  <c r="I650" i="212"/>
  <c r="H650" i="212"/>
  <c r="E650" i="212"/>
  <c r="D650" i="212"/>
  <c r="C650" i="212"/>
  <c r="BE649" i="212"/>
  <c r="BC649" i="212"/>
  <c r="I649" i="212"/>
  <c r="H649" i="212"/>
  <c r="E649" i="212"/>
  <c r="D649" i="212"/>
  <c r="C649" i="212"/>
  <c r="BE648" i="212"/>
  <c r="BC648" i="212"/>
  <c r="I648" i="212"/>
  <c r="H648" i="212"/>
  <c r="E648" i="212"/>
  <c r="D648" i="212"/>
  <c r="C648" i="212"/>
  <c r="BE647" i="212"/>
  <c r="BC647" i="212"/>
  <c r="I647" i="212"/>
  <c r="H647" i="212"/>
  <c r="E647" i="212"/>
  <c r="D647" i="212"/>
  <c r="C647" i="212"/>
  <c r="BE646" i="212"/>
  <c r="BC646" i="212"/>
  <c r="I646" i="212"/>
  <c r="H646" i="212"/>
  <c r="E646" i="212"/>
  <c r="D646" i="212"/>
  <c r="C646" i="212"/>
  <c r="BE645" i="212"/>
  <c r="BC645" i="212"/>
  <c r="I645" i="212"/>
  <c r="H645" i="212"/>
  <c r="E645" i="212"/>
  <c r="D645" i="212"/>
  <c r="C645" i="212"/>
  <c r="BE644" i="212"/>
  <c r="BC644" i="212"/>
  <c r="I644" i="212"/>
  <c r="H644" i="212"/>
  <c r="E644" i="212"/>
  <c r="D644" i="212"/>
  <c r="C644" i="212"/>
  <c r="BE643" i="212"/>
  <c r="BC643" i="212"/>
  <c r="I643" i="212"/>
  <c r="H643" i="212"/>
  <c r="E643" i="212"/>
  <c r="D643" i="212"/>
  <c r="C643" i="212"/>
  <c r="BE642" i="212"/>
  <c r="BC642" i="212"/>
  <c r="I642" i="212"/>
  <c r="H642" i="212"/>
  <c r="E642" i="212"/>
  <c r="D642" i="212"/>
  <c r="C642" i="212"/>
  <c r="BE641" i="212"/>
  <c r="BC641" i="212"/>
  <c r="I641" i="212"/>
  <c r="H641" i="212"/>
  <c r="E641" i="212"/>
  <c r="D641" i="212"/>
  <c r="C641" i="212"/>
  <c r="BE640" i="212"/>
  <c r="BC640" i="212"/>
  <c r="I640" i="212"/>
  <c r="H640" i="212"/>
  <c r="E640" i="212"/>
  <c r="D640" i="212"/>
  <c r="C640" i="212"/>
  <c r="BE639" i="212"/>
  <c r="BC639" i="212"/>
  <c r="I639" i="212"/>
  <c r="H639" i="212"/>
  <c r="E639" i="212"/>
  <c r="D639" i="212"/>
  <c r="C639" i="212"/>
  <c r="BE638" i="212"/>
  <c r="BC638" i="212"/>
  <c r="I638" i="212"/>
  <c r="H638" i="212"/>
  <c r="E638" i="212"/>
  <c r="D638" i="212"/>
  <c r="C638" i="212"/>
  <c r="BE637" i="212"/>
  <c r="BC637" i="212"/>
  <c r="I637" i="212"/>
  <c r="H637" i="212"/>
  <c r="E637" i="212"/>
  <c r="D637" i="212"/>
  <c r="C637" i="212"/>
  <c r="BE636" i="212"/>
  <c r="BC636" i="212"/>
  <c r="I636" i="212"/>
  <c r="H636" i="212"/>
  <c r="E636" i="212"/>
  <c r="D636" i="212"/>
  <c r="C636" i="212"/>
  <c r="BE635" i="212"/>
  <c r="BC635" i="212"/>
  <c r="I635" i="212"/>
  <c r="H635" i="212"/>
  <c r="E635" i="212"/>
  <c r="D635" i="212"/>
  <c r="C635" i="212"/>
  <c r="BE634" i="212"/>
  <c r="BC634" i="212"/>
  <c r="I634" i="212"/>
  <c r="H634" i="212"/>
  <c r="E634" i="212"/>
  <c r="D634" i="212"/>
  <c r="C634" i="212"/>
  <c r="BE633" i="212"/>
  <c r="BC633" i="212"/>
  <c r="BA633" i="212"/>
  <c r="I633" i="212"/>
  <c r="H633" i="212"/>
  <c r="E633" i="212"/>
  <c r="D633" i="212"/>
  <c r="C633" i="212"/>
  <c r="BE632" i="212"/>
  <c r="BC632" i="212"/>
  <c r="I632" i="212"/>
  <c r="H632" i="212"/>
  <c r="E632" i="212"/>
  <c r="D632" i="212"/>
  <c r="C632" i="212"/>
  <c r="BE631" i="212"/>
  <c r="BC631" i="212"/>
  <c r="I631" i="212"/>
  <c r="H631" i="212"/>
  <c r="E631" i="212"/>
  <c r="D631" i="212"/>
  <c r="C631" i="212"/>
  <c r="BE630" i="212"/>
  <c r="BC630" i="212"/>
  <c r="I630" i="212"/>
  <c r="H630" i="212"/>
  <c r="E630" i="212"/>
  <c r="D630" i="212"/>
  <c r="C630" i="212"/>
  <c r="BE629" i="212"/>
  <c r="BC629" i="212"/>
  <c r="I629" i="212"/>
  <c r="H629" i="212"/>
  <c r="E629" i="212"/>
  <c r="D629" i="212"/>
  <c r="C629" i="212"/>
  <c r="BE628" i="212"/>
  <c r="BC628" i="212"/>
  <c r="I628" i="212"/>
  <c r="H628" i="212"/>
  <c r="E628" i="212"/>
  <c r="D628" i="212"/>
  <c r="C628" i="212"/>
  <c r="BE627" i="212"/>
  <c r="BC627" i="212"/>
  <c r="I627" i="212"/>
  <c r="H627" i="212"/>
  <c r="E627" i="212"/>
  <c r="D627" i="212"/>
  <c r="C627" i="212"/>
  <c r="BE626" i="212"/>
  <c r="BC626" i="212"/>
  <c r="BA626" i="212"/>
  <c r="I626" i="212"/>
  <c r="H626" i="212"/>
  <c r="E626" i="212"/>
  <c r="D626" i="212"/>
  <c r="C626" i="212"/>
  <c r="BE625" i="212"/>
  <c r="BC625" i="212"/>
  <c r="I625" i="212"/>
  <c r="H625" i="212"/>
  <c r="E625" i="212"/>
  <c r="D625" i="212"/>
  <c r="C625" i="212"/>
  <c r="BE624" i="212"/>
  <c r="BC624" i="212"/>
  <c r="I624" i="212"/>
  <c r="H624" i="212"/>
  <c r="E624" i="212"/>
  <c r="D624" i="212"/>
  <c r="C624" i="212"/>
  <c r="BE623" i="212"/>
  <c r="BC623" i="212"/>
  <c r="I623" i="212"/>
  <c r="H623" i="212"/>
  <c r="E623" i="212"/>
  <c r="D623" i="212"/>
  <c r="C623" i="212"/>
  <c r="BE622" i="212"/>
  <c r="BC622" i="212"/>
  <c r="I622" i="212"/>
  <c r="H622" i="212"/>
  <c r="E622" i="212"/>
  <c r="D622" i="212"/>
  <c r="C622" i="212"/>
  <c r="BE621" i="212"/>
  <c r="BC621" i="212"/>
  <c r="I621" i="212"/>
  <c r="H621" i="212"/>
  <c r="E621" i="212"/>
  <c r="D621" i="212"/>
  <c r="C621" i="212"/>
  <c r="BE620" i="212"/>
  <c r="BC620" i="212"/>
  <c r="I620" i="212"/>
  <c r="H620" i="212"/>
  <c r="E620" i="212"/>
  <c r="D620" i="212"/>
  <c r="C620" i="212"/>
  <c r="BE619" i="212"/>
  <c r="BC619" i="212"/>
  <c r="I619" i="212"/>
  <c r="H619" i="212"/>
  <c r="E619" i="212"/>
  <c r="D619" i="212"/>
  <c r="C619" i="212"/>
  <c r="BE618" i="212"/>
  <c r="BC618" i="212"/>
  <c r="I618" i="212"/>
  <c r="H618" i="212"/>
  <c r="E618" i="212"/>
  <c r="D618" i="212"/>
  <c r="C618" i="212"/>
  <c r="BE617" i="212"/>
  <c r="BC617" i="212"/>
  <c r="I617" i="212"/>
  <c r="H617" i="212"/>
  <c r="E617" i="212"/>
  <c r="D617" i="212"/>
  <c r="C617" i="212"/>
  <c r="BE616" i="212"/>
  <c r="BC616" i="212"/>
  <c r="I616" i="212"/>
  <c r="H616" i="212"/>
  <c r="E616" i="212"/>
  <c r="D616" i="212"/>
  <c r="C616" i="212"/>
  <c r="BE615" i="212"/>
  <c r="BC615" i="212"/>
  <c r="I615" i="212"/>
  <c r="H615" i="212"/>
  <c r="E615" i="212"/>
  <c r="D615" i="212"/>
  <c r="C615" i="212"/>
  <c r="BE614" i="212"/>
  <c r="BC614" i="212"/>
  <c r="I614" i="212"/>
  <c r="H614" i="212"/>
  <c r="E614" i="212"/>
  <c r="D614" i="212"/>
  <c r="C614" i="212"/>
  <c r="BE613" i="212"/>
  <c r="BC613" i="212"/>
  <c r="I613" i="212"/>
  <c r="H613" i="212"/>
  <c r="E613" i="212"/>
  <c r="D613" i="212"/>
  <c r="C613" i="212"/>
  <c r="BE612" i="212"/>
  <c r="BC612" i="212"/>
  <c r="I612" i="212"/>
  <c r="H612" i="212"/>
  <c r="E612" i="212"/>
  <c r="D612" i="212"/>
  <c r="C612" i="212"/>
  <c r="BE611" i="212"/>
  <c r="BC611" i="212"/>
  <c r="I611" i="212"/>
  <c r="H611" i="212"/>
  <c r="E611" i="212"/>
  <c r="D611" i="212"/>
  <c r="C611" i="212"/>
  <c r="BE610" i="212"/>
  <c r="BC610" i="212"/>
  <c r="I610" i="212"/>
  <c r="H610" i="212"/>
  <c r="E610" i="212"/>
  <c r="D610" i="212"/>
  <c r="C610" i="212"/>
  <c r="BE609" i="212"/>
  <c r="BC609" i="212"/>
  <c r="I609" i="212"/>
  <c r="H609" i="212"/>
  <c r="E609" i="212"/>
  <c r="D609" i="212"/>
  <c r="C609" i="212"/>
  <c r="BE608" i="212"/>
  <c r="BC608" i="212"/>
  <c r="I608" i="212"/>
  <c r="H608" i="212"/>
  <c r="E608" i="212"/>
  <c r="D608" i="212"/>
  <c r="C608" i="212"/>
  <c r="BE607" i="212"/>
  <c r="BC607" i="212"/>
  <c r="I607" i="212"/>
  <c r="H607" i="212"/>
  <c r="E607" i="212"/>
  <c r="D607" i="212"/>
  <c r="C607" i="212"/>
  <c r="BE606" i="212"/>
  <c r="BC606" i="212"/>
  <c r="I606" i="212"/>
  <c r="H606" i="212"/>
  <c r="E606" i="212"/>
  <c r="D606" i="212"/>
  <c r="C606" i="212"/>
  <c r="BE605" i="212"/>
  <c r="BC605" i="212"/>
  <c r="I605" i="212"/>
  <c r="H605" i="212"/>
  <c r="E605" i="212"/>
  <c r="D605" i="212"/>
  <c r="C605" i="212"/>
  <c r="BE604" i="212"/>
  <c r="BC604" i="212"/>
  <c r="I604" i="212"/>
  <c r="H604" i="212"/>
  <c r="E604" i="212"/>
  <c r="D604" i="212"/>
  <c r="C604" i="212"/>
  <c r="BE603" i="212"/>
  <c r="BC603" i="212"/>
  <c r="I603" i="212"/>
  <c r="H603" i="212"/>
  <c r="E603" i="212"/>
  <c r="D603" i="212"/>
  <c r="C603" i="212"/>
  <c r="BE602" i="212"/>
  <c r="BC602" i="212"/>
  <c r="I602" i="212"/>
  <c r="H602" i="212"/>
  <c r="E602" i="212"/>
  <c r="D602" i="212"/>
  <c r="C602" i="212"/>
  <c r="BE601" i="212"/>
  <c r="BC601" i="212"/>
  <c r="I601" i="212"/>
  <c r="H601" i="212"/>
  <c r="E601" i="212"/>
  <c r="D601" i="212"/>
  <c r="C601" i="212"/>
  <c r="BE600" i="212"/>
  <c r="BC600" i="212"/>
  <c r="I600" i="212"/>
  <c r="H600" i="212"/>
  <c r="E600" i="212"/>
  <c r="D600" i="212"/>
  <c r="C600" i="212"/>
  <c r="BE599" i="212"/>
  <c r="BC599" i="212"/>
  <c r="I599" i="212"/>
  <c r="H599" i="212"/>
  <c r="E599" i="212"/>
  <c r="D599" i="212"/>
  <c r="C599" i="212"/>
  <c r="BE598" i="212"/>
  <c r="BC598" i="212"/>
  <c r="I598" i="212"/>
  <c r="H598" i="212"/>
  <c r="E598" i="212"/>
  <c r="D598" i="212"/>
  <c r="C598" i="212"/>
  <c r="BE597" i="212"/>
  <c r="BC597" i="212"/>
  <c r="I597" i="212"/>
  <c r="H597" i="212"/>
  <c r="E597" i="212"/>
  <c r="D597" i="212"/>
  <c r="C597" i="212"/>
  <c r="BE596" i="212"/>
  <c r="BC596" i="212"/>
  <c r="I596" i="212"/>
  <c r="H596" i="212"/>
  <c r="E596" i="212"/>
  <c r="D596" i="212"/>
  <c r="C596" i="212"/>
  <c r="BE595" i="212"/>
  <c r="BC595" i="212"/>
  <c r="I595" i="212"/>
  <c r="H595" i="212"/>
  <c r="E595" i="212"/>
  <c r="D595" i="212"/>
  <c r="C595" i="212"/>
  <c r="BE594" i="212"/>
  <c r="BC594" i="212"/>
  <c r="I594" i="212"/>
  <c r="H594" i="212"/>
  <c r="E594" i="212"/>
  <c r="D594" i="212"/>
  <c r="C594" i="212"/>
  <c r="BE593" i="212"/>
  <c r="BC593" i="212"/>
  <c r="I593" i="212"/>
  <c r="H593" i="212"/>
  <c r="E593" i="212"/>
  <c r="D593" i="212"/>
  <c r="C593" i="212"/>
  <c r="BE592" i="212"/>
  <c r="BC592" i="212"/>
  <c r="I592" i="212"/>
  <c r="H592" i="212"/>
  <c r="E592" i="212"/>
  <c r="D592" i="212"/>
  <c r="C592" i="212"/>
  <c r="BE591" i="212"/>
  <c r="BC591" i="212"/>
  <c r="I591" i="212"/>
  <c r="H591" i="212"/>
  <c r="E591" i="212"/>
  <c r="D591" i="212"/>
  <c r="C591" i="212"/>
  <c r="BE590" i="212"/>
  <c r="BC590" i="212"/>
  <c r="I590" i="212"/>
  <c r="H590" i="212"/>
  <c r="E590" i="212"/>
  <c r="D590" i="212"/>
  <c r="C590" i="212"/>
  <c r="BE589" i="212"/>
  <c r="BC589" i="212"/>
  <c r="I589" i="212"/>
  <c r="H589" i="212"/>
  <c r="E589" i="212"/>
  <c r="D589" i="212"/>
  <c r="C589" i="212"/>
  <c r="BE588" i="212"/>
  <c r="BC588" i="212"/>
  <c r="I588" i="212"/>
  <c r="H588" i="212"/>
  <c r="E588" i="212"/>
  <c r="D588" i="212"/>
  <c r="C588" i="212"/>
  <c r="BE587" i="212"/>
  <c r="BC587" i="212"/>
  <c r="I587" i="212"/>
  <c r="H587" i="212"/>
  <c r="E587" i="212"/>
  <c r="D587" i="212"/>
  <c r="C587" i="212"/>
  <c r="BE586" i="212"/>
  <c r="BC586" i="212"/>
  <c r="I586" i="212"/>
  <c r="H586" i="212"/>
  <c r="E586" i="212"/>
  <c r="D586" i="212"/>
  <c r="C586" i="212"/>
  <c r="BE585" i="212"/>
  <c r="BC585" i="212"/>
  <c r="I585" i="212"/>
  <c r="H585" i="212"/>
  <c r="E585" i="212"/>
  <c r="D585" i="212"/>
  <c r="C585" i="212"/>
  <c r="BE584" i="212"/>
  <c r="BC584" i="212"/>
  <c r="I584" i="212"/>
  <c r="H584" i="212"/>
  <c r="E584" i="212"/>
  <c r="D584" i="212"/>
  <c r="C584" i="212"/>
  <c r="BE583" i="212"/>
  <c r="BC583" i="212"/>
  <c r="I583" i="212"/>
  <c r="H583" i="212"/>
  <c r="E583" i="212"/>
  <c r="D583" i="212"/>
  <c r="C583" i="212"/>
  <c r="BE582" i="212"/>
  <c r="BC582" i="212"/>
  <c r="I582" i="212"/>
  <c r="H582" i="212"/>
  <c r="E582" i="212"/>
  <c r="D582" i="212"/>
  <c r="C582" i="212"/>
  <c r="BE581" i="212"/>
  <c r="BC581" i="212"/>
  <c r="I581" i="212"/>
  <c r="H581" i="212"/>
  <c r="E581" i="212"/>
  <c r="D581" i="212"/>
  <c r="C581" i="212"/>
  <c r="BE580" i="212"/>
  <c r="BC580" i="212"/>
  <c r="I580" i="212"/>
  <c r="H580" i="212"/>
  <c r="E580" i="212"/>
  <c r="D580" i="212"/>
  <c r="C580" i="212"/>
  <c r="BE579" i="212"/>
  <c r="BC579" i="212"/>
  <c r="I579" i="212"/>
  <c r="H579" i="212"/>
  <c r="E579" i="212"/>
  <c r="D579" i="212"/>
  <c r="C579" i="212"/>
  <c r="BE578" i="212"/>
  <c r="BC578" i="212"/>
  <c r="I578" i="212"/>
  <c r="H578" i="212"/>
  <c r="E578" i="212"/>
  <c r="D578" i="212"/>
  <c r="C578" i="212"/>
  <c r="BE577" i="212"/>
  <c r="BC577" i="212"/>
  <c r="I577" i="212"/>
  <c r="H577" i="212"/>
  <c r="E577" i="212"/>
  <c r="D577" i="212"/>
  <c r="C577" i="212"/>
  <c r="BE576" i="212"/>
  <c r="BC576" i="212"/>
  <c r="I576" i="212"/>
  <c r="H576" i="212"/>
  <c r="E576" i="212"/>
  <c r="D576" i="212"/>
  <c r="C576" i="212"/>
  <c r="BE575" i="212"/>
  <c r="BC575" i="212"/>
  <c r="I575" i="212"/>
  <c r="H575" i="212"/>
  <c r="E575" i="212"/>
  <c r="D575" i="212"/>
  <c r="C575" i="212"/>
  <c r="BE574" i="212"/>
  <c r="BC574" i="212"/>
  <c r="I574" i="212"/>
  <c r="H574" i="212"/>
  <c r="E574" i="212"/>
  <c r="D574" i="212"/>
  <c r="C574" i="212"/>
  <c r="BE573" i="212"/>
  <c r="BC573" i="212"/>
  <c r="I573" i="212"/>
  <c r="H573" i="212"/>
  <c r="E573" i="212"/>
  <c r="D573" i="212"/>
  <c r="C573" i="212"/>
  <c r="BE572" i="212"/>
  <c r="BC572" i="212"/>
  <c r="I572" i="212"/>
  <c r="H572" i="212"/>
  <c r="E572" i="212"/>
  <c r="D572" i="212"/>
  <c r="C572" i="212"/>
  <c r="BE571" i="212"/>
  <c r="BC571" i="212"/>
  <c r="I571" i="212"/>
  <c r="H571" i="212"/>
  <c r="E571" i="212"/>
  <c r="D571" i="212"/>
  <c r="C571" i="212"/>
  <c r="BE570" i="212"/>
  <c r="BC570" i="212"/>
  <c r="I570" i="212"/>
  <c r="H570" i="212"/>
  <c r="E570" i="212"/>
  <c r="D570" i="212"/>
  <c r="C570" i="212"/>
  <c r="BE569" i="212"/>
  <c r="BC569" i="212"/>
  <c r="I569" i="212"/>
  <c r="H569" i="212"/>
  <c r="E569" i="212"/>
  <c r="D569" i="212"/>
  <c r="C569" i="212"/>
  <c r="BE568" i="212"/>
  <c r="BC568" i="212"/>
  <c r="I568" i="212"/>
  <c r="H568" i="212"/>
  <c r="E568" i="212"/>
  <c r="D568" i="212"/>
  <c r="C568" i="212"/>
  <c r="BE567" i="212"/>
  <c r="BC567" i="212"/>
  <c r="I567" i="212"/>
  <c r="H567" i="212"/>
  <c r="E567" i="212"/>
  <c r="D567" i="212"/>
  <c r="C567" i="212"/>
  <c r="BE566" i="212"/>
  <c r="BC566" i="212"/>
  <c r="I566" i="212"/>
  <c r="H566" i="212"/>
  <c r="E566" i="212"/>
  <c r="D566" i="212"/>
  <c r="C566" i="212"/>
  <c r="BE565" i="212"/>
  <c r="BC565" i="212"/>
  <c r="I565" i="212"/>
  <c r="H565" i="212"/>
  <c r="E565" i="212"/>
  <c r="D565" i="212"/>
  <c r="C565" i="212"/>
  <c r="BE564" i="212"/>
  <c r="BC564" i="212"/>
  <c r="I564" i="212"/>
  <c r="H564" i="212"/>
  <c r="E564" i="212"/>
  <c r="D564" i="212"/>
  <c r="C564" i="212"/>
  <c r="BE563" i="212"/>
  <c r="BC563" i="212"/>
  <c r="I563" i="212"/>
  <c r="H563" i="212"/>
  <c r="E563" i="212"/>
  <c r="D563" i="212"/>
  <c r="C563" i="212"/>
  <c r="BE562" i="212"/>
  <c r="BC562" i="212"/>
  <c r="I562" i="212"/>
  <c r="H562" i="212"/>
  <c r="E562" i="212"/>
  <c r="D562" i="212"/>
  <c r="C562" i="212"/>
  <c r="BE561" i="212"/>
  <c r="BC561" i="212"/>
  <c r="I561" i="212"/>
  <c r="H561" i="212"/>
  <c r="E561" i="212"/>
  <c r="D561" i="212"/>
  <c r="C561" i="212"/>
  <c r="BE560" i="212"/>
  <c r="BC560" i="212"/>
  <c r="I560" i="212"/>
  <c r="H560" i="212"/>
  <c r="E560" i="212"/>
  <c r="D560" i="212"/>
  <c r="C560" i="212"/>
  <c r="BE559" i="212"/>
  <c r="BC559" i="212"/>
  <c r="I559" i="212"/>
  <c r="H559" i="212"/>
  <c r="E559" i="212"/>
  <c r="D559" i="212"/>
  <c r="C559" i="212"/>
  <c r="BE558" i="212"/>
  <c r="BC558" i="212"/>
  <c r="I558" i="212"/>
  <c r="H558" i="212"/>
  <c r="E558" i="212"/>
  <c r="D558" i="212"/>
  <c r="C558" i="212"/>
  <c r="BE557" i="212"/>
  <c r="BC557" i="212"/>
  <c r="I557" i="212"/>
  <c r="H557" i="212"/>
  <c r="E557" i="212"/>
  <c r="D557" i="212"/>
  <c r="C557" i="212"/>
  <c r="BE556" i="212"/>
  <c r="BC556" i="212"/>
  <c r="I556" i="212"/>
  <c r="H556" i="212"/>
  <c r="E556" i="212"/>
  <c r="D556" i="212"/>
  <c r="C556" i="212"/>
  <c r="BE555" i="212"/>
  <c r="BC555" i="212"/>
  <c r="I555" i="212"/>
  <c r="H555" i="212"/>
  <c r="E555" i="212"/>
  <c r="D555" i="212"/>
  <c r="C555" i="212"/>
  <c r="BE554" i="212"/>
  <c r="BC554" i="212"/>
  <c r="I554" i="212"/>
  <c r="H554" i="212"/>
  <c r="E554" i="212"/>
  <c r="D554" i="212"/>
  <c r="C554" i="212"/>
  <c r="BE553" i="212"/>
  <c r="BC553" i="212"/>
  <c r="I553" i="212"/>
  <c r="H553" i="212"/>
  <c r="E553" i="212"/>
  <c r="D553" i="212"/>
  <c r="C553" i="212"/>
  <c r="BE552" i="212"/>
  <c r="BC552" i="212"/>
  <c r="I552" i="212"/>
  <c r="H552" i="212"/>
  <c r="E552" i="212"/>
  <c r="D552" i="212"/>
  <c r="C552" i="212"/>
  <c r="BE551" i="212"/>
  <c r="BC551" i="212"/>
  <c r="I551" i="212"/>
  <c r="H551" i="212"/>
  <c r="E551" i="212"/>
  <c r="D551" i="212"/>
  <c r="C551" i="212"/>
  <c r="BE550" i="212"/>
  <c r="BC550" i="212"/>
  <c r="I550" i="212"/>
  <c r="H550" i="212"/>
  <c r="E550" i="212"/>
  <c r="D550" i="212"/>
  <c r="C550" i="212"/>
  <c r="BE549" i="212"/>
  <c r="BC549" i="212"/>
  <c r="I549" i="212"/>
  <c r="H549" i="212"/>
  <c r="E549" i="212"/>
  <c r="D549" i="212"/>
  <c r="C549" i="212"/>
  <c r="BE548" i="212"/>
  <c r="BC548" i="212"/>
  <c r="I548" i="212"/>
  <c r="H548" i="212"/>
  <c r="E548" i="212"/>
  <c r="D548" i="212"/>
  <c r="C548" i="212"/>
  <c r="BE547" i="212"/>
  <c r="BC547" i="212"/>
  <c r="I547" i="212"/>
  <c r="H547" i="212"/>
  <c r="E547" i="212"/>
  <c r="D547" i="212"/>
  <c r="C547" i="212"/>
  <c r="BE546" i="212"/>
  <c r="BC546" i="212"/>
  <c r="I546" i="212"/>
  <c r="H546" i="212"/>
  <c r="E546" i="212"/>
  <c r="D546" i="212"/>
  <c r="C546" i="212"/>
  <c r="BE545" i="212"/>
  <c r="BC545" i="212"/>
  <c r="I545" i="212"/>
  <c r="H545" i="212"/>
  <c r="E545" i="212"/>
  <c r="D545" i="212"/>
  <c r="C545" i="212"/>
  <c r="BE544" i="212"/>
  <c r="BC544" i="212"/>
  <c r="I544" i="212"/>
  <c r="H544" i="212"/>
  <c r="E544" i="212"/>
  <c r="D544" i="212"/>
  <c r="C544" i="212"/>
  <c r="BE543" i="212"/>
  <c r="BC543" i="212"/>
  <c r="I543" i="212"/>
  <c r="H543" i="212"/>
  <c r="E543" i="212"/>
  <c r="D543" i="212"/>
  <c r="C543" i="212"/>
  <c r="BE542" i="212"/>
  <c r="BC542" i="212"/>
  <c r="I542" i="212"/>
  <c r="H542" i="212"/>
  <c r="E542" i="212"/>
  <c r="D542" i="212"/>
  <c r="C542" i="212"/>
  <c r="BE541" i="212"/>
  <c r="BC541" i="212"/>
  <c r="I541" i="212"/>
  <c r="H541" i="212"/>
  <c r="E541" i="212"/>
  <c r="D541" i="212"/>
  <c r="C541" i="212"/>
  <c r="BE540" i="212"/>
  <c r="BC540" i="212"/>
  <c r="I540" i="212"/>
  <c r="H540" i="212"/>
  <c r="E540" i="212"/>
  <c r="D540" i="212"/>
  <c r="C540" i="212"/>
  <c r="BE539" i="212"/>
  <c r="BC539" i="212"/>
  <c r="I539" i="212"/>
  <c r="H539" i="212"/>
  <c r="E539" i="212"/>
  <c r="D539" i="212"/>
  <c r="C539" i="212"/>
  <c r="BE538" i="212"/>
  <c r="BC538" i="212"/>
  <c r="I538" i="212"/>
  <c r="H538" i="212"/>
  <c r="E538" i="212"/>
  <c r="D538" i="212"/>
  <c r="C538" i="212"/>
  <c r="BE537" i="212"/>
  <c r="BC537" i="212"/>
  <c r="I537" i="212"/>
  <c r="H537" i="212"/>
  <c r="E537" i="212"/>
  <c r="D537" i="212"/>
  <c r="C537" i="212"/>
  <c r="BE536" i="212"/>
  <c r="BC536" i="212"/>
  <c r="I536" i="212"/>
  <c r="H536" i="212"/>
  <c r="E536" i="212"/>
  <c r="D536" i="212"/>
  <c r="C536" i="212"/>
  <c r="BE535" i="212"/>
  <c r="BC535" i="212"/>
  <c r="I535" i="212"/>
  <c r="H535" i="212"/>
  <c r="E535" i="212"/>
  <c r="D535" i="212"/>
  <c r="C535" i="212"/>
  <c r="BE534" i="212"/>
  <c r="BC534" i="212"/>
  <c r="I534" i="212"/>
  <c r="H534" i="212"/>
  <c r="E534" i="212"/>
  <c r="D534" i="212"/>
  <c r="C534" i="212"/>
  <c r="BE533" i="212"/>
  <c r="BC533" i="212"/>
  <c r="I533" i="212"/>
  <c r="H533" i="212"/>
  <c r="E533" i="212"/>
  <c r="D533" i="212"/>
  <c r="C533" i="212"/>
  <c r="BE532" i="212"/>
  <c r="BC532" i="212"/>
  <c r="I532" i="212"/>
  <c r="H532" i="212"/>
  <c r="E532" i="212"/>
  <c r="D532" i="212"/>
  <c r="C532" i="212"/>
  <c r="BE531" i="212"/>
  <c r="BC531" i="212"/>
  <c r="I531" i="212"/>
  <c r="H531" i="212"/>
  <c r="E531" i="212"/>
  <c r="D531" i="212"/>
  <c r="C531" i="212"/>
  <c r="BE530" i="212"/>
  <c r="BC530" i="212"/>
  <c r="I530" i="212"/>
  <c r="H530" i="212"/>
  <c r="E530" i="212"/>
  <c r="D530" i="212"/>
  <c r="C530" i="212"/>
  <c r="BE529" i="212"/>
  <c r="BC529" i="212"/>
  <c r="I529" i="212"/>
  <c r="H529" i="212"/>
  <c r="E529" i="212"/>
  <c r="D529" i="212"/>
  <c r="C529" i="212"/>
  <c r="BE528" i="212"/>
  <c r="BC528" i="212"/>
  <c r="I528" i="212"/>
  <c r="H528" i="212"/>
  <c r="E528" i="212"/>
  <c r="D528" i="212"/>
  <c r="C528" i="212"/>
  <c r="BE527" i="212"/>
  <c r="BC527" i="212"/>
  <c r="I527" i="212"/>
  <c r="H527" i="212"/>
  <c r="E527" i="212"/>
  <c r="D527" i="212"/>
  <c r="C527" i="212"/>
  <c r="BE526" i="212"/>
  <c r="BC526" i="212"/>
  <c r="I526" i="212"/>
  <c r="H526" i="212"/>
  <c r="E526" i="212"/>
  <c r="D526" i="212"/>
  <c r="C526" i="212"/>
  <c r="BE525" i="212"/>
  <c r="BC525" i="212"/>
  <c r="I525" i="212"/>
  <c r="H525" i="212"/>
  <c r="E525" i="212"/>
  <c r="D525" i="212"/>
  <c r="C525" i="212"/>
  <c r="BE524" i="212"/>
  <c r="BC524" i="212"/>
  <c r="I524" i="212"/>
  <c r="H524" i="212"/>
  <c r="E524" i="212"/>
  <c r="D524" i="212"/>
  <c r="C524" i="212"/>
  <c r="BE523" i="212"/>
  <c r="BC523" i="212"/>
  <c r="I523" i="212"/>
  <c r="H523" i="212"/>
  <c r="E523" i="212"/>
  <c r="D523" i="212"/>
  <c r="C523" i="212"/>
  <c r="BE522" i="212"/>
  <c r="BC522" i="212"/>
  <c r="I522" i="212"/>
  <c r="H522" i="212"/>
  <c r="E522" i="212"/>
  <c r="D522" i="212"/>
  <c r="C522" i="212"/>
  <c r="BE521" i="212"/>
  <c r="BC521" i="212"/>
  <c r="I521" i="212"/>
  <c r="H521" i="212"/>
  <c r="E521" i="212"/>
  <c r="D521" i="212"/>
  <c r="C521" i="212"/>
  <c r="BE520" i="212"/>
  <c r="BC520" i="212"/>
  <c r="I520" i="212"/>
  <c r="H520" i="212"/>
  <c r="E520" i="212"/>
  <c r="D520" i="212"/>
  <c r="C520" i="212"/>
  <c r="BE519" i="212"/>
  <c r="BC519" i="212"/>
  <c r="I519" i="212"/>
  <c r="H519" i="212"/>
  <c r="E519" i="212"/>
  <c r="D519" i="212"/>
  <c r="C519" i="212"/>
  <c r="BE518" i="212"/>
  <c r="BC518" i="212"/>
  <c r="I518" i="212"/>
  <c r="H518" i="212"/>
  <c r="E518" i="212"/>
  <c r="D518" i="212"/>
  <c r="C518" i="212"/>
  <c r="BE517" i="212"/>
  <c r="BC517" i="212"/>
  <c r="I517" i="212"/>
  <c r="H517" i="212"/>
  <c r="E517" i="212"/>
  <c r="D517" i="212"/>
  <c r="C517" i="212"/>
  <c r="BE516" i="212"/>
  <c r="BC516" i="212"/>
  <c r="I516" i="212"/>
  <c r="H516" i="212"/>
  <c r="E516" i="212"/>
  <c r="D516" i="212"/>
  <c r="C516" i="212"/>
  <c r="BE515" i="212"/>
  <c r="BC515" i="212"/>
  <c r="I515" i="212"/>
  <c r="H515" i="212"/>
  <c r="E515" i="212"/>
  <c r="D515" i="212"/>
  <c r="C515" i="212"/>
  <c r="BE514" i="212"/>
  <c r="BC514" i="212"/>
  <c r="BA514" i="212"/>
  <c r="I514" i="212"/>
  <c r="H514" i="212"/>
  <c r="E514" i="212"/>
  <c r="D514" i="212"/>
  <c r="C514" i="212"/>
  <c r="BE513" i="212"/>
  <c r="BC513" i="212"/>
  <c r="I513" i="212"/>
  <c r="H513" i="212"/>
  <c r="E513" i="212"/>
  <c r="D513" i="212"/>
  <c r="C513" i="212"/>
  <c r="BE512" i="212"/>
  <c r="BC512" i="212"/>
  <c r="I512" i="212"/>
  <c r="H512" i="212"/>
  <c r="E512" i="212"/>
  <c r="D512" i="212"/>
  <c r="C512" i="212"/>
  <c r="BE511" i="212"/>
  <c r="BC511" i="212"/>
  <c r="I511" i="212"/>
  <c r="H511" i="212"/>
  <c r="E511" i="212"/>
  <c r="D511" i="212"/>
  <c r="C511" i="212"/>
  <c r="BE510" i="212"/>
  <c r="BC510" i="212"/>
  <c r="I510" i="212"/>
  <c r="H510" i="212"/>
  <c r="E510" i="212"/>
  <c r="D510" i="212"/>
  <c r="C510" i="212"/>
  <c r="BE509" i="212"/>
  <c r="BC509" i="212"/>
  <c r="I509" i="212"/>
  <c r="H509" i="212"/>
  <c r="E509" i="212"/>
  <c r="D509" i="212"/>
  <c r="C509" i="212"/>
  <c r="BE508" i="212"/>
  <c r="BC508" i="212"/>
  <c r="I508" i="212"/>
  <c r="H508" i="212"/>
  <c r="E508" i="212"/>
  <c r="D508" i="212"/>
  <c r="C508" i="212"/>
  <c r="BE507" i="212"/>
  <c r="BC507" i="212"/>
  <c r="I507" i="212"/>
  <c r="H507" i="212"/>
  <c r="E507" i="212"/>
  <c r="D507" i="212"/>
  <c r="C507" i="212"/>
  <c r="BE506" i="212"/>
  <c r="BC506" i="212"/>
  <c r="I506" i="212"/>
  <c r="H506" i="212"/>
  <c r="E506" i="212"/>
  <c r="D506" i="212"/>
  <c r="C506" i="212"/>
  <c r="BE505" i="212"/>
  <c r="BC505" i="212"/>
  <c r="I505" i="212"/>
  <c r="H505" i="212"/>
  <c r="E505" i="212"/>
  <c r="D505" i="212"/>
  <c r="C505" i="212"/>
  <c r="BE504" i="212"/>
  <c r="BC504" i="212"/>
  <c r="I504" i="212"/>
  <c r="H504" i="212"/>
  <c r="E504" i="212"/>
  <c r="D504" i="212"/>
  <c r="C504" i="212"/>
  <c r="BE503" i="212"/>
  <c r="BC503" i="212"/>
  <c r="I503" i="212"/>
  <c r="H503" i="212"/>
  <c r="E503" i="212"/>
  <c r="D503" i="212"/>
  <c r="C503" i="212"/>
  <c r="BE502" i="212"/>
  <c r="BC502" i="212"/>
  <c r="I502" i="212"/>
  <c r="H502" i="212"/>
  <c r="E502" i="212"/>
  <c r="D502" i="212"/>
  <c r="C502" i="212"/>
  <c r="BE501" i="212"/>
  <c r="BC501" i="212"/>
  <c r="I501" i="212"/>
  <c r="H501" i="212"/>
  <c r="E501" i="212"/>
  <c r="D501" i="212"/>
  <c r="C501" i="212"/>
  <c r="BE500" i="212"/>
  <c r="BC500" i="212"/>
  <c r="I500" i="212"/>
  <c r="H500" i="212"/>
  <c r="E500" i="212"/>
  <c r="D500" i="212"/>
  <c r="C500" i="212"/>
  <c r="BE499" i="212"/>
  <c r="BC499" i="212"/>
  <c r="I499" i="212"/>
  <c r="H499" i="212"/>
  <c r="E499" i="212"/>
  <c r="D499" i="212"/>
  <c r="C499" i="212"/>
  <c r="BE498" i="212"/>
  <c r="BC498" i="212"/>
  <c r="I498" i="212"/>
  <c r="H498" i="212"/>
  <c r="E498" i="212"/>
  <c r="D498" i="212"/>
  <c r="C498" i="212"/>
  <c r="BE497" i="212"/>
  <c r="BC497" i="212"/>
  <c r="I497" i="212"/>
  <c r="H497" i="212"/>
  <c r="E497" i="212"/>
  <c r="D497" i="212"/>
  <c r="C497" i="212"/>
  <c r="BE496" i="212"/>
  <c r="BC496" i="212"/>
  <c r="I496" i="212"/>
  <c r="H496" i="212"/>
  <c r="E496" i="212"/>
  <c r="D496" i="212"/>
  <c r="C496" i="212"/>
  <c r="BE495" i="212"/>
  <c r="BC495" i="212"/>
  <c r="I495" i="212"/>
  <c r="H495" i="212"/>
  <c r="E495" i="212"/>
  <c r="D495" i="212"/>
  <c r="C495" i="212"/>
  <c r="BE494" i="212"/>
  <c r="BC494" i="212"/>
  <c r="I494" i="212"/>
  <c r="H494" i="212"/>
  <c r="E494" i="212"/>
  <c r="D494" i="212"/>
  <c r="C494" i="212"/>
  <c r="BE493" i="212"/>
  <c r="BC493" i="212"/>
  <c r="I493" i="212"/>
  <c r="H493" i="212"/>
  <c r="E493" i="212"/>
  <c r="D493" i="212"/>
  <c r="C493" i="212"/>
  <c r="BE492" i="212"/>
  <c r="BC492" i="212"/>
  <c r="I492" i="212"/>
  <c r="H492" i="212"/>
  <c r="E492" i="212"/>
  <c r="D492" i="212"/>
  <c r="C492" i="212"/>
  <c r="BE491" i="212"/>
  <c r="BC491" i="212"/>
  <c r="I491" i="212"/>
  <c r="H491" i="212"/>
  <c r="E491" i="212"/>
  <c r="D491" i="212"/>
  <c r="C491" i="212"/>
  <c r="BE490" i="212"/>
  <c r="BC490" i="212"/>
  <c r="I490" i="212"/>
  <c r="H490" i="212"/>
  <c r="E490" i="212"/>
  <c r="D490" i="212"/>
  <c r="C490" i="212"/>
  <c r="BE489" i="212"/>
  <c r="BC489" i="212"/>
  <c r="I489" i="212"/>
  <c r="H489" i="212"/>
  <c r="E489" i="212"/>
  <c r="D489" i="212"/>
  <c r="C489" i="212"/>
  <c r="BE488" i="212"/>
  <c r="BC488" i="212"/>
  <c r="I488" i="212"/>
  <c r="H488" i="212"/>
  <c r="E488" i="212"/>
  <c r="D488" i="212"/>
  <c r="C488" i="212"/>
  <c r="BE487" i="212"/>
  <c r="BC487" i="212"/>
  <c r="I487" i="212"/>
  <c r="H487" i="212"/>
  <c r="E487" i="212"/>
  <c r="D487" i="212"/>
  <c r="C487" i="212"/>
  <c r="BE486" i="212"/>
  <c r="BC486" i="212"/>
  <c r="I486" i="212"/>
  <c r="H486" i="212"/>
  <c r="E486" i="212"/>
  <c r="D486" i="212"/>
  <c r="C486" i="212"/>
  <c r="BE485" i="212"/>
  <c r="BC485" i="212"/>
  <c r="I485" i="212"/>
  <c r="H485" i="212"/>
  <c r="E485" i="212"/>
  <c r="D485" i="212"/>
  <c r="C485" i="212"/>
  <c r="BE484" i="212"/>
  <c r="BC484" i="212"/>
  <c r="I484" i="212"/>
  <c r="H484" i="212"/>
  <c r="E484" i="212"/>
  <c r="D484" i="212"/>
  <c r="C484" i="212"/>
  <c r="BE483" i="212"/>
  <c r="BC483" i="212"/>
  <c r="I483" i="212"/>
  <c r="H483" i="212"/>
  <c r="E483" i="212"/>
  <c r="D483" i="212"/>
  <c r="C483" i="212"/>
  <c r="BE482" i="212"/>
  <c r="BC482" i="212"/>
  <c r="I482" i="212"/>
  <c r="H482" i="212"/>
  <c r="E482" i="212"/>
  <c r="D482" i="212"/>
  <c r="C482" i="212"/>
  <c r="BE481" i="212"/>
  <c r="BC481" i="212"/>
  <c r="I481" i="212"/>
  <c r="H481" i="212"/>
  <c r="E481" i="212"/>
  <c r="D481" i="212"/>
  <c r="C481" i="212"/>
  <c r="BE480" i="212"/>
  <c r="BC480" i="212"/>
  <c r="I480" i="212"/>
  <c r="H480" i="212"/>
  <c r="E480" i="212"/>
  <c r="D480" i="212"/>
  <c r="C480" i="212"/>
  <c r="BE479" i="212"/>
  <c r="BC479" i="212"/>
  <c r="I479" i="212"/>
  <c r="H479" i="212"/>
  <c r="E479" i="212"/>
  <c r="D479" i="212"/>
  <c r="C479" i="212"/>
  <c r="BE478" i="212"/>
  <c r="BC478" i="212"/>
  <c r="I478" i="212"/>
  <c r="H478" i="212"/>
  <c r="E478" i="212"/>
  <c r="D478" i="212"/>
  <c r="C478" i="212"/>
  <c r="BE477" i="212"/>
  <c r="BC477" i="212"/>
  <c r="I477" i="212"/>
  <c r="H477" i="212"/>
  <c r="E477" i="212"/>
  <c r="D477" i="212"/>
  <c r="C477" i="212"/>
  <c r="BE476" i="212"/>
  <c r="BC476" i="212"/>
  <c r="I476" i="212"/>
  <c r="H476" i="212"/>
  <c r="E476" i="212"/>
  <c r="D476" i="212"/>
  <c r="C476" i="212"/>
  <c r="BE475" i="212"/>
  <c r="BC475" i="212"/>
  <c r="I475" i="212"/>
  <c r="H475" i="212"/>
  <c r="E475" i="212"/>
  <c r="D475" i="212"/>
  <c r="C475" i="212"/>
  <c r="BE474" i="212"/>
  <c r="BC474" i="212"/>
  <c r="I474" i="212"/>
  <c r="H474" i="212"/>
  <c r="E474" i="212"/>
  <c r="D474" i="212"/>
  <c r="C474" i="212"/>
  <c r="BE473" i="212"/>
  <c r="BC473" i="212"/>
  <c r="I473" i="212"/>
  <c r="H473" i="212"/>
  <c r="E473" i="212"/>
  <c r="D473" i="212"/>
  <c r="C473" i="212"/>
  <c r="BE472" i="212"/>
  <c r="BC472" i="212"/>
  <c r="I472" i="212"/>
  <c r="H472" i="212"/>
  <c r="E472" i="212"/>
  <c r="D472" i="212"/>
  <c r="C472" i="212"/>
  <c r="BE471" i="212"/>
  <c r="BC471" i="212"/>
  <c r="I471" i="212"/>
  <c r="H471" i="212"/>
  <c r="E471" i="212"/>
  <c r="D471" i="212"/>
  <c r="C471" i="212"/>
  <c r="BE470" i="212"/>
  <c r="BC470" i="212"/>
  <c r="I470" i="212"/>
  <c r="H470" i="212"/>
  <c r="E470" i="212"/>
  <c r="D470" i="212"/>
  <c r="C470" i="212"/>
  <c r="BE469" i="212"/>
  <c r="BC469" i="212"/>
  <c r="I469" i="212"/>
  <c r="H469" i="212"/>
  <c r="E469" i="212"/>
  <c r="D469" i="212"/>
  <c r="C469" i="212"/>
  <c r="BE468" i="212"/>
  <c r="BC468" i="212"/>
  <c r="I468" i="212"/>
  <c r="H468" i="212"/>
  <c r="E468" i="212"/>
  <c r="D468" i="212"/>
  <c r="C468" i="212"/>
  <c r="BE467" i="212"/>
  <c r="BC467" i="212"/>
  <c r="I467" i="212"/>
  <c r="H467" i="212"/>
  <c r="E467" i="212"/>
  <c r="D467" i="212"/>
  <c r="C467" i="212"/>
  <c r="BE466" i="212"/>
  <c r="BC466" i="212"/>
  <c r="I466" i="212"/>
  <c r="H466" i="212"/>
  <c r="E466" i="212"/>
  <c r="D466" i="212"/>
  <c r="C466" i="212"/>
  <c r="BE465" i="212"/>
  <c r="BC465" i="212"/>
  <c r="I465" i="212"/>
  <c r="H465" i="212"/>
  <c r="E465" i="212"/>
  <c r="D465" i="212"/>
  <c r="C465" i="212"/>
  <c r="BE464" i="212"/>
  <c r="BC464" i="212"/>
  <c r="I464" i="212"/>
  <c r="H464" i="212"/>
  <c r="E464" i="212"/>
  <c r="D464" i="212"/>
  <c r="C464" i="212"/>
  <c r="BE463" i="212"/>
  <c r="BC463" i="212"/>
  <c r="I463" i="212"/>
  <c r="H463" i="212"/>
  <c r="E463" i="212"/>
  <c r="D463" i="212"/>
  <c r="C463" i="212"/>
  <c r="BE462" i="212"/>
  <c r="BC462" i="212"/>
  <c r="I462" i="212"/>
  <c r="H462" i="212"/>
  <c r="E462" i="212"/>
  <c r="D462" i="212"/>
  <c r="C462" i="212"/>
  <c r="BE461" i="212"/>
  <c r="BC461" i="212"/>
  <c r="I461" i="212"/>
  <c r="H461" i="212"/>
  <c r="E461" i="212"/>
  <c r="D461" i="212"/>
  <c r="C461" i="212"/>
  <c r="BE460" i="212"/>
  <c r="BC460" i="212"/>
  <c r="I460" i="212"/>
  <c r="H460" i="212"/>
  <c r="E460" i="212"/>
  <c r="D460" i="212"/>
  <c r="C460" i="212"/>
  <c r="BE459" i="212"/>
  <c r="BC459" i="212"/>
  <c r="I459" i="212"/>
  <c r="H459" i="212"/>
  <c r="E459" i="212"/>
  <c r="D459" i="212"/>
  <c r="C459" i="212"/>
  <c r="BE458" i="212"/>
  <c r="BC458" i="212"/>
  <c r="I458" i="212"/>
  <c r="H458" i="212"/>
  <c r="E458" i="212"/>
  <c r="D458" i="212"/>
  <c r="C458" i="212"/>
  <c r="BE457" i="212"/>
  <c r="BC457" i="212"/>
  <c r="I457" i="212"/>
  <c r="H457" i="212"/>
  <c r="E457" i="212"/>
  <c r="D457" i="212"/>
  <c r="C457" i="212"/>
  <c r="BE456" i="212"/>
  <c r="BC456" i="212"/>
  <c r="I456" i="212"/>
  <c r="H456" i="212"/>
  <c r="E456" i="212"/>
  <c r="D456" i="212"/>
  <c r="C456" i="212"/>
  <c r="BE455" i="212"/>
  <c r="BC455" i="212"/>
  <c r="I455" i="212"/>
  <c r="H455" i="212"/>
  <c r="E455" i="212"/>
  <c r="D455" i="212"/>
  <c r="C455" i="212"/>
  <c r="BE454" i="212"/>
  <c r="BC454" i="212"/>
  <c r="I454" i="212"/>
  <c r="H454" i="212"/>
  <c r="E454" i="212"/>
  <c r="D454" i="212"/>
  <c r="C454" i="212"/>
  <c r="BE453" i="212"/>
  <c r="BC453" i="212"/>
  <c r="I453" i="212"/>
  <c r="H453" i="212"/>
  <c r="E453" i="212"/>
  <c r="D453" i="212"/>
  <c r="C453" i="212"/>
  <c r="BE452" i="212"/>
  <c r="BC452" i="212"/>
  <c r="I452" i="212"/>
  <c r="H452" i="212"/>
  <c r="E452" i="212"/>
  <c r="D452" i="212"/>
  <c r="C452" i="212"/>
  <c r="BE451" i="212"/>
  <c r="BC451" i="212"/>
  <c r="I451" i="212"/>
  <c r="H451" i="212"/>
  <c r="E451" i="212"/>
  <c r="D451" i="212"/>
  <c r="C451" i="212"/>
  <c r="BE450" i="212"/>
  <c r="BC450" i="212"/>
  <c r="I450" i="212"/>
  <c r="H450" i="212"/>
  <c r="E450" i="212"/>
  <c r="D450" i="212"/>
  <c r="C450" i="212"/>
  <c r="BE449" i="212"/>
  <c r="BC449" i="212"/>
  <c r="I449" i="212"/>
  <c r="H449" i="212"/>
  <c r="E449" i="212"/>
  <c r="D449" i="212"/>
  <c r="C449" i="212"/>
  <c r="BE448" i="212"/>
  <c r="BC448" i="212"/>
  <c r="I448" i="212"/>
  <c r="H448" i="212"/>
  <c r="E448" i="212"/>
  <c r="D448" i="212"/>
  <c r="C448" i="212"/>
  <c r="BE447" i="212"/>
  <c r="BC447" i="212"/>
  <c r="I447" i="212"/>
  <c r="H447" i="212"/>
  <c r="E447" i="212"/>
  <c r="D447" i="212"/>
  <c r="C447" i="212"/>
  <c r="BE446" i="212"/>
  <c r="BC446" i="212"/>
  <c r="I446" i="212"/>
  <c r="H446" i="212"/>
  <c r="E446" i="212"/>
  <c r="D446" i="212"/>
  <c r="C446" i="212"/>
  <c r="BE445" i="212"/>
  <c r="BC445" i="212"/>
  <c r="I445" i="212"/>
  <c r="H445" i="212"/>
  <c r="E445" i="212"/>
  <c r="D445" i="212"/>
  <c r="C445" i="212"/>
  <c r="BE444" i="212"/>
  <c r="BC444" i="212"/>
  <c r="I444" i="212"/>
  <c r="H444" i="212"/>
  <c r="E444" i="212"/>
  <c r="D444" i="212"/>
  <c r="C444" i="212"/>
  <c r="BE443" i="212"/>
  <c r="BC443" i="212"/>
  <c r="I443" i="212"/>
  <c r="H443" i="212"/>
  <c r="E443" i="212"/>
  <c r="D443" i="212"/>
  <c r="C443" i="212"/>
  <c r="BE442" i="212"/>
  <c r="BC442" i="212"/>
  <c r="I442" i="212"/>
  <c r="H442" i="212"/>
  <c r="E442" i="212"/>
  <c r="D442" i="212"/>
  <c r="C442" i="212"/>
  <c r="BE441" i="212"/>
  <c r="BC441" i="212"/>
  <c r="I441" i="212"/>
  <c r="H441" i="212"/>
  <c r="E441" i="212"/>
  <c r="D441" i="212"/>
  <c r="C441" i="212"/>
  <c r="BE440" i="212"/>
  <c r="BC440" i="212"/>
  <c r="I440" i="212"/>
  <c r="H440" i="212"/>
  <c r="E440" i="212"/>
  <c r="D440" i="212"/>
  <c r="C440" i="212"/>
  <c r="BE439" i="212"/>
  <c r="BC439" i="212"/>
  <c r="I439" i="212"/>
  <c r="H439" i="212"/>
  <c r="E439" i="212"/>
  <c r="D439" i="212"/>
  <c r="C439" i="212"/>
  <c r="BE438" i="212"/>
  <c r="BC438" i="212"/>
  <c r="I438" i="212"/>
  <c r="H438" i="212"/>
  <c r="E438" i="212"/>
  <c r="D438" i="212"/>
  <c r="C438" i="212"/>
  <c r="BE437" i="212"/>
  <c r="BC437" i="212"/>
  <c r="I437" i="212"/>
  <c r="H437" i="212"/>
  <c r="E437" i="212"/>
  <c r="D437" i="212"/>
  <c r="C437" i="212"/>
  <c r="BE436" i="212"/>
  <c r="BC436" i="212"/>
  <c r="I436" i="212"/>
  <c r="H436" i="212"/>
  <c r="E436" i="212"/>
  <c r="D436" i="212"/>
  <c r="C436" i="212"/>
  <c r="BE435" i="212"/>
  <c r="BC435" i="212"/>
  <c r="I435" i="212"/>
  <c r="H435" i="212"/>
  <c r="E435" i="212"/>
  <c r="D435" i="212"/>
  <c r="C435" i="212"/>
  <c r="BE434" i="212"/>
  <c r="BC434" i="212"/>
  <c r="I434" i="212"/>
  <c r="H434" i="212"/>
  <c r="E434" i="212"/>
  <c r="D434" i="212"/>
  <c r="C434" i="212"/>
  <c r="BE433" i="212"/>
  <c r="BC433" i="212"/>
  <c r="I433" i="212"/>
  <c r="H433" i="212"/>
  <c r="E433" i="212"/>
  <c r="D433" i="212"/>
  <c r="C433" i="212"/>
  <c r="BE432" i="212"/>
  <c r="BC432" i="212"/>
  <c r="I432" i="212"/>
  <c r="H432" i="212"/>
  <c r="E432" i="212"/>
  <c r="D432" i="212"/>
  <c r="C432" i="212"/>
  <c r="BE431" i="212"/>
  <c r="BC431" i="212"/>
  <c r="I431" i="212"/>
  <c r="H431" i="212"/>
  <c r="E431" i="212"/>
  <c r="D431" i="212"/>
  <c r="C431" i="212"/>
  <c r="BE430" i="212"/>
  <c r="BC430" i="212"/>
  <c r="I430" i="212"/>
  <c r="H430" i="212"/>
  <c r="E430" i="212"/>
  <c r="D430" i="212"/>
  <c r="C430" i="212"/>
  <c r="BE429" i="212"/>
  <c r="BC429" i="212"/>
  <c r="I429" i="212"/>
  <c r="H429" i="212"/>
  <c r="E429" i="212"/>
  <c r="D429" i="212"/>
  <c r="C429" i="212"/>
  <c r="BE428" i="212"/>
  <c r="BC428" i="212"/>
  <c r="I428" i="212"/>
  <c r="H428" i="212"/>
  <c r="E428" i="212"/>
  <c r="D428" i="212"/>
  <c r="C428" i="212"/>
  <c r="BE427" i="212"/>
  <c r="BC427" i="212"/>
  <c r="I427" i="212"/>
  <c r="H427" i="212"/>
  <c r="E427" i="212"/>
  <c r="D427" i="212"/>
  <c r="C427" i="212"/>
  <c r="BE426" i="212"/>
  <c r="BC426" i="212"/>
  <c r="I426" i="212"/>
  <c r="H426" i="212"/>
  <c r="E426" i="212"/>
  <c r="D426" i="212"/>
  <c r="C426" i="212"/>
  <c r="BE425" i="212"/>
  <c r="BC425" i="212"/>
  <c r="I425" i="212"/>
  <c r="H425" i="212"/>
  <c r="E425" i="212"/>
  <c r="D425" i="212"/>
  <c r="C425" i="212"/>
  <c r="BE424" i="212"/>
  <c r="BC424" i="212"/>
  <c r="I424" i="212"/>
  <c r="H424" i="212"/>
  <c r="E424" i="212"/>
  <c r="D424" i="212"/>
  <c r="C424" i="212"/>
  <c r="BE423" i="212"/>
  <c r="BC423" i="212"/>
  <c r="I423" i="212"/>
  <c r="H423" i="212"/>
  <c r="E423" i="212"/>
  <c r="D423" i="212"/>
  <c r="C423" i="212"/>
  <c r="BE422" i="212"/>
  <c r="BC422" i="212"/>
  <c r="I422" i="212"/>
  <c r="H422" i="212"/>
  <c r="E422" i="212"/>
  <c r="D422" i="212"/>
  <c r="C422" i="212"/>
  <c r="BE421" i="212"/>
  <c r="BC421" i="212"/>
  <c r="I421" i="212"/>
  <c r="H421" i="212"/>
  <c r="E421" i="212"/>
  <c r="D421" i="212"/>
  <c r="C421" i="212"/>
  <c r="BE420" i="212"/>
  <c r="BC420" i="212"/>
  <c r="I420" i="212"/>
  <c r="H420" i="212"/>
  <c r="E420" i="212"/>
  <c r="D420" i="212"/>
  <c r="C420" i="212"/>
  <c r="BE419" i="212"/>
  <c r="BC419" i="212"/>
  <c r="I419" i="212"/>
  <c r="H419" i="212"/>
  <c r="E419" i="212"/>
  <c r="D419" i="212"/>
  <c r="C419" i="212"/>
  <c r="BE418" i="212"/>
  <c r="BC418" i="212"/>
  <c r="I418" i="212"/>
  <c r="H418" i="212"/>
  <c r="E418" i="212"/>
  <c r="D418" i="212"/>
  <c r="C418" i="212"/>
  <c r="BE417" i="212"/>
  <c r="BC417" i="212"/>
  <c r="I417" i="212"/>
  <c r="H417" i="212"/>
  <c r="E417" i="212"/>
  <c r="D417" i="212"/>
  <c r="C417" i="212"/>
  <c r="BE416" i="212"/>
  <c r="BC416" i="212"/>
  <c r="I416" i="212"/>
  <c r="H416" i="212"/>
  <c r="E416" i="212"/>
  <c r="D416" i="212"/>
  <c r="C416" i="212"/>
  <c r="BE415" i="212"/>
  <c r="BC415" i="212"/>
  <c r="I415" i="212"/>
  <c r="H415" i="212"/>
  <c r="E415" i="212"/>
  <c r="D415" i="212"/>
  <c r="C415" i="212"/>
  <c r="BE414" i="212"/>
  <c r="BC414" i="212"/>
  <c r="I414" i="212"/>
  <c r="H414" i="212"/>
  <c r="E414" i="212"/>
  <c r="D414" i="212"/>
  <c r="C414" i="212"/>
  <c r="BE413" i="212"/>
  <c r="BC413" i="212"/>
  <c r="I413" i="212"/>
  <c r="H413" i="212"/>
  <c r="E413" i="212"/>
  <c r="D413" i="212"/>
  <c r="C413" i="212"/>
  <c r="BE412" i="212"/>
  <c r="BC412" i="212"/>
  <c r="I412" i="212"/>
  <c r="H412" i="212"/>
  <c r="E412" i="212"/>
  <c r="D412" i="212"/>
  <c r="C412" i="212"/>
  <c r="BE411" i="212"/>
  <c r="BC411" i="212"/>
  <c r="I411" i="212"/>
  <c r="H411" i="212"/>
  <c r="E411" i="212"/>
  <c r="D411" i="212"/>
  <c r="C411" i="212"/>
  <c r="BE410" i="212"/>
  <c r="BC410" i="212"/>
  <c r="I410" i="212"/>
  <c r="H410" i="212"/>
  <c r="E410" i="212"/>
  <c r="D410" i="212"/>
  <c r="C410" i="212"/>
  <c r="BE409" i="212"/>
  <c r="BC409" i="212"/>
  <c r="I409" i="212"/>
  <c r="H409" i="212"/>
  <c r="E409" i="212"/>
  <c r="D409" i="212"/>
  <c r="C409" i="212"/>
  <c r="BE408" i="212"/>
  <c r="BC408" i="212"/>
  <c r="I408" i="212"/>
  <c r="H408" i="212"/>
  <c r="E408" i="212"/>
  <c r="D408" i="212"/>
  <c r="C408" i="212"/>
  <c r="BE407" i="212"/>
  <c r="BC407" i="212"/>
  <c r="I407" i="212"/>
  <c r="H407" i="212"/>
  <c r="E407" i="212"/>
  <c r="D407" i="212"/>
  <c r="C407" i="212"/>
  <c r="BE406" i="212"/>
  <c r="BC406" i="212"/>
  <c r="I406" i="212"/>
  <c r="H406" i="212"/>
  <c r="E406" i="212"/>
  <c r="D406" i="212"/>
  <c r="C406" i="212"/>
  <c r="BE405" i="212"/>
  <c r="BC405" i="212"/>
  <c r="I405" i="212"/>
  <c r="H405" i="212"/>
  <c r="E405" i="212"/>
  <c r="D405" i="212"/>
  <c r="C405" i="212"/>
  <c r="BE404" i="212"/>
  <c r="BC404" i="212"/>
  <c r="I404" i="212"/>
  <c r="H404" i="212"/>
  <c r="E404" i="212"/>
  <c r="D404" i="212"/>
  <c r="C404" i="212"/>
  <c r="BE403" i="212"/>
  <c r="BC403" i="212"/>
  <c r="I403" i="212"/>
  <c r="H403" i="212"/>
  <c r="E403" i="212"/>
  <c r="D403" i="212"/>
  <c r="C403" i="212"/>
  <c r="BE402" i="212"/>
  <c r="BC402" i="212"/>
  <c r="I402" i="212"/>
  <c r="H402" i="212"/>
  <c r="E402" i="212"/>
  <c r="D402" i="212"/>
  <c r="C402" i="212"/>
  <c r="BE401" i="212"/>
  <c r="BC401" i="212"/>
  <c r="I401" i="212"/>
  <c r="H401" i="212"/>
  <c r="E401" i="212"/>
  <c r="D401" i="212"/>
  <c r="C401" i="212"/>
  <c r="BE400" i="212"/>
  <c r="BC400" i="212"/>
  <c r="I400" i="212"/>
  <c r="H400" i="212"/>
  <c r="E400" i="212"/>
  <c r="D400" i="212"/>
  <c r="C400" i="212"/>
  <c r="BE399" i="212"/>
  <c r="BC399" i="212"/>
  <c r="I399" i="212"/>
  <c r="H399" i="212"/>
  <c r="E399" i="212"/>
  <c r="D399" i="212"/>
  <c r="C399" i="212"/>
  <c r="BE398" i="212"/>
  <c r="BC398" i="212"/>
  <c r="I398" i="212"/>
  <c r="H398" i="212"/>
  <c r="E398" i="212"/>
  <c r="D398" i="212"/>
  <c r="C398" i="212"/>
  <c r="BE397" i="212"/>
  <c r="BC397" i="212"/>
  <c r="I397" i="212"/>
  <c r="H397" i="212"/>
  <c r="E397" i="212"/>
  <c r="D397" i="212"/>
  <c r="C397" i="212"/>
  <c r="BE396" i="212"/>
  <c r="BC396" i="212"/>
  <c r="I396" i="212"/>
  <c r="H396" i="212"/>
  <c r="E396" i="212"/>
  <c r="D396" i="212"/>
  <c r="C396" i="212"/>
  <c r="BE395" i="212"/>
  <c r="BC395" i="212"/>
  <c r="I395" i="212"/>
  <c r="H395" i="212"/>
  <c r="E395" i="212"/>
  <c r="D395" i="212"/>
  <c r="C395" i="212"/>
  <c r="BE394" i="212"/>
  <c r="BC394" i="212"/>
  <c r="I394" i="212"/>
  <c r="H394" i="212"/>
  <c r="E394" i="212"/>
  <c r="D394" i="212"/>
  <c r="C394" i="212"/>
  <c r="BE393" i="212"/>
  <c r="BC393" i="212"/>
  <c r="I393" i="212"/>
  <c r="H393" i="212"/>
  <c r="E393" i="212"/>
  <c r="D393" i="212"/>
  <c r="C393" i="212"/>
  <c r="BE392" i="212"/>
  <c r="BC392" i="212"/>
  <c r="I392" i="212"/>
  <c r="H392" i="212"/>
  <c r="E392" i="212"/>
  <c r="D392" i="212"/>
  <c r="C392" i="212"/>
  <c r="BE391" i="212"/>
  <c r="BC391" i="212"/>
  <c r="I391" i="212"/>
  <c r="H391" i="212"/>
  <c r="E391" i="212"/>
  <c r="D391" i="212"/>
  <c r="C391" i="212"/>
  <c r="BE390" i="212"/>
  <c r="BC390" i="212"/>
  <c r="I390" i="212"/>
  <c r="H390" i="212"/>
  <c r="E390" i="212"/>
  <c r="D390" i="212"/>
  <c r="C390" i="212"/>
  <c r="BE389" i="212"/>
  <c r="BC389" i="212"/>
  <c r="I389" i="212"/>
  <c r="H389" i="212"/>
  <c r="E389" i="212"/>
  <c r="D389" i="212"/>
  <c r="C389" i="212"/>
  <c r="BE388" i="212"/>
  <c r="BC388" i="212"/>
  <c r="I388" i="212"/>
  <c r="H388" i="212"/>
  <c r="E388" i="212"/>
  <c r="D388" i="212"/>
  <c r="C388" i="212"/>
  <c r="BE387" i="212"/>
  <c r="BC387" i="212"/>
  <c r="I387" i="212"/>
  <c r="H387" i="212"/>
  <c r="E387" i="212"/>
  <c r="D387" i="212"/>
  <c r="C387" i="212"/>
  <c r="BE386" i="212"/>
  <c r="BC386" i="212"/>
  <c r="I386" i="212"/>
  <c r="H386" i="212"/>
  <c r="E386" i="212"/>
  <c r="D386" i="212"/>
  <c r="C386" i="212"/>
  <c r="BE385" i="212"/>
  <c r="BC385" i="212"/>
  <c r="I385" i="212"/>
  <c r="H385" i="212"/>
  <c r="E385" i="212"/>
  <c r="D385" i="212"/>
  <c r="C385" i="212"/>
  <c r="BE384" i="212"/>
  <c r="BC384" i="212"/>
  <c r="I384" i="212"/>
  <c r="H384" i="212"/>
  <c r="E384" i="212"/>
  <c r="D384" i="212"/>
  <c r="C384" i="212"/>
  <c r="BE383" i="212"/>
  <c r="BC383" i="212"/>
  <c r="I383" i="212"/>
  <c r="H383" i="212"/>
  <c r="E383" i="212"/>
  <c r="D383" i="212"/>
  <c r="C383" i="212"/>
  <c r="BE382" i="212"/>
  <c r="BC382" i="212"/>
  <c r="I382" i="212"/>
  <c r="H382" i="212"/>
  <c r="E382" i="212"/>
  <c r="D382" i="212"/>
  <c r="C382" i="212"/>
  <c r="BE381" i="212"/>
  <c r="BC381" i="212"/>
  <c r="I381" i="212"/>
  <c r="H381" i="212"/>
  <c r="E381" i="212"/>
  <c r="D381" i="212"/>
  <c r="C381" i="212"/>
  <c r="BE380" i="212"/>
  <c r="BC380" i="212"/>
  <c r="I380" i="212"/>
  <c r="H380" i="212"/>
  <c r="E380" i="212"/>
  <c r="D380" i="212"/>
  <c r="C380" i="212"/>
  <c r="BE379" i="212"/>
  <c r="BC379" i="212"/>
  <c r="I379" i="212"/>
  <c r="H379" i="212"/>
  <c r="E379" i="212"/>
  <c r="D379" i="212"/>
  <c r="C379" i="212"/>
  <c r="BE378" i="212"/>
  <c r="BC378" i="212"/>
  <c r="I378" i="212"/>
  <c r="H378" i="212"/>
  <c r="E378" i="212"/>
  <c r="D378" i="212"/>
  <c r="C378" i="212"/>
  <c r="BE377" i="212"/>
  <c r="BC377" i="212"/>
  <c r="I377" i="212"/>
  <c r="H377" i="212"/>
  <c r="E377" i="212"/>
  <c r="D377" i="212"/>
  <c r="C377" i="212"/>
  <c r="BE376" i="212"/>
  <c r="BC376" i="212"/>
  <c r="I376" i="212"/>
  <c r="H376" i="212"/>
  <c r="E376" i="212"/>
  <c r="D376" i="212"/>
  <c r="C376" i="212"/>
  <c r="BE375" i="212"/>
  <c r="BC375" i="212"/>
  <c r="I375" i="212"/>
  <c r="H375" i="212"/>
  <c r="E375" i="212"/>
  <c r="D375" i="212"/>
  <c r="C375" i="212"/>
  <c r="BE374" i="212"/>
  <c r="BC374" i="212"/>
  <c r="I374" i="212"/>
  <c r="H374" i="212"/>
  <c r="E374" i="212"/>
  <c r="D374" i="212"/>
  <c r="C374" i="212"/>
  <c r="BE373" i="212"/>
  <c r="BC373" i="212"/>
  <c r="I373" i="212"/>
  <c r="H373" i="212"/>
  <c r="E373" i="212"/>
  <c r="D373" i="212"/>
  <c r="C373" i="212"/>
  <c r="BE372" i="212"/>
  <c r="BC372" i="212"/>
  <c r="I372" i="212"/>
  <c r="H372" i="212"/>
  <c r="E372" i="212"/>
  <c r="D372" i="212"/>
  <c r="C372" i="212"/>
  <c r="BE371" i="212"/>
  <c r="BC371" i="212"/>
  <c r="I371" i="212"/>
  <c r="H371" i="212"/>
  <c r="E371" i="212"/>
  <c r="D371" i="212"/>
  <c r="C371" i="212"/>
  <c r="BE370" i="212"/>
  <c r="BC370" i="212"/>
  <c r="I370" i="212"/>
  <c r="H370" i="212"/>
  <c r="E370" i="212"/>
  <c r="D370" i="212"/>
  <c r="C370" i="212"/>
  <c r="BE369" i="212"/>
  <c r="BC369" i="212"/>
  <c r="I369" i="212"/>
  <c r="H369" i="212"/>
  <c r="E369" i="212"/>
  <c r="D369" i="212"/>
  <c r="C369" i="212"/>
  <c r="BE368" i="212"/>
  <c r="BC368" i="212"/>
  <c r="I368" i="212"/>
  <c r="H368" i="212"/>
  <c r="E368" i="212"/>
  <c r="D368" i="212"/>
  <c r="C368" i="212"/>
  <c r="BE367" i="212"/>
  <c r="BC367" i="212"/>
  <c r="I367" i="212"/>
  <c r="H367" i="212"/>
  <c r="E367" i="212"/>
  <c r="D367" i="212"/>
  <c r="C367" i="212"/>
  <c r="BE366" i="212"/>
  <c r="BC366" i="212"/>
  <c r="I366" i="212"/>
  <c r="H366" i="212"/>
  <c r="E366" i="212"/>
  <c r="D366" i="212"/>
  <c r="C366" i="212"/>
  <c r="BE365" i="212"/>
  <c r="BC365" i="212"/>
  <c r="I365" i="212"/>
  <c r="H365" i="212"/>
  <c r="E365" i="212"/>
  <c r="D365" i="212"/>
  <c r="C365" i="212"/>
  <c r="BE364" i="212"/>
  <c r="BC364" i="212"/>
  <c r="I364" i="212"/>
  <c r="H364" i="212"/>
  <c r="E364" i="212"/>
  <c r="D364" i="212"/>
  <c r="C364" i="212"/>
  <c r="BE363" i="212"/>
  <c r="BC363" i="212"/>
  <c r="I363" i="212"/>
  <c r="H363" i="212"/>
  <c r="E363" i="212"/>
  <c r="D363" i="212"/>
  <c r="C363" i="212"/>
  <c r="BE362" i="212"/>
  <c r="BC362" i="212"/>
  <c r="I362" i="212"/>
  <c r="H362" i="212"/>
  <c r="E362" i="212"/>
  <c r="D362" i="212"/>
  <c r="C362" i="212"/>
  <c r="BE361" i="212"/>
  <c r="BC361" i="212"/>
  <c r="I361" i="212"/>
  <c r="H361" i="212"/>
  <c r="E361" i="212"/>
  <c r="D361" i="212"/>
  <c r="C361" i="212"/>
  <c r="BE360" i="212"/>
  <c r="BC360" i="212"/>
  <c r="I360" i="212"/>
  <c r="H360" i="212"/>
  <c r="E360" i="212"/>
  <c r="D360" i="212"/>
  <c r="C360" i="212"/>
  <c r="BE359" i="212"/>
  <c r="BC359" i="212"/>
  <c r="I359" i="212"/>
  <c r="H359" i="212"/>
  <c r="E359" i="212"/>
  <c r="D359" i="212"/>
  <c r="C359" i="212"/>
  <c r="BE358" i="212"/>
  <c r="BC358" i="212"/>
  <c r="I358" i="212"/>
  <c r="H358" i="212"/>
  <c r="E358" i="212"/>
  <c r="D358" i="212"/>
  <c r="C358" i="212"/>
  <c r="BE357" i="212"/>
  <c r="BC357" i="212"/>
  <c r="BA357" i="212"/>
  <c r="I357" i="212"/>
  <c r="H357" i="212"/>
  <c r="E357" i="212"/>
  <c r="D357" i="212"/>
  <c r="C357" i="212"/>
  <c r="BE356" i="212"/>
  <c r="BC356" i="212"/>
  <c r="I356" i="212"/>
  <c r="H356" i="212"/>
  <c r="E356" i="212"/>
  <c r="D356" i="212"/>
  <c r="C356" i="212"/>
  <c r="BE355" i="212"/>
  <c r="BC355" i="212"/>
  <c r="I355" i="212"/>
  <c r="H355" i="212"/>
  <c r="E355" i="212"/>
  <c r="D355" i="212"/>
  <c r="C355" i="212"/>
  <c r="BE354" i="212"/>
  <c r="BC354" i="212"/>
  <c r="I354" i="212"/>
  <c r="H354" i="212"/>
  <c r="E354" i="212"/>
  <c r="D354" i="212"/>
  <c r="C354" i="212"/>
  <c r="BE353" i="212"/>
  <c r="BC353" i="212"/>
  <c r="I353" i="212"/>
  <c r="H353" i="212"/>
  <c r="E353" i="212"/>
  <c r="D353" i="212"/>
  <c r="C353" i="212"/>
  <c r="BE352" i="212"/>
  <c r="BC352" i="212"/>
  <c r="I352" i="212"/>
  <c r="H352" i="212"/>
  <c r="E352" i="212"/>
  <c r="D352" i="212"/>
  <c r="C352" i="212"/>
  <c r="BE351" i="212"/>
  <c r="BC351" i="212"/>
  <c r="I351" i="212"/>
  <c r="H351" i="212"/>
  <c r="E351" i="212"/>
  <c r="D351" i="212"/>
  <c r="C351" i="212"/>
  <c r="BF350" i="212"/>
  <c r="BE350" i="212"/>
  <c r="BC350" i="212"/>
  <c r="BA350" i="212"/>
  <c r="I350" i="212"/>
  <c r="H350" i="212"/>
  <c r="E350" i="212"/>
  <c r="D350" i="212"/>
  <c r="C350" i="212"/>
  <c r="BE349" i="212"/>
  <c r="BC349" i="212"/>
  <c r="BA349" i="212"/>
  <c r="I349" i="212"/>
  <c r="H349" i="212"/>
  <c r="E349" i="212"/>
  <c r="D349" i="212"/>
  <c r="C349" i="212"/>
  <c r="BE348" i="212"/>
  <c r="BC348" i="212"/>
  <c r="BA348" i="212"/>
  <c r="I348" i="212"/>
  <c r="H348" i="212"/>
  <c r="E348" i="212"/>
  <c r="D348" i="212"/>
  <c r="C348" i="212"/>
  <c r="BE347" i="212"/>
  <c r="BC347" i="212"/>
  <c r="BA347" i="212"/>
  <c r="I347" i="212"/>
  <c r="H347" i="212"/>
  <c r="E347" i="212"/>
  <c r="D347" i="212"/>
  <c r="C347" i="212"/>
  <c r="BE346" i="212"/>
  <c r="BC346" i="212"/>
  <c r="BA346" i="212"/>
  <c r="I346" i="212"/>
  <c r="H346" i="212"/>
  <c r="E346" i="212"/>
  <c r="D346" i="212"/>
  <c r="C346" i="212"/>
  <c r="BE345" i="212"/>
  <c r="BC345" i="212"/>
  <c r="BA345" i="212"/>
  <c r="I345" i="212"/>
  <c r="H345" i="212"/>
  <c r="E345" i="212"/>
  <c r="D345" i="212"/>
  <c r="C345" i="212"/>
  <c r="BE344" i="212"/>
  <c r="BC344" i="212"/>
  <c r="BA344" i="212"/>
  <c r="I344" i="212"/>
  <c r="H344" i="212"/>
  <c r="E344" i="212"/>
  <c r="D344" i="212"/>
  <c r="C344" i="212"/>
  <c r="BE343" i="212"/>
  <c r="BC343" i="212"/>
  <c r="BA343" i="212"/>
  <c r="I343" i="212"/>
  <c r="H343" i="212"/>
  <c r="E343" i="212"/>
  <c r="D343" i="212"/>
  <c r="C343" i="212"/>
  <c r="BE342" i="212"/>
  <c r="BC342" i="212"/>
  <c r="BA342" i="212"/>
  <c r="H342" i="212"/>
  <c r="E342" i="212"/>
  <c r="C342" i="212"/>
  <c r="BE341" i="212"/>
  <c r="BC341" i="212"/>
  <c r="I341" i="212"/>
  <c r="H341" i="212"/>
  <c r="E341" i="212"/>
  <c r="D341" i="212"/>
  <c r="C341" i="212"/>
  <c r="BE340" i="212"/>
  <c r="BC340" i="212"/>
  <c r="I340" i="212"/>
  <c r="H340" i="212"/>
  <c r="E340" i="212"/>
  <c r="D340" i="212"/>
  <c r="C340" i="212"/>
  <c r="BE339" i="212"/>
  <c r="BC339" i="212"/>
  <c r="I339" i="212"/>
  <c r="H339" i="212"/>
  <c r="E339" i="212"/>
  <c r="D339" i="212"/>
  <c r="C339" i="212"/>
  <c r="BF338" i="212"/>
  <c r="BE338" i="212"/>
  <c r="BC338" i="212"/>
  <c r="H338" i="212"/>
  <c r="E338" i="212"/>
  <c r="C338" i="212"/>
  <c r="BF337" i="212"/>
  <c r="BE337" i="212"/>
  <c r="BC337" i="212"/>
  <c r="BA337" i="212"/>
  <c r="H337" i="212"/>
  <c r="E337" i="212"/>
  <c r="C337" i="212"/>
  <c r="BE336" i="212"/>
  <c r="BC336" i="212"/>
  <c r="BA336" i="212"/>
  <c r="I336" i="212"/>
  <c r="H336" i="212"/>
  <c r="E336" i="212"/>
  <c r="D336" i="212"/>
  <c r="C336" i="212"/>
  <c r="BE335" i="212"/>
  <c r="BC335" i="212"/>
  <c r="I335" i="212"/>
  <c r="H335" i="212"/>
  <c r="E335" i="212"/>
  <c r="D335" i="212"/>
  <c r="C335" i="212"/>
  <c r="BF334" i="212"/>
  <c r="BE334" i="212"/>
  <c r="BC334" i="212"/>
  <c r="H334" i="212"/>
  <c r="E334" i="212"/>
  <c r="C334" i="212"/>
  <c r="BE333" i="212"/>
  <c r="BC333" i="212"/>
  <c r="I333" i="212"/>
  <c r="H333" i="212"/>
  <c r="E333" i="212"/>
  <c r="D333" i="212"/>
  <c r="C333" i="212"/>
  <c r="BF332" i="212"/>
  <c r="BE332" i="212"/>
  <c r="BC332" i="212"/>
  <c r="H332" i="212"/>
  <c r="E332" i="212"/>
  <c r="C332" i="212"/>
  <c r="BF331" i="212"/>
  <c r="BE331" i="212"/>
  <c r="BC331" i="212"/>
  <c r="H331" i="212"/>
  <c r="E331" i="212"/>
  <c r="C331" i="212"/>
  <c r="BE330" i="212"/>
  <c r="BC330" i="212"/>
  <c r="BA330" i="212"/>
  <c r="I330" i="212"/>
  <c r="H330" i="212"/>
  <c r="E330" i="212"/>
  <c r="D330" i="212"/>
  <c r="C330" i="212"/>
  <c r="BF329" i="212"/>
  <c r="BE329" i="212"/>
  <c r="BC329" i="212"/>
  <c r="H329" i="212"/>
  <c r="E329" i="212"/>
  <c r="C329" i="212"/>
  <c r="BE328" i="212"/>
  <c r="BC328" i="212"/>
  <c r="BA328" i="212"/>
  <c r="I328" i="212"/>
  <c r="H328" i="212"/>
  <c r="E328" i="212"/>
  <c r="D328" i="212"/>
  <c r="C328" i="212"/>
  <c r="BE327" i="212"/>
  <c r="BC327" i="212"/>
  <c r="I327" i="212"/>
  <c r="H327" i="212"/>
  <c r="E327" i="212"/>
  <c r="D327" i="212"/>
  <c r="C327" i="212"/>
  <c r="BE326" i="212"/>
  <c r="BC326" i="212"/>
  <c r="BA326" i="212"/>
  <c r="H326" i="212"/>
  <c r="E326" i="212"/>
  <c r="C326" i="212"/>
  <c r="BE325" i="212"/>
  <c r="BC325" i="212"/>
  <c r="BA325" i="212"/>
  <c r="I325" i="212"/>
  <c r="H325" i="212"/>
  <c r="E325" i="212"/>
  <c r="D325" i="212"/>
  <c r="C325" i="212"/>
  <c r="BE324" i="212"/>
  <c r="BC324" i="212"/>
  <c r="BA324" i="212"/>
  <c r="I324" i="212"/>
  <c r="H324" i="212"/>
  <c r="E324" i="212"/>
  <c r="D324" i="212"/>
  <c r="C324" i="212"/>
  <c r="BE323" i="212"/>
  <c r="BC323" i="212"/>
  <c r="BA323" i="212"/>
  <c r="I323" i="212"/>
  <c r="H323" i="212"/>
  <c r="E323" i="212"/>
  <c r="D323" i="212"/>
  <c r="C323" i="212"/>
  <c r="BE322" i="212"/>
  <c r="BC322" i="212"/>
  <c r="BA322" i="212"/>
  <c r="I322" i="212"/>
  <c r="H322" i="212"/>
  <c r="E322" i="212"/>
  <c r="D322" i="212"/>
  <c r="C322" i="212"/>
  <c r="BE321" i="212"/>
  <c r="BC321" i="212"/>
  <c r="BA321" i="212"/>
  <c r="I321" i="212"/>
  <c r="H321" i="212"/>
  <c r="E321" i="212"/>
  <c r="D321" i="212"/>
  <c r="C321" i="212"/>
  <c r="BE320" i="212"/>
  <c r="BC320" i="212"/>
  <c r="BA320" i="212"/>
  <c r="I320" i="212"/>
  <c r="H320" i="212"/>
  <c r="E320" i="212"/>
  <c r="D320" i="212"/>
  <c r="C320" i="212"/>
  <c r="BE319" i="212"/>
  <c r="BC319" i="212"/>
  <c r="BA319" i="212"/>
  <c r="I319" i="212"/>
  <c r="H319" i="212"/>
  <c r="E319" i="212"/>
  <c r="D319" i="212"/>
  <c r="C319" i="212"/>
  <c r="BE318" i="212"/>
  <c r="BC318" i="212"/>
  <c r="I318" i="212"/>
  <c r="H318" i="212"/>
  <c r="E318" i="212"/>
  <c r="D318" i="212"/>
  <c r="C318" i="212"/>
  <c r="BE317" i="212"/>
  <c r="BC317" i="212"/>
  <c r="BA317" i="212"/>
  <c r="I317" i="212"/>
  <c r="H317" i="212"/>
  <c r="E317" i="212"/>
  <c r="D317" i="212"/>
  <c r="C317" i="212"/>
  <c r="BE316" i="212"/>
  <c r="BC316" i="212"/>
  <c r="BA316" i="212"/>
  <c r="I316" i="212"/>
  <c r="H316" i="212"/>
  <c r="E316" i="212"/>
  <c r="D316" i="212"/>
  <c r="C316" i="212"/>
  <c r="BE315" i="212"/>
  <c r="BC315" i="212"/>
  <c r="BA315" i="212"/>
  <c r="I315" i="212"/>
  <c r="H315" i="212"/>
  <c r="E315" i="212"/>
  <c r="D315" i="212"/>
  <c r="C315" i="212"/>
  <c r="BE314" i="212"/>
  <c r="BC314" i="212"/>
  <c r="BA314" i="212"/>
  <c r="I314" i="212"/>
  <c r="H314" i="212"/>
  <c r="E314" i="212"/>
  <c r="D314" i="212"/>
  <c r="C314" i="212"/>
  <c r="BE313" i="212"/>
  <c r="BC313" i="212"/>
  <c r="BA313" i="212"/>
  <c r="I313" i="212"/>
  <c r="H313" i="212"/>
  <c r="E313" i="212"/>
  <c r="D313" i="212"/>
  <c r="C313" i="212"/>
  <c r="BE312" i="212"/>
  <c r="BD312" i="212"/>
  <c r="BC312" i="212"/>
  <c r="BA312" i="212"/>
  <c r="H312" i="212"/>
  <c r="E312" i="212"/>
  <c r="C312" i="212"/>
  <c r="BE311" i="212"/>
  <c r="BC311" i="212"/>
  <c r="I311" i="212"/>
  <c r="H311" i="212"/>
  <c r="E311" i="212"/>
  <c r="D311" i="212"/>
  <c r="C311" i="212"/>
  <c r="BE310" i="212"/>
  <c r="BC310" i="212"/>
  <c r="I310" i="212"/>
  <c r="H310" i="212"/>
  <c r="E310" i="212"/>
  <c r="D310" i="212"/>
  <c r="C310" i="212"/>
  <c r="BE309" i="212"/>
  <c r="BC309" i="212"/>
  <c r="I309" i="212"/>
  <c r="H309" i="212"/>
  <c r="E309" i="212"/>
  <c r="D309" i="212"/>
  <c r="C309" i="212"/>
  <c r="BE308" i="212"/>
  <c r="BC308" i="212"/>
  <c r="I308" i="212"/>
  <c r="H308" i="212"/>
  <c r="E308" i="212"/>
  <c r="D308" i="212"/>
  <c r="C308" i="212"/>
  <c r="BE307" i="212"/>
  <c r="BC307" i="212"/>
  <c r="I307" i="212"/>
  <c r="H307" i="212"/>
  <c r="E307" i="212"/>
  <c r="D307" i="212"/>
  <c r="C307" i="212"/>
  <c r="BE306" i="212"/>
  <c r="BC306" i="212"/>
  <c r="I306" i="212"/>
  <c r="H306" i="212"/>
  <c r="E306" i="212"/>
  <c r="D306" i="212"/>
  <c r="C306" i="212"/>
  <c r="BE305" i="212"/>
  <c r="BC305" i="212"/>
  <c r="BA305" i="212"/>
  <c r="I305" i="212"/>
  <c r="H305" i="212"/>
  <c r="E305" i="212"/>
  <c r="D305" i="212"/>
  <c r="C305" i="212"/>
  <c r="BE304" i="212"/>
  <c r="BC304" i="212"/>
  <c r="BA304" i="212"/>
  <c r="I304" i="212"/>
  <c r="H304" i="212"/>
  <c r="E304" i="212"/>
  <c r="D304" i="212"/>
  <c r="C304" i="212"/>
  <c r="BE303" i="212"/>
  <c r="BC303" i="212"/>
  <c r="I303" i="212"/>
  <c r="H303" i="212"/>
  <c r="E303" i="212"/>
  <c r="D303" i="212"/>
  <c r="C303" i="212"/>
  <c r="BF302" i="212"/>
  <c r="BE302" i="212"/>
  <c r="BC302" i="212"/>
  <c r="H302" i="212"/>
  <c r="E302" i="212"/>
  <c r="C302" i="212"/>
  <c r="BE301" i="212"/>
  <c r="BC301" i="212"/>
  <c r="BA301" i="212"/>
  <c r="I301" i="212"/>
  <c r="H301" i="212"/>
  <c r="E301" i="212"/>
  <c r="D301" i="212"/>
  <c r="C301" i="212"/>
  <c r="BE300" i="212"/>
  <c r="BC300" i="212"/>
  <c r="BA300" i="212"/>
  <c r="I300" i="212"/>
  <c r="H300" i="212"/>
  <c r="E300" i="212"/>
  <c r="D300" i="212"/>
  <c r="C300" i="212"/>
  <c r="BF299" i="212"/>
  <c r="BE299" i="212"/>
  <c r="BC299" i="212"/>
  <c r="BA299" i="212"/>
  <c r="H299" i="212"/>
  <c r="E299" i="212"/>
  <c r="C299" i="212"/>
  <c r="BE298" i="212"/>
  <c r="BC298" i="212"/>
  <c r="BA298" i="212"/>
  <c r="I298" i="212"/>
  <c r="H298" i="212"/>
  <c r="E298" i="212"/>
  <c r="D298" i="212"/>
  <c r="C298" i="212"/>
  <c r="BE297" i="212"/>
  <c r="BC297" i="212"/>
  <c r="BA297" i="212"/>
  <c r="I297" i="212"/>
  <c r="H297" i="212"/>
  <c r="E297" i="212"/>
  <c r="D297" i="212"/>
  <c r="C297" i="212"/>
  <c r="BE296" i="212"/>
  <c r="BD296" i="212"/>
  <c r="BC296" i="212"/>
  <c r="BA296" i="212"/>
  <c r="H296" i="212"/>
  <c r="E296" i="212"/>
  <c r="C296" i="212"/>
  <c r="BE295" i="212"/>
  <c r="BC295" i="212"/>
  <c r="BA295" i="212"/>
  <c r="I295" i="212"/>
  <c r="H295" i="212"/>
  <c r="E295" i="212"/>
  <c r="D295" i="212"/>
  <c r="C295" i="212"/>
  <c r="BE294" i="212"/>
  <c r="BC294" i="212"/>
  <c r="BA294" i="212"/>
  <c r="I294" i="212"/>
  <c r="H294" i="212"/>
  <c r="E294" i="212"/>
  <c r="D294" i="212"/>
  <c r="C294" i="212"/>
  <c r="BE293" i="212"/>
  <c r="BC293" i="212"/>
  <c r="BA293" i="212"/>
  <c r="I293" i="212"/>
  <c r="H293" i="212"/>
  <c r="E293" i="212"/>
  <c r="D293" i="212"/>
  <c r="C293" i="212"/>
  <c r="BF292" i="212"/>
  <c r="BE292" i="212"/>
  <c r="BC292" i="212"/>
  <c r="BA292" i="212"/>
  <c r="I292" i="212"/>
  <c r="H292" i="212"/>
  <c r="E292" i="212"/>
  <c r="D292" i="212"/>
  <c r="C292" i="212"/>
  <c r="BE291" i="212"/>
  <c r="BC291" i="212"/>
  <c r="I291" i="212"/>
  <c r="H291" i="212"/>
  <c r="E291" i="212"/>
  <c r="D291" i="212"/>
  <c r="C291" i="212"/>
  <c r="BE290" i="212"/>
  <c r="I290" i="212"/>
  <c r="H290" i="212"/>
  <c r="E290" i="212"/>
  <c r="D290" i="212"/>
  <c r="C290" i="212"/>
  <c r="BE289" i="212"/>
  <c r="BC289" i="212"/>
  <c r="BA289" i="212"/>
  <c r="I289" i="212"/>
  <c r="H289" i="212"/>
  <c r="E289" i="212"/>
  <c r="D289" i="212"/>
  <c r="C289" i="212"/>
  <c r="BE288" i="212"/>
  <c r="BC288" i="212"/>
  <c r="I288" i="212"/>
  <c r="H288" i="212"/>
  <c r="E288" i="212"/>
  <c r="D288" i="212"/>
  <c r="C288" i="212"/>
  <c r="BE287" i="212"/>
  <c r="I287" i="212"/>
  <c r="H287" i="212"/>
  <c r="E287" i="212"/>
  <c r="D287" i="212"/>
  <c r="C287" i="212"/>
  <c r="BE286" i="212"/>
  <c r="I286" i="212"/>
  <c r="H286" i="212"/>
  <c r="E286" i="212"/>
  <c r="D286" i="212"/>
  <c r="C286" i="212"/>
  <c r="BE285" i="212"/>
  <c r="I285" i="212"/>
  <c r="H285" i="212"/>
  <c r="E285" i="212"/>
  <c r="D285" i="212"/>
  <c r="C285" i="212"/>
  <c r="BE284" i="212"/>
  <c r="I284" i="212"/>
  <c r="H284" i="212"/>
  <c r="E284" i="212"/>
  <c r="D284" i="212"/>
  <c r="C284" i="212"/>
  <c r="BE283" i="212"/>
  <c r="BC283" i="212"/>
  <c r="I283" i="212"/>
  <c r="H283" i="212"/>
  <c r="E283" i="212"/>
  <c r="D283" i="212"/>
  <c r="C283" i="212"/>
  <c r="BE282" i="212"/>
  <c r="BC282" i="212"/>
  <c r="I282" i="212"/>
  <c r="H282" i="212"/>
  <c r="E282" i="212"/>
  <c r="D282" i="212"/>
  <c r="C282" i="212"/>
  <c r="BE281" i="212"/>
  <c r="I281" i="212"/>
  <c r="H281" i="212"/>
  <c r="E281" i="212"/>
  <c r="D281" i="212"/>
  <c r="C281" i="212"/>
  <c r="BE280" i="212"/>
  <c r="BC280" i="212"/>
  <c r="I280" i="212"/>
  <c r="H280" i="212"/>
  <c r="E280" i="212"/>
  <c r="D280" i="212"/>
  <c r="C280" i="212"/>
  <c r="BE279" i="212"/>
  <c r="I279" i="212"/>
  <c r="H279" i="212"/>
  <c r="E279" i="212"/>
  <c r="D279" i="212"/>
  <c r="C279" i="212"/>
  <c r="BE278" i="212"/>
  <c r="I278" i="212"/>
  <c r="H278" i="212"/>
  <c r="E278" i="212"/>
  <c r="D278" i="212"/>
  <c r="C278" i="212"/>
  <c r="BE277" i="212"/>
  <c r="I277" i="212"/>
  <c r="H277" i="212"/>
  <c r="E277" i="212"/>
  <c r="D277" i="212"/>
  <c r="C277" i="212"/>
  <c r="BE276" i="212"/>
  <c r="BC276" i="212"/>
  <c r="I276" i="212"/>
  <c r="H276" i="212"/>
  <c r="E276" i="212"/>
  <c r="D276" i="212"/>
  <c r="C276" i="212"/>
  <c r="BE275" i="212"/>
  <c r="I275" i="212"/>
  <c r="H275" i="212"/>
  <c r="E275" i="212"/>
  <c r="D275" i="212"/>
  <c r="C275" i="212"/>
  <c r="BE274" i="212"/>
  <c r="BC274" i="212"/>
  <c r="I274" i="212"/>
  <c r="H274" i="212"/>
  <c r="E274" i="212"/>
  <c r="D274" i="212"/>
  <c r="C274" i="212"/>
  <c r="BE273" i="212"/>
  <c r="I273" i="212"/>
  <c r="H273" i="212"/>
  <c r="E273" i="212"/>
  <c r="D273" i="212"/>
  <c r="C273" i="212"/>
  <c r="BE272" i="212"/>
  <c r="I272" i="212"/>
  <c r="H272" i="212"/>
  <c r="E272" i="212"/>
  <c r="D272" i="212"/>
  <c r="C272" i="212"/>
  <c r="BE271" i="212"/>
  <c r="BC271" i="212"/>
  <c r="I271" i="212"/>
  <c r="H271" i="212"/>
  <c r="E271" i="212"/>
  <c r="D271" i="212"/>
  <c r="C271" i="212"/>
  <c r="BE270" i="212"/>
  <c r="I270" i="212"/>
  <c r="H270" i="212"/>
  <c r="E270" i="212"/>
  <c r="D270" i="212"/>
  <c r="C270" i="212"/>
  <c r="BE269" i="212"/>
  <c r="BC269" i="212"/>
  <c r="BA269" i="212"/>
  <c r="I269" i="212"/>
  <c r="H269" i="212"/>
  <c r="E269" i="212"/>
  <c r="D269" i="212"/>
  <c r="C269" i="212"/>
  <c r="BE268" i="212"/>
  <c r="BC268" i="212"/>
  <c r="I268" i="212"/>
  <c r="H268" i="212"/>
  <c r="E268" i="212"/>
  <c r="D268" i="212"/>
  <c r="C268" i="212"/>
  <c r="BE267" i="212"/>
  <c r="BC267" i="212"/>
  <c r="I267" i="212"/>
  <c r="H267" i="212"/>
  <c r="E267" i="212"/>
  <c r="D267" i="212"/>
  <c r="C267" i="212"/>
  <c r="BE266" i="212"/>
  <c r="I266" i="212"/>
  <c r="H266" i="212"/>
  <c r="E266" i="212"/>
  <c r="D266" i="212"/>
  <c r="C266" i="212"/>
  <c r="BE265" i="212"/>
  <c r="BC265" i="212"/>
  <c r="I265" i="212"/>
  <c r="H265" i="212"/>
  <c r="E265" i="212"/>
  <c r="D265" i="212"/>
  <c r="C265" i="212"/>
  <c r="BE264" i="212"/>
  <c r="I264" i="212"/>
  <c r="H264" i="212"/>
  <c r="E264" i="212"/>
  <c r="D264" i="212"/>
  <c r="C264" i="212"/>
  <c r="BE263" i="212"/>
  <c r="I263" i="212"/>
  <c r="H263" i="212"/>
  <c r="E263" i="212"/>
  <c r="D263" i="212"/>
  <c r="C263" i="212"/>
  <c r="BE262" i="212"/>
  <c r="BC262" i="212"/>
  <c r="BA262" i="212"/>
  <c r="I262" i="212"/>
  <c r="H262" i="212"/>
  <c r="E262" i="212"/>
  <c r="D262" i="212"/>
  <c r="C262" i="212"/>
  <c r="BE261" i="212"/>
  <c r="BC261" i="212"/>
  <c r="I261" i="212"/>
  <c r="H261" i="212"/>
  <c r="E261" i="212"/>
  <c r="D261" i="212"/>
  <c r="C261" i="212"/>
  <c r="BE260" i="212"/>
  <c r="BC260" i="212"/>
  <c r="I260" i="212"/>
  <c r="H260" i="212"/>
  <c r="E260" i="212"/>
  <c r="D260" i="212"/>
  <c r="C260" i="212"/>
  <c r="BE259" i="212"/>
  <c r="BC259" i="212"/>
  <c r="I259" i="212"/>
  <c r="H259" i="212"/>
  <c r="E259" i="212"/>
  <c r="D259" i="212"/>
  <c r="C259" i="212"/>
  <c r="BE258" i="212"/>
  <c r="BC258" i="212"/>
  <c r="I258" i="212"/>
  <c r="H258" i="212"/>
  <c r="E258" i="212"/>
  <c r="D258" i="212"/>
  <c r="C258" i="212"/>
  <c r="BE257" i="212"/>
  <c r="I257" i="212"/>
  <c r="H257" i="212"/>
  <c r="E257" i="212"/>
  <c r="D257" i="212"/>
  <c r="C257" i="212"/>
  <c r="BE256" i="212"/>
  <c r="I256" i="212"/>
  <c r="H256" i="212"/>
  <c r="E256" i="212"/>
  <c r="D256" i="212"/>
  <c r="C256" i="212"/>
  <c r="BE255" i="212"/>
  <c r="BC255" i="212"/>
  <c r="I255" i="212"/>
  <c r="H255" i="212"/>
  <c r="E255" i="212"/>
  <c r="D255" i="212"/>
  <c r="C255" i="212"/>
  <c r="BE254" i="212"/>
  <c r="BC254" i="212"/>
  <c r="I254" i="212"/>
  <c r="H254" i="212"/>
  <c r="E254" i="212"/>
  <c r="D254" i="212"/>
  <c r="C254" i="212"/>
  <c r="BE253" i="212"/>
  <c r="BC253" i="212"/>
  <c r="I253" i="212"/>
  <c r="H253" i="212"/>
  <c r="E253" i="212"/>
  <c r="D253" i="212"/>
  <c r="C253" i="212"/>
  <c r="BE252" i="212"/>
  <c r="I252" i="212"/>
  <c r="H252" i="212"/>
  <c r="E252" i="212"/>
  <c r="D252" i="212"/>
  <c r="C252" i="212"/>
  <c r="BE251" i="212"/>
  <c r="BC251" i="212"/>
  <c r="I251" i="212"/>
  <c r="H251" i="212"/>
  <c r="E251" i="212"/>
  <c r="D251" i="212"/>
  <c r="C251" i="212"/>
  <c r="BE250" i="212"/>
  <c r="BC250" i="212"/>
  <c r="I250" i="212"/>
  <c r="H250" i="212"/>
  <c r="E250" i="212"/>
  <c r="D250" i="212"/>
  <c r="C250" i="212"/>
  <c r="BE249" i="212"/>
  <c r="BC249" i="212"/>
  <c r="I249" i="212"/>
  <c r="H249" i="212"/>
  <c r="E249" i="212"/>
  <c r="D249" i="212"/>
  <c r="C249" i="212"/>
  <c r="BE248" i="212"/>
  <c r="I248" i="212"/>
  <c r="H248" i="212"/>
  <c r="E248" i="212"/>
  <c r="D248" i="212"/>
  <c r="C248" i="212"/>
  <c r="BE247" i="212"/>
  <c r="I247" i="212"/>
  <c r="H247" i="212"/>
  <c r="E247" i="212"/>
  <c r="D247" i="212"/>
  <c r="C247" i="212"/>
  <c r="BE246" i="212"/>
  <c r="BC246" i="212"/>
  <c r="I246" i="212"/>
  <c r="H246" i="212"/>
  <c r="E246" i="212"/>
  <c r="D246" i="212"/>
  <c r="C246" i="212"/>
  <c r="BE245" i="212"/>
  <c r="BC245" i="212"/>
  <c r="I245" i="212"/>
  <c r="H245" i="212"/>
  <c r="E245" i="212"/>
  <c r="D245" i="212"/>
  <c r="C245" i="212"/>
  <c r="BE244" i="212"/>
  <c r="I244" i="212"/>
  <c r="H244" i="212"/>
  <c r="E244" i="212"/>
  <c r="D244" i="212"/>
  <c r="C244" i="212"/>
  <c r="BE243" i="212"/>
  <c r="BC243" i="212"/>
  <c r="I243" i="212"/>
  <c r="H243" i="212"/>
  <c r="E243" i="212"/>
  <c r="D243" i="212"/>
  <c r="C243" i="212"/>
  <c r="BE242" i="212"/>
  <c r="BC242" i="212"/>
  <c r="I242" i="212"/>
  <c r="H242" i="212"/>
  <c r="E242" i="212"/>
  <c r="D242" i="212"/>
  <c r="C242" i="212"/>
  <c r="BE241" i="212"/>
  <c r="I241" i="212"/>
  <c r="H241" i="212"/>
  <c r="E241" i="212"/>
  <c r="D241" i="212"/>
  <c r="C241" i="212"/>
  <c r="BE240" i="212"/>
  <c r="BC240" i="212"/>
  <c r="I240" i="212"/>
  <c r="H240" i="212"/>
  <c r="E240" i="212"/>
  <c r="D240" i="212"/>
  <c r="C240" i="212"/>
  <c r="BE239" i="212"/>
  <c r="BC239" i="212"/>
  <c r="I239" i="212"/>
  <c r="H239" i="212"/>
  <c r="E239" i="212"/>
  <c r="D239" i="212"/>
  <c r="C239" i="212"/>
  <c r="BF238" i="212"/>
  <c r="BE238" i="212"/>
  <c r="BC238" i="212"/>
  <c r="BA238" i="212"/>
  <c r="I238" i="212"/>
  <c r="H238" i="212"/>
  <c r="E238" i="212"/>
  <c r="D238" i="212"/>
  <c r="C238" i="212"/>
  <c r="BE237" i="212"/>
  <c r="I237" i="212"/>
  <c r="H237" i="212"/>
  <c r="E237" i="212"/>
  <c r="D237" i="212"/>
  <c r="C237" i="212"/>
  <c r="BE236" i="212"/>
  <c r="I236" i="212"/>
  <c r="H236" i="212"/>
  <c r="E236" i="212"/>
  <c r="D236" i="212"/>
  <c r="C236" i="212"/>
  <c r="BE235" i="212"/>
  <c r="BC235" i="212"/>
  <c r="I235" i="212"/>
  <c r="H235" i="212"/>
  <c r="E235" i="212"/>
  <c r="D235" i="212"/>
  <c r="C235" i="212"/>
  <c r="BE234" i="212"/>
  <c r="BC234" i="212"/>
  <c r="I234" i="212"/>
  <c r="H234" i="212"/>
  <c r="E234" i="212"/>
  <c r="D234" i="212"/>
  <c r="C234" i="212"/>
  <c r="BE233" i="212"/>
  <c r="I233" i="212"/>
  <c r="H233" i="212"/>
  <c r="E233" i="212"/>
  <c r="D233" i="212"/>
  <c r="C233" i="212"/>
  <c r="BE232" i="212"/>
  <c r="I232" i="212"/>
  <c r="H232" i="212"/>
  <c r="E232" i="212"/>
  <c r="D232" i="212"/>
  <c r="C232" i="212"/>
  <c r="BE231" i="212"/>
  <c r="BC231" i="212"/>
  <c r="I231" i="212"/>
  <c r="H231" i="212"/>
  <c r="E231" i="212"/>
  <c r="D231" i="212"/>
  <c r="C231" i="212"/>
  <c r="BE230" i="212"/>
  <c r="I230" i="212"/>
  <c r="H230" i="212"/>
  <c r="E230" i="212"/>
  <c r="D230" i="212"/>
  <c r="C230" i="212"/>
  <c r="BE229" i="212"/>
  <c r="I229" i="212"/>
  <c r="H229" i="212"/>
  <c r="E229" i="212"/>
  <c r="D229" i="212"/>
  <c r="C229" i="212"/>
  <c r="BE228" i="212"/>
  <c r="I228" i="212"/>
  <c r="H228" i="212"/>
  <c r="E228" i="212"/>
  <c r="D228" i="212"/>
  <c r="C228" i="212"/>
  <c r="BE227" i="212"/>
  <c r="I227" i="212"/>
  <c r="H227" i="212"/>
  <c r="E227" i="212"/>
  <c r="D227" i="212"/>
  <c r="C227" i="212"/>
  <c r="BE226" i="212"/>
  <c r="BC226" i="212"/>
  <c r="I226" i="212"/>
  <c r="H226" i="212"/>
  <c r="E226" i="212"/>
  <c r="D226" i="212"/>
  <c r="C226" i="212"/>
  <c r="BE225" i="212"/>
  <c r="I225" i="212"/>
  <c r="H225" i="212"/>
  <c r="E225" i="212"/>
  <c r="D225" i="212"/>
  <c r="C225" i="212"/>
  <c r="BE224" i="212"/>
  <c r="I224" i="212"/>
  <c r="H224" i="212"/>
  <c r="E224" i="212"/>
  <c r="D224" i="212"/>
  <c r="C224" i="212"/>
  <c r="BE223" i="212"/>
  <c r="I223" i="212"/>
  <c r="H223" i="212"/>
  <c r="E223" i="212"/>
  <c r="D223" i="212"/>
  <c r="C223" i="212"/>
  <c r="BE222" i="212"/>
  <c r="I222" i="212"/>
  <c r="H222" i="212"/>
  <c r="E222" i="212"/>
  <c r="D222" i="212"/>
  <c r="C222" i="212"/>
  <c r="BE221" i="212"/>
  <c r="I221" i="212"/>
  <c r="H221" i="212"/>
  <c r="E221" i="212"/>
  <c r="D221" i="212"/>
  <c r="C221" i="212"/>
  <c r="BE220" i="212"/>
  <c r="BC220" i="212"/>
  <c r="I220" i="212"/>
  <c r="H220" i="212"/>
  <c r="E220" i="212"/>
  <c r="D220" i="212"/>
  <c r="C220" i="212"/>
  <c r="BE219" i="212"/>
  <c r="BC219" i="212"/>
  <c r="BA219" i="212"/>
  <c r="I219" i="212"/>
  <c r="H219" i="212"/>
  <c r="E219" i="212"/>
  <c r="D219" i="212"/>
  <c r="C219" i="212"/>
  <c r="BE218" i="212"/>
  <c r="BC218" i="212"/>
  <c r="BA218" i="212"/>
  <c r="I218" i="212"/>
  <c r="H218" i="212"/>
  <c r="E218" i="212"/>
  <c r="D218" i="212"/>
  <c r="C218" i="212"/>
  <c r="BE217" i="212"/>
  <c r="BC217" i="212"/>
  <c r="BA217" i="212"/>
  <c r="I217" i="212"/>
  <c r="H217" i="212"/>
  <c r="E217" i="212"/>
  <c r="D217" i="212"/>
  <c r="C217" i="212"/>
  <c r="BE216" i="212"/>
  <c r="BC216" i="212"/>
  <c r="BA216" i="212"/>
  <c r="I216" i="212"/>
  <c r="H216" i="212"/>
  <c r="E216" i="212"/>
  <c r="D216" i="212"/>
  <c r="C216" i="212"/>
  <c r="BE215" i="212"/>
  <c r="BC215" i="212"/>
  <c r="BA215" i="212"/>
  <c r="I215" i="212"/>
  <c r="H215" i="212"/>
  <c r="E215" i="212"/>
  <c r="D215" i="212"/>
  <c r="C215" i="212"/>
  <c r="BE214" i="212"/>
  <c r="BC214" i="212"/>
  <c r="BA214" i="212"/>
  <c r="I214" i="212"/>
  <c r="H214" i="212"/>
  <c r="E214" i="212"/>
  <c r="D214" i="212"/>
  <c r="C214" i="212"/>
  <c r="BE213" i="212"/>
  <c r="BC213" i="212"/>
  <c r="BA213" i="212"/>
  <c r="I213" i="212"/>
  <c r="H213" i="212"/>
  <c r="E213" i="212"/>
  <c r="D213" i="212"/>
  <c r="C213" i="212"/>
  <c r="BE212" i="212"/>
  <c r="BC212" i="212"/>
  <c r="BA212" i="212"/>
  <c r="I212" i="212"/>
  <c r="H212" i="212"/>
  <c r="E212" i="212"/>
  <c r="D212" i="212"/>
  <c r="C212" i="212"/>
  <c r="BE211" i="212"/>
  <c r="BC211" i="212"/>
  <c r="BA211" i="212"/>
  <c r="I211" i="212"/>
  <c r="H211" i="212"/>
  <c r="E211" i="212"/>
  <c r="D211" i="212"/>
  <c r="C211" i="212"/>
  <c r="BE210" i="212"/>
  <c r="BC210" i="212"/>
  <c r="BA210" i="212"/>
  <c r="I210" i="212"/>
  <c r="H210" i="212"/>
  <c r="E210" i="212"/>
  <c r="D210" i="212"/>
  <c r="C210" i="212"/>
  <c r="BE209" i="212"/>
  <c r="BC209" i="212"/>
  <c r="BA209" i="212"/>
  <c r="I209" i="212"/>
  <c r="H209" i="212"/>
  <c r="E209" i="212"/>
  <c r="D209" i="212"/>
  <c r="C209" i="212"/>
  <c r="BE208" i="212"/>
  <c r="BC208" i="212"/>
  <c r="BA208" i="212"/>
  <c r="I208" i="212"/>
  <c r="H208" i="212"/>
  <c r="E208" i="212"/>
  <c r="D208" i="212"/>
  <c r="C208" i="212"/>
  <c r="BF207" i="212"/>
  <c r="BE207" i="212"/>
  <c r="BC207" i="212"/>
  <c r="BA207" i="212"/>
  <c r="I207" i="212"/>
  <c r="H207" i="212"/>
  <c r="E207" i="212"/>
  <c r="D207" i="212"/>
  <c r="C207" i="212"/>
  <c r="BE206" i="212"/>
  <c r="BC206" i="212"/>
  <c r="BA206" i="212"/>
  <c r="I206" i="212"/>
  <c r="H206" i="212"/>
  <c r="E206" i="212"/>
  <c r="D206" i="212"/>
  <c r="C206" i="212"/>
  <c r="BF205" i="212"/>
  <c r="BE205" i="212"/>
  <c r="BC205" i="212"/>
  <c r="BA205" i="212"/>
  <c r="I205" i="212"/>
  <c r="H205" i="212"/>
  <c r="E205" i="212"/>
  <c r="D205" i="212"/>
  <c r="C205" i="212"/>
  <c r="BF204" i="212"/>
  <c r="BE204" i="212"/>
  <c r="BD204" i="212"/>
  <c r="BC204" i="212"/>
  <c r="BA204" i="212"/>
  <c r="I204" i="212"/>
  <c r="H204" i="212"/>
  <c r="E204" i="212"/>
  <c r="D204" i="212"/>
  <c r="C204" i="212"/>
  <c r="BF203" i="212"/>
  <c r="BE203" i="212"/>
  <c r="BC203" i="212"/>
  <c r="H203" i="212"/>
  <c r="E203" i="212"/>
  <c r="C203" i="212"/>
  <c r="BE202" i="212"/>
  <c r="BC202" i="212"/>
  <c r="BA202" i="212"/>
  <c r="H202" i="212"/>
  <c r="E202" i="212"/>
  <c r="C202" i="212"/>
  <c r="BF201" i="212"/>
  <c r="BE201" i="212"/>
  <c r="BC201" i="212"/>
  <c r="BA201" i="212"/>
  <c r="H201" i="212"/>
  <c r="E201" i="212"/>
  <c r="C201" i="212"/>
  <c r="BF200" i="212"/>
  <c r="BE200" i="212"/>
  <c r="BC200" i="212"/>
  <c r="BA200" i="212"/>
  <c r="I200" i="212"/>
  <c r="H200" i="212"/>
  <c r="E200" i="212"/>
  <c r="D200" i="212"/>
  <c r="C200" i="212"/>
  <c r="BF199" i="212"/>
  <c r="BE199" i="212"/>
  <c r="BC199" i="212"/>
  <c r="BA199" i="212"/>
  <c r="I199" i="212"/>
  <c r="H199" i="212"/>
  <c r="E199" i="212"/>
  <c r="D199" i="212"/>
  <c r="C199" i="212"/>
  <c r="BF198" i="212"/>
  <c r="BE198" i="212"/>
  <c r="BD198" i="212"/>
  <c r="BC198" i="212"/>
  <c r="BA198" i="212"/>
  <c r="I198" i="212"/>
  <c r="H198" i="212"/>
  <c r="E198" i="212"/>
  <c r="D198" i="212"/>
  <c r="C198" i="212"/>
  <c r="BF197" i="212"/>
  <c r="BE197" i="212"/>
  <c r="BC197" i="212"/>
  <c r="BA197" i="212"/>
  <c r="I197" i="212"/>
  <c r="H197" i="212"/>
  <c r="E197" i="212"/>
  <c r="D197" i="212"/>
  <c r="C197" i="212"/>
  <c r="BF196" i="212"/>
  <c r="BE196" i="212"/>
  <c r="BC196" i="212"/>
  <c r="BA196" i="212"/>
  <c r="H196" i="212"/>
  <c r="E196" i="212"/>
  <c r="C196" i="212"/>
  <c r="BF195" i="212"/>
  <c r="BE195" i="212"/>
  <c r="BC195" i="212"/>
  <c r="H195" i="212"/>
  <c r="E195" i="212"/>
  <c r="C195" i="212"/>
  <c r="BE194" i="212"/>
  <c r="BC194" i="212"/>
  <c r="BA194" i="212"/>
  <c r="H194" i="212"/>
  <c r="E194" i="212"/>
  <c r="C194" i="212"/>
  <c r="BE193" i="212"/>
  <c r="BC193" i="212"/>
  <c r="H193" i="212"/>
  <c r="E193" i="212"/>
  <c r="C193" i="212"/>
  <c r="BE192" i="212"/>
  <c r="BC192" i="212"/>
  <c r="BA192" i="212"/>
  <c r="I192" i="212"/>
  <c r="H192" i="212"/>
  <c r="E192" i="212"/>
  <c r="D192" i="212"/>
  <c r="C192" i="212"/>
  <c r="BE191" i="212"/>
  <c r="BC191" i="212"/>
  <c r="BA191" i="212"/>
  <c r="I191" i="212"/>
  <c r="H191" i="212"/>
  <c r="E191" i="212"/>
  <c r="D191" i="212"/>
  <c r="C191" i="212"/>
  <c r="BF190" i="212"/>
  <c r="BE190" i="212"/>
  <c r="BC190" i="212"/>
  <c r="BA190" i="212"/>
  <c r="H190" i="212"/>
  <c r="E190" i="212"/>
  <c r="C190" i="212"/>
  <c r="BE189" i="212"/>
  <c r="BC189" i="212"/>
  <c r="BA189" i="212"/>
  <c r="I189" i="212"/>
  <c r="H189" i="212"/>
  <c r="E189" i="212"/>
  <c r="D189" i="212"/>
  <c r="C189" i="212"/>
  <c r="BE188" i="212"/>
  <c r="BC188" i="212"/>
  <c r="BA188" i="212"/>
  <c r="I188" i="212"/>
  <c r="H188" i="212"/>
  <c r="E188" i="212"/>
  <c r="D188" i="212"/>
  <c r="C188" i="212"/>
  <c r="BE187" i="212"/>
  <c r="BC187" i="212"/>
  <c r="BA187" i="212"/>
  <c r="I187" i="212"/>
  <c r="H187" i="212"/>
  <c r="E187" i="212"/>
  <c r="D187" i="212"/>
  <c r="C187" i="212"/>
  <c r="BE186" i="212"/>
  <c r="BC186" i="212"/>
  <c r="BA186" i="212"/>
  <c r="I186" i="212"/>
  <c r="H186" i="212"/>
  <c r="E186" i="212"/>
  <c r="D186" i="212"/>
  <c r="C186" i="212"/>
  <c r="BE185" i="212"/>
  <c r="BC185" i="212"/>
  <c r="BA185" i="212"/>
  <c r="I185" i="212"/>
  <c r="H185" i="212"/>
  <c r="E185" i="212"/>
  <c r="D185" i="212"/>
  <c r="C185" i="212"/>
  <c r="BE184" i="212"/>
  <c r="BC184" i="212"/>
  <c r="BA184" i="212"/>
  <c r="I184" i="212"/>
  <c r="H184" i="212"/>
  <c r="E184" i="212"/>
  <c r="D184" i="212"/>
  <c r="C184" i="212"/>
  <c r="BE183" i="212"/>
  <c r="BC183" i="212"/>
  <c r="BA183" i="212"/>
  <c r="I183" i="212"/>
  <c r="H183" i="212"/>
  <c r="E183" i="212"/>
  <c r="D183" i="212"/>
  <c r="C183" i="212"/>
  <c r="BE182" i="212"/>
  <c r="BC182" i="212"/>
  <c r="I182" i="212"/>
  <c r="H182" i="212"/>
  <c r="E182" i="212"/>
  <c r="D182" i="212"/>
  <c r="C182" i="212"/>
  <c r="BE181" i="212"/>
  <c r="BC181" i="212"/>
  <c r="I181" i="212"/>
  <c r="H181" i="212"/>
  <c r="E181" i="212"/>
  <c r="D181" i="212"/>
  <c r="C181" i="212"/>
  <c r="BF180" i="212"/>
  <c r="BE180" i="212"/>
  <c r="BC180" i="212"/>
  <c r="H180" i="212"/>
  <c r="E180" i="212"/>
  <c r="C180" i="212"/>
  <c r="BE179" i="212"/>
  <c r="BC179" i="212"/>
  <c r="BA179" i="212"/>
  <c r="I179" i="212"/>
  <c r="H179" i="212"/>
  <c r="E179" i="212"/>
  <c r="D179" i="212"/>
  <c r="C179" i="212"/>
  <c r="BF178" i="212"/>
  <c r="BE178" i="212"/>
  <c r="BC178" i="212"/>
  <c r="BA178" i="212"/>
  <c r="H178" i="212"/>
  <c r="E178" i="212"/>
  <c r="C178" i="212"/>
  <c r="BE177" i="212"/>
  <c r="BC177" i="212"/>
  <c r="BA177" i="212"/>
  <c r="I177" i="212"/>
  <c r="H177" i="212"/>
  <c r="E177" i="212"/>
  <c r="D177" i="212"/>
  <c r="C177" i="212"/>
  <c r="BE176" i="212"/>
  <c r="BC176" i="212"/>
  <c r="BA176" i="212"/>
  <c r="I176" i="212"/>
  <c r="H176" i="212"/>
  <c r="E176" i="212"/>
  <c r="D176" i="212"/>
  <c r="C176" i="212"/>
  <c r="BE175" i="212"/>
  <c r="BC175" i="212"/>
  <c r="BA175" i="212"/>
  <c r="I175" i="212"/>
  <c r="H175" i="212"/>
  <c r="E175" i="212"/>
  <c r="D175" i="212"/>
  <c r="C175" i="212"/>
  <c r="BE174" i="212"/>
  <c r="BC174" i="212"/>
  <c r="BA174" i="212"/>
  <c r="I174" i="212"/>
  <c r="H174" i="212"/>
  <c r="E174" i="212"/>
  <c r="D174" i="212"/>
  <c r="C174" i="212"/>
  <c r="BF173" i="212"/>
  <c r="BE173" i="212"/>
  <c r="BC173" i="212"/>
  <c r="H173" i="212"/>
  <c r="E173" i="212"/>
  <c r="C173" i="212"/>
  <c r="BE172" i="212"/>
  <c r="BC172" i="212"/>
  <c r="I172" i="212"/>
  <c r="H172" i="212"/>
  <c r="E172" i="212"/>
  <c r="D172" i="212"/>
  <c r="C172" i="212"/>
  <c r="BE171" i="212"/>
  <c r="BC171" i="212"/>
  <c r="BA171" i="212"/>
  <c r="I171" i="212"/>
  <c r="H171" i="212"/>
  <c r="E171" i="212"/>
  <c r="D171" i="212"/>
  <c r="C171" i="212"/>
  <c r="BF170" i="212"/>
  <c r="BE170" i="212"/>
  <c r="BC170" i="212"/>
  <c r="BA170" i="212"/>
  <c r="H170" i="212"/>
  <c r="E170" i="212"/>
  <c r="C170" i="212"/>
  <c r="BE169" i="212"/>
  <c r="BC169" i="212"/>
  <c r="I169" i="212"/>
  <c r="H169" i="212"/>
  <c r="E169" i="212"/>
  <c r="D169" i="212"/>
  <c r="C169" i="212"/>
  <c r="BE168" i="212"/>
  <c r="BC168" i="212"/>
  <c r="BA168" i="212"/>
  <c r="I168" i="212"/>
  <c r="H168" i="212"/>
  <c r="E168" i="212"/>
  <c r="D168" i="212"/>
  <c r="C168" i="212"/>
  <c r="BE167" i="212"/>
  <c r="BC167" i="212"/>
  <c r="I167" i="212"/>
  <c r="H167" i="212"/>
  <c r="E167" i="212"/>
  <c r="D167" i="212"/>
  <c r="C167" i="212"/>
  <c r="BE166" i="212"/>
  <c r="BC166" i="212"/>
  <c r="I166" i="212"/>
  <c r="H166" i="212"/>
  <c r="E166" i="212"/>
  <c r="D166" i="212"/>
  <c r="C166" i="212"/>
  <c r="BE165" i="212"/>
  <c r="BC165" i="212"/>
  <c r="I165" i="212"/>
  <c r="H165" i="212"/>
  <c r="E165" i="212"/>
  <c r="D165" i="212"/>
  <c r="C165" i="212"/>
  <c r="BE164" i="212"/>
  <c r="I164" i="212"/>
  <c r="H164" i="212"/>
  <c r="E164" i="212"/>
  <c r="D164" i="212"/>
  <c r="C164" i="212"/>
  <c r="BE163" i="212"/>
  <c r="BC163" i="212"/>
  <c r="I163" i="212"/>
  <c r="H163" i="212"/>
  <c r="E163" i="212"/>
  <c r="D163" i="212"/>
  <c r="C163" i="212"/>
  <c r="BE162" i="212"/>
  <c r="BC162" i="212"/>
  <c r="I162" i="212"/>
  <c r="H162" i="212"/>
  <c r="E162" i="212"/>
  <c r="D162" i="212"/>
  <c r="C162" i="212"/>
  <c r="BE161" i="212"/>
  <c r="BC161" i="212"/>
  <c r="I161" i="212"/>
  <c r="H161" i="212"/>
  <c r="E161" i="212"/>
  <c r="D161" i="212"/>
  <c r="C161" i="212"/>
  <c r="BE160" i="212"/>
  <c r="BC160" i="212"/>
  <c r="I160" i="212"/>
  <c r="H160" i="212"/>
  <c r="E160" i="212"/>
  <c r="D160" i="212"/>
  <c r="C160" i="212"/>
  <c r="BE159" i="212"/>
  <c r="BC159" i="212"/>
  <c r="I159" i="212"/>
  <c r="H159" i="212"/>
  <c r="E159" i="212"/>
  <c r="D159" i="212"/>
  <c r="C159" i="212"/>
  <c r="BE158" i="212"/>
  <c r="BC158" i="212"/>
  <c r="I158" i="212"/>
  <c r="H158" i="212"/>
  <c r="E158" i="212"/>
  <c r="D158" i="212"/>
  <c r="C158" i="212"/>
  <c r="BE157" i="212"/>
  <c r="I157" i="212"/>
  <c r="H157" i="212"/>
  <c r="E157" i="212"/>
  <c r="D157" i="212"/>
  <c r="C157" i="212"/>
  <c r="BE156" i="212"/>
  <c r="BC156" i="212"/>
  <c r="I156" i="212"/>
  <c r="H156" i="212"/>
  <c r="E156" i="212"/>
  <c r="D156" i="212"/>
  <c r="C156" i="212"/>
  <c r="BE155" i="212"/>
  <c r="BC155" i="212"/>
  <c r="I155" i="212"/>
  <c r="H155" i="212"/>
  <c r="E155" i="212"/>
  <c r="D155" i="212"/>
  <c r="C155" i="212"/>
  <c r="BE154" i="212"/>
  <c r="I154" i="212"/>
  <c r="H154" i="212"/>
  <c r="E154" i="212"/>
  <c r="D154" i="212"/>
  <c r="C154" i="212"/>
  <c r="BE153" i="212"/>
  <c r="BC153" i="212"/>
  <c r="I153" i="212"/>
  <c r="H153" i="212"/>
  <c r="E153" i="212"/>
  <c r="D153" i="212"/>
  <c r="C153" i="212"/>
  <c r="BE152" i="212"/>
  <c r="BC152" i="212"/>
  <c r="I152" i="212"/>
  <c r="H152" i="212"/>
  <c r="E152" i="212"/>
  <c r="D152" i="212"/>
  <c r="C152" i="212"/>
  <c r="BE151" i="212"/>
  <c r="BC151" i="212"/>
  <c r="I151" i="212"/>
  <c r="H151" i="212"/>
  <c r="E151" i="212"/>
  <c r="D151" i="212"/>
  <c r="C151" i="212"/>
  <c r="BE150" i="212"/>
  <c r="I150" i="212"/>
  <c r="H150" i="212"/>
  <c r="E150" i="212"/>
  <c r="D150" i="212"/>
  <c r="C150" i="212"/>
  <c r="BE149" i="212"/>
  <c r="BC149" i="212"/>
  <c r="BA149" i="212"/>
  <c r="I149" i="212"/>
  <c r="H149" i="212"/>
  <c r="E149" i="212"/>
  <c r="D149" i="212"/>
  <c r="C149" i="212"/>
  <c r="BE148" i="212"/>
  <c r="BC148" i="212"/>
  <c r="I148" i="212"/>
  <c r="H148" i="212"/>
  <c r="E148" i="212"/>
  <c r="D148" i="212"/>
  <c r="C148" i="212"/>
  <c r="BE147" i="212"/>
  <c r="BC147" i="212"/>
  <c r="I147" i="212"/>
  <c r="H147" i="212"/>
  <c r="E147" i="212"/>
  <c r="D147" i="212"/>
  <c r="C147" i="212"/>
  <c r="BE146" i="212"/>
  <c r="BC146" i="212"/>
  <c r="I146" i="212"/>
  <c r="H146" i="212"/>
  <c r="E146" i="212"/>
  <c r="D146" i="212"/>
  <c r="C146" i="212"/>
  <c r="BE145" i="212"/>
  <c r="BC145" i="212"/>
  <c r="I145" i="212"/>
  <c r="H145" i="212"/>
  <c r="E145" i="212"/>
  <c r="D145" i="212"/>
  <c r="C145" i="212"/>
  <c r="BE144" i="212"/>
  <c r="BC144" i="212"/>
  <c r="I144" i="212"/>
  <c r="H144" i="212"/>
  <c r="E144" i="212"/>
  <c r="D144" i="212"/>
  <c r="C144" i="212"/>
  <c r="BF143" i="212"/>
  <c r="BE143" i="212"/>
  <c r="BC143" i="212"/>
  <c r="BA143" i="212"/>
  <c r="I143" i="212"/>
  <c r="H143" i="212"/>
  <c r="E143" i="212"/>
  <c r="D143" i="212"/>
  <c r="C143" i="212"/>
  <c r="BF142" i="212"/>
  <c r="BE142" i="212"/>
  <c r="BC142" i="212"/>
  <c r="H142" i="212"/>
  <c r="E142" i="212"/>
  <c r="C142" i="212"/>
  <c r="BE141" i="212"/>
  <c r="BC141" i="212"/>
  <c r="BA141" i="212"/>
  <c r="H141" i="212"/>
  <c r="E141" i="212"/>
  <c r="C141" i="212"/>
  <c r="BF140" i="212"/>
  <c r="BE140" i="212"/>
  <c r="BC140" i="212"/>
  <c r="H140" i="212"/>
  <c r="E140" i="212"/>
  <c r="C140" i="212"/>
  <c r="BE139" i="212"/>
  <c r="BC139" i="212"/>
  <c r="BA139" i="212"/>
  <c r="I139" i="212"/>
  <c r="H139" i="212"/>
  <c r="E139" i="212"/>
  <c r="D139" i="212"/>
  <c r="C139" i="212"/>
  <c r="BF138" i="212"/>
  <c r="BE138" i="212"/>
  <c r="BC138" i="212"/>
  <c r="BA138" i="212"/>
  <c r="H138" i="212"/>
  <c r="E138" i="212"/>
  <c r="C138" i="212"/>
  <c r="BF137" i="212"/>
  <c r="BE137" i="212"/>
  <c r="BC137" i="212"/>
  <c r="H137" i="212"/>
  <c r="E137" i="212"/>
  <c r="C137" i="212"/>
  <c r="BE136" i="212"/>
  <c r="BC136" i="212"/>
  <c r="BA136" i="212"/>
  <c r="I136" i="212"/>
  <c r="H136" i="212"/>
  <c r="E136" i="212"/>
  <c r="D136" i="212"/>
  <c r="C136" i="212"/>
  <c r="BF135" i="212"/>
  <c r="BE135" i="212"/>
  <c r="BC135" i="212"/>
  <c r="BA135" i="212"/>
  <c r="H135" i="212"/>
  <c r="E135" i="212"/>
  <c r="C135" i="212"/>
  <c r="BF134" i="212"/>
  <c r="BE134" i="212"/>
  <c r="BC134" i="212"/>
  <c r="BA134" i="212"/>
  <c r="H134" i="212"/>
  <c r="E134" i="212"/>
  <c r="C134" i="212"/>
  <c r="BE133" i="212"/>
  <c r="BC133" i="212"/>
  <c r="BA133" i="212"/>
  <c r="H133" i="212"/>
  <c r="E133" i="212"/>
  <c r="C133" i="212"/>
  <c r="BF132" i="212"/>
  <c r="BE132" i="212"/>
  <c r="BC132" i="212"/>
  <c r="BA132" i="212"/>
  <c r="H132" i="212"/>
  <c r="E132" i="212"/>
  <c r="C132" i="212"/>
  <c r="BE131" i="212"/>
  <c r="BC131" i="212"/>
  <c r="BA131" i="212"/>
  <c r="I131" i="212"/>
  <c r="H131" i="212"/>
  <c r="E131" i="212"/>
  <c r="D131" i="212"/>
  <c r="C131" i="212"/>
  <c r="BE130" i="212"/>
  <c r="BC130" i="212"/>
  <c r="BA130" i="212"/>
  <c r="I130" i="212"/>
  <c r="H130" i="212"/>
  <c r="E130" i="212"/>
  <c r="D130" i="212"/>
  <c r="C130" i="212"/>
  <c r="BE129" i="212"/>
  <c r="BC129" i="212"/>
  <c r="BA129" i="212"/>
  <c r="I129" i="212"/>
  <c r="H129" i="212"/>
  <c r="E129" i="212"/>
  <c r="D129" i="212"/>
  <c r="C129" i="212"/>
  <c r="BE128" i="212"/>
  <c r="BC128" i="212"/>
  <c r="BA128" i="212"/>
  <c r="I128" i="212"/>
  <c r="H128" i="212"/>
  <c r="E128" i="212"/>
  <c r="D128" i="212"/>
  <c r="C128" i="212"/>
  <c r="BE127" i="212"/>
  <c r="BC127" i="212"/>
  <c r="BA127" i="212"/>
  <c r="I127" i="212"/>
  <c r="H127" i="212"/>
  <c r="E127" i="212"/>
  <c r="D127" i="212"/>
  <c r="C127" i="212"/>
  <c r="BE126" i="212"/>
  <c r="BC126" i="212"/>
  <c r="I126" i="212"/>
  <c r="H126" i="212"/>
  <c r="E126" i="212"/>
  <c r="D126" i="212"/>
  <c r="C126" i="212"/>
  <c r="BE125" i="212"/>
  <c r="BC125" i="212"/>
  <c r="BA125" i="212"/>
  <c r="I125" i="212"/>
  <c r="H125" i="212"/>
  <c r="E125" i="212"/>
  <c r="D125" i="212"/>
  <c r="C125" i="212"/>
  <c r="BE124" i="212"/>
  <c r="BC124" i="212"/>
  <c r="I124" i="212"/>
  <c r="H124" i="212"/>
  <c r="E124" i="212"/>
  <c r="D124" i="212"/>
  <c r="C124" i="212"/>
  <c r="BE123" i="212"/>
  <c r="BC123" i="212"/>
  <c r="I123" i="212"/>
  <c r="H123" i="212"/>
  <c r="E123" i="212"/>
  <c r="D123" i="212"/>
  <c r="C123" i="212"/>
  <c r="BE122" i="212"/>
  <c r="BC122" i="212"/>
  <c r="I122" i="212"/>
  <c r="H122" i="212"/>
  <c r="E122" i="212"/>
  <c r="D122" i="212"/>
  <c r="C122" i="212"/>
  <c r="BE121" i="212"/>
  <c r="BC121" i="212"/>
  <c r="I121" i="212"/>
  <c r="H121" i="212"/>
  <c r="E121" i="212"/>
  <c r="D121" i="212"/>
  <c r="C121" i="212"/>
  <c r="BE120" i="212"/>
  <c r="BC120" i="212"/>
  <c r="I120" i="212"/>
  <c r="H120" i="212"/>
  <c r="E120" i="212"/>
  <c r="D120" i="212"/>
  <c r="C120" i="212"/>
  <c r="BE119" i="212"/>
  <c r="BC119" i="212"/>
  <c r="I119" i="212"/>
  <c r="H119" i="212"/>
  <c r="E119" i="212"/>
  <c r="D119" i="212"/>
  <c r="C119" i="212"/>
  <c r="BE118" i="212"/>
  <c r="BC118" i="212"/>
  <c r="BA118" i="212"/>
  <c r="I118" i="212"/>
  <c r="H118" i="212"/>
  <c r="E118" i="212"/>
  <c r="D118" i="212"/>
  <c r="C118" i="212"/>
  <c r="BE117" i="212"/>
  <c r="BC117" i="212"/>
  <c r="I117" i="212"/>
  <c r="H117" i="212"/>
  <c r="E117" i="212"/>
  <c r="D117" i="212"/>
  <c r="C117" i="212"/>
  <c r="BE116" i="212"/>
  <c r="BC116" i="212"/>
  <c r="BA116" i="212"/>
  <c r="I116" i="212"/>
  <c r="H116" i="212"/>
  <c r="E116" i="212"/>
  <c r="D116" i="212"/>
  <c r="C116" i="212"/>
  <c r="BE115" i="212"/>
  <c r="BC115" i="212"/>
  <c r="I115" i="212"/>
  <c r="H115" i="212"/>
  <c r="E115" i="212"/>
  <c r="D115" i="212"/>
  <c r="C115" i="212"/>
  <c r="BE114" i="212"/>
  <c r="BC114" i="212"/>
  <c r="I114" i="212"/>
  <c r="H114" i="212"/>
  <c r="E114" i="212"/>
  <c r="D114" i="212"/>
  <c r="C114" i="212"/>
  <c r="BE113" i="212"/>
  <c r="BC113" i="212"/>
  <c r="I113" i="212"/>
  <c r="H113" i="212"/>
  <c r="E113" i="212"/>
  <c r="D113" i="212"/>
  <c r="C113" i="212"/>
  <c r="BE112" i="212"/>
  <c r="BC112" i="212"/>
  <c r="I112" i="212"/>
  <c r="H112" i="212"/>
  <c r="E112" i="212"/>
  <c r="D112" i="212"/>
  <c r="C112" i="212"/>
  <c r="BE111" i="212"/>
  <c r="BC111" i="212"/>
  <c r="I111" i="212"/>
  <c r="H111" i="212"/>
  <c r="E111" i="212"/>
  <c r="D111" i="212"/>
  <c r="C111" i="212"/>
  <c r="BE110" i="212"/>
  <c r="BC110" i="212"/>
  <c r="H110" i="212"/>
  <c r="E110" i="212"/>
  <c r="C110" i="212"/>
  <c r="BE109" i="212"/>
  <c r="BC109" i="212"/>
  <c r="I109" i="212"/>
  <c r="H109" i="212"/>
  <c r="E109" i="212"/>
  <c r="D109" i="212"/>
  <c r="C109" i="212"/>
  <c r="BF108" i="212"/>
  <c r="BE108" i="212"/>
  <c r="BC108" i="212"/>
  <c r="H108" i="212"/>
  <c r="E108" i="212"/>
  <c r="C108" i="212"/>
  <c r="BF107" i="212"/>
  <c r="BE107" i="212"/>
  <c r="BC107" i="212"/>
  <c r="H107" i="212"/>
  <c r="E107" i="212"/>
  <c r="C107" i="212"/>
  <c r="BE106" i="212"/>
  <c r="BC106" i="212"/>
  <c r="BA106" i="212"/>
  <c r="H106" i="212"/>
  <c r="E106" i="212"/>
  <c r="C106" i="212"/>
  <c r="BE105" i="212"/>
  <c r="BC105" i="212"/>
  <c r="BA105" i="212"/>
  <c r="I105" i="212"/>
  <c r="H105" i="212"/>
  <c r="E105" i="212"/>
  <c r="D105" i="212"/>
  <c r="C105" i="212"/>
  <c r="BE104" i="212"/>
  <c r="BC104" i="212"/>
  <c r="BA104" i="212"/>
  <c r="I104" i="212"/>
  <c r="H104" i="212"/>
  <c r="E104" i="212"/>
  <c r="D104" i="212"/>
  <c r="C104" i="212"/>
  <c r="BF103" i="212"/>
  <c r="BE103" i="212"/>
  <c r="BC103" i="212"/>
  <c r="H103" i="212"/>
  <c r="E103" i="212"/>
  <c r="C103" i="212"/>
  <c r="BE102" i="212"/>
  <c r="BC102" i="212"/>
  <c r="BA102" i="212"/>
  <c r="I102" i="212"/>
  <c r="H102" i="212"/>
  <c r="E102" i="212"/>
  <c r="D102" i="212"/>
  <c r="C102" i="212"/>
  <c r="BF101" i="212"/>
  <c r="BE101" i="212"/>
  <c r="BC101" i="212"/>
  <c r="H101" i="212"/>
  <c r="E101" i="212"/>
  <c r="C101" i="212"/>
  <c r="BE100" i="212"/>
  <c r="BC100" i="212"/>
  <c r="H100" i="212"/>
  <c r="E100" i="212"/>
  <c r="C100" i="212"/>
  <c r="BE99" i="212"/>
  <c r="I99" i="212"/>
  <c r="H99" i="212"/>
  <c r="E99" i="212"/>
  <c r="D99" i="212"/>
  <c r="C99" i="212"/>
  <c r="BE98" i="212"/>
  <c r="BC98" i="212"/>
  <c r="I98" i="212"/>
  <c r="H98" i="212"/>
  <c r="E98" i="212"/>
  <c r="D98" i="212"/>
  <c r="C98" i="212"/>
  <c r="BE97" i="212"/>
  <c r="I97" i="212"/>
  <c r="H97" i="212"/>
  <c r="E97" i="212"/>
  <c r="D97" i="212"/>
  <c r="C97" i="212"/>
  <c r="BE96" i="212"/>
  <c r="BC96" i="212"/>
  <c r="I96" i="212"/>
  <c r="H96" i="212"/>
  <c r="E96" i="212"/>
  <c r="D96" i="212"/>
  <c r="C96" i="212"/>
  <c r="BE95" i="212"/>
  <c r="BC95" i="212"/>
  <c r="BA95" i="212"/>
  <c r="I95" i="212"/>
  <c r="H95" i="212"/>
  <c r="E95" i="212"/>
  <c r="D95" i="212"/>
  <c r="C95" i="212"/>
  <c r="BE94" i="212"/>
  <c r="I94" i="212"/>
  <c r="H94" i="212"/>
  <c r="E94" i="212"/>
  <c r="D94" i="212"/>
  <c r="C94" i="212"/>
  <c r="BE93" i="212"/>
  <c r="I93" i="212"/>
  <c r="H93" i="212"/>
  <c r="E93" i="212"/>
  <c r="D93" i="212"/>
  <c r="C93" i="212"/>
  <c r="BE92" i="212"/>
  <c r="BC92" i="212"/>
  <c r="BA92" i="212"/>
  <c r="I92" i="212"/>
  <c r="H92" i="212"/>
  <c r="E92" i="212"/>
  <c r="D92" i="212"/>
  <c r="C92" i="212"/>
  <c r="BE91" i="212"/>
  <c r="BC91" i="212"/>
  <c r="BA91" i="212"/>
  <c r="I91" i="212"/>
  <c r="H91" i="212"/>
  <c r="E91" i="212"/>
  <c r="D91" i="212"/>
  <c r="C91" i="212"/>
  <c r="BE90" i="212"/>
  <c r="I90" i="212"/>
  <c r="H90" i="212"/>
  <c r="E90" i="212"/>
  <c r="D90" i="212"/>
  <c r="C90" i="212"/>
  <c r="BE89" i="212"/>
  <c r="I89" i="212"/>
  <c r="H89" i="212"/>
  <c r="E89" i="212"/>
  <c r="D89" i="212"/>
  <c r="C89" i="212"/>
  <c r="BE88" i="212"/>
  <c r="BC88" i="212"/>
  <c r="BA88" i="212"/>
  <c r="I88" i="212"/>
  <c r="H88" i="212"/>
  <c r="E88" i="212"/>
  <c r="D88" i="212"/>
  <c r="C88" i="212"/>
  <c r="BE87" i="212"/>
  <c r="BC87" i="212"/>
  <c r="I87" i="212"/>
  <c r="H87" i="212"/>
  <c r="E87" i="212"/>
  <c r="D87" i="212"/>
  <c r="C87" i="212"/>
  <c r="BE86" i="212"/>
  <c r="BC86" i="212"/>
  <c r="BA86" i="212"/>
  <c r="I86" i="212"/>
  <c r="H86" i="212"/>
  <c r="E86" i="212"/>
  <c r="D86" i="212"/>
  <c r="C86" i="212"/>
  <c r="BE85" i="212"/>
  <c r="BC85" i="212"/>
  <c r="I85" i="212"/>
  <c r="H85" i="212"/>
  <c r="E85" i="212"/>
  <c r="D85" i="212"/>
  <c r="C85" i="212"/>
  <c r="BE84" i="212"/>
  <c r="BC84" i="212"/>
  <c r="BA84" i="212"/>
  <c r="I84" i="212"/>
  <c r="H84" i="212"/>
  <c r="E84" i="212"/>
  <c r="D84" i="212"/>
  <c r="C84" i="212"/>
  <c r="BE83" i="212"/>
  <c r="BC83" i="212"/>
  <c r="I83" i="212"/>
  <c r="H83" i="212"/>
  <c r="E83" i="212"/>
  <c r="D83" i="212"/>
  <c r="C83" i="212"/>
  <c r="BE82" i="212"/>
  <c r="I82" i="212"/>
  <c r="H82" i="212"/>
  <c r="E82" i="212"/>
  <c r="D82" i="212"/>
  <c r="C82" i="212"/>
  <c r="BE81" i="212"/>
  <c r="BC81" i="212"/>
  <c r="I81" i="212"/>
  <c r="H81" i="212"/>
  <c r="E81" i="212"/>
  <c r="D81" i="212"/>
  <c r="C81" i="212"/>
  <c r="BE80" i="212"/>
  <c r="BC80" i="212"/>
  <c r="BA80" i="212"/>
  <c r="I80" i="212"/>
  <c r="H80" i="212"/>
  <c r="E80" i="212"/>
  <c r="D80" i="212"/>
  <c r="C80" i="212"/>
  <c r="BE79" i="212"/>
  <c r="I79" i="212"/>
  <c r="H79" i="212"/>
  <c r="E79" i="212"/>
  <c r="D79" i="212"/>
  <c r="C79" i="212"/>
  <c r="BE78" i="212"/>
  <c r="BC78" i="212"/>
  <c r="I78" i="212"/>
  <c r="H78" i="212"/>
  <c r="E78" i="212"/>
  <c r="D78" i="212"/>
  <c r="C78" i="212"/>
  <c r="BE77" i="212"/>
  <c r="BC77" i="212"/>
  <c r="BA77" i="212"/>
  <c r="I77" i="212"/>
  <c r="H77" i="212"/>
  <c r="E77" i="212"/>
  <c r="D77" i="212"/>
  <c r="C77" i="212"/>
  <c r="BE76" i="212"/>
  <c r="BC76" i="212"/>
  <c r="BA76" i="212"/>
  <c r="I76" i="212"/>
  <c r="H76" i="212"/>
  <c r="E76" i="212"/>
  <c r="D76" i="212"/>
  <c r="C76" i="212"/>
  <c r="BF75" i="212"/>
  <c r="BE75" i="212"/>
  <c r="BC75" i="212"/>
  <c r="H75" i="212"/>
  <c r="E75" i="212"/>
  <c r="C75" i="212"/>
  <c r="BE74" i="212"/>
  <c r="BC74" i="212"/>
  <c r="BA74" i="212"/>
  <c r="I74" i="212"/>
  <c r="H74" i="212"/>
  <c r="E74" i="212"/>
  <c r="D74" i="212"/>
  <c r="C74" i="212"/>
  <c r="BF73" i="212"/>
  <c r="BE73" i="212"/>
  <c r="BC73" i="212"/>
  <c r="H73" i="212"/>
  <c r="E73" i="212"/>
  <c r="C73" i="212"/>
  <c r="BE72" i="212"/>
  <c r="BC72" i="212"/>
  <c r="BA72" i="212"/>
  <c r="I72" i="212"/>
  <c r="H72" i="212"/>
  <c r="E72" i="212"/>
  <c r="D72" i="212"/>
  <c r="C72" i="212"/>
  <c r="BF71" i="212"/>
  <c r="BE71" i="212"/>
  <c r="BC71" i="212"/>
  <c r="H71" i="212"/>
  <c r="E71" i="212"/>
  <c r="C71" i="212"/>
  <c r="BE70" i="212"/>
  <c r="I70" i="212"/>
  <c r="H70" i="212"/>
  <c r="E70" i="212"/>
  <c r="D70" i="212"/>
  <c r="C70" i="212"/>
  <c r="BE69" i="212"/>
  <c r="I69" i="212"/>
  <c r="H69" i="212"/>
  <c r="E69" i="212"/>
  <c r="D69" i="212"/>
  <c r="C69" i="212"/>
  <c r="BE68" i="212"/>
  <c r="I68" i="212"/>
  <c r="H68" i="212"/>
  <c r="E68" i="212"/>
  <c r="D68" i="212"/>
  <c r="C68" i="212"/>
  <c r="BE67" i="212"/>
  <c r="BC67" i="212"/>
  <c r="BA67" i="212"/>
  <c r="I67" i="212"/>
  <c r="H67" i="212"/>
  <c r="E67" i="212"/>
  <c r="D67" i="212"/>
  <c r="C67" i="212"/>
  <c r="BE66" i="212"/>
  <c r="BC66" i="212"/>
  <c r="I66" i="212"/>
  <c r="H66" i="212"/>
  <c r="E66" i="212"/>
  <c r="D66" i="212"/>
  <c r="C66" i="212"/>
  <c r="BE65" i="212"/>
  <c r="I65" i="212"/>
  <c r="H65" i="212"/>
  <c r="E65" i="212"/>
  <c r="D65" i="212"/>
  <c r="C65" i="212"/>
  <c r="BE64" i="212"/>
  <c r="BC64" i="212"/>
  <c r="I64" i="212"/>
  <c r="H64" i="212"/>
  <c r="E64" i="212"/>
  <c r="D64" i="212"/>
  <c r="C64" i="212"/>
  <c r="BE63" i="212"/>
  <c r="BC63" i="212"/>
  <c r="I63" i="212"/>
  <c r="H63" i="212"/>
  <c r="E63" i="212"/>
  <c r="D63" i="212"/>
  <c r="C63" i="212"/>
  <c r="BE62" i="212"/>
  <c r="I62" i="212"/>
  <c r="H62" i="212"/>
  <c r="E62" i="212"/>
  <c r="D62" i="212"/>
  <c r="C62" i="212"/>
  <c r="BE61" i="212"/>
  <c r="I61" i="212"/>
  <c r="H61" i="212"/>
  <c r="E61" i="212"/>
  <c r="D61" i="212"/>
  <c r="C61" i="212"/>
  <c r="BE60" i="212"/>
  <c r="I60" i="212"/>
  <c r="H60" i="212"/>
  <c r="E60" i="212"/>
  <c r="D60" i="212"/>
  <c r="C60" i="212"/>
  <c r="BF59" i="212"/>
  <c r="BE59" i="212"/>
  <c r="BC59" i="212"/>
  <c r="H59" i="212"/>
  <c r="E59" i="212"/>
  <c r="C59" i="212"/>
  <c r="BF58" i="212"/>
  <c r="BE58" i="212"/>
  <c r="BC58" i="212"/>
  <c r="BA58" i="212"/>
  <c r="I58" i="212"/>
  <c r="H58" i="212"/>
  <c r="E58" i="212"/>
  <c r="D58" i="212"/>
  <c r="C58" i="212"/>
  <c r="BE57" i="212"/>
  <c r="I57" i="212"/>
  <c r="H57" i="212"/>
  <c r="E57" i="212"/>
  <c r="D57" i="212"/>
  <c r="C57" i="212"/>
  <c r="BE56" i="212"/>
  <c r="BC56" i="212"/>
  <c r="BA56" i="212"/>
  <c r="I56" i="212"/>
  <c r="H56" i="212"/>
  <c r="E56" i="212"/>
  <c r="D56" i="212"/>
  <c r="C56" i="212"/>
  <c r="BF55" i="212"/>
  <c r="BE55" i="212"/>
  <c r="BC55" i="212"/>
  <c r="H55" i="212"/>
  <c r="E55" i="212"/>
  <c r="C55" i="212"/>
  <c r="BF54" i="212"/>
  <c r="BE54" i="212"/>
  <c r="BC54" i="212"/>
  <c r="H54" i="212"/>
  <c r="E54" i="212"/>
  <c r="C54" i="212"/>
  <c r="BF53" i="212"/>
  <c r="BE53" i="212"/>
  <c r="BC53" i="212"/>
  <c r="BA53" i="212"/>
  <c r="H53" i="212"/>
  <c r="E53" i="212"/>
  <c r="C53" i="212"/>
  <c r="BE52" i="212"/>
  <c r="BC52" i="212"/>
  <c r="BA52" i="212"/>
  <c r="I52" i="212"/>
  <c r="H52" i="212"/>
  <c r="E52" i="212"/>
  <c r="D52" i="212"/>
  <c r="C52" i="212"/>
  <c r="BE51" i="212"/>
  <c r="BC51" i="212"/>
  <c r="BA51" i="212"/>
  <c r="I51" i="212"/>
  <c r="H51" i="212"/>
  <c r="E51" i="212"/>
  <c r="D51" i="212"/>
  <c r="C51" i="212"/>
  <c r="BE50" i="212"/>
  <c r="BC50" i="212"/>
  <c r="BA50" i="212"/>
  <c r="I50" i="212"/>
  <c r="H50" i="212"/>
  <c r="E50" i="212"/>
  <c r="D50" i="212"/>
  <c r="C50" i="212"/>
  <c r="BE49" i="212"/>
  <c r="BC49" i="212"/>
  <c r="BA49" i="212"/>
  <c r="I49" i="212"/>
  <c r="H49" i="212"/>
  <c r="E49" i="212"/>
  <c r="D49" i="212"/>
  <c r="C49" i="212"/>
  <c r="BE48" i="212"/>
  <c r="BC48" i="212"/>
  <c r="BA48" i="212"/>
  <c r="I48" i="212"/>
  <c r="H48" i="212"/>
  <c r="E48" i="212"/>
  <c r="D48" i="212"/>
  <c r="C48" i="212"/>
  <c r="BE47" i="212"/>
  <c r="BC47" i="212"/>
  <c r="BA47" i="212"/>
  <c r="I47" i="212"/>
  <c r="H47" i="212"/>
  <c r="E47" i="212"/>
  <c r="D47" i="212"/>
  <c r="C47" i="212"/>
  <c r="BE46" i="212"/>
  <c r="BC46" i="212"/>
  <c r="BA46" i="212"/>
  <c r="I46" i="212"/>
  <c r="H46" i="212"/>
  <c r="E46" i="212"/>
  <c r="D46" i="212"/>
  <c r="C46" i="212"/>
  <c r="BE45" i="212"/>
  <c r="BC45" i="212"/>
  <c r="BA45" i="212"/>
  <c r="I45" i="212"/>
  <c r="H45" i="212"/>
  <c r="E45" i="212"/>
  <c r="D45" i="212"/>
  <c r="C45" i="212"/>
  <c r="BF44" i="212"/>
  <c r="BE44" i="212"/>
  <c r="BC44" i="212"/>
  <c r="H44" i="212"/>
  <c r="E44" i="212"/>
  <c r="C44" i="212"/>
  <c r="BE43" i="212"/>
  <c r="BC43" i="212"/>
  <c r="H43" i="212"/>
  <c r="E43" i="212"/>
  <c r="C43" i="212"/>
  <c r="BE42" i="212"/>
  <c r="BC42" i="212"/>
  <c r="H42" i="212"/>
  <c r="E42" i="212"/>
  <c r="C42" i="212"/>
  <c r="BF41" i="212"/>
  <c r="BE41" i="212"/>
  <c r="BC41" i="212"/>
  <c r="BA41" i="212"/>
  <c r="I41" i="212"/>
  <c r="H41" i="212"/>
  <c r="E41" i="212"/>
  <c r="D41" i="212"/>
  <c r="C41" i="212"/>
  <c r="BE40" i="212"/>
  <c r="BC40" i="212"/>
  <c r="H40" i="212"/>
  <c r="E40" i="212"/>
  <c r="C40" i="212"/>
  <c r="BE39" i="212"/>
  <c r="BC39" i="212"/>
  <c r="BA39" i="212"/>
  <c r="I39" i="212"/>
  <c r="H39" i="212"/>
  <c r="E39" i="212"/>
  <c r="D39" i="212"/>
  <c r="C39" i="212"/>
  <c r="BE38" i="212"/>
  <c r="BC38" i="212"/>
  <c r="BA38" i="212"/>
  <c r="I38" i="212"/>
  <c r="H38" i="212"/>
  <c r="E38" i="212"/>
  <c r="D38" i="212"/>
  <c r="C38" i="212"/>
  <c r="BE37" i="212"/>
  <c r="BC37" i="212"/>
  <c r="BA37" i="212"/>
  <c r="I37" i="212"/>
  <c r="H37" i="212"/>
  <c r="E37" i="212"/>
  <c r="D37" i="212"/>
  <c r="C37" i="212"/>
  <c r="BE36" i="212"/>
  <c r="BC36" i="212"/>
  <c r="BA36" i="212"/>
  <c r="I36" i="212"/>
  <c r="H36" i="212"/>
  <c r="E36" i="212"/>
  <c r="D36" i="212"/>
  <c r="C36" i="212"/>
  <c r="BE35" i="212"/>
  <c r="BC35" i="212"/>
  <c r="BA35" i="212"/>
  <c r="I35" i="212"/>
  <c r="H35" i="212"/>
  <c r="E35" i="212"/>
  <c r="D35" i="212"/>
  <c r="C35" i="212"/>
  <c r="BE34" i="212"/>
  <c r="BC34" i="212"/>
  <c r="BA34" i="212"/>
  <c r="I34" i="212"/>
  <c r="H34" i="212"/>
  <c r="E34" i="212"/>
  <c r="D34" i="212"/>
  <c r="C34" i="212"/>
  <c r="BE33" i="212"/>
  <c r="BC33" i="212"/>
  <c r="BA33" i="212"/>
  <c r="I33" i="212"/>
  <c r="H33" i="212"/>
  <c r="E33" i="212"/>
  <c r="D33" i="212"/>
  <c r="C33" i="212"/>
  <c r="BE32" i="212"/>
  <c r="BC32" i="212"/>
  <c r="BA32" i="212"/>
  <c r="I32" i="212"/>
  <c r="H32" i="212"/>
  <c r="E32" i="212"/>
  <c r="D32" i="212"/>
  <c r="C32" i="212"/>
  <c r="BF31" i="212"/>
  <c r="BE31" i="212"/>
  <c r="BC31" i="212"/>
  <c r="BA31" i="212"/>
  <c r="H31" i="212"/>
  <c r="E31" i="212"/>
  <c r="C31" i="212"/>
  <c r="BE30" i="212"/>
  <c r="BC30" i="212"/>
  <c r="BA30" i="212"/>
  <c r="I30" i="212"/>
  <c r="H30" i="212"/>
  <c r="E30" i="212"/>
  <c r="D30" i="212"/>
  <c r="C30" i="212"/>
  <c r="BE29" i="212"/>
  <c r="BC29" i="212"/>
  <c r="BA29" i="212"/>
  <c r="I29" i="212"/>
  <c r="H29" i="212"/>
  <c r="E29" i="212"/>
  <c r="D29" i="212"/>
  <c r="C29" i="212"/>
  <c r="BE28" i="212"/>
  <c r="BC28" i="212"/>
  <c r="BA28" i="212"/>
  <c r="I28" i="212"/>
  <c r="H28" i="212"/>
  <c r="E28" i="212"/>
  <c r="D28" i="212"/>
  <c r="C28" i="212"/>
  <c r="BF27" i="212"/>
  <c r="BE27" i="212"/>
  <c r="BC27" i="212"/>
  <c r="H27" i="212"/>
  <c r="E27" i="212"/>
  <c r="C27" i="212"/>
  <c r="BE26" i="212"/>
  <c r="BC26" i="212"/>
  <c r="H26" i="212"/>
  <c r="E26" i="212"/>
  <c r="C26" i="212"/>
  <c r="BF25" i="212"/>
  <c r="BE25" i="212"/>
  <c r="BC25" i="212"/>
  <c r="H25" i="212"/>
  <c r="E25" i="212"/>
  <c r="C25" i="212"/>
  <c r="BE24" i="212"/>
  <c r="BC24" i="212"/>
  <c r="BA24" i="212"/>
  <c r="H24" i="212"/>
  <c r="E24" i="212"/>
  <c r="C24" i="212"/>
  <c r="BF23" i="212"/>
  <c r="BE23" i="212"/>
  <c r="BC23" i="212"/>
  <c r="H23" i="212"/>
  <c r="E23" i="212"/>
  <c r="C23" i="212"/>
  <c r="BE22" i="212"/>
  <c r="BC22" i="212"/>
  <c r="H22" i="212"/>
  <c r="E22" i="212"/>
  <c r="C22" i="212"/>
  <c r="BF21" i="212"/>
  <c r="BE21" i="212"/>
  <c r="BC21" i="212"/>
  <c r="H21" i="212"/>
  <c r="E21" i="212"/>
  <c r="C21" i="212"/>
  <c r="BF20" i="212"/>
  <c r="BE20" i="212"/>
  <c r="BC20" i="212"/>
  <c r="BA20" i="212"/>
  <c r="H20" i="212"/>
  <c r="E20" i="212"/>
  <c r="C20" i="212"/>
  <c r="BE19" i="212"/>
  <c r="BC19" i="212"/>
  <c r="H19" i="212"/>
  <c r="E19" i="212"/>
  <c r="C19" i="212"/>
  <c r="BE18" i="212"/>
  <c r="BC18" i="212"/>
  <c r="BA18" i="212"/>
  <c r="H18" i="212"/>
  <c r="E18" i="212"/>
  <c r="C18" i="212"/>
  <c r="BF17" i="212"/>
  <c r="BE17" i="212"/>
  <c r="BC17" i="212"/>
  <c r="H17" i="212"/>
  <c r="E17" i="212"/>
  <c r="C17" i="212"/>
  <c r="BE16" i="212"/>
  <c r="BC16" i="212"/>
  <c r="H16" i="212"/>
  <c r="E16" i="212"/>
  <c r="C16" i="212"/>
  <c r="BE15" i="212"/>
  <c r="BC15" i="212"/>
  <c r="H15" i="212"/>
  <c r="E15" i="212"/>
  <c r="C15" i="212"/>
  <c r="BF14" i="212"/>
  <c r="BE14" i="212"/>
  <c r="BC14" i="212"/>
  <c r="H14" i="212"/>
  <c r="E14" i="212"/>
  <c r="C14" i="212"/>
  <c r="BF13" i="212"/>
  <c r="BE13" i="212"/>
  <c r="BC13" i="212"/>
  <c r="BA13" i="212"/>
  <c r="H13" i="212"/>
  <c r="E13" i="212"/>
  <c r="C13" i="212"/>
  <c r="BE12" i="212"/>
  <c r="BC12" i="212"/>
  <c r="H12" i="212"/>
  <c r="E12" i="212"/>
  <c r="C12" i="212"/>
  <c r="BE11" i="212"/>
  <c r="BC11" i="212"/>
  <c r="H11" i="212"/>
  <c r="E11" i="212"/>
  <c r="C11" i="212"/>
  <c r="BE10" i="212"/>
  <c r="BC10" i="212"/>
  <c r="H10" i="212"/>
  <c r="E10" i="212"/>
  <c r="C10" i="212"/>
  <c r="BF9" i="212"/>
  <c r="BE9" i="212"/>
  <c r="BC9" i="212"/>
  <c r="BA9" i="212"/>
  <c r="H9" i="212"/>
  <c r="E9" i="212"/>
  <c r="C9" i="212"/>
  <c r="BE8" i="212"/>
  <c r="BC8" i="212"/>
  <c r="H8" i="212"/>
  <c r="E8" i="212"/>
  <c r="C8" i="212"/>
  <c r="BF7" i="212"/>
  <c r="BE7" i="212"/>
  <c r="BC7" i="212"/>
  <c r="H7" i="212"/>
  <c r="E7" i="212"/>
  <c r="C7" i="212"/>
  <c r="BE6" i="212"/>
  <c r="BC6" i="212"/>
  <c r="H6" i="212"/>
  <c r="E6" i="212"/>
  <c r="C6" i="212"/>
  <c r="BE5" i="212"/>
  <c r="BC5" i="212"/>
  <c r="BA5" i="212"/>
  <c r="I5" i="212"/>
  <c r="H5" i="212"/>
  <c r="E5" i="212"/>
  <c r="D5" i="212"/>
  <c r="C5" i="212"/>
  <c r="BE4" i="212"/>
  <c r="BC4" i="212"/>
  <c r="BA4" i="212"/>
  <c r="I4" i="212"/>
  <c r="H4" i="212"/>
  <c r="E4" i="212"/>
  <c r="D4" i="212"/>
  <c r="C4" i="212"/>
  <c r="BE3" i="212"/>
  <c r="BC3" i="212"/>
  <c r="I3" i="212"/>
  <c r="H3" i="212"/>
  <c r="E3" i="212"/>
  <c r="D3" i="212"/>
  <c r="C3" i="212"/>
  <c r="BE2" i="212"/>
  <c r="BC2" i="212"/>
  <c r="I2" i="212"/>
  <c r="H2" i="212"/>
  <c r="E2" i="212"/>
  <c r="D2" i="212"/>
  <c r="C2" i="212"/>
</calcChain>
</file>

<file path=xl/sharedStrings.xml><?xml version="1.0" encoding="utf-8"?>
<sst xmlns="http://schemas.openxmlformats.org/spreadsheetml/2006/main" count="58" uniqueCount="58">
  <si>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</si>
  <si>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</si>
  <si>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</si>
  <si>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</si>
  <si>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</si>
  <si>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</si>
  <si>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</si>
  <si>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</si>
  <si>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</si>
  <si>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</si>
  <si>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</si>
  <si>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</si>
  <si>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</si>
  <si>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</si>
  <si>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</si>
  <si>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</si>
  <si>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</si>
  <si>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</si>
  <si>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</si>
  <si>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</si>
  <si>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</si>
  <si>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</si>
  <si>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</si>
  <si>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</si>
  <si>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</si>
  <si>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</si>
  <si>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</si>
  <si>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</si>
  <si>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</si>
  <si>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</si>
  <si>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</si>
  <si>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</si>
  <si>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</si>
  <si>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</si>
  <si>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</si>
  <si>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</si>
  <si>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</si>
  <si>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</si>
  <si>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</si>
  <si>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</si>
  <si>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</si>
  <si>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</si>
  <si>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</si>
  <si>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</si>
  <si>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</si>
  <si>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</si>
  <si>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</si>
  <si>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</si>
  <si>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</si>
  <si>
    <t>iOS 정산대상액</t>
  </si>
  <si>
    <t>iOS 수수료</t>
  </si>
  <si>
    <t>iOS 취소액</t>
  </si>
  <si>
    <t>Android 정산대상액</t>
  </si>
  <si>
    <t>Android 수수료</t>
  </si>
  <si>
    <t>Android 취소액</t>
  </si>
  <si>
    <t>OneStore 정산대상액</t>
  </si>
  <si>
    <t>OneStore 수수료</t>
  </si>
  <si>
    <t>OneStore 취소액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</si>
</sst>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1" fontId="19" fillId="33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099"/>
  <sheetViews>
    <sheetView tabSelected="1" topLeftCell="AI3072" zoomScale="85" zoomScaleNormal="85" workbookViewId="0">
      <selection activeCell="AY3082" sqref="AY3082"/>
    </sheetView>
  </sheetViews>
  <sheetFormatPr defaultRowHeight="16.5" x14ac:dyDescent="0.3"/>
  <cols>
    <col min="42" max="42" width="12.375" bestFit="1" customWidth="1"/>
    <col min="51" max="51" width="12.375" bestFit="1" customWidth="1"/>
  </cols>
  <sheetData>
    <row r="1" spans="1:58" x14ac:dyDescent="0.3">
      <c r="A1" t="s">
        <v>31</v>
      </c>
      <c r="B1" t="s">
        <v>32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20</v>
      </c>
      <c r="AZ1" t="s">
        <v>34</v>
      </c>
      <c r="BA1" t="s">
        <v>35</v>
      </c>
      <c r="BB1" t="s">
        <v>36</v>
      </c>
      <c r="BC1" t="s">
        <v>37</v>
      </c>
      <c r="BD1" t="s">
        <v>38</v>
      </c>
      <c r="BE1" t="s">
        <v>39</v>
      </c>
      <c r="BF1" t="s">
        <v>40</v>
      </c>
    </row>
    <row r="2" spans="1:58" x14ac:dyDescent="0.3">
      <c r="A2">
        <v>1525012769</v>
      </c>
      <c r="B2">
        <v>1525012769</v>
      </c>
      <c r="C2" t="str">
        <f>T("[e북]하루하루 1권")</f>
        <v>[e북]하루하루 1권</v>
      </c>
      <c r="D2" t="str">
        <f>T("1")</f>
        <v>1</v>
      </c>
      <c r="E2" t="str">
        <f>T("사틴")</f>
        <v>사틴</v>
      </c>
      <c r="H2" t="str">
        <f>T("블러쉬")</f>
        <v>블러쉬</v>
      </c>
      <c r="I2" t="str">
        <f>T("[e북]하루하루")</f>
        <v>[e북]하루하루</v>
      </c>
      <c r="J2">
        <v>3600</v>
      </c>
      <c r="K2">
        <v>1252800</v>
      </c>
      <c r="L2">
        <v>348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-39600</v>
      </c>
      <c r="X2">
        <v>11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1252800</v>
      </c>
      <c r="AH2">
        <v>348</v>
      </c>
      <c r="AI2">
        <v>-39600</v>
      </c>
      <c r="AJ2">
        <v>11</v>
      </c>
      <c r="AK2">
        <v>1236876</v>
      </c>
      <c r="AL2">
        <v>-39600</v>
      </c>
      <c r="AM2">
        <v>19108.8</v>
      </c>
      <c r="AN2">
        <v>-2774.88</v>
      </c>
      <c r="AO2">
        <v>0</v>
      </c>
      <c r="AQ2">
        <v>0</v>
      </c>
      <c r="AR2">
        <v>0</v>
      </c>
      <c r="AS2">
        <v>19108.8</v>
      </c>
      <c r="AT2">
        <v>-2774.88</v>
      </c>
      <c r="AU2">
        <v>0</v>
      </c>
      <c r="AW2">
        <v>0</v>
      </c>
      <c r="AX2">
        <v>0</v>
      </c>
      <c r="AY2">
        <v>849526.94</v>
      </c>
      <c r="BC2" t="str">
        <f>T("9791166482557")</f>
        <v>9791166482557</v>
      </c>
      <c r="BE2" t="str">
        <f>T("BL 소설 e북 &gt; 현대물")</f>
        <v>BL 소설 e북 &gt; 현대물</v>
      </c>
    </row>
    <row r="3" spans="1:58" x14ac:dyDescent="0.3">
      <c r="A3">
        <v>1525012769</v>
      </c>
      <c r="B3">
        <v>1525012770</v>
      </c>
      <c r="C3" t="str">
        <f>T("[e북]하루하루 2권 (완결)")</f>
        <v>[e북]하루하루 2권 (완결)</v>
      </c>
      <c r="D3" t="str">
        <f>T("2")</f>
        <v>2</v>
      </c>
      <c r="E3" t="str">
        <f>T("사틴")</f>
        <v>사틴</v>
      </c>
      <c r="H3" t="str">
        <f>T("블러쉬")</f>
        <v>블러쉬</v>
      </c>
      <c r="I3" t="str">
        <f>T("[e북]하루하루")</f>
        <v>[e북]하루하루</v>
      </c>
      <c r="J3">
        <v>3600</v>
      </c>
      <c r="K3">
        <v>1238400</v>
      </c>
      <c r="L3">
        <v>344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-36000</v>
      </c>
      <c r="X3">
        <v>10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1238400</v>
      </c>
      <c r="AH3">
        <v>344</v>
      </c>
      <c r="AI3">
        <v>-36000</v>
      </c>
      <c r="AJ3">
        <v>10</v>
      </c>
      <c r="AK3">
        <v>1219276</v>
      </c>
      <c r="AL3">
        <v>-36000</v>
      </c>
      <c r="AM3">
        <v>22948.799999999999</v>
      </c>
      <c r="AN3">
        <v>-3158.88</v>
      </c>
      <c r="AO3">
        <v>0</v>
      </c>
      <c r="AQ3">
        <v>0</v>
      </c>
      <c r="AR3">
        <v>0</v>
      </c>
      <c r="AS3">
        <v>22948.799999999999</v>
      </c>
      <c r="AT3">
        <v>-3158.88</v>
      </c>
      <c r="AU3">
        <v>0</v>
      </c>
      <c r="AW3">
        <v>0</v>
      </c>
      <c r="AX3">
        <v>0</v>
      </c>
      <c r="AY3">
        <v>842146.14</v>
      </c>
      <c r="BC3" t="str">
        <f>T("9791166482564")</f>
        <v>9791166482564</v>
      </c>
      <c r="BE3" t="str">
        <f>T("BL 소설 e북 &gt; 현대물")</f>
        <v>BL 소설 e북 &gt; 현대물</v>
      </c>
    </row>
    <row r="4" spans="1:58" x14ac:dyDescent="0.3">
      <c r="A4">
        <v>1525008170</v>
      </c>
      <c r="B4">
        <v>1525008170</v>
      </c>
      <c r="C4" t="str">
        <f>T("[e북]익스클루시브(Exclusive) 1권")</f>
        <v>[e북]익스클루시브(Exclusive) 1권</v>
      </c>
      <c r="D4" t="str">
        <f>T("1")</f>
        <v>1</v>
      </c>
      <c r="E4" t="str">
        <f>T("사틴")</f>
        <v>사틴</v>
      </c>
      <c r="H4" t="str">
        <f>T("블러쉬")</f>
        <v>블러쉬</v>
      </c>
      <c r="I4" t="str">
        <f>T("[e북]익스클루시브(Exclusive)")</f>
        <v>[e북]익스클루시브(Exclusive)</v>
      </c>
      <c r="J4">
        <v>3000</v>
      </c>
      <c r="K4">
        <v>693000</v>
      </c>
      <c r="L4">
        <v>231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-30000</v>
      </c>
      <c r="X4">
        <v>10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693000</v>
      </c>
      <c r="AH4">
        <v>231</v>
      </c>
      <c r="AI4">
        <v>-30000</v>
      </c>
      <c r="AJ4">
        <v>10</v>
      </c>
      <c r="AK4">
        <v>678300</v>
      </c>
      <c r="AL4">
        <v>-30000</v>
      </c>
      <c r="AM4">
        <v>17640</v>
      </c>
      <c r="AN4">
        <v>-3852</v>
      </c>
      <c r="AO4">
        <v>0</v>
      </c>
      <c r="AP4">
        <v>3240</v>
      </c>
      <c r="AQ4">
        <v>-972</v>
      </c>
      <c r="AR4">
        <v>0</v>
      </c>
      <c r="AS4">
        <v>14400</v>
      </c>
      <c r="AT4">
        <v>-2880</v>
      </c>
      <c r="AU4">
        <v>0</v>
      </c>
      <c r="AW4">
        <v>0</v>
      </c>
      <c r="AX4">
        <v>0</v>
      </c>
      <c r="AY4">
        <v>463461.6</v>
      </c>
      <c r="BA4" t="str">
        <f>T("0000000000000")</f>
        <v>0000000000000</v>
      </c>
      <c r="BC4" t="str">
        <f>T("9791166481703")</f>
        <v>9791166481703</v>
      </c>
      <c r="BE4" t="str">
        <f>T("BL 소설 e북 &gt; 현대물")</f>
        <v>BL 소설 e북 &gt; 현대물</v>
      </c>
    </row>
    <row r="5" spans="1:58" x14ac:dyDescent="0.3">
      <c r="A5">
        <v>1525008170</v>
      </c>
      <c r="B5">
        <v>1525008171</v>
      </c>
      <c r="C5" t="str">
        <f>T("[e북]익스클루시브(Exclusive) 2권 (완결)")</f>
        <v>[e북]익스클루시브(Exclusive) 2권 (완결)</v>
      </c>
      <c r="D5" t="str">
        <f>T("2")</f>
        <v>2</v>
      </c>
      <c r="E5" t="str">
        <f>T("사틴")</f>
        <v>사틴</v>
      </c>
      <c r="H5" t="str">
        <f>T("블러쉬")</f>
        <v>블러쉬</v>
      </c>
      <c r="I5" t="str">
        <f>T("[e북]익스클루시브(Exclusive)")</f>
        <v>[e북]익스클루시브(Exclusive)</v>
      </c>
      <c r="J5">
        <v>3000</v>
      </c>
      <c r="K5">
        <v>690000</v>
      </c>
      <c r="L5">
        <v>230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-30000</v>
      </c>
      <c r="X5">
        <v>10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690000</v>
      </c>
      <c r="AH5">
        <v>230</v>
      </c>
      <c r="AI5">
        <v>-30000</v>
      </c>
      <c r="AJ5">
        <v>10</v>
      </c>
      <c r="AK5">
        <v>680160</v>
      </c>
      <c r="AL5">
        <v>-30000</v>
      </c>
      <c r="AM5">
        <v>11808</v>
      </c>
      <c r="AN5">
        <v>-2548.8000000000002</v>
      </c>
      <c r="AO5">
        <v>0</v>
      </c>
      <c r="AP5">
        <v>3240</v>
      </c>
      <c r="AQ5">
        <v>-972</v>
      </c>
      <c r="AR5">
        <v>0</v>
      </c>
      <c r="AS5">
        <v>8568</v>
      </c>
      <c r="AT5">
        <v>-1576.8</v>
      </c>
      <c r="AU5">
        <v>0</v>
      </c>
      <c r="AW5">
        <v>0</v>
      </c>
      <c r="AX5">
        <v>0</v>
      </c>
      <c r="AY5">
        <v>461593.44</v>
      </c>
      <c r="BA5" t="str">
        <f>T("0000000000000")</f>
        <v>0000000000000</v>
      </c>
      <c r="BC5" t="str">
        <f>T("9791166481710")</f>
        <v>9791166481710</v>
      </c>
      <c r="BE5" t="str">
        <f>T("BL 소설 e북 &gt; 현대물")</f>
        <v>BL 소설 e북 &gt; 현대물</v>
      </c>
    </row>
    <row r="6" spans="1:58" x14ac:dyDescent="0.3">
      <c r="B6">
        <v>1525015122</v>
      </c>
      <c r="C6" t="str">
        <f>T("[e북]스물한 송이")</f>
        <v>[e북]스물한 송이</v>
      </c>
      <c r="E6" t="str">
        <f>T("서정윤")</f>
        <v>서정윤</v>
      </c>
      <c r="H6" t="str">
        <f t="shared" ref="H6:H27" si="0">T("밀리오리지널")</f>
        <v>밀리오리지널</v>
      </c>
      <c r="J6">
        <v>3000</v>
      </c>
      <c r="K6">
        <v>645000</v>
      </c>
      <c r="L6">
        <v>215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-9000</v>
      </c>
      <c r="X6">
        <v>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645000</v>
      </c>
      <c r="AH6">
        <v>215</v>
      </c>
      <c r="AI6">
        <v>-9000</v>
      </c>
      <c r="AJ6">
        <v>3</v>
      </c>
      <c r="AK6">
        <v>589933</v>
      </c>
      <c r="AL6">
        <v>-9000</v>
      </c>
      <c r="AM6">
        <v>66080.399999999994</v>
      </c>
      <c r="AN6">
        <v>-15433.08</v>
      </c>
      <c r="AO6">
        <v>0</v>
      </c>
      <c r="AP6">
        <v>3600</v>
      </c>
      <c r="AQ6">
        <v>-1080</v>
      </c>
      <c r="AR6">
        <v>0</v>
      </c>
      <c r="AS6">
        <v>62480.4</v>
      </c>
      <c r="AT6">
        <v>-14353.08</v>
      </c>
      <c r="AU6">
        <v>0</v>
      </c>
      <c r="AW6">
        <v>0</v>
      </c>
      <c r="AX6">
        <v>0</v>
      </c>
      <c r="AY6">
        <v>442106.22</v>
      </c>
      <c r="BC6" t="str">
        <f>T("9791192123141")</f>
        <v>9791192123141</v>
      </c>
      <c r="BE6" t="str">
        <f>T("로맨스 e북 &gt; 현대물")</f>
        <v>로맨스 e북 &gt; 현대물</v>
      </c>
    </row>
    <row r="7" spans="1:58" x14ac:dyDescent="0.3">
      <c r="B7">
        <v>1525013445</v>
      </c>
      <c r="C7" t="str">
        <f>T("[e북]바스락")</f>
        <v>[e북]바스락</v>
      </c>
      <c r="E7" t="str">
        <f>T("달로")</f>
        <v>달로</v>
      </c>
      <c r="H7" t="str">
        <f t="shared" si="0"/>
        <v>밀리오리지널</v>
      </c>
      <c r="J7">
        <v>2000</v>
      </c>
      <c r="K7">
        <v>262000</v>
      </c>
      <c r="L7">
        <v>131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262000</v>
      </c>
      <c r="AH7">
        <v>131</v>
      </c>
      <c r="AI7">
        <v>0</v>
      </c>
      <c r="AJ7">
        <v>0</v>
      </c>
      <c r="AK7">
        <v>225857</v>
      </c>
      <c r="AL7">
        <v>0</v>
      </c>
      <c r="AM7">
        <v>43371.6</v>
      </c>
      <c r="AN7">
        <v>-8838.1200000000008</v>
      </c>
      <c r="AO7">
        <v>0</v>
      </c>
      <c r="AP7">
        <v>11715.6</v>
      </c>
      <c r="AQ7">
        <v>-3514.68</v>
      </c>
      <c r="AR7">
        <v>0</v>
      </c>
      <c r="AS7">
        <v>31656</v>
      </c>
      <c r="AT7">
        <v>-5323.44</v>
      </c>
      <c r="AU7">
        <v>0</v>
      </c>
      <c r="AW7">
        <v>0</v>
      </c>
      <c r="AX7">
        <v>0</v>
      </c>
      <c r="AY7">
        <v>182273.33</v>
      </c>
      <c r="BC7" t="str">
        <f>T("9791191562187")</f>
        <v>9791191562187</v>
      </c>
      <c r="BE7" t="str">
        <f>T("로맨스 e북 &gt; 현대물")</f>
        <v>로맨스 e북 &gt; 현대물</v>
      </c>
      <c r="BF7" t="str">
        <f>T("로맨스 e북 &gt; 19+")</f>
        <v>로맨스 e북 &gt; 19+</v>
      </c>
    </row>
    <row r="8" spans="1:58" x14ac:dyDescent="0.3">
      <c r="B8">
        <v>1525015124</v>
      </c>
      <c r="C8" t="str">
        <f>T("[e북]운명과 복수")</f>
        <v>[e북]운명과 복수</v>
      </c>
      <c r="E8" t="str">
        <f>T("트리플베리")</f>
        <v>트리플베리</v>
      </c>
      <c r="H8" t="str">
        <f t="shared" si="0"/>
        <v>밀리오리지널</v>
      </c>
      <c r="J8">
        <v>3200</v>
      </c>
      <c r="K8">
        <v>220800</v>
      </c>
      <c r="L8">
        <v>69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220800</v>
      </c>
      <c r="AH8">
        <v>69</v>
      </c>
      <c r="AI8">
        <v>0</v>
      </c>
      <c r="AJ8">
        <v>0</v>
      </c>
      <c r="AK8">
        <v>217600</v>
      </c>
      <c r="AL8">
        <v>0</v>
      </c>
      <c r="AM8">
        <v>3840</v>
      </c>
      <c r="AN8">
        <v>-1152</v>
      </c>
      <c r="AO8">
        <v>0</v>
      </c>
      <c r="AQ8">
        <v>0</v>
      </c>
      <c r="AR8">
        <v>0</v>
      </c>
      <c r="AS8">
        <v>3840</v>
      </c>
      <c r="AT8">
        <v>-1152</v>
      </c>
      <c r="AU8">
        <v>0</v>
      </c>
      <c r="AW8">
        <v>0</v>
      </c>
      <c r="AX8">
        <v>0</v>
      </c>
      <c r="AY8">
        <v>154201.60000000001</v>
      </c>
      <c r="BC8" t="str">
        <f>T("9791192123226")</f>
        <v>9791192123226</v>
      </c>
      <c r="BE8" t="str">
        <f>T("로판 e북 &gt; 서양풍 로판")</f>
        <v>로판 e북 &gt; 서양풍 로판</v>
      </c>
    </row>
    <row r="9" spans="1:58" x14ac:dyDescent="0.3">
      <c r="B9">
        <v>1525013366</v>
      </c>
      <c r="C9" t="str">
        <f>T("[e북]낯선 밤에 마주친")</f>
        <v>[e북]낯선 밤에 마주친</v>
      </c>
      <c r="E9" t="str">
        <f>T("춈춈")</f>
        <v>춈춈</v>
      </c>
      <c r="H9" t="str">
        <f t="shared" si="0"/>
        <v>밀리오리지널</v>
      </c>
      <c r="J9">
        <v>2000</v>
      </c>
      <c r="K9">
        <v>171400</v>
      </c>
      <c r="L9">
        <v>95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171400</v>
      </c>
      <c r="AH9">
        <v>95</v>
      </c>
      <c r="AI9">
        <v>0</v>
      </c>
      <c r="AJ9">
        <v>0</v>
      </c>
      <c r="AK9">
        <v>156362</v>
      </c>
      <c r="AL9">
        <v>0</v>
      </c>
      <c r="AM9">
        <v>18049.2</v>
      </c>
      <c r="AN9">
        <v>-4550.76</v>
      </c>
      <c r="AO9">
        <v>0</v>
      </c>
      <c r="AP9">
        <v>4958.3999999999996</v>
      </c>
      <c r="AQ9">
        <v>-1487.52</v>
      </c>
      <c r="AR9">
        <v>0</v>
      </c>
      <c r="AS9">
        <v>13090.8</v>
      </c>
      <c r="AT9">
        <v>-3063.24</v>
      </c>
      <c r="AU9">
        <v>0</v>
      </c>
      <c r="AW9">
        <v>0</v>
      </c>
      <c r="AX9">
        <v>0</v>
      </c>
      <c r="AY9">
        <v>118902.3</v>
      </c>
      <c r="BA9" t="str">
        <f>T("0000000000000")</f>
        <v>0000000000000</v>
      </c>
      <c r="BC9" t="str">
        <f>T("9791191562019")</f>
        <v>9791191562019</v>
      </c>
      <c r="BE9" t="str">
        <f>T("로맨스 e북 &gt; 19+")</f>
        <v>로맨스 e북 &gt; 19+</v>
      </c>
      <c r="BF9" t="str">
        <f>T("로맨스 e북 &gt; 현대물")</f>
        <v>로맨스 e북 &gt; 현대물</v>
      </c>
    </row>
    <row r="10" spans="1:58" x14ac:dyDescent="0.3">
      <c r="B10">
        <v>1525015125</v>
      </c>
      <c r="C10" t="str">
        <f>T("[e북]마지막 여름")</f>
        <v>[e북]마지막 여름</v>
      </c>
      <c r="E10" t="str">
        <f>T("라벤더블루")</f>
        <v>라벤더블루</v>
      </c>
      <c r="H10" t="str">
        <f t="shared" si="0"/>
        <v>밀리오리지널</v>
      </c>
      <c r="J10">
        <v>2500</v>
      </c>
      <c r="K10">
        <v>165000</v>
      </c>
      <c r="L10">
        <v>66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165000</v>
      </c>
      <c r="AH10">
        <v>66</v>
      </c>
      <c r="AI10">
        <v>0</v>
      </c>
      <c r="AJ10">
        <v>0</v>
      </c>
      <c r="AK10">
        <v>148611</v>
      </c>
      <c r="AL10">
        <v>0</v>
      </c>
      <c r="AM10">
        <v>19666.8</v>
      </c>
      <c r="AN10">
        <v>-2360.04</v>
      </c>
      <c r="AO10">
        <v>0</v>
      </c>
      <c r="AP10">
        <v>1966.8</v>
      </c>
      <c r="AQ10">
        <v>-590.04</v>
      </c>
      <c r="AR10">
        <v>0</v>
      </c>
      <c r="AS10">
        <v>17700</v>
      </c>
      <c r="AT10">
        <v>-1770</v>
      </c>
      <c r="AU10">
        <v>0</v>
      </c>
      <c r="AW10">
        <v>0</v>
      </c>
      <c r="AX10">
        <v>0</v>
      </c>
      <c r="AY10">
        <v>116142.43</v>
      </c>
      <c r="BC10" t="str">
        <f>T("9791192123257")</f>
        <v>9791192123257</v>
      </c>
      <c r="BE10" t="str">
        <f>T("로맨스 e북 &gt; 현대물")</f>
        <v>로맨스 e북 &gt; 현대물</v>
      </c>
    </row>
    <row r="11" spans="1:58" x14ac:dyDescent="0.3">
      <c r="B11">
        <v>1525013655</v>
      </c>
      <c r="C11" t="str">
        <f>T("[e북]일교차")</f>
        <v>[e북]일교차</v>
      </c>
      <c r="E11" t="str">
        <f>T("해화")</f>
        <v>해화</v>
      </c>
      <c r="H11" t="str">
        <f t="shared" si="0"/>
        <v>밀리오리지널</v>
      </c>
      <c r="J11">
        <v>2500</v>
      </c>
      <c r="K11">
        <v>140000</v>
      </c>
      <c r="L11">
        <v>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140000</v>
      </c>
      <c r="AH11">
        <v>56</v>
      </c>
      <c r="AI11">
        <v>0</v>
      </c>
      <c r="AJ11">
        <v>0</v>
      </c>
      <c r="AK11">
        <v>116050</v>
      </c>
      <c r="AL11">
        <v>0</v>
      </c>
      <c r="AM11">
        <v>28740</v>
      </c>
      <c r="AN11">
        <v>-5242.8</v>
      </c>
      <c r="AO11">
        <v>0</v>
      </c>
      <c r="AQ11">
        <v>0</v>
      </c>
      <c r="AR11">
        <v>0</v>
      </c>
      <c r="AS11">
        <v>28740</v>
      </c>
      <c r="AT11">
        <v>-5242.8</v>
      </c>
      <c r="AU11">
        <v>0</v>
      </c>
      <c r="AW11">
        <v>0</v>
      </c>
      <c r="AX11">
        <v>0</v>
      </c>
      <c r="AY11">
        <v>97683.04</v>
      </c>
      <c r="BC11" t="str">
        <f>T("9791191562309")</f>
        <v>9791191562309</v>
      </c>
      <c r="BE11" t="str">
        <f>T("로맨스 e북 &gt; 현대물")</f>
        <v>로맨스 e북 &gt; 현대물</v>
      </c>
    </row>
    <row r="12" spans="1:58" x14ac:dyDescent="0.3">
      <c r="B12">
        <v>1525014421</v>
      </c>
      <c r="C12" t="str">
        <f>T("[e북]브레이크 어웨이(Break Away)")</f>
        <v>[e북]브레이크 어웨이(Break Away)</v>
      </c>
      <c r="E12" t="str">
        <f>T("서정윤")</f>
        <v>서정윤</v>
      </c>
      <c r="H12" t="str">
        <f t="shared" si="0"/>
        <v>밀리오리지널</v>
      </c>
      <c r="J12">
        <v>2500</v>
      </c>
      <c r="K12">
        <v>105000</v>
      </c>
      <c r="L12">
        <v>42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105000</v>
      </c>
      <c r="AH12">
        <v>42</v>
      </c>
      <c r="AI12">
        <v>0</v>
      </c>
      <c r="AJ12">
        <v>0</v>
      </c>
      <c r="AK12">
        <v>86066</v>
      </c>
      <c r="AL12">
        <v>0</v>
      </c>
      <c r="AM12">
        <v>22725.8</v>
      </c>
      <c r="AN12">
        <v>-4844.9399999999996</v>
      </c>
      <c r="AO12">
        <v>0</v>
      </c>
      <c r="AP12">
        <v>3005</v>
      </c>
      <c r="AQ12">
        <v>-901.5</v>
      </c>
      <c r="AR12">
        <v>0</v>
      </c>
      <c r="AS12">
        <v>19720.8</v>
      </c>
      <c r="AT12">
        <v>-3943.44</v>
      </c>
      <c r="AU12">
        <v>0</v>
      </c>
      <c r="AW12">
        <v>0</v>
      </c>
      <c r="AX12">
        <v>0</v>
      </c>
      <c r="AY12">
        <v>72762.8</v>
      </c>
      <c r="BC12" t="str">
        <f>T("9791191562453")</f>
        <v>9791191562453</v>
      </c>
      <c r="BE12" t="str">
        <f>T("로맨스 e북 &gt; 현대물")</f>
        <v>로맨스 e북 &gt; 현대물</v>
      </c>
    </row>
    <row r="13" spans="1:58" x14ac:dyDescent="0.3">
      <c r="B13">
        <v>1525014437</v>
      </c>
      <c r="C13" t="str">
        <f>T("[e북]봄볕이 아른아른")</f>
        <v>[e북]봄볕이 아른아른</v>
      </c>
      <c r="E13" t="str">
        <f>T("송여희")</f>
        <v>송여희</v>
      </c>
      <c r="H13" t="str">
        <f t="shared" si="0"/>
        <v>밀리오리지널</v>
      </c>
      <c r="J13">
        <v>2000</v>
      </c>
      <c r="K13">
        <v>79800</v>
      </c>
      <c r="L13">
        <v>44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79800</v>
      </c>
      <c r="AH13">
        <v>44</v>
      </c>
      <c r="AI13">
        <v>0</v>
      </c>
      <c r="AJ13">
        <v>0</v>
      </c>
      <c r="AK13">
        <v>74400</v>
      </c>
      <c r="AL13">
        <v>0</v>
      </c>
      <c r="AM13">
        <v>6480</v>
      </c>
      <c r="AN13">
        <v>-1080</v>
      </c>
      <c r="AO13">
        <v>0</v>
      </c>
      <c r="AQ13">
        <v>0</v>
      </c>
      <c r="AR13">
        <v>0</v>
      </c>
      <c r="AS13">
        <v>6480</v>
      </c>
      <c r="AT13">
        <v>-1080</v>
      </c>
      <c r="AU13">
        <v>0</v>
      </c>
      <c r="AW13">
        <v>0</v>
      </c>
      <c r="AX13">
        <v>0</v>
      </c>
      <c r="AY13">
        <v>55860</v>
      </c>
      <c r="BA13" t="str">
        <f>T("0000000000000")</f>
        <v>0000000000000</v>
      </c>
      <c r="BC13" t="str">
        <f>T("9791191562484")</f>
        <v>9791191562484</v>
      </c>
      <c r="BE13" t="str">
        <f>T("로맨스 e북 &gt; 역사/시대물")</f>
        <v>로맨스 e북 &gt; 역사/시대물</v>
      </c>
      <c r="BF13" t="str">
        <f>T("로맨스 e북 &gt; 19+")</f>
        <v>로맨스 e북 &gt; 19+</v>
      </c>
    </row>
    <row r="14" spans="1:58" x14ac:dyDescent="0.3">
      <c r="B14">
        <v>1525014426</v>
      </c>
      <c r="C14" t="str">
        <f>T("[e북]무심코")</f>
        <v>[e북]무심코</v>
      </c>
      <c r="E14" t="str">
        <f>T("달로")</f>
        <v>달로</v>
      </c>
      <c r="H14" t="str">
        <f t="shared" si="0"/>
        <v>밀리오리지널</v>
      </c>
      <c r="J14">
        <v>2000</v>
      </c>
      <c r="K14">
        <v>74000</v>
      </c>
      <c r="L14">
        <v>37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74000</v>
      </c>
      <c r="AH14">
        <v>37</v>
      </c>
      <c r="AI14">
        <v>0</v>
      </c>
      <c r="AJ14">
        <v>0</v>
      </c>
      <c r="AK14">
        <v>66101</v>
      </c>
      <c r="AL14">
        <v>0</v>
      </c>
      <c r="AM14">
        <v>9478.7999999999993</v>
      </c>
      <c r="AN14">
        <v>-2073.48</v>
      </c>
      <c r="AO14">
        <v>0</v>
      </c>
      <c r="AP14">
        <v>5628</v>
      </c>
      <c r="AQ14">
        <v>-1688.4</v>
      </c>
      <c r="AR14">
        <v>0</v>
      </c>
      <c r="AS14">
        <v>3850.8</v>
      </c>
      <c r="AT14">
        <v>-385.08</v>
      </c>
      <c r="AU14">
        <v>0</v>
      </c>
      <c r="AW14">
        <v>0</v>
      </c>
      <c r="AX14">
        <v>0</v>
      </c>
      <c r="AY14">
        <v>51454.42</v>
      </c>
      <c r="BC14" t="str">
        <f>T("9791191562798")</f>
        <v>9791191562798</v>
      </c>
      <c r="BE14" t="str">
        <f>T("로맨스 e북 &gt; 현대물")</f>
        <v>로맨스 e북 &gt; 현대물</v>
      </c>
      <c r="BF14" t="str">
        <f>T("로맨스 e북 &gt; 19+")</f>
        <v>로맨스 e북 &gt; 19+</v>
      </c>
    </row>
    <row r="15" spans="1:58" x14ac:dyDescent="0.3">
      <c r="B15">
        <v>1525015123</v>
      </c>
      <c r="C15" t="str">
        <f>T("[e북]도베르만 길들이기")</f>
        <v>[e북]도베르만 길들이기</v>
      </c>
      <c r="E15" t="str">
        <f>T("원성혜")</f>
        <v>원성혜</v>
      </c>
      <c r="H15" t="str">
        <f t="shared" si="0"/>
        <v>밀리오리지널</v>
      </c>
      <c r="J15">
        <v>2000</v>
      </c>
      <c r="K15">
        <v>64000</v>
      </c>
      <c r="L15">
        <v>32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64000</v>
      </c>
      <c r="AH15">
        <v>32</v>
      </c>
      <c r="AI15">
        <v>0</v>
      </c>
      <c r="AJ15">
        <v>0</v>
      </c>
      <c r="AK15">
        <v>55720</v>
      </c>
      <c r="AL15">
        <v>0</v>
      </c>
      <c r="AM15">
        <v>9936</v>
      </c>
      <c r="AN15">
        <v>-2433.6</v>
      </c>
      <c r="AO15">
        <v>0</v>
      </c>
      <c r="AQ15">
        <v>0</v>
      </c>
      <c r="AR15">
        <v>0</v>
      </c>
      <c r="AS15">
        <v>9936</v>
      </c>
      <c r="AT15">
        <v>-2433.6</v>
      </c>
      <c r="AU15">
        <v>0</v>
      </c>
      <c r="AW15">
        <v>0</v>
      </c>
      <c r="AX15">
        <v>0</v>
      </c>
      <c r="AY15">
        <v>44255.68</v>
      </c>
      <c r="BC15" t="str">
        <f>T("9791192123158")</f>
        <v>9791192123158</v>
      </c>
      <c r="BE15" t="str">
        <f>T("로맨스 e북 &gt; 현대물")</f>
        <v>로맨스 e북 &gt; 현대물</v>
      </c>
    </row>
    <row r="16" spans="1:58" x14ac:dyDescent="0.3">
      <c r="B16">
        <v>1525015119</v>
      </c>
      <c r="C16" t="str">
        <f>T("[e북]이별하기 좋은 계절")</f>
        <v>[e북]이별하기 좋은 계절</v>
      </c>
      <c r="E16" t="str">
        <f>T("송민선")</f>
        <v>송민선</v>
      </c>
      <c r="H16" t="str">
        <f t="shared" si="0"/>
        <v>밀리오리지널</v>
      </c>
      <c r="J16">
        <v>2500</v>
      </c>
      <c r="K16">
        <v>60000</v>
      </c>
      <c r="L16">
        <v>24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60000</v>
      </c>
      <c r="AH16">
        <v>24</v>
      </c>
      <c r="AI16">
        <v>0</v>
      </c>
      <c r="AJ16">
        <v>0</v>
      </c>
      <c r="AK16">
        <v>47610</v>
      </c>
      <c r="AL16">
        <v>0</v>
      </c>
      <c r="AM16">
        <v>14868</v>
      </c>
      <c r="AN16">
        <v>-3140.4</v>
      </c>
      <c r="AO16">
        <v>0</v>
      </c>
      <c r="AQ16">
        <v>0</v>
      </c>
      <c r="AR16">
        <v>0</v>
      </c>
      <c r="AS16">
        <v>14868</v>
      </c>
      <c r="AT16">
        <v>-3140.4</v>
      </c>
      <c r="AU16">
        <v>0</v>
      </c>
      <c r="AW16">
        <v>0</v>
      </c>
      <c r="AX16">
        <v>0</v>
      </c>
      <c r="AY16">
        <v>41536.32</v>
      </c>
      <c r="BC16" t="str">
        <f>T("9791192123110")</f>
        <v>9791192123110</v>
      </c>
      <c r="BE16" t="str">
        <f>T("로맨스 e북 &gt; 현대물")</f>
        <v>로맨스 e북 &gt; 현대물</v>
      </c>
    </row>
    <row r="17" spans="1:58" x14ac:dyDescent="0.3">
      <c r="B17">
        <v>1525015121</v>
      </c>
      <c r="C17" t="str">
        <f>T("[e북]소꿉친구")</f>
        <v>[e북]소꿉친구</v>
      </c>
      <c r="E17" t="str">
        <f>T("김혜연")</f>
        <v>김혜연</v>
      </c>
      <c r="H17" t="str">
        <f t="shared" si="0"/>
        <v>밀리오리지널</v>
      </c>
      <c r="J17">
        <v>3000</v>
      </c>
      <c r="K17">
        <v>54000</v>
      </c>
      <c r="L17">
        <v>18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54000</v>
      </c>
      <c r="AH17">
        <v>18</v>
      </c>
      <c r="AI17">
        <v>0</v>
      </c>
      <c r="AJ17">
        <v>0</v>
      </c>
      <c r="AK17">
        <v>54000</v>
      </c>
      <c r="AL17">
        <v>0</v>
      </c>
      <c r="AM17">
        <v>0</v>
      </c>
      <c r="AN17">
        <v>0</v>
      </c>
      <c r="AO17">
        <v>0</v>
      </c>
      <c r="AQ17">
        <v>0</v>
      </c>
      <c r="AR17">
        <v>0</v>
      </c>
      <c r="AT17">
        <v>0</v>
      </c>
      <c r="AU17">
        <v>0</v>
      </c>
      <c r="AW17">
        <v>0</v>
      </c>
      <c r="AX17">
        <v>0</v>
      </c>
      <c r="AY17">
        <v>37800</v>
      </c>
      <c r="BC17" t="str">
        <f>T("9791192123134")</f>
        <v>9791192123134</v>
      </c>
      <c r="BE17" t="str">
        <f>T("로맨스 e북 &gt; 현대물")</f>
        <v>로맨스 e북 &gt; 현대물</v>
      </c>
      <c r="BF17" t="str">
        <f>T("로맨스 e북 &gt; 19+")</f>
        <v>로맨스 e북 &gt; 19+</v>
      </c>
    </row>
    <row r="18" spans="1:58" x14ac:dyDescent="0.3">
      <c r="B18">
        <v>1525013343</v>
      </c>
      <c r="C18" t="str">
        <f>T("[e북]붉은 정자-살라댕")</f>
        <v>[e북]붉은 정자-살라댕</v>
      </c>
      <c r="E18" t="str">
        <f>T("라벤더블루")</f>
        <v>라벤더블루</v>
      </c>
      <c r="H18" t="str">
        <f t="shared" si="0"/>
        <v>밀리오리지널</v>
      </c>
      <c r="J18">
        <v>2500</v>
      </c>
      <c r="K18">
        <v>52500</v>
      </c>
      <c r="L18">
        <v>21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52500</v>
      </c>
      <c r="AH18">
        <v>21</v>
      </c>
      <c r="AI18">
        <v>0</v>
      </c>
      <c r="AJ18">
        <v>0</v>
      </c>
      <c r="AK18">
        <v>50300</v>
      </c>
      <c r="AL18">
        <v>0</v>
      </c>
      <c r="AM18">
        <v>2640</v>
      </c>
      <c r="AN18">
        <v>-792</v>
      </c>
      <c r="AO18">
        <v>0</v>
      </c>
      <c r="AP18">
        <v>2640</v>
      </c>
      <c r="AQ18">
        <v>-792</v>
      </c>
      <c r="AR18">
        <v>0</v>
      </c>
      <c r="AT18">
        <v>0</v>
      </c>
      <c r="AU18">
        <v>0</v>
      </c>
      <c r="AW18">
        <v>0</v>
      </c>
      <c r="AX18">
        <v>0</v>
      </c>
      <c r="AY18">
        <v>36503.599999999999</v>
      </c>
      <c r="BA18" t="str">
        <f>T("0000000000000")</f>
        <v>0000000000000</v>
      </c>
      <c r="BC18" t="str">
        <f>T("9791196945268")</f>
        <v>9791196945268</v>
      </c>
      <c r="BE18" t="str">
        <f>T("로판 e북 &gt; 서양풍 로판")</f>
        <v>로판 e북 &gt; 서양풍 로판</v>
      </c>
    </row>
    <row r="19" spans="1:58" x14ac:dyDescent="0.3">
      <c r="B19">
        <v>1525014479</v>
      </c>
      <c r="C19" t="str">
        <f>T("[e북]연애의 끝")</f>
        <v>[e북]연애의 끝</v>
      </c>
      <c r="E19" t="str">
        <f>T("차크")</f>
        <v>차크</v>
      </c>
      <c r="H19" t="str">
        <f t="shared" si="0"/>
        <v>밀리오리지널</v>
      </c>
      <c r="J19">
        <v>3500</v>
      </c>
      <c r="K19">
        <v>50750</v>
      </c>
      <c r="L19">
        <v>16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50750</v>
      </c>
      <c r="AH19">
        <v>16</v>
      </c>
      <c r="AI19">
        <v>0</v>
      </c>
      <c r="AJ19">
        <v>0</v>
      </c>
      <c r="AK19">
        <v>50750</v>
      </c>
      <c r="AL19">
        <v>0</v>
      </c>
      <c r="AM19">
        <v>0</v>
      </c>
      <c r="AN19">
        <v>0</v>
      </c>
      <c r="AO19">
        <v>0</v>
      </c>
      <c r="AQ19">
        <v>0</v>
      </c>
      <c r="AR19">
        <v>0</v>
      </c>
      <c r="AT19">
        <v>0</v>
      </c>
      <c r="AU19">
        <v>0</v>
      </c>
      <c r="AW19">
        <v>0</v>
      </c>
      <c r="AX19">
        <v>0</v>
      </c>
      <c r="AY19">
        <v>35525</v>
      </c>
      <c r="BC19" t="str">
        <f>T("9791191562866")</f>
        <v>9791191562866</v>
      </c>
      <c r="BE19" t="str">
        <f t="shared" ref="BE19:BE27" si="1">T("로맨스 e북 &gt; 현대물")</f>
        <v>로맨스 e북 &gt; 현대물</v>
      </c>
    </row>
    <row r="20" spans="1:58" x14ac:dyDescent="0.3">
      <c r="B20">
        <v>1525013360</v>
      </c>
      <c r="C20" t="str">
        <f>T("[e북]너만 보면 두근 두근")</f>
        <v>[e북]너만 보면 두근 두근</v>
      </c>
      <c r="E20" t="str">
        <f>T("정경하")</f>
        <v>정경하</v>
      </c>
      <c r="H20" t="str">
        <f t="shared" si="0"/>
        <v>밀리오리지널</v>
      </c>
      <c r="J20">
        <v>2500</v>
      </c>
      <c r="K20">
        <v>48250</v>
      </c>
      <c r="L20">
        <v>21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48250</v>
      </c>
      <c r="AH20">
        <v>21</v>
      </c>
      <c r="AI20">
        <v>0</v>
      </c>
      <c r="AJ20">
        <v>0</v>
      </c>
      <c r="AK20">
        <v>43750</v>
      </c>
      <c r="AL20">
        <v>0</v>
      </c>
      <c r="AM20">
        <v>5400</v>
      </c>
      <c r="AN20">
        <v>-540</v>
      </c>
      <c r="AO20">
        <v>0</v>
      </c>
      <c r="AQ20">
        <v>0</v>
      </c>
      <c r="AR20">
        <v>0</v>
      </c>
      <c r="AS20">
        <v>5400</v>
      </c>
      <c r="AT20">
        <v>-540</v>
      </c>
      <c r="AU20">
        <v>0</v>
      </c>
      <c r="AW20">
        <v>0</v>
      </c>
      <c r="AX20">
        <v>0</v>
      </c>
      <c r="AY20">
        <v>34027</v>
      </c>
      <c r="BA20" t="str">
        <f>T("0000000000000")</f>
        <v>0000000000000</v>
      </c>
      <c r="BC20" t="str">
        <f>T("9791191562002")</f>
        <v>9791191562002</v>
      </c>
      <c r="BE20" t="str">
        <f t="shared" si="1"/>
        <v>로맨스 e북 &gt; 현대물</v>
      </c>
      <c r="BF20" t="str">
        <f>T("로맨스 e북 &gt; 19+")</f>
        <v>로맨스 e북 &gt; 19+</v>
      </c>
    </row>
    <row r="21" spans="1:58" x14ac:dyDescent="0.3">
      <c r="B21">
        <v>1525014434</v>
      </c>
      <c r="C21" t="str">
        <f>T("[e북]테이크 백(Take Back)")</f>
        <v>[e북]테이크 백(Take Back)</v>
      </c>
      <c r="E21" t="str">
        <f>T("일락")</f>
        <v>일락</v>
      </c>
      <c r="H21" t="str">
        <f t="shared" si="0"/>
        <v>밀리오리지널</v>
      </c>
      <c r="J21">
        <v>2500</v>
      </c>
      <c r="K21">
        <v>42000</v>
      </c>
      <c r="L21">
        <v>17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42000</v>
      </c>
      <c r="AH21">
        <v>17</v>
      </c>
      <c r="AI21">
        <v>0</v>
      </c>
      <c r="AJ21">
        <v>0</v>
      </c>
      <c r="AK21">
        <v>39750</v>
      </c>
      <c r="AL21">
        <v>0</v>
      </c>
      <c r="AM21">
        <v>2700</v>
      </c>
      <c r="AN21">
        <v>-810</v>
      </c>
      <c r="AO21">
        <v>0</v>
      </c>
      <c r="AQ21">
        <v>0</v>
      </c>
      <c r="AR21">
        <v>0</v>
      </c>
      <c r="AS21">
        <v>2700</v>
      </c>
      <c r="AT21">
        <v>-810</v>
      </c>
      <c r="AU21">
        <v>0</v>
      </c>
      <c r="AW21">
        <v>0</v>
      </c>
      <c r="AX21">
        <v>0</v>
      </c>
      <c r="AY21">
        <v>29148</v>
      </c>
      <c r="BC21" t="str">
        <f>T("9791191562507")</f>
        <v>9791191562507</v>
      </c>
      <c r="BE21" t="str">
        <f t="shared" si="1"/>
        <v>로맨스 e북 &gt; 현대물</v>
      </c>
      <c r="BF21" t="str">
        <f>T("로맨스 e북 &gt; 19+")</f>
        <v>로맨스 e북 &gt; 19+</v>
      </c>
    </row>
    <row r="22" spans="1:58" x14ac:dyDescent="0.3">
      <c r="B22">
        <v>1525014435</v>
      </c>
      <c r="C22" t="str">
        <f>T("[e북]짝사랑 중입니다")</f>
        <v>[e북]짝사랑 중입니다</v>
      </c>
      <c r="E22" t="str">
        <f>T("진양")</f>
        <v>진양</v>
      </c>
      <c r="H22" t="str">
        <f t="shared" si="0"/>
        <v>밀리오리지널</v>
      </c>
      <c r="J22">
        <v>3600</v>
      </c>
      <c r="K22">
        <v>39600</v>
      </c>
      <c r="L22">
        <v>11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39600</v>
      </c>
      <c r="AH22">
        <v>11</v>
      </c>
      <c r="AI22">
        <v>0</v>
      </c>
      <c r="AJ22">
        <v>0</v>
      </c>
      <c r="AK22">
        <v>34660</v>
      </c>
      <c r="AL22">
        <v>0</v>
      </c>
      <c r="AM22">
        <v>5928</v>
      </c>
      <c r="AN22">
        <v>-592.79999999999995</v>
      </c>
      <c r="AO22">
        <v>0</v>
      </c>
      <c r="AQ22">
        <v>0</v>
      </c>
      <c r="AR22">
        <v>0</v>
      </c>
      <c r="AS22">
        <v>5928</v>
      </c>
      <c r="AT22">
        <v>-592.79999999999995</v>
      </c>
      <c r="AU22">
        <v>0</v>
      </c>
      <c r="AW22">
        <v>0</v>
      </c>
      <c r="AX22">
        <v>0</v>
      </c>
      <c r="AY22">
        <v>27996.639999999999</v>
      </c>
      <c r="BC22" t="str">
        <f>T("9791191562774")</f>
        <v>9791191562774</v>
      </c>
      <c r="BE22" t="str">
        <f t="shared" si="1"/>
        <v>로맨스 e북 &gt; 현대물</v>
      </c>
    </row>
    <row r="23" spans="1:58" x14ac:dyDescent="0.3">
      <c r="B23">
        <v>1525014423</v>
      </c>
      <c r="C23" t="str">
        <f>T("[e북]여름, 밤의 사정")</f>
        <v>[e북]여름, 밤의 사정</v>
      </c>
      <c r="E23" t="str">
        <f>T("춈춈")</f>
        <v>춈춈</v>
      </c>
      <c r="H23" t="str">
        <f t="shared" si="0"/>
        <v>밀리오리지널</v>
      </c>
      <c r="J23">
        <v>2000</v>
      </c>
      <c r="K23">
        <v>36000</v>
      </c>
      <c r="L23">
        <v>18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36000</v>
      </c>
      <c r="AH23">
        <v>18</v>
      </c>
      <c r="AI23">
        <v>0</v>
      </c>
      <c r="AJ23">
        <v>0</v>
      </c>
      <c r="AK23">
        <v>34000</v>
      </c>
      <c r="AL23">
        <v>0</v>
      </c>
      <c r="AM23">
        <v>2400</v>
      </c>
      <c r="AN23">
        <v>-720</v>
      </c>
      <c r="AO23">
        <v>0</v>
      </c>
      <c r="AP23">
        <v>2400</v>
      </c>
      <c r="AQ23">
        <v>-720</v>
      </c>
      <c r="AR23">
        <v>0</v>
      </c>
      <c r="AT23">
        <v>0</v>
      </c>
      <c r="AU23">
        <v>0</v>
      </c>
      <c r="AW23">
        <v>0</v>
      </c>
      <c r="AX23">
        <v>0</v>
      </c>
      <c r="AY23">
        <v>24976</v>
      </c>
      <c r="BC23" t="str">
        <f>T("9791191562361")</f>
        <v>9791191562361</v>
      </c>
      <c r="BE23" t="str">
        <f t="shared" si="1"/>
        <v>로맨스 e북 &gt; 현대물</v>
      </c>
      <c r="BF23" t="str">
        <f>T("로맨스 e북 &gt; 19+")</f>
        <v>로맨스 e북 &gt; 19+</v>
      </c>
    </row>
    <row r="24" spans="1:58" x14ac:dyDescent="0.3">
      <c r="B24">
        <v>1525013365</v>
      </c>
      <c r="C24" t="str">
        <f>T("[e북]세이브 미(Save Me)")</f>
        <v>[e북]세이브 미(Save Me)</v>
      </c>
      <c r="E24" t="str">
        <f>T("우유양")</f>
        <v>우유양</v>
      </c>
      <c r="H24" t="str">
        <f t="shared" si="0"/>
        <v>밀리오리지널</v>
      </c>
      <c r="J24">
        <v>2500</v>
      </c>
      <c r="K24">
        <v>36000</v>
      </c>
      <c r="L24">
        <v>16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36000</v>
      </c>
      <c r="AH24">
        <v>16</v>
      </c>
      <c r="AI24">
        <v>0</v>
      </c>
      <c r="AJ24">
        <v>0</v>
      </c>
      <c r="AK24">
        <v>33750</v>
      </c>
      <c r="AL24">
        <v>0</v>
      </c>
      <c r="AM24">
        <v>2700</v>
      </c>
      <c r="AN24">
        <v>-810</v>
      </c>
      <c r="AO24">
        <v>0</v>
      </c>
      <c r="AQ24">
        <v>0</v>
      </c>
      <c r="AR24">
        <v>0</v>
      </c>
      <c r="AS24">
        <v>2700</v>
      </c>
      <c r="AT24">
        <v>-810</v>
      </c>
      <c r="AU24">
        <v>0</v>
      </c>
      <c r="AW24">
        <v>0</v>
      </c>
      <c r="AX24">
        <v>0</v>
      </c>
      <c r="AY24">
        <v>24948</v>
      </c>
      <c r="BA24" t="str">
        <f>T("0000000000000")</f>
        <v>0000000000000</v>
      </c>
      <c r="BC24" t="str">
        <f>T("9791196945275")</f>
        <v>9791196945275</v>
      </c>
      <c r="BE24" t="str">
        <f t="shared" si="1"/>
        <v>로맨스 e북 &gt; 현대물</v>
      </c>
    </row>
    <row r="25" spans="1:58" x14ac:dyDescent="0.3">
      <c r="B25">
        <v>1525013429</v>
      </c>
      <c r="C25" t="str">
        <f>T("[e북]연애의 시작")</f>
        <v>[e북]연애의 시작</v>
      </c>
      <c r="E25" t="str">
        <f>T("차크")</f>
        <v>차크</v>
      </c>
      <c r="H25" t="str">
        <f t="shared" si="0"/>
        <v>밀리오리지널</v>
      </c>
      <c r="J25">
        <v>3000</v>
      </c>
      <c r="K25">
        <v>33000</v>
      </c>
      <c r="L25">
        <v>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33000</v>
      </c>
      <c r="AH25">
        <v>11</v>
      </c>
      <c r="AI25">
        <v>0</v>
      </c>
      <c r="AJ25">
        <v>0</v>
      </c>
      <c r="AK25">
        <v>33000</v>
      </c>
      <c r="AL25">
        <v>0</v>
      </c>
      <c r="AM25">
        <v>0</v>
      </c>
      <c r="AN25">
        <v>0</v>
      </c>
      <c r="AO25">
        <v>0</v>
      </c>
      <c r="AQ25">
        <v>0</v>
      </c>
      <c r="AR25">
        <v>0</v>
      </c>
      <c r="AT25">
        <v>0</v>
      </c>
      <c r="AU25">
        <v>0</v>
      </c>
      <c r="AW25">
        <v>0</v>
      </c>
      <c r="AX25">
        <v>0</v>
      </c>
      <c r="AY25">
        <v>23100</v>
      </c>
      <c r="BC25" t="str">
        <f>T("9791191562101")</f>
        <v>9791191562101</v>
      </c>
      <c r="BE25" t="str">
        <f t="shared" si="1"/>
        <v>로맨스 e북 &gt; 현대물</v>
      </c>
      <c r="BF25" t="str">
        <f>T("로맨스 e북 &gt; 19+")</f>
        <v>로맨스 e북 &gt; 19+</v>
      </c>
    </row>
    <row r="26" spans="1:58" x14ac:dyDescent="0.3">
      <c r="B26">
        <v>1525015112</v>
      </c>
      <c r="C26" t="str">
        <f>T("[e북]너는 천사")</f>
        <v>[e북]너는 천사</v>
      </c>
      <c r="E26" t="str">
        <f>T("정경하")</f>
        <v>정경하</v>
      </c>
      <c r="H26" t="str">
        <f t="shared" si="0"/>
        <v>밀리오리지널</v>
      </c>
      <c r="J26">
        <v>2000</v>
      </c>
      <c r="K26">
        <v>31800</v>
      </c>
      <c r="L26">
        <v>16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31800</v>
      </c>
      <c r="AH26">
        <v>16</v>
      </c>
      <c r="AI26">
        <v>0</v>
      </c>
      <c r="AJ26">
        <v>0</v>
      </c>
      <c r="AK26">
        <v>25860</v>
      </c>
      <c r="AL26">
        <v>0</v>
      </c>
      <c r="AM26">
        <v>7128</v>
      </c>
      <c r="AN26">
        <v>-712.8</v>
      </c>
      <c r="AO26">
        <v>0</v>
      </c>
      <c r="AQ26">
        <v>0</v>
      </c>
      <c r="AR26">
        <v>0</v>
      </c>
      <c r="AS26">
        <v>7128</v>
      </c>
      <c r="AT26">
        <v>-712.8</v>
      </c>
      <c r="AU26">
        <v>0</v>
      </c>
      <c r="AW26">
        <v>0</v>
      </c>
      <c r="AX26">
        <v>0</v>
      </c>
      <c r="AY26">
        <v>22592.639999999999</v>
      </c>
      <c r="BC26" t="str">
        <f>T("9791191562903")</f>
        <v>9791191562903</v>
      </c>
      <c r="BE26" t="str">
        <f t="shared" si="1"/>
        <v>로맨스 e북 &gt; 현대물</v>
      </c>
    </row>
    <row r="27" spans="1:58" x14ac:dyDescent="0.3">
      <c r="B27">
        <v>1525014432</v>
      </c>
      <c r="C27" t="str">
        <f>T("[e북]한 번은 이별하자")</f>
        <v>[e북]한 번은 이별하자</v>
      </c>
      <c r="E27" t="str">
        <f>T("서연")</f>
        <v>서연</v>
      </c>
      <c r="H27" t="str">
        <f t="shared" si="0"/>
        <v>밀리오리지널</v>
      </c>
      <c r="J27">
        <v>2000</v>
      </c>
      <c r="K27">
        <v>31600</v>
      </c>
      <c r="L27">
        <v>16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31600</v>
      </c>
      <c r="AH27">
        <v>16</v>
      </c>
      <c r="AI27">
        <v>0</v>
      </c>
      <c r="AJ27">
        <v>0</v>
      </c>
      <c r="AK27">
        <v>31600</v>
      </c>
      <c r="AL27">
        <v>0</v>
      </c>
      <c r="AM27">
        <v>0</v>
      </c>
      <c r="AN27">
        <v>0</v>
      </c>
      <c r="AO27">
        <v>0</v>
      </c>
      <c r="AQ27">
        <v>0</v>
      </c>
      <c r="AR27">
        <v>0</v>
      </c>
      <c r="AT27">
        <v>0</v>
      </c>
      <c r="AU27">
        <v>0</v>
      </c>
      <c r="AW27">
        <v>0</v>
      </c>
      <c r="AX27">
        <v>0</v>
      </c>
      <c r="AY27">
        <v>22120</v>
      </c>
      <c r="BC27" t="str">
        <f>T("9791191562521")</f>
        <v>9791191562521</v>
      </c>
      <c r="BE27" t="str">
        <f t="shared" si="1"/>
        <v>로맨스 e북 &gt; 현대물</v>
      </c>
      <c r="BF27" t="str">
        <f>T("로맨스 e북 &gt; 19+")</f>
        <v>로맨스 e북 &gt; 19+</v>
      </c>
    </row>
    <row r="28" spans="1:58" x14ac:dyDescent="0.3">
      <c r="A28">
        <v>1525008208</v>
      </c>
      <c r="B28">
        <v>1525008209</v>
      </c>
      <c r="C28" t="str">
        <f>T("[e북]하고 싶어 2권 (완결)")</f>
        <v>[e북]하고 싶어 2권 (완결)</v>
      </c>
      <c r="D28" t="str">
        <f>T("2")</f>
        <v>2</v>
      </c>
      <c r="E28" t="str">
        <f>T("시아")</f>
        <v>시아</v>
      </c>
      <c r="H28" t="str">
        <f>T("블러쉬")</f>
        <v>블러쉬</v>
      </c>
      <c r="I28" t="str">
        <f>T("[e북]하고 싶어")</f>
        <v>[e북]하고 싶어</v>
      </c>
      <c r="J28">
        <v>3500</v>
      </c>
      <c r="K28">
        <v>31500</v>
      </c>
      <c r="L28">
        <v>10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31500</v>
      </c>
      <c r="AH28">
        <v>10</v>
      </c>
      <c r="AI28">
        <v>0</v>
      </c>
      <c r="AJ28">
        <v>0</v>
      </c>
      <c r="AK28">
        <v>22050</v>
      </c>
      <c r="AL28">
        <v>0</v>
      </c>
      <c r="AM28">
        <v>11340</v>
      </c>
      <c r="AN28">
        <v>-1890</v>
      </c>
      <c r="AO28">
        <v>0</v>
      </c>
      <c r="AQ28">
        <v>0</v>
      </c>
      <c r="AR28">
        <v>0</v>
      </c>
      <c r="AS28">
        <v>11340</v>
      </c>
      <c r="AT28">
        <v>-1890</v>
      </c>
      <c r="AU28">
        <v>0</v>
      </c>
      <c r="AW28">
        <v>0</v>
      </c>
      <c r="AX28">
        <v>0</v>
      </c>
      <c r="AY28">
        <v>22050</v>
      </c>
      <c r="BA28" t="str">
        <f t="shared" ref="BA28:BA39" si="2">T("0000000000000")</f>
        <v>0000000000000</v>
      </c>
      <c r="BC28" t="str">
        <f>T("9791190132329")</f>
        <v>9791190132329</v>
      </c>
      <c r="BE28" t="str">
        <f>T("BL 소설 e북 &gt; 현대물")</f>
        <v>BL 소설 e북 &gt; 현대물</v>
      </c>
    </row>
    <row r="29" spans="1:58" x14ac:dyDescent="0.3">
      <c r="A29">
        <v>1525008208</v>
      </c>
      <c r="B29">
        <v>1525008208</v>
      </c>
      <c r="C29" t="str">
        <f>T("[e북]하고 싶어 1권")</f>
        <v>[e북]하고 싶어 1권</v>
      </c>
      <c r="D29" t="str">
        <f>T("1")</f>
        <v>1</v>
      </c>
      <c r="E29" t="str">
        <f>T("시아")</f>
        <v>시아</v>
      </c>
      <c r="H29" t="str">
        <f>T("블러쉬")</f>
        <v>블러쉬</v>
      </c>
      <c r="I29" t="str">
        <f>T("[e북]하고 싶어")</f>
        <v>[e북]하고 싶어</v>
      </c>
      <c r="J29">
        <v>3500</v>
      </c>
      <c r="K29">
        <v>31500</v>
      </c>
      <c r="L29">
        <v>10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31500</v>
      </c>
      <c r="AH29">
        <v>10</v>
      </c>
      <c r="AI29">
        <v>0</v>
      </c>
      <c r="AJ29">
        <v>0</v>
      </c>
      <c r="AK29">
        <v>25200</v>
      </c>
      <c r="AL29">
        <v>0</v>
      </c>
      <c r="AM29">
        <v>7560</v>
      </c>
      <c r="AN29">
        <v>-756</v>
      </c>
      <c r="AO29">
        <v>0</v>
      </c>
      <c r="AQ29">
        <v>0</v>
      </c>
      <c r="AR29">
        <v>0</v>
      </c>
      <c r="AS29">
        <v>7560</v>
      </c>
      <c r="AT29">
        <v>-756</v>
      </c>
      <c r="AU29">
        <v>0</v>
      </c>
      <c r="AW29">
        <v>0</v>
      </c>
      <c r="AX29">
        <v>0</v>
      </c>
      <c r="AY29">
        <v>22402.799999999999</v>
      </c>
      <c r="BA29" t="str">
        <f t="shared" si="2"/>
        <v>0000000000000</v>
      </c>
      <c r="BC29" t="str">
        <f>T("9791190132312")</f>
        <v>9791190132312</v>
      </c>
      <c r="BE29" t="str">
        <f>T("BL 소설 e북 &gt; 현대물")</f>
        <v>BL 소설 e북 &gt; 현대물</v>
      </c>
    </row>
    <row r="30" spans="1:58" x14ac:dyDescent="0.3">
      <c r="A30">
        <v>1525008174</v>
      </c>
      <c r="B30">
        <v>1525008174</v>
      </c>
      <c r="C30" t="str">
        <f>T("[e북]자비를 베푸소서(Miserere Nobis) 1권")</f>
        <v>[e북]자비를 베푸소서(Miserere Nobis) 1권</v>
      </c>
      <c r="D30" t="str">
        <f>T("1")</f>
        <v>1</v>
      </c>
      <c r="E30" t="str">
        <f>T("SISSI")</f>
        <v>SISSI</v>
      </c>
      <c r="H30" t="str">
        <f>T("블러쉬")</f>
        <v>블러쉬</v>
      </c>
      <c r="I30" t="str">
        <f>T("[e북]자비를 베푸소서(Miserere Nobis)")</f>
        <v>[e북]자비를 베푸소서(Miserere Nobis)</v>
      </c>
      <c r="J30">
        <v>2800</v>
      </c>
      <c r="K30">
        <v>30800</v>
      </c>
      <c r="L30">
        <v>11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-2800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30800</v>
      </c>
      <c r="AH30">
        <v>11</v>
      </c>
      <c r="AI30">
        <v>-2800</v>
      </c>
      <c r="AJ30">
        <v>1</v>
      </c>
      <c r="AK30">
        <v>30800</v>
      </c>
      <c r="AL30">
        <v>-2800</v>
      </c>
      <c r="AM30">
        <v>0</v>
      </c>
      <c r="AN30">
        <v>0</v>
      </c>
      <c r="AO30">
        <v>0</v>
      </c>
      <c r="AQ30">
        <v>0</v>
      </c>
      <c r="AR30">
        <v>0</v>
      </c>
      <c r="AT30">
        <v>0</v>
      </c>
      <c r="AU30">
        <v>0</v>
      </c>
      <c r="AW30">
        <v>0</v>
      </c>
      <c r="AX30">
        <v>0</v>
      </c>
      <c r="AY30">
        <v>19600</v>
      </c>
      <c r="BA30" t="str">
        <f t="shared" si="2"/>
        <v>0000000000000</v>
      </c>
      <c r="BC30" t="str">
        <f>T("9791166481086")</f>
        <v>9791166481086</v>
      </c>
      <c r="BE30" t="str">
        <f>T("BL 소설 e북 &gt; 현대물")</f>
        <v>BL 소설 e북 &gt; 현대물</v>
      </c>
    </row>
    <row r="31" spans="1:58" x14ac:dyDescent="0.3">
      <c r="B31">
        <v>1525014014</v>
      </c>
      <c r="C31" t="str">
        <f>T("[e북]첫사랑을 종료하시겠습니까")</f>
        <v>[e북]첫사랑을 종료하시겠습니까</v>
      </c>
      <c r="E31" t="str">
        <f>T("이파람")</f>
        <v>이파람</v>
      </c>
      <c r="H31" t="str">
        <f>T("밀리오리지널")</f>
        <v>밀리오리지널</v>
      </c>
      <c r="J31">
        <v>2000</v>
      </c>
      <c r="K31">
        <v>28000</v>
      </c>
      <c r="L31">
        <v>14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28000</v>
      </c>
      <c r="AH31">
        <v>14</v>
      </c>
      <c r="AI31">
        <v>0</v>
      </c>
      <c r="AJ31">
        <v>0</v>
      </c>
      <c r="AK31">
        <v>25814</v>
      </c>
      <c r="AL31">
        <v>0</v>
      </c>
      <c r="AM31">
        <v>2623.2</v>
      </c>
      <c r="AN31">
        <v>-262.32</v>
      </c>
      <c r="AO31">
        <v>0</v>
      </c>
      <c r="AQ31">
        <v>0</v>
      </c>
      <c r="AR31">
        <v>0</v>
      </c>
      <c r="AS31">
        <v>2623.2</v>
      </c>
      <c r="AT31">
        <v>-262.32</v>
      </c>
      <c r="AU31">
        <v>0</v>
      </c>
      <c r="AW31">
        <v>0</v>
      </c>
      <c r="AX31">
        <v>0</v>
      </c>
      <c r="AY31">
        <v>19722.419999999998</v>
      </c>
      <c r="BA31" t="str">
        <f t="shared" si="2"/>
        <v>0000000000000</v>
      </c>
      <c r="BC31" t="str">
        <f>T("9791191562385")</f>
        <v>9791191562385</v>
      </c>
      <c r="BE31" t="str">
        <f>T("로맨스 e북 &gt; 현대물")</f>
        <v>로맨스 e북 &gt; 현대물</v>
      </c>
      <c r="BF31" t="str">
        <f>T("로맨스 e북 &gt; 19+")</f>
        <v>로맨스 e북 &gt; 19+</v>
      </c>
    </row>
    <row r="32" spans="1:58" x14ac:dyDescent="0.3">
      <c r="A32">
        <v>1525008174</v>
      </c>
      <c r="B32">
        <v>1525008175</v>
      </c>
      <c r="C32" t="str">
        <f>T("[e북]자비를 베푸소서(Miserere Nobis) 2권 (완결)")</f>
        <v>[e북]자비를 베푸소서(Miserere Nobis) 2권 (완결)</v>
      </c>
      <c r="D32" t="str">
        <f>T("2")</f>
        <v>2</v>
      </c>
      <c r="E32" t="str">
        <f>T("SISSI")</f>
        <v>SISSI</v>
      </c>
      <c r="H32" t="str">
        <f>T("블러쉬")</f>
        <v>블러쉬</v>
      </c>
      <c r="I32" t="str">
        <f>T("[e북]자비를 베푸소서(Miserere Nobis)")</f>
        <v>[e북]자비를 베푸소서(Miserere Nobis)</v>
      </c>
      <c r="J32">
        <v>2800</v>
      </c>
      <c r="K32">
        <v>28000</v>
      </c>
      <c r="L32">
        <v>10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-2800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28000</v>
      </c>
      <c r="AH32">
        <v>10</v>
      </c>
      <c r="AI32">
        <v>-2800</v>
      </c>
      <c r="AJ32">
        <v>1</v>
      </c>
      <c r="AK32">
        <v>28000</v>
      </c>
      <c r="AL32">
        <v>-2800</v>
      </c>
      <c r="AM32">
        <v>0</v>
      </c>
      <c r="AN32">
        <v>0</v>
      </c>
      <c r="AO32">
        <v>0</v>
      </c>
      <c r="AQ32">
        <v>0</v>
      </c>
      <c r="AR32">
        <v>0</v>
      </c>
      <c r="AT32">
        <v>0</v>
      </c>
      <c r="AU32">
        <v>0</v>
      </c>
      <c r="AW32">
        <v>0</v>
      </c>
      <c r="AX32">
        <v>0</v>
      </c>
      <c r="AY32">
        <v>17640</v>
      </c>
      <c r="BA32" t="str">
        <f t="shared" si="2"/>
        <v>0000000000000</v>
      </c>
      <c r="BC32" t="str">
        <f>T("9791166481093")</f>
        <v>9791166481093</v>
      </c>
      <c r="BE32" t="str">
        <f>T("BL 소설 e북 &gt; 현대물")</f>
        <v>BL 소설 e북 &gt; 현대물</v>
      </c>
    </row>
    <row r="33" spans="1:58" x14ac:dyDescent="0.3">
      <c r="A33">
        <v>1525000092</v>
      </c>
      <c r="B33">
        <v>1525000096</v>
      </c>
      <c r="C33" t="str">
        <f>T("[e북]다크 메이지 5권")</f>
        <v>[e북]다크 메이지 5권</v>
      </c>
      <c r="D33" t="str">
        <f>T("5")</f>
        <v>5</v>
      </c>
      <c r="E33" t="str">
        <f t="shared" ref="E33:E39" si="3">T("김정률")</f>
        <v>김정률</v>
      </c>
      <c r="H33" t="str">
        <f t="shared" ref="H33:H39" si="4">T("스토리위즈")</f>
        <v>스토리위즈</v>
      </c>
      <c r="I33" t="str">
        <f t="shared" ref="I33:I39" si="5">T("[e북]다크 메이지")</f>
        <v>[e북]다크 메이지</v>
      </c>
      <c r="J33">
        <v>3200</v>
      </c>
      <c r="K33">
        <v>25600</v>
      </c>
      <c r="L33">
        <v>8</v>
      </c>
      <c r="M33">
        <v>0</v>
      </c>
      <c r="N33">
        <v>11700</v>
      </c>
      <c r="O33">
        <v>13</v>
      </c>
      <c r="P33">
        <v>0</v>
      </c>
      <c r="Q33">
        <v>0</v>
      </c>
      <c r="R33">
        <v>0</v>
      </c>
      <c r="S33">
        <v>0</v>
      </c>
      <c r="T33">
        <v>0</v>
      </c>
      <c r="U33">
        <v>18900</v>
      </c>
      <c r="V33">
        <v>42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-450</v>
      </c>
      <c r="AF33">
        <v>1</v>
      </c>
      <c r="AG33">
        <v>56200</v>
      </c>
      <c r="AH33">
        <v>63</v>
      </c>
      <c r="AI33">
        <v>-450</v>
      </c>
      <c r="AJ33">
        <v>1</v>
      </c>
      <c r="AK33">
        <v>43567</v>
      </c>
      <c r="AL33">
        <v>-450</v>
      </c>
      <c r="AM33">
        <v>15159.6</v>
      </c>
      <c r="AN33">
        <v>-2607.48</v>
      </c>
      <c r="AO33">
        <v>0</v>
      </c>
      <c r="AP33">
        <v>2757.6</v>
      </c>
      <c r="AQ33">
        <v>-827.28</v>
      </c>
      <c r="AR33">
        <v>0</v>
      </c>
      <c r="AS33">
        <v>12402</v>
      </c>
      <c r="AT33">
        <v>-1780.2</v>
      </c>
      <c r="AU33">
        <v>0</v>
      </c>
      <c r="AW33">
        <v>0</v>
      </c>
      <c r="AX33">
        <v>0</v>
      </c>
      <c r="AY33">
        <v>38968.379999999997</v>
      </c>
      <c r="BA33" t="str">
        <f t="shared" si="2"/>
        <v>0000000000000</v>
      </c>
      <c r="BC33" t="str">
        <f>T("9791166061899")</f>
        <v>9791166061899</v>
      </c>
      <c r="BE33" t="str">
        <f t="shared" ref="BE33:BE39" si="6">T("판타지 e북 &gt; 퓨전 판타지")</f>
        <v>판타지 e북 &gt; 퓨전 판타지</v>
      </c>
    </row>
    <row r="34" spans="1:58" x14ac:dyDescent="0.3">
      <c r="A34">
        <v>1525000092</v>
      </c>
      <c r="B34">
        <v>1525000106</v>
      </c>
      <c r="C34" t="str">
        <f>T("[e북]다크 메이지 15권 (1부 완결)")</f>
        <v>[e북]다크 메이지 15권 (1부 완결)</v>
      </c>
      <c r="D34" t="str">
        <f>T("15")</f>
        <v>15</v>
      </c>
      <c r="E34" t="str">
        <f t="shared" si="3"/>
        <v>김정률</v>
      </c>
      <c r="H34" t="str">
        <f t="shared" si="4"/>
        <v>스토리위즈</v>
      </c>
      <c r="I34" t="str">
        <f t="shared" si="5"/>
        <v>[e북]다크 메이지</v>
      </c>
      <c r="J34">
        <v>3200</v>
      </c>
      <c r="K34">
        <v>25600</v>
      </c>
      <c r="L34">
        <v>8</v>
      </c>
      <c r="M34">
        <v>0</v>
      </c>
      <c r="N34">
        <v>10800</v>
      </c>
      <c r="O34">
        <v>12</v>
      </c>
      <c r="P34">
        <v>0</v>
      </c>
      <c r="Q34">
        <v>0</v>
      </c>
      <c r="R34">
        <v>0</v>
      </c>
      <c r="S34">
        <v>0</v>
      </c>
      <c r="T34">
        <v>0</v>
      </c>
      <c r="U34">
        <v>18900</v>
      </c>
      <c r="V34">
        <v>42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-450</v>
      </c>
      <c r="AF34">
        <v>1</v>
      </c>
      <c r="AG34">
        <v>55300</v>
      </c>
      <c r="AH34">
        <v>62</v>
      </c>
      <c r="AI34">
        <v>-450</v>
      </c>
      <c r="AJ34">
        <v>1</v>
      </c>
      <c r="AK34">
        <v>40669</v>
      </c>
      <c r="AL34">
        <v>-450</v>
      </c>
      <c r="AM34">
        <v>17557.2</v>
      </c>
      <c r="AN34">
        <v>-2847.24</v>
      </c>
      <c r="AO34">
        <v>0</v>
      </c>
      <c r="AP34">
        <v>4917.6000000000004</v>
      </c>
      <c r="AQ34">
        <v>-1475.28</v>
      </c>
      <c r="AR34">
        <v>0</v>
      </c>
      <c r="AS34">
        <v>12639.6</v>
      </c>
      <c r="AT34">
        <v>-1371.96</v>
      </c>
      <c r="AU34">
        <v>0</v>
      </c>
      <c r="AW34">
        <v>0</v>
      </c>
      <c r="AX34">
        <v>0</v>
      </c>
      <c r="AY34">
        <v>38450.26</v>
      </c>
      <c r="BA34" t="str">
        <f t="shared" si="2"/>
        <v>0000000000000</v>
      </c>
      <c r="BC34" t="str">
        <f>T("9791166061998")</f>
        <v>9791166061998</v>
      </c>
      <c r="BE34" t="str">
        <f t="shared" si="6"/>
        <v>판타지 e북 &gt; 퓨전 판타지</v>
      </c>
    </row>
    <row r="35" spans="1:58" x14ac:dyDescent="0.3">
      <c r="A35">
        <v>1525000092</v>
      </c>
      <c r="B35">
        <v>1525000105</v>
      </c>
      <c r="C35" t="str">
        <f>T("[e북]다크 메이지 14권")</f>
        <v>[e북]다크 메이지 14권</v>
      </c>
      <c r="D35" t="str">
        <f>T("14")</f>
        <v>14</v>
      </c>
      <c r="E35" t="str">
        <f t="shared" si="3"/>
        <v>김정률</v>
      </c>
      <c r="H35" t="str">
        <f t="shared" si="4"/>
        <v>스토리위즈</v>
      </c>
      <c r="I35" t="str">
        <f t="shared" si="5"/>
        <v>[e북]다크 메이지</v>
      </c>
      <c r="J35">
        <v>3200</v>
      </c>
      <c r="K35">
        <v>25600</v>
      </c>
      <c r="L35">
        <v>8</v>
      </c>
      <c r="M35">
        <v>0</v>
      </c>
      <c r="N35">
        <v>9000</v>
      </c>
      <c r="O35">
        <v>10</v>
      </c>
      <c r="P35">
        <v>0</v>
      </c>
      <c r="Q35">
        <v>0</v>
      </c>
      <c r="R35">
        <v>0</v>
      </c>
      <c r="S35">
        <v>0</v>
      </c>
      <c r="T35">
        <v>0</v>
      </c>
      <c r="U35">
        <v>18900</v>
      </c>
      <c r="V35">
        <v>42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-450</v>
      </c>
      <c r="AF35">
        <v>1</v>
      </c>
      <c r="AG35">
        <v>53500</v>
      </c>
      <c r="AH35">
        <v>60</v>
      </c>
      <c r="AI35">
        <v>-450</v>
      </c>
      <c r="AJ35">
        <v>1</v>
      </c>
      <c r="AK35">
        <v>39589</v>
      </c>
      <c r="AL35">
        <v>-450</v>
      </c>
      <c r="AM35">
        <v>16693.2</v>
      </c>
      <c r="AN35">
        <v>-2660.04</v>
      </c>
      <c r="AO35">
        <v>0</v>
      </c>
      <c r="AP35">
        <v>4413.6000000000004</v>
      </c>
      <c r="AQ35">
        <v>-1324.08</v>
      </c>
      <c r="AR35">
        <v>0</v>
      </c>
      <c r="AS35">
        <v>12279.6</v>
      </c>
      <c r="AT35">
        <v>-1335.96</v>
      </c>
      <c r="AU35">
        <v>0</v>
      </c>
      <c r="AW35">
        <v>0</v>
      </c>
      <c r="AX35">
        <v>0</v>
      </c>
      <c r="AY35">
        <v>37220.5</v>
      </c>
      <c r="BA35" t="str">
        <f t="shared" si="2"/>
        <v>0000000000000</v>
      </c>
      <c r="BC35" t="str">
        <f>T("9791166061981")</f>
        <v>9791166061981</v>
      </c>
      <c r="BE35" t="str">
        <f t="shared" si="6"/>
        <v>판타지 e북 &gt; 퓨전 판타지</v>
      </c>
    </row>
    <row r="36" spans="1:58" x14ac:dyDescent="0.3">
      <c r="A36">
        <v>1525000092</v>
      </c>
      <c r="B36">
        <v>1525000104</v>
      </c>
      <c r="C36" t="str">
        <f>T("[e북]다크 메이지 13권")</f>
        <v>[e북]다크 메이지 13권</v>
      </c>
      <c r="D36" t="str">
        <f>T("13")</f>
        <v>13</v>
      </c>
      <c r="E36" t="str">
        <f t="shared" si="3"/>
        <v>김정률</v>
      </c>
      <c r="H36" t="str">
        <f t="shared" si="4"/>
        <v>스토리위즈</v>
      </c>
      <c r="I36" t="str">
        <f t="shared" si="5"/>
        <v>[e북]다크 메이지</v>
      </c>
      <c r="J36">
        <v>3200</v>
      </c>
      <c r="K36">
        <v>25600</v>
      </c>
      <c r="L36">
        <v>8</v>
      </c>
      <c r="M36">
        <v>0</v>
      </c>
      <c r="N36">
        <v>9900</v>
      </c>
      <c r="O36">
        <v>11</v>
      </c>
      <c r="P36">
        <v>0</v>
      </c>
      <c r="Q36">
        <v>0</v>
      </c>
      <c r="R36">
        <v>0</v>
      </c>
      <c r="S36">
        <v>0</v>
      </c>
      <c r="T36">
        <v>0</v>
      </c>
      <c r="U36">
        <v>18900</v>
      </c>
      <c r="V36">
        <v>42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-450</v>
      </c>
      <c r="AF36">
        <v>1</v>
      </c>
      <c r="AG36">
        <v>54400</v>
      </c>
      <c r="AH36">
        <v>61</v>
      </c>
      <c r="AI36">
        <v>-450</v>
      </c>
      <c r="AJ36">
        <v>1</v>
      </c>
      <c r="AK36">
        <v>40769</v>
      </c>
      <c r="AL36">
        <v>-450</v>
      </c>
      <c r="AM36">
        <v>16357.2</v>
      </c>
      <c r="AN36">
        <v>-2559.2399999999998</v>
      </c>
      <c r="AO36">
        <v>0</v>
      </c>
      <c r="AP36">
        <v>2997.6</v>
      </c>
      <c r="AQ36">
        <v>-899.28</v>
      </c>
      <c r="AR36">
        <v>0</v>
      </c>
      <c r="AS36">
        <v>13359.6</v>
      </c>
      <c r="AT36">
        <v>-1659.96</v>
      </c>
      <c r="AU36">
        <v>0</v>
      </c>
      <c r="AW36">
        <v>0</v>
      </c>
      <c r="AX36">
        <v>0</v>
      </c>
      <c r="AY36">
        <v>37881.86</v>
      </c>
      <c r="BA36" t="str">
        <f t="shared" si="2"/>
        <v>0000000000000</v>
      </c>
      <c r="BC36" t="str">
        <f>T("9791166061974")</f>
        <v>9791166061974</v>
      </c>
      <c r="BE36" t="str">
        <f t="shared" si="6"/>
        <v>판타지 e북 &gt; 퓨전 판타지</v>
      </c>
    </row>
    <row r="37" spans="1:58" x14ac:dyDescent="0.3">
      <c r="A37">
        <v>1525000092</v>
      </c>
      <c r="B37">
        <v>1525000099</v>
      </c>
      <c r="C37" t="str">
        <f>T("[e북]다크 메이지 8권")</f>
        <v>[e북]다크 메이지 8권</v>
      </c>
      <c r="D37" t="str">
        <f>T("8")</f>
        <v>8</v>
      </c>
      <c r="E37" t="str">
        <f t="shared" si="3"/>
        <v>김정률</v>
      </c>
      <c r="H37" t="str">
        <f t="shared" si="4"/>
        <v>스토리위즈</v>
      </c>
      <c r="I37" t="str">
        <f t="shared" si="5"/>
        <v>[e북]다크 메이지</v>
      </c>
      <c r="J37">
        <v>3200</v>
      </c>
      <c r="K37">
        <v>25600</v>
      </c>
      <c r="L37">
        <v>8</v>
      </c>
      <c r="M37">
        <v>0</v>
      </c>
      <c r="N37">
        <v>9900</v>
      </c>
      <c r="O37">
        <v>11</v>
      </c>
      <c r="P37">
        <v>0</v>
      </c>
      <c r="Q37">
        <v>0</v>
      </c>
      <c r="R37">
        <v>0</v>
      </c>
      <c r="S37">
        <v>0</v>
      </c>
      <c r="T37">
        <v>0</v>
      </c>
      <c r="U37">
        <v>18900</v>
      </c>
      <c r="V37">
        <v>42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-450</v>
      </c>
      <c r="AF37">
        <v>1</v>
      </c>
      <c r="AG37">
        <v>54400</v>
      </c>
      <c r="AH37">
        <v>61</v>
      </c>
      <c r="AI37">
        <v>-450</v>
      </c>
      <c r="AJ37">
        <v>1</v>
      </c>
      <c r="AK37">
        <v>43789</v>
      </c>
      <c r="AL37">
        <v>-450</v>
      </c>
      <c r="AM37">
        <v>12733.2</v>
      </c>
      <c r="AN37">
        <v>-2024.04</v>
      </c>
      <c r="AO37">
        <v>0</v>
      </c>
      <c r="AP37">
        <v>2133.6</v>
      </c>
      <c r="AQ37">
        <v>-640.08000000000004</v>
      </c>
      <c r="AR37">
        <v>0</v>
      </c>
      <c r="AS37">
        <v>10599.6</v>
      </c>
      <c r="AT37">
        <v>-1383.96</v>
      </c>
      <c r="AU37">
        <v>0</v>
      </c>
      <c r="AW37">
        <v>0</v>
      </c>
      <c r="AX37">
        <v>0</v>
      </c>
      <c r="AY37">
        <v>37833.699999999997</v>
      </c>
      <c r="BA37" t="str">
        <f t="shared" si="2"/>
        <v>0000000000000</v>
      </c>
      <c r="BC37" t="str">
        <f>T("9791166061929")</f>
        <v>9791166061929</v>
      </c>
      <c r="BE37" t="str">
        <f t="shared" si="6"/>
        <v>판타지 e북 &gt; 퓨전 판타지</v>
      </c>
    </row>
    <row r="38" spans="1:58" x14ac:dyDescent="0.3">
      <c r="A38">
        <v>1525000092</v>
      </c>
      <c r="B38">
        <v>1525000098</v>
      </c>
      <c r="C38" t="str">
        <f>T("[e북]다크 메이지 7권")</f>
        <v>[e북]다크 메이지 7권</v>
      </c>
      <c r="D38" t="str">
        <f>T("7")</f>
        <v>7</v>
      </c>
      <c r="E38" t="str">
        <f t="shared" si="3"/>
        <v>김정률</v>
      </c>
      <c r="H38" t="str">
        <f t="shared" si="4"/>
        <v>스토리위즈</v>
      </c>
      <c r="I38" t="str">
        <f t="shared" si="5"/>
        <v>[e북]다크 메이지</v>
      </c>
      <c r="J38">
        <v>3200</v>
      </c>
      <c r="K38">
        <v>25600</v>
      </c>
      <c r="L38">
        <v>8</v>
      </c>
      <c r="M38">
        <v>0</v>
      </c>
      <c r="N38">
        <v>10800</v>
      </c>
      <c r="O38">
        <v>12</v>
      </c>
      <c r="P38">
        <v>0</v>
      </c>
      <c r="Q38">
        <v>0</v>
      </c>
      <c r="R38">
        <v>0</v>
      </c>
      <c r="S38">
        <v>0</v>
      </c>
      <c r="T38">
        <v>0</v>
      </c>
      <c r="U38">
        <v>18900</v>
      </c>
      <c r="V38">
        <v>42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-450</v>
      </c>
      <c r="AF38">
        <v>1</v>
      </c>
      <c r="AG38">
        <v>55300</v>
      </c>
      <c r="AH38">
        <v>62</v>
      </c>
      <c r="AI38">
        <v>-450</v>
      </c>
      <c r="AJ38">
        <v>1</v>
      </c>
      <c r="AK38">
        <v>43769</v>
      </c>
      <c r="AL38">
        <v>-450</v>
      </c>
      <c r="AM38">
        <v>13837.2</v>
      </c>
      <c r="AN38">
        <v>-2259.2399999999998</v>
      </c>
      <c r="AO38">
        <v>0</v>
      </c>
      <c r="AP38">
        <v>2757.6</v>
      </c>
      <c r="AQ38">
        <v>-827.28</v>
      </c>
      <c r="AR38">
        <v>0</v>
      </c>
      <c r="AS38">
        <v>11079.6</v>
      </c>
      <c r="AT38">
        <v>-1431.96</v>
      </c>
      <c r="AU38">
        <v>0</v>
      </c>
      <c r="AW38">
        <v>0</v>
      </c>
      <c r="AX38">
        <v>0</v>
      </c>
      <c r="AY38">
        <v>38427.86</v>
      </c>
      <c r="BA38" t="str">
        <f t="shared" si="2"/>
        <v>0000000000000</v>
      </c>
      <c r="BC38" t="str">
        <f>T("9791166061912")</f>
        <v>9791166061912</v>
      </c>
      <c r="BE38" t="str">
        <f t="shared" si="6"/>
        <v>판타지 e북 &gt; 퓨전 판타지</v>
      </c>
    </row>
    <row r="39" spans="1:58" x14ac:dyDescent="0.3">
      <c r="A39">
        <v>1525000092</v>
      </c>
      <c r="B39">
        <v>1525000097</v>
      </c>
      <c r="C39" t="str">
        <f>T("[e북]다크 메이지 6권")</f>
        <v>[e북]다크 메이지 6권</v>
      </c>
      <c r="D39" t="str">
        <f>T("6")</f>
        <v>6</v>
      </c>
      <c r="E39" t="str">
        <f t="shared" si="3"/>
        <v>김정률</v>
      </c>
      <c r="H39" t="str">
        <f t="shared" si="4"/>
        <v>스토리위즈</v>
      </c>
      <c r="I39" t="str">
        <f t="shared" si="5"/>
        <v>[e북]다크 메이지</v>
      </c>
      <c r="J39">
        <v>3200</v>
      </c>
      <c r="K39">
        <v>25600</v>
      </c>
      <c r="L39">
        <v>8</v>
      </c>
      <c r="M39">
        <v>0</v>
      </c>
      <c r="N39">
        <v>10800</v>
      </c>
      <c r="O39">
        <v>12</v>
      </c>
      <c r="P39">
        <v>0</v>
      </c>
      <c r="Q39">
        <v>0</v>
      </c>
      <c r="R39">
        <v>0</v>
      </c>
      <c r="S39">
        <v>0</v>
      </c>
      <c r="T39">
        <v>0</v>
      </c>
      <c r="U39">
        <v>18900</v>
      </c>
      <c r="V39">
        <v>42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-450</v>
      </c>
      <c r="AF39">
        <v>1</v>
      </c>
      <c r="AG39">
        <v>55300</v>
      </c>
      <c r="AH39">
        <v>62</v>
      </c>
      <c r="AI39">
        <v>-450</v>
      </c>
      <c r="AJ39">
        <v>1</v>
      </c>
      <c r="AK39">
        <v>43669</v>
      </c>
      <c r="AL39">
        <v>-450</v>
      </c>
      <c r="AM39">
        <v>13957.2</v>
      </c>
      <c r="AN39">
        <v>-2271.2399999999998</v>
      </c>
      <c r="AO39">
        <v>0</v>
      </c>
      <c r="AP39">
        <v>2757.6</v>
      </c>
      <c r="AQ39">
        <v>-827.28</v>
      </c>
      <c r="AR39">
        <v>0</v>
      </c>
      <c r="AS39">
        <v>11199.6</v>
      </c>
      <c r="AT39">
        <v>-1443.96</v>
      </c>
      <c r="AU39">
        <v>0</v>
      </c>
      <c r="AW39">
        <v>0</v>
      </c>
      <c r="AX39">
        <v>0</v>
      </c>
      <c r="AY39">
        <v>38433.46</v>
      </c>
      <c r="BA39" t="str">
        <f t="shared" si="2"/>
        <v>0000000000000</v>
      </c>
      <c r="BC39" t="str">
        <f>T("9791166061905")</f>
        <v>9791166061905</v>
      </c>
      <c r="BE39" t="str">
        <f t="shared" si="6"/>
        <v>판타지 e북 &gt; 퓨전 판타지</v>
      </c>
    </row>
    <row r="40" spans="1:58" x14ac:dyDescent="0.3">
      <c r="B40">
        <v>1525013430</v>
      </c>
      <c r="C40" t="str">
        <f>T("[e북]고은 나의 고은")</f>
        <v>[e북]고은 나의 고은</v>
      </c>
      <c r="E40" t="str">
        <f>T("서풍")</f>
        <v>서풍</v>
      </c>
      <c r="H40" t="str">
        <f>T("밀리오리지널")</f>
        <v>밀리오리지널</v>
      </c>
      <c r="J40">
        <v>3600</v>
      </c>
      <c r="K40">
        <v>25200</v>
      </c>
      <c r="L40">
        <v>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25200</v>
      </c>
      <c r="AH40">
        <v>7</v>
      </c>
      <c r="AI40">
        <v>0</v>
      </c>
      <c r="AJ40">
        <v>0</v>
      </c>
      <c r="AK40">
        <v>21600</v>
      </c>
      <c r="AL40">
        <v>0</v>
      </c>
      <c r="AM40">
        <v>4320</v>
      </c>
      <c r="AN40">
        <v>-1296</v>
      </c>
      <c r="AO40">
        <v>0</v>
      </c>
      <c r="AP40">
        <v>4320</v>
      </c>
      <c r="AQ40">
        <v>-1296</v>
      </c>
      <c r="AR40">
        <v>0</v>
      </c>
      <c r="AT40">
        <v>0</v>
      </c>
      <c r="AU40">
        <v>0</v>
      </c>
      <c r="AW40">
        <v>0</v>
      </c>
      <c r="AX40">
        <v>0</v>
      </c>
      <c r="AY40">
        <v>17236.8</v>
      </c>
      <c r="BC40" t="str">
        <f>T("9791191562095")</f>
        <v>9791191562095</v>
      </c>
      <c r="BE40" t="str">
        <f>T("로맨스 e북 &gt; 현대물")</f>
        <v>로맨스 e북 &gt; 현대물</v>
      </c>
    </row>
    <row r="41" spans="1:58" x14ac:dyDescent="0.3">
      <c r="A41">
        <v>1525008145</v>
      </c>
      <c r="B41">
        <v>1525008145</v>
      </c>
      <c r="C41" t="str">
        <f>T("[e북]우리 집 악마 새끼 1권")</f>
        <v>[e북]우리 집 악마 새끼 1권</v>
      </c>
      <c r="D41" t="str">
        <f>T("1")</f>
        <v>1</v>
      </c>
      <c r="E41" t="str">
        <f>T("용가리맛쿠키")</f>
        <v>용가리맛쿠키</v>
      </c>
      <c r="H41" t="str">
        <f>T("블러쉬")</f>
        <v>블러쉬</v>
      </c>
      <c r="I41" t="str">
        <f>T("[e북]우리 집 악마 새끼")</f>
        <v>[e북]우리 집 악마 새끼</v>
      </c>
      <c r="J41">
        <v>3500</v>
      </c>
      <c r="K41">
        <v>25200</v>
      </c>
      <c r="L41">
        <v>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25200</v>
      </c>
      <c r="AH41">
        <v>8</v>
      </c>
      <c r="AI41">
        <v>0</v>
      </c>
      <c r="AJ41">
        <v>0</v>
      </c>
      <c r="AK41">
        <v>22702</v>
      </c>
      <c r="AL41">
        <v>0</v>
      </c>
      <c r="AM41">
        <v>2997.6</v>
      </c>
      <c r="AN41">
        <v>-299.76</v>
      </c>
      <c r="AO41">
        <v>0</v>
      </c>
      <c r="AQ41">
        <v>0</v>
      </c>
      <c r="AR41">
        <v>0</v>
      </c>
      <c r="AS41">
        <v>2997.6</v>
      </c>
      <c r="AT41">
        <v>-299.76</v>
      </c>
      <c r="AU41">
        <v>0</v>
      </c>
      <c r="AW41">
        <v>0</v>
      </c>
      <c r="AX41">
        <v>0</v>
      </c>
      <c r="AY41">
        <v>17779.89</v>
      </c>
      <c r="BA41" t="str">
        <f>T("0000000000000")</f>
        <v>0000000000000</v>
      </c>
      <c r="BC41" t="str">
        <f>T("9791190132954")</f>
        <v>9791190132954</v>
      </c>
      <c r="BE41" t="str">
        <f>T("BL 소설 e북 &gt; 현대물")</f>
        <v>BL 소설 e북 &gt; 현대물</v>
      </c>
      <c r="BF41" t="str">
        <f>T("BL 소설 e북 &gt; 판타지물")</f>
        <v>BL 소설 e북 &gt; 판타지물</v>
      </c>
    </row>
    <row r="42" spans="1:58" x14ac:dyDescent="0.3">
      <c r="B42">
        <v>1525015120</v>
      </c>
      <c r="C42" t="str">
        <f>T("[e북]그린 라이트")</f>
        <v>[e북]그린 라이트</v>
      </c>
      <c r="E42" t="str">
        <f>T("박샛별")</f>
        <v>박샛별</v>
      </c>
      <c r="H42" t="str">
        <f>T("밀리오리지널")</f>
        <v>밀리오리지널</v>
      </c>
      <c r="J42">
        <v>2500</v>
      </c>
      <c r="K42">
        <v>25000</v>
      </c>
      <c r="L42">
        <v>10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25000</v>
      </c>
      <c r="AH42">
        <v>10</v>
      </c>
      <c r="AI42">
        <v>0</v>
      </c>
      <c r="AJ42">
        <v>0</v>
      </c>
      <c r="AK42">
        <v>22500</v>
      </c>
      <c r="AL42">
        <v>0</v>
      </c>
      <c r="AM42">
        <v>3000</v>
      </c>
      <c r="AN42">
        <v>-900</v>
      </c>
      <c r="AO42">
        <v>0</v>
      </c>
      <c r="AQ42">
        <v>0</v>
      </c>
      <c r="AR42">
        <v>0</v>
      </c>
      <c r="AS42">
        <v>3000</v>
      </c>
      <c r="AT42">
        <v>-900</v>
      </c>
      <c r="AU42">
        <v>0</v>
      </c>
      <c r="AW42">
        <v>0</v>
      </c>
      <c r="AX42">
        <v>0</v>
      </c>
      <c r="AY42">
        <v>17220</v>
      </c>
      <c r="BC42" t="str">
        <f>T("9791192123127")</f>
        <v>9791192123127</v>
      </c>
      <c r="BE42" t="str">
        <f>T("로맨스 e북 &gt; 현대물")</f>
        <v>로맨스 e북 &gt; 현대물</v>
      </c>
    </row>
    <row r="43" spans="1:58" x14ac:dyDescent="0.3">
      <c r="B43">
        <v>1525014429</v>
      </c>
      <c r="C43" t="str">
        <f>T("[e북]아득히 먼 훗날 우리가")</f>
        <v>[e북]아득히 먼 훗날 우리가</v>
      </c>
      <c r="E43" t="str">
        <f>T("수련")</f>
        <v>수련</v>
      </c>
      <c r="H43" t="str">
        <f>T("밀리오리지널")</f>
        <v>밀리오리지널</v>
      </c>
      <c r="J43">
        <v>2500</v>
      </c>
      <c r="K43">
        <v>25000</v>
      </c>
      <c r="L43">
        <v>10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-5000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25000</v>
      </c>
      <c r="AH43">
        <v>10</v>
      </c>
      <c r="AI43">
        <v>-5000</v>
      </c>
      <c r="AJ43">
        <v>2</v>
      </c>
      <c r="AK43">
        <v>25000</v>
      </c>
      <c r="AL43">
        <v>-5000</v>
      </c>
      <c r="AM43">
        <v>0</v>
      </c>
      <c r="AN43">
        <v>0</v>
      </c>
      <c r="AO43">
        <v>0</v>
      </c>
      <c r="AQ43">
        <v>0</v>
      </c>
      <c r="AR43">
        <v>0</v>
      </c>
      <c r="AT43">
        <v>0</v>
      </c>
      <c r="AU43">
        <v>0</v>
      </c>
      <c r="AW43">
        <v>0</v>
      </c>
      <c r="AX43">
        <v>0</v>
      </c>
      <c r="AY43">
        <v>14000</v>
      </c>
      <c r="BC43" t="str">
        <f>T("9791191562781")</f>
        <v>9791191562781</v>
      </c>
      <c r="BE43" t="str">
        <f>T("로맨스 e북 &gt; 현대물")</f>
        <v>로맨스 e북 &gt; 현대물</v>
      </c>
    </row>
    <row r="44" spans="1:58" x14ac:dyDescent="0.3">
      <c r="B44">
        <v>1525015118</v>
      </c>
      <c r="C44" t="str">
        <f>T("[e북]꽃 무덤")</f>
        <v>[e북]꽃 무덤</v>
      </c>
      <c r="E44" t="str">
        <f>T("마뇽")</f>
        <v>마뇽</v>
      </c>
      <c r="H44" t="str">
        <f>T("밀리오리지널")</f>
        <v>밀리오리지널</v>
      </c>
      <c r="J44">
        <v>2000</v>
      </c>
      <c r="K44">
        <v>24000</v>
      </c>
      <c r="L44">
        <v>12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24000</v>
      </c>
      <c r="AH44">
        <v>12</v>
      </c>
      <c r="AI44">
        <v>0</v>
      </c>
      <c r="AJ44">
        <v>0</v>
      </c>
      <c r="AK44">
        <v>22565</v>
      </c>
      <c r="AL44">
        <v>0</v>
      </c>
      <c r="AM44">
        <v>1722</v>
      </c>
      <c r="AN44">
        <v>-172.2</v>
      </c>
      <c r="AO44">
        <v>0</v>
      </c>
      <c r="AQ44">
        <v>0</v>
      </c>
      <c r="AR44">
        <v>0</v>
      </c>
      <c r="AS44">
        <v>1722</v>
      </c>
      <c r="AT44">
        <v>-172.2</v>
      </c>
      <c r="AU44">
        <v>0</v>
      </c>
      <c r="AW44">
        <v>0</v>
      </c>
      <c r="AX44">
        <v>0</v>
      </c>
      <c r="AY44">
        <v>16880.36</v>
      </c>
      <c r="BC44" t="str">
        <f>T("9791192123080")</f>
        <v>9791192123080</v>
      </c>
      <c r="BE44" t="str">
        <f>T("로맨스 e북 &gt; 역사/시대물")</f>
        <v>로맨스 e북 &gt; 역사/시대물</v>
      </c>
      <c r="BF44" t="str">
        <f>T("로맨스 e북 &gt; 19+")</f>
        <v>로맨스 e북 &gt; 19+</v>
      </c>
    </row>
    <row r="45" spans="1:58" x14ac:dyDescent="0.3">
      <c r="A45">
        <v>1525000092</v>
      </c>
      <c r="B45">
        <v>1525000095</v>
      </c>
      <c r="C45" t="str">
        <f>T("[e북]다크 메이지 4권")</f>
        <v>[e북]다크 메이지 4권</v>
      </c>
      <c r="D45" t="str">
        <f>T("4")</f>
        <v>4</v>
      </c>
      <c r="E45" t="str">
        <f>T("김정률")</f>
        <v>김정률</v>
      </c>
      <c r="H45" t="str">
        <f>T("스토리위즈")</f>
        <v>스토리위즈</v>
      </c>
      <c r="I45" t="str">
        <f>T("[e북]다크 메이지")</f>
        <v>[e북]다크 메이지</v>
      </c>
      <c r="J45">
        <v>3200</v>
      </c>
      <c r="K45">
        <v>22400</v>
      </c>
      <c r="L45">
        <v>7</v>
      </c>
      <c r="M45">
        <v>0</v>
      </c>
      <c r="N45">
        <v>11700</v>
      </c>
      <c r="O45">
        <v>13</v>
      </c>
      <c r="P45">
        <v>0</v>
      </c>
      <c r="Q45">
        <v>0</v>
      </c>
      <c r="R45">
        <v>0</v>
      </c>
      <c r="S45">
        <v>0</v>
      </c>
      <c r="T45">
        <v>0</v>
      </c>
      <c r="U45">
        <v>18900</v>
      </c>
      <c r="V45">
        <v>42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-450</v>
      </c>
      <c r="AF45">
        <v>1</v>
      </c>
      <c r="AG45">
        <v>53000</v>
      </c>
      <c r="AH45">
        <v>62</v>
      </c>
      <c r="AI45">
        <v>-450</v>
      </c>
      <c r="AJ45">
        <v>1</v>
      </c>
      <c r="AK45">
        <v>40267</v>
      </c>
      <c r="AL45">
        <v>-450</v>
      </c>
      <c r="AM45">
        <v>15279.6</v>
      </c>
      <c r="AN45">
        <v>-2619.48</v>
      </c>
      <c r="AO45">
        <v>0</v>
      </c>
      <c r="AP45">
        <v>2757.6</v>
      </c>
      <c r="AQ45">
        <v>-827.28</v>
      </c>
      <c r="AR45">
        <v>0</v>
      </c>
      <c r="AS45">
        <v>12522</v>
      </c>
      <c r="AT45">
        <v>-1792.2</v>
      </c>
      <c r="AU45">
        <v>0</v>
      </c>
      <c r="AW45">
        <v>0</v>
      </c>
      <c r="AX45">
        <v>0</v>
      </c>
      <c r="AY45">
        <v>36733.980000000003</v>
      </c>
      <c r="BA45" t="str">
        <f t="shared" ref="BA45:BA53" si="7">T("0000000000000")</f>
        <v>0000000000000</v>
      </c>
      <c r="BC45" t="str">
        <f>T("9791166061882")</f>
        <v>9791166061882</v>
      </c>
      <c r="BE45" t="str">
        <f>T("판타지 e북 &gt; 퓨전 판타지")</f>
        <v>판타지 e북 &gt; 퓨전 판타지</v>
      </c>
    </row>
    <row r="46" spans="1:58" x14ac:dyDescent="0.3">
      <c r="A46">
        <v>1525012774</v>
      </c>
      <c r="B46">
        <v>1525012774</v>
      </c>
      <c r="C46" t="str">
        <f>T("[e북]주먹 구십구 1권")</f>
        <v>[e북]주먹 구십구 1권</v>
      </c>
      <c r="D46" t="str">
        <f>T("1")</f>
        <v>1</v>
      </c>
      <c r="E46" t="str">
        <f>T("마연")</f>
        <v>마연</v>
      </c>
      <c r="H46" t="str">
        <f>T("블러쉬")</f>
        <v>블러쉬</v>
      </c>
      <c r="I46" t="str">
        <f>T("[e북]주먹 구십구")</f>
        <v>[e북]주먹 구십구</v>
      </c>
      <c r="J46">
        <v>3200</v>
      </c>
      <c r="K46">
        <v>22400</v>
      </c>
      <c r="L46">
        <v>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-6400</v>
      </c>
      <c r="X46">
        <v>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22400</v>
      </c>
      <c r="AH46">
        <v>7</v>
      </c>
      <c r="AI46">
        <v>-6400</v>
      </c>
      <c r="AJ46">
        <v>2</v>
      </c>
      <c r="AK46">
        <v>22400</v>
      </c>
      <c r="AL46">
        <v>-6400</v>
      </c>
      <c r="AM46">
        <v>0</v>
      </c>
      <c r="AN46">
        <v>0</v>
      </c>
      <c r="AO46">
        <v>0</v>
      </c>
      <c r="AQ46">
        <v>0</v>
      </c>
      <c r="AR46">
        <v>0</v>
      </c>
      <c r="AT46">
        <v>0</v>
      </c>
      <c r="AU46">
        <v>0</v>
      </c>
      <c r="AW46">
        <v>0</v>
      </c>
      <c r="AX46">
        <v>0</v>
      </c>
      <c r="AY46">
        <v>11200</v>
      </c>
      <c r="BA46" t="str">
        <f t="shared" si="7"/>
        <v>0000000000000</v>
      </c>
      <c r="BC46" t="str">
        <f>T("9791166482649")</f>
        <v>9791166482649</v>
      </c>
      <c r="BE46" t="str">
        <f>T("BL 소설 e북 &gt; 현대물")</f>
        <v>BL 소설 e북 &gt; 현대물</v>
      </c>
    </row>
    <row r="47" spans="1:58" x14ac:dyDescent="0.3">
      <c r="A47">
        <v>1525000092</v>
      </c>
      <c r="B47">
        <v>1525000094</v>
      </c>
      <c r="C47" t="str">
        <f>T("[e북]다크 메이지 3권")</f>
        <v>[e북]다크 메이지 3권</v>
      </c>
      <c r="D47" t="str">
        <f>T("3")</f>
        <v>3</v>
      </c>
      <c r="E47" t="str">
        <f t="shared" ref="E47:E52" si="8">T("김정률")</f>
        <v>김정률</v>
      </c>
      <c r="H47" t="str">
        <f t="shared" ref="H47:H52" si="9">T("스토리위즈")</f>
        <v>스토리위즈</v>
      </c>
      <c r="I47" t="str">
        <f t="shared" ref="I47:I52" si="10">T("[e북]다크 메이지")</f>
        <v>[e북]다크 메이지</v>
      </c>
      <c r="J47">
        <v>3200</v>
      </c>
      <c r="K47">
        <v>22400</v>
      </c>
      <c r="L47">
        <v>7</v>
      </c>
      <c r="M47">
        <v>0</v>
      </c>
      <c r="N47">
        <v>12600</v>
      </c>
      <c r="O47">
        <v>14</v>
      </c>
      <c r="P47">
        <v>0</v>
      </c>
      <c r="Q47">
        <v>0</v>
      </c>
      <c r="R47">
        <v>0</v>
      </c>
      <c r="S47">
        <v>0</v>
      </c>
      <c r="T47">
        <v>0</v>
      </c>
      <c r="U47">
        <v>18900</v>
      </c>
      <c r="V47">
        <v>42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-450</v>
      </c>
      <c r="AF47">
        <v>1</v>
      </c>
      <c r="AG47">
        <v>53900</v>
      </c>
      <c r="AH47">
        <v>63</v>
      </c>
      <c r="AI47">
        <v>-450</v>
      </c>
      <c r="AJ47">
        <v>1</v>
      </c>
      <c r="AK47">
        <v>40988</v>
      </c>
      <c r="AL47">
        <v>-450</v>
      </c>
      <c r="AM47">
        <v>15494.4</v>
      </c>
      <c r="AN47">
        <v>-2592.7199999999998</v>
      </c>
      <c r="AO47">
        <v>0</v>
      </c>
      <c r="AP47">
        <v>2516.4</v>
      </c>
      <c r="AQ47">
        <v>-754.92</v>
      </c>
      <c r="AR47">
        <v>0</v>
      </c>
      <c r="AS47">
        <v>12978</v>
      </c>
      <c r="AT47">
        <v>-1837.8</v>
      </c>
      <c r="AU47">
        <v>0</v>
      </c>
      <c r="AW47">
        <v>0</v>
      </c>
      <c r="AX47">
        <v>0</v>
      </c>
      <c r="AY47">
        <v>37407.78</v>
      </c>
      <c r="BA47" t="str">
        <f t="shared" si="7"/>
        <v>0000000000000</v>
      </c>
      <c r="BC47" t="str">
        <f>T("9791166061875")</f>
        <v>9791166061875</v>
      </c>
      <c r="BE47" t="str">
        <f t="shared" ref="BE47:BE52" si="11">T("판타지 e북 &gt; 퓨전 판타지")</f>
        <v>판타지 e북 &gt; 퓨전 판타지</v>
      </c>
    </row>
    <row r="48" spans="1:58" x14ac:dyDescent="0.3">
      <c r="A48">
        <v>1525000092</v>
      </c>
      <c r="B48">
        <v>1525000093</v>
      </c>
      <c r="C48" t="str">
        <f>T("[e북]다크 메이지 2권")</f>
        <v>[e북]다크 메이지 2권</v>
      </c>
      <c r="D48" t="str">
        <f>T("2")</f>
        <v>2</v>
      </c>
      <c r="E48" t="str">
        <f t="shared" si="8"/>
        <v>김정률</v>
      </c>
      <c r="H48" t="str">
        <f t="shared" si="9"/>
        <v>스토리위즈</v>
      </c>
      <c r="I48" t="str">
        <f t="shared" si="10"/>
        <v>[e북]다크 메이지</v>
      </c>
      <c r="J48">
        <v>3200</v>
      </c>
      <c r="K48">
        <v>22400</v>
      </c>
      <c r="L48">
        <v>7</v>
      </c>
      <c r="M48">
        <v>0</v>
      </c>
      <c r="N48">
        <v>18000</v>
      </c>
      <c r="O48">
        <v>20</v>
      </c>
      <c r="P48">
        <v>0</v>
      </c>
      <c r="Q48">
        <v>0</v>
      </c>
      <c r="R48">
        <v>0</v>
      </c>
      <c r="S48">
        <v>0</v>
      </c>
      <c r="T48">
        <v>0</v>
      </c>
      <c r="U48">
        <v>18900</v>
      </c>
      <c r="V48">
        <v>42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-450</v>
      </c>
      <c r="AF48">
        <v>1</v>
      </c>
      <c r="AG48">
        <v>59300</v>
      </c>
      <c r="AH48">
        <v>69</v>
      </c>
      <c r="AI48">
        <v>-450</v>
      </c>
      <c r="AJ48">
        <v>1</v>
      </c>
      <c r="AK48">
        <v>44278</v>
      </c>
      <c r="AL48">
        <v>-450</v>
      </c>
      <c r="AM48">
        <v>18026.400000000001</v>
      </c>
      <c r="AN48">
        <v>-3457.92</v>
      </c>
      <c r="AO48">
        <v>0</v>
      </c>
      <c r="AP48">
        <v>5576.4</v>
      </c>
      <c r="AQ48">
        <v>-1672.92</v>
      </c>
      <c r="AR48">
        <v>0</v>
      </c>
      <c r="AS48">
        <v>12450</v>
      </c>
      <c r="AT48">
        <v>-1785</v>
      </c>
      <c r="AU48">
        <v>0</v>
      </c>
      <c r="AW48">
        <v>0</v>
      </c>
      <c r="AX48">
        <v>0</v>
      </c>
      <c r="AY48">
        <v>40877.54</v>
      </c>
      <c r="BA48" t="str">
        <f t="shared" si="7"/>
        <v>0000000000000</v>
      </c>
      <c r="BC48" t="str">
        <f>T("9791166061868")</f>
        <v>9791166061868</v>
      </c>
      <c r="BE48" t="str">
        <f t="shared" si="11"/>
        <v>판타지 e북 &gt; 퓨전 판타지</v>
      </c>
    </row>
    <row r="49" spans="1:58" x14ac:dyDescent="0.3">
      <c r="A49">
        <v>1525000092</v>
      </c>
      <c r="B49">
        <v>1525000103</v>
      </c>
      <c r="C49" t="str">
        <f>T("[e북]다크 메이지 12권")</f>
        <v>[e북]다크 메이지 12권</v>
      </c>
      <c r="D49" t="str">
        <f>T("12")</f>
        <v>12</v>
      </c>
      <c r="E49" t="str">
        <f t="shared" si="8"/>
        <v>김정률</v>
      </c>
      <c r="H49" t="str">
        <f t="shared" si="9"/>
        <v>스토리위즈</v>
      </c>
      <c r="I49" t="str">
        <f t="shared" si="10"/>
        <v>[e북]다크 메이지</v>
      </c>
      <c r="J49">
        <v>3200</v>
      </c>
      <c r="K49">
        <v>22400</v>
      </c>
      <c r="L49">
        <v>7</v>
      </c>
      <c r="M49">
        <v>0</v>
      </c>
      <c r="N49">
        <v>9900</v>
      </c>
      <c r="O49">
        <v>11</v>
      </c>
      <c r="P49">
        <v>0</v>
      </c>
      <c r="Q49">
        <v>0</v>
      </c>
      <c r="R49">
        <v>0</v>
      </c>
      <c r="S49">
        <v>0</v>
      </c>
      <c r="T49">
        <v>0</v>
      </c>
      <c r="U49">
        <v>18900</v>
      </c>
      <c r="V49">
        <v>42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-450</v>
      </c>
      <c r="AF49">
        <v>1</v>
      </c>
      <c r="AG49">
        <v>51200</v>
      </c>
      <c r="AH49">
        <v>60</v>
      </c>
      <c r="AI49">
        <v>-450</v>
      </c>
      <c r="AJ49">
        <v>1</v>
      </c>
      <c r="AK49">
        <v>39269</v>
      </c>
      <c r="AL49">
        <v>-450</v>
      </c>
      <c r="AM49">
        <v>14317.2</v>
      </c>
      <c r="AN49">
        <v>-2307.2399999999998</v>
      </c>
      <c r="AO49">
        <v>0</v>
      </c>
      <c r="AP49">
        <v>2757.6</v>
      </c>
      <c r="AQ49">
        <v>-827.28</v>
      </c>
      <c r="AR49">
        <v>0</v>
      </c>
      <c r="AS49">
        <v>11559.6</v>
      </c>
      <c r="AT49">
        <v>-1479.96</v>
      </c>
      <c r="AU49">
        <v>0</v>
      </c>
      <c r="AW49">
        <v>0</v>
      </c>
      <c r="AX49">
        <v>0</v>
      </c>
      <c r="AY49">
        <v>35580.26</v>
      </c>
      <c r="BA49" t="str">
        <f t="shared" si="7"/>
        <v>0000000000000</v>
      </c>
      <c r="BC49" t="str">
        <f>T("9791166061967")</f>
        <v>9791166061967</v>
      </c>
      <c r="BE49" t="str">
        <f t="shared" si="11"/>
        <v>판타지 e북 &gt; 퓨전 판타지</v>
      </c>
    </row>
    <row r="50" spans="1:58" x14ac:dyDescent="0.3">
      <c r="A50">
        <v>1525000092</v>
      </c>
      <c r="B50">
        <v>1525000102</v>
      </c>
      <c r="C50" t="str">
        <f>T("[e북]다크 메이지 11권")</f>
        <v>[e북]다크 메이지 11권</v>
      </c>
      <c r="D50" t="str">
        <f>T("11")</f>
        <v>11</v>
      </c>
      <c r="E50" t="str">
        <f t="shared" si="8"/>
        <v>김정률</v>
      </c>
      <c r="H50" t="str">
        <f t="shared" si="9"/>
        <v>스토리위즈</v>
      </c>
      <c r="I50" t="str">
        <f t="shared" si="10"/>
        <v>[e북]다크 메이지</v>
      </c>
      <c r="J50">
        <v>3200</v>
      </c>
      <c r="K50">
        <v>22400</v>
      </c>
      <c r="L50">
        <v>7</v>
      </c>
      <c r="M50">
        <v>0</v>
      </c>
      <c r="N50">
        <v>9000</v>
      </c>
      <c r="O50">
        <v>10</v>
      </c>
      <c r="P50">
        <v>0</v>
      </c>
      <c r="Q50">
        <v>0</v>
      </c>
      <c r="R50">
        <v>0</v>
      </c>
      <c r="S50">
        <v>0</v>
      </c>
      <c r="T50">
        <v>0</v>
      </c>
      <c r="U50">
        <v>18900</v>
      </c>
      <c r="V50">
        <v>42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-450</v>
      </c>
      <c r="AF50">
        <v>1</v>
      </c>
      <c r="AG50">
        <v>50300</v>
      </c>
      <c r="AH50">
        <v>59</v>
      </c>
      <c r="AI50">
        <v>-450</v>
      </c>
      <c r="AJ50">
        <v>1</v>
      </c>
      <c r="AK50">
        <v>40069</v>
      </c>
      <c r="AL50">
        <v>-450</v>
      </c>
      <c r="AM50">
        <v>12277.2</v>
      </c>
      <c r="AN50">
        <v>-1887.24</v>
      </c>
      <c r="AO50">
        <v>0</v>
      </c>
      <c r="AP50">
        <v>2757.6</v>
      </c>
      <c r="AQ50">
        <v>-827.28</v>
      </c>
      <c r="AR50">
        <v>0</v>
      </c>
      <c r="AS50">
        <v>9519.6</v>
      </c>
      <c r="AT50">
        <v>-1059.96</v>
      </c>
      <c r="AU50">
        <v>0</v>
      </c>
      <c r="AW50">
        <v>0</v>
      </c>
      <c r="AX50">
        <v>0</v>
      </c>
      <c r="AY50">
        <v>35006.26</v>
      </c>
      <c r="BA50" t="str">
        <f t="shared" si="7"/>
        <v>0000000000000</v>
      </c>
      <c r="BC50" t="str">
        <f>T("9791166061950")</f>
        <v>9791166061950</v>
      </c>
      <c r="BE50" t="str">
        <f t="shared" si="11"/>
        <v>판타지 e북 &gt; 퓨전 판타지</v>
      </c>
    </row>
    <row r="51" spans="1:58" x14ac:dyDescent="0.3">
      <c r="A51">
        <v>1525000092</v>
      </c>
      <c r="B51">
        <v>1525000101</v>
      </c>
      <c r="C51" t="str">
        <f>T("[e북]다크 메이지 10권")</f>
        <v>[e북]다크 메이지 10권</v>
      </c>
      <c r="D51" t="str">
        <f>T("10")</f>
        <v>10</v>
      </c>
      <c r="E51" t="str">
        <f t="shared" si="8"/>
        <v>김정률</v>
      </c>
      <c r="H51" t="str">
        <f t="shared" si="9"/>
        <v>스토리위즈</v>
      </c>
      <c r="I51" t="str">
        <f t="shared" si="10"/>
        <v>[e북]다크 메이지</v>
      </c>
      <c r="J51">
        <v>3200</v>
      </c>
      <c r="K51">
        <v>22400</v>
      </c>
      <c r="L51">
        <v>7</v>
      </c>
      <c r="M51">
        <v>0</v>
      </c>
      <c r="N51">
        <v>9900</v>
      </c>
      <c r="O51">
        <v>11</v>
      </c>
      <c r="P51">
        <v>0</v>
      </c>
      <c r="Q51">
        <v>0</v>
      </c>
      <c r="R51">
        <v>0</v>
      </c>
      <c r="S51">
        <v>0</v>
      </c>
      <c r="T51">
        <v>0</v>
      </c>
      <c r="U51">
        <v>18900</v>
      </c>
      <c r="V51">
        <v>42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-450</v>
      </c>
      <c r="AF51">
        <v>1</v>
      </c>
      <c r="AG51">
        <v>51200</v>
      </c>
      <c r="AH51">
        <v>60</v>
      </c>
      <c r="AI51">
        <v>-450</v>
      </c>
      <c r="AJ51">
        <v>1</v>
      </c>
      <c r="AK51">
        <v>40069</v>
      </c>
      <c r="AL51">
        <v>-450</v>
      </c>
      <c r="AM51">
        <v>13357.2</v>
      </c>
      <c r="AN51">
        <v>-2211.2399999999998</v>
      </c>
      <c r="AO51">
        <v>0</v>
      </c>
      <c r="AP51">
        <v>2757.6</v>
      </c>
      <c r="AQ51">
        <v>-827.28</v>
      </c>
      <c r="AR51">
        <v>0</v>
      </c>
      <c r="AS51">
        <v>10599.6</v>
      </c>
      <c r="AT51">
        <v>-1383.96</v>
      </c>
      <c r="AU51">
        <v>0</v>
      </c>
      <c r="AW51">
        <v>0</v>
      </c>
      <c r="AX51">
        <v>0</v>
      </c>
      <c r="AY51">
        <v>35535.46</v>
      </c>
      <c r="BA51" t="str">
        <f t="shared" si="7"/>
        <v>0000000000000</v>
      </c>
      <c r="BC51" t="str">
        <f>T("9791166061943")</f>
        <v>9791166061943</v>
      </c>
      <c r="BE51" t="str">
        <f t="shared" si="11"/>
        <v>판타지 e북 &gt; 퓨전 판타지</v>
      </c>
    </row>
    <row r="52" spans="1:58" x14ac:dyDescent="0.3">
      <c r="A52">
        <v>1525000092</v>
      </c>
      <c r="B52">
        <v>1525000100</v>
      </c>
      <c r="C52" t="str">
        <f>T("[e북]다크 메이지 9권")</f>
        <v>[e북]다크 메이지 9권</v>
      </c>
      <c r="D52" t="str">
        <f>T("9")</f>
        <v>9</v>
      </c>
      <c r="E52" t="str">
        <f t="shared" si="8"/>
        <v>김정률</v>
      </c>
      <c r="H52" t="str">
        <f t="shared" si="9"/>
        <v>스토리위즈</v>
      </c>
      <c r="I52" t="str">
        <f t="shared" si="10"/>
        <v>[e북]다크 메이지</v>
      </c>
      <c r="J52">
        <v>3200</v>
      </c>
      <c r="K52">
        <v>22400</v>
      </c>
      <c r="L52">
        <v>7</v>
      </c>
      <c r="M52">
        <v>0</v>
      </c>
      <c r="N52">
        <v>9900</v>
      </c>
      <c r="O52">
        <v>11</v>
      </c>
      <c r="P52">
        <v>0</v>
      </c>
      <c r="Q52">
        <v>0</v>
      </c>
      <c r="R52">
        <v>0</v>
      </c>
      <c r="S52">
        <v>0</v>
      </c>
      <c r="T52">
        <v>0</v>
      </c>
      <c r="U52">
        <v>18900</v>
      </c>
      <c r="V52">
        <v>42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-450</v>
      </c>
      <c r="AF52">
        <v>1</v>
      </c>
      <c r="AG52">
        <v>51200</v>
      </c>
      <c r="AH52">
        <v>60</v>
      </c>
      <c r="AI52">
        <v>-450</v>
      </c>
      <c r="AJ52">
        <v>1</v>
      </c>
      <c r="AK52">
        <v>40069</v>
      </c>
      <c r="AL52">
        <v>-450</v>
      </c>
      <c r="AM52">
        <v>13357.2</v>
      </c>
      <c r="AN52">
        <v>-2211.2399999999998</v>
      </c>
      <c r="AO52">
        <v>0</v>
      </c>
      <c r="AP52">
        <v>2757.6</v>
      </c>
      <c r="AQ52">
        <v>-827.28</v>
      </c>
      <c r="AR52">
        <v>0</v>
      </c>
      <c r="AS52">
        <v>10599.6</v>
      </c>
      <c r="AT52">
        <v>-1383.96</v>
      </c>
      <c r="AU52">
        <v>0</v>
      </c>
      <c r="AW52">
        <v>0</v>
      </c>
      <c r="AX52">
        <v>0</v>
      </c>
      <c r="AY52">
        <v>35535.46</v>
      </c>
      <c r="BA52" t="str">
        <f t="shared" si="7"/>
        <v>0000000000000</v>
      </c>
      <c r="BC52" t="str">
        <f>T("9791166061936")</f>
        <v>9791166061936</v>
      </c>
      <c r="BE52" t="str">
        <f t="shared" si="11"/>
        <v>판타지 e북 &gt; 퓨전 판타지</v>
      </c>
    </row>
    <row r="53" spans="1:58" x14ac:dyDescent="0.3">
      <c r="B53">
        <v>1525013439</v>
      </c>
      <c r="C53" t="str">
        <f>T("[e북]이차적 일탈")</f>
        <v>[e북]이차적 일탈</v>
      </c>
      <c r="E53" t="str">
        <f>T("서혜은")</f>
        <v>서혜은</v>
      </c>
      <c r="H53" t="str">
        <f>T("밀리오리지널")</f>
        <v>밀리오리지널</v>
      </c>
      <c r="J53">
        <v>2000</v>
      </c>
      <c r="K53">
        <v>22000</v>
      </c>
      <c r="L53">
        <v>11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22000</v>
      </c>
      <c r="AH53">
        <v>11</v>
      </c>
      <c r="AI53">
        <v>0</v>
      </c>
      <c r="AJ53">
        <v>0</v>
      </c>
      <c r="AK53">
        <v>21830</v>
      </c>
      <c r="AL53">
        <v>0</v>
      </c>
      <c r="AM53">
        <v>204</v>
      </c>
      <c r="AN53">
        <v>-61.2</v>
      </c>
      <c r="AO53">
        <v>0</v>
      </c>
      <c r="AQ53">
        <v>0</v>
      </c>
      <c r="AR53">
        <v>0</v>
      </c>
      <c r="AS53">
        <v>204</v>
      </c>
      <c r="AT53">
        <v>-61.2</v>
      </c>
      <c r="AU53">
        <v>0</v>
      </c>
      <c r="AW53">
        <v>0</v>
      </c>
      <c r="AX53">
        <v>0</v>
      </c>
      <c r="AY53">
        <v>15380.96</v>
      </c>
      <c r="BA53" t="str">
        <f t="shared" si="7"/>
        <v>0000000000000</v>
      </c>
      <c r="BC53" t="str">
        <f>T("9791191562163")</f>
        <v>9791191562163</v>
      </c>
      <c r="BE53" t="str">
        <f>T("로맨스 e북 &gt; 현대물")</f>
        <v>로맨스 e북 &gt; 현대물</v>
      </c>
      <c r="BF53" t="str">
        <f>T("로맨스 e북 &gt; 19+")</f>
        <v>로맨스 e북 &gt; 19+</v>
      </c>
    </row>
    <row r="54" spans="1:58" x14ac:dyDescent="0.3">
      <c r="B54">
        <v>1525014013</v>
      </c>
      <c r="C54" t="str">
        <f>T("[e북]이별 그리고 그 후")</f>
        <v>[e북]이별 그리고 그 후</v>
      </c>
      <c r="E54" t="str">
        <f>T("최현자")</f>
        <v>최현자</v>
      </c>
      <c r="H54" t="str">
        <f>T("밀리오리지널")</f>
        <v>밀리오리지널</v>
      </c>
      <c r="J54">
        <v>2000</v>
      </c>
      <c r="K54">
        <v>22000</v>
      </c>
      <c r="L54">
        <v>11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22000</v>
      </c>
      <c r="AH54">
        <v>11</v>
      </c>
      <c r="AI54">
        <v>0</v>
      </c>
      <c r="AJ54">
        <v>0</v>
      </c>
      <c r="AK54">
        <v>22000</v>
      </c>
      <c r="AL54">
        <v>0</v>
      </c>
      <c r="AM54">
        <v>0</v>
      </c>
      <c r="AN54">
        <v>0</v>
      </c>
      <c r="AO54">
        <v>0</v>
      </c>
      <c r="AQ54">
        <v>0</v>
      </c>
      <c r="AR54">
        <v>0</v>
      </c>
      <c r="AT54">
        <v>0</v>
      </c>
      <c r="AU54">
        <v>0</v>
      </c>
      <c r="AW54">
        <v>0</v>
      </c>
      <c r="AX54">
        <v>0</v>
      </c>
      <c r="AY54">
        <v>15400</v>
      </c>
      <c r="BC54" t="str">
        <f>T("9791191562415")</f>
        <v>9791191562415</v>
      </c>
      <c r="BE54" t="str">
        <f>T("로맨스 e북 &gt; 현대물")</f>
        <v>로맨스 e북 &gt; 현대물</v>
      </c>
      <c r="BF54" t="str">
        <f>T("로맨스 e북 &gt; 19+")</f>
        <v>로맨스 e북 &gt; 19+</v>
      </c>
    </row>
    <row r="55" spans="1:58" x14ac:dyDescent="0.3">
      <c r="B55">
        <v>1525013652</v>
      </c>
      <c r="C55" t="str">
        <f>T("[e북]꽃처럼 너를 안는다")</f>
        <v>[e북]꽃처럼 너를 안는다</v>
      </c>
      <c r="E55" t="str">
        <f>T("반지영")</f>
        <v>반지영</v>
      </c>
      <c r="H55" t="str">
        <f>T("밀리오리지널")</f>
        <v>밀리오리지널</v>
      </c>
      <c r="J55">
        <v>2000</v>
      </c>
      <c r="K55">
        <v>22000</v>
      </c>
      <c r="L55">
        <v>11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22000</v>
      </c>
      <c r="AH55">
        <v>11</v>
      </c>
      <c r="AI55">
        <v>0</v>
      </c>
      <c r="AJ55">
        <v>0</v>
      </c>
      <c r="AK55">
        <v>22000</v>
      </c>
      <c r="AL55">
        <v>0</v>
      </c>
      <c r="AM55">
        <v>0</v>
      </c>
      <c r="AN55">
        <v>0</v>
      </c>
      <c r="AO55">
        <v>0</v>
      </c>
      <c r="AQ55">
        <v>0</v>
      </c>
      <c r="AR55">
        <v>0</v>
      </c>
      <c r="AT55">
        <v>0</v>
      </c>
      <c r="AU55">
        <v>0</v>
      </c>
      <c r="AW55">
        <v>0</v>
      </c>
      <c r="AX55">
        <v>0</v>
      </c>
      <c r="AY55">
        <v>15400</v>
      </c>
      <c r="BC55" t="str">
        <f>T("9791191562255")</f>
        <v>9791191562255</v>
      </c>
      <c r="BE55" t="str">
        <f>T("로맨스 e북 &gt; 현대물")</f>
        <v>로맨스 e북 &gt; 현대물</v>
      </c>
      <c r="BF55" t="str">
        <f>T("로맨스 e북 &gt; 19+")</f>
        <v>로맨스 e북 &gt; 19+</v>
      </c>
    </row>
    <row r="56" spans="1:58" x14ac:dyDescent="0.3">
      <c r="A56">
        <v>1525012774</v>
      </c>
      <c r="B56">
        <v>1525012775</v>
      </c>
      <c r="C56" t="str">
        <f>T("[e북]주먹 구십구 2권")</f>
        <v>[e북]주먹 구십구 2권</v>
      </c>
      <c r="D56" t="str">
        <f>T("2")</f>
        <v>2</v>
      </c>
      <c r="E56" t="str">
        <f>T("마연")</f>
        <v>마연</v>
      </c>
      <c r="H56" t="str">
        <f>T("블러쉬")</f>
        <v>블러쉬</v>
      </c>
      <c r="I56" t="str">
        <f>T("[e북]주먹 구십구")</f>
        <v>[e북]주먹 구십구</v>
      </c>
      <c r="J56">
        <v>3200</v>
      </c>
      <c r="K56">
        <v>19200</v>
      </c>
      <c r="L56">
        <v>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-6400</v>
      </c>
      <c r="X56">
        <v>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19200</v>
      </c>
      <c r="AH56">
        <v>6</v>
      </c>
      <c r="AI56">
        <v>-6400</v>
      </c>
      <c r="AJ56">
        <v>2</v>
      </c>
      <c r="AK56">
        <v>19200</v>
      </c>
      <c r="AL56">
        <v>-6400</v>
      </c>
      <c r="AM56">
        <v>0</v>
      </c>
      <c r="AN56">
        <v>0</v>
      </c>
      <c r="AO56">
        <v>0</v>
      </c>
      <c r="AQ56">
        <v>0</v>
      </c>
      <c r="AR56">
        <v>0</v>
      </c>
      <c r="AT56">
        <v>0</v>
      </c>
      <c r="AU56">
        <v>0</v>
      </c>
      <c r="AW56">
        <v>0</v>
      </c>
      <c r="AX56">
        <v>0</v>
      </c>
      <c r="AY56">
        <v>8960</v>
      </c>
      <c r="BA56" t="str">
        <f>T("0000000000000")</f>
        <v>0000000000000</v>
      </c>
      <c r="BC56" t="str">
        <f>T("9791166482656")</f>
        <v>9791166482656</v>
      </c>
      <c r="BE56" t="str">
        <f>T("BL 소설 e북 &gt; 현대물")</f>
        <v>BL 소설 e북 &gt; 현대물</v>
      </c>
    </row>
    <row r="57" spans="1:58" x14ac:dyDescent="0.3">
      <c r="A57">
        <v>1525000074</v>
      </c>
      <c r="B57">
        <v>1525000078</v>
      </c>
      <c r="C57" t="str">
        <f>T("[e북]소드 엠페러 5권")</f>
        <v>[e북]소드 엠페러 5권</v>
      </c>
      <c r="D57" t="str">
        <f>T("5")</f>
        <v>5</v>
      </c>
      <c r="E57" t="str">
        <f>T("김정률")</f>
        <v>김정률</v>
      </c>
      <c r="H57" t="str">
        <f>T("스토리위즈")</f>
        <v>스토리위즈</v>
      </c>
      <c r="I57" t="str">
        <f>T("[e북]소드 엠페러")</f>
        <v>[e북]소드 엠페러</v>
      </c>
      <c r="J57">
        <v>3200</v>
      </c>
      <c r="K57">
        <v>19200</v>
      </c>
      <c r="L57">
        <v>6</v>
      </c>
      <c r="M57">
        <v>0</v>
      </c>
      <c r="N57">
        <v>8100</v>
      </c>
      <c r="O57">
        <v>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27300</v>
      </c>
      <c r="AH57">
        <v>15</v>
      </c>
      <c r="AI57">
        <v>0</v>
      </c>
      <c r="AJ57">
        <v>0</v>
      </c>
      <c r="AK57">
        <v>17761</v>
      </c>
      <c r="AL57">
        <v>0</v>
      </c>
      <c r="AM57">
        <v>11446.8</v>
      </c>
      <c r="AN57">
        <v>-1912.68</v>
      </c>
      <c r="AO57">
        <v>0</v>
      </c>
      <c r="AQ57">
        <v>0</v>
      </c>
      <c r="AR57">
        <v>0</v>
      </c>
      <c r="AS57">
        <v>11446.8</v>
      </c>
      <c r="AT57">
        <v>-1912.68</v>
      </c>
      <c r="AU57">
        <v>0</v>
      </c>
      <c r="AW57">
        <v>0</v>
      </c>
      <c r="AX57">
        <v>0</v>
      </c>
      <c r="AY57">
        <v>19106.580000000002</v>
      </c>
      <c r="BE57" t="str">
        <f>T("판타지 e북 &gt; 퓨전 판타지")</f>
        <v>판타지 e북 &gt; 퓨전 판타지</v>
      </c>
    </row>
    <row r="58" spans="1:58" x14ac:dyDescent="0.3">
      <c r="A58">
        <v>1525008145</v>
      </c>
      <c r="B58">
        <v>1525008146</v>
      </c>
      <c r="C58" t="str">
        <f>T("[e북]우리 집 악마 새끼 2권 (완결)")</f>
        <v>[e북]우리 집 악마 새끼 2권 (완결)</v>
      </c>
      <c r="D58" t="str">
        <f>T("2")</f>
        <v>2</v>
      </c>
      <c r="E58" t="str">
        <f>T("용가리맛쿠키")</f>
        <v>용가리맛쿠키</v>
      </c>
      <c r="H58" t="str">
        <f>T("블러쉬")</f>
        <v>블러쉬</v>
      </c>
      <c r="I58" t="str">
        <f>T("[e북]우리 집 악마 새끼")</f>
        <v>[e북]우리 집 악마 새끼</v>
      </c>
      <c r="J58">
        <v>3500</v>
      </c>
      <c r="K58">
        <v>18900</v>
      </c>
      <c r="L58">
        <v>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18900</v>
      </c>
      <c r="AH58">
        <v>6</v>
      </c>
      <c r="AI58">
        <v>0</v>
      </c>
      <c r="AJ58">
        <v>0</v>
      </c>
      <c r="AK58">
        <v>16402</v>
      </c>
      <c r="AL58">
        <v>0</v>
      </c>
      <c r="AM58">
        <v>2997.6</v>
      </c>
      <c r="AN58">
        <v>-299.76</v>
      </c>
      <c r="AO58">
        <v>0</v>
      </c>
      <c r="AQ58">
        <v>0</v>
      </c>
      <c r="AR58">
        <v>0</v>
      </c>
      <c r="AS58">
        <v>2997.6</v>
      </c>
      <c r="AT58">
        <v>-299.76</v>
      </c>
      <c r="AU58">
        <v>0</v>
      </c>
      <c r="AW58">
        <v>0</v>
      </c>
      <c r="AX58">
        <v>0</v>
      </c>
      <c r="AY58">
        <v>13369.89</v>
      </c>
      <c r="BA58" t="str">
        <f>T("0000000000000")</f>
        <v>0000000000000</v>
      </c>
      <c r="BC58" t="str">
        <f>T("9791190132961")</f>
        <v>9791190132961</v>
      </c>
      <c r="BE58" t="str">
        <f>T("BL 소설 e북 &gt; 현대물")</f>
        <v>BL 소설 e북 &gt; 현대물</v>
      </c>
      <c r="BF58" t="str">
        <f>T("BL 소설 e북 &gt; 판타지물")</f>
        <v>BL 소설 e북 &gt; 판타지물</v>
      </c>
    </row>
    <row r="59" spans="1:58" x14ac:dyDescent="0.3">
      <c r="B59">
        <v>1525014428</v>
      </c>
      <c r="C59" t="str">
        <f>T("[e북]처녀 보쌈")</f>
        <v>[e북]처녀 보쌈</v>
      </c>
      <c r="E59" t="str">
        <f>T("김원경")</f>
        <v>김원경</v>
      </c>
      <c r="H59" t="str">
        <f>T("밀리오리지널")</f>
        <v>밀리오리지널</v>
      </c>
      <c r="J59">
        <v>2500</v>
      </c>
      <c r="K59">
        <v>17000</v>
      </c>
      <c r="L59">
        <v>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17000</v>
      </c>
      <c r="AH59">
        <v>7</v>
      </c>
      <c r="AI59">
        <v>0</v>
      </c>
      <c r="AJ59">
        <v>0</v>
      </c>
      <c r="AK59">
        <v>14500</v>
      </c>
      <c r="AL59">
        <v>0</v>
      </c>
      <c r="AM59">
        <v>3000</v>
      </c>
      <c r="AN59">
        <v>-300</v>
      </c>
      <c r="AO59">
        <v>0</v>
      </c>
      <c r="AQ59">
        <v>0</v>
      </c>
      <c r="AR59">
        <v>0</v>
      </c>
      <c r="AS59">
        <v>3000</v>
      </c>
      <c r="AT59">
        <v>-300</v>
      </c>
      <c r="AU59">
        <v>0</v>
      </c>
      <c r="AW59">
        <v>0</v>
      </c>
      <c r="AX59">
        <v>0</v>
      </c>
      <c r="AY59">
        <v>12040</v>
      </c>
      <c r="BC59" t="str">
        <f>T("9791191562804")</f>
        <v>9791191562804</v>
      </c>
      <c r="BE59" t="str">
        <f>T("로맨스 e북 &gt; 역사/시대물")</f>
        <v>로맨스 e북 &gt; 역사/시대물</v>
      </c>
      <c r="BF59" t="str">
        <f>T("로맨스 e북 &gt; 19+")</f>
        <v>로맨스 e북 &gt; 19+</v>
      </c>
    </row>
    <row r="60" spans="1:58" x14ac:dyDescent="0.3">
      <c r="A60">
        <v>1525000074</v>
      </c>
      <c r="B60">
        <v>1525000083</v>
      </c>
      <c r="C60" t="str">
        <f>T("[e북]소드 엠페러 9권")</f>
        <v>[e북]소드 엠페러 9권</v>
      </c>
      <c r="D60" t="str">
        <f>T("9")</f>
        <v>9</v>
      </c>
      <c r="E60" t="str">
        <f>T("김정률")</f>
        <v>김정률</v>
      </c>
      <c r="H60" t="str">
        <f t="shared" ref="H60:H66" si="12">T("스토리위즈")</f>
        <v>스토리위즈</v>
      </c>
      <c r="I60" t="str">
        <f>T("[e북]소드 엠페러")</f>
        <v>[e북]소드 엠페러</v>
      </c>
      <c r="J60">
        <v>3200</v>
      </c>
      <c r="K60">
        <v>16000</v>
      </c>
      <c r="L60">
        <v>5</v>
      </c>
      <c r="M60">
        <v>0</v>
      </c>
      <c r="N60">
        <v>5400</v>
      </c>
      <c r="O60">
        <v>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21400</v>
      </c>
      <c r="AH60">
        <v>11</v>
      </c>
      <c r="AI60">
        <v>0</v>
      </c>
      <c r="AJ60">
        <v>0</v>
      </c>
      <c r="AK60">
        <v>10241</v>
      </c>
      <c r="AL60">
        <v>0</v>
      </c>
      <c r="AM60">
        <v>13390.8</v>
      </c>
      <c r="AN60">
        <v>-1487.88</v>
      </c>
      <c r="AO60">
        <v>0</v>
      </c>
      <c r="AP60">
        <v>744</v>
      </c>
      <c r="AQ60">
        <v>-223.2</v>
      </c>
      <c r="AR60">
        <v>0</v>
      </c>
      <c r="AS60">
        <v>12646.8</v>
      </c>
      <c r="AT60">
        <v>-1264.68</v>
      </c>
      <c r="AU60">
        <v>0</v>
      </c>
      <c r="AW60">
        <v>0</v>
      </c>
      <c r="AX60">
        <v>0</v>
      </c>
      <c r="AY60">
        <v>15500.74</v>
      </c>
      <c r="BE60" t="str">
        <f>T("판타지 e북 &gt; 퓨전 판타지")</f>
        <v>판타지 e북 &gt; 퓨전 판타지</v>
      </c>
    </row>
    <row r="61" spans="1:58" x14ac:dyDescent="0.3">
      <c r="A61">
        <v>1525000074</v>
      </c>
      <c r="B61">
        <v>1525000082</v>
      </c>
      <c r="C61" t="str">
        <f>T("[e북]소드 엠페러 8권")</f>
        <v>[e북]소드 엠페러 8권</v>
      </c>
      <c r="D61" t="str">
        <f>T("8")</f>
        <v>8</v>
      </c>
      <c r="E61" t="str">
        <f>T("김정률")</f>
        <v>김정률</v>
      </c>
      <c r="H61" t="str">
        <f t="shared" si="12"/>
        <v>스토리위즈</v>
      </c>
      <c r="I61" t="str">
        <f>T("[e북]소드 엠페러")</f>
        <v>[e북]소드 엠페러</v>
      </c>
      <c r="J61">
        <v>3200</v>
      </c>
      <c r="K61">
        <v>16000</v>
      </c>
      <c r="L61">
        <v>5</v>
      </c>
      <c r="M61">
        <v>0</v>
      </c>
      <c r="N61">
        <v>3600</v>
      </c>
      <c r="O61">
        <v>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19600</v>
      </c>
      <c r="AH61">
        <v>9</v>
      </c>
      <c r="AI61">
        <v>0</v>
      </c>
      <c r="AJ61">
        <v>0</v>
      </c>
      <c r="AK61">
        <v>9661</v>
      </c>
      <c r="AL61">
        <v>0</v>
      </c>
      <c r="AM61">
        <v>11926.8</v>
      </c>
      <c r="AN61">
        <v>-1192.68</v>
      </c>
      <c r="AO61">
        <v>0</v>
      </c>
      <c r="AQ61">
        <v>0</v>
      </c>
      <c r="AR61">
        <v>0</v>
      </c>
      <c r="AS61">
        <v>11926.8</v>
      </c>
      <c r="AT61">
        <v>-1192.68</v>
      </c>
      <c r="AU61">
        <v>0</v>
      </c>
      <c r="AW61">
        <v>0</v>
      </c>
      <c r="AX61">
        <v>0</v>
      </c>
      <c r="AY61">
        <v>14276.58</v>
      </c>
      <c r="BE61" t="str">
        <f>T("판타지 e북 &gt; 퓨전 판타지")</f>
        <v>판타지 e북 &gt; 퓨전 판타지</v>
      </c>
    </row>
    <row r="62" spans="1:58" x14ac:dyDescent="0.3">
      <c r="A62">
        <v>1525000074</v>
      </c>
      <c r="B62">
        <v>1525000081</v>
      </c>
      <c r="C62" t="str">
        <f>T("[e북]소드 엠페러 7권")</f>
        <v>[e북]소드 엠페러 7권</v>
      </c>
      <c r="D62" t="str">
        <f>T("7")</f>
        <v>7</v>
      </c>
      <c r="E62" t="str">
        <f>T("김정률")</f>
        <v>김정률</v>
      </c>
      <c r="H62" t="str">
        <f t="shared" si="12"/>
        <v>스토리위즈</v>
      </c>
      <c r="I62" t="str">
        <f>T("[e북]소드 엠페러")</f>
        <v>[e북]소드 엠페러</v>
      </c>
      <c r="J62">
        <v>3200</v>
      </c>
      <c r="K62">
        <v>16000</v>
      </c>
      <c r="L62">
        <v>5</v>
      </c>
      <c r="M62">
        <v>0</v>
      </c>
      <c r="N62">
        <v>5400</v>
      </c>
      <c r="O62">
        <v>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21400</v>
      </c>
      <c r="AH62">
        <v>11</v>
      </c>
      <c r="AI62">
        <v>0</v>
      </c>
      <c r="AJ62">
        <v>0</v>
      </c>
      <c r="AK62">
        <v>10661</v>
      </c>
      <c r="AL62">
        <v>0</v>
      </c>
      <c r="AM62">
        <v>12886.8</v>
      </c>
      <c r="AN62">
        <v>-1288.68</v>
      </c>
      <c r="AO62">
        <v>0</v>
      </c>
      <c r="AQ62">
        <v>0</v>
      </c>
      <c r="AR62">
        <v>0</v>
      </c>
      <c r="AS62">
        <v>12886.8</v>
      </c>
      <c r="AT62">
        <v>-1288.68</v>
      </c>
      <c r="AU62">
        <v>0</v>
      </c>
      <c r="AW62">
        <v>0</v>
      </c>
      <c r="AX62">
        <v>0</v>
      </c>
      <c r="AY62">
        <v>15581.38</v>
      </c>
      <c r="BE62" t="str">
        <f>T("판타지 e북 &gt; 퓨전 판타지")</f>
        <v>판타지 e북 &gt; 퓨전 판타지</v>
      </c>
    </row>
    <row r="63" spans="1:58" x14ac:dyDescent="0.3">
      <c r="A63">
        <v>1525005640</v>
      </c>
      <c r="B63">
        <v>1525005642</v>
      </c>
      <c r="C63" t="str">
        <f>T("[e북]회귀의 전설 1부 3권")</f>
        <v>[e북]회귀의 전설 1부 3권</v>
      </c>
      <c r="D63" t="str">
        <f>T("3")</f>
        <v>3</v>
      </c>
      <c r="E63" t="str">
        <f>T("김광수")</f>
        <v>김광수</v>
      </c>
      <c r="H63" t="str">
        <f t="shared" si="12"/>
        <v>스토리위즈</v>
      </c>
      <c r="I63" t="str">
        <f>T("[e북]회귀의 전설")</f>
        <v>[e북]회귀의 전설</v>
      </c>
      <c r="J63">
        <v>3200</v>
      </c>
      <c r="K63">
        <v>16000</v>
      </c>
      <c r="L63">
        <v>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16000</v>
      </c>
      <c r="AH63">
        <v>5</v>
      </c>
      <c r="AI63">
        <v>0</v>
      </c>
      <c r="AJ63">
        <v>0</v>
      </c>
      <c r="AK63">
        <v>9600</v>
      </c>
      <c r="AL63">
        <v>0</v>
      </c>
      <c r="AM63">
        <v>7680</v>
      </c>
      <c r="AN63">
        <v>-2304</v>
      </c>
      <c r="AO63">
        <v>0</v>
      </c>
      <c r="AP63">
        <v>3840</v>
      </c>
      <c r="AQ63">
        <v>-1152</v>
      </c>
      <c r="AR63">
        <v>0</v>
      </c>
      <c r="AS63">
        <v>3840</v>
      </c>
      <c r="AT63">
        <v>-1152</v>
      </c>
      <c r="AU63">
        <v>0</v>
      </c>
      <c r="AW63">
        <v>0</v>
      </c>
      <c r="AX63">
        <v>0</v>
      </c>
      <c r="AY63">
        <v>10483.200000000001</v>
      </c>
      <c r="BC63" t="str">
        <f>T("9791190937788")</f>
        <v>9791190937788</v>
      </c>
      <c r="BE63" t="str">
        <f>T("판타지 e북 &gt; 현대 판타지")</f>
        <v>판타지 e북 &gt; 현대 판타지</v>
      </c>
    </row>
    <row r="64" spans="1:58" x14ac:dyDescent="0.3">
      <c r="A64">
        <v>1525005640</v>
      </c>
      <c r="B64">
        <v>1525013335</v>
      </c>
      <c r="C64" t="str">
        <f>T("[e북]회귀의 전설 3부 47권")</f>
        <v>[e북]회귀의 전설 3부 47권</v>
      </c>
      <c r="D64" t="str">
        <f>T("47")</f>
        <v>47</v>
      </c>
      <c r="E64" t="str">
        <f>T("김광수")</f>
        <v>김광수</v>
      </c>
      <c r="H64" t="str">
        <f t="shared" si="12"/>
        <v>스토리위즈</v>
      </c>
      <c r="I64" t="str">
        <f>T("[e북]회귀의 전설")</f>
        <v>[e북]회귀의 전설</v>
      </c>
      <c r="J64">
        <v>3200</v>
      </c>
      <c r="K64">
        <v>16000</v>
      </c>
      <c r="L64">
        <v>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16000</v>
      </c>
      <c r="AH64">
        <v>5</v>
      </c>
      <c r="AI64">
        <v>0</v>
      </c>
      <c r="AJ64">
        <v>0</v>
      </c>
      <c r="AK64">
        <v>3200</v>
      </c>
      <c r="AL64">
        <v>0</v>
      </c>
      <c r="AM64">
        <v>15360</v>
      </c>
      <c r="AN64">
        <v>-4608</v>
      </c>
      <c r="AO64">
        <v>0</v>
      </c>
      <c r="AP64">
        <v>3840</v>
      </c>
      <c r="AQ64">
        <v>-1152</v>
      </c>
      <c r="AR64">
        <v>0</v>
      </c>
      <c r="AS64">
        <v>11520</v>
      </c>
      <c r="AT64">
        <v>-3456</v>
      </c>
      <c r="AU64">
        <v>0</v>
      </c>
      <c r="AW64">
        <v>0</v>
      </c>
      <c r="AX64">
        <v>0</v>
      </c>
      <c r="AY64">
        <v>9766.4</v>
      </c>
      <c r="BC64" t="str">
        <f>T("9791166300837")</f>
        <v>9791166300837</v>
      </c>
      <c r="BE64" t="str">
        <f>T("판타지 e북 &gt; 현대 판타지")</f>
        <v>판타지 e북 &gt; 현대 판타지</v>
      </c>
    </row>
    <row r="65" spans="1:58" x14ac:dyDescent="0.3">
      <c r="A65">
        <v>1525000074</v>
      </c>
      <c r="B65">
        <v>1525000080</v>
      </c>
      <c r="C65" t="str">
        <f>T("[e북]소드 엠페러 6권")</f>
        <v>[e북]소드 엠페러 6권</v>
      </c>
      <c r="D65" t="str">
        <f>T("6")</f>
        <v>6</v>
      </c>
      <c r="E65" t="str">
        <f>T("김정률")</f>
        <v>김정률</v>
      </c>
      <c r="H65" t="str">
        <f t="shared" si="12"/>
        <v>스토리위즈</v>
      </c>
      <c r="I65" t="str">
        <f>T("[e북]소드 엠페러")</f>
        <v>[e북]소드 엠페러</v>
      </c>
      <c r="J65">
        <v>3200</v>
      </c>
      <c r="K65">
        <v>16000</v>
      </c>
      <c r="L65">
        <v>5</v>
      </c>
      <c r="M65">
        <v>0</v>
      </c>
      <c r="N65">
        <v>7200</v>
      </c>
      <c r="O65">
        <v>8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23200</v>
      </c>
      <c r="AH65">
        <v>13</v>
      </c>
      <c r="AI65">
        <v>0</v>
      </c>
      <c r="AJ65">
        <v>0</v>
      </c>
      <c r="AK65">
        <v>11921</v>
      </c>
      <c r="AL65">
        <v>0</v>
      </c>
      <c r="AM65">
        <v>13534.8</v>
      </c>
      <c r="AN65">
        <v>-1507.08</v>
      </c>
      <c r="AO65">
        <v>0</v>
      </c>
      <c r="AP65">
        <v>768</v>
      </c>
      <c r="AQ65">
        <v>-230.4</v>
      </c>
      <c r="AR65">
        <v>0</v>
      </c>
      <c r="AS65">
        <v>12766.8</v>
      </c>
      <c r="AT65">
        <v>-1276.68</v>
      </c>
      <c r="AU65">
        <v>0</v>
      </c>
      <c r="AW65">
        <v>0</v>
      </c>
      <c r="AX65">
        <v>0</v>
      </c>
      <c r="AY65">
        <v>16764.099999999999</v>
      </c>
      <c r="BE65" t="str">
        <f>T("판타지 e북 &gt; 퓨전 판타지")</f>
        <v>판타지 e북 &gt; 퓨전 판타지</v>
      </c>
    </row>
    <row r="66" spans="1:58" x14ac:dyDescent="0.3">
      <c r="A66">
        <v>1525005640</v>
      </c>
      <c r="B66">
        <v>1525005641</v>
      </c>
      <c r="C66" t="str">
        <f>T("[e북]회귀의 전설 1부 2권")</f>
        <v>[e북]회귀의 전설 1부 2권</v>
      </c>
      <c r="D66" t="str">
        <f>T("2")</f>
        <v>2</v>
      </c>
      <c r="E66" t="str">
        <f>T("김광수")</f>
        <v>김광수</v>
      </c>
      <c r="H66" t="str">
        <f t="shared" si="12"/>
        <v>스토리위즈</v>
      </c>
      <c r="I66" t="str">
        <f>T("[e북]회귀의 전설")</f>
        <v>[e북]회귀의 전설</v>
      </c>
      <c r="J66">
        <v>3200</v>
      </c>
      <c r="K66">
        <v>16000</v>
      </c>
      <c r="L66">
        <v>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16000</v>
      </c>
      <c r="AH66">
        <v>5</v>
      </c>
      <c r="AI66">
        <v>0</v>
      </c>
      <c r="AJ66">
        <v>0</v>
      </c>
      <c r="AK66">
        <v>9600</v>
      </c>
      <c r="AL66">
        <v>0</v>
      </c>
      <c r="AM66">
        <v>7680</v>
      </c>
      <c r="AN66">
        <v>-2304</v>
      </c>
      <c r="AO66">
        <v>0</v>
      </c>
      <c r="AP66">
        <v>3840</v>
      </c>
      <c r="AQ66">
        <v>-1152</v>
      </c>
      <c r="AR66">
        <v>0</v>
      </c>
      <c r="AS66">
        <v>3840</v>
      </c>
      <c r="AT66">
        <v>-1152</v>
      </c>
      <c r="AU66">
        <v>0</v>
      </c>
      <c r="AW66">
        <v>0</v>
      </c>
      <c r="AX66">
        <v>0</v>
      </c>
      <c r="AY66">
        <v>10483.200000000001</v>
      </c>
      <c r="BC66" t="str">
        <f>T("9791190937771")</f>
        <v>9791190937771</v>
      </c>
      <c r="BE66" t="str">
        <f>T("판타지 e북 &gt; 현대 판타지")</f>
        <v>판타지 e북 &gt; 현대 판타지</v>
      </c>
    </row>
    <row r="67" spans="1:58" x14ac:dyDescent="0.3">
      <c r="A67">
        <v>1525008077</v>
      </c>
      <c r="B67">
        <v>1525008077</v>
      </c>
      <c r="C67" t="str">
        <f>T("[e북]마지막 춤은, 악인과 함께")</f>
        <v>[e북]마지막 춤은, 악인과 함께</v>
      </c>
      <c r="D67" t="str">
        <f>T("1")</f>
        <v>1</v>
      </c>
      <c r="E67" t="str">
        <f>T("SISSI")</f>
        <v>SISSI</v>
      </c>
      <c r="H67" t="str">
        <f>T("블러쉬")</f>
        <v>블러쉬</v>
      </c>
      <c r="I67" t="str">
        <f>T("[e북]마지막 춤은, 악인과 함께")</f>
        <v>[e북]마지막 춤은, 악인과 함께</v>
      </c>
      <c r="J67">
        <v>4000</v>
      </c>
      <c r="K67">
        <v>16000</v>
      </c>
      <c r="L67">
        <v>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16000</v>
      </c>
      <c r="AH67">
        <v>4</v>
      </c>
      <c r="AI67">
        <v>0</v>
      </c>
      <c r="AJ67">
        <v>0</v>
      </c>
      <c r="AK67">
        <v>16000</v>
      </c>
      <c r="AL67">
        <v>0</v>
      </c>
      <c r="AM67">
        <v>0</v>
      </c>
      <c r="AN67">
        <v>0</v>
      </c>
      <c r="AO67">
        <v>0</v>
      </c>
      <c r="AQ67">
        <v>0</v>
      </c>
      <c r="AR67">
        <v>0</v>
      </c>
      <c r="AT67">
        <v>0</v>
      </c>
      <c r="AU67">
        <v>0</v>
      </c>
      <c r="AW67">
        <v>0</v>
      </c>
      <c r="AX67">
        <v>0</v>
      </c>
      <c r="AY67">
        <v>11200</v>
      </c>
      <c r="BA67" t="str">
        <f>T("0000000000000")</f>
        <v>0000000000000</v>
      </c>
      <c r="BC67" t="str">
        <f>T("9791164899814")</f>
        <v>9791164899814</v>
      </c>
      <c r="BE67" t="str">
        <f>T("BL 소설 e북 &gt; 현대물")</f>
        <v>BL 소설 e북 &gt; 현대물</v>
      </c>
    </row>
    <row r="68" spans="1:58" x14ac:dyDescent="0.3">
      <c r="A68">
        <v>1525000074</v>
      </c>
      <c r="B68">
        <v>1525000077</v>
      </c>
      <c r="C68" t="str">
        <f>T("[e북]소드 엠페러 4권")</f>
        <v>[e북]소드 엠페러 4권</v>
      </c>
      <c r="D68" t="str">
        <f>T("4")</f>
        <v>4</v>
      </c>
      <c r="E68" t="str">
        <f>T("김정률")</f>
        <v>김정률</v>
      </c>
      <c r="H68" t="str">
        <f>T("스토리위즈")</f>
        <v>스토리위즈</v>
      </c>
      <c r="I68" t="str">
        <f>T("[e북]소드 엠페러")</f>
        <v>[e북]소드 엠페러</v>
      </c>
      <c r="J68">
        <v>3200</v>
      </c>
      <c r="K68">
        <v>16000</v>
      </c>
      <c r="L68">
        <v>5</v>
      </c>
      <c r="M68">
        <v>0</v>
      </c>
      <c r="N68">
        <v>7200</v>
      </c>
      <c r="O68">
        <v>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23200</v>
      </c>
      <c r="AH68">
        <v>13</v>
      </c>
      <c r="AI68">
        <v>0</v>
      </c>
      <c r="AJ68">
        <v>0</v>
      </c>
      <c r="AK68">
        <v>16361</v>
      </c>
      <c r="AL68">
        <v>0</v>
      </c>
      <c r="AM68">
        <v>8206.7999999999993</v>
      </c>
      <c r="AN68">
        <v>-1588.68</v>
      </c>
      <c r="AO68">
        <v>0</v>
      </c>
      <c r="AQ68">
        <v>0</v>
      </c>
      <c r="AR68">
        <v>0</v>
      </c>
      <c r="AS68">
        <v>8206.7999999999993</v>
      </c>
      <c r="AT68">
        <v>-1588.68</v>
      </c>
      <c r="AU68">
        <v>0</v>
      </c>
      <c r="AW68">
        <v>0</v>
      </c>
      <c r="AX68">
        <v>0</v>
      </c>
      <c r="AY68">
        <v>16085.38</v>
      </c>
      <c r="BE68" t="str">
        <f>T("판타지 e북 &gt; 퓨전 판타지")</f>
        <v>판타지 e북 &gt; 퓨전 판타지</v>
      </c>
    </row>
    <row r="69" spans="1:58" x14ac:dyDescent="0.3">
      <c r="A69">
        <v>1525000074</v>
      </c>
      <c r="B69">
        <v>1525000076</v>
      </c>
      <c r="C69" t="str">
        <f>T("[e북]소드 엠페러 3권")</f>
        <v>[e북]소드 엠페러 3권</v>
      </c>
      <c r="D69" t="str">
        <f>T("3")</f>
        <v>3</v>
      </c>
      <c r="E69" t="str">
        <f>T("김정률")</f>
        <v>김정률</v>
      </c>
      <c r="H69" t="str">
        <f>T("스토리위즈")</f>
        <v>스토리위즈</v>
      </c>
      <c r="I69" t="str">
        <f>T("[e북]소드 엠페러")</f>
        <v>[e북]소드 엠페러</v>
      </c>
      <c r="J69">
        <v>3200</v>
      </c>
      <c r="K69">
        <v>16000</v>
      </c>
      <c r="L69">
        <v>5</v>
      </c>
      <c r="M69">
        <v>0</v>
      </c>
      <c r="N69">
        <v>7200</v>
      </c>
      <c r="O69">
        <v>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23200</v>
      </c>
      <c r="AH69">
        <v>13</v>
      </c>
      <c r="AI69">
        <v>0</v>
      </c>
      <c r="AJ69">
        <v>0</v>
      </c>
      <c r="AK69">
        <v>16261</v>
      </c>
      <c r="AL69">
        <v>0</v>
      </c>
      <c r="AM69">
        <v>8326.7999999999993</v>
      </c>
      <c r="AN69">
        <v>-1600.68</v>
      </c>
      <c r="AO69">
        <v>0</v>
      </c>
      <c r="AQ69">
        <v>0</v>
      </c>
      <c r="AR69">
        <v>0</v>
      </c>
      <c r="AS69">
        <v>8326.7999999999993</v>
      </c>
      <c r="AT69">
        <v>-1600.68</v>
      </c>
      <c r="AU69">
        <v>0</v>
      </c>
      <c r="AW69">
        <v>0</v>
      </c>
      <c r="AX69">
        <v>0</v>
      </c>
      <c r="AY69">
        <v>16090.98</v>
      </c>
      <c r="BE69" t="str">
        <f>T("판타지 e북 &gt; 퓨전 판타지")</f>
        <v>판타지 e북 &gt; 퓨전 판타지</v>
      </c>
    </row>
    <row r="70" spans="1:58" x14ac:dyDescent="0.3">
      <c r="A70">
        <v>1525000074</v>
      </c>
      <c r="B70">
        <v>1525000075</v>
      </c>
      <c r="C70" t="str">
        <f>T("[e북]소드 엠페러 2권")</f>
        <v>[e북]소드 엠페러 2권</v>
      </c>
      <c r="D70" t="str">
        <f>T("2")</f>
        <v>2</v>
      </c>
      <c r="E70" t="str">
        <f>T("김정률")</f>
        <v>김정률</v>
      </c>
      <c r="H70" t="str">
        <f>T("스토리위즈")</f>
        <v>스토리위즈</v>
      </c>
      <c r="I70" t="str">
        <f>T("[e북]소드 엠페러")</f>
        <v>[e북]소드 엠페러</v>
      </c>
      <c r="J70">
        <v>3200</v>
      </c>
      <c r="K70">
        <v>16000</v>
      </c>
      <c r="L70">
        <v>5</v>
      </c>
      <c r="M70">
        <v>0</v>
      </c>
      <c r="N70">
        <v>9000</v>
      </c>
      <c r="O70">
        <v>10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25000</v>
      </c>
      <c r="AH70">
        <v>15</v>
      </c>
      <c r="AI70">
        <v>0</v>
      </c>
      <c r="AJ70">
        <v>0</v>
      </c>
      <c r="AK70">
        <v>20120</v>
      </c>
      <c r="AL70">
        <v>0</v>
      </c>
      <c r="AM70">
        <v>5856</v>
      </c>
      <c r="AN70">
        <v>-801.6</v>
      </c>
      <c r="AO70">
        <v>0</v>
      </c>
      <c r="AP70">
        <v>1080</v>
      </c>
      <c r="AQ70">
        <v>-324</v>
      </c>
      <c r="AR70">
        <v>0</v>
      </c>
      <c r="AS70">
        <v>4776</v>
      </c>
      <c r="AT70">
        <v>-477.6</v>
      </c>
      <c r="AU70">
        <v>0</v>
      </c>
      <c r="AW70">
        <v>0</v>
      </c>
      <c r="AX70">
        <v>0</v>
      </c>
      <c r="AY70">
        <v>17622.080000000002</v>
      </c>
      <c r="BE70" t="str">
        <f>T("판타지 e북 &gt; 퓨전 판타지")</f>
        <v>판타지 e북 &gt; 퓨전 판타지</v>
      </c>
    </row>
    <row r="71" spans="1:58" x14ac:dyDescent="0.3">
      <c r="B71">
        <v>1525014431</v>
      </c>
      <c r="C71" t="str">
        <f>T("[e북]우기에는 비가 와요")</f>
        <v>[e북]우기에는 비가 와요</v>
      </c>
      <c r="E71" t="str">
        <f>T("이리")</f>
        <v>이리</v>
      </c>
      <c r="H71" t="str">
        <f>T("밀리오리지널")</f>
        <v>밀리오리지널</v>
      </c>
      <c r="J71">
        <v>2000</v>
      </c>
      <c r="K71">
        <v>15800</v>
      </c>
      <c r="L71">
        <v>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15800</v>
      </c>
      <c r="AH71">
        <v>8</v>
      </c>
      <c r="AI71">
        <v>0</v>
      </c>
      <c r="AJ71">
        <v>0</v>
      </c>
      <c r="AK71">
        <v>13800</v>
      </c>
      <c r="AL71">
        <v>0</v>
      </c>
      <c r="AM71">
        <v>2400</v>
      </c>
      <c r="AN71">
        <v>-240</v>
      </c>
      <c r="AO71">
        <v>0</v>
      </c>
      <c r="AQ71">
        <v>0</v>
      </c>
      <c r="AR71">
        <v>0</v>
      </c>
      <c r="AS71">
        <v>2400</v>
      </c>
      <c r="AT71">
        <v>-240</v>
      </c>
      <c r="AU71">
        <v>0</v>
      </c>
      <c r="AW71">
        <v>0</v>
      </c>
      <c r="AX71">
        <v>0</v>
      </c>
      <c r="AY71">
        <v>11172</v>
      </c>
      <c r="BC71" t="str">
        <f>T("9791191562545")</f>
        <v>9791191562545</v>
      </c>
      <c r="BE71" t="str">
        <f>T("로맨스 e북 &gt; 현대물")</f>
        <v>로맨스 e북 &gt; 현대물</v>
      </c>
      <c r="BF71" t="str">
        <f>T("로맨스 e북 &gt; 19+")</f>
        <v>로맨스 e북 &gt; 19+</v>
      </c>
    </row>
    <row r="72" spans="1:58" x14ac:dyDescent="0.3">
      <c r="A72">
        <v>1525008129</v>
      </c>
      <c r="B72">
        <v>1525008129</v>
      </c>
      <c r="C72" t="str">
        <f>T("[e북]엠프티 (Empty) 1권")</f>
        <v>[e북]엠프티 (Empty) 1권</v>
      </c>
      <c r="D72" t="str">
        <f>T("1")</f>
        <v>1</v>
      </c>
      <c r="E72" t="str">
        <f>T("라돌체")</f>
        <v>라돌체</v>
      </c>
      <c r="H72" t="str">
        <f>T("블러쉬")</f>
        <v>블러쉬</v>
      </c>
      <c r="I72" t="str">
        <f>T("[e북]엠프티 (Empty)")</f>
        <v>[e북]엠프티 (Empty)</v>
      </c>
      <c r="J72">
        <v>2800</v>
      </c>
      <c r="K72">
        <v>15120</v>
      </c>
      <c r="L72">
        <v>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15120</v>
      </c>
      <c r="AH72">
        <v>6</v>
      </c>
      <c r="AI72">
        <v>0</v>
      </c>
      <c r="AJ72">
        <v>0</v>
      </c>
      <c r="AK72">
        <v>15120</v>
      </c>
      <c r="AL72">
        <v>0</v>
      </c>
      <c r="AM72">
        <v>0</v>
      </c>
      <c r="AN72">
        <v>0</v>
      </c>
      <c r="AO72">
        <v>0</v>
      </c>
      <c r="AQ72">
        <v>0</v>
      </c>
      <c r="AR72">
        <v>0</v>
      </c>
      <c r="AT72">
        <v>0</v>
      </c>
      <c r="AU72">
        <v>0</v>
      </c>
      <c r="AW72">
        <v>0</v>
      </c>
      <c r="AX72">
        <v>0</v>
      </c>
      <c r="AY72">
        <v>10584</v>
      </c>
      <c r="BA72" t="str">
        <f>T("0000000000000")</f>
        <v>0000000000000</v>
      </c>
      <c r="BC72" t="str">
        <f>T("9791190132398")</f>
        <v>9791190132398</v>
      </c>
      <c r="BE72" t="str">
        <f>T("BL 소설 e북 &gt; 현대물")</f>
        <v>BL 소설 e북 &gt; 현대물</v>
      </c>
    </row>
    <row r="73" spans="1:58" x14ac:dyDescent="0.3">
      <c r="B73">
        <v>1525014420</v>
      </c>
      <c r="C73" t="str">
        <f>T("[e북]사내 연애의 끝")</f>
        <v>[e북]사내 연애의 끝</v>
      </c>
      <c r="E73" t="str">
        <f>T("라벤더블루")</f>
        <v>라벤더블루</v>
      </c>
      <c r="H73" t="str">
        <f>T("밀리오리지널")</f>
        <v>밀리오리지널</v>
      </c>
      <c r="J73">
        <v>2500</v>
      </c>
      <c r="K73">
        <v>15000</v>
      </c>
      <c r="L73">
        <v>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15000</v>
      </c>
      <c r="AH73">
        <v>6</v>
      </c>
      <c r="AI73">
        <v>0</v>
      </c>
      <c r="AJ73">
        <v>0</v>
      </c>
      <c r="AK73">
        <v>15000</v>
      </c>
      <c r="AL73">
        <v>0</v>
      </c>
      <c r="AM73">
        <v>0</v>
      </c>
      <c r="AN73">
        <v>0</v>
      </c>
      <c r="AO73">
        <v>0</v>
      </c>
      <c r="AQ73">
        <v>0</v>
      </c>
      <c r="AR73">
        <v>0</v>
      </c>
      <c r="AT73">
        <v>0</v>
      </c>
      <c r="AU73">
        <v>0</v>
      </c>
      <c r="AW73">
        <v>0</v>
      </c>
      <c r="AX73">
        <v>0</v>
      </c>
      <c r="AY73">
        <v>10500</v>
      </c>
      <c r="BC73" t="str">
        <f>T("9791191562439")</f>
        <v>9791191562439</v>
      </c>
      <c r="BE73" t="str">
        <f>T("로맨스 e북 &gt; 현대물")</f>
        <v>로맨스 e북 &gt; 현대물</v>
      </c>
      <c r="BF73" t="str">
        <f>T("로맨스 e북 &gt; 19+")</f>
        <v>로맨스 e북 &gt; 19+</v>
      </c>
    </row>
    <row r="74" spans="1:58" x14ac:dyDescent="0.3">
      <c r="A74">
        <v>1525008201</v>
      </c>
      <c r="B74">
        <v>1525008201</v>
      </c>
      <c r="C74" t="str">
        <f>T("[e북]폭군의 공물 1권")</f>
        <v>[e북]폭군의 공물 1권</v>
      </c>
      <c r="D74" t="str">
        <f>T("1")</f>
        <v>1</v>
      </c>
      <c r="E74" t="str">
        <f>T("여러해살이풀")</f>
        <v>여러해살이풀</v>
      </c>
      <c r="H74" t="str">
        <f>T("블러쉬")</f>
        <v>블러쉬</v>
      </c>
      <c r="I74" t="str">
        <f>T("[e북]폭군의 공물")</f>
        <v>[e북]폭군의 공물</v>
      </c>
      <c r="J74">
        <v>3600</v>
      </c>
      <c r="K74">
        <v>14400</v>
      </c>
      <c r="L74">
        <v>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14400</v>
      </c>
      <c r="AH74">
        <v>4</v>
      </c>
      <c r="AI74">
        <v>0</v>
      </c>
      <c r="AJ74">
        <v>0</v>
      </c>
      <c r="AK74">
        <v>7200</v>
      </c>
      <c r="AL74">
        <v>0</v>
      </c>
      <c r="AM74">
        <v>8640</v>
      </c>
      <c r="AN74">
        <v>-864</v>
      </c>
      <c r="AO74">
        <v>0</v>
      </c>
      <c r="AQ74">
        <v>0</v>
      </c>
      <c r="AR74">
        <v>0</v>
      </c>
      <c r="AS74">
        <v>8640</v>
      </c>
      <c r="AT74">
        <v>-864</v>
      </c>
      <c r="AU74">
        <v>0</v>
      </c>
      <c r="AW74">
        <v>0</v>
      </c>
      <c r="AX74">
        <v>0</v>
      </c>
      <c r="AY74">
        <v>10483.200000000001</v>
      </c>
      <c r="BA74" t="str">
        <f>T("0000000000000")</f>
        <v>0000000000000</v>
      </c>
      <c r="BC74" t="str">
        <f>T("9791190132138")</f>
        <v>9791190132138</v>
      </c>
      <c r="BE74" t="str">
        <f>T("BL 소설 e북 &gt; 역사/시대물")</f>
        <v>BL 소설 e북 &gt; 역사/시대물</v>
      </c>
    </row>
    <row r="75" spans="1:58" x14ac:dyDescent="0.3">
      <c r="B75">
        <v>1525015110</v>
      </c>
      <c r="C75" t="str">
        <f>T("[e북]작열감")</f>
        <v>[e북]작열감</v>
      </c>
      <c r="E75" t="str">
        <f>T("리밀")</f>
        <v>리밀</v>
      </c>
      <c r="H75" t="str">
        <f>T("밀리오리지널")</f>
        <v>밀리오리지널</v>
      </c>
      <c r="J75">
        <v>2000</v>
      </c>
      <c r="K75">
        <v>13800</v>
      </c>
      <c r="L75">
        <v>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13800</v>
      </c>
      <c r="AH75">
        <v>7</v>
      </c>
      <c r="AI75">
        <v>0</v>
      </c>
      <c r="AJ75">
        <v>0</v>
      </c>
      <c r="AK75">
        <v>11800</v>
      </c>
      <c r="AL75">
        <v>0</v>
      </c>
      <c r="AM75">
        <v>2400</v>
      </c>
      <c r="AN75">
        <v>-240</v>
      </c>
      <c r="AO75">
        <v>0</v>
      </c>
      <c r="AQ75">
        <v>0</v>
      </c>
      <c r="AR75">
        <v>0</v>
      </c>
      <c r="AS75">
        <v>2400</v>
      </c>
      <c r="AT75">
        <v>-240</v>
      </c>
      <c r="AU75">
        <v>0</v>
      </c>
      <c r="AW75">
        <v>0</v>
      </c>
      <c r="AX75">
        <v>0</v>
      </c>
      <c r="AY75">
        <v>9772</v>
      </c>
      <c r="BC75" t="str">
        <f>T("9791191562873")</f>
        <v>9791191562873</v>
      </c>
      <c r="BE75" t="str">
        <f>T("로맨스 e북 &gt; 현대물")</f>
        <v>로맨스 e북 &gt; 현대물</v>
      </c>
      <c r="BF75" t="str">
        <f>T("로맨스 e북 &gt; 19+")</f>
        <v>로맨스 e북 &gt; 19+</v>
      </c>
    </row>
    <row r="76" spans="1:58" x14ac:dyDescent="0.3">
      <c r="A76">
        <v>1525012774</v>
      </c>
      <c r="B76">
        <v>1525012776</v>
      </c>
      <c r="C76" t="str">
        <f>T("[e북]주먹 구십구 3권")</f>
        <v>[e북]주먹 구십구 3권</v>
      </c>
      <c r="D76" t="str">
        <f>T("3")</f>
        <v>3</v>
      </c>
      <c r="E76" t="str">
        <f>T("마연")</f>
        <v>마연</v>
      </c>
      <c r="H76" t="str">
        <f>T("블러쉬")</f>
        <v>블러쉬</v>
      </c>
      <c r="I76" t="str">
        <f>T("[e북]주먹 구십구")</f>
        <v>[e북]주먹 구십구</v>
      </c>
      <c r="J76">
        <v>3200</v>
      </c>
      <c r="K76">
        <v>12800</v>
      </c>
      <c r="L76">
        <v>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-3200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12800</v>
      </c>
      <c r="AH76">
        <v>4</v>
      </c>
      <c r="AI76">
        <v>-3200</v>
      </c>
      <c r="AJ76">
        <v>1</v>
      </c>
      <c r="AK76">
        <v>12800</v>
      </c>
      <c r="AL76">
        <v>-3200</v>
      </c>
      <c r="AM76">
        <v>0</v>
      </c>
      <c r="AN76">
        <v>0</v>
      </c>
      <c r="AO76">
        <v>0</v>
      </c>
      <c r="AQ76">
        <v>0</v>
      </c>
      <c r="AR76">
        <v>0</v>
      </c>
      <c r="AT76">
        <v>0</v>
      </c>
      <c r="AU76">
        <v>0</v>
      </c>
      <c r="AW76">
        <v>0</v>
      </c>
      <c r="AX76">
        <v>0</v>
      </c>
      <c r="AY76">
        <v>6720</v>
      </c>
      <c r="BA76" t="str">
        <f>T("0000000000000")</f>
        <v>0000000000000</v>
      </c>
      <c r="BC76" t="str">
        <f>T("9791166482663")</f>
        <v>9791166482663</v>
      </c>
      <c r="BE76" t="str">
        <f>T("BL 소설 e북 &gt; 현대물")</f>
        <v>BL 소설 e북 &gt; 현대물</v>
      </c>
    </row>
    <row r="77" spans="1:58" x14ac:dyDescent="0.3">
      <c r="A77">
        <v>1525005640</v>
      </c>
      <c r="B77">
        <v>1525013340</v>
      </c>
      <c r="C77" t="str">
        <f>T("[e북]회귀의 전설 3부 52권 (3부 완결)")</f>
        <v>[e북]회귀의 전설 3부 52권 (3부 완결)</v>
      </c>
      <c r="D77" t="str">
        <f>T("52")</f>
        <v>52</v>
      </c>
      <c r="E77" t="str">
        <f>T("김광수")</f>
        <v>김광수</v>
      </c>
      <c r="H77" t="str">
        <f t="shared" ref="H77:H94" si="13">T("스토리위즈")</f>
        <v>스토리위즈</v>
      </c>
      <c r="I77" t="str">
        <f>T("[e북]회귀의 전설")</f>
        <v>[e북]회귀의 전설</v>
      </c>
      <c r="J77">
        <v>3200</v>
      </c>
      <c r="K77">
        <v>12800</v>
      </c>
      <c r="L77">
        <v>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12800</v>
      </c>
      <c r="AH77">
        <v>4</v>
      </c>
      <c r="AI77">
        <v>0</v>
      </c>
      <c r="AJ77">
        <v>0</v>
      </c>
      <c r="AK77">
        <v>6000</v>
      </c>
      <c r="AL77">
        <v>0</v>
      </c>
      <c r="AM77">
        <v>8160</v>
      </c>
      <c r="AN77">
        <v>-2352</v>
      </c>
      <c r="AO77">
        <v>0</v>
      </c>
      <c r="AP77">
        <v>3840</v>
      </c>
      <c r="AQ77">
        <v>-1152</v>
      </c>
      <c r="AR77">
        <v>0</v>
      </c>
      <c r="AS77">
        <v>4320</v>
      </c>
      <c r="AT77">
        <v>-1200</v>
      </c>
      <c r="AU77">
        <v>0</v>
      </c>
      <c r="AW77">
        <v>0</v>
      </c>
      <c r="AX77">
        <v>0</v>
      </c>
      <c r="AY77">
        <v>8265.6</v>
      </c>
      <c r="BA77" t="str">
        <f>T("0000000000000")</f>
        <v>0000000000000</v>
      </c>
      <c r="BC77" t="str">
        <f>T("9791166300882")</f>
        <v>9791166300882</v>
      </c>
      <c r="BE77" t="str">
        <f>T("판타지 e북 &gt; 현대 판타지")</f>
        <v>판타지 e북 &gt; 현대 판타지</v>
      </c>
    </row>
    <row r="78" spans="1:58" x14ac:dyDescent="0.3">
      <c r="A78">
        <v>1525005640</v>
      </c>
      <c r="B78">
        <v>1525005647</v>
      </c>
      <c r="C78" t="str">
        <f>T("[e북]회귀의 전설 1부 8권")</f>
        <v>[e북]회귀의 전설 1부 8권</v>
      </c>
      <c r="D78" t="str">
        <f>T("8")</f>
        <v>8</v>
      </c>
      <c r="E78" t="str">
        <f>T("김광수")</f>
        <v>김광수</v>
      </c>
      <c r="H78" t="str">
        <f t="shared" si="13"/>
        <v>스토리위즈</v>
      </c>
      <c r="I78" t="str">
        <f>T("[e북]회귀의 전설")</f>
        <v>[e북]회귀의 전설</v>
      </c>
      <c r="J78">
        <v>3200</v>
      </c>
      <c r="K78">
        <v>12800</v>
      </c>
      <c r="L78">
        <v>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12800</v>
      </c>
      <c r="AH78">
        <v>4</v>
      </c>
      <c r="AI78">
        <v>0</v>
      </c>
      <c r="AJ78">
        <v>0</v>
      </c>
      <c r="AK78">
        <v>7600</v>
      </c>
      <c r="AL78">
        <v>0</v>
      </c>
      <c r="AM78">
        <v>6240</v>
      </c>
      <c r="AN78">
        <v>-1872</v>
      </c>
      <c r="AO78">
        <v>0</v>
      </c>
      <c r="AP78">
        <v>2400</v>
      </c>
      <c r="AQ78">
        <v>-720</v>
      </c>
      <c r="AR78">
        <v>0</v>
      </c>
      <c r="AS78">
        <v>3840</v>
      </c>
      <c r="AT78">
        <v>-1152</v>
      </c>
      <c r="AU78">
        <v>0</v>
      </c>
      <c r="AW78">
        <v>0</v>
      </c>
      <c r="AX78">
        <v>0</v>
      </c>
      <c r="AY78">
        <v>8377.6</v>
      </c>
      <c r="BC78" t="str">
        <f>T("9791190937832")</f>
        <v>9791190937832</v>
      </c>
      <c r="BE78" t="str">
        <f>T("판타지 e북 &gt; 현대 판타지")</f>
        <v>판타지 e북 &gt; 현대 판타지</v>
      </c>
    </row>
    <row r="79" spans="1:58" x14ac:dyDescent="0.3">
      <c r="A79">
        <v>1525000074</v>
      </c>
      <c r="B79">
        <v>1525000085</v>
      </c>
      <c r="C79" t="str">
        <f>T("[e북]소드 엠페러 11권")</f>
        <v>[e북]소드 엠페러 11권</v>
      </c>
      <c r="D79" t="str">
        <f>T("11")</f>
        <v>11</v>
      </c>
      <c r="E79" t="str">
        <f>T("김정률")</f>
        <v>김정률</v>
      </c>
      <c r="H79" t="str">
        <f t="shared" si="13"/>
        <v>스토리위즈</v>
      </c>
      <c r="I79" t="str">
        <f>T("[e북]소드 엠페러")</f>
        <v>[e북]소드 엠페러</v>
      </c>
      <c r="J79">
        <v>3200</v>
      </c>
      <c r="K79">
        <v>12800</v>
      </c>
      <c r="L79">
        <v>4</v>
      </c>
      <c r="M79">
        <v>0</v>
      </c>
      <c r="N79">
        <v>3600</v>
      </c>
      <c r="O79">
        <v>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16400</v>
      </c>
      <c r="AH79">
        <v>8</v>
      </c>
      <c r="AI79">
        <v>0</v>
      </c>
      <c r="AJ79">
        <v>0</v>
      </c>
      <c r="AK79">
        <v>9761</v>
      </c>
      <c r="AL79">
        <v>0</v>
      </c>
      <c r="AM79">
        <v>7966.8</v>
      </c>
      <c r="AN79">
        <v>-796.68</v>
      </c>
      <c r="AO79">
        <v>0</v>
      </c>
      <c r="AQ79">
        <v>0</v>
      </c>
      <c r="AR79">
        <v>0</v>
      </c>
      <c r="AS79">
        <v>7966.8</v>
      </c>
      <c r="AT79">
        <v>-796.68</v>
      </c>
      <c r="AU79">
        <v>0</v>
      </c>
      <c r="AW79">
        <v>0</v>
      </c>
      <c r="AX79">
        <v>0</v>
      </c>
      <c r="AY79">
        <v>11851.78</v>
      </c>
      <c r="BE79" t="str">
        <f>T("판타지 e북 &gt; 퓨전 판타지")</f>
        <v>판타지 e북 &gt; 퓨전 판타지</v>
      </c>
    </row>
    <row r="80" spans="1:58" x14ac:dyDescent="0.3">
      <c r="A80">
        <v>1525005640</v>
      </c>
      <c r="B80">
        <v>1525013339</v>
      </c>
      <c r="C80" t="str">
        <f>T("[e북]회귀의 전설 3부 51권")</f>
        <v>[e북]회귀의 전설 3부 51권</v>
      </c>
      <c r="D80" t="str">
        <f>T("51")</f>
        <v>51</v>
      </c>
      <c r="E80" t="str">
        <f>T("김광수")</f>
        <v>김광수</v>
      </c>
      <c r="H80" t="str">
        <f t="shared" si="13"/>
        <v>스토리위즈</v>
      </c>
      <c r="I80" t="str">
        <f>T("[e북]회귀의 전설")</f>
        <v>[e북]회귀의 전설</v>
      </c>
      <c r="J80">
        <v>3200</v>
      </c>
      <c r="K80">
        <v>12800</v>
      </c>
      <c r="L80">
        <v>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12800</v>
      </c>
      <c r="AH80">
        <v>4</v>
      </c>
      <c r="AI80">
        <v>0</v>
      </c>
      <c r="AJ80">
        <v>0</v>
      </c>
      <c r="AK80">
        <v>3200</v>
      </c>
      <c r="AL80">
        <v>0</v>
      </c>
      <c r="AM80">
        <v>11520</v>
      </c>
      <c r="AN80">
        <v>-3456</v>
      </c>
      <c r="AO80">
        <v>0</v>
      </c>
      <c r="AP80">
        <v>3840</v>
      </c>
      <c r="AQ80">
        <v>-1152</v>
      </c>
      <c r="AR80">
        <v>0</v>
      </c>
      <c r="AS80">
        <v>7680</v>
      </c>
      <c r="AT80">
        <v>-2304</v>
      </c>
      <c r="AU80">
        <v>0</v>
      </c>
      <c r="AW80">
        <v>0</v>
      </c>
      <c r="AX80">
        <v>0</v>
      </c>
      <c r="AY80">
        <v>7884.8</v>
      </c>
      <c r="BA80" t="str">
        <f>T("0000000000000")</f>
        <v>0000000000000</v>
      </c>
      <c r="BC80" t="str">
        <f>T("9791166300875")</f>
        <v>9791166300875</v>
      </c>
      <c r="BE80" t="str">
        <f>T("판타지 e북 &gt; 현대 판타지")</f>
        <v>판타지 e북 &gt; 현대 판타지</v>
      </c>
    </row>
    <row r="81" spans="1:57" x14ac:dyDescent="0.3">
      <c r="A81">
        <v>1525005640</v>
      </c>
      <c r="B81">
        <v>1525005646</v>
      </c>
      <c r="C81" t="str">
        <f>T("[e북]회귀의 전설 1부 7권")</f>
        <v>[e북]회귀의 전설 1부 7권</v>
      </c>
      <c r="D81" t="str">
        <f>T("7")</f>
        <v>7</v>
      </c>
      <c r="E81" t="str">
        <f>T("김광수")</f>
        <v>김광수</v>
      </c>
      <c r="H81" t="str">
        <f t="shared" si="13"/>
        <v>스토리위즈</v>
      </c>
      <c r="I81" t="str">
        <f>T("[e북]회귀의 전설")</f>
        <v>[e북]회귀의 전설</v>
      </c>
      <c r="J81">
        <v>3200</v>
      </c>
      <c r="K81">
        <v>12800</v>
      </c>
      <c r="L81">
        <v>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12800</v>
      </c>
      <c r="AH81">
        <v>4</v>
      </c>
      <c r="AI81">
        <v>0</v>
      </c>
      <c r="AJ81">
        <v>0</v>
      </c>
      <c r="AK81">
        <v>6400</v>
      </c>
      <c r="AL81">
        <v>0</v>
      </c>
      <c r="AM81">
        <v>7680</v>
      </c>
      <c r="AN81">
        <v>-2304</v>
      </c>
      <c r="AO81">
        <v>0</v>
      </c>
      <c r="AP81">
        <v>3840</v>
      </c>
      <c r="AQ81">
        <v>-1152</v>
      </c>
      <c r="AR81">
        <v>0</v>
      </c>
      <c r="AS81">
        <v>3840</v>
      </c>
      <c r="AT81">
        <v>-1152</v>
      </c>
      <c r="AU81">
        <v>0</v>
      </c>
      <c r="AW81">
        <v>0</v>
      </c>
      <c r="AX81">
        <v>0</v>
      </c>
      <c r="AY81">
        <v>8243.2000000000007</v>
      </c>
      <c r="BC81" t="str">
        <f>T("9791190937825")</f>
        <v>9791190937825</v>
      </c>
      <c r="BE81" t="str">
        <f>T("판타지 e북 &gt; 현대 판타지")</f>
        <v>판타지 e북 &gt; 현대 판타지</v>
      </c>
    </row>
    <row r="82" spans="1:57" x14ac:dyDescent="0.3">
      <c r="A82">
        <v>1525000074</v>
      </c>
      <c r="B82">
        <v>1525000084</v>
      </c>
      <c r="C82" t="str">
        <f>T("[e북]소드 엠페러 10권")</f>
        <v>[e북]소드 엠페러 10권</v>
      </c>
      <c r="D82" t="str">
        <f>T("10")</f>
        <v>10</v>
      </c>
      <c r="E82" t="str">
        <f>T("김정률")</f>
        <v>김정률</v>
      </c>
      <c r="H82" t="str">
        <f t="shared" si="13"/>
        <v>스토리위즈</v>
      </c>
      <c r="I82" t="str">
        <f>T("[e북]소드 엠페러")</f>
        <v>[e북]소드 엠페러</v>
      </c>
      <c r="J82">
        <v>3200</v>
      </c>
      <c r="K82">
        <v>12800</v>
      </c>
      <c r="L82">
        <v>4</v>
      </c>
      <c r="M82">
        <v>0</v>
      </c>
      <c r="N82">
        <v>3600</v>
      </c>
      <c r="O82">
        <v>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16400</v>
      </c>
      <c r="AH82">
        <v>8</v>
      </c>
      <c r="AI82">
        <v>0</v>
      </c>
      <c r="AJ82">
        <v>0</v>
      </c>
      <c r="AK82">
        <v>9761</v>
      </c>
      <c r="AL82">
        <v>0</v>
      </c>
      <c r="AM82">
        <v>7966.8</v>
      </c>
      <c r="AN82">
        <v>-796.68</v>
      </c>
      <c r="AO82">
        <v>0</v>
      </c>
      <c r="AQ82">
        <v>0</v>
      </c>
      <c r="AR82">
        <v>0</v>
      </c>
      <c r="AS82">
        <v>7966.8</v>
      </c>
      <c r="AT82">
        <v>-796.68</v>
      </c>
      <c r="AU82">
        <v>0</v>
      </c>
      <c r="AW82">
        <v>0</v>
      </c>
      <c r="AX82">
        <v>0</v>
      </c>
      <c r="AY82">
        <v>11851.78</v>
      </c>
      <c r="BE82" t="str">
        <f>T("판타지 e북 &gt; 퓨전 판타지")</f>
        <v>판타지 e북 &gt; 퓨전 판타지</v>
      </c>
    </row>
    <row r="83" spans="1:57" x14ac:dyDescent="0.3">
      <c r="A83">
        <v>1525005640</v>
      </c>
      <c r="B83">
        <v>1525005645</v>
      </c>
      <c r="C83" t="str">
        <f>T("[e북]회귀의 전설 1부 6권")</f>
        <v>[e북]회귀의 전설 1부 6권</v>
      </c>
      <c r="D83" t="str">
        <f>T("6")</f>
        <v>6</v>
      </c>
      <c r="E83" t="str">
        <f t="shared" ref="E83:E88" si="14">T("김광수")</f>
        <v>김광수</v>
      </c>
      <c r="H83" t="str">
        <f t="shared" si="13"/>
        <v>스토리위즈</v>
      </c>
      <c r="I83" t="str">
        <f t="shared" ref="I83:I88" si="15">T("[e북]회귀의 전설")</f>
        <v>[e북]회귀의 전설</v>
      </c>
      <c r="J83">
        <v>3200</v>
      </c>
      <c r="K83">
        <v>12800</v>
      </c>
      <c r="L83">
        <v>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12800</v>
      </c>
      <c r="AH83">
        <v>4</v>
      </c>
      <c r="AI83">
        <v>0</v>
      </c>
      <c r="AJ83">
        <v>0</v>
      </c>
      <c r="AK83">
        <v>6400</v>
      </c>
      <c r="AL83">
        <v>0</v>
      </c>
      <c r="AM83">
        <v>7680</v>
      </c>
      <c r="AN83">
        <v>-2304</v>
      </c>
      <c r="AO83">
        <v>0</v>
      </c>
      <c r="AP83">
        <v>3840</v>
      </c>
      <c r="AQ83">
        <v>-1152</v>
      </c>
      <c r="AR83">
        <v>0</v>
      </c>
      <c r="AS83">
        <v>3840</v>
      </c>
      <c r="AT83">
        <v>-1152</v>
      </c>
      <c r="AU83">
        <v>0</v>
      </c>
      <c r="AW83">
        <v>0</v>
      </c>
      <c r="AX83">
        <v>0</v>
      </c>
      <c r="AY83">
        <v>8243.2000000000007</v>
      </c>
      <c r="BC83" t="str">
        <f>T("9791190937818")</f>
        <v>9791190937818</v>
      </c>
      <c r="BE83" t="str">
        <f t="shared" ref="BE83:BE88" si="16">T("판타지 e북 &gt; 현대 판타지")</f>
        <v>판타지 e북 &gt; 현대 판타지</v>
      </c>
    </row>
    <row r="84" spans="1:57" x14ac:dyDescent="0.3">
      <c r="A84">
        <v>1525005640</v>
      </c>
      <c r="B84">
        <v>1525013338</v>
      </c>
      <c r="C84" t="str">
        <f>T("[e북]회귀의 전설 3부 50권")</f>
        <v>[e북]회귀의 전설 3부 50권</v>
      </c>
      <c r="D84" t="str">
        <f>T("50")</f>
        <v>50</v>
      </c>
      <c r="E84" t="str">
        <f t="shared" si="14"/>
        <v>김광수</v>
      </c>
      <c r="H84" t="str">
        <f t="shared" si="13"/>
        <v>스토리위즈</v>
      </c>
      <c r="I84" t="str">
        <f t="shared" si="15"/>
        <v>[e북]회귀의 전설</v>
      </c>
      <c r="J84">
        <v>3200</v>
      </c>
      <c r="K84">
        <v>12800</v>
      </c>
      <c r="L84">
        <v>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12800</v>
      </c>
      <c r="AH84">
        <v>4</v>
      </c>
      <c r="AI84">
        <v>0</v>
      </c>
      <c r="AJ84">
        <v>0</v>
      </c>
      <c r="AK84">
        <v>3200</v>
      </c>
      <c r="AL84">
        <v>0</v>
      </c>
      <c r="AM84">
        <v>11520</v>
      </c>
      <c r="AN84">
        <v>-3456</v>
      </c>
      <c r="AO84">
        <v>0</v>
      </c>
      <c r="AP84">
        <v>3840</v>
      </c>
      <c r="AQ84">
        <v>-1152</v>
      </c>
      <c r="AR84">
        <v>0</v>
      </c>
      <c r="AS84">
        <v>7680</v>
      </c>
      <c r="AT84">
        <v>-2304</v>
      </c>
      <c r="AU84">
        <v>0</v>
      </c>
      <c r="AW84">
        <v>0</v>
      </c>
      <c r="AX84">
        <v>0</v>
      </c>
      <c r="AY84">
        <v>7884.8</v>
      </c>
      <c r="BA84" t="str">
        <f>T("0000000000000")</f>
        <v>0000000000000</v>
      </c>
      <c r="BC84" t="str">
        <f>T("9791166300868")</f>
        <v>9791166300868</v>
      </c>
      <c r="BE84" t="str">
        <f t="shared" si="16"/>
        <v>판타지 e북 &gt; 현대 판타지</v>
      </c>
    </row>
    <row r="85" spans="1:57" x14ac:dyDescent="0.3">
      <c r="A85">
        <v>1525005640</v>
      </c>
      <c r="B85">
        <v>1525005644</v>
      </c>
      <c r="C85" t="str">
        <f>T("[e북]회귀의 전설 1부 5권")</f>
        <v>[e북]회귀의 전설 1부 5권</v>
      </c>
      <c r="D85" t="str">
        <f>T("5")</f>
        <v>5</v>
      </c>
      <c r="E85" t="str">
        <f t="shared" si="14"/>
        <v>김광수</v>
      </c>
      <c r="H85" t="str">
        <f t="shared" si="13"/>
        <v>스토리위즈</v>
      </c>
      <c r="I85" t="str">
        <f t="shared" si="15"/>
        <v>[e북]회귀의 전설</v>
      </c>
      <c r="J85">
        <v>3200</v>
      </c>
      <c r="K85">
        <v>12800</v>
      </c>
      <c r="L85">
        <v>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12800</v>
      </c>
      <c r="AH85">
        <v>4</v>
      </c>
      <c r="AI85">
        <v>0</v>
      </c>
      <c r="AJ85">
        <v>0</v>
      </c>
      <c r="AK85">
        <v>6400</v>
      </c>
      <c r="AL85">
        <v>0</v>
      </c>
      <c r="AM85">
        <v>7680</v>
      </c>
      <c r="AN85">
        <v>-2304</v>
      </c>
      <c r="AO85">
        <v>0</v>
      </c>
      <c r="AP85">
        <v>3840</v>
      </c>
      <c r="AQ85">
        <v>-1152</v>
      </c>
      <c r="AR85">
        <v>0</v>
      </c>
      <c r="AS85">
        <v>3840</v>
      </c>
      <c r="AT85">
        <v>-1152</v>
      </c>
      <c r="AU85">
        <v>0</v>
      </c>
      <c r="AW85">
        <v>0</v>
      </c>
      <c r="AX85">
        <v>0</v>
      </c>
      <c r="AY85">
        <v>8243.2000000000007</v>
      </c>
      <c r="BC85" t="str">
        <f>T("9791190937801")</f>
        <v>9791190937801</v>
      </c>
      <c r="BE85" t="str">
        <f t="shared" si="16"/>
        <v>판타지 e북 &gt; 현대 판타지</v>
      </c>
    </row>
    <row r="86" spans="1:57" x14ac:dyDescent="0.3">
      <c r="A86">
        <v>1525005640</v>
      </c>
      <c r="B86">
        <v>1525013337</v>
      </c>
      <c r="C86" t="str">
        <f>T("[e북]회귀의 전설 3부 49권")</f>
        <v>[e북]회귀의 전설 3부 49권</v>
      </c>
      <c r="D86" t="str">
        <f>T("49")</f>
        <v>49</v>
      </c>
      <c r="E86" t="str">
        <f t="shared" si="14"/>
        <v>김광수</v>
      </c>
      <c r="H86" t="str">
        <f t="shared" si="13"/>
        <v>스토리위즈</v>
      </c>
      <c r="I86" t="str">
        <f t="shared" si="15"/>
        <v>[e북]회귀의 전설</v>
      </c>
      <c r="J86">
        <v>3200</v>
      </c>
      <c r="K86">
        <v>12800</v>
      </c>
      <c r="L86">
        <v>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12800</v>
      </c>
      <c r="AH86">
        <v>4</v>
      </c>
      <c r="AI86">
        <v>0</v>
      </c>
      <c r="AJ86">
        <v>0</v>
      </c>
      <c r="AK86">
        <v>3200</v>
      </c>
      <c r="AL86">
        <v>0</v>
      </c>
      <c r="AM86">
        <v>11520</v>
      </c>
      <c r="AN86">
        <v>-3456</v>
      </c>
      <c r="AO86">
        <v>0</v>
      </c>
      <c r="AP86">
        <v>3840</v>
      </c>
      <c r="AQ86">
        <v>-1152</v>
      </c>
      <c r="AR86">
        <v>0</v>
      </c>
      <c r="AS86">
        <v>7680</v>
      </c>
      <c r="AT86">
        <v>-2304</v>
      </c>
      <c r="AU86">
        <v>0</v>
      </c>
      <c r="AW86">
        <v>0</v>
      </c>
      <c r="AX86">
        <v>0</v>
      </c>
      <c r="AY86">
        <v>7884.8</v>
      </c>
      <c r="BA86" t="str">
        <f>T("0000000000000")</f>
        <v>0000000000000</v>
      </c>
      <c r="BC86" t="str">
        <f>T("9791166300851")</f>
        <v>9791166300851</v>
      </c>
      <c r="BE86" t="str">
        <f t="shared" si="16"/>
        <v>판타지 e북 &gt; 현대 판타지</v>
      </c>
    </row>
    <row r="87" spans="1:57" x14ac:dyDescent="0.3">
      <c r="A87">
        <v>1525005640</v>
      </c>
      <c r="B87">
        <v>1525005643</v>
      </c>
      <c r="C87" t="str">
        <f>T("[e북]회귀의 전설 1부 4권")</f>
        <v>[e북]회귀의 전설 1부 4권</v>
      </c>
      <c r="D87" t="str">
        <f>T("4")</f>
        <v>4</v>
      </c>
      <c r="E87" t="str">
        <f t="shared" si="14"/>
        <v>김광수</v>
      </c>
      <c r="H87" t="str">
        <f t="shared" si="13"/>
        <v>스토리위즈</v>
      </c>
      <c r="I87" t="str">
        <f t="shared" si="15"/>
        <v>[e북]회귀의 전설</v>
      </c>
      <c r="J87">
        <v>3200</v>
      </c>
      <c r="K87">
        <v>12800</v>
      </c>
      <c r="L87">
        <v>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12800</v>
      </c>
      <c r="AH87">
        <v>4</v>
      </c>
      <c r="AI87">
        <v>0</v>
      </c>
      <c r="AJ87">
        <v>0</v>
      </c>
      <c r="AK87">
        <v>6400</v>
      </c>
      <c r="AL87">
        <v>0</v>
      </c>
      <c r="AM87">
        <v>7680</v>
      </c>
      <c r="AN87">
        <v>-2304</v>
      </c>
      <c r="AO87">
        <v>0</v>
      </c>
      <c r="AP87">
        <v>3840</v>
      </c>
      <c r="AQ87">
        <v>-1152</v>
      </c>
      <c r="AR87">
        <v>0</v>
      </c>
      <c r="AS87">
        <v>3840</v>
      </c>
      <c r="AT87">
        <v>-1152</v>
      </c>
      <c r="AU87">
        <v>0</v>
      </c>
      <c r="AW87">
        <v>0</v>
      </c>
      <c r="AX87">
        <v>0</v>
      </c>
      <c r="AY87">
        <v>8243.2000000000007</v>
      </c>
      <c r="BC87" t="str">
        <f>T("9791190937795")</f>
        <v>9791190937795</v>
      </c>
      <c r="BE87" t="str">
        <f t="shared" si="16"/>
        <v>판타지 e북 &gt; 현대 판타지</v>
      </c>
    </row>
    <row r="88" spans="1:57" x14ac:dyDescent="0.3">
      <c r="A88">
        <v>1525005640</v>
      </c>
      <c r="B88">
        <v>1525013336</v>
      </c>
      <c r="C88" t="str">
        <f>T("[e북]회귀의 전설 3부 48권")</f>
        <v>[e북]회귀의 전설 3부 48권</v>
      </c>
      <c r="D88" t="str">
        <f>T("48")</f>
        <v>48</v>
      </c>
      <c r="E88" t="str">
        <f t="shared" si="14"/>
        <v>김광수</v>
      </c>
      <c r="H88" t="str">
        <f t="shared" si="13"/>
        <v>스토리위즈</v>
      </c>
      <c r="I88" t="str">
        <f t="shared" si="15"/>
        <v>[e북]회귀의 전설</v>
      </c>
      <c r="J88">
        <v>3200</v>
      </c>
      <c r="K88">
        <v>12800</v>
      </c>
      <c r="L88">
        <v>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12800</v>
      </c>
      <c r="AH88">
        <v>4</v>
      </c>
      <c r="AI88">
        <v>0</v>
      </c>
      <c r="AJ88">
        <v>0</v>
      </c>
      <c r="AK88">
        <v>3230</v>
      </c>
      <c r="AL88">
        <v>0</v>
      </c>
      <c r="AM88">
        <v>11484</v>
      </c>
      <c r="AN88">
        <v>-3445.2</v>
      </c>
      <c r="AO88">
        <v>0</v>
      </c>
      <c r="AP88">
        <v>3804</v>
      </c>
      <c r="AQ88">
        <v>-1141.2</v>
      </c>
      <c r="AR88">
        <v>0</v>
      </c>
      <c r="AS88">
        <v>7680</v>
      </c>
      <c r="AT88">
        <v>-2304</v>
      </c>
      <c r="AU88">
        <v>0</v>
      </c>
      <c r="AW88">
        <v>0</v>
      </c>
      <c r="AX88">
        <v>0</v>
      </c>
      <c r="AY88">
        <v>7888.16</v>
      </c>
      <c r="BA88" t="str">
        <f>T("0000000000000")</f>
        <v>0000000000000</v>
      </c>
      <c r="BC88" t="str">
        <f>T("9791166300844")</f>
        <v>9791166300844</v>
      </c>
      <c r="BE88" t="str">
        <f t="shared" si="16"/>
        <v>판타지 e북 &gt; 현대 판타지</v>
      </c>
    </row>
    <row r="89" spans="1:57" x14ac:dyDescent="0.3">
      <c r="A89">
        <v>1525000074</v>
      </c>
      <c r="B89">
        <v>1525000091</v>
      </c>
      <c r="C89" t="str">
        <f>T("[e북]소드 엠페러 17권 (완결)")</f>
        <v>[e북]소드 엠페러 17권 (완결)</v>
      </c>
      <c r="D89" t="str">
        <f>T("17")</f>
        <v>17</v>
      </c>
      <c r="E89" t="str">
        <f>T("김정률")</f>
        <v>김정률</v>
      </c>
      <c r="H89" t="str">
        <f t="shared" si="13"/>
        <v>스토리위즈</v>
      </c>
      <c r="I89" t="str">
        <f>T("[e북]소드 엠페러")</f>
        <v>[e북]소드 엠페러</v>
      </c>
      <c r="J89">
        <v>3200</v>
      </c>
      <c r="K89">
        <v>12800</v>
      </c>
      <c r="L89">
        <v>4</v>
      </c>
      <c r="M89">
        <v>0</v>
      </c>
      <c r="N89">
        <v>5400</v>
      </c>
      <c r="O89">
        <v>6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18200</v>
      </c>
      <c r="AH89">
        <v>10</v>
      </c>
      <c r="AI89">
        <v>0</v>
      </c>
      <c r="AJ89">
        <v>0</v>
      </c>
      <c r="AK89">
        <v>13862</v>
      </c>
      <c r="AL89">
        <v>0</v>
      </c>
      <c r="AM89">
        <v>5205.6000000000004</v>
      </c>
      <c r="AN89">
        <v>-736.56</v>
      </c>
      <c r="AO89">
        <v>0</v>
      </c>
      <c r="AP89">
        <v>1080</v>
      </c>
      <c r="AQ89">
        <v>-324</v>
      </c>
      <c r="AR89">
        <v>0</v>
      </c>
      <c r="AS89">
        <v>4125.6000000000004</v>
      </c>
      <c r="AT89">
        <v>-412.56</v>
      </c>
      <c r="AU89">
        <v>0</v>
      </c>
      <c r="AW89">
        <v>0</v>
      </c>
      <c r="AX89">
        <v>0</v>
      </c>
      <c r="AY89">
        <v>12831.73</v>
      </c>
      <c r="BE89" t="str">
        <f>T("판타지 e북 &gt; 퓨전 판타지")</f>
        <v>판타지 e북 &gt; 퓨전 판타지</v>
      </c>
    </row>
    <row r="90" spans="1:57" x14ac:dyDescent="0.3">
      <c r="A90">
        <v>1525000074</v>
      </c>
      <c r="B90">
        <v>1525000090</v>
      </c>
      <c r="C90" t="str">
        <f>T("[e북]소드 엠페러 16권")</f>
        <v>[e북]소드 엠페러 16권</v>
      </c>
      <c r="D90" t="str">
        <f>T("16")</f>
        <v>16</v>
      </c>
      <c r="E90" t="str">
        <f>T("김정률")</f>
        <v>김정률</v>
      </c>
      <c r="H90" t="str">
        <f t="shared" si="13"/>
        <v>스토리위즈</v>
      </c>
      <c r="I90" t="str">
        <f>T("[e북]소드 엠페러")</f>
        <v>[e북]소드 엠페러</v>
      </c>
      <c r="J90">
        <v>3200</v>
      </c>
      <c r="K90">
        <v>12800</v>
      </c>
      <c r="L90">
        <v>4</v>
      </c>
      <c r="M90">
        <v>0</v>
      </c>
      <c r="N90">
        <v>4500</v>
      </c>
      <c r="O90">
        <v>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17300</v>
      </c>
      <c r="AH90">
        <v>9</v>
      </c>
      <c r="AI90">
        <v>0</v>
      </c>
      <c r="AJ90">
        <v>0</v>
      </c>
      <c r="AK90">
        <v>13862</v>
      </c>
      <c r="AL90">
        <v>0</v>
      </c>
      <c r="AM90">
        <v>4125.6000000000004</v>
      </c>
      <c r="AN90">
        <v>-412.56</v>
      </c>
      <c r="AO90">
        <v>0</v>
      </c>
      <c r="AQ90">
        <v>0</v>
      </c>
      <c r="AR90">
        <v>0</v>
      </c>
      <c r="AS90">
        <v>4125.6000000000004</v>
      </c>
      <c r="AT90">
        <v>-412.56</v>
      </c>
      <c r="AU90">
        <v>0</v>
      </c>
      <c r="AW90">
        <v>0</v>
      </c>
      <c r="AX90">
        <v>0</v>
      </c>
      <c r="AY90">
        <v>12302.53</v>
      </c>
      <c r="BE90" t="str">
        <f>T("판타지 e북 &gt; 퓨전 판타지")</f>
        <v>판타지 e북 &gt; 퓨전 판타지</v>
      </c>
    </row>
    <row r="91" spans="1:57" x14ac:dyDescent="0.3">
      <c r="A91">
        <v>1525005640</v>
      </c>
      <c r="B91">
        <v>1525013334</v>
      </c>
      <c r="C91" t="str">
        <f>T("[e북]회귀의 전설 3부 46권")</f>
        <v>[e북]회귀의 전설 3부 46권</v>
      </c>
      <c r="D91" t="str">
        <f>T("46")</f>
        <v>46</v>
      </c>
      <c r="E91" t="str">
        <f>T("김광수")</f>
        <v>김광수</v>
      </c>
      <c r="H91" t="str">
        <f t="shared" si="13"/>
        <v>스토리위즈</v>
      </c>
      <c r="I91" t="str">
        <f>T("[e북]회귀의 전설")</f>
        <v>[e북]회귀의 전설</v>
      </c>
      <c r="J91">
        <v>3200</v>
      </c>
      <c r="K91">
        <v>12800</v>
      </c>
      <c r="L91">
        <v>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12800</v>
      </c>
      <c r="AH91">
        <v>4</v>
      </c>
      <c r="AI91">
        <v>0</v>
      </c>
      <c r="AJ91">
        <v>0</v>
      </c>
      <c r="AK91">
        <v>3200</v>
      </c>
      <c r="AL91">
        <v>0</v>
      </c>
      <c r="AM91">
        <v>11520</v>
      </c>
      <c r="AN91">
        <v>-3456</v>
      </c>
      <c r="AO91">
        <v>0</v>
      </c>
      <c r="AP91">
        <v>3840</v>
      </c>
      <c r="AQ91">
        <v>-1152</v>
      </c>
      <c r="AR91">
        <v>0</v>
      </c>
      <c r="AS91">
        <v>7680</v>
      </c>
      <c r="AT91">
        <v>-2304</v>
      </c>
      <c r="AU91">
        <v>0</v>
      </c>
      <c r="AW91">
        <v>0</v>
      </c>
      <c r="AX91">
        <v>0</v>
      </c>
      <c r="AY91">
        <v>7884.8</v>
      </c>
      <c r="BA91" t="str">
        <f>T("0000000000000")</f>
        <v>0000000000000</v>
      </c>
      <c r="BC91" t="str">
        <f>T("9791166300820")</f>
        <v>9791166300820</v>
      </c>
      <c r="BE91" t="str">
        <f>T("판타지 e북 &gt; 현대 판타지")</f>
        <v>판타지 e북 &gt; 현대 판타지</v>
      </c>
    </row>
    <row r="92" spans="1:57" x14ac:dyDescent="0.3">
      <c r="A92">
        <v>1525005640</v>
      </c>
      <c r="B92">
        <v>1525013333</v>
      </c>
      <c r="C92" t="str">
        <f>T("[e북]회귀의 전설 3부 45권")</f>
        <v>[e북]회귀의 전설 3부 45권</v>
      </c>
      <c r="D92" t="str">
        <f>T("45")</f>
        <v>45</v>
      </c>
      <c r="E92" t="str">
        <f>T("김광수")</f>
        <v>김광수</v>
      </c>
      <c r="H92" t="str">
        <f t="shared" si="13"/>
        <v>스토리위즈</v>
      </c>
      <c r="I92" t="str">
        <f>T("[e북]회귀의 전설")</f>
        <v>[e북]회귀의 전설</v>
      </c>
      <c r="J92">
        <v>3200</v>
      </c>
      <c r="K92">
        <v>12800</v>
      </c>
      <c r="L92">
        <v>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12800</v>
      </c>
      <c r="AH92">
        <v>4</v>
      </c>
      <c r="AI92">
        <v>0</v>
      </c>
      <c r="AJ92">
        <v>0</v>
      </c>
      <c r="AK92">
        <v>3200</v>
      </c>
      <c r="AL92">
        <v>0</v>
      </c>
      <c r="AM92">
        <v>11520</v>
      </c>
      <c r="AN92">
        <v>-3456</v>
      </c>
      <c r="AO92">
        <v>0</v>
      </c>
      <c r="AP92">
        <v>3840</v>
      </c>
      <c r="AQ92">
        <v>-1152</v>
      </c>
      <c r="AR92">
        <v>0</v>
      </c>
      <c r="AS92">
        <v>7680</v>
      </c>
      <c r="AT92">
        <v>-2304</v>
      </c>
      <c r="AU92">
        <v>0</v>
      </c>
      <c r="AW92">
        <v>0</v>
      </c>
      <c r="AX92">
        <v>0</v>
      </c>
      <c r="AY92">
        <v>7884.8</v>
      </c>
      <c r="BA92" t="str">
        <f>T("0000000000000")</f>
        <v>0000000000000</v>
      </c>
      <c r="BC92" t="str">
        <f>T("9791166300813")</f>
        <v>9791166300813</v>
      </c>
      <c r="BE92" t="str">
        <f>T("판타지 e북 &gt; 현대 판타지")</f>
        <v>판타지 e북 &gt; 현대 판타지</v>
      </c>
    </row>
    <row r="93" spans="1:57" x14ac:dyDescent="0.3">
      <c r="A93">
        <v>1525000074</v>
      </c>
      <c r="B93">
        <v>1525000089</v>
      </c>
      <c r="C93" t="str">
        <f>T("[e북]소드 엠페러 15권")</f>
        <v>[e북]소드 엠페러 15권</v>
      </c>
      <c r="D93" t="str">
        <f>T("15")</f>
        <v>15</v>
      </c>
      <c r="E93" t="str">
        <f>T("김정률")</f>
        <v>김정률</v>
      </c>
      <c r="H93" t="str">
        <f t="shared" si="13"/>
        <v>스토리위즈</v>
      </c>
      <c r="I93" t="str">
        <f>T("[e북]소드 엠페러")</f>
        <v>[e북]소드 엠페러</v>
      </c>
      <c r="J93">
        <v>3200</v>
      </c>
      <c r="K93">
        <v>12800</v>
      </c>
      <c r="L93">
        <v>4</v>
      </c>
      <c r="M93">
        <v>0</v>
      </c>
      <c r="N93">
        <v>4500</v>
      </c>
      <c r="O93">
        <v>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17300</v>
      </c>
      <c r="AH93">
        <v>9</v>
      </c>
      <c r="AI93">
        <v>0</v>
      </c>
      <c r="AJ93">
        <v>0</v>
      </c>
      <c r="AK93">
        <v>13861</v>
      </c>
      <c r="AL93">
        <v>0</v>
      </c>
      <c r="AM93">
        <v>4126.8</v>
      </c>
      <c r="AN93">
        <v>-412.68</v>
      </c>
      <c r="AO93">
        <v>0</v>
      </c>
      <c r="AQ93">
        <v>0</v>
      </c>
      <c r="AR93">
        <v>0</v>
      </c>
      <c r="AS93">
        <v>4126.8</v>
      </c>
      <c r="AT93">
        <v>-412.68</v>
      </c>
      <c r="AU93">
        <v>0</v>
      </c>
      <c r="AW93">
        <v>0</v>
      </c>
      <c r="AX93">
        <v>0</v>
      </c>
      <c r="AY93">
        <v>12302.58</v>
      </c>
      <c r="BE93" t="str">
        <f>T("판타지 e북 &gt; 퓨전 판타지")</f>
        <v>판타지 e북 &gt; 퓨전 판타지</v>
      </c>
    </row>
    <row r="94" spans="1:57" x14ac:dyDescent="0.3">
      <c r="A94">
        <v>1525000074</v>
      </c>
      <c r="B94">
        <v>1525000088</v>
      </c>
      <c r="C94" t="str">
        <f>T("[e북]소드 엠페러 14권")</f>
        <v>[e북]소드 엠페러 14권</v>
      </c>
      <c r="D94" t="str">
        <f>T("14")</f>
        <v>14</v>
      </c>
      <c r="E94" t="str">
        <f>T("김정률")</f>
        <v>김정률</v>
      </c>
      <c r="H94" t="str">
        <f t="shared" si="13"/>
        <v>스토리위즈</v>
      </c>
      <c r="I94" t="str">
        <f>T("[e북]소드 엠페러")</f>
        <v>[e북]소드 엠페러</v>
      </c>
      <c r="J94">
        <v>3200</v>
      </c>
      <c r="K94">
        <v>12800</v>
      </c>
      <c r="L94">
        <v>4</v>
      </c>
      <c r="M94">
        <v>0</v>
      </c>
      <c r="N94">
        <v>4500</v>
      </c>
      <c r="O94">
        <v>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17300</v>
      </c>
      <c r="AH94">
        <v>9</v>
      </c>
      <c r="AI94">
        <v>0</v>
      </c>
      <c r="AJ94">
        <v>0</v>
      </c>
      <c r="AK94">
        <v>13861</v>
      </c>
      <c r="AL94">
        <v>0</v>
      </c>
      <c r="AM94">
        <v>4126.8</v>
      </c>
      <c r="AN94">
        <v>-412.68</v>
      </c>
      <c r="AO94">
        <v>0</v>
      </c>
      <c r="AQ94">
        <v>0</v>
      </c>
      <c r="AR94">
        <v>0</v>
      </c>
      <c r="AS94">
        <v>4126.8</v>
      </c>
      <c r="AT94">
        <v>-412.68</v>
      </c>
      <c r="AU94">
        <v>0</v>
      </c>
      <c r="AW94">
        <v>0</v>
      </c>
      <c r="AX94">
        <v>0</v>
      </c>
      <c r="AY94">
        <v>12302.58</v>
      </c>
      <c r="BE94" t="str">
        <f>T("판타지 e북 &gt; 퓨전 판타지")</f>
        <v>판타지 e북 &gt; 퓨전 판타지</v>
      </c>
    </row>
    <row r="95" spans="1:57" x14ac:dyDescent="0.3">
      <c r="A95">
        <v>1525012774</v>
      </c>
      <c r="B95">
        <v>1525012778</v>
      </c>
      <c r="C95" t="str">
        <f>T("[e북]주먹 구십구 5권 (완결)")</f>
        <v>[e북]주먹 구십구 5권 (완결)</v>
      </c>
      <c r="D95" t="str">
        <f>T("5")</f>
        <v>5</v>
      </c>
      <c r="E95" t="str">
        <f>T("마연")</f>
        <v>마연</v>
      </c>
      <c r="H95" t="str">
        <f>T("블러쉬")</f>
        <v>블러쉬</v>
      </c>
      <c r="I95" t="str">
        <f>T("[e북]주먹 구십구")</f>
        <v>[e북]주먹 구십구</v>
      </c>
      <c r="J95">
        <v>3200</v>
      </c>
      <c r="K95">
        <v>12800</v>
      </c>
      <c r="L95">
        <v>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-3200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12800</v>
      </c>
      <c r="AH95">
        <v>4</v>
      </c>
      <c r="AI95">
        <v>-3200</v>
      </c>
      <c r="AJ95">
        <v>1</v>
      </c>
      <c r="AK95">
        <v>12800</v>
      </c>
      <c r="AL95">
        <v>-3200</v>
      </c>
      <c r="AM95">
        <v>0</v>
      </c>
      <c r="AN95">
        <v>0</v>
      </c>
      <c r="AO95">
        <v>0</v>
      </c>
      <c r="AQ95">
        <v>0</v>
      </c>
      <c r="AR95">
        <v>0</v>
      </c>
      <c r="AT95">
        <v>0</v>
      </c>
      <c r="AU95">
        <v>0</v>
      </c>
      <c r="AW95">
        <v>0</v>
      </c>
      <c r="AX95">
        <v>0</v>
      </c>
      <c r="AY95">
        <v>6720</v>
      </c>
      <c r="BA95" t="str">
        <f>T("0000000000000")</f>
        <v>0000000000000</v>
      </c>
      <c r="BC95" t="str">
        <f>T("9791166482687")</f>
        <v>9791166482687</v>
      </c>
      <c r="BE95" t="str">
        <f>T("BL 소설 e북 &gt; 현대물")</f>
        <v>BL 소설 e북 &gt; 현대물</v>
      </c>
    </row>
    <row r="96" spans="1:57" x14ac:dyDescent="0.3">
      <c r="A96">
        <v>1525005640</v>
      </c>
      <c r="B96">
        <v>1525005649</v>
      </c>
      <c r="C96" t="str">
        <f>T("[e북]회귀의 전설 1부 10권")</f>
        <v>[e북]회귀의 전설 1부 10권</v>
      </c>
      <c r="D96" t="str">
        <f>T("10")</f>
        <v>10</v>
      </c>
      <c r="E96" t="str">
        <f>T("김광수")</f>
        <v>김광수</v>
      </c>
      <c r="H96" t="str">
        <f>T("스토리위즈")</f>
        <v>스토리위즈</v>
      </c>
      <c r="I96" t="str">
        <f>T("[e북]회귀의 전설")</f>
        <v>[e북]회귀의 전설</v>
      </c>
      <c r="J96">
        <v>3200</v>
      </c>
      <c r="K96">
        <v>12800</v>
      </c>
      <c r="L96">
        <v>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12800</v>
      </c>
      <c r="AH96">
        <v>4</v>
      </c>
      <c r="AI96">
        <v>0</v>
      </c>
      <c r="AJ96">
        <v>0</v>
      </c>
      <c r="AK96">
        <v>6400</v>
      </c>
      <c r="AL96">
        <v>0</v>
      </c>
      <c r="AM96">
        <v>7680</v>
      </c>
      <c r="AN96">
        <v>-2304</v>
      </c>
      <c r="AO96">
        <v>0</v>
      </c>
      <c r="AP96">
        <v>3840</v>
      </c>
      <c r="AQ96">
        <v>-1152</v>
      </c>
      <c r="AR96">
        <v>0</v>
      </c>
      <c r="AS96">
        <v>3840</v>
      </c>
      <c r="AT96">
        <v>-1152</v>
      </c>
      <c r="AU96">
        <v>0</v>
      </c>
      <c r="AW96">
        <v>0</v>
      </c>
      <c r="AX96">
        <v>0</v>
      </c>
      <c r="AY96">
        <v>8243.2000000000007</v>
      </c>
      <c r="BC96" t="str">
        <f>T("9791190937856")</f>
        <v>9791190937856</v>
      </c>
      <c r="BE96" t="str">
        <f>T("판타지 e북 &gt; 현대 판타지")</f>
        <v>판타지 e북 &gt; 현대 판타지</v>
      </c>
    </row>
    <row r="97" spans="1:58" x14ac:dyDescent="0.3">
      <c r="A97">
        <v>1525000074</v>
      </c>
      <c r="B97">
        <v>1525000087</v>
      </c>
      <c r="C97" t="str">
        <f>T("[e북]소드 엠페러 13권")</f>
        <v>[e북]소드 엠페러 13권</v>
      </c>
      <c r="D97" t="str">
        <f>T("13")</f>
        <v>13</v>
      </c>
      <c r="E97" t="str">
        <f>T("김정률")</f>
        <v>김정률</v>
      </c>
      <c r="H97" t="str">
        <f>T("스토리위즈")</f>
        <v>스토리위즈</v>
      </c>
      <c r="I97" t="str">
        <f>T("[e북]소드 엠페러")</f>
        <v>[e북]소드 엠페러</v>
      </c>
      <c r="J97">
        <v>3200</v>
      </c>
      <c r="K97">
        <v>12800</v>
      </c>
      <c r="L97">
        <v>4</v>
      </c>
      <c r="M97">
        <v>0</v>
      </c>
      <c r="N97">
        <v>3600</v>
      </c>
      <c r="O97">
        <v>4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16400</v>
      </c>
      <c r="AH97">
        <v>8</v>
      </c>
      <c r="AI97">
        <v>0</v>
      </c>
      <c r="AJ97">
        <v>0</v>
      </c>
      <c r="AK97">
        <v>10020</v>
      </c>
      <c r="AL97">
        <v>0</v>
      </c>
      <c r="AM97">
        <v>7656</v>
      </c>
      <c r="AN97">
        <v>-765.6</v>
      </c>
      <c r="AO97">
        <v>0</v>
      </c>
      <c r="AQ97">
        <v>0</v>
      </c>
      <c r="AR97">
        <v>0</v>
      </c>
      <c r="AS97">
        <v>7656</v>
      </c>
      <c r="AT97">
        <v>-765.6</v>
      </c>
      <c r="AU97">
        <v>0</v>
      </c>
      <c r="AW97">
        <v>0</v>
      </c>
      <c r="AX97">
        <v>0</v>
      </c>
      <c r="AY97">
        <v>11837.28</v>
      </c>
      <c r="BE97" t="str">
        <f>T("판타지 e북 &gt; 퓨전 판타지")</f>
        <v>판타지 e북 &gt; 퓨전 판타지</v>
      </c>
    </row>
    <row r="98" spans="1:58" x14ac:dyDescent="0.3">
      <c r="A98">
        <v>1525005640</v>
      </c>
      <c r="B98">
        <v>1525005648</v>
      </c>
      <c r="C98" t="str">
        <f>T("[e북]회귀의 전설 1부 9권")</f>
        <v>[e북]회귀의 전설 1부 9권</v>
      </c>
      <c r="D98" t="str">
        <f>T("9")</f>
        <v>9</v>
      </c>
      <c r="E98" t="str">
        <f>T("김광수")</f>
        <v>김광수</v>
      </c>
      <c r="H98" t="str">
        <f>T("스토리위즈")</f>
        <v>스토리위즈</v>
      </c>
      <c r="I98" t="str">
        <f>T("[e북]회귀의 전설")</f>
        <v>[e북]회귀의 전설</v>
      </c>
      <c r="J98">
        <v>3200</v>
      </c>
      <c r="K98">
        <v>12800</v>
      </c>
      <c r="L98">
        <v>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12800</v>
      </c>
      <c r="AH98">
        <v>4</v>
      </c>
      <c r="AI98">
        <v>0</v>
      </c>
      <c r="AJ98">
        <v>0</v>
      </c>
      <c r="AK98">
        <v>6400</v>
      </c>
      <c r="AL98">
        <v>0</v>
      </c>
      <c r="AM98">
        <v>7680</v>
      </c>
      <c r="AN98">
        <v>-2304</v>
      </c>
      <c r="AO98">
        <v>0</v>
      </c>
      <c r="AP98">
        <v>3840</v>
      </c>
      <c r="AQ98">
        <v>-1152</v>
      </c>
      <c r="AR98">
        <v>0</v>
      </c>
      <c r="AS98">
        <v>3840</v>
      </c>
      <c r="AT98">
        <v>-1152</v>
      </c>
      <c r="AU98">
        <v>0</v>
      </c>
      <c r="AW98">
        <v>0</v>
      </c>
      <c r="AX98">
        <v>0</v>
      </c>
      <c r="AY98">
        <v>8243.2000000000007</v>
      </c>
      <c r="BC98" t="str">
        <f>T("9791190937849")</f>
        <v>9791190937849</v>
      </c>
      <c r="BE98" t="str">
        <f>T("판타지 e북 &gt; 현대 판타지")</f>
        <v>판타지 e북 &gt; 현대 판타지</v>
      </c>
    </row>
    <row r="99" spans="1:58" x14ac:dyDescent="0.3">
      <c r="A99">
        <v>1525000074</v>
      </c>
      <c r="B99">
        <v>1525000086</v>
      </c>
      <c r="C99" t="str">
        <f>T("[e북]소드 엠페러 12권")</f>
        <v>[e북]소드 엠페러 12권</v>
      </c>
      <c r="D99" t="str">
        <f>T("12")</f>
        <v>12</v>
      </c>
      <c r="E99" t="str">
        <f>T("김정률")</f>
        <v>김정률</v>
      </c>
      <c r="H99" t="str">
        <f>T("스토리위즈")</f>
        <v>스토리위즈</v>
      </c>
      <c r="I99" t="str">
        <f>T("[e북]소드 엠페러")</f>
        <v>[e북]소드 엠페러</v>
      </c>
      <c r="J99">
        <v>3200</v>
      </c>
      <c r="K99">
        <v>12800</v>
      </c>
      <c r="L99">
        <v>4</v>
      </c>
      <c r="M99">
        <v>0</v>
      </c>
      <c r="N99">
        <v>3600</v>
      </c>
      <c r="O99">
        <v>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16400</v>
      </c>
      <c r="AH99">
        <v>8</v>
      </c>
      <c r="AI99">
        <v>0</v>
      </c>
      <c r="AJ99">
        <v>0</v>
      </c>
      <c r="AK99">
        <v>10661</v>
      </c>
      <c r="AL99">
        <v>0</v>
      </c>
      <c r="AM99">
        <v>6886.8</v>
      </c>
      <c r="AN99">
        <v>-688.68</v>
      </c>
      <c r="AO99">
        <v>0</v>
      </c>
      <c r="AQ99">
        <v>0</v>
      </c>
      <c r="AR99">
        <v>0</v>
      </c>
      <c r="AS99">
        <v>6886.8</v>
      </c>
      <c r="AT99">
        <v>-688.68</v>
      </c>
      <c r="AU99">
        <v>0</v>
      </c>
      <c r="AW99">
        <v>0</v>
      </c>
      <c r="AX99">
        <v>0</v>
      </c>
      <c r="AY99">
        <v>11801.38</v>
      </c>
      <c r="BE99" t="str">
        <f>T("판타지 e북 &gt; 퓨전 판타지")</f>
        <v>판타지 e북 &gt; 퓨전 판타지</v>
      </c>
    </row>
    <row r="100" spans="1:58" x14ac:dyDescent="0.3">
      <c r="B100">
        <v>1525014000</v>
      </c>
      <c r="C100" t="str">
        <f>T("[e북]정략결혼")</f>
        <v>[e북]정략결혼</v>
      </c>
      <c r="E100" t="str">
        <f>T("수련")</f>
        <v>수련</v>
      </c>
      <c r="H100" t="str">
        <f>T("밀리오리지널")</f>
        <v>밀리오리지널</v>
      </c>
      <c r="J100">
        <v>2500</v>
      </c>
      <c r="K100">
        <v>12500</v>
      </c>
      <c r="L100">
        <v>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12500</v>
      </c>
      <c r="AH100">
        <v>5</v>
      </c>
      <c r="AI100">
        <v>0</v>
      </c>
      <c r="AJ100">
        <v>0</v>
      </c>
      <c r="AK100">
        <v>12500</v>
      </c>
      <c r="AL100">
        <v>0</v>
      </c>
      <c r="AM100">
        <v>0</v>
      </c>
      <c r="AN100">
        <v>0</v>
      </c>
      <c r="AO100">
        <v>0</v>
      </c>
      <c r="AQ100">
        <v>0</v>
      </c>
      <c r="AR100">
        <v>0</v>
      </c>
      <c r="AT100">
        <v>0</v>
      </c>
      <c r="AU100">
        <v>0</v>
      </c>
      <c r="AW100">
        <v>0</v>
      </c>
      <c r="AX100">
        <v>0</v>
      </c>
      <c r="AY100">
        <v>8750</v>
      </c>
      <c r="BC100" t="str">
        <f>T("9791191562231")</f>
        <v>9791191562231</v>
      </c>
      <c r="BE100" t="str">
        <f>T("로판 e북 &gt; 서양풍 로판")</f>
        <v>로판 e북 &gt; 서양풍 로판</v>
      </c>
    </row>
    <row r="101" spans="1:58" x14ac:dyDescent="0.3">
      <c r="B101">
        <v>1525014003</v>
      </c>
      <c r="C101" t="str">
        <f>T("[e북]집착 상사")</f>
        <v>[e북]집착 상사</v>
      </c>
      <c r="E101" t="str">
        <f>T("장현미")</f>
        <v>장현미</v>
      </c>
      <c r="H101" t="str">
        <f>T("밀리오리지널")</f>
        <v>밀리오리지널</v>
      </c>
      <c r="J101">
        <v>2000</v>
      </c>
      <c r="K101">
        <v>12000</v>
      </c>
      <c r="L101">
        <v>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12000</v>
      </c>
      <c r="AH101">
        <v>6</v>
      </c>
      <c r="AI101">
        <v>0</v>
      </c>
      <c r="AJ101">
        <v>0</v>
      </c>
      <c r="AK101">
        <v>12000</v>
      </c>
      <c r="AL101">
        <v>0</v>
      </c>
      <c r="AM101">
        <v>0</v>
      </c>
      <c r="AN101">
        <v>0</v>
      </c>
      <c r="AO101">
        <v>0</v>
      </c>
      <c r="AQ101">
        <v>0</v>
      </c>
      <c r="AR101">
        <v>0</v>
      </c>
      <c r="AT101">
        <v>0</v>
      </c>
      <c r="AU101">
        <v>0</v>
      </c>
      <c r="AW101">
        <v>0</v>
      </c>
      <c r="AX101">
        <v>0</v>
      </c>
      <c r="AY101">
        <v>8400</v>
      </c>
      <c r="BC101" t="str">
        <f>T("9791191562286")</f>
        <v>9791191562286</v>
      </c>
      <c r="BE101" t="str">
        <f>T("로맨스 e북 &gt; 현대물")</f>
        <v>로맨스 e북 &gt; 현대물</v>
      </c>
      <c r="BF101" t="str">
        <f>T("로맨스 e북 &gt; 19+")</f>
        <v>로맨스 e북 &gt; 19+</v>
      </c>
    </row>
    <row r="102" spans="1:58" x14ac:dyDescent="0.3">
      <c r="A102">
        <v>1525008201</v>
      </c>
      <c r="B102">
        <v>1525008202</v>
      </c>
      <c r="C102" t="str">
        <f>T("[e북]폭군의 공물 2권 (완결)")</f>
        <v>[e북]폭군의 공물 2권 (완결)</v>
      </c>
      <c r="D102" t="str">
        <f>T("2")</f>
        <v>2</v>
      </c>
      <c r="E102" t="str">
        <f>T("여러해살이풀")</f>
        <v>여러해살이풀</v>
      </c>
      <c r="H102" t="str">
        <f>T("블러쉬")</f>
        <v>블러쉬</v>
      </c>
      <c r="I102" t="str">
        <f>T("[e북]폭군의 공물")</f>
        <v>[e북]폭군의 공물</v>
      </c>
      <c r="J102">
        <v>3600</v>
      </c>
      <c r="K102">
        <v>10800</v>
      </c>
      <c r="L102">
        <v>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10800</v>
      </c>
      <c r="AH102">
        <v>3</v>
      </c>
      <c r="AI102">
        <v>0</v>
      </c>
      <c r="AJ102">
        <v>0</v>
      </c>
      <c r="AK102">
        <v>7200</v>
      </c>
      <c r="AL102">
        <v>0</v>
      </c>
      <c r="AM102">
        <v>4320</v>
      </c>
      <c r="AN102">
        <v>-432</v>
      </c>
      <c r="AO102">
        <v>0</v>
      </c>
      <c r="AQ102">
        <v>0</v>
      </c>
      <c r="AR102">
        <v>0</v>
      </c>
      <c r="AS102">
        <v>4320</v>
      </c>
      <c r="AT102">
        <v>-432</v>
      </c>
      <c r="AU102">
        <v>0</v>
      </c>
      <c r="AW102">
        <v>0</v>
      </c>
      <c r="AX102">
        <v>0</v>
      </c>
      <c r="AY102">
        <v>7761.6</v>
      </c>
      <c r="BA102" t="str">
        <f>T("0000000000000")</f>
        <v>0000000000000</v>
      </c>
      <c r="BC102" t="str">
        <f>T("9791190132145")</f>
        <v>9791190132145</v>
      </c>
      <c r="BE102" t="str">
        <f>T("BL 소설 e북 &gt; 역사/시대물")</f>
        <v>BL 소설 e북 &gt; 역사/시대물</v>
      </c>
    </row>
    <row r="103" spans="1:58" x14ac:dyDescent="0.3">
      <c r="B103">
        <v>1525013444</v>
      </c>
      <c r="C103" t="str">
        <f>T("[e북]황궁의 밤")</f>
        <v>[e북]황궁의 밤</v>
      </c>
      <c r="E103" t="str">
        <f>T("현진서")</f>
        <v>현진서</v>
      </c>
      <c r="H103" t="str">
        <f>T("밀리오리지널")</f>
        <v>밀리오리지널</v>
      </c>
      <c r="J103">
        <v>3500</v>
      </c>
      <c r="K103">
        <v>10500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10500</v>
      </c>
      <c r="AH103">
        <v>3</v>
      </c>
      <c r="AI103">
        <v>0</v>
      </c>
      <c r="AJ103">
        <v>0</v>
      </c>
      <c r="AK103">
        <v>7000</v>
      </c>
      <c r="AL103">
        <v>0</v>
      </c>
      <c r="AM103">
        <v>4200</v>
      </c>
      <c r="AN103">
        <v>-1260</v>
      </c>
      <c r="AO103">
        <v>0</v>
      </c>
      <c r="AP103">
        <v>4200</v>
      </c>
      <c r="AQ103">
        <v>-1260</v>
      </c>
      <c r="AR103">
        <v>0</v>
      </c>
      <c r="AT103">
        <v>0</v>
      </c>
      <c r="AU103">
        <v>0</v>
      </c>
      <c r="AW103">
        <v>0</v>
      </c>
      <c r="AX103">
        <v>0</v>
      </c>
      <c r="AY103">
        <v>6958</v>
      </c>
      <c r="BC103" t="str">
        <f>T("9791191562132")</f>
        <v>9791191562132</v>
      </c>
      <c r="BE103" t="str">
        <f>T("로맨스 e북 &gt; 역사/시대물")</f>
        <v>로맨스 e북 &gt; 역사/시대물</v>
      </c>
      <c r="BF103" t="str">
        <f>T("로맨스 e북 &gt; 19+")</f>
        <v>로맨스 e북 &gt; 19+</v>
      </c>
    </row>
    <row r="104" spans="1:58" x14ac:dyDescent="0.3">
      <c r="A104">
        <v>1525008114</v>
      </c>
      <c r="B104">
        <v>1525008115</v>
      </c>
      <c r="C104" t="str">
        <f>T("[e북]술탄 2권")</f>
        <v>[e북]술탄 2권</v>
      </c>
      <c r="D104" t="str">
        <f>T("2")</f>
        <v>2</v>
      </c>
      <c r="E104" t="str">
        <f>T("jooki")</f>
        <v>jooki</v>
      </c>
      <c r="H104" t="str">
        <f>T("블러쉬")</f>
        <v>블러쉬</v>
      </c>
      <c r="I104" t="str">
        <f>T("[e북]술탄")</f>
        <v>[e북]술탄</v>
      </c>
      <c r="J104">
        <v>3500</v>
      </c>
      <c r="K104">
        <v>10500</v>
      </c>
      <c r="L104">
        <v>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10500</v>
      </c>
      <c r="AH104">
        <v>3</v>
      </c>
      <c r="AI104">
        <v>0</v>
      </c>
      <c r="AJ104">
        <v>0</v>
      </c>
      <c r="AK104">
        <v>10500</v>
      </c>
      <c r="AL104">
        <v>0</v>
      </c>
      <c r="AM104">
        <v>0</v>
      </c>
      <c r="AN104">
        <v>0</v>
      </c>
      <c r="AO104">
        <v>0</v>
      </c>
      <c r="AQ104">
        <v>0</v>
      </c>
      <c r="AR104">
        <v>0</v>
      </c>
      <c r="AT104">
        <v>0</v>
      </c>
      <c r="AU104">
        <v>0</v>
      </c>
      <c r="AW104">
        <v>0</v>
      </c>
      <c r="AX104">
        <v>0</v>
      </c>
      <c r="AY104">
        <v>7350</v>
      </c>
      <c r="BA104" t="str">
        <f>T("0000000000000")</f>
        <v>0000000000000</v>
      </c>
      <c r="BC104" t="str">
        <f>T("9791190132541")</f>
        <v>9791190132541</v>
      </c>
      <c r="BE104" t="str">
        <f>T("BL 소설 e북 &gt; 역사/시대물")</f>
        <v>BL 소설 e북 &gt; 역사/시대물</v>
      </c>
    </row>
    <row r="105" spans="1:58" x14ac:dyDescent="0.3">
      <c r="A105">
        <v>1525008114</v>
      </c>
      <c r="B105">
        <v>1525008114</v>
      </c>
      <c r="C105" t="str">
        <f>T("[e북]술탄 1권")</f>
        <v>[e북]술탄 1권</v>
      </c>
      <c r="D105" t="str">
        <f>T("1")</f>
        <v>1</v>
      </c>
      <c r="E105" t="str">
        <f>T("jooki")</f>
        <v>jooki</v>
      </c>
      <c r="H105" t="str">
        <f>T("블러쉬")</f>
        <v>블러쉬</v>
      </c>
      <c r="I105" t="str">
        <f>T("[e북]술탄")</f>
        <v>[e북]술탄</v>
      </c>
      <c r="J105">
        <v>3500</v>
      </c>
      <c r="K105">
        <v>10500</v>
      </c>
      <c r="L105">
        <v>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10500</v>
      </c>
      <c r="AH105">
        <v>3</v>
      </c>
      <c r="AI105">
        <v>0</v>
      </c>
      <c r="AJ105">
        <v>0</v>
      </c>
      <c r="AK105">
        <v>10500</v>
      </c>
      <c r="AL105">
        <v>0</v>
      </c>
      <c r="AM105">
        <v>0</v>
      </c>
      <c r="AN105">
        <v>0</v>
      </c>
      <c r="AO105">
        <v>0</v>
      </c>
      <c r="AQ105">
        <v>0</v>
      </c>
      <c r="AR105">
        <v>0</v>
      </c>
      <c r="AT105">
        <v>0</v>
      </c>
      <c r="AU105">
        <v>0</v>
      </c>
      <c r="AW105">
        <v>0</v>
      </c>
      <c r="AX105">
        <v>0</v>
      </c>
      <c r="AY105">
        <v>7350</v>
      </c>
      <c r="BA105" t="str">
        <f>T("0000000000000")</f>
        <v>0000000000000</v>
      </c>
      <c r="BC105" t="str">
        <f>T("9791190132534")</f>
        <v>9791190132534</v>
      </c>
      <c r="BE105" t="str">
        <f>T("BL 소설 e북 &gt; 역사/시대물")</f>
        <v>BL 소설 e북 &gt; 역사/시대물</v>
      </c>
    </row>
    <row r="106" spans="1:58" x14ac:dyDescent="0.3">
      <c r="B106">
        <v>1525003504</v>
      </c>
      <c r="C106" t="str">
        <f>T("악어사냥")</f>
        <v>악어사냥</v>
      </c>
      <c r="E106" t="str">
        <f>T("손영목")</f>
        <v>손영목</v>
      </c>
      <c r="H106" t="str">
        <f>T("주식회사 스토리위즈")</f>
        <v>주식회사 스토리위즈</v>
      </c>
      <c r="J106">
        <v>10000</v>
      </c>
      <c r="K106">
        <v>10000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10000</v>
      </c>
      <c r="AH106">
        <v>1</v>
      </c>
      <c r="AI106">
        <v>0</v>
      </c>
      <c r="AJ106">
        <v>0</v>
      </c>
      <c r="AK106">
        <v>10000</v>
      </c>
      <c r="AL106">
        <v>0</v>
      </c>
      <c r="AM106">
        <v>0</v>
      </c>
      <c r="AN106">
        <v>0</v>
      </c>
      <c r="AO106">
        <v>0</v>
      </c>
      <c r="AQ106">
        <v>0</v>
      </c>
      <c r="AR106">
        <v>0</v>
      </c>
      <c r="AT106">
        <v>0</v>
      </c>
      <c r="AU106">
        <v>0</v>
      </c>
      <c r="AW106">
        <v>0</v>
      </c>
      <c r="AX106">
        <v>0</v>
      </c>
      <c r="AY106">
        <v>7000</v>
      </c>
      <c r="BA106" t="str">
        <f>T("0000000000000")</f>
        <v>0000000000000</v>
      </c>
      <c r="BC106" t="str">
        <f>T("9791159283697")</f>
        <v>9791159283697</v>
      </c>
      <c r="BE106" t="str">
        <f>T("소설 &gt; 한국소설")</f>
        <v>소설 &gt; 한국소설</v>
      </c>
    </row>
    <row r="107" spans="1:58" x14ac:dyDescent="0.3">
      <c r="B107">
        <v>1525015115</v>
      </c>
      <c r="C107" t="str">
        <f>T("[e북]눈부시게 아찔한")</f>
        <v>[e북]눈부시게 아찔한</v>
      </c>
      <c r="E107" t="str">
        <f>T("적랑")</f>
        <v>적랑</v>
      </c>
      <c r="H107" t="str">
        <f>T("밀리오리지널")</f>
        <v>밀리오리지널</v>
      </c>
      <c r="J107">
        <v>2500</v>
      </c>
      <c r="K107">
        <v>10000</v>
      </c>
      <c r="L107">
        <v>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10000</v>
      </c>
      <c r="AH107">
        <v>4</v>
      </c>
      <c r="AI107">
        <v>0</v>
      </c>
      <c r="AJ107">
        <v>0</v>
      </c>
      <c r="AK107">
        <v>10000</v>
      </c>
      <c r="AL107">
        <v>0</v>
      </c>
      <c r="AM107">
        <v>0</v>
      </c>
      <c r="AN107">
        <v>0</v>
      </c>
      <c r="AO107">
        <v>0</v>
      </c>
      <c r="AQ107">
        <v>0</v>
      </c>
      <c r="AR107">
        <v>0</v>
      </c>
      <c r="AT107">
        <v>0</v>
      </c>
      <c r="AU107">
        <v>0</v>
      </c>
      <c r="AW107">
        <v>0</v>
      </c>
      <c r="AX107">
        <v>0</v>
      </c>
      <c r="AY107">
        <v>7000</v>
      </c>
      <c r="BC107" t="str">
        <f>T("9791191562927")</f>
        <v>9791191562927</v>
      </c>
      <c r="BE107" t="str">
        <f>T("로맨스 e북 &gt; 현대물")</f>
        <v>로맨스 e북 &gt; 현대물</v>
      </c>
      <c r="BF107" t="str">
        <f>T("로맨스 e북 &gt; 19+")</f>
        <v>로맨스 e북 &gt; 19+</v>
      </c>
    </row>
    <row r="108" spans="1:58" x14ac:dyDescent="0.3">
      <c r="B108">
        <v>1525015113</v>
      </c>
      <c r="C108" t="str">
        <f>T("[e북]진령군 도망기")</f>
        <v>[e북]진령군 도망기</v>
      </c>
      <c r="E108" t="str">
        <f>T("정은숙")</f>
        <v>정은숙</v>
      </c>
      <c r="H108" t="str">
        <f>T("밀리오리지널")</f>
        <v>밀리오리지널</v>
      </c>
      <c r="J108">
        <v>2000</v>
      </c>
      <c r="K108">
        <v>10000</v>
      </c>
      <c r="L108">
        <v>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10000</v>
      </c>
      <c r="AH108">
        <v>5</v>
      </c>
      <c r="AI108">
        <v>0</v>
      </c>
      <c r="AJ108">
        <v>0</v>
      </c>
      <c r="AK108">
        <v>10000</v>
      </c>
      <c r="AL108">
        <v>0</v>
      </c>
      <c r="AM108">
        <v>0</v>
      </c>
      <c r="AN108">
        <v>0</v>
      </c>
      <c r="AO108">
        <v>0</v>
      </c>
      <c r="AQ108">
        <v>0</v>
      </c>
      <c r="AR108">
        <v>0</v>
      </c>
      <c r="AT108">
        <v>0</v>
      </c>
      <c r="AU108">
        <v>0</v>
      </c>
      <c r="AW108">
        <v>0</v>
      </c>
      <c r="AX108">
        <v>0</v>
      </c>
      <c r="AY108">
        <v>7000</v>
      </c>
      <c r="BC108" t="str">
        <f>T("9791191562897")</f>
        <v>9791191562897</v>
      </c>
      <c r="BE108" t="str">
        <f>T("로맨스 e북 &gt; 역사/시대물")</f>
        <v>로맨스 e북 &gt; 역사/시대물</v>
      </c>
      <c r="BF108" t="str">
        <f>T("로맨스 e북 &gt; 19+")</f>
        <v>로맨스 e북 &gt; 19+</v>
      </c>
    </row>
    <row r="109" spans="1:58" x14ac:dyDescent="0.3">
      <c r="A109">
        <v>1525012518</v>
      </c>
      <c r="B109">
        <v>1525012518</v>
      </c>
      <c r="C109" t="str">
        <f>T("[e북]홍염의 덫 1권")</f>
        <v>[e북]홍염의 덫 1권</v>
      </c>
      <c r="D109" t="str">
        <f>T("1")</f>
        <v>1</v>
      </c>
      <c r="E109" t="str">
        <f>T("무슈슈")</f>
        <v>무슈슈</v>
      </c>
      <c r="H109" t="str">
        <f>T("블러쉬")</f>
        <v>블러쉬</v>
      </c>
      <c r="I109" t="str">
        <f>T("[e북]홍염의 덫")</f>
        <v>[e북]홍염의 덫</v>
      </c>
      <c r="J109">
        <v>3300</v>
      </c>
      <c r="K109">
        <v>9900</v>
      </c>
      <c r="L109">
        <v>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9900</v>
      </c>
      <c r="AH109">
        <v>3</v>
      </c>
      <c r="AI109">
        <v>0</v>
      </c>
      <c r="AJ109">
        <v>0</v>
      </c>
      <c r="AK109">
        <v>9889</v>
      </c>
      <c r="AL109">
        <v>0</v>
      </c>
      <c r="AM109">
        <v>13.2</v>
      </c>
      <c r="AN109">
        <v>-1.32</v>
      </c>
      <c r="AO109">
        <v>0</v>
      </c>
      <c r="AQ109">
        <v>0</v>
      </c>
      <c r="AR109">
        <v>0</v>
      </c>
      <c r="AS109">
        <v>13.2</v>
      </c>
      <c r="AT109">
        <v>-1.32</v>
      </c>
      <c r="AU109">
        <v>0</v>
      </c>
      <c r="AW109">
        <v>0</v>
      </c>
      <c r="AX109">
        <v>0</v>
      </c>
      <c r="AY109">
        <v>6930.62</v>
      </c>
      <c r="BC109" t="str">
        <f>T("9791166482106")</f>
        <v>9791166482106</v>
      </c>
      <c r="BE109" t="str">
        <f>T("BL 소설 e북 &gt; 역사/시대물")</f>
        <v>BL 소설 e북 &gt; 역사/시대물</v>
      </c>
    </row>
    <row r="110" spans="1:58" x14ac:dyDescent="0.3">
      <c r="B110">
        <v>1525014427</v>
      </c>
      <c r="C110" t="str">
        <f>T("[e북]밤이 오는 소리")</f>
        <v>[e북]밤이 오는 소리</v>
      </c>
      <c r="E110" t="str">
        <f>T("마뇽")</f>
        <v>마뇽</v>
      </c>
      <c r="H110" t="str">
        <f>T("밀리오리지널")</f>
        <v>밀리오리지널</v>
      </c>
      <c r="J110">
        <v>2000</v>
      </c>
      <c r="K110">
        <v>9800</v>
      </c>
      <c r="L110">
        <v>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9800</v>
      </c>
      <c r="AH110">
        <v>5</v>
      </c>
      <c r="AI110">
        <v>0</v>
      </c>
      <c r="AJ110">
        <v>0</v>
      </c>
      <c r="AK110">
        <v>7800</v>
      </c>
      <c r="AL110">
        <v>0</v>
      </c>
      <c r="AM110">
        <v>2400</v>
      </c>
      <c r="AN110">
        <v>-240</v>
      </c>
      <c r="AO110">
        <v>0</v>
      </c>
      <c r="AQ110">
        <v>0</v>
      </c>
      <c r="AR110">
        <v>0</v>
      </c>
      <c r="AS110">
        <v>2400</v>
      </c>
      <c r="AT110">
        <v>-240</v>
      </c>
      <c r="AU110">
        <v>0</v>
      </c>
      <c r="AW110">
        <v>0</v>
      </c>
      <c r="AX110">
        <v>0</v>
      </c>
      <c r="AY110">
        <v>6972</v>
      </c>
      <c r="BC110" t="str">
        <f>T("9791191562538")</f>
        <v>9791191562538</v>
      </c>
      <c r="BE110" t="str">
        <f>T("로판 e북 &gt; 가상 세계 로판")</f>
        <v>로판 e북 &gt; 가상 세계 로판</v>
      </c>
    </row>
    <row r="111" spans="1:58" x14ac:dyDescent="0.3">
      <c r="A111">
        <v>1525005640</v>
      </c>
      <c r="B111">
        <v>1525007215</v>
      </c>
      <c r="C111" t="str">
        <f>T("[e북]회귀의 전설 2부 36권")</f>
        <v>[e북]회귀의 전설 2부 36권</v>
      </c>
      <c r="D111" t="str">
        <f>T("36")</f>
        <v>36</v>
      </c>
      <c r="E111" t="str">
        <f>T("김광수")</f>
        <v>김광수</v>
      </c>
      <c r="H111" t="str">
        <f t="shared" ref="H111:H127" si="17">T("스토리위즈")</f>
        <v>스토리위즈</v>
      </c>
      <c r="I111" t="str">
        <f>T("[e북]회귀의 전설")</f>
        <v>[e북]회귀의 전설</v>
      </c>
      <c r="J111">
        <v>3200</v>
      </c>
      <c r="K111">
        <v>9600</v>
      </c>
      <c r="L111">
        <v>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9600</v>
      </c>
      <c r="AH111">
        <v>3</v>
      </c>
      <c r="AI111">
        <v>0</v>
      </c>
      <c r="AJ111">
        <v>0</v>
      </c>
      <c r="AK111">
        <v>3200</v>
      </c>
      <c r="AL111">
        <v>0</v>
      </c>
      <c r="AM111">
        <v>7680</v>
      </c>
      <c r="AN111">
        <v>-1536</v>
      </c>
      <c r="AO111">
        <v>0</v>
      </c>
      <c r="AQ111">
        <v>0</v>
      </c>
      <c r="AR111">
        <v>0</v>
      </c>
      <c r="AS111">
        <v>7680</v>
      </c>
      <c r="AT111">
        <v>-1536</v>
      </c>
      <c r="AU111">
        <v>0</v>
      </c>
      <c r="AW111">
        <v>0</v>
      </c>
      <c r="AX111">
        <v>0</v>
      </c>
      <c r="AY111">
        <v>6540.8</v>
      </c>
      <c r="BC111" t="str">
        <f>T("9791166300608")</f>
        <v>9791166300608</v>
      </c>
      <c r="BE111" t="str">
        <f>T("판타지 e북 &gt; 현대 판타지")</f>
        <v>판타지 e북 &gt; 현대 판타지</v>
      </c>
    </row>
    <row r="112" spans="1:58" x14ac:dyDescent="0.3">
      <c r="A112">
        <v>1525005640</v>
      </c>
      <c r="B112">
        <v>1525007214</v>
      </c>
      <c r="C112" t="str">
        <f>T("[e북]회귀의 전설 2부 35권")</f>
        <v>[e북]회귀의 전설 2부 35권</v>
      </c>
      <c r="D112" t="str">
        <f>T("35")</f>
        <v>35</v>
      </c>
      <c r="E112" t="str">
        <f>T("김광수")</f>
        <v>김광수</v>
      </c>
      <c r="H112" t="str">
        <f t="shared" si="17"/>
        <v>스토리위즈</v>
      </c>
      <c r="I112" t="str">
        <f>T("[e북]회귀의 전설")</f>
        <v>[e북]회귀의 전설</v>
      </c>
      <c r="J112">
        <v>3200</v>
      </c>
      <c r="K112">
        <v>9600</v>
      </c>
      <c r="L112">
        <v>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9600</v>
      </c>
      <c r="AH112">
        <v>3</v>
      </c>
      <c r="AI112">
        <v>0</v>
      </c>
      <c r="AJ112">
        <v>0</v>
      </c>
      <c r="AK112">
        <v>3200</v>
      </c>
      <c r="AL112">
        <v>0</v>
      </c>
      <c r="AM112">
        <v>7680</v>
      </c>
      <c r="AN112">
        <v>-1536</v>
      </c>
      <c r="AO112">
        <v>0</v>
      </c>
      <c r="AQ112">
        <v>0</v>
      </c>
      <c r="AR112">
        <v>0</v>
      </c>
      <c r="AS112">
        <v>7680</v>
      </c>
      <c r="AT112">
        <v>-1536</v>
      </c>
      <c r="AU112">
        <v>0</v>
      </c>
      <c r="AW112">
        <v>0</v>
      </c>
      <c r="AX112">
        <v>0</v>
      </c>
      <c r="AY112">
        <v>6540.8</v>
      </c>
      <c r="BC112" t="str">
        <f>T("9791166300592")</f>
        <v>9791166300592</v>
      </c>
      <c r="BE112" t="str">
        <f>T("판타지 e북 &gt; 현대 판타지")</f>
        <v>판타지 e북 &gt; 현대 판타지</v>
      </c>
    </row>
    <row r="113" spans="1:57" x14ac:dyDescent="0.3">
      <c r="A113">
        <v>1525005640</v>
      </c>
      <c r="B113">
        <v>1525007222</v>
      </c>
      <c r="C113" t="str">
        <f>T("[e북]회귀의 전설 2부 43권 (2부 완결)")</f>
        <v>[e북]회귀의 전설 2부 43권 (2부 완결)</v>
      </c>
      <c r="D113" t="str">
        <f>T("43")</f>
        <v>43</v>
      </c>
      <c r="E113" t="str">
        <f>T("김광수")</f>
        <v>김광수</v>
      </c>
      <c r="H113" t="str">
        <f t="shared" si="17"/>
        <v>스토리위즈</v>
      </c>
      <c r="I113" t="str">
        <f>T("[e북]회귀의 전설")</f>
        <v>[e북]회귀의 전설</v>
      </c>
      <c r="J113">
        <v>3200</v>
      </c>
      <c r="K113">
        <v>9600</v>
      </c>
      <c r="L113">
        <v>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9600</v>
      </c>
      <c r="AH113">
        <v>3</v>
      </c>
      <c r="AI113">
        <v>0</v>
      </c>
      <c r="AJ113">
        <v>0</v>
      </c>
      <c r="AK113">
        <v>3200</v>
      </c>
      <c r="AL113">
        <v>0</v>
      </c>
      <c r="AM113">
        <v>7680</v>
      </c>
      <c r="AN113">
        <v>-2304</v>
      </c>
      <c r="AO113">
        <v>0</v>
      </c>
      <c r="AP113">
        <v>3840</v>
      </c>
      <c r="AQ113">
        <v>-1152</v>
      </c>
      <c r="AR113">
        <v>0</v>
      </c>
      <c r="AS113">
        <v>3840</v>
      </c>
      <c r="AT113">
        <v>-1152</v>
      </c>
      <c r="AU113">
        <v>0</v>
      </c>
      <c r="AW113">
        <v>0</v>
      </c>
      <c r="AX113">
        <v>0</v>
      </c>
      <c r="AY113">
        <v>6003.2</v>
      </c>
      <c r="BC113" t="str">
        <f>T("9791166300691")</f>
        <v>9791166300691</v>
      </c>
      <c r="BE113" t="str">
        <f>T("판타지 e북 &gt; 현대 판타지")</f>
        <v>판타지 e북 &gt; 현대 판타지</v>
      </c>
    </row>
    <row r="114" spans="1:57" x14ac:dyDescent="0.3">
      <c r="A114">
        <v>1525005640</v>
      </c>
      <c r="B114">
        <v>1525007221</v>
      </c>
      <c r="C114" t="str">
        <f>T("[e북]회귀의 전설 2부 42권")</f>
        <v>[e북]회귀의 전설 2부 42권</v>
      </c>
      <c r="D114" t="str">
        <f>T("42")</f>
        <v>42</v>
      </c>
      <c r="E114" t="str">
        <f>T("김광수")</f>
        <v>김광수</v>
      </c>
      <c r="H114" t="str">
        <f t="shared" si="17"/>
        <v>스토리위즈</v>
      </c>
      <c r="I114" t="str">
        <f>T("[e북]회귀의 전설")</f>
        <v>[e북]회귀의 전설</v>
      </c>
      <c r="J114">
        <v>3200</v>
      </c>
      <c r="K114">
        <v>9600</v>
      </c>
      <c r="L114">
        <v>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9600</v>
      </c>
      <c r="AH114">
        <v>3</v>
      </c>
      <c r="AI114">
        <v>0</v>
      </c>
      <c r="AJ114">
        <v>0</v>
      </c>
      <c r="AK114">
        <v>3200</v>
      </c>
      <c r="AL114">
        <v>0</v>
      </c>
      <c r="AM114">
        <v>7680</v>
      </c>
      <c r="AN114">
        <v>-2304</v>
      </c>
      <c r="AO114">
        <v>0</v>
      </c>
      <c r="AP114">
        <v>3840</v>
      </c>
      <c r="AQ114">
        <v>-1152</v>
      </c>
      <c r="AR114">
        <v>0</v>
      </c>
      <c r="AS114">
        <v>3840</v>
      </c>
      <c r="AT114">
        <v>-1152</v>
      </c>
      <c r="AU114">
        <v>0</v>
      </c>
      <c r="AW114">
        <v>0</v>
      </c>
      <c r="AX114">
        <v>0</v>
      </c>
      <c r="AY114">
        <v>6003.2</v>
      </c>
      <c r="BC114" t="str">
        <f>T("9791166300653")</f>
        <v>9791166300653</v>
      </c>
      <c r="BE114" t="str">
        <f>T("판타지 e북 &gt; 현대 판타지")</f>
        <v>판타지 e북 &gt; 현대 판타지</v>
      </c>
    </row>
    <row r="115" spans="1:57" x14ac:dyDescent="0.3">
      <c r="A115">
        <v>1525005640</v>
      </c>
      <c r="B115">
        <v>1525007220</v>
      </c>
      <c r="C115" t="str">
        <f>T("[e북]회귀의 전설 2부 41권")</f>
        <v>[e북]회귀의 전설 2부 41권</v>
      </c>
      <c r="D115" t="str">
        <f>T("41")</f>
        <v>41</v>
      </c>
      <c r="E115" t="str">
        <f>T("김광수")</f>
        <v>김광수</v>
      </c>
      <c r="H115" t="str">
        <f t="shared" si="17"/>
        <v>스토리위즈</v>
      </c>
      <c r="I115" t="str">
        <f>T("[e북]회귀의 전설")</f>
        <v>[e북]회귀의 전설</v>
      </c>
      <c r="J115">
        <v>3200</v>
      </c>
      <c r="K115">
        <v>9600</v>
      </c>
      <c r="L115">
        <v>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9600</v>
      </c>
      <c r="AH115">
        <v>3</v>
      </c>
      <c r="AI115">
        <v>0</v>
      </c>
      <c r="AJ115">
        <v>0</v>
      </c>
      <c r="AK115">
        <v>3200</v>
      </c>
      <c r="AL115">
        <v>0</v>
      </c>
      <c r="AM115">
        <v>7680</v>
      </c>
      <c r="AN115">
        <v>-1536</v>
      </c>
      <c r="AO115">
        <v>0</v>
      </c>
      <c r="AQ115">
        <v>0</v>
      </c>
      <c r="AR115">
        <v>0</v>
      </c>
      <c r="AS115">
        <v>7680</v>
      </c>
      <c r="AT115">
        <v>-1536</v>
      </c>
      <c r="AU115">
        <v>0</v>
      </c>
      <c r="AW115">
        <v>0</v>
      </c>
      <c r="AX115">
        <v>0</v>
      </c>
      <c r="AY115">
        <v>6540.8</v>
      </c>
      <c r="BC115" t="str">
        <f>T("9791166300660")</f>
        <v>9791166300660</v>
      </c>
      <c r="BE115" t="str">
        <f>T("판타지 e북 &gt; 현대 판타지")</f>
        <v>판타지 e북 &gt; 현대 판타지</v>
      </c>
    </row>
    <row r="116" spans="1:57" x14ac:dyDescent="0.3">
      <c r="A116">
        <v>1525000107</v>
      </c>
      <c r="B116">
        <v>1525000112</v>
      </c>
      <c r="C116" t="str">
        <f>T("[e북]데이몬 6권 (완결)")</f>
        <v>[e북]데이몬 6권 (완결)</v>
      </c>
      <c r="D116" t="str">
        <f>T("6")</f>
        <v>6</v>
      </c>
      <c r="E116" t="str">
        <f>T("김정률")</f>
        <v>김정률</v>
      </c>
      <c r="H116" t="str">
        <f t="shared" si="17"/>
        <v>스토리위즈</v>
      </c>
      <c r="I116" t="str">
        <f>T("[e북]데이몬")</f>
        <v>[e북]데이몬</v>
      </c>
      <c r="J116">
        <v>3200</v>
      </c>
      <c r="K116">
        <v>9600</v>
      </c>
      <c r="L116">
        <v>3</v>
      </c>
      <c r="M116">
        <v>0</v>
      </c>
      <c r="N116">
        <v>9900</v>
      </c>
      <c r="O116">
        <v>11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19500</v>
      </c>
      <c r="AH116">
        <v>14</v>
      </c>
      <c r="AI116">
        <v>0</v>
      </c>
      <c r="AJ116">
        <v>0</v>
      </c>
      <c r="AK116">
        <v>10400</v>
      </c>
      <c r="AL116">
        <v>0</v>
      </c>
      <c r="AM116">
        <v>10920</v>
      </c>
      <c r="AN116">
        <v>-1740</v>
      </c>
      <c r="AO116">
        <v>0</v>
      </c>
      <c r="AP116">
        <v>2160</v>
      </c>
      <c r="AQ116">
        <v>-648</v>
      </c>
      <c r="AR116">
        <v>0</v>
      </c>
      <c r="AS116">
        <v>8760</v>
      </c>
      <c r="AT116">
        <v>-1092</v>
      </c>
      <c r="AU116">
        <v>0</v>
      </c>
      <c r="AW116">
        <v>0</v>
      </c>
      <c r="AX116">
        <v>0</v>
      </c>
      <c r="AY116">
        <v>13706</v>
      </c>
      <c r="BA116" t="str">
        <f>T("0000000000000")</f>
        <v>0000000000000</v>
      </c>
      <c r="BC116" t="str">
        <f>T("9791166062056")</f>
        <v>9791166062056</v>
      </c>
      <c r="BE116" t="str">
        <f>T("판타지 e북 &gt; 퓨전 판타지")</f>
        <v>판타지 e북 &gt; 퓨전 판타지</v>
      </c>
    </row>
    <row r="117" spans="1:57" x14ac:dyDescent="0.3">
      <c r="A117">
        <v>1525005640</v>
      </c>
      <c r="B117">
        <v>1525007219</v>
      </c>
      <c r="C117" t="str">
        <f>T("[e북]회귀의 전설 2부 40권")</f>
        <v>[e북]회귀의 전설 2부 40권</v>
      </c>
      <c r="D117" t="str">
        <f>T("40")</f>
        <v>40</v>
      </c>
      <c r="E117" t="str">
        <f>T("김광수")</f>
        <v>김광수</v>
      </c>
      <c r="H117" t="str">
        <f t="shared" si="17"/>
        <v>스토리위즈</v>
      </c>
      <c r="I117" t="str">
        <f>T("[e북]회귀의 전설")</f>
        <v>[e북]회귀의 전설</v>
      </c>
      <c r="J117">
        <v>3200</v>
      </c>
      <c r="K117">
        <v>9600</v>
      </c>
      <c r="L117">
        <v>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9600</v>
      </c>
      <c r="AH117">
        <v>3</v>
      </c>
      <c r="AI117">
        <v>0</v>
      </c>
      <c r="AJ117">
        <v>0</v>
      </c>
      <c r="AK117">
        <v>3200</v>
      </c>
      <c r="AL117">
        <v>0</v>
      </c>
      <c r="AM117">
        <v>7680</v>
      </c>
      <c r="AN117">
        <v>-1536</v>
      </c>
      <c r="AO117">
        <v>0</v>
      </c>
      <c r="AQ117">
        <v>0</v>
      </c>
      <c r="AR117">
        <v>0</v>
      </c>
      <c r="AS117">
        <v>7680</v>
      </c>
      <c r="AT117">
        <v>-1536</v>
      </c>
      <c r="AU117">
        <v>0</v>
      </c>
      <c r="AW117">
        <v>0</v>
      </c>
      <c r="AX117">
        <v>0</v>
      </c>
      <c r="AY117">
        <v>6540.8</v>
      </c>
      <c r="BC117" t="str">
        <f>T("9791166300646")</f>
        <v>9791166300646</v>
      </c>
      <c r="BE117" t="str">
        <f>T("판타지 e북 &gt; 현대 판타지")</f>
        <v>판타지 e북 &gt; 현대 판타지</v>
      </c>
    </row>
    <row r="118" spans="1:57" x14ac:dyDescent="0.3">
      <c r="A118">
        <v>1525000107</v>
      </c>
      <c r="B118">
        <v>1525000111</v>
      </c>
      <c r="C118" t="str">
        <f>T("[e북]데이몬 5권")</f>
        <v>[e북]데이몬 5권</v>
      </c>
      <c r="D118" t="str">
        <f>T("5")</f>
        <v>5</v>
      </c>
      <c r="E118" t="str">
        <f>T("김정률")</f>
        <v>김정률</v>
      </c>
      <c r="H118" t="str">
        <f t="shared" si="17"/>
        <v>스토리위즈</v>
      </c>
      <c r="I118" t="str">
        <f>T("[e북]데이몬")</f>
        <v>[e북]데이몬</v>
      </c>
      <c r="J118">
        <v>3200</v>
      </c>
      <c r="K118">
        <v>9600</v>
      </c>
      <c r="L118">
        <v>3</v>
      </c>
      <c r="M118">
        <v>0</v>
      </c>
      <c r="N118">
        <v>10800</v>
      </c>
      <c r="O118">
        <v>12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20400</v>
      </c>
      <c r="AH118">
        <v>15</v>
      </c>
      <c r="AI118">
        <v>0</v>
      </c>
      <c r="AJ118">
        <v>0</v>
      </c>
      <c r="AK118">
        <v>9500</v>
      </c>
      <c r="AL118">
        <v>0</v>
      </c>
      <c r="AM118">
        <v>13080</v>
      </c>
      <c r="AN118">
        <v>-2172</v>
      </c>
      <c r="AO118">
        <v>0</v>
      </c>
      <c r="AP118">
        <v>2160</v>
      </c>
      <c r="AQ118">
        <v>-648</v>
      </c>
      <c r="AR118">
        <v>0</v>
      </c>
      <c r="AS118">
        <v>10920</v>
      </c>
      <c r="AT118">
        <v>-1524</v>
      </c>
      <c r="AU118">
        <v>0</v>
      </c>
      <c r="AW118">
        <v>0</v>
      </c>
      <c r="AX118">
        <v>0</v>
      </c>
      <c r="AY118">
        <v>14285.6</v>
      </c>
      <c r="BA118" t="str">
        <f>T("0000000000000")</f>
        <v>0000000000000</v>
      </c>
      <c r="BC118" t="str">
        <f>T("9791166062049")</f>
        <v>9791166062049</v>
      </c>
      <c r="BE118" t="str">
        <f>T("판타지 e북 &gt; 퓨전 판타지")</f>
        <v>판타지 e북 &gt; 퓨전 판타지</v>
      </c>
    </row>
    <row r="119" spans="1:57" x14ac:dyDescent="0.3">
      <c r="A119">
        <v>1525005640</v>
      </c>
      <c r="B119">
        <v>1525005651</v>
      </c>
      <c r="C119" t="str">
        <f>T("[e북]회귀의 전설 1부 12권")</f>
        <v>[e북]회귀의 전설 1부 12권</v>
      </c>
      <c r="D119" t="str">
        <f>T("12")</f>
        <v>12</v>
      </c>
      <c r="E119" t="str">
        <f>T("김광수")</f>
        <v>김광수</v>
      </c>
      <c r="H119" t="str">
        <f t="shared" si="17"/>
        <v>스토리위즈</v>
      </c>
      <c r="I119" t="str">
        <f>T("[e북]회귀의 전설")</f>
        <v>[e북]회귀의 전설</v>
      </c>
      <c r="J119">
        <v>3200</v>
      </c>
      <c r="K119">
        <v>9600</v>
      </c>
      <c r="L119">
        <v>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9600</v>
      </c>
      <c r="AH119">
        <v>3</v>
      </c>
      <c r="AI119">
        <v>0</v>
      </c>
      <c r="AJ119">
        <v>0</v>
      </c>
      <c r="AK119">
        <v>3200</v>
      </c>
      <c r="AL119">
        <v>0</v>
      </c>
      <c r="AM119">
        <v>7680</v>
      </c>
      <c r="AN119">
        <v>-1536</v>
      </c>
      <c r="AO119">
        <v>0</v>
      </c>
      <c r="AP119">
        <v>3840</v>
      </c>
      <c r="AQ119">
        <v>-1152</v>
      </c>
      <c r="AR119">
        <v>0</v>
      </c>
      <c r="AS119">
        <v>3840</v>
      </c>
      <c r="AT119">
        <v>-384</v>
      </c>
      <c r="AU119">
        <v>0</v>
      </c>
      <c r="AW119">
        <v>0</v>
      </c>
      <c r="AX119">
        <v>0</v>
      </c>
      <c r="AY119">
        <v>6540.8</v>
      </c>
      <c r="BC119" t="str">
        <f>T("9791190937870")</f>
        <v>9791190937870</v>
      </c>
      <c r="BE119" t="str">
        <f>T("판타지 e북 &gt; 현대 판타지")</f>
        <v>판타지 e북 &gt; 현대 판타지</v>
      </c>
    </row>
    <row r="120" spans="1:57" x14ac:dyDescent="0.3">
      <c r="A120">
        <v>1525005640</v>
      </c>
      <c r="B120">
        <v>1525007218</v>
      </c>
      <c r="C120" t="str">
        <f>T("[e북]회귀의 전설 2부 39권")</f>
        <v>[e북]회귀의 전설 2부 39권</v>
      </c>
      <c r="D120" t="str">
        <f>T("39")</f>
        <v>39</v>
      </c>
      <c r="E120" t="str">
        <f>T("김광수")</f>
        <v>김광수</v>
      </c>
      <c r="H120" t="str">
        <f t="shared" si="17"/>
        <v>스토리위즈</v>
      </c>
      <c r="I120" t="str">
        <f>T("[e북]회귀의 전설")</f>
        <v>[e북]회귀의 전설</v>
      </c>
      <c r="J120">
        <v>3200</v>
      </c>
      <c r="K120">
        <v>9600</v>
      </c>
      <c r="L120">
        <v>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9600</v>
      </c>
      <c r="AH120">
        <v>3</v>
      </c>
      <c r="AI120">
        <v>0</v>
      </c>
      <c r="AJ120">
        <v>0</v>
      </c>
      <c r="AK120">
        <v>3200</v>
      </c>
      <c r="AL120">
        <v>0</v>
      </c>
      <c r="AM120">
        <v>7680</v>
      </c>
      <c r="AN120">
        <v>-1536</v>
      </c>
      <c r="AO120">
        <v>0</v>
      </c>
      <c r="AQ120">
        <v>0</v>
      </c>
      <c r="AR120">
        <v>0</v>
      </c>
      <c r="AS120">
        <v>7680</v>
      </c>
      <c r="AT120">
        <v>-1536</v>
      </c>
      <c r="AU120">
        <v>0</v>
      </c>
      <c r="AW120">
        <v>0</v>
      </c>
      <c r="AX120">
        <v>0</v>
      </c>
      <c r="AY120">
        <v>6540.8</v>
      </c>
      <c r="BC120" t="str">
        <f>T("9791166300639")</f>
        <v>9791166300639</v>
      </c>
      <c r="BE120" t="str">
        <f>T("판타지 e북 &gt; 현대 판타지")</f>
        <v>판타지 e북 &gt; 현대 판타지</v>
      </c>
    </row>
    <row r="121" spans="1:57" x14ac:dyDescent="0.3">
      <c r="A121">
        <v>1525000107</v>
      </c>
      <c r="B121">
        <v>1525000110</v>
      </c>
      <c r="C121" t="str">
        <f>T("[e북]데이몬 4권")</f>
        <v>[e북]데이몬 4권</v>
      </c>
      <c r="D121" t="str">
        <f>T("4")</f>
        <v>4</v>
      </c>
      <c r="E121" t="str">
        <f>T("김정률")</f>
        <v>김정률</v>
      </c>
      <c r="H121" t="str">
        <f t="shared" si="17"/>
        <v>스토리위즈</v>
      </c>
      <c r="I121" t="str">
        <f>T("[e북]데이몬")</f>
        <v>[e북]데이몬</v>
      </c>
      <c r="J121">
        <v>3200</v>
      </c>
      <c r="K121">
        <v>9600</v>
      </c>
      <c r="L121">
        <v>3</v>
      </c>
      <c r="M121">
        <v>0</v>
      </c>
      <c r="N121">
        <v>10800</v>
      </c>
      <c r="O121">
        <v>12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20400</v>
      </c>
      <c r="AH121">
        <v>15</v>
      </c>
      <c r="AI121">
        <v>0</v>
      </c>
      <c r="AJ121">
        <v>0</v>
      </c>
      <c r="AK121">
        <v>9500</v>
      </c>
      <c r="AL121">
        <v>0</v>
      </c>
      <c r="AM121">
        <v>13080</v>
      </c>
      <c r="AN121">
        <v>-2172</v>
      </c>
      <c r="AO121">
        <v>0</v>
      </c>
      <c r="AP121">
        <v>2160</v>
      </c>
      <c r="AQ121">
        <v>-648</v>
      </c>
      <c r="AR121">
        <v>0</v>
      </c>
      <c r="AS121">
        <v>10920</v>
      </c>
      <c r="AT121">
        <v>-1524</v>
      </c>
      <c r="AU121">
        <v>0</v>
      </c>
      <c r="AW121">
        <v>0</v>
      </c>
      <c r="AX121">
        <v>0</v>
      </c>
      <c r="AY121">
        <v>14285.6</v>
      </c>
      <c r="BC121" t="str">
        <f>T("9791166062032")</f>
        <v>9791166062032</v>
      </c>
      <c r="BE121" t="str">
        <f>T("판타지 e북 &gt; 퓨전 판타지")</f>
        <v>판타지 e북 &gt; 퓨전 판타지</v>
      </c>
    </row>
    <row r="122" spans="1:57" x14ac:dyDescent="0.3">
      <c r="A122">
        <v>1525005640</v>
      </c>
      <c r="B122">
        <v>1525005650</v>
      </c>
      <c r="C122" t="str">
        <f>T("[e북]회귀의 전설 1부 11권")</f>
        <v>[e북]회귀의 전설 1부 11권</v>
      </c>
      <c r="D122" t="str">
        <f>T("11")</f>
        <v>11</v>
      </c>
      <c r="E122" t="str">
        <f>T("김광수")</f>
        <v>김광수</v>
      </c>
      <c r="H122" t="str">
        <f t="shared" si="17"/>
        <v>스토리위즈</v>
      </c>
      <c r="I122" t="str">
        <f>T("[e북]회귀의 전설")</f>
        <v>[e북]회귀의 전설</v>
      </c>
      <c r="J122">
        <v>3200</v>
      </c>
      <c r="K122">
        <v>9600</v>
      </c>
      <c r="L122">
        <v>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9600</v>
      </c>
      <c r="AH122">
        <v>3</v>
      </c>
      <c r="AI122">
        <v>0</v>
      </c>
      <c r="AJ122">
        <v>0</v>
      </c>
      <c r="AK122">
        <v>3400</v>
      </c>
      <c r="AL122">
        <v>0</v>
      </c>
      <c r="AM122">
        <v>7440</v>
      </c>
      <c r="AN122">
        <v>-1512</v>
      </c>
      <c r="AO122">
        <v>0</v>
      </c>
      <c r="AP122">
        <v>3840</v>
      </c>
      <c r="AQ122">
        <v>-1152</v>
      </c>
      <c r="AR122">
        <v>0</v>
      </c>
      <c r="AS122">
        <v>3600</v>
      </c>
      <c r="AT122">
        <v>-360</v>
      </c>
      <c r="AU122">
        <v>0</v>
      </c>
      <c r="AW122">
        <v>0</v>
      </c>
      <c r="AX122">
        <v>0</v>
      </c>
      <c r="AY122">
        <v>6529.6</v>
      </c>
      <c r="BC122" t="str">
        <f>T("9791190937863")</f>
        <v>9791190937863</v>
      </c>
      <c r="BE122" t="str">
        <f>T("판타지 e북 &gt; 현대 판타지")</f>
        <v>판타지 e북 &gt; 현대 판타지</v>
      </c>
    </row>
    <row r="123" spans="1:57" x14ac:dyDescent="0.3">
      <c r="A123">
        <v>1525005640</v>
      </c>
      <c r="B123">
        <v>1525013332</v>
      </c>
      <c r="C123" t="str">
        <f>T("[e북]회귀의 전설 3부 44권")</f>
        <v>[e북]회귀의 전설 3부 44권</v>
      </c>
      <c r="D123" t="str">
        <f>T("44")</f>
        <v>44</v>
      </c>
      <c r="E123" t="str">
        <f>T("김광수")</f>
        <v>김광수</v>
      </c>
      <c r="H123" t="str">
        <f t="shared" si="17"/>
        <v>스토리위즈</v>
      </c>
      <c r="I123" t="str">
        <f>T("[e북]회귀의 전설")</f>
        <v>[e북]회귀의 전설</v>
      </c>
      <c r="J123">
        <v>3200</v>
      </c>
      <c r="K123">
        <v>9600</v>
      </c>
      <c r="L123">
        <v>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9600</v>
      </c>
      <c r="AH123">
        <v>3</v>
      </c>
      <c r="AI123">
        <v>0</v>
      </c>
      <c r="AJ123">
        <v>0</v>
      </c>
      <c r="AK123">
        <v>6030</v>
      </c>
      <c r="AL123">
        <v>0</v>
      </c>
      <c r="AM123">
        <v>4284</v>
      </c>
      <c r="AN123">
        <v>-1285.2</v>
      </c>
      <c r="AO123">
        <v>0</v>
      </c>
      <c r="AP123">
        <v>444</v>
      </c>
      <c r="AQ123">
        <v>-133.19999999999999</v>
      </c>
      <c r="AR123">
        <v>0</v>
      </c>
      <c r="AS123">
        <v>3840</v>
      </c>
      <c r="AT123">
        <v>-1152</v>
      </c>
      <c r="AU123">
        <v>0</v>
      </c>
      <c r="AW123">
        <v>0</v>
      </c>
      <c r="AX123">
        <v>0</v>
      </c>
      <c r="AY123">
        <v>6320.16</v>
      </c>
      <c r="BC123" t="str">
        <f>T("9791166300806")</f>
        <v>9791166300806</v>
      </c>
      <c r="BE123" t="str">
        <f>T("판타지 e북 &gt; 현대 판타지")</f>
        <v>판타지 e북 &gt; 현대 판타지</v>
      </c>
    </row>
    <row r="124" spans="1:57" x14ac:dyDescent="0.3">
      <c r="A124">
        <v>1525005640</v>
      </c>
      <c r="B124">
        <v>1525007217</v>
      </c>
      <c r="C124" t="str">
        <f>T("[e북]회귀의 전설 2부 38권")</f>
        <v>[e북]회귀의 전설 2부 38권</v>
      </c>
      <c r="D124" t="str">
        <f>T("38")</f>
        <v>38</v>
      </c>
      <c r="E124" t="str">
        <f>T("김광수")</f>
        <v>김광수</v>
      </c>
      <c r="H124" t="str">
        <f t="shared" si="17"/>
        <v>스토리위즈</v>
      </c>
      <c r="I124" t="str">
        <f>T("[e북]회귀의 전설")</f>
        <v>[e북]회귀의 전설</v>
      </c>
      <c r="J124">
        <v>3200</v>
      </c>
      <c r="K124">
        <v>9600</v>
      </c>
      <c r="L124">
        <v>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9600</v>
      </c>
      <c r="AH124">
        <v>3</v>
      </c>
      <c r="AI124">
        <v>0</v>
      </c>
      <c r="AJ124">
        <v>0</v>
      </c>
      <c r="AK124">
        <v>3200</v>
      </c>
      <c r="AL124">
        <v>0</v>
      </c>
      <c r="AM124">
        <v>7680</v>
      </c>
      <c r="AN124">
        <v>-1536</v>
      </c>
      <c r="AO124">
        <v>0</v>
      </c>
      <c r="AQ124">
        <v>0</v>
      </c>
      <c r="AR124">
        <v>0</v>
      </c>
      <c r="AS124">
        <v>7680</v>
      </c>
      <c r="AT124">
        <v>-1536</v>
      </c>
      <c r="AU124">
        <v>0</v>
      </c>
      <c r="AW124">
        <v>0</v>
      </c>
      <c r="AX124">
        <v>0</v>
      </c>
      <c r="AY124">
        <v>6540.8</v>
      </c>
      <c r="BC124" t="str">
        <f>T("9791166300622")</f>
        <v>9791166300622</v>
      </c>
      <c r="BE124" t="str">
        <f>T("판타지 e북 &gt; 현대 판타지")</f>
        <v>판타지 e북 &gt; 현대 판타지</v>
      </c>
    </row>
    <row r="125" spans="1:57" x14ac:dyDescent="0.3">
      <c r="A125">
        <v>1525000107</v>
      </c>
      <c r="B125">
        <v>1525000109</v>
      </c>
      <c r="C125" t="str">
        <f>T("[e북]데이몬 3권")</f>
        <v>[e북]데이몬 3권</v>
      </c>
      <c r="D125" t="str">
        <f>T("3")</f>
        <v>3</v>
      </c>
      <c r="E125" t="str">
        <f>T("김정률")</f>
        <v>김정률</v>
      </c>
      <c r="H125" t="str">
        <f t="shared" si="17"/>
        <v>스토리위즈</v>
      </c>
      <c r="I125" t="str">
        <f>T("[e북]데이몬")</f>
        <v>[e북]데이몬</v>
      </c>
      <c r="J125">
        <v>3200</v>
      </c>
      <c r="K125">
        <v>9600</v>
      </c>
      <c r="L125">
        <v>3</v>
      </c>
      <c r="M125">
        <v>0</v>
      </c>
      <c r="N125">
        <v>10800</v>
      </c>
      <c r="O125">
        <v>12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20400</v>
      </c>
      <c r="AH125">
        <v>15</v>
      </c>
      <c r="AI125">
        <v>0</v>
      </c>
      <c r="AJ125">
        <v>0</v>
      </c>
      <c r="AK125">
        <v>9500</v>
      </c>
      <c r="AL125">
        <v>0</v>
      </c>
      <c r="AM125">
        <v>13080</v>
      </c>
      <c r="AN125">
        <v>-2172</v>
      </c>
      <c r="AO125">
        <v>0</v>
      </c>
      <c r="AP125">
        <v>2160</v>
      </c>
      <c r="AQ125">
        <v>-648</v>
      </c>
      <c r="AR125">
        <v>0</v>
      </c>
      <c r="AS125">
        <v>10920</v>
      </c>
      <c r="AT125">
        <v>-1524</v>
      </c>
      <c r="AU125">
        <v>0</v>
      </c>
      <c r="AW125">
        <v>0</v>
      </c>
      <c r="AX125">
        <v>0</v>
      </c>
      <c r="AY125">
        <v>14285.6</v>
      </c>
      <c r="BA125" t="str">
        <f>T("0000000000000")</f>
        <v>0000000000000</v>
      </c>
      <c r="BC125" t="str">
        <f>T("9791166062025")</f>
        <v>9791166062025</v>
      </c>
      <c r="BE125" t="str">
        <f>T("판타지 e북 &gt; 퓨전 판타지")</f>
        <v>판타지 e북 &gt; 퓨전 판타지</v>
      </c>
    </row>
    <row r="126" spans="1:57" x14ac:dyDescent="0.3">
      <c r="A126">
        <v>1525005640</v>
      </c>
      <c r="B126">
        <v>1525007216</v>
      </c>
      <c r="C126" t="str">
        <f>T("[e북]회귀의 전설 2부 37권")</f>
        <v>[e북]회귀의 전설 2부 37권</v>
      </c>
      <c r="D126" t="str">
        <f>T("37")</f>
        <v>37</v>
      </c>
      <c r="E126" t="str">
        <f>T("김광수")</f>
        <v>김광수</v>
      </c>
      <c r="H126" t="str">
        <f t="shared" si="17"/>
        <v>스토리위즈</v>
      </c>
      <c r="I126" t="str">
        <f>T("[e북]회귀의 전설")</f>
        <v>[e북]회귀의 전설</v>
      </c>
      <c r="J126">
        <v>3200</v>
      </c>
      <c r="K126">
        <v>9600</v>
      </c>
      <c r="L126">
        <v>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9600</v>
      </c>
      <c r="AH126">
        <v>3</v>
      </c>
      <c r="AI126">
        <v>0</v>
      </c>
      <c r="AJ126">
        <v>0</v>
      </c>
      <c r="AK126">
        <v>4600</v>
      </c>
      <c r="AL126">
        <v>0</v>
      </c>
      <c r="AM126">
        <v>6000</v>
      </c>
      <c r="AN126">
        <v>-1368</v>
      </c>
      <c r="AO126">
        <v>0</v>
      </c>
      <c r="AQ126">
        <v>0</v>
      </c>
      <c r="AR126">
        <v>0</v>
      </c>
      <c r="AS126">
        <v>6000</v>
      </c>
      <c r="AT126">
        <v>-1368</v>
      </c>
      <c r="AU126">
        <v>0</v>
      </c>
      <c r="AW126">
        <v>0</v>
      </c>
      <c r="AX126">
        <v>0</v>
      </c>
      <c r="AY126">
        <v>6462.4</v>
      </c>
      <c r="BC126" t="str">
        <f>T("9791166300615")</f>
        <v>9791166300615</v>
      </c>
      <c r="BE126" t="str">
        <f>T("판타지 e북 &gt; 현대 판타지")</f>
        <v>판타지 e북 &gt; 현대 판타지</v>
      </c>
    </row>
    <row r="127" spans="1:57" x14ac:dyDescent="0.3">
      <c r="A127">
        <v>1525000107</v>
      </c>
      <c r="B127">
        <v>1525000108</v>
      </c>
      <c r="C127" t="str">
        <f>T("[e북]데이몬 2권")</f>
        <v>[e북]데이몬 2권</v>
      </c>
      <c r="D127" t="str">
        <f>T("2")</f>
        <v>2</v>
      </c>
      <c r="E127" t="str">
        <f>T("김정률")</f>
        <v>김정률</v>
      </c>
      <c r="H127" t="str">
        <f t="shared" si="17"/>
        <v>스토리위즈</v>
      </c>
      <c r="I127" t="str">
        <f>T("[e북]데이몬")</f>
        <v>[e북]데이몬</v>
      </c>
      <c r="J127">
        <v>3200</v>
      </c>
      <c r="K127">
        <v>9600</v>
      </c>
      <c r="L127">
        <v>3</v>
      </c>
      <c r="M127">
        <v>0</v>
      </c>
      <c r="N127">
        <v>9900</v>
      </c>
      <c r="O127">
        <v>11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19500</v>
      </c>
      <c r="AH127">
        <v>14</v>
      </c>
      <c r="AI127">
        <v>0</v>
      </c>
      <c r="AJ127">
        <v>0</v>
      </c>
      <c r="AK127">
        <v>9020</v>
      </c>
      <c r="AL127">
        <v>0</v>
      </c>
      <c r="AM127">
        <v>12576</v>
      </c>
      <c r="AN127">
        <v>-2020.8</v>
      </c>
      <c r="AO127">
        <v>0</v>
      </c>
      <c r="AP127">
        <v>1656</v>
      </c>
      <c r="AQ127">
        <v>-496.8</v>
      </c>
      <c r="AR127">
        <v>0</v>
      </c>
      <c r="AS127">
        <v>10920</v>
      </c>
      <c r="AT127">
        <v>-1524</v>
      </c>
      <c r="AU127">
        <v>0</v>
      </c>
      <c r="AW127">
        <v>0</v>
      </c>
      <c r="AX127">
        <v>0</v>
      </c>
      <c r="AY127">
        <v>13702.64</v>
      </c>
      <c r="BA127" t="str">
        <f t="shared" ref="BA127:BA136" si="18">T("0000000000000")</f>
        <v>0000000000000</v>
      </c>
      <c r="BC127" t="str">
        <f>T("9791166062018")</f>
        <v>9791166062018</v>
      </c>
      <c r="BE127" t="str">
        <f>T("판타지 e북 &gt; 퓨전 판타지")</f>
        <v>판타지 e북 &gt; 퓨전 판타지</v>
      </c>
    </row>
    <row r="128" spans="1:57" x14ac:dyDescent="0.3">
      <c r="A128">
        <v>1525012774</v>
      </c>
      <c r="B128">
        <v>1525012777</v>
      </c>
      <c r="C128" t="str">
        <f>T("[e북]주먹 구십구 4권")</f>
        <v>[e북]주먹 구십구 4권</v>
      </c>
      <c r="D128" t="str">
        <f>T("4")</f>
        <v>4</v>
      </c>
      <c r="E128" t="str">
        <f>T("마연")</f>
        <v>마연</v>
      </c>
      <c r="H128" t="str">
        <f>T("블러쉬")</f>
        <v>블러쉬</v>
      </c>
      <c r="I128" t="str">
        <f>T("[e북]주먹 구십구")</f>
        <v>[e북]주먹 구십구</v>
      </c>
      <c r="J128">
        <v>3200</v>
      </c>
      <c r="K128">
        <v>9600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-3200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9600</v>
      </c>
      <c r="AH128">
        <v>3</v>
      </c>
      <c r="AI128">
        <v>-3200</v>
      </c>
      <c r="AJ128">
        <v>1</v>
      </c>
      <c r="AK128">
        <v>9600</v>
      </c>
      <c r="AL128">
        <v>-3200</v>
      </c>
      <c r="AM128">
        <v>0</v>
      </c>
      <c r="AN128">
        <v>0</v>
      </c>
      <c r="AO128">
        <v>0</v>
      </c>
      <c r="AQ128">
        <v>0</v>
      </c>
      <c r="AR128">
        <v>0</v>
      </c>
      <c r="AT128">
        <v>0</v>
      </c>
      <c r="AU128">
        <v>0</v>
      </c>
      <c r="AW128">
        <v>0</v>
      </c>
      <c r="AX128">
        <v>0</v>
      </c>
      <c r="AY128">
        <v>4480</v>
      </c>
      <c r="BA128" t="str">
        <f t="shared" si="18"/>
        <v>0000000000000</v>
      </c>
      <c r="BC128" t="str">
        <f>T("9791166482670")</f>
        <v>9791166482670</v>
      </c>
      <c r="BE128" t="str">
        <f>T("BL 소설 e북 &gt; 현대물")</f>
        <v>BL 소설 e북 &gt; 현대물</v>
      </c>
    </row>
    <row r="129" spans="1:58" x14ac:dyDescent="0.3">
      <c r="A129">
        <v>1525008147</v>
      </c>
      <c r="B129">
        <v>1525008148</v>
      </c>
      <c r="C129" t="str">
        <f>T("[e북]우리의 늪에서부터 2권")</f>
        <v>[e북]우리의 늪에서부터 2권</v>
      </c>
      <c r="D129" t="str">
        <f>T("2")</f>
        <v>2</v>
      </c>
      <c r="E129" t="str">
        <f>T("라에르")</f>
        <v>라에르</v>
      </c>
      <c r="H129" t="str">
        <f>T("블러쉬")</f>
        <v>블러쉬</v>
      </c>
      <c r="I129" t="str">
        <f>T("[e북]우리의 늪에서부터")</f>
        <v>[e북]우리의 늪에서부터</v>
      </c>
      <c r="J129">
        <v>3000</v>
      </c>
      <c r="K129">
        <v>9000</v>
      </c>
      <c r="L129">
        <v>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9000</v>
      </c>
      <c r="AH129">
        <v>3</v>
      </c>
      <c r="AI129">
        <v>0</v>
      </c>
      <c r="AJ129">
        <v>0</v>
      </c>
      <c r="AK129">
        <v>6350</v>
      </c>
      <c r="AL129">
        <v>0</v>
      </c>
      <c r="AM129">
        <v>3180</v>
      </c>
      <c r="AN129">
        <v>-318</v>
      </c>
      <c r="AO129">
        <v>0</v>
      </c>
      <c r="AQ129">
        <v>0</v>
      </c>
      <c r="AR129">
        <v>0</v>
      </c>
      <c r="AS129">
        <v>3180</v>
      </c>
      <c r="AT129">
        <v>-318</v>
      </c>
      <c r="AU129">
        <v>0</v>
      </c>
      <c r="AW129">
        <v>0</v>
      </c>
      <c r="AX129">
        <v>0</v>
      </c>
      <c r="AY129">
        <v>6448.4</v>
      </c>
      <c r="BA129" t="str">
        <f t="shared" si="18"/>
        <v>0000000000000</v>
      </c>
      <c r="BC129" t="str">
        <f>T("9791166481406")</f>
        <v>9791166481406</v>
      </c>
      <c r="BE129" t="str">
        <f>T("BL 소설 e북 &gt; 현대물")</f>
        <v>BL 소설 e북 &gt; 현대물</v>
      </c>
    </row>
    <row r="130" spans="1:58" x14ac:dyDescent="0.3">
      <c r="A130">
        <v>1525008147</v>
      </c>
      <c r="B130">
        <v>1525008147</v>
      </c>
      <c r="C130" t="str">
        <f>T("[e북]우리의 늪에서부터 1권")</f>
        <v>[e북]우리의 늪에서부터 1권</v>
      </c>
      <c r="D130" t="str">
        <f>T("1")</f>
        <v>1</v>
      </c>
      <c r="E130" t="str">
        <f>T("라에르")</f>
        <v>라에르</v>
      </c>
      <c r="H130" t="str">
        <f>T("블러쉬")</f>
        <v>블러쉬</v>
      </c>
      <c r="I130" t="str">
        <f>T("[e북]우리의 늪에서부터")</f>
        <v>[e북]우리의 늪에서부터</v>
      </c>
      <c r="J130">
        <v>3000</v>
      </c>
      <c r="K130">
        <v>9000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9000</v>
      </c>
      <c r="AH130">
        <v>3</v>
      </c>
      <c r="AI130">
        <v>0</v>
      </c>
      <c r="AJ130">
        <v>0</v>
      </c>
      <c r="AK130">
        <v>6300</v>
      </c>
      <c r="AL130">
        <v>0</v>
      </c>
      <c r="AM130">
        <v>3240</v>
      </c>
      <c r="AN130">
        <v>-324</v>
      </c>
      <c r="AO130">
        <v>0</v>
      </c>
      <c r="AQ130">
        <v>0</v>
      </c>
      <c r="AR130">
        <v>0</v>
      </c>
      <c r="AS130">
        <v>3240</v>
      </c>
      <c r="AT130">
        <v>-324</v>
      </c>
      <c r="AU130">
        <v>0</v>
      </c>
      <c r="AW130">
        <v>0</v>
      </c>
      <c r="AX130">
        <v>0</v>
      </c>
      <c r="AY130">
        <v>6451.2</v>
      </c>
      <c r="BA130" t="str">
        <f t="shared" si="18"/>
        <v>0000000000000</v>
      </c>
      <c r="BC130" t="str">
        <f>T("9791166481390")</f>
        <v>9791166481390</v>
      </c>
      <c r="BE130" t="str">
        <f>T("BL 소설 e북 &gt; 현대물")</f>
        <v>BL 소설 e북 &gt; 현대물</v>
      </c>
    </row>
    <row r="131" spans="1:58" x14ac:dyDescent="0.3">
      <c r="A131">
        <v>1525013010</v>
      </c>
      <c r="B131">
        <v>1525013011</v>
      </c>
      <c r="C131" t="str">
        <f>T("[e북]금의 해, 새의 눈 2권")</f>
        <v>[e북]금의 해, 새의 눈 2권</v>
      </c>
      <c r="D131" t="str">
        <f>T("2")</f>
        <v>2</v>
      </c>
      <c r="E131" t="str">
        <f>T("등나무밑소공자")</f>
        <v>등나무밑소공자</v>
      </c>
      <c r="H131" t="str">
        <f>T("블러쉬")</f>
        <v>블러쉬</v>
      </c>
      <c r="I131" t="str">
        <f>T("[e북]금의 해, 새의 눈")</f>
        <v>[e북]금의 해, 새의 눈</v>
      </c>
      <c r="J131">
        <v>3000</v>
      </c>
      <c r="K131">
        <v>9000</v>
      </c>
      <c r="L131">
        <v>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9000</v>
      </c>
      <c r="AH131">
        <v>3</v>
      </c>
      <c r="AI131">
        <v>0</v>
      </c>
      <c r="AJ131">
        <v>0</v>
      </c>
      <c r="AK131">
        <v>9000</v>
      </c>
      <c r="AL131">
        <v>0</v>
      </c>
      <c r="AM131">
        <v>0</v>
      </c>
      <c r="AN131">
        <v>0</v>
      </c>
      <c r="AO131">
        <v>0</v>
      </c>
      <c r="AQ131">
        <v>0</v>
      </c>
      <c r="AR131">
        <v>0</v>
      </c>
      <c r="AT131">
        <v>0</v>
      </c>
      <c r="AU131">
        <v>0</v>
      </c>
      <c r="AW131">
        <v>0</v>
      </c>
      <c r="AX131">
        <v>0</v>
      </c>
      <c r="AY131">
        <v>6300</v>
      </c>
      <c r="BA131" t="str">
        <f t="shared" si="18"/>
        <v>0000000000000</v>
      </c>
      <c r="BC131" t="str">
        <f>T("9791166482779")</f>
        <v>9791166482779</v>
      </c>
      <c r="BE131" t="str">
        <f>T("BL 소설 e북 &gt; 역사/시대물")</f>
        <v>BL 소설 e북 &gt; 역사/시대물</v>
      </c>
    </row>
    <row r="132" spans="1:58" x14ac:dyDescent="0.3">
      <c r="B132">
        <v>1525013358</v>
      </c>
      <c r="C132" t="str">
        <f>T("[e북]분홍의 작약")</f>
        <v>[e북]분홍의 작약</v>
      </c>
      <c r="E132" t="str">
        <f>T("송여희")</f>
        <v>송여희</v>
      </c>
      <c r="H132" t="str">
        <f>T("밀리오리지널")</f>
        <v>밀리오리지널</v>
      </c>
      <c r="J132">
        <v>2000</v>
      </c>
      <c r="K132">
        <v>8000</v>
      </c>
      <c r="L132">
        <v>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8000</v>
      </c>
      <c r="AH132">
        <v>4</v>
      </c>
      <c r="AI132">
        <v>0</v>
      </c>
      <c r="AJ132">
        <v>0</v>
      </c>
      <c r="AK132">
        <v>8000</v>
      </c>
      <c r="AL132">
        <v>0</v>
      </c>
      <c r="AM132">
        <v>0</v>
      </c>
      <c r="AN132">
        <v>0</v>
      </c>
      <c r="AO132">
        <v>0</v>
      </c>
      <c r="AQ132">
        <v>0</v>
      </c>
      <c r="AR132">
        <v>0</v>
      </c>
      <c r="AT132">
        <v>0</v>
      </c>
      <c r="AU132">
        <v>0</v>
      </c>
      <c r="AW132">
        <v>0</v>
      </c>
      <c r="AX132">
        <v>0</v>
      </c>
      <c r="AY132">
        <v>5600</v>
      </c>
      <c r="BA132" t="str">
        <f t="shared" si="18"/>
        <v>0000000000000</v>
      </c>
      <c r="BC132" t="str">
        <f>T("9791196945251")</f>
        <v>9791196945251</v>
      </c>
      <c r="BE132" t="str">
        <f>T("로맨스 e북 &gt; 19+")</f>
        <v>로맨스 e북 &gt; 19+</v>
      </c>
      <c r="BF132" t="str">
        <f>T("로맨스 e북 &gt; 역사/시대물")</f>
        <v>로맨스 e북 &gt; 역사/시대물</v>
      </c>
    </row>
    <row r="133" spans="1:58" x14ac:dyDescent="0.3">
      <c r="B133">
        <v>1525014011</v>
      </c>
      <c r="C133" t="str">
        <f>T("[e북]유일한 취미")</f>
        <v>[e북]유일한 취미</v>
      </c>
      <c r="E133" t="str">
        <f>T("서혜은")</f>
        <v>서혜은</v>
      </c>
      <c r="H133" t="str">
        <f>T("밀리오리지널")</f>
        <v>밀리오리지널</v>
      </c>
      <c r="J133">
        <v>2000</v>
      </c>
      <c r="K133">
        <v>8000</v>
      </c>
      <c r="L133">
        <v>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8000</v>
      </c>
      <c r="AH133">
        <v>4</v>
      </c>
      <c r="AI133">
        <v>0</v>
      </c>
      <c r="AJ133">
        <v>0</v>
      </c>
      <c r="AK133">
        <v>8000</v>
      </c>
      <c r="AL133">
        <v>0</v>
      </c>
      <c r="AM133">
        <v>0</v>
      </c>
      <c r="AN133">
        <v>0</v>
      </c>
      <c r="AO133">
        <v>0</v>
      </c>
      <c r="AQ133">
        <v>0</v>
      </c>
      <c r="AR133">
        <v>0</v>
      </c>
      <c r="AT133">
        <v>0</v>
      </c>
      <c r="AU133">
        <v>0</v>
      </c>
      <c r="AW133">
        <v>0</v>
      </c>
      <c r="AX133">
        <v>0</v>
      </c>
      <c r="AY133">
        <v>5600</v>
      </c>
      <c r="BA133" t="str">
        <f t="shared" si="18"/>
        <v>0000000000000</v>
      </c>
      <c r="BC133" t="str">
        <f>T("9791191562408")</f>
        <v>9791191562408</v>
      </c>
      <c r="BE133" t="str">
        <f>T("로판 e북 &gt; 서양풍 로판")</f>
        <v>로판 e북 &gt; 서양풍 로판</v>
      </c>
    </row>
    <row r="134" spans="1:58" x14ac:dyDescent="0.3">
      <c r="B134">
        <v>1525013648</v>
      </c>
      <c r="C134" t="str">
        <f>T("[e북]삶의 끝에서")</f>
        <v>[e북]삶의 끝에서</v>
      </c>
      <c r="E134" t="str">
        <f>T("이승희")</f>
        <v>이승희</v>
      </c>
      <c r="H134" t="str">
        <f>T("밀리오리지널")</f>
        <v>밀리오리지널</v>
      </c>
      <c r="J134">
        <v>2000</v>
      </c>
      <c r="K134">
        <v>8000</v>
      </c>
      <c r="L134">
        <v>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8000</v>
      </c>
      <c r="AH134">
        <v>4</v>
      </c>
      <c r="AI134">
        <v>0</v>
      </c>
      <c r="AJ134">
        <v>0</v>
      </c>
      <c r="AK134">
        <v>6000</v>
      </c>
      <c r="AL134">
        <v>0</v>
      </c>
      <c r="AM134">
        <v>2400</v>
      </c>
      <c r="AN134">
        <v>-240</v>
      </c>
      <c r="AO134">
        <v>0</v>
      </c>
      <c r="AQ134">
        <v>0</v>
      </c>
      <c r="AR134">
        <v>0</v>
      </c>
      <c r="AS134">
        <v>2400</v>
      </c>
      <c r="AT134">
        <v>-240</v>
      </c>
      <c r="AU134">
        <v>0</v>
      </c>
      <c r="AW134">
        <v>0</v>
      </c>
      <c r="AX134">
        <v>0</v>
      </c>
      <c r="AY134">
        <v>5712</v>
      </c>
      <c r="BA134" t="str">
        <f t="shared" si="18"/>
        <v>0000000000000</v>
      </c>
      <c r="BC134" t="str">
        <f>T("9791191562200")</f>
        <v>9791191562200</v>
      </c>
      <c r="BE134" t="str">
        <f>T("로맨스 e북 &gt; 현대물")</f>
        <v>로맨스 e북 &gt; 현대물</v>
      </c>
      <c r="BF134" t="str">
        <f>T("로맨스 e북 &gt; 19+")</f>
        <v>로맨스 e북 &gt; 19+</v>
      </c>
    </row>
    <row r="135" spans="1:58" x14ac:dyDescent="0.3">
      <c r="B135">
        <v>1525013362</v>
      </c>
      <c r="C135" t="str">
        <f>T("[e북]호랑헌화가")</f>
        <v>[e북]호랑헌화가</v>
      </c>
      <c r="E135" t="str">
        <f>T("여도흔")</f>
        <v>여도흔</v>
      </c>
      <c r="H135" t="str">
        <f>T("밀리오리지널")</f>
        <v>밀리오리지널</v>
      </c>
      <c r="J135">
        <v>2000</v>
      </c>
      <c r="K135">
        <v>8000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8000</v>
      </c>
      <c r="AH135">
        <v>4</v>
      </c>
      <c r="AI135">
        <v>0</v>
      </c>
      <c r="AJ135">
        <v>0</v>
      </c>
      <c r="AK135">
        <v>8000</v>
      </c>
      <c r="AL135">
        <v>0</v>
      </c>
      <c r="AM135">
        <v>0</v>
      </c>
      <c r="AN135">
        <v>0</v>
      </c>
      <c r="AO135">
        <v>0</v>
      </c>
      <c r="AQ135">
        <v>0</v>
      </c>
      <c r="AR135">
        <v>0</v>
      </c>
      <c r="AT135">
        <v>0</v>
      </c>
      <c r="AU135">
        <v>0</v>
      </c>
      <c r="AW135">
        <v>0</v>
      </c>
      <c r="AX135">
        <v>0</v>
      </c>
      <c r="AY135">
        <v>5600</v>
      </c>
      <c r="BA135" t="str">
        <f t="shared" si="18"/>
        <v>0000000000000</v>
      </c>
      <c r="BC135" t="str">
        <f>T("9791196945282")</f>
        <v>9791196945282</v>
      </c>
      <c r="BE135" t="str">
        <f>T("로맨스 e북 &gt; 19+")</f>
        <v>로맨스 e북 &gt; 19+</v>
      </c>
      <c r="BF135" t="str">
        <f>T("로맨스 e북 &gt; 역사/시대물")</f>
        <v>로맨스 e북 &gt; 역사/시대물</v>
      </c>
    </row>
    <row r="136" spans="1:58" x14ac:dyDescent="0.3">
      <c r="A136">
        <v>1525008129</v>
      </c>
      <c r="B136">
        <v>1525008130</v>
      </c>
      <c r="C136" t="str">
        <f>T("[e북]엠프티 (Empty) 2권 (완결)")</f>
        <v>[e북]엠프티 (Empty) 2권 (완결)</v>
      </c>
      <c r="D136" t="str">
        <f>T("2")</f>
        <v>2</v>
      </c>
      <c r="E136" t="str">
        <f>T("라돌체")</f>
        <v>라돌체</v>
      </c>
      <c r="H136" t="str">
        <f>T("블러쉬")</f>
        <v>블러쉬</v>
      </c>
      <c r="I136" t="str">
        <f>T("[e북]엠프티 (Empty)")</f>
        <v>[e북]엠프티 (Empty)</v>
      </c>
      <c r="J136">
        <v>2800</v>
      </c>
      <c r="K136">
        <v>7560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7560</v>
      </c>
      <c r="AH136">
        <v>3</v>
      </c>
      <c r="AI136">
        <v>0</v>
      </c>
      <c r="AJ136">
        <v>0</v>
      </c>
      <c r="AK136">
        <v>7560</v>
      </c>
      <c r="AL136">
        <v>0</v>
      </c>
      <c r="AM136">
        <v>0</v>
      </c>
      <c r="AN136">
        <v>0</v>
      </c>
      <c r="AO136">
        <v>0</v>
      </c>
      <c r="AQ136">
        <v>0</v>
      </c>
      <c r="AR136">
        <v>0</v>
      </c>
      <c r="AT136">
        <v>0</v>
      </c>
      <c r="AU136">
        <v>0</v>
      </c>
      <c r="AW136">
        <v>0</v>
      </c>
      <c r="AX136">
        <v>0</v>
      </c>
      <c r="AY136">
        <v>5292</v>
      </c>
      <c r="BA136" t="str">
        <f t="shared" si="18"/>
        <v>0000000000000</v>
      </c>
      <c r="BC136" t="str">
        <f>T("9791190132404")</f>
        <v>9791190132404</v>
      </c>
      <c r="BE136" t="str">
        <f>T("BL 소설 e북 &gt; 현대물")</f>
        <v>BL 소설 e북 &gt; 현대물</v>
      </c>
    </row>
    <row r="137" spans="1:58" x14ac:dyDescent="0.3">
      <c r="B137">
        <v>1525015117</v>
      </c>
      <c r="C137" t="str">
        <f>T("[e북]나만 봐")</f>
        <v>[e북]나만 봐</v>
      </c>
      <c r="E137" t="str">
        <f>T("이진희")</f>
        <v>이진희</v>
      </c>
      <c r="H137" t="str">
        <f>T("밀리오리지널")</f>
        <v>밀리오리지널</v>
      </c>
      <c r="J137">
        <v>2500</v>
      </c>
      <c r="K137">
        <v>7500</v>
      </c>
      <c r="L137">
        <v>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7500</v>
      </c>
      <c r="AH137">
        <v>3</v>
      </c>
      <c r="AI137">
        <v>0</v>
      </c>
      <c r="AJ137">
        <v>0</v>
      </c>
      <c r="AK137">
        <v>7500</v>
      </c>
      <c r="AL137">
        <v>0</v>
      </c>
      <c r="AM137">
        <v>0</v>
      </c>
      <c r="AN137">
        <v>0</v>
      </c>
      <c r="AO137">
        <v>0</v>
      </c>
      <c r="AQ137">
        <v>0</v>
      </c>
      <c r="AR137">
        <v>0</v>
      </c>
      <c r="AT137">
        <v>0</v>
      </c>
      <c r="AU137">
        <v>0</v>
      </c>
      <c r="AW137">
        <v>0</v>
      </c>
      <c r="AX137">
        <v>0</v>
      </c>
      <c r="AY137">
        <v>5250</v>
      </c>
      <c r="BC137" t="str">
        <f>T("9791192123097")</f>
        <v>9791192123097</v>
      </c>
      <c r="BE137" t="str">
        <f>T("로맨스 e북 &gt; 현대물")</f>
        <v>로맨스 e북 &gt; 현대물</v>
      </c>
      <c r="BF137" t="str">
        <f>T("로맨스 e북 &gt; 19+")</f>
        <v>로맨스 e북 &gt; 19+</v>
      </c>
    </row>
    <row r="138" spans="1:58" x14ac:dyDescent="0.3">
      <c r="B138">
        <v>1525013426</v>
      </c>
      <c r="C138" t="str">
        <f>T("[e북]새벽달")</f>
        <v>[e북]새벽달</v>
      </c>
      <c r="E138" t="str">
        <f>T("김혜연")</f>
        <v>김혜연</v>
      </c>
      <c r="H138" t="str">
        <f>T("밀리오리지널")</f>
        <v>밀리오리지널</v>
      </c>
      <c r="J138">
        <v>2500</v>
      </c>
      <c r="K138">
        <v>7500</v>
      </c>
      <c r="L138">
        <v>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7500</v>
      </c>
      <c r="AH138">
        <v>3</v>
      </c>
      <c r="AI138">
        <v>0</v>
      </c>
      <c r="AJ138">
        <v>0</v>
      </c>
      <c r="AK138">
        <v>6394</v>
      </c>
      <c r="AL138">
        <v>0</v>
      </c>
      <c r="AM138">
        <v>1327.2</v>
      </c>
      <c r="AN138">
        <v>-132.72</v>
      </c>
      <c r="AO138">
        <v>0</v>
      </c>
      <c r="AQ138">
        <v>0</v>
      </c>
      <c r="AR138">
        <v>0</v>
      </c>
      <c r="AS138">
        <v>1327.2</v>
      </c>
      <c r="AT138">
        <v>-132.72</v>
      </c>
      <c r="AU138">
        <v>0</v>
      </c>
      <c r="AW138">
        <v>0</v>
      </c>
      <c r="AX138">
        <v>0</v>
      </c>
      <c r="AY138">
        <v>5311.94</v>
      </c>
      <c r="BA138" t="str">
        <f>T("0000000000000")</f>
        <v>0000000000000</v>
      </c>
      <c r="BC138" t="str">
        <f>T("9791191562057")</f>
        <v>9791191562057</v>
      </c>
      <c r="BE138" t="str">
        <f>T("로맨스 e북 &gt; 역사/시대물")</f>
        <v>로맨스 e북 &gt; 역사/시대물</v>
      </c>
      <c r="BF138" t="str">
        <f>T("로맨스 e북 &gt; 19+")</f>
        <v>로맨스 e북 &gt; 19+</v>
      </c>
    </row>
    <row r="139" spans="1:58" x14ac:dyDescent="0.3">
      <c r="A139">
        <v>1525008215</v>
      </c>
      <c r="B139">
        <v>1525008216</v>
      </c>
      <c r="C139" t="str">
        <f>T("[e북]그 순간, 별이 빛났다 2권")</f>
        <v>[e북]그 순간, 별이 빛났다 2권</v>
      </c>
      <c r="D139" t="str">
        <f>T("2")</f>
        <v>2</v>
      </c>
      <c r="E139" t="str">
        <f>T("성실")</f>
        <v>성실</v>
      </c>
      <c r="H139" t="str">
        <f>T("블러쉬")</f>
        <v>블러쉬</v>
      </c>
      <c r="I139" t="str">
        <f>T("[e북]그 순간, 별이 빛났다")</f>
        <v>[e북]그 순간, 별이 빛났다</v>
      </c>
      <c r="J139">
        <v>3500</v>
      </c>
      <c r="K139">
        <v>7000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7000</v>
      </c>
      <c r="AH139">
        <v>2</v>
      </c>
      <c r="AI139">
        <v>0</v>
      </c>
      <c r="AJ139">
        <v>0</v>
      </c>
      <c r="AK139">
        <v>7000</v>
      </c>
      <c r="AL139">
        <v>0</v>
      </c>
      <c r="AM139">
        <v>0</v>
      </c>
      <c r="AN139">
        <v>0</v>
      </c>
      <c r="AO139">
        <v>0</v>
      </c>
      <c r="AQ139">
        <v>0</v>
      </c>
      <c r="AR139">
        <v>0</v>
      </c>
      <c r="AT139">
        <v>0</v>
      </c>
      <c r="AU139">
        <v>0</v>
      </c>
      <c r="AW139">
        <v>0</v>
      </c>
      <c r="AX139">
        <v>0</v>
      </c>
      <c r="AY139">
        <v>4900</v>
      </c>
      <c r="BA139" t="str">
        <f>T("0000000000000")</f>
        <v>0000000000000</v>
      </c>
      <c r="BC139" t="str">
        <f>T("9791166481857")</f>
        <v>9791166481857</v>
      </c>
      <c r="BE139" t="str">
        <f>T("BL 소설 e북 &gt; 현대물")</f>
        <v>BL 소설 e북 &gt; 현대물</v>
      </c>
    </row>
    <row r="140" spans="1:58" x14ac:dyDescent="0.3">
      <c r="B140">
        <v>1525014478</v>
      </c>
      <c r="C140" t="str">
        <f>T("[e북]빠져들다")</f>
        <v>[e북]빠져들다</v>
      </c>
      <c r="E140" t="str">
        <f>T("알리시아")</f>
        <v>알리시아</v>
      </c>
      <c r="H140" t="str">
        <f>T("밀리오리지널")</f>
        <v>밀리오리지널</v>
      </c>
      <c r="J140">
        <v>2500</v>
      </c>
      <c r="K140">
        <v>7000</v>
      </c>
      <c r="L140">
        <v>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7000</v>
      </c>
      <c r="AH140">
        <v>3</v>
      </c>
      <c r="AI140">
        <v>0</v>
      </c>
      <c r="AJ140">
        <v>0</v>
      </c>
      <c r="AK140">
        <v>6540</v>
      </c>
      <c r="AL140">
        <v>0</v>
      </c>
      <c r="AM140">
        <v>552</v>
      </c>
      <c r="AN140">
        <v>-165.6</v>
      </c>
      <c r="AO140">
        <v>0</v>
      </c>
      <c r="AQ140">
        <v>0</v>
      </c>
      <c r="AR140">
        <v>0</v>
      </c>
      <c r="AS140">
        <v>552</v>
      </c>
      <c r="AT140">
        <v>-165.6</v>
      </c>
      <c r="AU140">
        <v>0</v>
      </c>
      <c r="AW140">
        <v>0</v>
      </c>
      <c r="AX140">
        <v>0</v>
      </c>
      <c r="AY140">
        <v>4848.4799999999996</v>
      </c>
      <c r="BC140" t="str">
        <f>T("9791191562842")</f>
        <v>9791191562842</v>
      </c>
      <c r="BE140" t="str">
        <f>T("로맨스 e북 &gt; 현대물")</f>
        <v>로맨스 e북 &gt; 현대물</v>
      </c>
      <c r="BF140" t="str">
        <f>T("로맨스 e북 &gt; 19+")</f>
        <v>로맨스 e북 &gt; 19+</v>
      </c>
    </row>
    <row r="141" spans="1:58" x14ac:dyDescent="0.3">
      <c r="B141">
        <v>1525008218</v>
      </c>
      <c r="C141" t="str">
        <f>T("[e북]개만도 못한,")</f>
        <v>[e북]개만도 못한,</v>
      </c>
      <c r="E141" t="str">
        <f>T("진도넛")</f>
        <v>진도넛</v>
      </c>
      <c r="H141" t="str">
        <f>T("블러쉬")</f>
        <v>블러쉬</v>
      </c>
      <c r="J141">
        <v>3400</v>
      </c>
      <c r="K141">
        <v>6800</v>
      </c>
      <c r="L141">
        <v>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6800</v>
      </c>
      <c r="AH141">
        <v>2</v>
      </c>
      <c r="AI141">
        <v>0</v>
      </c>
      <c r="AJ141">
        <v>0</v>
      </c>
      <c r="AK141">
        <v>6800</v>
      </c>
      <c r="AL141">
        <v>0</v>
      </c>
      <c r="AM141">
        <v>0</v>
      </c>
      <c r="AN141">
        <v>0</v>
      </c>
      <c r="AO141">
        <v>0</v>
      </c>
      <c r="AQ141">
        <v>0</v>
      </c>
      <c r="AR141">
        <v>0</v>
      </c>
      <c r="AT141">
        <v>0</v>
      </c>
      <c r="AU141">
        <v>0</v>
      </c>
      <c r="AW141">
        <v>0</v>
      </c>
      <c r="AX141">
        <v>0</v>
      </c>
      <c r="AY141">
        <v>4760</v>
      </c>
      <c r="BA141" t="str">
        <f>T("0000000000000")</f>
        <v>0000000000000</v>
      </c>
      <c r="BC141" t="str">
        <f>T("9791166481895")</f>
        <v>9791166481895</v>
      </c>
      <c r="BE141" t="str">
        <f>T("BL 소설 e북 &gt; 현대물")</f>
        <v>BL 소설 e북 &gt; 현대물</v>
      </c>
    </row>
    <row r="142" spans="1:58" x14ac:dyDescent="0.3">
      <c r="B142">
        <v>1525014458</v>
      </c>
      <c r="C142" t="str">
        <f>T("[e북]하일군재래(何日君再來)")</f>
        <v>[e북]하일군재래(何日君再來)</v>
      </c>
      <c r="E142" t="str">
        <f>T("신윤희(에드가)")</f>
        <v>신윤희(에드가)</v>
      </c>
      <c r="H142" t="str">
        <f>T("밀리오리지널")</f>
        <v>밀리오리지널</v>
      </c>
      <c r="J142">
        <v>2500</v>
      </c>
      <c r="K142">
        <v>6750</v>
      </c>
      <c r="L142">
        <v>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6750</v>
      </c>
      <c r="AH142">
        <v>3</v>
      </c>
      <c r="AI142">
        <v>0</v>
      </c>
      <c r="AJ142">
        <v>0</v>
      </c>
      <c r="AK142">
        <v>6750</v>
      </c>
      <c r="AL142">
        <v>0</v>
      </c>
      <c r="AM142">
        <v>0</v>
      </c>
      <c r="AN142">
        <v>0</v>
      </c>
      <c r="AO142">
        <v>0</v>
      </c>
      <c r="AQ142">
        <v>0</v>
      </c>
      <c r="AR142">
        <v>0</v>
      </c>
      <c r="AT142">
        <v>0</v>
      </c>
      <c r="AU142">
        <v>0</v>
      </c>
      <c r="AW142">
        <v>0</v>
      </c>
      <c r="AX142">
        <v>0</v>
      </c>
      <c r="AY142">
        <v>4725</v>
      </c>
      <c r="BC142" t="str">
        <f>T("9791191562835")</f>
        <v>9791191562835</v>
      </c>
      <c r="BE142" t="str">
        <f>T("로맨스 e북 &gt; 역사/시대물")</f>
        <v>로맨스 e북 &gt; 역사/시대물</v>
      </c>
      <c r="BF142" t="str">
        <f>T("로맨스 e북 &gt; 19+")</f>
        <v>로맨스 e북 &gt; 19+</v>
      </c>
    </row>
    <row r="143" spans="1:58" x14ac:dyDescent="0.3">
      <c r="A143">
        <v>1525007857</v>
      </c>
      <c r="B143">
        <v>1525007857</v>
      </c>
      <c r="C143" t="str">
        <f>T("[e북]황궁애사 1권")</f>
        <v>[e북]황궁애사 1권</v>
      </c>
      <c r="D143" t="str">
        <f>T("1")</f>
        <v>1</v>
      </c>
      <c r="E143" t="str">
        <f>T("연유")</f>
        <v>연유</v>
      </c>
      <c r="H143" t="str">
        <f>T("쉬라즈")</f>
        <v>쉬라즈</v>
      </c>
      <c r="I143" t="str">
        <f>T("[e북]황궁애사")</f>
        <v>[e북]황궁애사</v>
      </c>
      <c r="J143">
        <v>3500</v>
      </c>
      <c r="K143">
        <v>6650</v>
      </c>
      <c r="L143">
        <v>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6650</v>
      </c>
      <c r="AH143">
        <v>2</v>
      </c>
      <c r="AI143">
        <v>0</v>
      </c>
      <c r="AJ143">
        <v>0</v>
      </c>
      <c r="AK143">
        <v>6650</v>
      </c>
      <c r="AL143">
        <v>0</v>
      </c>
      <c r="AM143">
        <v>0</v>
      </c>
      <c r="AN143">
        <v>0</v>
      </c>
      <c r="AO143">
        <v>0</v>
      </c>
      <c r="AQ143">
        <v>0</v>
      </c>
      <c r="AR143">
        <v>0</v>
      </c>
      <c r="AT143">
        <v>0</v>
      </c>
      <c r="AU143">
        <v>0</v>
      </c>
      <c r="AW143">
        <v>0</v>
      </c>
      <c r="AX143">
        <v>0</v>
      </c>
      <c r="AY143">
        <v>4655</v>
      </c>
      <c r="BA143" t="str">
        <f>T("0000000000000")</f>
        <v>0000000000000</v>
      </c>
      <c r="BC143" t="str">
        <f>T("9791164897629")</f>
        <v>9791164897629</v>
      </c>
      <c r="BE143" t="str">
        <f>T("로맨스 e북 &gt; 역사/시대물")</f>
        <v>로맨스 e북 &gt; 역사/시대물</v>
      </c>
      <c r="BF143" t="str">
        <f>T("로맨스 e북 &gt; 19+")</f>
        <v>로맨스 e북 &gt; 19+</v>
      </c>
    </row>
    <row r="144" spans="1:58" x14ac:dyDescent="0.3">
      <c r="A144">
        <v>1525012518</v>
      </c>
      <c r="B144">
        <v>1525012523</v>
      </c>
      <c r="C144" t="str">
        <f>T("[e북]홍염의 덫 6권 (완결)")</f>
        <v>[e북]홍염의 덫 6권 (완결)</v>
      </c>
      <c r="D144" t="str">
        <f>T("6")</f>
        <v>6</v>
      </c>
      <c r="E144" t="str">
        <f>T("무슈슈")</f>
        <v>무슈슈</v>
      </c>
      <c r="H144" t="str">
        <f t="shared" ref="H144:H149" si="19">T("블러쉬")</f>
        <v>블러쉬</v>
      </c>
      <c r="I144" t="str">
        <f>T("[e북]홍염의 덫")</f>
        <v>[e북]홍염의 덫</v>
      </c>
      <c r="J144">
        <v>3300</v>
      </c>
      <c r="K144">
        <v>6600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6600</v>
      </c>
      <c r="AH144">
        <v>2</v>
      </c>
      <c r="AI144">
        <v>0</v>
      </c>
      <c r="AJ144">
        <v>0</v>
      </c>
      <c r="AK144">
        <v>6589</v>
      </c>
      <c r="AL144">
        <v>0</v>
      </c>
      <c r="AM144">
        <v>13.2</v>
      </c>
      <c r="AN144">
        <v>-1.32</v>
      </c>
      <c r="AO144">
        <v>0</v>
      </c>
      <c r="AQ144">
        <v>0</v>
      </c>
      <c r="AR144">
        <v>0</v>
      </c>
      <c r="AS144">
        <v>13.2</v>
      </c>
      <c r="AT144">
        <v>-1.32</v>
      </c>
      <c r="AU144">
        <v>0</v>
      </c>
      <c r="AW144">
        <v>0</v>
      </c>
      <c r="AX144">
        <v>0</v>
      </c>
      <c r="AY144">
        <v>4620.62</v>
      </c>
      <c r="BC144" t="str">
        <f>T("9791166482151")</f>
        <v>9791166482151</v>
      </c>
      <c r="BE144" t="str">
        <f>T("BL 소설 e북 &gt; 역사/시대물")</f>
        <v>BL 소설 e북 &gt; 역사/시대물</v>
      </c>
    </row>
    <row r="145" spans="1:57" x14ac:dyDescent="0.3">
      <c r="A145">
        <v>1525012518</v>
      </c>
      <c r="B145">
        <v>1525012522</v>
      </c>
      <c r="C145" t="str">
        <f>T("[e북]홍염의 덫 5권")</f>
        <v>[e북]홍염의 덫 5권</v>
      </c>
      <c r="D145" t="str">
        <f>T("5")</f>
        <v>5</v>
      </c>
      <c r="E145" t="str">
        <f>T("무슈슈")</f>
        <v>무슈슈</v>
      </c>
      <c r="H145" t="str">
        <f t="shared" si="19"/>
        <v>블러쉬</v>
      </c>
      <c r="I145" t="str">
        <f>T("[e북]홍염의 덫")</f>
        <v>[e북]홍염의 덫</v>
      </c>
      <c r="J145">
        <v>3300</v>
      </c>
      <c r="K145">
        <v>6600</v>
      </c>
      <c r="L145">
        <v>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6600</v>
      </c>
      <c r="AH145">
        <v>2</v>
      </c>
      <c r="AI145">
        <v>0</v>
      </c>
      <c r="AJ145">
        <v>0</v>
      </c>
      <c r="AK145">
        <v>6589</v>
      </c>
      <c r="AL145">
        <v>0</v>
      </c>
      <c r="AM145">
        <v>13.2</v>
      </c>
      <c r="AN145">
        <v>-1.32</v>
      </c>
      <c r="AO145">
        <v>0</v>
      </c>
      <c r="AQ145">
        <v>0</v>
      </c>
      <c r="AR145">
        <v>0</v>
      </c>
      <c r="AS145">
        <v>13.2</v>
      </c>
      <c r="AT145">
        <v>-1.32</v>
      </c>
      <c r="AU145">
        <v>0</v>
      </c>
      <c r="AW145">
        <v>0</v>
      </c>
      <c r="AX145">
        <v>0</v>
      </c>
      <c r="AY145">
        <v>4620.62</v>
      </c>
      <c r="BC145" t="str">
        <f>T("9791166482144")</f>
        <v>9791166482144</v>
      </c>
      <c r="BE145" t="str">
        <f>T("BL 소설 e북 &gt; 역사/시대물")</f>
        <v>BL 소설 e북 &gt; 역사/시대물</v>
      </c>
    </row>
    <row r="146" spans="1:57" x14ac:dyDescent="0.3">
      <c r="A146">
        <v>1525012518</v>
      </c>
      <c r="B146">
        <v>1525012521</v>
      </c>
      <c r="C146" t="str">
        <f>T("[e북]홍염의 덫 4권")</f>
        <v>[e북]홍염의 덫 4권</v>
      </c>
      <c r="D146" t="str">
        <f>T("4")</f>
        <v>4</v>
      </c>
      <c r="E146" t="str">
        <f>T("무슈슈")</f>
        <v>무슈슈</v>
      </c>
      <c r="H146" t="str">
        <f t="shared" si="19"/>
        <v>블러쉬</v>
      </c>
      <c r="I146" t="str">
        <f>T("[e북]홍염의 덫")</f>
        <v>[e북]홍염의 덫</v>
      </c>
      <c r="J146">
        <v>3300</v>
      </c>
      <c r="K146">
        <v>6600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6600</v>
      </c>
      <c r="AH146">
        <v>2</v>
      </c>
      <c r="AI146">
        <v>0</v>
      </c>
      <c r="AJ146">
        <v>0</v>
      </c>
      <c r="AK146">
        <v>6589</v>
      </c>
      <c r="AL146">
        <v>0</v>
      </c>
      <c r="AM146">
        <v>13.2</v>
      </c>
      <c r="AN146">
        <v>-1.32</v>
      </c>
      <c r="AO146">
        <v>0</v>
      </c>
      <c r="AQ146">
        <v>0</v>
      </c>
      <c r="AR146">
        <v>0</v>
      </c>
      <c r="AS146">
        <v>13.2</v>
      </c>
      <c r="AT146">
        <v>-1.32</v>
      </c>
      <c r="AU146">
        <v>0</v>
      </c>
      <c r="AW146">
        <v>0</v>
      </c>
      <c r="AX146">
        <v>0</v>
      </c>
      <c r="AY146">
        <v>4620.62</v>
      </c>
      <c r="BC146" t="str">
        <f>T("9791166482137")</f>
        <v>9791166482137</v>
      </c>
      <c r="BE146" t="str">
        <f>T("BL 소설 e북 &gt; 역사/시대물")</f>
        <v>BL 소설 e북 &gt; 역사/시대물</v>
      </c>
    </row>
    <row r="147" spans="1:57" x14ac:dyDescent="0.3">
      <c r="A147">
        <v>1525012518</v>
      </c>
      <c r="B147">
        <v>1525012520</v>
      </c>
      <c r="C147" t="str">
        <f>T("[e북]홍염의 덫 3권")</f>
        <v>[e북]홍염의 덫 3권</v>
      </c>
      <c r="D147" t="str">
        <f>T("3")</f>
        <v>3</v>
      </c>
      <c r="E147" t="str">
        <f>T("무슈슈")</f>
        <v>무슈슈</v>
      </c>
      <c r="H147" t="str">
        <f t="shared" si="19"/>
        <v>블러쉬</v>
      </c>
      <c r="I147" t="str">
        <f>T("[e북]홍염의 덫")</f>
        <v>[e북]홍염의 덫</v>
      </c>
      <c r="J147">
        <v>3300</v>
      </c>
      <c r="K147">
        <v>6600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6600</v>
      </c>
      <c r="AH147">
        <v>2</v>
      </c>
      <c r="AI147">
        <v>0</v>
      </c>
      <c r="AJ147">
        <v>0</v>
      </c>
      <c r="AK147">
        <v>6589</v>
      </c>
      <c r="AL147">
        <v>0</v>
      </c>
      <c r="AM147">
        <v>13.2</v>
      </c>
      <c r="AN147">
        <v>-1.32</v>
      </c>
      <c r="AO147">
        <v>0</v>
      </c>
      <c r="AQ147">
        <v>0</v>
      </c>
      <c r="AR147">
        <v>0</v>
      </c>
      <c r="AS147">
        <v>13.2</v>
      </c>
      <c r="AT147">
        <v>-1.32</v>
      </c>
      <c r="AU147">
        <v>0</v>
      </c>
      <c r="AW147">
        <v>0</v>
      </c>
      <c r="AX147">
        <v>0</v>
      </c>
      <c r="AY147">
        <v>4620.62</v>
      </c>
      <c r="BC147" t="str">
        <f>T("9791166482120")</f>
        <v>9791166482120</v>
      </c>
      <c r="BE147" t="str">
        <f>T("BL 소설 e북 &gt; 역사/시대물")</f>
        <v>BL 소설 e북 &gt; 역사/시대물</v>
      </c>
    </row>
    <row r="148" spans="1:57" x14ac:dyDescent="0.3">
      <c r="A148">
        <v>1525012518</v>
      </c>
      <c r="B148">
        <v>1525012519</v>
      </c>
      <c r="C148" t="str">
        <f>T("[e북]홍염의 덫 2권")</f>
        <v>[e북]홍염의 덫 2권</v>
      </c>
      <c r="D148" t="str">
        <f>T("2")</f>
        <v>2</v>
      </c>
      <c r="E148" t="str">
        <f>T("무슈슈")</f>
        <v>무슈슈</v>
      </c>
      <c r="H148" t="str">
        <f t="shared" si="19"/>
        <v>블러쉬</v>
      </c>
      <c r="I148" t="str">
        <f>T("[e북]홍염의 덫")</f>
        <v>[e북]홍염의 덫</v>
      </c>
      <c r="J148">
        <v>3300</v>
      </c>
      <c r="K148">
        <v>6600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6600</v>
      </c>
      <c r="AH148">
        <v>2</v>
      </c>
      <c r="AI148">
        <v>0</v>
      </c>
      <c r="AJ148">
        <v>0</v>
      </c>
      <c r="AK148">
        <v>6589</v>
      </c>
      <c r="AL148">
        <v>0</v>
      </c>
      <c r="AM148">
        <v>13.2</v>
      </c>
      <c r="AN148">
        <v>-1.32</v>
      </c>
      <c r="AO148">
        <v>0</v>
      </c>
      <c r="AQ148">
        <v>0</v>
      </c>
      <c r="AR148">
        <v>0</v>
      </c>
      <c r="AS148">
        <v>13.2</v>
      </c>
      <c r="AT148">
        <v>-1.32</v>
      </c>
      <c r="AU148">
        <v>0</v>
      </c>
      <c r="AW148">
        <v>0</v>
      </c>
      <c r="AX148">
        <v>0</v>
      </c>
      <c r="AY148">
        <v>4620.62</v>
      </c>
      <c r="BC148" t="str">
        <f>T("9791166482113")</f>
        <v>9791166482113</v>
      </c>
      <c r="BE148" t="str">
        <f>T("BL 소설 e북 &gt; 역사/시대물")</f>
        <v>BL 소설 e북 &gt; 역사/시대물</v>
      </c>
    </row>
    <row r="149" spans="1:57" x14ac:dyDescent="0.3">
      <c r="A149">
        <v>1525008021</v>
      </c>
      <c r="B149">
        <v>1525008021</v>
      </c>
      <c r="C149" t="str">
        <f>T("[e북]나는 내 연인의 것 1권")</f>
        <v>[e북]나는 내 연인의 것 1권</v>
      </c>
      <c r="D149" t="str">
        <f>T("1")</f>
        <v>1</v>
      </c>
      <c r="E149" t="str">
        <f>T("SISSI")</f>
        <v>SISSI</v>
      </c>
      <c r="H149" t="str">
        <f t="shared" si="19"/>
        <v>블러쉬</v>
      </c>
      <c r="I149" t="str">
        <f>T("[e북]나는 내 연인의 것")</f>
        <v>[e북]나는 내 연인의 것</v>
      </c>
      <c r="J149">
        <v>3200</v>
      </c>
      <c r="K149">
        <v>6400</v>
      </c>
      <c r="L149">
        <v>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6400</v>
      </c>
      <c r="AH149">
        <v>2</v>
      </c>
      <c r="AI149">
        <v>0</v>
      </c>
      <c r="AJ149">
        <v>0</v>
      </c>
      <c r="AK149">
        <v>6400</v>
      </c>
      <c r="AL149">
        <v>0</v>
      </c>
      <c r="AM149">
        <v>0</v>
      </c>
      <c r="AN149">
        <v>0</v>
      </c>
      <c r="AO149">
        <v>0</v>
      </c>
      <c r="AQ149">
        <v>0</v>
      </c>
      <c r="AR149">
        <v>0</v>
      </c>
      <c r="AT149">
        <v>0</v>
      </c>
      <c r="AU149">
        <v>0</v>
      </c>
      <c r="AW149">
        <v>0</v>
      </c>
      <c r="AX149">
        <v>0</v>
      </c>
      <c r="AY149">
        <v>4480</v>
      </c>
      <c r="BA149" t="str">
        <f>T("0000000000000")</f>
        <v>0000000000000</v>
      </c>
      <c r="BC149" t="str">
        <f>T("9791164899401")</f>
        <v>9791164899401</v>
      </c>
      <c r="BE149" t="str">
        <f>T("BL 소설 e북 &gt; 현대물")</f>
        <v>BL 소설 e북 &gt; 현대물</v>
      </c>
    </row>
    <row r="150" spans="1:57" x14ac:dyDescent="0.3">
      <c r="A150">
        <v>1525000158</v>
      </c>
      <c r="B150">
        <v>1525000161</v>
      </c>
      <c r="C150" t="str">
        <f>T("[e북]아나크레온 4권")</f>
        <v>[e북]아나크레온 4권</v>
      </c>
      <c r="D150" t="str">
        <f>T("4")</f>
        <v>4</v>
      </c>
      <c r="E150" t="str">
        <f>T("김정률")</f>
        <v>김정률</v>
      </c>
      <c r="H150" t="str">
        <f t="shared" ref="H150:H167" si="20">T("스토리위즈")</f>
        <v>스토리위즈</v>
      </c>
      <c r="I150" t="str">
        <f>T("[e북]아나크레온")</f>
        <v>[e북]아나크레온</v>
      </c>
      <c r="J150">
        <v>3200</v>
      </c>
      <c r="K150">
        <v>6400</v>
      </c>
      <c r="L150">
        <v>2</v>
      </c>
      <c r="M150">
        <v>0</v>
      </c>
      <c r="N150">
        <v>5400</v>
      </c>
      <c r="O150">
        <v>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11800</v>
      </c>
      <c r="AH150">
        <v>8</v>
      </c>
      <c r="AI150">
        <v>0</v>
      </c>
      <c r="AJ150">
        <v>0</v>
      </c>
      <c r="AK150">
        <v>5900</v>
      </c>
      <c r="AL150">
        <v>0</v>
      </c>
      <c r="AM150">
        <v>7080</v>
      </c>
      <c r="AN150">
        <v>-2124</v>
      </c>
      <c r="AO150">
        <v>0</v>
      </c>
      <c r="AP150">
        <v>2160</v>
      </c>
      <c r="AQ150">
        <v>-648</v>
      </c>
      <c r="AR150">
        <v>0</v>
      </c>
      <c r="AS150">
        <v>4920</v>
      </c>
      <c r="AT150">
        <v>-1476</v>
      </c>
      <c r="AU150">
        <v>0</v>
      </c>
      <c r="AW150">
        <v>0</v>
      </c>
      <c r="AX150">
        <v>0</v>
      </c>
      <c r="AY150">
        <v>7599.2</v>
      </c>
      <c r="BE150" t="str">
        <f>T("판타지 e북 &gt; 퓨전 판타지")</f>
        <v>판타지 e북 &gt; 퓨전 판타지</v>
      </c>
    </row>
    <row r="151" spans="1:57" x14ac:dyDescent="0.3">
      <c r="A151">
        <v>1525005640</v>
      </c>
      <c r="B151">
        <v>1525007211</v>
      </c>
      <c r="C151" t="str">
        <f>T("[e북]회귀의 전설 2부 32권")</f>
        <v>[e북]회귀의 전설 2부 32권</v>
      </c>
      <c r="D151" t="str">
        <f>T("32")</f>
        <v>32</v>
      </c>
      <c r="E151" t="str">
        <f>T("김광수")</f>
        <v>김광수</v>
      </c>
      <c r="H151" t="str">
        <f t="shared" si="20"/>
        <v>스토리위즈</v>
      </c>
      <c r="I151" t="str">
        <f>T("[e북]회귀의 전설")</f>
        <v>[e북]회귀의 전설</v>
      </c>
      <c r="J151">
        <v>3200</v>
      </c>
      <c r="K151">
        <v>6400</v>
      </c>
      <c r="L151">
        <v>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6400</v>
      </c>
      <c r="AH151">
        <v>2</v>
      </c>
      <c r="AI151">
        <v>0</v>
      </c>
      <c r="AJ151">
        <v>0</v>
      </c>
      <c r="AK151">
        <v>3200</v>
      </c>
      <c r="AL151">
        <v>0</v>
      </c>
      <c r="AM151">
        <v>3840</v>
      </c>
      <c r="AN151">
        <v>-1152</v>
      </c>
      <c r="AO151">
        <v>0</v>
      </c>
      <c r="AQ151">
        <v>0</v>
      </c>
      <c r="AR151">
        <v>0</v>
      </c>
      <c r="AS151">
        <v>3840</v>
      </c>
      <c r="AT151">
        <v>-1152</v>
      </c>
      <c r="AU151">
        <v>0</v>
      </c>
      <c r="AW151">
        <v>0</v>
      </c>
      <c r="AX151">
        <v>0</v>
      </c>
      <c r="AY151">
        <v>4121.6000000000004</v>
      </c>
      <c r="BC151" t="str">
        <f>T("9791166300561")</f>
        <v>9791166300561</v>
      </c>
      <c r="BE151" t="str">
        <f>T("판타지 e북 &gt; 현대 판타지")</f>
        <v>판타지 e북 &gt; 현대 판타지</v>
      </c>
    </row>
    <row r="152" spans="1:57" x14ac:dyDescent="0.3">
      <c r="A152">
        <v>1525000113</v>
      </c>
      <c r="B152">
        <v>1525000117</v>
      </c>
      <c r="C152" t="str">
        <f>T("[e북]마왕 데이몬 5권")</f>
        <v>[e북]마왕 데이몬 5권</v>
      </c>
      <c r="D152" t="str">
        <f>T("5")</f>
        <v>5</v>
      </c>
      <c r="E152" t="str">
        <f>T("김정률")</f>
        <v>김정률</v>
      </c>
      <c r="H152" t="str">
        <f t="shared" si="20"/>
        <v>스토리위즈</v>
      </c>
      <c r="I152" t="str">
        <f>T("[e북]마왕 데이몬")</f>
        <v>[e북]마왕 데이몬</v>
      </c>
      <c r="J152">
        <v>3200</v>
      </c>
      <c r="K152">
        <v>6400</v>
      </c>
      <c r="L152">
        <v>2</v>
      </c>
      <c r="M152">
        <v>0</v>
      </c>
      <c r="N152">
        <v>7200</v>
      </c>
      <c r="O152">
        <v>8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13600</v>
      </c>
      <c r="AH152">
        <v>10</v>
      </c>
      <c r="AI152">
        <v>0</v>
      </c>
      <c r="AJ152">
        <v>0</v>
      </c>
      <c r="AK152">
        <v>4262</v>
      </c>
      <c r="AL152">
        <v>0</v>
      </c>
      <c r="AM152">
        <v>11205.6</v>
      </c>
      <c r="AN152">
        <v>-2104.56</v>
      </c>
      <c r="AO152">
        <v>0</v>
      </c>
      <c r="AP152">
        <v>3840</v>
      </c>
      <c r="AQ152">
        <v>-1152</v>
      </c>
      <c r="AR152">
        <v>0</v>
      </c>
      <c r="AS152">
        <v>7365.6</v>
      </c>
      <c r="AT152">
        <v>-952.56</v>
      </c>
      <c r="AU152">
        <v>0</v>
      </c>
      <c r="AW152">
        <v>0</v>
      </c>
      <c r="AX152">
        <v>0</v>
      </c>
      <c r="AY152">
        <v>9354.1299999999992</v>
      </c>
      <c r="BC152" t="str">
        <f>T("9788925723860")</f>
        <v>9788925723860</v>
      </c>
      <c r="BE152" t="str">
        <f>T("판타지 e북 &gt; 현대 판타지")</f>
        <v>판타지 e북 &gt; 현대 판타지</v>
      </c>
    </row>
    <row r="153" spans="1:57" x14ac:dyDescent="0.3">
      <c r="A153">
        <v>1525005640</v>
      </c>
      <c r="B153">
        <v>1525007210</v>
      </c>
      <c r="C153" t="str">
        <f>T("[e북]회귀의 전설 2부 31권")</f>
        <v>[e북]회귀의 전설 2부 31권</v>
      </c>
      <c r="D153" t="str">
        <f>T("31")</f>
        <v>31</v>
      </c>
      <c r="E153" t="str">
        <f>T("김광수")</f>
        <v>김광수</v>
      </c>
      <c r="H153" t="str">
        <f t="shared" si="20"/>
        <v>스토리위즈</v>
      </c>
      <c r="I153" t="str">
        <f>T("[e북]회귀의 전설")</f>
        <v>[e북]회귀의 전설</v>
      </c>
      <c r="J153">
        <v>3200</v>
      </c>
      <c r="K153">
        <v>6400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6400</v>
      </c>
      <c r="AH153">
        <v>2</v>
      </c>
      <c r="AI153">
        <v>0</v>
      </c>
      <c r="AJ153">
        <v>0</v>
      </c>
      <c r="AK153">
        <v>3200</v>
      </c>
      <c r="AL153">
        <v>0</v>
      </c>
      <c r="AM153">
        <v>3840</v>
      </c>
      <c r="AN153">
        <v>-1152</v>
      </c>
      <c r="AO153">
        <v>0</v>
      </c>
      <c r="AQ153">
        <v>0</v>
      </c>
      <c r="AR153">
        <v>0</v>
      </c>
      <c r="AS153">
        <v>3840</v>
      </c>
      <c r="AT153">
        <v>-1152</v>
      </c>
      <c r="AU153">
        <v>0</v>
      </c>
      <c r="AW153">
        <v>0</v>
      </c>
      <c r="AX153">
        <v>0</v>
      </c>
      <c r="AY153">
        <v>4121.6000000000004</v>
      </c>
      <c r="BC153" t="str">
        <f>T("9791166300554")</f>
        <v>9791166300554</v>
      </c>
      <c r="BE153" t="str">
        <f>T("판타지 e북 &gt; 현대 판타지")</f>
        <v>판타지 e북 &gt; 현대 판타지</v>
      </c>
    </row>
    <row r="154" spans="1:57" x14ac:dyDescent="0.3">
      <c r="A154">
        <v>1525000158</v>
      </c>
      <c r="B154">
        <v>1525000160</v>
      </c>
      <c r="C154" t="str">
        <f>T("[e북]아나크레온 3권")</f>
        <v>[e북]아나크레온 3권</v>
      </c>
      <c r="D154" t="str">
        <f>T("3")</f>
        <v>3</v>
      </c>
      <c r="E154" t="str">
        <f>T("김정률")</f>
        <v>김정률</v>
      </c>
      <c r="H154" t="str">
        <f t="shared" si="20"/>
        <v>스토리위즈</v>
      </c>
      <c r="I154" t="str">
        <f>T("[e북]아나크레온")</f>
        <v>[e북]아나크레온</v>
      </c>
      <c r="J154">
        <v>3200</v>
      </c>
      <c r="K154">
        <v>6400</v>
      </c>
      <c r="L154">
        <v>2</v>
      </c>
      <c r="M154">
        <v>0</v>
      </c>
      <c r="N154">
        <v>5400</v>
      </c>
      <c r="O154">
        <v>6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11800</v>
      </c>
      <c r="AH154">
        <v>8</v>
      </c>
      <c r="AI154">
        <v>0</v>
      </c>
      <c r="AJ154">
        <v>0</v>
      </c>
      <c r="AK154">
        <v>5900</v>
      </c>
      <c r="AL154">
        <v>0</v>
      </c>
      <c r="AM154">
        <v>7080</v>
      </c>
      <c r="AN154">
        <v>-2124</v>
      </c>
      <c r="AO154">
        <v>0</v>
      </c>
      <c r="AP154">
        <v>2160</v>
      </c>
      <c r="AQ154">
        <v>-648</v>
      </c>
      <c r="AR154">
        <v>0</v>
      </c>
      <c r="AS154">
        <v>4920</v>
      </c>
      <c r="AT154">
        <v>-1476</v>
      </c>
      <c r="AU154">
        <v>0</v>
      </c>
      <c r="AW154">
        <v>0</v>
      </c>
      <c r="AX154">
        <v>0</v>
      </c>
      <c r="AY154">
        <v>7599.2</v>
      </c>
      <c r="BE154" t="str">
        <f>T("판타지 e북 &gt; 퓨전 판타지")</f>
        <v>판타지 e북 &gt; 퓨전 판타지</v>
      </c>
    </row>
    <row r="155" spans="1:57" x14ac:dyDescent="0.3">
      <c r="A155">
        <v>1525005640</v>
      </c>
      <c r="B155">
        <v>1525005656</v>
      </c>
      <c r="C155" t="str">
        <f>T("[e북]회귀의 전설 1부 17권")</f>
        <v>[e북]회귀의 전설 1부 17권</v>
      </c>
      <c r="D155" t="str">
        <f>T("17")</f>
        <v>17</v>
      </c>
      <c r="E155" t="str">
        <f>T("김광수")</f>
        <v>김광수</v>
      </c>
      <c r="H155" t="str">
        <f t="shared" si="20"/>
        <v>스토리위즈</v>
      </c>
      <c r="I155" t="str">
        <f>T("[e북]회귀의 전설")</f>
        <v>[e북]회귀의 전설</v>
      </c>
      <c r="J155">
        <v>3200</v>
      </c>
      <c r="K155">
        <v>6400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6400</v>
      </c>
      <c r="AH155">
        <v>2</v>
      </c>
      <c r="AI155">
        <v>0</v>
      </c>
      <c r="AJ155">
        <v>0</v>
      </c>
      <c r="AK155">
        <v>3200</v>
      </c>
      <c r="AL155">
        <v>0</v>
      </c>
      <c r="AM155">
        <v>3840</v>
      </c>
      <c r="AN155">
        <v>-384</v>
      </c>
      <c r="AO155">
        <v>0</v>
      </c>
      <c r="AQ155">
        <v>0</v>
      </c>
      <c r="AR155">
        <v>0</v>
      </c>
      <c r="AS155">
        <v>3840</v>
      </c>
      <c r="AT155">
        <v>-384</v>
      </c>
      <c r="AU155">
        <v>0</v>
      </c>
      <c r="AW155">
        <v>0</v>
      </c>
      <c r="AX155">
        <v>0</v>
      </c>
      <c r="AY155">
        <v>4659.2</v>
      </c>
      <c r="BC155" t="str">
        <f>T("9791190937924")</f>
        <v>9791190937924</v>
      </c>
      <c r="BE155" t="str">
        <f>T("판타지 e북 &gt; 현대 판타지")</f>
        <v>판타지 e북 &gt; 현대 판타지</v>
      </c>
    </row>
    <row r="156" spans="1:57" x14ac:dyDescent="0.3">
      <c r="A156">
        <v>1525005640</v>
      </c>
      <c r="B156">
        <v>1525007213</v>
      </c>
      <c r="C156" t="str">
        <f>T("[e북]회귀의 전설 2부 34권")</f>
        <v>[e북]회귀의 전설 2부 34권</v>
      </c>
      <c r="D156" t="str">
        <f>T("34")</f>
        <v>34</v>
      </c>
      <c r="E156" t="str">
        <f>T("김광수")</f>
        <v>김광수</v>
      </c>
      <c r="H156" t="str">
        <f t="shared" si="20"/>
        <v>스토리위즈</v>
      </c>
      <c r="I156" t="str">
        <f>T("[e북]회귀의 전설")</f>
        <v>[e북]회귀의 전설</v>
      </c>
      <c r="J156">
        <v>3200</v>
      </c>
      <c r="K156">
        <v>6400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6400</v>
      </c>
      <c r="AH156">
        <v>2</v>
      </c>
      <c r="AI156">
        <v>0</v>
      </c>
      <c r="AJ156">
        <v>0</v>
      </c>
      <c r="AK156">
        <v>3200</v>
      </c>
      <c r="AL156">
        <v>0</v>
      </c>
      <c r="AM156">
        <v>3840</v>
      </c>
      <c r="AN156">
        <v>-1152</v>
      </c>
      <c r="AO156">
        <v>0</v>
      </c>
      <c r="AQ156">
        <v>0</v>
      </c>
      <c r="AR156">
        <v>0</v>
      </c>
      <c r="AS156">
        <v>3840</v>
      </c>
      <c r="AT156">
        <v>-1152</v>
      </c>
      <c r="AU156">
        <v>0</v>
      </c>
      <c r="AW156">
        <v>0</v>
      </c>
      <c r="AX156">
        <v>0</v>
      </c>
      <c r="AY156">
        <v>4121.6000000000004</v>
      </c>
      <c r="BC156" t="str">
        <f>T("9791166300585")</f>
        <v>9791166300585</v>
      </c>
      <c r="BE156" t="str">
        <f>T("판타지 e북 &gt; 현대 판타지")</f>
        <v>판타지 e북 &gt; 현대 판타지</v>
      </c>
    </row>
    <row r="157" spans="1:57" x14ac:dyDescent="0.3">
      <c r="A157">
        <v>1525000158</v>
      </c>
      <c r="B157">
        <v>1525000159</v>
      </c>
      <c r="C157" t="str">
        <f>T("[e북]아나크레온 2권")</f>
        <v>[e북]아나크레온 2권</v>
      </c>
      <c r="D157" t="str">
        <f>T("2")</f>
        <v>2</v>
      </c>
      <c r="E157" t="str">
        <f>T("김정률")</f>
        <v>김정률</v>
      </c>
      <c r="H157" t="str">
        <f t="shared" si="20"/>
        <v>스토리위즈</v>
      </c>
      <c r="I157" t="str">
        <f>T("[e북]아나크레온")</f>
        <v>[e북]아나크레온</v>
      </c>
      <c r="J157">
        <v>3200</v>
      </c>
      <c r="K157">
        <v>6400</v>
      </c>
      <c r="L157">
        <v>2</v>
      </c>
      <c r="M157">
        <v>0</v>
      </c>
      <c r="N157">
        <v>5400</v>
      </c>
      <c r="O157">
        <v>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11800</v>
      </c>
      <c r="AH157">
        <v>8</v>
      </c>
      <c r="AI157">
        <v>0</v>
      </c>
      <c r="AJ157">
        <v>0</v>
      </c>
      <c r="AK157">
        <v>5900</v>
      </c>
      <c r="AL157">
        <v>0</v>
      </c>
      <c r="AM157">
        <v>7080</v>
      </c>
      <c r="AN157">
        <v>-2124</v>
      </c>
      <c r="AO157">
        <v>0</v>
      </c>
      <c r="AP157">
        <v>2160</v>
      </c>
      <c r="AQ157">
        <v>-648</v>
      </c>
      <c r="AR157">
        <v>0</v>
      </c>
      <c r="AS157">
        <v>4920</v>
      </c>
      <c r="AT157">
        <v>-1476</v>
      </c>
      <c r="AU157">
        <v>0</v>
      </c>
      <c r="AW157">
        <v>0</v>
      </c>
      <c r="AX157">
        <v>0</v>
      </c>
      <c r="AY157">
        <v>7599.2</v>
      </c>
      <c r="BE157" t="str">
        <f>T("판타지 e북 &gt; 퓨전 판타지")</f>
        <v>판타지 e북 &gt; 퓨전 판타지</v>
      </c>
    </row>
    <row r="158" spans="1:57" x14ac:dyDescent="0.3">
      <c r="A158">
        <v>1525005640</v>
      </c>
      <c r="B158">
        <v>1525005655</v>
      </c>
      <c r="C158" t="str">
        <f>T("[e북]회귀의 전설 1부 16권")</f>
        <v>[e북]회귀의 전설 1부 16권</v>
      </c>
      <c r="D158" t="str">
        <f>T("16")</f>
        <v>16</v>
      </c>
      <c r="E158" t="str">
        <f>T("김광수")</f>
        <v>김광수</v>
      </c>
      <c r="H158" t="str">
        <f t="shared" si="20"/>
        <v>스토리위즈</v>
      </c>
      <c r="I158" t="str">
        <f>T("[e북]회귀의 전설")</f>
        <v>[e북]회귀의 전설</v>
      </c>
      <c r="J158">
        <v>3200</v>
      </c>
      <c r="K158">
        <v>6400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6400</v>
      </c>
      <c r="AH158">
        <v>2</v>
      </c>
      <c r="AI158">
        <v>0</v>
      </c>
      <c r="AJ158">
        <v>0</v>
      </c>
      <c r="AK158">
        <v>3200</v>
      </c>
      <c r="AL158">
        <v>0</v>
      </c>
      <c r="AM158">
        <v>3840</v>
      </c>
      <c r="AN158">
        <v>-384</v>
      </c>
      <c r="AO158">
        <v>0</v>
      </c>
      <c r="AQ158">
        <v>0</v>
      </c>
      <c r="AR158">
        <v>0</v>
      </c>
      <c r="AS158">
        <v>3840</v>
      </c>
      <c r="AT158">
        <v>-384</v>
      </c>
      <c r="AU158">
        <v>0</v>
      </c>
      <c r="AW158">
        <v>0</v>
      </c>
      <c r="AX158">
        <v>0</v>
      </c>
      <c r="AY158">
        <v>4659.2</v>
      </c>
      <c r="BC158" t="str">
        <f>T("9791190937917")</f>
        <v>9791190937917</v>
      </c>
      <c r="BE158" t="str">
        <f t="shared" ref="BE158:BE163" si="21">T("판타지 e북 &gt; 현대 판타지")</f>
        <v>판타지 e북 &gt; 현대 판타지</v>
      </c>
    </row>
    <row r="159" spans="1:57" x14ac:dyDescent="0.3">
      <c r="A159">
        <v>1525005640</v>
      </c>
      <c r="B159">
        <v>1525007212</v>
      </c>
      <c r="C159" t="str">
        <f>T("[e북]회귀의 전설 2부 33권")</f>
        <v>[e북]회귀의 전설 2부 33권</v>
      </c>
      <c r="D159" t="str">
        <f>T("33")</f>
        <v>33</v>
      </c>
      <c r="E159" t="str">
        <f>T("김광수")</f>
        <v>김광수</v>
      </c>
      <c r="H159" t="str">
        <f t="shared" si="20"/>
        <v>스토리위즈</v>
      </c>
      <c r="I159" t="str">
        <f>T("[e북]회귀의 전설")</f>
        <v>[e북]회귀의 전설</v>
      </c>
      <c r="J159">
        <v>3200</v>
      </c>
      <c r="K159">
        <v>6400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6400</v>
      </c>
      <c r="AH159">
        <v>2</v>
      </c>
      <c r="AI159">
        <v>0</v>
      </c>
      <c r="AJ159">
        <v>0</v>
      </c>
      <c r="AK159">
        <v>3200</v>
      </c>
      <c r="AL159">
        <v>0</v>
      </c>
      <c r="AM159">
        <v>3840</v>
      </c>
      <c r="AN159">
        <v>-1152</v>
      </c>
      <c r="AO159">
        <v>0</v>
      </c>
      <c r="AQ159">
        <v>0</v>
      </c>
      <c r="AR159">
        <v>0</v>
      </c>
      <c r="AS159">
        <v>3840</v>
      </c>
      <c r="AT159">
        <v>-1152</v>
      </c>
      <c r="AU159">
        <v>0</v>
      </c>
      <c r="AW159">
        <v>0</v>
      </c>
      <c r="AX159">
        <v>0</v>
      </c>
      <c r="AY159">
        <v>4121.6000000000004</v>
      </c>
      <c r="BC159" t="str">
        <f>T("9791166300578")</f>
        <v>9791166300578</v>
      </c>
      <c r="BE159" t="str">
        <f t="shared" si="21"/>
        <v>판타지 e북 &gt; 현대 판타지</v>
      </c>
    </row>
    <row r="160" spans="1:57" x14ac:dyDescent="0.3">
      <c r="A160">
        <v>1525005640</v>
      </c>
      <c r="B160">
        <v>1525005654</v>
      </c>
      <c r="C160" t="str">
        <f>T("[e북]회귀의 전설 1부 15권")</f>
        <v>[e북]회귀의 전설 1부 15권</v>
      </c>
      <c r="D160" t="str">
        <f>T("15")</f>
        <v>15</v>
      </c>
      <c r="E160" t="str">
        <f>T("김광수")</f>
        <v>김광수</v>
      </c>
      <c r="H160" t="str">
        <f t="shared" si="20"/>
        <v>스토리위즈</v>
      </c>
      <c r="I160" t="str">
        <f>T("[e북]회귀의 전설")</f>
        <v>[e북]회귀의 전설</v>
      </c>
      <c r="J160">
        <v>3200</v>
      </c>
      <c r="K160">
        <v>6400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6400</v>
      </c>
      <c r="AH160">
        <v>2</v>
      </c>
      <c r="AI160">
        <v>0</v>
      </c>
      <c r="AJ160">
        <v>0</v>
      </c>
      <c r="AK160">
        <v>3200</v>
      </c>
      <c r="AL160">
        <v>0</v>
      </c>
      <c r="AM160">
        <v>3840</v>
      </c>
      <c r="AN160">
        <v>-384</v>
      </c>
      <c r="AO160">
        <v>0</v>
      </c>
      <c r="AQ160">
        <v>0</v>
      </c>
      <c r="AR160">
        <v>0</v>
      </c>
      <c r="AS160">
        <v>3840</v>
      </c>
      <c r="AT160">
        <v>-384</v>
      </c>
      <c r="AU160">
        <v>0</v>
      </c>
      <c r="AW160">
        <v>0</v>
      </c>
      <c r="AX160">
        <v>0</v>
      </c>
      <c r="AY160">
        <v>4659.2</v>
      </c>
      <c r="BC160" t="str">
        <f>T("9791190937900")</f>
        <v>9791190937900</v>
      </c>
      <c r="BE160" t="str">
        <f t="shared" si="21"/>
        <v>판타지 e북 &gt; 현대 판타지</v>
      </c>
    </row>
    <row r="161" spans="1:58" x14ac:dyDescent="0.3">
      <c r="A161">
        <v>1525000113</v>
      </c>
      <c r="B161">
        <v>1525000124</v>
      </c>
      <c r="C161" t="str">
        <f>T("[e북]마왕 데이몬 12권 (완결)")</f>
        <v>[e북]마왕 데이몬 12권 (완결)</v>
      </c>
      <c r="D161" t="str">
        <f>T("12")</f>
        <v>12</v>
      </c>
      <c r="E161" t="str">
        <f>T("김정률")</f>
        <v>김정률</v>
      </c>
      <c r="H161" t="str">
        <f t="shared" si="20"/>
        <v>스토리위즈</v>
      </c>
      <c r="I161" t="str">
        <f>T("[e북]마왕 데이몬")</f>
        <v>[e북]마왕 데이몬</v>
      </c>
      <c r="J161">
        <v>3200</v>
      </c>
      <c r="K161">
        <v>6400</v>
      </c>
      <c r="L161">
        <v>2</v>
      </c>
      <c r="M161">
        <v>0</v>
      </c>
      <c r="N161">
        <v>4500</v>
      </c>
      <c r="O161">
        <v>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10900</v>
      </c>
      <c r="AH161">
        <v>7</v>
      </c>
      <c r="AI161">
        <v>0</v>
      </c>
      <c r="AJ161">
        <v>0</v>
      </c>
      <c r="AK161">
        <v>5662</v>
      </c>
      <c r="AL161">
        <v>0</v>
      </c>
      <c r="AM161">
        <v>6285.6</v>
      </c>
      <c r="AN161">
        <v>-628.55999999999995</v>
      </c>
      <c r="AO161">
        <v>0</v>
      </c>
      <c r="AQ161">
        <v>0</v>
      </c>
      <c r="AR161">
        <v>0</v>
      </c>
      <c r="AS161">
        <v>6285.6</v>
      </c>
      <c r="AT161">
        <v>-628.55999999999995</v>
      </c>
      <c r="AU161">
        <v>0</v>
      </c>
      <c r="AW161">
        <v>0</v>
      </c>
      <c r="AX161">
        <v>0</v>
      </c>
      <c r="AY161">
        <v>7923.33</v>
      </c>
      <c r="BC161" t="str">
        <f>T("9788925731162")</f>
        <v>9788925731162</v>
      </c>
      <c r="BE161" t="str">
        <f t="shared" si="21"/>
        <v>판타지 e북 &gt; 현대 판타지</v>
      </c>
    </row>
    <row r="162" spans="1:58" x14ac:dyDescent="0.3">
      <c r="A162">
        <v>1525005640</v>
      </c>
      <c r="B162">
        <v>1525005653</v>
      </c>
      <c r="C162" t="str">
        <f>T("[e북]회귀의 전설 1부 14권")</f>
        <v>[e북]회귀의 전설 1부 14권</v>
      </c>
      <c r="D162" t="str">
        <f>T("14")</f>
        <v>14</v>
      </c>
      <c r="E162" t="str">
        <f>T("김광수")</f>
        <v>김광수</v>
      </c>
      <c r="H162" t="str">
        <f t="shared" si="20"/>
        <v>스토리위즈</v>
      </c>
      <c r="I162" t="str">
        <f>T("[e북]회귀의 전설")</f>
        <v>[e북]회귀의 전설</v>
      </c>
      <c r="J162">
        <v>3200</v>
      </c>
      <c r="K162">
        <v>6400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6400</v>
      </c>
      <c r="AH162">
        <v>2</v>
      </c>
      <c r="AI162">
        <v>0</v>
      </c>
      <c r="AJ162">
        <v>0</v>
      </c>
      <c r="AK162">
        <v>3200</v>
      </c>
      <c r="AL162">
        <v>0</v>
      </c>
      <c r="AM162">
        <v>3840</v>
      </c>
      <c r="AN162">
        <v>-384</v>
      </c>
      <c r="AO162">
        <v>0</v>
      </c>
      <c r="AQ162">
        <v>0</v>
      </c>
      <c r="AR162">
        <v>0</v>
      </c>
      <c r="AS162">
        <v>3840</v>
      </c>
      <c r="AT162">
        <v>-384</v>
      </c>
      <c r="AU162">
        <v>0</v>
      </c>
      <c r="AW162">
        <v>0</v>
      </c>
      <c r="AX162">
        <v>0</v>
      </c>
      <c r="AY162">
        <v>4659.2</v>
      </c>
      <c r="BC162" t="str">
        <f>T("9791190937894")</f>
        <v>9791190937894</v>
      </c>
      <c r="BE162" t="str">
        <f t="shared" si="21"/>
        <v>판타지 e북 &gt; 현대 판타지</v>
      </c>
    </row>
    <row r="163" spans="1:58" x14ac:dyDescent="0.3">
      <c r="A163">
        <v>1525000113</v>
      </c>
      <c r="B163">
        <v>1525000123</v>
      </c>
      <c r="C163" t="str">
        <f>T("[e북]마왕 데이몬 11권")</f>
        <v>[e북]마왕 데이몬 11권</v>
      </c>
      <c r="D163" t="str">
        <f>T("11")</f>
        <v>11</v>
      </c>
      <c r="E163" t="str">
        <f>T("김정률")</f>
        <v>김정률</v>
      </c>
      <c r="H163" t="str">
        <f t="shared" si="20"/>
        <v>스토리위즈</v>
      </c>
      <c r="I163" t="str">
        <f>T("[e북]마왕 데이몬")</f>
        <v>[e북]마왕 데이몬</v>
      </c>
      <c r="J163">
        <v>3200</v>
      </c>
      <c r="K163">
        <v>6400</v>
      </c>
      <c r="L163">
        <v>2</v>
      </c>
      <c r="M163">
        <v>0</v>
      </c>
      <c r="N163">
        <v>4500</v>
      </c>
      <c r="O163">
        <v>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10900</v>
      </c>
      <c r="AH163">
        <v>7</v>
      </c>
      <c r="AI163">
        <v>0</v>
      </c>
      <c r="AJ163">
        <v>0</v>
      </c>
      <c r="AK163">
        <v>5662</v>
      </c>
      <c r="AL163">
        <v>0</v>
      </c>
      <c r="AM163">
        <v>6285.6</v>
      </c>
      <c r="AN163">
        <v>-844.56</v>
      </c>
      <c r="AO163">
        <v>0</v>
      </c>
      <c r="AQ163">
        <v>0</v>
      </c>
      <c r="AR163">
        <v>0</v>
      </c>
      <c r="AS163">
        <v>6285.6</v>
      </c>
      <c r="AT163">
        <v>-844.56</v>
      </c>
      <c r="AU163">
        <v>0</v>
      </c>
      <c r="AW163">
        <v>0</v>
      </c>
      <c r="AX163">
        <v>0</v>
      </c>
      <c r="AY163">
        <v>7772.13</v>
      </c>
      <c r="BC163" t="str">
        <f>T("9788925731155")</f>
        <v>9788925731155</v>
      </c>
      <c r="BE163" t="str">
        <f t="shared" si="21"/>
        <v>판타지 e북 &gt; 현대 판타지</v>
      </c>
    </row>
    <row r="164" spans="1:58" x14ac:dyDescent="0.3">
      <c r="A164">
        <v>1525000135</v>
      </c>
      <c r="B164">
        <v>1525000145</v>
      </c>
      <c r="C164" t="str">
        <f>T("[e북]하프 블러드 11권 (완결)")</f>
        <v>[e북]하프 블러드 11권 (완결)</v>
      </c>
      <c r="D164" t="str">
        <f>T("11")</f>
        <v>11</v>
      </c>
      <c r="E164" t="str">
        <f>T("김정률")</f>
        <v>김정률</v>
      </c>
      <c r="H164" t="str">
        <f t="shared" si="20"/>
        <v>스토리위즈</v>
      </c>
      <c r="I164" t="str">
        <f>T("[e북]하프 블러드")</f>
        <v>[e북]하프 블러드</v>
      </c>
      <c r="J164">
        <v>3200</v>
      </c>
      <c r="K164">
        <v>6400</v>
      </c>
      <c r="L164">
        <v>2</v>
      </c>
      <c r="M164">
        <v>0</v>
      </c>
      <c r="N164">
        <v>4500</v>
      </c>
      <c r="O164">
        <v>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10900</v>
      </c>
      <c r="AH164">
        <v>7</v>
      </c>
      <c r="AI164">
        <v>0</v>
      </c>
      <c r="AJ164">
        <v>0</v>
      </c>
      <c r="AK164">
        <v>5666</v>
      </c>
      <c r="AL164">
        <v>0</v>
      </c>
      <c r="AM164">
        <v>6280.8</v>
      </c>
      <c r="AN164">
        <v>-844.08</v>
      </c>
      <c r="AO164">
        <v>0</v>
      </c>
      <c r="AP164">
        <v>1080</v>
      </c>
      <c r="AQ164">
        <v>-324</v>
      </c>
      <c r="AR164">
        <v>0</v>
      </c>
      <c r="AS164">
        <v>5200.8</v>
      </c>
      <c r="AT164">
        <v>-520.08000000000004</v>
      </c>
      <c r="AU164">
        <v>0</v>
      </c>
      <c r="AW164">
        <v>0</v>
      </c>
      <c r="AX164">
        <v>0</v>
      </c>
      <c r="AY164">
        <v>7771.9</v>
      </c>
      <c r="BE164" t="str">
        <f>T("판타지 e북 &gt; 정통 판타지")</f>
        <v>판타지 e북 &gt; 정통 판타지</v>
      </c>
    </row>
    <row r="165" spans="1:58" x14ac:dyDescent="0.3">
      <c r="A165">
        <v>1525005640</v>
      </c>
      <c r="B165">
        <v>1525005652</v>
      </c>
      <c r="C165" t="str">
        <f>T("[e북]회귀의 전설 1부 13권")</f>
        <v>[e북]회귀의 전설 1부 13권</v>
      </c>
      <c r="D165" t="str">
        <f>T("13")</f>
        <v>13</v>
      </c>
      <c r="E165" t="str">
        <f>T("김광수")</f>
        <v>김광수</v>
      </c>
      <c r="H165" t="str">
        <f t="shared" si="20"/>
        <v>스토리위즈</v>
      </c>
      <c r="I165" t="str">
        <f>T("[e북]회귀의 전설")</f>
        <v>[e북]회귀의 전설</v>
      </c>
      <c r="J165">
        <v>3200</v>
      </c>
      <c r="K165">
        <v>6400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6400</v>
      </c>
      <c r="AH165">
        <v>2</v>
      </c>
      <c r="AI165">
        <v>0</v>
      </c>
      <c r="AJ165">
        <v>0</v>
      </c>
      <c r="AK165">
        <v>3200</v>
      </c>
      <c r="AL165">
        <v>0</v>
      </c>
      <c r="AM165">
        <v>3840</v>
      </c>
      <c r="AN165">
        <v>-384</v>
      </c>
      <c r="AO165">
        <v>0</v>
      </c>
      <c r="AQ165">
        <v>0</v>
      </c>
      <c r="AR165">
        <v>0</v>
      </c>
      <c r="AS165">
        <v>3840</v>
      </c>
      <c r="AT165">
        <v>-384</v>
      </c>
      <c r="AU165">
        <v>0</v>
      </c>
      <c r="AW165">
        <v>0</v>
      </c>
      <c r="AX165">
        <v>0</v>
      </c>
      <c r="AY165">
        <v>4659.2</v>
      </c>
      <c r="BC165" t="str">
        <f>T("9791190937887")</f>
        <v>9791190937887</v>
      </c>
      <c r="BE165" t="str">
        <f>T("판타지 e북 &gt; 현대 판타지")</f>
        <v>판타지 e북 &gt; 현대 판타지</v>
      </c>
    </row>
    <row r="166" spans="1:58" x14ac:dyDescent="0.3">
      <c r="A166">
        <v>1525000113</v>
      </c>
      <c r="B166">
        <v>1525000121</v>
      </c>
      <c r="C166" t="str">
        <f>T("[e북]마왕 데이몬 9권")</f>
        <v>[e북]마왕 데이몬 9권</v>
      </c>
      <c r="D166" t="str">
        <f>T("9")</f>
        <v>9</v>
      </c>
      <c r="E166" t="str">
        <f>T("김정률")</f>
        <v>김정률</v>
      </c>
      <c r="H166" t="str">
        <f t="shared" si="20"/>
        <v>스토리위즈</v>
      </c>
      <c r="I166" t="str">
        <f>T("[e북]마왕 데이몬")</f>
        <v>[e북]마왕 데이몬</v>
      </c>
      <c r="J166">
        <v>3200</v>
      </c>
      <c r="K166">
        <v>6400</v>
      </c>
      <c r="L166">
        <v>2</v>
      </c>
      <c r="M166">
        <v>0</v>
      </c>
      <c r="N166">
        <v>3600</v>
      </c>
      <c r="O166">
        <v>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10000</v>
      </c>
      <c r="AH166">
        <v>6</v>
      </c>
      <c r="AI166">
        <v>0</v>
      </c>
      <c r="AJ166">
        <v>0</v>
      </c>
      <c r="AK166">
        <v>1562</v>
      </c>
      <c r="AL166">
        <v>0</v>
      </c>
      <c r="AM166">
        <v>10125.6</v>
      </c>
      <c r="AN166">
        <v>-1996.56</v>
      </c>
      <c r="AO166">
        <v>0</v>
      </c>
      <c r="AP166">
        <v>3840</v>
      </c>
      <c r="AQ166">
        <v>-1152</v>
      </c>
      <c r="AR166">
        <v>0</v>
      </c>
      <c r="AS166">
        <v>6285.6</v>
      </c>
      <c r="AT166">
        <v>-844.56</v>
      </c>
      <c r="AU166">
        <v>0</v>
      </c>
      <c r="AW166">
        <v>0</v>
      </c>
      <c r="AX166">
        <v>0</v>
      </c>
      <c r="AY166">
        <v>6783.73</v>
      </c>
      <c r="BC166" t="str">
        <f>T("9788925727363")</f>
        <v>9788925727363</v>
      </c>
      <c r="BE166" t="str">
        <f>T("판타지 e북 &gt; 현대 판타지")</f>
        <v>판타지 e북 &gt; 현대 판타지</v>
      </c>
    </row>
    <row r="167" spans="1:58" x14ac:dyDescent="0.3">
      <c r="A167">
        <v>1525000113</v>
      </c>
      <c r="B167">
        <v>1525000120</v>
      </c>
      <c r="C167" t="str">
        <f>T("[e북]마왕 데이몬 8권")</f>
        <v>[e북]마왕 데이몬 8권</v>
      </c>
      <c r="D167" t="str">
        <f>T("8")</f>
        <v>8</v>
      </c>
      <c r="E167" t="str">
        <f>T("김정률")</f>
        <v>김정률</v>
      </c>
      <c r="H167" t="str">
        <f t="shared" si="20"/>
        <v>스토리위즈</v>
      </c>
      <c r="I167" t="str">
        <f>T("[e북]마왕 데이몬")</f>
        <v>[e북]마왕 데이몬</v>
      </c>
      <c r="J167">
        <v>3200</v>
      </c>
      <c r="K167">
        <v>6400</v>
      </c>
      <c r="L167">
        <v>2</v>
      </c>
      <c r="M167">
        <v>0</v>
      </c>
      <c r="N167">
        <v>3600</v>
      </c>
      <c r="O167">
        <v>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10000</v>
      </c>
      <c r="AH167">
        <v>6</v>
      </c>
      <c r="AI167">
        <v>0</v>
      </c>
      <c r="AJ167">
        <v>0</v>
      </c>
      <c r="AK167">
        <v>1562</v>
      </c>
      <c r="AL167">
        <v>0</v>
      </c>
      <c r="AM167">
        <v>10125.6</v>
      </c>
      <c r="AN167">
        <v>-1996.56</v>
      </c>
      <c r="AO167">
        <v>0</v>
      </c>
      <c r="AP167">
        <v>3840</v>
      </c>
      <c r="AQ167">
        <v>-1152</v>
      </c>
      <c r="AR167">
        <v>0</v>
      </c>
      <c r="AS167">
        <v>6285.6</v>
      </c>
      <c r="AT167">
        <v>-844.56</v>
      </c>
      <c r="AU167">
        <v>0</v>
      </c>
      <c r="AW167">
        <v>0</v>
      </c>
      <c r="AX167">
        <v>0</v>
      </c>
      <c r="AY167">
        <v>6783.73</v>
      </c>
      <c r="BC167" t="str">
        <f>T("9788925727356")</f>
        <v>9788925727356</v>
      </c>
      <c r="BE167" t="str">
        <f>T("판타지 e북 &gt; 현대 판타지")</f>
        <v>판타지 e북 &gt; 현대 판타지</v>
      </c>
    </row>
    <row r="168" spans="1:58" x14ac:dyDescent="0.3">
      <c r="A168">
        <v>1525007764</v>
      </c>
      <c r="B168">
        <v>1525007764</v>
      </c>
      <c r="C168" t="str">
        <f>T("[e북]대공의 아내 1권")</f>
        <v>[e북]대공의 아내 1권</v>
      </c>
      <c r="D168" t="str">
        <f>T("1")</f>
        <v>1</v>
      </c>
      <c r="E168" t="str">
        <f>T("문시티")</f>
        <v>문시티</v>
      </c>
      <c r="H168" t="str">
        <f>T("쉬라즈")</f>
        <v>쉬라즈</v>
      </c>
      <c r="I168" t="str">
        <f>T("[e북]대공의 아내")</f>
        <v>[e북]대공의 아내</v>
      </c>
      <c r="J168">
        <v>3200</v>
      </c>
      <c r="K168">
        <v>6400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6400</v>
      </c>
      <c r="AH168">
        <v>2</v>
      </c>
      <c r="AI168">
        <v>0</v>
      </c>
      <c r="AJ168">
        <v>0</v>
      </c>
      <c r="AK168">
        <v>6400</v>
      </c>
      <c r="AL168">
        <v>0</v>
      </c>
      <c r="AM168">
        <v>0</v>
      </c>
      <c r="AN168">
        <v>0</v>
      </c>
      <c r="AO168">
        <v>0</v>
      </c>
      <c r="AQ168">
        <v>0</v>
      </c>
      <c r="AR168">
        <v>0</v>
      </c>
      <c r="AT168">
        <v>0</v>
      </c>
      <c r="AU168">
        <v>0</v>
      </c>
      <c r="AW168">
        <v>0</v>
      </c>
      <c r="AX168">
        <v>0</v>
      </c>
      <c r="AY168">
        <v>4480</v>
      </c>
      <c r="BA168" t="str">
        <f>T("0000000000000")</f>
        <v>0000000000000</v>
      </c>
      <c r="BC168" t="str">
        <f>T("9791164896776")</f>
        <v>9791164896776</v>
      </c>
      <c r="BE168" t="str">
        <f>T("로판 e북 &gt; 서양풍 로판")</f>
        <v>로판 e북 &gt; 서양풍 로판</v>
      </c>
    </row>
    <row r="169" spans="1:58" x14ac:dyDescent="0.3">
      <c r="A169">
        <v>1525000113</v>
      </c>
      <c r="B169">
        <v>1525000119</v>
      </c>
      <c r="C169" t="str">
        <f>T("[e북]마왕 데이몬 7권")</f>
        <v>[e북]마왕 데이몬 7권</v>
      </c>
      <c r="D169" t="str">
        <f>T("7")</f>
        <v>7</v>
      </c>
      <c r="E169" t="str">
        <f>T("김정률")</f>
        <v>김정률</v>
      </c>
      <c r="H169" t="str">
        <f>T("스토리위즈")</f>
        <v>스토리위즈</v>
      </c>
      <c r="I169" t="str">
        <f>T("[e북]마왕 데이몬")</f>
        <v>[e북]마왕 데이몬</v>
      </c>
      <c r="J169">
        <v>3200</v>
      </c>
      <c r="K169">
        <v>6400</v>
      </c>
      <c r="L169">
        <v>2</v>
      </c>
      <c r="M169">
        <v>0</v>
      </c>
      <c r="N169">
        <v>3600</v>
      </c>
      <c r="O169">
        <v>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10000</v>
      </c>
      <c r="AH169">
        <v>6</v>
      </c>
      <c r="AI169">
        <v>0</v>
      </c>
      <c r="AJ169">
        <v>0</v>
      </c>
      <c r="AK169">
        <v>1562</v>
      </c>
      <c r="AL169">
        <v>0</v>
      </c>
      <c r="AM169">
        <v>10125.6</v>
      </c>
      <c r="AN169">
        <v>-1996.56</v>
      </c>
      <c r="AO169">
        <v>0</v>
      </c>
      <c r="AP169">
        <v>3840</v>
      </c>
      <c r="AQ169">
        <v>-1152</v>
      </c>
      <c r="AR169">
        <v>0</v>
      </c>
      <c r="AS169">
        <v>6285.6</v>
      </c>
      <c r="AT169">
        <v>-844.56</v>
      </c>
      <c r="AU169">
        <v>0</v>
      </c>
      <c r="AW169">
        <v>0</v>
      </c>
      <c r="AX169">
        <v>0</v>
      </c>
      <c r="AY169">
        <v>6783.73</v>
      </c>
      <c r="BC169" t="str">
        <f>T("9788925725888")</f>
        <v>9788925725888</v>
      </c>
      <c r="BE169" t="str">
        <f>T("판타지 e북 &gt; 현대 판타지")</f>
        <v>판타지 e북 &gt; 현대 판타지</v>
      </c>
    </row>
    <row r="170" spans="1:58" x14ac:dyDescent="0.3">
      <c r="B170">
        <v>1525014009</v>
      </c>
      <c r="C170" t="str">
        <f>T("[e북]인턴사원")</f>
        <v>[e북]인턴사원</v>
      </c>
      <c r="E170" t="str">
        <f>T("트리플베리")</f>
        <v>트리플베리</v>
      </c>
      <c r="H170" t="str">
        <f>T("밀리오리지널")</f>
        <v>밀리오리지널</v>
      </c>
      <c r="J170">
        <v>3200</v>
      </c>
      <c r="K170">
        <v>6400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6400</v>
      </c>
      <c r="AH170">
        <v>2</v>
      </c>
      <c r="AI170">
        <v>0</v>
      </c>
      <c r="AJ170">
        <v>0</v>
      </c>
      <c r="AK170">
        <v>6400</v>
      </c>
      <c r="AL170">
        <v>0</v>
      </c>
      <c r="AM170">
        <v>0</v>
      </c>
      <c r="AN170">
        <v>0</v>
      </c>
      <c r="AO170">
        <v>0</v>
      </c>
      <c r="AQ170">
        <v>0</v>
      </c>
      <c r="AR170">
        <v>0</v>
      </c>
      <c r="AT170">
        <v>0</v>
      </c>
      <c r="AU170">
        <v>0</v>
      </c>
      <c r="AW170">
        <v>0</v>
      </c>
      <c r="AX170">
        <v>0</v>
      </c>
      <c r="AY170">
        <v>4480</v>
      </c>
      <c r="BA170" t="str">
        <f>T("0000000000000")</f>
        <v>0000000000000</v>
      </c>
      <c r="BC170" t="str">
        <f>T("9791191562347")</f>
        <v>9791191562347</v>
      </c>
      <c r="BE170" t="str">
        <f>T("로맨스 e북 &gt; 현대물")</f>
        <v>로맨스 e북 &gt; 현대물</v>
      </c>
      <c r="BF170" t="str">
        <f>T("로맨스 e북 &gt; 19+")</f>
        <v>로맨스 e북 &gt; 19+</v>
      </c>
    </row>
    <row r="171" spans="1:58" x14ac:dyDescent="0.3">
      <c r="A171">
        <v>1525008021</v>
      </c>
      <c r="B171">
        <v>1525008022</v>
      </c>
      <c r="C171" t="str">
        <f>T("[e북]나는 내 연인의 것 2권 (완결)")</f>
        <v>[e북]나는 내 연인의 것 2권 (완결)</v>
      </c>
      <c r="D171" t="str">
        <f>T("2")</f>
        <v>2</v>
      </c>
      <c r="E171" t="str">
        <f>T("SISSI")</f>
        <v>SISSI</v>
      </c>
      <c r="H171" t="str">
        <f>T("블러쉬")</f>
        <v>블러쉬</v>
      </c>
      <c r="I171" t="str">
        <f>T("[e북]나는 내 연인의 것")</f>
        <v>[e북]나는 내 연인의 것</v>
      </c>
      <c r="J171">
        <v>3200</v>
      </c>
      <c r="K171">
        <v>6400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6400</v>
      </c>
      <c r="AH171">
        <v>2</v>
      </c>
      <c r="AI171">
        <v>0</v>
      </c>
      <c r="AJ171">
        <v>0</v>
      </c>
      <c r="AK171">
        <v>6400</v>
      </c>
      <c r="AL171">
        <v>0</v>
      </c>
      <c r="AM171">
        <v>0</v>
      </c>
      <c r="AN171">
        <v>0</v>
      </c>
      <c r="AO171">
        <v>0</v>
      </c>
      <c r="AQ171">
        <v>0</v>
      </c>
      <c r="AR171">
        <v>0</v>
      </c>
      <c r="AT171">
        <v>0</v>
      </c>
      <c r="AU171">
        <v>0</v>
      </c>
      <c r="AW171">
        <v>0</v>
      </c>
      <c r="AX171">
        <v>0</v>
      </c>
      <c r="AY171">
        <v>4480</v>
      </c>
      <c r="BA171" t="str">
        <f>T("0000000000000")</f>
        <v>0000000000000</v>
      </c>
      <c r="BC171" t="str">
        <f>T("9791164899418")</f>
        <v>9791164899418</v>
      </c>
      <c r="BE171" t="str">
        <f>T("BL 소설 e북 &gt; 현대물")</f>
        <v>BL 소설 e북 &gt; 현대물</v>
      </c>
    </row>
    <row r="172" spans="1:58" x14ac:dyDescent="0.3">
      <c r="A172">
        <v>1525000113</v>
      </c>
      <c r="B172">
        <v>1525000118</v>
      </c>
      <c r="C172" t="str">
        <f>T("[e북]마왕 데이몬 6권")</f>
        <v>[e북]마왕 데이몬 6권</v>
      </c>
      <c r="D172" t="str">
        <f>T("6")</f>
        <v>6</v>
      </c>
      <c r="E172" t="str">
        <f>T("김정률")</f>
        <v>김정률</v>
      </c>
      <c r="H172" t="str">
        <f>T("스토리위즈")</f>
        <v>스토리위즈</v>
      </c>
      <c r="I172" t="str">
        <f>T("[e북]마왕 데이몬")</f>
        <v>[e북]마왕 데이몬</v>
      </c>
      <c r="J172">
        <v>3200</v>
      </c>
      <c r="K172">
        <v>6400</v>
      </c>
      <c r="L172">
        <v>2</v>
      </c>
      <c r="M172">
        <v>0</v>
      </c>
      <c r="N172">
        <v>5400</v>
      </c>
      <c r="O172">
        <v>6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11800</v>
      </c>
      <c r="AH172">
        <v>8</v>
      </c>
      <c r="AI172">
        <v>0</v>
      </c>
      <c r="AJ172">
        <v>0</v>
      </c>
      <c r="AK172">
        <v>4962</v>
      </c>
      <c r="AL172">
        <v>0</v>
      </c>
      <c r="AM172">
        <v>8205.6</v>
      </c>
      <c r="AN172">
        <v>-1228.56</v>
      </c>
      <c r="AO172">
        <v>0</v>
      </c>
      <c r="AP172">
        <v>960</v>
      </c>
      <c r="AQ172">
        <v>-288</v>
      </c>
      <c r="AR172">
        <v>0</v>
      </c>
      <c r="AS172">
        <v>7245.6</v>
      </c>
      <c r="AT172">
        <v>-940.56</v>
      </c>
      <c r="AU172">
        <v>0</v>
      </c>
      <c r="AW172">
        <v>0</v>
      </c>
      <c r="AX172">
        <v>0</v>
      </c>
      <c r="AY172">
        <v>8357.33</v>
      </c>
      <c r="BC172" t="str">
        <f>T("9788925725871")</f>
        <v>9788925725871</v>
      </c>
      <c r="BE172" t="str">
        <f>T("판타지 e북 &gt; 현대 판타지")</f>
        <v>판타지 e북 &gt; 현대 판타지</v>
      </c>
    </row>
    <row r="173" spans="1:58" x14ac:dyDescent="0.3">
      <c r="B173">
        <v>1525013441</v>
      </c>
      <c r="C173" t="str">
        <f>T("[e북]사랑 그리고 그 후")</f>
        <v>[e북]사랑 그리고 그 후</v>
      </c>
      <c r="E173" t="str">
        <f>T("최현자")</f>
        <v>최현자</v>
      </c>
      <c r="H173" t="str">
        <f>T("밀리오리지널")</f>
        <v>밀리오리지널</v>
      </c>
      <c r="J173">
        <v>2000</v>
      </c>
      <c r="K173">
        <v>6000</v>
      </c>
      <c r="L173">
        <v>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6000</v>
      </c>
      <c r="AH173">
        <v>3</v>
      </c>
      <c r="AI173">
        <v>0</v>
      </c>
      <c r="AJ173">
        <v>0</v>
      </c>
      <c r="AK173">
        <v>6000</v>
      </c>
      <c r="AL173">
        <v>0</v>
      </c>
      <c r="AM173">
        <v>0</v>
      </c>
      <c r="AN173">
        <v>0</v>
      </c>
      <c r="AO173">
        <v>0</v>
      </c>
      <c r="AQ173">
        <v>0</v>
      </c>
      <c r="AR173">
        <v>0</v>
      </c>
      <c r="AT173">
        <v>0</v>
      </c>
      <c r="AU173">
        <v>0</v>
      </c>
      <c r="AW173">
        <v>0</v>
      </c>
      <c r="AX173">
        <v>0</v>
      </c>
      <c r="AY173">
        <v>4200</v>
      </c>
      <c r="BC173" t="str">
        <f>T("9791191562149")</f>
        <v>9791191562149</v>
      </c>
      <c r="BE173" t="str">
        <f>T("로맨스 e북 &gt; 현대물")</f>
        <v>로맨스 e북 &gt; 현대물</v>
      </c>
      <c r="BF173" t="str">
        <f>T("로맨스 e북 &gt; 19+")</f>
        <v>로맨스 e북 &gt; 19+</v>
      </c>
    </row>
    <row r="174" spans="1:58" x14ac:dyDescent="0.3">
      <c r="A174">
        <v>1525008147</v>
      </c>
      <c r="B174">
        <v>1525008149</v>
      </c>
      <c r="C174" t="str">
        <f>T("[e북]우리의 늪에서부터 3권")</f>
        <v>[e북]우리의 늪에서부터 3권</v>
      </c>
      <c r="D174" t="str">
        <f>T("3")</f>
        <v>3</v>
      </c>
      <c r="E174" t="str">
        <f>T("라에르")</f>
        <v>라에르</v>
      </c>
      <c r="H174" t="str">
        <f>T("블러쉬")</f>
        <v>블러쉬</v>
      </c>
      <c r="I174" t="str">
        <f>T("[e북]우리의 늪에서부터")</f>
        <v>[e북]우리의 늪에서부터</v>
      </c>
      <c r="J174">
        <v>3000</v>
      </c>
      <c r="K174">
        <v>6000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6000</v>
      </c>
      <c r="AH174">
        <v>2</v>
      </c>
      <c r="AI174">
        <v>0</v>
      </c>
      <c r="AJ174">
        <v>0</v>
      </c>
      <c r="AK174">
        <v>3300</v>
      </c>
      <c r="AL174">
        <v>0</v>
      </c>
      <c r="AM174">
        <v>3240</v>
      </c>
      <c r="AN174">
        <v>-972</v>
      </c>
      <c r="AO174">
        <v>0</v>
      </c>
      <c r="AQ174">
        <v>0</v>
      </c>
      <c r="AR174">
        <v>0</v>
      </c>
      <c r="AS174">
        <v>3240</v>
      </c>
      <c r="AT174">
        <v>-972</v>
      </c>
      <c r="AU174">
        <v>0</v>
      </c>
      <c r="AW174">
        <v>0</v>
      </c>
      <c r="AX174">
        <v>0</v>
      </c>
      <c r="AY174">
        <v>3897.6</v>
      </c>
      <c r="BA174" t="str">
        <f t="shared" ref="BA174:BA179" si="22">T("0000000000000")</f>
        <v>0000000000000</v>
      </c>
      <c r="BC174" t="str">
        <f>T("9791166481413")</f>
        <v>9791166481413</v>
      </c>
      <c r="BE174" t="str">
        <f>T("BL 소설 e북 &gt; 현대물")</f>
        <v>BL 소설 e북 &gt; 현대물</v>
      </c>
    </row>
    <row r="175" spans="1:58" x14ac:dyDescent="0.3">
      <c r="A175">
        <v>1525013010</v>
      </c>
      <c r="B175">
        <v>1525013012</v>
      </c>
      <c r="C175" t="str">
        <f>T("[e북]금의 해, 새의 눈 3권 (완결)")</f>
        <v>[e북]금의 해, 새의 눈 3권 (완결)</v>
      </c>
      <c r="D175" t="str">
        <f>T("3")</f>
        <v>3</v>
      </c>
      <c r="E175" t="str">
        <f>T("등나무밑소공자")</f>
        <v>등나무밑소공자</v>
      </c>
      <c r="H175" t="str">
        <f>T("블러쉬")</f>
        <v>블러쉬</v>
      </c>
      <c r="I175" t="str">
        <f>T("[e북]금의 해, 새의 눈")</f>
        <v>[e북]금의 해, 새의 눈</v>
      </c>
      <c r="J175">
        <v>3000</v>
      </c>
      <c r="K175">
        <v>6000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6000</v>
      </c>
      <c r="AH175">
        <v>2</v>
      </c>
      <c r="AI175">
        <v>0</v>
      </c>
      <c r="AJ175">
        <v>0</v>
      </c>
      <c r="AK175">
        <v>6000</v>
      </c>
      <c r="AL175">
        <v>0</v>
      </c>
      <c r="AM175">
        <v>0</v>
      </c>
      <c r="AN175">
        <v>0</v>
      </c>
      <c r="AO175">
        <v>0</v>
      </c>
      <c r="AQ175">
        <v>0</v>
      </c>
      <c r="AR175">
        <v>0</v>
      </c>
      <c r="AT175">
        <v>0</v>
      </c>
      <c r="AU175">
        <v>0</v>
      </c>
      <c r="AW175">
        <v>0</v>
      </c>
      <c r="AX175">
        <v>0</v>
      </c>
      <c r="AY175">
        <v>4200</v>
      </c>
      <c r="BA175" t="str">
        <f t="shared" si="22"/>
        <v>0000000000000</v>
      </c>
      <c r="BC175" t="str">
        <f>T("9791166482786")</f>
        <v>9791166482786</v>
      </c>
      <c r="BE175" t="str">
        <f>T("BL 소설 e북 &gt; 역사/시대물")</f>
        <v>BL 소설 e북 &gt; 역사/시대물</v>
      </c>
    </row>
    <row r="176" spans="1:58" x14ac:dyDescent="0.3">
      <c r="A176">
        <v>1525008174</v>
      </c>
      <c r="B176">
        <v>1525008173</v>
      </c>
      <c r="C176" t="str">
        <f>T("[e북]자비를 베푸소서(Miserere Nobis) (외전)")</f>
        <v>[e북]자비를 베푸소서(Miserere Nobis) (외전)</v>
      </c>
      <c r="D176" t="str">
        <f>T("3")</f>
        <v>3</v>
      </c>
      <c r="E176" t="str">
        <f>T("SISSI")</f>
        <v>SISSI</v>
      </c>
      <c r="H176" t="str">
        <f>T("블러쉬")</f>
        <v>블러쉬</v>
      </c>
      <c r="I176" t="str">
        <f>T("[e북]자비를 베푸소서(Miserere Nobis)")</f>
        <v>[e북]자비를 베푸소서(Miserere Nobis)</v>
      </c>
      <c r="J176">
        <v>1000</v>
      </c>
      <c r="K176">
        <v>6000</v>
      </c>
      <c r="L176">
        <v>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-1000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6000</v>
      </c>
      <c r="AH176">
        <v>6</v>
      </c>
      <c r="AI176">
        <v>-1000</v>
      </c>
      <c r="AJ176">
        <v>1</v>
      </c>
      <c r="AK176">
        <v>6000</v>
      </c>
      <c r="AL176">
        <v>-1000</v>
      </c>
      <c r="AM176">
        <v>0</v>
      </c>
      <c r="AN176">
        <v>0</v>
      </c>
      <c r="AO176">
        <v>0</v>
      </c>
      <c r="AQ176">
        <v>0</v>
      </c>
      <c r="AR176">
        <v>0</v>
      </c>
      <c r="AT176">
        <v>0</v>
      </c>
      <c r="AU176">
        <v>0</v>
      </c>
      <c r="AW176">
        <v>0</v>
      </c>
      <c r="AX176">
        <v>0</v>
      </c>
      <c r="AY176">
        <v>3500</v>
      </c>
      <c r="BA176" t="str">
        <f t="shared" si="22"/>
        <v>0000000000000</v>
      </c>
      <c r="BC176" t="str">
        <f>T("9791166481277")</f>
        <v>9791166481277</v>
      </c>
      <c r="BE176" t="str">
        <f>T("BL 소설 e북 &gt; 현대물")</f>
        <v>BL 소설 e북 &gt; 현대물</v>
      </c>
    </row>
    <row r="177" spans="1:58" x14ac:dyDescent="0.3">
      <c r="A177">
        <v>1525013010</v>
      </c>
      <c r="B177">
        <v>1525013010</v>
      </c>
      <c r="C177" t="str">
        <f>T("[e북]금의 해, 새의 눈 1권")</f>
        <v>[e북]금의 해, 새의 눈 1권</v>
      </c>
      <c r="D177" t="str">
        <f>T("1")</f>
        <v>1</v>
      </c>
      <c r="E177" t="str">
        <f>T("등나무밑소공자")</f>
        <v>등나무밑소공자</v>
      </c>
      <c r="H177" t="str">
        <f>T("블러쉬")</f>
        <v>블러쉬</v>
      </c>
      <c r="I177" t="str">
        <f>T("[e북]금의 해, 새의 눈")</f>
        <v>[e북]금의 해, 새의 눈</v>
      </c>
      <c r="J177">
        <v>3000</v>
      </c>
      <c r="K177">
        <v>6000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6000</v>
      </c>
      <c r="AH177">
        <v>2</v>
      </c>
      <c r="AI177">
        <v>0</v>
      </c>
      <c r="AJ177">
        <v>0</v>
      </c>
      <c r="AK177">
        <v>6000</v>
      </c>
      <c r="AL177">
        <v>0</v>
      </c>
      <c r="AM177">
        <v>0</v>
      </c>
      <c r="AN177">
        <v>0</v>
      </c>
      <c r="AO177">
        <v>0</v>
      </c>
      <c r="AQ177">
        <v>0</v>
      </c>
      <c r="AR177">
        <v>0</v>
      </c>
      <c r="AT177">
        <v>0</v>
      </c>
      <c r="AU177">
        <v>0</v>
      </c>
      <c r="AW177">
        <v>0</v>
      </c>
      <c r="AX177">
        <v>0</v>
      </c>
      <c r="AY177">
        <v>4200</v>
      </c>
      <c r="BA177" t="str">
        <f t="shared" si="22"/>
        <v>0000000000000</v>
      </c>
      <c r="BC177" t="str">
        <f>T("9791166482762")</f>
        <v>9791166482762</v>
      </c>
      <c r="BE177" t="str">
        <f>T("BL 소설 e북 &gt; 역사/시대물")</f>
        <v>BL 소설 e북 &gt; 역사/시대물</v>
      </c>
    </row>
    <row r="178" spans="1:58" x14ac:dyDescent="0.3">
      <c r="B178">
        <v>1525014010</v>
      </c>
      <c r="C178" t="str">
        <f>T("[e북]오후 4시의 남자")</f>
        <v>[e북]오후 4시의 남자</v>
      </c>
      <c r="E178" t="str">
        <f>T("차연유")</f>
        <v>차연유</v>
      </c>
      <c r="H178" t="str">
        <f>T("밀리오리지널")</f>
        <v>밀리오리지널</v>
      </c>
      <c r="J178">
        <v>2000</v>
      </c>
      <c r="K178">
        <v>6000</v>
      </c>
      <c r="L178">
        <v>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6000</v>
      </c>
      <c r="AH178">
        <v>3</v>
      </c>
      <c r="AI178">
        <v>0</v>
      </c>
      <c r="AJ178">
        <v>0</v>
      </c>
      <c r="AK178">
        <v>6000</v>
      </c>
      <c r="AL178">
        <v>0</v>
      </c>
      <c r="AM178">
        <v>0</v>
      </c>
      <c r="AN178">
        <v>0</v>
      </c>
      <c r="AO178">
        <v>0</v>
      </c>
      <c r="AQ178">
        <v>0</v>
      </c>
      <c r="AR178">
        <v>0</v>
      </c>
      <c r="AT178">
        <v>0</v>
      </c>
      <c r="AU178">
        <v>0</v>
      </c>
      <c r="AW178">
        <v>0</v>
      </c>
      <c r="AX178">
        <v>0</v>
      </c>
      <c r="AY178">
        <v>4200</v>
      </c>
      <c r="BA178" t="str">
        <f t="shared" si="22"/>
        <v>0000000000000</v>
      </c>
      <c r="BC178" t="str">
        <f>T("9791191562392")</f>
        <v>9791191562392</v>
      </c>
      <c r="BE178" t="str">
        <f>T("로맨스 e북 &gt; 현대물")</f>
        <v>로맨스 e북 &gt; 현대물</v>
      </c>
      <c r="BF178" t="str">
        <f>T("로맨스 e북 &gt; 19+")</f>
        <v>로맨스 e북 &gt; 19+</v>
      </c>
    </row>
    <row r="179" spans="1:58" x14ac:dyDescent="0.3">
      <c r="A179">
        <v>1525008164</v>
      </c>
      <c r="B179">
        <v>1525008164</v>
      </c>
      <c r="C179" t="str">
        <f>T("[e북]음양상열지사 1권")</f>
        <v>[e북]음양상열지사 1권</v>
      </c>
      <c r="D179" t="str">
        <f>T("1")</f>
        <v>1</v>
      </c>
      <c r="E179" t="str">
        <f>T("이염")</f>
        <v>이염</v>
      </c>
      <c r="H179" t="str">
        <f>T("블러쉬")</f>
        <v>블러쉬</v>
      </c>
      <c r="I179" t="str">
        <f>T("[e북]음양상열지사")</f>
        <v>[e북]음양상열지사</v>
      </c>
      <c r="J179">
        <v>2900</v>
      </c>
      <c r="K179">
        <v>5800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5800</v>
      </c>
      <c r="AH179">
        <v>2</v>
      </c>
      <c r="AI179">
        <v>0</v>
      </c>
      <c r="AJ179">
        <v>0</v>
      </c>
      <c r="AK179">
        <v>5800</v>
      </c>
      <c r="AL179">
        <v>0</v>
      </c>
      <c r="AM179">
        <v>0</v>
      </c>
      <c r="AN179">
        <v>0</v>
      </c>
      <c r="AO179">
        <v>0</v>
      </c>
      <c r="AQ179">
        <v>0</v>
      </c>
      <c r="AR179">
        <v>0</v>
      </c>
      <c r="AT179">
        <v>0</v>
      </c>
      <c r="AU179">
        <v>0</v>
      </c>
      <c r="AW179">
        <v>0</v>
      </c>
      <c r="AX179">
        <v>0</v>
      </c>
      <c r="AY179">
        <v>4060</v>
      </c>
      <c r="BA179" t="str">
        <f t="shared" si="22"/>
        <v>0000000000000</v>
      </c>
      <c r="BC179" t="str">
        <f>T("9791190132848")</f>
        <v>9791190132848</v>
      </c>
      <c r="BE179" t="str">
        <f>T("BL 소설 e북 &gt; 역사/시대물")</f>
        <v>BL 소설 e북 &gt; 역사/시대물</v>
      </c>
    </row>
    <row r="180" spans="1:58" x14ac:dyDescent="0.3">
      <c r="B180">
        <v>1525014430</v>
      </c>
      <c r="C180" t="str">
        <f>T("[e북]뜨겁게 안녕")</f>
        <v>[e북]뜨겁게 안녕</v>
      </c>
      <c r="E180" t="str">
        <f>T("러브니")</f>
        <v>러브니</v>
      </c>
      <c r="H180" t="str">
        <f>T("밀리오리지널")</f>
        <v>밀리오리지널</v>
      </c>
      <c r="J180">
        <v>2000</v>
      </c>
      <c r="K180">
        <v>5800</v>
      </c>
      <c r="L180">
        <v>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5800</v>
      </c>
      <c r="AH180">
        <v>3</v>
      </c>
      <c r="AI180">
        <v>0</v>
      </c>
      <c r="AJ180">
        <v>0</v>
      </c>
      <c r="AK180">
        <v>4000</v>
      </c>
      <c r="AL180">
        <v>0</v>
      </c>
      <c r="AM180">
        <v>2160</v>
      </c>
      <c r="AN180">
        <v>-648</v>
      </c>
      <c r="AO180">
        <v>0</v>
      </c>
      <c r="AQ180">
        <v>0</v>
      </c>
      <c r="AR180">
        <v>0</v>
      </c>
      <c r="AS180">
        <v>2160</v>
      </c>
      <c r="AT180">
        <v>-648</v>
      </c>
      <c r="AU180">
        <v>0</v>
      </c>
      <c r="AW180">
        <v>0</v>
      </c>
      <c r="AX180">
        <v>0</v>
      </c>
      <c r="AY180">
        <v>3858.4</v>
      </c>
      <c r="BC180" t="str">
        <f>T("9791191562828")</f>
        <v>9791191562828</v>
      </c>
      <c r="BE180" t="str">
        <f>T("로맨스 e북 &gt; 현대물")</f>
        <v>로맨스 e북 &gt; 현대물</v>
      </c>
      <c r="BF180" t="str">
        <f>T("로맨스 e북 &gt; 19+")</f>
        <v>로맨스 e북 &gt; 19+</v>
      </c>
    </row>
    <row r="181" spans="1:58" x14ac:dyDescent="0.3">
      <c r="A181">
        <v>1525012533</v>
      </c>
      <c r="B181">
        <v>1525012534</v>
      </c>
      <c r="C181" t="str">
        <f>T("[e북]너만 모르는 연애 2권 (완결)")</f>
        <v>[e북]너만 모르는 연애 2권 (완결)</v>
      </c>
      <c r="D181" t="str">
        <f>T("2")</f>
        <v>2</v>
      </c>
      <c r="E181" t="str">
        <f>T("카에트")</f>
        <v>카에트</v>
      </c>
      <c r="H181" t="str">
        <f t="shared" ref="H181:H189" si="23">T("블러쉬")</f>
        <v>블러쉬</v>
      </c>
      <c r="I181" t="str">
        <f>T("[e북]너만 모르는 연애")</f>
        <v>[e북]너만 모르는 연애</v>
      </c>
      <c r="J181">
        <v>2800</v>
      </c>
      <c r="K181">
        <v>5600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5600</v>
      </c>
      <c r="AH181">
        <v>2</v>
      </c>
      <c r="AI181">
        <v>0</v>
      </c>
      <c r="AJ181">
        <v>0</v>
      </c>
      <c r="AK181">
        <v>5600</v>
      </c>
      <c r="AL181">
        <v>0</v>
      </c>
      <c r="AM181">
        <v>0</v>
      </c>
      <c r="AN181">
        <v>0</v>
      </c>
      <c r="AO181">
        <v>0</v>
      </c>
      <c r="AQ181">
        <v>0</v>
      </c>
      <c r="AR181">
        <v>0</v>
      </c>
      <c r="AT181">
        <v>0</v>
      </c>
      <c r="AU181">
        <v>0</v>
      </c>
      <c r="AW181">
        <v>0</v>
      </c>
      <c r="AX181">
        <v>0</v>
      </c>
      <c r="AY181">
        <v>3920</v>
      </c>
      <c r="BC181" t="str">
        <f>T("9791166482281")</f>
        <v>9791166482281</v>
      </c>
      <c r="BE181" t="str">
        <f t="shared" ref="BE181:BE189" si="24">T("BL 소설 e북 &gt; 현대물")</f>
        <v>BL 소설 e북 &gt; 현대물</v>
      </c>
    </row>
    <row r="182" spans="1:58" x14ac:dyDescent="0.3">
      <c r="A182">
        <v>1525012533</v>
      </c>
      <c r="B182">
        <v>1525012533</v>
      </c>
      <c r="C182" t="str">
        <f>T("[e북]너만 모르는 연애 1권")</f>
        <v>[e북]너만 모르는 연애 1권</v>
      </c>
      <c r="D182" t="str">
        <f>T("1")</f>
        <v>1</v>
      </c>
      <c r="E182" t="str">
        <f>T("카에트")</f>
        <v>카에트</v>
      </c>
      <c r="H182" t="str">
        <f t="shared" si="23"/>
        <v>블러쉬</v>
      </c>
      <c r="I182" t="str">
        <f>T("[e북]너만 모르는 연애")</f>
        <v>[e북]너만 모르는 연애</v>
      </c>
      <c r="J182">
        <v>2800</v>
      </c>
      <c r="K182">
        <v>5600</v>
      </c>
      <c r="L182">
        <v>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5600</v>
      </c>
      <c r="AH182">
        <v>2</v>
      </c>
      <c r="AI182">
        <v>0</v>
      </c>
      <c r="AJ182">
        <v>0</v>
      </c>
      <c r="AK182">
        <v>5600</v>
      </c>
      <c r="AL182">
        <v>0</v>
      </c>
      <c r="AM182">
        <v>0</v>
      </c>
      <c r="AN182">
        <v>0</v>
      </c>
      <c r="AO182">
        <v>0</v>
      </c>
      <c r="AQ182">
        <v>0</v>
      </c>
      <c r="AR182">
        <v>0</v>
      </c>
      <c r="AT182">
        <v>0</v>
      </c>
      <c r="AU182">
        <v>0</v>
      </c>
      <c r="AW182">
        <v>0</v>
      </c>
      <c r="AX182">
        <v>0</v>
      </c>
      <c r="AY182">
        <v>3920</v>
      </c>
      <c r="BC182" t="str">
        <f>T("9791166482274")</f>
        <v>9791166482274</v>
      </c>
      <c r="BE182" t="str">
        <f t="shared" si="24"/>
        <v>BL 소설 e북 &gt; 현대물</v>
      </c>
    </row>
    <row r="183" spans="1:58" x14ac:dyDescent="0.3">
      <c r="A183">
        <v>1525008122</v>
      </c>
      <c r="B183">
        <v>1525008123</v>
      </c>
      <c r="C183" t="str">
        <f>T("[e북]신사동 그 사람 2권 (완결)")</f>
        <v>[e북]신사동 그 사람 2권 (완결)</v>
      </c>
      <c r="D183" t="str">
        <f>T("2")</f>
        <v>2</v>
      </c>
      <c r="E183" t="str">
        <f>T("SISSI")</f>
        <v>SISSI</v>
      </c>
      <c r="H183" t="str">
        <f t="shared" si="23"/>
        <v>블러쉬</v>
      </c>
      <c r="I183" t="str">
        <f>T("[e북]신사동 그 사람")</f>
        <v>[e북]신사동 그 사람</v>
      </c>
      <c r="J183">
        <v>2800</v>
      </c>
      <c r="K183">
        <v>5600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5600</v>
      </c>
      <c r="AH183">
        <v>2</v>
      </c>
      <c r="AI183">
        <v>0</v>
      </c>
      <c r="AJ183">
        <v>0</v>
      </c>
      <c r="AK183">
        <v>5600</v>
      </c>
      <c r="AL183">
        <v>0</v>
      </c>
      <c r="AM183">
        <v>0</v>
      </c>
      <c r="AN183">
        <v>0</v>
      </c>
      <c r="AO183">
        <v>0</v>
      </c>
      <c r="AQ183">
        <v>0</v>
      </c>
      <c r="AR183">
        <v>0</v>
      </c>
      <c r="AT183">
        <v>0</v>
      </c>
      <c r="AU183">
        <v>0</v>
      </c>
      <c r="AW183">
        <v>0</v>
      </c>
      <c r="AX183">
        <v>0</v>
      </c>
      <c r="AY183">
        <v>3920</v>
      </c>
      <c r="BA183" t="str">
        <f t="shared" ref="BA183:BA192" si="25">T("0000000000000")</f>
        <v>0000000000000</v>
      </c>
      <c r="BC183" t="str">
        <f>T("9791166480188")</f>
        <v>9791166480188</v>
      </c>
      <c r="BE183" t="str">
        <f t="shared" si="24"/>
        <v>BL 소설 e북 &gt; 현대물</v>
      </c>
    </row>
    <row r="184" spans="1:58" x14ac:dyDescent="0.3">
      <c r="A184">
        <v>1525008122</v>
      </c>
      <c r="B184">
        <v>1525008122</v>
      </c>
      <c r="C184" t="str">
        <f>T("[e북]신사동 그 사람 1권")</f>
        <v>[e북]신사동 그 사람 1권</v>
      </c>
      <c r="D184" t="str">
        <f>T("1")</f>
        <v>1</v>
      </c>
      <c r="E184" t="str">
        <f>T("SISSI")</f>
        <v>SISSI</v>
      </c>
      <c r="H184" t="str">
        <f t="shared" si="23"/>
        <v>블러쉬</v>
      </c>
      <c r="I184" t="str">
        <f>T("[e북]신사동 그 사람")</f>
        <v>[e북]신사동 그 사람</v>
      </c>
      <c r="J184">
        <v>2800</v>
      </c>
      <c r="K184">
        <v>5600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5600</v>
      </c>
      <c r="AH184">
        <v>2</v>
      </c>
      <c r="AI184">
        <v>0</v>
      </c>
      <c r="AJ184">
        <v>0</v>
      </c>
      <c r="AK184">
        <v>5600</v>
      </c>
      <c r="AL184">
        <v>0</v>
      </c>
      <c r="AM184">
        <v>0</v>
      </c>
      <c r="AN184">
        <v>0</v>
      </c>
      <c r="AO184">
        <v>0</v>
      </c>
      <c r="AQ184">
        <v>0</v>
      </c>
      <c r="AR184">
        <v>0</v>
      </c>
      <c r="AT184">
        <v>0</v>
      </c>
      <c r="AU184">
        <v>0</v>
      </c>
      <c r="AW184">
        <v>0</v>
      </c>
      <c r="AX184">
        <v>0</v>
      </c>
      <c r="AY184">
        <v>3920</v>
      </c>
      <c r="BA184" t="str">
        <f t="shared" si="25"/>
        <v>0000000000000</v>
      </c>
      <c r="BC184" t="str">
        <f>T("9791166480171")</f>
        <v>9791166480171</v>
      </c>
      <c r="BE184" t="str">
        <f t="shared" si="24"/>
        <v>BL 소설 e북 &gt; 현대물</v>
      </c>
    </row>
    <row r="185" spans="1:58" x14ac:dyDescent="0.3">
      <c r="A185">
        <v>1525008193</v>
      </c>
      <c r="B185">
        <v>1525008193</v>
      </c>
      <c r="C185" t="str">
        <f>T("[e북]택스 프리(TAX FREE) 1권")</f>
        <v>[e북]택스 프리(TAX FREE) 1권</v>
      </c>
      <c r="D185" t="str">
        <f>T("1")</f>
        <v>1</v>
      </c>
      <c r="E185" t="str">
        <f>T("SISSI")</f>
        <v>SISSI</v>
      </c>
      <c r="H185" t="str">
        <f t="shared" si="23"/>
        <v>블러쉬</v>
      </c>
      <c r="I185" t="str">
        <f>T("[e북]택스 프리(TAX FREE)")</f>
        <v>[e북]택스 프리(TAX FREE)</v>
      </c>
      <c r="J185">
        <v>2800</v>
      </c>
      <c r="K185">
        <v>5600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5600</v>
      </c>
      <c r="AH185">
        <v>2</v>
      </c>
      <c r="AI185">
        <v>0</v>
      </c>
      <c r="AJ185">
        <v>0</v>
      </c>
      <c r="AK185">
        <v>5600</v>
      </c>
      <c r="AL185">
        <v>0</v>
      </c>
      <c r="AM185">
        <v>0</v>
      </c>
      <c r="AN185">
        <v>0</v>
      </c>
      <c r="AO185">
        <v>0</v>
      </c>
      <c r="AQ185">
        <v>0</v>
      </c>
      <c r="AR185">
        <v>0</v>
      </c>
      <c r="AT185">
        <v>0</v>
      </c>
      <c r="AU185">
        <v>0</v>
      </c>
      <c r="AW185">
        <v>0</v>
      </c>
      <c r="AX185">
        <v>0</v>
      </c>
      <c r="AY185">
        <v>3920</v>
      </c>
      <c r="BA185" t="str">
        <f t="shared" si="25"/>
        <v>0000000000000</v>
      </c>
      <c r="BC185" t="str">
        <f>T("9791166481871")</f>
        <v>9791166481871</v>
      </c>
      <c r="BE185" t="str">
        <f t="shared" si="24"/>
        <v>BL 소설 e북 &gt; 현대물</v>
      </c>
    </row>
    <row r="186" spans="1:58" x14ac:dyDescent="0.3">
      <c r="A186">
        <v>1525008154</v>
      </c>
      <c r="B186">
        <v>1525008156</v>
      </c>
      <c r="C186" t="str">
        <f>T("[e북]우아한 곡선 3권 (완결)")</f>
        <v>[e북]우아한 곡선 3권 (완결)</v>
      </c>
      <c r="D186" t="str">
        <f>T("3")</f>
        <v>3</v>
      </c>
      <c r="E186" t="str">
        <f>T("용가리맛쿠키")</f>
        <v>용가리맛쿠키</v>
      </c>
      <c r="H186" t="str">
        <f t="shared" si="23"/>
        <v>블러쉬</v>
      </c>
      <c r="I186" t="str">
        <f>T("[e북]우아한 곡선")</f>
        <v>[e북]우아한 곡선</v>
      </c>
      <c r="J186">
        <v>2800</v>
      </c>
      <c r="K186">
        <v>5600</v>
      </c>
      <c r="L186">
        <v>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5600</v>
      </c>
      <c r="AH186">
        <v>2</v>
      </c>
      <c r="AI186">
        <v>0</v>
      </c>
      <c r="AJ186">
        <v>0</v>
      </c>
      <c r="AK186">
        <v>5600</v>
      </c>
      <c r="AL186">
        <v>0</v>
      </c>
      <c r="AM186">
        <v>0</v>
      </c>
      <c r="AN186">
        <v>0</v>
      </c>
      <c r="AO186">
        <v>0</v>
      </c>
      <c r="AQ186">
        <v>0</v>
      </c>
      <c r="AR186">
        <v>0</v>
      </c>
      <c r="AT186">
        <v>0</v>
      </c>
      <c r="AU186">
        <v>0</v>
      </c>
      <c r="AW186">
        <v>0</v>
      </c>
      <c r="AX186">
        <v>0</v>
      </c>
      <c r="AY186">
        <v>3920</v>
      </c>
      <c r="BA186" t="str">
        <f t="shared" si="25"/>
        <v>0000000000000</v>
      </c>
      <c r="BC186" t="str">
        <f>T("9791190132091")</f>
        <v>9791190132091</v>
      </c>
      <c r="BE186" t="str">
        <f t="shared" si="24"/>
        <v>BL 소설 e북 &gt; 현대물</v>
      </c>
    </row>
    <row r="187" spans="1:58" x14ac:dyDescent="0.3">
      <c r="A187">
        <v>1525008154</v>
      </c>
      <c r="B187">
        <v>1525008155</v>
      </c>
      <c r="C187" t="str">
        <f>T("[e북]우아한 곡선 2권")</f>
        <v>[e북]우아한 곡선 2권</v>
      </c>
      <c r="D187" t="str">
        <f>T("2")</f>
        <v>2</v>
      </c>
      <c r="E187" t="str">
        <f>T("용가리맛쿠키")</f>
        <v>용가리맛쿠키</v>
      </c>
      <c r="H187" t="str">
        <f t="shared" si="23"/>
        <v>블러쉬</v>
      </c>
      <c r="I187" t="str">
        <f>T("[e북]우아한 곡선")</f>
        <v>[e북]우아한 곡선</v>
      </c>
      <c r="J187">
        <v>2800</v>
      </c>
      <c r="K187">
        <v>5600</v>
      </c>
      <c r="L187">
        <v>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5600</v>
      </c>
      <c r="AH187">
        <v>2</v>
      </c>
      <c r="AI187">
        <v>0</v>
      </c>
      <c r="AJ187">
        <v>0</v>
      </c>
      <c r="AK187">
        <v>5600</v>
      </c>
      <c r="AL187">
        <v>0</v>
      </c>
      <c r="AM187">
        <v>0</v>
      </c>
      <c r="AN187">
        <v>0</v>
      </c>
      <c r="AO187">
        <v>0</v>
      </c>
      <c r="AQ187">
        <v>0</v>
      </c>
      <c r="AR187">
        <v>0</v>
      </c>
      <c r="AT187">
        <v>0</v>
      </c>
      <c r="AU187">
        <v>0</v>
      </c>
      <c r="AW187">
        <v>0</v>
      </c>
      <c r="AX187">
        <v>0</v>
      </c>
      <c r="AY187">
        <v>3920</v>
      </c>
      <c r="BA187" t="str">
        <f t="shared" si="25"/>
        <v>0000000000000</v>
      </c>
      <c r="BC187" t="str">
        <f>T("9791190132084")</f>
        <v>9791190132084</v>
      </c>
      <c r="BE187" t="str">
        <f t="shared" si="24"/>
        <v>BL 소설 e북 &gt; 현대물</v>
      </c>
    </row>
    <row r="188" spans="1:58" x14ac:dyDescent="0.3">
      <c r="A188">
        <v>1525008154</v>
      </c>
      <c r="B188">
        <v>1525008154</v>
      </c>
      <c r="C188" t="str">
        <f>T("[e북]우아한 곡선 1권")</f>
        <v>[e북]우아한 곡선 1권</v>
      </c>
      <c r="D188" t="str">
        <f>T("1")</f>
        <v>1</v>
      </c>
      <c r="E188" t="str">
        <f>T("용가리맛쿠키")</f>
        <v>용가리맛쿠키</v>
      </c>
      <c r="H188" t="str">
        <f t="shared" si="23"/>
        <v>블러쉬</v>
      </c>
      <c r="I188" t="str">
        <f>T("[e북]우아한 곡선")</f>
        <v>[e북]우아한 곡선</v>
      </c>
      <c r="J188">
        <v>2800</v>
      </c>
      <c r="K188">
        <v>5600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5600</v>
      </c>
      <c r="AH188">
        <v>2</v>
      </c>
      <c r="AI188">
        <v>0</v>
      </c>
      <c r="AJ188">
        <v>0</v>
      </c>
      <c r="AK188">
        <v>5600</v>
      </c>
      <c r="AL188">
        <v>0</v>
      </c>
      <c r="AM188">
        <v>0</v>
      </c>
      <c r="AN188">
        <v>0</v>
      </c>
      <c r="AO188">
        <v>0</v>
      </c>
      <c r="AQ188">
        <v>0</v>
      </c>
      <c r="AR188">
        <v>0</v>
      </c>
      <c r="AT188">
        <v>0</v>
      </c>
      <c r="AU188">
        <v>0</v>
      </c>
      <c r="AW188">
        <v>0</v>
      </c>
      <c r="AX188">
        <v>0</v>
      </c>
      <c r="AY188">
        <v>3920</v>
      </c>
      <c r="BA188" t="str">
        <f t="shared" si="25"/>
        <v>0000000000000</v>
      </c>
      <c r="BC188" t="str">
        <f>T("9791190132077")</f>
        <v>9791190132077</v>
      </c>
      <c r="BE188" t="str">
        <f t="shared" si="24"/>
        <v>BL 소설 e북 &gt; 현대물</v>
      </c>
    </row>
    <row r="189" spans="1:58" x14ac:dyDescent="0.3">
      <c r="A189">
        <v>1525008189</v>
      </c>
      <c r="B189">
        <v>1525008190</v>
      </c>
      <c r="C189" t="str">
        <f>T("[e북]클라우드 나인 (Cloud 9) 2권")</f>
        <v>[e북]클라우드 나인 (Cloud 9) 2권</v>
      </c>
      <c r="D189" t="str">
        <f>T("2")</f>
        <v>2</v>
      </c>
      <c r="E189" t="str">
        <f>T("jooki")</f>
        <v>jooki</v>
      </c>
      <c r="H189" t="str">
        <f t="shared" si="23"/>
        <v>블러쉬</v>
      </c>
      <c r="I189" t="str">
        <f>T("[e북]클라우드 나인 (Cloud 9)")</f>
        <v>[e북]클라우드 나인 (Cloud 9)</v>
      </c>
      <c r="J189">
        <v>3000</v>
      </c>
      <c r="K189">
        <v>5400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5400</v>
      </c>
      <c r="AH189">
        <v>2</v>
      </c>
      <c r="AI189">
        <v>0</v>
      </c>
      <c r="AJ189">
        <v>0</v>
      </c>
      <c r="AK189">
        <v>2700</v>
      </c>
      <c r="AL189">
        <v>0</v>
      </c>
      <c r="AM189">
        <v>3240</v>
      </c>
      <c r="AN189">
        <v>-324</v>
      </c>
      <c r="AO189">
        <v>0</v>
      </c>
      <c r="AQ189">
        <v>0</v>
      </c>
      <c r="AR189">
        <v>0</v>
      </c>
      <c r="AS189">
        <v>3240</v>
      </c>
      <c r="AT189">
        <v>-324</v>
      </c>
      <c r="AU189">
        <v>0</v>
      </c>
      <c r="AW189">
        <v>0</v>
      </c>
      <c r="AX189">
        <v>0</v>
      </c>
      <c r="AY189">
        <v>3931.2</v>
      </c>
      <c r="BA189" t="str">
        <f t="shared" si="25"/>
        <v>0000000000000</v>
      </c>
      <c r="BC189" t="str">
        <f>T("9791190132350")</f>
        <v>9791190132350</v>
      </c>
      <c r="BE189" t="str">
        <f t="shared" si="24"/>
        <v>BL 소설 e북 &gt; 현대물</v>
      </c>
    </row>
    <row r="190" spans="1:58" x14ac:dyDescent="0.3">
      <c r="B190">
        <v>1525013364</v>
      </c>
      <c r="C190" t="str">
        <f>T("[e북]비공개 열애")</f>
        <v>[e북]비공개 열애</v>
      </c>
      <c r="E190" t="str">
        <f>T("박지영")</f>
        <v>박지영</v>
      </c>
      <c r="H190" t="str">
        <f>T("밀리오리지널")</f>
        <v>밀리오리지널</v>
      </c>
      <c r="J190">
        <v>2000</v>
      </c>
      <c r="K190">
        <v>5400</v>
      </c>
      <c r="L190">
        <v>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5400</v>
      </c>
      <c r="AH190">
        <v>3</v>
      </c>
      <c r="AI190">
        <v>0</v>
      </c>
      <c r="AJ190">
        <v>0</v>
      </c>
      <c r="AK190">
        <v>3600</v>
      </c>
      <c r="AL190">
        <v>0</v>
      </c>
      <c r="AM190">
        <v>2160</v>
      </c>
      <c r="AN190">
        <v>-648</v>
      </c>
      <c r="AO190">
        <v>0</v>
      </c>
      <c r="AQ190">
        <v>0</v>
      </c>
      <c r="AR190">
        <v>0</v>
      </c>
      <c r="AS190">
        <v>2160</v>
      </c>
      <c r="AT190">
        <v>-648</v>
      </c>
      <c r="AU190">
        <v>0</v>
      </c>
      <c r="AW190">
        <v>0</v>
      </c>
      <c r="AX190">
        <v>0</v>
      </c>
      <c r="AY190">
        <v>3578.4</v>
      </c>
      <c r="BA190" t="str">
        <f t="shared" si="25"/>
        <v>0000000000000</v>
      </c>
      <c r="BC190" t="str">
        <f>T("9791196945299")</f>
        <v>9791196945299</v>
      </c>
      <c r="BE190" t="str">
        <f>T("로맨스 e북 &gt; 19+")</f>
        <v>로맨스 e북 &gt; 19+</v>
      </c>
      <c r="BF190" t="str">
        <f>T("로맨스 e북 &gt; 현대물")</f>
        <v>로맨스 e북 &gt; 현대물</v>
      </c>
    </row>
    <row r="191" spans="1:58" x14ac:dyDescent="0.3">
      <c r="A191">
        <v>1525008189</v>
      </c>
      <c r="B191">
        <v>1525008189</v>
      </c>
      <c r="C191" t="str">
        <f>T("[e북]클라우드 나인 (Cloud 9) 1권")</f>
        <v>[e북]클라우드 나인 (Cloud 9) 1권</v>
      </c>
      <c r="D191" t="str">
        <f>T("1")</f>
        <v>1</v>
      </c>
      <c r="E191" t="str">
        <f>T("jooki")</f>
        <v>jooki</v>
      </c>
      <c r="H191" t="str">
        <f>T("블러쉬")</f>
        <v>블러쉬</v>
      </c>
      <c r="I191" t="str">
        <f>T("[e북]클라우드 나인 (Cloud 9)")</f>
        <v>[e북]클라우드 나인 (Cloud 9)</v>
      </c>
      <c r="J191">
        <v>3000</v>
      </c>
      <c r="K191">
        <v>5400</v>
      </c>
      <c r="L191">
        <v>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5400</v>
      </c>
      <c r="AH191">
        <v>2</v>
      </c>
      <c r="AI191">
        <v>0</v>
      </c>
      <c r="AJ191">
        <v>0</v>
      </c>
      <c r="AK191">
        <v>2700</v>
      </c>
      <c r="AL191">
        <v>0</v>
      </c>
      <c r="AM191">
        <v>3240</v>
      </c>
      <c r="AN191">
        <v>-324</v>
      </c>
      <c r="AO191">
        <v>0</v>
      </c>
      <c r="AQ191">
        <v>0</v>
      </c>
      <c r="AR191">
        <v>0</v>
      </c>
      <c r="AS191">
        <v>3240</v>
      </c>
      <c r="AT191">
        <v>-324</v>
      </c>
      <c r="AU191">
        <v>0</v>
      </c>
      <c r="AW191">
        <v>0</v>
      </c>
      <c r="AX191">
        <v>0</v>
      </c>
      <c r="AY191">
        <v>3931.2</v>
      </c>
      <c r="BA191" t="str">
        <f t="shared" si="25"/>
        <v>0000000000000</v>
      </c>
      <c r="BC191" t="str">
        <f>T("9791190132343")</f>
        <v>9791190132343</v>
      </c>
      <c r="BE191" t="str">
        <f>T("BL 소설 e북 &gt; 현대물")</f>
        <v>BL 소설 e북 &gt; 현대물</v>
      </c>
    </row>
    <row r="192" spans="1:58" x14ac:dyDescent="0.3">
      <c r="A192">
        <v>1525008129</v>
      </c>
      <c r="B192">
        <v>1525008127</v>
      </c>
      <c r="C192" t="str">
        <f>T("[e북]엠프티 (Empty) (외전 2)")</f>
        <v>[e북]엠프티 (Empty) (외전 2)</v>
      </c>
      <c r="D192" t="str">
        <f>T("4")</f>
        <v>4</v>
      </c>
      <c r="E192" t="str">
        <f>T("라돌체")</f>
        <v>라돌체</v>
      </c>
      <c r="H192" t="str">
        <f>T("블러쉬")</f>
        <v>블러쉬</v>
      </c>
      <c r="I192" t="str">
        <f>T("[e북]엠프티 (Empty)")</f>
        <v>[e북]엠프티 (Empty)</v>
      </c>
      <c r="J192">
        <v>800</v>
      </c>
      <c r="K192">
        <v>5200</v>
      </c>
      <c r="L192">
        <v>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5200</v>
      </c>
      <c r="AH192">
        <v>7</v>
      </c>
      <c r="AI192">
        <v>0</v>
      </c>
      <c r="AJ192">
        <v>0</v>
      </c>
      <c r="AK192">
        <v>5200</v>
      </c>
      <c r="AL192">
        <v>0</v>
      </c>
      <c r="AM192">
        <v>0</v>
      </c>
      <c r="AN192">
        <v>0</v>
      </c>
      <c r="AO192">
        <v>0</v>
      </c>
      <c r="AQ192">
        <v>0</v>
      </c>
      <c r="AR192">
        <v>0</v>
      </c>
      <c r="AT192">
        <v>0</v>
      </c>
      <c r="AU192">
        <v>0</v>
      </c>
      <c r="AW192">
        <v>0</v>
      </c>
      <c r="AX192">
        <v>0</v>
      </c>
      <c r="AY192">
        <v>3640</v>
      </c>
      <c r="BA192" t="str">
        <f t="shared" si="25"/>
        <v>0000000000000</v>
      </c>
      <c r="BC192" t="str">
        <f>T("9791166481826")</f>
        <v>9791166481826</v>
      </c>
      <c r="BE192" t="str">
        <f>T("BL 소설 e북 &gt; 현대물")</f>
        <v>BL 소설 e북 &gt; 현대물</v>
      </c>
    </row>
    <row r="193" spans="1:58" x14ac:dyDescent="0.3">
      <c r="B193">
        <v>1525014005</v>
      </c>
      <c r="C193" t="str">
        <f>T("[e북]봄, 어리 이야기")</f>
        <v>[e북]봄, 어리 이야기</v>
      </c>
      <c r="E193" t="str">
        <f>T("신윤희(에드가)")</f>
        <v>신윤희(에드가)</v>
      </c>
      <c r="H193" t="str">
        <f>T("밀리오리지널")</f>
        <v>밀리오리지널</v>
      </c>
      <c r="J193">
        <v>2500</v>
      </c>
      <c r="K193">
        <v>5000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5000</v>
      </c>
      <c r="AH193">
        <v>2</v>
      </c>
      <c r="AI193">
        <v>0</v>
      </c>
      <c r="AJ193">
        <v>0</v>
      </c>
      <c r="AK193">
        <v>5000</v>
      </c>
      <c r="AL193">
        <v>0</v>
      </c>
      <c r="AM193">
        <v>0</v>
      </c>
      <c r="AN193">
        <v>0</v>
      </c>
      <c r="AO193">
        <v>0</v>
      </c>
      <c r="AQ193">
        <v>0</v>
      </c>
      <c r="AR193">
        <v>0</v>
      </c>
      <c r="AT193">
        <v>0</v>
      </c>
      <c r="AU193">
        <v>0</v>
      </c>
      <c r="AW193">
        <v>0</v>
      </c>
      <c r="AX193">
        <v>0</v>
      </c>
      <c r="AY193">
        <v>3500</v>
      </c>
      <c r="BC193" t="str">
        <f>T("9791191562279")</f>
        <v>9791191562279</v>
      </c>
      <c r="BE193" t="str">
        <f>T("로판 e북 &gt; 동양풍 로판")</f>
        <v>로판 e북 &gt; 동양풍 로판</v>
      </c>
    </row>
    <row r="194" spans="1:58" x14ac:dyDescent="0.3">
      <c r="B194">
        <v>1525013359</v>
      </c>
      <c r="C194" t="str">
        <f>T("[e북]밤의 제물")</f>
        <v>[e북]밤의 제물</v>
      </c>
      <c r="E194" t="str">
        <f>T("두럭")</f>
        <v>두럭</v>
      </c>
      <c r="H194" t="str">
        <f>T("쉬라즈")</f>
        <v>쉬라즈</v>
      </c>
      <c r="J194">
        <v>2500</v>
      </c>
      <c r="K194">
        <v>5000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5000</v>
      </c>
      <c r="AH194">
        <v>2</v>
      </c>
      <c r="AI194">
        <v>0</v>
      </c>
      <c r="AJ194">
        <v>0</v>
      </c>
      <c r="AK194">
        <v>5000</v>
      </c>
      <c r="AL194">
        <v>0</v>
      </c>
      <c r="AM194">
        <v>0</v>
      </c>
      <c r="AN194">
        <v>0</v>
      </c>
      <c r="AO194">
        <v>0</v>
      </c>
      <c r="AQ194">
        <v>0</v>
      </c>
      <c r="AR194">
        <v>0</v>
      </c>
      <c r="AT194">
        <v>0</v>
      </c>
      <c r="AU194">
        <v>0</v>
      </c>
      <c r="AW194">
        <v>0</v>
      </c>
      <c r="AX194">
        <v>0</v>
      </c>
      <c r="AY194">
        <v>3500</v>
      </c>
      <c r="BA194" t="str">
        <f>T("0000000000000")</f>
        <v>0000000000000</v>
      </c>
      <c r="BC194" t="str">
        <f>T("9791166483042")</f>
        <v>9791166483042</v>
      </c>
      <c r="BE194" t="str">
        <f>T("로판 e북 &gt; 서양풍 로판")</f>
        <v>로판 e북 &gt; 서양풍 로판</v>
      </c>
    </row>
    <row r="195" spans="1:58" x14ac:dyDescent="0.3">
      <c r="B195">
        <v>1525013438</v>
      </c>
      <c r="C195" t="str">
        <f>T("[e북]계약 비서")</f>
        <v>[e북]계약 비서</v>
      </c>
      <c r="E195" t="str">
        <f>T("김원경")</f>
        <v>김원경</v>
      </c>
      <c r="H195" t="str">
        <f>T("밀리오리지널")</f>
        <v>밀리오리지널</v>
      </c>
      <c r="J195">
        <v>2500</v>
      </c>
      <c r="K195">
        <v>5000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5000</v>
      </c>
      <c r="AH195">
        <v>2</v>
      </c>
      <c r="AI195">
        <v>0</v>
      </c>
      <c r="AJ195">
        <v>0</v>
      </c>
      <c r="AK195">
        <v>5000</v>
      </c>
      <c r="AL195">
        <v>0</v>
      </c>
      <c r="AM195">
        <v>0</v>
      </c>
      <c r="AN195">
        <v>0</v>
      </c>
      <c r="AO195">
        <v>0</v>
      </c>
      <c r="AQ195">
        <v>0</v>
      </c>
      <c r="AR195">
        <v>0</v>
      </c>
      <c r="AT195">
        <v>0</v>
      </c>
      <c r="AU195">
        <v>0</v>
      </c>
      <c r="AW195">
        <v>0</v>
      </c>
      <c r="AX195">
        <v>0</v>
      </c>
      <c r="AY195">
        <v>3500</v>
      </c>
      <c r="BC195" t="str">
        <f>T("9791191562125")</f>
        <v>9791191562125</v>
      </c>
      <c r="BE195" t="str">
        <f>T("로맨스 e북 &gt; 현대물")</f>
        <v>로맨스 e북 &gt; 현대물</v>
      </c>
      <c r="BF195" t="str">
        <f>T("로맨스 e북 &gt; 19+")</f>
        <v>로맨스 e북 &gt; 19+</v>
      </c>
    </row>
    <row r="196" spans="1:58" x14ac:dyDescent="0.3">
      <c r="B196">
        <v>1525007757</v>
      </c>
      <c r="C196" t="str">
        <f>T("[e북]나를 사 주세요")</f>
        <v>[e북]나를 사 주세요</v>
      </c>
      <c r="E196" t="str">
        <f>T("웨인")</f>
        <v>웨인</v>
      </c>
      <c r="H196" t="str">
        <f>T("쉬라즈")</f>
        <v>쉬라즈</v>
      </c>
      <c r="J196">
        <v>4300</v>
      </c>
      <c r="K196">
        <v>4300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4300</v>
      </c>
      <c r="AH196">
        <v>1</v>
      </c>
      <c r="AI196">
        <v>0</v>
      </c>
      <c r="AJ196">
        <v>0</v>
      </c>
      <c r="AK196">
        <v>4300</v>
      </c>
      <c r="AL196">
        <v>0</v>
      </c>
      <c r="AM196">
        <v>0</v>
      </c>
      <c r="AN196">
        <v>0</v>
      </c>
      <c r="AO196">
        <v>0</v>
      </c>
      <c r="AQ196">
        <v>0</v>
      </c>
      <c r="AR196">
        <v>0</v>
      </c>
      <c r="AT196">
        <v>0</v>
      </c>
      <c r="AU196">
        <v>0</v>
      </c>
      <c r="AW196">
        <v>0</v>
      </c>
      <c r="AX196">
        <v>0</v>
      </c>
      <c r="AY196">
        <v>3010</v>
      </c>
      <c r="BA196" t="str">
        <f t="shared" ref="BA196:BA202" si="26">T("0000000000000")</f>
        <v>0000000000000</v>
      </c>
      <c r="BC196" t="str">
        <f>T("9791164890576")</f>
        <v>9791164890576</v>
      </c>
      <c r="BE196" t="str">
        <f>T("로맨스 e북 &gt; 현대물")</f>
        <v>로맨스 e북 &gt; 현대물</v>
      </c>
      <c r="BF196" t="str">
        <f>T("로맨스 e북 &gt; 19+")</f>
        <v>로맨스 e북 &gt; 19+</v>
      </c>
    </row>
    <row r="197" spans="1:58" x14ac:dyDescent="0.3">
      <c r="A197">
        <v>1525007806</v>
      </c>
      <c r="B197">
        <v>1525007806</v>
      </c>
      <c r="C197" t="str">
        <f>T("[e북]상무님이 원하시는 대로")</f>
        <v>[e북]상무님이 원하시는 대로</v>
      </c>
      <c r="D197" t="str">
        <f>T("1")</f>
        <v>1</v>
      </c>
      <c r="E197" t="str">
        <f>T("벨")</f>
        <v>벨</v>
      </c>
      <c r="H197" t="str">
        <f>T("쉬라즈")</f>
        <v>쉬라즈</v>
      </c>
      <c r="I197" t="str">
        <f>T("[e북]상무님이 원하시는 대로")</f>
        <v>[e북]상무님이 원하시는 대로</v>
      </c>
      <c r="J197">
        <v>4200</v>
      </c>
      <c r="K197">
        <v>4200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4200</v>
      </c>
      <c r="AH197">
        <v>1</v>
      </c>
      <c r="AI197">
        <v>0</v>
      </c>
      <c r="AJ197">
        <v>0</v>
      </c>
      <c r="AK197">
        <v>4200</v>
      </c>
      <c r="AL197">
        <v>0</v>
      </c>
      <c r="AM197">
        <v>0</v>
      </c>
      <c r="AN197">
        <v>0</v>
      </c>
      <c r="AO197">
        <v>0</v>
      </c>
      <c r="AQ197">
        <v>0</v>
      </c>
      <c r="AR197">
        <v>0</v>
      </c>
      <c r="AT197">
        <v>0</v>
      </c>
      <c r="AU197">
        <v>0</v>
      </c>
      <c r="AW197">
        <v>0</v>
      </c>
      <c r="AX197">
        <v>0</v>
      </c>
      <c r="AY197">
        <v>2940</v>
      </c>
      <c r="BA197" t="str">
        <f t="shared" si="26"/>
        <v>0000000000000</v>
      </c>
      <c r="BC197" t="str">
        <f>T("9791164899920")</f>
        <v>9791164899920</v>
      </c>
      <c r="BE197" t="str">
        <f>T("로맨스 e북 &gt; 현대물")</f>
        <v>로맨스 e북 &gt; 현대물</v>
      </c>
      <c r="BF197" t="str">
        <f>T("로맨스 e북 &gt; 19+")</f>
        <v>로맨스 e북 &gt; 19+</v>
      </c>
    </row>
    <row r="198" spans="1:58" x14ac:dyDescent="0.3">
      <c r="A198">
        <v>1525007779</v>
      </c>
      <c r="B198">
        <v>1525007779</v>
      </c>
      <c r="C198" t="str">
        <f>T("[e북]루틴 프리(Routine Free) 1권")</f>
        <v>[e북]루틴 프리(Routine Free) 1권</v>
      </c>
      <c r="D198" t="str">
        <f>T("1")</f>
        <v>1</v>
      </c>
      <c r="E198" t="str">
        <f>T("파르소")</f>
        <v>파르소</v>
      </c>
      <c r="H198" t="str">
        <f>T("쉬라즈")</f>
        <v>쉬라즈</v>
      </c>
      <c r="I198" t="str">
        <f>T("[e북]루틴 프리(Routine Free)")</f>
        <v>[e북]루틴 프리(Routine Free)</v>
      </c>
      <c r="J198">
        <v>4200</v>
      </c>
      <c r="K198">
        <v>4200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4200</v>
      </c>
      <c r="AH198">
        <v>1</v>
      </c>
      <c r="AI198">
        <v>0</v>
      </c>
      <c r="AJ198">
        <v>0</v>
      </c>
      <c r="AK198">
        <v>4200</v>
      </c>
      <c r="AL198">
        <v>0</v>
      </c>
      <c r="AM198">
        <v>0</v>
      </c>
      <c r="AN198">
        <v>0</v>
      </c>
      <c r="AO198">
        <v>0</v>
      </c>
      <c r="AQ198">
        <v>0</v>
      </c>
      <c r="AR198">
        <v>0</v>
      </c>
      <c r="AT198">
        <v>0</v>
      </c>
      <c r="AU198">
        <v>0</v>
      </c>
      <c r="AW198">
        <v>0</v>
      </c>
      <c r="AX198">
        <v>0</v>
      </c>
      <c r="AY198">
        <v>2940</v>
      </c>
      <c r="BA198" t="str">
        <f t="shared" si="26"/>
        <v>0000000000000</v>
      </c>
      <c r="BC198" t="str">
        <f>T("9791164890903")</f>
        <v>9791164890903</v>
      </c>
      <c r="BD198" t="str">
        <f>T("R35")</f>
        <v>R35</v>
      </c>
      <c r="BE198" t="str">
        <f>T("로맨스 e북 &gt; 현대물")</f>
        <v>로맨스 e북 &gt; 현대물</v>
      </c>
      <c r="BF198" t="str">
        <f>T("로맨스 e북 &gt; 19+")</f>
        <v>로맨스 e북 &gt; 19+</v>
      </c>
    </row>
    <row r="199" spans="1:58" x14ac:dyDescent="0.3">
      <c r="A199">
        <v>1525008055</v>
      </c>
      <c r="B199">
        <v>1525008056</v>
      </c>
      <c r="C199" t="str">
        <f>T("[e북]담군 연사장 2권 (완결)")</f>
        <v>[e북]담군 연사장 2권 (완결)</v>
      </c>
      <c r="D199" t="str">
        <f>T("2")</f>
        <v>2</v>
      </c>
      <c r="E199" t="str">
        <f>T("피모")</f>
        <v>피모</v>
      </c>
      <c r="H199" t="str">
        <f>T("블러쉬")</f>
        <v>블러쉬</v>
      </c>
      <c r="I199" t="str">
        <f>T("[e북]담군 연사장")</f>
        <v>[e북]담군 연사장</v>
      </c>
      <c r="J199">
        <v>4500</v>
      </c>
      <c r="K199">
        <v>4050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4050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4860</v>
      </c>
      <c r="AN199">
        <v>-486</v>
      </c>
      <c r="AO199">
        <v>0</v>
      </c>
      <c r="AQ199">
        <v>0</v>
      </c>
      <c r="AR199">
        <v>0</v>
      </c>
      <c r="AS199">
        <v>4860</v>
      </c>
      <c r="AT199">
        <v>-486</v>
      </c>
      <c r="AU199">
        <v>0</v>
      </c>
      <c r="AW199">
        <v>0</v>
      </c>
      <c r="AX199">
        <v>0</v>
      </c>
      <c r="AY199">
        <v>3061.8</v>
      </c>
      <c r="BA199" t="str">
        <f t="shared" si="26"/>
        <v>0000000000000</v>
      </c>
      <c r="BC199" t="str">
        <f>T("9791190132732")</f>
        <v>9791190132732</v>
      </c>
      <c r="BE199" t="str">
        <f>T("BL 소설 e북 &gt; 현대물")</f>
        <v>BL 소설 e북 &gt; 현대물</v>
      </c>
      <c r="BF199" t="str">
        <f>T("BL 소설 e북 &gt; 판타지물")</f>
        <v>BL 소설 e북 &gt; 판타지물</v>
      </c>
    </row>
    <row r="200" spans="1:58" x14ac:dyDescent="0.3">
      <c r="A200">
        <v>1525008055</v>
      </c>
      <c r="B200">
        <v>1525008055</v>
      </c>
      <c r="C200" t="str">
        <f>T("[e북]담군 연사장 1권")</f>
        <v>[e북]담군 연사장 1권</v>
      </c>
      <c r="D200" t="str">
        <f>T("1")</f>
        <v>1</v>
      </c>
      <c r="E200" t="str">
        <f>T("피모")</f>
        <v>피모</v>
      </c>
      <c r="H200" t="str">
        <f>T("블러쉬")</f>
        <v>블러쉬</v>
      </c>
      <c r="I200" t="str">
        <f>T("[e북]담군 연사장")</f>
        <v>[e북]담군 연사장</v>
      </c>
      <c r="J200">
        <v>4500</v>
      </c>
      <c r="K200">
        <v>4050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4050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4860</v>
      </c>
      <c r="AN200">
        <v>-486</v>
      </c>
      <c r="AO200">
        <v>0</v>
      </c>
      <c r="AQ200">
        <v>0</v>
      </c>
      <c r="AR200">
        <v>0</v>
      </c>
      <c r="AS200">
        <v>4860</v>
      </c>
      <c r="AT200">
        <v>-486</v>
      </c>
      <c r="AU200">
        <v>0</v>
      </c>
      <c r="AW200">
        <v>0</v>
      </c>
      <c r="AX200">
        <v>0</v>
      </c>
      <c r="AY200">
        <v>3061.8</v>
      </c>
      <c r="BA200" t="str">
        <f t="shared" si="26"/>
        <v>0000000000000</v>
      </c>
      <c r="BC200" t="str">
        <f>T("9791190132725")</f>
        <v>9791190132725</v>
      </c>
      <c r="BE200" t="str">
        <f>T("BL 소설 e북 &gt; 현대물")</f>
        <v>BL 소설 e북 &gt; 현대물</v>
      </c>
      <c r="BF200" t="str">
        <f>T("BL 소설 e북 &gt; 판타지물")</f>
        <v>BL 소설 e북 &gt; 판타지물</v>
      </c>
    </row>
    <row r="201" spans="1:58" x14ac:dyDescent="0.3">
      <c r="B201">
        <v>1525013361</v>
      </c>
      <c r="C201" t="str">
        <f>T("[e북]설국연가")</f>
        <v>[e북]설국연가</v>
      </c>
      <c r="E201" t="str">
        <f>T("마뇽")</f>
        <v>마뇽</v>
      </c>
      <c r="H201" t="str">
        <f>T("밀리오리지널")</f>
        <v>밀리오리지널</v>
      </c>
      <c r="J201">
        <v>2000</v>
      </c>
      <c r="K201">
        <v>4000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4000</v>
      </c>
      <c r="AH201">
        <v>2</v>
      </c>
      <c r="AI201">
        <v>0</v>
      </c>
      <c r="AJ201">
        <v>0</v>
      </c>
      <c r="AK201">
        <v>4000</v>
      </c>
      <c r="AL201">
        <v>0</v>
      </c>
      <c r="AM201">
        <v>0</v>
      </c>
      <c r="AN201">
        <v>0</v>
      </c>
      <c r="AO201">
        <v>0</v>
      </c>
      <c r="AQ201">
        <v>0</v>
      </c>
      <c r="AR201">
        <v>0</v>
      </c>
      <c r="AT201">
        <v>0</v>
      </c>
      <c r="AU201">
        <v>0</v>
      </c>
      <c r="AW201">
        <v>0</v>
      </c>
      <c r="AX201">
        <v>0</v>
      </c>
      <c r="AY201">
        <v>2800</v>
      </c>
      <c r="BA201" t="str">
        <f t="shared" si="26"/>
        <v>0000000000000</v>
      </c>
      <c r="BC201" t="str">
        <f>T("9791191562033")</f>
        <v>9791191562033</v>
      </c>
      <c r="BE201" t="str">
        <f>T("로맨스 e북 &gt; 19+")</f>
        <v>로맨스 e북 &gt; 19+</v>
      </c>
      <c r="BF201" t="str">
        <f>T("로맨스 e북 &gt; 역사/시대물")</f>
        <v>로맨스 e북 &gt; 역사/시대물</v>
      </c>
    </row>
    <row r="202" spans="1:58" x14ac:dyDescent="0.3">
      <c r="B202">
        <v>1525013367</v>
      </c>
      <c r="C202" t="str">
        <f>T("[e북]만나러 갈게")</f>
        <v>[e북]만나러 갈게</v>
      </c>
      <c r="E202" t="str">
        <f>T("박샛별")</f>
        <v>박샛별</v>
      </c>
      <c r="H202" t="str">
        <f>T("밀리오리지널")</f>
        <v>밀리오리지널</v>
      </c>
      <c r="J202">
        <v>2000</v>
      </c>
      <c r="K202">
        <v>4000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4000</v>
      </c>
      <c r="AH202">
        <v>2</v>
      </c>
      <c r="AI202">
        <v>0</v>
      </c>
      <c r="AJ202">
        <v>0</v>
      </c>
      <c r="AK202">
        <v>4000</v>
      </c>
      <c r="AL202">
        <v>0</v>
      </c>
      <c r="AM202">
        <v>0</v>
      </c>
      <c r="AN202">
        <v>0</v>
      </c>
      <c r="AO202">
        <v>0</v>
      </c>
      <c r="AQ202">
        <v>0</v>
      </c>
      <c r="AR202">
        <v>0</v>
      </c>
      <c r="AT202">
        <v>0</v>
      </c>
      <c r="AU202">
        <v>0</v>
      </c>
      <c r="AW202">
        <v>0</v>
      </c>
      <c r="AX202">
        <v>0</v>
      </c>
      <c r="AY202">
        <v>2800</v>
      </c>
      <c r="BA202" t="str">
        <f t="shared" si="26"/>
        <v>0000000000000</v>
      </c>
      <c r="BC202" t="str">
        <f>T("9791191562071")</f>
        <v>9791191562071</v>
      </c>
      <c r="BE202" t="str">
        <f>T("로맨스 e북 &gt; 현대물")</f>
        <v>로맨스 e북 &gt; 현대물</v>
      </c>
    </row>
    <row r="203" spans="1:58" x14ac:dyDescent="0.3">
      <c r="B203">
        <v>1525013653</v>
      </c>
      <c r="C203" t="str">
        <f>T("[e북]넘어와")</f>
        <v>[e북]넘어와</v>
      </c>
      <c r="E203" t="str">
        <f>T("송여희")</f>
        <v>송여희</v>
      </c>
      <c r="H203" t="str">
        <f>T("밀리오리지널")</f>
        <v>밀리오리지널</v>
      </c>
      <c r="J203">
        <v>2000</v>
      </c>
      <c r="K203">
        <v>4000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4000</v>
      </c>
      <c r="AH203">
        <v>2</v>
      </c>
      <c r="AI203">
        <v>0</v>
      </c>
      <c r="AJ203">
        <v>0</v>
      </c>
      <c r="AK203">
        <v>4000</v>
      </c>
      <c r="AL203">
        <v>0</v>
      </c>
      <c r="AM203">
        <v>0</v>
      </c>
      <c r="AN203">
        <v>0</v>
      </c>
      <c r="AO203">
        <v>0</v>
      </c>
      <c r="AQ203">
        <v>0</v>
      </c>
      <c r="AR203">
        <v>0</v>
      </c>
      <c r="AT203">
        <v>0</v>
      </c>
      <c r="AU203">
        <v>0</v>
      </c>
      <c r="AW203">
        <v>0</v>
      </c>
      <c r="AX203">
        <v>0</v>
      </c>
      <c r="AY203">
        <v>2800</v>
      </c>
      <c r="BC203" t="str">
        <f>T("9791191562217")</f>
        <v>9791191562217</v>
      </c>
      <c r="BE203" t="str">
        <f>T("로맨스 e북 &gt; 현대물")</f>
        <v>로맨스 e북 &gt; 현대물</v>
      </c>
      <c r="BF203" t="str">
        <f>T("로맨스 e북 &gt; 19+")</f>
        <v>로맨스 e북 &gt; 19+</v>
      </c>
    </row>
    <row r="204" spans="1:58" x14ac:dyDescent="0.3">
      <c r="A204">
        <v>1525007854</v>
      </c>
      <c r="B204">
        <v>1525007854</v>
      </c>
      <c r="C204" t="str">
        <f>T("[e북]호랑아기씨 1권")</f>
        <v>[e북]호랑아기씨 1권</v>
      </c>
      <c r="D204" t="str">
        <f>T("1")</f>
        <v>1</v>
      </c>
      <c r="E204" t="str">
        <f>T("Ashes")</f>
        <v>Ashes</v>
      </c>
      <c r="H204" t="str">
        <f>T("쉬라즈")</f>
        <v>쉬라즈</v>
      </c>
      <c r="I204" t="str">
        <f>T("[e북]호랑아기씨")</f>
        <v>[e북]호랑아기씨</v>
      </c>
      <c r="J204">
        <v>3800</v>
      </c>
      <c r="K204">
        <v>3800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3800</v>
      </c>
      <c r="AH204">
        <v>1</v>
      </c>
      <c r="AI204">
        <v>0</v>
      </c>
      <c r="AJ204">
        <v>0</v>
      </c>
      <c r="AK204">
        <v>3800</v>
      </c>
      <c r="AL204">
        <v>0</v>
      </c>
      <c r="AM204">
        <v>0</v>
      </c>
      <c r="AN204">
        <v>0</v>
      </c>
      <c r="AO204">
        <v>0</v>
      </c>
      <c r="AQ204">
        <v>0</v>
      </c>
      <c r="AR204">
        <v>0</v>
      </c>
      <c r="AT204">
        <v>0</v>
      </c>
      <c r="AU204">
        <v>0</v>
      </c>
      <c r="AW204">
        <v>0</v>
      </c>
      <c r="AX204">
        <v>0</v>
      </c>
      <c r="AY204">
        <v>2660</v>
      </c>
      <c r="BA204" t="str">
        <f t="shared" ref="BA204:BA219" si="27">T("0000000000000")</f>
        <v>0000000000000</v>
      </c>
      <c r="BC204" t="str">
        <f>T("9791164891054")</f>
        <v>9791164891054</v>
      </c>
      <c r="BD204" t="str">
        <f>T("R5")</f>
        <v>R5</v>
      </c>
      <c r="BE204" t="str">
        <f>T("로맨스 e북 &gt; 역사/시대물")</f>
        <v>로맨스 e북 &gt; 역사/시대물</v>
      </c>
      <c r="BF204" t="str">
        <f>T("로맨스 e북 &gt; 19+")</f>
        <v>로맨스 e북 &gt; 19+</v>
      </c>
    </row>
    <row r="205" spans="1:58" x14ac:dyDescent="0.3">
      <c r="A205">
        <v>1525007859</v>
      </c>
      <c r="B205">
        <v>1525007860</v>
      </c>
      <c r="C205" t="str">
        <f>T("[e북]황태자와 나 2권 (완결)")</f>
        <v>[e북]황태자와 나 2권 (완결)</v>
      </c>
      <c r="D205" t="str">
        <f>T("2")</f>
        <v>2</v>
      </c>
      <c r="E205" t="str">
        <f>T("오산타")</f>
        <v>오산타</v>
      </c>
      <c r="H205" t="str">
        <f>T("쉬라즈")</f>
        <v>쉬라즈</v>
      </c>
      <c r="I205" t="str">
        <f>T("[e북]황태자와 나")</f>
        <v>[e북]황태자와 나</v>
      </c>
      <c r="J205">
        <v>3800</v>
      </c>
      <c r="K205">
        <v>3800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3800</v>
      </c>
      <c r="AH205">
        <v>1</v>
      </c>
      <c r="AI205">
        <v>0</v>
      </c>
      <c r="AJ205">
        <v>0</v>
      </c>
      <c r="AK205">
        <v>3800</v>
      </c>
      <c r="AL205">
        <v>0</v>
      </c>
      <c r="AM205">
        <v>0</v>
      </c>
      <c r="AN205">
        <v>0</v>
      </c>
      <c r="AO205">
        <v>0</v>
      </c>
      <c r="AQ205">
        <v>0</v>
      </c>
      <c r="AR205">
        <v>0</v>
      </c>
      <c r="AT205">
        <v>0</v>
      </c>
      <c r="AU205">
        <v>0</v>
      </c>
      <c r="AW205">
        <v>0</v>
      </c>
      <c r="AX205">
        <v>0</v>
      </c>
      <c r="AY205">
        <v>2660</v>
      </c>
      <c r="BA205" t="str">
        <f t="shared" si="27"/>
        <v>0000000000000</v>
      </c>
      <c r="BC205" t="str">
        <f>T("9791190132695")</f>
        <v>9791190132695</v>
      </c>
      <c r="BE205" t="str">
        <f>T("로맨스 e북 &gt; 현대물")</f>
        <v>로맨스 e북 &gt; 현대물</v>
      </c>
      <c r="BF205" t="str">
        <f>T("로맨스 e북 &gt; 19+")</f>
        <v>로맨스 e북 &gt; 19+</v>
      </c>
    </row>
    <row r="206" spans="1:58" x14ac:dyDescent="0.3">
      <c r="A206">
        <v>1525008119</v>
      </c>
      <c r="B206">
        <v>1525008120</v>
      </c>
      <c r="C206" t="str">
        <f>T("[e북]신들의 성소 2권 (완결)")</f>
        <v>[e북]신들의 성소 2권 (완결)</v>
      </c>
      <c r="D206" t="str">
        <f>T("2")</f>
        <v>2</v>
      </c>
      <c r="E206" t="str">
        <f>T("중년바나나")</f>
        <v>중년바나나</v>
      </c>
      <c r="H206" t="str">
        <f>T("블러쉬")</f>
        <v>블러쉬</v>
      </c>
      <c r="I206" t="str">
        <f>T("[e북]신들의 성소")</f>
        <v>[e북]신들의 성소</v>
      </c>
      <c r="J206">
        <v>3800</v>
      </c>
      <c r="K206">
        <v>3800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3800</v>
      </c>
      <c r="AH206">
        <v>1</v>
      </c>
      <c r="AI206">
        <v>0</v>
      </c>
      <c r="AJ206">
        <v>0</v>
      </c>
      <c r="AK206">
        <v>2000</v>
      </c>
      <c r="AL206">
        <v>0</v>
      </c>
      <c r="AM206">
        <v>2160</v>
      </c>
      <c r="AN206">
        <v>-216</v>
      </c>
      <c r="AO206">
        <v>0</v>
      </c>
      <c r="AQ206">
        <v>0</v>
      </c>
      <c r="AR206">
        <v>0</v>
      </c>
      <c r="AS206">
        <v>2160</v>
      </c>
      <c r="AT206">
        <v>-216</v>
      </c>
      <c r="AU206">
        <v>0</v>
      </c>
      <c r="AW206">
        <v>0</v>
      </c>
      <c r="AX206">
        <v>0</v>
      </c>
      <c r="AY206">
        <v>2760.8</v>
      </c>
      <c r="BA206" t="str">
        <f t="shared" si="27"/>
        <v>0000000000000</v>
      </c>
      <c r="BC206" t="str">
        <f>T("9791190132480")</f>
        <v>9791190132480</v>
      </c>
      <c r="BE206" t="str">
        <f>T("BL 소설 e북 &gt; 판타지물")</f>
        <v>BL 소설 e북 &gt; 판타지물</v>
      </c>
    </row>
    <row r="207" spans="1:58" x14ac:dyDescent="0.3">
      <c r="A207">
        <v>1525007859</v>
      </c>
      <c r="B207">
        <v>1525007859</v>
      </c>
      <c r="C207" t="str">
        <f>T("[e북]황태자와 나 1권")</f>
        <v>[e북]황태자와 나 1권</v>
      </c>
      <c r="D207" t="str">
        <f>T("1")</f>
        <v>1</v>
      </c>
      <c r="E207" t="str">
        <f>T("오산타")</f>
        <v>오산타</v>
      </c>
      <c r="H207" t="str">
        <f>T("쉬라즈")</f>
        <v>쉬라즈</v>
      </c>
      <c r="I207" t="str">
        <f>T("[e북]황태자와 나")</f>
        <v>[e북]황태자와 나</v>
      </c>
      <c r="J207">
        <v>3800</v>
      </c>
      <c r="K207">
        <v>3800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3800</v>
      </c>
      <c r="AH207">
        <v>1</v>
      </c>
      <c r="AI207">
        <v>0</v>
      </c>
      <c r="AJ207">
        <v>0</v>
      </c>
      <c r="AK207">
        <v>3800</v>
      </c>
      <c r="AL207">
        <v>0</v>
      </c>
      <c r="AM207">
        <v>0</v>
      </c>
      <c r="AN207">
        <v>0</v>
      </c>
      <c r="AO207">
        <v>0</v>
      </c>
      <c r="AQ207">
        <v>0</v>
      </c>
      <c r="AR207">
        <v>0</v>
      </c>
      <c r="AT207">
        <v>0</v>
      </c>
      <c r="AU207">
        <v>0</v>
      </c>
      <c r="AW207">
        <v>0</v>
      </c>
      <c r="AX207">
        <v>0</v>
      </c>
      <c r="AY207">
        <v>2660</v>
      </c>
      <c r="BA207" t="str">
        <f t="shared" si="27"/>
        <v>0000000000000</v>
      </c>
      <c r="BC207" t="str">
        <f>T("9791190132688")</f>
        <v>9791190132688</v>
      </c>
      <c r="BE207" t="str">
        <f>T("로맨스 e북 &gt; 현대물")</f>
        <v>로맨스 e북 &gt; 현대물</v>
      </c>
      <c r="BF207" t="str">
        <f>T("로맨스 e북 &gt; 19+")</f>
        <v>로맨스 e북 &gt; 19+</v>
      </c>
    </row>
    <row r="208" spans="1:58" x14ac:dyDescent="0.3">
      <c r="A208">
        <v>1525008187</v>
      </c>
      <c r="B208">
        <v>1525008188</v>
      </c>
      <c r="C208" t="str">
        <f>T("[e북]퀸 앤 폰 (Queen &amp; Pawn) 2권 (완결)")</f>
        <v>[e북]퀸 앤 폰 (Queen &amp; Pawn) 2권 (완결)</v>
      </c>
      <c r="D208" t="str">
        <f>T("2")</f>
        <v>2</v>
      </c>
      <c r="E208" t="str">
        <f>T("류마티")</f>
        <v>류마티</v>
      </c>
      <c r="H208" t="str">
        <f t="shared" ref="H208:H219" si="28">T("블러쉬")</f>
        <v>블러쉬</v>
      </c>
      <c r="I208" t="str">
        <f>T("[e북]퀸 앤 폰(Queen &amp; Pawn)")</f>
        <v>[e북]퀸 앤 폰(Queen &amp; Pawn)</v>
      </c>
      <c r="J208">
        <v>3800</v>
      </c>
      <c r="K208">
        <v>3800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3800</v>
      </c>
      <c r="AH208">
        <v>1</v>
      </c>
      <c r="AI208">
        <v>0</v>
      </c>
      <c r="AJ208">
        <v>0</v>
      </c>
      <c r="AK208">
        <v>3800</v>
      </c>
      <c r="AL208">
        <v>0</v>
      </c>
      <c r="AM208">
        <v>0</v>
      </c>
      <c r="AN208">
        <v>0</v>
      </c>
      <c r="AO208">
        <v>0</v>
      </c>
      <c r="AQ208">
        <v>0</v>
      </c>
      <c r="AR208">
        <v>0</v>
      </c>
      <c r="AT208">
        <v>0</v>
      </c>
      <c r="AU208">
        <v>0</v>
      </c>
      <c r="AW208">
        <v>0</v>
      </c>
      <c r="AX208">
        <v>0</v>
      </c>
      <c r="AY208">
        <v>2660</v>
      </c>
      <c r="BA208" t="str">
        <f t="shared" si="27"/>
        <v>0000000000000</v>
      </c>
      <c r="BC208" t="str">
        <f>T("9791190132442")</f>
        <v>9791190132442</v>
      </c>
      <c r="BE208" t="str">
        <f>T("BL 소설 e북 &gt; 판타지물")</f>
        <v>BL 소설 e북 &gt; 판타지물</v>
      </c>
    </row>
    <row r="209" spans="1:57" x14ac:dyDescent="0.3">
      <c r="A209">
        <v>1525008119</v>
      </c>
      <c r="B209">
        <v>1525008118</v>
      </c>
      <c r="C209" t="str">
        <f>T("[e북]신들의 성소 (외전)")</f>
        <v>[e북]신들의 성소 (외전)</v>
      </c>
      <c r="D209" t="str">
        <f>T("3")</f>
        <v>3</v>
      </c>
      <c r="E209" t="str">
        <f>T("중년바나나")</f>
        <v>중년바나나</v>
      </c>
      <c r="H209" t="str">
        <f t="shared" si="28"/>
        <v>블러쉬</v>
      </c>
      <c r="I209" t="str">
        <f>T("[e북]신들의 성소")</f>
        <v>[e북]신들의 성소</v>
      </c>
      <c r="J209">
        <v>1200</v>
      </c>
      <c r="K209">
        <v>3600</v>
      </c>
      <c r="L209">
        <v>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3600</v>
      </c>
      <c r="AH209">
        <v>3</v>
      </c>
      <c r="AI209">
        <v>0</v>
      </c>
      <c r="AJ209">
        <v>0</v>
      </c>
      <c r="AK209">
        <v>2600</v>
      </c>
      <c r="AL209">
        <v>0</v>
      </c>
      <c r="AM209">
        <v>1200</v>
      </c>
      <c r="AN209">
        <v>-120</v>
      </c>
      <c r="AO209">
        <v>0</v>
      </c>
      <c r="AQ209">
        <v>0</v>
      </c>
      <c r="AR209">
        <v>0</v>
      </c>
      <c r="AS209">
        <v>1200</v>
      </c>
      <c r="AT209">
        <v>-120</v>
      </c>
      <c r="AU209">
        <v>0</v>
      </c>
      <c r="AW209">
        <v>0</v>
      </c>
      <c r="AX209">
        <v>0</v>
      </c>
      <c r="AY209">
        <v>2576</v>
      </c>
      <c r="BA209" t="str">
        <f t="shared" si="27"/>
        <v>0000000000000</v>
      </c>
      <c r="BC209" t="str">
        <f>T("9791190132503")</f>
        <v>9791190132503</v>
      </c>
      <c r="BE209" t="str">
        <f>T("BL 소설 e북 &gt; 판타지물")</f>
        <v>BL 소설 e북 &gt; 판타지물</v>
      </c>
    </row>
    <row r="210" spans="1:57" x14ac:dyDescent="0.3">
      <c r="A210">
        <v>1525008204</v>
      </c>
      <c r="B210">
        <v>1525008205</v>
      </c>
      <c r="C210" t="str">
        <f>T("[e북]피할 수 없으면 즐겨라 2권")</f>
        <v>[e북]피할 수 없으면 즐겨라 2권</v>
      </c>
      <c r="D210" t="str">
        <f>T("2")</f>
        <v>2</v>
      </c>
      <c r="E210" t="str">
        <f>T("한슬")</f>
        <v>한슬</v>
      </c>
      <c r="H210" t="str">
        <f t="shared" si="28"/>
        <v>블러쉬</v>
      </c>
      <c r="I210" t="str">
        <f>T("[e북]피할 수 없으면 즐겨라")</f>
        <v>[e북]피할 수 없으면 즐겨라</v>
      </c>
      <c r="J210">
        <v>3500</v>
      </c>
      <c r="K210">
        <v>3500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3500</v>
      </c>
      <c r="AH210">
        <v>1</v>
      </c>
      <c r="AI210">
        <v>0</v>
      </c>
      <c r="AJ210">
        <v>0</v>
      </c>
      <c r="AK210">
        <v>3500</v>
      </c>
      <c r="AL210">
        <v>0</v>
      </c>
      <c r="AM210">
        <v>0</v>
      </c>
      <c r="AN210">
        <v>0</v>
      </c>
      <c r="AO210">
        <v>0</v>
      </c>
      <c r="AQ210">
        <v>0</v>
      </c>
      <c r="AR210">
        <v>0</v>
      </c>
      <c r="AT210">
        <v>0</v>
      </c>
      <c r="AU210">
        <v>0</v>
      </c>
      <c r="AW210">
        <v>0</v>
      </c>
      <c r="AX210">
        <v>0</v>
      </c>
      <c r="AY210">
        <v>2450</v>
      </c>
      <c r="BA210" t="str">
        <f t="shared" si="27"/>
        <v>0000000000000</v>
      </c>
      <c r="BC210" t="str">
        <f>T("9791164892464")</f>
        <v>9791164892464</v>
      </c>
      <c r="BE210" t="str">
        <f>T("BL 소설 e북 &gt; 현대물")</f>
        <v>BL 소설 e북 &gt; 현대물</v>
      </c>
    </row>
    <row r="211" spans="1:57" x14ac:dyDescent="0.3">
      <c r="A211">
        <v>1525008114</v>
      </c>
      <c r="B211">
        <v>1525008117</v>
      </c>
      <c r="C211" t="str">
        <f>T("[e북]술탄 4권 (완결)")</f>
        <v>[e북]술탄 4권 (완결)</v>
      </c>
      <c r="D211" t="str">
        <f>T("4")</f>
        <v>4</v>
      </c>
      <c r="E211" t="str">
        <f>T("jooki")</f>
        <v>jooki</v>
      </c>
      <c r="H211" t="str">
        <f t="shared" si="28"/>
        <v>블러쉬</v>
      </c>
      <c r="I211" t="str">
        <f>T("[e북]술탄")</f>
        <v>[e북]술탄</v>
      </c>
      <c r="J211">
        <v>3500</v>
      </c>
      <c r="K211">
        <v>3500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3500</v>
      </c>
      <c r="AH211">
        <v>1</v>
      </c>
      <c r="AI211">
        <v>0</v>
      </c>
      <c r="AJ211">
        <v>0</v>
      </c>
      <c r="AK211">
        <v>3500</v>
      </c>
      <c r="AL211">
        <v>0</v>
      </c>
      <c r="AM211">
        <v>0</v>
      </c>
      <c r="AN211">
        <v>0</v>
      </c>
      <c r="AO211">
        <v>0</v>
      </c>
      <c r="AQ211">
        <v>0</v>
      </c>
      <c r="AR211">
        <v>0</v>
      </c>
      <c r="AT211">
        <v>0</v>
      </c>
      <c r="AU211">
        <v>0</v>
      </c>
      <c r="AW211">
        <v>0</v>
      </c>
      <c r="AX211">
        <v>0</v>
      </c>
      <c r="AY211">
        <v>2450</v>
      </c>
      <c r="BA211" t="str">
        <f t="shared" si="27"/>
        <v>0000000000000</v>
      </c>
      <c r="BC211" t="str">
        <f>T("9791190132565")</f>
        <v>9791190132565</v>
      </c>
      <c r="BE211" t="str">
        <f>T("BL 소설 e북 &gt; 역사/시대물")</f>
        <v>BL 소설 e북 &gt; 역사/시대물</v>
      </c>
    </row>
    <row r="212" spans="1:57" x14ac:dyDescent="0.3">
      <c r="A212">
        <v>1525008114</v>
      </c>
      <c r="B212">
        <v>1525008116</v>
      </c>
      <c r="C212" t="str">
        <f>T("[e북]술탄 3권")</f>
        <v>[e북]술탄 3권</v>
      </c>
      <c r="D212" t="str">
        <f>T("3")</f>
        <v>3</v>
      </c>
      <c r="E212" t="str">
        <f>T("jooki")</f>
        <v>jooki</v>
      </c>
      <c r="H212" t="str">
        <f t="shared" si="28"/>
        <v>블러쉬</v>
      </c>
      <c r="I212" t="str">
        <f>T("[e북]술탄")</f>
        <v>[e북]술탄</v>
      </c>
      <c r="J212">
        <v>3500</v>
      </c>
      <c r="K212">
        <v>3500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3500</v>
      </c>
      <c r="AH212">
        <v>1</v>
      </c>
      <c r="AI212">
        <v>0</v>
      </c>
      <c r="AJ212">
        <v>0</v>
      </c>
      <c r="AK212">
        <v>3500</v>
      </c>
      <c r="AL212">
        <v>0</v>
      </c>
      <c r="AM212">
        <v>0</v>
      </c>
      <c r="AN212">
        <v>0</v>
      </c>
      <c r="AO212">
        <v>0</v>
      </c>
      <c r="AQ212">
        <v>0</v>
      </c>
      <c r="AR212">
        <v>0</v>
      </c>
      <c r="AT212">
        <v>0</v>
      </c>
      <c r="AU212">
        <v>0</v>
      </c>
      <c r="AW212">
        <v>0</v>
      </c>
      <c r="AX212">
        <v>0</v>
      </c>
      <c r="AY212">
        <v>2450</v>
      </c>
      <c r="BA212" t="str">
        <f t="shared" si="27"/>
        <v>0000000000000</v>
      </c>
      <c r="BC212" t="str">
        <f>T("9791190132558")</f>
        <v>9791190132558</v>
      </c>
      <c r="BE212" t="str">
        <f>T("BL 소설 e북 &gt; 역사/시대물")</f>
        <v>BL 소설 e북 &gt; 역사/시대물</v>
      </c>
    </row>
    <row r="213" spans="1:57" x14ac:dyDescent="0.3">
      <c r="A213">
        <v>1525008215</v>
      </c>
      <c r="B213">
        <v>1525008215</v>
      </c>
      <c r="C213" t="str">
        <f>T("[e북]그 순간, 별이 빛났다 1권")</f>
        <v>[e북]그 순간, 별이 빛났다 1권</v>
      </c>
      <c r="D213" t="str">
        <f>T("1")</f>
        <v>1</v>
      </c>
      <c r="E213" t="str">
        <f>T("성실")</f>
        <v>성실</v>
      </c>
      <c r="H213" t="str">
        <f t="shared" si="28"/>
        <v>블러쉬</v>
      </c>
      <c r="I213" t="str">
        <f>T("[e북]그 순간, 별이 빛났다")</f>
        <v>[e북]그 순간, 별이 빛났다</v>
      </c>
      <c r="J213">
        <v>3500</v>
      </c>
      <c r="K213">
        <v>3500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3500</v>
      </c>
      <c r="AH213">
        <v>1</v>
      </c>
      <c r="AI213">
        <v>0</v>
      </c>
      <c r="AJ213">
        <v>0</v>
      </c>
      <c r="AK213">
        <v>3500</v>
      </c>
      <c r="AL213">
        <v>0</v>
      </c>
      <c r="AM213">
        <v>0</v>
      </c>
      <c r="AN213">
        <v>0</v>
      </c>
      <c r="AO213">
        <v>0</v>
      </c>
      <c r="AQ213">
        <v>0</v>
      </c>
      <c r="AR213">
        <v>0</v>
      </c>
      <c r="AT213">
        <v>0</v>
      </c>
      <c r="AU213">
        <v>0</v>
      </c>
      <c r="AW213">
        <v>0</v>
      </c>
      <c r="AX213">
        <v>0</v>
      </c>
      <c r="AY213">
        <v>2450</v>
      </c>
      <c r="BA213" t="str">
        <f t="shared" si="27"/>
        <v>0000000000000</v>
      </c>
      <c r="BC213" t="str">
        <f>T("9791166481840")</f>
        <v>9791166481840</v>
      </c>
      <c r="BE213" t="str">
        <f t="shared" ref="BE213:BE219" si="29">T("BL 소설 e북 &gt; 현대물")</f>
        <v>BL 소설 e북 &gt; 현대물</v>
      </c>
    </row>
    <row r="214" spans="1:57" x14ac:dyDescent="0.3">
      <c r="A214">
        <v>1525008060</v>
      </c>
      <c r="B214">
        <v>1525008061</v>
      </c>
      <c r="C214" t="str">
        <f>T("[e북]더티독 2권 (완결)")</f>
        <v>[e북]더티독 2권 (완결)</v>
      </c>
      <c r="D214" t="str">
        <f>T("2")</f>
        <v>2</v>
      </c>
      <c r="E214" t="str">
        <f>T("용가리맛쿠키")</f>
        <v>용가리맛쿠키</v>
      </c>
      <c r="H214" t="str">
        <f t="shared" si="28"/>
        <v>블러쉬</v>
      </c>
      <c r="I214" t="str">
        <f>T("[e북]더티독")</f>
        <v>[e북]더티독</v>
      </c>
      <c r="J214">
        <v>3500</v>
      </c>
      <c r="K214">
        <v>3500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3500</v>
      </c>
      <c r="AH214">
        <v>1</v>
      </c>
      <c r="AI214">
        <v>0</v>
      </c>
      <c r="AJ214">
        <v>0</v>
      </c>
      <c r="AK214">
        <v>3500</v>
      </c>
      <c r="AL214">
        <v>0</v>
      </c>
      <c r="AM214">
        <v>0</v>
      </c>
      <c r="AN214">
        <v>0</v>
      </c>
      <c r="AO214">
        <v>0</v>
      </c>
      <c r="AQ214">
        <v>0</v>
      </c>
      <c r="AR214">
        <v>0</v>
      </c>
      <c r="AT214">
        <v>0</v>
      </c>
      <c r="AU214">
        <v>0</v>
      </c>
      <c r="AW214">
        <v>0</v>
      </c>
      <c r="AX214">
        <v>0</v>
      </c>
      <c r="AY214">
        <v>2450</v>
      </c>
      <c r="BA214" t="str">
        <f t="shared" si="27"/>
        <v>0000000000000</v>
      </c>
      <c r="BC214" t="str">
        <f>T("9791164896998")</f>
        <v>9791164896998</v>
      </c>
      <c r="BE214" t="str">
        <f t="shared" si="29"/>
        <v>BL 소설 e북 &gt; 현대물</v>
      </c>
    </row>
    <row r="215" spans="1:57" x14ac:dyDescent="0.3">
      <c r="A215">
        <v>1525008204</v>
      </c>
      <c r="B215">
        <v>1525008207</v>
      </c>
      <c r="C215" t="str">
        <f>T("[e북]피할 수 없으면 즐겨라 4권 (완결)")</f>
        <v>[e북]피할 수 없으면 즐겨라 4권 (완결)</v>
      </c>
      <c r="D215" t="str">
        <f>T("4")</f>
        <v>4</v>
      </c>
      <c r="E215" t="str">
        <f>T("한슬")</f>
        <v>한슬</v>
      </c>
      <c r="H215" t="str">
        <f t="shared" si="28"/>
        <v>블러쉬</v>
      </c>
      <c r="I215" t="str">
        <f>T("[e북]피할 수 없으면 즐겨라")</f>
        <v>[e북]피할 수 없으면 즐겨라</v>
      </c>
      <c r="J215">
        <v>3500</v>
      </c>
      <c r="K215">
        <v>3500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3500</v>
      </c>
      <c r="AH215">
        <v>1</v>
      </c>
      <c r="AI215">
        <v>0</v>
      </c>
      <c r="AJ215">
        <v>0</v>
      </c>
      <c r="AK215">
        <v>3500</v>
      </c>
      <c r="AL215">
        <v>0</v>
      </c>
      <c r="AM215">
        <v>0</v>
      </c>
      <c r="AN215">
        <v>0</v>
      </c>
      <c r="AO215">
        <v>0</v>
      </c>
      <c r="AQ215">
        <v>0</v>
      </c>
      <c r="AR215">
        <v>0</v>
      </c>
      <c r="AT215">
        <v>0</v>
      </c>
      <c r="AU215">
        <v>0</v>
      </c>
      <c r="AW215">
        <v>0</v>
      </c>
      <c r="AX215">
        <v>0</v>
      </c>
      <c r="AY215">
        <v>2450</v>
      </c>
      <c r="BA215" t="str">
        <f t="shared" si="27"/>
        <v>0000000000000</v>
      </c>
      <c r="BC215" t="str">
        <f>T("9791164892488")</f>
        <v>9791164892488</v>
      </c>
      <c r="BE215" t="str">
        <f t="shared" si="29"/>
        <v>BL 소설 e북 &gt; 현대물</v>
      </c>
    </row>
    <row r="216" spans="1:57" x14ac:dyDescent="0.3">
      <c r="A216">
        <v>1525008060</v>
      </c>
      <c r="B216">
        <v>1525008060</v>
      </c>
      <c r="C216" t="str">
        <f>T("[e북]더티독 1권")</f>
        <v>[e북]더티독 1권</v>
      </c>
      <c r="D216" t="str">
        <f>T("1")</f>
        <v>1</v>
      </c>
      <c r="E216" t="str">
        <f>T("용가리맛쿠키")</f>
        <v>용가리맛쿠키</v>
      </c>
      <c r="H216" t="str">
        <f t="shared" si="28"/>
        <v>블러쉬</v>
      </c>
      <c r="I216" t="str">
        <f>T("[e북]더티독")</f>
        <v>[e북]더티독</v>
      </c>
      <c r="J216">
        <v>3500</v>
      </c>
      <c r="K216">
        <v>3500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3500</v>
      </c>
      <c r="AH216">
        <v>1</v>
      </c>
      <c r="AI216">
        <v>0</v>
      </c>
      <c r="AJ216">
        <v>0</v>
      </c>
      <c r="AK216">
        <v>3500</v>
      </c>
      <c r="AL216">
        <v>0</v>
      </c>
      <c r="AM216">
        <v>0</v>
      </c>
      <c r="AN216">
        <v>0</v>
      </c>
      <c r="AO216">
        <v>0</v>
      </c>
      <c r="AQ216">
        <v>0</v>
      </c>
      <c r="AR216">
        <v>0</v>
      </c>
      <c r="AT216">
        <v>0</v>
      </c>
      <c r="AU216">
        <v>0</v>
      </c>
      <c r="AW216">
        <v>0</v>
      </c>
      <c r="AX216">
        <v>0</v>
      </c>
      <c r="AY216">
        <v>2450</v>
      </c>
      <c r="BA216" t="str">
        <f t="shared" si="27"/>
        <v>0000000000000</v>
      </c>
      <c r="BC216" t="str">
        <f>T("9791164896981")</f>
        <v>9791164896981</v>
      </c>
      <c r="BE216" t="str">
        <f t="shared" si="29"/>
        <v>BL 소설 e북 &gt; 현대물</v>
      </c>
    </row>
    <row r="217" spans="1:57" x14ac:dyDescent="0.3">
      <c r="A217">
        <v>1525008204</v>
      </c>
      <c r="B217">
        <v>1525008206</v>
      </c>
      <c r="C217" t="str">
        <f>T("[e북]피할 수 없으면 즐겨라 3권")</f>
        <v>[e북]피할 수 없으면 즐겨라 3권</v>
      </c>
      <c r="D217" t="str">
        <f>T("3")</f>
        <v>3</v>
      </c>
      <c r="E217" t="str">
        <f>T("한슬")</f>
        <v>한슬</v>
      </c>
      <c r="H217" t="str">
        <f t="shared" si="28"/>
        <v>블러쉬</v>
      </c>
      <c r="I217" t="str">
        <f>T("[e북]피할 수 없으면 즐겨라")</f>
        <v>[e북]피할 수 없으면 즐겨라</v>
      </c>
      <c r="J217">
        <v>3500</v>
      </c>
      <c r="K217">
        <v>3500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3500</v>
      </c>
      <c r="AH217">
        <v>1</v>
      </c>
      <c r="AI217">
        <v>0</v>
      </c>
      <c r="AJ217">
        <v>0</v>
      </c>
      <c r="AK217">
        <v>3500</v>
      </c>
      <c r="AL217">
        <v>0</v>
      </c>
      <c r="AM217">
        <v>0</v>
      </c>
      <c r="AN217">
        <v>0</v>
      </c>
      <c r="AO217">
        <v>0</v>
      </c>
      <c r="AQ217">
        <v>0</v>
      </c>
      <c r="AR217">
        <v>0</v>
      </c>
      <c r="AT217">
        <v>0</v>
      </c>
      <c r="AU217">
        <v>0</v>
      </c>
      <c r="AW217">
        <v>0</v>
      </c>
      <c r="AX217">
        <v>0</v>
      </c>
      <c r="AY217">
        <v>2450</v>
      </c>
      <c r="BA217" t="str">
        <f t="shared" si="27"/>
        <v>0000000000000</v>
      </c>
      <c r="BC217" t="str">
        <f>T("9791164892471")</f>
        <v>9791164892471</v>
      </c>
      <c r="BE217" t="str">
        <f t="shared" si="29"/>
        <v>BL 소설 e북 &gt; 현대물</v>
      </c>
    </row>
    <row r="218" spans="1:57" x14ac:dyDescent="0.3">
      <c r="A218">
        <v>1525008215</v>
      </c>
      <c r="B218">
        <v>1525008217</v>
      </c>
      <c r="C218" t="str">
        <f>T("[e북]그 순간, 별이 빛났다 3권 (완결)")</f>
        <v>[e북]그 순간, 별이 빛났다 3권 (완결)</v>
      </c>
      <c r="D218" t="str">
        <f>T("3")</f>
        <v>3</v>
      </c>
      <c r="E218" t="str">
        <f>T("성실")</f>
        <v>성실</v>
      </c>
      <c r="H218" t="str">
        <f t="shared" si="28"/>
        <v>블러쉬</v>
      </c>
      <c r="I218" t="str">
        <f>T("[e북]그 순간, 별이 빛났다")</f>
        <v>[e북]그 순간, 별이 빛났다</v>
      </c>
      <c r="J218">
        <v>3500</v>
      </c>
      <c r="K218">
        <v>3500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3500</v>
      </c>
      <c r="AH218">
        <v>1</v>
      </c>
      <c r="AI218">
        <v>0</v>
      </c>
      <c r="AJ218">
        <v>0</v>
      </c>
      <c r="AK218">
        <v>3500</v>
      </c>
      <c r="AL218">
        <v>0</v>
      </c>
      <c r="AM218">
        <v>0</v>
      </c>
      <c r="AN218">
        <v>0</v>
      </c>
      <c r="AO218">
        <v>0</v>
      </c>
      <c r="AQ218">
        <v>0</v>
      </c>
      <c r="AR218">
        <v>0</v>
      </c>
      <c r="AT218">
        <v>0</v>
      </c>
      <c r="AU218">
        <v>0</v>
      </c>
      <c r="AW218">
        <v>0</v>
      </c>
      <c r="AX218">
        <v>0</v>
      </c>
      <c r="AY218">
        <v>2450</v>
      </c>
      <c r="BA218" t="str">
        <f t="shared" si="27"/>
        <v>0000000000000</v>
      </c>
      <c r="BC218" t="str">
        <f>T("9791166481864")</f>
        <v>9791166481864</v>
      </c>
      <c r="BE218" t="str">
        <f t="shared" si="29"/>
        <v>BL 소설 e북 &gt; 현대물</v>
      </c>
    </row>
    <row r="219" spans="1:57" x14ac:dyDescent="0.3">
      <c r="A219">
        <v>1525008073</v>
      </c>
      <c r="B219">
        <v>1525008073</v>
      </c>
      <c r="C219" t="str">
        <f>T("[e북]로맨틱 아이디얼 (Romantic Ideal) 1권")</f>
        <v>[e북]로맨틱 아이디얼 (Romantic Ideal) 1권</v>
      </c>
      <c r="D219" t="str">
        <f>T("1")</f>
        <v>1</v>
      </c>
      <c r="E219" t="str">
        <f>T("나나코")</f>
        <v>나나코</v>
      </c>
      <c r="H219" t="str">
        <f t="shared" si="28"/>
        <v>블러쉬</v>
      </c>
      <c r="I219" t="str">
        <f>T("[e북]로맨틱 아이디얼(Romantic Ideal)")</f>
        <v>[e북]로맨틱 아이디얼(Romantic Ideal)</v>
      </c>
      <c r="J219">
        <v>3600</v>
      </c>
      <c r="K219">
        <v>3240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3240</v>
      </c>
      <c r="AH219">
        <v>1</v>
      </c>
      <c r="AI219">
        <v>0</v>
      </c>
      <c r="AJ219">
        <v>0</v>
      </c>
      <c r="AK219">
        <v>3240</v>
      </c>
      <c r="AL219">
        <v>0</v>
      </c>
      <c r="AM219">
        <v>0</v>
      </c>
      <c r="AN219">
        <v>0</v>
      </c>
      <c r="AO219">
        <v>0</v>
      </c>
      <c r="AQ219">
        <v>0</v>
      </c>
      <c r="AR219">
        <v>0</v>
      </c>
      <c r="AT219">
        <v>0</v>
      </c>
      <c r="AU219">
        <v>0</v>
      </c>
      <c r="AW219">
        <v>0</v>
      </c>
      <c r="AX219">
        <v>0</v>
      </c>
      <c r="AY219">
        <v>2268</v>
      </c>
      <c r="BA219" t="str">
        <f t="shared" si="27"/>
        <v>0000000000000</v>
      </c>
      <c r="BC219" t="str">
        <f>T("9791190132282")</f>
        <v>9791190132282</v>
      </c>
      <c r="BE219" t="str">
        <f t="shared" si="29"/>
        <v>BL 소설 e북 &gt; 현대물</v>
      </c>
    </row>
    <row r="220" spans="1:57" x14ac:dyDescent="0.3">
      <c r="A220">
        <v>1525005640</v>
      </c>
      <c r="B220">
        <v>1525005658</v>
      </c>
      <c r="C220" t="str">
        <f>T("[e북]회귀의 전설 1부 19권")</f>
        <v>[e북]회귀의 전설 1부 19권</v>
      </c>
      <c r="D220" t="str">
        <f>T("19")</f>
        <v>19</v>
      </c>
      <c r="E220" t="str">
        <f>T("김광수")</f>
        <v>김광수</v>
      </c>
      <c r="H220" t="str">
        <f t="shared" ref="H220:H237" si="30">T("스토리위즈")</f>
        <v>스토리위즈</v>
      </c>
      <c r="I220" t="str">
        <f>T("[e북]회귀의 전설")</f>
        <v>[e북]회귀의 전설</v>
      </c>
      <c r="J220">
        <v>3200</v>
      </c>
      <c r="K220">
        <v>3200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3200</v>
      </c>
      <c r="AH220">
        <v>1</v>
      </c>
      <c r="AI220">
        <v>0</v>
      </c>
      <c r="AJ220">
        <v>0</v>
      </c>
      <c r="AK220">
        <v>3200</v>
      </c>
      <c r="AL220">
        <v>0</v>
      </c>
      <c r="AM220">
        <v>0</v>
      </c>
      <c r="AN220">
        <v>0</v>
      </c>
      <c r="AO220">
        <v>0</v>
      </c>
      <c r="AQ220">
        <v>0</v>
      </c>
      <c r="AR220">
        <v>0</v>
      </c>
      <c r="AT220">
        <v>0</v>
      </c>
      <c r="AU220">
        <v>0</v>
      </c>
      <c r="AW220">
        <v>0</v>
      </c>
      <c r="AX220">
        <v>0</v>
      </c>
      <c r="AY220">
        <v>2240</v>
      </c>
      <c r="BC220" t="str">
        <f>T("9791190937948")</f>
        <v>9791190937948</v>
      </c>
      <c r="BE220" t="str">
        <f>T("판타지 e북 &gt; 현대 판타지")</f>
        <v>판타지 e북 &gt; 현대 판타지</v>
      </c>
    </row>
    <row r="221" spans="1:57" x14ac:dyDescent="0.3">
      <c r="A221">
        <v>1525000135</v>
      </c>
      <c r="B221">
        <v>1525000140</v>
      </c>
      <c r="C221" t="str">
        <f>T("[e북]하프 블러드 6권")</f>
        <v>[e북]하프 블러드 6권</v>
      </c>
      <c r="D221" t="str">
        <f>T("6")</f>
        <v>6</v>
      </c>
      <c r="E221" t="str">
        <f>T("김정률")</f>
        <v>김정률</v>
      </c>
      <c r="H221" t="str">
        <f t="shared" si="30"/>
        <v>스토리위즈</v>
      </c>
      <c r="I221" t="str">
        <f>T("[e북]하프 블러드")</f>
        <v>[e북]하프 블러드</v>
      </c>
      <c r="J221">
        <v>3200</v>
      </c>
      <c r="K221">
        <v>3200</v>
      </c>
      <c r="L221">
        <v>1</v>
      </c>
      <c r="M221">
        <v>0</v>
      </c>
      <c r="N221">
        <v>3600</v>
      </c>
      <c r="O221">
        <v>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6800</v>
      </c>
      <c r="AH221">
        <v>5</v>
      </c>
      <c r="AI221">
        <v>0</v>
      </c>
      <c r="AJ221">
        <v>0</v>
      </c>
      <c r="AK221">
        <v>2466</v>
      </c>
      <c r="AL221">
        <v>0</v>
      </c>
      <c r="AM221">
        <v>5200.8</v>
      </c>
      <c r="AN221">
        <v>-520.08000000000004</v>
      </c>
      <c r="AO221">
        <v>0</v>
      </c>
      <c r="AQ221">
        <v>0</v>
      </c>
      <c r="AR221">
        <v>0</v>
      </c>
      <c r="AS221">
        <v>5200.8</v>
      </c>
      <c r="AT221">
        <v>-520.08000000000004</v>
      </c>
      <c r="AU221">
        <v>0</v>
      </c>
      <c r="AW221">
        <v>0</v>
      </c>
      <c r="AX221">
        <v>0</v>
      </c>
      <c r="AY221">
        <v>5002.7</v>
      </c>
      <c r="BE221" t="str">
        <f>T("판타지 e북 &gt; 정통 판타지")</f>
        <v>판타지 e북 &gt; 정통 판타지</v>
      </c>
    </row>
    <row r="222" spans="1:57" x14ac:dyDescent="0.3">
      <c r="A222">
        <v>1525000158</v>
      </c>
      <c r="B222">
        <v>1525000172</v>
      </c>
      <c r="C222" t="str">
        <f>T("[e북]아나크레온 15권")</f>
        <v>[e북]아나크레온 15권</v>
      </c>
      <c r="D222" t="str">
        <f>T("15")</f>
        <v>15</v>
      </c>
      <c r="E222" t="str">
        <f>T("김정률")</f>
        <v>김정률</v>
      </c>
      <c r="H222" t="str">
        <f t="shared" si="30"/>
        <v>스토리위즈</v>
      </c>
      <c r="I222" t="str">
        <f>T("[e북]아나크레온")</f>
        <v>[e북]아나크레온</v>
      </c>
      <c r="J222">
        <v>3200</v>
      </c>
      <c r="K222">
        <v>3200</v>
      </c>
      <c r="L222">
        <v>1</v>
      </c>
      <c r="M222">
        <v>0</v>
      </c>
      <c r="N222">
        <v>5400</v>
      </c>
      <c r="O222">
        <v>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8600</v>
      </c>
      <c r="AH222">
        <v>7</v>
      </c>
      <c r="AI222">
        <v>0</v>
      </c>
      <c r="AJ222">
        <v>0</v>
      </c>
      <c r="AK222">
        <v>5900</v>
      </c>
      <c r="AL222">
        <v>0</v>
      </c>
      <c r="AM222">
        <v>3240</v>
      </c>
      <c r="AN222">
        <v>-756</v>
      </c>
      <c r="AO222">
        <v>0</v>
      </c>
      <c r="AP222">
        <v>2160</v>
      </c>
      <c r="AQ222">
        <v>-648</v>
      </c>
      <c r="AR222">
        <v>0</v>
      </c>
      <c r="AS222">
        <v>1080</v>
      </c>
      <c r="AT222">
        <v>-108</v>
      </c>
      <c r="AU222">
        <v>0</v>
      </c>
      <c r="AW222">
        <v>0</v>
      </c>
      <c r="AX222">
        <v>0</v>
      </c>
      <c r="AY222">
        <v>5868.8</v>
      </c>
      <c r="BE222" t="str">
        <f>T("판타지 e북 &gt; 퓨전 판타지")</f>
        <v>판타지 e북 &gt; 퓨전 판타지</v>
      </c>
    </row>
    <row r="223" spans="1:57" x14ac:dyDescent="0.3">
      <c r="A223">
        <v>1525000125</v>
      </c>
      <c r="B223">
        <v>1525000128</v>
      </c>
      <c r="C223" t="str">
        <f>T("[e북]블레이드 헌터 4권")</f>
        <v>[e북]블레이드 헌터 4권</v>
      </c>
      <c r="D223" t="str">
        <f>T("4")</f>
        <v>4</v>
      </c>
      <c r="E223" t="str">
        <f>T("김정률")</f>
        <v>김정률</v>
      </c>
      <c r="H223" t="str">
        <f t="shared" si="30"/>
        <v>스토리위즈</v>
      </c>
      <c r="I223" t="str">
        <f>T("[e북]블레이드 헌터")</f>
        <v>[e북]블레이드 헌터</v>
      </c>
      <c r="J223">
        <v>3200</v>
      </c>
      <c r="K223">
        <v>3200</v>
      </c>
      <c r="L223">
        <v>1</v>
      </c>
      <c r="M223">
        <v>0</v>
      </c>
      <c r="N223">
        <v>7200</v>
      </c>
      <c r="O223">
        <v>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10400</v>
      </c>
      <c r="AH223">
        <v>9</v>
      </c>
      <c r="AI223">
        <v>0</v>
      </c>
      <c r="AJ223">
        <v>0</v>
      </c>
      <c r="AK223">
        <v>3600</v>
      </c>
      <c r="AL223">
        <v>0</v>
      </c>
      <c r="AM223">
        <v>8160</v>
      </c>
      <c r="AN223">
        <v>-1464</v>
      </c>
      <c r="AO223">
        <v>0</v>
      </c>
      <c r="AP223">
        <v>3240</v>
      </c>
      <c r="AQ223">
        <v>-972</v>
      </c>
      <c r="AR223">
        <v>0</v>
      </c>
      <c r="AS223">
        <v>4920</v>
      </c>
      <c r="AT223">
        <v>-492</v>
      </c>
      <c r="AU223">
        <v>0</v>
      </c>
      <c r="AW223">
        <v>0</v>
      </c>
      <c r="AX223">
        <v>0</v>
      </c>
      <c r="AY223">
        <v>7207.2</v>
      </c>
      <c r="BE223" t="str">
        <f>T("판타지 e북 &gt; 정통 판타지")</f>
        <v>판타지 e북 &gt; 정통 판타지</v>
      </c>
    </row>
    <row r="224" spans="1:57" x14ac:dyDescent="0.3">
      <c r="A224">
        <v>1525000125</v>
      </c>
      <c r="B224">
        <v>1525000129</v>
      </c>
      <c r="C224" t="str">
        <f>T("[e북]블레이드 헌터 5권")</f>
        <v>[e북]블레이드 헌터 5권</v>
      </c>
      <c r="D224" t="str">
        <f>T("5")</f>
        <v>5</v>
      </c>
      <c r="E224" t="str">
        <f>T("김정률")</f>
        <v>김정률</v>
      </c>
      <c r="H224" t="str">
        <f t="shared" si="30"/>
        <v>스토리위즈</v>
      </c>
      <c r="I224" t="str">
        <f>T("[e북]블레이드 헌터")</f>
        <v>[e북]블레이드 헌터</v>
      </c>
      <c r="J224">
        <v>3200</v>
      </c>
      <c r="K224">
        <v>3200</v>
      </c>
      <c r="L224">
        <v>1</v>
      </c>
      <c r="M224">
        <v>0</v>
      </c>
      <c r="N224">
        <v>7200</v>
      </c>
      <c r="O224">
        <v>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10400</v>
      </c>
      <c r="AH224">
        <v>9</v>
      </c>
      <c r="AI224">
        <v>0</v>
      </c>
      <c r="AJ224">
        <v>0</v>
      </c>
      <c r="AK224">
        <v>3740</v>
      </c>
      <c r="AL224">
        <v>0</v>
      </c>
      <c r="AM224">
        <v>7992</v>
      </c>
      <c r="AN224">
        <v>-1413.6</v>
      </c>
      <c r="AO224">
        <v>0</v>
      </c>
      <c r="AP224">
        <v>3072</v>
      </c>
      <c r="AQ224">
        <v>-921.6</v>
      </c>
      <c r="AR224">
        <v>0</v>
      </c>
      <c r="AS224">
        <v>4920</v>
      </c>
      <c r="AT224">
        <v>-492</v>
      </c>
      <c r="AU224">
        <v>0</v>
      </c>
      <c r="AW224">
        <v>0</v>
      </c>
      <c r="AX224">
        <v>0</v>
      </c>
      <c r="AY224">
        <v>7222.88</v>
      </c>
      <c r="BE224" t="str">
        <f>T("판타지 e북 &gt; 정통 판타지")</f>
        <v>판타지 e북 &gt; 정통 판타지</v>
      </c>
    </row>
    <row r="225" spans="1:58" x14ac:dyDescent="0.3">
      <c r="A225">
        <v>1525000146</v>
      </c>
      <c r="B225">
        <v>1525000150</v>
      </c>
      <c r="C225" t="str">
        <f>T("[e북]트루베니아 연대기 5권")</f>
        <v>[e북]트루베니아 연대기 5권</v>
      </c>
      <c r="D225" t="str">
        <f>T("5")</f>
        <v>5</v>
      </c>
      <c r="E225" t="str">
        <f>T("김정률")</f>
        <v>김정률</v>
      </c>
      <c r="H225" t="str">
        <f t="shared" si="30"/>
        <v>스토리위즈</v>
      </c>
      <c r="I225" t="str">
        <f>T("[e북]트루베니아 연대기")</f>
        <v>[e북]트루베니아 연대기</v>
      </c>
      <c r="J225">
        <v>3200</v>
      </c>
      <c r="K225">
        <v>3200</v>
      </c>
      <c r="L225">
        <v>1</v>
      </c>
      <c r="M225">
        <v>0</v>
      </c>
      <c r="N225">
        <v>9000</v>
      </c>
      <c r="O225">
        <v>10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12200</v>
      </c>
      <c r="AH225">
        <v>11</v>
      </c>
      <c r="AI225">
        <v>0</v>
      </c>
      <c r="AJ225">
        <v>0</v>
      </c>
      <c r="AK225">
        <v>3600</v>
      </c>
      <c r="AL225">
        <v>0</v>
      </c>
      <c r="AM225">
        <v>10320</v>
      </c>
      <c r="AN225">
        <v>-2424</v>
      </c>
      <c r="AO225">
        <v>0</v>
      </c>
      <c r="AP225">
        <v>2160</v>
      </c>
      <c r="AQ225">
        <v>-648</v>
      </c>
      <c r="AR225">
        <v>0</v>
      </c>
      <c r="AS225">
        <v>8160</v>
      </c>
      <c r="AT225">
        <v>-1776</v>
      </c>
      <c r="AU225">
        <v>0</v>
      </c>
      <c r="AW225">
        <v>0</v>
      </c>
      <c r="AX225">
        <v>0</v>
      </c>
      <c r="AY225">
        <v>8047.2</v>
      </c>
      <c r="BE225" t="str">
        <f>T("판타지 e북 &gt; 정통 판타지")</f>
        <v>판타지 e북 &gt; 정통 판타지</v>
      </c>
    </row>
    <row r="226" spans="1:58" x14ac:dyDescent="0.3">
      <c r="A226">
        <v>1525005640</v>
      </c>
      <c r="B226">
        <v>1525005657</v>
      </c>
      <c r="C226" t="str">
        <f>T("[e북]회귀의 전설 1부 18권")</f>
        <v>[e북]회귀의 전설 1부 18권</v>
      </c>
      <c r="D226" t="str">
        <f>T("18")</f>
        <v>18</v>
      </c>
      <c r="E226" t="str">
        <f>T("김광수")</f>
        <v>김광수</v>
      </c>
      <c r="H226" t="str">
        <f t="shared" si="30"/>
        <v>스토리위즈</v>
      </c>
      <c r="I226" t="str">
        <f>T("[e북]회귀의 전설")</f>
        <v>[e북]회귀의 전설</v>
      </c>
      <c r="J226">
        <v>3200</v>
      </c>
      <c r="K226">
        <v>3200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3200</v>
      </c>
      <c r="AH226">
        <v>1</v>
      </c>
      <c r="AI226">
        <v>0</v>
      </c>
      <c r="AJ226">
        <v>0</v>
      </c>
      <c r="AK226">
        <v>3200</v>
      </c>
      <c r="AL226">
        <v>0</v>
      </c>
      <c r="AM226">
        <v>0</v>
      </c>
      <c r="AN226">
        <v>0</v>
      </c>
      <c r="AO226">
        <v>0</v>
      </c>
      <c r="AQ226">
        <v>0</v>
      </c>
      <c r="AR226">
        <v>0</v>
      </c>
      <c r="AT226">
        <v>0</v>
      </c>
      <c r="AU226">
        <v>0</v>
      </c>
      <c r="AW226">
        <v>0</v>
      </c>
      <c r="AX226">
        <v>0</v>
      </c>
      <c r="AY226">
        <v>2240</v>
      </c>
      <c r="BC226" t="str">
        <f>T("9791190937931")</f>
        <v>9791190937931</v>
      </c>
      <c r="BE226" t="str">
        <f>T("판타지 e북 &gt; 현대 판타지")</f>
        <v>판타지 e북 &gt; 현대 판타지</v>
      </c>
    </row>
    <row r="227" spans="1:58" x14ac:dyDescent="0.3">
      <c r="A227">
        <v>1525000135</v>
      </c>
      <c r="B227">
        <v>1525000139</v>
      </c>
      <c r="C227" t="str">
        <f>T("[e북]하프 블러드 5권")</f>
        <v>[e북]하프 블러드 5권</v>
      </c>
      <c r="D227" t="str">
        <f>T("5")</f>
        <v>5</v>
      </c>
      <c r="E227" t="str">
        <f t="shared" ref="E227:E233" si="31">T("김정률")</f>
        <v>김정률</v>
      </c>
      <c r="H227" t="str">
        <f t="shared" si="30"/>
        <v>스토리위즈</v>
      </c>
      <c r="I227" t="str">
        <f>T("[e북]하프 블러드")</f>
        <v>[e북]하프 블러드</v>
      </c>
      <c r="J227">
        <v>3200</v>
      </c>
      <c r="K227">
        <v>3200</v>
      </c>
      <c r="L227">
        <v>1</v>
      </c>
      <c r="M227">
        <v>0</v>
      </c>
      <c r="N227">
        <v>3600</v>
      </c>
      <c r="O227">
        <v>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6800</v>
      </c>
      <c r="AH227">
        <v>5</v>
      </c>
      <c r="AI227">
        <v>0</v>
      </c>
      <c r="AJ227">
        <v>0</v>
      </c>
      <c r="AK227">
        <v>2466</v>
      </c>
      <c r="AL227">
        <v>0</v>
      </c>
      <c r="AM227">
        <v>5200.8</v>
      </c>
      <c r="AN227">
        <v>-520.08000000000004</v>
      </c>
      <c r="AO227">
        <v>0</v>
      </c>
      <c r="AQ227">
        <v>0</v>
      </c>
      <c r="AR227">
        <v>0</v>
      </c>
      <c r="AS227">
        <v>5200.8</v>
      </c>
      <c r="AT227">
        <v>-520.08000000000004</v>
      </c>
      <c r="AU227">
        <v>0</v>
      </c>
      <c r="AW227">
        <v>0</v>
      </c>
      <c r="AX227">
        <v>0</v>
      </c>
      <c r="AY227">
        <v>5002.7</v>
      </c>
      <c r="BE227" t="str">
        <f>T("판타지 e북 &gt; 정통 판타지")</f>
        <v>판타지 e북 &gt; 정통 판타지</v>
      </c>
    </row>
    <row r="228" spans="1:58" x14ac:dyDescent="0.3">
      <c r="A228">
        <v>1525000158</v>
      </c>
      <c r="B228">
        <v>1525000171</v>
      </c>
      <c r="C228" t="str">
        <f>T("[e북]아나크레온 14권")</f>
        <v>[e북]아나크레온 14권</v>
      </c>
      <c r="D228" t="str">
        <f>T("14")</f>
        <v>14</v>
      </c>
      <c r="E228" t="str">
        <f t="shared" si="31"/>
        <v>김정률</v>
      </c>
      <c r="H228" t="str">
        <f t="shared" si="30"/>
        <v>스토리위즈</v>
      </c>
      <c r="I228" t="str">
        <f>T("[e북]아나크레온")</f>
        <v>[e북]아나크레온</v>
      </c>
      <c r="J228">
        <v>3200</v>
      </c>
      <c r="K228">
        <v>3200</v>
      </c>
      <c r="L228">
        <v>1</v>
      </c>
      <c r="M228">
        <v>0</v>
      </c>
      <c r="N228">
        <v>5400</v>
      </c>
      <c r="O228">
        <v>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8600</v>
      </c>
      <c r="AH228">
        <v>7</v>
      </c>
      <c r="AI228">
        <v>0</v>
      </c>
      <c r="AJ228">
        <v>0</v>
      </c>
      <c r="AK228">
        <v>5900</v>
      </c>
      <c r="AL228">
        <v>0</v>
      </c>
      <c r="AM228">
        <v>3240</v>
      </c>
      <c r="AN228">
        <v>-756</v>
      </c>
      <c r="AO228">
        <v>0</v>
      </c>
      <c r="AP228">
        <v>2160</v>
      </c>
      <c r="AQ228">
        <v>-648</v>
      </c>
      <c r="AR228">
        <v>0</v>
      </c>
      <c r="AS228">
        <v>1080</v>
      </c>
      <c r="AT228">
        <v>-108</v>
      </c>
      <c r="AU228">
        <v>0</v>
      </c>
      <c r="AW228">
        <v>0</v>
      </c>
      <c r="AX228">
        <v>0</v>
      </c>
      <c r="AY228">
        <v>5868.8</v>
      </c>
      <c r="BE228" t="str">
        <f>T("판타지 e북 &gt; 퓨전 판타지")</f>
        <v>판타지 e북 &gt; 퓨전 판타지</v>
      </c>
    </row>
    <row r="229" spans="1:58" x14ac:dyDescent="0.3">
      <c r="A229">
        <v>1525000125</v>
      </c>
      <c r="B229">
        <v>1525000127</v>
      </c>
      <c r="C229" t="str">
        <f>T("[e북]블레이드 헌터 3권")</f>
        <v>[e북]블레이드 헌터 3권</v>
      </c>
      <c r="D229" t="str">
        <f>T("3")</f>
        <v>3</v>
      </c>
      <c r="E229" t="str">
        <f t="shared" si="31"/>
        <v>김정률</v>
      </c>
      <c r="H229" t="str">
        <f t="shared" si="30"/>
        <v>스토리위즈</v>
      </c>
      <c r="I229" t="str">
        <f>T("[e북]블레이드 헌터")</f>
        <v>[e북]블레이드 헌터</v>
      </c>
      <c r="J229">
        <v>3200</v>
      </c>
      <c r="K229">
        <v>3200</v>
      </c>
      <c r="L229">
        <v>1</v>
      </c>
      <c r="M229">
        <v>0</v>
      </c>
      <c r="N229">
        <v>7200</v>
      </c>
      <c r="O229">
        <v>8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10400</v>
      </c>
      <c r="AH229">
        <v>9</v>
      </c>
      <c r="AI229">
        <v>0</v>
      </c>
      <c r="AJ229">
        <v>0</v>
      </c>
      <c r="AK229">
        <v>3600</v>
      </c>
      <c r="AL229">
        <v>0</v>
      </c>
      <c r="AM229">
        <v>8160</v>
      </c>
      <c r="AN229">
        <v>-1464</v>
      </c>
      <c r="AO229">
        <v>0</v>
      </c>
      <c r="AP229">
        <v>3240</v>
      </c>
      <c r="AQ229">
        <v>-972</v>
      </c>
      <c r="AR229">
        <v>0</v>
      </c>
      <c r="AS229">
        <v>4920</v>
      </c>
      <c r="AT229">
        <v>-492</v>
      </c>
      <c r="AU229">
        <v>0</v>
      </c>
      <c r="AW229">
        <v>0</v>
      </c>
      <c r="AX229">
        <v>0</v>
      </c>
      <c r="AY229">
        <v>7207.2</v>
      </c>
      <c r="BE229" t="str">
        <f>T("판타지 e북 &gt; 정통 판타지")</f>
        <v>판타지 e북 &gt; 정통 판타지</v>
      </c>
    </row>
    <row r="230" spans="1:58" x14ac:dyDescent="0.3">
      <c r="A230">
        <v>1525000146</v>
      </c>
      <c r="B230">
        <v>1525000149</v>
      </c>
      <c r="C230" t="str">
        <f>T("[e북]트루베니아 연대기 4권")</f>
        <v>[e북]트루베니아 연대기 4권</v>
      </c>
      <c r="D230" t="str">
        <f>T("4")</f>
        <v>4</v>
      </c>
      <c r="E230" t="str">
        <f t="shared" si="31"/>
        <v>김정률</v>
      </c>
      <c r="H230" t="str">
        <f t="shared" si="30"/>
        <v>스토리위즈</v>
      </c>
      <c r="I230" t="str">
        <f>T("[e북]트루베니아 연대기")</f>
        <v>[e북]트루베니아 연대기</v>
      </c>
      <c r="J230">
        <v>3200</v>
      </c>
      <c r="K230">
        <v>3200</v>
      </c>
      <c r="L230">
        <v>1</v>
      </c>
      <c r="M230">
        <v>0</v>
      </c>
      <c r="N230">
        <v>8100</v>
      </c>
      <c r="O230">
        <v>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11300</v>
      </c>
      <c r="AH230">
        <v>10</v>
      </c>
      <c r="AI230">
        <v>0</v>
      </c>
      <c r="AJ230">
        <v>0</v>
      </c>
      <c r="AK230">
        <v>3410</v>
      </c>
      <c r="AL230">
        <v>0</v>
      </c>
      <c r="AM230">
        <v>9468</v>
      </c>
      <c r="AN230">
        <v>-1976.4</v>
      </c>
      <c r="AO230">
        <v>0</v>
      </c>
      <c r="AP230">
        <v>2160</v>
      </c>
      <c r="AQ230">
        <v>-648</v>
      </c>
      <c r="AR230">
        <v>0</v>
      </c>
      <c r="AS230">
        <v>7308</v>
      </c>
      <c r="AT230">
        <v>-1328.4</v>
      </c>
      <c r="AU230">
        <v>0</v>
      </c>
      <c r="AW230">
        <v>0</v>
      </c>
      <c r="AX230">
        <v>0</v>
      </c>
      <c r="AY230">
        <v>7631.12</v>
      </c>
      <c r="BE230" t="str">
        <f>T("판타지 e북 &gt; 정통 판타지")</f>
        <v>판타지 e북 &gt; 정통 판타지</v>
      </c>
    </row>
    <row r="231" spans="1:58" x14ac:dyDescent="0.3">
      <c r="A231">
        <v>1525000113</v>
      </c>
      <c r="B231">
        <v>1525000116</v>
      </c>
      <c r="C231" t="str">
        <f>T("[e북]마왕 데이몬 4권")</f>
        <v>[e북]마왕 데이몬 4권</v>
      </c>
      <c r="D231" t="str">
        <f>T("4")</f>
        <v>4</v>
      </c>
      <c r="E231" t="str">
        <f t="shared" si="31"/>
        <v>김정률</v>
      </c>
      <c r="H231" t="str">
        <f t="shared" si="30"/>
        <v>스토리위즈</v>
      </c>
      <c r="I231" t="str">
        <f>T("[e북]마왕 데이몬")</f>
        <v>[e북]마왕 데이몬</v>
      </c>
      <c r="J231">
        <v>3200</v>
      </c>
      <c r="K231">
        <v>3200</v>
      </c>
      <c r="L231">
        <v>1</v>
      </c>
      <c r="M231">
        <v>0</v>
      </c>
      <c r="N231">
        <v>6300</v>
      </c>
      <c r="O231">
        <v>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9500</v>
      </c>
      <c r="AH231">
        <v>8</v>
      </c>
      <c r="AI231">
        <v>0</v>
      </c>
      <c r="AJ231">
        <v>0</v>
      </c>
      <c r="AK231">
        <v>3362</v>
      </c>
      <c r="AL231">
        <v>0</v>
      </c>
      <c r="AM231">
        <v>7365.6</v>
      </c>
      <c r="AN231">
        <v>-952.56</v>
      </c>
      <c r="AO231">
        <v>0</v>
      </c>
      <c r="AQ231">
        <v>0</v>
      </c>
      <c r="AR231">
        <v>0</v>
      </c>
      <c r="AS231">
        <v>7365.6</v>
      </c>
      <c r="AT231">
        <v>-952.56</v>
      </c>
      <c r="AU231">
        <v>0</v>
      </c>
      <c r="AW231">
        <v>0</v>
      </c>
      <c r="AX231">
        <v>0</v>
      </c>
      <c r="AY231">
        <v>6842.53</v>
      </c>
      <c r="BC231" t="str">
        <f>T("9788925723853")</f>
        <v>9788925723853</v>
      </c>
      <c r="BE231" t="str">
        <f>T("판타지 e북 &gt; 현대 판타지")</f>
        <v>판타지 e북 &gt; 현대 판타지</v>
      </c>
    </row>
    <row r="232" spans="1:58" x14ac:dyDescent="0.3">
      <c r="A232">
        <v>1525000135</v>
      </c>
      <c r="B232">
        <v>1525000138</v>
      </c>
      <c r="C232" t="str">
        <f>T("[e북]하프 블러드 4권")</f>
        <v>[e북]하프 블러드 4권</v>
      </c>
      <c r="D232" t="str">
        <f>T("4")</f>
        <v>4</v>
      </c>
      <c r="E232" t="str">
        <f t="shared" si="31"/>
        <v>김정률</v>
      </c>
      <c r="H232" t="str">
        <f t="shared" si="30"/>
        <v>스토리위즈</v>
      </c>
      <c r="I232" t="str">
        <f>T("[e북]하프 블러드")</f>
        <v>[e북]하프 블러드</v>
      </c>
      <c r="J232">
        <v>3200</v>
      </c>
      <c r="K232">
        <v>3200</v>
      </c>
      <c r="L232">
        <v>1</v>
      </c>
      <c r="M232">
        <v>0</v>
      </c>
      <c r="N232">
        <v>3600</v>
      </c>
      <c r="O232">
        <v>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6800</v>
      </c>
      <c r="AH232">
        <v>5</v>
      </c>
      <c r="AI232">
        <v>0</v>
      </c>
      <c r="AJ232">
        <v>0</v>
      </c>
      <c r="AK232">
        <v>3166</v>
      </c>
      <c r="AL232">
        <v>0</v>
      </c>
      <c r="AM232">
        <v>4360.8</v>
      </c>
      <c r="AN232">
        <v>-436.08</v>
      </c>
      <c r="AO232">
        <v>0</v>
      </c>
      <c r="AQ232">
        <v>0</v>
      </c>
      <c r="AR232">
        <v>0</v>
      </c>
      <c r="AS232">
        <v>4360.8</v>
      </c>
      <c r="AT232">
        <v>-436.08</v>
      </c>
      <c r="AU232">
        <v>0</v>
      </c>
      <c r="AW232">
        <v>0</v>
      </c>
      <c r="AX232">
        <v>0</v>
      </c>
      <c r="AY232">
        <v>4963.5</v>
      </c>
      <c r="BE232" t="str">
        <f>T("판타지 e북 &gt; 정통 판타지")</f>
        <v>판타지 e북 &gt; 정통 판타지</v>
      </c>
    </row>
    <row r="233" spans="1:58" x14ac:dyDescent="0.3">
      <c r="A233">
        <v>1525000158</v>
      </c>
      <c r="B233">
        <v>1525000170</v>
      </c>
      <c r="C233" t="str">
        <f>T("[e북]아나크레온 13권")</f>
        <v>[e북]아나크레온 13권</v>
      </c>
      <c r="D233" t="str">
        <f>T("13")</f>
        <v>13</v>
      </c>
      <c r="E233" t="str">
        <f t="shared" si="31"/>
        <v>김정률</v>
      </c>
      <c r="H233" t="str">
        <f t="shared" si="30"/>
        <v>스토리위즈</v>
      </c>
      <c r="I233" t="str">
        <f>T("[e북]아나크레온")</f>
        <v>[e북]아나크레온</v>
      </c>
      <c r="J233">
        <v>3200</v>
      </c>
      <c r="K233">
        <v>3200</v>
      </c>
      <c r="L233">
        <v>1</v>
      </c>
      <c r="M233">
        <v>0</v>
      </c>
      <c r="N233">
        <v>5400</v>
      </c>
      <c r="O233">
        <v>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8600</v>
      </c>
      <c r="AH233">
        <v>7</v>
      </c>
      <c r="AI233">
        <v>0</v>
      </c>
      <c r="AJ233">
        <v>0</v>
      </c>
      <c r="AK233">
        <v>5900</v>
      </c>
      <c r="AL233">
        <v>0</v>
      </c>
      <c r="AM233">
        <v>3240</v>
      </c>
      <c r="AN233">
        <v>-756</v>
      </c>
      <c r="AO233">
        <v>0</v>
      </c>
      <c r="AP233">
        <v>2160</v>
      </c>
      <c r="AQ233">
        <v>-648</v>
      </c>
      <c r="AR233">
        <v>0</v>
      </c>
      <c r="AS233">
        <v>1080</v>
      </c>
      <c r="AT233">
        <v>-108</v>
      </c>
      <c r="AU233">
        <v>0</v>
      </c>
      <c r="AW233">
        <v>0</v>
      </c>
      <c r="AX233">
        <v>0</v>
      </c>
      <c r="AY233">
        <v>5868.8</v>
      </c>
      <c r="BE233" t="str">
        <f>T("판타지 e북 &gt; 퓨전 판타지")</f>
        <v>판타지 e북 &gt; 퓨전 판타지</v>
      </c>
    </row>
    <row r="234" spans="1:58" x14ac:dyDescent="0.3">
      <c r="A234">
        <v>1525002682</v>
      </c>
      <c r="B234">
        <v>1525002691</v>
      </c>
      <c r="C234" t="str">
        <f>T("[e북]스포트라이트 10권 (완결)")</f>
        <v>[e북]스포트라이트 10권 (완결)</v>
      </c>
      <c r="D234" t="str">
        <f>T("10")</f>
        <v>10</v>
      </c>
      <c r="E234" t="str">
        <f>T("전혁")</f>
        <v>전혁</v>
      </c>
      <c r="H234" t="str">
        <f t="shared" si="30"/>
        <v>스토리위즈</v>
      </c>
      <c r="I234" t="str">
        <f>T("[e북]스포트라이트")</f>
        <v>[e북]스포트라이트</v>
      </c>
      <c r="J234">
        <v>3200</v>
      </c>
      <c r="K234">
        <v>3200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3200</v>
      </c>
      <c r="AH234">
        <v>1</v>
      </c>
      <c r="AI234">
        <v>0</v>
      </c>
      <c r="AJ234">
        <v>0</v>
      </c>
      <c r="AK234">
        <v>3200</v>
      </c>
      <c r="AL234">
        <v>0</v>
      </c>
      <c r="AM234">
        <v>0</v>
      </c>
      <c r="AN234">
        <v>0</v>
      </c>
      <c r="AO234">
        <v>0</v>
      </c>
      <c r="AQ234">
        <v>0</v>
      </c>
      <c r="AR234">
        <v>0</v>
      </c>
      <c r="AT234">
        <v>0</v>
      </c>
      <c r="AU234">
        <v>0</v>
      </c>
      <c r="AW234">
        <v>0</v>
      </c>
      <c r="AX234">
        <v>0</v>
      </c>
      <c r="AY234">
        <v>2240</v>
      </c>
      <c r="BC234" t="str">
        <f>T("9791159287749")</f>
        <v>9791159287749</v>
      </c>
      <c r="BE234" t="str">
        <f>T("판타지 e북 &gt; 현대 판타지")</f>
        <v>판타지 e북 &gt; 현대 판타지</v>
      </c>
    </row>
    <row r="235" spans="1:58" x14ac:dyDescent="0.3">
      <c r="A235">
        <v>1525005640</v>
      </c>
      <c r="B235">
        <v>1525007207</v>
      </c>
      <c r="C235" t="str">
        <f>T("[e북]회귀의 전설 2부 28권")</f>
        <v>[e북]회귀의 전설 2부 28권</v>
      </c>
      <c r="D235" t="str">
        <f>T("28")</f>
        <v>28</v>
      </c>
      <c r="E235" t="str">
        <f>T("김광수")</f>
        <v>김광수</v>
      </c>
      <c r="H235" t="str">
        <f t="shared" si="30"/>
        <v>스토리위즈</v>
      </c>
      <c r="I235" t="str">
        <f>T("[e북]회귀의 전설")</f>
        <v>[e북]회귀의 전설</v>
      </c>
      <c r="J235">
        <v>3200</v>
      </c>
      <c r="K235">
        <v>3200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3200</v>
      </c>
      <c r="AH235">
        <v>1</v>
      </c>
      <c r="AI235">
        <v>0</v>
      </c>
      <c r="AJ235">
        <v>0</v>
      </c>
      <c r="AK235">
        <v>3200</v>
      </c>
      <c r="AL235">
        <v>0</v>
      </c>
      <c r="AM235">
        <v>0</v>
      </c>
      <c r="AN235">
        <v>0</v>
      </c>
      <c r="AO235">
        <v>0</v>
      </c>
      <c r="AQ235">
        <v>0</v>
      </c>
      <c r="AR235">
        <v>0</v>
      </c>
      <c r="AT235">
        <v>0</v>
      </c>
      <c r="AU235">
        <v>0</v>
      </c>
      <c r="AW235">
        <v>0</v>
      </c>
      <c r="AX235">
        <v>0</v>
      </c>
      <c r="AY235">
        <v>2240</v>
      </c>
      <c r="BC235" t="str">
        <f>T("9791166300523")</f>
        <v>9791166300523</v>
      </c>
      <c r="BE235" t="str">
        <f>T("판타지 e북 &gt; 현대 판타지")</f>
        <v>판타지 e북 &gt; 현대 판타지</v>
      </c>
    </row>
    <row r="236" spans="1:58" x14ac:dyDescent="0.3">
      <c r="A236">
        <v>1525000125</v>
      </c>
      <c r="B236">
        <v>1525000126</v>
      </c>
      <c r="C236" t="str">
        <f>T("[e북]블레이드 헌터 2권")</f>
        <v>[e북]블레이드 헌터 2권</v>
      </c>
      <c r="D236" t="str">
        <f>T("2")</f>
        <v>2</v>
      </c>
      <c r="E236" t="str">
        <f>T("김정률")</f>
        <v>김정률</v>
      </c>
      <c r="H236" t="str">
        <f t="shared" si="30"/>
        <v>스토리위즈</v>
      </c>
      <c r="I236" t="str">
        <f>T("[e북]블레이드 헌터")</f>
        <v>[e북]블레이드 헌터</v>
      </c>
      <c r="J236">
        <v>3200</v>
      </c>
      <c r="K236">
        <v>3200</v>
      </c>
      <c r="L236">
        <v>1</v>
      </c>
      <c r="M236">
        <v>0</v>
      </c>
      <c r="N236">
        <v>8100</v>
      </c>
      <c r="O236">
        <v>9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11300</v>
      </c>
      <c r="AH236">
        <v>10</v>
      </c>
      <c r="AI236">
        <v>0</v>
      </c>
      <c r="AJ236">
        <v>0</v>
      </c>
      <c r="AK236">
        <v>7300</v>
      </c>
      <c r="AL236">
        <v>0</v>
      </c>
      <c r="AM236">
        <v>4800</v>
      </c>
      <c r="AN236">
        <v>-1128</v>
      </c>
      <c r="AO236">
        <v>0</v>
      </c>
      <c r="AP236">
        <v>3240</v>
      </c>
      <c r="AQ236">
        <v>-972</v>
      </c>
      <c r="AR236">
        <v>0</v>
      </c>
      <c r="AS236">
        <v>1560</v>
      </c>
      <c r="AT236">
        <v>-156</v>
      </c>
      <c r="AU236">
        <v>0</v>
      </c>
      <c r="AW236">
        <v>0</v>
      </c>
      <c r="AX236">
        <v>0</v>
      </c>
      <c r="AY236">
        <v>7680.4</v>
      </c>
      <c r="BE236" t="str">
        <f>T("판타지 e북 &gt; 정통 판타지")</f>
        <v>판타지 e북 &gt; 정통 판타지</v>
      </c>
    </row>
    <row r="237" spans="1:58" x14ac:dyDescent="0.3">
      <c r="A237">
        <v>1525000146</v>
      </c>
      <c r="B237">
        <v>1525000148</v>
      </c>
      <c r="C237" t="str">
        <f>T("[e북]트루베니아 연대기 3권")</f>
        <v>[e북]트루베니아 연대기 3권</v>
      </c>
      <c r="D237" t="str">
        <f>T("3")</f>
        <v>3</v>
      </c>
      <c r="E237" t="str">
        <f>T("김정률")</f>
        <v>김정률</v>
      </c>
      <c r="H237" t="str">
        <f t="shared" si="30"/>
        <v>스토리위즈</v>
      </c>
      <c r="I237" t="str">
        <f>T("[e북]트루베니아 연대기")</f>
        <v>[e북]트루베니아 연대기</v>
      </c>
      <c r="J237">
        <v>3200</v>
      </c>
      <c r="K237">
        <v>3200</v>
      </c>
      <c r="L237">
        <v>1</v>
      </c>
      <c r="M237">
        <v>0</v>
      </c>
      <c r="N237">
        <v>8100</v>
      </c>
      <c r="O237">
        <v>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11300</v>
      </c>
      <c r="AH237">
        <v>10</v>
      </c>
      <c r="AI237">
        <v>0</v>
      </c>
      <c r="AJ237">
        <v>0</v>
      </c>
      <c r="AK237">
        <v>3500</v>
      </c>
      <c r="AL237">
        <v>0</v>
      </c>
      <c r="AM237">
        <v>9360</v>
      </c>
      <c r="AN237">
        <v>-2136</v>
      </c>
      <c r="AO237">
        <v>0</v>
      </c>
      <c r="AP237">
        <v>2160</v>
      </c>
      <c r="AQ237">
        <v>-648</v>
      </c>
      <c r="AR237">
        <v>0</v>
      </c>
      <c r="AS237">
        <v>7200</v>
      </c>
      <c r="AT237">
        <v>-1488</v>
      </c>
      <c r="AU237">
        <v>0</v>
      </c>
      <c r="AW237">
        <v>0</v>
      </c>
      <c r="AX237">
        <v>0</v>
      </c>
      <c r="AY237">
        <v>7506.8</v>
      </c>
      <c r="BE237" t="str">
        <f>T("판타지 e북 &gt; 정통 판타지")</f>
        <v>판타지 e북 &gt; 정통 판타지</v>
      </c>
    </row>
    <row r="238" spans="1:58" x14ac:dyDescent="0.3">
      <c r="A238">
        <v>1525007787</v>
      </c>
      <c r="B238">
        <v>1525007788</v>
      </c>
      <c r="C238" t="str">
        <f>T("[e북]미칠 광(狂), 너에게 미치다 2권 (완결)")</f>
        <v>[e북]미칠 광(狂), 너에게 미치다 2권 (완결)</v>
      </c>
      <c r="D238" t="str">
        <f>T("2")</f>
        <v>2</v>
      </c>
      <c r="E238" t="str">
        <f>T("정연서")</f>
        <v>정연서</v>
      </c>
      <c r="H238" t="str">
        <f>T("쉬라즈")</f>
        <v>쉬라즈</v>
      </c>
      <c r="I238" t="str">
        <f>T("[e북]미칠 광(狂), 너에게 미치다")</f>
        <v>[e북]미칠 광(狂), 너에게 미치다</v>
      </c>
      <c r="J238">
        <v>3200</v>
      </c>
      <c r="K238">
        <v>3200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3200</v>
      </c>
      <c r="AH238">
        <v>1</v>
      </c>
      <c r="AI238">
        <v>0</v>
      </c>
      <c r="AJ238">
        <v>0</v>
      </c>
      <c r="AK238">
        <v>3200</v>
      </c>
      <c r="AL238">
        <v>0</v>
      </c>
      <c r="AM238">
        <v>0</v>
      </c>
      <c r="AN238">
        <v>0</v>
      </c>
      <c r="AO238">
        <v>0</v>
      </c>
      <c r="AQ238">
        <v>0</v>
      </c>
      <c r="AR238">
        <v>0</v>
      </c>
      <c r="AT238">
        <v>0</v>
      </c>
      <c r="AU238">
        <v>0</v>
      </c>
      <c r="AW238">
        <v>0</v>
      </c>
      <c r="AX238">
        <v>0</v>
      </c>
      <c r="AY238">
        <v>2240</v>
      </c>
      <c r="BA238" t="str">
        <f>T("0000000000000")</f>
        <v>0000000000000</v>
      </c>
      <c r="BC238" t="str">
        <f>T("9791166480591")</f>
        <v>9791166480591</v>
      </c>
      <c r="BE238" t="str">
        <f>T("로맨스 e북 &gt; 현대물")</f>
        <v>로맨스 e북 &gt; 현대물</v>
      </c>
      <c r="BF238" t="str">
        <f>T("로맨스 e북 &gt; 19+")</f>
        <v>로맨스 e북 &gt; 19+</v>
      </c>
    </row>
    <row r="239" spans="1:58" x14ac:dyDescent="0.3">
      <c r="A239">
        <v>1525000113</v>
      </c>
      <c r="B239">
        <v>1525000115</v>
      </c>
      <c r="C239" t="str">
        <f>T("[e북]마왕 데이몬 3권")</f>
        <v>[e북]마왕 데이몬 3권</v>
      </c>
      <c r="D239" t="str">
        <f>T("3")</f>
        <v>3</v>
      </c>
      <c r="E239" t="str">
        <f>T("김정률")</f>
        <v>김정률</v>
      </c>
      <c r="H239" t="str">
        <f t="shared" ref="H239:H261" si="32">T("스토리위즈")</f>
        <v>스토리위즈</v>
      </c>
      <c r="I239" t="str">
        <f>T("[e북]마왕 데이몬")</f>
        <v>[e북]마왕 데이몬</v>
      </c>
      <c r="J239">
        <v>3200</v>
      </c>
      <c r="K239">
        <v>3200</v>
      </c>
      <c r="L239">
        <v>1</v>
      </c>
      <c r="M239">
        <v>0</v>
      </c>
      <c r="N239">
        <v>6300</v>
      </c>
      <c r="O239">
        <v>7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9500</v>
      </c>
      <c r="AH239">
        <v>8</v>
      </c>
      <c r="AI239">
        <v>0</v>
      </c>
      <c r="AJ239">
        <v>0</v>
      </c>
      <c r="AK239">
        <v>3362</v>
      </c>
      <c r="AL239">
        <v>0</v>
      </c>
      <c r="AM239">
        <v>7365.6</v>
      </c>
      <c r="AN239">
        <v>-952.56</v>
      </c>
      <c r="AO239">
        <v>0</v>
      </c>
      <c r="AQ239">
        <v>0</v>
      </c>
      <c r="AR239">
        <v>0</v>
      </c>
      <c r="AS239">
        <v>7365.6</v>
      </c>
      <c r="AT239">
        <v>-952.56</v>
      </c>
      <c r="AU239">
        <v>0</v>
      </c>
      <c r="AW239">
        <v>0</v>
      </c>
      <c r="AX239">
        <v>0</v>
      </c>
      <c r="AY239">
        <v>6842.53</v>
      </c>
      <c r="BC239" t="str">
        <f>T("9788925723846")</f>
        <v>9788925723846</v>
      </c>
      <c r="BE239" t="str">
        <f>T("판타지 e북 &gt; 현대 판타지")</f>
        <v>판타지 e북 &gt; 현대 판타지</v>
      </c>
    </row>
    <row r="240" spans="1:58" x14ac:dyDescent="0.3">
      <c r="A240">
        <v>1525000135</v>
      </c>
      <c r="B240">
        <v>1525000137</v>
      </c>
      <c r="C240" t="str">
        <f>T("[e북]하프 블러드 3권")</f>
        <v>[e북]하프 블러드 3권</v>
      </c>
      <c r="D240" t="str">
        <f>T("3")</f>
        <v>3</v>
      </c>
      <c r="E240" t="str">
        <f>T("김정률")</f>
        <v>김정률</v>
      </c>
      <c r="H240" t="str">
        <f t="shared" si="32"/>
        <v>스토리위즈</v>
      </c>
      <c r="I240" t="str">
        <f>T("[e북]하프 블러드")</f>
        <v>[e북]하프 블러드</v>
      </c>
      <c r="J240">
        <v>3200</v>
      </c>
      <c r="K240">
        <v>3200</v>
      </c>
      <c r="L240">
        <v>1</v>
      </c>
      <c r="M240">
        <v>0</v>
      </c>
      <c r="N240">
        <v>3600</v>
      </c>
      <c r="O240">
        <v>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6800</v>
      </c>
      <c r="AH240">
        <v>5</v>
      </c>
      <c r="AI240">
        <v>0</v>
      </c>
      <c r="AJ240">
        <v>0</v>
      </c>
      <c r="AK240">
        <v>2466</v>
      </c>
      <c r="AL240">
        <v>0</v>
      </c>
      <c r="AM240">
        <v>5200.8</v>
      </c>
      <c r="AN240">
        <v>-520.08000000000004</v>
      </c>
      <c r="AO240">
        <v>0</v>
      </c>
      <c r="AQ240">
        <v>0</v>
      </c>
      <c r="AR240">
        <v>0</v>
      </c>
      <c r="AS240">
        <v>5200.8</v>
      </c>
      <c r="AT240">
        <v>-520.08000000000004</v>
      </c>
      <c r="AU240">
        <v>0</v>
      </c>
      <c r="AW240">
        <v>0</v>
      </c>
      <c r="AX240">
        <v>0</v>
      </c>
      <c r="AY240">
        <v>5002.7</v>
      </c>
      <c r="BC240" t="str">
        <f>T("9788959240883")</f>
        <v>9788959240883</v>
      </c>
      <c r="BE240" t="str">
        <f>T("판타지 e북 &gt; 정통 판타지")</f>
        <v>판타지 e북 &gt; 정통 판타지</v>
      </c>
    </row>
    <row r="241" spans="1:57" x14ac:dyDescent="0.3">
      <c r="A241">
        <v>1525000158</v>
      </c>
      <c r="B241">
        <v>1525000169</v>
      </c>
      <c r="C241" t="str">
        <f>T("[e북]아나크레온 10권")</f>
        <v>[e북]아나크레온 10권</v>
      </c>
      <c r="D241" t="str">
        <f>T("10")</f>
        <v>10</v>
      </c>
      <c r="E241" t="str">
        <f>T("김정률")</f>
        <v>김정률</v>
      </c>
      <c r="H241" t="str">
        <f t="shared" si="32"/>
        <v>스토리위즈</v>
      </c>
      <c r="I241" t="str">
        <f>T("[e북]아나크레온")</f>
        <v>[e북]아나크레온</v>
      </c>
      <c r="J241">
        <v>3200</v>
      </c>
      <c r="K241">
        <v>3200</v>
      </c>
      <c r="L241">
        <v>1</v>
      </c>
      <c r="M241">
        <v>0</v>
      </c>
      <c r="N241">
        <v>5400</v>
      </c>
      <c r="O241">
        <v>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8600</v>
      </c>
      <c r="AH241">
        <v>7</v>
      </c>
      <c r="AI241">
        <v>0</v>
      </c>
      <c r="AJ241">
        <v>0</v>
      </c>
      <c r="AK241">
        <v>5900</v>
      </c>
      <c r="AL241">
        <v>0</v>
      </c>
      <c r="AM241">
        <v>3240</v>
      </c>
      <c r="AN241">
        <v>-756</v>
      </c>
      <c r="AO241">
        <v>0</v>
      </c>
      <c r="AP241">
        <v>2160</v>
      </c>
      <c r="AQ241">
        <v>-648</v>
      </c>
      <c r="AR241">
        <v>0</v>
      </c>
      <c r="AS241">
        <v>1080</v>
      </c>
      <c r="AT241">
        <v>-108</v>
      </c>
      <c r="AU241">
        <v>0</v>
      </c>
      <c r="AW241">
        <v>0</v>
      </c>
      <c r="AX241">
        <v>0</v>
      </c>
      <c r="AY241">
        <v>5868.8</v>
      </c>
      <c r="BE241" t="str">
        <f>T("판타지 e북 &gt; 퓨전 판타지")</f>
        <v>판타지 e북 &gt; 퓨전 판타지</v>
      </c>
    </row>
    <row r="242" spans="1:57" x14ac:dyDescent="0.3">
      <c r="A242">
        <v>1525002682</v>
      </c>
      <c r="B242">
        <v>1525002690</v>
      </c>
      <c r="C242" t="str">
        <f>T("[e북]스포트라이트 9권")</f>
        <v>[e북]스포트라이트 9권</v>
      </c>
      <c r="D242" t="str">
        <f>T("9")</f>
        <v>9</v>
      </c>
      <c r="E242" t="str">
        <f>T("전혁")</f>
        <v>전혁</v>
      </c>
      <c r="H242" t="str">
        <f t="shared" si="32"/>
        <v>스토리위즈</v>
      </c>
      <c r="I242" t="str">
        <f>T("[e북]스포트라이트")</f>
        <v>[e북]스포트라이트</v>
      </c>
      <c r="J242">
        <v>3200</v>
      </c>
      <c r="K242">
        <v>3200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3200</v>
      </c>
      <c r="AH242">
        <v>1</v>
      </c>
      <c r="AI242">
        <v>0</v>
      </c>
      <c r="AJ242">
        <v>0</v>
      </c>
      <c r="AK242">
        <v>3200</v>
      </c>
      <c r="AL242">
        <v>0</v>
      </c>
      <c r="AM242">
        <v>0</v>
      </c>
      <c r="AN242">
        <v>0</v>
      </c>
      <c r="AO242">
        <v>0</v>
      </c>
      <c r="AQ242">
        <v>0</v>
      </c>
      <c r="AR242">
        <v>0</v>
      </c>
      <c r="AT242">
        <v>0</v>
      </c>
      <c r="AU242">
        <v>0</v>
      </c>
      <c r="AW242">
        <v>0</v>
      </c>
      <c r="AX242">
        <v>0</v>
      </c>
      <c r="AY242">
        <v>2240</v>
      </c>
      <c r="BC242" t="str">
        <f>T("9791159287732")</f>
        <v>9791159287732</v>
      </c>
      <c r="BE242" t="str">
        <f>T("판타지 e북 &gt; 현대 판타지")</f>
        <v>판타지 e북 &gt; 현대 판타지</v>
      </c>
    </row>
    <row r="243" spans="1:57" x14ac:dyDescent="0.3">
      <c r="A243">
        <v>1525005640</v>
      </c>
      <c r="B243">
        <v>1525007206</v>
      </c>
      <c r="C243" t="str">
        <f>T("[e북]회귀의 전설 2부 27권")</f>
        <v>[e북]회귀의 전설 2부 27권</v>
      </c>
      <c r="D243" t="str">
        <f>T("27")</f>
        <v>27</v>
      </c>
      <c r="E243" t="str">
        <f>T("김광수")</f>
        <v>김광수</v>
      </c>
      <c r="H243" t="str">
        <f t="shared" si="32"/>
        <v>스토리위즈</v>
      </c>
      <c r="I243" t="str">
        <f>T("[e북]회귀의 전설")</f>
        <v>[e북]회귀의 전설</v>
      </c>
      <c r="J243">
        <v>3200</v>
      </c>
      <c r="K243">
        <v>3200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3200</v>
      </c>
      <c r="AH243">
        <v>1</v>
      </c>
      <c r="AI243">
        <v>0</v>
      </c>
      <c r="AJ243">
        <v>0</v>
      </c>
      <c r="AK243">
        <v>3200</v>
      </c>
      <c r="AL243">
        <v>0</v>
      </c>
      <c r="AM243">
        <v>0</v>
      </c>
      <c r="AN243">
        <v>0</v>
      </c>
      <c r="AO243">
        <v>0</v>
      </c>
      <c r="AQ243">
        <v>0</v>
      </c>
      <c r="AR243">
        <v>0</v>
      </c>
      <c r="AT243">
        <v>0</v>
      </c>
      <c r="AU243">
        <v>0</v>
      </c>
      <c r="AW243">
        <v>0</v>
      </c>
      <c r="AX243">
        <v>0</v>
      </c>
      <c r="AY243">
        <v>2240</v>
      </c>
      <c r="BC243" t="str">
        <f>T("9791166300516")</f>
        <v>9791166300516</v>
      </c>
      <c r="BE243" t="str">
        <f>T("판타지 e북 &gt; 현대 판타지")</f>
        <v>판타지 e북 &gt; 현대 판타지</v>
      </c>
    </row>
    <row r="244" spans="1:57" x14ac:dyDescent="0.3">
      <c r="A244">
        <v>1525000146</v>
      </c>
      <c r="B244">
        <v>1525000147</v>
      </c>
      <c r="C244" t="str">
        <f>T("[e북]트루베니아 연대기 2권")</f>
        <v>[e북]트루베니아 연대기 2권</v>
      </c>
      <c r="D244" t="str">
        <f>T("2")</f>
        <v>2</v>
      </c>
      <c r="E244" t="str">
        <f>T("김정률")</f>
        <v>김정률</v>
      </c>
      <c r="H244" t="str">
        <f t="shared" si="32"/>
        <v>스토리위즈</v>
      </c>
      <c r="I244" t="str">
        <f>T("[e북]트루베니아 연대기")</f>
        <v>[e북]트루베니아 연대기</v>
      </c>
      <c r="J244">
        <v>3200</v>
      </c>
      <c r="K244">
        <v>3200</v>
      </c>
      <c r="L244">
        <v>1</v>
      </c>
      <c r="M244">
        <v>0</v>
      </c>
      <c r="N244">
        <v>8100</v>
      </c>
      <c r="O244">
        <v>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11300</v>
      </c>
      <c r="AH244">
        <v>10</v>
      </c>
      <c r="AI244">
        <v>0</v>
      </c>
      <c r="AJ244">
        <v>0</v>
      </c>
      <c r="AK244">
        <v>2700</v>
      </c>
      <c r="AL244">
        <v>0</v>
      </c>
      <c r="AM244">
        <v>10320</v>
      </c>
      <c r="AN244">
        <v>-2448</v>
      </c>
      <c r="AO244">
        <v>0</v>
      </c>
      <c r="AP244">
        <v>2160</v>
      </c>
      <c r="AQ244">
        <v>-648</v>
      </c>
      <c r="AR244">
        <v>0</v>
      </c>
      <c r="AS244">
        <v>8160</v>
      </c>
      <c r="AT244">
        <v>-1800</v>
      </c>
      <c r="AU244">
        <v>0</v>
      </c>
      <c r="AW244">
        <v>0</v>
      </c>
      <c r="AX244">
        <v>0</v>
      </c>
      <c r="AY244">
        <v>7400.4</v>
      </c>
      <c r="BE244" t="str">
        <f>T("판타지 e북 &gt; 정통 판타지")</f>
        <v>판타지 e북 &gt; 정통 판타지</v>
      </c>
    </row>
    <row r="245" spans="1:57" x14ac:dyDescent="0.3">
      <c r="A245">
        <v>1525003495</v>
      </c>
      <c r="B245">
        <v>1525003496</v>
      </c>
      <c r="C245" t="str">
        <f>T("[e북]소드마스터의 환생 2권")</f>
        <v>[e북]소드마스터의 환생 2권</v>
      </c>
      <c r="D245" t="str">
        <f>T("2")</f>
        <v>2</v>
      </c>
      <c r="E245" t="str">
        <f>T("파란영")</f>
        <v>파란영</v>
      </c>
      <c r="H245" t="str">
        <f t="shared" si="32"/>
        <v>스토리위즈</v>
      </c>
      <c r="I245" t="str">
        <f>T("[e북]소드마스터의 환생")</f>
        <v>[e북]소드마스터의 환생</v>
      </c>
      <c r="J245">
        <v>3200</v>
      </c>
      <c r="K245">
        <v>3200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3200</v>
      </c>
      <c r="AH245">
        <v>1</v>
      </c>
      <c r="AI245">
        <v>0</v>
      </c>
      <c r="AJ245">
        <v>0</v>
      </c>
      <c r="AK245">
        <v>3200</v>
      </c>
      <c r="AL245">
        <v>0</v>
      </c>
      <c r="AM245">
        <v>0</v>
      </c>
      <c r="AN245">
        <v>0</v>
      </c>
      <c r="AO245">
        <v>0</v>
      </c>
      <c r="AQ245">
        <v>0</v>
      </c>
      <c r="AR245">
        <v>0</v>
      </c>
      <c r="AT245">
        <v>0</v>
      </c>
      <c r="AU245">
        <v>0</v>
      </c>
      <c r="AW245">
        <v>0</v>
      </c>
      <c r="AX245">
        <v>0</v>
      </c>
      <c r="AY245">
        <v>2240</v>
      </c>
      <c r="BC245" t="str">
        <f>T("9791159289828")</f>
        <v>9791159289828</v>
      </c>
      <c r="BE245" t="str">
        <f>T("판타지 e북 &gt; 정통 판타지")</f>
        <v>판타지 e북 &gt; 정통 판타지</v>
      </c>
    </row>
    <row r="246" spans="1:57" x14ac:dyDescent="0.3">
      <c r="A246">
        <v>1525000113</v>
      </c>
      <c r="B246">
        <v>1525000114</v>
      </c>
      <c r="C246" t="str">
        <f>T("[e북]마왕 데이몬 2권")</f>
        <v>[e북]마왕 데이몬 2권</v>
      </c>
      <c r="D246" t="str">
        <f>T("2")</f>
        <v>2</v>
      </c>
      <c r="E246" t="str">
        <f>T("김정률")</f>
        <v>김정률</v>
      </c>
      <c r="H246" t="str">
        <f t="shared" si="32"/>
        <v>스토리위즈</v>
      </c>
      <c r="I246" t="str">
        <f>T("[e북]마왕 데이몬")</f>
        <v>[e북]마왕 데이몬</v>
      </c>
      <c r="J246">
        <v>3200</v>
      </c>
      <c r="K246">
        <v>3200</v>
      </c>
      <c r="L246">
        <v>1</v>
      </c>
      <c r="M246">
        <v>0</v>
      </c>
      <c r="N246">
        <v>6300</v>
      </c>
      <c r="O246">
        <v>7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9500</v>
      </c>
      <c r="AH246">
        <v>8</v>
      </c>
      <c r="AI246">
        <v>0</v>
      </c>
      <c r="AJ246">
        <v>0</v>
      </c>
      <c r="AK246">
        <v>3362</v>
      </c>
      <c r="AL246">
        <v>0</v>
      </c>
      <c r="AM246">
        <v>7365.6</v>
      </c>
      <c r="AN246">
        <v>-952.56</v>
      </c>
      <c r="AO246">
        <v>0</v>
      </c>
      <c r="AQ246">
        <v>0</v>
      </c>
      <c r="AR246">
        <v>0</v>
      </c>
      <c r="AS246">
        <v>7365.6</v>
      </c>
      <c r="AT246">
        <v>-952.56</v>
      </c>
      <c r="AU246">
        <v>0</v>
      </c>
      <c r="AW246">
        <v>0</v>
      </c>
      <c r="AX246">
        <v>0</v>
      </c>
      <c r="AY246">
        <v>6842.53</v>
      </c>
      <c r="BC246" t="str">
        <f>T("9788925723839")</f>
        <v>9788925723839</v>
      </c>
      <c r="BE246" t="str">
        <f>T("판타지 e북 &gt; 현대 판타지")</f>
        <v>판타지 e북 &gt; 현대 판타지</v>
      </c>
    </row>
    <row r="247" spans="1:57" x14ac:dyDescent="0.3">
      <c r="A247">
        <v>1525000135</v>
      </c>
      <c r="B247">
        <v>1525000136</v>
      </c>
      <c r="C247" t="str">
        <f>T("[e북]하프 블러드 2권")</f>
        <v>[e북]하프 블러드 2권</v>
      </c>
      <c r="D247" t="str">
        <f>T("2")</f>
        <v>2</v>
      </c>
      <c r="E247" t="str">
        <f>T("김정률")</f>
        <v>김정률</v>
      </c>
      <c r="H247" t="str">
        <f t="shared" si="32"/>
        <v>스토리위즈</v>
      </c>
      <c r="I247" t="str">
        <f>T("[e북]하프 블러드")</f>
        <v>[e북]하프 블러드</v>
      </c>
      <c r="J247">
        <v>3200</v>
      </c>
      <c r="K247">
        <v>3200</v>
      </c>
      <c r="L247">
        <v>1</v>
      </c>
      <c r="M247">
        <v>0</v>
      </c>
      <c r="N247">
        <v>2700</v>
      </c>
      <c r="O247">
        <v>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5900</v>
      </c>
      <c r="AH247">
        <v>4</v>
      </c>
      <c r="AI247">
        <v>0</v>
      </c>
      <c r="AJ247">
        <v>0</v>
      </c>
      <c r="AK247">
        <v>1566</v>
      </c>
      <c r="AL247">
        <v>0</v>
      </c>
      <c r="AM247">
        <v>5200.8</v>
      </c>
      <c r="AN247">
        <v>-520.08000000000004</v>
      </c>
      <c r="AO247">
        <v>0</v>
      </c>
      <c r="AQ247">
        <v>0</v>
      </c>
      <c r="AR247">
        <v>0</v>
      </c>
      <c r="AS247">
        <v>5200.8</v>
      </c>
      <c r="AT247">
        <v>-520.08000000000004</v>
      </c>
      <c r="AU247">
        <v>0</v>
      </c>
      <c r="AW247">
        <v>0</v>
      </c>
      <c r="AX247">
        <v>0</v>
      </c>
      <c r="AY247">
        <v>4372.7</v>
      </c>
      <c r="BE247" t="str">
        <f>T("판타지 e북 &gt; 정통 판타지")</f>
        <v>판타지 e북 &gt; 정통 판타지</v>
      </c>
    </row>
    <row r="248" spans="1:57" x14ac:dyDescent="0.3">
      <c r="A248">
        <v>1525000158</v>
      </c>
      <c r="B248">
        <v>1525000168</v>
      </c>
      <c r="C248" t="str">
        <f>T("[e북]아나크레온 12권")</f>
        <v>[e북]아나크레온 12권</v>
      </c>
      <c r="D248" t="str">
        <f>T("12")</f>
        <v>12</v>
      </c>
      <c r="E248" t="str">
        <f>T("김정률")</f>
        <v>김정률</v>
      </c>
      <c r="H248" t="str">
        <f t="shared" si="32"/>
        <v>스토리위즈</v>
      </c>
      <c r="I248" t="str">
        <f>T("[e북]아나크레온")</f>
        <v>[e북]아나크레온</v>
      </c>
      <c r="J248">
        <v>3200</v>
      </c>
      <c r="K248">
        <v>3200</v>
      </c>
      <c r="L248">
        <v>1</v>
      </c>
      <c r="M248">
        <v>0</v>
      </c>
      <c r="N248">
        <v>6300</v>
      </c>
      <c r="O248">
        <v>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9500</v>
      </c>
      <c r="AH248">
        <v>8</v>
      </c>
      <c r="AI248">
        <v>0</v>
      </c>
      <c r="AJ248">
        <v>0</v>
      </c>
      <c r="AK248">
        <v>6800</v>
      </c>
      <c r="AL248">
        <v>0</v>
      </c>
      <c r="AM248">
        <v>3240</v>
      </c>
      <c r="AN248">
        <v>-756</v>
      </c>
      <c r="AO248">
        <v>0</v>
      </c>
      <c r="AP248">
        <v>2160</v>
      </c>
      <c r="AQ248">
        <v>-648</v>
      </c>
      <c r="AR248">
        <v>0</v>
      </c>
      <c r="AS248">
        <v>1080</v>
      </c>
      <c r="AT248">
        <v>-108</v>
      </c>
      <c r="AU248">
        <v>0</v>
      </c>
      <c r="AW248">
        <v>0</v>
      </c>
      <c r="AX248">
        <v>0</v>
      </c>
      <c r="AY248">
        <v>6498.8</v>
      </c>
      <c r="BE248" t="str">
        <f>T("판타지 e북 &gt; 퓨전 판타지")</f>
        <v>판타지 e북 &gt; 퓨전 판타지</v>
      </c>
    </row>
    <row r="249" spans="1:57" x14ac:dyDescent="0.3">
      <c r="A249">
        <v>1525002682</v>
      </c>
      <c r="B249">
        <v>1525002689</v>
      </c>
      <c r="C249" t="str">
        <f>T("[e북]스포트라이트 8권")</f>
        <v>[e북]스포트라이트 8권</v>
      </c>
      <c r="D249" t="str">
        <f>T("8")</f>
        <v>8</v>
      </c>
      <c r="E249" t="str">
        <f>T("전혁")</f>
        <v>전혁</v>
      </c>
      <c r="H249" t="str">
        <f t="shared" si="32"/>
        <v>스토리위즈</v>
      </c>
      <c r="I249" t="str">
        <f>T("[e북]스포트라이트")</f>
        <v>[e북]스포트라이트</v>
      </c>
      <c r="J249">
        <v>3200</v>
      </c>
      <c r="K249">
        <v>3200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3200</v>
      </c>
      <c r="AH249">
        <v>1</v>
      </c>
      <c r="AI249">
        <v>0</v>
      </c>
      <c r="AJ249">
        <v>0</v>
      </c>
      <c r="AK249">
        <v>3200</v>
      </c>
      <c r="AL249">
        <v>0</v>
      </c>
      <c r="AM249">
        <v>0</v>
      </c>
      <c r="AN249">
        <v>0</v>
      </c>
      <c r="AO249">
        <v>0</v>
      </c>
      <c r="AQ249">
        <v>0</v>
      </c>
      <c r="AR249">
        <v>0</v>
      </c>
      <c r="AT249">
        <v>0</v>
      </c>
      <c r="AU249">
        <v>0</v>
      </c>
      <c r="AW249">
        <v>0</v>
      </c>
      <c r="AX249">
        <v>0</v>
      </c>
      <c r="AY249">
        <v>2240</v>
      </c>
      <c r="BC249" t="str">
        <f>T("9791159287725")</f>
        <v>9791159287725</v>
      </c>
      <c r="BE249" t="str">
        <f>T("판타지 e북 &gt; 현대 판타지")</f>
        <v>판타지 e북 &gt; 현대 판타지</v>
      </c>
    </row>
    <row r="250" spans="1:57" x14ac:dyDescent="0.3">
      <c r="A250">
        <v>1525002848</v>
      </c>
      <c r="B250">
        <v>1525002859</v>
      </c>
      <c r="C250" t="str">
        <f>T("[e북]신을 죽이러 갑니다 12권")</f>
        <v>[e북]신을 죽이러 갑니다 12권</v>
      </c>
      <c r="D250" t="str">
        <f>T("12")</f>
        <v>12</v>
      </c>
      <c r="E250" t="str">
        <f>T("독고진")</f>
        <v>독고진</v>
      </c>
      <c r="H250" t="str">
        <f t="shared" si="32"/>
        <v>스토리위즈</v>
      </c>
      <c r="I250" t="str">
        <f>T("[e북]신을 죽이러 갑니다")</f>
        <v>[e북]신을 죽이러 갑니다</v>
      </c>
      <c r="J250">
        <v>3200</v>
      </c>
      <c r="K250">
        <v>3200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3200</v>
      </c>
      <c r="AH250">
        <v>1</v>
      </c>
      <c r="AI250">
        <v>0</v>
      </c>
      <c r="AJ250">
        <v>0</v>
      </c>
      <c r="AK250">
        <v>3200</v>
      </c>
      <c r="AL250">
        <v>0</v>
      </c>
      <c r="AM250">
        <v>0</v>
      </c>
      <c r="AN250">
        <v>0</v>
      </c>
      <c r="AO250">
        <v>0</v>
      </c>
      <c r="AQ250">
        <v>0</v>
      </c>
      <c r="AR250">
        <v>0</v>
      </c>
      <c r="AT250">
        <v>0</v>
      </c>
      <c r="AU250">
        <v>0</v>
      </c>
      <c r="AW250">
        <v>0</v>
      </c>
      <c r="AX250">
        <v>0</v>
      </c>
      <c r="AY250">
        <v>2240</v>
      </c>
      <c r="BC250" t="str">
        <f>T("9791159288104")</f>
        <v>9791159288104</v>
      </c>
      <c r="BE250" t="str">
        <f>T("판타지 e북 &gt; 퓨전 판타지")</f>
        <v>판타지 e북 &gt; 퓨전 판타지</v>
      </c>
    </row>
    <row r="251" spans="1:57" x14ac:dyDescent="0.3">
      <c r="A251">
        <v>1525005640</v>
      </c>
      <c r="B251">
        <v>1525007205</v>
      </c>
      <c r="C251" t="str">
        <f>T("[e북]회귀의 전설 2부 26권")</f>
        <v>[e북]회귀의 전설 2부 26권</v>
      </c>
      <c r="D251" t="str">
        <f>T("26")</f>
        <v>26</v>
      </c>
      <c r="E251" t="str">
        <f>T("김광수")</f>
        <v>김광수</v>
      </c>
      <c r="H251" t="str">
        <f t="shared" si="32"/>
        <v>스토리위즈</v>
      </c>
      <c r="I251" t="str">
        <f>T("[e북]회귀의 전설")</f>
        <v>[e북]회귀의 전설</v>
      </c>
      <c r="J251">
        <v>3200</v>
      </c>
      <c r="K251">
        <v>3200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3200</v>
      </c>
      <c r="AH251">
        <v>1</v>
      </c>
      <c r="AI251">
        <v>0</v>
      </c>
      <c r="AJ251">
        <v>0</v>
      </c>
      <c r="AK251">
        <v>3200</v>
      </c>
      <c r="AL251">
        <v>0</v>
      </c>
      <c r="AM251">
        <v>0</v>
      </c>
      <c r="AN251">
        <v>0</v>
      </c>
      <c r="AO251">
        <v>0</v>
      </c>
      <c r="AQ251">
        <v>0</v>
      </c>
      <c r="AR251">
        <v>0</v>
      </c>
      <c r="AT251">
        <v>0</v>
      </c>
      <c r="AU251">
        <v>0</v>
      </c>
      <c r="AW251">
        <v>0</v>
      </c>
      <c r="AX251">
        <v>0</v>
      </c>
      <c r="AY251">
        <v>2240</v>
      </c>
      <c r="BC251" t="str">
        <f>T("9791166300509")</f>
        <v>9791166300509</v>
      </c>
      <c r="BE251" t="str">
        <f>T("판타지 e북 &gt; 현대 판타지")</f>
        <v>판타지 e북 &gt; 현대 판타지</v>
      </c>
    </row>
    <row r="252" spans="1:57" x14ac:dyDescent="0.3">
      <c r="A252">
        <v>1525000158</v>
      </c>
      <c r="B252">
        <v>1525000167</v>
      </c>
      <c r="C252" t="str">
        <f>T("[e북]아나크레온 11권")</f>
        <v>[e북]아나크레온 11권</v>
      </c>
      <c r="D252" t="str">
        <f>T("11")</f>
        <v>11</v>
      </c>
      <c r="E252" t="str">
        <f>T("김정률")</f>
        <v>김정률</v>
      </c>
      <c r="H252" t="str">
        <f t="shared" si="32"/>
        <v>스토리위즈</v>
      </c>
      <c r="I252" t="str">
        <f>T("[e북]아나크레온")</f>
        <v>[e북]아나크레온</v>
      </c>
      <c r="J252">
        <v>3200</v>
      </c>
      <c r="K252">
        <v>3200</v>
      </c>
      <c r="L252">
        <v>1</v>
      </c>
      <c r="M252">
        <v>0</v>
      </c>
      <c r="N252">
        <v>6300</v>
      </c>
      <c r="O252">
        <v>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9500</v>
      </c>
      <c r="AH252">
        <v>8</v>
      </c>
      <c r="AI252">
        <v>0</v>
      </c>
      <c r="AJ252">
        <v>0</v>
      </c>
      <c r="AK252">
        <v>6800</v>
      </c>
      <c r="AL252">
        <v>0</v>
      </c>
      <c r="AM252">
        <v>3240</v>
      </c>
      <c r="AN252">
        <v>-756</v>
      </c>
      <c r="AO252">
        <v>0</v>
      </c>
      <c r="AP252">
        <v>2160</v>
      </c>
      <c r="AQ252">
        <v>-648</v>
      </c>
      <c r="AR252">
        <v>0</v>
      </c>
      <c r="AS252">
        <v>1080</v>
      </c>
      <c r="AT252">
        <v>-108</v>
      </c>
      <c r="AU252">
        <v>0</v>
      </c>
      <c r="AW252">
        <v>0</v>
      </c>
      <c r="AX252">
        <v>0</v>
      </c>
      <c r="AY252">
        <v>6498.8</v>
      </c>
      <c r="BE252" t="str">
        <f>T("판타지 e북 &gt; 퓨전 판타지")</f>
        <v>판타지 e북 &gt; 퓨전 판타지</v>
      </c>
    </row>
    <row r="253" spans="1:57" x14ac:dyDescent="0.3">
      <c r="A253">
        <v>1525002848</v>
      </c>
      <c r="B253">
        <v>1525002858</v>
      </c>
      <c r="C253" t="str">
        <f>T("[e북]신을 죽이러 갑니다 11권")</f>
        <v>[e북]신을 죽이러 갑니다 11권</v>
      </c>
      <c r="D253" t="str">
        <f>T("11")</f>
        <v>11</v>
      </c>
      <c r="E253" t="str">
        <f>T("독고진")</f>
        <v>독고진</v>
      </c>
      <c r="H253" t="str">
        <f t="shared" si="32"/>
        <v>스토리위즈</v>
      </c>
      <c r="I253" t="str">
        <f>T("[e북]신을 죽이러 갑니다")</f>
        <v>[e북]신을 죽이러 갑니다</v>
      </c>
      <c r="J253">
        <v>3200</v>
      </c>
      <c r="K253">
        <v>3200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3200</v>
      </c>
      <c r="AH253">
        <v>1</v>
      </c>
      <c r="AI253">
        <v>0</v>
      </c>
      <c r="AJ253">
        <v>0</v>
      </c>
      <c r="AK253">
        <v>3200</v>
      </c>
      <c r="AL253">
        <v>0</v>
      </c>
      <c r="AM253">
        <v>0</v>
      </c>
      <c r="AN253">
        <v>0</v>
      </c>
      <c r="AO253">
        <v>0</v>
      </c>
      <c r="AQ253">
        <v>0</v>
      </c>
      <c r="AR253">
        <v>0</v>
      </c>
      <c r="AT253">
        <v>0</v>
      </c>
      <c r="AU253">
        <v>0</v>
      </c>
      <c r="AW253">
        <v>0</v>
      </c>
      <c r="AX253">
        <v>0</v>
      </c>
      <c r="AY253">
        <v>2240</v>
      </c>
      <c r="BC253" t="str">
        <f>T("9791159288098")</f>
        <v>9791159288098</v>
      </c>
      <c r="BE253" t="str">
        <f>T("판타지 e북 &gt; 퓨전 판타지")</f>
        <v>판타지 e북 &gt; 퓨전 판타지</v>
      </c>
    </row>
    <row r="254" spans="1:57" x14ac:dyDescent="0.3">
      <c r="A254">
        <v>1525005640</v>
      </c>
      <c r="B254">
        <v>1525007204</v>
      </c>
      <c r="C254" t="str">
        <f>T("[e북]회귀의 전설 2부 25권")</f>
        <v>[e북]회귀의 전설 2부 25권</v>
      </c>
      <c r="D254" t="str">
        <f>T("25")</f>
        <v>25</v>
      </c>
      <c r="E254" t="str">
        <f>T("김광수")</f>
        <v>김광수</v>
      </c>
      <c r="H254" t="str">
        <f t="shared" si="32"/>
        <v>스토리위즈</v>
      </c>
      <c r="I254" t="str">
        <f>T("[e북]회귀의 전설")</f>
        <v>[e북]회귀의 전설</v>
      </c>
      <c r="J254">
        <v>3200</v>
      </c>
      <c r="K254">
        <v>3200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3200</v>
      </c>
      <c r="AH254">
        <v>1</v>
      </c>
      <c r="AI254">
        <v>0</v>
      </c>
      <c r="AJ254">
        <v>0</v>
      </c>
      <c r="AK254">
        <v>3200</v>
      </c>
      <c r="AL254">
        <v>0</v>
      </c>
      <c r="AM254">
        <v>0</v>
      </c>
      <c r="AN254">
        <v>0</v>
      </c>
      <c r="AO254">
        <v>0</v>
      </c>
      <c r="AQ254">
        <v>0</v>
      </c>
      <c r="AR254">
        <v>0</v>
      </c>
      <c r="AT254">
        <v>0</v>
      </c>
      <c r="AU254">
        <v>0</v>
      </c>
      <c r="AW254">
        <v>0</v>
      </c>
      <c r="AX254">
        <v>0</v>
      </c>
      <c r="AY254">
        <v>2240</v>
      </c>
      <c r="BC254" t="str">
        <f>T("9791166300493")</f>
        <v>9791166300493</v>
      </c>
      <c r="BE254" t="str">
        <f>T("판타지 e북 &gt; 현대 판타지")</f>
        <v>판타지 e북 &gt; 현대 판타지</v>
      </c>
    </row>
    <row r="255" spans="1:57" x14ac:dyDescent="0.3">
      <c r="A255">
        <v>1525002682</v>
      </c>
      <c r="B255">
        <v>1525002688</v>
      </c>
      <c r="C255" t="str">
        <f>T("[e북]스포트라이트 7권")</f>
        <v>[e북]스포트라이트 7권</v>
      </c>
      <c r="D255" t="str">
        <f>T("7")</f>
        <v>7</v>
      </c>
      <c r="E255" t="str">
        <f>T("전혁")</f>
        <v>전혁</v>
      </c>
      <c r="H255" t="str">
        <f t="shared" si="32"/>
        <v>스토리위즈</v>
      </c>
      <c r="I255" t="str">
        <f>T("[e북]스포트라이트")</f>
        <v>[e북]스포트라이트</v>
      </c>
      <c r="J255">
        <v>3200</v>
      </c>
      <c r="K255">
        <v>3200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3200</v>
      </c>
      <c r="AH255">
        <v>1</v>
      </c>
      <c r="AI255">
        <v>0</v>
      </c>
      <c r="AJ255">
        <v>0</v>
      </c>
      <c r="AK255">
        <v>3200</v>
      </c>
      <c r="AL255">
        <v>0</v>
      </c>
      <c r="AM255">
        <v>0</v>
      </c>
      <c r="AN255">
        <v>0</v>
      </c>
      <c r="AO255">
        <v>0</v>
      </c>
      <c r="AQ255">
        <v>0</v>
      </c>
      <c r="AR255">
        <v>0</v>
      </c>
      <c r="AT255">
        <v>0</v>
      </c>
      <c r="AU255">
        <v>0</v>
      </c>
      <c r="AW255">
        <v>0</v>
      </c>
      <c r="AX255">
        <v>0</v>
      </c>
      <c r="AY255">
        <v>2240</v>
      </c>
      <c r="BC255" t="str">
        <f>T("9791159287718")</f>
        <v>9791159287718</v>
      </c>
      <c r="BE255" t="str">
        <f>T("판타지 e북 &gt; 현대 판타지")</f>
        <v>판타지 e북 &gt; 현대 판타지</v>
      </c>
    </row>
    <row r="256" spans="1:57" x14ac:dyDescent="0.3">
      <c r="A256">
        <v>1525000125</v>
      </c>
      <c r="B256">
        <v>1525000134</v>
      </c>
      <c r="C256" t="str">
        <f>T("[e북]블레이드 헌터 10권 (완결)")</f>
        <v>[e북]블레이드 헌터 10권 (완결)</v>
      </c>
      <c r="D256" t="str">
        <f>T("10")</f>
        <v>10</v>
      </c>
      <c r="E256" t="str">
        <f>T("김정률")</f>
        <v>김정률</v>
      </c>
      <c r="H256" t="str">
        <f t="shared" si="32"/>
        <v>스토리위즈</v>
      </c>
      <c r="I256" t="str">
        <f>T("[e북]블레이드 헌터")</f>
        <v>[e북]블레이드 헌터</v>
      </c>
      <c r="J256">
        <v>3200</v>
      </c>
      <c r="K256">
        <v>3200</v>
      </c>
      <c r="L256">
        <v>1</v>
      </c>
      <c r="M256">
        <v>0</v>
      </c>
      <c r="N256">
        <v>4500</v>
      </c>
      <c r="O256">
        <v>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7700</v>
      </c>
      <c r="AH256">
        <v>6</v>
      </c>
      <c r="AI256">
        <v>0</v>
      </c>
      <c r="AJ256">
        <v>0</v>
      </c>
      <c r="AK256">
        <v>1540</v>
      </c>
      <c r="AL256">
        <v>0</v>
      </c>
      <c r="AM256">
        <v>7392</v>
      </c>
      <c r="AN256">
        <v>-1449.6</v>
      </c>
      <c r="AO256">
        <v>0</v>
      </c>
      <c r="AP256">
        <v>2472</v>
      </c>
      <c r="AQ256">
        <v>-741.6</v>
      </c>
      <c r="AR256">
        <v>0</v>
      </c>
      <c r="AS256">
        <v>4920</v>
      </c>
      <c r="AT256">
        <v>-708</v>
      </c>
      <c r="AU256">
        <v>0</v>
      </c>
      <c r="AW256">
        <v>0</v>
      </c>
      <c r="AX256">
        <v>0</v>
      </c>
      <c r="AY256">
        <v>5237.68</v>
      </c>
      <c r="BE256" t="str">
        <f>T("판타지 e북 &gt; 정통 판타지")</f>
        <v>판타지 e북 &gt; 정통 판타지</v>
      </c>
    </row>
    <row r="257" spans="1:57" x14ac:dyDescent="0.3">
      <c r="A257">
        <v>1525000158</v>
      </c>
      <c r="B257">
        <v>1525000166</v>
      </c>
      <c r="C257" t="str">
        <f>T("[e북]아나크레온 9권")</f>
        <v>[e북]아나크레온 9권</v>
      </c>
      <c r="D257" t="str">
        <f>T("9")</f>
        <v>9</v>
      </c>
      <c r="E257" t="str">
        <f>T("김정률")</f>
        <v>김정률</v>
      </c>
      <c r="H257" t="str">
        <f t="shared" si="32"/>
        <v>스토리위즈</v>
      </c>
      <c r="I257" t="str">
        <f>T("[e북]아나크레온")</f>
        <v>[e북]아나크레온</v>
      </c>
      <c r="J257">
        <v>3200</v>
      </c>
      <c r="K257">
        <v>3200</v>
      </c>
      <c r="L257">
        <v>1</v>
      </c>
      <c r="M257">
        <v>0</v>
      </c>
      <c r="N257">
        <v>5400</v>
      </c>
      <c r="O257">
        <v>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8600</v>
      </c>
      <c r="AH257">
        <v>7</v>
      </c>
      <c r="AI257">
        <v>0</v>
      </c>
      <c r="AJ257">
        <v>0</v>
      </c>
      <c r="AK257">
        <v>5900</v>
      </c>
      <c r="AL257">
        <v>0</v>
      </c>
      <c r="AM257">
        <v>3240</v>
      </c>
      <c r="AN257">
        <v>-756</v>
      </c>
      <c r="AO257">
        <v>0</v>
      </c>
      <c r="AP257">
        <v>2160</v>
      </c>
      <c r="AQ257">
        <v>-648</v>
      </c>
      <c r="AR257">
        <v>0</v>
      </c>
      <c r="AS257">
        <v>1080</v>
      </c>
      <c r="AT257">
        <v>-108</v>
      </c>
      <c r="AU257">
        <v>0</v>
      </c>
      <c r="AW257">
        <v>0</v>
      </c>
      <c r="AX257">
        <v>0</v>
      </c>
      <c r="AY257">
        <v>5868.8</v>
      </c>
      <c r="BE257" t="str">
        <f>T("판타지 e북 &gt; 퓨전 판타지")</f>
        <v>판타지 e북 &gt; 퓨전 판타지</v>
      </c>
    </row>
    <row r="258" spans="1:57" x14ac:dyDescent="0.3">
      <c r="A258">
        <v>1525002848</v>
      </c>
      <c r="B258">
        <v>1525002857</v>
      </c>
      <c r="C258" t="str">
        <f>T("[e북]신을 죽이러 갑니다 10권")</f>
        <v>[e북]신을 죽이러 갑니다 10권</v>
      </c>
      <c r="D258" t="str">
        <f>T("10")</f>
        <v>10</v>
      </c>
      <c r="E258" t="str">
        <f>T("독고진")</f>
        <v>독고진</v>
      </c>
      <c r="H258" t="str">
        <f t="shared" si="32"/>
        <v>스토리위즈</v>
      </c>
      <c r="I258" t="str">
        <f>T("[e북]신을 죽이러 갑니다")</f>
        <v>[e북]신을 죽이러 갑니다</v>
      </c>
      <c r="J258">
        <v>3200</v>
      </c>
      <c r="K258">
        <v>3200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3200</v>
      </c>
      <c r="AH258">
        <v>1</v>
      </c>
      <c r="AI258">
        <v>0</v>
      </c>
      <c r="AJ258">
        <v>0</v>
      </c>
      <c r="AK258">
        <v>3200</v>
      </c>
      <c r="AL258">
        <v>0</v>
      </c>
      <c r="AM258">
        <v>0</v>
      </c>
      <c r="AN258">
        <v>0</v>
      </c>
      <c r="AO258">
        <v>0</v>
      </c>
      <c r="AQ258">
        <v>0</v>
      </c>
      <c r="AR258">
        <v>0</v>
      </c>
      <c r="AT258">
        <v>0</v>
      </c>
      <c r="AU258">
        <v>0</v>
      </c>
      <c r="AW258">
        <v>0</v>
      </c>
      <c r="AX258">
        <v>0</v>
      </c>
      <c r="AY258">
        <v>2240</v>
      </c>
      <c r="BC258" t="str">
        <f>T("9791159288081")</f>
        <v>9791159288081</v>
      </c>
      <c r="BE258" t="str">
        <f>T("판타지 e북 &gt; 퓨전 판타지")</f>
        <v>판타지 e북 &gt; 퓨전 판타지</v>
      </c>
    </row>
    <row r="259" spans="1:57" x14ac:dyDescent="0.3">
      <c r="A259">
        <v>1525005640</v>
      </c>
      <c r="B259">
        <v>1525007203</v>
      </c>
      <c r="C259" t="str">
        <f>T("[e북]회귀의 전설 2부 24권")</f>
        <v>[e북]회귀의 전설 2부 24권</v>
      </c>
      <c r="D259" t="str">
        <f>T("24")</f>
        <v>24</v>
      </c>
      <c r="E259" t="str">
        <f>T("김광수")</f>
        <v>김광수</v>
      </c>
      <c r="H259" t="str">
        <f t="shared" si="32"/>
        <v>스토리위즈</v>
      </c>
      <c r="I259" t="str">
        <f>T("[e북]회귀의 전설")</f>
        <v>[e북]회귀의 전설</v>
      </c>
      <c r="J259">
        <v>3200</v>
      </c>
      <c r="K259">
        <v>3200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3200</v>
      </c>
      <c r="AH259">
        <v>1</v>
      </c>
      <c r="AI259">
        <v>0</v>
      </c>
      <c r="AJ259">
        <v>0</v>
      </c>
      <c r="AK259">
        <v>3200</v>
      </c>
      <c r="AL259">
        <v>0</v>
      </c>
      <c r="AM259">
        <v>0</v>
      </c>
      <c r="AN259">
        <v>0</v>
      </c>
      <c r="AO259">
        <v>0</v>
      </c>
      <c r="AQ259">
        <v>0</v>
      </c>
      <c r="AR259">
        <v>0</v>
      </c>
      <c r="AT259">
        <v>0</v>
      </c>
      <c r="AU259">
        <v>0</v>
      </c>
      <c r="AW259">
        <v>0</v>
      </c>
      <c r="AX259">
        <v>0</v>
      </c>
      <c r="AY259">
        <v>2240</v>
      </c>
      <c r="BC259" t="str">
        <f>T("9791166300486")</f>
        <v>9791166300486</v>
      </c>
      <c r="BE259" t="str">
        <f>T("판타지 e북 &gt; 현대 판타지")</f>
        <v>판타지 e북 &gt; 현대 판타지</v>
      </c>
    </row>
    <row r="260" spans="1:57" x14ac:dyDescent="0.3">
      <c r="A260">
        <v>1525000113</v>
      </c>
      <c r="B260">
        <v>1525000122</v>
      </c>
      <c r="C260" t="str">
        <f>T("[e북]마왕 데이몬 10권")</f>
        <v>[e북]마왕 데이몬 10권</v>
      </c>
      <c r="D260" t="str">
        <f>T("10")</f>
        <v>10</v>
      </c>
      <c r="E260" t="str">
        <f>T("김정률")</f>
        <v>김정률</v>
      </c>
      <c r="H260" t="str">
        <f t="shared" si="32"/>
        <v>스토리위즈</v>
      </c>
      <c r="I260" t="str">
        <f>T("[e북]마왕 데이몬")</f>
        <v>[e북]마왕 데이몬</v>
      </c>
      <c r="J260">
        <v>3200</v>
      </c>
      <c r="K260">
        <v>3200</v>
      </c>
      <c r="L260">
        <v>1</v>
      </c>
      <c r="M260">
        <v>0</v>
      </c>
      <c r="N260">
        <v>4500</v>
      </c>
      <c r="O260">
        <v>5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7700</v>
      </c>
      <c r="AH260">
        <v>6</v>
      </c>
      <c r="AI260">
        <v>0</v>
      </c>
      <c r="AJ260">
        <v>0</v>
      </c>
      <c r="AK260">
        <v>2462</v>
      </c>
      <c r="AL260">
        <v>0</v>
      </c>
      <c r="AM260">
        <v>6285.6</v>
      </c>
      <c r="AN260">
        <v>-844.56</v>
      </c>
      <c r="AO260">
        <v>0</v>
      </c>
      <c r="AQ260">
        <v>0</v>
      </c>
      <c r="AR260">
        <v>0</v>
      </c>
      <c r="AS260">
        <v>6285.6</v>
      </c>
      <c r="AT260">
        <v>-844.56</v>
      </c>
      <c r="AU260">
        <v>0</v>
      </c>
      <c r="AW260">
        <v>0</v>
      </c>
      <c r="AX260">
        <v>0</v>
      </c>
      <c r="AY260">
        <v>5532.13</v>
      </c>
      <c r="BC260" t="str">
        <f>T("9788925727370")</f>
        <v>9788925727370</v>
      </c>
      <c r="BE260" t="str">
        <f>T("판타지 e북 &gt; 현대 판타지")</f>
        <v>판타지 e북 &gt; 현대 판타지</v>
      </c>
    </row>
    <row r="261" spans="1:57" x14ac:dyDescent="0.3">
      <c r="A261">
        <v>1525002682</v>
      </c>
      <c r="B261">
        <v>1525002687</v>
      </c>
      <c r="C261" t="str">
        <f>T("[e북]스포트라이트 6권")</f>
        <v>[e북]스포트라이트 6권</v>
      </c>
      <c r="D261" t="str">
        <f>T("6")</f>
        <v>6</v>
      </c>
      <c r="E261" t="str">
        <f>T("전혁")</f>
        <v>전혁</v>
      </c>
      <c r="H261" t="str">
        <f t="shared" si="32"/>
        <v>스토리위즈</v>
      </c>
      <c r="I261" t="str">
        <f>T("[e북]스포트라이트")</f>
        <v>[e북]스포트라이트</v>
      </c>
      <c r="J261">
        <v>3200</v>
      </c>
      <c r="K261">
        <v>3200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3200</v>
      </c>
      <c r="AH261">
        <v>1</v>
      </c>
      <c r="AI261">
        <v>0</v>
      </c>
      <c r="AJ261">
        <v>0</v>
      </c>
      <c r="AK261">
        <v>3200</v>
      </c>
      <c r="AL261">
        <v>0</v>
      </c>
      <c r="AM261">
        <v>0</v>
      </c>
      <c r="AN261">
        <v>0</v>
      </c>
      <c r="AO261">
        <v>0</v>
      </c>
      <c r="AQ261">
        <v>0</v>
      </c>
      <c r="AR261">
        <v>0</v>
      </c>
      <c r="AT261">
        <v>0</v>
      </c>
      <c r="AU261">
        <v>0</v>
      </c>
      <c r="AW261">
        <v>0</v>
      </c>
      <c r="AX261">
        <v>0</v>
      </c>
      <c r="AY261">
        <v>2240</v>
      </c>
      <c r="BC261" t="str">
        <f>T("9791159287701")</f>
        <v>9791159287701</v>
      </c>
      <c r="BE261" t="str">
        <f>T("판타지 e북 &gt; 현대 판타지")</f>
        <v>판타지 e북 &gt; 현대 판타지</v>
      </c>
    </row>
    <row r="262" spans="1:57" x14ac:dyDescent="0.3">
      <c r="A262">
        <v>1525007764</v>
      </c>
      <c r="B262">
        <v>1525007766</v>
      </c>
      <c r="C262" t="str">
        <f>T("[e북]대공의 아내 3권")</f>
        <v>[e북]대공의 아내 3권</v>
      </c>
      <c r="D262" t="str">
        <f>T("3")</f>
        <v>3</v>
      </c>
      <c r="E262" t="str">
        <f>T("문시티")</f>
        <v>문시티</v>
      </c>
      <c r="H262" t="str">
        <f>T("쉬라즈")</f>
        <v>쉬라즈</v>
      </c>
      <c r="I262" t="str">
        <f>T("[e북]대공의 아내")</f>
        <v>[e북]대공의 아내</v>
      </c>
      <c r="J262">
        <v>3200</v>
      </c>
      <c r="K262">
        <v>3200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3200</v>
      </c>
      <c r="AH262">
        <v>1</v>
      </c>
      <c r="AI262">
        <v>0</v>
      </c>
      <c r="AJ262">
        <v>0</v>
      </c>
      <c r="AK262">
        <v>3200</v>
      </c>
      <c r="AL262">
        <v>0</v>
      </c>
      <c r="AM262">
        <v>0</v>
      </c>
      <c r="AN262">
        <v>0</v>
      </c>
      <c r="AO262">
        <v>0</v>
      </c>
      <c r="AQ262">
        <v>0</v>
      </c>
      <c r="AR262">
        <v>0</v>
      </c>
      <c r="AT262">
        <v>0</v>
      </c>
      <c r="AU262">
        <v>0</v>
      </c>
      <c r="AW262">
        <v>0</v>
      </c>
      <c r="AX262">
        <v>0</v>
      </c>
      <c r="AY262">
        <v>2240</v>
      </c>
      <c r="BA262" t="str">
        <f>T("0000000000000")</f>
        <v>0000000000000</v>
      </c>
      <c r="BC262" t="str">
        <f>T("9791164896790")</f>
        <v>9791164896790</v>
      </c>
      <c r="BE262" t="str">
        <f>T("로판 e북 &gt; 서양풍 로판")</f>
        <v>로판 e북 &gt; 서양풍 로판</v>
      </c>
    </row>
    <row r="263" spans="1:57" x14ac:dyDescent="0.3">
      <c r="A263">
        <v>1525000135</v>
      </c>
      <c r="B263">
        <v>1525000144</v>
      </c>
      <c r="C263" t="str">
        <f>T("[e북]하프 블러드 10권")</f>
        <v>[e북]하프 블러드 10권</v>
      </c>
      <c r="D263" t="str">
        <f>T("10")</f>
        <v>10</v>
      </c>
      <c r="E263" t="str">
        <f>T("김정률")</f>
        <v>김정률</v>
      </c>
      <c r="H263" t="str">
        <f t="shared" ref="H263:H268" si="33">T("스토리위즈")</f>
        <v>스토리위즈</v>
      </c>
      <c r="I263" t="str">
        <f>T("[e북]하프 블러드")</f>
        <v>[e북]하프 블러드</v>
      </c>
      <c r="J263">
        <v>3200</v>
      </c>
      <c r="K263">
        <v>3200</v>
      </c>
      <c r="L263">
        <v>1</v>
      </c>
      <c r="M263">
        <v>0</v>
      </c>
      <c r="N263">
        <v>3600</v>
      </c>
      <c r="O263">
        <v>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6800</v>
      </c>
      <c r="AH263">
        <v>5</v>
      </c>
      <c r="AI263">
        <v>0</v>
      </c>
      <c r="AJ263">
        <v>0</v>
      </c>
      <c r="AK263">
        <v>2466</v>
      </c>
      <c r="AL263">
        <v>0</v>
      </c>
      <c r="AM263">
        <v>5200.8</v>
      </c>
      <c r="AN263">
        <v>-520.08000000000004</v>
      </c>
      <c r="AO263">
        <v>0</v>
      </c>
      <c r="AQ263">
        <v>0</v>
      </c>
      <c r="AR263">
        <v>0</v>
      </c>
      <c r="AS263">
        <v>5200.8</v>
      </c>
      <c r="AT263">
        <v>-520.08000000000004</v>
      </c>
      <c r="AU263">
        <v>0</v>
      </c>
      <c r="AW263">
        <v>0</v>
      </c>
      <c r="AX263">
        <v>0</v>
      </c>
      <c r="AY263">
        <v>5002.7</v>
      </c>
      <c r="BE263" t="str">
        <f>T("판타지 e북 &gt; 정통 판타지")</f>
        <v>판타지 e북 &gt; 정통 판타지</v>
      </c>
    </row>
    <row r="264" spans="1:57" x14ac:dyDescent="0.3">
      <c r="A264">
        <v>1525000125</v>
      </c>
      <c r="B264">
        <v>1525000133</v>
      </c>
      <c r="C264" t="str">
        <f>T("[e북]블레이드 헌터 9권")</f>
        <v>[e북]블레이드 헌터 9권</v>
      </c>
      <c r="D264" t="str">
        <f>T("9")</f>
        <v>9</v>
      </c>
      <c r="E264" t="str">
        <f>T("김정률")</f>
        <v>김정률</v>
      </c>
      <c r="H264" t="str">
        <f t="shared" si="33"/>
        <v>스토리위즈</v>
      </c>
      <c r="I264" t="str">
        <f>T("[e북]블레이드 헌터")</f>
        <v>[e북]블레이드 헌터</v>
      </c>
      <c r="J264">
        <v>3200</v>
      </c>
      <c r="K264">
        <v>3200</v>
      </c>
      <c r="L264">
        <v>1</v>
      </c>
      <c r="M264">
        <v>0</v>
      </c>
      <c r="N264">
        <v>5400</v>
      </c>
      <c r="O264">
        <v>6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8600</v>
      </c>
      <c r="AH264">
        <v>7</v>
      </c>
      <c r="AI264">
        <v>0</v>
      </c>
      <c r="AJ264">
        <v>0</v>
      </c>
      <c r="AK264">
        <v>1300</v>
      </c>
      <c r="AL264">
        <v>0</v>
      </c>
      <c r="AM264">
        <v>8760</v>
      </c>
      <c r="AN264">
        <v>-1956</v>
      </c>
      <c r="AO264">
        <v>0</v>
      </c>
      <c r="AP264">
        <v>3240</v>
      </c>
      <c r="AQ264">
        <v>-972</v>
      </c>
      <c r="AR264">
        <v>0</v>
      </c>
      <c r="AS264">
        <v>5520</v>
      </c>
      <c r="AT264">
        <v>-984</v>
      </c>
      <c r="AU264">
        <v>0</v>
      </c>
      <c r="AW264">
        <v>0</v>
      </c>
      <c r="AX264">
        <v>0</v>
      </c>
      <c r="AY264">
        <v>5672.8</v>
      </c>
      <c r="BE264" t="str">
        <f>T("판타지 e북 &gt; 정통 판타지")</f>
        <v>판타지 e북 &gt; 정통 판타지</v>
      </c>
    </row>
    <row r="265" spans="1:57" x14ac:dyDescent="0.3">
      <c r="A265">
        <v>1525001924</v>
      </c>
      <c r="B265">
        <v>1525001930</v>
      </c>
      <c r="C265" t="str">
        <f>T("[e북]신마협도 7권")</f>
        <v>[e북]신마협도 7권</v>
      </c>
      <c r="D265" t="str">
        <f>T("7")</f>
        <v>7</v>
      </c>
      <c r="E265" t="str">
        <f>T("권용찬")</f>
        <v>권용찬</v>
      </c>
      <c r="H265" t="str">
        <f t="shared" si="33"/>
        <v>스토리위즈</v>
      </c>
      <c r="I265" t="str">
        <f>T("[e북]신마협도")</f>
        <v>[e북]신마협도</v>
      </c>
      <c r="J265">
        <v>3200</v>
      </c>
      <c r="K265">
        <v>3200</v>
      </c>
      <c r="L265">
        <v>1</v>
      </c>
      <c r="M265">
        <v>0</v>
      </c>
      <c r="N265">
        <v>900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4100</v>
      </c>
      <c r="AH265">
        <v>2</v>
      </c>
      <c r="AI265">
        <v>0</v>
      </c>
      <c r="AJ265">
        <v>0</v>
      </c>
      <c r="AK265">
        <v>4100</v>
      </c>
      <c r="AL265">
        <v>0</v>
      </c>
      <c r="AM265">
        <v>0</v>
      </c>
      <c r="AN265">
        <v>0</v>
      </c>
      <c r="AO265">
        <v>0</v>
      </c>
      <c r="AQ265">
        <v>0</v>
      </c>
      <c r="AR265">
        <v>0</v>
      </c>
      <c r="AT265">
        <v>0</v>
      </c>
      <c r="AU265">
        <v>0</v>
      </c>
      <c r="AW265">
        <v>0</v>
      </c>
      <c r="AX265">
        <v>0</v>
      </c>
      <c r="AY265">
        <v>2870</v>
      </c>
      <c r="BC265" t="str">
        <f>T("9791159283130")</f>
        <v>9791159283130</v>
      </c>
      <c r="BE265" t="str">
        <f>T("판타지 e북 &gt; 신무협")</f>
        <v>판타지 e북 &gt; 신무협</v>
      </c>
    </row>
    <row r="266" spans="1:57" x14ac:dyDescent="0.3">
      <c r="A266">
        <v>1525000158</v>
      </c>
      <c r="B266">
        <v>1525000165</v>
      </c>
      <c r="C266" t="str">
        <f>T("[e북]아나크레온 8권")</f>
        <v>[e북]아나크레온 8권</v>
      </c>
      <c r="D266" t="str">
        <f>T("8")</f>
        <v>8</v>
      </c>
      <c r="E266" t="str">
        <f>T("김정률")</f>
        <v>김정률</v>
      </c>
      <c r="H266" t="str">
        <f t="shared" si="33"/>
        <v>스토리위즈</v>
      </c>
      <c r="I266" t="str">
        <f>T("[e북]아나크레온")</f>
        <v>[e북]아나크레온</v>
      </c>
      <c r="J266">
        <v>3200</v>
      </c>
      <c r="K266">
        <v>3200</v>
      </c>
      <c r="L266">
        <v>1</v>
      </c>
      <c r="M266">
        <v>0</v>
      </c>
      <c r="N266">
        <v>5400</v>
      </c>
      <c r="O266">
        <v>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8600</v>
      </c>
      <c r="AH266">
        <v>7</v>
      </c>
      <c r="AI266">
        <v>0</v>
      </c>
      <c r="AJ266">
        <v>0</v>
      </c>
      <c r="AK266">
        <v>5900</v>
      </c>
      <c r="AL266">
        <v>0</v>
      </c>
      <c r="AM266">
        <v>3240</v>
      </c>
      <c r="AN266">
        <v>-756</v>
      </c>
      <c r="AO266">
        <v>0</v>
      </c>
      <c r="AP266">
        <v>2160</v>
      </c>
      <c r="AQ266">
        <v>-648</v>
      </c>
      <c r="AR266">
        <v>0</v>
      </c>
      <c r="AS266">
        <v>1080</v>
      </c>
      <c r="AT266">
        <v>-108</v>
      </c>
      <c r="AU266">
        <v>0</v>
      </c>
      <c r="AW266">
        <v>0</v>
      </c>
      <c r="AX266">
        <v>0</v>
      </c>
      <c r="AY266">
        <v>5868.8</v>
      </c>
      <c r="BE266" t="str">
        <f>T("판타지 e북 &gt; 퓨전 판타지")</f>
        <v>판타지 e북 &gt; 퓨전 판타지</v>
      </c>
    </row>
    <row r="267" spans="1:57" x14ac:dyDescent="0.3">
      <c r="A267">
        <v>1525005640</v>
      </c>
      <c r="B267">
        <v>1525007202</v>
      </c>
      <c r="C267" t="str">
        <f>T("[e북]회귀의 전설 2부 23권")</f>
        <v>[e북]회귀의 전설 2부 23권</v>
      </c>
      <c r="D267" t="str">
        <f>T("23")</f>
        <v>23</v>
      </c>
      <c r="E267" t="str">
        <f>T("김광수")</f>
        <v>김광수</v>
      </c>
      <c r="H267" t="str">
        <f t="shared" si="33"/>
        <v>스토리위즈</v>
      </c>
      <c r="I267" t="str">
        <f>T("[e북]회귀의 전설")</f>
        <v>[e북]회귀의 전설</v>
      </c>
      <c r="J267">
        <v>3200</v>
      </c>
      <c r="K267">
        <v>3200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3200</v>
      </c>
      <c r="AH267">
        <v>1</v>
      </c>
      <c r="AI267">
        <v>0</v>
      </c>
      <c r="AJ267">
        <v>0</v>
      </c>
      <c r="AK267">
        <v>3200</v>
      </c>
      <c r="AL267">
        <v>0</v>
      </c>
      <c r="AM267">
        <v>0</v>
      </c>
      <c r="AN267">
        <v>0</v>
      </c>
      <c r="AO267">
        <v>0</v>
      </c>
      <c r="AQ267">
        <v>0</v>
      </c>
      <c r="AR267">
        <v>0</v>
      </c>
      <c r="AT267">
        <v>0</v>
      </c>
      <c r="AU267">
        <v>0</v>
      </c>
      <c r="AW267">
        <v>0</v>
      </c>
      <c r="AX267">
        <v>0</v>
      </c>
      <c r="AY267">
        <v>2240</v>
      </c>
      <c r="BC267" t="str">
        <f>T("9791166300479")</f>
        <v>9791166300479</v>
      </c>
      <c r="BE267" t="str">
        <f>T("판타지 e북 &gt; 현대 판타지")</f>
        <v>판타지 e북 &gt; 현대 판타지</v>
      </c>
    </row>
    <row r="268" spans="1:57" x14ac:dyDescent="0.3">
      <c r="A268">
        <v>1525002682</v>
      </c>
      <c r="B268">
        <v>1525002686</v>
      </c>
      <c r="C268" t="str">
        <f>T("[e북]스포트라이트 5권")</f>
        <v>[e북]스포트라이트 5권</v>
      </c>
      <c r="D268" t="str">
        <f>T("5")</f>
        <v>5</v>
      </c>
      <c r="E268" t="str">
        <f>T("전혁")</f>
        <v>전혁</v>
      </c>
      <c r="H268" t="str">
        <f t="shared" si="33"/>
        <v>스토리위즈</v>
      </c>
      <c r="I268" t="str">
        <f>T("[e북]스포트라이트")</f>
        <v>[e북]스포트라이트</v>
      </c>
      <c r="J268">
        <v>3200</v>
      </c>
      <c r="K268">
        <v>3200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3200</v>
      </c>
      <c r="AH268">
        <v>1</v>
      </c>
      <c r="AI268">
        <v>0</v>
      </c>
      <c r="AJ268">
        <v>0</v>
      </c>
      <c r="AK268">
        <v>3200</v>
      </c>
      <c r="AL268">
        <v>0</v>
      </c>
      <c r="AM268">
        <v>0</v>
      </c>
      <c r="AN268">
        <v>0</v>
      </c>
      <c r="AO268">
        <v>0</v>
      </c>
      <c r="AQ268">
        <v>0</v>
      </c>
      <c r="AR268">
        <v>0</v>
      </c>
      <c r="AT268">
        <v>0</v>
      </c>
      <c r="AU268">
        <v>0</v>
      </c>
      <c r="AW268">
        <v>0</v>
      </c>
      <c r="AX268">
        <v>0</v>
      </c>
      <c r="AY268">
        <v>2240</v>
      </c>
      <c r="BC268" t="str">
        <f>T("9791159287695")</f>
        <v>9791159287695</v>
      </c>
      <c r="BE268" t="str">
        <f>T("판타지 e북 &gt; 현대 판타지")</f>
        <v>판타지 e북 &gt; 현대 판타지</v>
      </c>
    </row>
    <row r="269" spans="1:57" x14ac:dyDescent="0.3">
      <c r="A269">
        <v>1525007764</v>
      </c>
      <c r="B269">
        <v>1525007765</v>
      </c>
      <c r="C269" t="str">
        <f>T("[e북]대공의 아내 2권")</f>
        <v>[e북]대공의 아내 2권</v>
      </c>
      <c r="D269" t="str">
        <f>T("2")</f>
        <v>2</v>
      </c>
      <c r="E269" t="str">
        <f>T("문시티")</f>
        <v>문시티</v>
      </c>
      <c r="H269" t="str">
        <f>T("쉬라즈")</f>
        <v>쉬라즈</v>
      </c>
      <c r="I269" t="str">
        <f>T("[e북]대공의 아내")</f>
        <v>[e북]대공의 아내</v>
      </c>
      <c r="J269">
        <v>3200</v>
      </c>
      <c r="K269">
        <v>3200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3200</v>
      </c>
      <c r="AH269">
        <v>1</v>
      </c>
      <c r="AI269">
        <v>0</v>
      </c>
      <c r="AJ269">
        <v>0</v>
      </c>
      <c r="AK269">
        <v>3200</v>
      </c>
      <c r="AL269">
        <v>0</v>
      </c>
      <c r="AM269">
        <v>0</v>
      </c>
      <c r="AN269">
        <v>0</v>
      </c>
      <c r="AO269">
        <v>0</v>
      </c>
      <c r="AQ269">
        <v>0</v>
      </c>
      <c r="AR269">
        <v>0</v>
      </c>
      <c r="AT269">
        <v>0</v>
      </c>
      <c r="AU269">
        <v>0</v>
      </c>
      <c r="AW269">
        <v>0</v>
      </c>
      <c r="AX269">
        <v>0</v>
      </c>
      <c r="AY269">
        <v>2240</v>
      </c>
      <c r="BA269" t="str">
        <f>T("0000000000000")</f>
        <v>0000000000000</v>
      </c>
      <c r="BC269" t="str">
        <f>T("9791164896783")</f>
        <v>9791164896783</v>
      </c>
      <c r="BE269" t="str">
        <f>T("로판 e북 &gt; 서양풍 로판")</f>
        <v>로판 e북 &gt; 서양풍 로판</v>
      </c>
    </row>
    <row r="270" spans="1:57" x14ac:dyDescent="0.3">
      <c r="A270">
        <v>1525000135</v>
      </c>
      <c r="B270">
        <v>1525000143</v>
      </c>
      <c r="C270" t="str">
        <f>T("[e북]하프 블러드 9권")</f>
        <v>[e북]하프 블러드 9권</v>
      </c>
      <c r="D270" t="str">
        <f>T("9")</f>
        <v>9</v>
      </c>
      <c r="E270" t="str">
        <f>T("김정률")</f>
        <v>김정률</v>
      </c>
      <c r="H270" t="str">
        <f t="shared" ref="H270:H288" si="34">T("스토리위즈")</f>
        <v>스토리위즈</v>
      </c>
      <c r="I270" t="str">
        <f>T("[e북]하프 블러드")</f>
        <v>[e북]하프 블러드</v>
      </c>
      <c r="J270">
        <v>3200</v>
      </c>
      <c r="K270">
        <v>3200</v>
      </c>
      <c r="L270">
        <v>1</v>
      </c>
      <c r="M270">
        <v>0</v>
      </c>
      <c r="N270">
        <v>3600</v>
      </c>
      <c r="O270">
        <v>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6800</v>
      </c>
      <c r="AH270">
        <v>5</v>
      </c>
      <c r="AI270">
        <v>0</v>
      </c>
      <c r="AJ270">
        <v>0</v>
      </c>
      <c r="AK270">
        <v>2466</v>
      </c>
      <c r="AL270">
        <v>0</v>
      </c>
      <c r="AM270">
        <v>5200.8</v>
      </c>
      <c r="AN270">
        <v>-520.08000000000004</v>
      </c>
      <c r="AO270">
        <v>0</v>
      </c>
      <c r="AQ270">
        <v>0</v>
      </c>
      <c r="AR270">
        <v>0</v>
      </c>
      <c r="AS270">
        <v>5200.8</v>
      </c>
      <c r="AT270">
        <v>-520.08000000000004</v>
      </c>
      <c r="AU270">
        <v>0</v>
      </c>
      <c r="AW270">
        <v>0</v>
      </c>
      <c r="AX270">
        <v>0</v>
      </c>
      <c r="AY270">
        <v>5002.7</v>
      </c>
      <c r="BE270" t="str">
        <f>T("판타지 e북 &gt; 정통 판타지")</f>
        <v>판타지 e북 &gt; 정통 판타지</v>
      </c>
    </row>
    <row r="271" spans="1:57" x14ac:dyDescent="0.3">
      <c r="A271">
        <v>1525001924</v>
      </c>
      <c r="B271">
        <v>1525001929</v>
      </c>
      <c r="C271" t="str">
        <f>T("[e북]신마협도 6권")</f>
        <v>[e북]신마협도 6권</v>
      </c>
      <c r="D271" t="str">
        <f>T("6")</f>
        <v>6</v>
      </c>
      <c r="E271" t="str">
        <f>T("권용찬")</f>
        <v>권용찬</v>
      </c>
      <c r="H271" t="str">
        <f t="shared" si="34"/>
        <v>스토리위즈</v>
      </c>
      <c r="I271" t="str">
        <f>T("[e북]신마협도")</f>
        <v>[e북]신마협도</v>
      </c>
      <c r="J271">
        <v>3200</v>
      </c>
      <c r="K271">
        <v>3200</v>
      </c>
      <c r="L271">
        <v>1</v>
      </c>
      <c r="M271">
        <v>0</v>
      </c>
      <c r="N271">
        <v>1800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5000</v>
      </c>
      <c r="AH271">
        <v>3</v>
      </c>
      <c r="AI271">
        <v>0</v>
      </c>
      <c r="AJ271">
        <v>0</v>
      </c>
      <c r="AK271">
        <v>4714</v>
      </c>
      <c r="AL271">
        <v>0</v>
      </c>
      <c r="AM271">
        <v>343.2</v>
      </c>
      <c r="AN271">
        <v>-34.32</v>
      </c>
      <c r="AO271">
        <v>0</v>
      </c>
      <c r="AQ271">
        <v>0</v>
      </c>
      <c r="AR271">
        <v>0</v>
      </c>
      <c r="AS271">
        <v>343.2</v>
      </c>
      <c r="AT271">
        <v>-34.32</v>
      </c>
      <c r="AU271">
        <v>0</v>
      </c>
      <c r="AW271">
        <v>0</v>
      </c>
      <c r="AX271">
        <v>0</v>
      </c>
      <c r="AY271">
        <v>3516.02</v>
      </c>
      <c r="BC271" t="str">
        <f>T("9791159283123")</f>
        <v>9791159283123</v>
      </c>
      <c r="BE271" t="str">
        <f>T("판타지 e북 &gt; 신무협")</f>
        <v>판타지 e북 &gt; 신무협</v>
      </c>
    </row>
    <row r="272" spans="1:57" x14ac:dyDescent="0.3">
      <c r="A272">
        <v>1525000158</v>
      </c>
      <c r="B272">
        <v>1525000164</v>
      </c>
      <c r="C272" t="str">
        <f>T("[e북]아나크레온 7권")</f>
        <v>[e북]아나크레온 7권</v>
      </c>
      <c r="D272" t="str">
        <f>T("7")</f>
        <v>7</v>
      </c>
      <c r="E272" t="str">
        <f>T("김정률")</f>
        <v>김정률</v>
      </c>
      <c r="H272" t="str">
        <f t="shared" si="34"/>
        <v>스토리위즈</v>
      </c>
      <c r="I272" t="str">
        <f>T("[e북]아나크레온")</f>
        <v>[e북]아나크레온</v>
      </c>
      <c r="J272">
        <v>3200</v>
      </c>
      <c r="K272">
        <v>3200</v>
      </c>
      <c r="L272">
        <v>1</v>
      </c>
      <c r="M272">
        <v>0</v>
      </c>
      <c r="N272">
        <v>6300</v>
      </c>
      <c r="O272">
        <v>7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9500</v>
      </c>
      <c r="AH272">
        <v>8</v>
      </c>
      <c r="AI272">
        <v>0</v>
      </c>
      <c r="AJ272">
        <v>0</v>
      </c>
      <c r="AK272">
        <v>6800</v>
      </c>
      <c r="AL272">
        <v>0</v>
      </c>
      <c r="AM272">
        <v>3240</v>
      </c>
      <c r="AN272">
        <v>-756</v>
      </c>
      <c r="AO272">
        <v>0</v>
      </c>
      <c r="AP272">
        <v>2160</v>
      </c>
      <c r="AQ272">
        <v>-648</v>
      </c>
      <c r="AR272">
        <v>0</v>
      </c>
      <c r="AS272">
        <v>1080</v>
      </c>
      <c r="AT272">
        <v>-108</v>
      </c>
      <c r="AU272">
        <v>0</v>
      </c>
      <c r="AW272">
        <v>0</v>
      </c>
      <c r="AX272">
        <v>0</v>
      </c>
      <c r="AY272">
        <v>6498.8</v>
      </c>
      <c r="BE272" t="str">
        <f>T("판타지 e북 &gt; 퓨전 판타지")</f>
        <v>판타지 e북 &gt; 퓨전 판타지</v>
      </c>
    </row>
    <row r="273" spans="1:57" x14ac:dyDescent="0.3">
      <c r="A273">
        <v>1525000125</v>
      </c>
      <c r="B273">
        <v>1525000132</v>
      </c>
      <c r="C273" t="str">
        <f>T("[e북]블레이드 헌터 8권")</f>
        <v>[e북]블레이드 헌터 8권</v>
      </c>
      <c r="D273" t="str">
        <f>T("8")</f>
        <v>8</v>
      </c>
      <c r="E273" t="str">
        <f>T("김정률")</f>
        <v>김정률</v>
      </c>
      <c r="H273" t="str">
        <f t="shared" si="34"/>
        <v>스토리위즈</v>
      </c>
      <c r="I273" t="str">
        <f>T("[e북]블레이드 헌터")</f>
        <v>[e북]블레이드 헌터</v>
      </c>
      <c r="J273">
        <v>3200</v>
      </c>
      <c r="K273">
        <v>3200</v>
      </c>
      <c r="L273">
        <v>1</v>
      </c>
      <c r="M273">
        <v>0</v>
      </c>
      <c r="N273">
        <v>7200</v>
      </c>
      <c r="O273">
        <v>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10400</v>
      </c>
      <c r="AH273">
        <v>9</v>
      </c>
      <c r="AI273">
        <v>0</v>
      </c>
      <c r="AJ273">
        <v>0</v>
      </c>
      <c r="AK273">
        <v>2700</v>
      </c>
      <c r="AL273">
        <v>0</v>
      </c>
      <c r="AM273">
        <v>9240</v>
      </c>
      <c r="AN273">
        <v>-1788</v>
      </c>
      <c r="AO273">
        <v>0</v>
      </c>
      <c r="AP273">
        <v>3240</v>
      </c>
      <c r="AQ273">
        <v>-972</v>
      </c>
      <c r="AR273">
        <v>0</v>
      </c>
      <c r="AS273">
        <v>6000</v>
      </c>
      <c r="AT273">
        <v>-816</v>
      </c>
      <c r="AU273">
        <v>0</v>
      </c>
      <c r="AW273">
        <v>0</v>
      </c>
      <c r="AX273">
        <v>0</v>
      </c>
      <c r="AY273">
        <v>7106.4</v>
      </c>
      <c r="BE273" t="str">
        <f>T("판타지 e북 &gt; 정통 판타지")</f>
        <v>판타지 e북 &gt; 정통 판타지</v>
      </c>
    </row>
    <row r="274" spans="1:57" x14ac:dyDescent="0.3">
      <c r="A274">
        <v>1525005640</v>
      </c>
      <c r="B274">
        <v>1525007201</v>
      </c>
      <c r="C274" t="str">
        <f>T("[e북]회귀의 전설 2부 22권")</f>
        <v>[e북]회귀의 전설 2부 22권</v>
      </c>
      <c r="D274" t="str">
        <f>T("22")</f>
        <v>22</v>
      </c>
      <c r="E274" t="str">
        <f>T("김광수")</f>
        <v>김광수</v>
      </c>
      <c r="H274" t="str">
        <f t="shared" si="34"/>
        <v>스토리위즈</v>
      </c>
      <c r="I274" t="str">
        <f>T("[e북]회귀의 전설")</f>
        <v>[e북]회귀의 전설</v>
      </c>
      <c r="J274">
        <v>3200</v>
      </c>
      <c r="K274">
        <v>3200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3200</v>
      </c>
      <c r="AH274">
        <v>1</v>
      </c>
      <c r="AI274">
        <v>0</v>
      </c>
      <c r="AJ274">
        <v>0</v>
      </c>
      <c r="AK274">
        <v>3200</v>
      </c>
      <c r="AL274">
        <v>0</v>
      </c>
      <c r="AM274">
        <v>0</v>
      </c>
      <c r="AN274">
        <v>0</v>
      </c>
      <c r="AO274">
        <v>0</v>
      </c>
      <c r="AQ274">
        <v>0</v>
      </c>
      <c r="AR274">
        <v>0</v>
      </c>
      <c r="AT274">
        <v>0</v>
      </c>
      <c r="AU274">
        <v>0</v>
      </c>
      <c r="AW274">
        <v>0</v>
      </c>
      <c r="AX274">
        <v>0</v>
      </c>
      <c r="AY274">
        <v>2240</v>
      </c>
      <c r="BC274" t="str">
        <f>T("9791166300462")</f>
        <v>9791166300462</v>
      </c>
      <c r="BE274" t="str">
        <f>T("판타지 e북 &gt; 현대 판타지")</f>
        <v>판타지 e북 &gt; 현대 판타지</v>
      </c>
    </row>
    <row r="275" spans="1:57" x14ac:dyDescent="0.3">
      <c r="A275">
        <v>1525000146</v>
      </c>
      <c r="B275">
        <v>1525000153</v>
      </c>
      <c r="C275" t="str">
        <f>T("[e북]트루베니아 연대기 8권")</f>
        <v>[e북]트루베니아 연대기 8권</v>
      </c>
      <c r="D275" t="str">
        <f>T("8")</f>
        <v>8</v>
      </c>
      <c r="E275" t="str">
        <f>T("김정률")</f>
        <v>김정률</v>
      </c>
      <c r="H275" t="str">
        <f t="shared" si="34"/>
        <v>스토리위즈</v>
      </c>
      <c r="I275" t="str">
        <f>T("[e북]트루베니아 연대기")</f>
        <v>[e북]트루베니아 연대기</v>
      </c>
      <c r="J275">
        <v>3200</v>
      </c>
      <c r="K275">
        <v>3200</v>
      </c>
      <c r="L275">
        <v>1</v>
      </c>
      <c r="M275">
        <v>0</v>
      </c>
      <c r="N275">
        <v>9000</v>
      </c>
      <c r="O275">
        <v>10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12200</v>
      </c>
      <c r="AH275">
        <v>11</v>
      </c>
      <c r="AI275">
        <v>0</v>
      </c>
      <c r="AJ275">
        <v>0</v>
      </c>
      <c r="AK275">
        <v>3600</v>
      </c>
      <c r="AL275">
        <v>0</v>
      </c>
      <c r="AM275">
        <v>10320</v>
      </c>
      <c r="AN275">
        <v>-2448</v>
      </c>
      <c r="AO275">
        <v>0</v>
      </c>
      <c r="AP275">
        <v>2160</v>
      </c>
      <c r="AQ275">
        <v>-648</v>
      </c>
      <c r="AR275">
        <v>0</v>
      </c>
      <c r="AS275">
        <v>8160</v>
      </c>
      <c r="AT275">
        <v>-1800</v>
      </c>
      <c r="AU275">
        <v>0</v>
      </c>
      <c r="AW275">
        <v>0</v>
      </c>
      <c r="AX275">
        <v>0</v>
      </c>
      <c r="AY275">
        <v>8030.4</v>
      </c>
      <c r="BE275" t="str">
        <f>T("판타지 e북 &gt; 정통 판타지")</f>
        <v>판타지 e북 &gt; 정통 판타지</v>
      </c>
    </row>
    <row r="276" spans="1:57" x14ac:dyDescent="0.3">
      <c r="A276">
        <v>1525002682</v>
      </c>
      <c r="B276">
        <v>1525002685</v>
      </c>
      <c r="C276" t="str">
        <f>T("[e북]스포트라이트 4권")</f>
        <v>[e북]스포트라이트 4권</v>
      </c>
      <c r="D276" t="str">
        <f>T("4")</f>
        <v>4</v>
      </c>
      <c r="E276" t="str">
        <f>T("전혁")</f>
        <v>전혁</v>
      </c>
      <c r="H276" t="str">
        <f t="shared" si="34"/>
        <v>스토리위즈</v>
      </c>
      <c r="I276" t="str">
        <f>T("[e북]스포트라이트")</f>
        <v>[e북]스포트라이트</v>
      </c>
      <c r="J276">
        <v>3200</v>
      </c>
      <c r="K276">
        <v>3200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3200</v>
      </c>
      <c r="AH276">
        <v>1</v>
      </c>
      <c r="AI276">
        <v>0</v>
      </c>
      <c r="AJ276">
        <v>0</v>
      </c>
      <c r="AK276">
        <v>3200</v>
      </c>
      <c r="AL276">
        <v>0</v>
      </c>
      <c r="AM276">
        <v>0</v>
      </c>
      <c r="AN276">
        <v>0</v>
      </c>
      <c r="AO276">
        <v>0</v>
      </c>
      <c r="AQ276">
        <v>0</v>
      </c>
      <c r="AR276">
        <v>0</v>
      </c>
      <c r="AT276">
        <v>0</v>
      </c>
      <c r="AU276">
        <v>0</v>
      </c>
      <c r="AW276">
        <v>0</v>
      </c>
      <c r="AX276">
        <v>0</v>
      </c>
      <c r="AY276">
        <v>2240</v>
      </c>
      <c r="BC276" t="str">
        <f>T("9791159287688")</f>
        <v>9791159287688</v>
      </c>
      <c r="BE276" t="str">
        <f>T("판타지 e북 &gt; 현대 판타지")</f>
        <v>판타지 e북 &gt; 현대 판타지</v>
      </c>
    </row>
    <row r="277" spans="1:57" x14ac:dyDescent="0.3">
      <c r="A277">
        <v>1525000135</v>
      </c>
      <c r="B277">
        <v>1525000142</v>
      </c>
      <c r="C277" t="str">
        <f>T("[e북]하프 블러드 8권")</f>
        <v>[e북]하프 블러드 8권</v>
      </c>
      <c r="D277" t="str">
        <f>T("8")</f>
        <v>8</v>
      </c>
      <c r="E277" t="str">
        <f>T("김정률")</f>
        <v>김정률</v>
      </c>
      <c r="H277" t="str">
        <f t="shared" si="34"/>
        <v>스토리위즈</v>
      </c>
      <c r="I277" t="str">
        <f>T("[e북]하프 블러드")</f>
        <v>[e북]하프 블러드</v>
      </c>
      <c r="J277">
        <v>3200</v>
      </c>
      <c r="K277">
        <v>3200</v>
      </c>
      <c r="L277">
        <v>1</v>
      </c>
      <c r="M277">
        <v>0</v>
      </c>
      <c r="N277">
        <v>3600</v>
      </c>
      <c r="O277">
        <v>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6800</v>
      </c>
      <c r="AH277">
        <v>5</v>
      </c>
      <c r="AI277">
        <v>0</v>
      </c>
      <c r="AJ277">
        <v>0</v>
      </c>
      <c r="AK277">
        <v>2466</v>
      </c>
      <c r="AL277">
        <v>0</v>
      </c>
      <c r="AM277">
        <v>5200.8</v>
      </c>
      <c r="AN277">
        <v>-520.08000000000004</v>
      </c>
      <c r="AO277">
        <v>0</v>
      </c>
      <c r="AQ277">
        <v>0</v>
      </c>
      <c r="AR277">
        <v>0</v>
      </c>
      <c r="AS277">
        <v>5200.8</v>
      </c>
      <c r="AT277">
        <v>-520.08000000000004</v>
      </c>
      <c r="AU277">
        <v>0</v>
      </c>
      <c r="AW277">
        <v>0</v>
      </c>
      <c r="AX277">
        <v>0</v>
      </c>
      <c r="AY277">
        <v>5002.7</v>
      </c>
      <c r="BE277" t="str">
        <f>T("판타지 e북 &gt; 정통 판타지")</f>
        <v>판타지 e북 &gt; 정통 판타지</v>
      </c>
    </row>
    <row r="278" spans="1:57" x14ac:dyDescent="0.3">
      <c r="A278">
        <v>1525000158</v>
      </c>
      <c r="B278">
        <v>1525000163</v>
      </c>
      <c r="C278" t="str">
        <f>T("[e북]아나크레온 6권")</f>
        <v>[e북]아나크레온 6권</v>
      </c>
      <c r="D278" t="str">
        <f>T("6")</f>
        <v>6</v>
      </c>
      <c r="E278" t="str">
        <f>T("김정률")</f>
        <v>김정률</v>
      </c>
      <c r="H278" t="str">
        <f t="shared" si="34"/>
        <v>스토리위즈</v>
      </c>
      <c r="I278" t="str">
        <f>T("[e북]아나크레온")</f>
        <v>[e북]아나크레온</v>
      </c>
      <c r="J278">
        <v>3200</v>
      </c>
      <c r="K278">
        <v>3200</v>
      </c>
      <c r="L278">
        <v>1</v>
      </c>
      <c r="M278">
        <v>0</v>
      </c>
      <c r="N278">
        <v>6300</v>
      </c>
      <c r="O278">
        <v>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9500</v>
      </c>
      <c r="AH278">
        <v>8</v>
      </c>
      <c r="AI278">
        <v>0</v>
      </c>
      <c r="AJ278">
        <v>0</v>
      </c>
      <c r="AK278">
        <v>6800</v>
      </c>
      <c r="AL278">
        <v>0</v>
      </c>
      <c r="AM278">
        <v>3240</v>
      </c>
      <c r="AN278">
        <v>-756</v>
      </c>
      <c r="AO278">
        <v>0</v>
      </c>
      <c r="AP278">
        <v>2160</v>
      </c>
      <c r="AQ278">
        <v>-648</v>
      </c>
      <c r="AR278">
        <v>0</v>
      </c>
      <c r="AS278">
        <v>1080</v>
      </c>
      <c r="AT278">
        <v>-108</v>
      </c>
      <c r="AU278">
        <v>0</v>
      </c>
      <c r="AW278">
        <v>0</v>
      </c>
      <c r="AX278">
        <v>0</v>
      </c>
      <c r="AY278">
        <v>6498.8</v>
      </c>
      <c r="BE278" t="str">
        <f>T("판타지 e북 &gt; 퓨전 판타지")</f>
        <v>판타지 e북 &gt; 퓨전 판타지</v>
      </c>
    </row>
    <row r="279" spans="1:57" x14ac:dyDescent="0.3">
      <c r="A279">
        <v>1525000125</v>
      </c>
      <c r="B279">
        <v>1525000131</v>
      </c>
      <c r="C279" t="str">
        <f>T("[e북]블레이드 헌터 7권")</f>
        <v>[e북]블레이드 헌터 7권</v>
      </c>
      <c r="D279" t="str">
        <f>T("7")</f>
        <v>7</v>
      </c>
      <c r="E279" t="str">
        <f>T("김정률")</f>
        <v>김정률</v>
      </c>
      <c r="H279" t="str">
        <f t="shared" si="34"/>
        <v>스토리위즈</v>
      </c>
      <c r="I279" t="str">
        <f>T("[e북]블레이드 헌터")</f>
        <v>[e북]블레이드 헌터</v>
      </c>
      <c r="J279">
        <v>3200</v>
      </c>
      <c r="K279">
        <v>3200</v>
      </c>
      <c r="L279">
        <v>1</v>
      </c>
      <c r="M279">
        <v>0</v>
      </c>
      <c r="N279">
        <v>7200</v>
      </c>
      <c r="O279">
        <v>8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10400</v>
      </c>
      <c r="AH279">
        <v>9</v>
      </c>
      <c r="AI279">
        <v>0</v>
      </c>
      <c r="AJ279">
        <v>0</v>
      </c>
      <c r="AK279">
        <v>3200</v>
      </c>
      <c r="AL279">
        <v>0</v>
      </c>
      <c r="AM279">
        <v>8640</v>
      </c>
      <c r="AN279">
        <v>-1608</v>
      </c>
      <c r="AO279">
        <v>0</v>
      </c>
      <c r="AP279">
        <v>3240</v>
      </c>
      <c r="AQ279">
        <v>-972</v>
      </c>
      <c r="AR279">
        <v>0</v>
      </c>
      <c r="AS279">
        <v>5400</v>
      </c>
      <c r="AT279">
        <v>-636</v>
      </c>
      <c r="AU279">
        <v>0</v>
      </c>
      <c r="AW279">
        <v>0</v>
      </c>
      <c r="AX279">
        <v>0</v>
      </c>
      <c r="AY279">
        <v>7162.4</v>
      </c>
      <c r="BE279" t="str">
        <f>T("판타지 e북 &gt; 정통 판타지")</f>
        <v>판타지 e북 &gt; 정통 판타지</v>
      </c>
    </row>
    <row r="280" spans="1:57" x14ac:dyDescent="0.3">
      <c r="A280">
        <v>1525001924</v>
      </c>
      <c r="B280">
        <v>1525001928</v>
      </c>
      <c r="C280" t="str">
        <f>T("[e북]신마협도 5권")</f>
        <v>[e북]신마협도 5권</v>
      </c>
      <c r="D280" t="str">
        <f>T("5")</f>
        <v>5</v>
      </c>
      <c r="E280" t="str">
        <f>T("권용찬")</f>
        <v>권용찬</v>
      </c>
      <c r="H280" t="str">
        <f t="shared" si="34"/>
        <v>스토리위즈</v>
      </c>
      <c r="I280" t="str">
        <f>T("[e북]신마협도")</f>
        <v>[e북]신마협도</v>
      </c>
      <c r="J280">
        <v>3200</v>
      </c>
      <c r="K280">
        <v>3200</v>
      </c>
      <c r="L280">
        <v>1</v>
      </c>
      <c r="M280">
        <v>0</v>
      </c>
      <c r="N280">
        <v>1800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5000</v>
      </c>
      <c r="AH280">
        <v>3</v>
      </c>
      <c r="AI280">
        <v>0</v>
      </c>
      <c r="AJ280">
        <v>0</v>
      </c>
      <c r="AK280">
        <v>4100</v>
      </c>
      <c r="AL280">
        <v>0</v>
      </c>
      <c r="AM280">
        <v>1080</v>
      </c>
      <c r="AN280">
        <v>-324</v>
      </c>
      <c r="AO280">
        <v>0</v>
      </c>
      <c r="AQ280">
        <v>0</v>
      </c>
      <c r="AR280">
        <v>0</v>
      </c>
      <c r="AS280">
        <v>1080</v>
      </c>
      <c r="AT280">
        <v>-324</v>
      </c>
      <c r="AU280">
        <v>0</v>
      </c>
      <c r="AW280">
        <v>0</v>
      </c>
      <c r="AX280">
        <v>0</v>
      </c>
      <c r="AY280">
        <v>3399.2</v>
      </c>
      <c r="BC280" t="str">
        <f>T("9791159283116")</f>
        <v>9791159283116</v>
      </c>
      <c r="BE280" t="str">
        <f>T("판타지 e북 &gt; 신무협")</f>
        <v>판타지 e북 &gt; 신무협</v>
      </c>
    </row>
    <row r="281" spans="1:57" x14ac:dyDescent="0.3">
      <c r="A281">
        <v>1525000146</v>
      </c>
      <c r="B281">
        <v>1525000152</v>
      </c>
      <c r="C281" t="str">
        <f>T("[e북]트루베니아 연대기 7권")</f>
        <v>[e북]트루베니아 연대기 7권</v>
      </c>
      <c r="D281" t="str">
        <f>T("7")</f>
        <v>7</v>
      </c>
      <c r="E281" t="str">
        <f>T("김정률")</f>
        <v>김정률</v>
      </c>
      <c r="H281" t="str">
        <f t="shared" si="34"/>
        <v>스토리위즈</v>
      </c>
      <c r="I281" t="str">
        <f>T("[e북]트루베니아 연대기")</f>
        <v>[e북]트루베니아 연대기</v>
      </c>
      <c r="J281">
        <v>3200</v>
      </c>
      <c r="K281">
        <v>3200</v>
      </c>
      <c r="L281">
        <v>1</v>
      </c>
      <c r="M281">
        <v>0</v>
      </c>
      <c r="N281">
        <v>9000</v>
      </c>
      <c r="O281">
        <v>10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12200</v>
      </c>
      <c r="AH281">
        <v>11</v>
      </c>
      <c r="AI281">
        <v>0</v>
      </c>
      <c r="AJ281">
        <v>0</v>
      </c>
      <c r="AK281">
        <v>4100</v>
      </c>
      <c r="AL281">
        <v>0</v>
      </c>
      <c r="AM281">
        <v>9720</v>
      </c>
      <c r="AN281">
        <v>-2388</v>
      </c>
      <c r="AO281">
        <v>0</v>
      </c>
      <c r="AP281">
        <v>2160</v>
      </c>
      <c r="AQ281">
        <v>-648</v>
      </c>
      <c r="AR281">
        <v>0</v>
      </c>
      <c r="AS281">
        <v>7560</v>
      </c>
      <c r="AT281">
        <v>-1740</v>
      </c>
      <c r="AU281">
        <v>0</v>
      </c>
      <c r="AW281">
        <v>0</v>
      </c>
      <c r="AX281">
        <v>0</v>
      </c>
      <c r="AY281">
        <v>8002.4</v>
      </c>
      <c r="BE281" t="str">
        <f>T("판타지 e북 &gt; 정통 판타지")</f>
        <v>판타지 e북 &gt; 정통 판타지</v>
      </c>
    </row>
    <row r="282" spans="1:57" x14ac:dyDescent="0.3">
      <c r="A282">
        <v>1525002682</v>
      </c>
      <c r="B282">
        <v>1525002684</v>
      </c>
      <c r="C282" t="str">
        <f>T("[e북]스포트라이트 3권")</f>
        <v>[e북]스포트라이트 3권</v>
      </c>
      <c r="D282" t="str">
        <f>T("3")</f>
        <v>3</v>
      </c>
      <c r="E282" t="str">
        <f>T("전혁")</f>
        <v>전혁</v>
      </c>
      <c r="H282" t="str">
        <f t="shared" si="34"/>
        <v>스토리위즈</v>
      </c>
      <c r="I282" t="str">
        <f>T("[e북]스포트라이트")</f>
        <v>[e북]스포트라이트</v>
      </c>
      <c r="J282">
        <v>3200</v>
      </c>
      <c r="K282">
        <v>3200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3200</v>
      </c>
      <c r="AH282">
        <v>1</v>
      </c>
      <c r="AI282">
        <v>0</v>
      </c>
      <c r="AJ282">
        <v>0</v>
      </c>
      <c r="AK282">
        <v>3200</v>
      </c>
      <c r="AL282">
        <v>0</v>
      </c>
      <c r="AM282">
        <v>0</v>
      </c>
      <c r="AN282">
        <v>0</v>
      </c>
      <c r="AO282">
        <v>0</v>
      </c>
      <c r="AQ282">
        <v>0</v>
      </c>
      <c r="AR282">
        <v>0</v>
      </c>
      <c r="AT282">
        <v>0</v>
      </c>
      <c r="AU282">
        <v>0</v>
      </c>
      <c r="AW282">
        <v>0</v>
      </c>
      <c r="AX282">
        <v>0</v>
      </c>
      <c r="AY282">
        <v>2240</v>
      </c>
      <c r="BC282" t="str">
        <f>T("9791159287671")</f>
        <v>9791159287671</v>
      </c>
      <c r="BE282" t="str">
        <f>T("판타지 e북 &gt; 현대 판타지")</f>
        <v>판타지 e북 &gt; 현대 판타지</v>
      </c>
    </row>
    <row r="283" spans="1:57" x14ac:dyDescent="0.3">
      <c r="A283">
        <v>1525006634</v>
      </c>
      <c r="B283">
        <v>1525006637</v>
      </c>
      <c r="C283" t="str">
        <f>T("[e북]개정판｜영웅 4권")</f>
        <v>[e북]개정판｜영웅 4권</v>
      </c>
      <c r="D283" t="str">
        <f>T("4")</f>
        <v>4</v>
      </c>
      <c r="E283" t="str">
        <f>T("김광수")</f>
        <v>김광수</v>
      </c>
      <c r="H283" t="str">
        <f t="shared" si="34"/>
        <v>스토리위즈</v>
      </c>
      <c r="I283" t="str">
        <f>T("[e북]개정판｜영웅")</f>
        <v>[e북]개정판｜영웅</v>
      </c>
      <c r="J283">
        <v>3200</v>
      </c>
      <c r="K283">
        <v>3200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3200</v>
      </c>
      <c r="AH283">
        <v>1</v>
      </c>
      <c r="AI283">
        <v>0</v>
      </c>
      <c r="AJ283">
        <v>0</v>
      </c>
      <c r="AK283">
        <v>3200</v>
      </c>
      <c r="AL283">
        <v>0</v>
      </c>
      <c r="AM283">
        <v>0</v>
      </c>
      <c r="AN283">
        <v>0</v>
      </c>
      <c r="AO283">
        <v>0</v>
      </c>
      <c r="AQ283">
        <v>0</v>
      </c>
      <c r="AR283">
        <v>0</v>
      </c>
      <c r="AT283">
        <v>0</v>
      </c>
      <c r="AU283">
        <v>0</v>
      </c>
      <c r="AW283">
        <v>0</v>
      </c>
      <c r="AX283">
        <v>0</v>
      </c>
      <c r="AY283">
        <v>2240</v>
      </c>
      <c r="BC283" t="str">
        <f>T("9791166300035")</f>
        <v>9791166300035</v>
      </c>
      <c r="BE283" t="str">
        <f>T("판타지 e북 &gt; 신무협")</f>
        <v>판타지 e북 &gt; 신무협</v>
      </c>
    </row>
    <row r="284" spans="1:57" x14ac:dyDescent="0.3">
      <c r="A284">
        <v>1525000135</v>
      </c>
      <c r="B284">
        <v>1525000141</v>
      </c>
      <c r="C284" t="str">
        <f>T("[e북]하프 블러드 7권")</f>
        <v>[e북]하프 블러드 7권</v>
      </c>
      <c r="D284" t="str">
        <f>T("7")</f>
        <v>7</v>
      </c>
      <c r="E284" t="str">
        <f>T("김정률")</f>
        <v>김정률</v>
      </c>
      <c r="H284" t="str">
        <f t="shared" si="34"/>
        <v>스토리위즈</v>
      </c>
      <c r="I284" t="str">
        <f>T("[e북]하프 블러드")</f>
        <v>[e북]하프 블러드</v>
      </c>
      <c r="J284">
        <v>3200</v>
      </c>
      <c r="K284">
        <v>3200</v>
      </c>
      <c r="L284">
        <v>1</v>
      </c>
      <c r="M284">
        <v>0</v>
      </c>
      <c r="N284">
        <v>3600</v>
      </c>
      <c r="O284">
        <v>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6800</v>
      </c>
      <c r="AH284">
        <v>5</v>
      </c>
      <c r="AI284">
        <v>0</v>
      </c>
      <c r="AJ284">
        <v>0</v>
      </c>
      <c r="AK284">
        <v>3316</v>
      </c>
      <c r="AL284">
        <v>0</v>
      </c>
      <c r="AM284">
        <v>4180.8</v>
      </c>
      <c r="AN284">
        <v>-418.08</v>
      </c>
      <c r="AO284">
        <v>0</v>
      </c>
      <c r="AQ284">
        <v>0</v>
      </c>
      <c r="AR284">
        <v>0</v>
      </c>
      <c r="AS284">
        <v>4180.8</v>
      </c>
      <c r="AT284">
        <v>-418.08</v>
      </c>
      <c r="AU284">
        <v>0</v>
      </c>
      <c r="AW284">
        <v>0</v>
      </c>
      <c r="AX284">
        <v>0</v>
      </c>
      <c r="AY284">
        <v>4955.1000000000004</v>
      </c>
      <c r="BE284" t="str">
        <f>T("판타지 e북 &gt; 정통 판타지")</f>
        <v>판타지 e북 &gt; 정통 판타지</v>
      </c>
    </row>
    <row r="285" spans="1:57" x14ac:dyDescent="0.3">
      <c r="A285">
        <v>1525000158</v>
      </c>
      <c r="B285">
        <v>1525000173</v>
      </c>
      <c r="C285" t="str">
        <f>T("[e북]아나크레온 16권 (완결)")</f>
        <v>[e북]아나크레온 16권 (완결)</v>
      </c>
      <c r="D285" t="str">
        <f>T("16")</f>
        <v>16</v>
      </c>
      <c r="E285" t="str">
        <f>T("김정률")</f>
        <v>김정률</v>
      </c>
      <c r="H285" t="str">
        <f t="shared" si="34"/>
        <v>스토리위즈</v>
      </c>
      <c r="I285" t="str">
        <f>T("[e북]아나크레온")</f>
        <v>[e북]아나크레온</v>
      </c>
      <c r="J285">
        <v>3200</v>
      </c>
      <c r="K285">
        <v>3200</v>
      </c>
      <c r="L285">
        <v>1</v>
      </c>
      <c r="M285">
        <v>0</v>
      </c>
      <c r="N285">
        <v>4500</v>
      </c>
      <c r="O285">
        <v>5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7700</v>
      </c>
      <c r="AH285">
        <v>6</v>
      </c>
      <c r="AI285">
        <v>0</v>
      </c>
      <c r="AJ285">
        <v>0</v>
      </c>
      <c r="AK285">
        <v>6400</v>
      </c>
      <c r="AL285">
        <v>0</v>
      </c>
      <c r="AM285">
        <v>1560</v>
      </c>
      <c r="AN285">
        <v>-468</v>
      </c>
      <c r="AO285">
        <v>0</v>
      </c>
      <c r="AP285">
        <v>1560</v>
      </c>
      <c r="AQ285">
        <v>-468</v>
      </c>
      <c r="AR285">
        <v>0</v>
      </c>
      <c r="AT285">
        <v>0</v>
      </c>
      <c r="AU285">
        <v>0</v>
      </c>
      <c r="AW285">
        <v>0</v>
      </c>
      <c r="AX285">
        <v>0</v>
      </c>
      <c r="AY285">
        <v>5244.4</v>
      </c>
      <c r="BE285" t="str">
        <f>T("판타지 e북 &gt; 퓨전 판타지")</f>
        <v>판타지 e북 &gt; 퓨전 판타지</v>
      </c>
    </row>
    <row r="286" spans="1:57" x14ac:dyDescent="0.3">
      <c r="A286">
        <v>1525000158</v>
      </c>
      <c r="B286">
        <v>1525000162</v>
      </c>
      <c r="C286" t="str">
        <f>T("[e북]아나크레온 5권")</f>
        <v>[e북]아나크레온 5권</v>
      </c>
      <c r="D286" t="str">
        <f>T("5")</f>
        <v>5</v>
      </c>
      <c r="E286" t="str">
        <f>T("김정률")</f>
        <v>김정률</v>
      </c>
      <c r="H286" t="str">
        <f t="shared" si="34"/>
        <v>스토리위즈</v>
      </c>
      <c r="I286" t="str">
        <f>T("[e북]아나크레온")</f>
        <v>[e북]아나크레온</v>
      </c>
      <c r="J286">
        <v>3200</v>
      </c>
      <c r="K286">
        <v>3200</v>
      </c>
      <c r="L286">
        <v>1</v>
      </c>
      <c r="M286">
        <v>0</v>
      </c>
      <c r="N286">
        <v>5400</v>
      </c>
      <c r="O286">
        <v>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8600</v>
      </c>
      <c r="AH286">
        <v>7</v>
      </c>
      <c r="AI286">
        <v>0</v>
      </c>
      <c r="AJ286">
        <v>0</v>
      </c>
      <c r="AK286">
        <v>6390</v>
      </c>
      <c r="AL286">
        <v>0</v>
      </c>
      <c r="AM286">
        <v>2652</v>
      </c>
      <c r="AN286">
        <v>-697.2</v>
      </c>
      <c r="AO286">
        <v>0</v>
      </c>
      <c r="AP286">
        <v>2160</v>
      </c>
      <c r="AQ286">
        <v>-648</v>
      </c>
      <c r="AR286">
        <v>0</v>
      </c>
      <c r="AS286">
        <v>492</v>
      </c>
      <c r="AT286">
        <v>-49.2</v>
      </c>
      <c r="AU286">
        <v>0</v>
      </c>
      <c r="AW286">
        <v>0</v>
      </c>
      <c r="AX286">
        <v>0</v>
      </c>
      <c r="AY286">
        <v>5841.36</v>
      </c>
      <c r="BE286" t="str">
        <f>T("판타지 e북 &gt; 퓨전 판타지")</f>
        <v>판타지 e북 &gt; 퓨전 판타지</v>
      </c>
    </row>
    <row r="287" spans="1:57" x14ac:dyDescent="0.3">
      <c r="A287">
        <v>1525000125</v>
      </c>
      <c r="B287">
        <v>1525000130</v>
      </c>
      <c r="C287" t="str">
        <f>T("[e북]블레이드 헌터 6권")</f>
        <v>[e북]블레이드 헌터 6권</v>
      </c>
      <c r="D287" t="str">
        <f>T("6")</f>
        <v>6</v>
      </c>
      <c r="E287" t="str">
        <f>T("김정률")</f>
        <v>김정률</v>
      </c>
      <c r="H287" t="str">
        <f t="shared" si="34"/>
        <v>스토리위즈</v>
      </c>
      <c r="I287" t="str">
        <f>T("[e북]블레이드 헌터")</f>
        <v>[e북]블레이드 헌터</v>
      </c>
      <c r="J287">
        <v>3200</v>
      </c>
      <c r="K287">
        <v>3200</v>
      </c>
      <c r="L287">
        <v>1</v>
      </c>
      <c r="M287">
        <v>0</v>
      </c>
      <c r="N287">
        <v>8100</v>
      </c>
      <c r="O287">
        <v>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11300</v>
      </c>
      <c r="AH287">
        <v>10</v>
      </c>
      <c r="AI287">
        <v>0</v>
      </c>
      <c r="AJ287">
        <v>0</v>
      </c>
      <c r="AK287">
        <v>3600</v>
      </c>
      <c r="AL287">
        <v>0</v>
      </c>
      <c r="AM287">
        <v>9240</v>
      </c>
      <c r="AN287">
        <v>-1788</v>
      </c>
      <c r="AO287">
        <v>0</v>
      </c>
      <c r="AP287">
        <v>3240</v>
      </c>
      <c r="AQ287">
        <v>-972</v>
      </c>
      <c r="AR287">
        <v>0</v>
      </c>
      <c r="AS287">
        <v>6000</v>
      </c>
      <c r="AT287">
        <v>-816</v>
      </c>
      <c r="AU287">
        <v>0</v>
      </c>
      <c r="AW287">
        <v>0</v>
      </c>
      <c r="AX287">
        <v>0</v>
      </c>
      <c r="AY287">
        <v>7736.4</v>
      </c>
      <c r="BE287" t="str">
        <f>T("판타지 e북 &gt; 정통 판타지")</f>
        <v>판타지 e북 &gt; 정통 판타지</v>
      </c>
    </row>
    <row r="288" spans="1:57" x14ac:dyDescent="0.3">
      <c r="A288">
        <v>1525001924</v>
      </c>
      <c r="B288">
        <v>1525001927</v>
      </c>
      <c r="C288" t="str">
        <f>T("[e북]신마협도 4권")</f>
        <v>[e북]신마협도 4권</v>
      </c>
      <c r="D288" t="str">
        <f>T("4")</f>
        <v>4</v>
      </c>
      <c r="E288" t="str">
        <f>T("권용찬")</f>
        <v>권용찬</v>
      </c>
      <c r="H288" t="str">
        <f t="shared" si="34"/>
        <v>스토리위즈</v>
      </c>
      <c r="I288" t="str">
        <f>T("[e북]신마협도")</f>
        <v>[e북]신마협도</v>
      </c>
      <c r="J288">
        <v>3200</v>
      </c>
      <c r="K288">
        <v>3200</v>
      </c>
      <c r="L288">
        <v>1</v>
      </c>
      <c r="M288">
        <v>0</v>
      </c>
      <c r="N288">
        <v>1800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5000</v>
      </c>
      <c r="AH288">
        <v>3</v>
      </c>
      <c r="AI288">
        <v>0</v>
      </c>
      <c r="AJ288">
        <v>0</v>
      </c>
      <c r="AK288">
        <v>4100</v>
      </c>
      <c r="AL288">
        <v>0</v>
      </c>
      <c r="AM288">
        <v>1080</v>
      </c>
      <c r="AN288">
        <v>-324</v>
      </c>
      <c r="AO288">
        <v>0</v>
      </c>
      <c r="AQ288">
        <v>0</v>
      </c>
      <c r="AR288">
        <v>0</v>
      </c>
      <c r="AS288">
        <v>1080</v>
      </c>
      <c r="AT288">
        <v>-324</v>
      </c>
      <c r="AU288">
        <v>0</v>
      </c>
      <c r="AW288">
        <v>0</v>
      </c>
      <c r="AX288">
        <v>0</v>
      </c>
      <c r="AY288">
        <v>3399.2</v>
      </c>
      <c r="BC288" t="str">
        <f>T("9791159283109")</f>
        <v>9791159283109</v>
      </c>
      <c r="BE288" t="str">
        <f>T("판타지 e북 &gt; 신무협")</f>
        <v>판타지 e북 &gt; 신무협</v>
      </c>
    </row>
    <row r="289" spans="1:58" x14ac:dyDescent="0.3">
      <c r="A289">
        <v>1525008168</v>
      </c>
      <c r="B289">
        <v>1525008168</v>
      </c>
      <c r="C289" t="str">
        <f>T("[e북]이 맛에 산다 1권")</f>
        <v>[e북]이 맛에 산다 1권</v>
      </c>
      <c r="D289" t="str">
        <f>T("1")</f>
        <v>1</v>
      </c>
      <c r="E289" t="str">
        <f>T("이예즈")</f>
        <v>이예즈</v>
      </c>
      <c r="H289" t="str">
        <f>T("블러쉬")</f>
        <v>블러쉬</v>
      </c>
      <c r="I289" t="str">
        <f>T("[e북]이 맛에 산다")</f>
        <v>[e북]이 맛에 산다</v>
      </c>
      <c r="J289">
        <v>3200</v>
      </c>
      <c r="K289">
        <v>3200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3200</v>
      </c>
      <c r="AH289">
        <v>1</v>
      </c>
      <c r="AI289">
        <v>0</v>
      </c>
      <c r="AJ289">
        <v>0</v>
      </c>
      <c r="AK289">
        <v>3200</v>
      </c>
      <c r="AL289">
        <v>0</v>
      </c>
      <c r="AM289">
        <v>0</v>
      </c>
      <c r="AN289">
        <v>0</v>
      </c>
      <c r="AO289">
        <v>0</v>
      </c>
      <c r="AQ289">
        <v>0</v>
      </c>
      <c r="AR289">
        <v>0</v>
      </c>
      <c r="AT289">
        <v>0</v>
      </c>
      <c r="AU289">
        <v>0</v>
      </c>
      <c r="AW289">
        <v>0</v>
      </c>
      <c r="AX289">
        <v>0</v>
      </c>
      <c r="AY289">
        <v>2240</v>
      </c>
      <c r="BA289" t="str">
        <f>T("0000000000000")</f>
        <v>0000000000000</v>
      </c>
      <c r="BC289" t="str">
        <f>T("9791164891788")</f>
        <v>9791164891788</v>
      </c>
      <c r="BE289" t="str">
        <f>T("BL 소설 e북 &gt; 현대물")</f>
        <v>BL 소설 e북 &gt; 현대물</v>
      </c>
    </row>
    <row r="290" spans="1:58" x14ac:dyDescent="0.3">
      <c r="A290">
        <v>1525000146</v>
      </c>
      <c r="B290">
        <v>1525000151</v>
      </c>
      <c r="C290" t="str">
        <f>T("[e북]트루베니아 연대기 6권")</f>
        <v>[e북]트루베니아 연대기 6권</v>
      </c>
      <c r="D290" t="str">
        <f>T("6")</f>
        <v>6</v>
      </c>
      <c r="E290" t="str">
        <f>T("김정률")</f>
        <v>김정률</v>
      </c>
      <c r="H290" t="str">
        <f>T("스토리위즈")</f>
        <v>스토리위즈</v>
      </c>
      <c r="I290" t="str">
        <f>T("[e북]트루베니아 연대기")</f>
        <v>[e북]트루베니아 연대기</v>
      </c>
      <c r="J290">
        <v>3200</v>
      </c>
      <c r="K290">
        <v>3200</v>
      </c>
      <c r="L290">
        <v>1</v>
      </c>
      <c r="M290">
        <v>0</v>
      </c>
      <c r="N290">
        <v>9900</v>
      </c>
      <c r="O290">
        <v>11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13100</v>
      </c>
      <c r="AH290">
        <v>12</v>
      </c>
      <c r="AI290">
        <v>0</v>
      </c>
      <c r="AJ290">
        <v>0</v>
      </c>
      <c r="AK290">
        <v>3600</v>
      </c>
      <c r="AL290">
        <v>0</v>
      </c>
      <c r="AM290">
        <v>11400</v>
      </c>
      <c r="AN290">
        <v>-2556</v>
      </c>
      <c r="AO290">
        <v>0</v>
      </c>
      <c r="AP290">
        <v>2160</v>
      </c>
      <c r="AQ290">
        <v>-648</v>
      </c>
      <c r="AR290">
        <v>0</v>
      </c>
      <c r="AS290">
        <v>9240</v>
      </c>
      <c r="AT290">
        <v>-1908</v>
      </c>
      <c r="AU290">
        <v>0</v>
      </c>
      <c r="AW290">
        <v>0</v>
      </c>
      <c r="AX290">
        <v>0</v>
      </c>
      <c r="AY290">
        <v>8710.7999999999993</v>
      </c>
      <c r="BE290" t="str">
        <f>T("판타지 e북 &gt; 정통 판타지")</f>
        <v>판타지 e북 &gt; 정통 판타지</v>
      </c>
    </row>
    <row r="291" spans="1:58" x14ac:dyDescent="0.3">
      <c r="A291">
        <v>1525002682</v>
      </c>
      <c r="B291">
        <v>1525002683</v>
      </c>
      <c r="C291" t="str">
        <f>T("[e북]스포트라이트 2권")</f>
        <v>[e북]스포트라이트 2권</v>
      </c>
      <c r="D291" t="str">
        <f>T("2")</f>
        <v>2</v>
      </c>
      <c r="E291" t="str">
        <f>T("전혁")</f>
        <v>전혁</v>
      </c>
      <c r="H291" t="str">
        <f>T("스토리위즈")</f>
        <v>스토리위즈</v>
      </c>
      <c r="I291" t="str">
        <f>T("[e북]스포트라이트")</f>
        <v>[e북]스포트라이트</v>
      </c>
      <c r="J291">
        <v>3200</v>
      </c>
      <c r="K291">
        <v>3200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3200</v>
      </c>
      <c r="AH291">
        <v>1</v>
      </c>
      <c r="AI291">
        <v>0</v>
      </c>
      <c r="AJ291">
        <v>0</v>
      </c>
      <c r="AK291">
        <v>3200</v>
      </c>
      <c r="AL291">
        <v>0</v>
      </c>
      <c r="AM291">
        <v>0</v>
      </c>
      <c r="AN291">
        <v>0</v>
      </c>
      <c r="AO291">
        <v>0</v>
      </c>
      <c r="AQ291">
        <v>0</v>
      </c>
      <c r="AR291">
        <v>0</v>
      </c>
      <c r="AT291">
        <v>0</v>
      </c>
      <c r="AU291">
        <v>0</v>
      </c>
      <c r="AW291">
        <v>0</v>
      </c>
      <c r="AX291">
        <v>0</v>
      </c>
      <c r="AY291">
        <v>2240</v>
      </c>
      <c r="BC291" t="str">
        <f>T("9791159287664")</f>
        <v>9791159287664</v>
      </c>
      <c r="BE291" t="str">
        <f>T("판타지 e북 &gt; 현대 판타지")</f>
        <v>판타지 e북 &gt; 현대 판타지</v>
      </c>
    </row>
    <row r="292" spans="1:58" x14ac:dyDescent="0.3">
      <c r="A292">
        <v>1525007857</v>
      </c>
      <c r="B292">
        <v>1525007858</v>
      </c>
      <c r="C292" t="str">
        <f>T("[e북]황궁애사 2권 (완결)")</f>
        <v>[e북]황궁애사 2권 (완결)</v>
      </c>
      <c r="D292" t="str">
        <f>T("2")</f>
        <v>2</v>
      </c>
      <c r="E292" t="str">
        <f>T("연유")</f>
        <v>연유</v>
      </c>
      <c r="H292" t="str">
        <f>T("쉬라즈")</f>
        <v>쉬라즈</v>
      </c>
      <c r="I292" t="str">
        <f>T("[e북]황궁애사")</f>
        <v>[e북]황궁애사</v>
      </c>
      <c r="J292">
        <v>3500</v>
      </c>
      <c r="K292">
        <v>3150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3150</v>
      </c>
      <c r="AH292">
        <v>1</v>
      </c>
      <c r="AI292">
        <v>0</v>
      </c>
      <c r="AJ292">
        <v>0</v>
      </c>
      <c r="AK292">
        <v>3150</v>
      </c>
      <c r="AL292">
        <v>0</v>
      </c>
      <c r="AM292">
        <v>0</v>
      </c>
      <c r="AN292">
        <v>0</v>
      </c>
      <c r="AO292">
        <v>0</v>
      </c>
      <c r="AQ292">
        <v>0</v>
      </c>
      <c r="AR292">
        <v>0</v>
      </c>
      <c r="AT292">
        <v>0</v>
      </c>
      <c r="AU292">
        <v>0</v>
      </c>
      <c r="AW292">
        <v>0</v>
      </c>
      <c r="AX292">
        <v>0</v>
      </c>
      <c r="AY292">
        <v>2205</v>
      </c>
      <c r="BA292" t="str">
        <f>T("0000000000000")</f>
        <v>0000000000000</v>
      </c>
      <c r="BC292" t="str">
        <f>T("9791164897636")</f>
        <v>9791164897636</v>
      </c>
      <c r="BE292" t="str">
        <f>T("로맨스 e북 &gt; 역사/시대물")</f>
        <v>로맨스 e북 &gt; 역사/시대물</v>
      </c>
      <c r="BF292" t="str">
        <f>T("로맨스 e북 &gt; 19+")</f>
        <v>로맨스 e북 &gt; 19+</v>
      </c>
    </row>
    <row r="293" spans="1:58" x14ac:dyDescent="0.3">
      <c r="A293">
        <v>1525008147</v>
      </c>
      <c r="B293">
        <v>1525008150</v>
      </c>
      <c r="C293" t="str">
        <f>T("[e북]우리의 늪에서부터 4권 (완결)")</f>
        <v>[e북]우리의 늪에서부터 4권 (완결)</v>
      </c>
      <c r="D293" t="str">
        <f>T("4")</f>
        <v>4</v>
      </c>
      <c r="E293" t="str">
        <f>T("라에르")</f>
        <v>라에르</v>
      </c>
      <c r="H293" t="str">
        <f>T("블러쉬")</f>
        <v>블러쉬</v>
      </c>
      <c r="I293" t="str">
        <f>T("[e북]우리의 늪에서부터")</f>
        <v>[e북]우리의 늪에서부터</v>
      </c>
      <c r="J293">
        <v>3000</v>
      </c>
      <c r="K293">
        <v>3000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3000</v>
      </c>
      <c r="AH293">
        <v>1</v>
      </c>
      <c r="AI293">
        <v>0</v>
      </c>
      <c r="AJ293">
        <v>0</v>
      </c>
      <c r="AK293">
        <v>3000</v>
      </c>
      <c r="AL293">
        <v>0</v>
      </c>
      <c r="AM293">
        <v>0</v>
      </c>
      <c r="AN293">
        <v>0</v>
      </c>
      <c r="AO293">
        <v>0</v>
      </c>
      <c r="AQ293">
        <v>0</v>
      </c>
      <c r="AR293">
        <v>0</v>
      </c>
      <c r="AT293">
        <v>0</v>
      </c>
      <c r="AU293">
        <v>0</v>
      </c>
      <c r="AW293">
        <v>0</v>
      </c>
      <c r="AX293">
        <v>0</v>
      </c>
      <c r="AY293">
        <v>2100</v>
      </c>
      <c r="BA293" t="str">
        <f>T("0000000000000")</f>
        <v>0000000000000</v>
      </c>
      <c r="BC293" t="str">
        <f>T("9791166481420")</f>
        <v>9791166481420</v>
      </c>
      <c r="BE293" t="str">
        <f>T("BL 소설 e북 &gt; 현대물")</f>
        <v>BL 소설 e북 &gt; 현대물</v>
      </c>
    </row>
    <row r="294" spans="1:58" x14ac:dyDescent="0.3">
      <c r="A294">
        <v>1525008125</v>
      </c>
      <c r="B294">
        <v>1525008126</v>
      </c>
      <c r="C294" t="str">
        <f>T("[e북]얼음이 녹아내리는 동안 2권 (완결)")</f>
        <v>[e북]얼음이 녹아내리는 동안 2권 (완결)</v>
      </c>
      <c r="D294" t="str">
        <f>T("2")</f>
        <v>2</v>
      </c>
      <c r="E294" t="str">
        <f>T("용가리맛쿠키")</f>
        <v>용가리맛쿠키</v>
      </c>
      <c r="H294" t="str">
        <f>T("블러쉬")</f>
        <v>블러쉬</v>
      </c>
      <c r="I294" t="str">
        <f>T("[e북]얼음이 녹아내리는 동안")</f>
        <v>[e북]얼음이 녹아내리는 동안</v>
      </c>
      <c r="J294">
        <v>3000</v>
      </c>
      <c r="K294">
        <v>3000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3000</v>
      </c>
      <c r="AH294">
        <v>1</v>
      </c>
      <c r="AI294">
        <v>0</v>
      </c>
      <c r="AJ294">
        <v>0</v>
      </c>
      <c r="AK294">
        <v>3000</v>
      </c>
      <c r="AL294">
        <v>0</v>
      </c>
      <c r="AM294">
        <v>0</v>
      </c>
      <c r="AN294">
        <v>0</v>
      </c>
      <c r="AO294">
        <v>0</v>
      </c>
      <c r="AQ294">
        <v>0</v>
      </c>
      <c r="AR294">
        <v>0</v>
      </c>
      <c r="AT294">
        <v>0</v>
      </c>
      <c r="AU294">
        <v>0</v>
      </c>
      <c r="AW294">
        <v>0</v>
      </c>
      <c r="AX294">
        <v>0</v>
      </c>
      <c r="AY294">
        <v>2100</v>
      </c>
      <c r="BA294" t="str">
        <f>T("0000000000000")</f>
        <v>0000000000000</v>
      </c>
      <c r="BC294" t="str">
        <f>T("9791164891849")</f>
        <v>9791164891849</v>
      </c>
      <c r="BE294" t="str">
        <f>T("BL 소설 e북 &gt; 현대물")</f>
        <v>BL 소설 e북 &gt; 현대물</v>
      </c>
    </row>
    <row r="295" spans="1:58" x14ac:dyDescent="0.3">
      <c r="A295">
        <v>1525008125</v>
      </c>
      <c r="B295">
        <v>1525008125</v>
      </c>
      <c r="C295" t="str">
        <f>T("[e북]얼음이 녹아내리는 동안 1권")</f>
        <v>[e북]얼음이 녹아내리는 동안 1권</v>
      </c>
      <c r="D295" t="str">
        <f>T("1")</f>
        <v>1</v>
      </c>
      <c r="E295" t="str">
        <f>T("용가리맛쿠키")</f>
        <v>용가리맛쿠키</v>
      </c>
      <c r="H295" t="str">
        <f>T("블러쉬")</f>
        <v>블러쉬</v>
      </c>
      <c r="I295" t="str">
        <f>T("[e북]얼음이 녹아내리는 동안")</f>
        <v>[e북]얼음이 녹아내리는 동안</v>
      </c>
      <c r="J295">
        <v>3000</v>
      </c>
      <c r="K295">
        <v>3000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3000</v>
      </c>
      <c r="AH295">
        <v>1</v>
      </c>
      <c r="AI295">
        <v>0</v>
      </c>
      <c r="AJ295">
        <v>0</v>
      </c>
      <c r="AK295">
        <v>3000</v>
      </c>
      <c r="AL295">
        <v>0</v>
      </c>
      <c r="AM295">
        <v>0</v>
      </c>
      <c r="AN295">
        <v>0</v>
      </c>
      <c r="AO295">
        <v>0</v>
      </c>
      <c r="AQ295">
        <v>0</v>
      </c>
      <c r="AR295">
        <v>0</v>
      </c>
      <c r="AT295">
        <v>0</v>
      </c>
      <c r="AU295">
        <v>0</v>
      </c>
      <c r="AW295">
        <v>0</v>
      </c>
      <c r="AX295">
        <v>0</v>
      </c>
      <c r="AY295">
        <v>2100</v>
      </c>
      <c r="BA295" t="str">
        <f>T("0000000000000")</f>
        <v>0000000000000</v>
      </c>
      <c r="BC295" t="str">
        <f>T("9791164891832")</f>
        <v>9791164891832</v>
      </c>
      <c r="BE295" t="str">
        <f>T("BL 소설 e북 &gt; 현대물")</f>
        <v>BL 소설 e북 &gt; 현대물</v>
      </c>
    </row>
    <row r="296" spans="1:58" x14ac:dyDescent="0.3">
      <c r="B296">
        <v>1525007778</v>
      </c>
      <c r="C296" t="str">
        <f>T("[e북]롤링 포레스트 (Roaring forest)")</f>
        <v>[e북]롤링 포레스트 (Roaring forest)</v>
      </c>
      <c r="E296" t="str">
        <f>T("이일화")</f>
        <v>이일화</v>
      </c>
      <c r="H296" t="str">
        <f>T("쉬라즈")</f>
        <v>쉬라즈</v>
      </c>
      <c r="J296">
        <v>3000</v>
      </c>
      <c r="K296">
        <v>3000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3000</v>
      </c>
      <c r="AH296">
        <v>1</v>
      </c>
      <c r="AI296">
        <v>0</v>
      </c>
      <c r="AJ296">
        <v>0</v>
      </c>
      <c r="AK296">
        <v>3000</v>
      </c>
      <c r="AL296">
        <v>0</v>
      </c>
      <c r="AM296">
        <v>0</v>
      </c>
      <c r="AN296">
        <v>0</v>
      </c>
      <c r="AO296">
        <v>0</v>
      </c>
      <c r="AQ296">
        <v>0</v>
      </c>
      <c r="AR296">
        <v>0</v>
      </c>
      <c r="AT296">
        <v>0</v>
      </c>
      <c r="AU296">
        <v>0</v>
      </c>
      <c r="AW296">
        <v>0</v>
      </c>
      <c r="AX296">
        <v>0</v>
      </c>
      <c r="AY296">
        <v>2100</v>
      </c>
      <c r="BA296" t="str">
        <f>T("9791187298335")</f>
        <v>9791187298335</v>
      </c>
      <c r="BC296" t="str">
        <f>T("9791164891337")</f>
        <v>9791164891337</v>
      </c>
      <c r="BD296" t="str">
        <f>T("R13")</f>
        <v>R13</v>
      </c>
      <c r="BE296" t="str">
        <f>T("로판 e북 &gt; 서양풍 로판")</f>
        <v>로판 e북 &gt; 서양풍 로판</v>
      </c>
    </row>
    <row r="297" spans="1:58" x14ac:dyDescent="0.3">
      <c r="A297">
        <v>1525013996</v>
      </c>
      <c r="B297">
        <v>1525013996</v>
      </c>
      <c r="C297" t="str">
        <f>T("[e북]집착의 맛 1권")</f>
        <v>[e북]집착의 맛 1권</v>
      </c>
      <c r="D297" t="str">
        <f>T("1")</f>
        <v>1</v>
      </c>
      <c r="E297" t="str">
        <f>T("sJessi")</f>
        <v>sJessi</v>
      </c>
      <c r="H297" t="str">
        <f>T("쉬라즈")</f>
        <v>쉬라즈</v>
      </c>
      <c r="I297" t="str">
        <f>T("[e북]집착의 맛")</f>
        <v>[e북]집착의 맛</v>
      </c>
      <c r="J297">
        <v>3000</v>
      </c>
      <c r="K297">
        <v>3000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3000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3600</v>
      </c>
      <c r="AN297">
        <v>-1080</v>
      </c>
      <c r="AO297">
        <v>0</v>
      </c>
      <c r="AQ297">
        <v>0</v>
      </c>
      <c r="AR297">
        <v>0</v>
      </c>
      <c r="AS297">
        <v>3600</v>
      </c>
      <c r="AT297">
        <v>-1080</v>
      </c>
      <c r="AU297">
        <v>0</v>
      </c>
      <c r="AW297">
        <v>0</v>
      </c>
      <c r="AX297">
        <v>0</v>
      </c>
      <c r="AY297">
        <v>1764</v>
      </c>
      <c r="BA297" t="str">
        <f>T("0000000000000")</f>
        <v>0000000000000</v>
      </c>
      <c r="BC297" t="str">
        <f>T("9791166483233")</f>
        <v>9791166483233</v>
      </c>
      <c r="BE297" t="str">
        <f>T("로맨스 e북 &gt; 현대물")</f>
        <v>로맨스 e북 &gt; 현대물</v>
      </c>
    </row>
    <row r="298" spans="1:58" x14ac:dyDescent="0.3">
      <c r="A298">
        <v>1525008034</v>
      </c>
      <c r="B298">
        <v>1525008035</v>
      </c>
      <c r="C298" t="str">
        <f>T("[e북]너에게 나를 보낸다 2권 (완결)")</f>
        <v>[e북]너에게 나를 보낸다 2권 (완결)</v>
      </c>
      <c r="D298" t="str">
        <f>T("2")</f>
        <v>2</v>
      </c>
      <c r="E298" t="str">
        <f>T("검은밤")</f>
        <v>검은밤</v>
      </c>
      <c r="H298" t="str">
        <f>T("블러쉬")</f>
        <v>블러쉬</v>
      </c>
      <c r="I298" t="str">
        <f>T("[e북]너에게 나를 보낸다")</f>
        <v>[e북]너에게 나를 보낸다</v>
      </c>
      <c r="J298">
        <v>3000</v>
      </c>
      <c r="K298">
        <v>3000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3000</v>
      </c>
      <c r="AH298">
        <v>1</v>
      </c>
      <c r="AI298">
        <v>0</v>
      </c>
      <c r="AJ298">
        <v>0</v>
      </c>
      <c r="AK298">
        <v>3000</v>
      </c>
      <c r="AL298">
        <v>0</v>
      </c>
      <c r="AM298">
        <v>0</v>
      </c>
      <c r="AN298">
        <v>0</v>
      </c>
      <c r="AO298">
        <v>0</v>
      </c>
      <c r="AQ298">
        <v>0</v>
      </c>
      <c r="AR298">
        <v>0</v>
      </c>
      <c r="AT298">
        <v>0</v>
      </c>
      <c r="AU298">
        <v>0</v>
      </c>
      <c r="AW298">
        <v>0</v>
      </c>
      <c r="AX298">
        <v>0</v>
      </c>
      <c r="AY298">
        <v>2100</v>
      </c>
      <c r="BA298" t="str">
        <f>T("0000000000000")</f>
        <v>0000000000000</v>
      </c>
      <c r="BC298" t="str">
        <f>T("9791164894963")</f>
        <v>9791164894963</v>
      </c>
      <c r="BE298" t="str">
        <f>T("BL 소설 e북 &gt; 현대물")</f>
        <v>BL 소설 e북 &gt; 현대물</v>
      </c>
    </row>
    <row r="299" spans="1:58" x14ac:dyDescent="0.3">
      <c r="B299">
        <v>1525007777</v>
      </c>
      <c r="C299" t="str">
        <f>T("[e북]라스트 스노우폴(Last Snowfall)")</f>
        <v>[e북]라스트 스노우폴(Last Snowfall)</v>
      </c>
      <c r="E299" t="str">
        <f>T("설연")</f>
        <v>설연</v>
      </c>
      <c r="H299" t="str">
        <f>T("쉬라즈")</f>
        <v>쉬라즈</v>
      </c>
      <c r="J299">
        <v>3000</v>
      </c>
      <c r="K299">
        <v>3000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3000</v>
      </c>
      <c r="AH299">
        <v>1</v>
      </c>
      <c r="AI299">
        <v>0</v>
      </c>
      <c r="AJ299">
        <v>0</v>
      </c>
      <c r="AK299">
        <v>3000</v>
      </c>
      <c r="AL299">
        <v>0</v>
      </c>
      <c r="AM299">
        <v>0</v>
      </c>
      <c r="AN299">
        <v>0</v>
      </c>
      <c r="AO299">
        <v>0</v>
      </c>
      <c r="AQ299">
        <v>0</v>
      </c>
      <c r="AR299">
        <v>0</v>
      </c>
      <c r="AT299">
        <v>0</v>
      </c>
      <c r="AU299">
        <v>0</v>
      </c>
      <c r="AW299">
        <v>0</v>
      </c>
      <c r="AX299">
        <v>0</v>
      </c>
      <c r="AY299">
        <v>2100</v>
      </c>
      <c r="BA299" t="str">
        <f>T("0000000000000")</f>
        <v>0000000000000</v>
      </c>
      <c r="BC299" t="str">
        <f>T("9791166481291")</f>
        <v>9791166481291</v>
      </c>
      <c r="BE299" t="str">
        <f>T("로맨스 e북 &gt; 현대물")</f>
        <v>로맨스 e북 &gt; 현대물</v>
      </c>
      <c r="BF299" t="str">
        <f>T("로맨스 e북 &gt; 19+")</f>
        <v>로맨스 e북 &gt; 19+</v>
      </c>
    </row>
    <row r="300" spans="1:58" x14ac:dyDescent="0.3">
      <c r="A300">
        <v>1525008034</v>
      </c>
      <c r="B300">
        <v>1525008034</v>
      </c>
      <c r="C300" t="str">
        <f>T("[e북]너에게 나를 보낸다 1권")</f>
        <v>[e북]너에게 나를 보낸다 1권</v>
      </c>
      <c r="D300" t="str">
        <f>T("1")</f>
        <v>1</v>
      </c>
      <c r="E300" t="str">
        <f>T("검은밤")</f>
        <v>검은밤</v>
      </c>
      <c r="H300" t="str">
        <f>T("블러쉬")</f>
        <v>블러쉬</v>
      </c>
      <c r="I300" t="str">
        <f>T("[e북]너에게 나를 보낸다")</f>
        <v>[e북]너에게 나를 보낸다</v>
      </c>
      <c r="J300">
        <v>3000</v>
      </c>
      <c r="K300">
        <v>3000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3000</v>
      </c>
      <c r="AH300">
        <v>1</v>
      </c>
      <c r="AI300">
        <v>0</v>
      </c>
      <c r="AJ300">
        <v>0</v>
      </c>
      <c r="AK300">
        <v>3000</v>
      </c>
      <c r="AL300">
        <v>0</v>
      </c>
      <c r="AM300">
        <v>0</v>
      </c>
      <c r="AN300">
        <v>0</v>
      </c>
      <c r="AO300">
        <v>0</v>
      </c>
      <c r="AQ300">
        <v>0</v>
      </c>
      <c r="AR300">
        <v>0</v>
      </c>
      <c r="AT300">
        <v>0</v>
      </c>
      <c r="AU300">
        <v>0</v>
      </c>
      <c r="AW300">
        <v>0</v>
      </c>
      <c r="AX300">
        <v>0</v>
      </c>
      <c r="AY300">
        <v>2100</v>
      </c>
      <c r="BA300" t="str">
        <f>T("0000000000000")</f>
        <v>0000000000000</v>
      </c>
      <c r="BC300" t="str">
        <f>T("9791164894932")</f>
        <v>9791164894932</v>
      </c>
      <c r="BE300" t="str">
        <f>T("BL 소설 e북 &gt; 현대물")</f>
        <v>BL 소설 e북 &gt; 현대물</v>
      </c>
    </row>
    <row r="301" spans="1:58" x14ac:dyDescent="0.3">
      <c r="A301">
        <v>1525008122</v>
      </c>
      <c r="B301">
        <v>1525008121</v>
      </c>
      <c r="C301" t="str">
        <f>T("[e북]신사동 그 사람 (외전)")</f>
        <v>[e북]신사동 그 사람 (외전)</v>
      </c>
      <c r="D301" t="str">
        <f>T("3")</f>
        <v>3</v>
      </c>
      <c r="E301" t="str">
        <f>T("SISSI")</f>
        <v>SISSI</v>
      </c>
      <c r="H301" t="str">
        <f>T("블러쉬")</f>
        <v>블러쉬</v>
      </c>
      <c r="I301" t="str">
        <f>T("[e북]신사동 그 사람")</f>
        <v>[e북]신사동 그 사람</v>
      </c>
      <c r="J301">
        <v>1000</v>
      </c>
      <c r="K301">
        <v>3000</v>
      </c>
      <c r="L301">
        <v>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3000</v>
      </c>
      <c r="AH301">
        <v>3</v>
      </c>
      <c r="AI301">
        <v>0</v>
      </c>
      <c r="AJ301">
        <v>0</v>
      </c>
      <c r="AK301">
        <v>3000</v>
      </c>
      <c r="AL301">
        <v>0</v>
      </c>
      <c r="AM301">
        <v>0</v>
      </c>
      <c r="AN301">
        <v>0</v>
      </c>
      <c r="AO301">
        <v>0</v>
      </c>
      <c r="AQ301">
        <v>0</v>
      </c>
      <c r="AR301">
        <v>0</v>
      </c>
      <c r="AT301">
        <v>0</v>
      </c>
      <c r="AU301">
        <v>0</v>
      </c>
      <c r="AW301">
        <v>0</v>
      </c>
      <c r="AX301">
        <v>0</v>
      </c>
      <c r="AY301">
        <v>2100</v>
      </c>
      <c r="BA301" t="str">
        <f>T("0000000000000")</f>
        <v>0000000000000</v>
      </c>
      <c r="BC301" t="str">
        <f>T("9791166481055")</f>
        <v>9791166481055</v>
      </c>
      <c r="BE301" t="str">
        <f>T("BL 소설 e북 &gt; 현대물")</f>
        <v>BL 소설 e북 &gt; 현대물</v>
      </c>
    </row>
    <row r="302" spans="1:58" x14ac:dyDescent="0.3">
      <c r="B302">
        <v>1525013428</v>
      </c>
      <c r="C302" t="str">
        <f>T("[e북]향기로운 뿔")</f>
        <v>[e북]향기로운 뿔</v>
      </c>
      <c r="E302" t="str">
        <f>T("이진희")</f>
        <v>이진희</v>
      </c>
      <c r="H302" t="str">
        <f>T("밀리오리지널")</f>
        <v>밀리오리지널</v>
      </c>
      <c r="J302">
        <v>3000</v>
      </c>
      <c r="K302">
        <v>3000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3000</v>
      </c>
      <c r="AH302">
        <v>1</v>
      </c>
      <c r="AI302">
        <v>0</v>
      </c>
      <c r="AJ302">
        <v>0</v>
      </c>
      <c r="AK302">
        <v>3000</v>
      </c>
      <c r="AL302">
        <v>0</v>
      </c>
      <c r="AM302">
        <v>0</v>
      </c>
      <c r="AN302">
        <v>0</v>
      </c>
      <c r="AO302">
        <v>0</v>
      </c>
      <c r="AQ302">
        <v>0</v>
      </c>
      <c r="AR302">
        <v>0</v>
      </c>
      <c r="AT302">
        <v>0</v>
      </c>
      <c r="AU302">
        <v>0</v>
      </c>
      <c r="AW302">
        <v>0</v>
      </c>
      <c r="AX302">
        <v>0</v>
      </c>
      <c r="AY302">
        <v>2100</v>
      </c>
      <c r="BC302" t="str">
        <f>T("9791191562088")</f>
        <v>9791191562088</v>
      </c>
      <c r="BE302" t="str">
        <f>T("로맨스 e북 &gt; 현대물")</f>
        <v>로맨스 e북 &gt; 현대물</v>
      </c>
      <c r="BF302" t="str">
        <f>T("로맨스 e북 &gt; 19+")</f>
        <v>로맨스 e북 &gt; 19+</v>
      </c>
    </row>
    <row r="303" spans="1:58" x14ac:dyDescent="0.3">
      <c r="A303">
        <v>1525012535</v>
      </c>
      <c r="B303">
        <v>1525012535</v>
      </c>
      <c r="C303" t="str">
        <f>T("[e북]비터, 비터(Bitter, Bitter) 1권")</f>
        <v>[e북]비터, 비터(Bitter, Bitter) 1권</v>
      </c>
      <c r="D303" t="str">
        <f>T("1")</f>
        <v>1</v>
      </c>
      <c r="E303" t="str">
        <f>T("라에르")</f>
        <v>라에르</v>
      </c>
      <c r="H303" t="str">
        <f>T("블러쉬")</f>
        <v>블러쉬</v>
      </c>
      <c r="I303" t="str">
        <f>T("[e북]비터, 비터(Bitter, Bitter)")</f>
        <v>[e북]비터, 비터(Bitter, Bitter)</v>
      </c>
      <c r="J303">
        <v>3000</v>
      </c>
      <c r="K303">
        <v>3000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3000</v>
      </c>
      <c r="AH303">
        <v>1</v>
      </c>
      <c r="AI303">
        <v>0</v>
      </c>
      <c r="AJ303">
        <v>0</v>
      </c>
      <c r="AK303">
        <v>3000</v>
      </c>
      <c r="AL303">
        <v>0</v>
      </c>
      <c r="AM303">
        <v>0</v>
      </c>
      <c r="AN303">
        <v>0</v>
      </c>
      <c r="AO303">
        <v>0</v>
      </c>
      <c r="AQ303">
        <v>0</v>
      </c>
      <c r="AR303">
        <v>0</v>
      </c>
      <c r="AT303">
        <v>0</v>
      </c>
      <c r="AU303">
        <v>0</v>
      </c>
      <c r="AW303">
        <v>0</v>
      </c>
      <c r="AX303">
        <v>0</v>
      </c>
      <c r="AY303">
        <v>2100</v>
      </c>
      <c r="BC303" t="str">
        <f>T("9791166482298")</f>
        <v>9791166482298</v>
      </c>
      <c r="BE303" t="str">
        <f>T("BL 소설 e북 &gt; 현대물")</f>
        <v>BL 소설 e북 &gt; 현대물</v>
      </c>
    </row>
    <row r="304" spans="1:58" x14ac:dyDescent="0.3">
      <c r="A304">
        <v>1525008164</v>
      </c>
      <c r="B304">
        <v>1525008166</v>
      </c>
      <c r="C304" t="str">
        <f>T("[e북]음양상열지사 3권")</f>
        <v>[e북]음양상열지사 3권</v>
      </c>
      <c r="D304" t="str">
        <f>T("3")</f>
        <v>3</v>
      </c>
      <c r="E304" t="str">
        <f>T("이염")</f>
        <v>이염</v>
      </c>
      <c r="H304" t="str">
        <f>T("블러쉬")</f>
        <v>블러쉬</v>
      </c>
      <c r="I304" t="str">
        <f>T("[e북]음양상열지사")</f>
        <v>[e북]음양상열지사</v>
      </c>
      <c r="J304">
        <v>2900</v>
      </c>
      <c r="K304">
        <v>2900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2900</v>
      </c>
      <c r="AH304">
        <v>1</v>
      </c>
      <c r="AI304">
        <v>0</v>
      </c>
      <c r="AJ304">
        <v>0</v>
      </c>
      <c r="AK304">
        <v>2900</v>
      </c>
      <c r="AL304">
        <v>0</v>
      </c>
      <c r="AM304">
        <v>0</v>
      </c>
      <c r="AN304">
        <v>0</v>
      </c>
      <c r="AO304">
        <v>0</v>
      </c>
      <c r="AQ304">
        <v>0</v>
      </c>
      <c r="AR304">
        <v>0</v>
      </c>
      <c r="AT304">
        <v>0</v>
      </c>
      <c r="AU304">
        <v>0</v>
      </c>
      <c r="AW304">
        <v>0</v>
      </c>
      <c r="AX304">
        <v>0</v>
      </c>
      <c r="AY304">
        <v>2030</v>
      </c>
      <c r="BA304" t="str">
        <f>T("0000000000000")</f>
        <v>0000000000000</v>
      </c>
      <c r="BC304" t="str">
        <f>T("9791190132862")</f>
        <v>9791190132862</v>
      </c>
      <c r="BE304" t="str">
        <f>T("BL 소설 e북 &gt; 역사/시대물")</f>
        <v>BL 소설 e북 &gt; 역사/시대물</v>
      </c>
    </row>
    <row r="305" spans="1:57" x14ac:dyDescent="0.3">
      <c r="A305">
        <v>1525008164</v>
      </c>
      <c r="B305">
        <v>1525008165</v>
      </c>
      <c r="C305" t="str">
        <f>T("[e북]음양상열지사 2권")</f>
        <v>[e북]음양상열지사 2권</v>
      </c>
      <c r="D305" t="str">
        <f>T("2")</f>
        <v>2</v>
      </c>
      <c r="E305" t="str">
        <f>T("이염")</f>
        <v>이염</v>
      </c>
      <c r="H305" t="str">
        <f>T("블러쉬")</f>
        <v>블러쉬</v>
      </c>
      <c r="I305" t="str">
        <f>T("[e북]음양상열지사")</f>
        <v>[e북]음양상열지사</v>
      </c>
      <c r="J305">
        <v>2900</v>
      </c>
      <c r="K305">
        <v>2900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2900</v>
      </c>
      <c r="AH305">
        <v>1</v>
      </c>
      <c r="AI305">
        <v>0</v>
      </c>
      <c r="AJ305">
        <v>0</v>
      </c>
      <c r="AK305">
        <v>2900</v>
      </c>
      <c r="AL305">
        <v>0</v>
      </c>
      <c r="AM305">
        <v>0</v>
      </c>
      <c r="AN305">
        <v>0</v>
      </c>
      <c r="AO305">
        <v>0</v>
      </c>
      <c r="AQ305">
        <v>0</v>
      </c>
      <c r="AR305">
        <v>0</v>
      </c>
      <c r="AT305">
        <v>0</v>
      </c>
      <c r="AU305">
        <v>0</v>
      </c>
      <c r="AW305">
        <v>0</v>
      </c>
      <c r="AX305">
        <v>0</v>
      </c>
      <c r="AY305">
        <v>2030</v>
      </c>
      <c r="BA305" t="str">
        <f>T("0000000000000")</f>
        <v>0000000000000</v>
      </c>
      <c r="BC305" t="str">
        <f>T("9791190132855")</f>
        <v>9791190132855</v>
      </c>
      <c r="BE305" t="str">
        <f>T("BL 소설 e북 &gt; 역사/시대물")</f>
        <v>BL 소설 e북 &gt; 역사/시대물</v>
      </c>
    </row>
    <row r="306" spans="1:57" x14ac:dyDescent="0.3">
      <c r="A306">
        <v>1525001836</v>
      </c>
      <c r="B306">
        <v>1525001842</v>
      </c>
      <c r="C306" t="str">
        <f>T("[e북]완전판ㅣ스피릿 소드 7권")</f>
        <v>[e북]완전판ㅣ스피릿 소드 7권</v>
      </c>
      <c r="D306" t="str">
        <f>T("7")</f>
        <v>7</v>
      </c>
      <c r="E306" t="str">
        <f t="shared" ref="E306:E311" si="35">T("김정률")</f>
        <v>김정률</v>
      </c>
      <c r="H306" t="str">
        <f t="shared" ref="H306:H311" si="36">T("스토리위즈")</f>
        <v>스토리위즈</v>
      </c>
      <c r="I306" t="str">
        <f t="shared" ref="I306:I311" si="37">T("[e북]완전판ㅣ스피릿 소드")</f>
        <v>[e북]완전판ㅣ스피릿 소드</v>
      </c>
      <c r="J306">
        <v>3200</v>
      </c>
      <c r="K306">
        <v>2880</v>
      </c>
      <c r="L306">
        <v>1</v>
      </c>
      <c r="M306">
        <v>0</v>
      </c>
      <c r="N306">
        <v>5400</v>
      </c>
      <c r="O306">
        <v>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8280</v>
      </c>
      <c r="AH306">
        <v>7</v>
      </c>
      <c r="AI306">
        <v>0</v>
      </c>
      <c r="AJ306">
        <v>0</v>
      </c>
      <c r="AK306">
        <v>7380</v>
      </c>
      <c r="AL306">
        <v>0</v>
      </c>
      <c r="AM306">
        <v>1080</v>
      </c>
      <c r="AN306">
        <v>-108</v>
      </c>
      <c r="AO306">
        <v>0</v>
      </c>
      <c r="AQ306">
        <v>0</v>
      </c>
      <c r="AR306">
        <v>0</v>
      </c>
      <c r="AS306">
        <v>1080</v>
      </c>
      <c r="AT306">
        <v>-108</v>
      </c>
      <c r="AU306">
        <v>0</v>
      </c>
      <c r="AW306">
        <v>0</v>
      </c>
      <c r="AX306">
        <v>0</v>
      </c>
      <c r="AY306">
        <v>5846.4</v>
      </c>
      <c r="BC306" t="str">
        <f>T("9791159285288")</f>
        <v>9791159285288</v>
      </c>
      <c r="BE306" t="str">
        <f t="shared" ref="BE306:BE311" si="38">T("판타지 e북 &gt; 정통 판타지")</f>
        <v>판타지 e북 &gt; 정통 판타지</v>
      </c>
    </row>
    <row r="307" spans="1:57" x14ac:dyDescent="0.3">
      <c r="A307">
        <v>1525001836</v>
      </c>
      <c r="B307">
        <v>1525001841</v>
      </c>
      <c r="C307" t="str">
        <f>T("[e북]완전판ㅣ스피릿 소드 6권")</f>
        <v>[e북]완전판ㅣ스피릿 소드 6권</v>
      </c>
      <c r="D307" t="str">
        <f>T("6")</f>
        <v>6</v>
      </c>
      <c r="E307" t="str">
        <f t="shared" si="35"/>
        <v>김정률</v>
      </c>
      <c r="H307" t="str">
        <f t="shared" si="36"/>
        <v>스토리위즈</v>
      </c>
      <c r="I307" t="str">
        <f t="shared" si="37"/>
        <v>[e북]완전판ㅣ스피릿 소드</v>
      </c>
      <c r="J307">
        <v>3200</v>
      </c>
      <c r="K307">
        <v>2880</v>
      </c>
      <c r="L307">
        <v>1</v>
      </c>
      <c r="M307">
        <v>0</v>
      </c>
      <c r="N307">
        <v>5400</v>
      </c>
      <c r="O307">
        <v>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8280</v>
      </c>
      <c r="AH307">
        <v>7</v>
      </c>
      <c r="AI307">
        <v>0</v>
      </c>
      <c r="AJ307">
        <v>0</v>
      </c>
      <c r="AK307">
        <v>7380</v>
      </c>
      <c r="AL307">
        <v>0</v>
      </c>
      <c r="AM307">
        <v>1080</v>
      </c>
      <c r="AN307">
        <v>-108</v>
      </c>
      <c r="AO307">
        <v>0</v>
      </c>
      <c r="AQ307">
        <v>0</v>
      </c>
      <c r="AR307">
        <v>0</v>
      </c>
      <c r="AS307">
        <v>1080</v>
      </c>
      <c r="AT307">
        <v>-108</v>
      </c>
      <c r="AU307">
        <v>0</v>
      </c>
      <c r="AW307">
        <v>0</v>
      </c>
      <c r="AX307">
        <v>0</v>
      </c>
      <c r="AY307">
        <v>5846.4</v>
      </c>
      <c r="BC307" t="str">
        <f>T("9791159285271")</f>
        <v>9791159285271</v>
      </c>
      <c r="BE307" t="str">
        <f t="shared" si="38"/>
        <v>판타지 e북 &gt; 정통 판타지</v>
      </c>
    </row>
    <row r="308" spans="1:57" x14ac:dyDescent="0.3">
      <c r="A308">
        <v>1525001836</v>
      </c>
      <c r="B308">
        <v>1525001840</v>
      </c>
      <c r="C308" t="str">
        <f>T("[e북]완전판ㅣ스피릿 소드 5권")</f>
        <v>[e북]완전판ㅣ스피릿 소드 5권</v>
      </c>
      <c r="D308" t="str">
        <f>T("5")</f>
        <v>5</v>
      </c>
      <c r="E308" t="str">
        <f t="shared" si="35"/>
        <v>김정률</v>
      </c>
      <c r="H308" t="str">
        <f t="shared" si="36"/>
        <v>스토리위즈</v>
      </c>
      <c r="I308" t="str">
        <f t="shared" si="37"/>
        <v>[e북]완전판ㅣ스피릿 소드</v>
      </c>
      <c r="J308">
        <v>3200</v>
      </c>
      <c r="K308">
        <v>2880</v>
      </c>
      <c r="L308">
        <v>1</v>
      </c>
      <c r="M308">
        <v>0</v>
      </c>
      <c r="N308">
        <v>5400</v>
      </c>
      <c r="O308">
        <v>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8280</v>
      </c>
      <c r="AH308">
        <v>7</v>
      </c>
      <c r="AI308">
        <v>0</v>
      </c>
      <c r="AJ308">
        <v>0</v>
      </c>
      <c r="AK308">
        <v>8030</v>
      </c>
      <c r="AL308">
        <v>0</v>
      </c>
      <c r="AM308">
        <v>300</v>
      </c>
      <c r="AN308">
        <v>-30</v>
      </c>
      <c r="AO308">
        <v>0</v>
      </c>
      <c r="AQ308">
        <v>0</v>
      </c>
      <c r="AR308">
        <v>0</v>
      </c>
      <c r="AS308">
        <v>300</v>
      </c>
      <c r="AT308">
        <v>-30</v>
      </c>
      <c r="AU308">
        <v>0</v>
      </c>
      <c r="AW308">
        <v>0</v>
      </c>
      <c r="AX308">
        <v>0</v>
      </c>
      <c r="AY308">
        <v>5810</v>
      </c>
      <c r="BC308" t="str">
        <f>T("9791159285264")</f>
        <v>9791159285264</v>
      </c>
      <c r="BE308" t="str">
        <f t="shared" si="38"/>
        <v>판타지 e북 &gt; 정통 판타지</v>
      </c>
    </row>
    <row r="309" spans="1:57" x14ac:dyDescent="0.3">
      <c r="A309">
        <v>1525001836</v>
      </c>
      <c r="B309">
        <v>1525001839</v>
      </c>
      <c r="C309" t="str">
        <f>T("[e북]완전판ㅣ스피릿 소드 4권")</f>
        <v>[e북]완전판ㅣ스피릿 소드 4권</v>
      </c>
      <c r="D309" t="str">
        <f>T("4")</f>
        <v>4</v>
      </c>
      <c r="E309" t="str">
        <f t="shared" si="35"/>
        <v>김정률</v>
      </c>
      <c r="H309" t="str">
        <f t="shared" si="36"/>
        <v>스토리위즈</v>
      </c>
      <c r="I309" t="str">
        <f t="shared" si="37"/>
        <v>[e북]완전판ㅣ스피릿 소드</v>
      </c>
      <c r="J309">
        <v>3200</v>
      </c>
      <c r="K309">
        <v>2880</v>
      </c>
      <c r="L309">
        <v>1</v>
      </c>
      <c r="M309">
        <v>0</v>
      </c>
      <c r="N309">
        <v>6300</v>
      </c>
      <c r="O309">
        <v>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9180</v>
      </c>
      <c r="AH309">
        <v>8</v>
      </c>
      <c r="AI309">
        <v>0</v>
      </c>
      <c r="AJ309">
        <v>0</v>
      </c>
      <c r="AK309">
        <v>8280</v>
      </c>
      <c r="AL309">
        <v>0</v>
      </c>
      <c r="AM309">
        <v>1080</v>
      </c>
      <c r="AN309">
        <v>-108</v>
      </c>
      <c r="AO309">
        <v>0</v>
      </c>
      <c r="AQ309">
        <v>0</v>
      </c>
      <c r="AR309">
        <v>0</v>
      </c>
      <c r="AS309">
        <v>1080</v>
      </c>
      <c r="AT309">
        <v>-108</v>
      </c>
      <c r="AU309">
        <v>0</v>
      </c>
      <c r="AW309">
        <v>0</v>
      </c>
      <c r="AX309">
        <v>0</v>
      </c>
      <c r="AY309">
        <v>6476.4</v>
      </c>
      <c r="BC309" t="str">
        <f>T("9791159285257")</f>
        <v>9791159285257</v>
      </c>
      <c r="BE309" t="str">
        <f t="shared" si="38"/>
        <v>판타지 e북 &gt; 정통 판타지</v>
      </c>
    </row>
    <row r="310" spans="1:57" x14ac:dyDescent="0.3">
      <c r="A310">
        <v>1525001836</v>
      </c>
      <c r="B310">
        <v>1525001838</v>
      </c>
      <c r="C310" t="str">
        <f>T("[e북]완전판ㅣ스피릿 소드 3권")</f>
        <v>[e북]완전판ㅣ스피릿 소드 3권</v>
      </c>
      <c r="D310" t="str">
        <f>T("3")</f>
        <v>3</v>
      </c>
      <c r="E310" t="str">
        <f t="shared" si="35"/>
        <v>김정률</v>
      </c>
      <c r="H310" t="str">
        <f t="shared" si="36"/>
        <v>스토리위즈</v>
      </c>
      <c r="I310" t="str">
        <f t="shared" si="37"/>
        <v>[e북]완전판ㅣ스피릿 소드</v>
      </c>
      <c r="J310">
        <v>3200</v>
      </c>
      <c r="K310">
        <v>2880</v>
      </c>
      <c r="L310">
        <v>1</v>
      </c>
      <c r="M310">
        <v>0</v>
      </c>
      <c r="N310">
        <v>6300</v>
      </c>
      <c r="O310">
        <v>7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9180</v>
      </c>
      <c r="AH310">
        <v>8</v>
      </c>
      <c r="AI310">
        <v>0</v>
      </c>
      <c r="AJ310">
        <v>0</v>
      </c>
      <c r="AK310">
        <v>8280</v>
      </c>
      <c r="AL310">
        <v>0</v>
      </c>
      <c r="AM310">
        <v>1080</v>
      </c>
      <c r="AN310">
        <v>-108</v>
      </c>
      <c r="AO310">
        <v>0</v>
      </c>
      <c r="AQ310">
        <v>0</v>
      </c>
      <c r="AR310">
        <v>0</v>
      </c>
      <c r="AS310">
        <v>1080</v>
      </c>
      <c r="AT310">
        <v>-108</v>
      </c>
      <c r="AU310">
        <v>0</v>
      </c>
      <c r="AW310">
        <v>0</v>
      </c>
      <c r="AX310">
        <v>0</v>
      </c>
      <c r="AY310">
        <v>6476.4</v>
      </c>
      <c r="BC310" t="str">
        <f>T("9791159285240")</f>
        <v>9791159285240</v>
      </c>
      <c r="BE310" t="str">
        <f t="shared" si="38"/>
        <v>판타지 e북 &gt; 정통 판타지</v>
      </c>
    </row>
    <row r="311" spans="1:57" x14ac:dyDescent="0.3">
      <c r="A311">
        <v>1525001836</v>
      </c>
      <c r="B311">
        <v>1525001837</v>
      </c>
      <c r="C311" t="str">
        <f>T("[e북]완전판ㅣ스피릿 소드 2권")</f>
        <v>[e북]완전판ㅣ스피릿 소드 2권</v>
      </c>
      <c r="D311" t="str">
        <f>T("2")</f>
        <v>2</v>
      </c>
      <c r="E311" t="str">
        <f t="shared" si="35"/>
        <v>김정률</v>
      </c>
      <c r="H311" t="str">
        <f t="shared" si="36"/>
        <v>스토리위즈</v>
      </c>
      <c r="I311" t="str">
        <f t="shared" si="37"/>
        <v>[e북]완전판ㅣ스피릿 소드</v>
      </c>
      <c r="J311">
        <v>3200</v>
      </c>
      <c r="K311">
        <v>2880</v>
      </c>
      <c r="L311">
        <v>1</v>
      </c>
      <c r="M311">
        <v>0</v>
      </c>
      <c r="N311">
        <v>6300</v>
      </c>
      <c r="O311">
        <v>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9180</v>
      </c>
      <c r="AH311">
        <v>8</v>
      </c>
      <c r="AI311">
        <v>0</v>
      </c>
      <c r="AJ311">
        <v>0</v>
      </c>
      <c r="AK311">
        <v>8280</v>
      </c>
      <c r="AL311">
        <v>0</v>
      </c>
      <c r="AM311">
        <v>1080</v>
      </c>
      <c r="AN311">
        <v>-108</v>
      </c>
      <c r="AO311">
        <v>0</v>
      </c>
      <c r="AQ311">
        <v>0</v>
      </c>
      <c r="AR311">
        <v>0</v>
      </c>
      <c r="AS311">
        <v>1080</v>
      </c>
      <c r="AT311">
        <v>-108</v>
      </c>
      <c r="AU311">
        <v>0</v>
      </c>
      <c r="AW311">
        <v>0</v>
      </c>
      <c r="AX311">
        <v>0</v>
      </c>
      <c r="AY311">
        <v>6476.4</v>
      </c>
      <c r="BC311" t="str">
        <f>T("9791159285233")</f>
        <v>9791159285233</v>
      </c>
      <c r="BE311" t="str">
        <f t="shared" si="38"/>
        <v>판타지 e북 &gt; 정통 판타지</v>
      </c>
    </row>
    <row r="312" spans="1:57" x14ac:dyDescent="0.3">
      <c r="B312">
        <v>1525007762</v>
      </c>
      <c r="C312" t="str">
        <f>T("[e북]너와 결혼하기까지")</f>
        <v>[e북]너와 결혼하기까지</v>
      </c>
      <c r="E312" t="str">
        <f>T("정감")</f>
        <v>정감</v>
      </c>
      <c r="H312" t="str">
        <f>T("쉬라즈")</f>
        <v>쉬라즈</v>
      </c>
      <c r="J312">
        <v>2800</v>
      </c>
      <c r="K312">
        <v>2800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2800</v>
      </c>
      <c r="AH312">
        <v>1</v>
      </c>
      <c r="AI312">
        <v>0</v>
      </c>
      <c r="AJ312">
        <v>0</v>
      </c>
      <c r="AK312">
        <v>2800</v>
      </c>
      <c r="AL312">
        <v>0</v>
      </c>
      <c r="AM312">
        <v>0</v>
      </c>
      <c r="AN312">
        <v>0</v>
      </c>
      <c r="AO312">
        <v>0</v>
      </c>
      <c r="AQ312">
        <v>0</v>
      </c>
      <c r="AR312">
        <v>0</v>
      </c>
      <c r="AT312">
        <v>0</v>
      </c>
      <c r="AU312">
        <v>0</v>
      </c>
      <c r="AW312">
        <v>0</v>
      </c>
      <c r="AX312">
        <v>0</v>
      </c>
      <c r="AY312">
        <v>1960</v>
      </c>
      <c r="BA312" t="str">
        <f t="shared" ref="BA312:BA317" si="39">T("0000000000000")</f>
        <v>0000000000000</v>
      </c>
      <c r="BC312" t="str">
        <f>T("9791164890965")</f>
        <v>9791164890965</v>
      </c>
      <c r="BD312" t="str">
        <f>T("R32")</f>
        <v>R32</v>
      </c>
      <c r="BE312" t="str">
        <f>T("로맨스 e북 &gt; 현대물")</f>
        <v>로맨스 e북 &gt; 현대물</v>
      </c>
    </row>
    <row r="313" spans="1:57" x14ac:dyDescent="0.3">
      <c r="A313">
        <v>1525008151</v>
      </c>
      <c r="B313">
        <v>1525008152</v>
      </c>
      <c r="C313" t="str">
        <f>T("[e북]우리의 봄, 나의 개나리 2권 (완결)")</f>
        <v>[e북]우리의 봄, 나의 개나리 2권 (완결)</v>
      </c>
      <c r="D313" t="str">
        <f>T("2")</f>
        <v>2</v>
      </c>
      <c r="E313" t="str">
        <f>T("마연(연필깎이)")</f>
        <v>마연(연필깎이)</v>
      </c>
      <c r="H313" t="str">
        <f>T("비엘스토리")</f>
        <v>비엘스토리</v>
      </c>
      <c r="I313" t="str">
        <f>T("[e북]우리의 봄, 나의 개나리")</f>
        <v>[e북]우리의 봄, 나의 개나리</v>
      </c>
      <c r="J313">
        <v>2800</v>
      </c>
      <c r="K313">
        <v>2800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2800</v>
      </c>
      <c r="AH313">
        <v>1</v>
      </c>
      <c r="AI313">
        <v>0</v>
      </c>
      <c r="AJ313">
        <v>0</v>
      </c>
      <c r="AK313">
        <v>2800</v>
      </c>
      <c r="AL313">
        <v>0</v>
      </c>
      <c r="AM313">
        <v>0</v>
      </c>
      <c r="AN313">
        <v>0</v>
      </c>
      <c r="AO313">
        <v>0</v>
      </c>
      <c r="AQ313">
        <v>0</v>
      </c>
      <c r="AR313">
        <v>0</v>
      </c>
      <c r="AT313">
        <v>0</v>
      </c>
      <c r="AU313">
        <v>0</v>
      </c>
      <c r="AW313">
        <v>0</v>
      </c>
      <c r="AX313">
        <v>0</v>
      </c>
      <c r="AY313">
        <v>1960</v>
      </c>
      <c r="BA313" t="str">
        <f t="shared" si="39"/>
        <v>0000000000000</v>
      </c>
      <c r="BC313" t="str">
        <f>T("9791164896073")</f>
        <v>9791164896073</v>
      </c>
      <c r="BE313" t="str">
        <f>T("BL 소설 e북 &gt; 현대물")</f>
        <v>BL 소설 e북 &gt; 현대물</v>
      </c>
    </row>
    <row r="314" spans="1:57" x14ac:dyDescent="0.3">
      <c r="A314">
        <v>1525008185</v>
      </c>
      <c r="B314">
        <v>1525008186</v>
      </c>
      <c r="C314" t="str">
        <f>T("[e북]칼의 기억 2권 (완결)")</f>
        <v>[e북]칼의 기억 2권 (완결)</v>
      </c>
      <c r="D314" t="str">
        <f>T("2")</f>
        <v>2</v>
      </c>
      <c r="E314" t="str">
        <f>T("SISSI")</f>
        <v>SISSI</v>
      </c>
      <c r="H314" t="str">
        <f>T("블러쉬")</f>
        <v>블러쉬</v>
      </c>
      <c r="I314" t="str">
        <f>T("[e북]칼의 기억")</f>
        <v>[e북]칼의 기억</v>
      </c>
      <c r="J314">
        <v>2800</v>
      </c>
      <c r="K314">
        <v>2800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2800</v>
      </c>
      <c r="AH314">
        <v>1</v>
      </c>
      <c r="AI314">
        <v>0</v>
      </c>
      <c r="AJ314">
        <v>0</v>
      </c>
      <c r="AK314">
        <v>2800</v>
      </c>
      <c r="AL314">
        <v>0</v>
      </c>
      <c r="AM314">
        <v>0</v>
      </c>
      <c r="AN314">
        <v>0</v>
      </c>
      <c r="AO314">
        <v>0</v>
      </c>
      <c r="AQ314">
        <v>0</v>
      </c>
      <c r="AR314">
        <v>0</v>
      </c>
      <c r="AT314">
        <v>0</v>
      </c>
      <c r="AU314">
        <v>0</v>
      </c>
      <c r="AW314">
        <v>0</v>
      </c>
      <c r="AX314">
        <v>0</v>
      </c>
      <c r="AY314">
        <v>1960</v>
      </c>
      <c r="BA314" t="str">
        <f t="shared" si="39"/>
        <v>0000000000000</v>
      </c>
      <c r="BC314" t="str">
        <f>T("9791166481376")</f>
        <v>9791166481376</v>
      </c>
      <c r="BE314" t="str">
        <f>T("BL 소설 e북 &gt; 역사/시대물")</f>
        <v>BL 소설 e북 &gt; 역사/시대물</v>
      </c>
    </row>
    <row r="315" spans="1:57" x14ac:dyDescent="0.3">
      <c r="A315">
        <v>1525008151</v>
      </c>
      <c r="B315">
        <v>1525008151</v>
      </c>
      <c r="C315" t="str">
        <f>T("[e북]우리의 봄, 나의 개나리 1권")</f>
        <v>[e북]우리의 봄, 나의 개나리 1권</v>
      </c>
      <c r="D315" t="str">
        <f>T("1")</f>
        <v>1</v>
      </c>
      <c r="E315" t="str">
        <f>T("마연(연필깎이)")</f>
        <v>마연(연필깎이)</v>
      </c>
      <c r="H315" t="str">
        <f>T("비엘스토리")</f>
        <v>비엘스토리</v>
      </c>
      <c r="I315" t="str">
        <f>T("[e북]우리의 봄, 나의 개나리")</f>
        <v>[e북]우리의 봄, 나의 개나리</v>
      </c>
      <c r="J315">
        <v>2800</v>
      </c>
      <c r="K315">
        <v>2800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2800</v>
      </c>
      <c r="AH315">
        <v>1</v>
      </c>
      <c r="AI315">
        <v>0</v>
      </c>
      <c r="AJ315">
        <v>0</v>
      </c>
      <c r="AK315">
        <v>2800</v>
      </c>
      <c r="AL315">
        <v>0</v>
      </c>
      <c r="AM315">
        <v>0</v>
      </c>
      <c r="AN315">
        <v>0</v>
      </c>
      <c r="AO315">
        <v>0</v>
      </c>
      <c r="AQ315">
        <v>0</v>
      </c>
      <c r="AR315">
        <v>0</v>
      </c>
      <c r="AT315">
        <v>0</v>
      </c>
      <c r="AU315">
        <v>0</v>
      </c>
      <c r="AW315">
        <v>0</v>
      </c>
      <c r="AX315">
        <v>0</v>
      </c>
      <c r="AY315">
        <v>1960</v>
      </c>
      <c r="BA315" t="str">
        <f t="shared" si="39"/>
        <v>0000000000000</v>
      </c>
      <c r="BC315" t="str">
        <f>T("9791164896066")</f>
        <v>9791164896066</v>
      </c>
      <c r="BE315" t="str">
        <f>T("BL 소설 e북 &gt; 현대물")</f>
        <v>BL 소설 e북 &gt; 현대물</v>
      </c>
    </row>
    <row r="316" spans="1:57" x14ac:dyDescent="0.3">
      <c r="A316">
        <v>1525008185</v>
      </c>
      <c r="B316">
        <v>1525008185</v>
      </c>
      <c r="C316" t="str">
        <f>T("[e북]칼의 기억 1권")</f>
        <v>[e북]칼의 기억 1권</v>
      </c>
      <c r="D316" t="str">
        <f>T("1")</f>
        <v>1</v>
      </c>
      <c r="E316" t="str">
        <f>T("SISSI")</f>
        <v>SISSI</v>
      </c>
      <c r="H316" t="str">
        <f t="shared" ref="H316:H325" si="40">T("블러쉬")</f>
        <v>블러쉬</v>
      </c>
      <c r="I316" t="str">
        <f>T("[e북]칼의 기억")</f>
        <v>[e북]칼의 기억</v>
      </c>
      <c r="J316">
        <v>2800</v>
      </c>
      <c r="K316">
        <v>2800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2800</v>
      </c>
      <c r="AH316">
        <v>1</v>
      </c>
      <c r="AI316">
        <v>0</v>
      </c>
      <c r="AJ316">
        <v>0</v>
      </c>
      <c r="AK316">
        <v>2800</v>
      </c>
      <c r="AL316">
        <v>0</v>
      </c>
      <c r="AM316">
        <v>0</v>
      </c>
      <c r="AN316">
        <v>0</v>
      </c>
      <c r="AO316">
        <v>0</v>
      </c>
      <c r="AQ316">
        <v>0</v>
      </c>
      <c r="AR316">
        <v>0</v>
      </c>
      <c r="AT316">
        <v>0</v>
      </c>
      <c r="AU316">
        <v>0</v>
      </c>
      <c r="AW316">
        <v>0</v>
      </c>
      <c r="AX316">
        <v>0</v>
      </c>
      <c r="AY316">
        <v>1960</v>
      </c>
      <c r="BA316" t="str">
        <f t="shared" si="39"/>
        <v>0000000000000</v>
      </c>
      <c r="BC316" t="str">
        <f>T("9791166481369")</f>
        <v>9791166481369</v>
      </c>
      <c r="BE316" t="str">
        <f>T("BL 소설 e북 &gt; 역사/시대물")</f>
        <v>BL 소설 e북 &gt; 역사/시대물</v>
      </c>
    </row>
    <row r="317" spans="1:57" x14ac:dyDescent="0.3">
      <c r="A317">
        <v>1525008016</v>
      </c>
      <c r="B317">
        <v>1525008016</v>
      </c>
      <c r="C317" t="str">
        <f>T("[e북]까마귀밥여름나무숲 1권")</f>
        <v>[e북]까마귀밥여름나무숲 1권</v>
      </c>
      <c r="D317" t="str">
        <f>T("1")</f>
        <v>1</v>
      </c>
      <c r="E317" t="str">
        <f>T("키도")</f>
        <v>키도</v>
      </c>
      <c r="H317" t="str">
        <f t="shared" si="40"/>
        <v>블러쉬</v>
      </c>
      <c r="I317" t="str">
        <f>T("[e북]까마귀밥여름나무숲")</f>
        <v>[e북]까마귀밥여름나무숲</v>
      </c>
      <c r="J317">
        <v>2800</v>
      </c>
      <c r="K317">
        <v>2800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2800</v>
      </c>
      <c r="AH317">
        <v>1</v>
      </c>
      <c r="AI317">
        <v>0</v>
      </c>
      <c r="AJ317">
        <v>0</v>
      </c>
      <c r="AK317">
        <v>2800</v>
      </c>
      <c r="AL317">
        <v>0</v>
      </c>
      <c r="AM317">
        <v>0</v>
      </c>
      <c r="AN317">
        <v>0</v>
      </c>
      <c r="AO317">
        <v>0</v>
      </c>
      <c r="AQ317">
        <v>0</v>
      </c>
      <c r="AR317">
        <v>0</v>
      </c>
      <c r="AT317">
        <v>0</v>
      </c>
      <c r="AU317">
        <v>0</v>
      </c>
      <c r="AW317">
        <v>0</v>
      </c>
      <c r="AX317">
        <v>0</v>
      </c>
      <c r="AY317">
        <v>1960</v>
      </c>
      <c r="BA317" t="str">
        <f t="shared" si="39"/>
        <v>0000000000000</v>
      </c>
      <c r="BC317" t="str">
        <f>T("9791166481338")</f>
        <v>9791166481338</v>
      </c>
      <c r="BE317" t="str">
        <f>T("BL 소설 e북 &gt; 역사/시대물")</f>
        <v>BL 소설 e북 &gt; 역사/시대물</v>
      </c>
    </row>
    <row r="318" spans="1:57" x14ac:dyDescent="0.3">
      <c r="A318">
        <v>1525012524</v>
      </c>
      <c r="B318">
        <v>1525012524</v>
      </c>
      <c r="C318" t="str">
        <f>T("[e북]붉은 가을이 깃드는 너에게 1권")</f>
        <v>[e북]붉은 가을이 깃드는 너에게 1권</v>
      </c>
      <c r="D318" t="str">
        <f>T("1")</f>
        <v>1</v>
      </c>
      <c r="E318" t="str">
        <f>T("채플린")</f>
        <v>채플린</v>
      </c>
      <c r="H318" t="str">
        <f t="shared" si="40"/>
        <v>블러쉬</v>
      </c>
      <c r="I318" t="str">
        <f>T("[e북]붉은 가을이 깃드는 너에게")</f>
        <v>[e북]붉은 가을이 깃드는 너에게</v>
      </c>
      <c r="J318">
        <v>2800</v>
      </c>
      <c r="K318">
        <v>2800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2800</v>
      </c>
      <c r="AH318">
        <v>1</v>
      </c>
      <c r="AI318">
        <v>0</v>
      </c>
      <c r="AJ318">
        <v>0</v>
      </c>
      <c r="AK318">
        <v>2800</v>
      </c>
      <c r="AL318">
        <v>0</v>
      </c>
      <c r="AM318">
        <v>0</v>
      </c>
      <c r="AN318">
        <v>0</v>
      </c>
      <c r="AO318">
        <v>0</v>
      </c>
      <c r="AQ318">
        <v>0</v>
      </c>
      <c r="AR318">
        <v>0</v>
      </c>
      <c r="AT318">
        <v>0</v>
      </c>
      <c r="AU318">
        <v>0</v>
      </c>
      <c r="AW318">
        <v>0</v>
      </c>
      <c r="AX318">
        <v>0</v>
      </c>
      <c r="AY318">
        <v>1960</v>
      </c>
      <c r="BC318" t="str">
        <f>T("9791166482168")</f>
        <v>9791166482168</v>
      </c>
      <c r="BE318" t="str">
        <f t="shared" ref="BE318:BE325" si="41">T("BL 소설 e북 &gt; 현대물")</f>
        <v>BL 소설 e북 &gt; 현대물</v>
      </c>
    </row>
    <row r="319" spans="1:57" x14ac:dyDescent="0.3">
      <c r="A319">
        <v>1525008177</v>
      </c>
      <c r="B319">
        <v>1525008178</v>
      </c>
      <c r="C319" t="str">
        <f>T("[e북]젠장 맞을 사랑 2권 (완결)")</f>
        <v>[e북]젠장 맞을 사랑 2권 (완결)</v>
      </c>
      <c r="D319" t="str">
        <f>T("2")</f>
        <v>2</v>
      </c>
      <c r="E319" t="str">
        <f>T("한슬")</f>
        <v>한슬</v>
      </c>
      <c r="H319" t="str">
        <f t="shared" si="40"/>
        <v>블러쉬</v>
      </c>
      <c r="I319" t="str">
        <f>T("[e북]젠장 맞을 사랑")</f>
        <v>[e북]젠장 맞을 사랑</v>
      </c>
      <c r="J319">
        <v>2800</v>
      </c>
      <c r="K319">
        <v>2800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2800</v>
      </c>
      <c r="AH319">
        <v>1</v>
      </c>
      <c r="AI319">
        <v>0</v>
      </c>
      <c r="AJ319">
        <v>0</v>
      </c>
      <c r="AK319">
        <v>2800</v>
      </c>
      <c r="AL319">
        <v>0</v>
      </c>
      <c r="AM319">
        <v>0</v>
      </c>
      <c r="AN319">
        <v>0</v>
      </c>
      <c r="AO319">
        <v>0</v>
      </c>
      <c r="AQ319">
        <v>0</v>
      </c>
      <c r="AR319">
        <v>0</v>
      </c>
      <c r="AT319">
        <v>0</v>
      </c>
      <c r="AU319">
        <v>0</v>
      </c>
      <c r="AW319">
        <v>0</v>
      </c>
      <c r="AX319">
        <v>0</v>
      </c>
      <c r="AY319">
        <v>1960</v>
      </c>
      <c r="BA319" t="str">
        <f t="shared" ref="BA319:BA326" si="42">T("0000000000000")</f>
        <v>0000000000000</v>
      </c>
      <c r="BC319" t="str">
        <f>T("9791164890453")</f>
        <v>9791164890453</v>
      </c>
      <c r="BE319" t="str">
        <f t="shared" si="41"/>
        <v>BL 소설 e북 &gt; 현대물</v>
      </c>
    </row>
    <row r="320" spans="1:57" x14ac:dyDescent="0.3">
      <c r="A320">
        <v>1525008159</v>
      </c>
      <c r="B320">
        <v>1525008160</v>
      </c>
      <c r="C320" t="str">
        <f>T("[e북]육식주의자 2권 (완결)")</f>
        <v>[e북]육식주의자 2권 (완결)</v>
      </c>
      <c r="D320" t="str">
        <f>T("2")</f>
        <v>2</v>
      </c>
      <c r="E320" t="str">
        <f>T("SISSI")</f>
        <v>SISSI</v>
      </c>
      <c r="H320" t="str">
        <f t="shared" si="40"/>
        <v>블러쉬</v>
      </c>
      <c r="I320" t="str">
        <f>T("[e북]육식주의자")</f>
        <v>[e북]육식주의자</v>
      </c>
      <c r="J320">
        <v>2800</v>
      </c>
      <c r="K320">
        <v>2800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2800</v>
      </c>
      <c r="AH320">
        <v>1</v>
      </c>
      <c r="AI320">
        <v>0</v>
      </c>
      <c r="AJ320">
        <v>0</v>
      </c>
      <c r="AK320">
        <v>2800</v>
      </c>
      <c r="AL320">
        <v>0</v>
      </c>
      <c r="AM320">
        <v>0</v>
      </c>
      <c r="AN320">
        <v>0</v>
      </c>
      <c r="AO320">
        <v>0</v>
      </c>
      <c r="AQ320">
        <v>0</v>
      </c>
      <c r="AR320">
        <v>0</v>
      </c>
      <c r="AT320">
        <v>0</v>
      </c>
      <c r="AU320">
        <v>0</v>
      </c>
      <c r="AW320">
        <v>0</v>
      </c>
      <c r="AX320">
        <v>0</v>
      </c>
      <c r="AY320">
        <v>1960</v>
      </c>
      <c r="BA320" t="str">
        <f t="shared" si="42"/>
        <v>0000000000000</v>
      </c>
      <c r="BC320" t="str">
        <f>T("9791164899968")</f>
        <v>9791164899968</v>
      </c>
      <c r="BE320" t="str">
        <f t="shared" si="41"/>
        <v>BL 소설 e북 &gt; 현대물</v>
      </c>
    </row>
    <row r="321" spans="1:58" x14ac:dyDescent="0.3">
      <c r="A321">
        <v>1525008177</v>
      </c>
      <c r="B321">
        <v>1525008177</v>
      </c>
      <c r="C321" t="str">
        <f>T("[e북]젠장 맞을 사랑 1권")</f>
        <v>[e북]젠장 맞을 사랑 1권</v>
      </c>
      <c r="D321" t="str">
        <f>T("1")</f>
        <v>1</v>
      </c>
      <c r="E321" t="str">
        <f>T("한슬")</f>
        <v>한슬</v>
      </c>
      <c r="H321" t="str">
        <f t="shared" si="40"/>
        <v>블러쉬</v>
      </c>
      <c r="I321" t="str">
        <f>T("[e북]젠장 맞을 사랑")</f>
        <v>[e북]젠장 맞을 사랑</v>
      </c>
      <c r="J321">
        <v>2800</v>
      </c>
      <c r="K321">
        <v>2800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2800</v>
      </c>
      <c r="AH321">
        <v>1</v>
      </c>
      <c r="AI321">
        <v>0</v>
      </c>
      <c r="AJ321">
        <v>0</v>
      </c>
      <c r="AK321">
        <v>2800</v>
      </c>
      <c r="AL321">
        <v>0</v>
      </c>
      <c r="AM321">
        <v>0</v>
      </c>
      <c r="AN321">
        <v>0</v>
      </c>
      <c r="AO321">
        <v>0</v>
      </c>
      <c r="AQ321">
        <v>0</v>
      </c>
      <c r="AR321">
        <v>0</v>
      </c>
      <c r="AT321">
        <v>0</v>
      </c>
      <c r="AU321">
        <v>0</v>
      </c>
      <c r="AW321">
        <v>0</v>
      </c>
      <c r="AX321">
        <v>0</v>
      </c>
      <c r="AY321">
        <v>1960</v>
      </c>
      <c r="BA321" t="str">
        <f t="shared" si="42"/>
        <v>0000000000000</v>
      </c>
      <c r="BC321" t="str">
        <f>T("9791164890446")</f>
        <v>9791164890446</v>
      </c>
      <c r="BE321" t="str">
        <f t="shared" si="41"/>
        <v>BL 소설 e북 &gt; 현대물</v>
      </c>
    </row>
    <row r="322" spans="1:58" x14ac:dyDescent="0.3">
      <c r="A322">
        <v>1525008159</v>
      </c>
      <c r="B322">
        <v>1525008159</v>
      </c>
      <c r="C322" t="str">
        <f>T("[e북]육식주의자 1권")</f>
        <v>[e북]육식주의자 1권</v>
      </c>
      <c r="D322" t="str">
        <f>T("1")</f>
        <v>1</v>
      </c>
      <c r="E322" t="str">
        <f>T("SISSI")</f>
        <v>SISSI</v>
      </c>
      <c r="H322" t="str">
        <f t="shared" si="40"/>
        <v>블러쉬</v>
      </c>
      <c r="I322" t="str">
        <f>T("[e북]육식주의자")</f>
        <v>[e북]육식주의자</v>
      </c>
      <c r="J322">
        <v>2800</v>
      </c>
      <c r="K322">
        <v>2800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2800</v>
      </c>
      <c r="AH322">
        <v>1</v>
      </c>
      <c r="AI322">
        <v>0</v>
      </c>
      <c r="AJ322">
        <v>0</v>
      </c>
      <c r="AK322">
        <v>2800</v>
      </c>
      <c r="AL322">
        <v>0</v>
      </c>
      <c r="AM322">
        <v>0</v>
      </c>
      <c r="AN322">
        <v>0</v>
      </c>
      <c r="AO322">
        <v>0</v>
      </c>
      <c r="AQ322">
        <v>0</v>
      </c>
      <c r="AR322">
        <v>0</v>
      </c>
      <c r="AT322">
        <v>0</v>
      </c>
      <c r="AU322">
        <v>0</v>
      </c>
      <c r="AW322">
        <v>0</v>
      </c>
      <c r="AX322">
        <v>0</v>
      </c>
      <c r="AY322">
        <v>1960</v>
      </c>
      <c r="BA322" t="str">
        <f t="shared" si="42"/>
        <v>0000000000000</v>
      </c>
      <c r="BC322" t="str">
        <f>T("9791164899951")</f>
        <v>9791164899951</v>
      </c>
      <c r="BE322" t="str">
        <f t="shared" si="41"/>
        <v>BL 소설 e북 &gt; 현대물</v>
      </c>
    </row>
    <row r="323" spans="1:58" x14ac:dyDescent="0.3">
      <c r="A323">
        <v>1525008193</v>
      </c>
      <c r="B323">
        <v>1525008194</v>
      </c>
      <c r="C323" t="str">
        <f>T("[e북]택스 프리(TAX FREE) 2권 (완결)")</f>
        <v>[e북]택스 프리(TAX FREE) 2권 (완결)</v>
      </c>
      <c r="D323" t="str">
        <f>T("2")</f>
        <v>2</v>
      </c>
      <c r="E323" t="str">
        <f>T("SISSI")</f>
        <v>SISSI</v>
      </c>
      <c r="H323" t="str">
        <f t="shared" si="40"/>
        <v>블러쉬</v>
      </c>
      <c r="I323" t="str">
        <f>T("[e북]택스 프리(TAX FREE)")</f>
        <v>[e북]택스 프리(TAX FREE)</v>
      </c>
      <c r="J323">
        <v>2800</v>
      </c>
      <c r="K323">
        <v>2800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2800</v>
      </c>
      <c r="AH323">
        <v>1</v>
      </c>
      <c r="AI323">
        <v>0</v>
      </c>
      <c r="AJ323">
        <v>0</v>
      </c>
      <c r="AK323">
        <v>2800</v>
      </c>
      <c r="AL323">
        <v>0</v>
      </c>
      <c r="AM323">
        <v>0</v>
      </c>
      <c r="AN323">
        <v>0</v>
      </c>
      <c r="AO323">
        <v>0</v>
      </c>
      <c r="AQ323">
        <v>0</v>
      </c>
      <c r="AR323">
        <v>0</v>
      </c>
      <c r="AT323">
        <v>0</v>
      </c>
      <c r="AU323">
        <v>0</v>
      </c>
      <c r="AW323">
        <v>0</v>
      </c>
      <c r="AX323">
        <v>0</v>
      </c>
      <c r="AY323">
        <v>1960</v>
      </c>
      <c r="BA323" t="str">
        <f t="shared" si="42"/>
        <v>0000000000000</v>
      </c>
      <c r="BC323" t="str">
        <f>T("9791166481888")</f>
        <v>9791166481888</v>
      </c>
      <c r="BE323" t="str">
        <f t="shared" si="41"/>
        <v>BL 소설 e북 &gt; 현대물</v>
      </c>
    </row>
    <row r="324" spans="1:58" x14ac:dyDescent="0.3">
      <c r="A324">
        <v>1525008024</v>
      </c>
      <c r="B324">
        <v>1525008025</v>
      </c>
      <c r="C324" t="str">
        <f>T("[e북]나는 네가 싫었다 2권 (완결)")</f>
        <v>[e북]나는 네가 싫었다 2권 (완결)</v>
      </c>
      <c r="D324" t="str">
        <f>T("2")</f>
        <v>2</v>
      </c>
      <c r="E324" t="str">
        <f>T("키도")</f>
        <v>키도</v>
      </c>
      <c r="H324" t="str">
        <f t="shared" si="40"/>
        <v>블러쉬</v>
      </c>
      <c r="I324" t="str">
        <f>T("[e북]나는 네가 싫었다")</f>
        <v>[e북]나는 네가 싫었다</v>
      </c>
      <c r="J324">
        <v>2800</v>
      </c>
      <c r="K324">
        <v>2800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2800</v>
      </c>
      <c r="AH324">
        <v>1</v>
      </c>
      <c r="AI324">
        <v>0</v>
      </c>
      <c r="AJ324">
        <v>0</v>
      </c>
      <c r="AK324">
        <v>2800</v>
      </c>
      <c r="AL324">
        <v>0</v>
      </c>
      <c r="AM324">
        <v>0</v>
      </c>
      <c r="AN324">
        <v>0</v>
      </c>
      <c r="AO324">
        <v>0</v>
      </c>
      <c r="AQ324">
        <v>0</v>
      </c>
      <c r="AR324">
        <v>0</v>
      </c>
      <c r="AT324">
        <v>0</v>
      </c>
      <c r="AU324">
        <v>0</v>
      </c>
      <c r="AW324">
        <v>0</v>
      </c>
      <c r="AX324">
        <v>0</v>
      </c>
      <c r="AY324">
        <v>1960</v>
      </c>
      <c r="BA324" t="str">
        <f t="shared" si="42"/>
        <v>0000000000000</v>
      </c>
      <c r="BC324" t="str">
        <f>T("9791164898664")</f>
        <v>9791164898664</v>
      </c>
      <c r="BE324" t="str">
        <f t="shared" si="41"/>
        <v>BL 소설 e북 &gt; 현대물</v>
      </c>
    </row>
    <row r="325" spans="1:58" x14ac:dyDescent="0.3">
      <c r="A325">
        <v>1525008024</v>
      </c>
      <c r="B325">
        <v>1525008024</v>
      </c>
      <c r="C325" t="str">
        <f>T("[e북]나는 네가 싫었다 1권")</f>
        <v>[e북]나는 네가 싫었다 1권</v>
      </c>
      <c r="D325" t="str">
        <f>T("1")</f>
        <v>1</v>
      </c>
      <c r="E325" t="str">
        <f>T("키도")</f>
        <v>키도</v>
      </c>
      <c r="H325" t="str">
        <f t="shared" si="40"/>
        <v>블러쉬</v>
      </c>
      <c r="I325" t="str">
        <f>T("[e북]나는 네가 싫었다")</f>
        <v>[e북]나는 네가 싫었다</v>
      </c>
      <c r="J325">
        <v>2800</v>
      </c>
      <c r="K325">
        <v>2800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2800</v>
      </c>
      <c r="AH325">
        <v>1</v>
      </c>
      <c r="AI325">
        <v>0</v>
      </c>
      <c r="AJ325">
        <v>0</v>
      </c>
      <c r="AK325">
        <v>2800</v>
      </c>
      <c r="AL325">
        <v>0</v>
      </c>
      <c r="AM325">
        <v>0</v>
      </c>
      <c r="AN325">
        <v>0</v>
      </c>
      <c r="AO325">
        <v>0</v>
      </c>
      <c r="AQ325">
        <v>0</v>
      </c>
      <c r="AR325">
        <v>0</v>
      </c>
      <c r="AT325">
        <v>0</v>
      </c>
      <c r="AU325">
        <v>0</v>
      </c>
      <c r="AW325">
        <v>0</v>
      </c>
      <c r="AX325">
        <v>0</v>
      </c>
      <c r="AY325">
        <v>1960</v>
      </c>
      <c r="BA325" t="str">
        <f t="shared" si="42"/>
        <v>0000000000000</v>
      </c>
      <c r="BC325" t="str">
        <f>T("9791164898657")</f>
        <v>9791164898657</v>
      </c>
      <c r="BE325" t="str">
        <f t="shared" si="41"/>
        <v>BL 소설 e북 &gt; 현대물</v>
      </c>
    </row>
    <row r="326" spans="1:58" x14ac:dyDescent="0.3">
      <c r="B326">
        <v>1525007763</v>
      </c>
      <c r="C326" t="str">
        <f>T("[e북]녹아내리다")</f>
        <v>[e북]녹아내리다</v>
      </c>
      <c r="E326" t="str">
        <f>T("투즈")</f>
        <v>투즈</v>
      </c>
      <c r="H326" t="str">
        <f>T("쉬라즈")</f>
        <v>쉬라즈</v>
      </c>
      <c r="J326">
        <v>2800</v>
      </c>
      <c r="K326">
        <v>2800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2800</v>
      </c>
      <c r="AH326">
        <v>1</v>
      </c>
      <c r="AI326">
        <v>0</v>
      </c>
      <c r="AJ326">
        <v>0</v>
      </c>
      <c r="AK326">
        <v>2800</v>
      </c>
      <c r="AL326">
        <v>0</v>
      </c>
      <c r="AM326">
        <v>0</v>
      </c>
      <c r="AN326">
        <v>0</v>
      </c>
      <c r="AO326">
        <v>0</v>
      </c>
      <c r="AQ326">
        <v>0</v>
      </c>
      <c r="AR326">
        <v>0</v>
      </c>
      <c r="AT326">
        <v>0</v>
      </c>
      <c r="AU326">
        <v>0</v>
      </c>
      <c r="AW326">
        <v>0</v>
      </c>
      <c r="AX326">
        <v>0</v>
      </c>
      <c r="AY326">
        <v>1960</v>
      </c>
      <c r="BA326" t="str">
        <f t="shared" si="42"/>
        <v>0000000000000</v>
      </c>
      <c r="BC326" t="str">
        <f>T("9791164898411")</f>
        <v>9791164898411</v>
      </c>
      <c r="BE326" t="str">
        <f>T("로맨스 e북 &gt; 현대물")</f>
        <v>로맨스 e북 &gt; 현대물</v>
      </c>
    </row>
    <row r="327" spans="1:58" x14ac:dyDescent="0.3">
      <c r="A327">
        <v>1525001836</v>
      </c>
      <c r="B327">
        <v>1525001843</v>
      </c>
      <c r="C327" t="str">
        <f>T("[e북]완전판ㅣ스피릿 소드 8권 (완결)")</f>
        <v>[e북]완전판ㅣ스피릿 소드 8권 (완결)</v>
      </c>
      <c r="D327" t="str">
        <f>T("8")</f>
        <v>8</v>
      </c>
      <c r="E327" t="str">
        <f>T("김정률")</f>
        <v>김정률</v>
      </c>
      <c r="H327" t="str">
        <f>T("스토리위즈")</f>
        <v>스토리위즈</v>
      </c>
      <c r="I327" t="str">
        <f>T("[e북]완전판ㅣ스피릿 소드")</f>
        <v>[e북]완전판ㅣ스피릿 소드</v>
      </c>
      <c r="J327">
        <v>3000</v>
      </c>
      <c r="K327">
        <v>2700</v>
      </c>
      <c r="L327">
        <v>1</v>
      </c>
      <c r="M327">
        <v>0</v>
      </c>
      <c r="N327">
        <v>3500</v>
      </c>
      <c r="O327">
        <v>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6200</v>
      </c>
      <c r="AH327">
        <v>6</v>
      </c>
      <c r="AI327">
        <v>0</v>
      </c>
      <c r="AJ327">
        <v>0</v>
      </c>
      <c r="AK327">
        <v>5500</v>
      </c>
      <c r="AL327">
        <v>0</v>
      </c>
      <c r="AM327">
        <v>840</v>
      </c>
      <c r="AN327">
        <v>-84</v>
      </c>
      <c r="AO327">
        <v>0</v>
      </c>
      <c r="AQ327">
        <v>0</v>
      </c>
      <c r="AR327">
        <v>0</v>
      </c>
      <c r="AS327">
        <v>840</v>
      </c>
      <c r="AT327">
        <v>-84</v>
      </c>
      <c r="AU327">
        <v>0</v>
      </c>
      <c r="AW327">
        <v>0</v>
      </c>
      <c r="AX327">
        <v>0</v>
      </c>
      <c r="AY327">
        <v>4379.2</v>
      </c>
      <c r="BC327" t="str">
        <f>T("9791159285295")</f>
        <v>9791159285295</v>
      </c>
      <c r="BE327" t="str">
        <f>T("판타지 e북 &gt; 정통 판타지")</f>
        <v>판타지 e북 &gt; 정통 판타지</v>
      </c>
    </row>
    <row r="328" spans="1:58" x14ac:dyDescent="0.3">
      <c r="A328">
        <v>1525008189</v>
      </c>
      <c r="B328">
        <v>1525008191</v>
      </c>
      <c r="C328" t="str">
        <f>T("[e북]클라우드 나인 (Cloud 9) 3권 (완결)")</f>
        <v>[e북]클라우드 나인 (Cloud 9) 3권 (완결)</v>
      </c>
      <c r="D328" t="str">
        <f>T("3")</f>
        <v>3</v>
      </c>
      <c r="E328" t="str">
        <f>T("jooki")</f>
        <v>jooki</v>
      </c>
      <c r="H328" t="str">
        <f>T("블러쉬")</f>
        <v>블러쉬</v>
      </c>
      <c r="I328" t="str">
        <f>T("[e북]클라우드 나인 (Cloud 9)")</f>
        <v>[e북]클라우드 나인 (Cloud 9)</v>
      </c>
      <c r="J328">
        <v>3000</v>
      </c>
      <c r="K328">
        <v>2700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2700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3240</v>
      </c>
      <c r="AN328">
        <v>-324</v>
      </c>
      <c r="AO328">
        <v>0</v>
      </c>
      <c r="AQ328">
        <v>0</v>
      </c>
      <c r="AR328">
        <v>0</v>
      </c>
      <c r="AS328">
        <v>3240</v>
      </c>
      <c r="AT328">
        <v>-324</v>
      </c>
      <c r="AU328">
        <v>0</v>
      </c>
      <c r="AW328">
        <v>0</v>
      </c>
      <c r="AX328">
        <v>0</v>
      </c>
      <c r="AY328">
        <v>2041.2</v>
      </c>
      <c r="BA328" t="str">
        <f>T("0000000000000")</f>
        <v>0000000000000</v>
      </c>
      <c r="BC328" t="str">
        <f>T("9791190132367")</f>
        <v>9791190132367</v>
      </c>
      <c r="BE328" t="str">
        <f>T("BL 소설 e북 &gt; 현대물")</f>
        <v>BL 소설 e북 &gt; 현대물</v>
      </c>
    </row>
    <row r="329" spans="1:58" x14ac:dyDescent="0.3">
      <c r="B329">
        <v>1525014433</v>
      </c>
      <c r="C329" t="str">
        <f>T("[e북]깃들다")</f>
        <v>[e북]깃들다</v>
      </c>
      <c r="E329" t="str">
        <f>T("현진서")</f>
        <v>현진서</v>
      </c>
      <c r="H329" t="str">
        <f>T("밀리오리지널")</f>
        <v>밀리오리지널</v>
      </c>
      <c r="J329">
        <v>2500</v>
      </c>
      <c r="K329">
        <v>2500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2500</v>
      </c>
      <c r="AH329">
        <v>1</v>
      </c>
      <c r="AI329">
        <v>0</v>
      </c>
      <c r="AJ329">
        <v>0</v>
      </c>
      <c r="AK329">
        <v>2500</v>
      </c>
      <c r="AL329">
        <v>0</v>
      </c>
      <c r="AM329">
        <v>0</v>
      </c>
      <c r="AN329">
        <v>0</v>
      </c>
      <c r="AO329">
        <v>0</v>
      </c>
      <c r="AQ329">
        <v>0</v>
      </c>
      <c r="AR329">
        <v>0</v>
      </c>
      <c r="AT329">
        <v>0</v>
      </c>
      <c r="AU329">
        <v>0</v>
      </c>
      <c r="AW329">
        <v>0</v>
      </c>
      <c r="AX329">
        <v>0</v>
      </c>
      <c r="AY329">
        <v>1750</v>
      </c>
      <c r="BC329" t="str">
        <f>T("9791191562514")</f>
        <v>9791191562514</v>
      </c>
      <c r="BE329" t="str">
        <f>T("로맨스 e북 &gt; 현대물")</f>
        <v>로맨스 e북 &gt; 현대물</v>
      </c>
      <c r="BF329" t="str">
        <f>T("로맨스 e북 &gt; 19+")</f>
        <v>로맨스 e북 &gt; 19+</v>
      </c>
    </row>
    <row r="330" spans="1:58" x14ac:dyDescent="0.3">
      <c r="A330">
        <v>1525008114</v>
      </c>
      <c r="B330">
        <v>1525008113</v>
      </c>
      <c r="C330" t="str">
        <f>T("[e북]술탄 (외전)")</f>
        <v>[e북]술탄 (외전)</v>
      </c>
      <c r="D330" t="str">
        <f>T("5")</f>
        <v>5</v>
      </c>
      <c r="E330" t="str">
        <f>T("jooki")</f>
        <v>jooki</v>
      </c>
      <c r="H330" t="str">
        <f>T("블러쉬")</f>
        <v>블러쉬</v>
      </c>
      <c r="I330" t="str">
        <f>T("[e북]술탄")</f>
        <v>[e북]술탄</v>
      </c>
      <c r="J330">
        <v>2500</v>
      </c>
      <c r="K330">
        <v>2500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2500</v>
      </c>
      <c r="AH330">
        <v>1</v>
      </c>
      <c r="AI330">
        <v>0</v>
      </c>
      <c r="AJ330">
        <v>0</v>
      </c>
      <c r="AK330">
        <v>2500</v>
      </c>
      <c r="AL330">
        <v>0</v>
      </c>
      <c r="AM330">
        <v>0</v>
      </c>
      <c r="AN330">
        <v>0</v>
      </c>
      <c r="AO330">
        <v>0</v>
      </c>
      <c r="AQ330">
        <v>0</v>
      </c>
      <c r="AR330">
        <v>0</v>
      </c>
      <c r="AT330">
        <v>0</v>
      </c>
      <c r="AU330">
        <v>0</v>
      </c>
      <c r="AW330">
        <v>0</v>
      </c>
      <c r="AX330">
        <v>0</v>
      </c>
      <c r="AY330">
        <v>1750</v>
      </c>
      <c r="BA330" t="str">
        <f>T("0000000000000")</f>
        <v>0000000000000</v>
      </c>
      <c r="BC330" t="str">
        <f>T("9791190132589")</f>
        <v>9791190132589</v>
      </c>
      <c r="BE330" t="str">
        <f>T("BL 소설 e북 &gt; 역사/시대물")</f>
        <v>BL 소설 e북 &gt; 역사/시대물</v>
      </c>
    </row>
    <row r="331" spans="1:58" x14ac:dyDescent="0.3">
      <c r="B331">
        <v>1525013654</v>
      </c>
      <c r="C331" t="str">
        <f>T("[e북]너와 나의 절정")</f>
        <v>[e북]너와 나의 절정</v>
      </c>
      <c r="E331" t="str">
        <f>T("공호")</f>
        <v>공호</v>
      </c>
      <c r="H331" t="str">
        <f>T("밀리오리지널")</f>
        <v>밀리오리지널</v>
      </c>
      <c r="J331">
        <v>2500</v>
      </c>
      <c r="K331">
        <v>2500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2500</v>
      </c>
      <c r="AH331">
        <v>1</v>
      </c>
      <c r="AI331">
        <v>0</v>
      </c>
      <c r="AJ331">
        <v>0</v>
      </c>
      <c r="AK331">
        <v>2500</v>
      </c>
      <c r="AL331">
        <v>0</v>
      </c>
      <c r="AM331">
        <v>0</v>
      </c>
      <c r="AN331">
        <v>0</v>
      </c>
      <c r="AO331">
        <v>0</v>
      </c>
      <c r="AQ331">
        <v>0</v>
      </c>
      <c r="AR331">
        <v>0</v>
      </c>
      <c r="AT331">
        <v>0</v>
      </c>
      <c r="AU331">
        <v>0</v>
      </c>
      <c r="AW331">
        <v>0</v>
      </c>
      <c r="AX331">
        <v>0</v>
      </c>
      <c r="AY331">
        <v>1750</v>
      </c>
      <c r="BC331" t="str">
        <f>T("9791191562224")</f>
        <v>9791191562224</v>
      </c>
      <c r="BE331" t="str">
        <f>T("로맨스 e북 &gt; 현대물")</f>
        <v>로맨스 e북 &gt; 현대물</v>
      </c>
      <c r="BF331" t="str">
        <f>T("로맨스 e북 &gt; 19+")</f>
        <v>로맨스 e북 &gt; 19+</v>
      </c>
    </row>
    <row r="332" spans="1:58" x14ac:dyDescent="0.3">
      <c r="B332">
        <v>1525015095</v>
      </c>
      <c r="C332" t="str">
        <f>T("[e북]불순한 재회")</f>
        <v>[e북]불순한 재회</v>
      </c>
      <c r="E332" t="str">
        <f>T("장현미")</f>
        <v>장현미</v>
      </c>
      <c r="H332" t="str">
        <f>T("밀리오리지널")</f>
        <v>밀리오리지널</v>
      </c>
      <c r="J332">
        <v>2500</v>
      </c>
      <c r="K332">
        <v>2500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2500</v>
      </c>
      <c r="AH332">
        <v>1</v>
      </c>
      <c r="AI332">
        <v>0</v>
      </c>
      <c r="AJ332">
        <v>0</v>
      </c>
      <c r="AK332">
        <v>2500</v>
      </c>
      <c r="AL332">
        <v>0</v>
      </c>
      <c r="AM332">
        <v>0</v>
      </c>
      <c r="AN332">
        <v>0</v>
      </c>
      <c r="AO332">
        <v>0</v>
      </c>
      <c r="AQ332">
        <v>0</v>
      </c>
      <c r="AR332">
        <v>0</v>
      </c>
      <c r="AT332">
        <v>0</v>
      </c>
      <c r="AU332">
        <v>0</v>
      </c>
      <c r="AW332">
        <v>0</v>
      </c>
      <c r="AX332">
        <v>0</v>
      </c>
      <c r="AY332">
        <v>1750</v>
      </c>
      <c r="BC332" t="str">
        <f>T("9791191562859")</f>
        <v>9791191562859</v>
      </c>
      <c r="BE332" t="str">
        <f>T("로맨스 e북 &gt; 현대물")</f>
        <v>로맨스 e북 &gt; 현대물</v>
      </c>
      <c r="BF332" t="str">
        <f>T("로맨스 e북 &gt; 19+")</f>
        <v>로맨스 e북 &gt; 19+</v>
      </c>
    </row>
    <row r="333" spans="1:58" x14ac:dyDescent="0.3">
      <c r="A333">
        <v>1525012005</v>
      </c>
      <c r="B333">
        <v>1525012002</v>
      </c>
      <c r="C333" t="str">
        <f>T("[e북]남궁세가 건달공자 4권")</f>
        <v>[e북]남궁세가 건달공자 4권</v>
      </c>
      <c r="D333" t="str">
        <f>T("4")</f>
        <v>4</v>
      </c>
      <c r="E333" t="str">
        <f>T("협행마")</f>
        <v>협행마</v>
      </c>
      <c r="H333" t="str">
        <f>T("에필로그")</f>
        <v>에필로그</v>
      </c>
      <c r="I333" t="str">
        <f>T("[e북]남궁세가 건달공자")</f>
        <v>[e북]남궁세가 건달공자</v>
      </c>
      <c r="J333">
        <v>2500</v>
      </c>
      <c r="K333">
        <v>2500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2500</v>
      </c>
      <c r="AH333">
        <v>1</v>
      </c>
      <c r="AI333">
        <v>0</v>
      </c>
      <c r="AJ333">
        <v>0</v>
      </c>
      <c r="AK333">
        <v>2500</v>
      </c>
      <c r="AL333">
        <v>0</v>
      </c>
      <c r="AM333">
        <v>0</v>
      </c>
      <c r="AN333">
        <v>0</v>
      </c>
      <c r="AO333">
        <v>0</v>
      </c>
      <c r="AQ333">
        <v>0</v>
      </c>
      <c r="AR333">
        <v>0</v>
      </c>
      <c r="AT333">
        <v>0</v>
      </c>
      <c r="AU333">
        <v>0</v>
      </c>
      <c r="AW333">
        <v>0</v>
      </c>
      <c r="AX333">
        <v>0</v>
      </c>
      <c r="AY333">
        <v>1750</v>
      </c>
      <c r="BC333" t="str">
        <f>T("9791164481583")</f>
        <v>9791164481583</v>
      </c>
      <c r="BE333" t="str">
        <f>T("판타지 e북 &gt; 신무협")</f>
        <v>판타지 e북 &gt; 신무협</v>
      </c>
    </row>
    <row r="334" spans="1:58" x14ac:dyDescent="0.3">
      <c r="B334">
        <v>1525014004</v>
      </c>
      <c r="C334" t="str">
        <f>T("[e북]미쳐 버린 밤")</f>
        <v>[e북]미쳐 버린 밤</v>
      </c>
      <c r="E334" t="str">
        <f>T("백화(百花)")</f>
        <v>백화(百花)</v>
      </c>
      <c r="H334" t="str">
        <f>T("밀리오리지널")</f>
        <v>밀리오리지널</v>
      </c>
      <c r="J334">
        <v>2000</v>
      </c>
      <c r="K334">
        <v>2000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2000</v>
      </c>
      <c r="AH334">
        <v>1</v>
      </c>
      <c r="AI334">
        <v>0</v>
      </c>
      <c r="AJ334">
        <v>0</v>
      </c>
      <c r="AK334">
        <v>2000</v>
      </c>
      <c r="AL334">
        <v>0</v>
      </c>
      <c r="AM334">
        <v>0</v>
      </c>
      <c r="AN334">
        <v>0</v>
      </c>
      <c r="AO334">
        <v>0</v>
      </c>
      <c r="AQ334">
        <v>0</v>
      </c>
      <c r="AR334">
        <v>0</v>
      </c>
      <c r="AT334">
        <v>0</v>
      </c>
      <c r="AU334">
        <v>0</v>
      </c>
      <c r="AW334">
        <v>0</v>
      </c>
      <c r="AX334">
        <v>0</v>
      </c>
      <c r="AY334">
        <v>1400</v>
      </c>
      <c r="BC334" t="str">
        <f>T("9791191562262")</f>
        <v>9791191562262</v>
      </c>
      <c r="BE334" t="str">
        <f>T("로맨스 e북 &gt; 현대물")</f>
        <v>로맨스 e북 &gt; 현대물</v>
      </c>
      <c r="BF334" t="str">
        <f>T("로맨스 e북 &gt; 19+")</f>
        <v>로맨스 e북 &gt; 19+</v>
      </c>
    </row>
    <row r="335" spans="1:58" x14ac:dyDescent="0.3">
      <c r="A335">
        <v>1525013368</v>
      </c>
      <c r="B335">
        <v>1525013370</v>
      </c>
      <c r="C335" t="str">
        <f>T("[e북]기획에 산다 2권")</f>
        <v>[e북]기획에 산다 2권</v>
      </c>
      <c r="D335" t="str">
        <f>T("2")</f>
        <v>2</v>
      </c>
      <c r="E335" t="str">
        <f>T("백범(白帆)")</f>
        <v>백범(白帆)</v>
      </c>
      <c r="H335" t="str">
        <f>T("에필로그")</f>
        <v>에필로그</v>
      </c>
      <c r="I335" t="str">
        <f>T("[e북]기획에 산다")</f>
        <v>[e북]기획에 산다</v>
      </c>
      <c r="J335">
        <v>2000</v>
      </c>
      <c r="K335">
        <v>2000</v>
      </c>
      <c r="L335">
        <v>1</v>
      </c>
      <c r="M335">
        <v>0</v>
      </c>
      <c r="N335">
        <v>900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2900</v>
      </c>
      <c r="AH335">
        <v>2</v>
      </c>
      <c r="AI335">
        <v>0</v>
      </c>
      <c r="AJ335">
        <v>0</v>
      </c>
      <c r="AK335">
        <v>2900</v>
      </c>
      <c r="AL335">
        <v>0</v>
      </c>
      <c r="AM335">
        <v>0</v>
      </c>
      <c r="AN335">
        <v>0</v>
      </c>
      <c r="AO335">
        <v>0</v>
      </c>
      <c r="AQ335">
        <v>0</v>
      </c>
      <c r="AR335">
        <v>0</v>
      </c>
      <c r="AT335">
        <v>0</v>
      </c>
      <c r="AU335">
        <v>0</v>
      </c>
      <c r="AW335">
        <v>0</v>
      </c>
      <c r="AX335">
        <v>0</v>
      </c>
      <c r="AY335">
        <v>2030</v>
      </c>
      <c r="BC335" t="str">
        <f>T("9791189867515")</f>
        <v>9791189867515</v>
      </c>
      <c r="BE335" t="str">
        <f>T("판타지 e북 &gt; 현대 판타지")</f>
        <v>판타지 e북 &gt; 현대 판타지</v>
      </c>
    </row>
    <row r="336" spans="1:58" x14ac:dyDescent="0.3">
      <c r="A336">
        <v>1525008077</v>
      </c>
      <c r="B336">
        <v>1525008078</v>
      </c>
      <c r="C336" t="str">
        <f>T("[e북]마지막 춤은, 악인과 함께 (외전)")</f>
        <v>[e북]마지막 춤은, 악인과 함께 (외전)</v>
      </c>
      <c r="D336" t="str">
        <f>T("2")</f>
        <v>2</v>
      </c>
      <c r="E336" t="str">
        <f>T("SISSI")</f>
        <v>SISSI</v>
      </c>
      <c r="H336" t="str">
        <f>T("블러쉬")</f>
        <v>블러쉬</v>
      </c>
      <c r="I336" t="str">
        <f>T("[e북]마지막 춤은, 악인과 함께")</f>
        <v>[e북]마지막 춤은, 악인과 함께</v>
      </c>
      <c r="J336">
        <v>500</v>
      </c>
      <c r="K336">
        <v>2000</v>
      </c>
      <c r="L336">
        <v>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2000</v>
      </c>
      <c r="AH336">
        <v>4</v>
      </c>
      <c r="AI336">
        <v>0</v>
      </c>
      <c r="AJ336">
        <v>0</v>
      </c>
      <c r="AK336">
        <v>2000</v>
      </c>
      <c r="AL336">
        <v>0</v>
      </c>
      <c r="AM336">
        <v>0</v>
      </c>
      <c r="AN336">
        <v>0</v>
      </c>
      <c r="AO336">
        <v>0</v>
      </c>
      <c r="AQ336">
        <v>0</v>
      </c>
      <c r="AR336">
        <v>0</v>
      </c>
      <c r="AT336">
        <v>0</v>
      </c>
      <c r="AU336">
        <v>0</v>
      </c>
      <c r="AW336">
        <v>0</v>
      </c>
      <c r="AX336">
        <v>0</v>
      </c>
      <c r="AY336">
        <v>1400</v>
      </c>
      <c r="BA336" t="str">
        <f>T("0000000000000")</f>
        <v>0000000000000</v>
      </c>
      <c r="BC336" t="str">
        <f>T("9791166480003")</f>
        <v>9791166480003</v>
      </c>
      <c r="BE336" t="str">
        <f>T("BL 소설 e북 &gt; 현대물")</f>
        <v>BL 소설 e북 &gt; 현대물</v>
      </c>
    </row>
    <row r="337" spans="1:58" x14ac:dyDescent="0.3">
      <c r="B337">
        <v>1525014012</v>
      </c>
      <c r="C337" t="str">
        <f>T("[e북]깊은 밤 너의 고백이")</f>
        <v>[e북]깊은 밤 너의 고백이</v>
      </c>
      <c r="E337" t="str">
        <f>T("이새인")</f>
        <v>이새인</v>
      </c>
      <c r="H337" t="str">
        <f>T("밀리오리지널")</f>
        <v>밀리오리지널</v>
      </c>
      <c r="J337">
        <v>2000</v>
      </c>
      <c r="K337">
        <v>2000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2000</v>
      </c>
      <c r="AH337">
        <v>1</v>
      </c>
      <c r="AI337">
        <v>0</v>
      </c>
      <c r="AJ337">
        <v>0</v>
      </c>
      <c r="AK337">
        <v>2000</v>
      </c>
      <c r="AL337">
        <v>0</v>
      </c>
      <c r="AM337">
        <v>0</v>
      </c>
      <c r="AN337">
        <v>0</v>
      </c>
      <c r="AO337">
        <v>0</v>
      </c>
      <c r="AQ337">
        <v>0</v>
      </c>
      <c r="AR337">
        <v>0</v>
      </c>
      <c r="AT337">
        <v>0</v>
      </c>
      <c r="AU337">
        <v>0</v>
      </c>
      <c r="AW337">
        <v>0</v>
      </c>
      <c r="AX337">
        <v>0</v>
      </c>
      <c r="AY337">
        <v>1400</v>
      </c>
      <c r="BA337" t="str">
        <f>T("0000000000000")</f>
        <v>0000000000000</v>
      </c>
      <c r="BC337" t="str">
        <f>T("9791191562378")</f>
        <v>9791191562378</v>
      </c>
      <c r="BE337" t="str">
        <f>T("로맨스 e북 &gt; 현대물")</f>
        <v>로맨스 e북 &gt; 현대물</v>
      </c>
      <c r="BF337" t="str">
        <f>T("로맨스 e북 &gt; 19+")</f>
        <v>로맨스 e북 &gt; 19+</v>
      </c>
    </row>
    <row r="338" spans="1:58" x14ac:dyDescent="0.3">
      <c r="B338">
        <v>1525013427</v>
      </c>
      <c r="C338" t="str">
        <f>T("[e북]수리 낭군")</f>
        <v>[e북]수리 낭군</v>
      </c>
      <c r="E338" t="str">
        <f>T("하루가")</f>
        <v>하루가</v>
      </c>
      <c r="H338" t="str">
        <f>T("밀리오리지널")</f>
        <v>밀리오리지널</v>
      </c>
      <c r="J338">
        <v>2000</v>
      </c>
      <c r="K338">
        <v>2000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2000</v>
      </c>
      <c r="AH338">
        <v>1</v>
      </c>
      <c r="AI338">
        <v>0</v>
      </c>
      <c r="AJ338">
        <v>0</v>
      </c>
      <c r="AK338">
        <v>2000</v>
      </c>
      <c r="AL338">
        <v>0</v>
      </c>
      <c r="AM338">
        <v>0</v>
      </c>
      <c r="AN338">
        <v>0</v>
      </c>
      <c r="AO338">
        <v>0</v>
      </c>
      <c r="AQ338">
        <v>0</v>
      </c>
      <c r="AR338">
        <v>0</v>
      </c>
      <c r="AT338">
        <v>0</v>
      </c>
      <c r="AU338">
        <v>0</v>
      </c>
      <c r="AW338">
        <v>0</v>
      </c>
      <c r="AX338">
        <v>0</v>
      </c>
      <c r="AY338">
        <v>1400</v>
      </c>
      <c r="BC338" t="str">
        <f>T("9791191562064")</f>
        <v>9791191562064</v>
      </c>
      <c r="BE338" t="str">
        <f>T("로맨스 e북 &gt; 역사/시대물")</f>
        <v>로맨스 e북 &gt; 역사/시대물</v>
      </c>
      <c r="BF338" t="str">
        <f>T("로맨스 e북 &gt; 19+")</f>
        <v>로맨스 e북 &gt; 19+</v>
      </c>
    </row>
    <row r="339" spans="1:58" x14ac:dyDescent="0.3">
      <c r="A339">
        <v>1525013368</v>
      </c>
      <c r="B339">
        <v>1525013377</v>
      </c>
      <c r="C339" t="str">
        <f>T("[e북]기획에 산다 9권")</f>
        <v>[e북]기획에 산다 9권</v>
      </c>
      <c r="D339" t="str">
        <f>T("9")</f>
        <v>9</v>
      </c>
      <c r="E339" t="str">
        <f>T("백범(白帆)")</f>
        <v>백범(白帆)</v>
      </c>
      <c r="H339" t="str">
        <f>T("에필로그")</f>
        <v>에필로그</v>
      </c>
      <c r="I339" t="str">
        <f>T("[e북]기획에 산다")</f>
        <v>[e북]기획에 산다</v>
      </c>
      <c r="J339">
        <v>2000</v>
      </c>
      <c r="K339">
        <v>2000</v>
      </c>
      <c r="L339">
        <v>1</v>
      </c>
      <c r="M339">
        <v>0</v>
      </c>
      <c r="N339">
        <v>900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2900</v>
      </c>
      <c r="AH339">
        <v>2</v>
      </c>
      <c r="AI339">
        <v>0</v>
      </c>
      <c r="AJ339">
        <v>0</v>
      </c>
      <c r="AK339">
        <v>2900</v>
      </c>
      <c r="AL339">
        <v>0</v>
      </c>
      <c r="AM339">
        <v>0</v>
      </c>
      <c r="AN339">
        <v>0</v>
      </c>
      <c r="AO339">
        <v>0</v>
      </c>
      <c r="AQ339">
        <v>0</v>
      </c>
      <c r="AR339">
        <v>0</v>
      </c>
      <c r="AT339">
        <v>0</v>
      </c>
      <c r="AU339">
        <v>0</v>
      </c>
      <c r="AW339">
        <v>0</v>
      </c>
      <c r="AX339">
        <v>0</v>
      </c>
      <c r="AY339">
        <v>2030</v>
      </c>
      <c r="BC339" t="str">
        <f>T("9791189867508")</f>
        <v>9791189867508</v>
      </c>
      <c r="BE339" t="str">
        <f>T("판타지 e북 &gt; 현대 판타지")</f>
        <v>판타지 e북 &gt; 현대 판타지</v>
      </c>
    </row>
    <row r="340" spans="1:58" x14ac:dyDescent="0.3">
      <c r="A340">
        <v>1525013368</v>
      </c>
      <c r="B340">
        <v>1525013376</v>
      </c>
      <c r="C340" t="str">
        <f>T("[e북]기획에 산다 8권")</f>
        <v>[e북]기획에 산다 8권</v>
      </c>
      <c r="D340" t="str">
        <f>T("8")</f>
        <v>8</v>
      </c>
      <c r="E340" t="str">
        <f>T("백범(白帆)")</f>
        <v>백범(白帆)</v>
      </c>
      <c r="H340" t="str">
        <f>T("에필로그")</f>
        <v>에필로그</v>
      </c>
      <c r="I340" t="str">
        <f>T("[e북]기획에 산다")</f>
        <v>[e북]기획에 산다</v>
      </c>
      <c r="J340">
        <v>2000</v>
      </c>
      <c r="K340">
        <v>2000</v>
      </c>
      <c r="L340">
        <v>1</v>
      </c>
      <c r="M340">
        <v>0</v>
      </c>
      <c r="N340">
        <v>900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2900</v>
      </c>
      <c r="AH340">
        <v>2</v>
      </c>
      <c r="AI340">
        <v>0</v>
      </c>
      <c r="AJ340">
        <v>0</v>
      </c>
      <c r="AK340">
        <v>2900</v>
      </c>
      <c r="AL340">
        <v>0</v>
      </c>
      <c r="AM340">
        <v>0</v>
      </c>
      <c r="AN340">
        <v>0</v>
      </c>
      <c r="AO340">
        <v>0</v>
      </c>
      <c r="AQ340">
        <v>0</v>
      </c>
      <c r="AR340">
        <v>0</v>
      </c>
      <c r="AT340">
        <v>0</v>
      </c>
      <c r="AU340">
        <v>0</v>
      </c>
      <c r="AW340">
        <v>0</v>
      </c>
      <c r="AX340">
        <v>0</v>
      </c>
      <c r="AY340">
        <v>2030</v>
      </c>
      <c r="BC340" t="str">
        <f>T("9791189867577")</f>
        <v>9791189867577</v>
      </c>
      <c r="BE340" t="str">
        <f>T("판타지 e북 &gt; 현대 판타지")</f>
        <v>판타지 e북 &gt; 현대 판타지</v>
      </c>
    </row>
    <row r="341" spans="1:58" x14ac:dyDescent="0.3">
      <c r="A341">
        <v>1525013368</v>
      </c>
      <c r="B341">
        <v>1525013375</v>
      </c>
      <c r="C341" t="str">
        <f>T("[e북]기획에 산다 7권")</f>
        <v>[e북]기획에 산다 7권</v>
      </c>
      <c r="D341" t="str">
        <f>T("7")</f>
        <v>7</v>
      </c>
      <c r="E341" t="str">
        <f>T("백범(白帆)")</f>
        <v>백범(白帆)</v>
      </c>
      <c r="H341" t="str">
        <f>T("에필로그")</f>
        <v>에필로그</v>
      </c>
      <c r="I341" t="str">
        <f>T("[e북]기획에 산다")</f>
        <v>[e북]기획에 산다</v>
      </c>
      <c r="J341">
        <v>2000</v>
      </c>
      <c r="K341">
        <v>2000</v>
      </c>
      <c r="L341">
        <v>1</v>
      </c>
      <c r="M341">
        <v>0</v>
      </c>
      <c r="N341">
        <v>900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2900</v>
      </c>
      <c r="AH341">
        <v>2</v>
      </c>
      <c r="AI341">
        <v>0</v>
      </c>
      <c r="AJ341">
        <v>0</v>
      </c>
      <c r="AK341">
        <v>2900</v>
      </c>
      <c r="AL341">
        <v>0</v>
      </c>
      <c r="AM341">
        <v>0</v>
      </c>
      <c r="AN341">
        <v>0</v>
      </c>
      <c r="AO341">
        <v>0</v>
      </c>
      <c r="AQ341">
        <v>0</v>
      </c>
      <c r="AR341">
        <v>0</v>
      </c>
      <c r="AT341">
        <v>0</v>
      </c>
      <c r="AU341">
        <v>0</v>
      </c>
      <c r="AW341">
        <v>0</v>
      </c>
      <c r="AX341">
        <v>0</v>
      </c>
      <c r="AY341">
        <v>2030</v>
      </c>
      <c r="BC341" t="str">
        <f>T("9791189867560")</f>
        <v>9791189867560</v>
      </c>
      <c r="BE341" t="str">
        <f>T("판타지 e북 &gt; 현대 판타지")</f>
        <v>판타지 e북 &gt; 현대 판타지</v>
      </c>
    </row>
    <row r="342" spans="1:58" x14ac:dyDescent="0.3">
      <c r="B342">
        <v>1525014006</v>
      </c>
      <c r="C342" t="str">
        <f>T("[e북]너는 싱그러운 여름처럼")</f>
        <v>[e북]너는 싱그러운 여름처럼</v>
      </c>
      <c r="E342" t="str">
        <f>T("박지영")</f>
        <v>박지영</v>
      </c>
      <c r="H342" t="str">
        <f>T("밀리오리지널")</f>
        <v>밀리오리지널</v>
      </c>
      <c r="J342">
        <v>2000</v>
      </c>
      <c r="K342">
        <v>2000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2000</v>
      </c>
      <c r="AH342">
        <v>1</v>
      </c>
      <c r="AI342">
        <v>0</v>
      </c>
      <c r="AJ342">
        <v>0</v>
      </c>
      <c r="AK342">
        <v>2000</v>
      </c>
      <c r="AL342">
        <v>0</v>
      </c>
      <c r="AM342">
        <v>0</v>
      </c>
      <c r="AN342">
        <v>0</v>
      </c>
      <c r="AO342">
        <v>0</v>
      </c>
      <c r="AQ342">
        <v>0</v>
      </c>
      <c r="AR342">
        <v>0</v>
      </c>
      <c r="AT342">
        <v>0</v>
      </c>
      <c r="AU342">
        <v>0</v>
      </c>
      <c r="AW342">
        <v>0</v>
      </c>
      <c r="AX342">
        <v>0</v>
      </c>
      <c r="AY342">
        <v>1400</v>
      </c>
      <c r="BA342" t="str">
        <f t="shared" ref="BA342:BA350" si="43">T("0000000000000")</f>
        <v>0000000000000</v>
      </c>
      <c r="BC342" t="str">
        <f>T("9791191562293")</f>
        <v>9791191562293</v>
      </c>
      <c r="BE342" t="str">
        <f>T("로맨스 e북 &gt; 현대물")</f>
        <v>로맨스 e북 &gt; 현대물</v>
      </c>
    </row>
    <row r="343" spans="1:58" x14ac:dyDescent="0.3">
      <c r="A343">
        <v>1525008021</v>
      </c>
      <c r="B343">
        <v>1525008020</v>
      </c>
      <c r="C343" t="str">
        <f>T("[e북]나는 내 연인의 것 (외전)")</f>
        <v>[e북]나는 내 연인의 것 (외전)</v>
      </c>
      <c r="D343" t="str">
        <f>T("3")</f>
        <v>3</v>
      </c>
      <c r="E343" t="str">
        <f>T("SISSI")</f>
        <v>SISSI</v>
      </c>
      <c r="H343" t="str">
        <f t="shared" ref="H343:H348" si="44">T("블러쉬")</f>
        <v>블러쉬</v>
      </c>
      <c r="I343" t="str">
        <f>T("[e북]나는 내 연인의 것")</f>
        <v>[e북]나는 내 연인의 것</v>
      </c>
      <c r="J343">
        <v>600</v>
      </c>
      <c r="K343">
        <v>1800</v>
      </c>
      <c r="L343">
        <v>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1800</v>
      </c>
      <c r="AH343">
        <v>3</v>
      </c>
      <c r="AI343">
        <v>0</v>
      </c>
      <c r="AJ343">
        <v>0</v>
      </c>
      <c r="AK343">
        <v>1800</v>
      </c>
      <c r="AL343">
        <v>0</v>
      </c>
      <c r="AM343">
        <v>0</v>
      </c>
      <c r="AN343">
        <v>0</v>
      </c>
      <c r="AO343">
        <v>0</v>
      </c>
      <c r="AQ343">
        <v>0</v>
      </c>
      <c r="AR343">
        <v>0</v>
      </c>
      <c r="AT343">
        <v>0</v>
      </c>
      <c r="AU343">
        <v>0</v>
      </c>
      <c r="AW343">
        <v>0</v>
      </c>
      <c r="AX343">
        <v>0</v>
      </c>
      <c r="AY343">
        <v>1260</v>
      </c>
      <c r="BA343" t="str">
        <f t="shared" si="43"/>
        <v>0000000000000</v>
      </c>
      <c r="BC343" t="str">
        <f>T("9791164899432")</f>
        <v>9791164899432</v>
      </c>
      <c r="BE343" t="str">
        <f t="shared" ref="BE343:BE348" si="45">T("BL 소설 e북 &gt; 현대물")</f>
        <v>BL 소설 e북 &gt; 현대물</v>
      </c>
    </row>
    <row r="344" spans="1:58" x14ac:dyDescent="0.3">
      <c r="A344">
        <v>1525008204</v>
      </c>
      <c r="B344">
        <v>1525008203</v>
      </c>
      <c r="C344" t="str">
        <f>T("[e북]피할 수 없으면 즐겨라 (외전)")</f>
        <v>[e북]피할 수 없으면 즐겨라 (외전)</v>
      </c>
      <c r="D344" t="str">
        <f>T("5")</f>
        <v>5</v>
      </c>
      <c r="E344" t="str">
        <f>T("한슬")</f>
        <v>한슬</v>
      </c>
      <c r="H344" t="str">
        <f t="shared" si="44"/>
        <v>블러쉬</v>
      </c>
      <c r="I344" t="str">
        <f>T("[e북]피할 수 없으면 즐겨라")</f>
        <v>[e북]피할 수 없으면 즐겨라</v>
      </c>
      <c r="J344">
        <v>1200</v>
      </c>
      <c r="K344">
        <v>1200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1200</v>
      </c>
      <c r="AH344">
        <v>1</v>
      </c>
      <c r="AI344">
        <v>0</v>
      </c>
      <c r="AJ344">
        <v>0</v>
      </c>
      <c r="AK344">
        <v>1200</v>
      </c>
      <c r="AL344">
        <v>0</v>
      </c>
      <c r="AM344">
        <v>0</v>
      </c>
      <c r="AN344">
        <v>0</v>
      </c>
      <c r="AO344">
        <v>0</v>
      </c>
      <c r="AQ344">
        <v>0</v>
      </c>
      <c r="AR344">
        <v>0</v>
      </c>
      <c r="AT344">
        <v>0</v>
      </c>
      <c r="AU344">
        <v>0</v>
      </c>
      <c r="AW344">
        <v>0</v>
      </c>
      <c r="AX344">
        <v>0</v>
      </c>
      <c r="AY344">
        <v>840</v>
      </c>
      <c r="BA344" t="str">
        <f t="shared" si="43"/>
        <v>0000000000000</v>
      </c>
      <c r="BC344" t="str">
        <f>T("9791164892501")</f>
        <v>9791164892501</v>
      </c>
      <c r="BE344" t="str">
        <f t="shared" si="45"/>
        <v>BL 소설 e북 &gt; 현대물</v>
      </c>
    </row>
    <row r="345" spans="1:58" x14ac:dyDescent="0.3">
      <c r="A345">
        <v>1525008154</v>
      </c>
      <c r="B345">
        <v>1525008153</v>
      </c>
      <c r="C345" t="str">
        <f>T("[e북]우아한 곡선 (외전)")</f>
        <v>[e북]우아한 곡선 (외전)</v>
      </c>
      <c r="D345" t="str">
        <f>T("4")</f>
        <v>4</v>
      </c>
      <c r="E345" t="str">
        <f>T("용가리맛쿠키")</f>
        <v>용가리맛쿠키</v>
      </c>
      <c r="H345" t="str">
        <f t="shared" si="44"/>
        <v>블러쉬</v>
      </c>
      <c r="I345" t="str">
        <f>T("[e북]우아한 곡선")</f>
        <v>[e북]우아한 곡선</v>
      </c>
      <c r="J345">
        <v>600</v>
      </c>
      <c r="K345">
        <v>1200</v>
      </c>
      <c r="L345">
        <v>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1200</v>
      </c>
      <c r="AH345">
        <v>2</v>
      </c>
      <c r="AI345">
        <v>0</v>
      </c>
      <c r="AJ345">
        <v>0</v>
      </c>
      <c r="AK345">
        <v>1200</v>
      </c>
      <c r="AL345">
        <v>0</v>
      </c>
      <c r="AM345">
        <v>0</v>
      </c>
      <c r="AN345">
        <v>0</v>
      </c>
      <c r="AO345">
        <v>0</v>
      </c>
      <c r="AQ345">
        <v>0</v>
      </c>
      <c r="AR345">
        <v>0</v>
      </c>
      <c r="AT345">
        <v>0</v>
      </c>
      <c r="AU345">
        <v>0</v>
      </c>
      <c r="AW345">
        <v>0</v>
      </c>
      <c r="AX345">
        <v>0</v>
      </c>
      <c r="AY345">
        <v>840</v>
      </c>
      <c r="BA345" t="str">
        <f t="shared" si="43"/>
        <v>0000000000000</v>
      </c>
      <c r="BC345" t="str">
        <f>T("9791190132107")</f>
        <v>9791190132107</v>
      </c>
      <c r="BE345" t="str">
        <f t="shared" si="45"/>
        <v>BL 소설 e북 &gt; 현대물</v>
      </c>
    </row>
    <row r="346" spans="1:58" x14ac:dyDescent="0.3">
      <c r="A346">
        <v>1525008129</v>
      </c>
      <c r="B346">
        <v>1525008128</v>
      </c>
      <c r="C346" t="str">
        <f>T("[e북]엠프티 (Empty) (외전)")</f>
        <v>[e북]엠프티 (Empty) (외전)</v>
      </c>
      <c r="D346" t="str">
        <f>T("3")</f>
        <v>3</v>
      </c>
      <c r="E346" t="str">
        <f>T("라돌체")</f>
        <v>라돌체</v>
      </c>
      <c r="H346" t="str">
        <f t="shared" si="44"/>
        <v>블러쉬</v>
      </c>
      <c r="I346" t="str">
        <f>T("[e북]엠프티 (Empty)")</f>
        <v>[e북]엠프티 (Empty)</v>
      </c>
      <c r="J346">
        <v>300</v>
      </c>
      <c r="K346">
        <v>1080</v>
      </c>
      <c r="L346">
        <v>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1080</v>
      </c>
      <c r="AH346">
        <v>4</v>
      </c>
      <c r="AI346">
        <v>0</v>
      </c>
      <c r="AJ346">
        <v>0</v>
      </c>
      <c r="AK346">
        <v>1080</v>
      </c>
      <c r="AL346">
        <v>0</v>
      </c>
      <c r="AM346">
        <v>0</v>
      </c>
      <c r="AN346">
        <v>0</v>
      </c>
      <c r="AO346">
        <v>0</v>
      </c>
      <c r="AQ346">
        <v>0</v>
      </c>
      <c r="AR346">
        <v>0</v>
      </c>
      <c r="AT346">
        <v>0</v>
      </c>
      <c r="AU346">
        <v>0</v>
      </c>
      <c r="AW346">
        <v>0</v>
      </c>
      <c r="AX346">
        <v>0</v>
      </c>
      <c r="AY346">
        <v>756</v>
      </c>
      <c r="BA346" t="str">
        <f t="shared" si="43"/>
        <v>0000000000000</v>
      </c>
      <c r="BC346" t="str">
        <f>T("9791190132428")</f>
        <v>9791190132428</v>
      </c>
      <c r="BE346" t="str">
        <f t="shared" si="45"/>
        <v>BL 소설 e북 &gt; 현대물</v>
      </c>
    </row>
    <row r="347" spans="1:58" x14ac:dyDescent="0.3">
      <c r="A347">
        <v>1525008159</v>
      </c>
      <c r="B347">
        <v>1525008158</v>
      </c>
      <c r="C347" t="str">
        <f>T("[e북]육식주의자 (외전)")</f>
        <v>[e북]육식주의자 (외전)</v>
      </c>
      <c r="D347" t="str">
        <f>T("3")</f>
        <v>3</v>
      </c>
      <c r="E347" t="str">
        <f>T("SISSI")</f>
        <v>SISSI</v>
      </c>
      <c r="H347" t="str">
        <f t="shared" si="44"/>
        <v>블러쉬</v>
      </c>
      <c r="I347" t="str">
        <f>T("[e북]육식주의자")</f>
        <v>[e북]육식주의자</v>
      </c>
      <c r="J347">
        <v>1000</v>
      </c>
      <c r="K347">
        <v>1000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1000</v>
      </c>
      <c r="AH347">
        <v>1</v>
      </c>
      <c r="AI347">
        <v>0</v>
      </c>
      <c r="AJ347">
        <v>0</v>
      </c>
      <c r="AK347">
        <v>1000</v>
      </c>
      <c r="AL347">
        <v>0</v>
      </c>
      <c r="AM347">
        <v>0</v>
      </c>
      <c r="AN347">
        <v>0</v>
      </c>
      <c r="AO347">
        <v>0</v>
      </c>
      <c r="AQ347">
        <v>0</v>
      </c>
      <c r="AR347">
        <v>0</v>
      </c>
      <c r="AT347">
        <v>0</v>
      </c>
      <c r="AU347">
        <v>0</v>
      </c>
      <c r="AW347">
        <v>0</v>
      </c>
      <c r="AX347">
        <v>0</v>
      </c>
      <c r="AY347">
        <v>700</v>
      </c>
      <c r="BA347" t="str">
        <f t="shared" si="43"/>
        <v>0000000000000</v>
      </c>
      <c r="BC347" t="str">
        <f>T("9791166480966")</f>
        <v>9791166480966</v>
      </c>
      <c r="BE347" t="str">
        <f t="shared" si="45"/>
        <v>BL 소설 e북 &gt; 현대물</v>
      </c>
    </row>
    <row r="348" spans="1:58" x14ac:dyDescent="0.3">
      <c r="A348">
        <v>1525008183</v>
      </c>
      <c r="B348">
        <v>1525008182</v>
      </c>
      <c r="C348" t="str">
        <f>T("[e북]철수야 뭐하니? (외전)")</f>
        <v>[e북]철수야 뭐하니? (외전)</v>
      </c>
      <c r="D348" t="str">
        <f>T("3")</f>
        <v>3</v>
      </c>
      <c r="E348" t="str">
        <f>T("나나코")</f>
        <v>나나코</v>
      </c>
      <c r="H348" t="str">
        <f t="shared" si="44"/>
        <v>블러쉬</v>
      </c>
      <c r="I348" t="str">
        <f>T("[e북]철수야 뭐하니?")</f>
        <v>[e북]철수야 뭐하니?</v>
      </c>
      <c r="J348">
        <v>800</v>
      </c>
      <c r="K348">
        <v>800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800</v>
      </c>
      <c r="AH348">
        <v>1</v>
      </c>
      <c r="AI348">
        <v>0</v>
      </c>
      <c r="AJ348">
        <v>0</v>
      </c>
      <c r="AK348">
        <v>800</v>
      </c>
      <c r="AL348">
        <v>0</v>
      </c>
      <c r="AM348">
        <v>0</v>
      </c>
      <c r="AN348">
        <v>0</v>
      </c>
      <c r="AO348">
        <v>0</v>
      </c>
      <c r="AQ348">
        <v>0</v>
      </c>
      <c r="AR348">
        <v>0</v>
      </c>
      <c r="AT348">
        <v>0</v>
      </c>
      <c r="AU348">
        <v>0</v>
      </c>
      <c r="AW348">
        <v>0</v>
      </c>
      <c r="AX348">
        <v>0</v>
      </c>
      <c r="AY348">
        <v>560</v>
      </c>
      <c r="BA348" t="str">
        <f t="shared" si="43"/>
        <v>0000000000000</v>
      </c>
      <c r="BC348" t="str">
        <f>T("9791190132817")</f>
        <v>9791190132817</v>
      </c>
      <c r="BE348" t="str">
        <f t="shared" si="45"/>
        <v>BL 소설 e북 &gt; 현대물</v>
      </c>
    </row>
    <row r="349" spans="1:58" x14ac:dyDescent="0.3">
      <c r="A349">
        <v>1525007857</v>
      </c>
      <c r="B349">
        <v>1525007856</v>
      </c>
      <c r="C349" t="str">
        <f>T("[e북]황궁애사 (외전)")</f>
        <v>[e북]황궁애사 (외전)</v>
      </c>
      <c r="D349" t="str">
        <f>T("3")</f>
        <v>3</v>
      </c>
      <c r="E349" t="str">
        <f>T("연유")</f>
        <v>연유</v>
      </c>
      <c r="H349" t="str">
        <f>T("쉬라즈")</f>
        <v>쉬라즈</v>
      </c>
      <c r="I349" t="str">
        <f>T("[e북]황궁애사")</f>
        <v>[e북]황궁애사</v>
      </c>
      <c r="J349">
        <v>400</v>
      </c>
      <c r="K349">
        <v>760</v>
      </c>
      <c r="L349">
        <v>2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760</v>
      </c>
      <c r="AH349">
        <v>2</v>
      </c>
      <c r="AI349">
        <v>0</v>
      </c>
      <c r="AJ349">
        <v>0</v>
      </c>
      <c r="AK349">
        <v>760</v>
      </c>
      <c r="AL349">
        <v>0</v>
      </c>
      <c r="AM349">
        <v>0</v>
      </c>
      <c r="AN349">
        <v>0</v>
      </c>
      <c r="AO349">
        <v>0</v>
      </c>
      <c r="AQ349">
        <v>0</v>
      </c>
      <c r="AR349">
        <v>0</v>
      </c>
      <c r="AT349">
        <v>0</v>
      </c>
      <c r="AU349">
        <v>0</v>
      </c>
      <c r="AW349">
        <v>0</v>
      </c>
      <c r="AX349">
        <v>0</v>
      </c>
      <c r="AY349">
        <v>532</v>
      </c>
      <c r="BA349" t="str">
        <f t="shared" si="43"/>
        <v>0000000000000</v>
      </c>
      <c r="BC349" t="str">
        <f>T("9791164897650")</f>
        <v>9791164897650</v>
      </c>
      <c r="BE349" t="str">
        <f>T("로맨스 e북 &gt; 역사/시대물")</f>
        <v>로맨스 e북 &gt; 역사/시대물</v>
      </c>
    </row>
    <row r="350" spans="1:58" x14ac:dyDescent="0.3">
      <c r="A350">
        <v>1525008055</v>
      </c>
      <c r="B350">
        <v>1525008054</v>
      </c>
      <c r="C350" t="str">
        <f>T("[e북]담군 연사장 (외전)")</f>
        <v>[e북]담군 연사장 (외전)</v>
      </c>
      <c r="D350" t="str">
        <f>T("3")</f>
        <v>3</v>
      </c>
      <c r="E350" t="str">
        <f>T("피모")</f>
        <v>피모</v>
      </c>
      <c r="H350" t="str">
        <f>T("블러쉬")</f>
        <v>블러쉬</v>
      </c>
      <c r="I350" t="str">
        <f>T("[e북]담군 연사장")</f>
        <v>[e북]담군 연사장</v>
      </c>
      <c r="J350">
        <v>800</v>
      </c>
      <c r="K350">
        <v>720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720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864</v>
      </c>
      <c r="AN350">
        <v>-86.4</v>
      </c>
      <c r="AO350">
        <v>0</v>
      </c>
      <c r="AQ350">
        <v>0</v>
      </c>
      <c r="AR350">
        <v>0</v>
      </c>
      <c r="AS350">
        <v>864</v>
      </c>
      <c r="AT350">
        <v>-86.4</v>
      </c>
      <c r="AU350">
        <v>0</v>
      </c>
      <c r="AW350">
        <v>0</v>
      </c>
      <c r="AX350">
        <v>0</v>
      </c>
      <c r="AY350">
        <v>544.32000000000005</v>
      </c>
      <c r="BA350" t="str">
        <f t="shared" si="43"/>
        <v>0000000000000</v>
      </c>
      <c r="BC350" t="str">
        <f>T("9791190132756")</f>
        <v>9791190132756</v>
      </c>
      <c r="BE350" t="str">
        <f>T("BL 소설 e북 &gt; 현대물")</f>
        <v>BL 소설 e북 &gt; 현대물</v>
      </c>
      <c r="BF350" t="str">
        <f>T("BL 소설 e북 &gt; 판타지물")</f>
        <v>BL 소설 e북 &gt; 판타지물</v>
      </c>
    </row>
    <row r="351" spans="1:58" x14ac:dyDescent="0.3">
      <c r="A351">
        <v>2313011400</v>
      </c>
      <c r="B351">
        <v>1525007713</v>
      </c>
      <c r="C351" t="str">
        <f>T("최종 보스 24권 18화")</f>
        <v>최종 보스 24권 18화</v>
      </c>
      <c r="D351" t="str">
        <f>T("491")</f>
        <v>491</v>
      </c>
      <c r="E351" t="str">
        <f t="shared" ref="E351:E356" si="46">T("무장")</f>
        <v>무장</v>
      </c>
      <c r="H351" t="str">
        <f t="shared" ref="H351:H356" si="47">T("스토리위즈")</f>
        <v>스토리위즈</v>
      </c>
      <c r="I351" t="str">
        <f t="shared" ref="I351:I356" si="48">T("최종 보스 : 빛을 향해 달리는 그림자")</f>
        <v>최종 보스 : 빛을 향해 달리는 그림자</v>
      </c>
      <c r="J351">
        <v>100</v>
      </c>
      <c r="K351">
        <v>700</v>
      </c>
      <c r="L351">
        <v>7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700</v>
      </c>
      <c r="AH351">
        <v>7</v>
      </c>
      <c r="AI351">
        <v>0</v>
      </c>
      <c r="AJ351">
        <v>0</v>
      </c>
      <c r="AK351">
        <v>411</v>
      </c>
      <c r="AL351">
        <v>0</v>
      </c>
      <c r="AM351">
        <v>346.8</v>
      </c>
      <c r="AN351">
        <v>-56.04</v>
      </c>
      <c r="AO351">
        <v>0</v>
      </c>
      <c r="AP351">
        <v>106.8</v>
      </c>
      <c r="AQ351">
        <v>-32.04</v>
      </c>
      <c r="AR351">
        <v>0</v>
      </c>
      <c r="AS351">
        <v>240</v>
      </c>
      <c r="AT351">
        <v>-24</v>
      </c>
      <c r="AU351">
        <v>0</v>
      </c>
      <c r="AW351">
        <v>0</v>
      </c>
      <c r="AX351">
        <v>0</v>
      </c>
      <c r="AY351">
        <v>491.23</v>
      </c>
      <c r="BC351" t="str">
        <f t="shared" ref="BC351:BC356" si="49">T("9791166067563")</f>
        <v>9791166067563</v>
      </c>
      <c r="BE351" t="str">
        <f t="shared" ref="BE351:BE356" si="50">T("판타지 웹소설 &gt; 현대 판타지")</f>
        <v>판타지 웹소설 &gt; 현대 판타지</v>
      </c>
    </row>
    <row r="352" spans="1:58" x14ac:dyDescent="0.3">
      <c r="A352">
        <v>2313011400</v>
      </c>
      <c r="B352">
        <v>1525007712</v>
      </c>
      <c r="C352" t="str">
        <f>T("최종 보스 24권 17화")</f>
        <v>최종 보스 24권 17화</v>
      </c>
      <c r="D352" t="str">
        <f>T("490")</f>
        <v>490</v>
      </c>
      <c r="E352" t="str">
        <f t="shared" si="46"/>
        <v>무장</v>
      </c>
      <c r="H352" t="str">
        <f t="shared" si="47"/>
        <v>스토리위즈</v>
      </c>
      <c r="I352" t="str">
        <f t="shared" si="48"/>
        <v>최종 보스 : 빛을 향해 달리는 그림자</v>
      </c>
      <c r="J352">
        <v>100</v>
      </c>
      <c r="K352">
        <v>700</v>
      </c>
      <c r="L352">
        <v>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700</v>
      </c>
      <c r="AH352">
        <v>7</v>
      </c>
      <c r="AI352">
        <v>0</v>
      </c>
      <c r="AJ352">
        <v>0</v>
      </c>
      <c r="AK352">
        <v>411</v>
      </c>
      <c r="AL352">
        <v>0</v>
      </c>
      <c r="AM352">
        <v>346.8</v>
      </c>
      <c r="AN352">
        <v>-56.04</v>
      </c>
      <c r="AO352">
        <v>0</v>
      </c>
      <c r="AP352">
        <v>106.8</v>
      </c>
      <c r="AQ352">
        <v>-32.04</v>
      </c>
      <c r="AR352">
        <v>0</v>
      </c>
      <c r="AS352">
        <v>240</v>
      </c>
      <c r="AT352">
        <v>-24</v>
      </c>
      <c r="AU352">
        <v>0</v>
      </c>
      <c r="AW352">
        <v>0</v>
      </c>
      <c r="AX352">
        <v>0</v>
      </c>
      <c r="AY352">
        <v>491.23</v>
      </c>
      <c r="BC352" t="str">
        <f t="shared" si="49"/>
        <v>9791166067563</v>
      </c>
      <c r="BE352" t="str">
        <f t="shared" si="50"/>
        <v>판타지 웹소설 &gt; 현대 판타지</v>
      </c>
    </row>
    <row r="353" spans="1:57" x14ac:dyDescent="0.3">
      <c r="A353">
        <v>2313011400</v>
      </c>
      <c r="B353">
        <v>1525007711</v>
      </c>
      <c r="C353" t="str">
        <f>T("최종 보스 24권 16화")</f>
        <v>최종 보스 24권 16화</v>
      </c>
      <c r="D353" t="str">
        <f>T("489")</f>
        <v>489</v>
      </c>
      <c r="E353" t="str">
        <f t="shared" si="46"/>
        <v>무장</v>
      </c>
      <c r="H353" t="str">
        <f t="shared" si="47"/>
        <v>스토리위즈</v>
      </c>
      <c r="I353" t="str">
        <f t="shared" si="48"/>
        <v>최종 보스 : 빛을 향해 달리는 그림자</v>
      </c>
      <c r="J353">
        <v>100</v>
      </c>
      <c r="K353">
        <v>700</v>
      </c>
      <c r="L353">
        <v>7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700</v>
      </c>
      <c r="AH353">
        <v>7</v>
      </c>
      <c r="AI353">
        <v>0</v>
      </c>
      <c r="AJ353">
        <v>0</v>
      </c>
      <c r="AK353">
        <v>411</v>
      </c>
      <c r="AL353">
        <v>0</v>
      </c>
      <c r="AM353">
        <v>346.8</v>
      </c>
      <c r="AN353">
        <v>-56.04</v>
      </c>
      <c r="AO353">
        <v>0</v>
      </c>
      <c r="AP353">
        <v>106.8</v>
      </c>
      <c r="AQ353">
        <v>-32.04</v>
      </c>
      <c r="AR353">
        <v>0</v>
      </c>
      <c r="AS353">
        <v>240</v>
      </c>
      <c r="AT353">
        <v>-24</v>
      </c>
      <c r="AU353">
        <v>0</v>
      </c>
      <c r="AW353">
        <v>0</v>
      </c>
      <c r="AX353">
        <v>0</v>
      </c>
      <c r="AY353">
        <v>491.23</v>
      </c>
      <c r="BC353" t="str">
        <f t="shared" si="49"/>
        <v>9791166067563</v>
      </c>
      <c r="BE353" t="str">
        <f t="shared" si="50"/>
        <v>판타지 웹소설 &gt; 현대 판타지</v>
      </c>
    </row>
    <row r="354" spans="1:57" x14ac:dyDescent="0.3">
      <c r="A354">
        <v>2313011400</v>
      </c>
      <c r="B354">
        <v>1525007643</v>
      </c>
      <c r="C354" t="str">
        <f>T("최종 보스 21권 8화")</f>
        <v>최종 보스 21권 8화</v>
      </c>
      <c r="D354" t="str">
        <f>T("421")</f>
        <v>421</v>
      </c>
      <c r="E354" t="str">
        <f t="shared" si="46"/>
        <v>무장</v>
      </c>
      <c r="H354" t="str">
        <f t="shared" si="47"/>
        <v>스토리위즈</v>
      </c>
      <c r="I354" t="str">
        <f t="shared" si="48"/>
        <v>최종 보스 : 빛을 향해 달리는 그림자</v>
      </c>
      <c r="J354">
        <v>100</v>
      </c>
      <c r="K354">
        <v>700</v>
      </c>
      <c r="L354">
        <v>7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700</v>
      </c>
      <c r="AH354">
        <v>7</v>
      </c>
      <c r="AI354">
        <v>0</v>
      </c>
      <c r="AJ354">
        <v>0</v>
      </c>
      <c r="AK354">
        <v>400</v>
      </c>
      <c r="AL354">
        <v>0</v>
      </c>
      <c r="AM354">
        <v>360</v>
      </c>
      <c r="AN354">
        <v>-84</v>
      </c>
      <c r="AO354">
        <v>0</v>
      </c>
      <c r="AP354">
        <v>120</v>
      </c>
      <c r="AQ354">
        <v>-36</v>
      </c>
      <c r="AR354">
        <v>0</v>
      </c>
      <c r="AS354">
        <v>240</v>
      </c>
      <c r="AT354">
        <v>-48</v>
      </c>
      <c r="AU354">
        <v>0</v>
      </c>
      <c r="AW354">
        <v>0</v>
      </c>
      <c r="AX354">
        <v>0</v>
      </c>
      <c r="AY354">
        <v>473.2</v>
      </c>
      <c r="BC354" t="str">
        <f t="shared" si="49"/>
        <v>9791166067563</v>
      </c>
      <c r="BE354" t="str">
        <f t="shared" si="50"/>
        <v>판타지 웹소설 &gt; 현대 판타지</v>
      </c>
    </row>
    <row r="355" spans="1:57" x14ac:dyDescent="0.3">
      <c r="A355">
        <v>2313011400</v>
      </c>
      <c r="B355">
        <v>1525007710</v>
      </c>
      <c r="C355" t="str">
        <f>T("최종 보스 24권 15화")</f>
        <v>최종 보스 24권 15화</v>
      </c>
      <c r="D355" t="str">
        <f>T("488")</f>
        <v>488</v>
      </c>
      <c r="E355" t="str">
        <f t="shared" si="46"/>
        <v>무장</v>
      </c>
      <c r="H355" t="str">
        <f t="shared" si="47"/>
        <v>스토리위즈</v>
      </c>
      <c r="I355" t="str">
        <f t="shared" si="48"/>
        <v>최종 보스 : 빛을 향해 달리는 그림자</v>
      </c>
      <c r="J355">
        <v>100</v>
      </c>
      <c r="K355">
        <v>700</v>
      </c>
      <c r="L355">
        <v>7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700</v>
      </c>
      <c r="AH355">
        <v>7</v>
      </c>
      <c r="AI355">
        <v>0</v>
      </c>
      <c r="AJ355">
        <v>0</v>
      </c>
      <c r="AK355">
        <v>411</v>
      </c>
      <c r="AL355">
        <v>0</v>
      </c>
      <c r="AM355">
        <v>346.8</v>
      </c>
      <c r="AN355">
        <v>-56.04</v>
      </c>
      <c r="AO355">
        <v>0</v>
      </c>
      <c r="AP355">
        <v>106.8</v>
      </c>
      <c r="AQ355">
        <v>-32.04</v>
      </c>
      <c r="AR355">
        <v>0</v>
      </c>
      <c r="AS355">
        <v>240</v>
      </c>
      <c r="AT355">
        <v>-24</v>
      </c>
      <c r="AU355">
        <v>0</v>
      </c>
      <c r="AW355">
        <v>0</v>
      </c>
      <c r="AX355">
        <v>0</v>
      </c>
      <c r="AY355">
        <v>491.23</v>
      </c>
      <c r="BC355" t="str">
        <f t="shared" si="49"/>
        <v>9791166067563</v>
      </c>
      <c r="BE355" t="str">
        <f t="shared" si="50"/>
        <v>판타지 웹소설 &gt; 현대 판타지</v>
      </c>
    </row>
    <row r="356" spans="1:57" x14ac:dyDescent="0.3">
      <c r="A356">
        <v>2313011400</v>
      </c>
      <c r="B356">
        <v>1525007642</v>
      </c>
      <c r="C356" t="str">
        <f>T("최종 보스 21권 7화")</f>
        <v>최종 보스 21권 7화</v>
      </c>
      <c r="D356" t="str">
        <f>T("420")</f>
        <v>420</v>
      </c>
      <c r="E356" t="str">
        <f t="shared" si="46"/>
        <v>무장</v>
      </c>
      <c r="H356" t="str">
        <f t="shared" si="47"/>
        <v>스토리위즈</v>
      </c>
      <c r="I356" t="str">
        <f t="shared" si="48"/>
        <v>최종 보스 : 빛을 향해 달리는 그림자</v>
      </c>
      <c r="J356">
        <v>100</v>
      </c>
      <c r="K356">
        <v>700</v>
      </c>
      <c r="L356">
        <v>7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700</v>
      </c>
      <c r="AH356">
        <v>7</v>
      </c>
      <c r="AI356">
        <v>0</v>
      </c>
      <c r="AJ356">
        <v>0</v>
      </c>
      <c r="AK356">
        <v>400</v>
      </c>
      <c r="AL356">
        <v>0</v>
      </c>
      <c r="AM356">
        <v>360</v>
      </c>
      <c r="AN356">
        <v>-84</v>
      </c>
      <c r="AO356">
        <v>0</v>
      </c>
      <c r="AP356">
        <v>120</v>
      </c>
      <c r="AQ356">
        <v>-36</v>
      </c>
      <c r="AR356">
        <v>0</v>
      </c>
      <c r="AS356">
        <v>240</v>
      </c>
      <c r="AT356">
        <v>-48</v>
      </c>
      <c r="AU356">
        <v>0</v>
      </c>
      <c r="AW356">
        <v>0</v>
      </c>
      <c r="AX356">
        <v>0</v>
      </c>
      <c r="AY356">
        <v>473.2</v>
      </c>
      <c r="BC356" t="str">
        <f t="shared" si="49"/>
        <v>9791166067563</v>
      </c>
      <c r="BE356" t="str">
        <f t="shared" si="50"/>
        <v>판타지 웹소설 &gt; 현대 판타지</v>
      </c>
    </row>
    <row r="357" spans="1:57" x14ac:dyDescent="0.3">
      <c r="A357">
        <v>1525008039</v>
      </c>
      <c r="B357">
        <v>1525008038</v>
      </c>
      <c r="C357" t="str">
        <f>T("[e북]네가 누구든 (외전)")</f>
        <v>[e북]네가 누구든 (외전)</v>
      </c>
      <c r="D357" t="str">
        <f>T("3")</f>
        <v>3</v>
      </c>
      <c r="E357" t="str">
        <f>T("마연")</f>
        <v>마연</v>
      </c>
      <c r="H357" t="str">
        <f>T("블러쉬")</f>
        <v>블러쉬</v>
      </c>
      <c r="I357" t="str">
        <f>T("[e북]네가 누구든")</f>
        <v>[e북]네가 누구든</v>
      </c>
      <c r="J357">
        <v>700</v>
      </c>
      <c r="K357">
        <v>700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700</v>
      </c>
      <c r="AH357">
        <v>1</v>
      </c>
      <c r="AI357">
        <v>0</v>
      </c>
      <c r="AJ357">
        <v>0</v>
      </c>
      <c r="AK357">
        <v>700</v>
      </c>
      <c r="AL357">
        <v>0</v>
      </c>
      <c r="AM357">
        <v>0</v>
      </c>
      <c r="AN357">
        <v>0</v>
      </c>
      <c r="AO357">
        <v>0</v>
      </c>
      <c r="AQ357">
        <v>0</v>
      </c>
      <c r="AR357">
        <v>0</v>
      </c>
      <c r="AT357">
        <v>0</v>
      </c>
      <c r="AU357">
        <v>0</v>
      </c>
      <c r="AW357">
        <v>0</v>
      </c>
      <c r="AX357">
        <v>0</v>
      </c>
      <c r="AY357">
        <v>490</v>
      </c>
      <c r="BA357" t="str">
        <f>T("0000000000000")</f>
        <v>0000000000000</v>
      </c>
      <c r="BC357" t="str">
        <f>T("9791196696771")</f>
        <v>9791196696771</v>
      </c>
      <c r="BE357" t="str">
        <f>T("BL 소설 e북 &gt; 현대물")</f>
        <v>BL 소설 e북 &gt; 현대물</v>
      </c>
    </row>
    <row r="358" spans="1:57" x14ac:dyDescent="0.3">
      <c r="A358">
        <v>2313011400</v>
      </c>
      <c r="B358">
        <v>1525007709</v>
      </c>
      <c r="C358" t="str">
        <f>T("최종 보스 24권 14화")</f>
        <v>최종 보스 24권 14화</v>
      </c>
      <c r="D358" t="str">
        <f>T("487")</f>
        <v>487</v>
      </c>
      <c r="E358" t="str">
        <f>T("무장")</f>
        <v>무장</v>
      </c>
      <c r="H358" t="str">
        <f>T("스토리위즈")</f>
        <v>스토리위즈</v>
      </c>
      <c r="I358" t="str">
        <f>T("최종 보스 : 빛을 향해 달리는 그림자")</f>
        <v>최종 보스 : 빛을 향해 달리는 그림자</v>
      </c>
      <c r="J358">
        <v>100</v>
      </c>
      <c r="K358">
        <v>700</v>
      </c>
      <c r="L358">
        <v>7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700</v>
      </c>
      <c r="AH358">
        <v>7</v>
      </c>
      <c r="AI358">
        <v>0</v>
      </c>
      <c r="AJ358">
        <v>0</v>
      </c>
      <c r="AK358">
        <v>410</v>
      </c>
      <c r="AL358">
        <v>0</v>
      </c>
      <c r="AM358">
        <v>348</v>
      </c>
      <c r="AN358">
        <v>-56.4</v>
      </c>
      <c r="AO358">
        <v>0</v>
      </c>
      <c r="AP358">
        <v>108</v>
      </c>
      <c r="AQ358">
        <v>-32.4</v>
      </c>
      <c r="AR358">
        <v>0</v>
      </c>
      <c r="AS358">
        <v>240</v>
      </c>
      <c r="AT358">
        <v>-24</v>
      </c>
      <c r="AU358">
        <v>0</v>
      </c>
      <c r="AW358">
        <v>0</v>
      </c>
      <c r="AX358">
        <v>0</v>
      </c>
      <c r="AY358">
        <v>491.12</v>
      </c>
      <c r="BC358" t="str">
        <f>T("9791166067563")</f>
        <v>9791166067563</v>
      </c>
      <c r="BE358" t="str">
        <f>T("판타지 웹소설 &gt; 현대 판타지")</f>
        <v>판타지 웹소설 &gt; 현대 판타지</v>
      </c>
    </row>
    <row r="359" spans="1:57" x14ac:dyDescent="0.3">
      <c r="A359">
        <v>2313011400</v>
      </c>
      <c r="B359">
        <v>1525007641</v>
      </c>
      <c r="C359" t="str">
        <f>T("최종 보스 21권 6화")</f>
        <v>최종 보스 21권 6화</v>
      </c>
      <c r="D359" t="str">
        <f>T("419")</f>
        <v>419</v>
      </c>
      <c r="E359" t="str">
        <f>T("무장")</f>
        <v>무장</v>
      </c>
      <c r="H359" t="str">
        <f>T("스토리위즈")</f>
        <v>스토리위즈</v>
      </c>
      <c r="I359" t="str">
        <f>T("최종 보스 : 빛을 향해 달리는 그림자")</f>
        <v>최종 보스 : 빛을 향해 달리는 그림자</v>
      </c>
      <c r="J359">
        <v>100</v>
      </c>
      <c r="K359">
        <v>700</v>
      </c>
      <c r="L359">
        <v>7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700</v>
      </c>
      <c r="AH359">
        <v>7</v>
      </c>
      <c r="AI359">
        <v>0</v>
      </c>
      <c r="AJ359">
        <v>0</v>
      </c>
      <c r="AK359">
        <v>400</v>
      </c>
      <c r="AL359">
        <v>0</v>
      </c>
      <c r="AM359">
        <v>360</v>
      </c>
      <c r="AN359">
        <v>-84</v>
      </c>
      <c r="AO359">
        <v>0</v>
      </c>
      <c r="AP359">
        <v>120</v>
      </c>
      <c r="AQ359">
        <v>-36</v>
      </c>
      <c r="AR359">
        <v>0</v>
      </c>
      <c r="AS359">
        <v>240</v>
      </c>
      <c r="AT359">
        <v>-48</v>
      </c>
      <c r="AU359">
        <v>0</v>
      </c>
      <c r="AW359">
        <v>0</v>
      </c>
      <c r="AX359">
        <v>0</v>
      </c>
      <c r="AY359">
        <v>473.2</v>
      </c>
      <c r="BC359" t="str">
        <f>T("9791166067563")</f>
        <v>9791166067563</v>
      </c>
      <c r="BE359" t="str">
        <f>T("판타지 웹소설 &gt; 현대 판타지")</f>
        <v>판타지 웹소설 &gt; 현대 판타지</v>
      </c>
    </row>
    <row r="360" spans="1:57" x14ac:dyDescent="0.3">
      <c r="A360">
        <v>2313011400</v>
      </c>
      <c r="B360">
        <v>1525007708</v>
      </c>
      <c r="C360" t="str">
        <f>T("최종 보스 24권 13화")</f>
        <v>최종 보스 24권 13화</v>
      </c>
      <c r="D360" t="str">
        <f>T("486")</f>
        <v>486</v>
      </c>
      <c r="E360" t="str">
        <f>T("무장")</f>
        <v>무장</v>
      </c>
      <c r="H360" t="str">
        <f>T("스토리위즈")</f>
        <v>스토리위즈</v>
      </c>
      <c r="I360" t="str">
        <f>T("최종 보스 : 빛을 향해 달리는 그림자")</f>
        <v>최종 보스 : 빛을 향해 달리는 그림자</v>
      </c>
      <c r="J360">
        <v>100</v>
      </c>
      <c r="K360">
        <v>700</v>
      </c>
      <c r="L360">
        <v>7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700</v>
      </c>
      <c r="AH360">
        <v>7</v>
      </c>
      <c r="AI360">
        <v>0</v>
      </c>
      <c r="AJ360">
        <v>0</v>
      </c>
      <c r="AK360">
        <v>410</v>
      </c>
      <c r="AL360">
        <v>0</v>
      </c>
      <c r="AM360">
        <v>348</v>
      </c>
      <c r="AN360">
        <v>-56.4</v>
      </c>
      <c r="AO360">
        <v>0</v>
      </c>
      <c r="AP360">
        <v>108</v>
      </c>
      <c r="AQ360">
        <v>-32.4</v>
      </c>
      <c r="AR360">
        <v>0</v>
      </c>
      <c r="AS360">
        <v>240</v>
      </c>
      <c r="AT360">
        <v>-24</v>
      </c>
      <c r="AU360">
        <v>0</v>
      </c>
      <c r="AW360">
        <v>0</v>
      </c>
      <c r="AX360">
        <v>0</v>
      </c>
      <c r="AY360">
        <v>491.12</v>
      </c>
      <c r="BC360" t="str">
        <f>T("9791166067563")</f>
        <v>9791166067563</v>
      </c>
      <c r="BE360" t="str">
        <f>T("판타지 웹소설 &gt; 현대 판타지")</f>
        <v>판타지 웹소설 &gt; 현대 판타지</v>
      </c>
    </row>
    <row r="361" spans="1:57" x14ac:dyDescent="0.3">
      <c r="A361">
        <v>2313011400</v>
      </c>
      <c r="B361">
        <v>1525007640</v>
      </c>
      <c r="C361" t="str">
        <f>T("최종 보스 21권 5화")</f>
        <v>최종 보스 21권 5화</v>
      </c>
      <c r="D361" t="str">
        <f>T("418")</f>
        <v>418</v>
      </c>
      <c r="E361" t="str">
        <f>T("무장")</f>
        <v>무장</v>
      </c>
      <c r="H361" t="str">
        <f>T("스토리위즈")</f>
        <v>스토리위즈</v>
      </c>
      <c r="I361" t="str">
        <f>T("최종 보스 : 빛을 향해 달리는 그림자")</f>
        <v>최종 보스 : 빛을 향해 달리는 그림자</v>
      </c>
      <c r="J361">
        <v>100</v>
      </c>
      <c r="K361">
        <v>700</v>
      </c>
      <c r="L361">
        <v>7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700</v>
      </c>
      <c r="AH361">
        <v>7</v>
      </c>
      <c r="AI361">
        <v>0</v>
      </c>
      <c r="AJ361">
        <v>0</v>
      </c>
      <c r="AK361">
        <v>400</v>
      </c>
      <c r="AL361">
        <v>0</v>
      </c>
      <c r="AM361">
        <v>360</v>
      </c>
      <c r="AN361">
        <v>-84</v>
      </c>
      <c r="AO361">
        <v>0</v>
      </c>
      <c r="AP361">
        <v>120</v>
      </c>
      <c r="AQ361">
        <v>-36</v>
      </c>
      <c r="AR361">
        <v>0</v>
      </c>
      <c r="AS361">
        <v>240</v>
      </c>
      <c r="AT361">
        <v>-48</v>
      </c>
      <c r="AU361">
        <v>0</v>
      </c>
      <c r="AW361">
        <v>0</v>
      </c>
      <c r="AX361">
        <v>0</v>
      </c>
      <c r="AY361">
        <v>473.2</v>
      </c>
      <c r="BC361" t="str">
        <f>T("9791166067563")</f>
        <v>9791166067563</v>
      </c>
      <c r="BE361" t="str">
        <f>T("판타지 웹소설 &gt; 현대 판타지")</f>
        <v>판타지 웹소설 &gt; 현대 판타지</v>
      </c>
    </row>
    <row r="362" spans="1:57" x14ac:dyDescent="0.3">
      <c r="A362">
        <v>2313011400</v>
      </c>
      <c r="B362">
        <v>1525007707</v>
      </c>
      <c r="C362" t="str">
        <f>T("최종 보스 24권 12화")</f>
        <v>최종 보스 24권 12화</v>
      </c>
      <c r="D362" t="str">
        <f>T("485")</f>
        <v>485</v>
      </c>
      <c r="E362" t="str">
        <f>T("무장")</f>
        <v>무장</v>
      </c>
      <c r="H362" t="str">
        <f>T("스토리위즈")</f>
        <v>스토리위즈</v>
      </c>
      <c r="I362" t="str">
        <f>T("최종 보스 : 빛을 향해 달리는 그림자")</f>
        <v>최종 보스 : 빛을 향해 달리는 그림자</v>
      </c>
      <c r="J362">
        <v>100</v>
      </c>
      <c r="K362">
        <v>700</v>
      </c>
      <c r="L362">
        <v>7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700</v>
      </c>
      <c r="AH362">
        <v>7</v>
      </c>
      <c r="AI362">
        <v>0</v>
      </c>
      <c r="AJ362">
        <v>0</v>
      </c>
      <c r="AK362">
        <v>410</v>
      </c>
      <c r="AL362">
        <v>0</v>
      </c>
      <c r="AM362">
        <v>348</v>
      </c>
      <c r="AN362">
        <v>-56.4</v>
      </c>
      <c r="AO362">
        <v>0</v>
      </c>
      <c r="AP362">
        <v>108</v>
      </c>
      <c r="AQ362">
        <v>-32.4</v>
      </c>
      <c r="AR362">
        <v>0</v>
      </c>
      <c r="AS362">
        <v>240</v>
      </c>
      <c r="AT362">
        <v>-24</v>
      </c>
      <c r="AU362">
        <v>0</v>
      </c>
      <c r="AW362">
        <v>0</v>
      </c>
      <c r="AX362">
        <v>0</v>
      </c>
      <c r="AY362">
        <v>491.12</v>
      </c>
      <c r="BC362" t="str">
        <f>T("9791166067563")</f>
        <v>9791166067563</v>
      </c>
      <c r="BE362" t="str">
        <f>T("판타지 웹소설 &gt; 현대 판타지")</f>
        <v>판타지 웹소설 &gt; 현대 판타지</v>
      </c>
    </row>
    <row r="363" spans="1:57" x14ac:dyDescent="0.3">
      <c r="A363">
        <v>1525008215</v>
      </c>
      <c r="B363">
        <v>1525012538</v>
      </c>
      <c r="C363" t="str">
        <f>T("[e북]그 순간, 별이 빛났다 (외전)")</f>
        <v>[e북]그 순간, 별이 빛났다 (외전)</v>
      </c>
      <c r="D363" t="str">
        <f>T("4")</f>
        <v>4</v>
      </c>
      <c r="E363" t="str">
        <f>T("성실")</f>
        <v>성실</v>
      </c>
      <c r="H363" t="str">
        <f>T("블러쉬")</f>
        <v>블러쉬</v>
      </c>
      <c r="I363" t="str">
        <f>T("[e북]그 순간, 별이 빛났다")</f>
        <v>[e북]그 순간, 별이 빛났다</v>
      </c>
      <c r="J363">
        <v>700</v>
      </c>
      <c r="K363">
        <v>700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700</v>
      </c>
      <c r="AH363">
        <v>1</v>
      </c>
      <c r="AI363">
        <v>0</v>
      </c>
      <c r="AJ363">
        <v>0</v>
      </c>
      <c r="AK363">
        <v>700</v>
      </c>
      <c r="AL363">
        <v>0</v>
      </c>
      <c r="AM363">
        <v>0</v>
      </c>
      <c r="AN363">
        <v>0</v>
      </c>
      <c r="AO363">
        <v>0</v>
      </c>
      <c r="AQ363">
        <v>0</v>
      </c>
      <c r="AR363">
        <v>0</v>
      </c>
      <c r="AT363">
        <v>0</v>
      </c>
      <c r="AU363">
        <v>0</v>
      </c>
      <c r="AW363">
        <v>0</v>
      </c>
      <c r="AX363">
        <v>0</v>
      </c>
      <c r="AY363">
        <v>490</v>
      </c>
      <c r="BC363" t="str">
        <f>T("9791166482359")</f>
        <v>9791166482359</v>
      </c>
      <c r="BE363" t="str">
        <f>T("BL 소설 e북 &gt; 현대물")</f>
        <v>BL 소설 e북 &gt; 현대물</v>
      </c>
    </row>
    <row r="364" spans="1:57" x14ac:dyDescent="0.3">
      <c r="A364">
        <v>2313011400</v>
      </c>
      <c r="B364">
        <v>1525007714</v>
      </c>
      <c r="C364" t="str">
        <f>T("최종 보스 24권 19화")</f>
        <v>최종 보스 24권 19화</v>
      </c>
      <c r="D364" t="str">
        <f>T("492")</f>
        <v>492</v>
      </c>
      <c r="E364" t="str">
        <f t="shared" ref="E364:E427" si="51">T("무장")</f>
        <v>무장</v>
      </c>
      <c r="H364" t="str">
        <f t="shared" ref="H364:H427" si="52">T("스토리위즈")</f>
        <v>스토리위즈</v>
      </c>
      <c r="I364" t="str">
        <f t="shared" ref="I364:I427" si="53">T("최종 보스 : 빛을 향해 달리는 그림자")</f>
        <v>최종 보스 : 빛을 향해 달리는 그림자</v>
      </c>
      <c r="J364">
        <v>100</v>
      </c>
      <c r="K364">
        <v>700</v>
      </c>
      <c r="L364">
        <v>7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700</v>
      </c>
      <c r="AH364">
        <v>7</v>
      </c>
      <c r="AI364">
        <v>0</v>
      </c>
      <c r="AJ364">
        <v>0</v>
      </c>
      <c r="AK364">
        <v>411</v>
      </c>
      <c r="AL364">
        <v>0</v>
      </c>
      <c r="AM364">
        <v>346.8</v>
      </c>
      <c r="AN364">
        <v>-56.04</v>
      </c>
      <c r="AO364">
        <v>0</v>
      </c>
      <c r="AP364">
        <v>106.8</v>
      </c>
      <c r="AQ364">
        <v>-32.04</v>
      </c>
      <c r="AR364">
        <v>0</v>
      </c>
      <c r="AS364">
        <v>240</v>
      </c>
      <c r="AT364">
        <v>-24</v>
      </c>
      <c r="AU364">
        <v>0</v>
      </c>
      <c r="AW364">
        <v>0</v>
      </c>
      <c r="AX364">
        <v>0</v>
      </c>
      <c r="AY364">
        <v>491.23</v>
      </c>
      <c r="BC364" t="str">
        <f t="shared" ref="BC364:BC427" si="54">T("9791166067563")</f>
        <v>9791166067563</v>
      </c>
      <c r="BE364" t="str">
        <f t="shared" ref="BE364:BE427" si="55">T("판타지 웹소설 &gt; 현대 판타지")</f>
        <v>판타지 웹소설 &gt; 현대 판타지</v>
      </c>
    </row>
    <row r="365" spans="1:57" x14ac:dyDescent="0.3">
      <c r="A365">
        <v>2313011400</v>
      </c>
      <c r="B365">
        <v>1525007624</v>
      </c>
      <c r="C365" t="str">
        <f>T("최종 보스 20권 9화")</f>
        <v>최종 보스 20권 9화</v>
      </c>
      <c r="D365" t="str">
        <f>T("402")</f>
        <v>402</v>
      </c>
      <c r="E365" t="str">
        <f t="shared" si="51"/>
        <v>무장</v>
      </c>
      <c r="H365" t="str">
        <f t="shared" si="52"/>
        <v>스토리위즈</v>
      </c>
      <c r="I365" t="str">
        <f t="shared" si="53"/>
        <v>최종 보스 : 빛을 향해 달리는 그림자</v>
      </c>
      <c r="J365">
        <v>100</v>
      </c>
      <c r="K365">
        <v>600</v>
      </c>
      <c r="L365">
        <v>6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600</v>
      </c>
      <c r="AH365">
        <v>6</v>
      </c>
      <c r="AI365">
        <v>0</v>
      </c>
      <c r="AJ365">
        <v>0</v>
      </c>
      <c r="AK365">
        <v>400</v>
      </c>
      <c r="AL365">
        <v>0</v>
      </c>
      <c r="AM365">
        <v>240</v>
      </c>
      <c r="AN365">
        <v>-48</v>
      </c>
      <c r="AO365">
        <v>0</v>
      </c>
      <c r="AP365">
        <v>120</v>
      </c>
      <c r="AQ365">
        <v>-36</v>
      </c>
      <c r="AR365">
        <v>0</v>
      </c>
      <c r="AS365">
        <v>120</v>
      </c>
      <c r="AT365">
        <v>-12</v>
      </c>
      <c r="AU365">
        <v>0</v>
      </c>
      <c r="AW365">
        <v>0</v>
      </c>
      <c r="AX365">
        <v>0</v>
      </c>
      <c r="AY365">
        <v>414.4</v>
      </c>
      <c r="BC365" t="str">
        <f t="shared" si="54"/>
        <v>9791166067563</v>
      </c>
      <c r="BE365" t="str">
        <f t="shared" si="55"/>
        <v>판타지 웹소설 &gt; 현대 판타지</v>
      </c>
    </row>
    <row r="366" spans="1:57" x14ac:dyDescent="0.3">
      <c r="A366">
        <v>2313011400</v>
      </c>
      <c r="B366">
        <v>1525007681</v>
      </c>
      <c r="C366" t="str">
        <f>T("최종 보스 23권 6화")</f>
        <v>최종 보스 23권 6화</v>
      </c>
      <c r="D366" t="str">
        <f>T("459")</f>
        <v>459</v>
      </c>
      <c r="E366" t="str">
        <f t="shared" si="51"/>
        <v>무장</v>
      </c>
      <c r="H366" t="str">
        <f t="shared" si="52"/>
        <v>스토리위즈</v>
      </c>
      <c r="I366" t="str">
        <f t="shared" si="53"/>
        <v>최종 보스 : 빛을 향해 달리는 그림자</v>
      </c>
      <c r="J366">
        <v>100</v>
      </c>
      <c r="K366">
        <v>600</v>
      </c>
      <c r="L366">
        <v>6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600</v>
      </c>
      <c r="AH366">
        <v>6</v>
      </c>
      <c r="AI366">
        <v>0</v>
      </c>
      <c r="AJ366">
        <v>0</v>
      </c>
      <c r="AK366">
        <v>310</v>
      </c>
      <c r="AL366">
        <v>0</v>
      </c>
      <c r="AM366">
        <v>348</v>
      </c>
      <c r="AN366">
        <v>-56.4</v>
      </c>
      <c r="AO366">
        <v>0</v>
      </c>
      <c r="AP366">
        <v>108</v>
      </c>
      <c r="AQ366">
        <v>-32.4</v>
      </c>
      <c r="AR366">
        <v>0</v>
      </c>
      <c r="AS366">
        <v>240</v>
      </c>
      <c r="AT366">
        <v>-24</v>
      </c>
      <c r="AU366">
        <v>0</v>
      </c>
      <c r="AW366">
        <v>0</v>
      </c>
      <c r="AX366">
        <v>0</v>
      </c>
      <c r="AY366">
        <v>421.12</v>
      </c>
      <c r="BC366" t="str">
        <f t="shared" si="54"/>
        <v>9791166067563</v>
      </c>
      <c r="BE366" t="str">
        <f t="shared" si="55"/>
        <v>판타지 웹소설 &gt; 현대 판타지</v>
      </c>
    </row>
    <row r="367" spans="1:57" x14ac:dyDescent="0.3">
      <c r="A367">
        <v>2313011400</v>
      </c>
      <c r="B367">
        <v>1525007599</v>
      </c>
      <c r="C367" t="str">
        <f>T("최종 보스 19권 5화")</f>
        <v>최종 보스 19권 5화</v>
      </c>
      <c r="D367" t="str">
        <f>T("377")</f>
        <v>377</v>
      </c>
      <c r="E367" t="str">
        <f t="shared" si="51"/>
        <v>무장</v>
      </c>
      <c r="H367" t="str">
        <f t="shared" si="52"/>
        <v>스토리위즈</v>
      </c>
      <c r="I367" t="str">
        <f t="shared" si="53"/>
        <v>최종 보스 : 빛을 향해 달리는 그림자</v>
      </c>
      <c r="J367">
        <v>100</v>
      </c>
      <c r="K367">
        <v>600</v>
      </c>
      <c r="L367">
        <v>6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600</v>
      </c>
      <c r="AH367">
        <v>6</v>
      </c>
      <c r="AI367">
        <v>0</v>
      </c>
      <c r="AJ367">
        <v>0</v>
      </c>
      <c r="AK367">
        <v>400</v>
      </c>
      <c r="AL367">
        <v>0</v>
      </c>
      <c r="AM367">
        <v>240</v>
      </c>
      <c r="AN367">
        <v>-48</v>
      </c>
      <c r="AO367">
        <v>0</v>
      </c>
      <c r="AP367">
        <v>120</v>
      </c>
      <c r="AQ367">
        <v>-36</v>
      </c>
      <c r="AR367">
        <v>0</v>
      </c>
      <c r="AS367">
        <v>120</v>
      </c>
      <c r="AT367">
        <v>-12</v>
      </c>
      <c r="AU367">
        <v>0</v>
      </c>
      <c r="AW367">
        <v>0</v>
      </c>
      <c r="AX367">
        <v>0</v>
      </c>
      <c r="AY367">
        <v>414.4</v>
      </c>
      <c r="BC367" t="str">
        <f t="shared" si="54"/>
        <v>9791166067563</v>
      </c>
      <c r="BE367" t="str">
        <f t="shared" si="55"/>
        <v>판타지 웹소설 &gt; 현대 판타지</v>
      </c>
    </row>
    <row r="368" spans="1:57" x14ac:dyDescent="0.3">
      <c r="A368">
        <v>2313011400</v>
      </c>
      <c r="B368">
        <v>1525007656</v>
      </c>
      <c r="C368" t="str">
        <f>T("최종 보스 22권 1화")</f>
        <v>최종 보스 22권 1화</v>
      </c>
      <c r="D368" t="str">
        <f>T("434")</f>
        <v>434</v>
      </c>
      <c r="E368" t="str">
        <f t="shared" si="51"/>
        <v>무장</v>
      </c>
      <c r="H368" t="str">
        <f t="shared" si="52"/>
        <v>스토리위즈</v>
      </c>
      <c r="I368" t="str">
        <f t="shared" si="53"/>
        <v>최종 보스 : 빛을 향해 달리는 그림자</v>
      </c>
      <c r="J368">
        <v>100</v>
      </c>
      <c r="K368">
        <v>600</v>
      </c>
      <c r="L368">
        <v>6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600</v>
      </c>
      <c r="AH368">
        <v>6</v>
      </c>
      <c r="AI368">
        <v>0</v>
      </c>
      <c r="AJ368">
        <v>0</v>
      </c>
      <c r="AK368">
        <v>400</v>
      </c>
      <c r="AL368">
        <v>0</v>
      </c>
      <c r="AM368">
        <v>240</v>
      </c>
      <c r="AN368">
        <v>-48</v>
      </c>
      <c r="AO368">
        <v>0</v>
      </c>
      <c r="AQ368">
        <v>0</v>
      </c>
      <c r="AR368">
        <v>0</v>
      </c>
      <c r="AS368">
        <v>240</v>
      </c>
      <c r="AT368">
        <v>-48</v>
      </c>
      <c r="AU368">
        <v>0</v>
      </c>
      <c r="AW368">
        <v>0</v>
      </c>
      <c r="AX368">
        <v>0</v>
      </c>
      <c r="AY368">
        <v>414.4</v>
      </c>
      <c r="BC368" t="str">
        <f t="shared" si="54"/>
        <v>9791166067563</v>
      </c>
      <c r="BE368" t="str">
        <f t="shared" si="55"/>
        <v>판타지 웹소설 &gt; 현대 판타지</v>
      </c>
    </row>
    <row r="369" spans="1:57" x14ac:dyDescent="0.3">
      <c r="A369">
        <v>2313011400</v>
      </c>
      <c r="B369">
        <v>1525007588</v>
      </c>
      <c r="C369" t="str">
        <f>T("최종 보스 18권 14화")</f>
        <v>최종 보스 18권 14화</v>
      </c>
      <c r="D369" t="str">
        <f>T("366")</f>
        <v>366</v>
      </c>
      <c r="E369" t="str">
        <f t="shared" si="51"/>
        <v>무장</v>
      </c>
      <c r="H369" t="str">
        <f t="shared" si="52"/>
        <v>스토리위즈</v>
      </c>
      <c r="I369" t="str">
        <f t="shared" si="53"/>
        <v>최종 보스 : 빛을 향해 달리는 그림자</v>
      </c>
      <c r="J369">
        <v>100</v>
      </c>
      <c r="K369">
        <v>600</v>
      </c>
      <c r="L369">
        <v>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600</v>
      </c>
      <c r="AH369">
        <v>6</v>
      </c>
      <c r="AI369">
        <v>0</v>
      </c>
      <c r="AJ369">
        <v>0</v>
      </c>
      <c r="AK369">
        <v>400</v>
      </c>
      <c r="AL369">
        <v>0</v>
      </c>
      <c r="AM369">
        <v>240</v>
      </c>
      <c r="AN369">
        <v>-48</v>
      </c>
      <c r="AO369">
        <v>0</v>
      </c>
      <c r="AP369">
        <v>120</v>
      </c>
      <c r="AQ369">
        <v>-36</v>
      </c>
      <c r="AR369">
        <v>0</v>
      </c>
      <c r="AS369">
        <v>120</v>
      </c>
      <c r="AT369">
        <v>-12</v>
      </c>
      <c r="AU369">
        <v>0</v>
      </c>
      <c r="AW369">
        <v>0</v>
      </c>
      <c r="AX369">
        <v>0</v>
      </c>
      <c r="AY369">
        <v>414.4</v>
      </c>
      <c r="BC369" t="str">
        <f t="shared" si="54"/>
        <v>9791166067563</v>
      </c>
      <c r="BE369" t="str">
        <f t="shared" si="55"/>
        <v>판타지 웹소설 &gt; 현대 판타지</v>
      </c>
    </row>
    <row r="370" spans="1:57" x14ac:dyDescent="0.3">
      <c r="A370">
        <v>2313011400</v>
      </c>
      <c r="B370">
        <v>1525007645</v>
      </c>
      <c r="C370" t="str">
        <f>T("최종 보스 21권 10화")</f>
        <v>최종 보스 21권 10화</v>
      </c>
      <c r="D370" t="str">
        <f>T("423")</f>
        <v>423</v>
      </c>
      <c r="E370" t="str">
        <f t="shared" si="51"/>
        <v>무장</v>
      </c>
      <c r="H370" t="str">
        <f t="shared" si="52"/>
        <v>스토리위즈</v>
      </c>
      <c r="I370" t="str">
        <f t="shared" si="53"/>
        <v>최종 보스 : 빛을 향해 달리는 그림자</v>
      </c>
      <c r="J370">
        <v>100</v>
      </c>
      <c r="K370">
        <v>600</v>
      </c>
      <c r="L370">
        <v>6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600</v>
      </c>
      <c r="AH370">
        <v>6</v>
      </c>
      <c r="AI370">
        <v>0</v>
      </c>
      <c r="AJ370">
        <v>0</v>
      </c>
      <c r="AK370">
        <v>400</v>
      </c>
      <c r="AL370">
        <v>0</v>
      </c>
      <c r="AM370">
        <v>240</v>
      </c>
      <c r="AN370">
        <v>-48</v>
      </c>
      <c r="AO370">
        <v>0</v>
      </c>
      <c r="AQ370">
        <v>0</v>
      </c>
      <c r="AR370">
        <v>0</v>
      </c>
      <c r="AS370">
        <v>240</v>
      </c>
      <c r="AT370">
        <v>-48</v>
      </c>
      <c r="AU370">
        <v>0</v>
      </c>
      <c r="AW370">
        <v>0</v>
      </c>
      <c r="AX370">
        <v>0</v>
      </c>
      <c r="AY370">
        <v>414.4</v>
      </c>
      <c r="BC370" t="str">
        <f t="shared" si="54"/>
        <v>9791166067563</v>
      </c>
      <c r="BE370" t="str">
        <f t="shared" si="55"/>
        <v>판타지 웹소설 &gt; 현대 판타지</v>
      </c>
    </row>
    <row r="371" spans="1:57" x14ac:dyDescent="0.3">
      <c r="A371">
        <v>2313011400</v>
      </c>
      <c r="B371">
        <v>1525007702</v>
      </c>
      <c r="C371" t="str">
        <f>T("최종 보스 24권 7화")</f>
        <v>최종 보스 24권 7화</v>
      </c>
      <c r="D371" t="str">
        <f>T("480")</f>
        <v>480</v>
      </c>
      <c r="E371" t="str">
        <f t="shared" si="51"/>
        <v>무장</v>
      </c>
      <c r="H371" t="str">
        <f t="shared" si="52"/>
        <v>스토리위즈</v>
      </c>
      <c r="I371" t="str">
        <f t="shared" si="53"/>
        <v>최종 보스 : 빛을 향해 달리는 그림자</v>
      </c>
      <c r="J371">
        <v>100</v>
      </c>
      <c r="K371">
        <v>600</v>
      </c>
      <c r="L371">
        <v>6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600</v>
      </c>
      <c r="AH371">
        <v>6</v>
      </c>
      <c r="AI371">
        <v>0</v>
      </c>
      <c r="AJ371">
        <v>0</v>
      </c>
      <c r="AK371">
        <v>310</v>
      </c>
      <c r="AL371">
        <v>0</v>
      </c>
      <c r="AM371">
        <v>348</v>
      </c>
      <c r="AN371">
        <v>-56.4</v>
      </c>
      <c r="AO371">
        <v>0</v>
      </c>
      <c r="AP371">
        <v>108</v>
      </c>
      <c r="AQ371">
        <v>-32.4</v>
      </c>
      <c r="AR371">
        <v>0</v>
      </c>
      <c r="AS371">
        <v>240</v>
      </c>
      <c r="AT371">
        <v>-24</v>
      </c>
      <c r="AU371">
        <v>0</v>
      </c>
      <c r="AW371">
        <v>0</v>
      </c>
      <c r="AX371">
        <v>0</v>
      </c>
      <c r="AY371">
        <v>421.12</v>
      </c>
      <c r="BC371" t="str">
        <f t="shared" si="54"/>
        <v>9791166067563</v>
      </c>
      <c r="BE371" t="str">
        <f t="shared" si="55"/>
        <v>판타지 웹소설 &gt; 현대 판타지</v>
      </c>
    </row>
    <row r="372" spans="1:57" x14ac:dyDescent="0.3">
      <c r="A372">
        <v>2313011400</v>
      </c>
      <c r="B372">
        <v>1525007620</v>
      </c>
      <c r="C372" t="str">
        <f>T("최종 보스 20권 5화")</f>
        <v>최종 보스 20권 5화</v>
      </c>
      <c r="D372" t="str">
        <f>T("398")</f>
        <v>398</v>
      </c>
      <c r="E372" t="str">
        <f t="shared" si="51"/>
        <v>무장</v>
      </c>
      <c r="H372" t="str">
        <f t="shared" si="52"/>
        <v>스토리위즈</v>
      </c>
      <c r="I372" t="str">
        <f t="shared" si="53"/>
        <v>최종 보스 : 빛을 향해 달리는 그림자</v>
      </c>
      <c r="J372">
        <v>100</v>
      </c>
      <c r="K372">
        <v>600</v>
      </c>
      <c r="L372">
        <v>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600</v>
      </c>
      <c r="AH372">
        <v>6</v>
      </c>
      <c r="AI372">
        <v>0</v>
      </c>
      <c r="AJ372">
        <v>0</v>
      </c>
      <c r="AK372">
        <v>400</v>
      </c>
      <c r="AL372">
        <v>0</v>
      </c>
      <c r="AM372">
        <v>240</v>
      </c>
      <c r="AN372">
        <v>-48</v>
      </c>
      <c r="AO372">
        <v>0</v>
      </c>
      <c r="AP372">
        <v>120</v>
      </c>
      <c r="AQ372">
        <v>-36</v>
      </c>
      <c r="AR372">
        <v>0</v>
      </c>
      <c r="AS372">
        <v>120</v>
      </c>
      <c r="AT372">
        <v>-12</v>
      </c>
      <c r="AU372">
        <v>0</v>
      </c>
      <c r="AW372">
        <v>0</v>
      </c>
      <c r="AX372">
        <v>0</v>
      </c>
      <c r="AY372">
        <v>414.4</v>
      </c>
      <c r="BC372" t="str">
        <f t="shared" si="54"/>
        <v>9791166067563</v>
      </c>
      <c r="BE372" t="str">
        <f t="shared" si="55"/>
        <v>판타지 웹소설 &gt; 현대 판타지</v>
      </c>
    </row>
    <row r="373" spans="1:57" x14ac:dyDescent="0.3">
      <c r="A373">
        <v>2313011400</v>
      </c>
      <c r="B373">
        <v>1525007677</v>
      </c>
      <c r="C373" t="str">
        <f>T("최종 보스 23권 2화")</f>
        <v>최종 보스 23권 2화</v>
      </c>
      <c r="D373" t="str">
        <f>T("455")</f>
        <v>455</v>
      </c>
      <c r="E373" t="str">
        <f t="shared" si="51"/>
        <v>무장</v>
      </c>
      <c r="H373" t="str">
        <f t="shared" si="52"/>
        <v>스토리위즈</v>
      </c>
      <c r="I373" t="str">
        <f t="shared" si="53"/>
        <v>최종 보스 : 빛을 향해 달리는 그림자</v>
      </c>
      <c r="J373">
        <v>100</v>
      </c>
      <c r="K373">
        <v>600</v>
      </c>
      <c r="L373">
        <v>6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600</v>
      </c>
      <c r="AH373">
        <v>6</v>
      </c>
      <c r="AI373">
        <v>0</v>
      </c>
      <c r="AJ373">
        <v>0</v>
      </c>
      <c r="AK373">
        <v>310</v>
      </c>
      <c r="AL373">
        <v>0</v>
      </c>
      <c r="AM373">
        <v>348</v>
      </c>
      <c r="AN373">
        <v>-80.400000000000006</v>
      </c>
      <c r="AO373">
        <v>0</v>
      </c>
      <c r="AP373">
        <v>108</v>
      </c>
      <c r="AQ373">
        <v>-32.4</v>
      </c>
      <c r="AR373">
        <v>0</v>
      </c>
      <c r="AS373">
        <v>240</v>
      </c>
      <c r="AT373">
        <v>-48</v>
      </c>
      <c r="AU373">
        <v>0</v>
      </c>
      <c r="AW373">
        <v>0</v>
      </c>
      <c r="AX373">
        <v>0</v>
      </c>
      <c r="AY373">
        <v>404.32</v>
      </c>
      <c r="BC373" t="str">
        <f t="shared" si="54"/>
        <v>9791166067563</v>
      </c>
      <c r="BE373" t="str">
        <f t="shared" si="55"/>
        <v>판타지 웹소설 &gt; 현대 판타지</v>
      </c>
    </row>
    <row r="374" spans="1:57" x14ac:dyDescent="0.3">
      <c r="A374">
        <v>2313011400</v>
      </c>
      <c r="B374">
        <v>1525007734</v>
      </c>
      <c r="C374" t="str">
        <f>T("최종 보스 25권 19화")</f>
        <v>최종 보스 25권 19화</v>
      </c>
      <c r="D374" t="str">
        <f>T("512")</f>
        <v>512</v>
      </c>
      <c r="E374" t="str">
        <f t="shared" si="51"/>
        <v>무장</v>
      </c>
      <c r="H374" t="str">
        <f t="shared" si="52"/>
        <v>스토리위즈</v>
      </c>
      <c r="I374" t="str">
        <f t="shared" si="53"/>
        <v>최종 보스 : 빛을 향해 달리는 그림자</v>
      </c>
      <c r="J374">
        <v>100</v>
      </c>
      <c r="K374">
        <v>600</v>
      </c>
      <c r="L374">
        <v>6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600</v>
      </c>
      <c r="AH374">
        <v>6</v>
      </c>
      <c r="AI374">
        <v>0</v>
      </c>
      <c r="AJ374">
        <v>0</v>
      </c>
      <c r="AK374">
        <v>300</v>
      </c>
      <c r="AL374">
        <v>0</v>
      </c>
      <c r="AM374">
        <v>360</v>
      </c>
      <c r="AN374">
        <v>-60</v>
      </c>
      <c r="AO374">
        <v>0</v>
      </c>
      <c r="AP374">
        <v>120</v>
      </c>
      <c r="AQ374">
        <v>-36</v>
      </c>
      <c r="AR374">
        <v>0</v>
      </c>
      <c r="AS374">
        <v>240</v>
      </c>
      <c r="AT374">
        <v>-24</v>
      </c>
      <c r="AU374">
        <v>0</v>
      </c>
      <c r="AW374">
        <v>0</v>
      </c>
      <c r="AX374">
        <v>0</v>
      </c>
      <c r="AY374">
        <v>420</v>
      </c>
      <c r="BC374" t="str">
        <f t="shared" si="54"/>
        <v>9791166067563</v>
      </c>
      <c r="BE374" t="str">
        <f t="shared" si="55"/>
        <v>판타지 웹소설 &gt; 현대 판타지</v>
      </c>
    </row>
    <row r="375" spans="1:57" x14ac:dyDescent="0.3">
      <c r="A375">
        <v>2313011400</v>
      </c>
      <c r="B375">
        <v>1525007723</v>
      </c>
      <c r="C375" t="str">
        <f>T("최종 보스 25권 8화")</f>
        <v>최종 보스 25권 8화</v>
      </c>
      <c r="D375" t="str">
        <f>T("501")</f>
        <v>501</v>
      </c>
      <c r="E375" t="str">
        <f t="shared" si="51"/>
        <v>무장</v>
      </c>
      <c r="H375" t="str">
        <f t="shared" si="52"/>
        <v>스토리위즈</v>
      </c>
      <c r="I375" t="str">
        <f t="shared" si="53"/>
        <v>최종 보스 : 빛을 향해 달리는 그림자</v>
      </c>
      <c r="J375">
        <v>100</v>
      </c>
      <c r="K375">
        <v>600</v>
      </c>
      <c r="L375">
        <v>6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600</v>
      </c>
      <c r="AH375">
        <v>6</v>
      </c>
      <c r="AI375">
        <v>0</v>
      </c>
      <c r="AJ375">
        <v>0</v>
      </c>
      <c r="AK375">
        <v>311</v>
      </c>
      <c r="AL375">
        <v>0</v>
      </c>
      <c r="AM375">
        <v>346.8</v>
      </c>
      <c r="AN375">
        <v>-56.04</v>
      </c>
      <c r="AO375">
        <v>0</v>
      </c>
      <c r="AP375">
        <v>106.8</v>
      </c>
      <c r="AQ375">
        <v>-32.04</v>
      </c>
      <c r="AR375">
        <v>0</v>
      </c>
      <c r="AS375">
        <v>240</v>
      </c>
      <c r="AT375">
        <v>-24</v>
      </c>
      <c r="AU375">
        <v>0</v>
      </c>
      <c r="AW375">
        <v>0</v>
      </c>
      <c r="AX375">
        <v>0</v>
      </c>
      <c r="AY375">
        <v>421.23</v>
      </c>
      <c r="BC375" t="str">
        <f t="shared" si="54"/>
        <v>9791166067563</v>
      </c>
      <c r="BE375" t="str">
        <f t="shared" si="55"/>
        <v>판타지 웹소설 &gt; 현대 판타지</v>
      </c>
    </row>
    <row r="376" spans="1:57" x14ac:dyDescent="0.3">
      <c r="A376">
        <v>2313011400</v>
      </c>
      <c r="B376">
        <v>1525007577</v>
      </c>
      <c r="C376" t="str">
        <f>T("최종 보스 18권 3화")</f>
        <v>최종 보스 18권 3화</v>
      </c>
      <c r="D376" t="str">
        <f>T("355")</f>
        <v>355</v>
      </c>
      <c r="E376" t="str">
        <f t="shared" si="51"/>
        <v>무장</v>
      </c>
      <c r="H376" t="str">
        <f t="shared" si="52"/>
        <v>스토리위즈</v>
      </c>
      <c r="I376" t="str">
        <f t="shared" si="53"/>
        <v>최종 보스 : 빛을 향해 달리는 그림자</v>
      </c>
      <c r="J376">
        <v>100</v>
      </c>
      <c r="K376">
        <v>600</v>
      </c>
      <c r="L376">
        <v>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600</v>
      </c>
      <c r="AH376">
        <v>6</v>
      </c>
      <c r="AI376">
        <v>0</v>
      </c>
      <c r="AJ376">
        <v>0</v>
      </c>
      <c r="AK376">
        <v>400</v>
      </c>
      <c r="AL376">
        <v>0</v>
      </c>
      <c r="AM376">
        <v>240</v>
      </c>
      <c r="AN376">
        <v>-48</v>
      </c>
      <c r="AO376">
        <v>0</v>
      </c>
      <c r="AP376">
        <v>120</v>
      </c>
      <c r="AQ376">
        <v>-36</v>
      </c>
      <c r="AR376">
        <v>0</v>
      </c>
      <c r="AS376">
        <v>120</v>
      </c>
      <c r="AT376">
        <v>-12</v>
      </c>
      <c r="AU376">
        <v>0</v>
      </c>
      <c r="AW376">
        <v>0</v>
      </c>
      <c r="AX376">
        <v>0</v>
      </c>
      <c r="AY376">
        <v>414.4</v>
      </c>
      <c r="BC376" t="str">
        <f t="shared" si="54"/>
        <v>9791166067563</v>
      </c>
      <c r="BE376" t="str">
        <f t="shared" si="55"/>
        <v>판타지 웹소설 &gt; 현대 판타지</v>
      </c>
    </row>
    <row r="377" spans="1:57" x14ac:dyDescent="0.3">
      <c r="A377">
        <v>2313011400</v>
      </c>
      <c r="B377">
        <v>1525007634</v>
      </c>
      <c r="C377" t="str">
        <f>T("최종 보스 20권 19화")</f>
        <v>최종 보스 20권 19화</v>
      </c>
      <c r="D377" t="str">
        <f>T("412")</f>
        <v>412</v>
      </c>
      <c r="E377" t="str">
        <f t="shared" si="51"/>
        <v>무장</v>
      </c>
      <c r="H377" t="str">
        <f t="shared" si="52"/>
        <v>스토리위즈</v>
      </c>
      <c r="I377" t="str">
        <f t="shared" si="53"/>
        <v>최종 보스 : 빛을 향해 달리는 그림자</v>
      </c>
      <c r="J377">
        <v>100</v>
      </c>
      <c r="K377">
        <v>600</v>
      </c>
      <c r="L377">
        <v>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600</v>
      </c>
      <c r="AH377">
        <v>6</v>
      </c>
      <c r="AI377">
        <v>0</v>
      </c>
      <c r="AJ377">
        <v>0</v>
      </c>
      <c r="AK377">
        <v>400</v>
      </c>
      <c r="AL377">
        <v>0</v>
      </c>
      <c r="AM377">
        <v>240</v>
      </c>
      <c r="AN377">
        <v>-48</v>
      </c>
      <c r="AO377">
        <v>0</v>
      </c>
      <c r="AP377">
        <v>120</v>
      </c>
      <c r="AQ377">
        <v>-36</v>
      </c>
      <c r="AR377">
        <v>0</v>
      </c>
      <c r="AS377">
        <v>120</v>
      </c>
      <c r="AT377">
        <v>-12</v>
      </c>
      <c r="AU377">
        <v>0</v>
      </c>
      <c r="AW377">
        <v>0</v>
      </c>
      <c r="AX377">
        <v>0</v>
      </c>
      <c r="AY377">
        <v>414.4</v>
      </c>
      <c r="BC377" t="str">
        <f t="shared" si="54"/>
        <v>9791166067563</v>
      </c>
      <c r="BE377" t="str">
        <f t="shared" si="55"/>
        <v>판타지 웹소설 &gt; 현대 판타지</v>
      </c>
    </row>
    <row r="378" spans="1:57" x14ac:dyDescent="0.3">
      <c r="A378">
        <v>2313011400</v>
      </c>
      <c r="B378">
        <v>1525007691</v>
      </c>
      <c r="C378" t="str">
        <f>T("최종 보스 23권 16화")</f>
        <v>최종 보스 23권 16화</v>
      </c>
      <c r="D378" t="str">
        <f>T("469")</f>
        <v>469</v>
      </c>
      <c r="E378" t="str">
        <f t="shared" si="51"/>
        <v>무장</v>
      </c>
      <c r="H378" t="str">
        <f t="shared" si="52"/>
        <v>스토리위즈</v>
      </c>
      <c r="I378" t="str">
        <f t="shared" si="53"/>
        <v>최종 보스 : 빛을 향해 달리는 그림자</v>
      </c>
      <c r="J378">
        <v>100</v>
      </c>
      <c r="K378">
        <v>600</v>
      </c>
      <c r="L378">
        <v>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600</v>
      </c>
      <c r="AH378">
        <v>6</v>
      </c>
      <c r="AI378">
        <v>0</v>
      </c>
      <c r="AJ378">
        <v>0</v>
      </c>
      <c r="AK378">
        <v>310</v>
      </c>
      <c r="AL378">
        <v>0</v>
      </c>
      <c r="AM378">
        <v>348</v>
      </c>
      <c r="AN378">
        <v>-56.4</v>
      </c>
      <c r="AO378">
        <v>0</v>
      </c>
      <c r="AP378">
        <v>108</v>
      </c>
      <c r="AQ378">
        <v>-32.4</v>
      </c>
      <c r="AR378">
        <v>0</v>
      </c>
      <c r="AS378">
        <v>240</v>
      </c>
      <c r="AT378">
        <v>-24</v>
      </c>
      <c r="AU378">
        <v>0</v>
      </c>
      <c r="AW378">
        <v>0</v>
      </c>
      <c r="AX378">
        <v>0</v>
      </c>
      <c r="AY378">
        <v>421.12</v>
      </c>
      <c r="BC378" t="str">
        <f t="shared" si="54"/>
        <v>9791166067563</v>
      </c>
      <c r="BE378" t="str">
        <f t="shared" si="55"/>
        <v>판타지 웹소설 &gt; 현대 판타지</v>
      </c>
    </row>
    <row r="379" spans="1:57" x14ac:dyDescent="0.3">
      <c r="A379">
        <v>2313011400</v>
      </c>
      <c r="B379">
        <v>1525007609</v>
      </c>
      <c r="C379" t="str">
        <f>T("최종 보스 19권 15화")</f>
        <v>최종 보스 19권 15화</v>
      </c>
      <c r="D379" t="str">
        <f>T("387")</f>
        <v>387</v>
      </c>
      <c r="E379" t="str">
        <f t="shared" si="51"/>
        <v>무장</v>
      </c>
      <c r="H379" t="str">
        <f t="shared" si="52"/>
        <v>스토리위즈</v>
      </c>
      <c r="I379" t="str">
        <f t="shared" si="53"/>
        <v>최종 보스 : 빛을 향해 달리는 그림자</v>
      </c>
      <c r="J379">
        <v>100</v>
      </c>
      <c r="K379">
        <v>600</v>
      </c>
      <c r="L379">
        <v>6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600</v>
      </c>
      <c r="AH379">
        <v>6</v>
      </c>
      <c r="AI379">
        <v>0</v>
      </c>
      <c r="AJ379">
        <v>0</v>
      </c>
      <c r="AK379">
        <v>400</v>
      </c>
      <c r="AL379">
        <v>0</v>
      </c>
      <c r="AM379">
        <v>240</v>
      </c>
      <c r="AN379">
        <v>-48</v>
      </c>
      <c r="AO379">
        <v>0</v>
      </c>
      <c r="AP379">
        <v>120</v>
      </c>
      <c r="AQ379">
        <v>-36</v>
      </c>
      <c r="AR379">
        <v>0</v>
      </c>
      <c r="AS379">
        <v>120</v>
      </c>
      <c r="AT379">
        <v>-12</v>
      </c>
      <c r="AU379">
        <v>0</v>
      </c>
      <c r="AW379">
        <v>0</v>
      </c>
      <c r="AX379">
        <v>0</v>
      </c>
      <c r="AY379">
        <v>414.4</v>
      </c>
      <c r="BC379" t="str">
        <f t="shared" si="54"/>
        <v>9791166067563</v>
      </c>
      <c r="BE379" t="str">
        <f t="shared" si="55"/>
        <v>판타지 웹소설 &gt; 현대 판타지</v>
      </c>
    </row>
    <row r="380" spans="1:57" x14ac:dyDescent="0.3">
      <c r="A380">
        <v>2313011400</v>
      </c>
      <c r="B380">
        <v>1525007666</v>
      </c>
      <c r="C380" t="str">
        <f>T("최종 보스 22권 11화")</f>
        <v>최종 보스 22권 11화</v>
      </c>
      <c r="D380" t="str">
        <f>T("444")</f>
        <v>444</v>
      </c>
      <c r="E380" t="str">
        <f t="shared" si="51"/>
        <v>무장</v>
      </c>
      <c r="H380" t="str">
        <f t="shared" si="52"/>
        <v>스토리위즈</v>
      </c>
      <c r="I380" t="str">
        <f t="shared" si="53"/>
        <v>최종 보스 : 빛을 향해 달리는 그림자</v>
      </c>
      <c r="J380">
        <v>100</v>
      </c>
      <c r="K380">
        <v>600</v>
      </c>
      <c r="L380">
        <v>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600</v>
      </c>
      <c r="AH380">
        <v>6</v>
      </c>
      <c r="AI380">
        <v>0</v>
      </c>
      <c r="AJ380">
        <v>0</v>
      </c>
      <c r="AK380">
        <v>400</v>
      </c>
      <c r="AL380">
        <v>0</v>
      </c>
      <c r="AM380">
        <v>240</v>
      </c>
      <c r="AN380">
        <v>-48</v>
      </c>
      <c r="AO380">
        <v>0</v>
      </c>
      <c r="AQ380">
        <v>0</v>
      </c>
      <c r="AR380">
        <v>0</v>
      </c>
      <c r="AS380">
        <v>240</v>
      </c>
      <c r="AT380">
        <v>-48</v>
      </c>
      <c r="AU380">
        <v>0</v>
      </c>
      <c r="AW380">
        <v>0</v>
      </c>
      <c r="AX380">
        <v>0</v>
      </c>
      <c r="AY380">
        <v>414.4</v>
      </c>
      <c r="BC380" t="str">
        <f t="shared" si="54"/>
        <v>9791166067563</v>
      </c>
      <c r="BE380" t="str">
        <f t="shared" si="55"/>
        <v>판타지 웹소설 &gt; 현대 판타지</v>
      </c>
    </row>
    <row r="381" spans="1:57" x14ac:dyDescent="0.3">
      <c r="A381">
        <v>2313011400</v>
      </c>
      <c r="B381">
        <v>1525007680</v>
      </c>
      <c r="C381" t="str">
        <f>T("최종 보스 23권 5화")</f>
        <v>최종 보스 23권 5화</v>
      </c>
      <c r="D381" t="str">
        <f>T("458")</f>
        <v>458</v>
      </c>
      <c r="E381" t="str">
        <f t="shared" si="51"/>
        <v>무장</v>
      </c>
      <c r="H381" t="str">
        <f t="shared" si="52"/>
        <v>스토리위즈</v>
      </c>
      <c r="I381" t="str">
        <f t="shared" si="53"/>
        <v>최종 보스 : 빛을 향해 달리는 그림자</v>
      </c>
      <c r="J381">
        <v>100</v>
      </c>
      <c r="K381">
        <v>600</v>
      </c>
      <c r="L381">
        <v>6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600</v>
      </c>
      <c r="AH381">
        <v>6</v>
      </c>
      <c r="AI381">
        <v>0</v>
      </c>
      <c r="AJ381">
        <v>0</v>
      </c>
      <c r="AK381">
        <v>310</v>
      </c>
      <c r="AL381">
        <v>0</v>
      </c>
      <c r="AM381">
        <v>348</v>
      </c>
      <c r="AN381">
        <v>-56.4</v>
      </c>
      <c r="AO381">
        <v>0</v>
      </c>
      <c r="AP381">
        <v>108</v>
      </c>
      <c r="AQ381">
        <v>-32.4</v>
      </c>
      <c r="AR381">
        <v>0</v>
      </c>
      <c r="AS381">
        <v>240</v>
      </c>
      <c r="AT381">
        <v>-24</v>
      </c>
      <c r="AU381">
        <v>0</v>
      </c>
      <c r="AW381">
        <v>0</v>
      </c>
      <c r="AX381">
        <v>0</v>
      </c>
      <c r="AY381">
        <v>421.12</v>
      </c>
      <c r="BC381" t="str">
        <f t="shared" si="54"/>
        <v>9791166067563</v>
      </c>
      <c r="BE381" t="str">
        <f t="shared" si="55"/>
        <v>판타지 웹소설 &gt; 현대 판타지</v>
      </c>
    </row>
    <row r="382" spans="1:57" x14ac:dyDescent="0.3">
      <c r="A382">
        <v>2313011400</v>
      </c>
      <c r="B382">
        <v>1525007598</v>
      </c>
      <c r="C382" t="str">
        <f>T("최종 보스 19권 4화")</f>
        <v>최종 보스 19권 4화</v>
      </c>
      <c r="D382" t="str">
        <f>T("376")</f>
        <v>376</v>
      </c>
      <c r="E382" t="str">
        <f t="shared" si="51"/>
        <v>무장</v>
      </c>
      <c r="H382" t="str">
        <f t="shared" si="52"/>
        <v>스토리위즈</v>
      </c>
      <c r="I382" t="str">
        <f t="shared" si="53"/>
        <v>최종 보스 : 빛을 향해 달리는 그림자</v>
      </c>
      <c r="J382">
        <v>100</v>
      </c>
      <c r="K382">
        <v>600</v>
      </c>
      <c r="L382">
        <v>6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600</v>
      </c>
      <c r="AH382">
        <v>6</v>
      </c>
      <c r="AI382">
        <v>0</v>
      </c>
      <c r="AJ382">
        <v>0</v>
      </c>
      <c r="AK382">
        <v>400</v>
      </c>
      <c r="AL382">
        <v>0</v>
      </c>
      <c r="AM382">
        <v>240</v>
      </c>
      <c r="AN382">
        <v>-48</v>
      </c>
      <c r="AO382">
        <v>0</v>
      </c>
      <c r="AP382">
        <v>120</v>
      </c>
      <c r="AQ382">
        <v>-36</v>
      </c>
      <c r="AR382">
        <v>0</v>
      </c>
      <c r="AS382">
        <v>120</v>
      </c>
      <c r="AT382">
        <v>-12</v>
      </c>
      <c r="AU382">
        <v>0</v>
      </c>
      <c r="AW382">
        <v>0</v>
      </c>
      <c r="AX382">
        <v>0</v>
      </c>
      <c r="AY382">
        <v>414.4</v>
      </c>
      <c r="BC382" t="str">
        <f t="shared" si="54"/>
        <v>9791166067563</v>
      </c>
      <c r="BE382" t="str">
        <f t="shared" si="55"/>
        <v>판타지 웹소설 &gt; 현대 판타지</v>
      </c>
    </row>
    <row r="383" spans="1:57" x14ac:dyDescent="0.3">
      <c r="A383">
        <v>2313011400</v>
      </c>
      <c r="B383">
        <v>1525007655</v>
      </c>
      <c r="C383" t="str">
        <f>T("최종 보스 21권 20화")</f>
        <v>최종 보스 21권 20화</v>
      </c>
      <c r="D383" t="str">
        <f>T("433")</f>
        <v>433</v>
      </c>
      <c r="E383" t="str">
        <f t="shared" si="51"/>
        <v>무장</v>
      </c>
      <c r="H383" t="str">
        <f t="shared" si="52"/>
        <v>스토리위즈</v>
      </c>
      <c r="I383" t="str">
        <f t="shared" si="53"/>
        <v>최종 보스 : 빛을 향해 달리는 그림자</v>
      </c>
      <c r="J383">
        <v>100</v>
      </c>
      <c r="K383">
        <v>600</v>
      </c>
      <c r="L383">
        <v>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600</v>
      </c>
      <c r="AH383">
        <v>6</v>
      </c>
      <c r="AI383">
        <v>0</v>
      </c>
      <c r="AJ383">
        <v>0</v>
      </c>
      <c r="AK383">
        <v>400</v>
      </c>
      <c r="AL383">
        <v>0</v>
      </c>
      <c r="AM383">
        <v>240</v>
      </c>
      <c r="AN383">
        <v>-48</v>
      </c>
      <c r="AO383">
        <v>0</v>
      </c>
      <c r="AQ383">
        <v>0</v>
      </c>
      <c r="AR383">
        <v>0</v>
      </c>
      <c r="AS383">
        <v>240</v>
      </c>
      <c r="AT383">
        <v>-48</v>
      </c>
      <c r="AU383">
        <v>0</v>
      </c>
      <c r="AW383">
        <v>0</v>
      </c>
      <c r="AX383">
        <v>0</v>
      </c>
      <c r="AY383">
        <v>414.4</v>
      </c>
      <c r="BC383" t="str">
        <f t="shared" si="54"/>
        <v>9791166067563</v>
      </c>
      <c r="BE383" t="str">
        <f t="shared" si="55"/>
        <v>판타지 웹소설 &gt; 현대 판타지</v>
      </c>
    </row>
    <row r="384" spans="1:57" x14ac:dyDescent="0.3">
      <c r="A384">
        <v>2313011400</v>
      </c>
      <c r="B384">
        <v>1525007623</v>
      </c>
      <c r="C384" t="str">
        <f>T("최종 보스 20권 8화")</f>
        <v>최종 보스 20권 8화</v>
      </c>
      <c r="D384" t="str">
        <f>T("401")</f>
        <v>401</v>
      </c>
      <c r="E384" t="str">
        <f t="shared" si="51"/>
        <v>무장</v>
      </c>
      <c r="H384" t="str">
        <f t="shared" si="52"/>
        <v>스토리위즈</v>
      </c>
      <c r="I384" t="str">
        <f t="shared" si="53"/>
        <v>최종 보스 : 빛을 향해 달리는 그림자</v>
      </c>
      <c r="J384">
        <v>100</v>
      </c>
      <c r="K384">
        <v>600</v>
      </c>
      <c r="L384">
        <v>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600</v>
      </c>
      <c r="AH384">
        <v>6</v>
      </c>
      <c r="AI384">
        <v>0</v>
      </c>
      <c r="AJ384">
        <v>0</v>
      </c>
      <c r="AK384">
        <v>400</v>
      </c>
      <c r="AL384">
        <v>0</v>
      </c>
      <c r="AM384">
        <v>240</v>
      </c>
      <c r="AN384">
        <v>-48</v>
      </c>
      <c r="AO384">
        <v>0</v>
      </c>
      <c r="AP384">
        <v>120</v>
      </c>
      <c r="AQ384">
        <v>-36</v>
      </c>
      <c r="AR384">
        <v>0</v>
      </c>
      <c r="AS384">
        <v>120</v>
      </c>
      <c r="AT384">
        <v>-12</v>
      </c>
      <c r="AU384">
        <v>0</v>
      </c>
      <c r="AW384">
        <v>0</v>
      </c>
      <c r="AX384">
        <v>0</v>
      </c>
      <c r="AY384">
        <v>414.4</v>
      </c>
      <c r="BC384" t="str">
        <f t="shared" si="54"/>
        <v>9791166067563</v>
      </c>
      <c r="BE384" t="str">
        <f t="shared" si="55"/>
        <v>판타지 웹소설 &gt; 현대 판타지</v>
      </c>
    </row>
    <row r="385" spans="1:57" x14ac:dyDescent="0.3">
      <c r="A385">
        <v>2313011400</v>
      </c>
      <c r="B385">
        <v>1525007587</v>
      </c>
      <c r="C385" t="str">
        <f>T("최종 보스 18권 13화")</f>
        <v>최종 보스 18권 13화</v>
      </c>
      <c r="D385" t="str">
        <f>T("365")</f>
        <v>365</v>
      </c>
      <c r="E385" t="str">
        <f t="shared" si="51"/>
        <v>무장</v>
      </c>
      <c r="H385" t="str">
        <f t="shared" si="52"/>
        <v>스토리위즈</v>
      </c>
      <c r="I385" t="str">
        <f t="shared" si="53"/>
        <v>최종 보스 : 빛을 향해 달리는 그림자</v>
      </c>
      <c r="J385">
        <v>100</v>
      </c>
      <c r="K385">
        <v>600</v>
      </c>
      <c r="L385">
        <v>6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600</v>
      </c>
      <c r="AH385">
        <v>6</v>
      </c>
      <c r="AI385">
        <v>0</v>
      </c>
      <c r="AJ385">
        <v>0</v>
      </c>
      <c r="AK385">
        <v>466</v>
      </c>
      <c r="AL385">
        <v>0</v>
      </c>
      <c r="AM385">
        <v>160.80000000000001</v>
      </c>
      <c r="AN385">
        <v>-24.24</v>
      </c>
      <c r="AO385">
        <v>0</v>
      </c>
      <c r="AP385">
        <v>40.799999999999997</v>
      </c>
      <c r="AQ385">
        <v>-12.24</v>
      </c>
      <c r="AR385">
        <v>0</v>
      </c>
      <c r="AS385">
        <v>120</v>
      </c>
      <c r="AT385">
        <v>-12</v>
      </c>
      <c r="AU385">
        <v>0</v>
      </c>
      <c r="AW385">
        <v>0</v>
      </c>
      <c r="AX385">
        <v>0</v>
      </c>
      <c r="AY385">
        <v>421.79</v>
      </c>
      <c r="BC385" t="str">
        <f t="shared" si="54"/>
        <v>9791166067563</v>
      </c>
      <c r="BE385" t="str">
        <f t="shared" si="55"/>
        <v>판타지 웹소설 &gt; 현대 판타지</v>
      </c>
    </row>
    <row r="386" spans="1:57" x14ac:dyDescent="0.3">
      <c r="A386">
        <v>2313011400</v>
      </c>
      <c r="B386">
        <v>1525007644</v>
      </c>
      <c r="C386" t="str">
        <f>T("최종 보스 21권 9화")</f>
        <v>최종 보스 21권 9화</v>
      </c>
      <c r="D386" t="str">
        <f>T("422")</f>
        <v>422</v>
      </c>
      <c r="E386" t="str">
        <f t="shared" si="51"/>
        <v>무장</v>
      </c>
      <c r="H386" t="str">
        <f t="shared" si="52"/>
        <v>스토리위즈</v>
      </c>
      <c r="I386" t="str">
        <f t="shared" si="53"/>
        <v>최종 보스 : 빛을 향해 달리는 그림자</v>
      </c>
      <c r="J386">
        <v>100</v>
      </c>
      <c r="K386">
        <v>600</v>
      </c>
      <c r="L386">
        <v>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600</v>
      </c>
      <c r="AH386">
        <v>6</v>
      </c>
      <c r="AI386">
        <v>0</v>
      </c>
      <c r="AJ386">
        <v>0</v>
      </c>
      <c r="AK386">
        <v>400</v>
      </c>
      <c r="AL386">
        <v>0</v>
      </c>
      <c r="AM386">
        <v>240</v>
      </c>
      <c r="AN386">
        <v>-48</v>
      </c>
      <c r="AO386">
        <v>0</v>
      </c>
      <c r="AQ386">
        <v>0</v>
      </c>
      <c r="AR386">
        <v>0</v>
      </c>
      <c r="AS386">
        <v>240</v>
      </c>
      <c r="AT386">
        <v>-48</v>
      </c>
      <c r="AU386">
        <v>0</v>
      </c>
      <c r="AW386">
        <v>0</v>
      </c>
      <c r="AX386">
        <v>0</v>
      </c>
      <c r="AY386">
        <v>414.4</v>
      </c>
      <c r="BC386" t="str">
        <f t="shared" si="54"/>
        <v>9791166067563</v>
      </c>
      <c r="BE386" t="str">
        <f t="shared" si="55"/>
        <v>판타지 웹소설 &gt; 현대 판타지</v>
      </c>
    </row>
    <row r="387" spans="1:57" x14ac:dyDescent="0.3">
      <c r="A387">
        <v>2313011400</v>
      </c>
      <c r="B387">
        <v>1525007701</v>
      </c>
      <c r="C387" t="str">
        <f>T("최종 보스 24권 6화")</f>
        <v>최종 보스 24권 6화</v>
      </c>
      <c r="D387" t="str">
        <f>T("479")</f>
        <v>479</v>
      </c>
      <c r="E387" t="str">
        <f t="shared" si="51"/>
        <v>무장</v>
      </c>
      <c r="H387" t="str">
        <f t="shared" si="52"/>
        <v>스토리위즈</v>
      </c>
      <c r="I387" t="str">
        <f t="shared" si="53"/>
        <v>최종 보스 : 빛을 향해 달리는 그림자</v>
      </c>
      <c r="J387">
        <v>100</v>
      </c>
      <c r="K387">
        <v>600</v>
      </c>
      <c r="L387">
        <v>6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600</v>
      </c>
      <c r="AH387">
        <v>6</v>
      </c>
      <c r="AI387">
        <v>0</v>
      </c>
      <c r="AJ387">
        <v>0</v>
      </c>
      <c r="AK387">
        <v>310</v>
      </c>
      <c r="AL387">
        <v>0</v>
      </c>
      <c r="AM387">
        <v>348</v>
      </c>
      <c r="AN387">
        <v>-56.4</v>
      </c>
      <c r="AO387">
        <v>0</v>
      </c>
      <c r="AP387">
        <v>108</v>
      </c>
      <c r="AQ387">
        <v>-32.4</v>
      </c>
      <c r="AR387">
        <v>0</v>
      </c>
      <c r="AS387">
        <v>240</v>
      </c>
      <c r="AT387">
        <v>-24</v>
      </c>
      <c r="AU387">
        <v>0</v>
      </c>
      <c r="AW387">
        <v>0</v>
      </c>
      <c r="AX387">
        <v>0</v>
      </c>
      <c r="AY387">
        <v>421.12</v>
      </c>
      <c r="BC387" t="str">
        <f t="shared" si="54"/>
        <v>9791166067563</v>
      </c>
      <c r="BE387" t="str">
        <f t="shared" si="55"/>
        <v>판타지 웹소설 &gt; 현대 판타지</v>
      </c>
    </row>
    <row r="388" spans="1:57" x14ac:dyDescent="0.3">
      <c r="A388">
        <v>2313011400</v>
      </c>
      <c r="B388">
        <v>1525007619</v>
      </c>
      <c r="C388" t="str">
        <f>T("최종 보스 20권 4화")</f>
        <v>최종 보스 20권 4화</v>
      </c>
      <c r="D388" t="str">
        <f>T("397")</f>
        <v>397</v>
      </c>
      <c r="E388" t="str">
        <f t="shared" si="51"/>
        <v>무장</v>
      </c>
      <c r="H388" t="str">
        <f t="shared" si="52"/>
        <v>스토리위즈</v>
      </c>
      <c r="I388" t="str">
        <f t="shared" si="53"/>
        <v>최종 보스 : 빛을 향해 달리는 그림자</v>
      </c>
      <c r="J388">
        <v>100</v>
      </c>
      <c r="K388">
        <v>600</v>
      </c>
      <c r="L388">
        <v>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600</v>
      </c>
      <c r="AH388">
        <v>6</v>
      </c>
      <c r="AI388">
        <v>0</v>
      </c>
      <c r="AJ388">
        <v>0</v>
      </c>
      <c r="AK388">
        <v>400</v>
      </c>
      <c r="AL388">
        <v>0</v>
      </c>
      <c r="AM388">
        <v>240</v>
      </c>
      <c r="AN388">
        <v>-48</v>
      </c>
      <c r="AO388">
        <v>0</v>
      </c>
      <c r="AP388">
        <v>120</v>
      </c>
      <c r="AQ388">
        <v>-36</v>
      </c>
      <c r="AR388">
        <v>0</v>
      </c>
      <c r="AS388">
        <v>120</v>
      </c>
      <c r="AT388">
        <v>-12</v>
      </c>
      <c r="AU388">
        <v>0</v>
      </c>
      <c r="AW388">
        <v>0</v>
      </c>
      <c r="AX388">
        <v>0</v>
      </c>
      <c r="AY388">
        <v>414.4</v>
      </c>
      <c r="BC388" t="str">
        <f t="shared" si="54"/>
        <v>9791166067563</v>
      </c>
      <c r="BE388" t="str">
        <f t="shared" si="55"/>
        <v>판타지 웹소설 &gt; 현대 판타지</v>
      </c>
    </row>
    <row r="389" spans="1:57" x14ac:dyDescent="0.3">
      <c r="A389">
        <v>2313011400</v>
      </c>
      <c r="B389">
        <v>1525007676</v>
      </c>
      <c r="C389" t="str">
        <f>T("최종 보스 23권 1화")</f>
        <v>최종 보스 23권 1화</v>
      </c>
      <c r="D389" t="str">
        <f>T("454")</f>
        <v>454</v>
      </c>
      <c r="E389" t="str">
        <f t="shared" si="51"/>
        <v>무장</v>
      </c>
      <c r="H389" t="str">
        <f t="shared" si="52"/>
        <v>스토리위즈</v>
      </c>
      <c r="I389" t="str">
        <f t="shared" si="53"/>
        <v>최종 보스 : 빛을 향해 달리는 그림자</v>
      </c>
      <c r="J389">
        <v>100</v>
      </c>
      <c r="K389">
        <v>600</v>
      </c>
      <c r="L389">
        <v>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600</v>
      </c>
      <c r="AH389">
        <v>6</v>
      </c>
      <c r="AI389">
        <v>0</v>
      </c>
      <c r="AJ389">
        <v>0</v>
      </c>
      <c r="AK389">
        <v>310</v>
      </c>
      <c r="AL389">
        <v>0</v>
      </c>
      <c r="AM389">
        <v>348</v>
      </c>
      <c r="AN389">
        <v>-80.400000000000006</v>
      </c>
      <c r="AO389">
        <v>0</v>
      </c>
      <c r="AP389">
        <v>108</v>
      </c>
      <c r="AQ389">
        <v>-32.4</v>
      </c>
      <c r="AR389">
        <v>0</v>
      </c>
      <c r="AS389">
        <v>240</v>
      </c>
      <c r="AT389">
        <v>-48</v>
      </c>
      <c r="AU389">
        <v>0</v>
      </c>
      <c r="AW389">
        <v>0</v>
      </c>
      <c r="AX389">
        <v>0</v>
      </c>
      <c r="AY389">
        <v>404.32</v>
      </c>
      <c r="BC389" t="str">
        <f t="shared" si="54"/>
        <v>9791166067563</v>
      </c>
      <c r="BE389" t="str">
        <f t="shared" si="55"/>
        <v>판타지 웹소설 &gt; 현대 판타지</v>
      </c>
    </row>
    <row r="390" spans="1:57" x14ac:dyDescent="0.3">
      <c r="A390">
        <v>2313011400</v>
      </c>
      <c r="B390">
        <v>1525007733</v>
      </c>
      <c r="C390" t="str">
        <f>T("최종 보스 25권 18화")</f>
        <v>최종 보스 25권 18화</v>
      </c>
      <c r="D390" t="str">
        <f>T("511")</f>
        <v>511</v>
      </c>
      <c r="E390" t="str">
        <f t="shared" si="51"/>
        <v>무장</v>
      </c>
      <c r="H390" t="str">
        <f t="shared" si="52"/>
        <v>스토리위즈</v>
      </c>
      <c r="I390" t="str">
        <f t="shared" si="53"/>
        <v>최종 보스 : 빛을 향해 달리는 그림자</v>
      </c>
      <c r="J390">
        <v>100</v>
      </c>
      <c r="K390">
        <v>600</v>
      </c>
      <c r="L390">
        <v>6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600</v>
      </c>
      <c r="AH390">
        <v>6</v>
      </c>
      <c r="AI390">
        <v>0</v>
      </c>
      <c r="AJ390">
        <v>0</v>
      </c>
      <c r="AK390">
        <v>300</v>
      </c>
      <c r="AL390">
        <v>0</v>
      </c>
      <c r="AM390">
        <v>360</v>
      </c>
      <c r="AN390">
        <v>-60</v>
      </c>
      <c r="AO390">
        <v>0</v>
      </c>
      <c r="AP390">
        <v>120</v>
      </c>
      <c r="AQ390">
        <v>-36</v>
      </c>
      <c r="AR390">
        <v>0</v>
      </c>
      <c r="AS390">
        <v>240</v>
      </c>
      <c r="AT390">
        <v>-24</v>
      </c>
      <c r="AU390">
        <v>0</v>
      </c>
      <c r="AW390">
        <v>0</v>
      </c>
      <c r="AX390">
        <v>0</v>
      </c>
      <c r="AY390">
        <v>420</v>
      </c>
      <c r="BC390" t="str">
        <f t="shared" si="54"/>
        <v>9791166067563</v>
      </c>
      <c r="BE390" t="str">
        <f t="shared" si="55"/>
        <v>판타지 웹소설 &gt; 현대 판타지</v>
      </c>
    </row>
    <row r="391" spans="1:57" x14ac:dyDescent="0.3">
      <c r="A391">
        <v>2313011400</v>
      </c>
      <c r="B391">
        <v>1525007576</v>
      </c>
      <c r="C391" t="str">
        <f>T("최종 보스 18권 2화")</f>
        <v>최종 보스 18권 2화</v>
      </c>
      <c r="D391" t="str">
        <f>T("354")</f>
        <v>354</v>
      </c>
      <c r="E391" t="str">
        <f t="shared" si="51"/>
        <v>무장</v>
      </c>
      <c r="H391" t="str">
        <f t="shared" si="52"/>
        <v>스토리위즈</v>
      </c>
      <c r="I391" t="str">
        <f t="shared" si="53"/>
        <v>최종 보스 : 빛을 향해 달리는 그림자</v>
      </c>
      <c r="J391">
        <v>100</v>
      </c>
      <c r="K391">
        <v>600</v>
      </c>
      <c r="L391">
        <v>6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600</v>
      </c>
      <c r="AH391">
        <v>6</v>
      </c>
      <c r="AI391">
        <v>0</v>
      </c>
      <c r="AJ391">
        <v>0</v>
      </c>
      <c r="AK391">
        <v>400</v>
      </c>
      <c r="AL391">
        <v>0</v>
      </c>
      <c r="AM391">
        <v>240</v>
      </c>
      <c r="AN391">
        <v>-48</v>
      </c>
      <c r="AO391">
        <v>0</v>
      </c>
      <c r="AP391">
        <v>120</v>
      </c>
      <c r="AQ391">
        <v>-36</v>
      </c>
      <c r="AR391">
        <v>0</v>
      </c>
      <c r="AS391">
        <v>120</v>
      </c>
      <c r="AT391">
        <v>-12</v>
      </c>
      <c r="AU391">
        <v>0</v>
      </c>
      <c r="AW391">
        <v>0</v>
      </c>
      <c r="AX391">
        <v>0</v>
      </c>
      <c r="AY391">
        <v>414.4</v>
      </c>
      <c r="BC391" t="str">
        <f t="shared" si="54"/>
        <v>9791166067563</v>
      </c>
      <c r="BE391" t="str">
        <f t="shared" si="55"/>
        <v>판타지 웹소설 &gt; 현대 판타지</v>
      </c>
    </row>
    <row r="392" spans="1:57" x14ac:dyDescent="0.3">
      <c r="A392">
        <v>2313011400</v>
      </c>
      <c r="B392">
        <v>1525007633</v>
      </c>
      <c r="C392" t="str">
        <f>T("최종 보스 20권 18화")</f>
        <v>최종 보스 20권 18화</v>
      </c>
      <c r="D392" t="str">
        <f>T("411")</f>
        <v>411</v>
      </c>
      <c r="E392" t="str">
        <f t="shared" si="51"/>
        <v>무장</v>
      </c>
      <c r="H392" t="str">
        <f t="shared" si="52"/>
        <v>스토리위즈</v>
      </c>
      <c r="I392" t="str">
        <f t="shared" si="53"/>
        <v>최종 보스 : 빛을 향해 달리는 그림자</v>
      </c>
      <c r="J392">
        <v>100</v>
      </c>
      <c r="K392">
        <v>600</v>
      </c>
      <c r="L392">
        <v>6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600</v>
      </c>
      <c r="AH392">
        <v>6</v>
      </c>
      <c r="AI392">
        <v>0</v>
      </c>
      <c r="AJ392">
        <v>0</v>
      </c>
      <c r="AK392">
        <v>400</v>
      </c>
      <c r="AL392">
        <v>0</v>
      </c>
      <c r="AM392">
        <v>240</v>
      </c>
      <c r="AN392">
        <v>-48</v>
      </c>
      <c r="AO392">
        <v>0</v>
      </c>
      <c r="AP392">
        <v>120</v>
      </c>
      <c r="AQ392">
        <v>-36</v>
      </c>
      <c r="AR392">
        <v>0</v>
      </c>
      <c r="AS392">
        <v>120</v>
      </c>
      <c r="AT392">
        <v>-12</v>
      </c>
      <c r="AU392">
        <v>0</v>
      </c>
      <c r="AW392">
        <v>0</v>
      </c>
      <c r="AX392">
        <v>0</v>
      </c>
      <c r="AY392">
        <v>414.4</v>
      </c>
      <c r="BC392" t="str">
        <f t="shared" si="54"/>
        <v>9791166067563</v>
      </c>
      <c r="BE392" t="str">
        <f t="shared" si="55"/>
        <v>판타지 웹소설 &gt; 현대 판타지</v>
      </c>
    </row>
    <row r="393" spans="1:57" x14ac:dyDescent="0.3">
      <c r="A393">
        <v>2313011400</v>
      </c>
      <c r="B393">
        <v>1525007690</v>
      </c>
      <c r="C393" t="str">
        <f>T("최종 보스 23권 15화")</f>
        <v>최종 보스 23권 15화</v>
      </c>
      <c r="D393" t="str">
        <f>T("468")</f>
        <v>468</v>
      </c>
      <c r="E393" t="str">
        <f t="shared" si="51"/>
        <v>무장</v>
      </c>
      <c r="H393" t="str">
        <f t="shared" si="52"/>
        <v>스토리위즈</v>
      </c>
      <c r="I393" t="str">
        <f t="shared" si="53"/>
        <v>최종 보스 : 빛을 향해 달리는 그림자</v>
      </c>
      <c r="J393">
        <v>100</v>
      </c>
      <c r="K393">
        <v>600</v>
      </c>
      <c r="L393">
        <v>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600</v>
      </c>
      <c r="AH393">
        <v>6</v>
      </c>
      <c r="AI393">
        <v>0</v>
      </c>
      <c r="AJ393">
        <v>0</v>
      </c>
      <c r="AK393">
        <v>310</v>
      </c>
      <c r="AL393">
        <v>0</v>
      </c>
      <c r="AM393">
        <v>348</v>
      </c>
      <c r="AN393">
        <v>-56.4</v>
      </c>
      <c r="AO393">
        <v>0</v>
      </c>
      <c r="AP393">
        <v>108</v>
      </c>
      <c r="AQ393">
        <v>-32.4</v>
      </c>
      <c r="AR393">
        <v>0</v>
      </c>
      <c r="AS393">
        <v>240</v>
      </c>
      <c r="AT393">
        <v>-24</v>
      </c>
      <c r="AU393">
        <v>0</v>
      </c>
      <c r="AW393">
        <v>0</v>
      </c>
      <c r="AX393">
        <v>0</v>
      </c>
      <c r="AY393">
        <v>421.12</v>
      </c>
      <c r="BC393" t="str">
        <f t="shared" si="54"/>
        <v>9791166067563</v>
      </c>
      <c r="BE393" t="str">
        <f t="shared" si="55"/>
        <v>판타지 웹소설 &gt; 현대 판타지</v>
      </c>
    </row>
    <row r="394" spans="1:57" x14ac:dyDescent="0.3">
      <c r="A394">
        <v>2313011400</v>
      </c>
      <c r="B394">
        <v>1525007608</v>
      </c>
      <c r="C394" t="str">
        <f>T("최종 보스 19권 14화")</f>
        <v>최종 보스 19권 14화</v>
      </c>
      <c r="D394" t="str">
        <f>T("386")</f>
        <v>386</v>
      </c>
      <c r="E394" t="str">
        <f t="shared" si="51"/>
        <v>무장</v>
      </c>
      <c r="H394" t="str">
        <f t="shared" si="52"/>
        <v>스토리위즈</v>
      </c>
      <c r="I394" t="str">
        <f t="shared" si="53"/>
        <v>최종 보스 : 빛을 향해 달리는 그림자</v>
      </c>
      <c r="J394">
        <v>100</v>
      </c>
      <c r="K394">
        <v>600</v>
      </c>
      <c r="L394">
        <v>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600</v>
      </c>
      <c r="AH394">
        <v>6</v>
      </c>
      <c r="AI394">
        <v>0</v>
      </c>
      <c r="AJ394">
        <v>0</v>
      </c>
      <c r="AK394">
        <v>400</v>
      </c>
      <c r="AL394">
        <v>0</v>
      </c>
      <c r="AM394">
        <v>240</v>
      </c>
      <c r="AN394">
        <v>-48</v>
      </c>
      <c r="AO394">
        <v>0</v>
      </c>
      <c r="AP394">
        <v>120</v>
      </c>
      <c r="AQ394">
        <v>-36</v>
      </c>
      <c r="AR394">
        <v>0</v>
      </c>
      <c r="AS394">
        <v>120</v>
      </c>
      <c r="AT394">
        <v>-12</v>
      </c>
      <c r="AU394">
        <v>0</v>
      </c>
      <c r="AW394">
        <v>0</v>
      </c>
      <c r="AX394">
        <v>0</v>
      </c>
      <c r="AY394">
        <v>414.4</v>
      </c>
      <c r="BC394" t="str">
        <f t="shared" si="54"/>
        <v>9791166067563</v>
      </c>
      <c r="BE394" t="str">
        <f t="shared" si="55"/>
        <v>판타지 웹소설 &gt; 현대 판타지</v>
      </c>
    </row>
    <row r="395" spans="1:57" x14ac:dyDescent="0.3">
      <c r="A395">
        <v>2313011400</v>
      </c>
      <c r="B395">
        <v>1525007665</v>
      </c>
      <c r="C395" t="str">
        <f>T("최종 보스 22권 10화")</f>
        <v>최종 보스 22권 10화</v>
      </c>
      <c r="D395" t="str">
        <f>T("443")</f>
        <v>443</v>
      </c>
      <c r="E395" t="str">
        <f t="shared" si="51"/>
        <v>무장</v>
      </c>
      <c r="H395" t="str">
        <f t="shared" si="52"/>
        <v>스토리위즈</v>
      </c>
      <c r="I395" t="str">
        <f t="shared" si="53"/>
        <v>최종 보스 : 빛을 향해 달리는 그림자</v>
      </c>
      <c r="J395">
        <v>100</v>
      </c>
      <c r="K395">
        <v>600</v>
      </c>
      <c r="L395">
        <v>6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600</v>
      </c>
      <c r="AH395">
        <v>6</v>
      </c>
      <c r="AI395">
        <v>0</v>
      </c>
      <c r="AJ395">
        <v>0</v>
      </c>
      <c r="AK395">
        <v>400</v>
      </c>
      <c r="AL395">
        <v>0</v>
      </c>
      <c r="AM395">
        <v>240</v>
      </c>
      <c r="AN395">
        <v>-48</v>
      </c>
      <c r="AO395">
        <v>0</v>
      </c>
      <c r="AQ395">
        <v>0</v>
      </c>
      <c r="AR395">
        <v>0</v>
      </c>
      <c r="AS395">
        <v>240</v>
      </c>
      <c r="AT395">
        <v>-48</v>
      </c>
      <c r="AU395">
        <v>0</v>
      </c>
      <c r="AW395">
        <v>0</v>
      </c>
      <c r="AX395">
        <v>0</v>
      </c>
      <c r="AY395">
        <v>414.4</v>
      </c>
      <c r="BC395" t="str">
        <f t="shared" si="54"/>
        <v>9791166067563</v>
      </c>
      <c r="BE395" t="str">
        <f t="shared" si="55"/>
        <v>판타지 웹소설 &gt; 현대 판타지</v>
      </c>
    </row>
    <row r="396" spans="1:57" x14ac:dyDescent="0.3">
      <c r="A396">
        <v>2313011400</v>
      </c>
      <c r="B396">
        <v>1525007722</v>
      </c>
      <c r="C396" t="str">
        <f>T("최종 보스 25권 7화")</f>
        <v>최종 보스 25권 7화</v>
      </c>
      <c r="D396" t="str">
        <f>T("500")</f>
        <v>500</v>
      </c>
      <c r="E396" t="str">
        <f t="shared" si="51"/>
        <v>무장</v>
      </c>
      <c r="H396" t="str">
        <f t="shared" si="52"/>
        <v>스토리위즈</v>
      </c>
      <c r="I396" t="str">
        <f t="shared" si="53"/>
        <v>최종 보스 : 빛을 향해 달리는 그림자</v>
      </c>
      <c r="J396">
        <v>100</v>
      </c>
      <c r="K396">
        <v>600</v>
      </c>
      <c r="L396">
        <v>6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600</v>
      </c>
      <c r="AH396">
        <v>6</v>
      </c>
      <c r="AI396">
        <v>0</v>
      </c>
      <c r="AJ396">
        <v>0</v>
      </c>
      <c r="AK396">
        <v>311</v>
      </c>
      <c r="AL396">
        <v>0</v>
      </c>
      <c r="AM396">
        <v>346.8</v>
      </c>
      <c r="AN396">
        <v>-56.04</v>
      </c>
      <c r="AO396">
        <v>0</v>
      </c>
      <c r="AP396">
        <v>106.8</v>
      </c>
      <c r="AQ396">
        <v>-32.04</v>
      </c>
      <c r="AR396">
        <v>0</v>
      </c>
      <c r="AS396">
        <v>240</v>
      </c>
      <c r="AT396">
        <v>-24</v>
      </c>
      <c r="AU396">
        <v>0</v>
      </c>
      <c r="AW396">
        <v>0</v>
      </c>
      <c r="AX396">
        <v>0</v>
      </c>
      <c r="AY396">
        <v>421.23</v>
      </c>
      <c r="BC396" t="str">
        <f t="shared" si="54"/>
        <v>9791166067563</v>
      </c>
      <c r="BE396" t="str">
        <f t="shared" si="55"/>
        <v>판타지 웹소설 &gt; 현대 판타지</v>
      </c>
    </row>
    <row r="397" spans="1:57" x14ac:dyDescent="0.3">
      <c r="A397">
        <v>2313011400</v>
      </c>
      <c r="B397">
        <v>1525007597</v>
      </c>
      <c r="C397" t="str">
        <f>T("최종 보스 19권 3화")</f>
        <v>최종 보스 19권 3화</v>
      </c>
      <c r="D397" t="str">
        <f>T("375")</f>
        <v>375</v>
      </c>
      <c r="E397" t="str">
        <f t="shared" si="51"/>
        <v>무장</v>
      </c>
      <c r="H397" t="str">
        <f t="shared" si="52"/>
        <v>스토리위즈</v>
      </c>
      <c r="I397" t="str">
        <f t="shared" si="53"/>
        <v>최종 보스 : 빛을 향해 달리는 그림자</v>
      </c>
      <c r="J397">
        <v>100</v>
      </c>
      <c r="K397">
        <v>600</v>
      </c>
      <c r="L397">
        <v>6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600</v>
      </c>
      <c r="AH397">
        <v>6</v>
      </c>
      <c r="AI397">
        <v>0</v>
      </c>
      <c r="AJ397">
        <v>0</v>
      </c>
      <c r="AK397">
        <v>400</v>
      </c>
      <c r="AL397">
        <v>0</v>
      </c>
      <c r="AM397">
        <v>240</v>
      </c>
      <c r="AN397">
        <v>-48</v>
      </c>
      <c r="AO397">
        <v>0</v>
      </c>
      <c r="AP397">
        <v>120</v>
      </c>
      <c r="AQ397">
        <v>-36</v>
      </c>
      <c r="AR397">
        <v>0</v>
      </c>
      <c r="AS397">
        <v>120</v>
      </c>
      <c r="AT397">
        <v>-12</v>
      </c>
      <c r="AU397">
        <v>0</v>
      </c>
      <c r="AW397">
        <v>0</v>
      </c>
      <c r="AX397">
        <v>0</v>
      </c>
      <c r="AY397">
        <v>414.4</v>
      </c>
      <c r="BC397" t="str">
        <f t="shared" si="54"/>
        <v>9791166067563</v>
      </c>
      <c r="BE397" t="str">
        <f t="shared" si="55"/>
        <v>판타지 웹소설 &gt; 현대 판타지</v>
      </c>
    </row>
    <row r="398" spans="1:57" x14ac:dyDescent="0.3">
      <c r="A398">
        <v>2313011400</v>
      </c>
      <c r="B398">
        <v>1525007654</v>
      </c>
      <c r="C398" t="str">
        <f>T("최종 보스 21권 19화")</f>
        <v>최종 보스 21권 19화</v>
      </c>
      <c r="D398" t="str">
        <f>T("432")</f>
        <v>432</v>
      </c>
      <c r="E398" t="str">
        <f t="shared" si="51"/>
        <v>무장</v>
      </c>
      <c r="H398" t="str">
        <f t="shared" si="52"/>
        <v>스토리위즈</v>
      </c>
      <c r="I398" t="str">
        <f t="shared" si="53"/>
        <v>최종 보스 : 빛을 향해 달리는 그림자</v>
      </c>
      <c r="J398">
        <v>100</v>
      </c>
      <c r="K398">
        <v>600</v>
      </c>
      <c r="L398">
        <v>6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600</v>
      </c>
      <c r="AH398">
        <v>6</v>
      </c>
      <c r="AI398">
        <v>0</v>
      </c>
      <c r="AJ398">
        <v>0</v>
      </c>
      <c r="AK398">
        <v>400</v>
      </c>
      <c r="AL398">
        <v>0</v>
      </c>
      <c r="AM398">
        <v>240</v>
      </c>
      <c r="AN398">
        <v>-48</v>
      </c>
      <c r="AO398">
        <v>0</v>
      </c>
      <c r="AQ398">
        <v>0</v>
      </c>
      <c r="AR398">
        <v>0</v>
      </c>
      <c r="AS398">
        <v>240</v>
      </c>
      <c r="AT398">
        <v>-48</v>
      </c>
      <c r="AU398">
        <v>0</v>
      </c>
      <c r="AW398">
        <v>0</v>
      </c>
      <c r="AX398">
        <v>0</v>
      </c>
      <c r="AY398">
        <v>414.4</v>
      </c>
      <c r="BC398" t="str">
        <f t="shared" si="54"/>
        <v>9791166067563</v>
      </c>
      <c r="BE398" t="str">
        <f t="shared" si="55"/>
        <v>판타지 웹소설 &gt; 현대 판타지</v>
      </c>
    </row>
    <row r="399" spans="1:57" x14ac:dyDescent="0.3">
      <c r="A399">
        <v>2313011400</v>
      </c>
      <c r="B399">
        <v>1525007622</v>
      </c>
      <c r="C399" t="str">
        <f>T("최종 보스 20권 7화")</f>
        <v>최종 보스 20권 7화</v>
      </c>
      <c r="D399" t="str">
        <f>T("400")</f>
        <v>400</v>
      </c>
      <c r="E399" t="str">
        <f t="shared" si="51"/>
        <v>무장</v>
      </c>
      <c r="H399" t="str">
        <f t="shared" si="52"/>
        <v>스토리위즈</v>
      </c>
      <c r="I399" t="str">
        <f t="shared" si="53"/>
        <v>최종 보스 : 빛을 향해 달리는 그림자</v>
      </c>
      <c r="J399">
        <v>100</v>
      </c>
      <c r="K399">
        <v>600</v>
      </c>
      <c r="L399">
        <v>6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600</v>
      </c>
      <c r="AH399">
        <v>6</v>
      </c>
      <c r="AI399">
        <v>0</v>
      </c>
      <c r="AJ399">
        <v>0</v>
      </c>
      <c r="AK399">
        <v>400</v>
      </c>
      <c r="AL399">
        <v>0</v>
      </c>
      <c r="AM399">
        <v>240</v>
      </c>
      <c r="AN399">
        <v>-48</v>
      </c>
      <c r="AO399">
        <v>0</v>
      </c>
      <c r="AP399">
        <v>120</v>
      </c>
      <c r="AQ399">
        <v>-36</v>
      </c>
      <c r="AR399">
        <v>0</v>
      </c>
      <c r="AS399">
        <v>120</v>
      </c>
      <c r="AT399">
        <v>-12</v>
      </c>
      <c r="AU399">
        <v>0</v>
      </c>
      <c r="AW399">
        <v>0</v>
      </c>
      <c r="AX399">
        <v>0</v>
      </c>
      <c r="AY399">
        <v>414.4</v>
      </c>
      <c r="BC399" t="str">
        <f t="shared" si="54"/>
        <v>9791166067563</v>
      </c>
      <c r="BE399" t="str">
        <f t="shared" si="55"/>
        <v>판타지 웹소설 &gt; 현대 판타지</v>
      </c>
    </row>
    <row r="400" spans="1:57" x14ac:dyDescent="0.3">
      <c r="A400">
        <v>2313011400</v>
      </c>
      <c r="B400">
        <v>1525007679</v>
      </c>
      <c r="C400" t="str">
        <f>T("최종 보스 23권 4화")</f>
        <v>최종 보스 23권 4화</v>
      </c>
      <c r="D400" t="str">
        <f>T("457")</f>
        <v>457</v>
      </c>
      <c r="E400" t="str">
        <f t="shared" si="51"/>
        <v>무장</v>
      </c>
      <c r="H400" t="str">
        <f t="shared" si="52"/>
        <v>스토리위즈</v>
      </c>
      <c r="I400" t="str">
        <f t="shared" si="53"/>
        <v>최종 보스 : 빛을 향해 달리는 그림자</v>
      </c>
      <c r="J400">
        <v>100</v>
      </c>
      <c r="K400">
        <v>600</v>
      </c>
      <c r="L400">
        <v>6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600</v>
      </c>
      <c r="AH400">
        <v>6</v>
      </c>
      <c r="AI400">
        <v>0</v>
      </c>
      <c r="AJ400">
        <v>0</v>
      </c>
      <c r="AK400">
        <v>310</v>
      </c>
      <c r="AL400">
        <v>0</v>
      </c>
      <c r="AM400">
        <v>348</v>
      </c>
      <c r="AN400">
        <v>-80.400000000000006</v>
      </c>
      <c r="AO400">
        <v>0</v>
      </c>
      <c r="AP400">
        <v>108</v>
      </c>
      <c r="AQ400">
        <v>-32.4</v>
      </c>
      <c r="AR400">
        <v>0</v>
      </c>
      <c r="AS400">
        <v>240</v>
      </c>
      <c r="AT400">
        <v>-48</v>
      </c>
      <c r="AU400">
        <v>0</v>
      </c>
      <c r="AW400">
        <v>0</v>
      </c>
      <c r="AX400">
        <v>0</v>
      </c>
      <c r="AY400">
        <v>404.32</v>
      </c>
      <c r="BC400" t="str">
        <f t="shared" si="54"/>
        <v>9791166067563</v>
      </c>
      <c r="BE400" t="str">
        <f t="shared" si="55"/>
        <v>판타지 웹소설 &gt; 현대 판타지</v>
      </c>
    </row>
    <row r="401" spans="1:57" x14ac:dyDescent="0.3">
      <c r="A401">
        <v>2313011400</v>
      </c>
      <c r="B401">
        <v>1525007586</v>
      </c>
      <c r="C401" t="str">
        <f>T("최종 보스 18권 12화")</f>
        <v>최종 보스 18권 12화</v>
      </c>
      <c r="D401" t="str">
        <f>T("364")</f>
        <v>364</v>
      </c>
      <c r="E401" t="str">
        <f t="shared" si="51"/>
        <v>무장</v>
      </c>
      <c r="H401" t="str">
        <f t="shared" si="52"/>
        <v>스토리위즈</v>
      </c>
      <c r="I401" t="str">
        <f t="shared" si="53"/>
        <v>최종 보스 : 빛을 향해 달리는 그림자</v>
      </c>
      <c r="J401">
        <v>100</v>
      </c>
      <c r="K401">
        <v>600</v>
      </c>
      <c r="L401">
        <v>6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600</v>
      </c>
      <c r="AH401">
        <v>6</v>
      </c>
      <c r="AI401">
        <v>0</v>
      </c>
      <c r="AJ401">
        <v>0</v>
      </c>
      <c r="AK401">
        <v>400</v>
      </c>
      <c r="AL401">
        <v>0</v>
      </c>
      <c r="AM401">
        <v>240</v>
      </c>
      <c r="AN401">
        <v>-48</v>
      </c>
      <c r="AO401">
        <v>0</v>
      </c>
      <c r="AP401">
        <v>120</v>
      </c>
      <c r="AQ401">
        <v>-36</v>
      </c>
      <c r="AR401">
        <v>0</v>
      </c>
      <c r="AS401">
        <v>120</v>
      </c>
      <c r="AT401">
        <v>-12</v>
      </c>
      <c r="AU401">
        <v>0</v>
      </c>
      <c r="AW401">
        <v>0</v>
      </c>
      <c r="AX401">
        <v>0</v>
      </c>
      <c r="AY401">
        <v>414.4</v>
      </c>
      <c r="BC401" t="str">
        <f t="shared" si="54"/>
        <v>9791166067563</v>
      </c>
      <c r="BE401" t="str">
        <f t="shared" si="55"/>
        <v>판타지 웹소설 &gt; 현대 판타지</v>
      </c>
    </row>
    <row r="402" spans="1:57" x14ac:dyDescent="0.3">
      <c r="A402">
        <v>2313011400</v>
      </c>
      <c r="B402">
        <v>1525007700</v>
      </c>
      <c r="C402" t="str">
        <f>T("최종 보스 24권 5화")</f>
        <v>최종 보스 24권 5화</v>
      </c>
      <c r="D402" t="str">
        <f>T("478")</f>
        <v>478</v>
      </c>
      <c r="E402" t="str">
        <f t="shared" si="51"/>
        <v>무장</v>
      </c>
      <c r="H402" t="str">
        <f t="shared" si="52"/>
        <v>스토리위즈</v>
      </c>
      <c r="I402" t="str">
        <f t="shared" si="53"/>
        <v>최종 보스 : 빛을 향해 달리는 그림자</v>
      </c>
      <c r="J402">
        <v>100</v>
      </c>
      <c r="K402">
        <v>600</v>
      </c>
      <c r="L402">
        <v>6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600</v>
      </c>
      <c r="AH402">
        <v>6</v>
      </c>
      <c r="AI402">
        <v>0</v>
      </c>
      <c r="AJ402">
        <v>0</v>
      </c>
      <c r="AK402">
        <v>310</v>
      </c>
      <c r="AL402">
        <v>0</v>
      </c>
      <c r="AM402">
        <v>348</v>
      </c>
      <c r="AN402">
        <v>-56.4</v>
      </c>
      <c r="AO402">
        <v>0</v>
      </c>
      <c r="AP402">
        <v>108</v>
      </c>
      <c r="AQ402">
        <v>-32.4</v>
      </c>
      <c r="AR402">
        <v>0</v>
      </c>
      <c r="AS402">
        <v>240</v>
      </c>
      <c r="AT402">
        <v>-24</v>
      </c>
      <c r="AU402">
        <v>0</v>
      </c>
      <c r="AW402">
        <v>0</v>
      </c>
      <c r="AX402">
        <v>0</v>
      </c>
      <c r="AY402">
        <v>421.12</v>
      </c>
      <c r="BC402" t="str">
        <f t="shared" si="54"/>
        <v>9791166067563</v>
      </c>
      <c r="BE402" t="str">
        <f t="shared" si="55"/>
        <v>판타지 웹소설 &gt; 현대 판타지</v>
      </c>
    </row>
    <row r="403" spans="1:57" x14ac:dyDescent="0.3">
      <c r="A403">
        <v>2313011400</v>
      </c>
      <c r="B403">
        <v>1525007618</v>
      </c>
      <c r="C403" t="str">
        <f>T("최종 보스 20권 3화")</f>
        <v>최종 보스 20권 3화</v>
      </c>
      <c r="D403" t="str">
        <f>T("396")</f>
        <v>396</v>
      </c>
      <c r="E403" t="str">
        <f t="shared" si="51"/>
        <v>무장</v>
      </c>
      <c r="H403" t="str">
        <f t="shared" si="52"/>
        <v>스토리위즈</v>
      </c>
      <c r="I403" t="str">
        <f t="shared" si="53"/>
        <v>최종 보스 : 빛을 향해 달리는 그림자</v>
      </c>
      <c r="J403">
        <v>100</v>
      </c>
      <c r="K403">
        <v>600</v>
      </c>
      <c r="L403">
        <v>6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600</v>
      </c>
      <c r="AH403">
        <v>6</v>
      </c>
      <c r="AI403">
        <v>0</v>
      </c>
      <c r="AJ403">
        <v>0</v>
      </c>
      <c r="AK403">
        <v>400</v>
      </c>
      <c r="AL403">
        <v>0</v>
      </c>
      <c r="AM403">
        <v>240</v>
      </c>
      <c r="AN403">
        <v>-48</v>
      </c>
      <c r="AO403">
        <v>0</v>
      </c>
      <c r="AP403">
        <v>120</v>
      </c>
      <c r="AQ403">
        <v>-36</v>
      </c>
      <c r="AR403">
        <v>0</v>
      </c>
      <c r="AS403">
        <v>120</v>
      </c>
      <c r="AT403">
        <v>-12</v>
      </c>
      <c r="AU403">
        <v>0</v>
      </c>
      <c r="AW403">
        <v>0</v>
      </c>
      <c r="AX403">
        <v>0</v>
      </c>
      <c r="AY403">
        <v>414.4</v>
      </c>
      <c r="BC403" t="str">
        <f t="shared" si="54"/>
        <v>9791166067563</v>
      </c>
      <c r="BE403" t="str">
        <f t="shared" si="55"/>
        <v>판타지 웹소설 &gt; 현대 판타지</v>
      </c>
    </row>
    <row r="404" spans="1:57" x14ac:dyDescent="0.3">
      <c r="A404">
        <v>2313011400</v>
      </c>
      <c r="B404">
        <v>1525007675</v>
      </c>
      <c r="C404" t="str">
        <f>T("최종 보스 22권 20화")</f>
        <v>최종 보스 22권 20화</v>
      </c>
      <c r="D404" t="str">
        <f>T("453")</f>
        <v>453</v>
      </c>
      <c r="E404" t="str">
        <f t="shared" si="51"/>
        <v>무장</v>
      </c>
      <c r="H404" t="str">
        <f t="shared" si="52"/>
        <v>스토리위즈</v>
      </c>
      <c r="I404" t="str">
        <f t="shared" si="53"/>
        <v>최종 보스 : 빛을 향해 달리는 그림자</v>
      </c>
      <c r="J404">
        <v>100</v>
      </c>
      <c r="K404">
        <v>600</v>
      </c>
      <c r="L404">
        <v>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600</v>
      </c>
      <c r="AH404">
        <v>6</v>
      </c>
      <c r="AI404">
        <v>0</v>
      </c>
      <c r="AJ404">
        <v>0</v>
      </c>
      <c r="AK404">
        <v>310</v>
      </c>
      <c r="AL404">
        <v>0</v>
      </c>
      <c r="AM404">
        <v>348</v>
      </c>
      <c r="AN404">
        <v>-80.400000000000006</v>
      </c>
      <c r="AO404">
        <v>0</v>
      </c>
      <c r="AP404">
        <v>108</v>
      </c>
      <c r="AQ404">
        <v>-32.4</v>
      </c>
      <c r="AR404">
        <v>0</v>
      </c>
      <c r="AS404">
        <v>240</v>
      </c>
      <c r="AT404">
        <v>-48</v>
      </c>
      <c r="AU404">
        <v>0</v>
      </c>
      <c r="AW404">
        <v>0</v>
      </c>
      <c r="AX404">
        <v>0</v>
      </c>
      <c r="AY404">
        <v>404.32</v>
      </c>
      <c r="BC404" t="str">
        <f t="shared" si="54"/>
        <v>9791166067563</v>
      </c>
      <c r="BE404" t="str">
        <f t="shared" si="55"/>
        <v>판타지 웹소설 &gt; 현대 판타지</v>
      </c>
    </row>
    <row r="405" spans="1:57" x14ac:dyDescent="0.3">
      <c r="A405">
        <v>2313011400</v>
      </c>
      <c r="B405">
        <v>1525007732</v>
      </c>
      <c r="C405" t="str">
        <f>T("최종 보스 25권 17화")</f>
        <v>최종 보스 25권 17화</v>
      </c>
      <c r="D405" t="str">
        <f>T("510")</f>
        <v>510</v>
      </c>
      <c r="E405" t="str">
        <f t="shared" si="51"/>
        <v>무장</v>
      </c>
      <c r="H405" t="str">
        <f t="shared" si="52"/>
        <v>스토리위즈</v>
      </c>
      <c r="I405" t="str">
        <f t="shared" si="53"/>
        <v>최종 보스 : 빛을 향해 달리는 그림자</v>
      </c>
      <c r="J405">
        <v>100</v>
      </c>
      <c r="K405">
        <v>600</v>
      </c>
      <c r="L405">
        <v>6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600</v>
      </c>
      <c r="AH405">
        <v>6</v>
      </c>
      <c r="AI405">
        <v>0</v>
      </c>
      <c r="AJ405">
        <v>0</v>
      </c>
      <c r="AK405">
        <v>300</v>
      </c>
      <c r="AL405">
        <v>0</v>
      </c>
      <c r="AM405">
        <v>360</v>
      </c>
      <c r="AN405">
        <v>-60</v>
      </c>
      <c r="AO405">
        <v>0</v>
      </c>
      <c r="AP405">
        <v>120</v>
      </c>
      <c r="AQ405">
        <v>-36</v>
      </c>
      <c r="AR405">
        <v>0</v>
      </c>
      <c r="AS405">
        <v>240</v>
      </c>
      <c r="AT405">
        <v>-24</v>
      </c>
      <c r="AU405">
        <v>0</v>
      </c>
      <c r="AW405">
        <v>0</v>
      </c>
      <c r="AX405">
        <v>0</v>
      </c>
      <c r="AY405">
        <v>420</v>
      </c>
      <c r="BC405" t="str">
        <f t="shared" si="54"/>
        <v>9791166067563</v>
      </c>
      <c r="BE405" t="str">
        <f t="shared" si="55"/>
        <v>판타지 웹소설 &gt; 현대 판타지</v>
      </c>
    </row>
    <row r="406" spans="1:57" x14ac:dyDescent="0.3">
      <c r="A406">
        <v>2313011400</v>
      </c>
      <c r="B406">
        <v>1525007575</v>
      </c>
      <c r="C406" t="str">
        <f>T("최종 보스 18권 1화")</f>
        <v>최종 보스 18권 1화</v>
      </c>
      <c r="D406" t="str">
        <f>T("353")</f>
        <v>353</v>
      </c>
      <c r="E406" t="str">
        <f t="shared" si="51"/>
        <v>무장</v>
      </c>
      <c r="H406" t="str">
        <f t="shared" si="52"/>
        <v>스토리위즈</v>
      </c>
      <c r="I406" t="str">
        <f t="shared" si="53"/>
        <v>최종 보스 : 빛을 향해 달리는 그림자</v>
      </c>
      <c r="J406">
        <v>100</v>
      </c>
      <c r="K406">
        <v>600</v>
      </c>
      <c r="L406">
        <v>6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600</v>
      </c>
      <c r="AH406">
        <v>6</v>
      </c>
      <c r="AI406">
        <v>0</v>
      </c>
      <c r="AJ406">
        <v>0</v>
      </c>
      <c r="AK406">
        <v>400</v>
      </c>
      <c r="AL406">
        <v>0</v>
      </c>
      <c r="AM406">
        <v>240</v>
      </c>
      <c r="AN406">
        <v>-48</v>
      </c>
      <c r="AO406">
        <v>0</v>
      </c>
      <c r="AP406">
        <v>120</v>
      </c>
      <c r="AQ406">
        <v>-36</v>
      </c>
      <c r="AR406">
        <v>0</v>
      </c>
      <c r="AS406">
        <v>120</v>
      </c>
      <c r="AT406">
        <v>-12</v>
      </c>
      <c r="AU406">
        <v>0</v>
      </c>
      <c r="AW406">
        <v>0</v>
      </c>
      <c r="AX406">
        <v>0</v>
      </c>
      <c r="AY406">
        <v>414.4</v>
      </c>
      <c r="BC406" t="str">
        <f t="shared" si="54"/>
        <v>9791166067563</v>
      </c>
      <c r="BE406" t="str">
        <f t="shared" si="55"/>
        <v>판타지 웹소설 &gt; 현대 판타지</v>
      </c>
    </row>
    <row r="407" spans="1:57" x14ac:dyDescent="0.3">
      <c r="A407">
        <v>2313011400</v>
      </c>
      <c r="B407">
        <v>1525007632</v>
      </c>
      <c r="C407" t="str">
        <f>T("최종 보스 20권 17화")</f>
        <v>최종 보스 20권 17화</v>
      </c>
      <c r="D407" t="str">
        <f>T("410")</f>
        <v>410</v>
      </c>
      <c r="E407" t="str">
        <f t="shared" si="51"/>
        <v>무장</v>
      </c>
      <c r="H407" t="str">
        <f t="shared" si="52"/>
        <v>스토리위즈</v>
      </c>
      <c r="I407" t="str">
        <f t="shared" si="53"/>
        <v>최종 보스 : 빛을 향해 달리는 그림자</v>
      </c>
      <c r="J407">
        <v>100</v>
      </c>
      <c r="K407">
        <v>600</v>
      </c>
      <c r="L407">
        <v>6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600</v>
      </c>
      <c r="AH407">
        <v>6</v>
      </c>
      <c r="AI407">
        <v>0</v>
      </c>
      <c r="AJ407">
        <v>0</v>
      </c>
      <c r="AK407">
        <v>400</v>
      </c>
      <c r="AL407">
        <v>0</v>
      </c>
      <c r="AM407">
        <v>240</v>
      </c>
      <c r="AN407">
        <v>-48</v>
      </c>
      <c r="AO407">
        <v>0</v>
      </c>
      <c r="AP407">
        <v>120</v>
      </c>
      <c r="AQ407">
        <v>-36</v>
      </c>
      <c r="AR407">
        <v>0</v>
      </c>
      <c r="AS407">
        <v>120</v>
      </c>
      <c r="AT407">
        <v>-12</v>
      </c>
      <c r="AU407">
        <v>0</v>
      </c>
      <c r="AW407">
        <v>0</v>
      </c>
      <c r="AX407">
        <v>0</v>
      </c>
      <c r="AY407">
        <v>414.4</v>
      </c>
      <c r="BC407" t="str">
        <f t="shared" si="54"/>
        <v>9791166067563</v>
      </c>
      <c r="BE407" t="str">
        <f t="shared" si="55"/>
        <v>판타지 웹소설 &gt; 현대 판타지</v>
      </c>
    </row>
    <row r="408" spans="1:57" x14ac:dyDescent="0.3">
      <c r="A408">
        <v>2313011400</v>
      </c>
      <c r="B408">
        <v>1525007689</v>
      </c>
      <c r="C408" t="str">
        <f>T("최종 보스 23권 14화")</f>
        <v>최종 보스 23권 14화</v>
      </c>
      <c r="D408" t="str">
        <f>T("467")</f>
        <v>467</v>
      </c>
      <c r="E408" t="str">
        <f t="shared" si="51"/>
        <v>무장</v>
      </c>
      <c r="H408" t="str">
        <f t="shared" si="52"/>
        <v>스토리위즈</v>
      </c>
      <c r="I408" t="str">
        <f t="shared" si="53"/>
        <v>최종 보스 : 빛을 향해 달리는 그림자</v>
      </c>
      <c r="J408">
        <v>100</v>
      </c>
      <c r="K408">
        <v>600</v>
      </c>
      <c r="L408">
        <v>6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600</v>
      </c>
      <c r="AH408">
        <v>6</v>
      </c>
      <c r="AI408">
        <v>0</v>
      </c>
      <c r="AJ408">
        <v>0</v>
      </c>
      <c r="AK408">
        <v>310</v>
      </c>
      <c r="AL408">
        <v>0</v>
      </c>
      <c r="AM408">
        <v>348</v>
      </c>
      <c r="AN408">
        <v>-56.4</v>
      </c>
      <c r="AO408">
        <v>0</v>
      </c>
      <c r="AP408">
        <v>108</v>
      </c>
      <c r="AQ408">
        <v>-32.4</v>
      </c>
      <c r="AR408">
        <v>0</v>
      </c>
      <c r="AS408">
        <v>240</v>
      </c>
      <c r="AT408">
        <v>-24</v>
      </c>
      <c r="AU408">
        <v>0</v>
      </c>
      <c r="AW408">
        <v>0</v>
      </c>
      <c r="AX408">
        <v>0</v>
      </c>
      <c r="AY408">
        <v>421.12</v>
      </c>
      <c r="BC408" t="str">
        <f t="shared" si="54"/>
        <v>9791166067563</v>
      </c>
      <c r="BE408" t="str">
        <f t="shared" si="55"/>
        <v>판타지 웹소설 &gt; 현대 판타지</v>
      </c>
    </row>
    <row r="409" spans="1:57" x14ac:dyDescent="0.3">
      <c r="A409">
        <v>2313011400</v>
      </c>
      <c r="B409">
        <v>1525007607</v>
      </c>
      <c r="C409" t="str">
        <f>T("최종 보스 19권 13화")</f>
        <v>최종 보스 19권 13화</v>
      </c>
      <c r="D409" t="str">
        <f>T("385")</f>
        <v>385</v>
      </c>
      <c r="E409" t="str">
        <f t="shared" si="51"/>
        <v>무장</v>
      </c>
      <c r="H409" t="str">
        <f t="shared" si="52"/>
        <v>스토리위즈</v>
      </c>
      <c r="I409" t="str">
        <f t="shared" si="53"/>
        <v>최종 보스 : 빛을 향해 달리는 그림자</v>
      </c>
      <c r="J409">
        <v>100</v>
      </c>
      <c r="K409">
        <v>600</v>
      </c>
      <c r="L409">
        <v>6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600</v>
      </c>
      <c r="AH409">
        <v>6</v>
      </c>
      <c r="AI409">
        <v>0</v>
      </c>
      <c r="AJ409">
        <v>0</v>
      </c>
      <c r="AK409">
        <v>400</v>
      </c>
      <c r="AL409">
        <v>0</v>
      </c>
      <c r="AM409">
        <v>240</v>
      </c>
      <c r="AN409">
        <v>-48</v>
      </c>
      <c r="AO409">
        <v>0</v>
      </c>
      <c r="AP409">
        <v>120</v>
      </c>
      <c r="AQ409">
        <v>-36</v>
      </c>
      <c r="AR409">
        <v>0</v>
      </c>
      <c r="AS409">
        <v>120</v>
      </c>
      <c r="AT409">
        <v>-12</v>
      </c>
      <c r="AU409">
        <v>0</v>
      </c>
      <c r="AW409">
        <v>0</v>
      </c>
      <c r="AX409">
        <v>0</v>
      </c>
      <c r="AY409">
        <v>414.4</v>
      </c>
      <c r="BC409" t="str">
        <f t="shared" si="54"/>
        <v>9791166067563</v>
      </c>
      <c r="BE409" t="str">
        <f t="shared" si="55"/>
        <v>판타지 웹소설 &gt; 현대 판타지</v>
      </c>
    </row>
    <row r="410" spans="1:57" x14ac:dyDescent="0.3">
      <c r="A410">
        <v>2313011400</v>
      </c>
      <c r="B410">
        <v>1525007664</v>
      </c>
      <c r="C410" t="str">
        <f>T("최종 보스 22권 9화")</f>
        <v>최종 보스 22권 9화</v>
      </c>
      <c r="D410" t="str">
        <f>T("442")</f>
        <v>442</v>
      </c>
      <c r="E410" t="str">
        <f t="shared" si="51"/>
        <v>무장</v>
      </c>
      <c r="H410" t="str">
        <f t="shared" si="52"/>
        <v>스토리위즈</v>
      </c>
      <c r="I410" t="str">
        <f t="shared" si="53"/>
        <v>최종 보스 : 빛을 향해 달리는 그림자</v>
      </c>
      <c r="J410">
        <v>100</v>
      </c>
      <c r="K410">
        <v>600</v>
      </c>
      <c r="L410">
        <v>6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600</v>
      </c>
      <c r="AH410">
        <v>6</v>
      </c>
      <c r="AI410">
        <v>0</v>
      </c>
      <c r="AJ410">
        <v>0</v>
      </c>
      <c r="AK410">
        <v>400</v>
      </c>
      <c r="AL410">
        <v>0</v>
      </c>
      <c r="AM410">
        <v>240</v>
      </c>
      <c r="AN410">
        <v>-48</v>
      </c>
      <c r="AO410">
        <v>0</v>
      </c>
      <c r="AQ410">
        <v>0</v>
      </c>
      <c r="AR410">
        <v>0</v>
      </c>
      <c r="AS410">
        <v>240</v>
      </c>
      <c r="AT410">
        <v>-48</v>
      </c>
      <c r="AU410">
        <v>0</v>
      </c>
      <c r="AW410">
        <v>0</v>
      </c>
      <c r="AX410">
        <v>0</v>
      </c>
      <c r="AY410">
        <v>414.4</v>
      </c>
      <c r="BC410" t="str">
        <f t="shared" si="54"/>
        <v>9791166067563</v>
      </c>
      <c r="BE410" t="str">
        <f t="shared" si="55"/>
        <v>판타지 웹소설 &gt; 현대 판타지</v>
      </c>
    </row>
    <row r="411" spans="1:57" x14ac:dyDescent="0.3">
      <c r="A411">
        <v>2313011400</v>
      </c>
      <c r="B411">
        <v>1525007721</v>
      </c>
      <c r="C411" t="str">
        <f>T("최종 보스 25권 6화")</f>
        <v>최종 보스 25권 6화</v>
      </c>
      <c r="D411" t="str">
        <f>T("499")</f>
        <v>499</v>
      </c>
      <c r="E411" t="str">
        <f t="shared" si="51"/>
        <v>무장</v>
      </c>
      <c r="H411" t="str">
        <f t="shared" si="52"/>
        <v>스토리위즈</v>
      </c>
      <c r="I411" t="str">
        <f t="shared" si="53"/>
        <v>최종 보스 : 빛을 향해 달리는 그림자</v>
      </c>
      <c r="J411">
        <v>100</v>
      </c>
      <c r="K411">
        <v>600</v>
      </c>
      <c r="L411">
        <v>6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600</v>
      </c>
      <c r="AH411">
        <v>6</v>
      </c>
      <c r="AI411">
        <v>0</v>
      </c>
      <c r="AJ411">
        <v>0</v>
      </c>
      <c r="AK411">
        <v>331</v>
      </c>
      <c r="AL411">
        <v>0</v>
      </c>
      <c r="AM411">
        <v>322.8</v>
      </c>
      <c r="AN411">
        <v>-53.64</v>
      </c>
      <c r="AO411">
        <v>0</v>
      </c>
      <c r="AP411">
        <v>106.8</v>
      </c>
      <c r="AQ411">
        <v>-32.04</v>
      </c>
      <c r="AR411">
        <v>0</v>
      </c>
      <c r="AS411">
        <v>216</v>
      </c>
      <c r="AT411">
        <v>-21.6</v>
      </c>
      <c r="AU411">
        <v>0</v>
      </c>
      <c r="AW411">
        <v>0</v>
      </c>
      <c r="AX411">
        <v>0</v>
      </c>
      <c r="AY411">
        <v>420.11</v>
      </c>
      <c r="BC411" t="str">
        <f t="shared" si="54"/>
        <v>9791166067563</v>
      </c>
      <c r="BE411" t="str">
        <f t="shared" si="55"/>
        <v>판타지 웹소설 &gt; 현대 판타지</v>
      </c>
    </row>
    <row r="412" spans="1:57" x14ac:dyDescent="0.3">
      <c r="A412">
        <v>2313011400</v>
      </c>
      <c r="B412">
        <v>1525007596</v>
      </c>
      <c r="C412" t="str">
        <f>T("최종 보스 19권 2화")</f>
        <v>최종 보스 19권 2화</v>
      </c>
      <c r="D412" t="str">
        <f>T("374")</f>
        <v>374</v>
      </c>
      <c r="E412" t="str">
        <f t="shared" si="51"/>
        <v>무장</v>
      </c>
      <c r="H412" t="str">
        <f t="shared" si="52"/>
        <v>스토리위즈</v>
      </c>
      <c r="I412" t="str">
        <f t="shared" si="53"/>
        <v>최종 보스 : 빛을 향해 달리는 그림자</v>
      </c>
      <c r="J412">
        <v>100</v>
      </c>
      <c r="K412">
        <v>600</v>
      </c>
      <c r="L412">
        <v>6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600</v>
      </c>
      <c r="AH412">
        <v>6</v>
      </c>
      <c r="AI412">
        <v>0</v>
      </c>
      <c r="AJ412">
        <v>0</v>
      </c>
      <c r="AK412">
        <v>400</v>
      </c>
      <c r="AL412">
        <v>0</v>
      </c>
      <c r="AM412">
        <v>240</v>
      </c>
      <c r="AN412">
        <v>-48</v>
      </c>
      <c r="AO412">
        <v>0</v>
      </c>
      <c r="AP412">
        <v>120</v>
      </c>
      <c r="AQ412">
        <v>-36</v>
      </c>
      <c r="AR412">
        <v>0</v>
      </c>
      <c r="AS412">
        <v>120</v>
      </c>
      <c r="AT412">
        <v>-12</v>
      </c>
      <c r="AU412">
        <v>0</v>
      </c>
      <c r="AW412">
        <v>0</v>
      </c>
      <c r="AX412">
        <v>0</v>
      </c>
      <c r="AY412">
        <v>414.4</v>
      </c>
      <c r="BC412" t="str">
        <f t="shared" si="54"/>
        <v>9791166067563</v>
      </c>
      <c r="BE412" t="str">
        <f t="shared" si="55"/>
        <v>판타지 웹소설 &gt; 현대 판타지</v>
      </c>
    </row>
    <row r="413" spans="1:57" x14ac:dyDescent="0.3">
      <c r="A413">
        <v>2313011400</v>
      </c>
      <c r="B413">
        <v>1525007653</v>
      </c>
      <c r="C413" t="str">
        <f>T("최종 보스 21권 18화")</f>
        <v>최종 보스 21권 18화</v>
      </c>
      <c r="D413" t="str">
        <f>T("431")</f>
        <v>431</v>
      </c>
      <c r="E413" t="str">
        <f t="shared" si="51"/>
        <v>무장</v>
      </c>
      <c r="H413" t="str">
        <f t="shared" si="52"/>
        <v>스토리위즈</v>
      </c>
      <c r="I413" t="str">
        <f t="shared" si="53"/>
        <v>최종 보스 : 빛을 향해 달리는 그림자</v>
      </c>
      <c r="J413">
        <v>100</v>
      </c>
      <c r="K413">
        <v>600</v>
      </c>
      <c r="L413">
        <v>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600</v>
      </c>
      <c r="AH413">
        <v>6</v>
      </c>
      <c r="AI413">
        <v>0</v>
      </c>
      <c r="AJ413">
        <v>0</v>
      </c>
      <c r="AK413">
        <v>400</v>
      </c>
      <c r="AL413">
        <v>0</v>
      </c>
      <c r="AM413">
        <v>240</v>
      </c>
      <c r="AN413">
        <v>-48</v>
      </c>
      <c r="AO413">
        <v>0</v>
      </c>
      <c r="AQ413">
        <v>0</v>
      </c>
      <c r="AR413">
        <v>0</v>
      </c>
      <c r="AS413">
        <v>240</v>
      </c>
      <c r="AT413">
        <v>-48</v>
      </c>
      <c r="AU413">
        <v>0</v>
      </c>
      <c r="AW413">
        <v>0</v>
      </c>
      <c r="AX413">
        <v>0</v>
      </c>
      <c r="AY413">
        <v>414.4</v>
      </c>
      <c r="BC413" t="str">
        <f t="shared" si="54"/>
        <v>9791166067563</v>
      </c>
      <c r="BE413" t="str">
        <f t="shared" si="55"/>
        <v>판타지 웹소설 &gt; 현대 판타지</v>
      </c>
    </row>
    <row r="414" spans="1:57" x14ac:dyDescent="0.3">
      <c r="A414">
        <v>2313011400</v>
      </c>
      <c r="B414">
        <v>1525007621</v>
      </c>
      <c r="C414" t="str">
        <f>T("최종 보스 20권 6화")</f>
        <v>최종 보스 20권 6화</v>
      </c>
      <c r="D414" t="str">
        <f>T("399")</f>
        <v>399</v>
      </c>
      <c r="E414" t="str">
        <f t="shared" si="51"/>
        <v>무장</v>
      </c>
      <c r="H414" t="str">
        <f t="shared" si="52"/>
        <v>스토리위즈</v>
      </c>
      <c r="I414" t="str">
        <f t="shared" si="53"/>
        <v>최종 보스 : 빛을 향해 달리는 그림자</v>
      </c>
      <c r="J414">
        <v>100</v>
      </c>
      <c r="K414">
        <v>600</v>
      </c>
      <c r="L414">
        <v>6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600</v>
      </c>
      <c r="AH414">
        <v>6</v>
      </c>
      <c r="AI414">
        <v>0</v>
      </c>
      <c r="AJ414">
        <v>0</v>
      </c>
      <c r="AK414">
        <v>400</v>
      </c>
      <c r="AL414">
        <v>0</v>
      </c>
      <c r="AM414">
        <v>240</v>
      </c>
      <c r="AN414">
        <v>-48</v>
      </c>
      <c r="AO414">
        <v>0</v>
      </c>
      <c r="AP414">
        <v>120</v>
      </c>
      <c r="AQ414">
        <v>-36</v>
      </c>
      <c r="AR414">
        <v>0</v>
      </c>
      <c r="AS414">
        <v>120</v>
      </c>
      <c r="AT414">
        <v>-12</v>
      </c>
      <c r="AU414">
        <v>0</v>
      </c>
      <c r="AW414">
        <v>0</v>
      </c>
      <c r="AX414">
        <v>0</v>
      </c>
      <c r="AY414">
        <v>414.4</v>
      </c>
      <c r="BC414" t="str">
        <f t="shared" si="54"/>
        <v>9791166067563</v>
      </c>
      <c r="BE414" t="str">
        <f t="shared" si="55"/>
        <v>판타지 웹소설 &gt; 현대 판타지</v>
      </c>
    </row>
    <row r="415" spans="1:57" x14ac:dyDescent="0.3">
      <c r="A415">
        <v>2313011400</v>
      </c>
      <c r="B415">
        <v>1525007678</v>
      </c>
      <c r="C415" t="str">
        <f>T("최종 보스 23권 3화")</f>
        <v>최종 보스 23권 3화</v>
      </c>
      <c r="D415" t="str">
        <f>T("456")</f>
        <v>456</v>
      </c>
      <c r="E415" t="str">
        <f t="shared" si="51"/>
        <v>무장</v>
      </c>
      <c r="H415" t="str">
        <f t="shared" si="52"/>
        <v>스토리위즈</v>
      </c>
      <c r="I415" t="str">
        <f t="shared" si="53"/>
        <v>최종 보스 : 빛을 향해 달리는 그림자</v>
      </c>
      <c r="J415">
        <v>100</v>
      </c>
      <c r="K415">
        <v>600</v>
      </c>
      <c r="L415">
        <v>6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600</v>
      </c>
      <c r="AH415">
        <v>6</v>
      </c>
      <c r="AI415">
        <v>0</v>
      </c>
      <c r="AJ415">
        <v>0</v>
      </c>
      <c r="AK415">
        <v>310</v>
      </c>
      <c r="AL415">
        <v>0</v>
      </c>
      <c r="AM415">
        <v>348</v>
      </c>
      <c r="AN415">
        <v>-80.400000000000006</v>
      </c>
      <c r="AO415">
        <v>0</v>
      </c>
      <c r="AP415">
        <v>108</v>
      </c>
      <c r="AQ415">
        <v>-32.4</v>
      </c>
      <c r="AR415">
        <v>0</v>
      </c>
      <c r="AS415">
        <v>240</v>
      </c>
      <c r="AT415">
        <v>-48</v>
      </c>
      <c r="AU415">
        <v>0</v>
      </c>
      <c r="AW415">
        <v>0</v>
      </c>
      <c r="AX415">
        <v>0</v>
      </c>
      <c r="AY415">
        <v>404.32</v>
      </c>
      <c r="BC415" t="str">
        <f t="shared" si="54"/>
        <v>9791166067563</v>
      </c>
      <c r="BE415" t="str">
        <f t="shared" si="55"/>
        <v>판타지 웹소설 &gt; 현대 판타지</v>
      </c>
    </row>
    <row r="416" spans="1:57" x14ac:dyDescent="0.3">
      <c r="A416">
        <v>2313011400</v>
      </c>
      <c r="B416">
        <v>1525007735</v>
      </c>
      <c r="C416" t="str">
        <f>T("최종 보스 25권 20화(2부 완결)")</f>
        <v>최종 보스 25권 20화(2부 완결)</v>
      </c>
      <c r="D416" t="str">
        <f>T("513")</f>
        <v>513</v>
      </c>
      <c r="E416" t="str">
        <f t="shared" si="51"/>
        <v>무장</v>
      </c>
      <c r="H416" t="str">
        <f t="shared" si="52"/>
        <v>스토리위즈</v>
      </c>
      <c r="I416" t="str">
        <f t="shared" si="53"/>
        <v>최종 보스 : 빛을 향해 달리는 그림자</v>
      </c>
      <c r="J416">
        <v>100</v>
      </c>
      <c r="K416">
        <v>600</v>
      </c>
      <c r="L416">
        <v>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600</v>
      </c>
      <c r="AH416">
        <v>6</v>
      </c>
      <c r="AI416">
        <v>0</v>
      </c>
      <c r="AJ416">
        <v>0</v>
      </c>
      <c r="AK416">
        <v>300</v>
      </c>
      <c r="AL416">
        <v>0</v>
      </c>
      <c r="AM416">
        <v>360</v>
      </c>
      <c r="AN416">
        <v>-60</v>
      </c>
      <c r="AO416">
        <v>0</v>
      </c>
      <c r="AP416">
        <v>120</v>
      </c>
      <c r="AQ416">
        <v>-36</v>
      </c>
      <c r="AR416">
        <v>0</v>
      </c>
      <c r="AS416">
        <v>240</v>
      </c>
      <c r="AT416">
        <v>-24</v>
      </c>
      <c r="AU416">
        <v>0</v>
      </c>
      <c r="AW416">
        <v>0</v>
      </c>
      <c r="AX416">
        <v>0</v>
      </c>
      <c r="AY416">
        <v>420</v>
      </c>
      <c r="BC416" t="str">
        <f t="shared" si="54"/>
        <v>9791166067563</v>
      </c>
      <c r="BE416" t="str">
        <f t="shared" si="55"/>
        <v>판타지 웹소설 &gt; 현대 판타지</v>
      </c>
    </row>
    <row r="417" spans="1:57" x14ac:dyDescent="0.3">
      <c r="A417">
        <v>2313011400</v>
      </c>
      <c r="B417">
        <v>1525007585</v>
      </c>
      <c r="C417" t="str">
        <f>T("최종 보스 18권 11화")</f>
        <v>최종 보스 18권 11화</v>
      </c>
      <c r="D417" t="str">
        <f>T("363")</f>
        <v>363</v>
      </c>
      <c r="E417" t="str">
        <f t="shared" si="51"/>
        <v>무장</v>
      </c>
      <c r="H417" t="str">
        <f t="shared" si="52"/>
        <v>스토리위즈</v>
      </c>
      <c r="I417" t="str">
        <f t="shared" si="53"/>
        <v>최종 보스 : 빛을 향해 달리는 그림자</v>
      </c>
      <c r="J417">
        <v>100</v>
      </c>
      <c r="K417">
        <v>600</v>
      </c>
      <c r="L417">
        <v>6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600</v>
      </c>
      <c r="AH417">
        <v>6</v>
      </c>
      <c r="AI417">
        <v>0</v>
      </c>
      <c r="AJ417">
        <v>0</v>
      </c>
      <c r="AK417">
        <v>400</v>
      </c>
      <c r="AL417">
        <v>0</v>
      </c>
      <c r="AM417">
        <v>240</v>
      </c>
      <c r="AN417">
        <v>-48</v>
      </c>
      <c r="AO417">
        <v>0</v>
      </c>
      <c r="AP417">
        <v>120</v>
      </c>
      <c r="AQ417">
        <v>-36</v>
      </c>
      <c r="AR417">
        <v>0</v>
      </c>
      <c r="AS417">
        <v>120</v>
      </c>
      <c r="AT417">
        <v>-12</v>
      </c>
      <c r="AU417">
        <v>0</v>
      </c>
      <c r="AW417">
        <v>0</v>
      </c>
      <c r="AX417">
        <v>0</v>
      </c>
      <c r="AY417">
        <v>414.4</v>
      </c>
      <c r="BC417" t="str">
        <f t="shared" si="54"/>
        <v>9791166067563</v>
      </c>
      <c r="BE417" t="str">
        <f t="shared" si="55"/>
        <v>판타지 웹소설 &gt; 현대 판타지</v>
      </c>
    </row>
    <row r="418" spans="1:57" x14ac:dyDescent="0.3">
      <c r="A418">
        <v>2313011400</v>
      </c>
      <c r="B418">
        <v>1525007699</v>
      </c>
      <c r="C418" t="str">
        <f>T("최종 보스 24권 4화")</f>
        <v>최종 보스 24권 4화</v>
      </c>
      <c r="D418" t="str">
        <f>T("477")</f>
        <v>477</v>
      </c>
      <c r="E418" t="str">
        <f t="shared" si="51"/>
        <v>무장</v>
      </c>
      <c r="H418" t="str">
        <f t="shared" si="52"/>
        <v>스토리위즈</v>
      </c>
      <c r="I418" t="str">
        <f t="shared" si="53"/>
        <v>최종 보스 : 빛을 향해 달리는 그림자</v>
      </c>
      <c r="J418">
        <v>100</v>
      </c>
      <c r="K418">
        <v>600</v>
      </c>
      <c r="L418">
        <v>6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600</v>
      </c>
      <c r="AH418">
        <v>6</v>
      </c>
      <c r="AI418">
        <v>0</v>
      </c>
      <c r="AJ418">
        <v>0</v>
      </c>
      <c r="AK418">
        <v>310</v>
      </c>
      <c r="AL418">
        <v>0</v>
      </c>
      <c r="AM418">
        <v>348</v>
      </c>
      <c r="AN418">
        <v>-56.4</v>
      </c>
      <c r="AO418">
        <v>0</v>
      </c>
      <c r="AP418">
        <v>108</v>
      </c>
      <c r="AQ418">
        <v>-32.4</v>
      </c>
      <c r="AR418">
        <v>0</v>
      </c>
      <c r="AS418">
        <v>240</v>
      </c>
      <c r="AT418">
        <v>-24</v>
      </c>
      <c r="AU418">
        <v>0</v>
      </c>
      <c r="AW418">
        <v>0</v>
      </c>
      <c r="AX418">
        <v>0</v>
      </c>
      <c r="AY418">
        <v>421.12</v>
      </c>
      <c r="BC418" t="str">
        <f t="shared" si="54"/>
        <v>9791166067563</v>
      </c>
      <c r="BE418" t="str">
        <f t="shared" si="55"/>
        <v>판타지 웹소설 &gt; 현대 판타지</v>
      </c>
    </row>
    <row r="419" spans="1:57" x14ac:dyDescent="0.3">
      <c r="A419">
        <v>2313011400</v>
      </c>
      <c r="B419">
        <v>1525007617</v>
      </c>
      <c r="C419" t="str">
        <f>T("최종 보스 20권 2화")</f>
        <v>최종 보스 20권 2화</v>
      </c>
      <c r="D419" t="str">
        <f>T("395")</f>
        <v>395</v>
      </c>
      <c r="E419" t="str">
        <f t="shared" si="51"/>
        <v>무장</v>
      </c>
      <c r="H419" t="str">
        <f t="shared" si="52"/>
        <v>스토리위즈</v>
      </c>
      <c r="I419" t="str">
        <f t="shared" si="53"/>
        <v>최종 보스 : 빛을 향해 달리는 그림자</v>
      </c>
      <c r="J419">
        <v>100</v>
      </c>
      <c r="K419">
        <v>600</v>
      </c>
      <c r="L419">
        <v>6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600</v>
      </c>
      <c r="AH419">
        <v>6</v>
      </c>
      <c r="AI419">
        <v>0</v>
      </c>
      <c r="AJ419">
        <v>0</v>
      </c>
      <c r="AK419">
        <v>400</v>
      </c>
      <c r="AL419">
        <v>0</v>
      </c>
      <c r="AM419">
        <v>240</v>
      </c>
      <c r="AN419">
        <v>-48</v>
      </c>
      <c r="AO419">
        <v>0</v>
      </c>
      <c r="AP419">
        <v>120</v>
      </c>
      <c r="AQ419">
        <v>-36</v>
      </c>
      <c r="AR419">
        <v>0</v>
      </c>
      <c r="AS419">
        <v>120</v>
      </c>
      <c r="AT419">
        <v>-12</v>
      </c>
      <c r="AU419">
        <v>0</v>
      </c>
      <c r="AW419">
        <v>0</v>
      </c>
      <c r="AX419">
        <v>0</v>
      </c>
      <c r="AY419">
        <v>414.4</v>
      </c>
      <c r="BC419" t="str">
        <f t="shared" si="54"/>
        <v>9791166067563</v>
      </c>
      <c r="BE419" t="str">
        <f t="shared" si="55"/>
        <v>판타지 웹소설 &gt; 현대 판타지</v>
      </c>
    </row>
    <row r="420" spans="1:57" x14ac:dyDescent="0.3">
      <c r="A420">
        <v>2313011400</v>
      </c>
      <c r="B420">
        <v>1525007674</v>
      </c>
      <c r="C420" t="str">
        <f>T("최종 보스 22권 19화")</f>
        <v>최종 보스 22권 19화</v>
      </c>
      <c r="D420" t="str">
        <f>T("452")</f>
        <v>452</v>
      </c>
      <c r="E420" t="str">
        <f t="shared" si="51"/>
        <v>무장</v>
      </c>
      <c r="H420" t="str">
        <f t="shared" si="52"/>
        <v>스토리위즈</v>
      </c>
      <c r="I420" t="str">
        <f t="shared" si="53"/>
        <v>최종 보스 : 빛을 향해 달리는 그림자</v>
      </c>
      <c r="J420">
        <v>100</v>
      </c>
      <c r="K420">
        <v>600</v>
      </c>
      <c r="L420">
        <v>6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600</v>
      </c>
      <c r="AH420">
        <v>6</v>
      </c>
      <c r="AI420">
        <v>0</v>
      </c>
      <c r="AJ420">
        <v>0</v>
      </c>
      <c r="AK420">
        <v>400</v>
      </c>
      <c r="AL420">
        <v>0</v>
      </c>
      <c r="AM420">
        <v>240</v>
      </c>
      <c r="AN420">
        <v>-48</v>
      </c>
      <c r="AO420">
        <v>0</v>
      </c>
      <c r="AQ420">
        <v>0</v>
      </c>
      <c r="AR420">
        <v>0</v>
      </c>
      <c r="AS420">
        <v>240</v>
      </c>
      <c r="AT420">
        <v>-48</v>
      </c>
      <c r="AU420">
        <v>0</v>
      </c>
      <c r="AW420">
        <v>0</v>
      </c>
      <c r="AX420">
        <v>0</v>
      </c>
      <c r="AY420">
        <v>414.4</v>
      </c>
      <c r="BC420" t="str">
        <f t="shared" si="54"/>
        <v>9791166067563</v>
      </c>
      <c r="BE420" t="str">
        <f t="shared" si="55"/>
        <v>판타지 웹소설 &gt; 현대 판타지</v>
      </c>
    </row>
    <row r="421" spans="1:57" x14ac:dyDescent="0.3">
      <c r="A421">
        <v>2313011400</v>
      </c>
      <c r="B421">
        <v>1525007731</v>
      </c>
      <c r="C421" t="str">
        <f>T("최종 보스 25권 16화")</f>
        <v>최종 보스 25권 16화</v>
      </c>
      <c r="D421" t="str">
        <f>T("509")</f>
        <v>509</v>
      </c>
      <c r="E421" t="str">
        <f t="shared" si="51"/>
        <v>무장</v>
      </c>
      <c r="H421" t="str">
        <f t="shared" si="52"/>
        <v>스토리위즈</v>
      </c>
      <c r="I421" t="str">
        <f t="shared" si="53"/>
        <v>최종 보스 : 빛을 향해 달리는 그림자</v>
      </c>
      <c r="J421">
        <v>100</v>
      </c>
      <c r="K421">
        <v>600</v>
      </c>
      <c r="L421">
        <v>6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600</v>
      </c>
      <c r="AH421">
        <v>6</v>
      </c>
      <c r="AI421">
        <v>0</v>
      </c>
      <c r="AJ421">
        <v>0</v>
      </c>
      <c r="AK421">
        <v>370</v>
      </c>
      <c r="AL421">
        <v>0</v>
      </c>
      <c r="AM421">
        <v>276</v>
      </c>
      <c r="AN421">
        <v>-34.799999999999997</v>
      </c>
      <c r="AO421">
        <v>0</v>
      </c>
      <c r="AP421">
        <v>36</v>
      </c>
      <c r="AQ421">
        <v>-10.8</v>
      </c>
      <c r="AR421">
        <v>0</v>
      </c>
      <c r="AS421">
        <v>240</v>
      </c>
      <c r="AT421">
        <v>-24</v>
      </c>
      <c r="AU421">
        <v>0</v>
      </c>
      <c r="AW421">
        <v>0</v>
      </c>
      <c r="AX421">
        <v>0</v>
      </c>
      <c r="AY421">
        <v>427.84</v>
      </c>
      <c r="BC421" t="str">
        <f t="shared" si="54"/>
        <v>9791166067563</v>
      </c>
      <c r="BE421" t="str">
        <f t="shared" si="55"/>
        <v>판타지 웹소설 &gt; 현대 판타지</v>
      </c>
    </row>
    <row r="422" spans="1:57" x14ac:dyDescent="0.3">
      <c r="A422">
        <v>2313011400</v>
      </c>
      <c r="B422">
        <v>1525007631</v>
      </c>
      <c r="C422" t="str">
        <f>T("최종 보스 20권 16화")</f>
        <v>최종 보스 20권 16화</v>
      </c>
      <c r="D422" t="str">
        <f>T("409")</f>
        <v>409</v>
      </c>
      <c r="E422" t="str">
        <f t="shared" si="51"/>
        <v>무장</v>
      </c>
      <c r="H422" t="str">
        <f t="shared" si="52"/>
        <v>스토리위즈</v>
      </c>
      <c r="I422" t="str">
        <f t="shared" si="53"/>
        <v>최종 보스 : 빛을 향해 달리는 그림자</v>
      </c>
      <c r="J422">
        <v>100</v>
      </c>
      <c r="K422">
        <v>600</v>
      </c>
      <c r="L422">
        <v>6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600</v>
      </c>
      <c r="AH422">
        <v>6</v>
      </c>
      <c r="AI422">
        <v>0</v>
      </c>
      <c r="AJ422">
        <v>0</v>
      </c>
      <c r="AK422">
        <v>400</v>
      </c>
      <c r="AL422">
        <v>0</v>
      </c>
      <c r="AM422">
        <v>240</v>
      </c>
      <c r="AN422">
        <v>-48</v>
      </c>
      <c r="AO422">
        <v>0</v>
      </c>
      <c r="AP422">
        <v>120</v>
      </c>
      <c r="AQ422">
        <v>-36</v>
      </c>
      <c r="AR422">
        <v>0</v>
      </c>
      <c r="AS422">
        <v>120</v>
      </c>
      <c r="AT422">
        <v>-12</v>
      </c>
      <c r="AU422">
        <v>0</v>
      </c>
      <c r="AW422">
        <v>0</v>
      </c>
      <c r="AX422">
        <v>0</v>
      </c>
      <c r="AY422">
        <v>414.4</v>
      </c>
      <c r="BC422" t="str">
        <f t="shared" si="54"/>
        <v>9791166067563</v>
      </c>
      <c r="BE422" t="str">
        <f t="shared" si="55"/>
        <v>판타지 웹소설 &gt; 현대 판타지</v>
      </c>
    </row>
    <row r="423" spans="1:57" x14ac:dyDescent="0.3">
      <c r="A423">
        <v>2313011400</v>
      </c>
      <c r="B423">
        <v>1525007688</v>
      </c>
      <c r="C423" t="str">
        <f>T("최종 보스 23권 13화")</f>
        <v>최종 보스 23권 13화</v>
      </c>
      <c r="D423" t="str">
        <f>T("466")</f>
        <v>466</v>
      </c>
      <c r="E423" t="str">
        <f t="shared" si="51"/>
        <v>무장</v>
      </c>
      <c r="H423" t="str">
        <f t="shared" si="52"/>
        <v>스토리위즈</v>
      </c>
      <c r="I423" t="str">
        <f t="shared" si="53"/>
        <v>최종 보스 : 빛을 향해 달리는 그림자</v>
      </c>
      <c r="J423">
        <v>100</v>
      </c>
      <c r="K423">
        <v>600</v>
      </c>
      <c r="L423">
        <v>6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600</v>
      </c>
      <c r="AH423">
        <v>6</v>
      </c>
      <c r="AI423">
        <v>0</v>
      </c>
      <c r="AJ423">
        <v>0</v>
      </c>
      <c r="AK423">
        <v>310</v>
      </c>
      <c r="AL423">
        <v>0</v>
      </c>
      <c r="AM423">
        <v>348</v>
      </c>
      <c r="AN423">
        <v>-56.4</v>
      </c>
      <c r="AO423">
        <v>0</v>
      </c>
      <c r="AP423">
        <v>108</v>
      </c>
      <c r="AQ423">
        <v>-32.4</v>
      </c>
      <c r="AR423">
        <v>0</v>
      </c>
      <c r="AS423">
        <v>240</v>
      </c>
      <c r="AT423">
        <v>-24</v>
      </c>
      <c r="AU423">
        <v>0</v>
      </c>
      <c r="AW423">
        <v>0</v>
      </c>
      <c r="AX423">
        <v>0</v>
      </c>
      <c r="AY423">
        <v>421.12</v>
      </c>
      <c r="BC423" t="str">
        <f t="shared" si="54"/>
        <v>9791166067563</v>
      </c>
      <c r="BE423" t="str">
        <f t="shared" si="55"/>
        <v>판타지 웹소설 &gt; 현대 판타지</v>
      </c>
    </row>
    <row r="424" spans="1:57" x14ac:dyDescent="0.3">
      <c r="A424">
        <v>2313011400</v>
      </c>
      <c r="B424">
        <v>1525007606</v>
      </c>
      <c r="C424" t="str">
        <f>T("최종 보스 19권 12화")</f>
        <v>최종 보스 19권 12화</v>
      </c>
      <c r="D424" t="str">
        <f>T("384")</f>
        <v>384</v>
      </c>
      <c r="E424" t="str">
        <f t="shared" si="51"/>
        <v>무장</v>
      </c>
      <c r="H424" t="str">
        <f t="shared" si="52"/>
        <v>스토리위즈</v>
      </c>
      <c r="I424" t="str">
        <f t="shared" si="53"/>
        <v>최종 보스 : 빛을 향해 달리는 그림자</v>
      </c>
      <c r="J424">
        <v>100</v>
      </c>
      <c r="K424">
        <v>600</v>
      </c>
      <c r="L424">
        <v>6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600</v>
      </c>
      <c r="AH424">
        <v>6</v>
      </c>
      <c r="AI424">
        <v>0</v>
      </c>
      <c r="AJ424">
        <v>0</v>
      </c>
      <c r="AK424">
        <v>400</v>
      </c>
      <c r="AL424">
        <v>0</v>
      </c>
      <c r="AM424">
        <v>240</v>
      </c>
      <c r="AN424">
        <v>-48</v>
      </c>
      <c r="AO424">
        <v>0</v>
      </c>
      <c r="AP424">
        <v>120</v>
      </c>
      <c r="AQ424">
        <v>-36</v>
      </c>
      <c r="AR424">
        <v>0</v>
      </c>
      <c r="AS424">
        <v>120</v>
      </c>
      <c r="AT424">
        <v>-12</v>
      </c>
      <c r="AU424">
        <v>0</v>
      </c>
      <c r="AW424">
        <v>0</v>
      </c>
      <c r="AX424">
        <v>0</v>
      </c>
      <c r="AY424">
        <v>414.4</v>
      </c>
      <c r="BC424" t="str">
        <f t="shared" si="54"/>
        <v>9791166067563</v>
      </c>
      <c r="BE424" t="str">
        <f t="shared" si="55"/>
        <v>판타지 웹소설 &gt; 현대 판타지</v>
      </c>
    </row>
    <row r="425" spans="1:57" x14ac:dyDescent="0.3">
      <c r="A425">
        <v>2313011400</v>
      </c>
      <c r="B425">
        <v>1525007663</v>
      </c>
      <c r="C425" t="str">
        <f>T("최종 보스 22권 8화")</f>
        <v>최종 보스 22권 8화</v>
      </c>
      <c r="D425" t="str">
        <f>T("441")</f>
        <v>441</v>
      </c>
      <c r="E425" t="str">
        <f t="shared" si="51"/>
        <v>무장</v>
      </c>
      <c r="H425" t="str">
        <f t="shared" si="52"/>
        <v>스토리위즈</v>
      </c>
      <c r="I425" t="str">
        <f t="shared" si="53"/>
        <v>최종 보스 : 빛을 향해 달리는 그림자</v>
      </c>
      <c r="J425">
        <v>100</v>
      </c>
      <c r="K425">
        <v>600</v>
      </c>
      <c r="L425">
        <v>6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600</v>
      </c>
      <c r="AH425">
        <v>6</v>
      </c>
      <c r="AI425">
        <v>0</v>
      </c>
      <c r="AJ425">
        <v>0</v>
      </c>
      <c r="AK425">
        <v>400</v>
      </c>
      <c r="AL425">
        <v>0</v>
      </c>
      <c r="AM425">
        <v>240</v>
      </c>
      <c r="AN425">
        <v>-48</v>
      </c>
      <c r="AO425">
        <v>0</v>
      </c>
      <c r="AQ425">
        <v>0</v>
      </c>
      <c r="AR425">
        <v>0</v>
      </c>
      <c r="AS425">
        <v>240</v>
      </c>
      <c r="AT425">
        <v>-48</v>
      </c>
      <c r="AU425">
        <v>0</v>
      </c>
      <c r="AW425">
        <v>0</v>
      </c>
      <c r="AX425">
        <v>0</v>
      </c>
      <c r="AY425">
        <v>414.4</v>
      </c>
      <c r="BC425" t="str">
        <f t="shared" si="54"/>
        <v>9791166067563</v>
      </c>
      <c r="BE425" t="str">
        <f t="shared" si="55"/>
        <v>판타지 웹소설 &gt; 현대 판타지</v>
      </c>
    </row>
    <row r="426" spans="1:57" x14ac:dyDescent="0.3">
      <c r="A426">
        <v>2313011400</v>
      </c>
      <c r="B426">
        <v>1525007720</v>
      </c>
      <c r="C426" t="str">
        <f>T("최종 보스 25권 5화")</f>
        <v>최종 보스 25권 5화</v>
      </c>
      <c r="D426" t="str">
        <f>T("498")</f>
        <v>498</v>
      </c>
      <c r="E426" t="str">
        <f t="shared" si="51"/>
        <v>무장</v>
      </c>
      <c r="H426" t="str">
        <f t="shared" si="52"/>
        <v>스토리위즈</v>
      </c>
      <c r="I426" t="str">
        <f t="shared" si="53"/>
        <v>최종 보스 : 빛을 향해 달리는 그림자</v>
      </c>
      <c r="J426">
        <v>100</v>
      </c>
      <c r="K426">
        <v>600</v>
      </c>
      <c r="L426">
        <v>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600</v>
      </c>
      <c r="AH426">
        <v>6</v>
      </c>
      <c r="AI426">
        <v>0</v>
      </c>
      <c r="AJ426">
        <v>0</v>
      </c>
      <c r="AK426">
        <v>311</v>
      </c>
      <c r="AL426">
        <v>0</v>
      </c>
      <c r="AM426">
        <v>346.8</v>
      </c>
      <c r="AN426">
        <v>-56.04</v>
      </c>
      <c r="AO426">
        <v>0</v>
      </c>
      <c r="AP426">
        <v>106.8</v>
      </c>
      <c r="AQ426">
        <v>-32.04</v>
      </c>
      <c r="AR426">
        <v>0</v>
      </c>
      <c r="AS426">
        <v>240</v>
      </c>
      <c r="AT426">
        <v>-24</v>
      </c>
      <c r="AU426">
        <v>0</v>
      </c>
      <c r="AW426">
        <v>0</v>
      </c>
      <c r="AX426">
        <v>0</v>
      </c>
      <c r="AY426">
        <v>421.23</v>
      </c>
      <c r="BC426" t="str">
        <f t="shared" si="54"/>
        <v>9791166067563</v>
      </c>
      <c r="BE426" t="str">
        <f t="shared" si="55"/>
        <v>판타지 웹소설 &gt; 현대 판타지</v>
      </c>
    </row>
    <row r="427" spans="1:57" x14ac:dyDescent="0.3">
      <c r="A427">
        <v>2313011400</v>
      </c>
      <c r="B427">
        <v>1525007595</v>
      </c>
      <c r="C427" t="str">
        <f>T("최종 보스 19권 1화")</f>
        <v>최종 보스 19권 1화</v>
      </c>
      <c r="D427" t="str">
        <f>T("373")</f>
        <v>373</v>
      </c>
      <c r="E427" t="str">
        <f t="shared" si="51"/>
        <v>무장</v>
      </c>
      <c r="H427" t="str">
        <f t="shared" si="52"/>
        <v>스토리위즈</v>
      </c>
      <c r="I427" t="str">
        <f t="shared" si="53"/>
        <v>최종 보스 : 빛을 향해 달리는 그림자</v>
      </c>
      <c r="J427">
        <v>100</v>
      </c>
      <c r="K427">
        <v>600</v>
      </c>
      <c r="L427">
        <v>6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600</v>
      </c>
      <c r="AH427">
        <v>6</v>
      </c>
      <c r="AI427">
        <v>0</v>
      </c>
      <c r="AJ427">
        <v>0</v>
      </c>
      <c r="AK427">
        <v>400</v>
      </c>
      <c r="AL427">
        <v>0</v>
      </c>
      <c r="AM427">
        <v>240</v>
      </c>
      <c r="AN427">
        <v>-48</v>
      </c>
      <c r="AO427">
        <v>0</v>
      </c>
      <c r="AP427">
        <v>120</v>
      </c>
      <c r="AQ427">
        <v>-36</v>
      </c>
      <c r="AR427">
        <v>0</v>
      </c>
      <c r="AS427">
        <v>120</v>
      </c>
      <c r="AT427">
        <v>-12</v>
      </c>
      <c r="AU427">
        <v>0</v>
      </c>
      <c r="AW427">
        <v>0</v>
      </c>
      <c r="AX427">
        <v>0</v>
      </c>
      <c r="AY427">
        <v>414.4</v>
      </c>
      <c r="BC427" t="str">
        <f t="shared" si="54"/>
        <v>9791166067563</v>
      </c>
      <c r="BE427" t="str">
        <f t="shared" si="55"/>
        <v>판타지 웹소설 &gt; 현대 판타지</v>
      </c>
    </row>
    <row r="428" spans="1:57" x14ac:dyDescent="0.3">
      <c r="A428">
        <v>2313011400</v>
      </c>
      <c r="B428">
        <v>1525007652</v>
      </c>
      <c r="C428" t="str">
        <f>T("최종 보스 21권 17화")</f>
        <v>최종 보스 21권 17화</v>
      </c>
      <c r="D428" t="str">
        <f>T("430")</f>
        <v>430</v>
      </c>
      <c r="E428" t="str">
        <f t="shared" ref="E428:E491" si="56">T("무장")</f>
        <v>무장</v>
      </c>
      <c r="H428" t="str">
        <f t="shared" ref="H428:H491" si="57">T("스토리위즈")</f>
        <v>스토리위즈</v>
      </c>
      <c r="I428" t="str">
        <f t="shared" ref="I428:I491" si="58">T("최종 보스 : 빛을 향해 달리는 그림자")</f>
        <v>최종 보스 : 빛을 향해 달리는 그림자</v>
      </c>
      <c r="J428">
        <v>100</v>
      </c>
      <c r="K428">
        <v>600</v>
      </c>
      <c r="L428">
        <v>6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600</v>
      </c>
      <c r="AH428">
        <v>6</v>
      </c>
      <c r="AI428">
        <v>0</v>
      </c>
      <c r="AJ428">
        <v>0</v>
      </c>
      <c r="AK428">
        <v>400</v>
      </c>
      <c r="AL428">
        <v>0</v>
      </c>
      <c r="AM428">
        <v>240</v>
      </c>
      <c r="AN428">
        <v>-48</v>
      </c>
      <c r="AO428">
        <v>0</v>
      </c>
      <c r="AQ428">
        <v>0</v>
      </c>
      <c r="AR428">
        <v>0</v>
      </c>
      <c r="AS428">
        <v>240</v>
      </c>
      <c r="AT428">
        <v>-48</v>
      </c>
      <c r="AU428">
        <v>0</v>
      </c>
      <c r="AW428">
        <v>0</v>
      </c>
      <c r="AX428">
        <v>0</v>
      </c>
      <c r="AY428">
        <v>414.4</v>
      </c>
      <c r="BC428" t="str">
        <f t="shared" ref="BC428:BC491" si="59">T("9791166067563")</f>
        <v>9791166067563</v>
      </c>
      <c r="BE428" t="str">
        <f t="shared" ref="BE428:BE491" si="60">T("판타지 웹소설 &gt; 현대 판타지")</f>
        <v>판타지 웹소설 &gt; 현대 판타지</v>
      </c>
    </row>
    <row r="429" spans="1:57" x14ac:dyDescent="0.3">
      <c r="A429">
        <v>2313011400</v>
      </c>
      <c r="B429">
        <v>1525007584</v>
      </c>
      <c r="C429" t="str">
        <f>T("최종 보스 18권 10화")</f>
        <v>최종 보스 18권 10화</v>
      </c>
      <c r="D429" t="str">
        <f>T("362")</f>
        <v>362</v>
      </c>
      <c r="E429" t="str">
        <f t="shared" si="56"/>
        <v>무장</v>
      </c>
      <c r="H429" t="str">
        <f t="shared" si="57"/>
        <v>스토리위즈</v>
      </c>
      <c r="I429" t="str">
        <f t="shared" si="58"/>
        <v>최종 보스 : 빛을 향해 달리는 그림자</v>
      </c>
      <c r="J429">
        <v>100</v>
      </c>
      <c r="K429">
        <v>600</v>
      </c>
      <c r="L429">
        <v>6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600</v>
      </c>
      <c r="AH429">
        <v>6</v>
      </c>
      <c r="AI429">
        <v>0</v>
      </c>
      <c r="AJ429">
        <v>0</v>
      </c>
      <c r="AK429">
        <v>400</v>
      </c>
      <c r="AL429">
        <v>0</v>
      </c>
      <c r="AM429">
        <v>240</v>
      </c>
      <c r="AN429">
        <v>-48</v>
      </c>
      <c r="AO429">
        <v>0</v>
      </c>
      <c r="AP429">
        <v>120</v>
      </c>
      <c r="AQ429">
        <v>-36</v>
      </c>
      <c r="AR429">
        <v>0</v>
      </c>
      <c r="AS429">
        <v>120</v>
      </c>
      <c r="AT429">
        <v>-12</v>
      </c>
      <c r="AU429">
        <v>0</v>
      </c>
      <c r="AW429">
        <v>0</v>
      </c>
      <c r="AX429">
        <v>0</v>
      </c>
      <c r="AY429">
        <v>414.4</v>
      </c>
      <c r="BC429" t="str">
        <f t="shared" si="59"/>
        <v>9791166067563</v>
      </c>
      <c r="BE429" t="str">
        <f t="shared" si="60"/>
        <v>판타지 웹소설 &gt; 현대 판타지</v>
      </c>
    </row>
    <row r="430" spans="1:57" x14ac:dyDescent="0.3">
      <c r="A430">
        <v>2313011400</v>
      </c>
      <c r="B430">
        <v>1525007698</v>
      </c>
      <c r="C430" t="str">
        <f>T("최종 보스 24권 3화")</f>
        <v>최종 보스 24권 3화</v>
      </c>
      <c r="D430" t="str">
        <f>T("476")</f>
        <v>476</v>
      </c>
      <c r="E430" t="str">
        <f t="shared" si="56"/>
        <v>무장</v>
      </c>
      <c r="H430" t="str">
        <f t="shared" si="57"/>
        <v>스토리위즈</v>
      </c>
      <c r="I430" t="str">
        <f t="shared" si="58"/>
        <v>최종 보스 : 빛을 향해 달리는 그림자</v>
      </c>
      <c r="J430">
        <v>100</v>
      </c>
      <c r="K430">
        <v>600</v>
      </c>
      <c r="L430">
        <v>6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600</v>
      </c>
      <c r="AH430">
        <v>6</v>
      </c>
      <c r="AI430">
        <v>0</v>
      </c>
      <c r="AJ430">
        <v>0</v>
      </c>
      <c r="AK430">
        <v>310</v>
      </c>
      <c r="AL430">
        <v>0</v>
      </c>
      <c r="AM430">
        <v>348</v>
      </c>
      <c r="AN430">
        <v>-56.4</v>
      </c>
      <c r="AO430">
        <v>0</v>
      </c>
      <c r="AP430">
        <v>108</v>
      </c>
      <c r="AQ430">
        <v>-32.4</v>
      </c>
      <c r="AR430">
        <v>0</v>
      </c>
      <c r="AS430">
        <v>240</v>
      </c>
      <c r="AT430">
        <v>-24</v>
      </c>
      <c r="AU430">
        <v>0</v>
      </c>
      <c r="AW430">
        <v>0</v>
      </c>
      <c r="AX430">
        <v>0</v>
      </c>
      <c r="AY430">
        <v>421.12</v>
      </c>
      <c r="BC430" t="str">
        <f t="shared" si="59"/>
        <v>9791166067563</v>
      </c>
      <c r="BE430" t="str">
        <f t="shared" si="60"/>
        <v>판타지 웹소설 &gt; 현대 판타지</v>
      </c>
    </row>
    <row r="431" spans="1:57" x14ac:dyDescent="0.3">
      <c r="A431">
        <v>2313011400</v>
      </c>
      <c r="B431">
        <v>1525007616</v>
      </c>
      <c r="C431" t="str">
        <f>T("최종 보스 20권 1화")</f>
        <v>최종 보스 20권 1화</v>
      </c>
      <c r="D431" t="str">
        <f>T("394")</f>
        <v>394</v>
      </c>
      <c r="E431" t="str">
        <f t="shared" si="56"/>
        <v>무장</v>
      </c>
      <c r="H431" t="str">
        <f t="shared" si="57"/>
        <v>스토리위즈</v>
      </c>
      <c r="I431" t="str">
        <f t="shared" si="58"/>
        <v>최종 보스 : 빛을 향해 달리는 그림자</v>
      </c>
      <c r="J431">
        <v>100</v>
      </c>
      <c r="K431">
        <v>600</v>
      </c>
      <c r="L431">
        <v>6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600</v>
      </c>
      <c r="AH431">
        <v>6</v>
      </c>
      <c r="AI431">
        <v>0</v>
      </c>
      <c r="AJ431">
        <v>0</v>
      </c>
      <c r="AK431">
        <v>400</v>
      </c>
      <c r="AL431">
        <v>0</v>
      </c>
      <c r="AM431">
        <v>240</v>
      </c>
      <c r="AN431">
        <v>-48</v>
      </c>
      <c r="AO431">
        <v>0</v>
      </c>
      <c r="AP431">
        <v>120</v>
      </c>
      <c r="AQ431">
        <v>-36</v>
      </c>
      <c r="AR431">
        <v>0</v>
      </c>
      <c r="AS431">
        <v>120</v>
      </c>
      <c r="AT431">
        <v>-12</v>
      </c>
      <c r="AU431">
        <v>0</v>
      </c>
      <c r="AW431">
        <v>0</v>
      </c>
      <c r="AX431">
        <v>0</v>
      </c>
      <c r="AY431">
        <v>414.4</v>
      </c>
      <c r="BC431" t="str">
        <f t="shared" si="59"/>
        <v>9791166067563</v>
      </c>
      <c r="BE431" t="str">
        <f t="shared" si="60"/>
        <v>판타지 웹소설 &gt; 현대 판타지</v>
      </c>
    </row>
    <row r="432" spans="1:57" x14ac:dyDescent="0.3">
      <c r="A432">
        <v>2313011400</v>
      </c>
      <c r="B432">
        <v>1525007673</v>
      </c>
      <c r="C432" t="str">
        <f>T("최종 보스 22권 18화")</f>
        <v>최종 보스 22권 18화</v>
      </c>
      <c r="D432" t="str">
        <f>T("451")</f>
        <v>451</v>
      </c>
      <c r="E432" t="str">
        <f t="shared" si="56"/>
        <v>무장</v>
      </c>
      <c r="H432" t="str">
        <f t="shared" si="57"/>
        <v>스토리위즈</v>
      </c>
      <c r="I432" t="str">
        <f t="shared" si="58"/>
        <v>최종 보스 : 빛을 향해 달리는 그림자</v>
      </c>
      <c r="J432">
        <v>100</v>
      </c>
      <c r="K432">
        <v>600</v>
      </c>
      <c r="L432">
        <v>6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600</v>
      </c>
      <c r="AH432">
        <v>6</v>
      </c>
      <c r="AI432">
        <v>0</v>
      </c>
      <c r="AJ432">
        <v>0</v>
      </c>
      <c r="AK432">
        <v>400</v>
      </c>
      <c r="AL432">
        <v>0</v>
      </c>
      <c r="AM432">
        <v>240</v>
      </c>
      <c r="AN432">
        <v>-48</v>
      </c>
      <c r="AO432">
        <v>0</v>
      </c>
      <c r="AQ432">
        <v>0</v>
      </c>
      <c r="AR432">
        <v>0</v>
      </c>
      <c r="AS432">
        <v>240</v>
      </c>
      <c r="AT432">
        <v>-48</v>
      </c>
      <c r="AU432">
        <v>0</v>
      </c>
      <c r="AW432">
        <v>0</v>
      </c>
      <c r="AX432">
        <v>0</v>
      </c>
      <c r="AY432">
        <v>414.4</v>
      </c>
      <c r="BC432" t="str">
        <f t="shared" si="59"/>
        <v>9791166067563</v>
      </c>
      <c r="BE432" t="str">
        <f t="shared" si="60"/>
        <v>판타지 웹소설 &gt; 현대 판타지</v>
      </c>
    </row>
    <row r="433" spans="1:57" x14ac:dyDescent="0.3">
      <c r="A433">
        <v>2313011400</v>
      </c>
      <c r="B433">
        <v>1525007730</v>
      </c>
      <c r="C433" t="str">
        <f>T("최종 보스 25권 15화")</f>
        <v>최종 보스 25권 15화</v>
      </c>
      <c r="D433" t="str">
        <f>T("508")</f>
        <v>508</v>
      </c>
      <c r="E433" t="str">
        <f t="shared" si="56"/>
        <v>무장</v>
      </c>
      <c r="H433" t="str">
        <f t="shared" si="57"/>
        <v>스토리위즈</v>
      </c>
      <c r="I433" t="str">
        <f t="shared" si="58"/>
        <v>최종 보스 : 빛을 향해 달리는 그림자</v>
      </c>
      <c r="J433">
        <v>100</v>
      </c>
      <c r="K433">
        <v>600</v>
      </c>
      <c r="L433">
        <v>6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600</v>
      </c>
      <c r="AH433">
        <v>6</v>
      </c>
      <c r="AI433">
        <v>0</v>
      </c>
      <c r="AJ433">
        <v>0</v>
      </c>
      <c r="AK433">
        <v>400</v>
      </c>
      <c r="AL433">
        <v>0</v>
      </c>
      <c r="AM433">
        <v>240</v>
      </c>
      <c r="AN433">
        <v>-24</v>
      </c>
      <c r="AO433">
        <v>0</v>
      </c>
      <c r="AQ433">
        <v>0</v>
      </c>
      <c r="AR433">
        <v>0</v>
      </c>
      <c r="AS433">
        <v>240</v>
      </c>
      <c r="AT433">
        <v>-24</v>
      </c>
      <c r="AU433">
        <v>0</v>
      </c>
      <c r="AW433">
        <v>0</v>
      </c>
      <c r="AX433">
        <v>0</v>
      </c>
      <c r="AY433">
        <v>431.2</v>
      </c>
      <c r="BC433" t="str">
        <f t="shared" si="59"/>
        <v>9791166067563</v>
      </c>
      <c r="BE433" t="str">
        <f t="shared" si="60"/>
        <v>판타지 웹소설 &gt; 현대 판타지</v>
      </c>
    </row>
    <row r="434" spans="1:57" x14ac:dyDescent="0.3">
      <c r="A434">
        <v>2313011400</v>
      </c>
      <c r="B434">
        <v>1525007630</v>
      </c>
      <c r="C434" t="str">
        <f>T("최종 보스 20권 15화")</f>
        <v>최종 보스 20권 15화</v>
      </c>
      <c r="D434" t="str">
        <f>T("408")</f>
        <v>408</v>
      </c>
      <c r="E434" t="str">
        <f t="shared" si="56"/>
        <v>무장</v>
      </c>
      <c r="H434" t="str">
        <f t="shared" si="57"/>
        <v>스토리위즈</v>
      </c>
      <c r="I434" t="str">
        <f t="shared" si="58"/>
        <v>최종 보스 : 빛을 향해 달리는 그림자</v>
      </c>
      <c r="J434">
        <v>100</v>
      </c>
      <c r="K434">
        <v>600</v>
      </c>
      <c r="L434">
        <v>6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600</v>
      </c>
      <c r="AH434">
        <v>6</v>
      </c>
      <c r="AI434">
        <v>0</v>
      </c>
      <c r="AJ434">
        <v>0</v>
      </c>
      <c r="AK434">
        <v>400</v>
      </c>
      <c r="AL434">
        <v>0</v>
      </c>
      <c r="AM434">
        <v>240</v>
      </c>
      <c r="AN434">
        <v>-48</v>
      </c>
      <c r="AO434">
        <v>0</v>
      </c>
      <c r="AP434">
        <v>120</v>
      </c>
      <c r="AQ434">
        <v>-36</v>
      </c>
      <c r="AR434">
        <v>0</v>
      </c>
      <c r="AS434">
        <v>120</v>
      </c>
      <c r="AT434">
        <v>-12</v>
      </c>
      <c r="AU434">
        <v>0</v>
      </c>
      <c r="AW434">
        <v>0</v>
      </c>
      <c r="AX434">
        <v>0</v>
      </c>
      <c r="AY434">
        <v>414.4</v>
      </c>
      <c r="BC434" t="str">
        <f t="shared" si="59"/>
        <v>9791166067563</v>
      </c>
      <c r="BE434" t="str">
        <f t="shared" si="60"/>
        <v>판타지 웹소설 &gt; 현대 판타지</v>
      </c>
    </row>
    <row r="435" spans="1:57" x14ac:dyDescent="0.3">
      <c r="A435">
        <v>2313011400</v>
      </c>
      <c r="B435">
        <v>1525007687</v>
      </c>
      <c r="C435" t="str">
        <f>T("최종 보스 23권 12화")</f>
        <v>최종 보스 23권 12화</v>
      </c>
      <c r="D435" t="str">
        <f>T("465")</f>
        <v>465</v>
      </c>
      <c r="E435" t="str">
        <f t="shared" si="56"/>
        <v>무장</v>
      </c>
      <c r="H435" t="str">
        <f t="shared" si="57"/>
        <v>스토리위즈</v>
      </c>
      <c r="I435" t="str">
        <f t="shared" si="58"/>
        <v>최종 보스 : 빛을 향해 달리는 그림자</v>
      </c>
      <c r="J435">
        <v>100</v>
      </c>
      <c r="K435">
        <v>600</v>
      </c>
      <c r="L435">
        <v>6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600</v>
      </c>
      <c r="AH435">
        <v>6</v>
      </c>
      <c r="AI435">
        <v>0</v>
      </c>
      <c r="AJ435">
        <v>0</v>
      </c>
      <c r="AK435">
        <v>310</v>
      </c>
      <c r="AL435">
        <v>0</v>
      </c>
      <c r="AM435">
        <v>348</v>
      </c>
      <c r="AN435">
        <v>-56.4</v>
      </c>
      <c r="AO435">
        <v>0</v>
      </c>
      <c r="AP435">
        <v>108</v>
      </c>
      <c r="AQ435">
        <v>-32.4</v>
      </c>
      <c r="AR435">
        <v>0</v>
      </c>
      <c r="AS435">
        <v>240</v>
      </c>
      <c r="AT435">
        <v>-24</v>
      </c>
      <c r="AU435">
        <v>0</v>
      </c>
      <c r="AW435">
        <v>0</v>
      </c>
      <c r="AX435">
        <v>0</v>
      </c>
      <c r="AY435">
        <v>421.12</v>
      </c>
      <c r="BC435" t="str">
        <f t="shared" si="59"/>
        <v>9791166067563</v>
      </c>
      <c r="BE435" t="str">
        <f t="shared" si="60"/>
        <v>판타지 웹소설 &gt; 현대 판타지</v>
      </c>
    </row>
    <row r="436" spans="1:57" x14ac:dyDescent="0.3">
      <c r="A436">
        <v>2313011400</v>
      </c>
      <c r="B436">
        <v>1525007605</v>
      </c>
      <c r="C436" t="str">
        <f>T("최종 보스 19권 11화")</f>
        <v>최종 보스 19권 11화</v>
      </c>
      <c r="D436" t="str">
        <f>T("383")</f>
        <v>383</v>
      </c>
      <c r="E436" t="str">
        <f t="shared" si="56"/>
        <v>무장</v>
      </c>
      <c r="H436" t="str">
        <f t="shared" si="57"/>
        <v>스토리위즈</v>
      </c>
      <c r="I436" t="str">
        <f t="shared" si="58"/>
        <v>최종 보스 : 빛을 향해 달리는 그림자</v>
      </c>
      <c r="J436">
        <v>100</v>
      </c>
      <c r="K436">
        <v>600</v>
      </c>
      <c r="L436">
        <v>6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600</v>
      </c>
      <c r="AH436">
        <v>6</v>
      </c>
      <c r="AI436">
        <v>0</v>
      </c>
      <c r="AJ436">
        <v>0</v>
      </c>
      <c r="AK436">
        <v>400</v>
      </c>
      <c r="AL436">
        <v>0</v>
      </c>
      <c r="AM436">
        <v>240</v>
      </c>
      <c r="AN436">
        <v>-48</v>
      </c>
      <c r="AO436">
        <v>0</v>
      </c>
      <c r="AP436">
        <v>120</v>
      </c>
      <c r="AQ436">
        <v>-36</v>
      </c>
      <c r="AR436">
        <v>0</v>
      </c>
      <c r="AS436">
        <v>120</v>
      </c>
      <c r="AT436">
        <v>-12</v>
      </c>
      <c r="AU436">
        <v>0</v>
      </c>
      <c r="AW436">
        <v>0</v>
      </c>
      <c r="AX436">
        <v>0</v>
      </c>
      <c r="AY436">
        <v>414.4</v>
      </c>
      <c r="BC436" t="str">
        <f t="shared" si="59"/>
        <v>9791166067563</v>
      </c>
      <c r="BE436" t="str">
        <f t="shared" si="60"/>
        <v>판타지 웹소설 &gt; 현대 판타지</v>
      </c>
    </row>
    <row r="437" spans="1:57" x14ac:dyDescent="0.3">
      <c r="A437">
        <v>2313011400</v>
      </c>
      <c r="B437">
        <v>1525007662</v>
      </c>
      <c r="C437" t="str">
        <f>T("최종 보스 22권 7화")</f>
        <v>최종 보스 22권 7화</v>
      </c>
      <c r="D437" t="str">
        <f>T("440")</f>
        <v>440</v>
      </c>
      <c r="E437" t="str">
        <f t="shared" si="56"/>
        <v>무장</v>
      </c>
      <c r="H437" t="str">
        <f t="shared" si="57"/>
        <v>스토리위즈</v>
      </c>
      <c r="I437" t="str">
        <f t="shared" si="58"/>
        <v>최종 보스 : 빛을 향해 달리는 그림자</v>
      </c>
      <c r="J437">
        <v>100</v>
      </c>
      <c r="K437">
        <v>600</v>
      </c>
      <c r="L437">
        <v>6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600</v>
      </c>
      <c r="AH437">
        <v>6</v>
      </c>
      <c r="AI437">
        <v>0</v>
      </c>
      <c r="AJ437">
        <v>0</v>
      </c>
      <c r="AK437">
        <v>400</v>
      </c>
      <c r="AL437">
        <v>0</v>
      </c>
      <c r="AM437">
        <v>240</v>
      </c>
      <c r="AN437">
        <v>-48</v>
      </c>
      <c r="AO437">
        <v>0</v>
      </c>
      <c r="AQ437">
        <v>0</v>
      </c>
      <c r="AR437">
        <v>0</v>
      </c>
      <c r="AS437">
        <v>240</v>
      </c>
      <c r="AT437">
        <v>-48</v>
      </c>
      <c r="AU437">
        <v>0</v>
      </c>
      <c r="AW437">
        <v>0</v>
      </c>
      <c r="AX437">
        <v>0</v>
      </c>
      <c r="AY437">
        <v>414.4</v>
      </c>
      <c r="BC437" t="str">
        <f t="shared" si="59"/>
        <v>9791166067563</v>
      </c>
      <c r="BE437" t="str">
        <f t="shared" si="60"/>
        <v>판타지 웹소설 &gt; 현대 판타지</v>
      </c>
    </row>
    <row r="438" spans="1:57" x14ac:dyDescent="0.3">
      <c r="A438">
        <v>2313011400</v>
      </c>
      <c r="B438">
        <v>1525007719</v>
      </c>
      <c r="C438" t="str">
        <f>T("최종 보스 25권 4화")</f>
        <v>최종 보스 25권 4화</v>
      </c>
      <c r="D438" t="str">
        <f>T("497")</f>
        <v>497</v>
      </c>
      <c r="E438" t="str">
        <f t="shared" si="56"/>
        <v>무장</v>
      </c>
      <c r="H438" t="str">
        <f t="shared" si="57"/>
        <v>스토리위즈</v>
      </c>
      <c r="I438" t="str">
        <f t="shared" si="58"/>
        <v>최종 보스 : 빛을 향해 달리는 그림자</v>
      </c>
      <c r="J438">
        <v>100</v>
      </c>
      <c r="K438">
        <v>600</v>
      </c>
      <c r="L438">
        <v>6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600</v>
      </c>
      <c r="AH438">
        <v>6</v>
      </c>
      <c r="AI438">
        <v>0</v>
      </c>
      <c r="AJ438">
        <v>0</v>
      </c>
      <c r="AK438">
        <v>311</v>
      </c>
      <c r="AL438">
        <v>0</v>
      </c>
      <c r="AM438">
        <v>346.8</v>
      </c>
      <c r="AN438">
        <v>-56.04</v>
      </c>
      <c r="AO438">
        <v>0</v>
      </c>
      <c r="AP438">
        <v>106.8</v>
      </c>
      <c r="AQ438">
        <v>-32.04</v>
      </c>
      <c r="AR438">
        <v>0</v>
      </c>
      <c r="AS438">
        <v>240</v>
      </c>
      <c r="AT438">
        <v>-24</v>
      </c>
      <c r="AU438">
        <v>0</v>
      </c>
      <c r="AW438">
        <v>0</v>
      </c>
      <c r="AX438">
        <v>0</v>
      </c>
      <c r="AY438">
        <v>421.23</v>
      </c>
      <c r="BC438" t="str">
        <f t="shared" si="59"/>
        <v>9791166067563</v>
      </c>
      <c r="BE438" t="str">
        <f t="shared" si="60"/>
        <v>판타지 웹소설 &gt; 현대 판타지</v>
      </c>
    </row>
    <row r="439" spans="1:57" x14ac:dyDescent="0.3">
      <c r="A439">
        <v>2313011400</v>
      </c>
      <c r="B439">
        <v>1525007594</v>
      </c>
      <c r="C439" t="str">
        <f>T("최종 보스 18권 20화")</f>
        <v>최종 보스 18권 20화</v>
      </c>
      <c r="D439" t="str">
        <f>T("372")</f>
        <v>372</v>
      </c>
      <c r="E439" t="str">
        <f t="shared" si="56"/>
        <v>무장</v>
      </c>
      <c r="H439" t="str">
        <f t="shared" si="57"/>
        <v>스토리위즈</v>
      </c>
      <c r="I439" t="str">
        <f t="shared" si="58"/>
        <v>최종 보스 : 빛을 향해 달리는 그림자</v>
      </c>
      <c r="J439">
        <v>100</v>
      </c>
      <c r="K439">
        <v>600</v>
      </c>
      <c r="L439">
        <v>6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600</v>
      </c>
      <c r="AH439">
        <v>6</v>
      </c>
      <c r="AI439">
        <v>0</v>
      </c>
      <c r="AJ439">
        <v>0</v>
      </c>
      <c r="AK439">
        <v>400</v>
      </c>
      <c r="AL439">
        <v>0</v>
      </c>
      <c r="AM439">
        <v>240</v>
      </c>
      <c r="AN439">
        <v>-48</v>
      </c>
      <c r="AO439">
        <v>0</v>
      </c>
      <c r="AP439">
        <v>120</v>
      </c>
      <c r="AQ439">
        <v>-36</v>
      </c>
      <c r="AR439">
        <v>0</v>
      </c>
      <c r="AS439">
        <v>120</v>
      </c>
      <c r="AT439">
        <v>-12</v>
      </c>
      <c r="AU439">
        <v>0</v>
      </c>
      <c r="AW439">
        <v>0</v>
      </c>
      <c r="AX439">
        <v>0</v>
      </c>
      <c r="AY439">
        <v>414.4</v>
      </c>
      <c r="BC439" t="str">
        <f t="shared" si="59"/>
        <v>9791166067563</v>
      </c>
      <c r="BE439" t="str">
        <f t="shared" si="60"/>
        <v>판타지 웹소설 &gt; 현대 판타지</v>
      </c>
    </row>
    <row r="440" spans="1:57" x14ac:dyDescent="0.3">
      <c r="A440">
        <v>2313011400</v>
      </c>
      <c r="B440">
        <v>1525007651</v>
      </c>
      <c r="C440" t="str">
        <f>T("최종 보스 21권 16화")</f>
        <v>최종 보스 21권 16화</v>
      </c>
      <c r="D440" t="str">
        <f>T("429")</f>
        <v>429</v>
      </c>
      <c r="E440" t="str">
        <f t="shared" si="56"/>
        <v>무장</v>
      </c>
      <c r="H440" t="str">
        <f t="shared" si="57"/>
        <v>스토리위즈</v>
      </c>
      <c r="I440" t="str">
        <f t="shared" si="58"/>
        <v>최종 보스 : 빛을 향해 달리는 그림자</v>
      </c>
      <c r="J440">
        <v>100</v>
      </c>
      <c r="K440">
        <v>600</v>
      </c>
      <c r="L440">
        <v>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600</v>
      </c>
      <c r="AH440">
        <v>6</v>
      </c>
      <c r="AI440">
        <v>0</v>
      </c>
      <c r="AJ440">
        <v>0</v>
      </c>
      <c r="AK440">
        <v>400</v>
      </c>
      <c r="AL440">
        <v>0</v>
      </c>
      <c r="AM440">
        <v>240</v>
      </c>
      <c r="AN440">
        <v>-48</v>
      </c>
      <c r="AO440">
        <v>0</v>
      </c>
      <c r="AQ440">
        <v>0</v>
      </c>
      <c r="AR440">
        <v>0</v>
      </c>
      <c r="AS440">
        <v>240</v>
      </c>
      <c r="AT440">
        <v>-48</v>
      </c>
      <c r="AU440">
        <v>0</v>
      </c>
      <c r="AW440">
        <v>0</v>
      </c>
      <c r="AX440">
        <v>0</v>
      </c>
      <c r="AY440">
        <v>414.4</v>
      </c>
      <c r="BC440" t="str">
        <f t="shared" si="59"/>
        <v>9791166067563</v>
      </c>
      <c r="BE440" t="str">
        <f t="shared" si="60"/>
        <v>판타지 웹소설 &gt; 현대 판타지</v>
      </c>
    </row>
    <row r="441" spans="1:57" x14ac:dyDescent="0.3">
      <c r="A441">
        <v>2313011400</v>
      </c>
      <c r="B441">
        <v>1525007583</v>
      </c>
      <c r="C441" t="str">
        <f>T("최종 보스 18권 9화")</f>
        <v>최종 보스 18권 9화</v>
      </c>
      <c r="D441" t="str">
        <f>T("361")</f>
        <v>361</v>
      </c>
      <c r="E441" t="str">
        <f t="shared" si="56"/>
        <v>무장</v>
      </c>
      <c r="H441" t="str">
        <f t="shared" si="57"/>
        <v>스토리위즈</v>
      </c>
      <c r="I441" t="str">
        <f t="shared" si="58"/>
        <v>최종 보스 : 빛을 향해 달리는 그림자</v>
      </c>
      <c r="J441">
        <v>100</v>
      </c>
      <c r="K441">
        <v>600</v>
      </c>
      <c r="L441">
        <v>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600</v>
      </c>
      <c r="AH441">
        <v>6</v>
      </c>
      <c r="AI441">
        <v>0</v>
      </c>
      <c r="AJ441">
        <v>0</v>
      </c>
      <c r="AK441">
        <v>400</v>
      </c>
      <c r="AL441">
        <v>0</v>
      </c>
      <c r="AM441">
        <v>240</v>
      </c>
      <c r="AN441">
        <v>-48</v>
      </c>
      <c r="AO441">
        <v>0</v>
      </c>
      <c r="AP441">
        <v>120</v>
      </c>
      <c r="AQ441">
        <v>-36</v>
      </c>
      <c r="AR441">
        <v>0</v>
      </c>
      <c r="AS441">
        <v>120</v>
      </c>
      <c r="AT441">
        <v>-12</v>
      </c>
      <c r="AU441">
        <v>0</v>
      </c>
      <c r="AW441">
        <v>0</v>
      </c>
      <c r="AX441">
        <v>0</v>
      </c>
      <c r="AY441">
        <v>414.4</v>
      </c>
      <c r="BC441" t="str">
        <f t="shared" si="59"/>
        <v>9791166067563</v>
      </c>
      <c r="BE441" t="str">
        <f t="shared" si="60"/>
        <v>판타지 웹소설 &gt; 현대 판타지</v>
      </c>
    </row>
    <row r="442" spans="1:57" x14ac:dyDescent="0.3">
      <c r="A442">
        <v>2313011400</v>
      </c>
      <c r="B442">
        <v>1525007697</v>
      </c>
      <c r="C442" t="str">
        <f>T("최종 보스 24권 2화")</f>
        <v>최종 보스 24권 2화</v>
      </c>
      <c r="D442" t="str">
        <f>T("475")</f>
        <v>475</v>
      </c>
      <c r="E442" t="str">
        <f t="shared" si="56"/>
        <v>무장</v>
      </c>
      <c r="H442" t="str">
        <f t="shared" si="57"/>
        <v>스토리위즈</v>
      </c>
      <c r="I442" t="str">
        <f t="shared" si="58"/>
        <v>최종 보스 : 빛을 향해 달리는 그림자</v>
      </c>
      <c r="J442">
        <v>100</v>
      </c>
      <c r="K442">
        <v>600</v>
      </c>
      <c r="L442">
        <v>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600</v>
      </c>
      <c r="AH442">
        <v>6</v>
      </c>
      <c r="AI442">
        <v>0</v>
      </c>
      <c r="AJ442">
        <v>0</v>
      </c>
      <c r="AK442">
        <v>310</v>
      </c>
      <c r="AL442">
        <v>0</v>
      </c>
      <c r="AM442">
        <v>348</v>
      </c>
      <c r="AN442">
        <v>-56.4</v>
      </c>
      <c r="AO442">
        <v>0</v>
      </c>
      <c r="AP442">
        <v>108</v>
      </c>
      <c r="AQ442">
        <v>-32.4</v>
      </c>
      <c r="AR442">
        <v>0</v>
      </c>
      <c r="AS442">
        <v>240</v>
      </c>
      <c r="AT442">
        <v>-24</v>
      </c>
      <c r="AU442">
        <v>0</v>
      </c>
      <c r="AW442">
        <v>0</v>
      </c>
      <c r="AX442">
        <v>0</v>
      </c>
      <c r="AY442">
        <v>421.12</v>
      </c>
      <c r="BC442" t="str">
        <f t="shared" si="59"/>
        <v>9791166067563</v>
      </c>
      <c r="BE442" t="str">
        <f t="shared" si="60"/>
        <v>판타지 웹소설 &gt; 현대 판타지</v>
      </c>
    </row>
    <row r="443" spans="1:57" x14ac:dyDescent="0.3">
      <c r="A443">
        <v>2313011400</v>
      </c>
      <c r="B443">
        <v>1525007615</v>
      </c>
      <c r="C443" t="str">
        <f>T("최종 보스 19권 21화")</f>
        <v>최종 보스 19권 21화</v>
      </c>
      <c r="D443" t="str">
        <f>T("393")</f>
        <v>393</v>
      </c>
      <c r="E443" t="str">
        <f t="shared" si="56"/>
        <v>무장</v>
      </c>
      <c r="H443" t="str">
        <f t="shared" si="57"/>
        <v>스토리위즈</v>
      </c>
      <c r="I443" t="str">
        <f t="shared" si="58"/>
        <v>최종 보스 : 빛을 향해 달리는 그림자</v>
      </c>
      <c r="J443">
        <v>100</v>
      </c>
      <c r="K443">
        <v>600</v>
      </c>
      <c r="L443">
        <v>6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600</v>
      </c>
      <c r="AH443">
        <v>6</v>
      </c>
      <c r="AI443">
        <v>0</v>
      </c>
      <c r="AJ443">
        <v>0</v>
      </c>
      <c r="AK443">
        <v>400</v>
      </c>
      <c r="AL443">
        <v>0</v>
      </c>
      <c r="AM443">
        <v>240</v>
      </c>
      <c r="AN443">
        <v>-48</v>
      </c>
      <c r="AO443">
        <v>0</v>
      </c>
      <c r="AP443">
        <v>120</v>
      </c>
      <c r="AQ443">
        <v>-36</v>
      </c>
      <c r="AR443">
        <v>0</v>
      </c>
      <c r="AS443">
        <v>120</v>
      </c>
      <c r="AT443">
        <v>-12</v>
      </c>
      <c r="AU443">
        <v>0</v>
      </c>
      <c r="AW443">
        <v>0</v>
      </c>
      <c r="AX443">
        <v>0</v>
      </c>
      <c r="AY443">
        <v>414.4</v>
      </c>
      <c r="BC443" t="str">
        <f t="shared" si="59"/>
        <v>9791166067563</v>
      </c>
      <c r="BE443" t="str">
        <f t="shared" si="60"/>
        <v>판타지 웹소설 &gt; 현대 판타지</v>
      </c>
    </row>
    <row r="444" spans="1:57" x14ac:dyDescent="0.3">
      <c r="A444">
        <v>2313011400</v>
      </c>
      <c r="B444">
        <v>1525007672</v>
      </c>
      <c r="C444" t="str">
        <f>T("최종 보스 22권 17화")</f>
        <v>최종 보스 22권 17화</v>
      </c>
      <c r="D444" t="str">
        <f>T("450")</f>
        <v>450</v>
      </c>
      <c r="E444" t="str">
        <f t="shared" si="56"/>
        <v>무장</v>
      </c>
      <c r="H444" t="str">
        <f t="shared" si="57"/>
        <v>스토리위즈</v>
      </c>
      <c r="I444" t="str">
        <f t="shared" si="58"/>
        <v>최종 보스 : 빛을 향해 달리는 그림자</v>
      </c>
      <c r="J444">
        <v>100</v>
      </c>
      <c r="K444">
        <v>600</v>
      </c>
      <c r="L444">
        <v>6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600</v>
      </c>
      <c r="AH444">
        <v>6</v>
      </c>
      <c r="AI444">
        <v>0</v>
      </c>
      <c r="AJ444">
        <v>0</v>
      </c>
      <c r="AK444">
        <v>400</v>
      </c>
      <c r="AL444">
        <v>0</v>
      </c>
      <c r="AM444">
        <v>240</v>
      </c>
      <c r="AN444">
        <v>-48</v>
      </c>
      <c r="AO444">
        <v>0</v>
      </c>
      <c r="AQ444">
        <v>0</v>
      </c>
      <c r="AR444">
        <v>0</v>
      </c>
      <c r="AS444">
        <v>240</v>
      </c>
      <c r="AT444">
        <v>-48</v>
      </c>
      <c r="AU444">
        <v>0</v>
      </c>
      <c r="AW444">
        <v>0</v>
      </c>
      <c r="AX444">
        <v>0</v>
      </c>
      <c r="AY444">
        <v>414.4</v>
      </c>
      <c r="BC444" t="str">
        <f t="shared" si="59"/>
        <v>9791166067563</v>
      </c>
      <c r="BE444" t="str">
        <f t="shared" si="60"/>
        <v>판타지 웹소설 &gt; 현대 판타지</v>
      </c>
    </row>
    <row r="445" spans="1:57" x14ac:dyDescent="0.3">
      <c r="A445">
        <v>2313011400</v>
      </c>
      <c r="B445">
        <v>1525007729</v>
      </c>
      <c r="C445" t="str">
        <f>T("최종 보스 25권 14화")</f>
        <v>최종 보스 25권 14화</v>
      </c>
      <c r="D445" t="str">
        <f>T("507")</f>
        <v>507</v>
      </c>
      <c r="E445" t="str">
        <f t="shared" si="56"/>
        <v>무장</v>
      </c>
      <c r="H445" t="str">
        <f t="shared" si="57"/>
        <v>스토리위즈</v>
      </c>
      <c r="I445" t="str">
        <f t="shared" si="58"/>
        <v>최종 보스 : 빛을 향해 달리는 그림자</v>
      </c>
      <c r="J445">
        <v>100</v>
      </c>
      <c r="K445">
        <v>600</v>
      </c>
      <c r="L445">
        <v>6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600</v>
      </c>
      <c r="AH445">
        <v>6</v>
      </c>
      <c r="AI445">
        <v>0</v>
      </c>
      <c r="AJ445">
        <v>0</v>
      </c>
      <c r="AK445">
        <v>311</v>
      </c>
      <c r="AL445">
        <v>0</v>
      </c>
      <c r="AM445">
        <v>346.8</v>
      </c>
      <c r="AN445">
        <v>-56.04</v>
      </c>
      <c r="AO445">
        <v>0</v>
      </c>
      <c r="AP445">
        <v>106.8</v>
      </c>
      <c r="AQ445">
        <v>-32.04</v>
      </c>
      <c r="AR445">
        <v>0</v>
      </c>
      <c r="AS445">
        <v>240</v>
      </c>
      <c r="AT445">
        <v>-24</v>
      </c>
      <c r="AU445">
        <v>0</v>
      </c>
      <c r="AW445">
        <v>0</v>
      </c>
      <c r="AX445">
        <v>0</v>
      </c>
      <c r="AY445">
        <v>421.23</v>
      </c>
      <c r="BC445" t="str">
        <f t="shared" si="59"/>
        <v>9791166067563</v>
      </c>
      <c r="BE445" t="str">
        <f t="shared" si="60"/>
        <v>판타지 웹소설 &gt; 현대 판타지</v>
      </c>
    </row>
    <row r="446" spans="1:57" x14ac:dyDescent="0.3">
      <c r="A446">
        <v>2313011400</v>
      </c>
      <c r="B446">
        <v>1525007629</v>
      </c>
      <c r="C446" t="str">
        <f>T("최종 보스 20권 14화")</f>
        <v>최종 보스 20권 14화</v>
      </c>
      <c r="D446" t="str">
        <f>T("407")</f>
        <v>407</v>
      </c>
      <c r="E446" t="str">
        <f t="shared" si="56"/>
        <v>무장</v>
      </c>
      <c r="H446" t="str">
        <f t="shared" si="57"/>
        <v>스토리위즈</v>
      </c>
      <c r="I446" t="str">
        <f t="shared" si="58"/>
        <v>최종 보스 : 빛을 향해 달리는 그림자</v>
      </c>
      <c r="J446">
        <v>100</v>
      </c>
      <c r="K446">
        <v>600</v>
      </c>
      <c r="L446">
        <v>6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600</v>
      </c>
      <c r="AH446">
        <v>6</v>
      </c>
      <c r="AI446">
        <v>0</v>
      </c>
      <c r="AJ446">
        <v>0</v>
      </c>
      <c r="AK446">
        <v>400</v>
      </c>
      <c r="AL446">
        <v>0</v>
      </c>
      <c r="AM446">
        <v>240</v>
      </c>
      <c r="AN446">
        <v>-48</v>
      </c>
      <c r="AO446">
        <v>0</v>
      </c>
      <c r="AP446">
        <v>120</v>
      </c>
      <c r="AQ446">
        <v>-36</v>
      </c>
      <c r="AR446">
        <v>0</v>
      </c>
      <c r="AS446">
        <v>120</v>
      </c>
      <c r="AT446">
        <v>-12</v>
      </c>
      <c r="AU446">
        <v>0</v>
      </c>
      <c r="AW446">
        <v>0</v>
      </c>
      <c r="AX446">
        <v>0</v>
      </c>
      <c r="AY446">
        <v>414.4</v>
      </c>
      <c r="BC446" t="str">
        <f t="shared" si="59"/>
        <v>9791166067563</v>
      </c>
      <c r="BE446" t="str">
        <f t="shared" si="60"/>
        <v>판타지 웹소설 &gt; 현대 판타지</v>
      </c>
    </row>
    <row r="447" spans="1:57" x14ac:dyDescent="0.3">
      <c r="A447">
        <v>2313011400</v>
      </c>
      <c r="B447">
        <v>1525007686</v>
      </c>
      <c r="C447" t="str">
        <f>T("최종 보스 23권 11화")</f>
        <v>최종 보스 23권 11화</v>
      </c>
      <c r="D447" t="str">
        <f>T("464")</f>
        <v>464</v>
      </c>
      <c r="E447" t="str">
        <f t="shared" si="56"/>
        <v>무장</v>
      </c>
      <c r="H447" t="str">
        <f t="shared" si="57"/>
        <v>스토리위즈</v>
      </c>
      <c r="I447" t="str">
        <f t="shared" si="58"/>
        <v>최종 보스 : 빛을 향해 달리는 그림자</v>
      </c>
      <c r="J447">
        <v>100</v>
      </c>
      <c r="K447">
        <v>600</v>
      </c>
      <c r="L447">
        <v>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600</v>
      </c>
      <c r="AH447">
        <v>6</v>
      </c>
      <c r="AI447">
        <v>0</v>
      </c>
      <c r="AJ447">
        <v>0</v>
      </c>
      <c r="AK447">
        <v>310</v>
      </c>
      <c r="AL447">
        <v>0</v>
      </c>
      <c r="AM447">
        <v>348</v>
      </c>
      <c r="AN447">
        <v>-56.4</v>
      </c>
      <c r="AO447">
        <v>0</v>
      </c>
      <c r="AP447">
        <v>108</v>
      </c>
      <c r="AQ447">
        <v>-32.4</v>
      </c>
      <c r="AR447">
        <v>0</v>
      </c>
      <c r="AS447">
        <v>240</v>
      </c>
      <c r="AT447">
        <v>-24</v>
      </c>
      <c r="AU447">
        <v>0</v>
      </c>
      <c r="AW447">
        <v>0</v>
      </c>
      <c r="AX447">
        <v>0</v>
      </c>
      <c r="AY447">
        <v>421.12</v>
      </c>
      <c r="BC447" t="str">
        <f t="shared" si="59"/>
        <v>9791166067563</v>
      </c>
      <c r="BE447" t="str">
        <f t="shared" si="60"/>
        <v>판타지 웹소설 &gt; 현대 판타지</v>
      </c>
    </row>
    <row r="448" spans="1:57" x14ac:dyDescent="0.3">
      <c r="A448">
        <v>2313011400</v>
      </c>
      <c r="B448">
        <v>1525007604</v>
      </c>
      <c r="C448" t="str">
        <f>T("최종 보스 19권 10화")</f>
        <v>최종 보스 19권 10화</v>
      </c>
      <c r="D448" t="str">
        <f>T("382")</f>
        <v>382</v>
      </c>
      <c r="E448" t="str">
        <f t="shared" si="56"/>
        <v>무장</v>
      </c>
      <c r="H448" t="str">
        <f t="shared" si="57"/>
        <v>스토리위즈</v>
      </c>
      <c r="I448" t="str">
        <f t="shared" si="58"/>
        <v>최종 보스 : 빛을 향해 달리는 그림자</v>
      </c>
      <c r="J448">
        <v>100</v>
      </c>
      <c r="K448">
        <v>600</v>
      </c>
      <c r="L448">
        <v>6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600</v>
      </c>
      <c r="AH448">
        <v>6</v>
      </c>
      <c r="AI448">
        <v>0</v>
      </c>
      <c r="AJ448">
        <v>0</v>
      </c>
      <c r="AK448">
        <v>400</v>
      </c>
      <c r="AL448">
        <v>0</v>
      </c>
      <c r="AM448">
        <v>240</v>
      </c>
      <c r="AN448">
        <v>-48</v>
      </c>
      <c r="AO448">
        <v>0</v>
      </c>
      <c r="AP448">
        <v>120</v>
      </c>
      <c r="AQ448">
        <v>-36</v>
      </c>
      <c r="AR448">
        <v>0</v>
      </c>
      <c r="AS448">
        <v>120</v>
      </c>
      <c r="AT448">
        <v>-12</v>
      </c>
      <c r="AU448">
        <v>0</v>
      </c>
      <c r="AW448">
        <v>0</v>
      </c>
      <c r="AX448">
        <v>0</v>
      </c>
      <c r="AY448">
        <v>414.4</v>
      </c>
      <c r="BC448" t="str">
        <f t="shared" si="59"/>
        <v>9791166067563</v>
      </c>
      <c r="BE448" t="str">
        <f t="shared" si="60"/>
        <v>판타지 웹소설 &gt; 현대 판타지</v>
      </c>
    </row>
    <row r="449" spans="1:57" x14ac:dyDescent="0.3">
      <c r="A449">
        <v>2313011400</v>
      </c>
      <c r="B449">
        <v>1525007661</v>
      </c>
      <c r="C449" t="str">
        <f>T("최종 보스 22권 6화")</f>
        <v>최종 보스 22권 6화</v>
      </c>
      <c r="D449" t="str">
        <f>T("439")</f>
        <v>439</v>
      </c>
      <c r="E449" t="str">
        <f t="shared" si="56"/>
        <v>무장</v>
      </c>
      <c r="H449" t="str">
        <f t="shared" si="57"/>
        <v>스토리위즈</v>
      </c>
      <c r="I449" t="str">
        <f t="shared" si="58"/>
        <v>최종 보스 : 빛을 향해 달리는 그림자</v>
      </c>
      <c r="J449">
        <v>100</v>
      </c>
      <c r="K449">
        <v>600</v>
      </c>
      <c r="L449">
        <v>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600</v>
      </c>
      <c r="AH449">
        <v>6</v>
      </c>
      <c r="AI449">
        <v>0</v>
      </c>
      <c r="AJ449">
        <v>0</v>
      </c>
      <c r="AK449">
        <v>400</v>
      </c>
      <c r="AL449">
        <v>0</v>
      </c>
      <c r="AM449">
        <v>240</v>
      </c>
      <c r="AN449">
        <v>-48</v>
      </c>
      <c r="AO449">
        <v>0</v>
      </c>
      <c r="AQ449">
        <v>0</v>
      </c>
      <c r="AR449">
        <v>0</v>
      </c>
      <c r="AS449">
        <v>240</v>
      </c>
      <c r="AT449">
        <v>-48</v>
      </c>
      <c r="AU449">
        <v>0</v>
      </c>
      <c r="AW449">
        <v>0</v>
      </c>
      <c r="AX449">
        <v>0</v>
      </c>
      <c r="AY449">
        <v>414.4</v>
      </c>
      <c r="BC449" t="str">
        <f t="shared" si="59"/>
        <v>9791166067563</v>
      </c>
      <c r="BE449" t="str">
        <f t="shared" si="60"/>
        <v>판타지 웹소설 &gt; 현대 판타지</v>
      </c>
    </row>
    <row r="450" spans="1:57" x14ac:dyDescent="0.3">
      <c r="A450">
        <v>2313011400</v>
      </c>
      <c r="B450">
        <v>1525007718</v>
      </c>
      <c r="C450" t="str">
        <f>T("최종 보스 25권 3화")</f>
        <v>최종 보스 25권 3화</v>
      </c>
      <c r="D450" t="str">
        <f>T("496")</f>
        <v>496</v>
      </c>
      <c r="E450" t="str">
        <f t="shared" si="56"/>
        <v>무장</v>
      </c>
      <c r="H450" t="str">
        <f t="shared" si="57"/>
        <v>스토리위즈</v>
      </c>
      <c r="I450" t="str">
        <f t="shared" si="58"/>
        <v>최종 보스 : 빛을 향해 달리는 그림자</v>
      </c>
      <c r="J450">
        <v>100</v>
      </c>
      <c r="K450">
        <v>600</v>
      </c>
      <c r="L450">
        <v>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600</v>
      </c>
      <c r="AH450">
        <v>6</v>
      </c>
      <c r="AI450">
        <v>0</v>
      </c>
      <c r="AJ450">
        <v>0</v>
      </c>
      <c r="AK450">
        <v>311</v>
      </c>
      <c r="AL450">
        <v>0</v>
      </c>
      <c r="AM450">
        <v>346.8</v>
      </c>
      <c r="AN450">
        <v>-56.04</v>
      </c>
      <c r="AO450">
        <v>0</v>
      </c>
      <c r="AP450">
        <v>106.8</v>
      </c>
      <c r="AQ450">
        <v>-32.04</v>
      </c>
      <c r="AR450">
        <v>0</v>
      </c>
      <c r="AS450">
        <v>240</v>
      </c>
      <c r="AT450">
        <v>-24</v>
      </c>
      <c r="AU450">
        <v>0</v>
      </c>
      <c r="AW450">
        <v>0</v>
      </c>
      <c r="AX450">
        <v>0</v>
      </c>
      <c r="AY450">
        <v>421.23</v>
      </c>
      <c r="BC450" t="str">
        <f t="shared" si="59"/>
        <v>9791166067563</v>
      </c>
      <c r="BE450" t="str">
        <f t="shared" si="60"/>
        <v>판타지 웹소설 &gt; 현대 판타지</v>
      </c>
    </row>
    <row r="451" spans="1:57" x14ac:dyDescent="0.3">
      <c r="A451">
        <v>2313011400</v>
      </c>
      <c r="B451">
        <v>1525007593</v>
      </c>
      <c r="C451" t="str">
        <f>T("최종 보스 18권 19화")</f>
        <v>최종 보스 18권 19화</v>
      </c>
      <c r="D451" t="str">
        <f>T("371")</f>
        <v>371</v>
      </c>
      <c r="E451" t="str">
        <f t="shared" si="56"/>
        <v>무장</v>
      </c>
      <c r="H451" t="str">
        <f t="shared" si="57"/>
        <v>스토리위즈</v>
      </c>
      <c r="I451" t="str">
        <f t="shared" si="58"/>
        <v>최종 보스 : 빛을 향해 달리는 그림자</v>
      </c>
      <c r="J451">
        <v>100</v>
      </c>
      <c r="K451">
        <v>600</v>
      </c>
      <c r="L451">
        <v>6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600</v>
      </c>
      <c r="AH451">
        <v>6</v>
      </c>
      <c r="AI451">
        <v>0</v>
      </c>
      <c r="AJ451">
        <v>0</v>
      </c>
      <c r="AK451">
        <v>400</v>
      </c>
      <c r="AL451">
        <v>0</v>
      </c>
      <c r="AM451">
        <v>240</v>
      </c>
      <c r="AN451">
        <v>-48</v>
      </c>
      <c r="AO451">
        <v>0</v>
      </c>
      <c r="AP451">
        <v>120</v>
      </c>
      <c r="AQ451">
        <v>-36</v>
      </c>
      <c r="AR451">
        <v>0</v>
      </c>
      <c r="AS451">
        <v>120</v>
      </c>
      <c r="AT451">
        <v>-12</v>
      </c>
      <c r="AU451">
        <v>0</v>
      </c>
      <c r="AW451">
        <v>0</v>
      </c>
      <c r="AX451">
        <v>0</v>
      </c>
      <c r="AY451">
        <v>414.4</v>
      </c>
      <c r="BC451" t="str">
        <f t="shared" si="59"/>
        <v>9791166067563</v>
      </c>
      <c r="BE451" t="str">
        <f t="shared" si="60"/>
        <v>판타지 웹소설 &gt; 현대 판타지</v>
      </c>
    </row>
    <row r="452" spans="1:57" x14ac:dyDescent="0.3">
      <c r="A452">
        <v>2313011400</v>
      </c>
      <c r="B452">
        <v>1525007650</v>
      </c>
      <c r="C452" t="str">
        <f>T("최종 보스 21권 15화")</f>
        <v>최종 보스 21권 15화</v>
      </c>
      <c r="D452" t="str">
        <f>T("428")</f>
        <v>428</v>
      </c>
      <c r="E452" t="str">
        <f t="shared" si="56"/>
        <v>무장</v>
      </c>
      <c r="H452" t="str">
        <f t="shared" si="57"/>
        <v>스토리위즈</v>
      </c>
      <c r="I452" t="str">
        <f t="shared" si="58"/>
        <v>최종 보스 : 빛을 향해 달리는 그림자</v>
      </c>
      <c r="J452">
        <v>100</v>
      </c>
      <c r="K452">
        <v>600</v>
      </c>
      <c r="L452">
        <v>6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600</v>
      </c>
      <c r="AH452">
        <v>6</v>
      </c>
      <c r="AI452">
        <v>0</v>
      </c>
      <c r="AJ452">
        <v>0</v>
      </c>
      <c r="AK452">
        <v>400</v>
      </c>
      <c r="AL452">
        <v>0</v>
      </c>
      <c r="AM452">
        <v>240</v>
      </c>
      <c r="AN452">
        <v>-48</v>
      </c>
      <c r="AO452">
        <v>0</v>
      </c>
      <c r="AQ452">
        <v>0</v>
      </c>
      <c r="AR452">
        <v>0</v>
      </c>
      <c r="AS452">
        <v>240</v>
      </c>
      <c r="AT452">
        <v>-48</v>
      </c>
      <c r="AU452">
        <v>0</v>
      </c>
      <c r="AW452">
        <v>0</v>
      </c>
      <c r="AX452">
        <v>0</v>
      </c>
      <c r="AY452">
        <v>414.4</v>
      </c>
      <c r="BC452" t="str">
        <f t="shared" si="59"/>
        <v>9791166067563</v>
      </c>
      <c r="BE452" t="str">
        <f t="shared" si="60"/>
        <v>판타지 웹소설 &gt; 현대 판타지</v>
      </c>
    </row>
    <row r="453" spans="1:57" x14ac:dyDescent="0.3">
      <c r="A453">
        <v>2313011400</v>
      </c>
      <c r="B453">
        <v>1525007582</v>
      </c>
      <c r="C453" t="str">
        <f>T("최종 보스 18권 8화")</f>
        <v>최종 보스 18권 8화</v>
      </c>
      <c r="D453" t="str">
        <f>T("360")</f>
        <v>360</v>
      </c>
      <c r="E453" t="str">
        <f t="shared" si="56"/>
        <v>무장</v>
      </c>
      <c r="H453" t="str">
        <f t="shared" si="57"/>
        <v>스토리위즈</v>
      </c>
      <c r="I453" t="str">
        <f t="shared" si="58"/>
        <v>최종 보스 : 빛을 향해 달리는 그림자</v>
      </c>
      <c r="J453">
        <v>100</v>
      </c>
      <c r="K453">
        <v>600</v>
      </c>
      <c r="L453">
        <v>6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600</v>
      </c>
      <c r="AH453">
        <v>6</v>
      </c>
      <c r="AI453">
        <v>0</v>
      </c>
      <c r="AJ453">
        <v>0</v>
      </c>
      <c r="AK453">
        <v>400</v>
      </c>
      <c r="AL453">
        <v>0</v>
      </c>
      <c r="AM453">
        <v>240</v>
      </c>
      <c r="AN453">
        <v>-48</v>
      </c>
      <c r="AO453">
        <v>0</v>
      </c>
      <c r="AP453">
        <v>120</v>
      </c>
      <c r="AQ453">
        <v>-36</v>
      </c>
      <c r="AR453">
        <v>0</v>
      </c>
      <c r="AS453">
        <v>120</v>
      </c>
      <c r="AT453">
        <v>-12</v>
      </c>
      <c r="AU453">
        <v>0</v>
      </c>
      <c r="AW453">
        <v>0</v>
      </c>
      <c r="AX453">
        <v>0</v>
      </c>
      <c r="AY453">
        <v>414.4</v>
      </c>
      <c r="BC453" t="str">
        <f t="shared" si="59"/>
        <v>9791166067563</v>
      </c>
      <c r="BE453" t="str">
        <f t="shared" si="60"/>
        <v>판타지 웹소설 &gt; 현대 판타지</v>
      </c>
    </row>
    <row r="454" spans="1:57" x14ac:dyDescent="0.3">
      <c r="A454">
        <v>2313011400</v>
      </c>
      <c r="B454">
        <v>1525007639</v>
      </c>
      <c r="C454" t="str">
        <f>T("최종 보스 21권 4화")</f>
        <v>최종 보스 21권 4화</v>
      </c>
      <c r="D454" t="str">
        <f>T("417")</f>
        <v>417</v>
      </c>
      <c r="E454" t="str">
        <f t="shared" si="56"/>
        <v>무장</v>
      </c>
      <c r="H454" t="str">
        <f t="shared" si="57"/>
        <v>스토리위즈</v>
      </c>
      <c r="I454" t="str">
        <f t="shared" si="58"/>
        <v>최종 보스 : 빛을 향해 달리는 그림자</v>
      </c>
      <c r="J454">
        <v>100</v>
      </c>
      <c r="K454">
        <v>600</v>
      </c>
      <c r="L454">
        <v>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600</v>
      </c>
      <c r="AH454">
        <v>6</v>
      </c>
      <c r="AI454">
        <v>0</v>
      </c>
      <c r="AJ454">
        <v>0</v>
      </c>
      <c r="AK454">
        <v>400</v>
      </c>
      <c r="AL454">
        <v>0</v>
      </c>
      <c r="AM454">
        <v>240</v>
      </c>
      <c r="AN454">
        <v>-48</v>
      </c>
      <c r="AO454">
        <v>0</v>
      </c>
      <c r="AP454">
        <v>120</v>
      </c>
      <c r="AQ454">
        <v>-36</v>
      </c>
      <c r="AR454">
        <v>0</v>
      </c>
      <c r="AS454">
        <v>120</v>
      </c>
      <c r="AT454">
        <v>-12</v>
      </c>
      <c r="AU454">
        <v>0</v>
      </c>
      <c r="AW454">
        <v>0</v>
      </c>
      <c r="AX454">
        <v>0</v>
      </c>
      <c r="AY454">
        <v>414.4</v>
      </c>
      <c r="BC454" t="str">
        <f t="shared" si="59"/>
        <v>9791166067563</v>
      </c>
      <c r="BE454" t="str">
        <f t="shared" si="60"/>
        <v>판타지 웹소설 &gt; 현대 판타지</v>
      </c>
    </row>
    <row r="455" spans="1:57" x14ac:dyDescent="0.3">
      <c r="A455">
        <v>2313011400</v>
      </c>
      <c r="B455">
        <v>1525007696</v>
      </c>
      <c r="C455" t="str">
        <f>T("최종 보스 24권 1화")</f>
        <v>최종 보스 24권 1화</v>
      </c>
      <c r="D455" t="str">
        <f>T("474")</f>
        <v>474</v>
      </c>
      <c r="E455" t="str">
        <f t="shared" si="56"/>
        <v>무장</v>
      </c>
      <c r="H455" t="str">
        <f t="shared" si="57"/>
        <v>스토리위즈</v>
      </c>
      <c r="I455" t="str">
        <f t="shared" si="58"/>
        <v>최종 보스 : 빛을 향해 달리는 그림자</v>
      </c>
      <c r="J455">
        <v>100</v>
      </c>
      <c r="K455">
        <v>600</v>
      </c>
      <c r="L455">
        <v>6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600</v>
      </c>
      <c r="AH455">
        <v>6</v>
      </c>
      <c r="AI455">
        <v>0</v>
      </c>
      <c r="AJ455">
        <v>0</v>
      </c>
      <c r="AK455">
        <v>310</v>
      </c>
      <c r="AL455">
        <v>0</v>
      </c>
      <c r="AM455">
        <v>348</v>
      </c>
      <c r="AN455">
        <v>-56.4</v>
      </c>
      <c r="AO455">
        <v>0</v>
      </c>
      <c r="AP455">
        <v>108</v>
      </c>
      <c r="AQ455">
        <v>-32.4</v>
      </c>
      <c r="AR455">
        <v>0</v>
      </c>
      <c r="AS455">
        <v>240</v>
      </c>
      <c r="AT455">
        <v>-24</v>
      </c>
      <c r="AU455">
        <v>0</v>
      </c>
      <c r="AW455">
        <v>0</v>
      </c>
      <c r="AX455">
        <v>0</v>
      </c>
      <c r="AY455">
        <v>421.12</v>
      </c>
      <c r="BC455" t="str">
        <f t="shared" si="59"/>
        <v>9791166067563</v>
      </c>
      <c r="BE455" t="str">
        <f t="shared" si="60"/>
        <v>판타지 웹소설 &gt; 현대 판타지</v>
      </c>
    </row>
    <row r="456" spans="1:57" x14ac:dyDescent="0.3">
      <c r="A456">
        <v>2313011400</v>
      </c>
      <c r="B456">
        <v>1525007614</v>
      </c>
      <c r="C456" t="str">
        <f>T("최종 보스 19권 20화")</f>
        <v>최종 보스 19권 20화</v>
      </c>
      <c r="D456" t="str">
        <f>T("392")</f>
        <v>392</v>
      </c>
      <c r="E456" t="str">
        <f t="shared" si="56"/>
        <v>무장</v>
      </c>
      <c r="H456" t="str">
        <f t="shared" si="57"/>
        <v>스토리위즈</v>
      </c>
      <c r="I456" t="str">
        <f t="shared" si="58"/>
        <v>최종 보스 : 빛을 향해 달리는 그림자</v>
      </c>
      <c r="J456">
        <v>100</v>
      </c>
      <c r="K456">
        <v>600</v>
      </c>
      <c r="L456">
        <v>6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600</v>
      </c>
      <c r="AH456">
        <v>6</v>
      </c>
      <c r="AI456">
        <v>0</v>
      </c>
      <c r="AJ456">
        <v>0</v>
      </c>
      <c r="AK456">
        <v>400</v>
      </c>
      <c r="AL456">
        <v>0</v>
      </c>
      <c r="AM456">
        <v>240</v>
      </c>
      <c r="AN456">
        <v>-48</v>
      </c>
      <c r="AO456">
        <v>0</v>
      </c>
      <c r="AP456">
        <v>120</v>
      </c>
      <c r="AQ456">
        <v>-36</v>
      </c>
      <c r="AR456">
        <v>0</v>
      </c>
      <c r="AS456">
        <v>120</v>
      </c>
      <c r="AT456">
        <v>-12</v>
      </c>
      <c r="AU456">
        <v>0</v>
      </c>
      <c r="AW456">
        <v>0</v>
      </c>
      <c r="AX456">
        <v>0</v>
      </c>
      <c r="AY456">
        <v>414.4</v>
      </c>
      <c r="BC456" t="str">
        <f t="shared" si="59"/>
        <v>9791166067563</v>
      </c>
      <c r="BE456" t="str">
        <f t="shared" si="60"/>
        <v>판타지 웹소설 &gt; 현대 판타지</v>
      </c>
    </row>
    <row r="457" spans="1:57" x14ac:dyDescent="0.3">
      <c r="A457">
        <v>2313011400</v>
      </c>
      <c r="B457">
        <v>1525007671</v>
      </c>
      <c r="C457" t="str">
        <f>T("최종 보스 22권 16화")</f>
        <v>최종 보스 22권 16화</v>
      </c>
      <c r="D457" t="str">
        <f>T("449")</f>
        <v>449</v>
      </c>
      <c r="E457" t="str">
        <f t="shared" si="56"/>
        <v>무장</v>
      </c>
      <c r="H457" t="str">
        <f t="shared" si="57"/>
        <v>스토리위즈</v>
      </c>
      <c r="I457" t="str">
        <f t="shared" si="58"/>
        <v>최종 보스 : 빛을 향해 달리는 그림자</v>
      </c>
      <c r="J457">
        <v>100</v>
      </c>
      <c r="K457">
        <v>600</v>
      </c>
      <c r="L457">
        <v>6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600</v>
      </c>
      <c r="AH457">
        <v>6</v>
      </c>
      <c r="AI457">
        <v>0</v>
      </c>
      <c r="AJ457">
        <v>0</v>
      </c>
      <c r="AK457">
        <v>400</v>
      </c>
      <c r="AL457">
        <v>0</v>
      </c>
      <c r="AM457">
        <v>240</v>
      </c>
      <c r="AN457">
        <v>-48</v>
      </c>
      <c r="AO457">
        <v>0</v>
      </c>
      <c r="AQ457">
        <v>0</v>
      </c>
      <c r="AR457">
        <v>0</v>
      </c>
      <c r="AS457">
        <v>240</v>
      </c>
      <c r="AT457">
        <v>-48</v>
      </c>
      <c r="AU457">
        <v>0</v>
      </c>
      <c r="AW457">
        <v>0</v>
      </c>
      <c r="AX457">
        <v>0</v>
      </c>
      <c r="AY457">
        <v>414.4</v>
      </c>
      <c r="BC457" t="str">
        <f t="shared" si="59"/>
        <v>9791166067563</v>
      </c>
      <c r="BE457" t="str">
        <f t="shared" si="60"/>
        <v>판타지 웹소설 &gt; 현대 판타지</v>
      </c>
    </row>
    <row r="458" spans="1:57" x14ac:dyDescent="0.3">
      <c r="A458">
        <v>2313011400</v>
      </c>
      <c r="B458">
        <v>1525007728</v>
      </c>
      <c r="C458" t="str">
        <f>T("최종 보스 25권 13화")</f>
        <v>최종 보스 25권 13화</v>
      </c>
      <c r="D458" t="str">
        <f>T("506")</f>
        <v>506</v>
      </c>
      <c r="E458" t="str">
        <f t="shared" si="56"/>
        <v>무장</v>
      </c>
      <c r="H458" t="str">
        <f t="shared" si="57"/>
        <v>스토리위즈</v>
      </c>
      <c r="I458" t="str">
        <f t="shared" si="58"/>
        <v>최종 보스 : 빛을 향해 달리는 그림자</v>
      </c>
      <c r="J458">
        <v>100</v>
      </c>
      <c r="K458">
        <v>600</v>
      </c>
      <c r="L458">
        <v>6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600</v>
      </c>
      <c r="AH458">
        <v>6</v>
      </c>
      <c r="AI458">
        <v>0</v>
      </c>
      <c r="AJ458">
        <v>0</v>
      </c>
      <c r="AK458">
        <v>311</v>
      </c>
      <c r="AL458">
        <v>0</v>
      </c>
      <c r="AM458">
        <v>346.8</v>
      </c>
      <c r="AN458">
        <v>-56.04</v>
      </c>
      <c r="AO458">
        <v>0</v>
      </c>
      <c r="AP458">
        <v>106.8</v>
      </c>
      <c r="AQ458">
        <v>-32.04</v>
      </c>
      <c r="AR458">
        <v>0</v>
      </c>
      <c r="AS458">
        <v>240</v>
      </c>
      <c r="AT458">
        <v>-24</v>
      </c>
      <c r="AU458">
        <v>0</v>
      </c>
      <c r="AW458">
        <v>0</v>
      </c>
      <c r="AX458">
        <v>0</v>
      </c>
      <c r="AY458">
        <v>421.23</v>
      </c>
      <c r="BC458" t="str">
        <f t="shared" si="59"/>
        <v>9791166067563</v>
      </c>
      <c r="BE458" t="str">
        <f t="shared" si="60"/>
        <v>판타지 웹소설 &gt; 현대 판타지</v>
      </c>
    </row>
    <row r="459" spans="1:57" x14ac:dyDescent="0.3">
      <c r="A459">
        <v>2313011400</v>
      </c>
      <c r="B459">
        <v>1525007628</v>
      </c>
      <c r="C459" t="str">
        <f>T("최종 보스 20권 13화")</f>
        <v>최종 보스 20권 13화</v>
      </c>
      <c r="D459" t="str">
        <f>T("406")</f>
        <v>406</v>
      </c>
      <c r="E459" t="str">
        <f t="shared" si="56"/>
        <v>무장</v>
      </c>
      <c r="H459" t="str">
        <f t="shared" si="57"/>
        <v>스토리위즈</v>
      </c>
      <c r="I459" t="str">
        <f t="shared" si="58"/>
        <v>최종 보스 : 빛을 향해 달리는 그림자</v>
      </c>
      <c r="J459">
        <v>100</v>
      </c>
      <c r="K459">
        <v>600</v>
      </c>
      <c r="L459">
        <v>6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600</v>
      </c>
      <c r="AH459">
        <v>6</v>
      </c>
      <c r="AI459">
        <v>0</v>
      </c>
      <c r="AJ459">
        <v>0</v>
      </c>
      <c r="AK459">
        <v>400</v>
      </c>
      <c r="AL459">
        <v>0</v>
      </c>
      <c r="AM459">
        <v>240</v>
      </c>
      <c r="AN459">
        <v>-48</v>
      </c>
      <c r="AO459">
        <v>0</v>
      </c>
      <c r="AP459">
        <v>120</v>
      </c>
      <c r="AQ459">
        <v>-36</v>
      </c>
      <c r="AR459">
        <v>0</v>
      </c>
      <c r="AS459">
        <v>120</v>
      </c>
      <c r="AT459">
        <v>-12</v>
      </c>
      <c r="AU459">
        <v>0</v>
      </c>
      <c r="AW459">
        <v>0</v>
      </c>
      <c r="AX459">
        <v>0</v>
      </c>
      <c r="AY459">
        <v>414.4</v>
      </c>
      <c r="BC459" t="str">
        <f t="shared" si="59"/>
        <v>9791166067563</v>
      </c>
      <c r="BE459" t="str">
        <f t="shared" si="60"/>
        <v>판타지 웹소설 &gt; 현대 판타지</v>
      </c>
    </row>
    <row r="460" spans="1:57" x14ac:dyDescent="0.3">
      <c r="A460">
        <v>2313011400</v>
      </c>
      <c r="B460">
        <v>1525007685</v>
      </c>
      <c r="C460" t="str">
        <f>T("최종 보스 23권 10화")</f>
        <v>최종 보스 23권 10화</v>
      </c>
      <c r="D460" t="str">
        <f>T("463")</f>
        <v>463</v>
      </c>
      <c r="E460" t="str">
        <f t="shared" si="56"/>
        <v>무장</v>
      </c>
      <c r="H460" t="str">
        <f t="shared" si="57"/>
        <v>스토리위즈</v>
      </c>
      <c r="I460" t="str">
        <f t="shared" si="58"/>
        <v>최종 보스 : 빛을 향해 달리는 그림자</v>
      </c>
      <c r="J460">
        <v>100</v>
      </c>
      <c r="K460">
        <v>600</v>
      </c>
      <c r="L460">
        <v>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600</v>
      </c>
      <c r="AH460">
        <v>6</v>
      </c>
      <c r="AI460">
        <v>0</v>
      </c>
      <c r="AJ460">
        <v>0</v>
      </c>
      <c r="AK460">
        <v>310</v>
      </c>
      <c r="AL460">
        <v>0</v>
      </c>
      <c r="AM460">
        <v>348</v>
      </c>
      <c r="AN460">
        <v>-56.4</v>
      </c>
      <c r="AO460">
        <v>0</v>
      </c>
      <c r="AP460">
        <v>108</v>
      </c>
      <c r="AQ460">
        <v>-32.4</v>
      </c>
      <c r="AR460">
        <v>0</v>
      </c>
      <c r="AS460">
        <v>240</v>
      </c>
      <c r="AT460">
        <v>-24</v>
      </c>
      <c r="AU460">
        <v>0</v>
      </c>
      <c r="AW460">
        <v>0</v>
      </c>
      <c r="AX460">
        <v>0</v>
      </c>
      <c r="AY460">
        <v>421.12</v>
      </c>
      <c r="BC460" t="str">
        <f t="shared" si="59"/>
        <v>9791166067563</v>
      </c>
      <c r="BE460" t="str">
        <f t="shared" si="60"/>
        <v>판타지 웹소설 &gt; 현대 판타지</v>
      </c>
    </row>
    <row r="461" spans="1:57" x14ac:dyDescent="0.3">
      <c r="A461">
        <v>2313011400</v>
      </c>
      <c r="B461">
        <v>1525007603</v>
      </c>
      <c r="C461" t="str">
        <f>T("최종 보스 19권 9화")</f>
        <v>최종 보스 19권 9화</v>
      </c>
      <c r="D461" t="str">
        <f>T("381")</f>
        <v>381</v>
      </c>
      <c r="E461" t="str">
        <f t="shared" si="56"/>
        <v>무장</v>
      </c>
      <c r="H461" t="str">
        <f t="shared" si="57"/>
        <v>스토리위즈</v>
      </c>
      <c r="I461" t="str">
        <f t="shared" si="58"/>
        <v>최종 보스 : 빛을 향해 달리는 그림자</v>
      </c>
      <c r="J461">
        <v>100</v>
      </c>
      <c r="K461">
        <v>600</v>
      </c>
      <c r="L461">
        <v>6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600</v>
      </c>
      <c r="AH461">
        <v>6</v>
      </c>
      <c r="AI461">
        <v>0</v>
      </c>
      <c r="AJ461">
        <v>0</v>
      </c>
      <c r="AK461">
        <v>400</v>
      </c>
      <c r="AL461">
        <v>0</v>
      </c>
      <c r="AM461">
        <v>240</v>
      </c>
      <c r="AN461">
        <v>-48</v>
      </c>
      <c r="AO461">
        <v>0</v>
      </c>
      <c r="AP461">
        <v>120</v>
      </c>
      <c r="AQ461">
        <v>-36</v>
      </c>
      <c r="AR461">
        <v>0</v>
      </c>
      <c r="AS461">
        <v>120</v>
      </c>
      <c r="AT461">
        <v>-12</v>
      </c>
      <c r="AU461">
        <v>0</v>
      </c>
      <c r="AW461">
        <v>0</v>
      </c>
      <c r="AX461">
        <v>0</v>
      </c>
      <c r="AY461">
        <v>414.4</v>
      </c>
      <c r="BC461" t="str">
        <f t="shared" si="59"/>
        <v>9791166067563</v>
      </c>
      <c r="BE461" t="str">
        <f t="shared" si="60"/>
        <v>판타지 웹소설 &gt; 현대 판타지</v>
      </c>
    </row>
    <row r="462" spans="1:57" x14ac:dyDescent="0.3">
      <c r="A462">
        <v>2313011400</v>
      </c>
      <c r="B462">
        <v>1525007660</v>
      </c>
      <c r="C462" t="str">
        <f>T("최종 보스 22권 5화")</f>
        <v>최종 보스 22권 5화</v>
      </c>
      <c r="D462" t="str">
        <f>T("438")</f>
        <v>438</v>
      </c>
      <c r="E462" t="str">
        <f t="shared" si="56"/>
        <v>무장</v>
      </c>
      <c r="H462" t="str">
        <f t="shared" si="57"/>
        <v>스토리위즈</v>
      </c>
      <c r="I462" t="str">
        <f t="shared" si="58"/>
        <v>최종 보스 : 빛을 향해 달리는 그림자</v>
      </c>
      <c r="J462">
        <v>100</v>
      </c>
      <c r="K462">
        <v>600</v>
      </c>
      <c r="L462">
        <v>6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600</v>
      </c>
      <c r="AH462">
        <v>6</v>
      </c>
      <c r="AI462">
        <v>0</v>
      </c>
      <c r="AJ462">
        <v>0</v>
      </c>
      <c r="AK462">
        <v>400</v>
      </c>
      <c r="AL462">
        <v>0</v>
      </c>
      <c r="AM462">
        <v>240</v>
      </c>
      <c r="AN462">
        <v>-48</v>
      </c>
      <c r="AO462">
        <v>0</v>
      </c>
      <c r="AQ462">
        <v>0</v>
      </c>
      <c r="AR462">
        <v>0</v>
      </c>
      <c r="AS462">
        <v>240</v>
      </c>
      <c r="AT462">
        <v>-48</v>
      </c>
      <c r="AU462">
        <v>0</v>
      </c>
      <c r="AW462">
        <v>0</v>
      </c>
      <c r="AX462">
        <v>0</v>
      </c>
      <c r="AY462">
        <v>414.4</v>
      </c>
      <c r="BC462" t="str">
        <f t="shared" si="59"/>
        <v>9791166067563</v>
      </c>
      <c r="BE462" t="str">
        <f t="shared" si="60"/>
        <v>판타지 웹소설 &gt; 현대 판타지</v>
      </c>
    </row>
    <row r="463" spans="1:57" x14ac:dyDescent="0.3">
      <c r="A463">
        <v>2313011400</v>
      </c>
      <c r="B463">
        <v>1525007717</v>
      </c>
      <c r="C463" t="str">
        <f>T("최종 보스 25권 2화")</f>
        <v>최종 보스 25권 2화</v>
      </c>
      <c r="D463" t="str">
        <f>T("495")</f>
        <v>495</v>
      </c>
      <c r="E463" t="str">
        <f t="shared" si="56"/>
        <v>무장</v>
      </c>
      <c r="H463" t="str">
        <f t="shared" si="57"/>
        <v>스토리위즈</v>
      </c>
      <c r="I463" t="str">
        <f t="shared" si="58"/>
        <v>최종 보스 : 빛을 향해 달리는 그림자</v>
      </c>
      <c r="J463">
        <v>100</v>
      </c>
      <c r="K463">
        <v>600</v>
      </c>
      <c r="L463">
        <v>6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600</v>
      </c>
      <c r="AH463">
        <v>6</v>
      </c>
      <c r="AI463">
        <v>0</v>
      </c>
      <c r="AJ463">
        <v>0</v>
      </c>
      <c r="AK463">
        <v>311</v>
      </c>
      <c r="AL463">
        <v>0</v>
      </c>
      <c r="AM463">
        <v>346.8</v>
      </c>
      <c r="AN463">
        <v>-56.04</v>
      </c>
      <c r="AO463">
        <v>0</v>
      </c>
      <c r="AP463">
        <v>106.8</v>
      </c>
      <c r="AQ463">
        <v>-32.04</v>
      </c>
      <c r="AR463">
        <v>0</v>
      </c>
      <c r="AS463">
        <v>240</v>
      </c>
      <c r="AT463">
        <v>-24</v>
      </c>
      <c r="AU463">
        <v>0</v>
      </c>
      <c r="AW463">
        <v>0</v>
      </c>
      <c r="AX463">
        <v>0</v>
      </c>
      <c r="AY463">
        <v>421.23</v>
      </c>
      <c r="BC463" t="str">
        <f t="shared" si="59"/>
        <v>9791166067563</v>
      </c>
      <c r="BE463" t="str">
        <f t="shared" si="60"/>
        <v>판타지 웹소설 &gt; 현대 판타지</v>
      </c>
    </row>
    <row r="464" spans="1:57" x14ac:dyDescent="0.3">
      <c r="A464">
        <v>2313011400</v>
      </c>
      <c r="B464">
        <v>1525007592</v>
      </c>
      <c r="C464" t="str">
        <f>T("최종 보스 18권 18화")</f>
        <v>최종 보스 18권 18화</v>
      </c>
      <c r="D464" t="str">
        <f>T("370")</f>
        <v>370</v>
      </c>
      <c r="E464" t="str">
        <f t="shared" si="56"/>
        <v>무장</v>
      </c>
      <c r="H464" t="str">
        <f t="shared" si="57"/>
        <v>스토리위즈</v>
      </c>
      <c r="I464" t="str">
        <f t="shared" si="58"/>
        <v>최종 보스 : 빛을 향해 달리는 그림자</v>
      </c>
      <c r="J464">
        <v>100</v>
      </c>
      <c r="K464">
        <v>600</v>
      </c>
      <c r="L464">
        <v>6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600</v>
      </c>
      <c r="AH464">
        <v>6</v>
      </c>
      <c r="AI464">
        <v>0</v>
      </c>
      <c r="AJ464">
        <v>0</v>
      </c>
      <c r="AK464">
        <v>400</v>
      </c>
      <c r="AL464">
        <v>0</v>
      </c>
      <c r="AM464">
        <v>240</v>
      </c>
      <c r="AN464">
        <v>-48</v>
      </c>
      <c r="AO464">
        <v>0</v>
      </c>
      <c r="AP464">
        <v>120</v>
      </c>
      <c r="AQ464">
        <v>-36</v>
      </c>
      <c r="AR464">
        <v>0</v>
      </c>
      <c r="AS464">
        <v>120</v>
      </c>
      <c r="AT464">
        <v>-12</v>
      </c>
      <c r="AU464">
        <v>0</v>
      </c>
      <c r="AW464">
        <v>0</v>
      </c>
      <c r="AX464">
        <v>0</v>
      </c>
      <c r="AY464">
        <v>414.4</v>
      </c>
      <c r="BC464" t="str">
        <f t="shared" si="59"/>
        <v>9791166067563</v>
      </c>
      <c r="BE464" t="str">
        <f t="shared" si="60"/>
        <v>판타지 웹소설 &gt; 현대 판타지</v>
      </c>
    </row>
    <row r="465" spans="1:57" x14ac:dyDescent="0.3">
      <c r="A465">
        <v>2313011400</v>
      </c>
      <c r="B465">
        <v>1525007649</v>
      </c>
      <c r="C465" t="str">
        <f>T("최종 보스 21권 14화")</f>
        <v>최종 보스 21권 14화</v>
      </c>
      <c r="D465" t="str">
        <f>T("427")</f>
        <v>427</v>
      </c>
      <c r="E465" t="str">
        <f t="shared" si="56"/>
        <v>무장</v>
      </c>
      <c r="H465" t="str">
        <f t="shared" si="57"/>
        <v>스토리위즈</v>
      </c>
      <c r="I465" t="str">
        <f t="shared" si="58"/>
        <v>최종 보스 : 빛을 향해 달리는 그림자</v>
      </c>
      <c r="J465">
        <v>100</v>
      </c>
      <c r="K465">
        <v>600</v>
      </c>
      <c r="L465">
        <v>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600</v>
      </c>
      <c r="AH465">
        <v>6</v>
      </c>
      <c r="AI465">
        <v>0</v>
      </c>
      <c r="AJ465">
        <v>0</v>
      </c>
      <c r="AK465">
        <v>400</v>
      </c>
      <c r="AL465">
        <v>0</v>
      </c>
      <c r="AM465">
        <v>240</v>
      </c>
      <c r="AN465">
        <v>-48</v>
      </c>
      <c r="AO465">
        <v>0</v>
      </c>
      <c r="AQ465">
        <v>0</v>
      </c>
      <c r="AR465">
        <v>0</v>
      </c>
      <c r="AS465">
        <v>240</v>
      </c>
      <c r="AT465">
        <v>-48</v>
      </c>
      <c r="AU465">
        <v>0</v>
      </c>
      <c r="AW465">
        <v>0</v>
      </c>
      <c r="AX465">
        <v>0</v>
      </c>
      <c r="AY465">
        <v>414.4</v>
      </c>
      <c r="BC465" t="str">
        <f t="shared" si="59"/>
        <v>9791166067563</v>
      </c>
      <c r="BE465" t="str">
        <f t="shared" si="60"/>
        <v>판타지 웹소설 &gt; 현대 판타지</v>
      </c>
    </row>
    <row r="466" spans="1:57" x14ac:dyDescent="0.3">
      <c r="A466">
        <v>2313011400</v>
      </c>
      <c r="B466">
        <v>1525007706</v>
      </c>
      <c r="C466" t="str">
        <f>T("최종 보스 24권 11화")</f>
        <v>최종 보스 24권 11화</v>
      </c>
      <c r="D466" t="str">
        <f>T("484")</f>
        <v>484</v>
      </c>
      <c r="E466" t="str">
        <f t="shared" si="56"/>
        <v>무장</v>
      </c>
      <c r="H466" t="str">
        <f t="shared" si="57"/>
        <v>스토리위즈</v>
      </c>
      <c r="I466" t="str">
        <f t="shared" si="58"/>
        <v>최종 보스 : 빛을 향해 달리는 그림자</v>
      </c>
      <c r="J466">
        <v>100</v>
      </c>
      <c r="K466">
        <v>600</v>
      </c>
      <c r="L466">
        <v>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600</v>
      </c>
      <c r="AH466">
        <v>6</v>
      </c>
      <c r="AI466">
        <v>0</v>
      </c>
      <c r="AJ466">
        <v>0</v>
      </c>
      <c r="AK466">
        <v>310</v>
      </c>
      <c r="AL466">
        <v>0</v>
      </c>
      <c r="AM466">
        <v>348</v>
      </c>
      <c r="AN466">
        <v>-56.4</v>
      </c>
      <c r="AO466">
        <v>0</v>
      </c>
      <c r="AP466">
        <v>108</v>
      </c>
      <c r="AQ466">
        <v>-32.4</v>
      </c>
      <c r="AR466">
        <v>0</v>
      </c>
      <c r="AS466">
        <v>240</v>
      </c>
      <c r="AT466">
        <v>-24</v>
      </c>
      <c r="AU466">
        <v>0</v>
      </c>
      <c r="AW466">
        <v>0</v>
      </c>
      <c r="AX466">
        <v>0</v>
      </c>
      <c r="AY466">
        <v>421.12</v>
      </c>
      <c r="BC466" t="str">
        <f t="shared" si="59"/>
        <v>9791166067563</v>
      </c>
      <c r="BE466" t="str">
        <f t="shared" si="60"/>
        <v>판타지 웹소설 &gt; 현대 판타지</v>
      </c>
    </row>
    <row r="467" spans="1:57" x14ac:dyDescent="0.3">
      <c r="A467">
        <v>2313011400</v>
      </c>
      <c r="B467">
        <v>1525007638</v>
      </c>
      <c r="C467" t="str">
        <f>T("최종 보스 21권 3화")</f>
        <v>최종 보스 21권 3화</v>
      </c>
      <c r="D467" t="str">
        <f>T("416")</f>
        <v>416</v>
      </c>
      <c r="E467" t="str">
        <f t="shared" si="56"/>
        <v>무장</v>
      </c>
      <c r="H467" t="str">
        <f t="shared" si="57"/>
        <v>스토리위즈</v>
      </c>
      <c r="I467" t="str">
        <f t="shared" si="58"/>
        <v>최종 보스 : 빛을 향해 달리는 그림자</v>
      </c>
      <c r="J467">
        <v>100</v>
      </c>
      <c r="K467">
        <v>600</v>
      </c>
      <c r="L467">
        <v>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600</v>
      </c>
      <c r="AH467">
        <v>6</v>
      </c>
      <c r="AI467">
        <v>0</v>
      </c>
      <c r="AJ467">
        <v>0</v>
      </c>
      <c r="AK467">
        <v>400</v>
      </c>
      <c r="AL467">
        <v>0</v>
      </c>
      <c r="AM467">
        <v>240</v>
      </c>
      <c r="AN467">
        <v>-48</v>
      </c>
      <c r="AO467">
        <v>0</v>
      </c>
      <c r="AP467">
        <v>120</v>
      </c>
      <c r="AQ467">
        <v>-36</v>
      </c>
      <c r="AR467">
        <v>0</v>
      </c>
      <c r="AS467">
        <v>120</v>
      </c>
      <c r="AT467">
        <v>-12</v>
      </c>
      <c r="AU467">
        <v>0</v>
      </c>
      <c r="AW467">
        <v>0</v>
      </c>
      <c r="AX467">
        <v>0</v>
      </c>
      <c r="AY467">
        <v>414.4</v>
      </c>
      <c r="BC467" t="str">
        <f t="shared" si="59"/>
        <v>9791166067563</v>
      </c>
      <c r="BE467" t="str">
        <f t="shared" si="60"/>
        <v>판타지 웹소설 &gt; 현대 판타지</v>
      </c>
    </row>
    <row r="468" spans="1:57" x14ac:dyDescent="0.3">
      <c r="A468">
        <v>2313011400</v>
      </c>
      <c r="B468">
        <v>1525007695</v>
      </c>
      <c r="C468" t="str">
        <f>T("최종 보스 23권 20화")</f>
        <v>최종 보스 23권 20화</v>
      </c>
      <c r="D468" t="str">
        <f>T("473")</f>
        <v>473</v>
      </c>
      <c r="E468" t="str">
        <f t="shared" si="56"/>
        <v>무장</v>
      </c>
      <c r="H468" t="str">
        <f t="shared" si="57"/>
        <v>스토리위즈</v>
      </c>
      <c r="I468" t="str">
        <f t="shared" si="58"/>
        <v>최종 보스 : 빛을 향해 달리는 그림자</v>
      </c>
      <c r="J468">
        <v>100</v>
      </c>
      <c r="K468">
        <v>600</v>
      </c>
      <c r="L468">
        <v>6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600</v>
      </c>
      <c r="AH468">
        <v>6</v>
      </c>
      <c r="AI468">
        <v>0</v>
      </c>
      <c r="AJ468">
        <v>0</v>
      </c>
      <c r="AK468">
        <v>310</v>
      </c>
      <c r="AL468">
        <v>0</v>
      </c>
      <c r="AM468">
        <v>348</v>
      </c>
      <c r="AN468">
        <v>-56.4</v>
      </c>
      <c r="AO468">
        <v>0</v>
      </c>
      <c r="AP468">
        <v>108</v>
      </c>
      <c r="AQ468">
        <v>-32.4</v>
      </c>
      <c r="AR468">
        <v>0</v>
      </c>
      <c r="AS468">
        <v>240</v>
      </c>
      <c r="AT468">
        <v>-24</v>
      </c>
      <c r="AU468">
        <v>0</v>
      </c>
      <c r="AW468">
        <v>0</v>
      </c>
      <c r="AX468">
        <v>0</v>
      </c>
      <c r="AY468">
        <v>421.12</v>
      </c>
      <c r="BC468" t="str">
        <f t="shared" si="59"/>
        <v>9791166067563</v>
      </c>
      <c r="BE468" t="str">
        <f t="shared" si="60"/>
        <v>판타지 웹소설 &gt; 현대 판타지</v>
      </c>
    </row>
    <row r="469" spans="1:57" x14ac:dyDescent="0.3">
      <c r="A469">
        <v>2313011400</v>
      </c>
      <c r="B469">
        <v>1525007613</v>
      </c>
      <c r="C469" t="str">
        <f>T("최종 보스 19권 19화")</f>
        <v>최종 보스 19권 19화</v>
      </c>
      <c r="D469" t="str">
        <f>T("391")</f>
        <v>391</v>
      </c>
      <c r="E469" t="str">
        <f t="shared" si="56"/>
        <v>무장</v>
      </c>
      <c r="H469" t="str">
        <f t="shared" si="57"/>
        <v>스토리위즈</v>
      </c>
      <c r="I469" t="str">
        <f t="shared" si="58"/>
        <v>최종 보스 : 빛을 향해 달리는 그림자</v>
      </c>
      <c r="J469">
        <v>100</v>
      </c>
      <c r="K469">
        <v>600</v>
      </c>
      <c r="L469">
        <v>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600</v>
      </c>
      <c r="AH469">
        <v>6</v>
      </c>
      <c r="AI469">
        <v>0</v>
      </c>
      <c r="AJ469">
        <v>0</v>
      </c>
      <c r="AK469">
        <v>400</v>
      </c>
      <c r="AL469">
        <v>0</v>
      </c>
      <c r="AM469">
        <v>240</v>
      </c>
      <c r="AN469">
        <v>-48</v>
      </c>
      <c r="AO469">
        <v>0</v>
      </c>
      <c r="AP469">
        <v>120</v>
      </c>
      <c r="AQ469">
        <v>-36</v>
      </c>
      <c r="AR469">
        <v>0</v>
      </c>
      <c r="AS469">
        <v>120</v>
      </c>
      <c r="AT469">
        <v>-12</v>
      </c>
      <c r="AU469">
        <v>0</v>
      </c>
      <c r="AW469">
        <v>0</v>
      </c>
      <c r="AX469">
        <v>0</v>
      </c>
      <c r="AY469">
        <v>414.4</v>
      </c>
      <c r="BC469" t="str">
        <f t="shared" si="59"/>
        <v>9791166067563</v>
      </c>
      <c r="BE469" t="str">
        <f t="shared" si="60"/>
        <v>판타지 웹소설 &gt; 현대 판타지</v>
      </c>
    </row>
    <row r="470" spans="1:57" x14ac:dyDescent="0.3">
      <c r="A470">
        <v>2313011400</v>
      </c>
      <c r="B470">
        <v>1525007670</v>
      </c>
      <c r="C470" t="str">
        <f>T("최종 보스 22권 15화")</f>
        <v>최종 보스 22권 15화</v>
      </c>
      <c r="D470" t="str">
        <f>T("448")</f>
        <v>448</v>
      </c>
      <c r="E470" t="str">
        <f t="shared" si="56"/>
        <v>무장</v>
      </c>
      <c r="H470" t="str">
        <f t="shared" si="57"/>
        <v>스토리위즈</v>
      </c>
      <c r="I470" t="str">
        <f t="shared" si="58"/>
        <v>최종 보스 : 빛을 향해 달리는 그림자</v>
      </c>
      <c r="J470">
        <v>100</v>
      </c>
      <c r="K470">
        <v>600</v>
      </c>
      <c r="L470">
        <v>6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600</v>
      </c>
      <c r="AH470">
        <v>6</v>
      </c>
      <c r="AI470">
        <v>0</v>
      </c>
      <c r="AJ470">
        <v>0</v>
      </c>
      <c r="AK470">
        <v>400</v>
      </c>
      <c r="AL470">
        <v>0</v>
      </c>
      <c r="AM470">
        <v>240</v>
      </c>
      <c r="AN470">
        <v>-48</v>
      </c>
      <c r="AO470">
        <v>0</v>
      </c>
      <c r="AQ470">
        <v>0</v>
      </c>
      <c r="AR470">
        <v>0</v>
      </c>
      <c r="AS470">
        <v>240</v>
      </c>
      <c r="AT470">
        <v>-48</v>
      </c>
      <c r="AU470">
        <v>0</v>
      </c>
      <c r="AW470">
        <v>0</v>
      </c>
      <c r="AX470">
        <v>0</v>
      </c>
      <c r="AY470">
        <v>414.4</v>
      </c>
      <c r="BC470" t="str">
        <f t="shared" si="59"/>
        <v>9791166067563</v>
      </c>
      <c r="BE470" t="str">
        <f t="shared" si="60"/>
        <v>판타지 웹소설 &gt; 현대 판타지</v>
      </c>
    </row>
    <row r="471" spans="1:57" x14ac:dyDescent="0.3">
      <c r="A471">
        <v>2313011400</v>
      </c>
      <c r="B471">
        <v>1525007727</v>
      </c>
      <c r="C471" t="str">
        <f>T("최종 보스 25권 12화")</f>
        <v>최종 보스 25권 12화</v>
      </c>
      <c r="D471" t="str">
        <f>T("505")</f>
        <v>505</v>
      </c>
      <c r="E471" t="str">
        <f t="shared" si="56"/>
        <v>무장</v>
      </c>
      <c r="H471" t="str">
        <f t="shared" si="57"/>
        <v>스토리위즈</v>
      </c>
      <c r="I471" t="str">
        <f t="shared" si="58"/>
        <v>최종 보스 : 빛을 향해 달리는 그림자</v>
      </c>
      <c r="J471">
        <v>100</v>
      </c>
      <c r="K471">
        <v>600</v>
      </c>
      <c r="L471">
        <v>6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600</v>
      </c>
      <c r="AH471">
        <v>6</v>
      </c>
      <c r="AI471">
        <v>0</v>
      </c>
      <c r="AJ471">
        <v>0</v>
      </c>
      <c r="AK471">
        <v>311</v>
      </c>
      <c r="AL471">
        <v>0</v>
      </c>
      <c r="AM471">
        <v>346.8</v>
      </c>
      <c r="AN471">
        <v>-56.04</v>
      </c>
      <c r="AO471">
        <v>0</v>
      </c>
      <c r="AP471">
        <v>106.8</v>
      </c>
      <c r="AQ471">
        <v>-32.04</v>
      </c>
      <c r="AR471">
        <v>0</v>
      </c>
      <c r="AS471">
        <v>240</v>
      </c>
      <c r="AT471">
        <v>-24</v>
      </c>
      <c r="AU471">
        <v>0</v>
      </c>
      <c r="AW471">
        <v>0</v>
      </c>
      <c r="AX471">
        <v>0</v>
      </c>
      <c r="AY471">
        <v>421.23</v>
      </c>
      <c r="BC471" t="str">
        <f t="shared" si="59"/>
        <v>9791166067563</v>
      </c>
      <c r="BE471" t="str">
        <f t="shared" si="60"/>
        <v>판타지 웹소설 &gt; 현대 판타지</v>
      </c>
    </row>
    <row r="472" spans="1:57" x14ac:dyDescent="0.3">
      <c r="A472">
        <v>2313011400</v>
      </c>
      <c r="B472">
        <v>1525007581</v>
      </c>
      <c r="C472" t="str">
        <f>T("최종 보스 18권 7화")</f>
        <v>최종 보스 18권 7화</v>
      </c>
      <c r="D472" t="str">
        <f>T("359")</f>
        <v>359</v>
      </c>
      <c r="E472" t="str">
        <f t="shared" si="56"/>
        <v>무장</v>
      </c>
      <c r="H472" t="str">
        <f t="shared" si="57"/>
        <v>스토리위즈</v>
      </c>
      <c r="I472" t="str">
        <f t="shared" si="58"/>
        <v>최종 보스 : 빛을 향해 달리는 그림자</v>
      </c>
      <c r="J472">
        <v>100</v>
      </c>
      <c r="K472">
        <v>600</v>
      </c>
      <c r="L472">
        <v>6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600</v>
      </c>
      <c r="AH472">
        <v>6</v>
      </c>
      <c r="AI472">
        <v>0</v>
      </c>
      <c r="AJ472">
        <v>0</v>
      </c>
      <c r="AK472">
        <v>400</v>
      </c>
      <c r="AL472">
        <v>0</v>
      </c>
      <c r="AM472">
        <v>240</v>
      </c>
      <c r="AN472">
        <v>-48</v>
      </c>
      <c r="AO472">
        <v>0</v>
      </c>
      <c r="AP472">
        <v>120</v>
      </c>
      <c r="AQ472">
        <v>-36</v>
      </c>
      <c r="AR472">
        <v>0</v>
      </c>
      <c r="AS472">
        <v>120</v>
      </c>
      <c r="AT472">
        <v>-12</v>
      </c>
      <c r="AU472">
        <v>0</v>
      </c>
      <c r="AW472">
        <v>0</v>
      </c>
      <c r="AX472">
        <v>0</v>
      </c>
      <c r="AY472">
        <v>414.4</v>
      </c>
      <c r="BC472" t="str">
        <f t="shared" si="59"/>
        <v>9791166067563</v>
      </c>
      <c r="BE472" t="str">
        <f t="shared" si="60"/>
        <v>판타지 웹소설 &gt; 현대 판타지</v>
      </c>
    </row>
    <row r="473" spans="1:57" x14ac:dyDescent="0.3">
      <c r="A473">
        <v>2313011400</v>
      </c>
      <c r="B473">
        <v>1525007627</v>
      </c>
      <c r="C473" t="str">
        <f>T("최종 보스 20권 12화")</f>
        <v>최종 보스 20권 12화</v>
      </c>
      <c r="D473" t="str">
        <f>T("405")</f>
        <v>405</v>
      </c>
      <c r="E473" t="str">
        <f t="shared" si="56"/>
        <v>무장</v>
      </c>
      <c r="H473" t="str">
        <f t="shared" si="57"/>
        <v>스토리위즈</v>
      </c>
      <c r="I473" t="str">
        <f t="shared" si="58"/>
        <v>최종 보스 : 빛을 향해 달리는 그림자</v>
      </c>
      <c r="J473">
        <v>100</v>
      </c>
      <c r="K473">
        <v>600</v>
      </c>
      <c r="L473">
        <v>6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600</v>
      </c>
      <c r="AH473">
        <v>6</v>
      </c>
      <c r="AI473">
        <v>0</v>
      </c>
      <c r="AJ473">
        <v>0</v>
      </c>
      <c r="AK473">
        <v>400</v>
      </c>
      <c r="AL473">
        <v>0</v>
      </c>
      <c r="AM473">
        <v>240</v>
      </c>
      <c r="AN473">
        <v>-48</v>
      </c>
      <c r="AO473">
        <v>0</v>
      </c>
      <c r="AP473">
        <v>120</v>
      </c>
      <c r="AQ473">
        <v>-36</v>
      </c>
      <c r="AR473">
        <v>0</v>
      </c>
      <c r="AS473">
        <v>120</v>
      </c>
      <c r="AT473">
        <v>-12</v>
      </c>
      <c r="AU473">
        <v>0</v>
      </c>
      <c r="AW473">
        <v>0</v>
      </c>
      <c r="AX473">
        <v>0</v>
      </c>
      <c r="AY473">
        <v>414.4</v>
      </c>
      <c r="BC473" t="str">
        <f t="shared" si="59"/>
        <v>9791166067563</v>
      </c>
      <c r="BE473" t="str">
        <f t="shared" si="60"/>
        <v>판타지 웹소설 &gt; 현대 판타지</v>
      </c>
    </row>
    <row r="474" spans="1:57" x14ac:dyDescent="0.3">
      <c r="A474">
        <v>2313011400</v>
      </c>
      <c r="B474">
        <v>1525007684</v>
      </c>
      <c r="C474" t="str">
        <f>T("최종 보스 23권 9화")</f>
        <v>최종 보스 23권 9화</v>
      </c>
      <c r="D474" t="str">
        <f>T("462")</f>
        <v>462</v>
      </c>
      <c r="E474" t="str">
        <f t="shared" si="56"/>
        <v>무장</v>
      </c>
      <c r="H474" t="str">
        <f t="shared" si="57"/>
        <v>스토리위즈</v>
      </c>
      <c r="I474" t="str">
        <f t="shared" si="58"/>
        <v>최종 보스 : 빛을 향해 달리는 그림자</v>
      </c>
      <c r="J474">
        <v>100</v>
      </c>
      <c r="K474">
        <v>600</v>
      </c>
      <c r="L474">
        <v>6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600</v>
      </c>
      <c r="AH474">
        <v>6</v>
      </c>
      <c r="AI474">
        <v>0</v>
      </c>
      <c r="AJ474">
        <v>0</v>
      </c>
      <c r="AK474">
        <v>310</v>
      </c>
      <c r="AL474">
        <v>0</v>
      </c>
      <c r="AM474">
        <v>348</v>
      </c>
      <c r="AN474">
        <v>-56.4</v>
      </c>
      <c r="AO474">
        <v>0</v>
      </c>
      <c r="AP474">
        <v>108</v>
      </c>
      <c r="AQ474">
        <v>-32.4</v>
      </c>
      <c r="AR474">
        <v>0</v>
      </c>
      <c r="AS474">
        <v>240</v>
      </c>
      <c r="AT474">
        <v>-24</v>
      </c>
      <c r="AU474">
        <v>0</v>
      </c>
      <c r="AW474">
        <v>0</v>
      </c>
      <c r="AX474">
        <v>0</v>
      </c>
      <c r="AY474">
        <v>421.12</v>
      </c>
      <c r="BC474" t="str">
        <f t="shared" si="59"/>
        <v>9791166067563</v>
      </c>
      <c r="BE474" t="str">
        <f t="shared" si="60"/>
        <v>판타지 웹소설 &gt; 현대 판타지</v>
      </c>
    </row>
    <row r="475" spans="1:57" x14ac:dyDescent="0.3">
      <c r="A475">
        <v>2313011400</v>
      </c>
      <c r="B475">
        <v>1525007602</v>
      </c>
      <c r="C475" t="str">
        <f>T("최종 보스 19권 8화")</f>
        <v>최종 보스 19권 8화</v>
      </c>
      <c r="D475" t="str">
        <f>T("380")</f>
        <v>380</v>
      </c>
      <c r="E475" t="str">
        <f t="shared" si="56"/>
        <v>무장</v>
      </c>
      <c r="H475" t="str">
        <f t="shared" si="57"/>
        <v>스토리위즈</v>
      </c>
      <c r="I475" t="str">
        <f t="shared" si="58"/>
        <v>최종 보스 : 빛을 향해 달리는 그림자</v>
      </c>
      <c r="J475">
        <v>100</v>
      </c>
      <c r="K475">
        <v>600</v>
      </c>
      <c r="L475">
        <v>6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600</v>
      </c>
      <c r="AH475">
        <v>6</v>
      </c>
      <c r="AI475">
        <v>0</v>
      </c>
      <c r="AJ475">
        <v>0</v>
      </c>
      <c r="AK475">
        <v>400</v>
      </c>
      <c r="AL475">
        <v>0</v>
      </c>
      <c r="AM475">
        <v>240</v>
      </c>
      <c r="AN475">
        <v>-48</v>
      </c>
      <c r="AO475">
        <v>0</v>
      </c>
      <c r="AP475">
        <v>120</v>
      </c>
      <c r="AQ475">
        <v>-36</v>
      </c>
      <c r="AR475">
        <v>0</v>
      </c>
      <c r="AS475">
        <v>120</v>
      </c>
      <c r="AT475">
        <v>-12</v>
      </c>
      <c r="AU475">
        <v>0</v>
      </c>
      <c r="AW475">
        <v>0</v>
      </c>
      <c r="AX475">
        <v>0</v>
      </c>
      <c r="AY475">
        <v>414.4</v>
      </c>
      <c r="BC475" t="str">
        <f t="shared" si="59"/>
        <v>9791166067563</v>
      </c>
      <c r="BE475" t="str">
        <f t="shared" si="60"/>
        <v>판타지 웹소설 &gt; 현대 판타지</v>
      </c>
    </row>
    <row r="476" spans="1:57" x14ac:dyDescent="0.3">
      <c r="A476">
        <v>2313011400</v>
      </c>
      <c r="B476">
        <v>1525007659</v>
      </c>
      <c r="C476" t="str">
        <f>T("최종 보스 22권 4화")</f>
        <v>최종 보스 22권 4화</v>
      </c>
      <c r="D476" t="str">
        <f>T("437")</f>
        <v>437</v>
      </c>
      <c r="E476" t="str">
        <f t="shared" si="56"/>
        <v>무장</v>
      </c>
      <c r="H476" t="str">
        <f t="shared" si="57"/>
        <v>스토리위즈</v>
      </c>
      <c r="I476" t="str">
        <f t="shared" si="58"/>
        <v>최종 보스 : 빛을 향해 달리는 그림자</v>
      </c>
      <c r="J476">
        <v>100</v>
      </c>
      <c r="K476">
        <v>600</v>
      </c>
      <c r="L476">
        <v>6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600</v>
      </c>
      <c r="AH476">
        <v>6</v>
      </c>
      <c r="AI476">
        <v>0</v>
      </c>
      <c r="AJ476">
        <v>0</v>
      </c>
      <c r="AK476">
        <v>400</v>
      </c>
      <c r="AL476">
        <v>0</v>
      </c>
      <c r="AM476">
        <v>240</v>
      </c>
      <c r="AN476">
        <v>-48</v>
      </c>
      <c r="AO476">
        <v>0</v>
      </c>
      <c r="AQ476">
        <v>0</v>
      </c>
      <c r="AR476">
        <v>0</v>
      </c>
      <c r="AS476">
        <v>240</v>
      </c>
      <c r="AT476">
        <v>-48</v>
      </c>
      <c r="AU476">
        <v>0</v>
      </c>
      <c r="AW476">
        <v>0</v>
      </c>
      <c r="AX476">
        <v>0</v>
      </c>
      <c r="AY476">
        <v>414.4</v>
      </c>
      <c r="BC476" t="str">
        <f t="shared" si="59"/>
        <v>9791166067563</v>
      </c>
      <c r="BE476" t="str">
        <f t="shared" si="60"/>
        <v>판타지 웹소설 &gt; 현대 판타지</v>
      </c>
    </row>
    <row r="477" spans="1:57" x14ac:dyDescent="0.3">
      <c r="A477">
        <v>2313011400</v>
      </c>
      <c r="B477">
        <v>1525007716</v>
      </c>
      <c r="C477" t="str">
        <f>T("최종 보스 25권 1화")</f>
        <v>최종 보스 25권 1화</v>
      </c>
      <c r="D477" t="str">
        <f>T("494")</f>
        <v>494</v>
      </c>
      <c r="E477" t="str">
        <f t="shared" si="56"/>
        <v>무장</v>
      </c>
      <c r="H477" t="str">
        <f t="shared" si="57"/>
        <v>스토리위즈</v>
      </c>
      <c r="I477" t="str">
        <f t="shared" si="58"/>
        <v>최종 보스 : 빛을 향해 달리는 그림자</v>
      </c>
      <c r="J477">
        <v>100</v>
      </c>
      <c r="K477">
        <v>600</v>
      </c>
      <c r="L477">
        <v>6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600</v>
      </c>
      <c r="AH477">
        <v>6</v>
      </c>
      <c r="AI477">
        <v>0</v>
      </c>
      <c r="AJ477">
        <v>0</v>
      </c>
      <c r="AK477">
        <v>311</v>
      </c>
      <c r="AL477">
        <v>0</v>
      </c>
      <c r="AM477">
        <v>346.8</v>
      </c>
      <c r="AN477">
        <v>-56.04</v>
      </c>
      <c r="AO477">
        <v>0</v>
      </c>
      <c r="AP477">
        <v>106.8</v>
      </c>
      <c r="AQ477">
        <v>-32.04</v>
      </c>
      <c r="AR477">
        <v>0</v>
      </c>
      <c r="AS477">
        <v>240</v>
      </c>
      <c r="AT477">
        <v>-24</v>
      </c>
      <c r="AU477">
        <v>0</v>
      </c>
      <c r="AW477">
        <v>0</v>
      </c>
      <c r="AX477">
        <v>0</v>
      </c>
      <c r="AY477">
        <v>421.23</v>
      </c>
      <c r="BC477" t="str">
        <f t="shared" si="59"/>
        <v>9791166067563</v>
      </c>
      <c r="BE477" t="str">
        <f t="shared" si="60"/>
        <v>판타지 웹소설 &gt; 현대 판타지</v>
      </c>
    </row>
    <row r="478" spans="1:57" x14ac:dyDescent="0.3">
      <c r="A478">
        <v>2313011400</v>
      </c>
      <c r="B478">
        <v>1525007591</v>
      </c>
      <c r="C478" t="str">
        <f>T("최종 보스 18권 17화")</f>
        <v>최종 보스 18권 17화</v>
      </c>
      <c r="D478" t="str">
        <f>T("369")</f>
        <v>369</v>
      </c>
      <c r="E478" t="str">
        <f t="shared" si="56"/>
        <v>무장</v>
      </c>
      <c r="H478" t="str">
        <f t="shared" si="57"/>
        <v>스토리위즈</v>
      </c>
      <c r="I478" t="str">
        <f t="shared" si="58"/>
        <v>최종 보스 : 빛을 향해 달리는 그림자</v>
      </c>
      <c r="J478">
        <v>100</v>
      </c>
      <c r="K478">
        <v>600</v>
      </c>
      <c r="L478">
        <v>6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600</v>
      </c>
      <c r="AH478">
        <v>6</v>
      </c>
      <c r="AI478">
        <v>0</v>
      </c>
      <c r="AJ478">
        <v>0</v>
      </c>
      <c r="AK478">
        <v>400</v>
      </c>
      <c r="AL478">
        <v>0</v>
      </c>
      <c r="AM478">
        <v>240</v>
      </c>
      <c r="AN478">
        <v>-48</v>
      </c>
      <c r="AO478">
        <v>0</v>
      </c>
      <c r="AP478">
        <v>120</v>
      </c>
      <c r="AQ478">
        <v>-36</v>
      </c>
      <c r="AR478">
        <v>0</v>
      </c>
      <c r="AS478">
        <v>120</v>
      </c>
      <c r="AT478">
        <v>-12</v>
      </c>
      <c r="AU478">
        <v>0</v>
      </c>
      <c r="AW478">
        <v>0</v>
      </c>
      <c r="AX478">
        <v>0</v>
      </c>
      <c r="AY478">
        <v>414.4</v>
      </c>
      <c r="BC478" t="str">
        <f t="shared" si="59"/>
        <v>9791166067563</v>
      </c>
      <c r="BE478" t="str">
        <f t="shared" si="60"/>
        <v>판타지 웹소설 &gt; 현대 판타지</v>
      </c>
    </row>
    <row r="479" spans="1:57" x14ac:dyDescent="0.3">
      <c r="A479">
        <v>2313011400</v>
      </c>
      <c r="B479">
        <v>1525007648</v>
      </c>
      <c r="C479" t="str">
        <f>T("최종 보스 21권 13화")</f>
        <v>최종 보스 21권 13화</v>
      </c>
      <c r="D479" t="str">
        <f>T("426")</f>
        <v>426</v>
      </c>
      <c r="E479" t="str">
        <f t="shared" si="56"/>
        <v>무장</v>
      </c>
      <c r="H479" t="str">
        <f t="shared" si="57"/>
        <v>스토리위즈</v>
      </c>
      <c r="I479" t="str">
        <f t="shared" si="58"/>
        <v>최종 보스 : 빛을 향해 달리는 그림자</v>
      </c>
      <c r="J479">
        <v>100</v>
      </c>
      <c r="K479">
        <v>600</v>
      </c>
      <c r="L479">
        <v>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600</v>
      </c>
      <c r="AH479">
        <v>6</v>
      </c>
      <c r="AI479">
        <v>0</v>
      </c>
      <c r="AJ479">
        <v>0</v>
      </c>
      <c r="AK479">
        <v>400</v>
      </c>
      <c r="AL479">
        <v>0</v>
      </c>
      <c r="AM479">
        <v>240</v>
      </c>
      <c r="AN479">
        <v>-48</v>
      </c>
      <c r="AO479">
        <v>0</v>
      </c>
      <c r="AQ479">
        <v>0</v>
      </c>
      <c r="AR479">
        <v>0</v>
      </c>
      <c r="AS479">
        <v>240</v>
      </c>
      <c r="AT479">
        <v>-48</v>
      </c>
      <c r="AU479">
        <v>0</v>
      </c>
      <c r="AW479">
        <v>0</v>
      </c>
      <c r="AX479">
        <v>0</v>
      </c>
      <c r="AY479">
        <v>414.4</v>
      </c>
      <c r="BC479" t="str">
        <f t="shared" si="59"/>
        <v>9791166067563</v>
      </c>
      <c r="BE479" t="str">
        <f t="shared" si="60"/>
        <v>판타지 웹소설 &gt; 현대 판타지</v>
      </c>
    </row>
    <row r="480" spans="1:57" x14ac:dyDescent="0.3">
      <c r="A480">
        <v>2313011400</v>
      </c>
      <c r="B480">
        <v>1525007705</v>
      </c>
      <c r="C480" t="str">
        <f>T("최종 보스 24권 10화")</f>
        <v>최종 보스 24권 10화</v>
      </c>
      <c r="D480" t="str">
        <f>T("483")</f>
        <v>483</v>
      </c>
      <c r="E480" t="str">
        <f t="shared" si="56"/>
        <v>무장</v>
      </c>
      <c r="H480" t="str">
        <f t="shared" si="57"/>
        <v>스토리위즈</v>
      </c>
      <c r="I480" t="str">
        <f t="shared" si="58"/>
        <v>최종 보스 : 빛을 향해 달리는 그림자</v>
      </c>
      <c r="J480">
        <v>100</v>
      </c>
      <c r="K480">
        <v>600</v>
      </c>
      <c r="L480">
        <v>6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600</v>
      </c>
      <c r="AH480">
        <v>6</v>
      </c>
      <c r="AI480">
        <v>0</v>
      </c>
      <c r="AJ480">
        <v>0</v>
      </c>
      <c r="AK480">
        <v>310</v>
      </c>
      <c r="AL480">
        <v>0</v>
      </c>
      <c r="AM480">
        <v>348</v>
      </c>
      <c r="AN480">
        <v>-56.4</v>
      </c>
      <c r="AO480">
        <v>0</v>
      </c>
      <c r="AP480">
        <v>108</v>
      </c>
      <c r="AQ480">
        <v>-32.4</v>
      </c>
      <c r="AR480">
        <v>0</v>
      </c>
      <c r="AS480">
        <v>240</v>
      </c>
      <c r="AT480">
        <v>-24</v>
      </c>
      <c r="AU480">
        <v>0</v>
      </c>
      <c r="AW480">
        <v>0</v>
      </c>
      <c r="AX480">
        <v>0</v>
      </c>
      <c r="AY480">
        <v>421.12</v>
      </c>
      <c r="BC480" t="str">
        <f t="shared" si="59"/>
        <v>9791166067563</v>
      </c>
      <c r="BE480" t="str">
        <f t="shared" si="60"/>
        <v>판타지 웹소설 &gt; 현대 판타지</v>
      </c>
    </row>
    <row r="481" spans="1:57" x14ac:dyDescent="0.3">
      <c r="A481">
        <v>2313011400</v>
      </c>
      <c r="B481">
        <v>1525007694</v>
      </c>
      <c r="C481" t="str">
        <f>T("최종 보스 23권 19화")</f>
        <v>최종 보스 23권 19화</v>
      </c>
      <c r="D481" t="str">
        <f>T("472")</f>
        <v>472</v>
      </c>
      <c r="E481" t="str">
        <f t="shared" si="56"/>
        <v>무장</v>
      </c>
      <c r="H481" t="str">
        <f t="shared" si="57"/>
        <v>스토리위즈</v>
      </c>
      <c r="I481" t="str">
        <f t="shared" si="58"/>
        <v>최종 보스 : 빛을 향해 달리는 그림자</v>
      </c>
      <c r="J481">
        <v>100</v>
      </c>
      <c r="K481">
        <v>600</v>
      </c>
      <c r="L481">
        <v>6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600</v>
      </c>
      <c r="AH481">
        <v>6</v>
      </c>
      <c r="AI481">
        <v>0</v>
      </c>
      <c r="AJ481">
        <v>0</v>
      </c>
      <c r="AK481">
        <v>310</v>
      </c>
      <c r="AL481">
        <v>0</v>
      </c>
      <c r="AM481">
        <v>348</v>
      </c>
      <c r="AN481">
        <v>-56.4</v>
      </c>
      <c r="AO481">
        <v>0</v>
      </c>
      <c r="AP481">
        <v>108</v>
      </c>
      <c r="AQ481">
        <v>-32.4</v>
      </c>
      <c r="AR481">
        <v>0</v>
      </c>
      <c r="AS481">
        <v>240</v>
      </c>
      <c r="AT481">
        <v>-24</v>
      </c>
      <c r="AU481">
        <v>0</v>
      </c>
      <c r="AW481">
        <v>0</v>
      </c>
      <c r="AX481">
        <v>0</v>
      </c>
      <c r="AY481">
        <v>421.12</v>
      </c>
      <c r="BC481" t="str">
        <f t="shared" si="59"/>
        <v>9791166067563</v>
      </c>
      <c r="BE481" t="str">
        <f t="shared" si="60"/>
        <v>판타지 웹소설 &gt; 현대 판타지</v>
      </c>
    </row>
    <row r="482" spans="1:57" x14ac:dyDescent="0.3">
      <c r="A482">
        <v>2313011400</v>
      </c>
      <c r="B482">
        <v>1525007612</v>
      </c>
      <c r="C482" t="str">
        <f>T("최종 보스 19권 18화")</f>
        <v>최종 보스 19권 18화</v>
      </c>
      <c r="D482" t="str">
        <f>T("390")</f>
        <v>390</v>
      </c>
      <c r="E482" t="str">
        <f t="shared" si="56"/>
        <v>무장</v>
      </c>
      <c r="H482" t="str">
        <f t="shared" si="57"/>
        <v>스토리위즈</v>
      </c>
      <c r="I482" t="str">
        <f t="shared" si="58"/>
        <v>최종 보스 : 빛을 향해 달리는 그림자</v>
      </c>
      <c r="J482">
        <v>100</v>
      </c>
      <c r="K482">
        <v>600</v>
      </c>
      <c r="L482">
        <v>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600</v>
      </c>
      <c r="AH482">
        <v>6</v>
      </c>
      <c r="AI482">
        <v>0</v>
      </c>
      <c r="AJ482">
        <v>0</v>
      </c>
      <c r="AK482">
        <v>400</v>
      </c>
      <c r="AL482">
        <v>0</v>
      </c>
      <c r="AM482">
        <v>240</v>
      </c>
      <c r="AN482">
        <v>-48</v>
      </c>
      <c r="AO482">
        <v>0</v>
      </c>
      <c r="AP482">
        <v>120</v>
      </c>
      <c r="AQ482">
        <v>-36</v>
      </c>
      <c r="AR482">
        <v>0</v>
      </c>
      <c r="AS482">
        <v>120</v>
      </c>
      <c r="AT482">
        <v>-12</v>
      </c>
      <c r="AU482">
        <v>0</v>
      </c>
      <c r="AW482">
        <v>0</v>
      </c>
      <c r="AX482">
        <v>0</v>
      </c>
      <c r="AY482">
        <v>414.4</v>
      </c>
      <c r="BC482" t="str">
        <f t="shared" si="59"/>
        <v>9791166067563</v>
      </c>
      <c r="BE482" t="str">
        <f t="shared" si="60"/>
        <v>판타지 웹소설 &gt; 현대 판타지</v>
      </c>
    </row>
    <row r="483" spans="1:57" x14ac:dyDescent="0.3">
      <c r="A483">
        <v>2313011400</v>
      </c>
      <c r="B483">
        <v>1525007669</v>
      </c>
      <c r="C483" t="str">
        <f>T("최종 보스 22권 14화")</f>
        <v>최종 보스 22권 14화</v>
      </c>
      <c r="D483" t="str">
        <f>T("447")</f>
        <v>447</v>
      </c>
      <c r="E483" t="str">
        <f t="shared" si="56"/>
        <v>무장</v>
      </c>
      <c r="H483" t="str">
        <f t="shared" si="57"/>
        <v>스토리위즈</v>
      </c>
      <c r="I483" t="str">
        <f t="shared" si="58"/>
        <v>최종 보스 : 빛을 향해 달리는 그림자</v>
      </c>
      <c r="J483">
        <v>100</v>
      </c>
      <c r="K483">
        <v>600</v>
      </c>
      <c r="L483">
        <v>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600</v>
      </c>
      <c r="AH483">
        <v>6</v>
      </c>
      <c r="AI483">
        <v>0</v>
      </c>
      <c r="AJ483">
        <v>0</v>
      </c>
      <c r="AK483">
        <v>400</v>
      </c>
      <c r="AL483">
        <v>0</v>
      </c>
      <c r="AM483">
        <v>240</v>
      </c>
      <c r="AN483">
        <v>-48</v>
      </c>
      <c r="AO483">
        <v>0</v>
      </c>
      <c r="AQ483">
        <v>0</v>
      </c>
      <c r="AR483">
        <v>0</v>
      </c>
      <c r="AS483">
        <v>240</v>
      </c>
      <c r="AT483">
        <v>-48</v>
      </c>
      <c r="AU483">
        <v>0</v>
      </c>
      <c r="AW483">
        <v>0</v>
      </c>
      <c r="AX483">
        <v>0</v>
      </c>
      <c r="AY483">
        <v>414.4</v>
      </c>
      <c r="BC483" t="str">
        <f t="shared" si="59"/>
        <v>9791166067563</v>
      </c>
      <c r="BE483" t="str">
        <f t="shared" si="60"/>
        <v>판타지 웹소설 &gt; 현대 판타지</v>
      </c>
    </row>
    <row r="484" spans="1:57" x14ac:dyDescent="0.3">
      <c r="A484">
        <v>2313011400</v>
      </c>
      <c r="B484">
        <v>1525007726</v>
      </c>
      <c r="C484" t="str">
        <f>T("최종 보스 25권 11화")</f>
        <v>최종 보스 25권 11화</v>
      </c>
      <c r="D484" t="str">
        <f>T("504")</f>
        <v>504</v>
      </c>
      <c r="E484" t="str">
        <f t="shared" si="56"/>
        <v>무장</v>
      </c>
      <c r="H484" t="str">
        <f t="shared" si="57"/>
        <v>스토리위즈</v>
      </c>
      <c r="I484" t="str">
        <f t="shared" si="58"/>
        <v>최종 보스 : 빛을 향해 달리는 그림자</v>
      </c>
      <c r="J484">
        <v>100</v>
      </c>
      <c r="K484">
        <v>600</v>
      </c>
      <c r="L484">
        <v>6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600</v>
      </c>
      <c r="AH484">
        <v>6</v>
      </c>
      <c r="AI484">
        <v>0</v>
      </c>
      <c r="AJ484">
        <v>0</v>
      </c>
      <c r="AK484">
        <v>311</v>
      </c>
      <c r="AL484">
        <v>0</v>
      </c>
      <c r="AM484">
        <v>346.8</v>
      </c>
      <c r="AN484">
        <v>-56.04</v>
      </c>
      <c r="AO484">
        <v>0</v>
      </c>
      <c r="AP484">
        <v>106.8</v>
      </c>
      <c r="AQ484">
        <v>-32.04</v>
      </c>
      <c r="AR484">
        <v>0</v>
      </c>
      <c r="AS484">
        <v>240</v>
      </c>
      <c r="AT484">
        <v>-24</v>
      </c>
      <c r="AU484">
        <v>0</v>
      </c>
      <c r="AW484">
        <v>0</v>
      </c>
      <c r="AX484">
        <v>0</v>
      </c>
      <c r="AY484">
        <v>421.23</v>
      </c>
      <c r="BC484" t="str">
        <f t="shared" si="59"/>
        <v>9791166067563</v>
      </c>
      <c r="BE484" t="str">
        <f t="shared" si="60"/>
        <v>판타지 웹소설 &gt; 현대 판타지</v>
      </c>
    </row>
    <row r="485" spans="1:57" x14ac:dyDescent="0.3">
      <c r="A485">
        <v>2313011400</v>
      </c>
      <c r="B485">
        <v>1525007580</v>
      </c>
      <c r="C485" t="str">
        <f>T("최종 보스 18권 6화")</f>
        <v>최종 보스 18권 6화</v>
      </c>
      <c r="D485" t="str">
        <f>T("358")</f>
        <v>358</v>
      </c>
      <c r="E485" t="str">
        <f t="shared" si="56"/>
        <v>무장</v>
      </c>
      <c r="H485" t="str">
        <f t="shared" si="57"/>
        <v>스토리위즈</v>
      </c>
      <c r="I485" t="str">
        <f t="shared" si="58"/>
        <v>최종 보스 : 빛을 향해 달리는 그림자</v>
      </c>
      <c r="J485">
        <v>100</v>
      </c>
      <c r="K485">
        <v>600</v>
      </c>
      <c r="L485">
        <v>6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600</v>
      </c>
      <c r="AH485">
        <v>6</v>
      </c>
      <c r="AI485">
        <v>0</v>
      </c>
      <c r="AJ485">
        <v>0</v>
      </c>
      <c r="AK485">
        <v>400</v>
      </c>
      <c r="AL485">
        <v>0</v>
      </c>
      <c r="AM485">
        <v>240</v>
      </c>
      <c r="AN485">
        <v>-48</v>
      </c>
      <c r="AO485">
        <v>0</v>
      </c>
      <c r="AP485">
        <v>120</v>
      </c>
      <c r="AQ485">
        <v>-36</v>
      </c>
      <c r="AR485">
        <v>0</v>
      </c>
      <c r="AS485">
        <v>120</v>
      </c>
      <c r="AT485">
        <v>-12</v>
      </c>
      <c r="AU485">
        <v>0</v>
      </c>
      <c r="AW485">
        <v>0</v>
      </c>
      <c r="AX485">
        <v>0</v>
      </c>
      <c r="AY485">
        <v>414.4</v>
      </c>
      <c r="BC485" t="str">
        <f t="shared" si="59"/>
        <v>9791166067563</v>
      </c>
      <c r="BE485" t="str">
        <f t="shared" si="60"/>
        <v>판타지 웹소설 &gt; 현대 판타지</v>
      </c>
    </row>
    <row r="486" spans="1:57" x14ac:dyDescent="0.3">
      <c r="A486">
        <v>2313011400</v>
      </c>
      <c r="B486">
        <v>1525007637</v>
      </c>
      <c r="C486" t="str">
        <f>T("최종 보스 21권 2화")</f>
        <v>최종 보스 21권 2화</v>
      </c>
      <c r="D486" t="str">
        <f>T("415")</f>
        <v>415</v>
      </c>
      <c r="E486" t="str">
        <f t="shared" si="56"/>
        <v>무장</v>
      </c>
      <c r="H486" t="str">
        <f t="shared" si="57"/>
        <v>스토리위즈</v>
      </c>
      <c r="I486" t="str">
        <f t="shared" si="58"/>
        <v>최종 보스 : 빛을 향해 달리는 그림자</v>
      </c>
      <c r="J486">
        <v>100</v>
      </c>
      <c r="K486">
        <v>600</v>
      </c>
      <c r="L486">
        <v>6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600</v>
      </c>
      <c r="AH486">
        <v>6</v>
      </c>
      <c r="AI486">
        <v>0</v>
      </c>
      <c r="AJ486">
        <v>0</v>
      </c>
      <c r="AK486">
        <v>400</v>
      </c>
      <c r="AL486">
        <v>0</v>
      </c>
      <c r="AM486">
        <v>240</v>
      </c>
      <c r="AN486">
        <v>-48</v>
      </c>
      <c r="AO486">
        <v>0</v>
      </c>
      <c r="AP486">
        <v>120</v>
      </c>
      <c r="AQ486">
        <v>-36</v>
      </c>
      <c r="AR486">
        <v>0</v>
      </c>
      <c r="AS486">
        <v>120</v>
      </c>
      <c r="AT486">
        <v>-12</v>
      </c>
      <c r="AU486">
        <v>0</v>
      </c>
      <c r="AW486">
        <v>0</v>
      </c>
      <c r="AX486">
        <v>0</v>
      </c>
      <c r="AY486">
        <v>414.4</v>
      </c>
      <c r="BC486" t="str">
        <f t="shared" si="59"/>
        <v>9791166067563</v>
      </c>
      <c r="BE486" t="str">
        <f t="shared" si="60"/>
        <v>판타지 웹소설 &gt; 현대 판타지</v>
      </c>
    </row>
    <row r="487" spans="1:57" x14ac:dyDescent="0.3">
      <c r="A487">
        <v>2313011400</v>
      </c>
      <c r="B487">
        <v>1525007626</v>
      </c>
      <c r="C487" t="str">
        <f>T("최종 보스 20권 11화")</f>
        <v>최종 보스 20권 11화</v>
      </c>
      <c r="D487" t="str">
        <f>T("404")</f>
        <v>404</v>
      </c>
      <c r="E487" t="str">
        <f t="shared" si="56"/>
        <v>무장</v>
      </c>
      <c r="H487" t="str">
        <f t="shared" si="57"/>
        <v>스토리위즈</v>
      </c>
      <c r="I487" t="str">
        <f t="shared" si="58"/>
        <v>최종 보스 : 빛을 향해 달리는 그림자</v>
      </c>
      <c r="J487">
        <v>100</v>
      </c>
      <c r="K487">
        <v>600</v>
      </c>
      <c r="L487">
        <v>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600</v>
      </c>
      <c r="AH487">
        <v>6</v>
      </c>
      <c r="AI487">
        <v>0</v>
      </c>
      <c r="AJ487">
        <v>0</v>
      </c>
      <c r="AK487">
        <v>400</v>
      </c>
      <c r="AL487">
        <v>0</v>
      </c>
      <c r="AM487">
        <v>240</v>
      </c>
      <c r="AN487">
        <v>-48</v>
      </c>
      <c r="AO487">
        <v>0</v>
      </c>
      <c r="AP487">
        <v>120</v>
      </c>
      <c r="AQ487">
        <v>-36</v>
      </c>
      <c r="AR487">
        <v>0</v>
      </c>
      <c r="AS487">
        <v>120</v>
      </c>
      <c r="AT487">
        <v>-12</v>
      </c>
      <c r="AU487">
        <v>0</v>
      </c>
      <c r="AW487">
        <v>0</v>
      </c>
      <c r="AX487">
        <v>0</v>
      </c>
      <c r="AY487">
        <v>414.4</v>
      </c>
      <c r="BC487" t="str">
        <f t="shared" si="59"/>
        <v>9791166067563</v>
      </c>
      <c r="BE487" t="str">
        <f t="shared" si="60"/>
        <v>판타지 웹소설 &gt; 현대 판타지</v>
      </c>
    </row>
    <row r="488" spans="1:57" x14ac:dyDescent="0.3">
      <c r="A488">
        <v>2313011400</v>
      </c>
      <c r="B488">
        <v>1525007683</v>
      </c>
      <c r="C488" t="str">
        <f>T("최종 보스 23권 8화")</f>
        <v>최종 보스 23권 8화</v>
      </c>
      <c r="D488" t="str">
        <f>T("461")</f>
        <v>461</v>
      </c>
      <c r="E488" t="str">
        <f t="shared" si="56"/>
        <v>무장</v>
      </c>
      <c r="H488" t="str">
        <f t="shared" si="57"/>
        <v>스토리위즈</v>
      </c>
      <c r="I488" t="str">
        <f t="shared" si="58"/>
        <v>최종 보스 : 빛을 향해 달리는 그림자</v>
      </c>
      <c r="J488">
        <v>100</v>
      </c>
      <c r="K488">
        <v>600</v>
      </c>
      <c r="L488">
        <v>6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600</v>
      </c>
      <c r="AH488">
        <v>6</v>
      </c>
      <c r="AI488">
        <v>0</v>
      </c>
      <c r="AJ488">
        <v>0</v>
      </c>
      <c r="AK488">
        <v>310</v>
      </c>
      <c r="AL488">
        <v>0</v>
      </c>
      <c r="AM488">
        <v>348</v>
      </c>
      <c r="AN488">
        <v>-56.4</v>
      </c>
      <c r="AO488">
        <v>0</v>
      </c>
      <c r="AP488">
        <v>108</v>
      </c>
      <c r="AQ488">
        <v>-32.4</v>
      </c>
      <c r="AR488">
        <v>0</v>
      </c>
      <c r="AS488">
        <v>240</v>
      </c>
      <c r="AT488">
        <v>-24</v>
      </c>
      <c r="AU488">
        <v>0</v>
      </c>
      <c r="AW488">
        <v>0</v>
      </c>
      <c r="AX488">
        <v>0</v>
      </c>
      <c r="AY488">
        <v>421.12</v>
      </c>
      <c r="BC488" t="str">
        <f t="shared" si="59"/>
        <v>9791166067563</v>
      </c>
      <c r="BE488" t="str">
        <f t="shared" si="60"/>
        <v>판타지 웹소설 &gt; 현대 판타지</v>
      </c>
    </row>
    <row r="489" spans="1:57" x14ac:dyDescent="0.3">
      <c r="A489">
        <v>2313011400</v>
      </c>
      <c r="B489">
        <v>1525007601</v>
      </c>
      <c r="C489" t="str">
        <f>T("최종 보스 19권 7화")</f>
        <v>최종 보스 19권 7화</v>
      </c>
      <c r="D489" t="str">
        <f>T("379")</f>
        <v>379</v>
      </c>
      <c r="E489" t="str">
        <f t="shared" si="56"/>
        <v>무장</v>
      </c>
      <c r="H489" t="str">
        <f t="shared" si="57"/>
        <v>스토리위즈</v>
      </c>
      <c r="I489" t="str">
        <f t="shared" si="58"/>
        <v>최종 보스 : 빛을 향해 달리는 그림자</v>
      </c>
      <c r="J489">
        <v>100</v>
      </c>
      <c r="K489">
        <v>600</v>
      </c>
      <c r="L489">
        <v>6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600</v>
      </c>
      <c r="AH489">
        <v>6</v>
      </c>
      <c r="AI489">
        <v>0</v>
      </c>
      <c r="AJ489">
        <v>0</v>
      </c>
      <c r="AK489">
        <v>400</v>
      </c>
      <c r="AL489">
        <v>0</v>
      </c>
      <c r="AM489">
        <v>240</v>
      </c>
      <c r="AN489">
        <v>-48</v>
      </c>
      <c r="AO489">
        <v>0</v>
      </c>
      <c r="AP489">
        <v>120</v>
      </c>
      <c r="AQ489">
        <v>-36</v>
      </c>
      <c r="AR489">
        <v>0</v>
      </c>
      <c r="AS489">
        <v>120</v>
      </c>
      <c r="AT489">
        <v>-12</v>
      </c>
      <c r="AU489">
        <v>0</v>
      </c>
      <c r="AW489">
        <v>0</v>
      </c>
      <c r="AX489">
        <v>0</v>
      </c>
      <c r="AY489">
        <v>414.4</v>
      </c>
      <c r="BC489" t="str">
        <f t="shared" si="59"/>
        <v>9791166067563</v>
      </c>
      <c r="BE489" t="str">
        <f t="shared" si="60"/>
        <v>판타지 웹소설 &gt; 현대 판타지</v>
      </c>
    </row>
    <row r="490" spans="1:57" x14ac:dyDescent="0.3">
      <c r="A490">
        <v>2313011400</v>
      </c>
      <c r="B490">
        <v>1525007658</v>
      </c>
      <c r="C490" t="str">
        <f>T("최종 보스 22권 3화")</f>
        <v>최종 보스 22권 3화</v>
      </c>
      <c r="D490" t="str">
        <f>T("436")</f>
        <v>436</v>
      </c>
      <c r="E490" t="str">
        <f t="shared" si="56"/>
        <v>무장</v>
      </c>
      <c r="H490" t="str">
        <f t="shared" si="57"/>
        <v>스토리위즈</v>
      </c>
      <c r="I490" t="str">
        <f t="shared" si="58"/>
        <v>최종 보스 : 빛을 향해 달리는 그림자</v>
      </c>
      <c r="J490">
        <v>100</v>
      </c>
      <c r="K490">
        <v>600</v>
      </c>
      <c r="L490">
        <v>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600</v>
      </c>
      <c r="AH490">
        <v>6</v>
      </c>
      <c r="AI490">
        <v>0</v>
      </c>
      <c r="AJ490">
        <v>0</v>
      </c>
      <c r="AK490">
        <v>400</v>
      </c>
      <c r="AL490">
        <v>0</v>
      </c>
      <c r="AM490">
        <v>240</v>
      </c>
      <c r="AN490">
        <v>-48</v>
      </c>
      <c r="AO490">
        <v>0</v>
      </c>
      <c r="AQ490">
        <v>0</v>
      </c>
      <c r="AR490">
        <v>0</v>
      </c>
      <c r="AS490">
        <v>240</v>
      </c>
      <c r="AT490">
        <v>-48</v>
      </c>
      <c r="AU490">
        <v>0</v>
      </c>
      <c r="AW490">
        <v>0</v>
      </c>
      <c r="AX490">
        <v>0</v>
      </c>
      <c r="AY490">
        <v>414.4</v>
      </c>
      <c r="BC490" t="str">
        <f t="shared" si="59"/>
        <v>9791166067563</v>
      </c>
      <c r="BE490" t="str">
        <f t="shared" si="60"/>
        <v>판타지 웹소설 &gt; 현대 판타지</v>
      </c>
    </row>
    <row r="491" spans="1:57" x14ac:dyDescent="0.3">
      <c r="A491">
        <v>2313011400</v>
      </c>
      <c r="B491">
        <v>1525007715</v>
      </c>
      <c r="C491" t="str">
        <f>T("최종 보스 24권 20화")</f>
        <v>최종 보스 24권 20화</v>
      </c>
      <c r="D491" t="str">
        <f>T("493")</f>
        <v>493</v>
      </c>
      <c r="E491" t="str">
        <f t="shared" si="56"/>
        <v>무장</v>
      </c>
      <c r="H491" t="str">
        <f t="shared" si="57"/>
        <v>스토리위즈</v>
      </c>
      <c r="I491" t="str">
        <f t="shared" si="58"/>
        <v>최종 보스 : 빛을 향해 달리는 그림자</v>
      </c>
      <c r="J491">
        <v>100</v>
      </c>
      <c r="K491">
        <v>600</v>
      </c>
      <c r="L491">
        <v>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600</v>
      </c>
      <c r="AH491">
        <v>6</v>
      </c>
      <c r="AI491">
        <v>0</v>
      </c>
      <c r="AJ491">
        <v>0</v>
      </c>
      <c r="AK491">
        <v>311</v>
      </c>
      <c r="AL491">
        <v>0</v>
      </c>
      <c r="AM491">
        <v>346.8</v>
      </c>
      <c r="AN491">
        <v>-56.04</v>
      </c>
      <c r="AO491">
        <v>0</v>
      </c>
      <c r="AP491">
        <v>106.8</v>
      </c>
      <c r="AQ491">
        <v>-32.04</v>
      </c>
      <c r="AR491">
        <v>0</v>
      </c>
      <c r="AS491">
        <v>240</v>
      </c>
      <c r="AT491">
        <v>-24</v>
      </c>
      <c r="AU491">
        <v>0</v>
      </c>
      <c r="AW491">
        <v>0</v>
      </c>
      <c r="AX491">
        <v>0</v>
      </c>
      <c r="AY491">
        <v>421.23</v>
      </c>
      <c r="BC491" t="str">
        <f t="shared" si="59"/>
        <v>9791166067563</v>
      </c>
      <c r="BE491" t="str">
        <f t="shared" si="60"/>
        <v>판타지 웹소설 &gt; 현대 판타지</v>
      </c>
    </row>
    <row r="492" spans="1:57" x14ac:dyDescent="0.3">
      <c r="A492">
        <v>2313011400</v>
      </c>
      <c r="B492">
        <v>1525007590</v>
      </c>
      <c r="C492" t="str">
        <f>T("최종 보스 18권 16화")</f>
        <v>최종 보스 18권 16화</v>
      </c>
      <c r="D492" t="str">
        <f>T("368")</f>
        <v>368</v>
      </c>
      <c r="E492" t="str">
        <f t="shared" ref="E492:E513" si="61">T("무장")</f>
        <v>무장</v>
      </c>
      <c r="H492" t="str">
        <f t="shared" ref="H492:H513" si="62">T("스토리위즈")</f>
        <v>스토리위즈</v>
      </c>
      <c r="I492" t="str">
        <f t="shared" ref="I492:I513" si="63">T("최종 보스 : 빛을 향해 달리는 그림자")</f>
        <v>최종 보스 : 빛을 향해 달리는 그림자</v>
      </c>
      <c r="J492">
        <v>100</v>
      </c>
      <c r="K492">
        <v>600</v>
      </c>
      <c r="L492">
        <v>6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600</v>
      </c>
      <c r="AH492">
        <v>6</v>
      </c>
      <c r="AI492">
        <v>0</v>
      </c>
      <c r="AJ492">
        <v>0</v>
      </c>
      <c r="AK492">
        <v>400</v>
      </c>
      <c r="AL492">
        <v>0</v>
      </c>
      <c r="AM492">
        <v>240</v>
      </c>
      <c r="AN492">
        <v>-48</v>
      </c>
      <c r="AO492">
        <v>0</v>
      </c>
      <c r="AP492">
        <v>120</v>
      </c>
      <c r="AQ492">
        <v>-36</v>
      </c>
      <c r="AR492">
        <v>0</v>
      </c>
      <c r="AS492">
        <v>120</v>
      </c>
      <c r="AT492">
        <v>-12</v>
      </c>
      <c r="AU492">
        <v>0</v>
      </c>
      <c r="AW492">
        <v>0</v>
      </c>
      <c r="AX492">
        <v>0</v>
      </c>
      <c r="AY492">
        <v>414.4</v>
      </c>
      <c r="BC492" t="str">
        <f t="shared" ref="BC492:BC513" si="64">T("9791166067563")</f>
        <v>9791166067563</v>
      </c>
      <c r="BE492" t="str">
        <f t="shared" ref="BE492:BE513" si="65">T("판타지 웹소설 &gt; 현대 판타지")</f>
        <v>판타지 웹소설 &gt; 현대 판타지</v>
      </c>
    </row>
    <row r="493" spans="1:57" x14ac:dyDescent="0.3">
      <c r="A493">
        <v>2313011400</v>
      </c>
      <c r="B493">
        <v>1525007647</v>
      </c>
      <c r="C493" t="str">
        <f>T("최종 보스 21권 12화")</f>
        <v>최종 보스 21권 12화</v>
      </c>
      <c r="D493" t="str">
        <f>T("425")</f>
        <v>425</v>
      </c>
      <c r="E493" t="str">
        <f t="shared" si="61"/>
        <v>무장</v>
      </c>
      <c r="H493" t="str">
        <f t="shared" si="62"/>
        <v>스토리위즈</v>
      </c>
      <c r="I493" t="str">
        <f t="shared" si="63"/>
        <v>최종 보스 : 빛을 향해 달리는 그림자</v>
      </c>
      <c r="J493">
        <v>100</v>
      </c>
      <c r="K493">
        <v>600</v>
      </c>
      <c r="L493">
        <v>6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600</v>
      </c>
      <c r="AH493">
        <v>6</v>
      </c>
      <c r="AI493">
        <v>0</v>
      </c>
      <c r="AJ493">
        <v>0</v>
      </c>
      <c r="AK493">
        <v>400</v>
      </c>
      <c r="AL493">
        <v>0</v>
      </c>
      <c r="AM493">
        <v>240</v>
      </c>
      <c r="AN493">
        <v>-48</v>
      </c>
      <c r="AO493">
        <v>0</v>
      </c>
      <c r="AQ493">
        <v>0</v>
      </c>
      <c r="AR493">
        <v>0</v>
      </c>
      <c r="AS493">
        <v>240</v>
      </c>
      <c r="AT493">
        <v>-48</v>
      </c>
      <c r="AU493">
        <v>0</v>
      </c>
      <c r="AW493">
        <v>0</v>
      </c>
      <c r="AX493">
        <v>0</v>
      </c>
      <c r="AY493">
        <v>414.4</v>
      </c>
      <c r="BC493" t="str">
        <f t="shared" si="64"/>
        <v>9791166067563</v>
      </c>
      <c r="BE493" t="str">
        <f t="shared" si="65"/>
        <v>판타지 웹소설 &gt; 현대 판타지</v>
      </c>
    </row>
    <row r="494" spans="1:57" x14ac:dyDescent="0.3">
      <c r="A494">
        <v>2313011400</v>
      </c>
      <c r="B494">
        <v>1525007704</v>
      </c>
      <c r="C494" t="str">
        <f>T("최종 보스 24권 9화")</f>
        <v>최종 보스 24권 9화</v>
      </c>
      <c r="D494" t="str">
        <f>T("482")</f>
        <v>482</v>
      </c>
      <c r="E494" t="str">
        <f t="shared" si="61"/>
        <v>무장</v>
      </c>
      <c r="H494" t="str">
        <f t="shared" si="62"/>
        <v>스토리위즈</v>
      </c>
      <c r="I494" t="str">
        <f t="shared" si="63"/>
        <v>최종 보스 : 빛을 향해 달리는 그림자</v>
      </c>
      <c r="J494">
        <v>100</v>
      </c>
      <c r="K494">
        <v>600</v>
      </c>
      <c r="L494">
        <v>6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600</v>
      </c>
      <c r="AH494">
        <v>6</v>
      </c>
      <c r="AI494">
        <v>0</v>
      </c>
      <c r="AJ494">
        <v>0</v>
      </c>
      <c r="AK494">
        <v>310</v>
      </c>
      <c r="AL494">
        <v>0</v>
      </c>
      <c r="AM494">
        <v>348</v>
      </c>
      <c r="AN494">
        <v>-56.4</v>
      </c>
      <c r="AO494">
        <v>0</v>
      </c>
      <c r="AP494">
        <v>108</v>
      </c>
      <c r="AQ494">
        <v>-32.4</v>
      </c>
      <c r="AR494">
        <v>0</v>
      </c>
      <c r="AS494">
        <v>240</v>
      </c>
      <c r="AT494">
        <v>-24</v>
      </c>
      <c r="AU494">
        <v>0</v>
      </c>
      <c r="AW494">
        <v>0</v>
      </c>
      <c r="AX494">
        <v>0</v>
      </c>
      <c r="AY494">
        <v>421.12</v>
      </c>
      <c r="BC494" t="str">
        <f t="shared" si="64"/>
        <v>9791166067563</v>
      </c>
      <c r="BE494" t="str">
        <f t="shared" si="65"/>
        <v>판타지 웹소설 &gt; 현대 판타지</v>
      </c>
    </row>
    <row r="495" spans="1:57" x14ac:dyDescent="0.3">
      <c r="A495">
        <v>2313011400</v>
      </c>
      <c r="B495">
        <v>1525007611</v>
      </c>
      <c r="C495" t="str">
        <f>T("최종 보스 19권 17화")</f>
        <v>최종 보스 19권 17화</v>
      </c>
      <c r="D495" t="str">
        <f>T("389")</f>
        <v>389</v>
      </c>
      <c r="E495" t="str">
        <f t="shared" si="61"/>
        <v>무장</v>
      </c>
      <c r="H495" t="str">
        <f t="shared" si="62"/>
        <v>스토리위즈</v>
      </c>
      <c r="I495" t="str">
        <f t="shared" si="63"/>
        <v>최종 보스 : 빛을 향해 달리는 그림자</v>
      </c>
      <c r="J495">
        <v>100</v>
      </c>
      <c r="K495">
        <v>600</v>
      </c>
      <c r="L495">
        <v>6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600</v>
      </c>
      <c r="AH495">
        <v>6</v>
      </c>
      <c r="AI495">
        <v>0</v>
      </c>
      <c r="AJ495">
        <v>0</v>
      </c>
      <c r="AK495">
        <v>400</v>
      </c>
      <c r="AL495">
        <v>0</v>
      </c>
      <c r="AM495">
        <v>240</v>
      </c>
      <c r="AN495">
        <v>-48</v>
      </c>
      <c r="AO495">
        <v>0</v>
      </c>
      <c r="AP495">
        <v>120</v>
      </c>
      <c r="AQ495">
        <v>-36</v>
      </c>
      <c r="AR495">
        <v>0</v>
      </c>
      <c r="AS495">
        <v>120</v>
      </c>
      <c r="AT495">
        <v>-12</v>
      </c>
      <c r="AU495">
        <v>0</v>
      </c>
      <c r="AW495">
        <v>0</v>
      </c>
      <c r="AX495">
        <v>0</v>
      </c>
      <c r="AY495">
        <v>414.4</v>
      </c>
      <c r="BC495" t="str">
        <f t="shared" si="64"/>
        <v>9791166067563</v>
      </c>
      <c r="BE495" t="str">
        <f t="shared" si="65"/>
        <v>판타지 웹소설 &gt; 현대 판타지</v>
      </c>
    </row>
    <row r="496" spans="1:57" x14ac:dyDescent="0.3">
      <c r="A496">
        <v>2313011400</v>
      </c>
      <c r="B496">
        <v>1525007668</v>
      </c>
      <c r="C496" t="str">
        <f>T("최종 보스 22권 13화")</f>
        <v>최종 보스 22권 13화</v>
      </c>
      <c r="D496" t="str">
        <f>T("446")</f>
        <v>446</v>
      </c>
      <c r="E496" t="str">
        <f t="shared" si="61"/>
        <v>무장</v>
      </c>
      <c r="H496" t="str">
        <f t="shared" si="62"/>
        <v>스토리위즈</v>
      </c>
      <c r="I496" t="str">
        <f t="shared" si="63"/>
        <v>최종 보스 : 빛을 향해 달리는 그림자</v>
      </c>
      <c r="J496">
        <v>100</v>
      </c>
      <c r="K496">
        <v>600</v>
      </c>
      <c r="L496">
        <v>6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600</v>
      </c>
      <c r="AH496">
        <v>6</v>
      </c>
      <c r="AI496">
        <v>0</v>
      </c>
      <c r="AJ496">
        <v>0</v>
      </c>
      <c r="AK496">
        <v>400</v>
      </c>
      <c r="AL496">
        <v>0</v>
      </c>
      <c r="AM496">
        <v>240</v>
      </c>
      <c r="AN496">
        <v>-48</v>
      </c>
      <c r="AO496">
        <v>0</v>
      </c>
      <c r="AQ496">
        <v>0</v>
      </c>
      <c r="AR496">
        <v>0</v>
      </c>
      <c r="AS496">
        <v>240</v>
      </c>
      <c r="AT496">
        <v>-48</v>
      </c>
      <c r="AU496">
        <v>0</v>
      </c>
      <c r="AW496">
        <v>0</v>
      </c>
      <c r="AX496">
        <v>0</v>
      </c>
      <c r="AY496">
        <v>414.4</v>
      </c>
      <c r="BC496" t="str">
        <f t="shared" si="64"/>
        <v>9791166067563</v>
      </c>
      <c r="BE496" t="str">
        <f t="shared" si="65"/>
        <v>판타지 웹소설 &gt; 현대 판타지</v>
      </c>
    </row>
    <row r="497" spans="1:57" x14ac:dyDescent="0.3">
      <c r="A497">
        <v>2313011400</v>
      </c>
      <c r="B497">
        <v>1525007725</v>
      </c>
      <c r="C497" t="str">
        <f>T("최종 보스 25권 10화")</f>
        <v>최종 보스 25권 10화</v>
      </c>
      <c r="D497" t="str">
        <f>T("503")</f>
        <v>503</v>
      </c>
      <c r="E497" t="str">
        <f t="shared" si="61"/>
        <v>무장</v>
      </c>
      <c r="H497" t="str">
        <f t="shared" si="62"/>
        <v>스토리위즈</v>
      </c>
      <c r="I497" t="str">
        <f t="shared" si="63"/>
        <v>최종 보스 : 빛을 향해 달리는 그림자</v>
      </c>
      <c r="J497">
        <v>100</v>
      </c>
      <c r="K497">
        <v>600</v>
      </c>
      <c r="L497">
        <v>6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600</v>
      </c>
      <c r="AH497">
        <v>6</v>
      </c>
      <c r="AI497">
        <v>0</v>
      </c>
      <c r="AJ497">
        <v>0</v>
      </c>
      <c r="AK497">
        <v>311</v>
      </c>
      <c r="AL497">
        <v>0</v>
      </c>
      <c r="AM497">
        <v>346.8</v>
      </c>
      <c r="AN497">
        <v>-56.04</v>
      </c>
      <c r="AO497">
        <v>0</v>
      </c>
      <c r="AP497">
        <v>106.8</v>
      </c>
      <c r="AQ497">
        <v>-32.04</v>
      </c>
      <c r="AR497">
        <v>0</v>
      </c>
      <c r="AS497">
        <v>240</v>
      </c>
      <c r="AT497">
        <v>-24</v>
      </c>
      <c r="AU497">
        <v>0</v>
      </c>
      <c r="AW497">
        <v>0</v>
      </c>
      <c r="AX497">
        <v>0</v>
      </c>
      <c r="AY497">
        <v>421.23</v>
      </c>
      <c r="BC497" t="str">
        <f t="shared" si="64"/>
        <v>9791166067563</v>
      </c>
      <c r="BE497" t="str">
        <f t="shared" si="65"/>
        <v>판타지 웹소설 &gt; 현대 판타지</v>
      </c>
    </row>
    <row r="498" spans="1:57" x14ac:dyDescent="0.3">
      <c r="A498">
        <v>2313011400</v>
      </c>
      <c r="B498">
        <v>1525007579</v>
      </c>
      <c r="C498" t="str">
        <f>T("최종 보스 18권 5화")</f>
        <v>최종 보스 18권 5화</v>
      </c>
      <c r="D498" t="str">
        <f>T("357")</f>
        <v>357</v>
      </c>
      <c r="E498" t="str">
        <f t="shared" si="61"/>
        <v>무장</v>
      </c>
      <c r="H498" t="str">
        <f t="shared" si="62"/>
        <v>스토리위즈</v>
      </c>
      <c r="I498" t="str">
        <f t="shared" si="63"/>
        <v>최종 보스 : 빛을 향해 달리는 그림자</v>
      </c>
      <c r="J498">
        <v>100</v>
      </c>
      <c r="K498">
        <v>600</v>
      </c>
      <c r="L498">
        <v>6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600</v>
      </c>
      <c r="AH498">
        <v>6</v>
      </c>
      <c r="AI498">
        <v>0</v>
      </c>
      <c r="AJ498">
        <v>0</v>
      </c>
      <c r="AK498">
        <v>400</v>
      </c>
      <c r="AL498">
        <v>0</v>
      </c>
      <c r="AM498">
        <v>240</v>
      </c>
      <c r="AN498">
        <v>-48</v>
      </c>
      <c r="AO498">
        <v>0</v>
      </c>
      <c r="AP498">
        <v>120</v>
      </c>
      <c r="AQ498">
        <v>-36</v>
      </c>
      <c r="AR498">
        <v>0</v>
      </c>
      <c r="AS498">
        <v>120</v>
      </c>
      <c r="AT498">
        <v>-12</v>
      </c>
      <c r="AU498">
        <v>0</v>
      </c>
      <c r="AW498">
        <v>0</v>
      </c>
      <c r="AX498">
        <v>0</v>
      </c>
      <c r="AY498">
        <v>414.4</v>
      </c>
      <c r="BC498" t="str">
        <f t="shared" si="64"/>
        <v>9791166067563</v>
      </c>
      <c r="BE498" t="str">
        <f t="shared" si="65"/>
        <v>판타지 웹소설 &gt; 현대 판타지</v>
      </c>
    </row>
    <row r="499" spans="1:57" x14ac:dyDescent="0.3">
      <c r="A499">
        <v>2313011400</v>
      </c>
      <c r="B499">
        <v>1525007636</v>
      </c>
      <c r="C499" t="str">
        <f>T("최종 보스 21권 1화")</f>
        <v>최종 보스 21권 1화</v>
      </c>
      <c r="D499" t="str">
        <f>T("414")</f>
        <v>414</v>
      </c>
      <c r="E499" t="str">
        <f t="shared" si="61"/>
        <v>무장</v>
      </c>
      <c r="H499" t="str">
        <f t="shared" si="62"/>
        <v>스토리위즈</v>
      </c>
      <c r="I499" t="str">
        <f t="shared" si="63"/>
        <v>최종 보스 : 빛을 향해 달리는 그림자</v>
      </c>
      <c r="J499">
        <v>100</v>
      </c>
      <c r="K499">
        <v>600</v>
      </c>
      <c r="L499">
        <v>6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600</v>
      </c>
      <c r="AH499">
        <v>6</v>
      </c>
      <c r="AI499">
        <v>0</v>
      </c>
      <c r="AJ499">
        <v>0</v>
      </c>
      <c r="AK499">
        <v>400</v>
      </c>
      <c r="AL499">
        <v>0</v>
      </c>
      <c r="AM499">
        <v>240</v>
      </c>
      <c r="AN499">
        <v>-48</v>
      </c>
      <c r="AO499">
        <v>0</v>
      </c>
      <c r="AP499">
        <v>120</v>
      </c>
      <c r="AQ499">
        <v>-36</v>
      </c>
      <c r="AR499">
        <v>0</v>
      </c>
      <c r="AS499">
        <v>120</v>
      </c>
      <c r="AT499">
        <v>-12</v>
      </c>
      <c r="AU499">
        <v>0</v>
      </c>
      <c r="AW499">
        <v>0</v>
      </c>
      <c r="AX499">
        <v>0</v>
      </c>
      <c r="AY499">
        <v>414.4</v>
      </c>
      <c r="BC499" t="str">
        <f t="shared" si="64"/>
        <v>9791166067563</v>
      </c>
      <c r="BE499" t="str">
        <f t="shared" si="65"/>
        <v>판타지 웹소설 &gt; 현대 판타지</v>
      </c>
    </row>
    <row r="500" spans="1:57" x14ac:dyDescent="0.3">
      <c r="A500">
        <v>2313011400</v>
      </c>
      <c r="B500">
        <v>1525007693</v>
      </c>
      <c r="C500" t="str">
        <f>T("최종 보스 23권 18화")</f>
        <v>최종 보스 23권 18화</v>
      </c>
      <c r="D500" t="str">
        <f>T("471")</f>
        <v>471</v>
      </c>
      <c r="E500" t="str">
        <f t="shared" si="61"/>
        <v>무장</v>
      </c>
      <c r="H500" t="str">
        <f t="shared" si="62"/>
        <v>스토리위즈</v>
      </c>
      <c r="I500" t="str">
        <f t="shared" si="63"/>
        <v>최종 보스 : 빛을 향해 달리는 그림자</v>
      </c>
      <c r="J500">
        <v>100</v>
      </c>
      <c r="K500">
        <v>600</v>
      </c>
      <c r="L500">
        <v>6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600</v>
      </c>
      <c r="AH500">
        <v>6</v>
      </c>
      <c r="AI500">
        <v>0</v>
      </c>
      <c r="AJ500">
        <v>0</v>
      </c>
      <c r="AK500">
        <v>310</v>
      </c>
      <c r="AL500">
        <v>0</v>
      </c>
      <c r="AM500">
        <v>348</v>
      </c>
      <c r="AN500">
        <v>-56.4</v>
      </c>
      <c r="AO500">
        <v>0</v>
      </c>
      <c r="AP500">
        <v>108</v>
      </c>
      <c r="AQ500">
        <v>-32.4</v>
      </c>
      <c r="AR500">
        <v>0</v>
      </c>
      <c r="AS500">
        <v>240</v>
      </c>
      <c r="AT500">
        <v>-24</v>
      </c>
      <c r="AU500">
        <v>0</v>
      </c>
      <c r="AW500">
        <v>0</v>
      </c>
      <c r="AX500">
        <v>0</v>
      </c>
      <c r="AY500">
        <v>421.12</v>
      </c>
      <c r="BC500" t="str">
        <f t="shared" si="64"/>
        <v>9791166067563</v>
      </c>
      <c r="BE500" t="str">
        <f t="shared" si="65"/>
        <v>판타지 웹소설 &gt; 현대 판타지</v>
      </c>
    </row>
    <row r="501" spans="1:57" x14ac:dyDescent="0.3">
      <c r="A501">
        <v>2313011400</v>
      </c>
      <c r="B501">
        <v>1525007625</v>
      </c>
      <c r="C501" t="str">
        <f>T("최종 보스 20권 10화")</f>
        <v>최종 보스 20권 10화</v>
      </c>
      <c r="D501" t="str">
        <f>T("403")</f>
        <v>403</v>
      </c>
      <c r="E501" t="str">
        <f t="shared" si="61"/>
        <v>무장</v>
      </c>
      <c r="H501" t="str">
        <f t="shared" si="62"/>
        <v>스토리위즈</v>
      </c>
      <c r="I501" t="str">
        <f t="shared" si="63"/>
        <v>최종 보스 : 빛을 향해 달리는 그림자</v>
      </c>
      <c r="J501">
        <v>100</v>
      </c>
      <c r="K501">
        <v>600</v>
      </c>
      <c r="L501">
        <v>6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600</v>
      </c>
      <c r="AH501">
        <v>6</v>
      </c>
      <c r="AI501">
        <v>0</v>
      </c>
      <c r="AJ501">
        <v>0</v>
      </c>
      <c r="AK501">
        <v>400</v>
      </c>
      <c r="AL501">
        <v>0</v>
      </c>
      <c r="AM501">
        <v>240</v>
      </c>
      <c r="AN501">
        <v>-48</v>
      </c>
      <c r="AO501">
        <v>0</v>
      </c>
      <c r="AP501">
        <v>120</v>
      </c>
      <c r="AQ501">
        <v>-36</v>
      </c>
      <c r="AR501">
        <v>0</v>
      </c>
      <c r="AS501">
        <v>120</v>
      </c>
      <c r="AT501">
        <v>-12</v>
      </c>
      <c r="AU501">
        <v>0</v>
      </c>
      <c r="AW501">
        <v>0</v>
      </c>
      <c r="AX501">
        <v>0</v>
      </c>
      <c r="AY501">
        <v>414.4</v>
      </c>
      <c r="BC501" t="str">
        <f t="shared" si="64"/>
        <v>9791166067563</v>
      </c>
      <c r="BE501" t="str">
        <f t="shared" si="65"/>
        <v>판타지 웹소설 &gt; 현대 판타지</v>
      </c>
    </row>
    <row r="502" spans="1:57" x14ac:dyDescent="0.3">
      <c r="A502">
        <v>2313011400</v>
      </c>
      <c r="B502">
        <v>1525007682</v>
      </c>
      <c r="C502" t="str">
        <f>T("최종 보스 23권 7화")</f>
        <v>최종 보스 23권 7화</v>
      </c>
      <c r="D502" t="str">
        <f>T("460")</f>
        <v>460</v>
      </c>
      <c r="E502" t="str">
        <f t="shared" si="61"/>
        <v>무장</v>
      </c>
      <c r="H502" t="str">
        <f t="shared" si="62"/>
        <v>스토리위즈</v>
      </c>
      <c r="I502" t="str">
        <f t="shared" si="63"/>
        <v>최종 보스 : 빛을 향해 달리는 그림자</v>
      </c>
      <c r="J502">
        <v>100</v>
      </c>
      <c r="K502">
        <v>600</v>
      </c>
      <c r="L502">
        <v>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600</v>
      </c>
      <c r="AH502">
        <v>6</v>
      </c>
      <c r="AI502">
        <v>0</v>
      </c>
      <c r="AJ502">
        <v>0</v>
      </c>
      <c r="AK502">
        <v>310</v>
      </c>
      <c r="AL502">
        <v>0</v>
      </c>
      <c r="AM502">
        <v>348</v>
      </c>
      <c r="AN502">
        <v>-56.4</v>
      </c>
      <c r="AO502">
        <v>0</v>
      </c>
      <c r="AP502">
        <v>108</v>
      </c>
      <c r="AQ502">
        <v>-32.4</v>
      </c>
      <c r="AR502">
        <v>0</v>
      </c>
      <c r="AS502">
        <v>240</v>
      </c>
      <c r="AT502">
        <v>-24</v>
      </c>
      <c r="AU502">
        <v>0</v>
      </c>
      <c r="AW502">
        <v>0</v>
      </c>
      <c r="AX502">
        <v>0</v>
      </c>
      <c r="AY502">
        <v>421.12</v>
      </c>
      <c r="BC502" t="str">
        <f t="shared" si="64"/>
        <v>9791166067563</v>
      </c>
      <c r="BE502" t="str">
        <f t="shared" si="65"/>
        <v>판타지 웹소설 &gt; 현대 판타지</v>
      </c>
    </row>
    <row r="503" spans="1:57" x14ac:dyDescent="0.3">
      <c r="A503">
        <v>2313011400</v>
      </c>
      <c r="B503">
        <v>1525007600</v>
      </c>
      <c r="C503" t="str">
        <f>T("최종 보스 19권 6화")</f>
        <v>최종 보스 19권 6화</v>
      </c>
      <c r="D503" t="str">
        <f>T("378")</f>
        <v>378</v>
      </c>
      <c r="E503" t="str">
        <f t="shared" si="61"/>
        <v>무장</v>
      </c>
      <c r="H503" t="str">
        <f t="shared" si="62"/>
        <v>스토리위즈</v>
      </c>
      <c r="I503" t="str">
        <f t="shared" si="63"/>
        <v>최종 보스 : 빛을 향해 달리는 그림자</v>
      </c>
      <c r="J503">
        <v>100</v>
      </c>
      <c r="K503">
        <v>600</v>
      </c>
      <c r="L503">
        <v>6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600</v>
      </c>
      <c r="AH503">
        <v>6</v>
      </c>
      <c r="AI503">
        <v>0</v>
      </c>
      <c r="AJ503">
        <v>0</v>
      </c>
      <c r="AK503">
        <v>400</v>
      </c>
      <c r="AL503">
        <v>0</v>
      </c>
      <c r="AM503">
        <v>240</v>
      </c>
      <c r="AN503">
        <v>-48</v>
      </c>
      <c r="AO503">
        <v>0</v>
      </c>
      <c r="AP503">
        <v>120</v>
      </c>
      <c r="AQ503">
        <v>-36</v>
      </c>
      <c r="AR503">
        <v>0</v>
      </c>
      <c r="AS503">
        <v>120</v>
      </c>
      <c r="AT503">
        <v>-12</v>
      </c>
      <c r="AU503">
        <v>0</v>
      </c>
      <c r="AW503">
        <v>0</v>
      </c>
      <c r="AX503">
        <v>0</v>
      </c>
      <c r="AY503">
        <v>414.4</v>
      </c>
      <c r="BC503" t="str">
        <f t="shared" si="64"/>
        <v>9791166067563</v>
      </c>
      <c r="BE503" t="str">
        <f t="shared" si="65"/>
        <v>판타지 웹소설 &gt; 현대 판타지</v>
      </c>
    </row>
    <row r="504" spans="1:57" x14ac:dyDescent="0.3">
      <c r="A504">
        <v>2313011400</v>
      </c>
      <c r="B504">
        <v>1525007657</v>
      </c>
      <c r="C504" t="str">
        <f>T("최종 보스 22권 2화")</f>
        <v>최종 보스 22권 2화</v>
      </c>
      <c r="D504" t="str">
        <f>T("435")</f>
        <v>435</v>
      </c>
      <c r="E504" t="str">
        <f t="shared" si="61"/>
        <v>무장</v>
      </c>
      <c r="H504" t="str">
        <f t="shared" si="62"/>
        <v>스토리위즈</v>
      </c>
      <c r="I504" t="str">
        <f t="shared" si="63"/>
        <v>최종 보스 : 빛을 향해 달리는 그림자</v>
      </c>
      <c r="J504">
        <v>100</v>
      </c>
      <c r="K504">
        <v>600</v>
      </c>
      <c r="L504">
        <v>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600</v>
      </c>
      <c r="AH504">
        <v>6</v>
      </c>
      <c r="AI504">
        <v>0</v>
      </c>
      <c r="AJ504">
        <v>0</v>
      </c>
      <c r="AK504">
        <v>400</v>
      </c>
      <c r="AL504">
        <v>0</v>
      </c>
      <c r="AM504">
        <v>240</v>
      </c>
      <c r="AN504">
        <v>-48</v>
      </c>
      <c r="AO504">
        <v>0</v>
      </c>
      <c r="AQ504">
        <v>0</v>
      </c>
      <c r="AR504">
        <v>0</v>
      </c>
      <c r="AS504">
        <v>240</v>
      </c>
      <c r="AT504">
        <v>-48</v>
      </c>
      <c r="AU504">
        <v>0</v>
      </c>
      <c r="AW504">
        <v>0</v>
      </c>
      <c r="AX504">
        <v>0</v>
      </c>
      <c r="AY504">
        <v>414.4</v>
      </c>
      <c r="BC504" t="str">
        <f t="shared" si="64"/>
        <v>9791166067563</v>
      </c>
      <c r="BE504" t="str">
        <f t="shared" si="65"/>
        <v>판타지 웹소설 &gt; 현대 판타지</v>
      </c>
    </row>
    <row r="505" spans="1:57" x14ac:dyDescent="0.3">
      <c r="A505">
        <v>2313011400</v>
      </c>
      <c r="B505">
        <v>1525007589</v>
      </c>
      <c r="C505" t="str">
        <f>T("최종 보스 18권 15화")</f>
        <v>최종 보스 18권 15화</v>
      </c>
      <c r="D505" t="str">
        <f>T("367")</f>
        <v>367</v>
      </c>
      <c r="E505" t="str">
        <f t="shared" si="61"/>
        <v>무장</v>
      </c>
      <c r="H505" t="str">
        <f t="shared" si="62"/>
        <v>스토리위즈</v>
      </c>
      <c r="I505" t="str">
        <f t="shared" si="63"/>
        <v>최종 보스 : 빛을 향해 달리는 그림자</v>
      </c>
      <c r="J505">
        <v>100</v>
      </c>
      <c r="K505">
        <v>600</v>
      </c>
      <c r="L505">
        <v>6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600</v>
      </c>
      <c r="AH505">
        <v>6</v>
      </c>
      <c r="AI505">
        <v>0</v>
      </c>
      <c r="AJ505">
        <v>0</v>
      </c>
      <c r="AK505">
        <v>400</v>
      </c>
      <c r="AL505">
        <v>0</v>
      </c>
      <c r="AM505">
        <v>240</v>
      </c>
      <c r="AN505">
        <v>-48</v>
      </c>
      <c r="AO505">
        <v>0</v>
      </c>
      <c r="AP505">
        <v>120</v>
      </c>
      <c r="AQ505">
        <v>-36</v>
      </c>
      <c r="AR505">
        <v>0</v>
      </c>
      <c r="AS505">
        <v>120</v>
      </c>
      <c r="AT505">
        <v>-12</v>
      </c>
      <c r="AU505">
        <v>0</v>
      </c>
      <c r="AW505">
        <v>0</v>
      </c>
      <c r="AX505">
        <v>0</v>
      </c>
      <c r="AY505">
        <v>414.4</v>
      </c>
      <c r="BC505" t="str">
        <f t="shared" si="64"/>
        <v>9791166067563</v>
      </c>
      <c r="BE505" t="str">
        <f t="shared" si="65"/>
        <v>판타지 웹소설 &gt; 현대 판타지</v>
      </c>
    </row>
    <row r="506" spans="1:57" x14ac:dyDescent="0.3">
      <c r="A506">
        <v>2313011400</v>
      </c>
      <c r="B506">
        <v>1525007646</v>
      </c>
      <c r="C506" t="str">
        <f>T("최종 보스 21권 11화")</f>
        <v>최종 보스 21권 11화</v>
      </c>
      <c r="D506" t="str">
        <f>T("424")</f>
        <v>424</v>
      </c>
      <c r="E506" t="str">
        <f t="shared" si="61"/>
        <v>무장</v>
      </c>
      <c r="H506" t="str">
        <f t="shared" si="62"/>
        <v>스토리위즈</v>
      </c>
      <c r="I506" t="str">
        <f t="shared" si="63"/>
        <v>최종 보스 : 빛을 향해 달리는 그림자</v>
      </c>
      <c r="J506">
        <v>100</v>
      </c>
      <c r="K506">
        <v>600</v>
      </c>
      <c r="L506">
        <v>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600</v>
      </c>
      <c r="AH506">
        <v>6</v>
      </c>
      <c r="AI506">
        <v>0</v>
      </c>
      <c r="AJ506">
        <v>0</v>
      </c>
      <c r="AK506">
        <v>400</v>
      </c>
      <c r="AL506">
        <v>0</v>
      </c>
      <c r="AM506">
        <v>240</v>
      </c>
      <c r="AN506">
        <v>-48</v>
      </c>
      <c r="AO506">
        <v>0</v>
      </c>
      <c r="AQ506">
        <v>0</v>
      </c>
      <c r="AR506">
        <v>0</v>
      </c>
      <c r="AS506">
        <v>240</v>
      </c>
      <c r="AT506">
        <v>-48</v>
      </c>
      <c r="AU506">
        <v>0</v>
      </c>
      <c r="AW506">
        <v>0</v>
      </c>
      <c r="AX506">
        <v>0</v>
      </c>
      <c r="AY506">
        <v>414.4</v>
      </c>
      <c r="BC506" t="str">
        <f t="shared" si="64"/>
        <v>9791166067563</v>
      </c>
      <c r="BE506" t="str">
        <f t="shared" si="65"/>
        <v>판타지 웹소설 &gt; 현대 판타지</v>
      </c>
    </row>
    <row r="507" spans="1:57" x14ac:dyDescent="0.3">
      <c r="A507">
        <v>2313011400</v>
      </c>
      <c r="B507">
        <v>1525007703</v>
      </c>
      <c r="C507" t="str">
        <f>T("최종 보스 24권 8화")</f>
        <v>최종 보스 24권 8화</v>
      </c>
      <c r="D507" t="str">
        <f>T("481")</f>
        <v>481</v>
      </c>
      <c r="E507" t="str">
        <f t="shared" si="61"/>
        <v>무장</v>
      </c>
      <c r="H507" t="str">
        <f t="shared" si="62"/>
        <v>스토리위즈</v>
      </c>
      <c r="I507" t="str">
        <f t="shared" si="63"/>
        <v>최종 보스 : 빛을 향해 달리는 그림자</v>
      </c>
      <c r="J507">
        <v>100</v>
      </c>
      <c r="K507">
        <v>600</v>
      </c>
      <c r="L507">
        <v>6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600</v>
      </c>
      <c r="AH507">
        <v>6</v>
      </c>
      <c r="AI507">
        <v>0</v>
      </c>
      <c r="AJ507">
        <v>0</v>
      </c>
      <c r="AK507">
        <v>310</v>
      </c>
      <c r="AL507">
        <v>0</v>
      </c>
      <c r="AM507">
        <v>348</v>
      </c>
      <c r="AN507">
        <v>-56.4</v>
      </c>
      <c r="AO507">
        <v>0</v>
      </c>
      <c r="AP507">
        <v>108</v>
      </c>
      <c r="AQ507">
        <v>-32.4</v>
      </c>
      <c r="AR507">
        <v>0</v>
      </c>
      <c r="AS507">
        <v>240</v>
      </c>
      <c r="AT507">
        <v>-24</v>
      </c>
      <c r="AU507">
        <v>0</v>
      </c>
      <c r="AW507">
        <v>0</v>
      </c>
      <c r="AX507">
        <v>0</v>
      </c>
      <c r="AY507">
        <v>421.12</v>
      </c>
      <c r="BC507" t="str">
        <f t="shared" si="64"/>
        <v>9791166067563</v>
      </c>
      <c r="BE507" t="str">
        <f t="shared" si="65"/>
        <v>판타지 웹소설 &gt; 현대 판타지</v>
      </c>
    </row>
    <row r="508" spans="1:57" x14ac:dyDescent="0.3">
      <c r="A508">
        <v>2313011400</v>
      </c>
      <c r="B508">
        <v>1525007667</v>
      </c>
      <c r="C508" t="str">
        <f>T("최종 보스 22권 12화")</f>
        <v>최종 보스 22권 12화</v>
      </c>
      <c r="D508" t="str">
        <f>T("445")</f>
        <v>445</v>
      </c>
      <c r="E508" t="str">
        <f t="shared" si="61"/>
        <v>무장</v>
      </c>
      <c r="H508" t="str">
        <f t="shared" si="62"/>
        <v>스토리위즈</v>
      </c>
      <c r="I508" t="str">
        <f t="shared" si="63"/>
        <v>최종 보스 : 빛을 향해 달리는 그림자</v>
      </c>
      <c r="J508">
        <v>100</v>
      </c>
      <c r="K508">
        <v>600</v>
      </c>
      <c r="L508">
        <v>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600</v>
      </c>
      <c r="AH508">
        <v>6</v>
      </c>
      <c r="AI508">
        <v>0</v>
      </c>
      <c r="AJ508">
        <v>0</v>
      </c>
      <c r="AK508">
        <v>400</v>
      </c>
      <c r="AL508">
        <v>0</v>
      </c>
      <c r="AM508">
        <v>240</v>
      </c>
      <c r="AN508">
        <v>-48</v>
      </c>
      <c r="AO508">
        <v>0</v>
      </c>
      <c r="AQ508">
        <v>0</v>
      </c>
      <c r="AR508">
        <v>0</v>
      </c>
      <c r="AS508">
        <v>240</v>
      </c>
      <c r="AT508">
        <v>-48</v>
      </c>
      <c r="AU508">
        <v>0</v>
      </c>
      <c r="AW508">
        <v>0</v>
      </c>
      <c r="AX508">
        <v>0</v>
      </c>
      <c r="AY508">
        <v>414.4</v>
      </c>
      <c r="BC508" t="str">
        <f t="shared" si="64"/>
        <v>9791166067563</v>
      </c>
      <c r="BE508" t="str">
        <f t="shared" si="65"/>
        <v>판타지 웹소설 &gt; 현대 판타지</v>
      </c>
    </row>
    <row r="509" spans="1:57" x14ac:dyDescent="0.3">
      <c r="A509">
        <v>2313011400</v>
      </c>
      <c r="B509">
        <v>1525007724</v>
      </c>
      <c r="C509" t="str">
        <f>T("최종 보스 25권 9화")</f>
        <v>최종 보스 25권 9화</v>
      </c>
      <c r="D509" t="str">
        <f>T("502")</f>
        <v>502</v>
      </c>
      <c r="E509" t="str">
        <f t="shared" si="61"/>
        <v>무장</v>
      </c>
      <c r="H509" t="str">
        <f t="shared" si="62"/>
        <v>스토리위즈</v>
      </c>
      <c r="I509" t="str">
        <f t="shared" si="63"/>
        <v>최종 보스 : 빛을 향해 달리는 그림자</v>
      </c>
      <c r="J509">
        <v>100</v>
      </c>
      <c r="K509">
        <v>600</v>
      </c>
      <c r="L509">
        <v>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600</v>
      </c>
      <c r="AH509">
        <v>6</v>
      </c>
      <c r="AI509">
        <v>0</v>
      </c>
      <c r="AJ509">
        <v>0</v>
      </c>
      <c r="AK509">
        <v>311</v>
      </c>
      <c r="AL509">
        <v>0</v>
      </c>
      <c r="AM509">
        <v>346.8</v>
      </c>
      <c r="AN509">
        <v>-56.04</v>
      </c>
      <c r="AO509">
        <v>0</v>
      </c>
      <c r="AP509">
        <v>106.8</v>
      </c>
      <c r="AQ509">
        <v>-32.04</v>
      </c>
      <c r="AR509">
        <v>0</v>
      </c>
      <c r="AS509">
        <v>240</v>
      </c>
      <c r="AT509">
        <v>-24</v>
      </c>
      <c r="AU509">
        <v>0</v>
      </c>
      <c r="AW509">
        <v>0</v>
      </c>
      <c r="AX509">
        <v>0</v>
      </c>
      <c r="AY509">
        <v>421.23</v>
      </c>
      <c r="BC509" t="str">
        <f t="shared" si="64"/>
        <v>9791166067563</v>
      </c>
      <c r="BE509" t="str">
        <f t="shared" si="65"/>
        <v>판타지 웹소설 &gt; 현대 판타지</v>
      </c>
    </row>
    <row r="510" spans="1:57" x14ac:dyDescent="0.3">
      <c r="A510">
        <v>2313011400</v>
      </c>
      <c r="B510">
        <v>1525007578</v>
      </c>
      <c r="C510" t="str">
        <f>T("최종 보스 18권 4화")</f>
        <v>최종 보스 18권 4화</v>
      </c>
      <c r="D510" t="str">
        <f>T("356")</f>
        <v>356</v>
      </c>
      <c r="E510" t="str">
        <f t="shared" si="61"/>
        <v>무장</v>
      </c>
      <c r="H510" t="str">
        <f t="shared" si="62"/>
        <v>스토리위즈</v>
      </c>
      <c r="I510" t="str">
        <f t="shared" si="63"/>
        <v>최종 보스 : 빛을 향해 달리는 그림자</v>
      </c>
      <c r="J510">
        <v>100</v>
      </c>
      <c r="K510">
        <v>600</v>
      </c>
      <c r="L510">
        <v>6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600</v>
      </c>
      <c r="AH510">
        <v>6</v>
      </c>
      <c r="AI510">
        <v>0</v>
      </c>
      <c r="AJ510">
        <v>0</v>
      </c>
      <c r="AK510">
        <v>400</v>
      </c>
      <c r="AL510">
        <v>0</v>
      </c>
      <c r="AM510">
        <v>240</v>
      </c>
      <c r="AN510">
        <v>-48</v>
      </c>
      <c r="AO510">
        <v>0</v>
      </c>
      <c r="AP510">
        <v>120</v>
      </c>
      <c r="AQ510">
        <v>-36</v>
      </c>
      <c r="AR510">
        <v>0</v>
      </c>
      <c r="AS510">
        <v>120</v>
      </c>
      <c r="AT510">
        <v>-12</v>
      </c>
      <c r="AU510">
        <v>0</v>
      </c>
      <c r="AW510">
        <v>0</v>
      </c>
      <c r="AX510">
        <v>0</v>
      </c>
      <c r="AY510">
        <v>414.4</v>
      </c>
      <c r="BC510" t="str">
        <f t="shared" si="64"/>
        <v>9791166067563</v>
      </c>
      <c r="BE510" t="str">
        <f t="shared" si="65"/>
        <v>판타지 웹소설 &gt; 현대 판타지</v>
      </c>
    </row>
    <row r="511" spans="1:57" x14ac:dyDescent="0.3">
      <c r="A511">
        <v>2313011400</v>
      </c>
      <c r="B511">
        <v>1525007635</v>
      </c>
      <c r="C511" t="str">
        <f>T("최종 보스 20권 20화")</f>
        <v>최종 보스 20권 20화</v>
      </c>
      <c r="D511" t="str">
        <f>T("413")</f>
        <v>413</v>
      </c>
      <c r="E511" t="str">
        <f t="shared" si="61"/>
        <v>무장</v>
      </c>
      <c r="H511" t="str">
        <f t="shared" si="62"/>
        <v>스토리위즈</v>
      </c>
      <c r="I511" t="str">
        <f t="shared" si="63"/>
        <v>최종 보스 : 빛을 향해 달리는 그림자</v>
      </c>
      <c r="J511">
        <v>100</v>
      </c>
      <c r="K511">
        <v>600</v>
      </c>
      <c r="L511">
        <v>6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600</v>
      </c>
      <c r="AH511">
        <v>6</v>
      </c>
      <c r="AI511">
        <v>0</v>
      </c>
      <c r="AJ511">
        <v>0</v>
      </c>
      <c r="AK511">
        <v>400</v>
      </c>
      <c r="AL511">
        <v>0</v>
      </c>
      <c r="AM511">
        <v>240</v>
      </c>
      <c r="AN511">
        <v>-48</v>
      </c>
      <c r="AO511">
        <v>0</v>
      </c>
      <c r="AP511">
        <v>120</v>
      </c>
      <c r="AQ511">
        <v>-36</v>
      </c>
      <c r="AR511">
        <v>0</v>
      </c>
      <c r="AS511">
        <v>120</v>
      </c>
      <c r="AT511">
        <v>-12</v>
      </c>
      <c r="AU511">
        <v>0</v>
      </c>
      <c r="AW511">
        <v>0</v>
      </c>
      <c r="AX511">
        <v>0</v>
      </c>
      <c r="AY511">
        <v>414.4</v>
      </c>
      <c r="BC511" t="str">
        <f t="shared" si="64"/>
        <v>9791166067563</v>
      </c>
      <c r="BE511" t="str">
        <f t="shared" si="65"/>
        <v>판타지 웹소설 &gt; 현대 판타지</v>
      </c>
    </row>
    <row r="512" spans="1:57" x14ac:dyDescent="0.3">
      <c r="A512">
        <v>2313011400</v>
      </c>
      <c r="B512">
        <v>1525007692</v>
      </c>
      <c r="C512" t="str">
        <f>T("최종 보스 23권 17화")</f>
        <v>최종 보스 23권 17화</v>
      </c>
      <c r="D512" t="str">
        <f>T("470")</f>
        <v>470</v>
      </c>
      <c r="E512" t="str">
        <f t="shared" si="61"/>
        <v>무장</v>
      </c>
      <c r="H512" t="str">
        <f t="shared" si="62"/>
        <v>스토리위즈</v>
      </c>
      <c r="I512" t="str">
        <f t="shared" si="63"/>
        <v>최종 보스 : 빛을 향해 달리는 그림자</v>
      </c>
      <c r="J512">
        <v>100</v>
      </c>
      <c r="K512">
        <v>600</v>
      </c>
      <c r="L512">
        <v>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600</v>
      </c>
      <c r="AH512">
        <v>6</v>
      </c>
      <c r="AI512">
        <v>0</v>
      </c>
      <c r="AJ512">
        <v>0</v>
      </c>
      <c r="AK512">
        <v>310</v>
      </c>
      <c r="AL512">
        <v>0</v>
      </c>
      <c r="AM512">
        <v>348</v>
      </c>
      <c r="AN512">
        <v>-56.4</v>
      </c>
      <c r="AO512">
        <v>0</v>
      </c>
      <c r="AP512">
        <v>108</v>
      </c>
      <c r="AQ512">
        <v>-32.4</v>
      </c>
      <c r="AR512">
        <v>0</v>
      </c>
      <c r="AS512">
        <v>240</v>
      </c>
      <c r="AT512">
        <v>-24</v>
      </c>
      <c r="AU512">
        <v>0</v>
      </c>
      <c r="AW512">
        <v>0</v>
      </c>
      <c r="AX512">
        <v>0</v>
      </c>
      <c r="AY512">
        <v>421.12</v>
      </c>
      <c r="BC512" t="str">
        <f t="shared" si="64"/>
        <v>9791166067563</v>
      </c>
      <c r="BE512" t="str">
        <f t="shared" si="65"/>
        <v>판타지 웹소설 &gt; 현대 판타지</v>
      </c>
    </row>
    <row r="513" spans="1:57" x14ac:dyDescent="0.3">
      <c r="A513">
        <v>2313011400</v>
      </c>
      <c r="B513">
        <v>1525007610</v>
      </c>
      <c r="C513" t="str">
        <f>T("최종 보스 19권 16화")</f>
        <v>최종 보스 19권 16화</v>
      </c>
      <c r="D513" t="str">
        <f>T("388")</f>
        <v>388</v>
      </c>
      <c r="E513" t="str">
        <f t="shared" si="61"/>
        <v>무장</v>
      </c>
      <c r="H513" t="str">
        <f t="shared" si="62"/>
        <v>스토리위즈</v>
      </c>
      <c r="I513" t="str">
        <f t="shared" si="63"/>
        <v>최종 보스 : 빛을 향해 달리는 그림자</v>
      </c>
      <c r="J513">
        <v>100</v>
      </c>
      <c r="K513">
        <v>600</v>
      </c>
      <c r="L513">
        <v>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600</v>
      </c>
      <c r="AH513">
        <v>6</v>
      </c>
      <c r="AI513">
        <v>0</v>
      </c>
      <c r="AJ513">
        <v>0</v>
      </c>
      <c r="AK513">
        <v>400</v>
      </c>
      <c r="AL513">
        <v>0</v>
      </c>
      <c r="AM513">
        <v>240</v>
      </c>
      <c r="AN513">
        <v>-48</v>
      </c>
      <c r="AO513">
        <v>0</v>
      </c>
      <c r="AP513">
        <v>120</v>
      </c>
      <c r="AQ513">
        <v>-36</v>
      </c>
      <c r="AR513">
        <v>0</v>
      </c>
      <c r="AS513">
        <v>120</v>
      </c>
      <c r="AT513">
        <v>-12</v>
      </c>
      <c r="AU513">
        <v>0</v>
      </c>
      <c r="AW513">
        <v>0</v>
      </c>
      <c r="AX513">
        <v>0</v>
      </c>
      <c r="AY513">
        <v>414.4</v>
      </c>
      <c r="BC513" t="str">
        <f t="shared" si="64"/>
        <v>9791166067563</v>
      </c>
      <c r="BE513" t="str">
        <f t="shared" si="65"/>
        <v>판타지 웹소설 &gt; 현대 판타지</v>
      </c>
    </row>
    <row r="514" spans="1:57" x14ac:dyDescent="0.3">
      <c r="A514">
        <v>1525008060</v>
      </c>
      <c r="B514">
        <v>1525008059</v>
      </c>
      <c r="C514" t="str">
        <f>T("[e북]더티독 (외전)")</f>
        <v>[e북]더티독 (외전)</v>
      </c>
      <c r="D514" t="str">
        <f>T("3")</f>
        <v>3</v>
      </c>
      <c r="E514" t="str">
        <f>T("용가리맛쿠키")</f>
        <v>용가리맛쿠키</v>
      </c>
      <c r="H514" t="str">
        <f>T("블러쉬")</f>
        <v>블러쉬</v>
      </c>
      <c r="I514" t="str">
        <f>T("[e북]더티독")</f>
        <v>[e북]더티독</v>
      </c>
      <c r="J514">
        <v>200</v>
      </c>
      <c r="K514">
        <v>400</v>
      </c>
      <c r="L514">
        <v>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400</v>
      </c>
      <c r="AH514">
        <v>2</v>
      </c>
      <c r="AI514">
        <v>0</v>
      </c>
      <c r="AJ514">
        <v>0</v>
      </c>
      <c r="AK514">
        <v>400</v>
      </c>
      <c r="AL514">
        <v>0</v>
      </c>
      <c r="AM514">
        <v>0</v>
      </c>
      <c r="AN514">
        <v>0</v>
      </c>
      <c r="AO514">
        <v>0</v>
      </c>
      <c r="AQ514">
        <v>0</v>
      </c>
      <c r="AR514">
        <v>0</v>
      </c>
      <c r="AT514">
        <v>0</v>
      </c>
      <c r="AU514">
        <v>0</v>
      </c>
      <c r="AW514">
        <v>0</v>
      </c>
      <c r="AX514">
        <v>0</v>
      </c>
      <c r="AY514">
        <v>280</v>
      </c>
      <c r="BA514" t="str">
        <f>T("0000000000000")</f>
        <v>0000000000000</v>
      </c>
      <c r="BC514" t="str">
        <f>T("9791164897063")</f>
        <v>9791164897063</v>
      </c>
      <c r="BE514" t="str">
        <f>T("BL 소설 e북 &gt; 현대물")</f>
        <v>BL 소설 e북 &gt; 현대물</v>
      </c>
    </row>
    <row r="515" spans="1:57" x14ac:dyDescent="0.3">
      <c r="A515">
        <v>1525004030</v>
      </c>
      <c r="B515">
        <v>1525004168</v>
      </c>
      <c r="C515" t="str">
        <f>T("회귀의 전설 139화")</f>
        <v>회귀의 전설 139화</v>
      </c>
      <c r="D515" t="str">
        <f>T("139")</f>
        <v>139</v>
      </c>
      <c r="E515" t="str">
        <f t="shared" ref="E515:E578" si="66">T("김광수")</f>
        <v>김광수</v>
      </c>
      <c r="H515" t="str">
        <f t="shared" ref="H515:H578" si="67">T("스토리위즈")</f>
        <v>스토리위즈</v>
      </c>
      <c r="I515" t="str">
        <f t="shared" ref="I515:I578" si="68">T("회귀의 전설")</f>
        <v>회귀의 전설</v>
      </c>
      <c r="J515">
        <v>100</v>
      </c>
      <c r="K515">
        <v>300</v>
      </c>
      <c r="L515">
        <v>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300</v>
      </c>
      <c r="AH515">
        <v>3</v>
      </c>
      <c r="AI515">
        <v>0</v>
      </c>
      <c r="AJ515">
        <v>0</v>
      </c>
      <c r="AK515">
        <v>200</v>
      </c>
      <c r="AL515">
        <v>0</v>
      </c>
      <c r="AM515">
        <v>120</v>
      </c>
      <c r="AN515">
        <v>-12</v>
      </c>
      <c r="AO515">
        <v>0</v>
      </c>
      <c r="AQ515">
        <v>0</v>
      </c>
      <c r="AR515">
        <v>0</v>
      </c>
      <c r="AS515">
        <v>120</v>
      </c>
      <c r="AT515">
        <v>-12</v>
      </c>
      <c r="AU515">
        <v>0</v>
      </c>
      <c r="AW515">
        <v>0</v>
      </c>
      <c r="AX515">
        <v>0</v>
      </c>
      <c r="AY515">
        <v>215.6</v>
      </c>
      <c r="BC515" t="str">
        <f>T("9788997946006")</f>
        <v>9788997946006</v>
      </c>
      <c r="BE515" t="str">
        <f t="shared" ref="BE515:BE578" si="69">T("판타지 웹소설 &gt; 현대 판타지")</f>
        <v>판타지 웹소설 &gt; 현대 판타지</v>
      </c>
    </row>
    <row r="516" spans="1:57" x14ac:dyDescent="0.3">
      <c r="A516">
        <v>1525004030</v>
      </c>
      <c r="B516">
        <v>1525006739</v>
      </c>
      <c r="C516" t="str">
        <f>T("회귀의 전설 2부 622화")</f>
        <v>회귀의 전설 2부 622화</v>
      </c>
      <c r="D516" t="str">
        <f>T("622")</f>
        <v>622</v>
      </c>
      <c r="E516" t="str">
        <f t="shared" si="66"/>
        <v>김광수</v>
      </c>
      <c r="H516" t="str">
        <f t="shared" si="67"/>
        <v>스토리위즈</v>
      </c>
      <c r="I516" t="str">
        <f t="shared" si="68"/>
        <v>회귀의 전설</v>
      </c>
      <c r="J516">
        <v>100</v>
      </c>
      <c r="K516">
        <v>300</v>
      </c>
      <c r="L516">
        <v>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300</v>
      </c>
      <c r="AH516">
        <v>3</v>
      </c>
      <c r="AI516">
        <v>0</v>
      </c>
      <c r="AJ516">
        <v>0</v>
      </c>
      <c r="AK516">
        <v>200</v>
      </c>
      <c r="AL516">
        <v>0</v>
      </c>
      <c r="AM516">
        <v>120</v>
      </c>
      <c r="AN516">
        <v>-12</v>
      </c>
      <c r="AO516">
        <v>0</v>
      </c>
      <c r="AQ516">
        <v>0</v>
      </c>
      <c r="AR516">
        <v>0</v>
      </c>
      <c r="AS516">
        <v>120</v>
      </c>
      <c r="AT516">
        <v>-12</v>
      </c>
      <c r="AU516">
        <v>0</v>
      </c>
      <c r="AW516">
        <v>0</v>
      </c>
      <c r="AX516">
        <v>0</v>
      </c>
      <c r="AY516">
        <v>215.6</v>
      </c>
      <c r="BC516" t="str">
        <f>T("9791191102086")</f>
        <v>9791191102086</v>
      </c>
      <c r="BE516" t="str">
        <f t="shared" si="69"/>
        <v>판타지 웹소설 &gt; 현대 판타지</v>
      </c>
    </row>
    <row r="517" spans="1:57" x14ac:dyDescent="0.3">
      <c r="A517">
        <v>1525004030</v>
      </c>
      <c r="B517">
        <v>1525004200</v>
      </c>
      <c r="C517" t="str">
        <f>T("회귀의 전설 171화")</f>
        <v>회귀의 전설 171화</v>
      </c>
      <c r="D517" t="str">
        <f>T("171")</f>
        <v>171</v>
      </c>
      <c r="E517" t="str">
        <f t="shared" si="66"/>
        <v>김광수</v>
      </c>
      <c r="H517" t="str">
        <f t="shared" si="67"/>
        <v>스토리위즈</v>
      </c>
      <c r="I517" t="str">
        <f t="shared" si="68"/>
        <v>회귀의 전설</v>
      </c>
      <c r="J517">
        <v>100</v>
      </c>
      <c r="K517">
        <v>300</v>
      </c>
      <c r="L517">
        <v>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300</v>
      </c>
      <c r="AH517">
        <v>3</v>
      </c>
      <c r="AI517">
        <v>0</v>
      </c>
      <c r="AJ517">
        <v>0</v>
      </c>
      <c r="AK517">
        <v>200</v>
      </c>
      <c r="AL517">
        <v>0</v>
      </c>
      <c r="AM517">
        <v>120</v>
      </c>
      <c r="AN517">
        <v>-12</v>
      </c>
      <c r="AO517">
        <v>0</v>
      </c>
      <c r="AQ517">
        <v>0</v>
      </c>
      <c r="AR517">
        <v>0</v>
      </c>
      <c r="AS517">
        <v>120</v>
      </c>
      <c r="AT517">
        <v>-12</v>
      </c>
      <c r="AU517">
        <v>0</v>
      </c>
      <c r="AW517">
        <v>0</v>
      </c>
      <c r="AX517">
        <v>0</v>
      </c>
      <c r="AY517">
        <v>215.6</v>
      </c>
      <c r="BC517" t="str">
        <f>T("9788997946006")</f>
        <v>9788997946006</v>
      </c>
      <c r="BE517" t="str">
        <f t="shared" si="69"/>
        <v>판타지 웹소설 &gt; 현대 판타지</v>
      </c>
    </row>
    <row r="518" spans="1:57" x14ac:dyDescent="0.3">
      <c r="A518">
        <v>1525004030</v>
      </c>
      <c r="B518">
        <v>1525004135</v>
      </c>
      <c r="C518" t="str">
        <f>T("회귀의 전설 106화")</f>
        <v>회귀의 전설 106화</v>
      </c>
      <c r="D518" t="str">
        <f>T("106")</f>
        <v>106</v>
      </c>
      <c r="E518" t="str">
        <f t="shared" si="66"/>
        <v>김광수</v>
      </c>
      <c r="H518" t="str">
        <f t="shared" si="67"/>
        <v>스토리위즈</v>
      </c>
      <c r="I518" t="str">
        <f t="shared" si="68"/>
        <v>회귀의 전설</v>
      </c>
      <c r="J518">
        <v>100</v>
      </c>
      <c r="K518">
        <v>300</v>
      </c>
      <c r="L518">
        <v>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300</v>
      </c>
      <c r="AH518">
        <v>3</v>
      </c>
      <c r="AI518">
        <v>0</v>
      </c>
      <c r="AJ518">
        <v>0</v>
      </c>
      <c r="AK518">
        <v>200</v>
      </c>
      <c r="AL518">
        <v>0</v>
      </c>
      <c r="AM518">
        <v>120</v>
      </c>
      <c r="AN518">
        <v>-12</v>
      </c>
      <c r="AO518">
        <v>0</v>
      </c>
      <c r="AQ518">
        <v>0</v>
      </c>
      <c r="AR518">
        <v>0</v>
      </c>
      <c r="AS518">
        <v>120</v>
      </c>
      <c r="AT518">
        <v>-12</v>
      </c>
      <c r="AU518">
        <v>0</v>
      </c>
      <c r="AW518">
        <v>0</v>
      </c>
      <c r="AX518">
        <v>0</v>
      </c>
      <c r="AY518">
        <v>215.6</v>
      </c>
      <c r="BC518" t="str">
        <f>T("9788997946006")</f>
        <v>9788997946006</v>
      </c>
      <c r="BE518" t="str">
        <f t="shared" si="69"/>
        <v>판타지 웹소설 &gt; 현대 판타지</v>
      </c>
    </row>
    <row r="519" spans="1:57" x14ac:dyDescent="0.3">
      <c r="A519">
        <v>1525004030</v>
      </c>
      <c r="B519">
        <v>1525006769</v>
      </c>
      <c r="C519" t="str">
        <f>T("회귀의 전설 2부 652화")</f>
        <v>회귀의 전설 2부 652화</v>
      </c>
      <c r="D519" t="str">
        <f>T("652")</f>
        <v>652</v>
      </c>
      <c r="E519" t="str">
        <f t="shared" si="66"/>
        <v>김광수</v>
      </c>
      <c r="H519" t="str">
        <f t="shared" si="67"/>
        <v>스토리위즈</v>
      </c>
      <c r="I519" t="str">
        <f t="shared" si="68"/>
        <v>회귀의 전설</v>
      </c>
      <c r="J519">
        <v>100</v>
      </c>
      <c r="K519">
        <v>300</v>
      </c>
      <c r="L519">
        <v>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300</v>
      </c>
      <c r="AH519">
        <v>3</v>
      </c>
      <c r="AI519">
        <v>0</v>
      </c>
      <c r="AJ519">
        <v>0</v>
      </c>
      <c r="AK519">
        <v>200</v>
      </c>
      <c r="AL519">
        <v>0</v>
      </c>
      <c r="AM519">
        <v>120</v>
      </c>
      <c r="AN519">
        <v>-12</v>
      </c>
      <c r="AO519">
        <v>0</v>
      </c>
      <c r="AQ519">
        <v>0</v>
      </c>
      <c r="AR519">
        <v>0</v>
      </c>
      <c r="AS519">
        <v>120</v>
      </c>
      <c r="AT519">
        <v>-12</v>
      </c>
      <c r="AU519">
        <v>0</v>
      </c>
      <c r="AW519">
        <v>0</v>
      </c>
      <c r="AX519">
        <v>0</v>
      </c>
      <c r="AY519">
        <v>215.6</v>
      </c>
      <c r="BC519" t="str">
        <f>T("9791191102086")</f>
        <v>9791191102086</v>
      </c>
      <c r="BE519" t="str">
        <f t="shared" si="69"/>
        <v>판타지 웹소설 &gt; 현대 판타지</v>
      </c>
    </row>
    <row r="520" spans="1:57" x14ac:dyDescent="0.3">
      <c r="A520">
        <v>1525004030</v>
      </c>
      <c r="B520">
        <v>1525006728</v>
      </c>
      <c r="C520" t="str">
        <f>T("회귀의 전설 2부 611화")</f>
        <v>회귀의 전설 2부 611화</v>
      </c>
      <c r="D520" t="str">
        <f>T("611")</f>
        <v>611</v>
      </c>
      <c r="E520" t="str">
        <f t="shared" si="66"/>
        <v>김광수</v>
      </c>
      <c r="H520" t="str">
        <f t="shared" si="67"/>
        <v>스토리위즈</v>
      </c>
      <c r="I520" t="str">
        <f t="shared" si="68"/>
        <v>회귀의 전설</v>
      </c>
      <c r="J520">
        <v>100</v>
      </c>
      <c r="K520">
        <v>300</v>
      </c>
      <c r="L520">
        <v>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300</v>
      </c>
      <c r="AH520">
        <v>3</v>
      </c>
      <c r="AI520">
        <v>0</v>
      </c>
      <c r="AJ520">
        <v>0</v>
      </c>
      <c r="AK520">
        <v>200</v>
      </c>
      <c r="AL520">
        <v>0</v>
      </c>
      <c r="AM520">
        <v>120</v>
      </c>
      <c r="AN520">
        <v>-12</v>
      </c>
      <c r="AO520">
        <v>0</v>
      </c>
      <c r="AQ520">
        <v>0</v>
      </c>
      <c r="AR520">
        <v>0</v>
      </c>
      <c r="AS520">
        <v>120</v>
      </c>
      <c r="AT520">
        <v>-12</v>
      </c>
      <c r="AU520">
        <v>0</v>
      </c>
      <c r="AW520">
        <v>0</v>
      </c>
      <c r="AX520">
        <v>0</v>
      </c>
      <c r="AY520">
        <v>215.6</v>
      </c>
      <c r="BC520" t="str">
        <f>T("9791191102086")</f>
        <v>9791191102086</v>
      </c>
      <c r="BE520" t="str">
        <f t="shared" si="69"/>
        <v>판타지 웹소설 &gt; 현대 판타지</v>
      </c>
    </row>
    <row r="521" spans="1:57" x14ac:dyDescent="0.3">
      <c r="A521">
        <v>1525004030</v>
      </c>
      <c r="B521">
        <v>1525004189</v>
      </c>
      <c r="C521" t="str">
        <f>T("회귀의 전설 160화")</f>
        <v>회귀의 전설 160화</v>
      </c>
      <c r="D521" t="str">
        <f>T("160")</f>
        <v>160</v>
      </c>
      <c r="E521" t="str">
        <f t="shared" si="66"/>
        <v>김광수</v>
      </c>
      <c r="H521" t="str">
        <f t="shared" si="67"/>
        <v>스토리위즈</v>
      </c>
      <c r="I521" t="str">
        <f t="shared" si="68"/>
        <v>회귀의 전설</v>
      </c>
      <c r="J521">
        <v>100</v>
      </c>
      <c r="K521">
        <v>300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300</v>
      </c>
      <c r="AH521">
        <v>3</v>
      </c>
      <c r="AI521">
        <v>0</v>
      </c>
      <c r="AJ521">
        <v>0</v>
      </c>
      <c r="AK521">
        <v>200</v>
      </c>
      <c r="AL521">
        <v>0</v>
      </c>
      <c r="AM521">
        <v>120</v>
      </c>
      <c r="AN521">
        <v>-12</v>
      </c>
      <c r="AO521">
        <v>0</v>
      </c>
      <c r="AQ521">
        <v>0</v>
      </c>
      <c r="AR521">
        <v>0</v>
      </c>
      <c r="AS521">
        <v>120</v>
      </c>
      <c r="AT521">
        <v>-12</v>
      </c>
      <c r="AU521">
        <v>0</v>
      </c>
      <c r="AW521">
        <v>0</v>
      </c>
      <c r="AX521">
        <v>0</v>
      </c>
      <c r="AY521">
        <v>215.6</v>
      </c>
      <c r="BC521" t="str">
        <f>T("9788997946006")</f>
        <v>9788997946006</v>
      </c>
      <c r="BE521" t="str">
        <f t="shared" si="69"/>
        <v>판타지 웹소설 &gt; 현대 판타지</v>
      </c>
    </row>
    <row r="522" spans="1:57" x14ac:dyDescent="0.3">
      <c r="A522">
        <v>1525004030</v>
      </c>
      <c r="B522">
        <v>1525004124</v>
      </c>
      <c r="C522" t="str">
        <f>T("회귀의 전설 95화")</f>
        <v>회귀의 전설 95화</v>
      </c>
      <c r="D522" t="str">
        <f>T("95")</f>
        <v>95</v>
      </c>
      <c r="E522" t="str">
        <f t="shared" si="66"/>
        <v>김광수</v>
      </c>
      <c r="H522" t="str">
        <f t="shared" si="67"/>
        <v>스토리위즈</v>
      </c>
      <c r="I522" t="str">
        <f t="shared" si="68"/>
        <v>회귀의 전설</v>
      </c>
      <c r="J522">
        <v>100</v>
      </c>
      <c r="K522">
        <v>300</v>
      </c>
      <c r="L522">
        <v>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300</v>
      </c>
      <c r="AH522">
        <v>3</v>
      </c>
      <c r="AI522">
        <v>0</v>
      </c>
      <c r="AJ522">
        <v>0</v>
      </c>
      <c r="AK522">
        <v>200</v>
      </c>
      <c r="AL522">
        <v>0</v>
      </c>
      <c r="AM522">
        <v>120</v>
      </c>
      <c r="AN522">
        <v>-12</v>
      </c>
      <c r="AO522">
        <v>0</v>
      </c>
      <c r="AQ522">
        <v>0</v>
      </c>
      <c r="AR522">
        <v>0</v>
      </c>
      <c r="AS522">
        <v>120</v>
      </c>
      <c r="AT522">
        <v>-12</v>
      </c>
      <c r="AU522">
        <v>0</v>
      </c>
      <c r="AW522">
        <v>0</v>
      </c>
      <c r="AX522">
        <v>0</v>
      </c>
      <c r="AY522">
        <v>215.6</v>
      </c>
      <c r="BC522" t="str">
        <f>T("9788997946006")</f>
        <v>9788997946006</v>
      </c>
      <c r="BE522" t="str">
        <f t="shared" si="69"/>
        <v>판타지 웹소설 &gt; 현대 판타지</v>
      </c>
    </row>
    <row r="523" spans="1:57" x14ac:dyDescent="0.3">
      <c r="A523">
        <v>1525004030</v>
      </c>
      <c r="B523">
        <v>1525006822</v>
      </c>
      <c r="C523" t="str">
        <f>T("회귀의 전설 2부 705화")</f>
        <v>회귀의 전설 2부 705화</v>
      </c>
      <c r="D523" t="str">
        <f>T("705")</f>
        <v>705</v>
      </c>
      <c r="E523" t="str">
        <f t="shared" si="66"/>
        <v>김광수</v>
      </c>
      <c r="H523" t="str">
        <f t="shared" si="67"/>
        <v>스토리위즈</v>
      </c>
      <c r="I523" t="str">
        <f t="shared" si="68"/>
        <v>회귀의 전설</v>
      </c>
      <c r="J523">
        <v>100</v>
      </c>
      <c r="K523">
        <v>300</v>
      </c>
      <c r="L523">
        <v>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300</v>
      </c>
      <c r="AH523">
        <v>3</v>
      </c>
      <c r="AI523">
        <v>0</v>
      </c>
      <c r="AJ523">
        <v>0</v>
      </c>
      <c r="AK523">
        <v>200</v>
      </c>
      <c r="AL523">
        <v>0</v>
      </c>
      <c r="AM523">
        <v>120</v>
      </c>
      <c r="AN523">
        <v>-12</v>
      </c>
      <c r="AO523">
        <v>0</v>
      </c>
      <c r="AQ523">
        <v>0</v>
      </c>
      <c r="AR523">
        <v>0</v>
      </c>
      <c r="AS523">
        <v>120</v>
      </c>
      <c r="AT523">
        <v>-12</v>
      </c>
      <c r="AU523">
        <v>0</v>
      </c>
      <c r="AW523">
        <v>0</v>
      </c>
      <c r="AX523">
        <v>0</v>
      </c>
      <c r="AY523">
        <v>215.6</v>
      </c>
      <c r="BC523" t="str">
        <f>T("9791191102086")</f>
        <v>9791191102086</v>
      </c>
      <c r="BE523" t="str">
        <f t="shared" si="69"/>
        <v>판타지 웹소설 &gt; 현대 판타지</v>
      </c>
    </row>
    <row r="524" spans="1:57" x14ac:dyDescent="0.3">
      <c r="A524">
        <v>1525004030</v>
      </c>
      <c r="B524">
        <v>1525004145</v>
      </c>
      <c r="C524" t="str">
        <f>T("회귀의 전설 116화")</f>
        <v>회귀의 전설 116화</v>
      </c>
      <c r="D524" t="str">
        <f>T("116")</f>
        <v>116</v>
      </c>
      <c r="E524" t="str">
        <f t="shared" si="66"/>
        <v>김광수</v>
      </c>
      <c r="H524" t="str">
        <f t="shared" si="67"/>
        <v>스토리위즈</v>
      </c>
      <c r="I524" t="str">
        <f t="shared" si="68"/>
        <v>회귀의 전설</v>
      </c>
      <c r="J524">
        <v>100</v>
      </c>
      <c r="K524">
        <v>300</v>
      </c>
      <c r="L524">
        <v>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300</v>
      </c>
      <c r="AH524">
        <v>3</v>
      </c>
      <c r="AI524">
        <v>0</v>
      </c>
      <c r="AJ524">
        <v>0</v>
      </c>
      <c r="AK524">
        <v>200</v>
      </c>
      <c r="AL524">
        <v>0</v>
      </c>
      <c r="AM524">
        <v>120</v>
      </c>
      <c r="AN524">
        <v>-12</v>
      </c>
      <c r="AO524">
        <v>0</v>
      </c>
      <c r="AQ524">
        <v>0</v>
      </c>
      <c r="AR524">
        <v>0</v>
      </c>
      <c r="AS524">
        <v>120</v>
      </c>
      <c r="AT524">
        <v>-12</v>
      </c>
      <c r="AU524">
        <v>0</v>
      </c>
      <c r="AW524">
        <v>0</v>
      </c>
      <c r="AX524">
        <v>0</v>
      </c>
      <c r="AY524">
        <v>215.6</v>
      </c>
      <c r="BC524" t="str">
        <f>T("9788997946006")</f>
        <v>9788997946006</v>
      </c>
      <c r="BE524" t="str">
        <f t="shared" si="69"/>
        <v>판타지 웹소설 &gt; 현대 판타지</v>
      </c>
    </row>
    <row r="525" spans="1:57" x14ac:dyDescent="0.3">
      <c r="A525">
        <v>1525004030</v>
      </c>
      <c r="B525">
        <v>1525006717</v>
      </c>
      <c r="C525" t="str">
        <f>T("회귀의 전설 2부 600화")</f>
        <v>회귀의 전설 2부 600화</v>
      </c>
      <c r="D525" t="str">
        <f>T("600")</f>
        <v>600</v>
      </c>
      <c r="E525" t="str">
        <f t="shared" si="66"/>
        <v>김광수</v>
      </c>
      <c r="H525" t="str">
        <f t="shared" si="67"/>
        <v>스토리위즈</v>
      </c>
      <c r="I525" t="str">
        <f t="shared" si="68"/>
        <v>회귀의 전설</v>
      </c>
      <c r="J525">
        <v>100</v>
      </c>
      <c r="K525">
        <v>300</v>
      </c>
      <c r="L525">
        <v>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300</v>
      </c>
      <c r="AH525">
        <v>3</v>
      </c>
      <c r="AI525">
        <v>0</v>
      </c>
      <c r="AJ525">
        <v>0</v>
      </c>
      <c r="AK525">
        <v>200</v>
      </c>
      <c r="AL525">
        <v>0</v>
      </c>
      <c r="AM525">
        <v>120</v>
      </c>
      <c r="AN525">
        <v>-12</v>
      </c>
      <c r="AO525">
        <v>0</v>
      </c>
      <c r="AQ525">
        <v>0</v>
      </c>
      <c r="AR525">
        <v>0</v>
      </c>
      <c r="AS525">
        <v>120</v>
      </c>
      <c r="AT525">
        <v>-12</v>
      </c>
      <c r="AU525">
        <v>0</v>
      </c>
      <c r="AW525">
        <v>0</v>
      </c>
      <c r="AX525">
        <v>0</v>
      </c>
      <c r="AY525">
        <v>215.6</v>
      </c>
      <c r="BC525" t="str">
        <f>T("9791191102086")</f>
        <v>9791191102086</v>
      </c>
      <c r="BE525" t="str">
        <f t="shared" si="69"/>
        <v>판타지 웹소설 &gt; 현대 판타지</v>
      </c>
    </row>
    <row r="526" spans="1:57" x14ac:dyDescent="0.3">
      <c r="A526">
        <v>1525004030</v>
      </c>
      <c r="B526">
        <v>1525004178</v>
      </c>
      <c r="C526" t="str">
        <f>T("회귀의 전설 149화")</f>
        <v>회귀의 전설 149화</v>
      </c>
      <c r="D526" t="str">
        <f>T("149")</f>
        <v>149</v>
      </c>
      <c r="E526" t="str">
        <f t="shared" si="66"/>
        <v>김광수</v>
      </c>
      <c r="H526" t="str">
        <f t="shared" si="67"/>
        <v>스토리위즈</v>
      </c>
      <c r="I526" t="str">
        <f t="shared" si="68"/>
        <v>회귀의 전설</v>
      </c>
      <c r="J526">
        <v>100</v>
      </c>
      <c r="K526">
        <v>300</v>
      </c>
      <c r="L526">
        <v>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300</v>
      </c>
      <c r="AH526">
        <v>3</v>
      </c>
      <c r="AI526">
        <v>0</v>
      </c>
      <c r="AJ526">
        <v>0</v>
      </c>
      <c r="AK526">
        <v>200</v>
      </c>
      <c r="AL526">
        <v>0</v>
      </c>
      <c r="AM526">
        <v>120</v>
      </c>
      <c r="AN526">
        <v>-12</v>
      </c>
      <c r="AO526">
        <v>0</v>
      </c>
      <c r="AQ526">
        <v>0</v>
      </c>
      <c r="AR526">
        <v>0</v>
      </c>
      <c r="AS526">
        <v>120</v>
      </c>
      <c r="AT526">
        <v>-12</v>
      </c>
      <c r="AU526">
        <v>0</v>
      </c>
      <c r="AW526">
        <v>0</v>
      </c>
      <c r="AX526">
        <v>0</v>
      </c>
      <c r="AY526">
        <v>215.6</v>
      </c>
      <c r="BC526" t="str">
        <f>T("9788997946006")</f>
        <v>9788997946006</v>
      </c>
      <c r="BE526" t="str">
        <f t="shared" si="69"/>
        <v>판타지 웹소설 &gt; 현대 판타지</v>
      </c>
    </row>
    <row r="527" spans="1:57" x14ac:dyDescent="0.3">
      <c r="A527">
        <v>1525004030</v>
      </c>
      <c r="B527">
        <v>1525006749</v>
      </c>
      <c r="C527" t="str">
        <f>T("회귀의 전설 2부 632화")</f>
        <v>회귀의 전설 2부 632화</v>
      </c>
      <c r="D527" t="str">
        <f>T("632")</f>
        <v>632</v>
      </c>
      <c r="E527" t="str">
        <f t="shared" si="66"/>
        <v>김광수</v>
      </c>
      <c r="H527" t="str">
        <f t="shared" si="67"/>
        <v>스토리위즈</v>
      </c>
      <c r="I527" t="str">
        <f t="shared" si="68"/>
        <v>회귀의 전설</v>
      </c>
      <c r="J527">
        <v>100</v>
      </c>
      <c r="K527">
        <v>300</v>
      </c>
      <c r="L527">
        <v>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300</v>
      </c>
      <c r="AH527">
        <v>3</v>
      </c>
      <c r="AI527">
        <v>0</v>
      </c>
      <c r="AJ527">
        <v>0</v>
      </c>
      <c r="AK527">
        <v>200</v>
      </c>
      <c r="AL527">
        <v>0</v>
      </c>
      <c r="AM527">
        <v>120</v>
      </c>
      <c r="AN527">
        <v>-12</v>
      </c>
      <c r="AO527">
        <v>0</v>
      </c>
      <c r="AQ527">
        <v>0</v>
      </c>
      <c r="AR527">
        <v>0</v>
      </c>
      <c r="AS527">
        <v>120</v>
      </c>
      <c r="AT527">
        <v>-12</v>
      </c>
      <c r="AU527">
        <v>0</v>
      </c>
      <c r="AW527">
        <v>0</v>
      </c>
      <c r="AX527">
        <v>0</v>
      </c>
      <c r="AY527">
        <v>215.6</v>
      </c>
      <c r="BC527" t="str">
        <f>T("9791191102086")</f>
        <v>9791191102086</v>
      </c>
      <c r="BE527" t="str">
        <f t="shared" si="69"/>
        <v>판타지 웹소설 &gt; 현대 판타지</v>
      </c>
    </row>
    <row r="528" spans="1:57" x14ac:dyDescent="0.3">
      <c r="A528">
        <v>1525004030</v>
      </c>
      <c r="B528">
        <v>1525004167</v>
      </c>
      <c r="C528" t="str">
        <f>T("회귀의 전설 138화")</f>
        <v>회귀의 전설 138화</v>
      </c>
      <c r="D528" t="str">
        <f>T("138")</f>
        <v>138</v>
      </c>
      <c r="E528" t="str">
        <f t="shared" si="66"/>
        <v>김광수</v>
      </c>
      <c r="H528" t="str">
        <f t="shared" si="67"/>
        <v>스토리위즈</v>
      </c>
      <c r="I528" t="str">
        <f t="shared" si="68"/>
        <v>회귀의 전설</v>
      </c>
      <c r="J528">
        <v>100</v>
      </c>
      <c r="K528">
        <v>300</v>
      </c>
      <c r="L528">
        <v>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300</v>
      </c>
      <c r="AH528">
        <v>3</v>
      </c>
      <c r="AI528">
        <v>0</v>
      </c>
      <c r="AJ528">
        <v>0</v>
      </c>
      <c r="AK528">
        <v>200</v>
      </c>
      <c r="AL528">
        <v>0</v>
      </c>
      <c r="AM528">
        <v>120</v>
      </c>
      <c r="AN528">
        <v>-12</v>
      </c>
      <c r="AO528">
        <v>0</v>
      </c>
      <c r="AQ528">
        <v>0</v>
      </c>
      <c r="AR528">
        <v>0</v>
      </c>
      <c r="AS528">
        <v>120</v>
      </c>
      <c r="AT528">
        <v>-12</v>
      </c>
      <c r="AU528">
        <v>0</v>
      </c>
      <c r="AW528">
        <v>0</v>
      </c>
      <c r="AX528">
        <v>0</v>
      </c>
      <c r="AY528">
        <v>215.6</v>
      </c>
      <c r="BC528" t="str">
        <f>T("9788997946006")</f>
        <v>9788997946006</v>
      </c>
      <c r="BE528" t="str">
        <f t="shared" si="69"/>
        <v>판타지 웹소설 &gt; 현대 판타지</v>
      </c>
    </row>
    <row r="529" spans="1:57" x14ac:dyDescent="0.3">
      <c r="A529">
        <v>1525004030</v>
      </c>
      <c r="B529">
        <v>1525006738</v>
      </c>
      <c r="C529" t="str">
        <f>T("회귀의 전설 2부 621화")</f>
        <v>회귀의 전설 2부 621화</v>
      </c>
      <c r="D529" t="str">
        <f>T("621")</f>
        <v>621</v>
      </c>
      <c r="E529" t="str">
        <f t="shared" si="66"/>
        <v>김광수</v>
      </c>
      <c r="H529" t="str">
        <f t="shared" si="67"/>
        <v>스토리위즈</v>
      </c>
      <c r="I529" t="str">
        <f t="shared" si="68"/>
        <v>회귀의 전설</v>
      </c>
      <c r="J529">
        <v>100</v>
      </c>
      <c r="K529">
        <v>300</v>
      </c>
      <c r="L529">
        <v>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300</v>
      </c>
      <c r="AH529">
        <v>3</v>
      </c>
      <c r="AI529">
        <v>0</v>
      </c>
      <c r="AJ529">
        <v>0</v>
      </c>
      <c r="AK529">
        <v>200</v>
      </c>
      <c r="AL529">
        <v>0</v>
      </c>
      <c r="AM529">
        <v>120</v>
      </c>
      <c r="AN529">
        <v>-12</v>
      </c>
      <c r="AO529">
        <v>0</v>
      </c>
      <c r="AQ529">
        <v>0</v>
      </c>
      <c r="AR529">
        <v>0</v>
      </c>
      <c r="AS529">
        <v>120</v>
      </c>
      <c r="AT529">
        <v>-12</v>
      </c>
      <c r="AU529">
        <v>0</v>
      </c>
      <c r="AW529">
        <v>0</v>
      </c>
      <c r="AX529">
        <v>0</v>
      </c>
      <c r="AY529">
        <v>215.6</v>
      </c>
      <c r="BC529" t="str">
        <f>T("9791191102086")</f>
        <v>9791191102086</v>
      </c>
      <c r="BE529" t="str">
        <f t="shared" si="69"/>
        <v>판타지 웹소설 &gt; 현대 판타지</v>
      </c>
    </row>
    <row r="530" spans="1:57" x14ac:dyDescent="0.3">
      <c r="A530">
        <v>1525004030</v>
      </c>
      <c r="B530">
        <v>1525004199</v>
      </c>
      <c r="C530" t="str">
        <f>T("회귀의 전설 170화")</f>
        <v>회귀의 전설 170화</v>
      </c>
      <c r="D530" t="str">
        <f>T("170")</f>
        <v>170</v>
      </c>
      <c r="E530" t="str">
        <f t="shared" si="66"/>
        <v>김광수</v>
      </c>
      <c r="H530" t="str">
        <f t="shared" si="67"/>
        <v>스토리위즈</v>
      </c>
      <c r="I530" t="str">
        <f t="shared" si="68"/>
        <v>회귀의 전설</v>
      </c>
      <c r="J530">
        <v>100</v>
      </c>
      <c r="K530">
        <v>300</v>
      </c>
      <c r="L530">
        <v>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300</v>
      </c>
      <c r="AH530">
        <v>3</v>
      </c>
      <c r="AI530">
        <v>0</v>
      </c>
      <c r="AJ530">
        <v>0</v>
      </c>
      <c r="AK530">
        <v>200</v>
      </c>
      <c r="AL530">
        <v>0</v>
      </c>
      <c r="AM530">
        <v>120</v>
      </c>
      <c r="AN530">
        <v>-12</v>
      </c>
      <c r="AO530">
        <v>0</v>
      </c>
      <c r="AQ530">
        <v>0</v>
      </c>
      <c r="AR530">
        <v>0</v>
      </c>
      <c r="AS530">
        <v>120</v>
      </c>
      <c r="AT530">
        <v>-12</v>
      </c>
      <c r="AU530">
        <v>0</v>
      </c>
      <c r="AW530">
        <v>0</v>
      </c>
      <c r="AX530">
        <v>0</v>
      </c>
      <c r="AY530">
        <v>215.6</v>
      </c>
      <c r="BC530" t="str">
        <f>T("9788997946006")</f>
        <v>9788997946006</v>
      </c>
      <c r="BE530" t="str">
        <f t="shared" si="69"/>
        <v>판타지 웹소설 &gt; 현대 판타지</v>
      </c>
    </row>
    <row r="531" spans="1:57" x14ac:dyDescent="0.3">
      <c r="A531">
        <v>1525004030</v>
      </c>
      <c r="B531">
        <v>1525004134</v>
      </c>
      <c r="C531" t="str">
        <f>T("회귀의 전설 105화")</f>
        <v>회귀의 전설 105화</v>
      </c>
      <c r="D531" t="str">
        <f>T("105")</f>
        <v>105</v>
      </c>
      <c r="E531" t="str">
        <f t="shared" si="66"/>
        <v>김광수</v>
      </c>
      <c r="H531" t="str">
        <f t="shared" si="67"/>
        <v>스토리위즈</v>
      </c>
      <c r="I531" t="str">
        <f t="shared" si="68"/>
        <v>회귀의 전설</v>
      </c>
      <c r="J531">
        <v>100</v>
      </c>
      <c r="K531">
        <v>300</v>
      </c>
      <c r="L531">
        <v>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300</v>
      </c>
      <c r="AH531">
        <v>3</v>
      </c>
      <c r="AI531">
        <v>0</v>
      </c>
      <c r="AJ531">
        <v>0</v>
      </c>
      <c r="AK531">
        <v>200</v>
      </c>
      <c r="AL531">
        <v>0</v>
      </c>
      <c r="AM531">
        <v>120</v>
      </c>
      <c r="AN531">
        <v>-12</v>
      </c>
      <c r="AO531">
        <v>0</v>
      </c>
      <c r="AQ531">
        <v>0</v>
      </c>
      <c r="AR531">
        <v>0</v>
      </c>
      <c r="AS531">
        <v>120</v>
      </c>
      <c r="AT531">
        <v>-12</v>
      </c>
      <c r="AU531">
        <v>0</v>
      </c>
      <c r="AW531">
        <v>0</v>
      </c>
      <c r="AX531">
        <v>0</v>
      </c>
      <c r="AY531">
        <v>215.6</v>
      </c>
      <c r="BC531" t="str">
        <f>T("9788997946006")</f>
        <v>9788997946006</v>
      </c>
      <c r="BE531" t="str">
        <f t="shared" si="69"/>
        <v>판타지 웹소설 &gt; 현대 판타지</v>
      </c>
    </row>
    <row r="532" spans="1:57" x14ac:dyDescent="0.3">
      <c r="A532">
        <v>1525004030</v>
      </c>
      <c r="B532">
        <v>1525004155</v>
      </c>
      <c r="C532" t="str">
        <f>T("회귀의 전설 126화")</f>
        <v>회귀의 전설 126화</v>
      </c>
      <c r="D532" t="str">
        <f>T("126")</f>
        <v>126</v>
      </c>
      <c r="E532" t="str">
        <f t="shared" si="66"/>
        <v>김광수</v>
      </c>
      <c r="H532" t="str">
        <f t="shared" si="67"/>
        <v>스토리위즈</v>
      </c>
      <c r="I532" t="str">
        <f t="shared" si="68"/>
        <v>회귀의 전설</v>
      </c>
      <c r="J532">
        <v>100</v>
      </c>
      <c r="K532">
        <v>300</v>
      </c>
      <c r="L532">
        <v>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300</v>
      </c>
      <c r="AH532">
        <v>3</v>
      </c>
      <c r="AI532">
        <v>0</v>
      </c>
      <c r="AJ532">
        <v>0</v>
      </c>
      <c r="AK532">
        <v>200</v>
      </c>
      <c r="AL532">
        <v>0</v>
      </c>
      <c r="AM532">
        <v>120</v>
      </c>
      <c r="AN532">
        <v>-12</v>
      </c>
      <c r="AO532">
        <v>0</v>
      </c>
      <c r="AQ532">
        <v>0</v>
      </c>
      <c r="AR532">
        <v>0</v>
      </c>
      <c r="AS532">
        <v>120</v>
      </c>
      <c r="AT532">
        <v>-12</v>
      </c>
      <c r="AU532">
        <v>0</v>
      </c>
      <c r="AW532">
        <v>0</v>
      </c>
      <c r="AX532">
        <v>0</v>
      </c>
      <c r="AY532">
        <v>215.6</v>
      </c>
      <c r="BC532" t="str">
        <f>T("9788997946006")</f>
        <v>9788997946006</v>
      </c>
      <c r="BE532" t="str">
        <f t="shared" si="69"/>
        <v>판타지 웹소설 &gt; 현대 판타지</v>
      </c>
    </row>
    <row r="533" spans="1:57" x14ac:dyDescent="0.3">
      <c r="A533">
        <v>1525004030</v>
      </c>
      <c r="B533">
        <v>1525006727</v>
      </c>
      <c r="C533" t="str">
        <f>T("회귀의 전설 2부 610화")</f>
        <v>회귀의 전설 2부 610화</v>
      </c>
      <c r="D533" t="str">
        <f>T("610")</f>
        <v>610</v>
      </c>
      <c r="E533" t="str">
        <f t="shared" si="66"/>
        <v>김광수</v>
      </c>
      <c r="H533" t="str">
        <f t="shared" si="67"/>
        <v>스토리위즈</v>
      </c>
      <c r="I533" t="str">
        <f t="shared" si="68"/>
        <v>회귀의 전설</v>
      </c>
      <c r="J533">
        <v>100</v>
      </c>
      <c r="K533">
        <v>300</v>
      </c>
      <c r="L533">
        <v>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300</v>
      </c>
      <c r="AH533">
        <v>3</v>
      </c>
      <c r="AI533">
        <v>0</v>
      </c>
      <c r="AJ533">
        <v>0</v>
      </c>
      <c r="AK533">
        <v>200</v>
      </c>
      <c r="AL533">
        <v>0</v>
      </c>
      <c r="AM533">
        <v>120</v>
      </c>
      <c r="AN533">
        <v>-12</v>
      </c>
      <c r="AO533">
        <v>0</v>
      </c>
      <c r="AQ533">
        <v>0</v>
      </c>
      <c r="AR533">
        <v>0</v>
      </c>
      <c r="AS533">
        <v>120</v>
      </c>
      <c r="AT533">
        <v>-12</v>
      </c>
      <c r="AU533">
        <v>0</v>
      </c>
      <c r="AW533">
        <v>0</v>
      </c>
      <c r="AX533">
        <v>0</v>
      </c>
      <c r="AY533">
        <v>215.6</v>
      </c>
      <c r="BC533" t="str">
        <f>T("9791191102086")</f>
        <v>9791191102086</v>
      </c>
      <c r="BE533" t="str">
        <f t="shared" si="69"/>
        <v>판타지 웹소설 &gt; 현대 판타지</v>
      </c>
    </row>
    <row r="534" spans="1:57" x14ac:dyDescent="0.3">
      <c r="A534">
        <v>1525004030</v>
      </c>
      <c r="B534">
        <v>1525004188</v>
      </c>
      <c r="C534" t="str">
        <f>T("회귀의 전설 159화")</f>
        <v>회귀의 전설 159화</v>
      </c>
      <c r="D534" t="str">
        <f>T("159")</f>
        <v>159</v>
      </c>
      <c r="E534" t="str">
        <f t="shared" si="66"/>
        <v>김광수</v>
      </c>
      <c r="H534" t="str">
        <f t="shared" si="67"/>
        <v>스토리위즈</v>
      </c>
      <c r="I534" t="str">
        <f t="shared" si="68"/>
        <v>회귀의 전설</v>
      </c>
      <c r="J534">
        <v>100</v>
      </c>
      <c r="K534">
        <v>300</v>
      </c>
      <c r="L534">
        <v>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300</v>
      </c>
      <c r="AH534">
        <v>3</v>
      </c>
      <c r="AI534">
        <v>0</v>
      </c>
      <c r="AJ534">
        <v>0</v>
      </c>
      <c r="AK534">
        <v>200</v>
      </c>
      <c r="AL534">
        <v>0</v>
      </c>
      <c r="AM534">
        <v>120</v>
      </c>
      <c r="AN534">
        <v>-12</v>
      </c>
      <c r="AO534">
        <v>0</v>
      </c>
      <c r="AQ534">
        <v>0</v>
      </c>
      <c r="AR534">
        <v>0</v>
      </c>
      <c r="AS534">
        <v>120</v>
      </c>
      <c r="AT534">
        <v>-12</v>
      </c>
      <c r="AU534">
        <v>0</v>
      </c>
      <c r="AW534">
        <v>0</v>
      </c>
      <c r="AX534">
        <v>0</v>
      </c>
      <c r="AY534">
        <v>215.6</v>
      </c>
      <c r="BC534" t="str">
        <f>T("9788997946006")</f>
        <v>9788997946006</v>
      </c>
      <c r="BE534" t="str">
        <f t="shared" si="69"/>
        <v>판타지 웹소설 &gt; 현대 판타지</v>
      </c>
    </row>
    <row r="535" spans="1:57" x14ac:dyDescent="0.3">
      <c r="A535">
        <v>1525004030</v>
      </c>
      <c r="B535">
        <v>1525004123</v>
      </c>
      <c r="C535" t="str">
        <f>T("회귀의 전설 94화")</f>
        <v>회귀의 전설 94화</v>
      </c>
      <c r="D535" t="str">
        <f>T("94")</f>
        <v>94</v>
      </c>
      <c r="E535" t="str">
        <f t="shared" si="66"/>
        <v>김광수</v>
      </c>
      <c r="H535" t="str">
        <f t="shared" si="67"/>
        <v>스토리위즈</v>
      </c>
      <c r="I535" t="str">
        <f t="shared" si="68"/>
        <v>회귀의 전설</v>
      </c>
      <c r="J535">
        <v>100</v>
      </c>
      <c r="K535">
        <v>300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300</v>
      </c>
      <c r="AH535">
        <v>3</v>
      </c>
      <c r="AI535">
        <v>0</v>
      </c>
      <c r="AJ535">
        <v>0</v>
      </c>
      <c r="AK535">
        <v>200</v>
      </c>
      <c r="AL535">
        <v>0</v>
      </c>
      <c r="AM535">
        <v>120</v>
      </c>
      <c r="AN535">
        <v>-12</v>
      </c>
      <c r="AO535">
        <v>0</v>
      </c>
      <c r="AQ535">
        <v>0</v>
      </c>
      <c r="AR535">
        <v>0</v>
      </c>
      <c r="AS535">
        <v>120</v>
      </c>
      <c r="AT535">
        <v>-12</v>
      </c>
      <c r="AU535">
        <v>0</v>
      </c>
      <c r="AW535">
        <v>0</v>
      </c>
      <c r="AX535">
        <v>0</v>
      </c>
      <c r="AY535">
        <v>215.6</v>
      </c>
      <c r="BC535" t="str">
        <f>T("9788997946006")</f>
        <v>9788997946006</v>
      </c>
      <c r="BE535" t="str">
        <f t="shared" si="69"/>
        <v>판타지 웹소설 &gt; 현대 판타지</v>
      </c>
    </row>
    <row r="536" spans="1:57" x14ac:dyDescent="0.3">
      <c r="A536">
        <v>1525004030</v>
      </c>
      <c r="B536">
        <v>1525006821</v>
      </c>
      <c r="C536" t="str">
        <f>T("회귀의 전설 2부 704화")</f>
        <v>회귀의 전설 2부 704화</v>
      </c>
      <c r="D536" t="str">
        <f>T("704")</f>
        <v>704</v>
      </c>
      <c r="E536" t="str">
        <f t="shared" si="66"/>
        <v>김광수</v>
      </c>
      <c r="H536" t="str">
        <f t="shared" si="67"/>
        <v>스토리위즈</v>
      </c>
      <c r="I536" t="str">
        <f t="shared" si="68"/>
        <v>회귀의 전설</v>
      </c>
      <c r="J536">
        <v>100</v>
      </c>
      <c r="K536">
        <v>300</v>
      </c>
      <c r="L536">
        <v>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300</v>
      </c>
      <c r="AH536">
        <v>3</v>
      </c>
      <c r="AI536">
        <v>0</v>
      </c>
      <c r="AJ536">
        <v>0</v>
      </c>
      <c r="AK536">
        <v>200</v>
      </c>
      <c r="AL536">
        <v>0</v>
      </c>
      <c r="AM536">
        <v>120</v>
      </c>
      <c r="AN536">
        <v>-12</v>
      </c>
      <c r="AO536">
        <v>0</v>
      </c>
      <c r="AQ536">
        <v>0</v>
      </c>
      <c r="AR536">
        <v>0</v>
      </c>
      <c r="AS536">
        <v>120</v>
      </c>
      <c r="AT536">
        <v>-12</v>
      </c>
      <c r="AU536">
        <v>0</v>
      </c>
      <c r="AW536">
        <v>0</v>
      </c>
      <c r="AX536">
        <v>0</v>
      </c>
      <c r="AY536">
        <v>215.6</v>
      </c>
      <c r="BC536" t="str">
        <f>T("9791191102086")</f>
        <v>9791191102086</v>
      </c>
      <c r="BE536" t="str">
        <f t="shared" si="69"/>
        <v>판타지 웹소설 &gt; 현대 판타지</v>
      </c>
    </row>
    <row r="537" spans="1:57" x14ac:dyDescent="0.3">
      <c r="A537">
        <v>1525004030</v>
      </c>
      <c r="B537">
        <v>1525004144</v>
      </c>
      <c r="C537" t="str">
        <f>T("회귀의 전설 115화")</f>
        <v>회귀의 전설 115화</v>
      </c>
      <c r="D537" t="str">
        <f>T("115")</f>
        <v>115</v>
      </c>
      <c r="E537" t="str">
        <f t="shared" si="66"/>
        <v>김광수</v>
      </c>
      <c r="H537" t="str">
        <f t="shared" si="67"/>
        <v>스토리위즈</v>
      </c>
      <c r="I537" t="str">
        <f t="shared" si="68"/>
        <v>회귀의 전설</v>
      </c>
      <c r="J537">
        <v>100</v>
      </c>
      <c r="K537">
        <v>300</v>
      </c>
      <c r="L537">
        <v>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300</v>
      </c>
      <c r="AH537">
        <v>3</v>
      </c>
      <c r="AI537">
        <v>0</v>
      </c>
      <c r="AJ537">
        <v>0</v>
      </c>
      <c r="AK537">
        <v>200</v>
      </c>
      <c r="AL537">
        <v>0</v>
      </c>
      <c r="AM537">
        <v>120</v>
      </c>
      <c r="AN537">
        <v>-12</v>
      </c>
      <c r="AO537">
        <v>0</v>
      </c>
      <c r="AQ537">
        <v>0</v>
      </c>
      <c r="AR537">
        <v>0</v>
      </c>
      <c r="AS537">
        <v>120</v>
      </c>
      <c r="AT537">
        <v>-12</v>
      </c>
      <c r="AU537">
        <v>0</v>
      </c>
      <c r="AW537">
        <v>0</v>
      </c>
      <c r="AX537">
        <v>0</v>
      </c>
      <c r="AY537">
        <v>215.6</v>
      </c>
      <c r="BC537" t="str">
        <f>T("9788997946006")</f>
        <v>9788997946006</v>
      </c>
      <c r="BE537" t="str">
        <f t="shared" si="69"/>
        <v>판타지 웹소설 &gt; 현대 판타지</v>
      </c>
    </row>
    <row r="538" spans="1:57" x14ac:dyDescent="0.3">
      <c r="A538">
        <v>1525004030</v>
      </c>
      <c r="B538">
        <v>1525004177</v>
      </c>
      <c r="C538" t="str">
        <f>T("회귀의 전설 148화")</f>
        <v>회귀의 전설 148화</v>
      </c>
      <c r="D538" t="str">
        <f>T("148")</f>
        <v>148</v>
      </c>
      <c r="E538" t="str">
        <f t="shared" si="66"/>
        <v>김광수</v>
      </c>
      <c r="H538" t="str">
        <f t="shared" si="67"/>
        <v>스토리위즈</v>
      </c>
      <c r="I538" t="str">
        <f t="shared" si="68"/>
        <v>회귀의 전설</v>
      </c>
      <c r="J538">
        <v>100</v>
      </c>
      <c r="K538">
        <v>300</v>
      </c>
      <c r="L538">
        <v>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300</v>
      </c>
      <c r="AH538">
        <v>3</v>
      </c>
      <c r="AI538">
        <v>0</v>
      </c>
      <c r="AJ538">
        <v>0</v>
      </c>
      <c r="AK538">
        <v>200</v>
      </c>
      <c r="AL538">
        <v>0</v>
      </c>
      <c r="AM538">
        <v>120</v>
      </c>
      <c r="AN538">
        <v>-12</v>
      </c>
      <c r="AO538">
        <v>0</v>
      </c>
      <c r="AQ538">
        <v>0</v>
      </c>
      <c r="AR538">
        <v>0</v>
      </c>
      <c r="AS538">
        <v>120</v>
      </c>
      <c r="AT538">
        <v>-12</v>
      </c>
      <c r="AU538">
        <v>0</v>
      </c>
      <c r="AW538">
        <v>0</v>
      </c>
      <c r="AX538">
        <v>0</v>
      </c>
      <c r="AY538">
        <v>215.6</v>
      </c>
      <c r="BC538" t="str">
        <f>T("9788997946006")</f>
        <v>9788997946006</v>
      </c>
      <c r="BE538" t="str">
        <f t="shared" si="69"/>
        <v>판타지 웹소설 &gt; 현대 판타지</v>
      </c>
    </row>
    <row r="539" spans="1:57" x14ac:dyDescent="0.3">
      <c r="A539">
        <v>1525004030</v>
      </c>
      <c r="B539">
        <v>1525006748</v>
      </c>
      <c r="C539" t="str">
        <f>T("회귀의 전설 2부 631화")</f>
        <v>회귀의 전설 2부 631화</v>
      </c>
      <c r="D539" t="str">
        <f>T("631")</f>
        <v>631</v>
      </c>
      <c r="E539" t="str">
        <f t="shared" si="66"/>
        <v>김광수</v>
      </c>
      <c r="H539" t="str">
        <f t="shared" si="67"/>
        <v>스토리위즈</v>
      </c>
      <c r="I539" t="str">
        <f t="shared" si="68"/>
        <v>회귀의 전설</v>
      </c>
      <c r="J539">
        <v>100</v>
      </c>
      <c r="K539">
        <v>300</v>
      </c>
      <c r="L539">
        <v>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300</v>
      </c>
      <c r="AH539">
        <v>3</v>
      </c>
      <c r="AI539">
        <v>0</v>
      </c>
      <c r="AJ539">
        <v>0</v>
      </c>
      <c r="AK539">
        <v>200</v>
      </c>
      <c r="AL539">
        <v>0</v>
      </c>
      <c r="AM539">
        <v>120</v>
      </c>
      <c r="AN539">
        <v>-12</v>
      </c>
      <c r="AO539">
        <v>0</v>
      </c>
      <c r="AQ539">
        <v>0</v>
      </c>
      <c r="AR539">
        <v>0</v>
      </c>
      <c r="AS539">
        <v>120</v>
      </c>
      <c r="AT539">
        <v>-12</v>
      </c>
      <c r="AU539">
        <v>0</v>
      </c>
      <c r="AW539">
        <v>0</v>
      </c>
      <c r="AX539">
        <v>0</v>
      </c>
      <c r="AY539">
        <v>215.6</v>
      </c>
      <c r="BC539" t="str">
        <f>T("9791191102086")</f>
        <v>9791191102086</v>
      </c>
      <c r="BE539" t="str">
        <f t="shared" si="69"/>
        <v>판타지 웹소설 &gt; 현대 판타지</v>
      </c>
    </row>
    <row r="540" spans="1:57" x14ac:dyDescent="0.3">
      <c r="A540">
        <v>1525004030</v>
      </c>
      <c r="B540">
        <v>1525006737</v>
      </c>
      <c r="C540" t="str">
        <f>T("회귀의 전설 2부 620화")</f>
        <v>회귀의 전설 2부 620화</v>
      </c>
      <c r="D540" t="str">
        <f>T("620")</f>
        <v>620</v>
      </c>
      <c r="E540" t="str">
        <f t="shared" si="66"/>
        <v>김광수</v>
      </c>
      <c r="H540" t="str">
        <f t="shared" si="67"/>
        <v>스토리위즈</v>
      </c>
      <c r="I540" t="str">
        <f t="shared" si="68"/>
        <v>회귀의 전설</v>
      </c>
      <c r="J540">
        <v>100</v>
      </c>
      <c r="K540">
        <v>300</v>
      </c>
      <c r="L540">
        <v>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300</v>
      </c>
      <c r="AH540">
        <v>3</v>
      </c>
      <c r="AI540">
        <v>0</v>
      </c>
      <c r="AJ540">
        <v>0</v>
      </c>
      <c r="AK540">
        <v>200</v>
      </c>
      <c r="AL540">
        <v>0</v>
      </c>
      <c r="AM540">
        <v>120</v>
      </c>
      <c r="AN540">
        <v>-12</v>
      </c>
      <c r="AO540">
        <v>0</v>
      </c>
      <c r="AQ540">
        <v>0</v>
      </c>
      <c r="AR540">
        <v>0</v>
      </c>
      <c r="AS540">
        <v>120</v>
      </c>
      <c r="AT540">
        <v>-12</v>
      </c>
      <c r="AU540">
        <v>0</v>
      </c>
      <c r="AW540">
        <v>0</v>
      </c>
      <c r="AX540">
        <v>0</v>
      </c>
      <c r="AY540">
        <v>215.6</v>
      </c>
      <c r="BC540" t="str">
        <f>T("9791191102086")</f>
        <v>9791191102086</v>
      </c>
      <c r="BE540" t="str">
        <f t="shared" si="69"/>
        <v>판타지 웹소설 &gt; 현대 판타지</v>
      </c>
    </row>
    <row r="541" spans="1:57" x14ac:dyDescent="0.3">
      <c r="A541">
        <v>1525004030</v>
      </c>
      <c r="B541">
        <v>1525004198</v>
      </c>
      <c r="C541" t="str">
        <f>T("회귀의 전설 169화")</f>
        <v>회귀의 전설 169화</v>
      </c>
      <c r="D541" t="str">
        <f>T("169")</f>
        <v>169</v>
      </c>
      <c r="E541" t="str">
        <f t="shared" si="66"/>
        <v>김광수</v>
      </c>
      <c r="H541" t="str">
        <f t="shared" si="67"/>
        <v>스토리위즈</v>
      </c>
      <c r="I541" t="str">
        <f t="shared" si="68"/>
        <v>회귀의 전설</v>
      </c>
      <c r="J541">
        <v>100</v>
      </c>
      <c r="K541">
        <v>300</v>
      </c>
      <c r="L541">
        <v>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300</v>
      </c>
      <c r="AH541">
        <v>3</v>
      </c>
      <c r="AI541">
        <v>0</v>
      </c>
      <c r="AJ541">
        <v>0</v>
      </c>
      <c r="AK541">
        <v>200</v>
      </c>
      <c r="AL541">
        <v>0</v>
      </c>
      <c r="AM541">
        <v>120</v>
      </c>
      <c r="AN541">
        <v>-12</v>
      </c>
      <c r="AO541">
        <v>0</v>
      </c>
      <c r="AQ541">
        <v>0</v>
      </c>
      <c r="AR541">
        <v>0</v>
      </c>
      <c r="AS541">
        <v>120</v>
      </c>
      <c r="AT541">
        <v>-12</v>
      </c>
      <c r="AU541">
        <v>0</v>
      </c>
      <c r="AW541">
        <v>0</v>
      </c>
      <c r="AX541">
        <v>0</v>
      </c>
      <c r="AY541">
        <v>215.6</v>
      </c>
      <c r="BC541" t="str">
        <f>T("9788997946006")</f>
        <v>9788997946006</v>
      </c>
      <c r="BE541" t="str">
        <f t="shared" si="69"/>
        <v>판타지 웹소설 &gt; 현대 판타지</v>
      </c>
    </row>
    <row r="542" spans="1:57" x14ac:dyDescent="0.3">
      <c r="A542">
        <v>1525004030</v>
      </c>
      <c r="B542">
        <v>1525004133</v>
      </c>
      <c r="C542" t="str">
        <f>T("회귀의 전설 104화")</f>
        <v>회귀의 전설 104화</v>
      </c>
      <c r="D542" t="str">
        <f>T("104")</f>
        <v>104</v>
      </c>
      <c r="E542" t="str">
        <f t="shared" si="66"/>
        <v>김광수</v>
      </c>
      <c r="H542" t="str">
        <f t="shared" si="67"/>
        <v>스토리위즈</v>
      </c>
      <c r="I542" t="str">
        <f t="shared" si="68"/>
        <v>회귀의 전설</v>
      </c>
      <c r="J542">
        <v>100</v>
      </c>
      <c r="K542">
        <v>300</v>
      </c>
      <c r="L542">
        <v>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300</v>
      </c>
      <c r="AH542">
        <v>3</v>
      </c>
      <c r="AI542">
        <v>0</v>
      </c>
      <c r="AJ542">
        <v>0</v>
      </c>
      <c r="AK542">
        <v>200</v>
      </c>
      <c r="AL542">
        <v>0</v>
      </c>
      <c r="AM542">
        <v>120</v>
      </c>
      <c r="AN542">
        <v>-12</v>
      </c>
      <c r="AO542">
        <v>0</v>
      </c>
      <c r="AQ542">
        <v>0</v>
      </c>
      <c r="AR542">
        <v>0</v>
      </c>
      <c r="AS542">
        <v>120</v>
      </c>
      <c r="AT542">
        <v>-12</v>
      </c>
      <c r="AU542">
        <v>0</v>
      </c>
      <c r="AW542">
        <v>0</v>
      </c>
      <c r="AX542">
        <v>0</v>
      </c>
      <c r="AY542">
        <v>215.6</v>
      </c>
      <c r="BC542" t="str">
        <f>T("9788997946006")</f>
        <v>9788997946006</v>
      </c>
      <c r="BE542" t="str">
        <f t="shared" si="69"/>
        <v>판타지 웹소설 &gt; 현대 판타지</v>
      </c>
    </row>
    <row r="543" spans="1:57" x14ac:dyDescent="0.3">
      <c r="A543">
        <v>1525004030</v>
      </c>
      <c r="B543">
        <v>1525004166</v>
      </c>
      <c r="C543" t="str">
        <f>T("회귀의 전설 137화")</f>
        <v>회귀의 전설 137화</v>
      </c>
      <c r="D543" t="str">
        <f>T("137")</f>
        <v>137</v>
      </c>
      <c r="E543" t="str">
        <f t="shared" si="66"/>
        <v>김광수</v>
      </c>
      <c r="H543" t="str">
        <f t="shared" si="67"/>
        <v>스토리위즈</v>
      </c>
      <c r="I543" t="str">
        <f t="shared" si="68"/>
        <v>회귀의 전설</v>
      </c>
      <c r="J543">
        <v>100</v>
      </c>
      <c r="K543">
        <v>300</v>
      </c>
      <c r="L543">
        <v>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300</v>
      </c>
      <c r="AH543">
        <v>3</v>
      </c>
      <c r="AI543">
        <v>0</v>
      </c>
      <c r="AJ543">
        <v>0</v>
      </c>
      <c r="AK543">
        <v>200</v>
      </c>
      <c r="AL543">
        <v>0</v>
      </c>
      <c r="AM543">
        <v>120</v>
      </c>
      <c r="AN543">
        <v>-12</v>
      </c>
      <c r="AO543">
        <v>0</v>
      </c>
      <c r="AQ543">
        <v>0</v>
      </c>
      <c r="AR543">
        <v>0</v>
      </c>
      <c r="AS543">
        <v>120</v>
      </c>
      <c r="AT543">
        <v>-12</v>
      </c>
      <c r="AU543">
        <v>0</v>
      </c>
      <c r="AW543">
        <v>0</v>
      </c>
      <c r="AX543">
        <v>0</v>
      </c>
      <c r="AY543">
        <v>215.6</v>
      </c>
      <c r="BC543" t="str">
        <f>T("9788997946006")</f>
        <v>9788997946006</v>
      </c>
      <c r="BE543" t="str">
        <f t="shared" si="69"/>
        <v>판타지 웹소설 &gt; 현대 판타지</v>
      </c>
    </row>
    <row r="544" spans="1:57" x14ac:dyDescent="0.3">
      <c r="A544">
        <v>1525004030</v>
      </c>
      <c r="B544">
        <v>1525004154</v>
      </c>
      <c r="C544" t="str">
        <f>T("회귀의 전설 125화")</f>
        <v>회귀의 전설 125화</v>
      </c>
      <c r="D544" t="str">
        <f>T("125")</f>
        <v>125</v>
      </c>
      <c r="E544" t="str">
        <f t="shared" si="66"/>
        <v>김광수</v>
      </c>
      <c r="H544" t="str">
        <f t="shared" si="67"/>
        <v>스토리위즈</v>
      </c>
      <c r="I544" t="str">
        <f t="shared" si="68"/>
        <v>회귀의 전설</v>
      </c>
      <c r="J544">
        <v>100</v>
      </c>
      <c r="K544">
        <v>300</v>
      </c>
      <c r="L544">
        <v>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300</v>
      </c>
      <c r="AH544">
        <v>3</v>
      </c>
      <c r="AI544">
        <v>0</v>
      </c>
      <c r="AJ544">
        <v>0</v>
      </c>
      <c r="AK544">
        <v>200</v>
      </c>
      <c r="AL544">
        <v>0</v>
      </c>
      <c r="AM544">
        <v>120</v>
      </c>
      <c r="AN544">
        <v>-12</v>
      </c>
      <c r="AO544">
        <v>0</v>
      </c>
      <c r="AQ544">
        <v>0</v>
      </c>
      <c r="AR544">
        <v>0</v>
      </c>
      <c r="AS544">
        <v>120</v>
      </c>
      <c r="AT544">
        <v>-12</v>
      </c>
      <c r="AU544">
        <v>0</v>
      </c>
      <c r="AW544">
        <v>0</v>
      </c>
      <c r="AX544">
        <v>0</v>
      </c>
      <c r="AY544">
        <v>215.6</v>
      </c>
      <c r="BC544" t="str">
        <f>T("9788997946006")</f>
        <v>9788997946006</v>
      </c>
      <c r="BE544" t="str">
        <f t="shared" si="69"/>
        <v>판타지 웹소설 &gt; 현대 판타지</v>
      </c>
    </row>
    <row r="545" spans="1:57" x14ac:dyDescent="0.3">
      <c r="A545">
        <v>1525004030</v>
      </c>
      <c r="B545">
        <v>1525006726</v>
      </c>
      <c r="C545" t="str">
        <f>T("회귀의 전설 2부 609화")</f>
        <v>회귀의 전설 2부 609화</v>
      </c>
      <c r="D545" t="str">
        <f>T("609")</f>
        <v>609</v>
      </c>
      <c r="E545" t="str">
        <f t="shared" si="66"/>
        <v>김광수</v>
      </c>
      <c r="H545" t="str">
        <f t="shared" si="67"/>
        <v>스토리위즈</v>
      </c>
      <c r="I545" t="str">
        <f t="shared" si="68"/>
        <v>회귀의 전설</v>
      </c>
      <c r="J545">
        <v>100</v>
      </c>
      <c r="K545">
        <v>300</v>
      </c>
      <c r="L545">
        <v>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300</v>
      </c>
      <c r="AH545">
        <v>3</v>
      </c>
      <c r="AI545">
        <v>0</v>
      </c>
      <c r="AJ545">
        <v>0</v>
      </c>
      <c r="AK545">
        <v>200</v>
      </c>
      <c r="AL545">
        <v>0</v>
      </c>
      <c r="AM545">
        <v>120</v>
      </c>
      <c r="AN545">
        <v>-12</v>
      </c>
      <c r="AO545">
        <v>0</v>
      </c>
      <c r="AQ545">
        <v>0</v>
      </c>
      <c r="AR545">
        <v>0</v>
      </c>
      <c r="AS545">
        <v>120</v>
      </c>
      <c r="AT545">
        <v>-12</v>
      </c>
      <c r="AU545">
        <v>0</v>
      </c>
      <c r="AW545">
        <v>0</v>
      </c>
      <c r="AX545">
        <v>0</v>
      </c>
      <c r="AY545">
        <v>215.6</v>
      </c>
      <c r="BC545" t="str">
        <f>T("9791191102086")</f>
        <v>9791191102086</v>
      </c>
      <c r="BE545" t="str">
        <f t="shared" si="69"/>
        <v>판타지 웹소설 &gt; 현대 판타지</v>
      </c>
    </row>
    <row r="546" spans="1:57" x14ac:dyDescent="0.3">
      <c r="A546">
        <v>1525004030</v>
      </c>
      <c r="B546">
        <v>1525004187</v>
      </c>
      <c r="C546" t="str">
        <f>T("회귀의 전설 158화")</f>
        <v>회귀의 전설 158화</v>
      </c>
      <c r="D546" t="str">
        <f>T("158")</f>
        <v>158</v>
      </c>
      <c r="E546" t="str">
        <f t="shared" si="66"/>
        <v>김광수</v>
      </c>
      <c r="H546" t="str">
        <f t="shared" si="67"/>
        <v>스토리위즈</v>
      </c>
      <c r="I546" t="str">
        <f t="shared" si="68"/>
        <v>회귀의 전설</v>
      </c>
      <c r="J546">
        <v>100</v>
      </c>
      <c r="K546">
        <v>300</v>
      </c>
      <c r="L546">
        <v>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300</v>
      </c>
      <c r="AH546">
        <v>3</v>
      </c>
      <c r="AI546">
        <v>0</v>
      </c>
      <c r="AJ546">
        <v>0</v>
      </c>
      <c r="AK546">
        <v>200</v>
      </c>
      <c r="AL546">
        <v>0</v>
      </c>
      <c r="AM546">
        <v>120</v>
      </c>
      <c r="AN546">
        <v>-12</v>
      </c>
      <c r="AO546">
        <v>0</v>
      </c>
      <c r="AQ546">
        <v>0</v>
      </c>
      <c r="AR546">
        <v>0</v>
      </c>
      <c r="AS546">
        <v>120</v>
      </c>
      <c r="AT546">
        <v>-12</v>
      </c>
      <c r="AU546">
        <v>0</v>
      </c>
      <c r="AW546">
        <v>0</v>
      </c>
      <c r="AX546">
        <v>0</v>
      </c>
      <c r="AY546">
        <v>215.6</v>
      </c>
      <c r="BC546" t="str">
        <f>T("9788997946006")</f>
        <v>9788997946006</v>
      </c>
      <c r="BE546" t="str">
        <f t="shared" si="69"/>
        <v>판타지 웹소설 &gt; 현대 판타지</v>
      </c>
    </row>
    <row r="547" spans="1:57" x14ac:dyDescent="0.3">
      <c r="A547">
        <v>1525004030</v>
      </c>
      <c r="B547">
        <v>1525004122</v>
      </c>
      <c r="C547" t="str">
        <f>T("회귀의 전설 93화")</f>
        <v>회귀의 전설 93화</v>
      </c>
      <c r="D547" t="str">
        <f>T("93")</f>
        <v>93</v>
      </c>
      <c r="E547" t="str">
        <f t="shared" si="66"/>
        <v>김광수</v>
      </c>
      <c r="H547" t="str">
        <f t="shared" si="67"/>
        <v>스토리위즈</v>
      </c>
      <c r="I547" t="str">
        <f t="shared" si="68"/>
        <v>회귀의 전설</v>
      </c>
      <c r="J547">
        <v>100</v>
      </c>
      <c r="K547">
        <v>300</v>
      </c>
      <c r="L547">
        <v>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300</v>
      </c>
      <c r="AH547">
        <v>3</v>
      </c>
      <c r="AI547">
        <v>0</v>
      </c>
      <c r="AJ547">
        <v>0</v>
      </c>
      <c r="AK547">
        <v>200</v>
      </c>
      <c r="AL547">
        <v>0</v>
      </c>
      <c r="AM547">
        <v>120</v>
      </c>
      <c r="AN547">
        <v>-12</v>
      </c>
      <c r="AO547">
        <v>0</v>
      </c>
      <c r="AQ547">
        <v>0</v>
      </c>
      <c r="AR547">
        <v>0</v>
      </c>
      <c r="AS547">
        <v>120</v>
      </c>
      <c r="AT547">
        <v>-12</v>
      </c>
      <c r="AU547">
        <v>0</v>
      </c>
      <c r="AW547">
        <v>0</v>
      </c>
      <c r="AX547">
        <v>0</v>
      </c>
      <c r="AY547">
        <v>215.6</v>
      </c>
      <c r="BC547" t="str">
        <f>T("9788997946006")</f>
        <v>9788997946006</v>
      </c>
      <c r="BE547" t="str">
        <f t="shared" si="69"/>
        <v>판타지 웹소설 &gt; 현대 판타지</v>
      </c>
    </row>
    <row r="548" spans="1:57" x14ac:dyDescent="0.3">
      <c r="A548">
        <v>1525004030</v>
      </c>
      <c r="B548">
        <v>1525004143</v>
      </c>
      <c r="C548" t="str">
        <f>T("회귀의 전설 114화")</f>
        <v>회귀의 전설 114화</v>
      </c>
      <c r="D548" t="str">
        <f>T("114")</f>
        <v>114</v>
      </c>
      <c r="E548" t="str">
        <f t="shared" si="66"/>
        <v>김광수</v>
      </c>
      <c r="H548" t="str">
        <f t="shared" si="67"/>
        <v>스토리위즈</v>
      </c>
      <c r="I548" t="str">
        <f t="shared" si="68"/>
        <v>회귀의 전설</v>
      </c>
      <c r="J548">
        <v>100</v>
      </c>
      <c r="K548">
        <v>300</v>
      </c>
      <c r="L548">
        <v>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300</v>
      </c>
      <c r="AH548">
        <v>3</v>
      </c>
      <c r="AI548">
        <v>0</v>
      </c>
      <c r="AJ548">
        <v>0</v>
      </c>
      <c r="AK548">
        <v>200</v>
      </c>
      <c r="AL548">
        <v>0</v>
      </c>
      <c r="AM548">
        <v>120</v>
      </c>
      <c r="AN548">
        <v>-12</v>
      </c>
      <c r="AO548">
        <v>0</v>
      </c>
      <c r="AQ548">
        <v>0</v>
      </c>
      <c r="AR548">
        <v>0</v>
      </c>
      <c r="AS548">
        <v>120</v>
      </c>
      <c r="AT548">
        <v>-12</v>
      </c>
      <c r="AU548">
        <v>0</v>
      </c>
      <c r="AW548">
        <v>0</v>
      </c>
      <c r="AX548">
        <v>0</v>
      </c>
      <c r="AY548">
        <v>215.6</v>
      </c>
      <c r="BC548" t="str">
        <f>T("9788997946006")</f>
        <v>9788997946006</v>
      </c>
      <c r="BE548" t="str">
        <f t="shared" si="69"/>
        <v>판타지 웹소설 &gt; 현대 판타지</v>
      </c>
    </row>
    <row r="549" spans="1:57" x14ac:dyDescent="0.3">
      <c r="A549">
        <v>1525004030</v>
      </c>
      <c r="B549">
        <v>1525004176</v>
      </c>
      <c r="C549" t="str">
        <f>T("회귀의 전설 147화")</f>
        <v>회귀의 전설 147화</v>
      </c>
      <c r="D549" t="str">
        <f>T("147")</f>
        <v>147</v>
      </c>
      <c r="E549" t="str">
        <f t="shared" si="66"/>
        <v>김광수</v>
      </c>
      <c r="H549" t="str">
        <f t="shared" si="67"/>
        <v>스토리위즈</v>
      </c>
      <c r="I549" t="str">
        <f t="shared" si="68"/>
        <v>회귀의 전설</v>
      </c>
      <c r="J549">
        <v>100</v>
      </c>
      <c r="K549">
        <v>300</v>
      </c>
      <c r="L549">
        <v>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300</v>
      </c>
      <c r="AH549">
        <v>3</v>
      </c>
      <c r="AI549">
        <v>0</v>
      </c>
      <c r="AJ549">
        <v>0</v>
      </c>
      <c r="AK549">
        <v>200</v>
      </c>
      <c r="AL549">
        <v>0</v>
      </c>
      <c r="AM549">
        <v>120</v>
      </c>
      <c r="AN549">
        <v>-12</v>
      </c>
      <c r="AO549">
        <v>0</v>
      </c>
      <c r="AQ549">
        <v>0</v>
      </c>
      <c r="AR549">
        <v>0</v>
      </c>
      <c r="AS549">
        <v>120</v>
      </c>
      <c r="AT549">
        <v>-12</v>
      </c>
      <c r="AU549">
        <v>0</v>
      </c>
      <c r="AW549">
        <v>0</v>
      </c>
      <c r="AX549">
        <v>0</v>
      </c>
      <c r="AY549">
        <v>215.6</v>
      </c>
      <c r="BC549" t="str">
        <f>T("9788997946006")</f>
        <v>9788997946006</v>
      </c>
      <c r="BE549" t="str">
        <f t="shared" si="69"/>
        <v>판타지 웹소설 &gt; 현대 판타지</v>
      </c>
    </row>
    <row r="550" spans="1:57" x14ac:dyDescent="0.3">
      <c r="A550">
        <v>1525004030</v>
      </c>
      <c r="B550">
        <v>1525006747</v>
      </c>
      <c r="C550" t="str">
        <f>T("회귀의 전설 2부 630화")</f>
        <v>회귀의 전설 2부 630화</v>
      </c>
      <c r="D550" t="str">
        <f>T("630")</f>
        <v>630</v>
      </c>
      <c r="E550" t="str">
        <f t="shared" si="66"/>
        <v>김광수</v>
      </c>
      <c r="H550" t="str">
        <f t="shared" si="67"/>
        <v>스토리위즈</v>
      </c>
      <c r="I550" t="str">
        <f t="shared" si="68"/>
        <v>회귀의 전설</v>
      </c>
      <c r="J550">
        <v>100</v>
      </c>
      <c r="K550">
        <v>300</v>
      </c>
      <c r="L550">
        <v>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300</v>
      </c>
      <c r="AH550">
        <v>3</v>
      </c>
      <c r="AI550">
        <v>0</v>
      </c>
      <c r="AJ550">
        <v>0</v>
      </c>
      <c r="AK550">
        <v>200</v>
      </c>
      <c r="AL550">
        <v>0</v>
      </c>
      <c r="AM550">
        <v>120</v>
      </c>
      <c r="AN550">
        <v>-12</v>
      </c>
      <c r="AO550">
        <v>0</v>
      </c>
      <c r="AQ550">
        <v>0</v>
      </c>
      <c r="AR550">
        <v>0</v>
      </c>
      <c r="AS550">
        <v>120</v>
      </c>
      <c r="AT550">
        <v>-12</v>
      </c>
      <c r="AU550">
        <v>0</v>
      </c>
      <c r="AW550">
        <v>0</v>
      </c>
      <c r="AX550">
        <v>0</v>
      </c>
      <c r="AY550">
        <v>215.6</v>
      </c>
      <c r="BC550" t="str">
        <f>T("9791191102086")</f>
        <v>9791191102086</v>
      </c>
      <c r="BE550" t="str">
        <f t="shared" si="69"/>
        <v>판타지 웹소설 &gt; 현대 판타지</v>
      </c>
    </row>
    <row r="551" spans="1:57" x14ac:dyDescent="0.3">
      <c r="A551">
        <v>1525004030</v>
      </c>
      <c r="B551">
        <v>1525006820</v>
      </c>
      <c r="C551" t="str">
        <f>T("회귀의 전설 2부 703화")</f>
        <v>회귀의 전설 2부 703화</v>
      </c>
      <c r="D551" t="str">
        <f>T("703")</f>
        <v>703</v>
      </c>
      <c r="E551" t="str">
        <f t="shared" si="66"/>
        <v>김광수</v>
      </c>
      <c r="H551" t="str">
        <f t="shared" si="67"/>
        <v>스토리위즈</v>
      </c>
      <c r="I551" t="str">
        <f t="shared" si="68"/>
        <v>회귀의 전설</v>
      </c>
      <c r="J551">
        <v>100</v>
      </c>
      <c r="K551">
        <v>300</v>
      </c>
      <c r="L551">
        <v>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300</v>
      </c>
      <c r="AH551">
        <v>3</v>
      </c>
      <c r="AI551">
        <v>0</v>
      </c>
      <c r="AJ551">
        <v>0</v>
      </c>
      <c r="AK551">
        <v>200</v>
      </c>
      <c r="AL551">
        <v>0</v>
      </c>
      <c r="AM551">
        <v>120</v>
      </c>
      <c r="AN551">
        <v>-12</v>
      </c>
      <c r="AO551">
        <v>0</v>
      </c>
      <c r="AQ551">
        <v>0</v>
      </c>
      <c r="AR551">
        <v>0</v>
      </c>
      <c r="AS551">
        <v>120</v>
      </c>
      <c r="AT551">
        <v>-12</v>
      </c>
      <c r="AU551">
        <v>0</v>
      </c>
      <c r="AW551">
        <v>0</v>
      </c>
      <c r="AX551">
        <v>0</v>
      </c>
      <c r="AY551">
        <v>215.6</v>
      </c>
      <c r="BC551" t="str">
        <f>T("9791191102086")</f>
        <v>9791191102086</v>
      </c>
      <c r="BE551" t="str">
        <f t="shared" si="69"/>
        <v>판타지 웹소설 &gt; 현대 판타지</v>
      </c>
    </row>
    <row r="552" spans="1:57" x14ac:dyDescent="0.3">
      <c r="A552">
        <v>1525004030</v>
      </c>
      <c r="B552">
        <v>1525006736</v>
      </c>
      <c r="C552" t="str">
        <f>T("회귀의 전설 2부 619화")</f>
        <v>회귀의 전설 2부 619화</v>
      </c>
      <c r="D552" t="str">
        <f>T("619")</f>
        <v>619</v>
      </c>
      <c r="E552" t="str">
        <f t="shared" si="66"/>
        <v>김광수</v>
      </c>
      <c r="H552" t="str">
        <f t="shared" si="67"/>
        <v>스토리위즈</v>
      </c>
      <c r="I552" t="str">
        <f t="shared" si="68"/>
        <v>회귀의 전설</v>
      </c>
      <c r="J552">
        <v>100</v>
      </c>
      <c r="K552">
        <v>300</v>
      </c>
      <c r="L552">
        <v>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300</v>
      </c>
      <c r="AH552">
        <v>3</v>
      </c>
      <c r="AI552">
        <v>0</v>
      </c>
      <c r="AJ552">
        <v>0</v>
      </c>
      <c r="AK552">
        <v>200</v>
      </c>
      <c r="AL552">
        <v>0</v>
      </c>
      <c r="AM552">
        <v>120</v>
      </c>
      <c r="AN552">
        <v>-12</v>
      </c>
      <c r="AO552">
        <v>0</v>
      </c>
      <c r="AQ552">
        <v>0</v>
      </c>
      <c r="AR552">
        <v>0</v>
      </c>
      <c r="AS552">
        <v>120</v>
      </c>
      <c r="AT552">
        <v>-12</v>
      </c>
      <c r="AU552">
        <v>0</v>
      </c>
      <c r="AW552">
        <v>0</v>
      </c>
      <c r="AX552">
        <v>0</v>
      </c>
      <c r="AY552">
        <v>215.6</v>
      </c>
      <c r="BC552" t="str">
        <f>T("9791191102086")</f>
        <v>9791191102086</v>
      </c>
      <c r="BE552" t="str">
        <f t="shared" si="69"/>
        <v>판타지 웹소설 &gt; 현대 판타지</v>
      </c>
    </row>
    <row r="553" spans="1:57" x14ac:dyDescent="0.3">
      <c r="A553">
        <v>1525004030</v>
      </c>
      <c r="B553">
        <v>1525004197</v>
      </c>
      <c r="C553" t="str">
        <f>T("회귀의 전설 168화")</f>
        <v>회귀의 전설 168화</v>
      </c>
      <c r="D553" t="str">
        <f>T("168")</f>
        <v>168</v>
      </c>
      <c r="E553" t="str">
        <f t="shared" si="66"/>
        <v>김광수</v>
      </c>
      <c r="H553" t="str">
        <f t="shared" si="67"/>
        <v>스토리위즈</v>
      </c>
      <c r="I553" t="str">
        <f t="shared" si="68"/>
        <v>회귀의 전설</v>
      </c>
      <c r="J553">
        <v>100</v>
      </c>
      <c r="K553">
        <v>300</v>
      </c>
      <c r="L553">
        <v>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300</v>
      </c>
      <c r="AH553">
        <v>3</v>
      </c>
      <c r="AI553">
        <v>0</v>
      </c>
      <c r="AJ553">
        <v>0</v>
      </c>
      <c r="AK553">
        <v>200</v>
      </c>
      <c r="AL553">
        <v>0</v>
      </c>
      <c r="AM553">
        <v>120</v>
      </c>
      <c r="AN553">
        <v>-12</v>
      </c>
      <c r="AO553">
        <v>0</v>
      </c>
      <c r="AQ553">
        <v>0</v>
      </c>
      <c r="AR553">
        <v>0</v>
      </c>
      <c r="AS553">
        <v>120</v>
      </c>
      <c r="AT553">
        <v>-12</v>
      </c>
      <c r="AU553">
        <v>0</v>
      </c>
      <c r="AW553">
        <v>0</v>
      </c>
      <c r="AX553">
        <v>0</v>
      </c>
      <c r="AY553">
        <v>215.6</v>
      </c>
      <c r="BC553" t="str">
        <f>T("9788997946006")</f>
        <v>9788997946006</v>
      </c>
      <c r="BE553" t="str">
        <f t="shared" si="69"/>
        <v>판타지 웹소설 &gt; 현대 판타지</v>
      </c>
    </row>
    <row r="554" spans="1:57" x14ac:dyDescent="0.3">
      <c r="A554">
        <v>1525004030</v>
      </c>
      <c r="B554">
        <v>1525006768</v>
      </c>
      <c r="C554" t="str">
        <f>T("회귀의 전설 2부 651화")</f>
        <v>회귀의 전설 2부 651화</v>
      </c>
      <c r="D554" t="str">
        <f>T("651")</f>
        <v>651</v>
      </c>
      <c r="E554" t="str">
        <f t="shared" si="66"/>
        <v>김광수</v>
      </c>
      <c r="H554" t="str">
        <f t="shared" si="67"/>
        <v>스토리위즈</v>
      </c>
      <c r="I554" t="str">
        <f t="shared" si="68"/>
        <v>회귀의 전설</v>
      </c>
      <c r="J554">
        <v>100</v>
      </c>
      <c r="K554">
        <v>300</v>
      </c>
      <c r="L554">
        <v>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300</v>
      </c>
      <c r="AH554">
        <v>3</v>
      </c>
      <c r="AI554">
        <v>0</v>
      </c>
      <c r="AJ554">
        <v>0</v>
      </c>
      <c r="AK554">
        <v>200</v>
      </c>
      <c r="AL554">
        <v>0</v>
      </c>
      <c r="AM554">
        <v>120</v>
      </c>
      <c r="AN554">
        <v>-12</v>
      </c>
      <c r="AO554">
        <v>0</v>
      </c>
      <c r="AQ554">
        <v>0</v>
      </c>
      <c r="AR554">
        <v>0</v>
      </c>
      <c r="AS554">
        <v>120</v>
      </c>
      <c r="AT554">
        <v>-12</v>
      </c>
      <c r="AU554">
        <v>0</v>
      </c>
      <c r="AW554">
        <v>0</v>
      </c>
      <c r="AX554">
        <v>0</v>
      </c>
      <c r="AY554">
        <v>215.6</v>
      </c>
      <c r="BC554" t="str">
        <f>T("9791191102086")</f>
        <v>9791191102086</v>
      </c>
      <c r="BE554" t="str">
        <f t="shared" si="69"/>
        <v>판타지 웹소설 &gt; 현대 판타지</v>
      </c>
    </row>
    <row r="555" spans="1:57" x14ac:dyDescent="0.3">
      <c r="A555">
        <v>1525004030</v>
      </c>
      <c r="B555">
        <v>1525004164</v>
      </c>
      <c r="C555" t="str">
        <f>T("회귀의 전설 135화")</f>
        <v>회귀의 전설 135화</v>
      </c>
      <c r="D555" t="str">
        <f>T("135")</f>
        <v>135</v>
      </c>
      <c r="E555" t="str">
        <f t="shared" si="66"/>
        <v>김광수</v>
      </c>
      <c r="H555" t="str">
        <f t="shared" si="67"/>
        <v>스토리위즈</v>
      </c>
      <c r="I555" t="str">
        <f t="shared" si="68"/>
        <v>회귀의 전설</v>
      </c>
      <c r="J555">
        <v>100</v>
      </c>
      <c r="K555">
        <v>300</v>
      </c>
      <c r="L555">
        <v>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300</v>
      </c>
      <c r="AH555">
        <v>3</v>
      </c>
      <c r="AI555">
        <v>0</v>
      </c>
      <c r="AJ555">
        <v>0</v>
      </c>
      <c r="AK555">
        <v>200</v>
      </c>
      <c r="AL555">
        <v>0</v>
      </c>
      <c r="AM555">
        <v>120</v>
      </c>
      <c r="AN555">
        <v>-12</v>
      </c>
      <c r="AO555">
        <v>0</v>
      </c>
      <c r="AQ555">
        <v>0</v>
      </c>
      <c r="AR555">
        <v>0</v>
      </c>
      <c r="AS555">
        <v>120</v>
      </c>
      <c r="AT555">
        <v>-12</v>
      </c>
      <c r="AU555">
        <v>0</v>
      </c>
      <c r="AW555">
        <v>0</v>
      </c>
      <c r="AX555">
        <v>0</v>
      </c>
      <c r="AY555">
        <v>215.6</v>
      </c>
      <c r="BC555" t="str">
        <f>T("9788997946006")</f>
        <v>9788997946006</v>
      </c>
      <c r="BE555" t="str">
        <f t="shared" si="69"/>
        <v>판타지 웹소설 &gt; 현대 판타지</v>
      </c>
    </row>
    <row r="556" spans="1:57" x14ac:dyDescent="0.3">
      <c r="A556">
        <v>1525004030</v>
      </c>
      <c r="B556">
        <v>1525004165</v>
      </c>
      <c r="C556" t="str">
        <f>T("회귀의 전설 136화")</f>
        <v>회귀의 전설 136화</v>
      </c>
      <c r="D556" t="str">
        <f>T("136")</f>
        <v>136</v>
      </c>
      <c r="E556" t="str">
        <f t="shared" si="66"/>
        <v>김광수</v>
      </c>
      <c r="H556" t="str">
        <f t="shared" si="67"/>
        <v>스토리위즈</v>
      </c>
      <c r="I556" t="str">
        <f t="shared" si="68"/>
        <v>회귀의 전설</v>
      </c>
      <c r="J556">
        <v>100</v>
      </c>
      <c r="K556">
        <v>300</v>
      </c>
      <c r="L556">
        <v>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300</v>
      </c>
      <c r="AH556">
        <v>3</v>
      </c>
      <c r="AI556">
        <v>0</v>
      </c>
      <c r="AJ556">
        <v>0</v>
      </c>
      <c r="AK556">
        <v>200</v>
      </c>
      <c r="AL556">
        <v>0</v>
      </c>
      <c r="AM556">
        <v>120</v>
      </c>
      <c r="AN556">
        <v>-12</v>
      </c>
      <c r="AO556">
        <v>0</v>
      </c>
      <c r="AQ556">
        <v>0</v>
      </c>
      <c r="AR556">
        <v>0</v>
      </c>
      <c r="AS556">
        <v>120</v>
      </c>
      <c r="AT556">
        <v>-12</v>
      </c>
      <c r="AU556">
        <v>0</v>
      </c>
      <c r="AW556">
        <v>0</v>
      </c>
      <c r="AX556">
        <v>0</v>
      </c>
      <c r="AY556">
        <v>215.6</v>
      </c>
      <c r="BC556" t="str">
        <f>T("9788997946006")</f>
        <v>9788997946006</v>
      </c>
      <c r="BE556" t="str">
        <f t="shared" si="69"/>
        <v>판타지 웹소설 &gt; 현대 판타지</v>
      </c>
    </row>
    <row r="557" spans="1:57" x14ac:dyDescent="0.3">
      <c r="A557">
        <v>1525004030</v>
      </c>
      <c r="B557">
        <v>1525006725</v>
      </c>
      <c r="C557" t="str">
        <f>T("회귀의 전설 2부 608화")</f>
        <v>회귀의 전설 2부 608화</v>
      </c>
      <c r="D557" t="str">
        <f>T("608")</f>
        <v>608</v>
      </c>
      <c r="E557" t="str">
        <f t="shared" si="66"/>
        <v>김광수</v>
      </c>
      <c r="H557" t="str">
        <f t="shared" si="67"/>
        <v>스토리위즈</v>
      </c>
      <c r="I557" t="str">
        <f t="shared" si="68"/>
        <v>회귀의 전설</v>
      </c>
      <c r="J557">
        <v>100</v>
      </c>
      <c r="K557">
        <v>300</v>
      </c>
      <c r="L557">
        <v>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300</v>
      </c>
      <c r="AH557">
        <v>3</v>
      </c>
      <c r="AI557">
        <v>0</v>
      </c>
      <c r="AJ557">
        <v>0</v>
      </c>
      <c r="AK557">
        <v>200</v>
      </c>
      <c r="AL557">
        <v>0</v>
      </c>
      <c r="AM557">
        <v>120</v>
      </c>
      <c r="AN557">
        <v>-12</v>
      </c>
      <c r="AO557">
        <v>0</v>
      </c>
      <c r="AQ557">
        <v>0</v>
      </c>
      <c r="AR557">
        <v>0</v>
      </c>
      <c r="AS557">
        <v>120</v>
      </c>
      <c r="AT557">
        <v>-12</v>
      </c>
      <c r="AU557">
        <v>0</v>
      </c>
      <c r="AW557">
        <v>0</v>
      </c>
      <c r="AX557">
        <v>0</v>
      </c>
      <c r="AY557">
        <v>215.6</v>
      </c>
      <c r="BC557" t="str">
        <f>T("9791191102086")</f>
        <v>9791191102086</v>
      </c>
      <c r="BE557" t="str">
        <f t="shared" si="69"/>
        <v>판타지 웹소설 &gt; 현대 판타지</v>
      </c>
    </row>
    <row r="558" spans="1:57" x14ac:dyDescent="0.3">
      <c r="A558">
        <v>1525004030</v>
      </c>
      <c r="B558">
        <v>1525004186</v>
      </c>
      <c r="C558" t="str">
        <f>T("회귀의 전설 157화")</f>
        <v>회귀의 전설 157화</v>
      </c>
      <c r="D558" t="str">
        <f>T("157")</f>
        <v>157</v>
      </c>
      <c r="E558" t="str">
        <f t="shared" si="66"/>
        <v>김광수</v>
      </c>
      <c r="H558" t="str">
        <f t="shared" si="67"/>
        <v>스토리위즈</v>
      </c>
      <c r="I558" t="str">
        <f t="shared" si="68"/>
        <v>회귀의 전설</v>
      </c>
      <c r="J558">
        <v>100</v>
      </c>
      <c r="K558">
        <v>300</v>
      </c>
      <c r="L558">
        <v>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300</v>
      </c>
      <c r="AH558">
        <v>3</v>
      </c>
      <c r="AI558">
        <v>0</v>
      </c>
      <c r="AJ558">
        <v>0</v>
      </c>
      <c r="AK558">
        <v>200</v>
      </c>
      <c r="AL558">
        <v>0</v>
      </c>
      <c r="AM558">
        <v>120</v>
      </c>
      <c r="AN558">
        <v>-12</v>
      </c>
      <c r="AO558">
        <v>0</v>
      </c>
      <c r="AQ558">
        <v>0</v>
      </c>
      <c r="AR558">
        <v>0</v>
      </c>
      <c r="AS558">
        <v>120</v>
      </c>
      <c r="AT558">
        <v>-12</v>
      </c>
      <c r="AU558">
        <v>0</v>
      </c>
      <c r="AW558">
        <v>0</v>
      </c>
      <c r="AX558">
        <v>0</v>
      </c>
      <c r="AY558">
        <v>215.6</v>
      </c>
      <c r="BC558" t="str">
        <f>T("9788997946006")</f>
        <v>9788997946006</v>
      </c>
      <c r="BE558" t="str">
        <f t="shared" si="69"/>
        <v>판타지 웹소설 &gt; 현대 판타지</v>
      </c>
    </row>
    <row r="559" spans="1:57" x14ac:dyDescent="0.3">
      <c r="A559">
        <v>1525004030</v>
      </c>
      <c r="B559">
        <v>1525006798</v>
      </c>
      <c r="C559" t="str">
        <f>T("회귀의 전설 2부 681화")</f>
        <v>회귀의 전설 2부 681화</v>
      </c>
      <c r="D559" t="str">
        <f>T("681")</f>
        <v>681</v>
      </c>
      <c r="E559" t="str">
        <f t="shared" si="66"/>
        <v>김광수</v>
      </c>
      <c r="H559" t="str">
        <f t="shared" si="67"/>
        <v>스토리위즈</v>
      </c>
      <c r="I559" t="str">
        <f t="shared" si="68"/>
        <v>회귀의 전설</v>
      </c>
      <c r="J559">
        <v>100</v>
      </c>
      <c r="K559">
        <v>300</v>
      </c>
      <c r="L559">
        <v>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300</v>
      </c>
      <c r="AH559">
        <v>3</v>
      </c>
      <c r="AI559">
        <v>0</v>
      </c>
      <c r="AJ559">
        <v>0</v>
      </c>
      <c r="AK559">
        <v>200</v>
      </c>
      <c r="AL559">
        <v>0</v>
      </c>
      <c r="AM559">
        <v>120</v>
      </c>
      <c r="AN559">
        <v>-12</v>
      </c>
      <c r="AO559">
        <v>0</v>
      </c>
      <c r="AQ559">
        <v>0</v>
      </c>
      <c r="AR559">
        <v>0</v>
      </c>
      <c r="AS559">
        <v>120</v>
      </c>
      <c r="AT559">
        <v>-12</v>
      </c>
      <c r="AU559">
        <v>0</v>
      </c>
      <c r="AW559">
        <v>0</v>
      </c>
      <c r="AX559">
        <v>0</v>
      </c>
      <c r="AY559">
        <v>215.6</v>
      </c>
      <c r="BC559" t="str">
        <f>T("9791191102086")</f>
        <v>9791191102086</v>
      </c>
      <c r="BE559" t="str">
        <f t="shared" si="69"/>
        <v>판타지 웹소설 &gt; 현대 판타지</v>
      </c>
    </row>
    <row r="560" spans="1:57" x14ac:dyDescent="0.3">
      <c r="A560">
        <v>1525004030</v>
      </c>
      <c r="B560">
        <v>1525004121</v>
      </c>
      <c r="C560" t="str">
        <f>T("회귀의 전설 92화")</f>
        <v>회귀의 전설 92화</v>
      </c>
      <c r="D560" t="str">
        <f>T("92")</f>
        <v>92</v>
      </c>
      <c r="E560" t="str">
        <f t="shared" si="66"/>
        <v>김광수</v>
      </c>
      <c r="H560" t="str">
        <f t="shared" si="67"/>
        <v>스토리위즈</v>
      </c>
      <c r="I560" t="str">
        <f t="shared" si="68"/>
        <v>회귀의 전설</v>
      </c>
      <c r="J560">
        <v>100</v>
      </c>
      <c r="K560">
        <v>300</v>
      </c>
      <c r="L560">
        <v>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300</v>
      </c>
      <c r="AH560">
        <v>3</v>
      </c>
      <c r="AI560">
        <v>0</v>
      </c>
      <c r="AJ560">
        <v>0</v>
      </c>
      <c r="AK560">
        <v>200</v>
      </c>
      <c r="AL560">
        <v>0</v>
      </c>
      <c r="AM560">
        <v>120</v>
      </c>
      <c r="AN560">
        <v>-12</v>
      </c>
      <c r="AO560">
        <v>0</v>
      </c>
      <c r="AQ560">
        <v>0</v>
      </c>
      <c r="AR560">
        <v>0</v>
      </c>
      <c r="AS560">
        <v>120</v>
      </c>
      <c r="AT560">
        <v>-12</v>
      </c>
      <c r="AU560">
        <v>0</v>
      </c>
      <c r="AW560">
        <v>0</v>
      </c>
      <c r="AX560">
        <v>0</v>
      </c>
      <c r="AY560">
        <v>215.6</v>
      </c>
      <c r="BC560" t="str">
        <f>T("9788997946006")</f>
        <v>9788997946006</v>
      </c>
      <c r="BE560" t="str">
        <f t="shared" si="69"/>
        <v>판타지 웹소설 &gt; 현대 판타지</v>
      </c>
    </row>
    <row r="561" spans="1:57" x14ac:dyDescent="0.3">
      <c r="A561">
        <v>1525004030</v>
      </c>
      <c r="B561">
        <v>1525004153</v>
      </c>
      <c r="C561" t="str">
        <f>T("회귀의 전설 124화")</f>
        <v>회귀의 전설 124화</v>
      </c>
      <c r="D561" t="str">
        <f>T("124")</f>
        <v>124</v>
      </c>
      <c r="E561" t="str">
        <f t="shared" si="66"/>
        <v>김광수</v>
      </c>
      <c r="H561" t="str">
        <f t="shared" si="67"/>
        <v>스토리위즈</v>
      </c>
      <c r="I561" t="str">
        <f t="shared" si="68"/>
        <v>회귀의 전설</v>
      </c>
      <c r="J561">
        <v>100</v>
      </c>
      <c r="K561">
        <v>300</v>
      </c>
      <c r="L561">
        <v>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300</v>
      </c>
      <c r="AH561">
        <v>3</v>
      </c>
      <c r="AI561">
        <v>0</v>
      </c>
      <c r="AJ561">
        <v>0</v>
      </c>
      <c r="AK561">
        <v>200</v>
      </c>
      <c r="AL561">
        <v>0</v>
      </c>
      <c r="AM561">
        <v>120</v>
      </c>
      <c r="AN561">
        <v>-12</v>
      </c>
      <c r="AO561">
        <v>0</v>
      </c>
      <c r="AQ561">
        <v>0</v>
      </c>
      <c r="AR561">
        <v>0</v>
      </c>
      <c r="AS561">
        <v>120</v>
      </c>
      <c r="AT561">
        <v>-12</v>
      </c>
      <c r="AU561">
        <v>0</v>
      </c>
      <c r="AW561">
        <v>0</v>
      </c>
      <c r="AX561">
        <v>0</v>
      </c>
      <c r="AY561">
        <v>215.6</v>
      </c>
      <c r="BC561" t="str">
        <f>T("9788997946006")</f>
        <v>9788997946006</v>
      </c>
      <c r="BE561" t="str">
        <f t="shared" si="69"/>
        <v>판타지 웹소설 &gt; 현대 판타지</v>
      </c>
    </row>
    <row r="562" spans="1:57" x14ac:dyDescent="0.3">
      <c r="A562">
        <v>1525004030</v>
      </c>
      <c r="B562">
        <v>1525004142</v>
      </c>
      <c r="C562" t="str">
        <f>T("회귀의 전설 113화")</f>
        <v>회귀의 전설 113화</v>
      </c>
      <c r="D562" t="str">
        <f>T("113")</f>
        <v>113</v>
      </c>
      <c r="E562" t="str">
        <f t="shared" si="66"/>
        <v>김광수</v>
      </c>
      <c r="H562" t="str">
        <f t="shared" si="67"/>
        <v>스토리위즈</v>
      </c>
      <c r="I562" t="str">
        <f t="shared" si="68"/>
        <v>회귀의 전설</v>
      </c>
      <c r="J562">
        <v>100</v>
      </c>
      <c r="K562">
        <v>300</v>
      </c>
      <c r="L562">
        <v>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300</v>
      </c>
      <c r="AH562">
        <v>3</v>
      </c>
      <c r="AI562">
        <v>0</v>
      </c>
      <c r="AJ562">
        <v>0</v>
      </c>
      <c r="AK562">
        <v>200</v>
      </c>
      <c r="AL562">
        <v>0</v>
      </c>
      <c r="AM562">
        <v>120</v>
      </c>
      <c r="AN562">
        <v>-12</v>
      </c>
      <c r="AO562">
        <v>0</v>
      </c>
      <c r="AQ562">
        <v>0</v>
      </c>
      <c r="AR562">
        <v>0</v>
      </c>
      <c r="AS562">
        <v>120</v>
      </c>
      <c r="AT562">
        <v>-12</v>
      </c>
      <c r="AU562">
        <v>0</v>
      </c>
      <c r="AW562">
        <v>0</v>
      </c>
      <c r="AX562">
        <v>0</v>
      </c>
      <c r="AY562">
        <v>215.6</v>
      </c>
      <c r="BC562" t="str">
        <f>T("9788997946006")</f>
        <v>9788997946006</v>
      </c>
      <c r="BE562" t="str">
        <f t="shared" si="69"/>
        <v>판타지 웹소설 &gt; 현대 판타지</v>
      </c>
    </row>
    <row r="563" spans="1:57" x14ac:dyDescent="0.3">
      <c r="A563">
        <v>1525004030</v>
      </c>
      <c r="B563">
        <v>1525004175</v>
      </c>
      <c r="C563" t="str">
        <f>T("회귀의 전설 146화")</f>
        <v>회귀의 전설 146화</v>
      </c>
      <c r="D563" t="str">
        <f>T("146")</f>
        <v>146</v>
      </c>
      <c r="E563" t="str">
        <f t="shared" si="66"/>
        <v>김광수</v>
      </c>
      <c r="H563" t="str">
        <f t="shared" si="67"/>
        <v>스토리위즈</v>
      </c>
      <c r="I563" t="str">
        <f t="shared" si="68"/>
        <v>회귀의 전설</v>
      </c>
      <c r="J563">
        <v>100</v>
      </c>
      <c r="K563">
        <v>300</v>
      </c>
      <c r="L563">
        <v>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300</v>
      </c>
      <c r="AH563">
        <v>3</v>
      </c>
      <c r="AI563">
        <v>0</v>
      </c>
      <c r="AJ563">
        <v>0</v>
      </c>
      <c r="AK563">
        <v>200</v>
      </c>
      <c r="AL563">
        <v>0</v>
      </c>
      <c r="AM563">
        <v>120</v>
      </c>
      <c r="AN563">
        <v>-12</v>
      </c>
      <c r="AO563">
        <v>0</v>
      </c>
      <c r="AQ563">
        <v>0</v>
      </c>
      <c r="AR563">
        <v>0</v>
      </c>
      <c r="AS563">
        <v>120</v>
      </c>
      <c r="AT563">
        <v>-12</v>
      </c>
      <c r="AU563">
        <v>0</v>
      </c>
      <c r="AW563">
        <v>0</v>
      </c>
      <c r="AX563">
        <v>0</v>
      </c>
      <c r="AY563">
        <v>215.6</v>
      </c>
      <c r="BC563" t="str">
        <f>T("9788997946006")</f>
        <v>9788997946006</v>
      </c>
      <c r="BE563" t="str">
        <f t="shared" si="69"/>
        <v>판타지 웹소설 &gt; 현대 판타지</v>
      </c>
    </row>
    <row r="564" spans="1:57" x14ac:dyDescent="0.3">
      <c r="A564">
        <v>1525004030</v>
      </c>
      <c r="B564">
        <v>1525006746</v>
      </c>
      <c r="C564" t="str">
        <f>T("회귀의 전설 2부 629화")</f>
        <v>회귀의 전설 2부 629화</v>
      </c>
      <c r="D564" t="str">
        <f>T("629")</f>
        <v>629</v>
      </c>
      <c r="E564" t="str">
        <f t="shared" si="66"/>
        <v>김광수</v>
      </c>
      <c r="H564" t="str">
        <f t="shared" si="67"/>
        <v>스토리위즈</v>
      </c>
      <c r="I564" t="str">
        <f t="shared" si="68"/>
        <v>회귀의 전설</v>
      </c>
      <c r="J564">
        <v>100</v>
      </c>
      <c r="K564">
        <v>300</v>
      </c>
      <c r="L564">
        <v>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300</v>
      </c>
      <c r="AH564">
        <v>3</v>
      </c>
      <c r="AI564">
        <v>0</v>
      </c>
      <c r="AJ564">
        <v>0</v>
      </c>
      <c r="AK564">
        <v>200</v>
      </c>
      <c r="AL564">
        <v>0</v>
      </c>
      <c r="AM564">
        <v>120</v>
      </c>
      <c r="AN564">
        <v>-12</v>
      </c>
      <c r="AO564">
        <v>0</v>
      </c>
      <c r="AQ564">
        <v>0</v>
      </c>
      <c r="AR564">
        <v>0</v>
      </c>
      <c r="AS564">
        <v>120</v>
      </c>
      <c r="AT564">
        <v>-12</v>
      </c>
      <c r="AU564">
        <v>0</v>
      </c>
      <c r="AW564">
        <v>0</v>
      </c>
      <c r="AX564">
        <v>0</v>
      </c>
      <c r="AY564">
        <v>215.6</v>
      </c>
      <c r="BC564" t="str">
        <f>T("9791191102086")</f>
        <v>9791191102086</v>
      </c>
      <c r="BE564" t="str">
        <f t="shared" si="69"/>
        <v>판타지 웹소설 &gt; 현대 판타지</v>
      </c>
    </row>
    <row r="565" spans="1:57" x14ac:dyDescent="0.3">
      <c r="A565">
        <v>1525004030</v>
      </c>
      <c r="B565">
        <v>1525006819</v>
      </c>
      <c r="C565" t="str">
        <f>T("회귀의 전설 2부 702화")</f>
        <v>회귀의 전설 2부 702화</v>
      </c>
      <c r="D565" t="str">
        <f>T("702")</f>
        <v>702</v>
      </c>
      <c r="E565" t="str">
        <f t="shared" si="66"/>
        <v>김광수</v>
      </c>
      <c r="H565" t="str">
        <f t="shared" si="67"/>
        <v>스토리위즈</v>
      </c>
      <c r="I565" t="str">
        <f t="shared" si="68"/>
        <v>회귀의 전설</v>
      </c>
      <c r="J565">
        <v>100</v>
      </c>
      <c r="K565">
        <v>300</v>
      </c>
      <c r="L565">
        <v>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300</v>
      </c>
      <c r="AH565">
        <v>3</v>
      </c>
      <c r="AI565">
        <v>0</v>
      </c>
      <c r="AJ565">
        <v>0</v>
      </c>
      <c r="AK565">
        <v>200</v>
      </c>
      <c r="AL565">
        <v>0</v>
      </c>
      <c r="AM565">
        <v>120</v>
      </c>
      <c r="AN565">
        <v>-12</v>
      </c>
      <c r="AO565">
        <v>0</v>
      </c>
      <c r="AQ565">
        <v>0</v>
      </c>
      <c r="AR565">
        <v>0</v>
      </c>
      <c r="AS565">
        <v>120</v>
      </c>
      <c r="AT565">
        <v>-12</v>
      </c>
      <c r="AU565">
        <v>0</v>
      </c>
      <c r="AW565">
        <v>0</v>
      </c>
      <c r="AX565">
        <v>0</v>
      </c>
      <c r="AY565">
        <v>215.6</v>
      </c>
      <c r="BC565" t="str">
        <f>T("9791191102086")</f>
        <v>9791191102086</v>
      </c>
      <c r="BE565" t="str">
        <f t="shared" si="69"/>
        <v>판타지 웹소설 &gt; 현대 판타지</v>
      </c>
    </row>
    <row r="566" spans="1:57" x14ac:dyDescent="0.3">
      <c r="A566">
        <v>1525004030</v>
      </c>
      <c r="B566">
        <v>1525004196</v>
      </c>
      <c r="C566" t="str">
        <f>T("회귀의 전설 167화")</f>
        <v>회귀의 전설 167화</v>
      </c>
      <c r="D566" t="str">
        <f>T("167")</f>
        <v>167</v>
      </c>
      <c r="E566" t="str">
        <f t="shared" si="66"/>
        <v>김광수</v>
      </c>
      <c r="H566" t="str">
        <f t="shared" si="67"/>
        <v>스토리위즈</v>
      </c>
      <c r="I566" t="str">
        <f t="shared" si="68"/>
        <v>회귀의 전설</v>
      </c>
      <c r="J566">
        <v>100</v>
      </c>
      <c r="K566">
        <v>300</v>
      </c>
      <c r="L566">
        <v>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300</v>
      </c>
      <c r="AH566">
        <v>3</v>
      </c>
      <c r="AI566">
        <v>0</v>
      </c>
      <c r="AJ566">
        <v>0</v>
      </c>
      <c r="AK566">
        <v>200</v>
      </c>
      <c r="AL566">
        <v>0</v>
      </c>
      <c r="AM566">
        <v>120</v>
      </c>
      <c r="AN566">
        <v>-12</v>
      </c>
      <c r="AO566">
        <v>0</v>
      </c>
      <c r="AQ566">
        <v>0</v>
      </c>
      <c r="AR566">
        <v>0</v>
      </c>
      <c r="AS566">
        <v>120</v>
      </c>
      <c r="AT566">
        <v>-12</v>
      </c>
      <c r="AU566">
        <v>0</v>
      </c>
      <c r="AW566">
        <v>0</v>
      </c>
      <c r="AX566">
        <v>0</v>
      </c>
      <c r="AY566">
        <v>215.6</v>
      </c>
      <c r="BC566" t="str">
        <f>T("9788997946006")</f>
        <v>9788997946006</v>
      </c>
      <c r="BE566" t="str">
        <f t="shared" si="69"/>
        <v>판타지 웹소설 &gt; 현대 판타지</v>
      </c>
    </row>
    <row r="567" spans="1:57" x14ac:dyDescent="0.3">
      <c r="A567">
        <v>1525004030</v>
      </c>
      <c r="B567">
        <v>1525006767</v>
      </c>
      <c r="C567" t="str">
        <f>T("회귀의 전설 2부 650화")</f>
        <v>회귀의 전설 2부 650화</v>
      </c>
      <c r="D567" t="str">
        <f>T("650")</f>
        <v>650</v>
      </c>
      <c r="E567" t="str">
        <f t="shared" si="66"/>
        <v>김광수</v>
      </c>
      <c r="H567" t="str">
        <f t="shared" si="67"/>
        <v>스토리위즈</v>
      </c>
      <c r="I567" t="str">
        <f t="shared" si="68"/>
        <v>회귀의 전설</v>
      </c>
      <c r="J567">
        <v>100</v>
      </c>
      <c r="K567">
        <v>300</v>
      </c>
      <c r="L567">
        <v>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300</v>
      </c>
      <c r="AH567">
        <v>3</v>
      </c>
      <c r="AI567">
        <v>0</v>
      </c>
      <c r="AJ567">
        <v>0</v>
      </c>
      <c r="AK567">
        <v>200</v>
      </c>
      <c r="AL567">
        <v>0</v>
      </c>
      <c r="AM567">
        <v>120</v>
      </c>
      <c r="AN567">
        <v>-12</v>
      </c>
      <c r="AO567">
        <v>0</v>
      </c>
      <c r="AQ567">
        <v>0</v>
      </c>
      <c r="AR567">
        <v>0</v>
      </c>
      <c r="AS567">
        <v>120</v>
      </c>
      <c r="AT567">
        <v>-12</v>
      </c>
      <c r="AU567">
        <v>0</v>
      </c>
      <c r="AW567">
        <v>0</v>
      </c>
      <c r="AX567">
        <v>0</v>
      </c>
      <c r="AY567">
        <v>215.6</v>
      </c>
      <c r="BC567" t="str">
        <f>T("9791191102086")</f>
        <v>9791191102086</v>
      </c>
      <c r="BE567" t="str">
        <f t="shared" si="69"/>
        <v>판타지 웹소설 &gt; 현대 판타지</v>
      </c>
    </row>
    <row r="568" spans="1:57" x14ac:dyDescent="0.3">
      <c r="A568">
        <v>1525004030</v>
      </c>
      <c r="B568">
        <v>1525004131</v>
      </c>
      <c r="C568" t="str">
        <f>T("회귀의 전설 102화")</f>
        <v>회귀의 전설 102화</v>
      </c>
      <c r="D568" t="str">
        <f>T("102")</f>
        <v>102</v>
      </c>
      <c r="E568" t="str">
        <f t="shared" si="66"/>
        <v>김광수</v>
      </c>
      <c r="H568" t="str">
        <f t="shared" si="67"/>
        <v>스토리위즈</v>
      </c>
      <c r="I568" t="str">
        <f t="shared" si="68"/>
        <v>회귀의 전설</v>
      </c>
      <c r="J568">
        <v>100</v>
      </c>
      <c r="K568">
        <v>300</v>
      </c>
      <c r="L568">
        <v>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300</v>
      </c>
      <c r="AH568">
        <v>3</v>
      </c>
      <c r="AI568">
        <v>0</v>
      </c>
      <c r="AJ568">
        <v>0</v>
      </c>
      <c r="AK568">
        <v>200</v>
      </c>
      <c r="AL568">
        <v>0</v>
      </c>
      <c r="AM568">
        <v>120</v>
      </c>
      <c r="AN568">
        <v>-12</v>
      </c>
      <c r="AO568">
        <v>0</v>
      </c>
      <c r="AQ568">
        <v>0</v>
      </c>
      <c r="AR568">
        <v>0</v>
      </c>
      <c r="AS568">
        <v>120</v>
      </c>
      <c r="AT568">
        <v>-12</v>
      </c>
      <c r="AU568">
        <v>0</v>
      </c>
      <c r="AW568">
        <v>0</v>
      </c>
      <c r="AX568">
        <v>0</v>
      </c>
      <c r="AY568">
        <v>215.6</v>
      </c>
      <c r="BC568" t="str">
        <f>T("9788997946006")</f>
        <v>9788997946006</v>
      </c>
      <c r="BE568" t="str">
        <f t="shared" si="69"/>
        <v>판타지 웹소설 &gt; 현대 판타지</v>
      </c>
    </row>
    <row r="569" spans="1:57" x14ac:dyDescent="0.3">
      <c r="A569">
        <v>1525004030</v>
      </c>
      <c r="B569">
        <v>1525004163</v>
      </c>
      <c r="C569" t="str">
        <f>T("회귀의 전설 134화")</f>
        <v>회귀의 전설 134화</v>
      </c>
      <c r="D569" t="str">
        <f>T("134")</f>
        <v>134</v>
      </c>
      <c r="E569" t="str">
        <f t="shared" si="66"/>
        <v>김광수</v>
      </c>
      <c r="H569" t="str">
        <f t="shared" si="67"/>
        <v>스토리위즈</v>
      </c>
      <c r="I569" t="str">
        <f t="shared" si="68"/>
        <v>회귀의 전설</v>
      </c>
      <c r="J569">
        <v>100</v>
      </c>
      <c r="K569">
        <v>300</v>
      </c>
      <c r="L569">
        <v>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300</v>
      </c>
      <c r="AH569">
        <v>3</v>
      </c>
      <c r="AI569">
        <v>0</v>
      </c>
      <c r="AJ569">
        <v>0</v>
      </c>
      <c r="AK569">
        <v>200</v>
      </c>
      <c r="AL569">
        <v>0</v>
      </c>
      <c r="AM569">
        <v>120</v>
      </c>
      <c r="AN569">
        <v>-12</v>
      </c>
      <c r="AO569">
        <v>0</v>
      </c>
      <c r="AQ569">
        <v>0</v>
      </c>
      <c r="AR569">
        <v>0</v>
      </c>
      <c r="AS569">
        <v>120</v>
      </c>
      <c r="AT569">
        <v>-12</v>
      </c>
      <c r="AU569">
        <v>0</v>
      </c>
      <c r="AW569">
        <v>0</v>
      </c>
      <c r="AX569">
        <v>0</v>
      </c>
      <c r="AY569">
        <v>215.6</v>
      </c>
      <c r="BC569" t="str">
        <f>T("9788997946006")</f>
        <v>9788997946006</v>
      </c>
      <c r="BE569" t="str">
        <f t="shared" si="69"/>
        <v>판타지 웹소설 &gt; 현대 판타지</v>
      </c>
    </row>
    <row r="570" spans="1:57" x14ac:dyDescent="0.3">
      <c r="A570">
        <v>1525004030</v>
      </c>
      <c r="B570">
        <v>1525006735</v>
      </c>
      <c r="C570" t="str">
        <f>T("회귀의 전설 2부 618화")</f>
        <v>회귀의 전설 2부 618화</v>
      </c>
      <c r="D570" t="str">
        <f>T("618")</f>
        <v>618</v>
      </c>
      <c r="E570" t="str">
        <f t="shared" si="66"/>
        <v>김광수</v>
      </c>
      <c r="H570" t="str">
        <f t="shared" si="67"/>
        <v>스토리위즈</v>
      </c>
      <c r="I570" t="str">
        <f t="shared" si="68"/>
        <v>회귀의 전설</v>
      </c>
      <c r="J570">
        <v>100</v>
      </c>
      <c r="K570">
        <v>300</v>
      </c>
      <c r="L570">
        <v>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300</v>
      </c>
      <c r="AH570">
        <v>3</v>
      </c>
      <c r="AI570">
        <v>0</v>
      </c>
      <c r="AJ570">
        <v>0</v>
      </c>
      <c r="AK570">
        <v>200</v>
      </c>
      <c r="AL570">
        <v>0</v>
      </c>
      <c r="AM570">
        <v>120</v>
      </c>
      <c r="AN570">
        <v>-12</v>
      </c>
      <c r="AO570">
        <v>0</v>
      </c>
      <c r="AQ570">
        <v>0</v>
      </c>
      <c r="AR570">
        <v>0</v>
      </c>
      <c r="AS570">
        <v>120</v>
      </c>
      <c r="AT570">
        <v>-12</v>
      </c>
      <c r="AU570">
        <v>0</v>
      </c>
      <c r="AW570">
        <v>0</v>
      </c>
      <c r="AX570">
        <v>0</v>
      </c>
      <c r="AY570">
        <v>215.6</v>
      </c>
      <c r="BC570" t="str">
        <f>T("9791191102086")</f>
        <v>9791191102086</v>
      </c>
      <c r="BE570" t="str">
        <f t="shared" si="69"/>
        <v>판타지 웹소설 &gt; 현대 판타지</v>
      </c>
    </row>
    <row r="571" spans="1:57" x14ac:dyDescent="0.3">
      <c r="A571">
        <v>1525004030</v>
      </c>
      <c r="B571">
        <v>1525006724</v>
      </c>
      <c r="C571" t="str">
        <f>T("회귀의 전설 2부 607화")</f>
        <v>회귀의 전설 2부 607화</v>
      </c>
      <c r="D571" t="str">
        <f>T("607")</f>
        <v>607</v>
      </c>
      <c r="E571" t="str">
        <f t="shared" si="66"/>
        <v>김광수</v>
      </c>
      <c r="H571" t="str">
        <f t="shared" si="67"/>
        <v>스토리위즈</v>
      </c>
      <c r="I571" t="str">
        <f t="shared" si="68"/>
        <v>회귀의 전설</v>
      </c>
      <c r="J571">
        <v>100</v>
      </c>
      <c r="K571">
        <v>300</v>
      </c>
      <c r="L571">
        <v>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300</v>
      </c>
      <c r="AH571">
        <v>3</v>
      </c>
      <c r="AI571">
        <v>0</v>
      </c>
      <c r="AJ571">
        <v>0</v>
      </c>
      <c r="AK571">
        <v>200</v>
      </c>
      <c r="AL571">
        <v>0</v>
      </c>
      <c r="AM571">
        <v>120</v>
      </c>
      <c r="AN571">
        <v>-12</v>
      </c>
      <c r="AO571">
        <v>0</v>
      </c>
      <c r="AQ571">
        <v>0</v>
      </c>
      <c r="AR571">
        <v>0</v>
      </c>
      <c r="AS571">
        <v>120</v>
      </c>
      <c r="AT571">
        <v>-12</v>
      </c>
      <c r="AU571">
        <v>0</v>
      </c>
      <c r="AW571">
        <v>0</v>
      </c>
      <c r="AX571">
        <v>0</v>
      </c>
      <c r="AY571">
        <v>215.6</v>
      </c>
      <c r="BC571" t="str">
        <f>T("9791191102086")</f>
        <v>9791191102086</v>
      </c>
      <c r="BE571" t="str">
        <f t="shared" si="69"/>
        <v>판타지 웹소설 &gt; 현대 판타지</v>
      </c>
    </row>
    <row r="572" spans="1:57" x14ac:dyDescent="0.3">
      <c r="A572">
        <v>1525004030</v>
      </c>
      <c r="B572">
        <v>1525004185</v>
      </c>
      <c r="C572" t="str">
        <f>T("회귀의 전설 156화")</f>
        <v>회귀의 전설 156화</v>
      </c>
      <c r="D572" t="str">
        <f>T("156")</f>
        <v>156</v>
      </c>
      <c r="E572" t="str">
        <f t="shared" si="66"/>
        <v>김광수</v>
      </c>
      <c r="H572" t="str">
        <f t="shared" si="67"/>
        <v>스토리위즈</v>
      </c>
      <c r="I572" t="str">
        <f t="shared" si="68"/>
        <v>회귀의 전설</v>
      </c>
      <c r="J572">
        <v>100</v>
      </c>
      <c r="K572">
        <v>300</v>
      </c>
      <c r="L572">
        <v>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300</v>
      </c>
      <c r="AH572">
        <v>3</v>
      </c>
      <c r="AI572">
        <v>0</v>
      </c>
      <c r="AJ572">
        <v>0</v>
      </c>
      <c r="AK572">
        <v>200</v>
      </c>
      <c r="AL572">
        <v>0</v>
      </c>
      <c r="AM572">
        <v>120</v>
      </c>
      <c r="AN572">
        <v>-12</v>
      </c>
      <c r="AO572">
        <v>0</v>
      </c>
      <c r="AQ572">
        <v>0</v>
      </c>
      <c r="AR572">
        <v>0</v>
      </c>
      <c r="AS572">
        <v>120</v>
      </c>
      <c r="AT572">
        <v>-12</v>
      </c>
      <c r="AU572">
        <v>0</v>
      </c>
      <c r="AW572">
        <v>0</v>
      </c>
      <c r="AX572">
        <v>0</v>
      </c>
      <c r="AY572">
        <v>215.6</v>
      </c>
      <c r="BC572" t="str">
        <f>T("9788997946006")</f>
        <v>9788997946006</v>
      </c>
      <c r="BE572" t="str">
        <f t="shared" si="69"/>
        <v>판타지 웹소설 &gt; 현대 판타지</v>
      </c>
    </row>
    <row r="573" spans="1:57" x14ac:dyDescent="0.3">
      <c r="A573">
        <v>1525004030</v>
      </c>
      <c r="B573">
        <v>1525006797</v>
      </c>
      <c r="C573" t="str">
        <f>T("회귀의 전설 2부 680화")</f>
        <v>회귀의 전설 2부 680화</v>
      </c>
      <c r="D573" t="str">
        <f>T("680")</f>
        <v>680</v>
      </c>
      <c r="E573" t="str">
        <f t="shared" si="66"/>
        <v>김광수</v>
      </c>
      <c r="H573" t="str">
        <f t="shared" si="67"/>
        <v>스토리위즈</v>
      </c>
      <c r="I573" t="str">
        <f t="shared" si="68"/>
        <v>회귀의 전설</v>
      </c>
      <c r="J573">
        <v>100</v>
      </c>
      <c r="K573">
        <v>300</v>
      </c>
      <c r="L573">
        <v>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300</v>
      </c>
      <c r="AH573">
        <v>3</v>
      </c>
      <c r="AI573">
        <v>0</v>
      </c>
      <c r="AJ573">
        <v>0</v>
      </c>
      <c r="AK573">
        <v>200</v>
      </c>
      <c r="AL573">
        <v>0</v>
      </c>
      <c r="AM573">
        <v>120</v>
      </c>
      <c r="AN573">
        <v>-12</v>
      </c>
      <c r="AO573">
        <v>0</v>
      </c>
      <c r="AQ573">
        <v>0</v>
      </c>
      <c r="AR573">
        <v>0</v>
      </c>
      <c r="AS573">
        <v>120</v>
      </c>
      <c r="AT573">
        <v>-12</v>
      </c>
      <c r="AU573">
        <v>0</v>
      </c>
      <c r="AW573">
        <v>0</v>
      </c>
      <c r="AX573">
        <v>0</v>
      </c>
      <c r="AY573">
        <v>215.6</v>
      </c>
      <c r="BC573" t="str">
        <f>T("9791191102086")</f>
        <v>9791191102086</v>
      </c>
      <c r="BE573" t="str">
        <f t="shared" si="69"/>
        <v>판타지 웹소설 &gt; 현대 판타지</v>
      </c>
    </row>
    <row r="574" spans="1:57" x14ac:dyDescent="0.3">
      <c r="A574">
        <v>1525004030</v>
      </c>
      <c r="B574">
        <v>1525004120</v>
      </c>
      <c r="C574" t="str">
        <f>T("회귀의 전설 91화")</f>
        <v>회귀의 전설 91화</v>
      </c>
      <c r="D574" t="str">
        <f>T("91")</f>
        <v>91</v>
      </c>
      <c r="E574" t="str">
        <f t="shared" si="66"/>
        <v>김광수</v>
      </c>
      <c r="H574" t="str">
        <f t="shared" si="67"/>
        <v>스토리위즈</v>
      </c>
      <c r="I574" t="str">
        <f t="shared" si="68"/>
        <v>회귀의 전설</v>
      </c>
      <c r="J574">
        <v>100</v>
      </c>
      <c r="K574">
        <v>300</v>
      </c>
      <c r="L574">
        <v>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300</v>
      </c>
      <c r="AH574">
        <v>3</v>
      </c>
      <c r="AI574">
        <v>0</v>
      </c>
      <c r="AJ574">
        <v>0</v>
      </c>
      <c r="AK574">
        <v>200</v>
      </c>
      <c r="AL574">
        <v>0</v>
      </c>
      <c r="AM574">
        <v>120</v>
      </c>
      <c r="AN574">
        <v>-12</v>
      </c>
      <c r="AO574">
        <v>0</v>
      </c>
      <c r="AQ574">
        <v>0</v>
      </c>
      <c r="AR574">
        <v>0</v>
      </c>
      <c r="AS574">
        <v>120</v>
      </c>
      <c r="AT574">
        <v>-12</v>
      </c>
      <c r="AU574">
        <v>0</v>
      </c>
      <c r="AW574">
        <v>0</v>
      </c>
      <c r="AX574">
        <v>0</v>
      </c>
      <c r="AY574">
        <v>215.6</v>
      </c>
      <c r="BC574" t="str">
        <f>T("9788997946006")</f>
        <v>9788997946006</v>
      </c>
      <c r="BE574" t="str">
        <f t="shared" si="69"/>
        <v>판타지 웹소설 &gt; 현대 판타지</v>
      </c>
    </row>
    <row r="575" spans="1:57" x14ac:dyDescent="0.3">
      <c r="A575">
        <v>1525004030</v>
      </c>
      <c r="B575">
        <v>1525004152</v>
      </c>
      <c r="C575" t="str">
        <f>T("회귀의 전설 123화")</f>
        <v>회귀의 전설 123화</v>
      </c>
      <c r="D575" t="str">
        <f>T("123")</f>
        <v>123</v>
      </c>
      <c r="E575" t="str">
        <f t="shared" si="66"/>
        <v>김광수</v>
      </c>
      <c r="H575" t="str">
        <f t="shared" si="67"/>
        <v>스토리위즈</v>
      </c>
      <c r="I575" t="str">
        <f t="shared" si="68"/>
        <v>회귀의 전설</v>
      </c>
      <c r="J575">
        <v>100</v>
      </c>
      <c r="K575">
        <v>300</v>
      </c>
      <c r="L575">
        <v>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300</v>
      </c>
      <c r="AH575">
        <v>3</v>
      </c>
      <c r="AI575">
        <v>0</v>
      </c>
      <c r="AJ575">
        <v>0</v>
      </c>
      <c r="AK575">
        <v>200</v>
      </c>
      <c r="AL575">
        <v>0</v>
      </c>
      <c r="AM575">
        <v>120</v>
      </c>
      <c r="AN575">
        <v>-12</v>
      </c>
      <c r="AO575">
        <v>0</v>
      </c>
      <c r="AQ575">
        <v>0</v>
      </c>
      <c r="AR575">
        <v>0</v>
      </c>
      <c r="AS575">
        <v>120</v>
      </c>
      <c r="AT575">
        <v>-12</v>
      </c>
      <c r="AU575">
        <v>0</v>
      </c>
      <c r="AW575">
        <v>0</v>
      </c>
      <c r="AX575">
        <v>0</v>
      </c>
      <c r="AY575">
        <v>215.6</v>
      </c>
      <c r="BC575" t="str">
        <f>T("9788997946006")</f>
        <v>9788997946006</v>
      </c>
      <c r="BE575" t="str">
        <f t="shared" si="69"/>
        <v>판타지 웹소설 &gt; 현대 판타지</v>
      </c>
    </row>
    <row r="576" spans="1:57" x14ac:dyDescent="0.3">
      <c r="A576">
        <v>1525004030</v>
      </c>
      <c r="B576">
        <v>1525004141</v>
      </c>
      <c r="C576" t="str">
        <f>T("회귀의 전설 112화")</f>
        <v>회귀의 전설 112화</v>
      </c>
      <c r="D576" t="str">
        <f>T("112")</f>
        <v>112</v>
      </c>
      <c r="E576" t="str">
        <f t="shared" si="66"/>
        <v>김광수</v>
      </c>
      <c r="H576" t="str">
        <f t="shared" si="67"/>
        <v>스토리위즈</v>
      </c>
      <c r="I576" t="str">
        <f t="shared" si="68"/>
        <v>회귀의 전설</v>
      </c>
      <c r="J576">
        <v>100</v>
      </c>
      <c r="K576">
        <v>300</v>
      </c>
      <c r="L576">
        <v>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300</v>
      </c>
      <c r="AH576">
        <v>3</v>
      </c>
      <c r="AI576">
        <v>0</v>
      </c>
      <c r="AJ576">
        <v>0</v>
      </c>
      <c r="AK576">
        <v>200</v>
      </c>
      <c r="AL576">
        <v>0</v>
      </c>
      <c r="AM576">
        <v>120</v>
      </c>
      <c r="AN576">
        <v>-12</v>
      </c>
      <c r="AO576">
        <v>0</v>
      </c>
      <c r="AQ576">
        <v>0</v>
      </c>
      <c r="AR576">
        <v>0</v>
      </c>
      <c r="AS576">
        <v>120</v>
      </c>
      <c r="AT576">
        <v>-12</v>
      </c>
      <c r="AU576">
        <v>0</v>
      </c>
      <c r="AW576">
        <v>0</v>
      </c>
      <c r="AX576">
        <v>0</v>
      </c>
      <c r="AY576">
        <v>215.6</v>
      </c>
      <c r="BC576" t="str">
        <f>T("9788997946006")</f>
        <v>9788997946006</v>
      </c>
      <c r="BE576" t="str">
        <f t="shared" si="69"/>
        <v>판타지 웹소설 &gt; 현대 판타지</v>
      </c>
    </row>
    <row r="577" spans="1:57" x14ac:dyDescent="0.3">
      <c r="A577">
        <v>1525004030</v>
      </c>
      <c r="B577">
        <v>1525004060</v>
      </c>
      <c r="C577" t="str">
        <f>T("회귀의 전설 31화")</f>
        <v>회귀의 전설 31화</v>
      </c>
      <c r="D577" t="str">
        <f>T("31")</f>
        <v>31</v>
      </c>
      <c r="E577" t="str">
        <f t="shared" si="66"/>
        <v>김광수</v>
      </c>
      <c r="H577" t="str">
        <f t="shared" si="67"/>
        <v>스토리위즈</v>
      </c>
      <c r="I577" t="str">
        <f t="shared" si="68"/>
        <v>회귀의 전설</v>
      </c>
      <c r="J577">
        <v>100</v>
      </c>
      <c r="K577">
        <v>300</v>
      </c>
      <c r="L577">
        <v>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300</v>
      </c>
      <c r="AH577">
        <v>3</v>
      </c>
      <c r="AI577">
        <v>0</v>
      </c>
      <c r="AJ577">
        <v>0</v>
      </c>
      <c r="AK577">
        <v>290</v>
      </c>
      <c r="AL577">
        <v>0</v>
      </c>
      <c r="AM577">
        <v>12</v>
      </c>
      <c r="AN577">
        <v>-3.6</v>
      </c>
      <c r="AO577">
        <v>0</v>
      </c>
      <c r="AQ577">
        <v>0</v>
      </c>
      <c r="AR577">
        <v>0</v>
      </c>
      <c r="AS577">
        <v>12</v>
      </c>
      <c r="AT577">
        <v>-3.6</v>
      </c>
      <c r="AU577">
        <v>0</v>
      </c>
      <c r="AW577">
        <v>0</v>
      </c>
      <c r="AX577">
        <v>0</v>
      </c>
      <c r="AY577">
        <v>208.88</v>
      </c>
      <c r="BC577" t="str">
        <f>T("9788997946006")</f>
        <v>9788997946006</v>
      </c>
      <c r="BE577" t="str">
        <f t="shared" si="69"/>
        <v>판타지 웹소설 &gt; 현대 판타지</v>
      </c>
    </row>
    <row r="578" spans="1:57" x14ac:dyDescent="0.3">
      <c r="A578">
        <v>1525004030</v>
      </c>
      <c r="B578">
        <v>1525004174</v>
      </c>
      <c r="C578" t="str">
        <f>T("회귀의 전설 145화")</f>
        <v>회귀의 전설 145화</v>
      </c>
      <c r="D578" t="str">
        <f>T("145")</f>
        <v>145</v>
      </c>
      <c r="E578" t="str">
        <f t="shared" si="66"/>
        <v>김광수</v>
      </c>
      <c r="H578" t="str">
        <f t="shared" si="67"/>
        <v>스토리위즈</v>
      </c>
      <c r="I578" t="str">
        <f t="shared" si="68"/>
        <v>회귀의 전설</v>
      </c>
      <c r="J578">
        <v>100</v>
      </c>
      <c r="K578">
        <v>300</v>
      </c>
      <c r="L578">
        <v>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300</v>
      </c>
      <c r="AH578">
        <v>3</v>
      </c>
      <c r="AI578">
        <v>0</v>
      </c>
      <c r="AJ578">
        <v>0</v>
      </c>
      <c r="AK578">
        <v>200</v>
      </c>
      <c r="AL578">
        <v>0</v>
      </c>
      <c r="AM578">
        <v>120</v>
      </c>
      <c r="AN578">
        <v>-12</v>
      </c>
      <c r="AO578">
        <v>0</v>
      </c>
      <c r="AQ578">
        <v>0</v>
      </c>
      <c r="AR578">
        <v>0</v>
      </c>
      <c r="AS578">
        <v>120</v>
      </c>
      <c r="AT578">
        <v>-12</v>
      </c>
      <c r="AU578">
        <v>0</v>
      </c>
      <c r="AW578">
        <v>0</v>
      </c>
      <c r="AX578">
        <v>0</v>
      </c>
      <c r="AY578">
        <v>215.6</v>
      </c>
      <c r="BC578" t="str">
        <f>T("9788997946006")</f>
        <v>9788997946006</v>
      </c>
      <c r="BE578" t="str">
        <f t="shared" si="69"/>
        <v>판타지 웹소설 &gt; 현대 판타지</v>
      </c>
    </row>
    <row r="579" spans="1:57" x14ac:dyDescent="0.3">
      <c r="A579">
        <v>1525004030</v>
      </c>
      <c r="B579">
        <v>1525006745</v>
      </c>
      <c r="C579" t="str">
        <f>T("회귀의 전설 2부 628화")</f>
        <v>회귀의 전설 2부 628화</v>
      </c>
      <c r="D579" t="str">
        <f>T("628")</f>
        <v>628</v>
      </c>
      <c r="E579" t="str">
        <f t="shared" ref="E579:E625" si="70">T("김광수")</f>
        <v>김광수</v>
      </c>
      <c r="H579" t="str">
        <f t="shared" ref="H579:H625" si="71">T("스토리위즈")</f>
        <v>스토리위즈</v>
      </c>
      <c r="I579" t="str">
        <f t="shared" ref="I579:I625" si="72">T("회귀의 전설")</f>
        <v>회귀의 전설</v>
      </c>
      <c r="J579">
        <v>100</v>
      </c>
      <c r="K579">
        <v>300</v>
      </c>
      <c r="L579">
        <v>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300</v>
      </c>
      <c r="AH579">
        <v>3</v>
      </c>
      <c r="AI579">
        <v>0</v>
      </c>
      <c r="AJ579">
        <v>0</v>
      </c>
      <c r="AK579">
        <v>200</v>
      </c>
      <c r="AL579">
        <v>0</v>
      </c>
      <c r="AM579">
        <v>120</v>
      </c>
      <c r="AN579">
        <v>-12</v>
      </c>
      <c r="AO579">
        <v>0</v>
      </c>
      <c r="AQ579">
        <v>0</v>
      </c>
      <c r="AR579">
        <v>0</v>
      </c>
      <c r="AS579">
        <v>120</v>
      </c>
      <c r="AT579">
        <v>-12</v>
      </c>
      <c r="AU579">
        <v>0</v>
      </c>
      <c r="AW579">
        <v>0</v>
      </c>
      <c r="AX579">
        <v>0</v>
      </c>
      <c r="AY579">
        <v>215.6</v>
      </c>
      <c r="BC579" t="str">
        <f>T("9791191102086")</f>
        <v>9791191102086</v>
      </c>
      <c r="BE579" t="str">
        <f t="shared" ref="BE579:BE625" si="73">T("판타지 웹소설 &gt; 현대 판타지")</f>
        <v>판타지 웹소설 &gt; 현대 판타지</v>
      </c>
    </row>
    <row r="580" spans="1:57" x14ac:dyDescent="0.3">
      <c r="A580">
        <v>1525004030</v>
      </c>
      <c r="B580">
        <v>1525006818</v>
      </c>
      <c r="C580" t="str">
        <f>T("회귀의 전설 2부 701화")</f>
        <v>회귀의 전설 2부 701화</v>
      </c>
      <c r="D580" t="str">
        <f>T("701")</f>
        <v>701</v>
      </c>
      <c r="E580" t="str">
        <f t="shared" si="70"/>
        <v>김광수</v>
      </c>
      <c r="H580" t="str">
        <f t="shared" si="71"/>
        <v>스토리위즈</v>
      </c>
      <c r="I580" t="str">
        <f t="shared" si="72"/>
        <v>회귀의 전설</v>
      </c>
      <c r="J580">
        <v>100</v>
      </c>
      <c r="K580">
        <v>300</v>
      </c>
      <c r="L580">
        <v>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300</v>
      </c>
      <c r="AH580">
        <v>3</v>
      </c>
      <c r="AI580">
        <v>0</v>
      </c>
      <c r="AJ580">
        <v>0</v>
      </c>
      <c r="AK580">
        <v>200</v>
      </c>
      <c r="AL580">
        <v>0</v>
      </c>
      <c r="AM580">
        <v>120</v>
      </c>
      <c r="AN580">
        <v>-12</v>
      </c>
      <c r="AO580">
        <v>0</v>
      </c>
      <c r="AQ580">
        <v>0</v>
      </c>
      <c r="AR580">
        <v>0</v>
      </c>
      <c r="AS580">
        <v>120</v>
      </c>
      <c r="AT580">
        <v>-12</v>
      </c>
      <c r="AU580">
        <v>0</v>
      </c>
      <c r="AW580">
        <v>0</v>
      </c>
      <c r="AX580">
        <v>0</v>
      </c>
      <c r="AY580">
        <v>215.6</v>
      </c>
      <c r="BC580" t="str">
        <f>T("9791191102086")</f>
        <v>9791191102086</v>
      </c>
      <c r="BE580" t="str">
        <f t="shared" si="73"/>
        <v>판타지 웹소설 &gt; 현대 판타지</v>
      </c>
    </row>
    <row r="581" spans="1:57" x14ac:dyDescent="0.3">
      <c r="A581">
        <v>1525004030</v>
      </c>
      <c r="B581">
        <v>1525006848</v>
      </c>
      <c r="C581" t="str">
        <f>T("회귀의 전설 2부 731화")</f>
        <v>회귀의 전설 2부 731화</v>
      </c>
      <c r="D581" t="str">
        <f>T("731")</f>
        <v>731</v>
      </c>
      <c r="E581" t="str">
        <f t="shared" si="70"/>
        <v>김광수</v>
      </c>
      <c r="H581" t="str">
        <f t="shared" si="71"/>
        <v>스토리위즈</v>
      </c>
      <c r="I581" t="str">
        <f t="shared" si="72"/>
        <v>회귀의 전설</v>
      </c>
      <c r="J581">
        <v>100</v>
      </c>
      <c r="K581">
        <v>300</v>
      </c>
      <c r="L581">
        <v>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300</v>
      </c>
      <c r="AH581">
        <v>3</v>
      </c>
      <c r="AI581">
        <v>0</v>
      </c>
      <c r="AJ581">
        <v>0</v>
      </c>
      <c r="AK581">
        <v>200</v>
      </c>
      <c r="AL581">
        <v>0</v>
      </c>
      <c r="AM581">
        <v>120</v>
      </c>
      <c r="AN581">
        <v>-12</v>
      </c>
      <c r="AO581">
        <v>0</v>
      </c>
      <c r="AQ581">
        <v>0</v>
      </c>
      <c r="AR581">
        <v>0</v>
      </c>
      <c r="AS581">
        <v>120</v>
      </c>
      <c r="AT581">
        <v>-12</v>
      </c>
      <c r="AU581">
        <v>0</v>
      </c>
      <c r="AW581">
        <v>0</v>
      </c>
      <c r="AX581">
        <v>0</v>
      </c>
      <c r="AY581">
        <v>215.6</v>
      </c>
      <c r="BC581" t="str">
        <f>T("9791191102086")</f>
        <v>9791191102086</v>
      </c>
      <c r="BE581" t="str">
        <f t="shared" si="73"/>
        <v>판타지 웹소설 &gt; 현대 판타지</v>
      </c>
    </row>
    <row r="582" spans="1:57" x14ac:dyDescent="0.3">
      <c r="A582">
        <v>1525004030</v>
      </c>
      <c r="B582">
        <v>1525006766</v>
      </c>
      <c r="C582" t="str">
        <f>T("회귀의 전설 2부 649화")</f>
        <v>회귀의 전설 2부 649화</v>
      </c>
      <c r="D582" t="str">
        <f>T("649")</f>
        <v>649</v>
      </c>
      <c r="E582" t="str">
        <f t="shared" si="70"/>
        <v>김광수</v>
      </c>
      <c r="H582" t="str">
        <f t="shared" si="71"/>
        <v>스토리위즈</v>
      </c>
      <c r="I582" t="str">
        <f t="shared" si="72"/>
        <v>회귀의 전설</v>
      </c>
      <c r="J582">
        <v>100</v>
      </c>
      <c r="K582">
        <v>300</v>
      </c>
      <c r="L582">
        <v>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300</v>
      </c>
      <c r="AH582">
        <v>3</v>
      </c>
      <c r="AI582">
        <v>0</v>
      </c>
      <c r="AJ582">
        <v>0</v>
      </c>
      <c r="AK582">
        <v>200</v>
      </c>
      <c r="AL582">
        <v>0</v>
      </c>
      <c r="AM582">
        <v>120</v>
      </c>
      <c r="AN582">
        <v>-12</v>
      </c>
      <c r="AO582">
        <v>0</v>
      </c>
      <c r="AQ582">
        <v>0</v>
      </c>
      <c r="AR582">
        <v>0</v>
      </c>
      <c r="AS582">
        <v>120</v>
      </c>
      <c r="AT582">
        <v>-12</v>
      </c>
      <c r="AU582">
        <v>0</v>
      </c>
      <c r="AW582">
        <v>0</v>
      </c>
      <c r="AX582">
        <v>0</v>
      </c>
      <c r="AY582">
        <v>215.6</v>
      </c>
      <c r="BC582" t="str">
        <f>T("9791191102086")</f>
        <v>9791191102086</v>
      </c>
      <c r="BE582" t="str">
        <f t="shared" si="73"/>
        <v>판타지 웹소설 &gt; 현대 판타지</v>
      </c>
    </row>
    <row r="583" spans="1:57" x14ac:dyDescent="0.3">
      <c r="A583">
        <v>1525004030</v>
      </c>
      <c r="B583">
        <v>1525004130</v>
      </c>
      <c r="C583" t="str">
        <f>T("회귀의 전설 101화")</f>
        <v>회귀의 전설 101화</v>
      </c>
      <c r="D583" t="str">
        <f>T("101")</f>
        <v>101</v>
      </c>
      <c r="E583" t="str">
        <f t="shared" si="70"/>
        <v>김광수</v>
      </c>
      <c r="H583" t="str">
        <f t="shared" si="71"/>
        <v>스토리위즈</v>
      </c>
      <c r="I583" t="str">
        <f t="shared" si="72"/>
        <v>회귀의 전설</v>
      </c>
      <c r="J583">
        <v>100</v>
      </c>
      <c r="K583">
        <v>300</v>
      </c>
      <c r="L583">
        <v>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300</v>
      </c>
      <c r="AH583">
        <v>3</v>
      </c>
      <c r="AI583">
        <v>0</v>
      </c>
      <c r="AJ583">
        <v>0</v>
      </c>
      <c r="AK583">
        <v>200</v>
      </c>
      <c r="AL583">
        <v>0</v>
      </c>
      <c r="AM583">
        <v>120</v>
      </c>
      <c r="AN583">
        <v>-12</v>
      </c>
      <c r="AO583">
        <v>0</v>
      </c>
      <c r="AQ583">
        <v>0</v>
      </c>
      <c r="AR583">
        <v>0</v>
      </c>
      <c r="AS583">
        <v>120</v>
      </c>
      <c r="AT583">
        <v>-12</v>
      </c>
      <c r="AU583">
        <v>0</v>
      </c>
      <c r="AW583">
        <v>0</v>
      </c>
      <c r="AX583">
        <v>0</v>
      </c>
      <c r="AY583">
        <v>215.6</v>
      </c>
      <c r="BC583" t="str">
        <f>T("9788997946006")</f>
        <v>9788997946006</v>
      </c>
      <c r="BE583" t="str">
        <f t="shared" si="73"/>
        <v>판타지 웹소설 &gt; 현대 판타지</v>
      </c>
    </row>
    <row r="584" spans="1:57" x14ac:dyDescent="0.3">
      <c r="A584">
        <v>1525004030</v>
      </c>
      <c r="B584">
        <v>1525004162</v>
      </c>
      <c r="C584" t="str">
        <f>T("회귀의 전설 133화")</f>
        <v>회귀의 전설 133화</v>
      </c>
      <c r="D584" t="str">
        <f>T("133")</f>
        <v>133</v>
      </c>
      <c r="E584" t="str">
        <f t="shared" si="70"/>
        <v>김광수</v>
      </c>
      <c r="H584" t="str">
        <f t="shared" si="71"/>
        <v>스토리위즈</v>
      </c>
      <c r="I584" t="str">
        <f t="shared" si="72"/>
        <v>회귀의 전설</v>
      </c>
      <c r="J584">
        <v>100</v>
      </c>
      <c r="K584">
        <v>300</v>
      </c>
      <c r="L584">
        <v>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300</v>
      </c>
      <c r="AH584">
        <v>3</v>
      </c>
      <c r="AI584">
        <v>0</v>
      </c>
      <c r="AJ584">
        <v>0</v>
      </c>
      <c r="AK584">
        <v>200</v>
      </c>
      <c r="AL584">
        <v>0</v>
      </c>
      <c r="AM584">
        <v>120</v>
      </c>
      <c r="AN584">
        <v>-12</v>
      </c>
      <c r="AO584">
        <v>0</v>
      </c>
      <c r="AQ584">
        <v>0</v>
      </c>
      <c r="AR584">
        <v>0</v>
      </c>
      <c r="AS584">
        <v>120</v>
      </c>
      <c r="AT584">
        <v>-12</v>
      </c>
      <c r="AU584">
        <v>0</v>
      </c>
      <c r="AW584">
        <v>0</v>
      </c>
      <c r="AX584">
        <v>0</v>
      </c>
      <c r="AY584">
        <v>215.6</v>
      </c>
      <c r="BC584" t="str">
        <f>T("9788997946006")</f>
        <v>9788997946006</v>
      </c>
      <c r="BE584" t="str">
        <f t="shared" si="73"/>
        <v>판타지 웹소설 &gt; 현대 판타지</v>
      </c>
    </row>
    <row r="585" spans="1:57" x14ac:dyDescent="0.3">
      <c r="A585">
        <v>1525004030</v>
      </c>
      <c r="B585">
        <v>1525006734</v>
      </c>
      <c r="C585" t="str">
        <f>T("회귀의 전설 2부 617화")</f>
        <v>회귀의 전설 2부 617화</v>
      </c>
      <c r="D585" t="str">
        <f>T("617")</f>
        <v>617</v>
      </c>
      <c r="E585" t="str">
        <f t="shared" si="70"/>
        <v>김광수</v>
      </c>
      <c r="H585" t="str">
        <f t="shared" si="71"/>
        <v>스토리위즈</v>
      </c>
      <c r="I585" t="str">
        <f t="shared" si="72"/>
        <v>회귀의 전설</v>
      </c>
      <c r="J585">
        <v>100</v>
      </c>
      <c r="K585">
        <v>300</v>
      </c>
      <c r="L585">
        <v>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300</v>
      </c>
      <c r="AH585">
        <v>3</v>
      </c>
      <c r="AI585">
        <v>0</v>
      </c>
      <c r="AJ585">
        <v>0</v>
      </c>
      <c r="AK585">
        <v>200</v>
      </c>
      <c r="AL585">
        <v>0</v>
      </c>
      <c r="AM585">
        <v>120</v>
      </c>
      <c r="AN585">
        <v>-12</v>
      </c>
      <c r="AO585">
        <v>0</v>
      </c>
      <c r="AQ585">
        <v>0</v>
      </c>
      <c r="AR585">
        <v>0</v>
      </c>
      <c r="AS585">
        <v>120</v>
      </c>
      <c r="AT585">
        <v>-12</v>
      </c>
      <c r="AU585">
        <v>0</v>
      </c>
      <c r="AW585">
        <v>0</v>
      </c>
      <c r="AX585">
        <v>0</v>
      </c>
      <c r="AY585">
        <v>215.6</v>
      </c>
      <c r="BC585" t="str">
        <f>T("9791191102086")</f>
        <v>9791191102086</v>
      </c>
      <c r="BE585" t="str">
        <f t="shared" si="73"/>
        <v>판타지 웹소설 &gt; 현대 판타지</v>
      </c>
    </row>
    <row r="586" spans="1:57" x14ac:dyDescent="0.3">
      <c r="A586">
        <v>1525004030</v>
      </c>
      <c r="B586">
        <v>1525004195</v>
      </c>
      <c r="C586" t="str">
        <f>T("회귀의 전설 166화")</f>
        <v>회귀의 전설 166화</v>
      </c>
      <c r="D586" t="str">
        <f>T("166")</f>
        <v>166</v>
      </c>
      <c r="E586" t="str">
        <f t="shared" si="70"/>
        <v>김광수</v>
      </c>
      <c r="H586" t="str">
        <f t="shared" si="71"/>
        <v>스토리위즈</v>
      </c>
      <c r="I586" t="str">
        <f t="shared" si="72"/>
        <v>회귀의 전설</v>
      </c>
      <c r="J586">
        <v>100</v>
      </c>
      <c r="K586">
        <v>300</v>
      </c>
      <c r="L586">
        <v>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300</v>
      </c>
      <c r="AH586">
        <v>3</v>
      </c>
      <c r="AI586">
        <v>0</v>
      </c>
      <c r="AJ586">
        <v>0</v>
      </c>
      <c r="AK586">
        <v>200</v>
      </c>
      <c r="AL586">
        <v>0</v>
      </c>
      <c r="AM586">
        <v>120</v>
      </c>
      <c r="AN586">
        <v>-12</v>
      </c>
      <c r="AO586">
        <v>0</v>
      </c>
      <c r="AQ586">
        <v>0</v>
      </c>
      <c r="AR586">
        <v>0</v>
      </c>
      <c r="AS586">
        <v>120</v>
      </c>
      <c r="AT586">
        <v>-12</v>
      </c>
      <c r="AU586">
        <v>0</v>
      </c>
      <c r="AW586">
        <v>0</v>
      </c>
      <c r="AX586">
        <v>0</v>
      </c>
      <c r="AY586">
        <v>215.6</v>
      </c>
      <c r="BC586" t="str">
        <f>T("9788997946006")</f>
        <v>9788997946006</v>
      </c>
      <c r="BE586" t="str">
        <f t="shared" si="73"/>
        <v>판타지 웹소설 &gt; 현대 판타지</v>
      </c>
    </row>
    <row r="587" spans="1:57" x14ac:dyDescent="0.3">
      <c r="A587">
        <v>1525004030</v>
      </c>
      <c r="B587">
        <v>1525006723</v>
      </c>
      <c r="C587" t="str">
        <f>T("회귀의 전설 2부 606화")</f>
        <v>회귀의 전설 2부 606화</v>
      </c>
      <c r="D587" t="str">
        <f>T("606")</f>
        <v>606</v>
      </c>
      <c r="E587" t="str">
        <f t="shared" si="70"/>
        <v>김광수</v>
      </c>
      <c r="H587" t="str">
        <f t="shared" si="71"/>
        <v>스토리위즈</v>
      </c>
      <c r="I587" t="str">
        <f t="shared" si="72"/>
        <v>회귀의 전설</v>
      </c>
      <c r="J587">
        <v>100</v>
      </c>
      <c r="K587">
        <v>300</v>
      </c>
      <c r="L587">
        <v>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300</v>
      </c>
      <c r="AH587">
        <v>3</v>
      </c>
      <c r="AI587">
        <v>0</v>
      </c>
      <c r="AJ587">
        <v>0</v>
      </c>
      <c r="AK587">
        <v>200</v>
      </c>
      <c r="AL587">
        <v>0</v>
      </c>
      <c r="AM587">
        <v>120</v>
      </c>
      <c r="AN587">
        <v>-12</v>
      </c>
      <c r="AO587">
        <v>0</v>
      </c>
      <c r="AQ587">
        <v>0</v>
      </c>
      <c r="AR587">
        <v>0</v>
      </c>
      <c r="AS587">
        <v>120</v>
      </c>
      <c r="AT587">
        <v>-12</v>
      </c>
      <c r="AU587">
        <v>0</v>
      </c>
      <c r="AW587">
        <v>0</v>
      </c>
      <c r="AX587">
        <v>0</v>
      </c>
      <c r="AY587">
        <v>215.6</v>
      </c>
      <c r="BC587" t="str">
        <f>T("9791191102086")</f>
        <v>9791191102086</v>
      </c>
      <c r="BE587" t="str">
        <f t="shared" si="73"/>
        <v>판타지 웹소설 &gt; 현대 판타지</v>
      </c>
    </row>
    <row r="588" spans="1:57" x14ac:dyDescent="0.3">
      <c r="A588">
        <v>1525004030</v>
      </c>
      <c r="B588">
        <v>1525004184</v>
      </c>
      <c r="C588" t="str">
        <f>T("회귀의 전설 155화")</f>
        <v>회귀의 전설 155화</v>
      </c>
      <c r="D588" t="str">
        <f>T("155")</f>
        <v>155</v>
      </c>
      <c r="E588" t="str">
        <f t="shared" si="70"/>
        <v>김광수</v>
      </c>
      <c r="H588" t="str">
        <f t="shared" si="71"/>
        <v>스토리위즈</v>
      </c>
      <c r="I588" t="str">
        <f t="shared" si="72"/>
        <v>회귀의 전설</v>
      </c>
      <c r="J588">
        <v>100</v>
      </c>
      <c r="K588">
        <v>300</v>
      </c>
      <c r="L588">
        <v>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300</v>
      </c>
      <c r="AH588">
        <v>3</v>
      </c>
      <c r="AI588">
        <v>0</v>
      </c>
      <c r="AJ588">
        <v>0</v>
      </c>
      <c r="AK588">
        <v>200</v>
      </c>
      <c r="AL588">
        <v>0</v>
      </c>
      <c r="AM588">
        <v>120</v>
      </c>
      <c r="AN588">
        <v>-12</v>
      </c>
      <c r="AO588">
        <v>0</v>
      </c>
      <c r="AQ588">
        <v>0</v>
      </c>
      <c r="AR588">
        <v>0</v>
      </c>
      <c r="AS588">
        <v>120</v>
      </c>
      <c r="AT588">
        <v>-12</v>
      </c>
      <c r="AU588">
        <v>0</v>
      </c>
      <c r="AW588">
        <v>0</v>
      </c>
      <c r="AX588">
        <v>0</v>
      </c>
      <c r="AY588">
        <v>215.6</v>
      </c>
      <c r="BC588" t="str">
        <f>T("9788997946006")</f>
        <v>9788997946006</v>
      </c>
      <c r="BE588" t="str">
        <f t="shared" si="73"/>
        <v>판타지 웹소설 &gt; 현대 판타지</v>
      </c>
    </row>
    <row r="589" spans="1:57" x14ac:dyDescent="0.3">
      <c r="A589">
        <v>1525004030</v>
      </c>
      <c r="B589">
        <v>1525004119</v>
      </c>
      <c r="C589" t="str">
        <f>T("회귀의 전설 90화")</f>
        <v>회귀의 전설 90화</v>
      </c>
      <c r="D589" t="str">
        <f>T("90")</f>
        <v>90</v>
      </c>
      <c r="E589" t="str">
        <f t="shared" si="70"/>
        <v>김광수</v>
      </c>
      <c r="H589" t="str">
        <f t="shared" si="71"/>
        <v>스토리위즈</v>
      </c>
      <c r="I589" t="str">
        <f t="shared" si="72"/>
        <v>회귀의 전설</v>
      </c>
      <c r="J589">
        <v>100</v>
      </c>
      <c r="K589">
        <v>300</v>
      </c>
      <c r="L589">
        <v>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300</v>
      </c>
      <c r="AH589">
        <v>3</v>
      </c>
      <c r="AI589">
        <v>0</v>
      </c>
      <c r="AJ589">
        <v>0</v>
      </c>
      <c r="AK589">
        <v>200</v>
      </c>
      <c r="AL589">
        <v>0</v>
      </c>
      <c r="AM589">
        <v>120</v>
      </c>
      <c r="AN589">
        <v>-12</v>
      </c>
      <c r="AO589">
        <v>0</v>
      </c>
      <c r="AQ589">
        <v>0</v>
      </c>
      <c r="AR589">
        <v>0</v>
      </c>
      <c r="AS589">
        <v>120</v>
      </c>
      <c r="AT589">
        <v>-12</v>
      </c>
      <c r="AU589">
        <v>0</v>
      </c>
      <c r="AW589">
        <v>0</v>
      </c>
      <c r="AX589">
        <v>0</v>
      </c>
      <c r="AY589">
        <v>215.6</v>
      </c>
      <c r="BC589" t="str">
        <f>T("9788997946006")</f>
        <v>9788997946006</v>
      </c>
      <c r="BE589" t="str">
        <f t="shared" si="73"/>
        <v>판타지 웹소설 &gt; 현대 판타지</v>
      </c>
    </row>
    <row r="590" spans="1:57" x14ac:dyDescent="0.3">
      <c r="A590">
        <v>1525004030</v>
      </c>
      <c r="B590">
        <v>1525004151</v>
      </c>
      <c r="C590" t="str">
        <f>T("회귀의 전설 122화")</f>
        <v>회귀의 전설 122화</v>
      </c>
      <c r="D590" t="str">
        <f>T("122")</f>
        <v>122</v>
      </c>
      <c r="E590" t="str">
        <f t="shared" si="70"/>
        <v>김광수</v>
      </c>
      <c r="H590" t="str">
        <f t="shared" si="71"/>
        <v>스토리위즈</v>
      </c>
      <c r="I590" t="str">
        <f t="shared" si="72"/>
        <v>회귀의 전설</v>
      </c>
      <c r="J590">
        <v>100</v>
      </c>
      <c r="K590">
        <v>300</v>
      </c>
      <c r="L590">
        <v>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300</v>
      </c>
      <c r="AH590">
        <v>3</v>
      </c>
      <c r="AI590">
        <v>0</v>
      </c>
      <c r="AJ590">
        <v>0</v>
      </c>
      <c r="AK590">
        <v>200</v>
      </c>
      <c r="AL590">
        <v>0</v>
      </c>
      <c r="AM590">
        <v>120</v>
      </c>
      <c r="AN590">
        <v>-12</v>
      </c>
      <c r="AO590">
        <v>0</v>
      </c>
      <c r="AQ590">
        <v>0</v>
      </c>
      <c r="AR590">
        <v>0</v>
      </c>
      <c r="AS590">
        <v>120</v>
      </c>
      <c r="AT590">
        <v>-12</v>
      </c>
      <c r="AU590">
        <v>0</v>
      </c>
      <c r="AW590">
        <v>0</v>
      </c>
      <c r="AX590">
        <v>0</v>
      </c>
      <c r="AY590">
        <v>215.6</v>
      </c>
      <c r="BC590" t="str">
        <f>T("9788997946006")</f>
        <v>9788997946006</v>
      </c>
      <c r="BE590" t="str">
        <f t="shared" si="73"/>
        <v>판타지 웹소설 &gt; 현대 판타지</v>
      </c>
    </row>
    <row r="591" spans="1:57" x14ac:dyDescent="0.3">
      <c r="A591">
        <v>1525004030</v>
      </c>
      <c r="B591">
        <v>1525004140</v>
      </c>
      <c r="C591" t="str">
        <f>T("회귀의 전설 111화")</f>
        <v>회귀의 전설 111화</v>
      </c>
      <c r="D591" t="str">
        <f>T("111")</f>
        <v>111</v>
      </c>
      <c r="E591" t="str">
        <f t="shared" si="70"/>
        <v>김광수</v>
      </c>
      <c r="H591" t="str">
        <f t="shared" si="71"/>
        <v>스토리위즈</v>
      </c>
      <c r="I591" t="str">
        <f t="shared" si="72"/>
        <v>회귀의 전설</v>
      </c>
      <c r="J591">
        <v>100</v>
      </c>
      <c r="K591">
        <v>300</v>
      </c>
      <c r="L591">
        <v>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300</v>
      </c>
      <c r="AH591">
        <v>3</v>
      </c>
      <c r="AI591">
        <v>0</v>
      </c>
      <c r="AJ591">
        <v>0</v>
      </c>
      <c r="AK591">
        <v>200</v>
      </c>
      <c r="AL591">
        <v>0</v>
      </c>
      <c r="AM591">
        <v>120</v>
      </c>
      <c r="AN591">
        <v>-12</v>
      </c>
      <c r="AO591">
        <v>0</v>
      </c>
      <c r="AQ591">
        <v>0</v>
      </c>
      <c r="AR591">
        <v>0</v>
      </c>
      <c r="AS591">
        <v>120</v>
      </c>
      <c r="AT591">
        <v>-12</v>
      </c>
      <c r="AU591">
        <v>0</v>
      </c>
      <c r="AW591">
        <v>0</v>
      </c>
      <c r="AX591">
        <v>0</v>
      </c>
      <c r="AY591">
        <v>215.6</v>
      </c>
      <c r="BC591" t="str">
        <f>T("9788997946006")</f>
        <v>9788997946006</v>
      </c>
      <c r="BE591" t="str">
        <f t="shared" si="73"/>
        <v>판타지 웹소설 &gt; 현대 판타지</v>
      </c>
    </row>
    <row r="592" spans="1:57" x14ac:dyDescent="0.3">
      <c r="A592">
        <v>1525004030</v>
      </c>
      <c r="B592">
        <v>1525004173</v>
      </c>
      <c r="C592" t="str">
        <f>T("회귀의 전설 144화")</f>
        <v>회귀의 전설 144화</v>
      </c>
      <c r="D592" t="str">
        <f>T("144")</f>
        <v>144</v>
      </c>
      <c r="E592" t="str">
        <f t="shared" si="70"/>
        <v>김광수</v>
      </c>
      <c r="H592" t="str">
        <f t="shared" si="71"/>
        <v>스토리위즈</v>
      </c>
      <c r="I592" t="str">
        <f t="shared" si="72"/>
        <v>회귀의 전설</v>
      </c>
      <c r="J592">
        <v>100</v>
      </c>
      <c r="K592">
        <v>300</v>
      </c>
      <c r="L592">
        <v>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300</v>
      </c>
      <c r="AH592">
        <v>3</v>
      </c>
      <c r="AI592">
        <v>0</v>
      </c>
      <c r="AJ592">
        <v>0</v>
      </c>
      <c r="AK592">
        <v>200</v>
      </c>
      <c r="AL592">
        <v>0</v>
      </c>
      <c r="AM592">
        <v>120</v>
      </c>
      <c r="AN592">
        <v>-12</v>
      </c>
      <c r="AO592">
        <v>0</v>
      </c>
      <c r="AQ592">
        <v>0</v>
      </c>
      <c r="AR592">
        <v>0</v>
      </c>
      <c r="AS592">
        <v>120</v>
      </c>
      <c r="AT592">
        <v>-12</v>
      </c>
      <c r="AU592">
        <v>0</v>
      </c>
      <c r="AW592">
        <v>0</v>
      </c>
      <c r="AX592">
        <v>0</v>
      </c>
      <c r="AY592">
        <v>215.6</v>
      </c>
      <c r="BC592" t="str">
        <f>T("9788997946006")</f>
        <v>9788997946006</v>
      </c>
      <c r="BE592" t="str">
        <f t="shared" si="73"/>
        <v>판타지 웹소설 &gt; 현대 판타지</v>
      </c>
    </row>
    <row r="593" spans="1:57" x14ac:dyDescent="0.3">
      <c r="A593">
        <v>1525004030</v>
      </c>
      <c r="B593">
        <v>1525006744</v>
      </c>
      <c r="C593" t="str">
        <f>T("회귀의 전설 2부 627화")</f>
        <v>회귀의 전설 2부 627화</v>
      </c>
      <c r="D593" t="str">
        <f>T("627")</f>
        <v>627</v>
      </c>
      <c r="E593" t="str">
        <f t="shared" si="70"/>
        <v>김광수</v>
      </c>
      <c r="H593" t="str">
        <f t="shared" si="71"/>
        <v>스토리위즈</v>
      </c>
      <c r="I593" t="str">
        <f t="shared" si="72"/>
        <v>회귀의 전설</v>
      </c>
      <c r="J593">
        <v>100</v>
      </c>
      <c r="K593">
        <v>300</v>
      </c>
      <c r="L593">
        <v>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300</v>
      </c>
      <c r="AH593">
        <v>3</v>
      </c>
      <c r="AI593">
        <v>0</v>
      </c>
      <c r="AJ593">
        <v>0</v>
      </c>
      <c r="AK593">
        <v>200</v>
      </c>
      <c r="AL593">
        <v>0</v>
      </c>
      <c r="AM593">
        <v>120</v>
      </c>
      <c r="AN593">
        <v>-12</v>
      </c>
      <c r="AO593">
        <v>0</v>
      </c>
      <c r="AQ593">
        <v>0</v>
      </c>
      <c r="AR593">
        <v>0</v>
      </c>
      <c r="AS593">
        <v>120</v>
      </c>
      <c r="AT593">
        <v>-12</v>
      </c>
      <c r="AU593">
        <v>0</v>
      </c>
      <c r="AW593">
        <v>0</v>
      </c>
      <c r="AX593">
        <v>0</v>
      </c>
      <c r="AY593">
        <v>215.6</v>
      </c>
      <c r="BC593" t="str">
        <f>T("9791191102086")</f>
        <v>9791191102086</v>
      </c>
      <c r="BE593" t="str">
        <f t="shared" si="73"/>
        <v>판타지 웹소설 &gt; 현대 판타지</v>
      </c>
    </row>
    <row r="594" spans="1:57" x14ac:dyDescent="0.3">
      <c r="A594">
        <v>1525004030</v>
      </c>
      <c r="B594">
        <v>1525006703</v>
      </c>
      <c r="C594" t="str">
        <f>T("회귀의 전설 2부 586화")</f>
        <v>회귀의 전설 2부 586화</v>
      </c>
      <c r="D594" t="str">
        <f>T("586")</f>
        <v>586</v>
      </c>
      <c r="E594" t="str">
        <f t="shared" si="70"/>
        <v>김광수</v>
      </c>
      <c r="H594" t="str">
        <f t="shared" si="71"/>
        <v>스토리위즈</v>
      </c>
      <c r="I594" t="str">
        <f t="shared" si="72"/>
        <v>회귀의 전설</v>
      </c>
      <c r="J594">
        <v>100</v>
      </c>
      <c r="K594">
        <v>300</v>
      </c>
      <c r="L594">
        <v>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300</v>
      </c>
      <c r="AH594">
        <v>3</v>
      </c>
      <c r="AI594">
        <v>0</v>
      </c>
      <c r="AJ594">
        <v>0</v>
      </c>
      <c r="AK594">
        <v>200</v>
      </c>
      <c r="AL594">
        <v>0</v>
      </c>
      <c r="AM594">
        <v>120</v>
      </c>
      <c r="AN594">
        <v>-36</v>
      </c>
      <c r="AO594">
        <v>0</v>
      </c>
      <c r="AQ594">
        <v>0</v>
      </c>
      <c r="AR594">
        <v>0</v>
      </c>
      <c r="AS594">
        <v>120</v>
      </c>
      <c r="AT594">
        <v>-36</v>
      </c>
      <c r="AU594">
        <v>0</v>
      </c>
      <c r="AW594">
        <v>0</v>
      </c>
      <c r="AX594">
        <v>0</v>
      </c>
      <c r="AY594">
        <v>198.8</v>
      </c>
      <c r="BC594" t="str">
        <f>T("9791191102086")</f>
        <v>9791191102086</v>
      </c>
      <c r="BE594" t="str">
        <f t="shared" si="73"/>
        <v>판타지 웹소설 &gt; 현대 판타지</v>
      </c>
    </row>
    <row r="595" spans="1:57" x14ac:dyDescent="0.3">
      <c r="A595">
        <v>1525004030</v>
      </c>
      <c r="B595">
        <v>1525006817</v>
      </c>
      <c r="C595" t="str">
        <f>T("회귀의 전설 2부 700화")</f>
        <v>회귀의 전설 2부 700화</v>
      </c>
      <c r="D595" t="str">
        <f>T("700")</f>
        <v>700</v>
      </c>
      <c r="E595" t="str">
        <f t="shared" si="70"/>
        <v>김광수</v>
      </c>
      <c r="H595" t="str">
        <f t="shared" si="71"/>
        <v>스토리위즈</v>
      </c>
      <c r="I595" t="str">
        <f t="shared" si="72"/>
        <v>회귀의 전설</v>
      </c>
      <c r="J595">
        <v>100</v>
      </c>
      <c r="K595">
        <v>300</v>
      </c>
      <c r="L595">
        <v>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300</v>
      </c>
      <c r="AH595">
        <v>3</v>
      </c>
      <c r="AI595">
        <v>0</v>
      </c>
      <c r="AJ595">
        <v>0</v>
      </c>
      <c r="AK595">
        <v>200</v>
      </c>
      <c r="AL595">
        <v>0</v>
      </c>
      <c r="AM595">
        <v>120</v>
      </c>
      <c r="AN595">
        <v>-12</v>
      </c>
      <c r="AO595">
        <v>0</v>
      </c>
      <c r="AQ595">
        <v>0</v>
      </c>
      <c r="AR595">
        <v>0</v>
      </c>
      <c r="AS595">
        <v>120</v>
      </c>
      <c r="AT595">
        <v>-12</v>
      </c>
      <c r="AU595">
        <v>0</v>
      </c>
      <c r="AW595">
        <v>0</v>
      </c>
      <c r="AX595">
        <v>0</v>
      </c>
      <c r="AY595">
        <v>215.6</v>
      </c>
      <c r="BC595" t="str">
        <f>T("9791191102086")</f>
        <v>9791191102086</v>
      </c>
      <c r="BE595" t="str">
        <f t="shared" si="73"/>
        <v>판타지 웹소설 &gt; 현대 판타지</v>
      </c>
    </row>
    <row r="596" spans="1:57" x14ac:dyDescent="0.3">
      <c r="A596">
        <v>1525004030</v>
      </c>
      <c r="B596">
        <v>1525006765</v>
      </c>
      <c r="C596" t="str">
        <f>T("회귀의 전설 2부 648화")</f>
        <v>회귀의 전설 2부 648화</v>
      </c>
      <c r="D596" t="str">
        <f>T("648")</f>
        <v>648</v>
      </c>
      <c r="E596" t="str">
        <f t="shared" si="70"/>
        <v>김광수</v>
      </c>
      <c r="H596" t="str">
        <f t="shared" si="71"/>
        <v>스토리위즈</v>
      </c>
      <c r="I596" t="str">
        <f t="shared" si="72"/>
        <v>회귀의 전설</v>
      </c>
      <c r="J596">
        <v>100</v>
      </c>
      <c r="K596">
        <v>300</v>
      </c>
      <c r="L596">
        <v>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300</v>
      </c>
      <c r="AH596">
        <v>3</v>
      </c>
      <c r="AI596">
        <v>0</v>
      </c>
      <c r="AJ596">
        <v>0</v>
      </c>
      <c r="AK596">
        <v>200</v>
      </c>
      <c r="AL596">
        <v>0</v>
      </c>
      <c r="AM596">
        <v>120</v>
      </c>
      <c r="AN596">
        <v>-12</v>
      </c>
      <c r="AO596">
        <v>0</v>
      </c>
      <c r="AQ596">
        <v>0</v>
      </c>
      <c r="AR596">
        <v>0</v>
      </c>
      <c r="AS596">
        <v>120</v>
      </c>
      <c r="AT596">
        <v>-12</v>
      </c>
      <c r="AU596">
        <v>0</v>
      </c>
      <c r="AW596">
        <v>0</v>
      </c>
      <c r="AX596">
        <v>0</v>
      </c>
      <c r="AY596">
        <v>215.6</v>
      </c>
      <c r="BC596" t="str">
        <f>T("9791191102086")</f>
        <v>9791191102086</v>
      </c>
      <c r="BE596" t="str">
        <f t="shared" si="73"/>
        <v>판타지 웹소설 &gt; 현대 판타지</v>
      </c>
    </row>
    <row r="597" spans="1:57" x14ac:dyDescent="0.3">
      <c r="A597">
        <v>1525004030</v>
      </c>
      <c r="B597">
        <v>1525004129</v>
      </c>
      <c r="C597" t="str">
        <f>T("회귀의 전설 100화")</f>
        <v>회귀의 전설 100화</v>
      </c>
      <c r="D597" t="str">
        <f>T("100")</f>
        <v>100</v>
      </c>
      <c r="E597" t="str">
        <f t="shared" si="70"/>
        <v>김광수</v>
      </c>
      <c r="H597" t="str">
        <f t="shared" si="71"/>
        <v>스토리위즈</v>
      </c>
      <c r="I597" t="str">
        <f t="shared" si="72"/>
        <v>회귀의 전설</v>
      </c>
      <c r="J597">
        <v>100</v>
      </c>
      <c r="K597">
        <v>300</v>
      </c>
      <c r="L597">
        <v>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300</v>
      </c>
      <c r="AH597">
        <v>3</v>
      </c>
      <c r="AI597">
        <v>0</v>
      </c>
      <c r="AJ597">
        <v>0</v>
      </c>
      <c r="AK597">
        <v>200</v>
      </c>
      <c r="AL597">
        <v>0</v>
      </c>
      <c r="AM597">
        <v>120</v>
      </c>
      <c r="AN597">
        <v>-12</v>
      </c>
      <c r="AO597">
        <v>0</v>
      </c>
      <c r="AQ597">
        <v>0</v>
      </c>
      <c r="AR597">
        <v>0</v>
      </c>
      <c r="AS597">
        <v>120</v>
      </c>
      <c r="AT597">
        <v>-12</v>
      </c>
      <c r="AU597">
        <v>0</v>
      </c>
      <c r="AW597">
        <v>0</v>
      </c>
      <c r="AX597">
        <v>0</v>
      </c>
      <c r="AY597">
        <v>215.6</v>
      </c>
      <c r="BC597" t="str">
        <f>T("9788997946006")</f>
        <v>9788997946006</v>
      </c>
      <c r="BE597" t="str">
        <f t="shared" si="73"/>
        <v>판타지 웹소설 &gt; 현대 판타지</v>
      </c>
    </row>
    <row r="598" spans="1:57" x14ac:dyDescent="0.3">
      <c r="A598">
        <v>1525004030</v>
      </c>
      <c r="B598">
        <v>1525004161</v>
      </c>
      <c r="C598" t="str">
        <f>T("회귀의 전설 132화")</f>
        <v>회귀의 전설 132화</v>
      </c>
      <c r="D598" t="str">
        <f>T("132")</f>
        <v>132</v>
      </c>
      <c r="E598" t="str">
        <f t="shared" si="70"/>
        <v>김광수</v>
      </c>
      <c r="H598" t="str">
        <f t="shared" si="71"/>
        <v>스토리위즈</v>
      </c>
      <c r="I598" t="str">
        <f t="shared" si="72"/>
        <v>회귀의 전설</v>
      </c>
      <c r="J598">
        <v>100</v>
      </c>
      <c r="K598">
        <v>300</v>
      </c>
      <c r="L598">
        <v>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300</v>
      </c>
      <c r="AH598">
        <v>3</v>
      </c>
      <c r="AI598">
        <v>0</v>
      </c>
      <c r="AJ598">
        <v>0</v>
      </c>
      <c r="AK598">
        <v>200</v>
      </c>
      <c r="AL598">
        <v>0</v>
      </c>
      <c r="AM598">
        <v>120</v>
      </c>
      <c r="AN598">
        <v>-12</v>
      </c>
      <c r="AO598">
        <v>0</v>
      </c>
      <c r="AQ598">
        <v>0</v>
      </c>
      <c r="AR598">
        <v>0</v>
      </c>
      <c r="AS598">
        <v>120</v>
      </c>
      <c r="AT598">
        <v>-12</v>
      </c>
      <c r="AU598">
        <v>0</v>
      </c>
      <c r="AW598">
        <v>0</v>
      </c>
      <c r="AX598">
        <v>0</v>
      </c>
      <c r="AY598">
        <v>215.6</v>
      </c>
      <c r="BC598" t="str">
        <f>T("9788997946006")</f>
        <v>9788997946006</v>
      </c>
      <c r="BE598" t="str">
        <f t="shared" si="73"/>
        <v>판타지 웹소설 &gt; 현대 판타지</v>
      </c>
    </row>
    <row r="599" spans="1:57" x14ac:dyDescent="0.3">
      <c r="A599">
        <v>1525004030</v>
      </c>
      <c r="B599">
        <v>1525006733</v>
      </c>
      <c r="C599" t="str">
        <f>T("회귀의 전설 2부 616화")</f>
        <v>회귀의 전설 2부 616화</v>
      </c>
      <c r="D599" t="str">
        <f>T("616")</f>
        <v>616</v>
      </c>
      <c r="E599" t="str">
        <f t="shared" si="70"/>
        <v>김광수</v>
      </c>
      <c r="H599" t="str">
        <f t="shared" si="71"/>
        <v>스토리위즈</v>
      </c>
      <c r="I599" t="str">
        <f t="shared" si="72"/>
        <v>회귀의 전설</v>
      </c>
      <c r="J599">
        <v>100</v>
      </c>
      <c r="K599">
        <v>300</v>
      </c>
      <c r="L599">
        <v>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300</v>
      </c>
      <c r="AH599">
        <v>3</v>
      </c>
      <c r="AI599">
        <v>0</v>
      </c>
      <c r="AJ599">
        <v>0</v>
      </c>
      <c r="AK599">
        <v>200</v>
      </c>
      <c r="AL599">
        <v>0</v>
      </c>
      <c r="AM599">
        <v>120</v>
      </c>
      <c r="AN599">
        <v>-12</v>
      </c>
      <c r="AO599">
        <v>0</v>
      </c>
      <c r="AQ599">
        <v>0</v>
      </c>
      <c r="AR599">
        <v>0</v>
      </c>
      <c r="AS599">
        <v>120</v>
      </c>
      <c r="AT599">
        <v>-12</v>
      </c>
      <c r="AU599">
        <v>0</v>
      </c>
      <c r="AW599">
        <v>0</v>
      </c>
      <c r="AX599">
        <v>0</v>
      </c>
      <c r="AY599">
        <v>215.6</v>
      </c>
      <c r="BC599" t="str">
        <f>T("9791191102086")</f>
        <v>9791191102086</v>
      </c>
      <c r="BE599" t="str">
        <f t="shared" si="73"/>
        <v>판타지 웹소설 &gt; 현대 판타지</v>
      </c>
    </row>
    <row r="600" spans="1:57" x14ac:dyDescent="0.3">
      <c r="A600">
        <v>1525004030</v>
      </c>
      <c r="B600">
        <v>1525004194</v>
      </c>
      <c r="C600" t="str">
        <f>T("회귀의 전설 165화")</f>
        <v>회귀의 전설 165화</v>
      </c>
      <c r="D600" t="str">
        <f>T("165")</f>
        <v>165</v>
      </c>
      <c r="E600" t="str">
        <f t="shared" si="70"/>
        <v>김광수</v>
      </c>
      <c r="H600" t="str">
        <f t="shared" si="71"/>
        <v>스토리위즈</v>
      </c>
      <c r="I600" t="str">
        <f t="shared" si="72"/>
        <v>회귀의 전설</v>
      </c>
      <c r="J600">
        <v>100</v>
      </c>
      <c r="K600">
        <v>300</v>
      </c>
      <c r="L600">
        <v>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300</v>
      </c>
      <c r="AH600">
        <v>3</v>
      </c>
      <c r="AI600">
        <v>0</v>
      </c>
      <c r="AJ600">
        <v>0</v>
      </c>
      <c r="AK600">
        <v>200</v>
      </c>
      <c r="AL600">
        <v>0</v>
      </c>
      <c r="AM600">
        <v>120</v>
      </c>
      <c r="AN600">
        <v>-12</v>
      </c>
      <c r="AO600">
        <v>0</v>
      </c>
      <c r="AQ600">
        <v>0</v>
      </c>
      <c r="AR600">
        <v>0</v>
      </c>
      <c r="AS600">
        <v>120</v>
      </c>
      <c r="AT600">
        <v>-12</v>
      </c>
      <c r="AU600">
        <v>0</v>
      </c>
      <c r="AW600">
        <v>0</v>
      </c>
      <c r="AX600">
        <v>0</v>
      </c>
      <c r="AY600">
        <v>215.6</v>
      </c>
      <c r="BC600" t="str">
        <f>T("9788997946006")</f>
        <v>9788997946006</v>
      </c>
      <c r="BE600" t="str">
        <f t="shared" si="73"/>
        <v>판타지 웹소설 &gt; 현대 판타지</v>
      </c>
    </row>
    <row r="601" spans="1:57" x14ac:dyDescent="0.3">
      <c r="A601">
        <v>1525004030</v>
      </c>
      <c r="B601">
        <v>1525006847</v>
      </c>
      <c r="C601" t="str">
        <f>T("회귀의 전설 2부 730화")</f>
        <v>회귀의 전설 2부 730화</v>
      </c>
      <c r="D601" t="str">
        <f>T("730")</f>
        <v>730</v>
      </c>
      <c r="E601" t="str">
        <f t="shared" si="70"/>
        <v>김광수</v>
      </c>
      <c r="H601" t="str">
        <f t="shared" si="71"/>
        <v>스토리위즈</v>
      </c>
      <c r="I601" t="str">
        <f t="shared" si="72"/>
        <v>회귀의 전설</v>
      </c>
      <c r="J601">
        <v>100</v>
      </c>
      <c r="K601">
        <v>300</v>
      </c>
      <c r="L601">
        <v>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300</v>
      </c>
      <c r="AH601">
        <v>3</v>
      </c>
      <c r="AI601">
        <v>0</v>
      </c>
      <c r="AJ601">
        <v>0</v>
      </c>
      <c r="AK601">
        <v>200</v>
      </c>
      <c r="AL601">
        <v>0</v>
      </c>
      <c r="AM601">
        <v>120</v>
      </c>
      <c r="AN601">
        <v>-12</v>
      </c>
      <c r="AO601">
        <v>0</v>
      </c>
      <c r="AQ601">
        <v>0</v>
      </c>
      <c r="AR601">
        <v>0</v>
      </c>
      <c r="AS601">
        <v>120</v>
      </c>
      <c r="AT601">
        <v>-12</v>
      </c>
      <c r="AU601">
        <v>0</v>
      </c>
      <c r="AW601">
        <v>0</v>
      </c>
      <c r="AX601">
        <v>0</v>
      </c>
      <c r="AY601">
        <v>215.6</v>
      </c>
      <c r="BC601" t="str">
        <f>T("9791191102086")</f>
        <v>9791191102086</v>
      </c>
      <c r="BE601" t="str">
        <f t="shared" si="73"/>
        <v>판타지 웹소설 &gt; 현대 판타지</v>
      </c>
    </row>
    <row r="602" spans="1:57" x14ac:dyDescent="0.3">
      <c r="A602">
        <v>1525004030</v>
      </c>
      <c r="B602">
        <v>1525006722</v>
      </c>
      <c r="C602" t="str">
        <f>T("회귀의 전설 2부 605화")</f>
        <v>회귀의 전설 2부 605화</v>
      </c>
      <c r="D602" t="str">
        <f>T("605")</f>
        <v>605</v>
      </c>
      <c r="E602" t="str">
        <f t="shared" si="70"/>
        <v>김광수</v>
      </c>
      <c r="H602" t="str">
        <f t="shared" si="71"/>
        <v>스토리위즈</v>
      </c>
      <c r="I602" t="str">
        <f t="shared" si="72"/>
        <v>회귀의 전설</v>
      </c>
      <c r="J602">
        <v>100</v>
      </c>
      <c r="K602">
        <v>300</v>
      </c>
      <c r="L602">
        <v>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300</v>
      </c>
      <c r="AH602">
        <v>3</v>
      </c>
      <c r="AI602">
        <v>0</v>
      </c>
      <c r="AJ602">
        <v>0</v>
      </c>
      <c r="AK602">
        <v>200</v>
      </c>
      <c r="AL602">
        <v>0</v>
      </c>
      <c r="AM602">
        <v>120</v>
      </c>
      <c r="AN602">
        <v>-12</v>
      </c>
      <c r="AO602">
        <v>0</v>
      </c>
      <c r="AQ602">
        <v>0</v>
      </c>
      <c r="AR602">
        <v>0</v>
      </c>
      <c r="AS602">
        <v>120</v>
      </c>
      <c r="AT602">
        <v>-12</v>
      </c>
      <c r="AU602">
        <v>0</v>
      </c>
      <c r="AW602">
        <v>0</v>
      </c>
      <c r="AX602">
        <v>0</v>
      </c>
      <c r="AY602">
        <v>215.6</v>
      </c>
      <c r="BC602" t="str">
        <f>T("9791191102086")</f>
        <v>9791191102086</v>
      </c>
      <c r="BE602" t="str">
        <f t="shared" si="73"/>
        <v>판타지 웹소설 &gt; 현대 판타지</v>
      </c>
    </row>
    <row r="603" spans="1:57" x14ac:dyDescent="0.3">
      <c r="A603">
        <v>1525004030</v>
      </c>
      <c r="B603">
        <v>1525004183</v>
      </c>
      <c r="C603" t="str">
        <f>T("회귀의 전설 154화")</f>
        <v>회귀의 전설 154화</v>
      </c>
      <c r="D603" t="str">
        <f>T("154")</f>
        <v>154</v>
      </c>
      <c r="E603" t="str">
        <f t="shared" si="70"/>
        <v>김광수</v>
      </c>
      <c r="H603" t="str">
        <f t="shared" si="71"/>
        <v>스토리위즈</v>
      </c>
      <c r="I603" t="str">
        <f t="shared" si="72"/>
        <v>회귀의 전설</v>
      </c>
      <c r="J603">
        <v>100</v>
      </c>
      <c r="K603">
        <v>300</v>
      </c>
      <c r="L603">
        <v>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300</v>
      </c>
      <c r="AH603">
        <v>3</v>
      </c>
      <c r="AI603">
        <v>0</v>
      </c>
      <c r="AJ603">
        <v>0</v>
      </c>
      <c r="AK603">
        <v>200</v>
      </c>
      <c r="AL603">
        <v>0</v>
      </c>
      <c r="AM603">
        <v>120</v>
      </c>
      <c r="AN603">
        <v>-12</v>
      </c>
      <c r="AO603">
        <v>0</v>
      </c>
      <c r="AQ603">
        <v>0</v>
      </c>
      <c r="AR603">
        <v>0</v>
      </c>
      <c r="AS603">
        <v>120</v>
      </c>
      <c r="AT603">
        <v>-12</v>
      </c>
      <c r="AU603">
        <v>0</v>
      </c>
      <c r="AW603">
        <v>0</v>
      </c>
      <c r="AX603">
        <v>0</v>
      </c>
      <c r="AY603">
        <v>215.6</v>
      </c>
      <c r="BC603" t="str">
        <f>T("9788997946006")</f>
        <v>9788997946006</v>
      </c>
      <c r="BE603" t="str">
        <f t="shared" si="73"/>
        <v>판타지 웹소설 &gt; 현대 판타지</v>
      </c>
    </row>
    <row r="604" spans="1:57" x14ac:dyDescent="0.3">
      <c r="A604">
        <v>1525004030</v>
      </c>
      <c r="B604">
        <v>1525004150</v>
      </c>
      <c r="C604" t="str">
        <f>T("회귀의 전설 121화")</f>
        <v>회귀의 전설 121화</v>
      </c>
      <c r="D604" t="str">
        <f>T("121")</f>
        <v>121</v>
      </c>
      <c r="E604" t="str">
        <f t="shared" si="70"/>
        <v>김광수</v>
      </c>
      <c r="H604" t="str">
        <f t="shared" si="71"/>
        <v>스토리위즈</v>
      </c>
      <c r="I604" t="str">
        <f t="shared" si="72"/>
        <v>회귀의 전설</v>
      </c>
      <c r="J604">
        <v>100</v>
      </c>
      <c r="K604">
        <v>300</v>
      </c>
      <c r="L604">
        <v>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300</v>
      </c>
      <c r="AH604">
        <v>3</v>
      </c>
      <c r="AI604">
        <v>0</v>
      </c>
      <c r="AJ604">
        <v>0</v>
      </c>
      <c r="AK604">
        <v>200</v>
      </c>
      <c r="AL604">
        <v>0</v>
      </c>
      <c r="AM604">
        <v>120</v>
      </c>
      <c r="AN604">
        <v>-12</v>
      </c>
      <c r="AO604">
        <v>0</v>
      </c>
      <c r="AQ604">
        <v>0</v>
      </c>
      <c r="AR604">
        <v>0</v>
      </c>
      <c r="AS604">
        <v>120</v>
      </c>
      <c r="AT604">
        <v>-12</v>
      </c>
      <c r="AU604">
        <v>0</v>
      </c>
      <c r="AW604">
        <v>0</v>
      </c>
      <c r="AX604">
        <v>0</v>
      </c>
      <c r="AY604">
        <v>215.6</v>
      </c>
      <c r="BC604" t="str">
        <f>T("9788997946006")</f>
        <v>9788997946006</v>
      </c>
      <c r="BE604" t="str">
        <f t="shared" si="73"/>
        <v>판타지 웹소설 &gt; 현대 판타지</v>
      </c>
    </row>
    <row r="605" spans="1:57" x14ac:dyDescent="0.3">
      <c r="A605">
        <v>1525004030</v>
      </c>
      <c r="B605">
        <v>1525004139</v>
      </c>
      <c r="C605" t="str">
        <f>T("회귀의 전설 110화")</f>
        <v>회귀의 전설 110화</v>
      </c>
      <c r="D605" t="str">
        <f>T("110")</f>
        <v>110</v>
      </c>
      <c r="E605" t="str">
        <f t="shared" si="70"/>
        <v>김광수</v>
      </c>
      <c r="H605" t="str">
        <f t="shared" si="71"/>
        <v>스토리위즈</v>
      </c>
      <c r="I605" t="str">
        <f t="shared" si="72"/>
        <v>회귀의 전설</v>
      </c>
      <c r="J605">
        <v>100</v>
      </c>
      <c r="K605">
        <v>300</v>
      </c>
      <c r="L605">
        <v>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300</v>
      </c>
      <c r="AH605">
        <v>3</v>
      </c>
      <c r="AI605">
        <v>0</v>
      </c>
      <c r="AJ605">
        <v>0</v>
      </c>
      <c r="AK605">
        <v>200</v>
      </c>
      <c r="AL605">
        <v>0</v>
      </c>
      <c r="AM605">
        <v>120</v>
      </c>
      <c r="AN605">
        <v>-12</v>
      </c>
      <c r="AO605">
        <v>0</v>
      </c>
      <c r="AQ605">
        <v>0</v>
      </c>
      <c r="AR605">
        <v>0</v>
      </c>
      <c r="AS605">
        <v>120</v>
      </c>
      <c r="AT605">
        <v>-12</v>
      </c>
      <c r="AU605">
        <v>0</v>
      </c>
      <c r="AW605">
        <v>0</v>
      </c>
      <c r="AX605">
        <v>0</v>
      </c>
      <c r="AY605">
        <v>215.6</v>
      </c>
      <c r="BC605" t="str">
        <f>T("9788997946006")</f>
        <v>9788997946006</v>
      </c>
      <c r="BE605" t="str">
        <f t="shared" si="73"/>
        <v>판타지 웹소설 &gt; 현대 판타지</v>
      </c>
    </row>
    <row r="606" spans="1:57" x14ac:dyDescent="0.3">
      <c r="A606">
        <v>1525004030</v>
      </c>
      <c r="B606">
        <v>1525004172</v>
      </c>
      <c r="C606" t="str">
        <f>T("회귀의 전설 143화")</f>
        <v>회귀의 전설 143화</v>
      </c>
      <c r="D606" t="str">
        <f>T("143")</f>
        <v>143</v>
      </c>
      <c r="E606" t="str">
        <f t="shared" si="70"/>
        <v>김광수</v>
      </c>
      <c r="H606" t="str">
        <f t="shared" si="71"/>
        <v>스토리위즈</v>
      </c>
      <c r="I606" t="str">
        <f t="shared" si="72"/>
        <v>회귀의 전설</v>
      </c>
      <c r="J606">
        <v>100</v>
      </c>
      <c r="K606">
        <v>300</v>
      </c>
      <c r="L606">
        <v>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300</v>
      </c>
      <c r="AH606">
        <v>3</v>
      </c>
      <c r="AI606">
        <v>0</v>
      </c>
      <c r="AJ606">
        <v>0</v>
      </c>
      <c r="AK606">
        <v>200</v>
      </c>
      <c r="AL606">
        <v>0</v>
      </c>
      <c r="AM606">
        <v>120</v>
      </c>
      <c r="AN606">
        <v>-12</v>
      </c>
      <c r="AO606">
        <v>0</v>
      </c>
      <c r="AQ606">
        <v>0</v>
      </c>
      <c r="AR606">
        <v>0</v>
      </c>
      <c r="AS606">
        <v>120</v>
      </c>
      <c r="AT606">
        <v>-12</v>
      </c>
      <c r="AU606">
        <v>0</v>
      </c>
      <c r="AW606">
        <v>0</v>
      </c>
      <c r="AX606">
        <v>0</v>
      </c>
      <c r="AY606">
        <v>215.6</v>
      </c>
      <c r="BC606" t="str">
        <f>T("9788997946006")</f>
        <v>9788997946006</v>
      </c>
      <c r="BE606" t="str">
        <f t="shared" si="73"/>
        <v>판타지 웹소설 &gt; 현대 판타지</v>
      </c>
    </row>
    <row r="607" spans="1:57" x14ac:dyDescent="0.3">
      <c r="A607">
        <v>1525004030</v>
      </c>
      <c r="B607">
        <v>1525006743</v>
      </c>
      <c r="C607" t="str">
        <f>T("회귀의 전설 2부 626화")</f>
        <v>회귀의 전설 2부 626화</v>
      </c>
      <c r="D607" t="str">
        <f>T("626")</f>
        <v>626</v>
      </c>
      <c r="E607" t="str">
        <f t="shared" si="70"/>
        <v>김광수</v>
      </c>
      <c r="H607" t="str">
        <f t="shared" si="71"/>
        <v>스토리위즈</v>
      </c>
      <c r="I607" t="str">
        <f t="shared" si="72"/>
        <v>회귀의 전설</v>
      </c>
      <c r="J607">
        <v>100</v>
      </c>
      <c r="K607">
        <v>300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300</v>
      </c>
      <c r="AH607">
        <v>3</v>
      </c>
      <c r="AI607">
        <v>0</v>
      </c>
      <c r="AJ607">
        <v>0</v>
      </c>
      <c r="AK607">
        <v>200</v>
      </c>
      <c r="AL607">
        <v>0</v>
      </c>
      <c r="AM607">
        <v>120</v>
      </c>
      <c r="AN607">
        <v>-12</v>
      </c>
      <c r="AO607">
        <v>0</v>
      </c>
      <c r="AQ607">
        <v>0</v>
      </c>
      <c r="AR607">
        <v>0</v>
      </c>
      <c r="AS607">
        <v>120</v>
      </c>
      <c r="AT607">
        <v>-12</v>
      </c>
      <c r="AU607">
        <v>0</v>
      </c>
      <c r="AW607">
        <v>0</v>
      </c>
      <c r="AX607">
        <v>0</v>
      </c>
      <c r="AY607">
        <v>215.6</v>
      </c>
      <c r="BC607" t="str">
        <f>T("9791191102086")</f>
        <v>9791191102086</v>
      </c>
      <c r="BE607" t="str">
        <f t="shared" si="73"/>
        <v>판타지 웹소설 &gt; 현대 판타지</v>
      </c>
    </row>
    <row r="608" spans="1:57" x14ac:dyDescent="0.3">
      <c r="A608">
        <v>1525004030</v>
      </c>
      <c r="B608">
        <v>1525004128</v>
      </c>
      <c r="C608" t="str">
        <f>T("회귀의 전설 99화")</f>
        <v>회귀의 전설 99화</v>
      </c>
      <c r="D608" t="str">
        <f>T("99")</f>
        <v>99</v>
      </c>
      <c r="E608" t="str">
        <f t="shared" si="70"/>
        <v>김광수</v>
      </c>
      <c r="H608" t="str">
        <f t="shared" si="71"/>
        <v>스토리위즈</v>
      </c>
      <c r="I608" t="str">
        <f t="shared" si="72"/>
        <v>회귀의 전설</v>
      </c>
      <c r="J608">
        <v>100</v>
      </c>
      <c r="K608">
        <v>300</v>
      </c>
      <c r="L608">
        <v>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300</v>
      </c>
      <c r="AH608">
        <v>3</v>
      </c>
      <c r="AI608">
        <v>0</v>
      </c>
      <c r="AJ608">
        <v>0</v>
      </c>
      <c r="AK608">
        <v>200</v>
      </c>
      <c r="AL608">
        <v>0</v>
      </c>
      <c r="AM608">
        <v>120</v>
      </c>
      <c r="AN608">
        <v>-12</v>
      </c>
      <c r="AO608">
        <v>0</v>
      </c>
      <c r="AQ608">
        <v>0</v>
      </c>
      <c r="AR608">
        <v>0</v>
      </c>
      <c r="AS608">
        <v>120</v>
      </c>
      <c r="AT608">
        <v>-12</v>
      </c>
      <c r="AU608">
        <v>0</v>
      </c>
      <c r="AW608">
        <v>0</v>
      </c>
      <c r="AX608">
        <v>0</v>
      </c>
      <c r="AY608">
        <v>215.6</v>
      </c>
      <c r="BC608" t="str">
        <f>T("9788997946006")</f>
        <v>9788997946006</v>
      </c>
      <c r="BE608" t="str">
        <f t="shared" si="73"/>
        <v>판타지 웹소설 &gt; 현대 판타지</v>
      </c>
    </row>
    <row r="609" spans="1:57" x14ac:dyDescent="0.3">
      <c r="A609">
        <v>1525004030</v>
      </c>
      <c r="B609">
        <v>1525004160</v>
      </c>
      <c r="C609" t="str">
        <f>T("회귀의 전설 131화")</f>
        <v>회귀의 전설 131화</v>
      </c>
      <c r="D609" t="str">
        <f>T("131")</f>
        <v>131</v>
      </c>
      <c r="E609" t="str">
        <f t="shared" si="70"/>
        <v>김광수</v>
      </c>
      <c r="H609" t="str">
        <f t="shared" si="71"/>
        <v>스토리위즈</v>
      </c>
      <c r="I609" t="str">
        <f t="shared" si="72"/>
        <v>회귀의 전설</v>
      </c>
      <c r="J609">
        <v>100</v>
      </c>
      <c r="K609">
        <v>300</v>
      </c>
      <c r="L609">
        <v>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300</v>
      </c>
      <c r="AH609">
        <v>3</v>
      </c>
      <c r="AI609">
        <v>0</v>
      </c>
      <c r="AJ609">
        <v>0</v>
      </c>
      <c r="AK609">
        <v>200</v>
      </c>
      <c r="AL609">
        <v>0</v>
      </c>
      <c r="AM609">
        <v>120</v>
      </c>
      <c r="AN609">
        <v>-12</v>
      </c>
      <c r="AO609">
        <v>0</v>
      </c>
      <c r="AQ609">
        <v>0</v>
      </c>
      <c r="AR609">
        <v>0</v>
      </c>
      <c r="AS609">
        <v>120</v>
      </c>
      <c r="AT609">
        <v>-12</v>
      </c>
      <c r="AU609">
        <v>0</v>
      </c>
      <c r="AW609">
        <v>0</v>
      </c>
      <c r="AX609">
        <v>0</v>
      </c>
      <c r="AY609">
        <v>215.6</v>
      </c>
      <c r="BC609" t="str">
        <f>T("9788997946006")</f>
        <v>9788997946006</v>
      </c>
      <c r="BE609" t="str">
        <f t="shared" si="73"/>
        <v>판타지 웹소설 &gt; 현대 판타지</v>
      </c>
    </row>
    <row r="610" spans="1:57" x14ac:dyDescent="0.3">
      <c r="A610">
        <v>1525004030</v>
      </c>
      <c r="B610">
        <v>1525004079</v>
      </c>
      <c r="C610" t="str">
        <f>T("회귀의 전설 50화")</f>
        <v>회귀의 전설 50화</v>
      </c>
      <c r="D610" t="str">
        <f>T("50")</f>
        <v>50</v>
      </c>
      <c r="E610" t="str">
        <f t="shared" si="70"/>
        <v>김광수</v>
      </c>
      <c r="H610" t="str">
        <f t="shared" si="71"/>
        <v>스토리위즈</v>
      </c>
      <c r="I610" t="str">
        <f t="shared" si="72"/>
        <v>회귀의 전설</v>
      </c>
      <c r="J610">
        <v>100</v>
      </c>
      <c r="K610">
        <v>300</v>
      </c>
      <c r="L610">
        <v>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300</v>
      </c>
      <c r="AH610">
        <v>3</v>
      </c>
      <c r="AI610">
        <v>0</v>
      </c>
      <c r="AJ610">
        <v>0</v>
      </c>
      <c r="AK610">
        <v>200</v>
      </c>
      <c r="AL610">
        <v>0</v>
      </c>
      <c r="AM610">
        <v>120</v>
      </c>
      <c r="AN610">
        <v>-36</v>
      </c>
      <c r="AO610">
        <v>0</v>
      </c>
      <c r="AQ610">
        <v>0</v>
      </c>
      <c r="AR610">
        <v>0</v>
      </c>
      <c r="AS610">
        <v>120</v>
      </c>
      <c r="AT610">
        <v>-36</v>
      </c>
      <c r="AU610">
        <v>0</v>
      </c>
      <c r="AW610">
        <v>0</v>
      </c>
      <c r="AX610">
        <v>0</v>
      </c>
      <c r="AY610">
        <v>198.8</v>
      </c>
      <c r="BC610" t="str">
        <f>T("9788997946006")</f>
        <v>9788997946006</v>
      </c>
      <c r="BE610" t="str">
        <f t="shared" si="73"/>
        <v>판타지 웹소설 &gt; 현대 판타지</v>
      </c>
    </row>
    <row r="611" spans="1:57" x14ac:dyDescent="0.3">
      <c r="A611">
        <v>1525004030</v>
      </c>
      <c r="B611">
        <v>1525006773</v>
      </c>
      <c r="C611" t="str">
        <f>T("회귀의 전설 2부 656화")</f>
        <v>회귀의 전설 2부 656화</v>
      </c>
      <c r="D611" t="str">
        <f>T("656")</f>
        <v>656</v>
      </c>
      <c r="E611" t="str">
        <f t="shared" si="70"/>
        <v>김광수</v>
      </c>
      <c r="H611" t="str">
        <f t="shared" si="71"/>
        <v>스토리위즈</v>
      </c>
      <c r="I611" t="str">
        <f t="shared" si="72"/>
        <v>회귀의 전설</v>
      </c>
      <c r="J611">
        <v>100</v>
      </c>
      <c r="K611">
        <v>300</v>
      </c>
      <c r="L611">
        <v>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300</v>
      </c>
      <c r="AH611">
        <v>3</v>
      </c>
      <c r="AI611">
        <v>0</v>
      </c>
      <c r="AJ611">
        <v>0</v>
      </c>
      <c r="AK611">
        <v>200</v>
      </c>
      <c r="AL611">
        <v>0</v>
      </c>
      <c r="AM611">
        <v>120</v>
      </c>
      <c r="AN611">
        <v>-12</v>
      </c>
      <c r="AO611">
        <v>0</v>
      </c>
      <c r="AQ611">
        <v>0</v>
      </c>
      <c r="AR611">
        <v>0</v>
      </c>
      <c r="AS611">
        <v>120</v>
      </c>
      <c r="AT611">
        <v>-12</v>
      </c>
      <c r="AU611">
        <v>0</v>
      </c>
      <c r="AW611">
        <v>0</v>
      </c>
      <c r="AX611">
        <v>0</v>
      </c>
      <c r="AY611">
        <v>215.6</v>
      </c>
      <c r="BC611" t="str">
        <f>T("9791191102086")</f>
        <v>9791191102086</v>
      </c>
      <c r="BE611" t="str">
        <f t="shared" si="73"/>
        <v>판타지 웹소설 &gt; 현대 판타지</v>
      </c>
    </row>
    <row r="612" spans="1:57" x14ac:dyDescent="0.3">
      <c r="A612">
        <v>1525004030</v>
      </c>
      <c r="B612">
        <v>1525006732</v>
      </c>
      <c r="C612" t="str">
        <f>T("회귀의 전설 2부 615화")</f>
        <v>회귀의 전설 2부 615화</v>
      </c>
      <c r="D612" t="str">
        <f>T("615")</f>
        <v>615</v>
      </c>
      <c r="E612" t="str">
        <f t="shared" si="70"/>
        <v>김광수</v>
      </c>
      <c r="H612" t="str">
        <f t="shared" si="71"/>
        <v>스토리위즈</v>
      </c>
      <c r="I612" t="str">
        <f t="shared" si="72"/>
        <v>회귀의 전설</v>
      </c>
      <c r="J612">
        <v>100</v>
      </c>
      <c r="K612">
        <v>300</v>
      </c>
      <c r="L612">
        <v>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300</v>
      </c>
      <c r="AH612">
        <v>3</v>
      </c>
      <c r="AI612">
        <v>0</v>
      </c>
      <c r="AJ612">
        <v>0</v>
      </c>
      <c r="AK612">
        <v>200</v>
      </c>
      <c r="AL612">
        <v>0</v>
      </c>
      <c r="AM612">
        <v>120</v>
      </c>
      <c r="AN612">
        <v>-12</v>
      </c>
      <c r="AO612">
        <v>0</v>
      </c>
      <c r="AQ612">
        <v>0</v>
      </c>
      <c r="AR612">
        <v>0</v>
      </c>
      <c r="AS612">
        <v>120</v>
      </c>
      <c r="AT612">
        <v>-12</v>
      </c>
      <c r="AU612">
        <v>0</v>
      </c>
      <c r="AW612">
        <v>0</v>
      </c>
      <c r="AX612">
        <v>0</v>
      </c>
      <c r="AY612">
        <v>215.6</v>
      </c>
      <c r="BC612" t="str">
        <f>T("9791191102086")</f>
        <v>9791191102086</v>
      </c>
      <c r="BE612" t="str">
        <f t="shared" si="73"/>
        <v>판타지 웹소설 &gt; 현대 판타지</v>
      </c>
    </row>
    <row r="613" spans="1:57" x14ac:dyDescent="0.3">
      <c r="A613">
        <v>1525004030</v>
      </c>
      <c r="B613">
        <v>1525004193</v>
      </c>
      <c r="C613" t="str">
        <f>T("회귀의 전설 164화")</f>
        <v>회귀의 전설 164화</v>
      </c>
      <c r="D613" t="str">
        <f>T("164")</f>
        <v>164</v>
      </c>
      <c r="E613" t="str">
        <f t="shared" si="70"/>
        <v>김광수</v>
      </c>
      <c r="H613" t="str">
        <f t="shared" si="71"/>
        <v>스토리위즈</v>
      </c>
      <c r="I613" t="str">
        <f t="shared" si="72"/>
        <v>회귀의 전설</v>
      </c>
      <c r="J613">
        <v>100</v>
      </c>
      <c r="K613">
        <v>300</v>
      </c>
      <c r="L613">
        <v>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300</v>
      </c>
      <c r="AH613">
        <v>3</v>
      </c>
      <c r="AI613">
        <v>0</v>
      </c>
      <c r="AJ613">
        <v>0</v>
      </c>
      <c r="AK613">
        <v>200</v>
      </c>
      <c r="AL613">
        <v>0</v>
      </c>
      <c r="AM613">
        <v>120</v>
      </c>
      <c r="AN613">
        <v>-12</v>
      </c>
      <c r="AO613">
        <v>0</v>
      </c>
      <c r="AQ613">
        <v>0</v>
      </c>
      <c r="AR613">
        <v>0</v>
      </c>
      <c r="AS613">
        <v>120</v>
      </c>
      <c r="AT613">
        <v>-12</v>
      </c>
      <c r="AU613">
        <v>0</v>
      </c>
      <c r="AW613">
        <v>0</v>
      </c>
      <c r="AX613">
        <v>0</v>
      </c>
      <c r="AY613">
        <v>215.6</v>
      </c>
      <c r="BC613" t="str">
        <f>T("9788997946006")</f>
        <v>9788997946006</v>
      </c>
      <c r="BE613" t="str">
        <f t="shared" si="73"/>
        <v>판타지 웹소설 &gt; 현대 판타지</v>
      </c>
    </row>
    <row r="614" spans="1:57" x14ac:dyDescent="0.3">
      <c r="A614">
        <v>1525004030</v>
      </c>
      <c r="B614">
        <v>1525006764</v>
      </c>
      <c r="C614" t="str">
        <f>T("회귀의 전설 2부 647화")</f>
        <v>회귀의 전설 2부 647화</v>
      </c>
      <c r="D614" t="str">
        <f>T("647")</f>
        <v>647</v>
      </c>
      <c r="E614" t="str">
        <f t="shared" si="70"/>
        <v>김광수</v>
      </c>
      <c r="H614" t="str">
        <f t="shared" si="71"/>
        <v>스토리위즈</v>
      </c>
      <c r="I614" t="str">
        <f t="shared" si="72"/>
        <v>회귀의 전설</v>
      </c>
      <c r="J614">
        <v>100</v>
      </c>
      <c r="K614">
        <v>300</v>
      </c>
      <c r="L614">
        <v>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300</v>
      </c>
      <c r="AH614">
        <v>3</v>
      </c>
      <c r="AI614">
        <v>0</v>
      </c>
      <c r="AJ614">
        <v>0</v>
      </c>
      <c r="AK614">
        <v>200</v>
      </c>
      <c r="AL614">
        <v>0</v>
      </c>
      <c r="AM614">
        <v>120</v>
      </c>
      <c r="AN614">
        <v>-12</v>
      </c>
      <c r="AO614">
        <v>0</v>
      </c>
      <c r="AQ614">
        <v>0</v>
      </c>
      <c r="AR614">
        <v>0</v>
      </c>
      <c r="AS614">
        <v>120</v>
      </c>
      <c r="AT614">
        <v>-12</v>
      </c>
      <c r="AU614">
        <v>0</v>
      </c>
      <c r="AW614">
        <v>0</v>
      </c>
      <c r="AX614">
        <v>0</v>
      </c>
      <c r="AY614">
        <v>215.6</v>
      </c>
      <c r="BC614" t="str">
        <f>T("9791191102086")</f>
        <v>9791191102086</v>
      </c>
      <c r="BE614" t="str">
        <f t="shared" si="73"/>
        <v>판타지 웹소설 &gt; 현대 판타지</v>
      </c>
    </row>
    <row r="615" spans="1:57" x14ac:dyDescent="0.3">
      <c r="A615">
        <v>1525004030</v>
      </c>
      <c r="B615">
        <v>1525004182</v>
      </c>
      <c r="C615" t="str">
        <f>T("회귀의 전설 153화")</f>
        <v>회귀의 전설 153화</v>
      </c>
      <c r="D615" t="str">
        <f>T("153")</f>
        <v>153</v>
      </c>
      <c r="E615" t="str">
        <f t="shared" si="70"/>
        <v>김광수</v>
      </c>
      <c r="H615" t="str">
        <f t="shared" si="71"/>
        <v>스토리위즈</v>
      </c>
      <c r="I615" t="str">
        <f t="shared" si="72"/>
        <v>회귀의 전설</v>
      </c>
      <c r="J615">
        <v>100</v>
      </c>
      <c r="K615">
        <v>300</v>
      </c>
      <c r="L615">
        <v>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300</v>
      </c>
      <c r="AH615">
        <v>3</v>
      </c>
      <c r="AI615">
        <v>0</v>
      </c>
      <c r="AJ615">
        <v>0</v>
      </c>
      <c r="AK615">
        <v>200</v>
      </c>
      <c r="AL615">
        <v>0</v>
      </c>
      <c r="AM615">
        <v>120</v>
      </c>
      <c r="AN615">
        <v>-12</v>
      </c>
      <c r="AO615">
        <v>0</v>
      </c>
      <c r="AQ615">
        <v>0</v>
      </c>
      <c r="AR615">
        <v>0</v>
      </c>
      <c r="AS615">
        <v>120</v>
      </c>
      <c r="AT615">
        <v>-12</v>
      </c>
      <c r="AU615">
        <v>0</v>
      </c>
      <c r="AW615">
        <v>0</v>
      </c>
      <c r="AX615">
        <v>0</v>
      </c>
      <c r="AY615">
        <v>215.6</v>
      </c>
      <c r="BC615" t="str">
        <f>T("9788997946006")</f>
        <v>9788997946006</v>
      </c>
      <c r="BE615" t="str">
        <f t="shared" si="73"/>
        <v>판타지 웹소설 &gt; 현대 판타지</v>
      </c>
    </row>
    <row r="616" spans="1:57" x14ac:dyDescent="0.3">
      <c r="A616">
        <v>1525004030</v>
      </c>
      <c r="B616">
        <v>1525004149</v>
      </c>
      <c r="C616" t="str">
        <f>T("회귀의 전설 120화")</f>
        <v>회귀의 전설 120화</v>
      </c>
      <c r="D616" t="str">
        <f>T("120")</f>
        <v>120</v>
      </c>
      <c r="E616" t="str">
        <f t="shared" si="70"/>
        <v>김광수</v>
      </c>
      <c r="H616" t="str">
        <f t="shared" si="71"/>
        <v>스토리위즈</v>
      </c>
      <c r="I616" t="str">
        <f t="shared" si="72"/>
        <v>회귀의 전설</v>
      </c>
      <c r="J616">
        <v>100</v>
      </c>
      <c r="K616">
        <v>300</v>
      </c>
      <c r="L616">
        <v>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300</v>
      </c>
      <c r="AH616">
        <v>3</v>
      </c>
      <c r="AI616">
        <v>0</v>
      </c>
      <c r="AJ616">
        <v>0</v>
      </c>
      <c r="AK616">
        <v>200</v>
      </c>
      <c r="AL616">
        <v>0</v>
      </c>
      <c r="AM616">
        <v>120</v>
      </c>
      <c r="AN616">
        <v>-12</v>
      </c>
      <c r="AO616">
        <v>0</v>
      </c>
      <c r="AQ616">
        <v>0</v>
      </c>
      <c r="AR616">
        <v>0</v>
      </c>
      <c r="AS616">
        <v>120</v>
      </c>
      <c r="AT616">
        <v>-12</v>
      </c>
      <c r="AU616">
        <v>0</v>
      </c>
      <c r="AW616">
        <v>0</v>
      </c>
      <c r="AX616">
        <v>0</v>
      </c>
      <c r="AY616">
        <v>215.6</v>
      </c>
      <c r="BC616" t="str">
        <f>T("9788997946006")</f>
        <v>9788997946006</v>
      </c>
      <c r="BE616" t="str">
        <f t="shared" si="73"/>
        <v>판타지 웹소설 &gt; 현대 판타지</v>
      </c>
    </row>
    <row r="617" spans="1:57" x14ac:dyDescent="0.3">
      <c r="A617">
        <v>1525004030</v>
      </c>
      <c r="B617">
        <v>1525004171</v>
      </c>
      <c r="C617" t="str">
        <f>T("회귀의 전설 142화")</f>
        <v>회귀의 전설 142화</v>
      </c>
      <c r="D617" t="str">
        <f>T("142")</f>
        <v>142</v>
      </c>
      <c r="E617" t="str">
        <f t="shared" si="70"/>
        <v>김광수</v>
      </c>
      <c r="H617" t="str">
        <f t="shared" si="71"/>
        <v>스토리위즈</v>
      </c>
      <c r="I617" t="str">
        <f t="shared" si="72"/>
        <v>회귀의 전설</v>
      </c>
      <c r="J617">
        <v>100</v>
      </c>
      <c r="K617">
        <v>300</v>
      </c>
      <c r="L617">
        <v>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300</v>
      </c>
      <c r="AH617">
        <v>3</v>
      </c>
      <c r="AI617">
        <v>0</v>
      </c>
      <c r="AJ617">
        <v>0</v>
      </c>
      <c r="AK617">
        <v>200</v>
      </c>
      <c r="AL617">
        <v>0</v>
      </c>
      <c r="AM617">
        <v>120</v>
      </c>
      <c r="AN617">
        <v>-12</v>
      </c>
      <c r="AO617">
        <v>0</v>
      </c>
      <c r="AQ617">
        <v>0</v>
      </c>
      <c r="AR617">
        <v>0</v>
      </c>
      <c r="AS617">
        <v>120</v>
      </c>
      <c r="AT617">
        <v>-12</v>
      </c>
      <c r="AU617">
        <v>0</v>
      </c>
      <c r="AW617">
        <v>0</v>
      </c>
      <c r="AX617">
        <v>0</v>
      </c>
      <c r="AY617">
        <v>215.6</v>
      </c>
      <c r="BC617" t="str">
        <f>T("9788997946006")</f>
        <v>9788997946006</v>
      </c>
      <c r="BE617" t="str">
        <f t="shared" si="73"/>
        <v>판타지 웹소설 &gt; 현대 판타지</v>
      </c>
    </row>
    <row r="618" spans="1:57" x14ac:dyDescent="0.3">
      <c r="A618">
        <v>1525004030</v>
      </c>
      <c r="B618">
        <v>1525006742</v>
      </c>
      <c r="C618" t="str">
        <f>T("회귀의 전설 2부 625화")</f>
        <v>회귀의 전설 2부 625화</v>
      </c>
      <c r="D618" t="str">
        <f>T("625")</f>
        <v>625</v>
      </c>
      <c r="E618" t="str">
        <f t="shared" si="70"/>
        <v>김광수</v>
      </c>
      <c r="H618" t="str">
        <f t="shared" si="71"/>
        <v>스토리위즈</v>
      </c>
      <c r="I618" t="str">
        <f t="shared" si="72"/>
        <v>회귀의 전설</v>
      </c>
      <c r="J618">
        <v>100</v>
      </c>
      <c r="K618">
        <v>300</v>
      </c>
      <c r="L618">
        <v>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300</v>
      </c>
      <c r="AH618">
        <v>3</v>
      </c>
      <c r="AI618">
        <v>0</v>
      </c>
      <c r="AJ618">
        <v>0</v>
      </c>
      <c r="AK618">
        <v>200</v>
      </c>
      <c r="AL618">
        <v>0</v>
      </c>
      <c r="AM618">
        <v>120</v>
      </c>
      <c r="AN618">
        <v>-12</v>
      </c>
      <c r="AO618">
        <v>0</v>
      </c>
      <c r="AQ618">
        <v>0</v>
      </c>
      <c r="AR618">
        <v>0</v>
      </c>
      <c r="AS618">
        <v>120</v>
      </c>
      <c r="AT618">
        <v>-12</v>
      </c>
      <c r="AU618">
        <v>0</v>
      </c>
      <c r="AW618">
        <v>0</v>
      </c>
      <c r="AX618">
        <v>0</v>
      </c>
      <c r="AY618">
        <v>215.6</v>
      </c>
      <c r="BC618" t="str">
        <f>T("9791191102086")</f>
        <v>9791191102086</v>
      </c>
      <c r="BE618" t="str">
        <f t="shared" si="73"/>
        <v>판타지 웹소설 &gt; 현대 판타지</v>
      </c>
    </row>
    <row r="619" spans="1:57" x14ac:dyDescent="0.3">
      <c r="A619">
        <v>1525004030</v>
      </c>
      <c r="B619">
        <v>1525004138</v>
      </c>
      <c r="C619" t="str">
        <f>T("회귀의 전설 109화")</f>
        <v>회귀의 전설 109화</v>
      </c>
      <c r="D619" t="str">
        <f>T("109")</f>
        <v>109</v>
      </c>
      <c r="E619" t="str">
        <f t="shared" si="70"/>
        <v>김광수</v>
      </c>
      <c r="H619" t="str">
        <f t="shared" si="71"/>
        <v>스토리위즈</v>
      </c>
      <c r="I619" t="str">
        <f t="shared" si="72"/>
        <v>회귀의 전설</v>
      </c>
      <c r="J619">
        <v>100</v>
      </c>
      <c r="K619">
        <v>300</v>
      </c>
      <c r="L619">
        <v>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300</v>
      </c>
      <c r="AH619">
        <v>3</v>
      </c>
      <c r="AI619">
        <v>0</v>
      </c>
      <c r="AJ619">
        <v>0</v>
      </c>
      <c r="AK619">
        <v>200</v>
      </c>
      <c r="AL619">
        <v>0</v>
      </c>
      <c r="AM619">
        <v>120</v>
      </c>
      <c r="AN619">
        <v>-12</v>
      </c>
      <c r="AO619">
        <v>0</v>
      </c>
      <c r="AQ619">
        <v>0</v>
      </c>
      <c r="AR619">
        <v>0</v>
      </c>
      <c r="AS619">
        <v>120</v>
      </c>
      <c r="AT619">
        <v>-12</v>
      </c>
      <c r="AU619">
        <v>0</v>
      </c>
      <c r="AW619">
        <v>0</v>
      </c>
      <c r="AX619">
        <v>0</v>
      </c>
      <c r="AY619">
        <v>215.6</v>
      </c>
      <c r="BC619" t="str">
        <f>T("9788997946006")</f>
        <v>9788997946006</v>
      </c>
      <c r="BE619" t="str">
        <f t="shared" si="73"/>
        <v>판타지 웹소설 &gt; 현대 판타지</v>
      </c>
    </row>
    <row r="620" spans="1:57" x14ac:dyDescent="0.3">
      <c r="A620">
        <v>1525004030</v>
      </c>
      <c r="B620">
        <v>1525004127</v>
      </c>
      <c r="C620" t="str">
        <f>T("회귀의 전설 98화")</f>
        <v>회귀의 전설 98화</v>
      </c>
      <c r="D620" t="str">
        <f>T("98")</f>
        <v>98</v>
      </c>
      <c r="E620" t="str">
        <f t="shared" si="70"/>
        <v>김광수</v>
      </c>
      <c r="H620" t="str">
        <f t="shared" si="71"/>
        <v>스토리위즈</v>
      </c>
      <c r="I620" t="str">
        <f t="shared" si="72"/>
        <v>회귀의 전설</v>
      </c>
      <c r="J620">
        <v>100</v>
      </c>
      <c r="K620">
        <v>300</v>
      </c>
      <c r="L620">
        <v>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300</v>
      </c>
      <c r="AH620">
        <v>3</v>
      </c>
      <c r="AI620">
        <v>0</v>
      </c>
      <c r="AJ620">
        <v>0</v>
      </c>
      <c r="AK620">
        <v>200</v>
      </c>
      <c r="AL620">
        <v>0</v>
      </c>
      <c r="AM620">
        <v>120</v>
      </c>
      <c r="AN620">
        <v>-12</v>
      </c>
      <c r="AO620">
        <v>0</v>
      </c>
      <c r="AQ620">
        <v>0</v>
      </c>
      <c r="AR620">
        <v>0</v>
      </c>
      <c r="AS620">
        <v>120</v>
      </c>
      <c r="AT620">
        <v>-12</v>
      </c>
      <c r="AU620">
        <v>0</v>
      </c>
      <c r="AW620">
        <v>0</v>
      </c>
      <c r="AX620">
        <v>0</v>
      </c>
      <c r="AY620">
        <v>215.6</v>
      </c>
      <c r="BC620" t="str">
        <f>T("9788997946006")</f>
        <v>9788997946006</v>
      </c>
      <c r="BE620" t="str">
        <f t="shared" si="73"/>
        <v>판타지 웹소설 &gt; 현대 판타지</v>
      </c>
    </row>
    <row r="621" spans="1:57" x14ac:dyDescent="0.3">
      <c r="A621">
        <v>1525004030</v>
      </c>
      <c r="B621">
        <v>1525004159</v>
      </c>
      <c r="C621" t="str">
        <f>T("회귀의 전설 130화")</f>
        <v>회귀의 전설 130화</v>
      </c>
      <c r="D621" t="str">
        <f>T("130")</f>
        <v>130</v>
      </c>
      <c r="E621" t="str">
        <f t="shared" si="70"/>
        <v>김광수</v>
      </c>
      <c r="H621" t="str">
        <f t="shared" si="71"/>
        <v>스토리위즈</v>
      </c>
      <c r="I621" t="str">
        <f t="shared" si="72"/>
        <v>회귀의 전설</v>
      </c>
      <c r="J621">
        <v>100</v>
      </c>
      <c r="K621">
        <v>300</v>
      </c>
      <c r="L621">
        <v>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300</v>
      </c>
      <c r="AH621">
        <v>3</v>
      </c>
      <c r="AI621">
        <v>0</v>
      </c>
      <c r="AJ621">
        <v>0</v>
      </c>
      <c r="AK621">
        <v>200</v>
      </c>
      <c r="AL621">
        <v>0</v>
      </c>
      <c r="AM621">
        <v>120</v>
      </c>
      <c r="AN621">
        <v>-12</v>
      </c>
      <c r="AO621">
        <v>0</v>
      </c>
      <c r="AQ621">
        <v>0</v>
      </c>
      <c r="AR621">
        <v>0</v>
      </c>
      <c r="AS621">
        <v>120</v>
      </c>
      <c r="AT621">
        <v>-12</v>
      </c>
      <c r="AU621">
        <v>0</v>
      </c>
      <c r="AW621">
        <v>0</v>
      </c>
      <c r="AX621">
        <v>0</v>
      </c>
      <c r="AY621">
        <v>215.6</v>
      </c>
      <c r="BC621" t="str">
        <f>T("9788997946006")</f>
        <v>9788997946006</v>
      </c>
      <c r="BE621" t="str">
        <f t="shared" si="73"/>
        <v>판타지 웹소설 &gt; 현대 판타지</v>
      </c>
    </row>
    <row r="622" spans="1:57" x14ac:dyDescent="0.3">
      <c r="A622">
        <v>1525004030</v>
      </c>
      <c r="B622">
        <v>1525004078</v>
      </c>
      <c r="C622" t="str">
        <f>T("회귀의 전설 49화")</f>
        <v>회귀의 전설 49화</v>
      </c>
      <c r="D622" t="str">
        <f>T("49")</f>
        <v>49</v>
      </c>
      <c r="E622" t="str">
        <f t="shared" si="70"/>
        <v>김광수</v>
      </c>
      <c r="H622" t="str">
        <f t="shared" si="71"/>
        <v>스토리위즈</v>
      </c>
      <c r="I622" t="str">
        <f t="shared" si="72"/>
        <v>회귀의 전설</v>
      </c>
      <c r="J622">
        <v>100</v>
      </c>
      <c r="K622">
        <v>300</v>
      </c>
      <c r="L622">
        <v>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300</v>
      </c>
      <c r="AH622">
        <v>3</v>
      </c>
      <c r="AI622">
        <v>0</v>
      </c>
      <c r="AJ622">
        <v>0</v>
      </c>
      <c r="AK622">
        <v>100</v>
      </c>
      <c r="AL622">
        <v>0</v>
      </c>
      <c r="AM622">
        <v>240</v>
      </c>
      <c r="AN622">
        <v>-48</v>
      </c>
      <c r="AO622">
        <v>0</v>
      </c>
      <c r="AQ622">
        <v>0</v>
      </c>
      <c r="AR622">
        <v>0</v>
      </c>
      <c r="AS622">
        <v>240</v>
      </c>
      <c r="AT622">
        <v>-48</v>
      </c>
      <c r="AU622">
        <v>0</v>
      </c>
      <c r="AW622">
        <v>0</v>
      </c>
      <c r="AX622">
        <v>0</v>
      </c>
      <c r="AY622">
        <v>204.4</v>
      </c>
      <c r="BC622" t="str">
        <f>T("9788997946006")</f>
        <v>9788997946006</v>
      </c>
      <c r="BE622" t="str">
        <f t="shared" si="73"/>
        <v>판타지 웹소설 &gt; 현대 판타지</v>
      </c>
    </row>
    <row r="623" spans="1:57" x14ac:dyDescent="0.3">
      <c r="A623">
        <v>1525004030</v>
      </c>
      <c r="B623">
        <v>1525006772</v>
      </c>
      <c r="C623" t="str">
        <f>T("회귀의 전설 2부 655화")</f>
        <v>회귀의 전설 2부 655화</v>
      </c>
      <c r="D623" t="str">
        <f>T("655")</f>
        <v>655</v>
      </c>
      <c r="E623" t="str">
        <f t="shared" si="70"/>
        <v>김광수</v>
      </c>
      <c r="H623" t="str">
        <f t="shared" si="71"/>
        <v>스토리위즈</v>
      </c>
      <c r="I623" t="str">
        <f t="shared" si="72"/>
        <v>회귀의 전설</v>
      </c>
      <c r="J623">
        <v>100</v>
      </c>
      <c r="K623">
        <v>300</v>
      </c>
      <c r="L623">
        <v>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300</v>
      </c>
      <c r="AH623">
        <v>3</v>
      </c>
      <c r="AI623">
        <v>0</v>
      </c>
      <c r="AJ623">
        <v>0</v>
      </c>
      <c r="AK623">
        <v>200</v>
      </c>
      <c r="AL623">
        <v>0</v>
      </c>
      <c r="AM623">
        <v>120</v>
      </c>
      <c r="AN623">
        <v>-12</v>
      </c>
      <c r="AO623">
        <v>0</v>
      </c>
      <c r="AQ623">
        <v>0</v>
      </c>
      <c r="AR623">
        <v>0</v>
      </c>
      <c r="AS623">
        <v>120</v>
      </c>
      <c r="AT623">
        <v>-12</v>
      </c>
      <c r="AU623">
        <v>0</v>
      </c>
      <c r="AW623">
        <v>0</v>
      </c>
      <c r="AX623">
        <v>0</v>
      </c>
      <c r="AY623">
        <v>215.6</v>
      </c>
      <c r="BC623" t="str">
        <f>T("9791191102086")</f>
        <v>9791191102086</v>
      </c>
      <c r="BE623" t="str">
        <f t="shared" si="73"/>
        <v>판타지 웹소설 &gt; 현대 판타지</v>
      </c>
    </row>
    <row r="624" spans="1:57" x14ac:dyDescent="0.3">
      <c r="A624">
        <v>1525004030</v>
      </c>
      <c r="B624">
        <v>1525006731</v>
      </c>
      <c r="C624" t="str">
        <f>T("회귀의 전설 2부 614화")</f>
        <v>회귀의 전설 2부 614화</v>
      </c>
      <c r="D624" t="str">
        <f>T("614")</f>
        <v>614</v>
      </c>
      <c r="E624" t="str">
        <f t="shared" si="70"/>
        <v>김광수</v>
      </c>
      <c r="H624" t="str">
        <f t="shared" si="71"/>
        <v>스토리위즈</v>
      </c>
      <c r="I624" t="str">
        <f t="shared" si="72"/>
        <v>회귀의 전설</v>
      </c>
      <c r="J624">
        <v>100</v>
      </c>
      <c r="K624">
        <v>300</v>
      </c>
      <c r="L624">
        <v>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300</v>
      </c>
      <c r="AH624">
        <v>3</v>
      </c>
      <c r="AI624">
        <v>0</v>
      </c>
      <c r="AJ624">
        <v>0</v>
      </c>
      <c r="AK624">
        <v>200</v>
      </c>
      <c r="AL624">
        <v>0</v>
      </c>
      <c r="AM624">
        <v>120</v>
      </c>
      <c r="AN624">
        <v>-12</v>
      </c>
      <c r="AO624">
        <v>0</v>
      </c>
      <c r="AQ624">
        <v>0</v>
      </c>
      <c r="AR624">
        <v>0</v>
      </c>
      <c r="AS624">
        <v>120</v>
      </c>
      <c r="AT624">
        <v>-12</v>
      </c>
      <c r="AU624">
        <v>0</v>
      </c>
      <c r="AW624">
        <v>0</v>
      </c>
      <c r="AX624">
        <v>0</v>
      </c>
      <c r="AY624">
        <v>215.6</v>
      </c>
      <c r="BC624" t="str">
        <f>T("9791191102086")</f>
        <v>9791191102086</v>
      </c>
      <c r="BE624" t="str">
        <f t="shared" si="73"/>
        <v>판타지 웹소설 &gt; 현대 판타지</v>
      </c>
    </row>
    <row r="625" spans="1:57" x14ac:dyDescent="0.3">
      <c r="A625">
        <v>1525004030</v>
      </c>
      <c r="B625">
        <v>1525004192</v>
      </c>
      <c r="C625" t="str">
        <f>T("회귀의 전설 163화")</f>
        <v>회귀의 전설 163화</v>
      </c>
      <c r="D625" t="str">
        <f>T("163")</f>
        <v>163</v>
      </c>
      <c r="E625" t="str">
        <f t="shared" si="70"/>
        <v>김광수</v>
      </c>
      <c r="H625" t="str">
        <f t="shared" si="71"/>
        <v>스토리위즈</v>
      </c>
      <c r="I625" t="str">
        <f t="shared" si="72"/>
        <v>회귀의 전설</v>
      </c>
      <c r="J625">
        <v>100</v>
      </c>
      <c r="K625">
        <v>300</v>
      </c>
      <c r="L625">
        <v>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300</v>
      </c>
      <c r="AH625">
        <v>3</v>
      </c>
      <c r="AI625">
        <v>0</v>
      </c>
      <c r="AJ625">
        <v>0</v>
      </c>
      <c r="AK625">
        <v>200</v>
      </c>
      <c r="AL625">
        <v>0</v>
      </c>
      <c r="AM625">
        <v>120</v>
      </c>
      <c r="AN625">
        <v>-12</v>
      </c>
      <c r="AO625">
        <v>0</v>
      </c>
      <c r="AQ625">
        <v>0</v>
      </c>
      <c r="AR625">
        <v>0</v>
      </c>
      <c r="AS625">
        <v>120</v>
      </c>
      <c r="AT625">
        <v>-12</v>
      </c>
      <c r="AU625">
        <v>0</v>
      </c>
      <c r="AW625">
        <v>0</v>
      </c>
      <c r="AX625">
        <v>0</v>
      </c>
      <c r="AY625">
        <v>215.6</v>
      </c>
      <c r="BC625" t="str">
        <f>T("9788997946006")</f>
        <v>9788997946006</v>
      </c>
      <c r="BE625" t="str">
        <f t="shared" si="73"/>
        <v>판타지 웹소설 &gt; 현대 판타지</v>
      </c>
    </row>
    <row r="626" spans="1:57" x14ac:dyDescent="0.3">
      <c r="A626">
        <v>1525008140</v>
      </c>
      <c r="B626">
        <v>1525008142</v>
      </c>
      <c r="C626" t="str">
        <f>T("[e북]오블리비언(Oblivion) (외전)")</f>
        <v>[e북]오블리비언(Oblivion) (외전)</v>
      </c>
      <c r="D626" t="str">
        <f>T("3")</f>
        <v>3</v>
      </c>
      <c r="E626" t="str">
        <f>T("녹치")</f>
        <v>녹치</v>
      </c>
      <c r="H626" t="str">
        <f>T("블러쉬")</f>
        <v>블러쉬</v>
      </c>
      <c r="I626" t="str">
        <f>T("[e북]오블리비언(Oblivion)")</f>
        <v>[e북]오블리비언(Oblivion)</v>
      </c>
      <c r="J626">
        <v>300</v>
      </c>
      <c r="K626">
        <v>300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300</v>
      </c>
      <c r="AH626">
        <v>1</v>
      </c>
      <c r="AI626">
        <v>0</v>
      </c>
      <c r="AJ626">
        <v>0</v>
      </c>
      <c r="AK626">
        <v>300</v>
      </c>
      <c r="AL626">
        <v>0</v>
      </c>
      <c r="AM626">
        <v>0</v>
      </c>
      <c r="AN626">
        <v>0</v>
      </c>
      <c r="AO626">
        <v>0</v>
      </c>
      <c r="AQ626">
        <v>0</v>
      </c>
      <c r="AR626">
        <v>0</v>
      </c>
      <c r="AT626">
        <v>0</v>
      </c>
      <c r="AU626">
        <v>0</v>
      </c>
      <c r="AW626">
        <v>0</v>
      </c>
      <c r="AX626">
        <v>0</v>
      </c>
      <c r="AY626">
        <v>210</v>
      </c>
      <c r="BA626" t="str">
        <f>T("0000000000000")</f>
        <v>0000000000000</v>
      </c>
      <c r="BC626" t="str">
        <f>T("9791164890125")</f>
        <v>9791164890125</v>
      </c>
      <c r="BE626" t="str">
        <f>T("BL 소설 e북 &gt; 현대물")</f>
        <v>BL 소설 e북 &gt; 현대물</v>
      </c>
    </row>
    <row r="627" spans="1:57" x14ac:dyDescent="0.3">
      <c r="A627">
        <v>1525004030</v>
      </c>
      <c r="B627">
        <v>1525006763</v>
      </c>
      <c r="C627" t="str">
        <f>T("회귀의 전설 2부 646화")</f>
        <v>회귀의 전설 2부 646화</v>
      </c>
      <c r="D627" t="str">
        <f>T("646")</f>
        <v>646</v>
      </c>
      <c r="E627" t="str">
        <f t="shared" ref="E627:E632" si="74">T("김광수")</f>
        <v>김광수</v>
      </c>
      <c r="H627" t="str">
        <f t="shared" ref="H627:H632" si="75">T("스토리위즈")</f>
        <v>스토리위즈</v>
      </c>
      <c r="I627" t="str">
        <f t="shared" ref="I627:I632" si="76">T("회귀의 전설")</f>
        <v>회귀의 전설</v>
      </c>
      <c r="J627">
        <v>100</v>
      </c>
      <c r="K627">
        <v>300</v>
      </c>
      <c r="L627">
        <v>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300</v>
      </c>
      <c r="AH627">
        <v>3</v>
      </c>
      <c r="AI627">
        <v>0</v>
      </c>
      <c r="AJ627">
        <v>0</v>
      </c>
      <c r="AK627">
        <v>200</v>
      </c>
      <c r="AL627">
        <v>0</v>
      </c>
      <c r="AM627">
        <v>120</v>
      </c>
      <c r="AN627">
        <v>-12</v>
      </c>
      <c r="AO627">
        <v>0</v>
      </c>
      <c r="AQ627">
        <v>0</v>
      </c>
      <c r="AR627">
        <v>0</v>
      </c>
      <c r="AS627">
        <v>120</v>
      </c>
      <c r="AT627">
        <v>-12</v>
      </c>
      <c r="AU627">
        <v>0</v>
      </c>
      <c r="AW627">
        <v>0</v>
      </c>
      <c r="AX627">
        <v>0</v>
      </c>
      <c r="AY627">
        <v>215.6</v>
      </c>
      <c r="BC627" t="str">
        <f>T("9791191102086")</f>
        <v>9791191102086</v>
      </c>
      <c r="BE627" t="str">
        <f t="shared" ref="BE627:BE632" si="77">T("판타지 웹소설 &gt; 현대 판타지")</f>
        <v>판타지 웹소설 &gt; 현대 판타지</v>
      </c>
    </row>
    <row r="628" spans="1:57" x14ac:dyDescent="0.3">
      <c r="A628">
        <v>1525004030</v>
      </c>
      <c r="B628">
        <v>1525004181</v>
      </c>
      <c r="C628" t="str">
        <f>T("회귀의 전설 152화")</f>
        <v>회귀의 전설 152화</v>
      </c>
      <c r="D628" t="str">
        <f>T("152")</f>
        <v>152</v>
      </c>
      <c r="E628" t="str">
        <f t="shared" si="74"/>
        <v>김광수</v>
      </c>
      <c r="H628" t="str">
        <f t="shared" si="75"/>
        <v>스토리위즈</v>
      </c>
      <c r="I628" t="str">
        <f t="shared" si="76"/>
        <v>회귀의 전설</v>
      </c>
      <c r="J628">
        <v>100</v>
      </c>
      <c r="K628">
        <v>300</v>
      </c>
      <c r="L628">
        <v>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300</v>
      </c>
      <c r="AH628">
        <v>3</v>
      </c>
      <c r="AI628">
        <v>0</v>
      </c>
      <c r="AJ628">
        <v>0</v>
      </c>
      <c r="AK628">
        <v>200</v>
      </c>
      <c r="AL628">
        <v>0</v>
      </c>
      <c r="AM628">
        <v>120</v>
      </c>
      <c r="AN628">
        <v>-12</v>
      </c>
      <c r="AO628">
        <v>0</v>
      </c>
      <c r="AQ628">
        <v>0</v>
      </c>
      <c r="AR628">
        <v>0</v>
      </c>
      <c r="AS628">
        <v>120</v>
      </c>
      <c r="AT628">
        <v>-12</v>
      </c>
      <c r="AU628">
        <v>0</v>
      </c>
      <c r="AW628">
        <v>0</v>
      </c>
      <c r="AX628">
        <v>0</v>
      </c>
      <c r="AY628">
        <v>215.6</v>
      </c>
      <c r="BC628" t="str">
        <f>T("9788997946006")</f>
        <v>9788997946006</v>
      </c>
      <c r="BE628" t="str">
        <f t="shared" si="77"/>
        <v>판타지 웹소설 &gt; 현대 판타지</v>
      </c>
    </row>
    <row r="629" spans="1:57" x14ac:dyDescent="0.3">
      <c r="A629">
        <v>1525004030</v>
      </c>
      <c r="B629">
        <v>1525004148</v>
      </c>
      <c r="C629" t="str">
        <f>T("회귀의 전설 119화")</f>
        <v>회귀의 전설 119화</v>
      </c>
      <c r="D629" t="str">
        <f>T("119")</f>
        <v>119</v>
      </c>
      <c r="E629" t="str">
        <f t="shared" si="74"/>
        <v>김광수</v>
      </c>
      <c r="H629" t="str">
        <f t="shared" si="75"/>
        <v>스토리위즈</v>
      </c>
      <c r="I629" t="str">
        <f t="shared" si="76"/>
        <v>회귀의 전설</v>
      </c>
      <c r="J629">
        <v>100</v>
      </c>
      <c r="K629">
        <v>300</v>
      </c>
      <c r="L629">
        <v>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300</v>
      </c>
      <c r="AH629">
        <v>3</v>
      </c>
      <c r="AI629">
        <v>0</v>
      </c>
      <c r="AJ629">
        <v>0</v>
      </c>
      <c r="AK629">
        <v>200</v>
      </c>
      <c r="AL629">
        <v>0</v>
      </c>
      <c r="AM629">
        <v>120</v>
      </c>
      <c r="AN629">
        <v>-12</v>
      </c>
      <c r="AO629">
        <v>0</v>
      </c>
      <c r="AQ629">
        <v>0</v>
      </c>
      <c r="AR629">
        <v>0</v>
      </c>
      <c r="AS629">
        <v>120</v>
      </c>
      <c r="AT629">
        <v>-12</v>
      </c>
      <c r="AU629">
        <v>0</v>
      </c>
      <c r="AW629">
        <v>0</v>
      </c>
      <c r="AX629">
        <v>0</v>
      </c>
      <c r="AY629">
        <v>215.6</v>
      </c>
      <c r="BC629" t="str">
        <f>T("9788997946006")</f>
        <v>9788997946006</v>
      </c>
      <c r="BE629" t="str">
        <f t="shared" si="77"/>
        <v>판타지 웹소설 &gt; 현대 판타지</v>
      </c>
    </row>
    <row r="630" spans="1:57" x14ac:dyDescent="0.3">
      <c r="A630">
        <v>1525004030</v>
      </c>
      <c r="B630">
        <v>1525004170</v>
      </c>
      <c r="C630" t="str">
        <f>T("회귀의 전설 141화")</f>
        <v>회귀의 전설 141화</v>
      </c>
      <c r="D630" t="str">
        <f>T("141")</f>
        <v>141</v>
      </c>
      <c r="E630" t="str">
        <f t="shared" si="74"/>
        <v>김광수</v>
      </c>
      <c r="H630" t="str">
        <f t="shared" si="75"/>
        <v>스토리위즈</v>
      </c>
      <c r="I630" t="str">
        <f t="shared" si="76"/>
        <v>회귀의 전설</v>
      </c>
      <c r="J630">
        <v>100</v>
      </c>
      <c r="K630">
        <v>300</v>
      </c>
      <c r="L630">
        <v>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300</v>
      </c>
      <c r="AH630">
        <v>3</v>
      </c>
      <c r="AI630">
        <v>0</v>
      </c>
      <c r="AJ630">
        <v>0</v>
      </c>
      <c r="AK630">
        <v>200</v>
      </c>
      <c r="AL630">
        <v>0</v>
      </c>
      <c r="AM630">
        <v>120</v>
      </c>
      <c r="AN630">
        <v>-12</v>
      </c>
      <c r="AO630">
        <v>0</v>
      </c>
      <c r="AQ630">
        <v>0</v>
      </c>
      <c r="AR630">
        <v>0</v>
      </c>
      <c r="AS630">
        <v>120</v>
      </c>
      <c r="AT630">
        <v>-12</v>
      </c>
      <c r="AU630">
        <v>0</v>
      </c>
      <c r="AW630">
        <v>0</v>
      </c>
      <c r="AX630">
        <v>0</v>
      </c>
      <c r="AY630">
        <v>215.6</v>
      </c>
      <c r="BC630" t="str">
        <f>T("9788997946006")</f>
        <v>9788997946006</v>
      </c>
      <c r="BE630" t="str">
        <f t="shared" si="77"/>
        <v>판타지 웹소설 &gt; 현대 판타지</v>
      </c>
    </row>
    <row r="631" spans="1:57" x14ac:dyDescent="0.3">
      <c r="A631">
        <v>1525004030</v>
      </c>
      <c r="B631">
        <v>1525006741</v>
      </c>
      <c r="C631" t="str">
        <f>T("회귀의 전설 2부 624화")</f>
        <v>회귀의 전설 2부 624화</v>
      </c>
      <c r="D631" t="str">
        <f>T("624")</f>
        <v>624</v>
      </c>
      <c r="E631" t="str">
        <f t="shared" si="74"/>
        <v>김광수</v>
      </c>
      <c r="H631" t="str">
        <f t="shared" si="75"/>
        <v>스토리위즈</v>
      </c>
      <c r="I631" t="str">
        <f t="shared" si="76"/>
        <v>회귀의 전설</v>
      </c>
      <c r="J631">
        <v>100</v>
      </c>
      <c r="K631">
        <v>300</v>
      </c>
      <c r="L631">
        <v>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300</v>
      </c>
      <c r="AH631">
        <v>3</v>
      </c>
      <c r="AI631">
        <v>0</v>
      </c>
      <c r="AJ631">
        <v>0</v>
      </c>
      <c r="AK631">
        <v>200</v>
      </c>
      <c r="AL631">
        <v>0</v>
      </c>
      <c r="AM631">
        <v>120</v>
      </c>
      <c r="AN631">
        <v>-12</v>
      </c>
      <c r="AO631">
        <v>0</v>
      </c>
      <c r="AQ631">
        <v>0</v>
      </c>
      <c r="AR631">
        <v>0</v>
      </c>
      <c r="AS631">
        <v>120</v>
      </c>
      <c r="AT631">
        <v>-12</v>
      </c>
      <c r="AU631">
        <v>0</v>
      </c>
      <c r="AW631">
        <v>0</v>
      </c>
      <c r="AX631">
        <v>0</v>
      </c>
      <c r="AY631">
        <v>215.6</v>
      </c>
      <c r="BC631" t="str">
        <f>T("9791191102086")</f>
        <v>9791191102086</v>
      </c>
      <c r="BE631" t="str">
        <f t="shared" si="77"/>
        <v>판타지 웹소설 &gt; 현대 판타지</v>
      </c>
    </row>
    <row r="632" spans="1:57" x14ac:dyDescent="0.3">
      <c r="A632">
        <v>1525004030</v>
      </c>
      <c r="B632">
        <v>1525004202</v>
      </c>
      <c r="C632" t="str">
        <f>T("회귀의 전설 173화")</f>
        <v>회귀의 전설 173화</v>
      </c>
      <c r="D632" t="str">
        <f>T("173")</f>
        <v>173</v>
      </c>
      <c r="E632" t="str">
        <f t="shared" si="74"/>
        <v>김광수</v>
      </c>
      <c r="H632" t="str">
        <f t="shared" si="75"/>
        <v>스토리위즈</v>
      </c>
      <c r="I632" t="str">
        <f t="shared" si="76"/>
        <v>회귀의 전설</v>
      </c>
      <c r="J632">
        <v>100</v>
      </c>
      <c r="K632">
        <v>300</v>
      </c>
      <c r="L632">
        <v>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300</v>
      </c>
      <c r="AH632">
        <v>3</v>
      </c>
      <c r="AI632">
        <v>0</v>
      </c>
      <c r="AJ632">
        <v>0</v>
      </c>
      <c r="AK632">
        <v>200</v>
      </c>
      <c r="AL632">
        <v>0</v>
      </c>
      <c r="AM632">
        <v>120</v>
      </c>
      <c r="AN632">
        <v>-12</v>
      </c>
      <c r="AO632">
        <v>0</v>
      </c>
      <c r="AQ632">
        <v>0</v>
      </c>
      <c r="AR632">
        <v>0</v>
      </c>
      <c r="AS632">
        <v>120</v>
      </c>
      <c r="AT632">
        <v>-12</v>
      </c>
      <c r="AU632">
        <v>0</v>
      </c>
      <c r="AW632">
        <v>0</v>
      </c>
      <c r="AX632">
        <v>0</v>
      </c>
      <c r="AY632">
        <v>215.6</v>
      </c>
      <c r="BC632" t="str">
        <f>T("9788997946006")</f>
        <v>9788997946006</v>
      </c>
      <c r="BE632" t="str">
        <f t="shared" si="77"/>
        <v>판타지 웹소설 &gt; 현대 판타지</v>
      </c>
    </row>
    <row r="633" spans="1:57" x14ac:dyDescent="0.3">
      <c r="A633">
        <v>1525008024</v>
      </c>
      <c r="B633">
        <v>1525008023</v>
      </c>
      <c r="C633" t="str">
        <f>T("[e북]나는 네가 싫었다 (외전)")</f>
        <v>[e북]나는 네가 싫었다 (외전)</v>
      </c>
      <c r="D633" t="str">
        <f>T("3")</f>
        <v>3</v>
      </c>
      <c r="E633" t="str">
        <f>T("키도")</f>
        <v>키도</v>
      </c>
      <c r="H633" t="str">
        <f>T("블러쉬")</f>
        <v>블러쉬</v>
      </c>
      <c r="I633" t="str">
        <f>T("[e북]나는 네가 싫었다")</f>
        <v>[e북]나는 네가 싫었다</v>
      </c>
      <c r="J633">
        <v>300</v>
      </c>
      <c r="K633">
        <v>300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300</v>
      </c>
      <c r="AH633">
        <v>1</v>
      </c>
      <c r="AI633">
        <v>0</v>
      </c>
      <c r="AJ633">
        <v>0</v>
      </c>
      <c r="AK633">
        <v>300</v>
      </c>
      <c r="AL633">
        <v>0</v>
      </c>
      <c r="AM633">
        <v>0</v>
      </c>
      <c r="AN633">
        <v>0</v>
      </c>
      <c r="AO633">
        <v>0</v>
      </c>
      <c r="AQ633">
        <v>0</v>
      </c>
      <c r="AR633">
        <v>0</v>
      </c>
      <c r="AT633">
        <v>0</v>
      </c>
      <c r="AU633">
        <v>0</v>
      </c>
      <c r="AW633">
        <v>0</v>
      </c>
      <c r="AX633">
        <v>0</v>
      </c>
      <c r="AY633">
        <v>210</v>
      </c>
      <c r="BA633" t="str">
        <f>T("0000000000000")</f>
        <v>0000000000000</v>
      </c>
      <c r="BC633" t="str">
        <f>T("9791164898688")</f>
        <v>9791164898688</v>
      </c>
      <c r="BE633" t="str">
        <f>T("BL 소설 e북 &gt; 현대물")</f>
        <v>BL 소설 e북 &gt; 현대물</v>
      </c>
    </row>
    <row r="634" spans="1:57" x14ac:dyDescent="0.3">
      <c r="A634">
        <v>1525004030</v>
      </c>
      <c r="B634">
        <v>1525004137</v>
      </c>
      <c r="C634" t="str">
        <f>T("회귀의 전설 108화")</f>
        <v>회귀의 전설 108화</v>
      </c>
      <c r="D634" t="str">
        <f>T("108")</f>
        <v>108</v>
      </c>
      <c r="E634" t="str">
        <f t="shared" ref="E634:E677" si="78">T("김광수")</f>
        <v>김광수</v>
      </c>
      <c r="H634" t="str">
        <f t="shared" ref="H634:H677" si="79">T("스토리위즈")</f>
        <v>스토리위즈</v>
      </c>
      <c r="I634" t="str">
        <f t="shared" ref="I634:I677" si="80">T("회귀의 전설")</f>
        <v>회귀의 전설</v>
      </c>
      <c r="J634">
        <v>100</v>
      </c>
      <c r="K634">
        <v>300</v>
      </c>
      <c r="L634">
        <v>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300</v>
      </c>
      <c r="AH634">
        <v>3</v>
      </c>
      <c r="AI634">
        <v>0</v>
      </c>
      <c r="AJ634">
        <v>0</v>
      </c>
      <c r="AK634">
        <v>200</v>
      </c>
      <c r="AL634">
        <v>0</v>
      </c>
      <c r="AM634">
        <v>120</v>
      </c>
      <c r="AN634">
        <v>-12</v>
      </c>
      <c r="AO634">
        <v>0</v>
      </c>
      <c r="AQ634">
        <v>0</v>
      </c>
      <c r="AR634">
        <v>0</v>
      </c>
      <c r="AS634">
        <v>120</v>
      </c>
      <c r="AT634">
        <v>-12</v>
      </c>
      <c r="AU634">
        <v>0</v>
      </c>
      <c r="AW634">
        <v>0</v>
      </c>
      <c r="AX634">
        <v>0</v>
      </c>
      <c r="AY634">
        <v>215.6</v>
      </c>
      <c r="BC634" t="str">
        <f>T("9788997946006")</f>
        <v>9788997946006</v>
      </c>
      <c r="BE634" t="str">
        <f t="shared" ref="BE634:BE677" si="81">T("판타지 웹소설 &gt; 현대 판타지")</f>
        <v>판타지 웹소설 &gt; 현대 판타지</v>
      </c>
    </row>
    <row r="635" spans="1:57" x14ac:dyDescent="0.3">
      <c r="A635">
        <v>1525004030</v>
      </c>
      <c r="B635">
        <v>1525004126</v>
      </c>
      <c r="C635" t="str">
        <f>T("회귀의 전설 97화")</f>
        <v>회귀의 전설 97화</v>
      </c>
      <c r="D635" t="str">
        <f>T("97")</f>
        <v>97</v>
      </c>
      <c r="E635" t="str">
        <f t="shared" si="78"/>
        <v>김광수</v>
      </c>
      <c r="H635" t="str">
        <f t="shared" si="79"/>
        <v>스토리위즈</v>
      </c>
      <c r="I635" t="str">
        <f t="shared" si="80"/>
        <v>회귀의 전설</v>
      </c>
      <c r="J635">
        <v>100</v>
      </c>
      <c r="K635">
        <v>300</v>
      </c>
      <c r="L635">
        <v>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300</v>
      </c>
      <c r="AH635">
        <v>3</v>
      </c>
      <c r="AI635">
        <v>0</v>
      </c>
      <c r="AJ635">
        <v>0</v>
      </c>
      <c r="AK635">
        <v>200</v>
      </c>
      <c r="AL635">
        <v>0</v>
      </c>
      <c r="AM635">
        <v>120</v>
      </c>
      <c r="AN635">
        <v>-12</v>
      </c>
      <c r="AO635">
        <v>0</v>
      </c>
      <c r="AQ635">
        <v>0</v>
      </c>
      <c r="AR635">
        <v>0</v>
      </c>
      <c r="AS635">
        <v>120</v>
      </c>
      <c r="AT635">
        <v>-12</v>
      </c>
      <c r="AU635">
        <v>0</v>
      </c>
      <c r="AW635">
        <v>0</v>
      </c>
      <c r="AX635">
        <v>0</v>
      </c>
      <c r="AY635">
        <v>215.6</v>
      </c>
      <c r="BC635" t="str">
        <f>T("9788997946006")</f>
        <v>9788997946006</v>
      </c>
      <c r="BE635" t="str">
        <f t="shared" si="81"/>
        <v>판타지 웹소설 &gt; 현대 판타지</v>
      </c>
    </row>
    <row r="636" spans="1:57" x14ac:dyDescent="0.3">
      <c r="A636">
        <v>1525004030</v>
      </c>
      <c r="B636">
        <v>1525004158</v>
      </c>
      <c r="C636" t="str">
        <f>T("회귀의 전설 129화")</f>
        <v>회귀의 전설 129화</v>
      </c>
      <c r="D636" t="str">
        <f>T("129")</f>
        <v>129</v>
      </c>
      <c r="E636" t="str">
        <f t="shared" si="78"/>
        <v>김광수</v>
      </c>
      <c r="H636" t="str">
        <f t="shared" si="79"/>
        <v>스토리위즈</v>
      </c>
      <c r="I636" t="str">
        <f t="shared" si="80"/>
        <v>회귀의 전설</v>
      </c>
      <c r="J636">
        <v>100</v>
      </c>
      <c r="K636">
        <v>300</v>
      </c>
      <c r="L636">
        <v>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300</v>
      </c>
      <c r="AH636">
        <v>3</v>
      </c>
      <c r="AI636">
        <v>0</v>
      </c>
      <c r="AJ636">
        <v>0</v>
      </c>
      <c r="AK636">
        <v>200</v>
      </c>
      <c r="AL636">
        <v>0</v>
      </c>
      <c r="AM636">
        <v>120</v>
      </c>
      <c r="AN636">
        <v>-12</v>
      </c>
      <c r="AO636">
        <v>0</v>
      </c>
      <c r="AQ636">
        <v>0</v>
      </c>
      <c r="AR636">
        <v>0</v>
      </c>
      <c r="AS636">
        <v>120</v>
      </c>
      <c r="AT636">
        <v>-12</v>
      </c>
      <c r="AU636">
        <v>0</v>
      </c>
      <c r="AW636">
        <v>0</v>
      </c>
      <c r="AX636">
        <v>0</v>
      </c>
      <c r="AY636">
        <v>215.6</v>
      </c>
      <c r="BC636" t="str">
        <f>T("9788997946006")</f>
        <v>9788997946006</v>
      </c>
      <c r="BE636" t="str">
        <f t="shared" si="81"/>
        <v>판타지 웹소설 &gt; 현대 판타지</v>
      </c>
    </row>
    <row r="637" spans="1:57" x14ac:dyDescent="0.3">
      <c r="A637">
        <v>1525004030</v>
      </c>
      <c r="B637">
        <v>1525004077</v>
      </c>
      <c r="C637" t="str">
        <f>T("회귀의 전설 48화")</f>
        <v>회귀의 전설 48화</v>
      </c>
      <c r="D637" t="str">
        <f>T("48")</f>
        <v>48</v>
      </c>
      <c r="E637" t="str">
        <f t="shared" si="78"/>
        <v>김광수</v>
      </c>
      <c r="H637" t="str">
        <f t="shared" si="79"/>
        <v>스토리위즈</v>
      </c>
      <c r="I637" t="str">
        <f t="shared" si="80"/>
        <v>회귀의 전설</v>
      </c>
      <c r="J637">
        <v>100</v>
      </c>
      <c r="K637">
        <v>300</v>
      </c>
      <c r="L637">
        <v>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300</v>
      </c>
      <c r="AH637">
        <v>3</v>
      </c>
      <c r="AI637">
        <v>0</v>
      </c>
      <c r="AJ637">
        <v>0</v>
      </c>
      <c r="AK637">
        <v>100</v>
      </c>
      <c r="AL637">
        <v>0</v>
      </c>
      <c r="AM637">
        <v>240</v>
      </c>
      <c r="AN637">
        <v>-48</v>
      </c>
      <c r="AO637">
        <v>0</v>
      </c>
      <c r="AQ637">
        <v>0</v>
      </c>
      <c r="AR637">
        <v>0</v>
      </c>
      <c r="AS637">
        <v>240</v>
      </c>
      <c r="AT637">
        <v>-48</v>
      </c>
      <c r="AU637">
        <v>0</v>
      </c>
      <c r="AW637">
        <v>0</v>
      </c>
      <c r="AX637">
        <v>0</v>
      </c>
      <c r="AY637">
        <v>204.4</v>
      </c>
      <c r="BC637" t="str">
        <f>T("9788997946006")</f>
        <v>9788997946006</v>
      </c>
      <c r="BE637" t="str">
        <f t="shared" si="81"/>
        <v>판타지 웹소설 &gt; 현대 판타지</v>
      </c>
    </row>
    <row r="638" spans="1:57" x14ac:dyDescent="0.3">
      <c r="A638">
        <v>1525004030</v>
      </c>
      <c r="B638">
        <v>1525006771</v>
      </c>
      <c r="C638" t="str">
        <f>T("회귀의 전설 2부 654화")</f>
        <v>회귀의 전설 2부 654화</v>
      </c>
      <c r="D638" t="str">
        <f>T("654")</f>
        <v>654</v>
      </c>
      <c r="E638" t="str">
        <f t="shared" si="78"/>
        <v>김광수</v>
      </c>
      <c r="H638" t="str">
        <f t="shared" si="79"/>
        <v>스토리위즈</v>
      </c>
      <c r="I638" t="str">
        <f t="shared" si="80"/>
        <v>회귀의 전설</v>
      </c>
      <c r="J638">
        <v>100</v>
      </c>
      <c r="K638">
        <v>300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300</v>
      </c>
      <c r="AH638">
        <v>3</v>
      </c>
      <c r="AI638">
        <v>0</v>
      </c>
      <c r="AJ638">
        <v>0</v>
      </c>
      <c r="AK638">
        <v>200</v>
      </c>
      <c r="AL638">
        <v>0</v>
      </c>
      <c r="AM638">
        <v>120</v>
      </c>
      <c r="AN638">
        <v>-12</v>
      </c>
      <c r="AO638">
        <v>0</v>
      </c>
      <c r="AQ638">
        <v>0</v>
      </c>
      <c r="AR638">
        <v>0</v>
      </c>
      <c r="AS638">
        <v>120</v>
      </c>
      <c r="AT638">
        <v>-12</v>
      </c>
      <c r="AU638">
        <v>0</v>
      </c>
      <c r="AW638">
        <v>0</v>
      </c>
      <c r="AX638">
        <v>0</v>
      </c>
      <c r="AY638">
        <v>215.6</v>
      </c>
      <c r="BC638" t="str">
        <f>T("9791191102086")</f>
        <v>9791191102086</v>
      </c>
      <c r="BE638" t="str">
        <f t="shared" si="81"/>
        <v>판타지 웹소설 &gt; 현대 판타지</v>
      </c>
    </row>
    <row r="639" spans="1:57" x14ac:dyDescent="0.3">
      <c r="A639">
        <v>1525004030</v>
      </c>
      <c r="B639">
        <v>1525006730</v>
      </c>
      <c r="C639" t="str">
        <f>T("회귀의 전설 2부 613화")</f>
        <v>회귀의 전설 2부 613화</v>
      </c>
      <c r="D639" t="str">
        <f>T("613")</f>
        <v>613</v>
      </c>
      <c r="E639" t="str">
        <f t="shared" si="78"/>
        <v>김광수</v>
      </c>
      <c r="H639" t="str">
        <f t="shared" si="79"/>
        <v>스토리위즈</v>
      </c>
      <c r="I639" t="str">
        <f t="shared" si="80"/>
        <v>회귀의 전설</v>
      </c>
      <c r="J639">
        <v>100</v>
      </c>
      <c r="K639">
        <v>300</v>
      </c>
      <c r="L639">
        <v>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300</v>
      </c>
      <c r="AH639">
        <v>3</v>
      </c>
      <c r="AI639">
        <v>0</v>
      </c>
      <c r="AJ639">
        <v>0</v>
      </c>
      <c r="AK639">
        <v>200</v>
      </c>
      <c r="AL639">
        <v>0</v>
      </c>
      <c r="AM639">
        <v>120</v>
      </c>
      <c r="AN639">
        <v>-12</v>
      </c>
      <c r="AO639">
        <v>0</v>
      </c>
      <c r="AQ639">
        <v>0</v>
      </c>
      <c r="AR639">
        <v>0</v>
      </c>
      <c r="AS639">
        <v>120</v>
      </c>
      <c r="AT639">
        <v>-12</v>
      </c>
      <c r="AU639">
        <v>0</v>
      </c>
      <c r="AW639">
        <v>0</v>
      </c>
      <c r="AX639">
        <v>0</v>
      </c>
      <c r="AY639">
        <v>215.6</v>
      </c>
      <c r="BC639" t="str">
        <f>T("9791191102086")</f>
        <v>9791191102086</v>
      </c>
      <c r="BE639" t="str">
        <f t="shared" si="81"/>
        <v>판타지 웹소설 &gt; 현대 판타지</v>
      </c>
    </row>
    <row r="640" spans="1:57" x14ac:dyDescent="0.3">
      <c r="A640">
        <v>1525004030</v>
      </c>
      <c r="B640">
        <v>1525004191</v>
      </c>
      <c r="C640" t="str">
        <f>T("회귀의 전설 162화")</f>
        <v>회귀의 전설 162화</v>
      </c>
      <c r="D640" t="str">
        <f>T("162")</f>
        <v>162</v>
      </c>
      <c r="E640" t="str">
        <f t="shared" si="78"/>
        <v>김광수</v>
      </c>
      <c r="H640" t="str">
        <f t="shared" si="79"/>
        <v>스토리위즈</v>
      </c>
      <c r="I640" t="str">
        <f t="shared" si="80"/>
        <v>회귀의 전설</v>
      </c>
      <c r="J640">
        <v>100</v>
      </c>
      <c r="K640">
        <v>300</v>
      </c>
      <c r="L640">
        <v>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300</v>
      </c>
      <c r="AH640">
        <v>3</v>
      </c>
      <c r="AI640">
        <v>0</v>
      </c>
      <c r="AJ640">
        <v>0</v>
      </c>
      <c r="AK640">
        <v>200</v>
      </c>
      <c r="AL640">
        <v>0</v>
      </c>
      <c r="AM640">
        <v>120</v>
      </c>
      <c r="AN640">
        <v>-12</v>
      </c>
      <c r="AO640">
        <v>0</v>
      </c>
      <c r="AQ640">
        <v>0</v>
      </c>
      <c r="AR640">
        <v>0</v>
      </c>
      <c r="AS640">
        <v>120</v>
      </c>
      <c r="AT640">
        <v>-12</v>
      </c>
      <c r="AU640">
        <v>0</v>
      </c>
      <c r="AW640">
        <v>0</v>
      </c>
      <c r="AX640">
        <v>0</v>
      </c>
      <c r="AY640">
        <v>215.6</v>
      </c>
      <c r="BC640" t="str">
        <f>T("9788997946006")</f>
        <v>9788997946006</v>
      </c>
      <c r="BE640" t="str">
        <f t="shared" si="81"/>
        <v>판타지 웹소설 &gt; 현대 판타지</v>
      </c>
    </row>
    <row r="641" spans="1:57" x14ac:dyDescent="0.3">
      <c r="A641">
        <v>1525004030</v>
      </c>
      <c r="B641">
        <v>1525006762</v>
      </c>
      <c r="C641" t="str">
        <f>T("회귀의 전설 2부 645화")</f>
        <v>회귀의 전설 2부 645화</v>
      </c>
      <c r="D641" t="str">
        <f>T("645")</f>
        <v>645</v>
      </c>
      <c r="E641" t="str">
        <f t="shared" si="78"/>
        <v>김광수</v>
      </c>
      <c r="H641" t="str">
        <f t="shared" si="79"/>
        <v>스토리위즈</v>
      </c>
      <c r="I641" t="str">
        <f t="shared" si="80"/>
        <v>회귀의 전설</v>
      </c>
      <c r="J641">
        <v>100</v>
      </c>
      <c r="K641">
        <v>300</v>
      </c>
      <c r="L641">
        <v>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300</v>
      </c>
      <c r="AH641">
        <v>3</v>
      </c>
      <c r="AI641">
        <v>0</v>
      </c>
      <c r="AJ641">
        <v>0</v>
      </c>
      <c r="AK641">
        <v>200</v>
      </c>
      <c r="AL641">
        <v>0</v>
      </c>
      <c r="AM641">
        <v>120</v>
      </c>
      <c r="AN641">
        <v>-12</v>
      </c>
      <c r="AO641">
        <v>0</v>
      </c>
      <c r="AQ641">
        <v>0</v>
      </c>
      <c r="AR641">
        <v>0</v>
      </c>
      <c r="AS641">
        <v>120</v>
      </c>
      <c r="AT641">
        <v>-12</v>
      </c>
      <c r="AU641">
        <v>0</v>
      </c>
      <c r="AW641">
        <v>0</v>
      </c>
      <c r="AX641">
        <v>0</v>
      </c>
      <c r="AY641">
        <v>215.6</v>
      </c>
      <c r="BC641" t="str">
        <f>T("9791191102086")</f>
        <v>9791191102086</v>
      </c>
      <c r="BE641" t="str">
        <f t="shared" si="81"/>
        <v>판타지 웹소설 &gt; 현대 판타지</v>
      </c>
    </row>
    <row r="642" spans="1:57" x14ac:dyDescent="0.3">
      <c r="A642">
        <v>1525004030</v>
      </c>
      <c r="B642">
        <v>1525006751</v>
      </c>
      <c r="C642" t="str">
        <f>T("회귀의 전설 2부 634화")</f>
        <v>회귀의 전설 2부 634화</v>
      </c>
      <c r="D642" t="str">
        <f>T("634")</f>
        <v>634</v>
      </c>
      <c r="E642" t="str">
        <f t="shared" si="78"/>
        <v>김광수</v>
      </c>
      <c r="H642" t="str">
        <f t="shared" si="79"/>
        <v>스토리위즈</v>
      </c>
      <c r="I642" t="str">
        <f t="shared" si="80"/>
        <v>회귀의 전설</v>
      </c>
      <c r="J642">
        <v>100</v>
      </c>
      <c r="K642">
        <v>300</v>
      </c>
      <c r="L642">
        <v>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300</v>
      </c>
      <c r="AH642">
        <v>3</v>
      </c>
      <c r="AI642">
        <v>0</v>
      </c>
      <c r="AJ642">
        <v>0</v>
      </c>
      <c r="AK642">
        <v>200</v>
      </c>
      <c r="AL642">
        <v>0</v>
      </c>
      <c r="AM642">
        <v>120</v>
      </c>
      <c r="AN642">
        <v>-12</v>
      </c>
      <c r="AO642">
        <v>0</v>
      </c>
      <c r="AQ642">
        <v>0</v>
      </c>
      <c r="AR642">
        <v>0</v>
      </c>
      <c r="AS642">
        <v>120</v>
      </c>
      <c r="AT642">
        <v>-12</v>
      </c>
      <c r="AU642">
        <v>0</v>
      </c>
      <c r="AW642">
        <v>0</v>
      </c>
      <c r="AX642">
        <v>0</v>
      </c>
      <c r="AY642">
        <v>215.6</v>
      </c>
      <c r="BC642" t="str">
        <f>T("9791191102086")</f>
        <v>9791191102086</v>
      </c>
      <c r="BE642" t="str">
        <f t="shared" si="81"/>
        <v>판타지 웹소설 &gt; 현대 판타지</v>
      </c>
    </row>
    <row r="643" spans="1:57" x14ac:dyDescent="0.3">
      <c r="A643">
        <v>1525004030</v>
      </c>
      <c r="B643">
        <v>1525004147</v>
      </c>
      <c r="C643" t="str">
        <f>T("회귀의 전설 118화")</f>
        <v>회귀의 전설 118화</v>
      </c>
      <c r="D643" t="str">
        <f>T("118")</f>
        <v>118</v>
      </c>
      <c r="E643" t="str">
        <f t="shared" si="78"/>
        <v>김광수</v>
      </c>
      <c r="H643" t="str">
        <f t="shared" si="79"/>
        <v>스토리위즈</v>
      </c>
      <c r="I643" t="str">
        <f t="shared" si="80"/>
        <v>회귀의 전설</v>
      </c>
      <c r="J643">
        <v>100</v>
      </c>
      <c r="K643">
        <v>300</v>
      </c>
      <c r="L643">
        <v>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300</v>
      </c>
      <c r="AH643">
        <v>3</v>
      </c>
      <c r="AI643">
        <v>0</v>
      </c>
      <c r="AJ643">
        <v>0</v>
      </c>
      <c r="AK643">
        <v>200</v>
      </c>
      <c r="AL643">
        <v>0</v>
      </c>
      <c r="AM643">
        <v>120</v>
      </c>
      <c r="AN643">
        <v>-12</v>
      </c>
      <c r="AO643">
        <v>0</v>
      </c>
      <c r="AQ643">
        <v>0</v>
      </c>
      <c r="AR643">
        <v>0</v>
      </c>
      <c r="AS643">
        <v>120</v>
      </c>
      <c r="AT643">
        <v>-12</v>
      </c>
      <c r="AU643">
        <v>0</v>
      </c>
      <c r="AW643">
        <v>0</v>
      </c>
      <c r="AX643">
        <v>0</v>
      </c>
      <c r="AY643">
        <v>215.6</v>
      </c>
      <c r="BC643" t="str">
        <f>T("9788997946006")</f>
        <v>9788997946006</v>
      </c>
      <c r="BE643" t="str">
        <f t="shared" si="81"/>
        <v>판타지 웹소설 &gt; 현대 판타지</v>
      </c>
    </row>
    <row r="644" spans="1:57" x14ac:dyDescent="0.3">
      <c r="A644">
        <v>1525004030</v>
      </c>
      <c r="B644">
        <v>1525004180</v>
      </c>
      <c r="C644" t="str">
        <f>T("회귀의 전설 151화")</f>
        <v>회귀의 전설 151화</v>
      </c>
      <c r="D644" t="str">
        <f>T("151")</f>
        <v>151</v>
      </c>
      <c r="E644" t="str">
        <f t="shared" si="78"/>
        <v>김광수</v>
      </c>
      <c r="H644" t="str">
        <f t="shared" si="79"/>
        <v>스토리위즈</v>
      </c>
      <c r="I644" t="str">
        <f t="shared" si="80"/>
        <v>회귀의 전설</v>
      </c>
      <c r="J644">
        <v>100</v>
      </c>
      <c r="K644">
        <v>300</v>
      </c>
      <c r="L644">
        <v>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300</v>
      </c>
      <c r="AH644">
        <v>3</v>
      </c>
      <c r="AI644">
        <v>0</v>
      </c>
      <c r="AJ644">
        <v>0</v>
      </c>
      <c r="AK644">
        <v>200</v>
      </c>
      <c r="AL644">
        <v>0</v>
      </c>
      <c r="AM644">
        <v>120</v>
      </c>
      <c r="AN644">
        <v>-12</v>
      </c>
      <c r="AO644">
        <v>0</v>
      </c>
      <c r="AQ644">
        <v>0</v>
      </c>
      <c r="AR644">
        <v>0</v>
      </c>
      <c r="AS644">
        <v>120</v>
      </c>
      <c r="AT644">
        <v>-12</v>
      </c>
      <c r="AU644">
        <v>0</v>
      </c>
      <c r="AW644">
        <v>0</v>
      </c>
      <c r="AX644">
        <v>0</v>
      </c>
      <c r="AY644">
        <v>215.6</v>
      </c>
      <c r="BC644" t="str">
        <f>T("9788997946006")</f>
        <v>9788997946006</v>
      </c>
      <c r="BE644" t="str">
        <f t="shared" si="81"/>
        <v>판타지 웹소설 &gt; 현대 판타지</v>
      </c>
    </row>
    <row r="645" spans="1:57" x14ac:dyDescent="0.3">
      <c r="A645">
        <v>1525004030</v>
      </c>
      <c r="B645">
        <v>1525004169</v>
      </c>
      <c r="C645" t="str">
        <f>T("회귀의 전설 140화")</f>
        <v>회귀의 전설 140화</v>
      </c>
      <c r="D645" t="str">
        <f>T("140")</f>
        <v>140</v>
      </c>
      <c r="E645" t="str">
        <f t="shared" si="78"/>
        <v>김광수</v>
      </c>
      <c r="H645" t="str">
        <f t="shared" si="79"/>
        <v>스토리위즈</v>
      </c>
      <c r="I645" t="str">
        <f t="shared" si="80"/>
        <v>회귀의 전설</v>
      </c>
      <c r="J645">
        <v>100</v>
      </c>
      <c r="K645">
        <v>300</v>
      </c>
      <c r="L645">
        <v>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300</v>
      </c>
      <c r="AH645">
        <v>3</v>
      </c>
      <c r="AI645">
        <v>0</v>
      </c>
      <c r="AJ645">
        <v>0</v>
      </c>
      <c r="AK645">
        <v>200</v>
      </c>
      <c r="AL645">
        <v>0</v>
      </c>
      <c r="AM645">
        <v>120</v>
      </c>
      <c r="AN645">
        <v>-12</v>
      </c>
      <c r="AO645">
        <v>0</v>
      </c>
      <c r="AQ645">
        <v>0</v>
      </c>
      <c r="AR645">
        <v>0</v>
      </c>
      <c r="AS645">
        <v>120</v>
      </c>
      <c r="AT645">
        <v>-12</v>
      </c>
      <c r="AU645">
        <v>0</v>
      </c>
      <c r="AW645">
        <v>0</v>
      </c>
      <c r="AX645">
        <v>0</v>
      </c>
      <c r="AY645">
        <v>215.6</v>
      </c>
      <c r="BC645" t="str">
        <f>T("9788997946006")</f>
        <v>9788997946006</v>
      </c>
      <c r="BE645" t="str">
        <f t="shared" si="81"/>
        <v>판타지 웹소설 &gt; 현대 판타지</v>
      </c>
    </row>
    <row r="646" spans="1:57" x14ac:dyDescent="0.3">
      <c r="A646">
        <v>1525004030</v>
      </c>
      <c r="B646">
        <v>1525006740</v>
      </c>
      <c r="C646" t="str">
        <f>T("회귀의 전설 2부 623화")</f>
        <v>회귀의 전설 2부 623화</v>
      </c>
      <c r="D646" t="str">
        <f>T("623")</f>
        <v>623</v>
      </c>
      <c r="E646" t="str">
        <f t="shared" si="78"/>
        <v>김광수</v>
      </c>
      <c r="H646" t="str">
        <f t="shared" si="79"/>
        <v>스토리위즈</v>
      </c>
      <c r="I646" t="str">
        <f t="shared" si="80"/>
        <v>회귀의 전설</v>
      </c>
      <c r="J646">
        <v>100</v>
      </c>
      <c r="K646">
        <v>300</v>
      </c>
      <c r="L646">
        <v>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300</v>
      </c>
      <c r="AH646">
        <v>3</v>
      </c>
      <c r="AI646">
        <v>0</v>
      </c>
      <c r="AJ646">
        <v>0</v>
      </c>
      <c r="AK646">
        <v>200</v>
      </c>
      <c r="AL646">
        <v>0</v>
      </c>
      <c r="AM646">
        <v>120</v>
      </c>
      <c r="AN646">
        <v>-12</v>
      </c>
      <c r="AO646">
        <v>0</v>
      </c>
      <c r="AQ646">
        <v>0</v>
      </c>
      <c r="AR646">
        <v>0</v>
      </c>
      <c r="AS646">
        <v>120</v>
      </c>
      <c r="AT646">
        <v>-12</v>
      </c>
      <c r="AU646">
        <v>0</v>
      </c>
      <c r="AW646">
        <v>0</v>
      </c>
      <c r="AX646">
        <v>0</v>
      </c>
      <c r="AY646">
        <v>215.6</v>
      </c>
      <c r="BC646" t="str">
        <f>T("9791191102086")</f>
        <v>9791191102086</v>
      </c>
      <c r="BE646" t="str">
        <f t="shared" si="81"/>
        <v>판타지 웹소설 &gt; 현대 판타지</v>
      </c>
    </row>
    <row r="647" spans="1:57" x14ac:dyDescent="0.3">
      <c r="A647">
        <v>1525004030</v>
      </c>
      <c r="B647">
        <v>1525004201</v>
      </c>
      <c r="C647" t="str">
        <f>T("회귀의 전설 172화")</f>
        <v>회귀의 전설 172화</v>
      </c>
      <c r="D647" t="str">
        <f>T("172")</f>
        <v>172</v>
      </c>
      <c r="E647" t="str">
        <f t="shared" si="78"/>
        <v>김광수</v>
      </c>
      <c r="H647" t="str">
        <f t="shared" si="79"/>
        <v>스토리위즈</v>
      </c>
      <c r="I647" t="str">
        <f t="shared" si="80"/>
        <v>회귀의 전설</v>
      </c>
      <c r="J647">
        <v>100</v>
      </c>
      <c r="K647">
        <v>300</v>
      </c>
      <c r="L647">
        <v>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300</v>
      </c>
      <c r="AH647">
        <v>3</v>
      </c>
      <c r="AI647">
        <v>0</v>
      </c>
      <c r="AJ647">
        <v>0</v>
      </c>
      <c r="AK647">
        <v>200</v>
      </c>
      <c r="AL647">
        <v>0</v>
      </c>
      <c r="AM647">
        <v>120</v>
      </c>
      <c r="AN647">
        <v>-12</v>
      </c>
      <c r="AO647">
        <v>0</v>
      </c>
      <c r="AQ647">
        <v>0</v>
      </c>
      <c r="AR647">
        <v>0</v>
      </c>
      <c r="AS647">
        <v>120</v>
      </c>
      <c r="AT647">
        <v>-12</v>
      </c>
      <c r="AU647">
        <v>0</v>
      </c>
      <c r="AW647">
        <v>0</v>
      </c>
      <c r="AX647">
        <v>0</v>
      </c>
      <c r="AY647">
        <v>215.6</v>
      </c>
      <c r="BC647" t="str">
        <f>T("9788997946006")</f>
        <v>9788997946006</v>
      </c>
      <c r="BE647" t="str">
        <f t="shared" si="81"/>
        <v>판타지 웹소설 &gt; 현대 판타지</v>
      </c>
    </row>
    <row r="648" spans="1:57" x14ac:dyDescent="0.3">
      <c r="A648">
        <v>1525004030</v>
      </c>
      <c r="B648">
        <v>1525004136</v>
      </c>
      <c r="C648" t="str">
        <f>T("회귀의 전설 107화")</f>
        <v>회귀의 전설 107화</v>
      </c>
      <c r="D648" t="str">
        <f>T("107")</f>
        <v>107</v>
      </c>
      <c r="E648" t="str">
        <f t="shared" si="78"/>
        <v>김광수</v>
      </c>
      <c r="H648" t="str">
        <f t="shared" si="79"/>
        <v>스토리위즈</v>
      </c>
      <c r="I648" t="str">
        <f t="shared" si="80"/>
        <v>회귀의 전설</v>
      </c>
      <c r="J648">
        <v>100</v>
      </c>
      <c r="K648">
        <v>300</v>
      </c>
      <c r="L648">
        <v>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300</v>
      </c>
      <c r="AH648">
        <v>3</v>
      </c>
      <c r="AI648">
        <v>0</v>
      </c>
      <c r="AJ648">
        <v>0</v>
      </c>
      <c r="AK648">
        <v>200</v>
      </c>
      <c r="AL648">
        <v>0</v>
      </c>
      <c r="AM648">
        <v>120</v>
      </c>
      <c r="AN648">
        <v>-12</v>
      </c>
      <c r="AO648">
        <v>0</v>
      </c>
      <c r="AQ648">
        <v>0</v>
      </c>
      <c r="AR648">
        <v>0</v>
      </c>
      <c r="AS648">
        <v>120</v>
      </c>
      <c r="AT648">
        <v>-12</v>
      </c>
      <c r="AU648">
        <v>0</v>
      </c>
      <c r="AW648">
        <v>0</v>
      </c>
      <c r="AX648">
        <v>0</v>
      </c>
      <c r="AY648">
        <v>215.6</v>
      </c>
      <c r="BC648" t="str">
        <f>T("9788997946006")</f>
        <v>9788997946006</v>
      </c>
      <c r="BE648" t="str">
        <f t="shared" si="81"/>
        <v>판타지 웹소설 &gt; 현대 판타지</v>
      </c>
    </row>
    <row r="649" spans="1:57" x14ac:dyDescent="0.3">
      <c r="A649">
        <v>1525004030</v>
      </c>
      <c r="B649">
        <v>1525004125</v>
      </c>
      <c r="C649" t="str">
        <f>T("회귀의 전설 96화")</f>
        <v>회귀의 전설 96화</v>
      </c>
      <c r="D649" t="str">
        <f>T("96")</f>
        <v>96</v>
      </c>
      <c r="E649" t="str">
        <f t="shared" si="78"/>
        <v>김광수</v>
      </c>
      <c r="H649" t="str">
        <f t="shared" si="79"/>
        <v>스토리위즈</v>
      </c>
      <c r="I649" t="str">
        <f t="shared" si="80"/>
        <v>회귀의 전설</v>
      </c>
      <c r="J649">
        <v>100</v>
      </c>
      <c r="K649">
        <v>300</v>
      </c>
      <c r="L649">
        <v>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300</v>
      </c>
      <c r="AH649">
        <v>3</v>
      </c>
      <c r="AI649">
        <v>0</v>
      </c>
      <c r="AJ649">
        <v>0</v>
      </c>
      <c r="AK649">
        <v>200</v>
      </c>
      <c r="AL649">
        <v>0</v>
      </c>
      <c r="AM649">
        <v>120</v>
      </c>
      <c r="AN649">
        <v>-12</v>
      </c>
      <c r="AO649">
        <v>0</v>
      </c>
      <c r="AQ649">
        <v>0</v>
      </c>
      <c r="AR649">
        <v>0</v>
      </c>
      <c r="AS649">
        <v>120</v>
      </c>
      <c r="AT649">
        <v>-12</v>
      </c>
      <c r="AU649">
        <v>0</v>
      </c>
      <c r="AW649">
        <v>0</v>
      </c>
      <c r="AX649">
        <v>0</v>
      </c>
      <c r="AY649">
        <v>215.6</v>
      </c>
      <c r="BC649" t="str">
        <f>T("9788997946006")</f>
        <v>9788997946006</v>
      </c>
      <c r="BE649" t="str">
        <f t="shared" si="81"/>
        <v>판타지 웹소설 &gt; 현대 판타지</v>
      </c>
    </row>
    <row r="650" spans="1:57" x14ac:dyDescent="0.3">
      <c r="A650">
        <v>1525004030</v>
      </c>
      <c r="B650">
        <v>1525004157</v>
      </c>
      <c r="C650" t="str">
        <f>T("회귀의 전설 128화")</f>
        <v>회귀의 전설 128화</v>
      </c>
      <c r="D650" t="str">
        <f>T("128")</f>
        <v>128</v>
      </c>
      <c r="E650" t="str">
        <f t="shared" si="78"/>
        <v>김광수</v>
      </c>
      <c r="H650" t="str">
        <f t="shared" si="79"/>
        <v>스토리위즈</v>
      </c>
      <c r="I650" t="str">
        <f t="shared" si="80"/>
        <v>회귀의 전설</v>
      </c>
      <c r="J650">
        <v>100</v>
      </c>
      <c r="K650">
        <v>300</v>
      </c>
      <c r="L650">
        <v>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300</v>
      </c>
      <c r="AH650">
        <v>3</v>
      </c>
      <c r="AI650">
        <v>0</v>
      </c>
      <c r="AJ650">
        <v>0</v>
      </c>
      <c r="AK650">
        <v>200</v>
      </c>
      <c r="AL650">
        <v>0</v>
      </c>
      <c r="AM650">
        <v>120</v>
      </c>
      <c r="AN650">
        <v>-12</v>
      </c>
      <c r="AO650">
        <v>0</v>
      </c>
      <c r="AQ650">
        <v>0</v>
      </c>
      <c r="AR650">
        <v>0</v>
      </c>
      <c r="AS650">
        <v>120</v>
      </c>
      <c r="AT650">
        <v>-12</v>
      </c>
      <c r="AU650">
        <v>0</v>
      </c>
      <c r="AW650">
        <v>0</v>
      </c>
      <c r="AX650">
        <v>0</v>
      </c>
      <c r="AY650">
        <v>215.6</v>
      </c>
      <c r="BC650" t="str">
        <f>T("9788997946006")</f>
        <v>9788997946006</v>
      </c>
      <c r="BE650" t="str">
        <f t="shared" si="81"/>
        <v>판타지 웹소설 &gt; 현대 판타지</v>
      </c>
    </row>
    <row r="651" spans="1:57" x14ac:dyDescent="0.3">
      <c r="A651">
        <v>1525004030</v>
      </c>
      <c r="B651">
        <v>1525006770</v>
      </c>
      <c r="C651" t="str">
        <f>T("회귀의 전설 2부 653화")</f>
        <v>회귀의 전설 2부 653화</v>
      </c>
      <c r="D651" t="str">
        <f>T("653")</f>
        <v>653</v>
      </c>
      <c r="E651" t="str">
        <f t="shared" si="78"/>
        <v>김광수</v>
      </c>
      <c r="H651" t="str">
        <f t="shared" si="79"/>
        <v>스토리위즈</v>
      </c>
      <c r="I651" t="str">
        <f t="shared" si="80"/>
        <v>회귀의 전설</v>
      </c>
      <c r="J651">
        <v>100</v>
      </c>
      <c r="K651">
        <v>300</v>
      </c>
      <c r="L651">
        <v>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300</v>
      </c>
      <c r="AH651">
        <v>3</v>
      </c>
      <c r="AI651">
        <v>0</v>
      </c>
      <c r="AJ651">
        <v>0</v>
      </c>
      <c r="AK651">
        <v>200</v>
      </c>
      <c r="AL651">
        <v>0</v>
      </c>
      <c r="AM651">
        <v>120</v>
      </c>
      <c r="AN651">
        <v>-12</v>
      </c>
      <c r="AO651">
        <v>0</v>
      </c>
      <c r="AQ651">
        <v>0</v>
      </c>
      <c r="AR651">
        <v>0</v>
      </c>
      <c r="AS651">
        <v>120</v>
      </c>
      <c r="AT651">
        <v>-12</v>
      </c>
      <c r="AU651">
        <v>0</v>
      </c>
      <c r="AW651">
        <v>0</v>
      </c>
      <c r="AX651">
        <v>0</v>
      </c>
      <c r="AY651">
        <v>215.6</v>
      </c>
      <c r="BC651" t="str">
        <f>T("9791191102086")</f>
        <v>9791191102086</v>
      </c>
      <c r="BE651" t="str">
        <f t="shared" si="81"/>
        <v>판타지 웹소설 &gt; 현대 판타지</v>
      </c>
    </row>
    <row r="652" spans="1:57" x14ac:dyDescent="0.3">
      <c r="A652">
        <v>1525004030</v>
      </c>
      <c r="B652">
        <v>1525006729</v>
      </c>
      <c r="C652" t="str">
        <f>T("회귀의 전설 2부 612화")</f>
        <v>회귀의 전설 2부 612화</v>
      </c>
      <c r="D652" t="str">
        <f>T("612")</f>
        <v>612</v>
      </c>
      <c r="E652" t="str">
        <f t="shared" si="78"/>
        <v>김광수</v>
      </c>
      <c r="H652" t="str">
        <f t="shared" si="79"/>
        <v>스토리위즈</v>
      </c>
      <c r="I652" t="str">
        <f t="shared" si="80"/>
        <v>회귀의 전설</v>
      </c>
      <c r="J652">
        <v>100</v>
      </c>
      <c r="K652">
        <v>300</v>
      </c>
      <c r="L652">
        <v>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300</v>
      </c>
      <c r="AH652">
        <v>3</v>
      </c>
      <c r="AI652">
        <v>0</v>
      </c>
      <c r="AJ652">
        <v>0</v>
      </c>
      <c r="AK652">
        <v>200</v>
      </c>
      <c r="AL652">
        <v>0</v>
      </c>
      <c r="AM652">
        <v>120</v>
      </c>
      <c r="AN652">
        <v>-12</v>
      </c>
      <c r="AO652">
        <v>0</v>
      </c>
      <c r="AQ652">
        <v>0</v>
      </c>
      <c r="AR652">
        <v>0</v>
      </c>
      <c r="AS652">
        <v>120</v>
      </c>
      <c r="AT652">
        <v>-12</v>
      </c>
      <c r="AU652">
        <v>0</v>
      </c>
      <c r="AW652">
        <v>0</v>
      </c>
      <c r="AX652">
        <v>0</v>
      </c>
      <c r="AY652">
        <v>215.6</v>
      </c>
      <c r="BC652" t="str">
        <f>T("9791191102086")</f>
        <v>9791191102086</v>
      </c>
      <c r="BE652" t="str">
        <f t="shared" si="81"/>
        <v>판타지 웹소설 &gt; 현대 판타지</v>
      </c>
    </row>
    <row r="653" spans="1:57" x14ac:dyDescent="0.3">
      <c r="A653">
        <v>1525004030</v>
      </c>
      <c r="B653">
        <v>1525004190</v>
      </c>
      <c r="C653" t="str">
        <f>T("회귀의 전설 161화")</f>
        <v>회귀의 전설 161화</v>
      </c>
      <c r="D653" t="str">
        <f>T("161")</f>
        <v>161</v>
      </c>
      <c r="E653" t="str">
        <f t="shared" si="78"/>
        <v>김광수</v>
      </c>
      <c r="H653" t="str">
        <f t="shared" si="79"/>
        <v>스토리위즈</v>
      </c>
      <c r="I653" t="str">
        <f t="shared" si="80"/>
        <v>회귀의 전설</v>
      </c>
      <c r="J653">
        <v>100</v>
      </c>
      <c r="K653">
        <v>300</v>
      </c>
      <c r="L653">
        <v>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300</v>
      </c>
      <c r="AH653">
        <v>3</v>
      </c>
      <c r="AI653">
        <v>0</v>
      </c>
      <c r="AJ653">
        <v>0</v>
      </c>
      <c r="AK653">
        <v>200</v>
      </c>
      <c r="AL653">
        <v>0</v>
      </c>
      <c r="AM653">
        <v>120</v>
      </c>
      <c r="AN653">
        <v>-12</v>
      </c>
      <c r="AO653">
        <v>0</v>
      </c>
      <c r="AQ653">
        <v>0</v>
      </c>
      <c r="AR653">
        <v>0</v>
      </c>
      <c r="AS653">
        <v>120</v>
      </c>
      <c r="AT653">
        <v>-12</v>
      </c>
      <c r="AU653">
        <v>0</v>
      </c>
      <c r="AW653">
        <v>0</v>
      </c>
      <c r="AX653">
        <v>0</v>
      </c>
      <c r="AY653">
        <v>215.6</v>
      </c>
      <c r="BC653" t="str">
        <f>T("9788997946006")</f>
        <v>9788997946006</v>
      </c>
      <c r="BE653" t="str">
        <f t="shared" si="81"/>
        <v>판타지 웹소설 &gt; 현대 판타지</v>
      </c>
    </row>
    <row r="654" spans="1:57" x14ac:dyDescent="0.3">
      <c r="A654">
        <v>1525004030</v>
      </c>
      <c r="B654">
        <v>1525006750</v>
      </c>
      <c r="C654" t="str">
        <f>T("회귀의 전설 2부 633화")</f>
        <v>회귀의 전설 2부 633화</v>
      </c>
      <c r="D654" t="str">
        <f>T("633")</f>
        <v>633</v>
      </c>
      <c r="E654" t="str">
        <f t="shared" si="78"/>
        <v>김광수</v>
      </c>
      <c r="H654" t="str">
        <f t="shared" si="79"/>
        <v>스토리위즈</v>
      </c>
      <c r="I654" t="str">
        <f t="shared" si="80"/>
        <v>회귀의 전설</v>
      </c>
      <c r="J654">
        <v>100</v>
      </c>
      <c r="K654">
        <v>300</v>
      </c>
      <c r="L654">
        <v>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300</v>
      </c>
      <c r="AH654">
        <v>3</v>
      </c>
      <c r="AI654">
        <v>0</v>
      </c>
      <c r="AJ654">
        <v>0</v>
      </c>
      <c r="AK654">
        <v>200</v>
      </c>
      <c r="AL654">
        <v>0</v>
      </c>
      <c r="AM654">
        <v>120</v>
      </c>
      <c r="AN654">
        <v>-12</v>
      </c>
      <c r="AO654">
        <v>0</v>
      </c>
      <c r="AQ654">
        <v>0</v>
      </c>
      <c r="AR654">
        <v>0</v>
      </c>
      <c r="AS654">
        <v>120</v>
      </c>
      <c r="AT654">
        <v>-12</v>
      </c>
      <c r="AU654">
        <v>0</v>
      </c>
      <c r="AW654">
        <v>0</v>
      </c>
      <c r="AX654">
        <v>0</v>
      </c>
      <c r="AY654">
        <v>215.6</v>
      </c>
      <c r="BC654" t="str">
        <f>T("9791191102086")</f>
        <v>9791191102086</v>
      </c>
      <c r="BE654" t="str">
        <f t="shared" si="81"/>
        <v>판타지 웹소설 &gt; 현대 판타지</v>
      </c>
    </row>
    <row r="655" spans="1:57" x14ac:dyDescent="0.3">
      <c r="A655">
        <v>1525004030</v>
      </c>
      <c r="B655">
        <v>1525006823</v>
      </c>
      <c r="C655" t="str">
        <f>T("회귀의 전설 2부 706화")</f>
        <v>회귀의 전설 2부 706화</v>
      </c>
      <c r="D655" t="str">
        <f>T("706")</f>
        <v>706</v>
      </c>
      <c r="E655" t="str">
        <f t="shared" si="78"/>
        <v>김광수</v>
      </c>
      <c r="H655" t="str">
        <f t="shared" si="79"/>
        <v>스토리위즈</v>
      </c>
      <c r="I655" t="str">
        <f t="shared" si="80"/>
        <v>회귀의 전설</v>
      </c>
      <c r="J655">
        <v>100</v>
      </c>
      <c r="K655">
        <v>300</v>
      </c>
      <c r="L655">
        <v>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300</v>
      </c>
      <c r="AH655">
        <v>3</v>
      </c>
      <c r="AI655">
        <v>0</v>
      </c>
      <c r="AJ655">
        <v>0</v>
      </c>
      <c r="AK655">
        <v>200</v>
      </c>
      <c r="AL655">
        <v>0</v>
      </c>
      <c r="AM655">
        <v>120</v>
      </c>
      <c r="AN655">
        <v>-12</v>
      </c>
      <c r="AO655">
        <v>0</v>
      </c>
      <c r="AQ655">
        <v>0</v>
      </c>
      <c r="AR655">
        <v>0</v>
      </c>
      <c r="AS655">
        <v>120</v>
      </c>
      <c r="AT655">
        <v>-12</v>
      </c>
      <c r="AU655">
        <v>0</v>
      </c>
      <c r="AW655">
        <v>0</v>
      </c>
      <c r="AX655">
        <v>0</v>
      </c>
      <c r="AY655">
        <v>215.6</v>
      </c>
      <c r="BC655" t="str">
        <f>T("9791191102086")</f>
        <v>9791191102086</v>
      </c>
      <c r="BE655" t="str">
        <f t="shared" si="81"/>
        <v>판타지 웹소설 &gt; 현대 판타지</v>
      </c>
    </row>
    <row r="656" spans="1:57" x14ac:dyDescent="0.3">
      <c r="A656">
        <v>1525004030</v>
      </c>
      <c r="B656">
        <v>1525004146</v>
      </c>
      <c r="C656" t="str">
        <f>T("회귀의 전설 117화")</f>
        <v>회귀의 전설 117화</v>
      </c>
      <c r="D656" t="str">
        <f>T("117")</f>
        <v>117</v>
      </c>
      <c r="E656" t="str">
        <f t="shared" si="78"/>
        <v>김광수</v>
      </c>
      <c r="H656" t="str">
        <f t="shared" si="79"/>
        <v>스토리위즈</v>
      </c>
      <c r="I656" t="str">
        <f t="shared" si="80"/>
        <v>회귀의 전설</v>
      </c>
      <c r="J656">
        <v>100</v>
      </c>
      <c r="K656">
        <v>300</v>
      </c>
      <c r="L656">
        <v>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300</v>
      </c>
      <c r="AH656">
        <v>3</v>
      </c>
      <c r="AI656">
        <v>0</v>
      </c>
      <c r="AJ656">
        <v>0</v>
      </c>
      <c r="AK656">
        <v>200</v>
      </c>
      <c r="AL656">
        <v>0</v>
      </c>
      <c r="AM656">
        <v>120</v>
      </c>
      <c r="AN656">
        <v>-12</v>
      </c>
      <c r="AO656">
        <v>0</v>
      </c>
      <c r="AQ656">
        <v>0</v>
      </c>
      <c r="AR656">
        <v>0</v>
      </c>
      <c r="AS656">
        <v>120</v>
      </c>
      <c r="AT656">
        <v>-12</v>
      </c>
      <c r="AU656">
        <v>0</v>
      </c>
      <c r="AW656">
        <v>0</v>
      </c>
      <c r="AX656">
        <v>0</v>
      </c>
      <c r="AY656">
        <v>215.6</v>
      </c>
      <c r="BC656" t="str">
        <f>T("9788997946006")</f>
        <v>9788997946006</v>
      </c>
      <c r="BE656" t="str">
        <f t="shared" si="81"/>
        <v>판타지 웹소설 &gt; 현대 판타지</v>
      </c>
    </row>
    <row r="657" spans="1:57" x14ac:dyDescent="0.3">
      <c r="A657">
        <v>1525004030</v>
      </c>
      <c r="B657">
        <v>1525004179</v>
      </c>
      <c r="C657" t="str">
        <f>T("회귀의 전설 150화")</f>
        <v>회귀의 전설 150화</v>
      </c>
      <c r="D657" t="str">
        <f>T("150")</f>
        <v>150</v>
      </c>
      <c r="E657" t="str">
        <f t="shared" si="78"/>
        <v>김광수</v>
      </c>
      <c r="H657" t="str">
        <f t="shared" si="79"/>
        <v>스토리위즈</v>
      </c>
      <c r="I657" t="str">
        <f t="shared" si="80"/>
        <v>회귀의 전설</v>
      </c>
      <c r="J657">
        <v>100</v>
      </c>
      <c r="K657">
        <v>300</v>
      </c>
      <c r="L657">
        <v>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300</v>
      </c>
      <c r="AH657">
        <v>3</v>
      </c>
      <c r="AI657">
        <v>0</v>
      </c>
      <c r="AJ657">
        <v>0</v>
      </c>
      <c r="AK657">
        <v>200</v>
      </c>
      <c r="AL657">
        <v>0</v>
      </c>
      <c r="AM657">
        <v>120</v>
      </c>
      <c r="AN657">
        <v>-12</v>
      </c>
      <c r="AO657">
        <v>0</v>
      </c>
      <c r="AQ657">
        <v>0</v>
      </c>
      <c r="AR657">
        <v>0</v>
      </c>
      <c r="AS657">
        <v>120</v>
      </c>
      <c r="AT657">
        <v>-12</v>
      </c>
      <c r="AU657">
        <v>0</v>
      </c>
      <c r="AW657">
        <v>0</v>
      </c>
      <c r="AX657">
        <v>0</v>
      </c>
      <c r="AY657">
        <v>215.6</v>
      </c>
      <c r="BC657" t="str">
        <f>T("9788997946006")</f>
        <v>9788997946006</v>
      </c>
      <c r="BE657" t="str">
        <f t="shared" si="81"/>
        <v>판타지 웹소설 &gt; 현대 판타지</v>
      </c>
    </row>
    <row r="658" spans="1:57" x14ac:dyDescent="0.3">
      <c r="A658">
        <v>1525004030</v>
      </c>
      <c r="B658">
        <v>1525004298</v>
      </c>
      <c r="C658" t="str">
        <f>T("회귀의 전설 269화")</f>
        <v>회귀의 전설 269화</v>
      </c>
      <c r="D658" t="str">
        <f>T("269")</f>
        <v>269</v>
      </c>
      <c r="E658" t="str">
        <f t="shared" si="78"/>
        <v>김광수</v>
      </c>
      <c r="H658" t="str">
        <f t="shared" si="79"/>
        <v>스토리위즈</v>
      </c>
      <c r="I658" t="str">
        <f t="shared" si="80"/>
        <v>회귀의 전설</v>
      </c>
      <c r="J658">
        <v>100</v>
      </c>
      <c r="K658">
        <v>200</v>
      </c>
      <c r="L658">
        <v>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200</v>
      </c>
      <c r="AH658">
        <v>2</v>
      </c>
      <c r="AI658">
        <v>0</v>
      </c>
      <c r="AJ658">
        <v>0</v>
      </c>
      <c r="AK658">
        <v>200</v>
      </c>
      <c r="AL658">
        <v>0</v>
      </c>
      <c r="AM658">
        <v>0</v>
      </c>
      <c r="AN658">
        <v>0</v>
      </c>
      <c r="AO658">
        <v>0</v>
      </c>
      <c r="AQ658">
        <v>0</v>
      </c>
      <c r="AR658">
        <v>0</v>
      </c>
      <c r="AT658">
        <v>0</v>
      </c>
      <c r="AU658">
        <v>0</v>
      </c>
      <c r="AW658">
        <v>0</v>
      </c>
      <c r="AX658">
        <v>0</v>
      </c>
      <c r="AY658">
        <v>140</v>
      </c>
      <c r="BC658" t="str">
        <f>T("9788997946006")</f>
        <v>9788997946006</v>
      </c>
      <c r="BE658" t="str">
        <f t="shared" si="81"/>
        <v>판타지 웹소설 &gt; 현대 판타지</v>
      </c>
    </row>
    <row r="659" spans="1:57" x14ac:dyDescent="0.3">
      <c r="A659">
        <v>1525004030</v>
      </c>
      <c r="B659">
        <v>1525006666</v>
      </c>
      <c r="C659" t="str">
        <f>T("회귀의 전설 2부 549화")</f>
        <v>회귀의 전설 2부 549화</v>
      </c>
      <c r="D659" t="str">
        <f>T("549")</f>
        <v>549</v>
      </c>
      <c r="E659" t="str">
        <f t="shared" si="78"/>
        <v>김광수</v>
      </c>
      <c r="H659" t="str">
        <f t="shared" si="79"/>
        <v>스토리위즈</v>
      </c>
      <c r="I659" t="str">
        <f t="shared" si="80"/>
        <v>회귀의 전설</v>
      </c>
      <c r="J659">
        <v>100</v>
      </c>
      <c r="K659">
        <v>200</v>
      </c>
      <c r="L659">
        <v>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200</v>
      </c>
      <c r="AH659">
        <v>2</v>
      </c>
      <c r="AI659">
        <v>0</v>
      </c>
      <c r="AJ659">
        <v>0</v>
      </c>
      <c r="AK659">
        <v>200</v>
      </c>
      <c r="AL659">
        <v>0</v>
      </c>
      <c r="AM659">
        <v>0</v>
      </c>
      <c r="AN659">
        <v>0</v>
      </c>
      <c r="AO659">
        <v>0</v>
      </c>
      <c r="AQ659">
        <v>0</v>
      </c>
      <c r="AR659">
        <v>0</v>
      </c>
      <c r="AT659">
        <v>0</v>
      </c>
      <c r="AU659">
        <v>0</v>
      </c>
      <c r="AW659">
        <v>0</v>
      </c>
      <c r="AX659">
        <v>0</v>
      </c>
      <c r="AY659">
        <v>140</v>
      </c>
      <c r="BC659" t="str">
        <f>T("9791191102086")</f>
        <v>9791191102086</v>
      </c>
      <c r="BE659" t="str">
        <f t="shared" si="81"/>
        <v>판타지 웹소설 &gt; 현대 판타지</v>
      </c>
    </row>
    <row r="660" spans="1:57" x14ac:dyDescent="0.3">
      <c r="A660">
        <v>1525004030</v>
      </c>
      <c r="B660">
        <v>1525004086</v>
      </c>
      <c r="C660" t="str">
        <f>T("회귀의 전설 57화")</f>
        <v>회귀의 전설 57화</v>
      </c>
      <c r="D660" t="str">
        <f>T("57")</f>
        <v>57</v>
      </c>
      <c r="E660" t="str">
        <f t="shared" si="78"/>
        <v>김광수</v>
      </c>
      <c r="H660" t="str">
        <f t="shared" si="79"/>
        <v>스토리위즈</v>
      </c>
      <c r="I660" t="str">
        <f t="shared" si="80"/>
        <v>회귀의 전설</v>
      </c>
      <c r="J660">
        <v>100</v>
      </c>
      <c r="K660">
        <v>200</v>
      </c>
      <c r="L660">
        <v>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200</v>
      </c>
      <c r="AH660">
        <v>2</v>
      </c>
      <c r="AI660">
        <v>0</v>
      </c>
      <c r="AJ660">
        <v>0</v>
      </c>
      <c r="AK660">
        <v>100</v>
      </c>
      <c r="AL660">
        <v>0</v>
      </c>
      <c r="AM660">
        <v>120</v>
      </c>
      <c r="AN660">
        <v>-36</v>
      </c>
      <c r="AO660">
        <v>0</v>
      </c>
      <c r="AQ660">
        <v>0</v>
      </c>
      <c r="AR660">
        <v>0</v>
      </c>
      <c r="AS660">
        <v>120</v>
      </c>
      <c r="AT660">
        <v>-36</v>
      </c>
      <c r="AU660">
        <v>0</v>
      </c>
      <c r="AW660">
        <v>0</v>
      </c>
      <c r="AX660">
        <v>0</v>
      </c>
      <c r="AY660">
        <v>128.80000000000001</v>
      </c>
      <c r="BC660" t="str">
        <f>T("9788997946006")</f>
        <v>9788997946006</v>
      </c>
      <c r="BE660" t="str">
        <f t="shared" si="81"/>
        <v>판타지 웹소설 &gt; 현대 판타지</v>
      </c>
    </row>
    <row r="661" spans="1:57" x14ac:dyDescent="0.3">
      <c r="A661">
        <v>1525004030</v>
      </c>
      <c r="B661">
        <v>1525006780</v>
      </c>
      <c r="C661" t="str">
        <f>T("회귀의 전설 2부 663화")</f>
        <v>회귀의 전설 2부 663화</v>
      </c>
      <c r="D661" t="str">
        <f>T("663")</f>
        <v>663</v>
      </c>
      <c r="E661" t="str">
        <f t="shared" si="78"/>
        <v>김광수</v>
      </c>
      <c r="H661" t="str">
        <f t="shared" si="79"/>
        <v>스토리위즈</v>
      </c>
      <c r="I661" t="str">
        <f t="shared" si="80"/>
        <v>회귀의 전설</v>
      </c>
      <c r="J661">
        <v>100</v>
      </c>
      <c r="K661">
        <v>200</v>
      </c>
      <c r="L661">
        <v>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200</v>
      </c>
      <c r="AH661">
        <v>2</v>
      </c>
      <c r="AI661">
        <v>0</v>
      </c>
      <c r="AJ661">
        <v>0</v>
      </c>
      <c r="AK661">
        <v>100</v>
      </c>
      <c r="AL661">
        <v>0</v>
      </c>
      <c r="AM661">
        <v>120</v>
      </c>
      <c r="AN661">
        <v>-12</v>
      </c>
      <c r="AO661">
        <v>0</v>
      </c>
      <c r="AQ661">
        <v>0</v>
      </c>
      <c r="AR661">
        <v>0</v>
      </c>
      <c r="AS661">
        <v>120</v>
      </c>
      <c r="AT661">
        <v>-12</v>
      </c>
      <c r="AU661">
        <v>0</v>
      </c>
      <c r="AW661">
        <v>0</v>
      </c>
      <c r="AX661">
        <v>0</v>
      </c>
      <c r="AY661">
        <v>145.6</v>
      </c>
      <c r="BC661" t="str">
        <f>T("9791191102086")</f>
        <v>9791191102086</v>
      </c>
      <c r="BE661" t="str">
        <f t="shared" si="81"/>
        <v>판타지 웹소설 &gt; 현대 판타지</v>
      </c>
    </row>
    <row r="662" spans="1:57" x14ac:dyDescent="0.3">
      <c r="A662">
        <v>1525004030</v>
      </c>
      <c r="B662">
        <v>1525004330</v>
      </c>
      <c r="C662" t="str">
        <f>T("회귀의 전설 301화")</f>
        <v>회귀의 전설 301화</v>
      </c>
      <c r="D662" t="str">
        <f>T("301")</f>
        <v>301</v>
      </c>
      <c r="E662" t="str">
        <f t="shared" si="78"/>
        <v>김광수</v>
      </c>
      <c r="H662" t="str">
        <f t="shared" si="79"/>
        <v>스토리위즈</v>
      </c>
      <c r="I662" t="str">
        <f t="shared" si="80"/>
        <v>회귀의 전설</v>
      </c>
      <c r="J662">
        <v>100</v>
      </c>
      <c r="K662">
        <v>200</v>
      </c>
      <c r="L662">
        <v>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200</v>
      </c>
      <c r="AH662">
        <v>2</v>
      </c>
      <c r="AI662">
        <v>0</v>
      </c>
      <c r="AJ662">
        <v>0</v>
      </c>
      <c r="AK662">
        <v>200</v>
      </c>
      <c r="AL662">
        <v>0</v>
      </c>
      <c r="AM662">
        <v>0</v>
      </c>
      <c r="AN662">
        <v>0</v>
      </c>
      <c r="AO662">
        <v>0</v>
      </c>
      <c r="AQ662">
        <v>0</v>
      </c>
      <c r="AR662">
        <v>0</v>
      </c>
      <c r="AT662">
        <v>0</v>
      </c>
      <c r="AU662">
        <v>0</v>
      </c>
      <c r="AW662">
        <v>0</v>
      </c>
      <c r="AX662">
        <v>0</v>
      </c>
      <c r="AY662">
        <v>140</v>
      </c>
      <c r="BC662" t="str">
        <f>T("9788997946006")</f>
        <v>9788997946006</v>
      </c>
      <c r="BE662" t="str">
        <f t="shared" si="81"/>
        <v>판타지 웹소설 &gt; 현대 판타지</v>
      </c>
    </row>
    <row r="663" spans="1:57" x14ac:dyDescent="0.3">
      <c r="A663">
        <v>1525004030</v>
      </c>
      <c r="B663">
        <v>1525004241</v>
      </c>
      <c r="C663" t="str">
        <f>T("회귀의 전설 212화")</f>
        <v>회귀의 전설 212화</v>
      </c>
      <c r="D663" t="str">
        <f>T("212")</f>
        <v>212</v>
      </c>
      <c r="E663" t="str">
        <f t="shared" si="78"/>
        <v>김광수</v>
      </c>
      <c r="H663" t="str">
        <f t="shared" si="79"/>
        <v>스토리위즈</v>
      </c>
      <c r="I663" t="str">
        <f t="shared" si="80"/>
        <v>회귀의 전설</v>
      </c>
      <c r="J663">
        <v>100</v>
      </c>
      <c r="K663">
        <v>200</v>
      </c>
      <c r="L663">
        <v>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200</v>
      </c>
      <c r="AH663">
        <v>2</v>
      </c>
      <c r="AI663">
        <v>0</v>
      </c>
      <c r="AJ663">
        <v>0</v>
      </c>
      <c r="AK663">
        <v>200</v>
      </c>
      <c r="AL663">
        <v>0</v>
      </c>
      <c r="AM663">
        <v>0</v>
      </c>
      <c r="AN663">
        <v>0</v>
      </c>
      <c r="AO663">
        <v>0</v>
      </c>
      <c r="AQ663">
        <v>0</v>
      </c>
      <c r="AR663">
        <v>0</v>
      </c>
      <c r="AT663">
        <v>0</v>
      </c>
      <c r="AU663">
        <v>0</v>
      </c>
      <c r="AW663">
        <v>0</v>
      </c>
      <c r="AX663">
        <v>0</v>
      </c>
      <c r="AY663">
        <v>140</v>
      </c>
      <c r="BC663" t="str">
        <f>T("9788997946006")</f>
        <v>9788997946006</v>
      </c>
      <c r="BE663" t="str">
        <f t="shared" si="81"/>
        <v>판타지 웹소설 &gt; 현대 판타지</v>
      </c>
    </row>
    <row r="664" spans="1:57" x14ac:dyDescent="0.3">
      <c r="A664">
        <v>1525004030</v>
      </c>
      <c r="B664">
        <v>1525006698</v>
      </c>
      <c r="C664" t="str">
        <f>T("회귀의 전설 2부 581화")</f>
        <v>회귀의 전설 2부 581화</v>
      </c>
      <c r="D664" t="str">
        <f>T("581")</f>
        <v>581</v>
      </c>
      <c r="E664" t="str">
        <f t="shared" si="78"/>
        <v>김광수</v>
      </c>
      <c r="H664" t="str">
        <f t="shared" si="79"/>
        <v>스토리위즈</v>
      </c>
      <c r="I664" t="str">
        <f t="shared" si="80"/>
        <v>회귀의 전설</v>
      </c>
      <c r="J664">
        <v>100</v>
      </c>
      <c r="K664">
        <v>200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200</v>
      </c>
      <c r="AH664">
        <v>2</v>
      </c>
      <c r="AI664">
        <v>0</v>
      </c>
      <c r="AJ664">
        <v>0</v>
      </c>
      <c r="AK664">
        <v>200</v>
      </c>
      <c r="AL664">
        <v>0</v>
      </c>
      <c r="AM664">
        <v>0</v>
      </c>
      <c r="AN664">
        <v>0</v>
      </c>
      <c r="AO664">
        <v>0</v>
      </c>
      <c r="AQ664">
        <v>0</v>
      </c>
      <c r="AR664">
        <v>0</v>
      </c>
      <c r="AT664">
        <v>0</v>
      </c>
      <c r="AU664">
        <v>0</v>
      </c>
      <c r="AW664">
        <v>0</v>
      </c>
      <c r="AX664">
        <v>0</v>
      </c>
      <c r="AY664">
        <v>140</v>
      </c>
      <c r="BC664" t="str">
        <f>T("9791191102086")</f>
        <v>9791191102086</v>
      </c>
      <c r="BE664" t="str">
        <f t="shared" si="81"/>
        <v>판타지 웹소설 &gt; 현대 판타지</v>
      </c>
    </row>
    <row r="665" spans="1:57" x14ac:dyDescent="0.3">
      <c r="A665">
        <v>1525004030</v>
      </c>
      <c r="B665">
        <v>1525006853</v>
      </c>
      <c r="C665" t="str">
        <f>T("회귀의 전설 2부 736화")</f>
        <v>회귀의 전설 2부 736화</v>
      </c>
      <c r="D665" t="str">
        <f>T("736")</f>
        <v>736</v>
      </c>
      <c r="E665" t="str">
        <f t="shared" si="78"/>
        <v>김광수</v>
      </c>
      <c r="H665" t="str">
        <f t="shared" si="79"/>
        <v>스토리위즈</v>
      </c>
      <c r="I665" t="str">
        <f t="shared" si="80"/>
        <v>회귀의 전설</v>
      </c>
      <c r="J665">
        <v>100</v>
      </c>
      <c r="K665">
        <v>200</v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200</v>
      </c>
      <c r="AH665">
        <v>2</v>
      </c>
      <c r="AI665">
        <v>0</v>
      </c>
      <c r="AJ665">
        <v>0</v>
      </c>
      <c r="AK665">
        <v>100</v>
      </c>
      <c r="AL665">
        <v>0</v>
      </c>
      <c r="AM665">
        <v>120</v>
      </c>
      <c r="AN665">
        <v>-12</v>
      </c>
      <c r="AO665">
        <v>0</v>
      </c>
      <c r="AQ665">
        <v>0</v>
      </c>
      <c r="AR665">
        <v>0</v>
      </c>
      <c r="AS665">
        <v>120</v>
      </c>
      <c r="AT665">
        <v>-12</v>
      </c>
      <c r="AU665">
        <v>0</v>
      </c>
      <c r="AW665">
        <v>0</v>
      </c>
      <c r="AX665">
        <v>0</v>
      </c>
      <c r="AY665">
        <v>145.6</v>
      </c>
      <c r="BC665" t="str">
        <f>T("9791191102086")</f>
        <v>9791191102086</v>
      </c>
      <c r="BE665" t="str">
        <f t="shared" si="81"/>
        <v>판타지 웹소설 &gt; 현대 판타지</v>
      </c>
    </row>
    <row r="666" spans="1:57" x14ac:dyDescent="0.3">
      <c r="A666">
        <v>1525004030</v>
      </c>
      <c r="B666">
        <v>1525006812</v>
      </c>
      <c r="C666" t="str">
        <f>T("회귀의 전설 2부 695화")</f>
        <v>회귀의 전설 2부 695화</v>
      </c>
      <c r="D666" t="str">
        <f>T("695")</f>
        <v>695</v>
      </c>
      <c r="E666" t="str">
        <f t="shared" si="78"/>
        <v>김광수</v>
      </c>
      <c r="H666" t="str">
        <f t="shared" si="79"/>
        <v>스토리위즈</v>
      </c>
      <c r="I666" t="str">
        <f t="shared" si="80"/>
        <v>회귀의 전설</v>
      </c>
      <c r="J666">
        <v>100</v>
      </c>
      <c r="K666">
        <v>200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200</v>
      </c>
      <c r="AH666">
        <v>2</v>
      </c>
      <c r="AI666">
        <v>0</v>
      </c>
      <c r="AJ666">
        <v>0</v>
      </c>
      <c r="AK666">
        <v>100</v>
      </c>
      <c r="AL666">
        <v>0</v>
      </c>
      <c r="AM666">
        <v>120</v>
      </c>
      <c r="AN666">
        <v>-12</v>
      </c>
      <c r="AO666">
        <v>0</v>
      </c>
      <c r="AQ666">
        <v>0</v>
      </c>
      <c r="AR666">
        <v>0</v>
      </c>
      <c r="AS666">
        <v>120</v>
      </c>
      <c r="AT666">
        <v>-12</v>
      </c>
      <c r="AU666">
        <v>0</v>
      </c>
      <c r="AW666">
        <v>0</v>
      </c>
      <c r="AX666">
        <v>0</v>
      </c>
      <c r="AY666">
        <v>145.6</v>
      </c>
      <c r="BC666" t="str">
        <f>T("9791191102086")</f>
        <v>9791191102086</v>
      </c>
      <c r="BE666" t="str">
        <f t="shared" si="81"/>
        <v>판타지 웹소설 &gt; 현대 판타지</v>
      </c>
    </row>
    <row r="667" spans="1:57" x14ac:dyDescent="0.3">
      <c r="A667">
        <v>1525004030</v>
      </c>
      <c r="B667">
        <v>1525004273</v>
      </c>
      <c r="C667" t="str">
        <f>T("회귀의 전설 244화")</f>
        <v>회귀의 전설 244화</v>
      </c>
      <c r="D667" t="str">
        <f>T("244")</f>
        <v>244</v>
      </c>
      <c r="E667" t="str">
        <f t="shared" si="78"/>
        <v>김광수</v>
      </c>
      <c r="H667" t="str">
        <f t="shared" si="79"/>
        <v>스토리위즈</v>
      </c>
      <c r="I667" t="str">
        <f t="shared" si="80"/>
        <v>회귀의 전설</v>
      </c>
      <c r="J667">
        <v>100</v>
      </c>
      <c r="K667">
        <v>200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200</v>
      </c>
      <c r="AH667">
        <v>2</v>
      </c>
      <c r="AI667">
        <v>0</v>
      </c>
      <c r="AJ667">
        <v>0</v>
      </c>
      <c r="AK667">
        <v>200</v>
      </c>
      <c r="AL667">
        <v>0</v>
      </c>
      <c r="AM667">
        <v>0</v>
      </c>
      <c r="AN667">
        <v>0</v>
      </c>
      <c r="AO667">
        <v>0</v>
      </c>
      <c r="AQ667">
        <v>0</v>
      </c>
      <c r="AR667">
        <v>0</v>
      </c>
      <c r="AT667">
        <v>0</v>
      </c>
      <c r="AU667">
        <v>0</v>
      </c>
      <c r="AW667">
        <v>0</v>
      </c>
      <c r="AX667">
        <v>0</v>
      </c>
      <c r="AY667">
        <v>140</v>
      </c>
      <c r="BC667" t="str">
        <f t="shared" ref="BC667:BC677" si="82">T("9788997946006")</f>
        <v>9788997946006</v>
      </c>
      <c r="BE667" t="str">
        <f t="shared" si="81"/>
        <v>판타지 웹소설 &gt; 현대 판타지</v>
      </c>
    </row>
    <row r="668" spans="1:57" x14ac:dyDescent="0.3">
      <c r="A668">
        <v>1525004030</v>
      </c>
      <c r="B668">
        <v>1525004347</v>
      </c>
      <c r="C668" t="str">
        <f>T("회귀의 전설 319화")</f>
        <v>회귀의 전설 319화</v>
      </c>
      <c r="D668" t="str">
        <f>T("319")</f>
        <v>319</v>
      </c>
      <c r="E668" t="str">
        <f t="shared" si="78"/>
        <v>김광수</v>
      </c>
      <c r="H668" t="str">
        <f t="shared" si="79"/>
        <v>스토리위즈</v>
      </c>
      <c r="I668" t="str">
        <f t="shared" si="80"/>
        <v>회귀의 전설</v>
      </c>
      <c r="J668">
        <v>100</v>
      </c>
      <c r="K668">
        <v>200</v>
      </c>
      <c r="L668">
        <v>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200</v>
      </c>
      <c r="AH668">
        <v>2</v>
      </c>
      <c r="AI668">
        <v>0</v>
      </c>
      <c r="AJ668">
        <v>0</v>
      </c>
      <c r="AK668">
        <v>200</v>
      </c>
      <c r="AL668">
        <v>0</v>
      </c>
      <c r="AM668">
        <v>0</v>
      </c>
      <c r="AN668">
        <v>0</v>
      </c>
      <c r="AO668">
        <v>0</v>
      </c>
      <c r="AQ668">
        <v>0</v>
      </c>
      <c r="AR668">
        <v>0</v>
      </c>
      <c r="AT668">
        <v>0</v>
      </c>
      <c r="AU668">
        <v>0</v>
      </c>
      <c r="AW668">
        <v>0</v>
      </c>
      <c r="AX668">
        <v>0</v>
      </c>
      <c r="AY668">
        <v>140</v>
      </c>
      <c r="BC668" t="str">
        <f t="shared" si="82"/>
        <v>9788997946006</v>
      </c>
      <c r="BE668" t="str">
        <f t="shared" si="81"/>
        <v>판타지 웹소설 &gt; 현대 판타지</v>
      </c>
    </row>
    <row r="669" spans="1:57" x14ac:dyDescent="0.3">
      <c r="A669">
        <v>1525004030</v>
      </c>
      <c r="B669">
        <v>1525004404</v>
      </c>
      <c r="C669" t="str">
        <f>T("회귀의 전설 376화")</f>
        <v>회귀의 전설 376화</v>
      </c>
      <c r="D669" t="str">
        <f>T("376")</f>
        <v>376</v>
      </c>
      <c r="E669" t="str">
        <f t="shared" si="78"/>
        <v>김광수</v>
      </c>
      <c r="H669" t="str">
        <f t="shared" si="79"/>
        <v>스토리위즈</v>
      </c>
      <c r="I669" t="str">
        <f t="shared" si="80"/>
        <v>회귀의 전설</v>
      </c>
      <c r="J669">
        <v>100</v>
      </c>
      <c r="K669">
        <v>200</v>
      </c>
      <c r="L669">
        <v>2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200</v>
      </c>
      <c r="AH669">
        <v>2</v>
      </c>
      <c r="AI669">
        <v>0</v>
      </c>
      <c r="AJ669">
        <v>0</v>
      </c>
      <c r="AK669">
        <v>200</v>
      </c>
      <c r="AL669">
        <v>0</v>
      </c>
      <c r="AM669">
        <v>0</v>
      </c>
      <c r="AN669">
        <v>0</v>
      </c>
      <c r="AO669">
        <v>0</v>
      </c>
      <c r="AQ669">
        <v>0</v>
      </c>
      <c r="AR669">
        <v>0</v>
      </c>
      <c r="AT669">
        <v>0</v>
      </c>
      <c r="AU669">
        <v>0</v>
      </c>
      <c r="AW669">
        <v>0</v>
      </c>
      <c r="AX669">
        <v>0</v>
      </c>
      <c r="AY669">
        <v>140</v>
      </c>
      <c r="BC669" t="str">
        <f t="shared" si="82"/>
        <v>9788997946006</v>
      </c>
      <c r="BE669" t="str">
        <f t="shared" si="81"/>
        <v>판타지 웹소설 &gt; 현대 판타지</v>
      </c>
    </row>
    <row r="670" spans="1:57" x14ac:dyDescent="0.3">
      <c r="A670">
        <v>1525004030</v>
      </c>
      <c r="B670">
        <v>1525004379</v>
      </c>
      <c r="C670" t="str">
        <f>T("회귀의 전설 351화")</f>
        <v>회귀의 전설 351화</v>
      </c>
      <c r="D670" t="str">
        <f>T("351")</f>
        <v>351</v>
      </c>
      <c r="E670" t="str">
        <f t="shared" si="78"/>
        <v>김광수</v>
      </c>
      <c r="H670" t="str">
        <f t="shared" si="79"/>
        <v>스토리위즈</v>
      </c>
      <c r="I670" t="str">
        <f t="shared" si="80"/>
        <v>회귀의 전설</v>
      </c>
      <c r="J670">
        <v>100</v>
      </c>
      <c r="K670">
        <v>200</v>
      </c>
      <c r="L670">
        <v>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200</v>
      </c>
      <c r="AH670">
        <v>2</v>
      </c>
      <c r="AI670">
        <v>0</v>
      </c>
      <c r="AJ670">
        <v>0</v>
      </c>
      <c r="AK670">
        <v>200</v>
      </c>
      <c r="AL670">
        <v>0</v>
      </c>
      <c r="AM670">
        <v>0</v>
      </c>
      <c r="AN670">
        <v>0</v>
      </c>
      <c r="AO670">
        <v>0</v>
      </c>
      <c r="AQ670">
        <v>0</v>
      </c>
      <c r="AR670">
        <v>0</v>
      </c>
      <c r="AT670">
        <v>0</v>
      </c>
      <c r="AU670">
        <v>0</v>
      </c>
      <c r="AW670">
        <v>0</v>
      </c>
      <c r="AX670">
        <v>0</v>
      </c>
      <c r="AY670">
        <v>140</v>
      </c>
      <c r="BC670" t="str">
        <f t="shared" si="82"/>
        <v>9788997946006</v>
      </c>
      <c r="BE670" t="str">
        <f t="shared" si="81"/>
        <v>판타지 웹소설 &gt; 현대 판타지</v>
      </c>
    </row>
    <row r="671" spans="1:57" x14ac:dyDescent="0.3">
      <c r="A671">
        <v>1525004030</v>
      </c>
      <c r="B671">
        <v>1525004436</v>
      </c>
      <c r="C671" t="str">
        <f>T("회귀의 전설 420화")</f>
        <v>회귀의 전설 420화</v>
      </c>
      <c r="D671" t="str">
        <f>T("420")</f>
        <v>420</v>
      </c>
      <c r="E671" t="str">
        <f t="shared" si="78"/>
        <v>김광수</v>
      </c>
      <c r="H671" t="str">
        <f t="shared" si="79"/>
        <v>스토리위즈</v>
      </c>
      <c r="I671" t="str">
        <f t="shared" si="80"/>
        <v>회귀의 전설</v>
      </c>
      <c r="J671">
        <v>100</v>
      </c>
      <c r="K671">
        <v>200</v>
      </c>
      <c r="L671">
        <v>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200</v>
      </c>
      <c r="AH671">
        <v>2</v>
      </c>
      <c r="AI671">
        <v>0</v>
      </c>
      <c r="AJ671">
        <v>0</v>
      </c>
      <c r="AK671">
        <v>200</v>
      </c>
      <c r="AL671">
        <v>0</v>
      </c>
      <c r="AM671">
        <v>0</v>
      </c>
      <c r="AN671">
        <v>0</v>
      </c>
      <c r="AO671">
        <v>0</v>
      </c>
      <c r="AQ671">
        <v>0</v>
      </c>
      <c r="AR671">
        <v>0</v>
      </c>
      <c r="AT671">
        <v>0</v>
      </c>
      <c r="AU671">
        <v>0</v>
      </c>
      <c r="AW671">
        <v>0</v>
      </c>
      <c r="AX671">
        <v>0</v>
      </c>
      <c r="AY671">
        <v>140</v>
      </c>
      <c r="BC671" t="str">
        <f t="shared" si="82"/>
        <v>9788997946006</v>
      </c>
      <c r="BE671" t="str">
        <f t="shared" si="81"/>
        <v>판타지 웹소설 &gt; 현대 판타지</v>
      </c>
    </row>
    <row r="672" spans="1:57" x14ac:dyDescent="0.3">
      <c r="A672">
        <v>1525004030</v>
      </c>
      <c r="B672">
        <v>1525004493</v>
      </c>
      <c r="C672" t="str">
        <f>T("회귀의 전설 477화")</f>
        <v>회귀의 전설 477화</v>
      </c>
      <c r="D672" t="str">
        <f>T("477")</f>
        <v>477</v>
      </c>
      <c r="E672" t="str">
        <f t="shared" si="78"/>
        <v>김광수</v>
      </c>
      <c r="H672" t="str">
        <f t="shared" si="79"/>
        <v>스토리위즈</v>
      </c>
      <c r="I672" t="str">
        <f t="shared" si="80"/>
        <v>회귀의 전설</v>
      </c>
      <c r="J672">
        <v>100</v>
      </c>
      <c r="K672">
        <v>200</v>
      </c>
      <c r="L672">
        <v>2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200</v>
      </c>
      <c r="AH672">
        <v>2</v>
      </c>
      <c r="AI672">
        <v>0</v>
      </c>
      <c r="AJ672">
        <v>0</v>
      </c>
      <c r="AK672">
        <v>200</v>
      </c>
      <c r="AL672">
        <v>0</v>
      </c>
      <c r="AM672">
        <v>0</v>
      </c>
      <c r="AN672">
        <v>0</v>
      </c>
      <c r="AO672">
        <v>0</v>
      </c>
      <c r="AQ672">
        <v>0</v>
      </c>
      <c r="AR672">
        <v>0</v>
      </c>
      <c r="AT672">
        <v>0</v>
      </c>
      <c r="AU672">
        <v>0</v>
      </c>
      <c r="AW672">
        <v>0</v>
      </c>
      <c r="AX672">
        <v>0</v>
      </c>
      <c r="AY672">
        <v>140</v>
      </c>
      <c r="BC672" t="str">
        <f t="shared" si="82"/>
        <v>9788997946006</v>
      </c>
      <c r="BE672" t="str">
        <f t="shared" si="81"/>
        <v>판타지 웹소설 &gt; 현대 판타지</v>
      </c>
    </row>
    <row r="673" spans="1:57" x14ac:dyDescent="0.3">
      <c r="A673">
        <v>1525004030</v>
      </c>
      <c r="B673">
        <v>1525004368</v>
      </c>
      <c r="C673" t="str">
        <f>T("회귀의 전설 340화")</f>
        <v>회귀의 전설 340화</v>
      </c>
      <c r="D673" t="str">
        <f>T("340")</f>
        <v>340</v>
      </c>
      <c r="E673" t="str">
        <f t="shared" si="78"/>
        <v>김광수</v>
      </c>
      <c r="H673" t="str">
        <f t="shared" si="79"/>
        <v>스토리위즈</v>
      </c>
      <c r="I673" t="str">
        <f t="shared" si="80"/>
        <v>회귀의 전설</v>
      </c>
      <c r="J673">
        <v>100</v>
      </c>
      <c r="K673">
        <v>200</v>
      </c>
      <c r="L673">
        <v>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200</v>
      </c>
      <c r="AH673">
        <v>2</v>
      </c>
      <c r="AI673">
        <v>0</v>
      </c>
      <c r="AJ673">
        <v>0</v>
      </c>
      <c r="AK673">
        <v>200</v>
      </c>
      <c r="AL673">
        <v>0</v>
      </c>
      <c r="AM673">
        <v>0</v>
      </c>
      <c r="AN673">
        <v>0</v>
      </c>
      <c r="AO673">
        <v>0</v>
      </c>
      <c r="AQ673">
        <v>0</v>
      </c>
      <c r="AR673">
        <v>0</v>
      </c>
      <c r="AT673">
        <v>0</v>
      </c>
      <c r="AU673">
        <v>0</v>
      </c>
      <c r="AW673">
        <v>0</v>
      </c>
      <c r="AX673">
        <v>0</v>
      </c>
      <c r="AY673">
        <v>140</v>
      </c>
      <c r="BC673" t="str">
        <f t="shared" si="82"/>
        <v>9788997946006</v>
      </c>
      <c r="BE673" t="str">
        <f t="shared" si="81"/>
        <v>판타지 웹소설 &gt; 현대 판타지</v>
      </c>
    </row>
    <row r="674" spans="1:57" x14ac:dyDescent="0.3">
      <c r="A674">
        <v>1525004030</v>
      </c>
      <c r="B674">
        <v>1525004425</v>
      </c>
      <c r="C674" t="str">
        <f>T("회귀의 전설 409화")</f>
        <v>회귀의 전설 409화</v>
      </c>
      <c r="D674" t="str">
        <f>T("409")</f>
        <v>409</v>
      </c>
      <c r="E674" t="str">
        <f t="shared" si="78"/>
        <v>김광수</v>
      </c>
      <c r="H674" t="str">
        <f t="shared" si="79"/>
        <v>스토리위즈</v>
      </c>
      <c r="I674" t="str">
        <f t="shared" si="80"/>
        <v>회귀의 전설</v>
      </c>
      <c r="J674">
        <v>100</v>
      </c>
      <c r="K674">
        <v>200</v>
      </c>
      <c r="L674">
        <v>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200</v>
      </c>
      <c r="AH674">
        <v>2</v>
      </c>
      <c r="AI674">
        <v>0</v>
      </c>
      <c r="AJ674">
        <v>0</v>
      </c>
      <c r="AK674">
        <v>200</v>
      </c>
      <c r="AL674">
        <v>0</v>
      </c>
      <c r="AM674">
        <v>0</v>
      </c>
      <c r="AN674">
        <v>0</v>
      </c>
      <c r="AO674">
        <v>0</v>
      </c>
      <c r="AQ674">
        <v>0</v>
      </c>
      <c r="AR674">
        <v>0</v>
      </c>
      <c r="AT674">
        <v>0</v>
      </c>
      <c r="AU674">
        <v>0</v>
      </c>
      <c r="AW674">
        <v>0</v>
      </c>
      <c r="AX674">
        <v>0</v>
      </c>
      <c r="AY674">
        <v>140</v>
      </c>
      <c r="BC674" t="str">
        <f t="shared" si="82"/>
        <v>9788997946006</v>
      </c>
      <c r="BE674" t="str">
        <f t="shared" si="81"/>
        <v>판타지 웹소설 &gt; 현대 판타지</v>
      </c>
    </row>
    <row r="675" spans="1:57" x14ac:dyDescent="0.3">
      <c r="A675">
        <v>1525004030</v>
      </c>
      <c r="B675">
        <v>1525004482</v>
      </c>
      <c r="C675" t="str">
        <f>T("회귀의 전설 466화")</f>
        <v>회귀의 전설 466화</v>
      </c>
      <c r="D675" t="str">
        <f>T("466")</f>
        <v>466</v>
      </c>
      <c r="E675" t="str">
        <f t="shared" si="78"/>
        <v>김광수</v>
      </c>
      <c r="H675" t="str">
        <f t="shared" si="79"/>
        <v>스토리위즈</v>
      </c>
      <c r="I675" t="str">
        <f t="shared" si="80"/>
        <v>회귀의 전설</v>
      </c>
      <c r="J675">
        <v>100</v>
      </c>
      <c r="K675">
        <v>200</v>
      </c>
      <c r="L675">
        <v>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200</v>
      </c>
      <c r="AH675">
        <v>2</v>
      </c>
      <c r="AI675">
        <v>0</v>
      </c>
      <c r="AJ675">
        <v>0</v>
      </c>
      <c r="AK675">
        <v>200</v>
      </c>
      <c r="AL675">
        <v>0</v>
      </c>
      <c r="AM675">
        <v>0</v>
      </c>
      <c r="AN675">
        <v>0</v>
      </c>
      <c r="AO675">
        <v>0</v>
      </c>
      <c r="AQ675">
        <v>0</v>
      </c>
      <c r="AR675">
        <v>0</v>
      </c>
      <c r="AT675">
        <v>0</v>
      </c>
      <c r="AU675">
        <v>0</v>
      </c>
      <c r="AW675">
        <v>0</v>
      </c>
      <c r="AX675">
        <v>0</v>
      </c>
      <c r="AY675">
        <v>140</v>
      </c>
      <c r="BC675" t="str">
        <f t="shared" si="82"/>
        <v>9788997946006</v>
      </c>
      <c r="BE675" t="str">
        <f t="shared" si="81"/>
        <v>판타지 웹소설 &gt; 현대 판타지</v>
      </c>
    </row>
    <row r="676" spans="1:57" x14ac:dyDescent="0.3">
      <c r="A676">
        <v>1525004030</v>
      </c>
      <c r="B676">
        <v>1525004156</v>
      </c>
      <c r="C676" t="str">
        <f>T("회귀의 전설 127화")</f>
        <v>회귀의 전설 127화</v>
      </c>
      <c r="D676" t="str">
        <f>T("127")</f>
        <v>127</v>
      </c>
      <c r="E676" t="str">
        <f t="shared" si="78"/>
        <v>김광수</v>
      </c>
      <c r="H676" t="str">
        <f t="shared" si="79"/>
        <v>스토리위즈</v>
      </c>
      <c r="I676" t="str">
        <f t="shared" si="80"/>
        <v>회귀의 전설</v>
      </c>
      <c r="J676">
        <v>100</v>
      </c>
      <c r="K676">
        <v>200</v>
      </c>
      <c r="L676">
        <v>2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200</v>
      </c>
      <c r="AH676">
        <v>2</v>
      </c>
      <c r="AI676">
        <v>0</v>
      </c>
      <c r="AJ676">
        <v>0</v>
      </c>
      <c r="AK676">
        <v>100</v>
      </c>
      <c r="AL676">
        <v>0</v>
      </c>
      <c r="AM676">
        <v>120</v>
      </c>
      <c r="AN676">
        <v>-12</v>
      </c>
      <c r="AO676">
        <v>0</v>
      </c>
      <c r="AQ676">
        <v>0</v>
      </c>
      <c r="AR676">
        <v>0</v>
      </c>
      <c r="AS676">
        <v>120</v>
      </c>
      <c r="AT676">
        <v>-12</v>
      </c>
      <c r="AU676">
        <v>0</v>
      </c>
      <c r="AW676">
        <v>0</v>
      </c>
      <c r="AX676">
        <v>0</v>
      </c>
      <c r="AY676">
        <v>145.6</v>
      </c>
      <c r="BC676" t="str">
        <f t="shared" si="82"/>
        <v>9788997946006</v>
      </c>
      <c r="BE676" t="str">
        <f t="shared" si="81"/>
        <v>판타지 웹소설 &gt; 현대 판타지</v>
      </c>
    </row>
    <row r="677" spans="1:57" x14ac:dyDescent="0.3">
      <c r="A677">
        <v>1525004030</v>
      </c>
      <c r="B677">
        <v>1525004287</v>
      </c>
      <c r="C677" t="str">
        <f>T("회귀의 전설 258화")</f>
        <v>회귀의 전설 258화</v>
      </c>
      <c r="D677" t="str">
        <f>T("258")</f>
        <v>258</v>
      </c>
      <c r="E677" t="str">
        <f t="shared" si="78"/>
        <v>김광수</v>
      </c>
      <c r="H677" t="str">
        <f t="shared" si="79"/>
        <v>스토리위즈</v>
      </c>
      <c r="I677" t="str">
        <f t="shared" si="80"/>
        <v>회귀의 전설</v>
      </c>
      <c r="J677">
        <v>100</v>
      </c>
      <c r="K677">
        <v>200</v>
      </c>
      <c r="L677">
        <v>2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200</v>
      </c>
      <c r="AH677">
        <v>2</v>
      </c>
      <c r="AI677">
        <v>0</v>
      </c>
      <c r="AJ677">
        <v>0</v>
      </c>
      <c r="AK677">
        <v>200</v>
      </c>
      <c r="AL677">
        <v>0</v>
      </c>
      <c r="AM677">
        <v>0</v>
      </c>
      <c r="AN677">
        <v>0</v>
      </c>
      <c r="AO677">
        <v>0</v>
      </c>
      <c r="AQ677">
        <v>0</v>
      </c>
      <c r="AR677">
        <v>0</v>
      </c>
      <c r="AT677">
        <v>0</v>
      </c>
      <c r="AU677">
        <v>0</v>
      </c>
      <c r="AW677">
        <v>0</v>
      </c>
      <c r="AX677">
        <v>0</v>
      </c>
      <c r="AY677">
        <v>140</v>
      </c>
      <c r="BC677" t="str">
        <f t="shared" si="82"/>
        <v>9788997946006</v>
      </c>
      <c r="BE677" t="str">
        <f t="shared" si="81"/>
        <v>판타지 웹소설 &gt; 현대 판타지</v>
      </c>
    </row>
    <row r="678" spans="1:57" x14ac:dyDescent="0.3">
      <c r="A678">
        <v>1525008428</v>
      </c>
      <c r="B678">
        <v>1525008429</v>
      </c>
      <c r="C678" t="str">
        <f>T("무히비(Muhibbi) 20화")</f>
        <v>무히비(Muhibbi) 20화</v>
      </c>
      <c r="D678" t="str">
        <f>T("20")</f>
        <v>20</v>
      </c>
      <c r="E678" t="str">
        <f>T("jooki")</f>
        <v>jooki</v>
      </c>
      <c r="H678" t="str">
        <f>T("블러쉬")</f>
        <v>블러쉬</v>
      </c>
      <c r="I678" t="str">
        <f>T("무히비(Muhibbi)")</f>
        <v>무히비(Muhibbi)</v>
      </c>
      <c r="J678">
        <v>100</v>
      </c>
      <c r="K678">
        <v>200</v>
      </c>
      <c r="L678">
        <v>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200</v>
      </c>
      <c r="AH678">
        <v>2</v>
      </c>
      <c r="AI678">
        <v>0</v>
      </c>
      <c r="AJ678">
        <v>0</v>
      </c>
      <c r="AK678">
        <v>200</v>
      </c>
      <c r="AL678">
        <v>0</v>
      </c>
      <c r="AM678">
        <v>0</v>
      </c>
      <c r="AN678">
        <v>0</v>
      </c>
      <c r="AO678">
        <v>0</v>
      </c>
      <c r="AQ678">
        <v>0</v>
      </c>
      <c r="AR678">
        <v>0</v>
      </c>
      <c r="AT678">
        <v>0</v>
      </c>
      <c r="AU678">
        <v>0</v>
      </c>
      <c r="AW678">
        <v>0</v>
      </c>
      <c r="AX678">
        <v>0</v>
      </c>
      <c r="AY678">
        <v>140</v>
      </c>
      <c r="BC678" t="str">
        <f>T("9791164896622")</f>
        <v>9791164896622</v>
      </c>
      <c r="BE678" t="str">
        <f>T("BL 웹소설 &gt; 역사/시대물")</f>
        <v>BL 웹소설 &gt; 역사/시대물</v>
      </c>
    </row>
    <row r="679" spans="1:57" x14ac:dyDescent="0.3">
      <c r="A679">
        <v>1525004030</v>
      </c>
      <c r="B679">
        <v>1525004075</v>
      </c>
      <c r="C679" t="str">
        <f>T("회귀의 전설 46화")</f>
        <v>회귀의 전설 46화</v>
      </c>
      <c r="D679" t="str">
        <f>T("46")</f>
        <v>46</v>
      </c>
      <c r="E679" t="str">
        <f>T("김광수")</f>
        <v>김광수</v>
      </c>
      <c r="H679" t="str">
        <f t="shared" ref="H679:H713" si="83">T("스토리위즈")</f>
        <v>스토리위즈</v>
      </c>
      <c r="I679" t="str">
        <f>T("회귀의 전설")</f>
        <v>회귀의 전설</v>
      </c>
      <c r="J679">
        <v>100</v>
      </c>
      <c r="K679">
        <v>200</v>
      </c>
      <c r="L679">
        <v>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200</v>
      </c>
      <c r="AH679">
        <v>2</v>
      </c>
      <c r="AI679">
        <v>0</v>
      </c>
      <c r="AJ679">
        <v>0</v>
      </c>
      <c r="AK679">
        <v>100</v>
      </c>
      <c r="AL679">
        <v>0</v>
      </c>
      <c r="AM679">
        <v>120</v>
      </c>
      <c r="AN679">
        <v>-36</v>
      </c>
      <c r="AO679">
        <v>0</v>
      </c>
      <c r="AQ679">
        <v>0</v>
      </c>
      <c r="AR679">
        <v>0</v>
      </c>
      <c r="AS679">
        <v>120</v>
      </c>
      <c r="AT679">
        <v>-36</v>
      </c>
      <c r="AU679">
        <v>0</v>
      </c>
      <c r="AW679">
        <v>0</v>
      </c>
      <c r="AX679">
        <v>0</v>
      </c>
      <c r="AY679">
        <v>128.80000000000001</v>
      </c>
      <c r="BC679" t="str">
        <f>T("9788997946006")</f>
        <v>9788997946006</v>
      </c>
      <c r="BE679" t="str">
        <f>T("판타지 웹소설 &gt; 현대 판타지")</f>
        <v>판타지 웹소설 &gt; 현대 판타지</v>
      </c>
    </row>
    <row r="680" spans="1:57" x14ac:dyDescent="0.3">
      <c r="A680">
        <v>1525004799</v>
      </c>
      <c r="B680">
        <v>1525004970</v>
      </c>
      <c r="C680" t="str">
        <f>T("검산도해 172화")</f>
        <v>검산도해 172화</v>
      </c>
      <c r="D680" t="str">
        <f>T("172")</f>
        <v>172</v>
      </c>
      <c r="E680" t="str">
        <f>T("권용찬")</f>
        <v>권용찬</v>
      </c>
      <c r="H680" t="str">
        <f t="shared" si="83"/>
        <v>스토리위즈</v>
      </c>
      <c r="I680" t="str">
        <f>T("검산도해")</f>
        <v>검산도해</v>
      </c>
      <c r="J680">
        <v>100</v>
      </c>
      <c r="K680">
        <v>200</v>
      </c>
      <c r="L680">
        <v>2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200</v>
      </c>
      <c r="AH680">
        <v>2</v>
      </c>
      <c r="AI680">
        <v>0</v>
      </c>
      <c r="AJ680">
        <v>0</v>
      </c>
      <c r="AK680">
        <v>100</v>
      </c>
      <c r="AL680">
        <v>0</v>
      </c>
      <c r="AM680">
        <v>120</v>
      </c>
      <c r="AN680">
        <v>-12</v>
      </c>
      <c r="AO680">
        <v>0</v>
      </c>
      <c r="AQ680">
        <v>0</v>
      </c>
      <c r="AR680">
        <v>0</v>
      </c>
      <c r="AS680">
        <v>120</v>
      </c>
      <c r="AT680">
        <v>-12</v>
      </c>
      <c r="AU680">
        <v>0</v>
      </c>
      <c r="AW680">
        <v>0</v>
      </c>
      <c r="AX680">
        <v>0</v>
      </c>
      <c r="AY680">
        <v>145.6</v>
      </c>
      <c r="BC680" t="str">
        <f>T("9791159285936")</f>
        <v>9791159285936</v>
      </c>
      <c r="BE680" t="str">
        <f>T("판타지 웹소설 &gt; 무협 소설")</f>
        <v>판타지 웹소설 &gt; 무협 소설</v>
      </c>
    </row>
    <row r="681" spans="1:57" x14ac:dyDescent="0.3">
      <c r="A681">
        <v>1525004030</v>
      </c>
      <c r="B681">
        <v>1525004319</v>
      </c>
      <c r="C681" t="str">
        <f>T("회귀의 전설 290화")</f>
        <v>회귀의 전설 290화</v>
      </c>
      <c r="D681" t="str">
        <f>T("290")</f>
        <v>290</v>
      </c>
      <c r="E681" t="str">
        <f t="shared" ref="E681:E696" si="84">T("김광수")</f>
        <v>김광수</v>
      </c>
      <c r="H681" t="str">
        <f t="shared" si="83"/>
        <v>스토리위즈</v>
      </c>
      <c r="I681" t="str">
        <f t="shared" ref="I681:I696" si="85">T("회귀의 전설")</f>
        <v>회귀의 전설</v>
      </c>
      <c r="J681">
        <v>100</v>
      </c>
      <c r="K681">
        <v>200</v>
      </c>
      <c r="L681">
        <v>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200</v>
      </c>
      <c r="AH681">
        <v>2</v>
      </c>
      <c r="AI681">
        <v>0</v>
      </c>
      <c r="AJ681">
        <v>0</v>
      </c>
      <c r="AK681">
        <v>200</v>
      </c>
      <c r="AL681">
        <v>0</v>
      </c>
      <c r="AM681">
        <v>0</v>
      </c>
      <c r="AN681">
        <v>0</v>
      </c>
      <c r="AO681">
        <v>0</v>
      </c>
      <c r="AQ681">
        <v>0</v>
      </c>
      <c r="AR681">
        <v>0</v>
      </c>
      <c r="AT681">
        <v>0</v>
      </c>
      <c r="AU681">
        <v>0</v>
      </c>
      <c r="AW681">
        <v>0</v>
      </c>
      <c r="AX681">
        <v>0</v>
      </c>
      <c r="AY681">
        <v>140</v>
      </c>
      <c r="BC681" t="str">
        <f>T("9788997946006")</f>
        <v>9788997946006</v>
      </c>
      <c r="BE681" t="str">
        <f t="shared" ref="BE681:BE696" si="86">T("판타지 웹소설 &gt; 현대 판타지")</f>
        <v>판타지 웹소설 &gt; 현대 판타지</v>
      </c>
    </row>
    <row r="682" spans="1:57" x14ac:dyDescent="0.3">
      <c r="A682">
        <v>1525004030</v>
      </c>
      <c r="B682">
        <v>1525004515</v>
      </c>
      <c r="C682" t="str">
        <f>T("회귀의 전설 386화")</f>
        <v>회귀의 전설 386화</v>
      </c>
      <c r="D682" t="str">
        <f>T("386")</f>
        <v>386</v>
      </c>
      <c r="E682" t="str">
        <f t="shared" si="84"/>
        <v>김광수</v>
      </c>
      <c r="H682" t="str">
        <f t="shared" si="83"/>
        <v>스토리위즈</v>
      </c>
      <c r="I682" t="str">
        <f t="shared" si="85"/>
        <v>회귀의 전설</v>
      </c>
      <c r="J682">
        <v>100</v>
      </c>
      <c r="K682">
        <v>200</v>
      </c>
      <c r="L682">
        <v>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200</v>
      </c>
      <c r="AH682">
        <v>2</v>
      </c>
      <c r="AI682">
        <v>0</v>
      </c>
      <c r="AJ682">
        <v>0</v>
      </c>
      <c r="AK682">
        <v>200</v>
      </c>
      <c r="AL682">
        <v>0</v>
      </c>
      <c r="AM682">
        <v>0</v>
      </c>
      <c r="AN682">
        <v>0</v>
      </c>
      <c r="AO682">
        <v>0</v>
      </c>
      <c r="AQ682">
        <v>0</v>
      </c>
      <c r="AR682">
        <v>0</v>
      </c>
      <c r="AT682">
        <v>0</v>
      </c>
      <c r="AU682">
        <v>0</v>
      </c>
      <c r="AW682">
        <v>0</v>
      </c>
      <c r="AX682">
        <v>0</v>
      </c>
      <c r="AY682">
        <v>140</v>
      </c>
      <c r="BC682" t="str">
        <f>T("9788997946006")</f>
        <v>9788997946006</v>
      </c>
      <c r="BE682" t="str">
        <f t="shared" si="86"/>
        <v>판타지 웹소설 &gt; 현대 판타지</v>
      </c>
    </row>
    <row r="683" spans="1:57" x14ac:dyDescent="0.3">
      <c r="A683">
        <v>1525004030</v>
      </c>
      <c r="B683">
        <v>1525004230</v>
      </c>
      <c r="C683" t="str">
        <f>T("회귀의 전설 201화")</f>
        <v>회귀의 전설 201화</v>
      </c>
      <c r="D683" t="str">
        <f>T("201")</f>
        <v>201</v>
      </c>
      <c r="E683" t="str">
        <f t="shared" si="84"/>
        <v>김광수</v>
      </c>
      <c r="H683" t="str">
        <f t="shared" si="83"/>
        <v>스토리위즈</v>
      </c>
      <c r="I683" t="str">
        <f t="shared" si="85"/>
        <v>회귀의 전설</v>
      </c>
      <c r="J683">
        <v>100</v>
      </c>
      <c r="K683">
        <v>200</v>
      </c>
      <c r="L683">
        <v>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200</v>
      </c>
      <c r="AH683">
        <v>2</v>
      </c>
      <c r="AI683">
        <v>0</v>
      </c>
      <c r="AJ683">
        <v>0</v>
      </c>
      <c r="AK683">
        <v>200</v>
      </c>
      <c r="AL683">
        <v>0</v>
      </c>
      <c r="AM683">
        <v>0</v>
      </c>
      <c r="AN683">
        <v>0</v>
      </c>
      <c r="AO683">
        <v>0</v>
      </c>
      <c r="AQ683">
        <v>0</v>
      </c>
      <c r="AR683">
        <v>0</v>
      </c>
      <c r="AT683">
        <v>0</v>
      </c>
      <c r="AU683">
        <v>0</v>
      </c>
      <c r="AW683">
        <v>0</v>
      </c>
      <c r="AX683">
        <v>0</v>
      </c>
      <c r="AY683">
        <v>140</v>
      </c>
      <c r="BC683" t="str">
        <f>T("9788997946006")</f>
        <v>9788997946006</v>
      </c>
      <c r="BE683" t="str">
        <f t="shared" si="86"/>
        <v>판타지 웹소설 &gt; 현대 판타지</v>
      </c>
    </row>
    <row r="684" spans="1:57" x14ac:dyDescent="0.3">
      <c r="A684">
        <v>1525004030</v>
      </c>
      <c r="B684">
        <v>1525006687</v>
      </c>
      <c r="C684" t="str">
        <f>T("회귀의 전설 2부 570화")</f>
        <v>회귀의 전설 2부 570화</v>
      </c>
      <c r="D684" t="str">
        <f>T("570")</f>
        <v>570</v>
      </c>
      <c r="E684" t="str">
        <f t="shared" si="84"/>
        <v>김광수</v>
      </c>
      <c r="H684" t="str">
        <f t="shared" si="83"/>
        <v>스토리위즈</v>
      </c>
      <c r="I684" t="str">
        <f t="shared" si="85"/>
        <v>회귀의 전설</v>
      </c>
      <c r="J684">
        <v>100</v>
      </c>
      <c r="K684">
        <v>200</v>
      </c>
      <c r="L684">
        <v>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200</v>
      </c>
      <c r="AH684">
        <v>2</v>
      </c>
      <c r="AI684">
        <v>0</v>
      </c>
      <c r="AJ684">
        <v>0</v>
      </c>
      <c r="AK684">
        <v>200</v>
      </c>
      <c r="AL684">
        <v>0</v>
      </c>
      <c r="AM684">
        <v>0</v>
      </c>
      <c r="AN684">
        <v>0</v>
      </c>
      <c r="AO684">
        <v>0</v>
      </c>
      <c r="AQ684">
        <v>0</v>
      </c>
      <c r="AR684">
        <v>0</v>
      </c>
      <c r="AT684">
        <v>0</v>
      </c>
      <c r="AU684">
        <v>0</v>
      </c>
      <c r="AW684">
        <v>0</v>
      </c>
      <c r="AX684">
        <v>0</v>
      </c>
      <c r="AY684">
        <v>140</v>
      </c>
      <c r="BC684" t="str">
        <f>T("9791191102086")</f>
        <v>9791191102086</v>
      </c>
      <c r="BE684" t="str">
        <f t="shared" si="86"/>
        <v>판타지 웹소설 &gt; 현대 판타지</v>
      </c>
    </row>
    <row r="685" spans="1:57" x14ac:dyDescent="0.3">
      <c r="A685">
        <v>1525004030</v>
      </c>
      <c r="B685">
        <v>1525004107</v>
      </c>
      <c r="C685" t="str">
        <f>T("회귀의 전설 78화")</f>
        <v>회귀의 전설 78화</v>
      </c>
      <c r="D685" t="str">
        <f>T("78")</f>
        <v>78</v>
      </c>
      <c r="E685" t="str">
        <f t="shared" si="84"/>
        <v>김광수</v>
      </c>
      <c r="H685" t="str">
        <f t="shared" si="83"/>
        <v>스토리위즈</v>
      </c>
      <c r="I685" t="str">
        <f t="shared" si="85"/>
        <v>회귀의 전설</v>
      </c>
      <c r="J685">
        <v>100</v>
      </c>
      <c r="K685">
        <v>200</v>
      </c>
      <c r="L685">
        <v>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200</v>
      </c>
      <c r="AH685">
        <v>2</v>
      </c>
      <c r="AI685">
        <v>0</v>
      </c>
      <c r="AJ685">
        <v>0</v>
      </c>
      <c r="AK685">
        <v>100</v>
      </c>
      <c r="AL685">
        <v>0</v>
      </c>
      <c r="AM685">
        <v>120</v>
      </c>
      <c r="AN685">
        <v>-36</v>
      </c>
      <c r="AO685">
        <v>0</v>
      </c>
      <c r="AQ685">
        <v>0</v>
      </c>
      <c r="AR685">
        <v>0</v>
      </c>
      <c r="AS685">
        <v>120</v>
      </c>
      <c r="AT685">
        <v>-36</v>
      </c>
      <c r="AU685">
        <v>0</v>
      </c>
      <c r="AW685">
        <v>0</v>
      </c>
      <c r="AX685">
        <v>0</v>
      </c>
      <c r="AY685">
        <v>128.80000000000001</v>
      </c>
      <c r="BC685" t="str">
        <f>T("9788997946006")</f>
        <v>9788997946006</v>
      </c>
      <c r="BE685" t="str">
        <f t="shared" si="86"/>
        <v>판타지 웹소설 &gt; 현대 판타지</v>
      </c>
    </row>
    <row r="686" spans="1:57" x14ac:dyDescent="0.3">
      <c r="A686">
        <v>1525004030</v>
      </c>
      <c r="B686">
        <v>1525006842</v>
      </c>
      <c r="C686" t="str">
        <f>T("회귀의 전설 2부 725화")</f>
        <v>회귀의 전설 2부 725화</v>
      </c>
      <c r="D686" t="str">
        <f>T("725")</f>
        <v>725</v>
      </c>
      <c r="E686" t="str">
        <f t="shared" si="84"/>
        <v>김광수</v>
      </c>
      <c r="H686" t="str">
        <f t="shared" si="83"/>
        <v>스토리위즈</v>
      </c>
      <c r="I686" t="str">
        <f t="shared" si="85"/>
        <v>회귀의 전설</v>
      </c>
      <c r="J686">
        <v>100</v>
      </c>
      <c r="K686">
        <v>200</v>
      </c>
      <c r="L686">
        <v>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200</v>
      </c>
      <c r="AH686">
        <v>2</v>
      </c>
      <c r="AI686">
        <v>0</v>
      </c>
      <c r="AJ686">
        <v>0</v>
      </c>
      <c r="AK686">
        <v>100</v>
      </c>
      <c r="AL686">
        <v>0</v>
      </c>
      <c r="AM686">
        <v>120</v>
      </c>
      <c r="AN686">
        <v>-12</v>
      </c>
      <c r="AO686">
        <v>0</v>
      </c>
      <c r="AQ686">
        <v>0</v>
      </c>
      <c r="AR686">
        <v>0</v>
      </c>
      <c r="AS686">
        <v>120</v>
      </c>
      <c r="AT686">
        <v>-12</v>
      </c>
      <c r="AU686">
        <v>0</v>
      </c>
      <c r="AW686">
        <v>0</v>
      </c>
      <c r="AX686">
        <v>0</v>
      </c>
      <c r="AY686">
        <v>145.6</v>
      </c>
      <c r="BC686" t="str">
        <f>T("9791191102086")</f>
        <v>9791191102086</v>
      </c>
      <c r="BE686" t="str">
        <f t="shared" si="86"/>
        <v>판타지 웹소설 &gt; 현대 판타지</v>
      </c>
    </row>
    <row r="687" spans="1:57" x14ac:dyDescent="0.3">
      <c r="A687">
        <v>1525004030</v>
      </c>
      <c r="B687">
        <v>1525006801</v>
      </c>
      <c r="C687" t="str">
        <f>T("회귀의 전설 2부 684화")</f>
        <v>회귀의 전설 2부 684화</v>
      </c>
      <c r="D687" t="str">
        <f>T("684")</f>
        <v>684</v>
      </c>
      <c r="E687" t="str">
        <f t="shared" si="84"/>
        <v>김광수</v>
      </c>
      <c r="H687" t="str">
        <f t="shared" si="83"/>
        <v>스토리위즈</v>
      </c>
      <c r="I687" t="str">
        <f t="shared" si="85"/>
        <v>회귀의 전설</v>
      </c>
      <c r="J687">
        <v>100</v>
      </c>
      <c r="K687">
        <v>200</v>
      </c>
      <c r="L687">
        <v>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200</v>
      </c>
      <c r="AH687">
        <v>2</v>
      </c>
      <c r="AI687">
        <v>0</v>
      </c>
      <c r="AJ687">
        <v>0</v>
      </c>
      <c r="AK687">
        <v>100</v>
      </c>
      <c r="AL687">
        <v>0</v>
      </c>
      <c r="AM687">
        <v>120</v>
      </c>
      <c r="AN687">
        <v>-12</v>
      </c>
      <c r="AO687">
        <v>0</v>
      </c>
      <c r="AQ687">
        <v>0</v>
      </c>
      <c r="AR687">
        <v>0</v>
      </c>
      <c r="AS687">
        <v>120</v>
      </c>
      <c r="AT687">
        <v>-12</v>
      </c>
      <c r="AU687">
        <v>0</v>
      </c>
      <c r="AW687">
        <v>0</v>
      </c>
      <c r="AX687">
        <v>0</v>
      </c>
      <c r="AY687">
        <v>145.6</v>
      </c>
      <c r="BC687" t="str">
        <f>T("9791191102086")</f>
        <v>9791191102086</v>
      </c>
      <c r="BE687" t="str">
        <f t="shared" si="86"/>
        <v>판타지 웹소설 &gt; 현대 판타지</v>
      </c>
    </row>
    <row r="688" spans="1:57" x14ac:dyDescent="0.3">
      <c r="A688">
        <v>1525004030</v>
      </c>
      <c r="B688">
        <v>1525006760</v>
      </c>
      <c r="C688" t="str">
        <f>T("회귀의 전설 2부 643화")</f>
        <v>회귀의 전설 2부 643화</v>
      </c>
      <c r="D688" t="str">
        <f>T("643")</f>
        <v>643</v>
      </c>
      <c r="E688" t="str">
        <f t="shared" si="84"/>
        <v>김광수</v>
      </c>
      <c r="H688" t="str">
        <f t="shared" si="83"/>
        <v>스토리위즈</v>
      </c>
      <c r="I688" t="str">
        <f t="shared" si="85"/>
        <v>회귀의 전설</v>
      </c>
      <c r="J688">
        <v>100</v>
      </c>
      <c r="K688">
        <v>200</v>
      </c>
      <c r="L688">
        <v>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200</v>
      </c>
      <c r="AH688">
        <v>2</v>
      </c>
      <c r="AI688">
        <v>0</v>
      </c>
      <c r="AJ688">
        <v>0</v>
      </c>
      <c r="AK688">
        <v>100</v>
      </c>
      <c r="AL688">
        <v>0</v>
      </c>
      <c r="AM688">
        <v>120</v>
      </c>
      <c r="AN688">
        <v>-12</v>
      </c>
      <c r="AO688">
        <v>0</v>
      </c>
      <c r="AQ688">
        <v>0</v>
      </c>
      <c r="AR688">
        <v>0</v>
      </c>
      <c r="AS688">
        <v>120</v>
      </c>
      <c r="AT688">
        <v>-12</v>
      </c>
      <c r="AU688">
        <v>0</v>
      </c>
      <c r="AW688">
        <v>0</v>
      </c>
      <c r="AX688">
        <v>0</v>
      </c>
      <c r="AY688">
        <v>145.6</v>
      </c>
      <c r="BC688" t="str">
        <f>T("9791191102086")</f>
        <v>9791191102086</v>
      </c>
      <c r="BE688" t="str">
        <f t="shared" si="86"/>
        <v>판타지 웹소설 &gt; 현대 판타지</v>
      </c>
    </row>
    <row r="689" spans="1:57" x14ac:dyDescent="0.3">
      <c r="A689">
        <v>1525004030</v>
      </c>
      <c r="B689">
        <v>1525004262</v>
      </c>
      <c r="C689" t="str">
        <f>T("회귀의 전설 233화")</f>
        <v>회귀의 전설 233화</v>
      </c>
      <c r="D689" t="str">
        <f>T("233")</f>
        <v>233</v>
      </c>
      <c r="E689" t="str">
        <f t="shared" si="84"/>
        <v>김광수</v>
      </c>
      <c r="H689" t="str">
        <f t="shared" si="83"/>
        <v>스토리위즈</v>
      </c>
      <c r="I689" t="str">
        <f t="shared" si="85"/>
        <v>회귀의 전설</v>
      </c>
      <c r="J689">
        <v>100</v>
      </c>
      <c r="K689">
        <v>200</v>
      </c>
      <c r="L689">
        <v>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200</v>
      </c>
      <c r="AH689">
        <v>2</v>
      </c>
      <c r="AI689">
        <v>0</v>
      </c>
      <c r="AJ689">
        <v>0</v>
      </c>
      <c r="AK689">
        <v>200</v>
      </c>
      <c r="AL689">
        <v>0</v>
      </c>
      <c r="AM689">
        <v>0</v>
      </c>
      <c r="AN689">
        <v>0</v>
      </c>
      <c r="AO689">
        <v>0</v>
      </c>
      <c r="AQ689">
        <v>0</v>
      </c>
      <c r="AR689">
        <v>0</v>
      </c>
      <c r="AT689">
        <v>0</v>
      </c>
      <c r="AU689">
        <v>0</v>
      </c>
      <c r="AW689">
        <v>0</v>
      </c>
      <c r="AX689">
        <v>0</v>
      </c>
      <c r="AY689">
        <v>140</v>
      </c>
      <c r="BC689" t="str">
        <f>T("9788997946006")</f>
        <v>9788997946006</v>
      </c>
      <c r="BE689" t="str">
        <f t="shared" si="86"/>
        <v>판타지 웹소설 &gt; 현대 판타지</v>
      </c>
    </row>
    <row r="690" spans="1:57" x14ac:dyDescent="0.3">
      <c r="A690">
        <v>1525004030</v>
      </c>
      <c r="B690">
        <v>1525004221</v>
      </c>
      <c r="C690" t="str">
        <f>T("회귀의 전설 192화")</f>
        <v>회귀의 전설 192화</v>
      </c>
      <c r="D690" t="str">
        <f>T("192")</f>
        <v>192</v>
      </c>
      <c r="E690" t="str">
        <f t="shared" si="84"/>
        <v>김광수</v>
      </c>
      <c r="H690" t="str">
        <f t="shared" si="83"/>
        <v>스토리위즈</v>
      </c>
      <c r="I690" t="str">
        <f t="shared" si="85"/>
        <v>회귀의 전설</v>
      </c>
      <c r="J690">
        <v>100</v>
      </c>
      <c r="K690">
        <v>200</v>
      </c>
      <c r="L690">
        <v>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200</v>
      </c>
      <c r="AH690">
        <v>2</v>
      </c>
      <c r="AI690">
        <v>0</v>
      </c>
      <c r="AJ690">
        <v>0</v>
      </c>
      <c r="AK690">
        <v>200</v>
      </c>
      <c r="AL690">
        <v>0</v>
      </c>
      <c r="AM690">
        <v>0</v>
      </c>
      <c r="AN690">
        <v>0</v>
      </c>
      <c r="AO690">
        <v>0</v>
      </c>
      <c r="AQ690">
        <v>0</v>
      </c>
      <c r="AR690">
        <v>0</v>
      </c>
      <c r="AT690">
        <v>0</v>
      </c>
      <c r="AU690">
        <v>0</v>
      </c>
      <c r="AW690">
        <v>0</v>
      </c>
      <c r="AX690">
        <v>0</v>
      </c>
      <c r="AY690">
        <v>140</v>
      </c>
      <c r="BC690" t="str">
        <f>T("9788997946006")</f>
        <v>9788997946006</v>
      </c>
      <c r="BE690" t="str">
        <f t="shared" si="86"/>
        <v>판타지 웹소설 &gt; 현대 판타지</v>
      </c>
    </row>
    <row r="691" spans="1:57" x14ac:dyDescent="0.3">
      <c r="A691">
        <v>1525004030</v>
      </c>
      <c r="B691">
        <v>1525004393</v>
      </c>
      <c r="C691" t="str">
        <f>T("회귀의 전설 365화")</f>
        <v>회귀의 전설 365화</v>
      </c>
      <c r="D691" t="str">
        <f>T("365")</f>
        <v>365</v>
      </c>
      <c r="E691" t="str">
        <f t="shared" si="84"/>
        <v>김광수</v>
      </c>
      <c r="H691" t="str">
        <f t="shared" si="83"/>
        <v>스토리위즈</v>
      </c>
      <c r="I691" t="str">
        <f t="shared" si="85"/>
        <v>회귀의 전설</v>
      </c>
      <c r="J691">
        <v>100</v>
      </c>
      <c r="K691">
        <v>200</v>
      </c>
      <c r="L691">
        <v>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200</v>
      </c>
      <c r="AH691">
        <v>2</v>
      </c>
      <c r="AI691">
        <v>0</v>
      </c>
      <c r="AJ691">
        <v>0</v>
      </c>
      <c r="AK691">
        <v>200</v>
      </c>
      <c r="AL691">
        <v>0</v>
      </c>
      <c r="AM691">
        <v>0</v>
      </c>
      <c r="AN691">
        <v>0</v>
      </c>
      <c r="AO691">
        <v>0</v>
      </c>
      <c r="AQ691">
        <v>0</v>
      </c>
      <c r="AR691">
        <v>0</v>
      </c>
      <c r="AT691">
        <v>0</v>
      </c>
      <c r="AU691">
        <v>0</v>
      </c>
      <c r="AW691">
        <v>0</v>
      </c>
      <c r="AX691">
        <v>0</v>
      </c>
      <c r="AY691">
        <v>140</v>
      </c>
      <c r="BC691" t="str">
        <f>T("9788997946006")</f>
        <v>9788997946006</v>
      </c>
      <c r="BE691" t="str">
        <f t="shared" si="86"/>
        <v>판타지 웹소설 &gt; 현대 판타지</v>
      </c>
    </row>
    <row r="692" spans="1:57" x14ac:dyDescent="0.3">
      <c r="A692">
        <v>1525004030</v>
      </c>
      <c r="B692">
        <v>1525006874</v>
      </c>
      <c r="C692" t="str">
        <f>T("회귀의 전설 2부 757화")</f>
        <v>회귀의 전설 2부 757화</v>
      </c>
      <c r="D692" t="str">
        <f>T("757")</f>
        <v>757</v>
      </c>
      <c r="E692" t="str">
        <f t="shared" si="84"/>
        <v>김광수</v>
      </c>
      <c r="H692" t="str">
        <f t="shared" si="83"/>
        <v>스토리위즈</v>
      </c>
      <c r="I692" t="str">
        <f t="shared" si="85"/>
        <v>회귀의 전설</v>
      </c>
      <c r="J692">
        <v>100</v>
      </c>
      <c r="K692">
        <v>200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200</v>
      </c>
      <c r="AH692">
        <v>2</v>
      </c>
      <c r="AI692">
        <v>0</v>
      </c>
      <c r="AJ692">
        <v>0</v>
      </c>
      <c r="AK692">
        <v>100</v>
      </c>
      <c r="AL692">
        <v>0</v>
      </c>
      <c r="AM692">
        <v>120</v>
      </c>
      <c r="AN692">
        <v>-12</v>
      </c>
      <c r="AO692">
        <v>0</v>
      </c>
      <c r="AQ692">
        <v>0</v>
      </c>
      <c r="AR692">
        <v>0</v>
      </c>
      <c r="AS692">
        <v>120</v>
      </c>
      <c r="AT692">
        <v>-12</v>
      </c>
      <c r="AU692">
        <v>0</v>
      </c>
      <c r="AW692">
        <v>0</v>
      </c>
      <c r="AX692">
        <v>0</v>
      </c>
      <c r="AY692">
        <v>145.6</v>
      </c>
      <c r="BC692" t="str">
        <f>T("9791191102086")</f>
        <v>9791191102086</v>
      </c>
      <c r="BE692" t="str">
        <f t="shared" si="86"/>
        <v>판타지 웹소설 &gt; 현대 판타지</v>
      </c>
    </row>
    <row r="693" spans="1:57" x14ac:dyDescent="0.3">
      <c r="A693">
        <v>1525004030</v>
      </c>
      <c r="B693">
        <v>1525004450</v>
      </c>
      <c r="C693" t="str">
        <f>T("회귀의 전설 434화")</f>
        <v>회귀의 전설 434화</v>
      </c>
      <c r="D693" t="str">
        <f>T("434")</f>
        <v>434</v>
      </c>
      <c r="E693" t="str">
        <f t="shared" si="84"/>
        <v>김광수</v>
      </c>
      <c r="H693" t="str">
        <f t="shared" si="83"/>
        <v>스토리위즈</v>
      </c>
      <c r="I693" t="str">
        <f t="shared" si="85"/>
        <v>회귀의 전설</v>
      </c>
      <c r="J693">
        <v>100</v>
      </c>
      <c r="K693">
        <v>200</v>
      </c>
      <c r="L693">
        <v>2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200</v>
      </c>
      <c r="AH693">
        <v>2</v>
      </c>
      <c r="AI693">
        <v>0</v>
      </c>
      <c r="AJ693">
        <v>0</v>
      </c>
      <c r="AK693">
        <v>200</v>
      </c>
      <c r="AL693">
        <v>0</v>
      </c>
      <c r="AM693">
        <v>0</v>
      </c>
      <c r="AN693">
        <v>0</v>
      </c>
      <c r="AO693">
        <v>0</v>
      </c>
      <c r="AQ693">
        <v>0</v>
      </c>
      <c r="AR693">
        <v>0</v>
      </c>
      <c r="AT693">
        <v>0</v>
      </c>
      <c r="AU693">
        <v>0</v>
      </c>
      <c r="AW693">
        <v>0</v>
      </c>
      <c r="AX693">
        <v>0</v>
      </c>
      <c r="AY693">
        <v>140</v>
      </c>
      <c r="BC693" t="str">
        <f>T("9788997946006")</f>
        <v>9788997946006</v>
      </c>
      <c r="BE693" t="str">
        <f t="shared" si="86"/>
        <v>판타지 웹소설 &gt; 현대 판타지</v>
      </c>
    </row>
    <row r="694" spans="1:57" x14ac:dyDescent="0.3">
      <c r="A694">
        <v>1525004030</v>
      </c>
      <c r="B694">
        <v>1525004251</v>
      </c>
      <c r="C694" t="str">
        <f>T("회귀의 전설 222화")</f>
        <v>회귀의 전설 222화</v>
      </c>
      <c r="D694" t="str">
        <f>T("222")</f>
        <v>222</v>
      </c>
      <c r="E694" t="str">
        <f t="shared" si="84"/>
        <v>김광수</v>
      </c>
      <c r="H694" t="str">
        <f t="shared" si="83"/>
        <v>스토리위즈</v>
      </c>
      <c r="I694" t="str">
        <f t="shared" si="85"/>
        <v>회귀의 전설</v>
      </c>
      <c r="J694">
        <v>100</v>
      </c>
      <c r="K694">
        <v>200</v>
      </c>
      <c r="L694">
        <v>2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200</v>
      </c>
      <c r="AH694">
        <v>2</v>
      </c>
      <c r="AI694">
        <v>0</v>
      </c>
      <c r="AJ694">
        <v>0</v>
      </c>
      <c r="AK694">
        <v>200</v>
      </c>
      <c r="AL694">
        <v>0</v>
      </c>
      <c r="AM694">
        <v>0</v>
      </c>
      <c r="AN694">
        <v>0</v>
      </c>
      <c r="AO694">
        <v>0</v>
      </c>
      <c r="AQ694">
        <v>0</v>
      </c>
      <c r="AR694">
        <v>0</v>
      </c>
      <c r="AT694">
        <v>0</v>
      </c>
      <c r="AU694">
        <v>0</v>
      </c>
      <c r="AW694">
        <v>0</v>
      </c>
      <c r="AX694">
        <v>0</v>
      </c>
      <c r="AY694">
        <v>140</v>
      </c>
      <c r="BC694" t="str">
        <f>T("9788997946006")</f>
        <v>9788997946006</v>
      </c>
      <c r="BE694" t="str">
        <f t="shared" si="86"/>
        <v>판타지 웹소설 &gt; 현대 판타지</v>
      </c>
    </row>
    <row r="695" spans="1:57" x14ac:dyDescent="0.3">
      <c r="A695">
        <v>1525004030</v>
      </c>
      <c r="B695">
        <v>1525006708</v>
      </c>
      <c r="C695" t="str">
        <f>T("회귀의 전설 2부 591화")</f>
        <v>회귀의 전설 2부 591화</v>
      </c>
      <c r="D695" t="str">
        <f>T("591")</f>
        <v>591</v>
      </c>
      <c r="E695" t="str">
        <f t="shared" si="84"/>
        <v>김광수</v>
      </c>
      <c r="H695" t="str">
        <f t="shared" si="83"/>
        <v>스토리위즈</v>
      </c>
      <c r="I695" t="str">
        <f t="shared" si="85"/>
        <v>회귀의 전설</v>
      </c>
      <c r="J695">
        <v>100</v>
      </c>
      <c r="K695">
        <v>200</v>
      </c>
      <c r="L695">
        <v>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200</v>
      </c>
      <c r="AH695">
        <v>2</v>
      </c>
      <c r="AI695">
        <v>0</v>
      </c>
      <c r="AJ695">
        <v>0</v>
      </c>
      <c r="AK695">
        <v>100</v>
      </c>
      <c r="AL695">
        <v>0</v>
      </c>
      <c r="AM695">
        <v>120</v>
      </c>
      <c r="AN695">
        <v>-12</v>
      </c>
      <c r="AO695">
        <v>0</v>
      </c>
      <c r="AQ695">
        <v>0</v>
      </c>
      <c r="AR695">
        <v>0</v>
      </c>
      <c r="AS695">
        <v>120</v>
      </c>
      <c r="AT695">
        <v>-12</v>
      </c>
      <c r="AU695">
        <v>0</v>
      </c>
      <c r="AW695">
        <v>0</v>
      </c>
      <c r="AX695">
        <v>0</v>
      </c>
      <c r="AY695">
        <v>145.6</v>
      </c>
      <c r="BC695" t="str">
        <f>T("9791191102086")</f>
        <v>9791191102086</v>
      </c>
      <c r="BE695" t="str">
        <f t="shared" si="86"/>
        <v>판타지 웹소설 &gt; 현대 판타지</v>
      </c>
    </row>
    <row r="696" spans="1:57" x14ac:dyDescent="0.3">
      <c r="A696">
        <v>1525004030</v>
      </c>
      <c r="B696">
        <v>1525004210</v>
      </c>
      <c r="C696" t="str">
        <f>T("회귀의 전설 181화")</f>
        <v>회귀의 전설 181화</v>
      </c>
      <c r="D696" t="str">
        <f>T("181")</f>
        <v>181</v>
      </c>
      <c r="E696" t="str">
        <f t="shared" si="84"/>
        <v>김광수</v>
      </c>
      <c r="H696" t="str">
        <f t="shared" si="83"/>
        <v>스토리위즈</v>
      </c>
      <c r="I696" t="str">
        <f t="shared" si="85"/>
        <v>회귀의 전설</v>
      </c>
      <c r="J696">
        <v>100</v>
      </c>
      <c r="K696">
        <v>200</v>
      </c>
      <c r="L696">
        <v>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200</v>
      </c>
      <c r="AH696">
        <v>2</v>
      </c>
      <c r="AI696">
        <v>0</v>
      </c>
      <c r="AJ696">
        <v>0</v>
      </c>
      <c r="AK696">
        <v>200</v>
      </c>
      <c r="AL696">
        <v>0</v>
      </c>
      <c r="AM696">
        <v>0</v>
      </c>
      <c r="AN696">
        <v>0</v>
      </c>
      <c r="AO696">
        <v>0</v>
      </c>
      <c r="AQ696">
        <v>0</v>
      </c>
      <c r="AR696">
        <v>0</v>
      </c>
      <c r="AT696">
        <v>0</v>
      </c>
      <c r="AU696">
        <v>0</v>
      </c>
      <c r="AW696">
        <v>0</v>
      </c>
      <c r="AX696">
        <v>0</v>
      </c>
      <c r="AY696">
        <v>140</v>
      </c>
      <c r="BC696" t="str">
        <f>T("9788997946006")</f>
        <v>9788997946006</v>
      </c>
      <c r="BE696" t="str">
        <f t="shared" si="86"/>
        <v>판타지 웹소설 &gt; 현대 판타지</v>
      </c>
    </row>
    <row r="697" spans="1:57" x14ac:dyDescent="0.3">
      <c r="A697">
        <v>1525002864</v>
      </c>
      <c r="B697">
        <v>1525002888</v>
      </c>
      <c r="C697" t="str">
        <f>T("소드마스터의 환생 25화")</f>
        <v>소드마스터의 환생 25화</v>
      </c>
      <c r="D697" t="str">
        <f>T("25")</f>
        <v>25</v>
      </c>
      <c r="E697" t="str">
        <f>T("파란영")</f>
        <v>파란영</v>
      </c>
      <c r="H697" t="str">
        <f t="shared" si="83"/>
        <v>스토리위즈</v>
      </c>
      <c r="I697" t="str">
        <f>T("소드마스터의 환생")</f>
        <v>소드마스터의 환생</v>
      </c>
      <c r="J697">
        <v>100</v>
      </c>
      <c r="K697">
        <v>200</v>
      </c>
      <c r="L697">
        <v>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200</v>
      </c>
      <c r="AH697">
        <v>2</v>
      </c>
      <c r="AI697">
        <v>0</v>
      </c>
      <c r="AJ697">
        <v>0</v>
      </c>
      <c r="AK697">
        <v>200</v>
      </c>
      <c r="AL697">
        <v>0</v>
      </c>
      <c r="AM697">
        <v>0</v>
      </c>
      <c r="AN697">
        <v>0</v>
      </c>
      <c r="AO697">
        <v>0</v>
      </c>
      <c r="AQ697">
        <v>0</v>
      </c>
      <c r="AR697">
        <v>0</v>
      </c>
      <c r="AT697">
        <v>0</v>
      </c>
      <c r="AU697">
        <v>0</v>
      </c>
      <c r="AW697">
        <v>0</v>
      </c>
      <c r="AX697">
        <v>0</v>
      </c>
      <c r="AY697">
        <v>140</v>
      </c>
      <c r="BC697" t="str">
        <f>T("9791159287527")</f>
        <v>9791159287527</v>
      </c>
      <c r="BE697" t="str">
        <f>T("판타지 웹소설 &gt; 정통 판타지")</f>
        <v>판타지 웹소설 &gt; 정통 판타지</v>
      </c>
    </row>
    <row r="698" spans="1:57" x14ac:dyDescent="0.3">
      <c r="A698">
        <v>1525004030</v>
      </c>
      <c r="B698">
        <v>1525006863</v>
      </c>
      <c r="C698" t="str">
        <f>T("회귀의 전설 2부 746화")</f>
        <v>회귀의 전설 2부 746화</v>
      </c>
      <c r="D698" t="str">
        <f>T("746")</f>
        <v>746</v>
      </c>
      <c r="E698" t="str">
        <f t="shared" ref="E698:E713" si="87">T("김광수")</f>
        <v>김광수</v>
      </c>
      <c r="H698" t="str">
        <f t="shared" si="83"/>
        <v>스토리위즈</v>
      </c>
      <c r="I698" t="str">
        <f t="shared" ref="I698:I713" si="88">T("회귀의 전설")</f>
        <v>회귀의 전설</v>
      </c>
      <c r="J698">
        <v>100</v>
      </c>
      <c r="K698">
        <v>200</v>
      </c>
      <c r="L698">
        <v>2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200</v>
      </c>
      <c r="AH698">
        <v>2</v>
      </c>
      <c r="AI698">
        <v>0</v>
      </c>
      <c r="AJ698">
        <v>0</v>
      </c>
      <c r="AK698">
        <v>100</v>
      </c>
      <c r="AL698">
        <v>0</v>
      </c>
      <c r="AM698">
        <v>120</v>
      </c>
      <c r="AN698">
        <v>-12</v>
      </c>
      <c r="AO698">
        <v>0</v>
      </c>
      <c r="AQ698">
        <v>0</v>
      </c>
      <c r="AR698">
        <v>0</v>
      </c>
      <c r="AS698">
        <v>120</v>
      </c>
      <c r="AT698">
        <v>-12</v>
      </c>
      <c r="AU698">
        <v>0</v>
      </c>
      <c r="AW698">
        <v>0</v>
      </c>
      <c r="AX698">
        <v>0</v>
      </c>
      <c r="AY698">
        <v>145.6</v>
      </c>
      <c r="BC698" t="str">
        <f>T("9791191102086")</f>
        <v>9791191102086</v>
      </c>
      <c r="BE698" t="str">
        <f t="shared" ref="BE698:BE713" si="89">T("판타지 웹소설 &gt; 현대 판타지")</f>
        <v>판타지 웹소설 &gt; 현대 판타지</v>
      </c>
    </row>
    <row r="699" spans="1:57" x14ac:dyDescent="0.3">
      <c r="A699">
        <v>1525004030</v>
      </c>
      <c r="B699">
        <v>1525004113</v>
      </c>
      <c r="C699" t="str">
        <f>T("회귀의 전설 84화")</f>
        <v>회귀의 전설 84화</v>
      </c>
      <c r="D699" t="str">
        <f>T("84")</f>
        <v>84</v>
      </c>
      <c r="E699" t="str">
        <f t="shared" si="87"/>
        <v>김광수</v>
      </c>
      <c r="H699" t="str">
        <f t="shared" si="83"/>
        <v>스토리위즈</v>
      </c>
      <c r="I699" t="str">
        <f t="shared" si="88"/>
        <v>회귀의 전설</v>
      </c>
      <c r="J699">
        <v>100</v>
      </c>
      <c r="K699">
        <v>200</v>
      </c>
      <c r="L699">
        <v>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200</v>
      </c>
      <c r="AH699">
        <v>2</v>
      </c>
      <c r="AI699">
        <v>0</v>
      </c>
      <c r="AJ699">
        <v>0</v>
      </c>
      <c r="AK699">
        <v>100</v>
      </c>
      <c r="AL699">
        <v>0</v>
      </c>
      <c r="AM699">
        <v>120</v>
      </c>
      <c r="AN699">
        <v>-12</v>
      </c>
      <c r="AO699">
        <v>0</v>
      </c>
      <c r="AQ699">
        <v>0</v>
      </c>
      <c r="AR699">
        <v>0</v>
      </c>
      <c r="AS699">
        <v>120</v>
      </c>
      <c r="AT699">
        <v>-12</v>
      </c>
      <c r="AU699">
        <v>0</v>
      </c>
      <c r="AW699">
        <v>0</v>
      </c>
      <c r="AX699">
        <v>0</v>
      </c>
      <c r="AY699">
        <v>145.6</v>
      </c>
      <c r="BC699" t="str">
        <f>T("9788997946006")</f>
        <v>9788997946006</v>
      </c>
      <c r="BE699" t="str">
        <f t="shared" si="89"/>
        <v>판타지 웹소설 &gt; 현대 판타지</v>
      </c>
    </row>
    <row r="700" spans="1:57" x14ac:dyDescent="0.3">
      <c r="A700">
        <v>1525004030</v>
      </c>
      <c r="B700">
        <v>1525007097</v>
      </c>
      <c r="C700" t="str">
        <f>T("회귀의 전설 2부 981화")</f>
        <v>회귀의 전설 2부 981화</v>
      </c>
      <c r="D700" t="str">
        <f>T("981")</f>
        <v>981</v>
      </c>
      <c r="E700" t="str">
        <f t="shared" si="87"/>
        <v>김광수</v>
      </c>
      <c r="H700" t="str">
        <f t="shared" si="83"/>
        <v>스토리위즈</v>
      </c>
      <c r="I700" t="str">
        <f t="shared" si="88"/>
        <v>회귀의 전설</v>
      </c>
      <c r="J700">
        <v>100</v>
      </c>
      <c r="K700">
        <v>200</v>
      </c>
      <c r="L700">
        <v>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200</v>
      </c>
      <c r="AH700">
        <v>2</v>
      </c>
      <c r="AI700">
        <v>0</v>
      </c>
      <c r="AJ700">
        <v>0</v>
      </c>
      <c r="AK700">
        <v>200</v>
      </c>
      <c r="AL700">
        <v>0</v>
      </c>
      <c r="AM700">
        <v>0</v>
      </c>
      <c r="AN700">
        <v>0</v>
      </c>
      <c r="AO700">
        <v>0</v>
      </c>
      <c r="AQ700">
        <v>0</v>
      </c>
      <c r="AR700">
        <v>0</v>
      </c>
      <c r="AT700">
        <v>0</v>
      </c>
      <c r="AU700">
        <v>0</v>
      </c>
      <c r="AW700">
        <v>0</v>
      </c>
      <c r="AX700">
        <v>0</v>
      </c>
      <c r="AY700">
        <v>140</v>
      </c>
      <c r="BC700" t="str">
        <f>T("9791191102086")</f>
        <v>9791191102086</v>
      </c>
      <c r="BE700" t="str">
        <f t="shared" si="89"/>
        <v>판타지 웹소설 &gt; 현대 판타지</v>
      </c>
    </row>
    <row r="701" spans="1:57" x14ac:dyDescent="0.3">
      <c r="A701">
        <v>1525004030</v>
      </c>
      <c r="B701">
        <v>1525004357</v>
      </c>
      <c r="C701" t="str">
        <f>T("회귀의 전설 329화")</f>
        <v>회귀의 전설 329화</v>
      </c>
      <c r="D701" t="str">
        <f>T("329")</f>
        <v>329</v>
      </c>
      <c r="E701" t="str">
        <f t="shared" si="87"/>
        <v>김광수</v>
      </c>
      <c r="H701" t="str">
        <f t="shared" si="83"/>
        <v>스토리위즈</v>
      </c>
      <c r="I701" t="str">
        <f t="shared" si="88"/>
        <v>회귀의 전설</v>
      </c>
      <c r="J701">
        <v>100</v>
      </c>
      <c r="K701">
        <v>200</v>
      </c>
      <c r="L701">
        <v>2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200</v>
      </c>
      <c r="AH701">
        <v>2</v>
      </c>
      <c r="AI701">
        <v>0</v>
      </c>
      <c r="AJ701">
        <v>0</v>
      </c>
      <c r="AK701">
        <v>200</v>
      </c>
      <c r="AL701">
        <v>0</v>
      </c>
      <c r="AM701">
        <v>0</v>
      </c>
      <c r="AN701">
        <v>0</v>
      </c>
      <c r="AO701">
        <v>0</v>
      </c>
      <c r="AQ701">
        <v>0</v>
      </c>
      <c r="AR701">
        <v>0</v>
      </c>
      <c r="AT701">
        <v>0</v>
      </c>
      <c r="AU701">
        <v>0</v>
      </c>
      <c r="AW701">
        <v>0</v>
      </c>
      <c r="AX701">
        <v>0</v>
      </c>
      <c r="AY701">
        <v>140</v>
      </c>
      <c r="BC701" t="str">
        <f t="shared" ref="BC701:BC707" si="90">T("9788997946006")</f>
        <v>9788997946006</v>
      </c>
      <c r="BE701" t="str">
        <f t="shared" si="89"/>
        <v>판타지 웹소설 &gt; 현대 판타지</v>
      </c>
    </row>
    <row r="702" spans="1:57" x14ac:dyDescent="0.3">
      <c r="A702">
        <v>1525004030</v>
      </c>
      <c r="B702">
        <v>1525004414</v>
      </c>
      <c r="C702" t="str">
        <f>T("회귀의 전설 398화")</f>
        <v>회귀의 전설 398화</v>
      </c>
      <c r="D702" t="str">
        <f>T("398")</f>
        <v>398</v>
      </c>
      <c r="E702" t="str">
        <f t="shared" si="87"/>
        <v>김광수</v>
      </c>
      <c r="H702" t="str">
        <f t="shared" si="83"/>
        <v>스토리위즈</v>
      </c>
      <c r="I702" t="str">
        <f t="shared" si="88"/>
        <v>회귀의 전설</v>
      </c>
      <c r="J702">
        <v>100</v>
      </c>
      <c r="K702">
        <v>200</v>
      </c>
      <c r="L702">
        <v>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200</v>
      </c>
      <c r="AH702">
        <v>2</v>
      </c>
      <c r="AI702">
        <v>0</v>
      </c>
      <c r="AJ702">
        <v>0</v>
      </c>
      <c r="AK702">
        <v>200</v>
      </c>
      <c r="AL702">
        <v>0</v>
      </c>
      <c r="AM702">
        <v>0</v>
      </c>
      <c r="AN702">
        <v>0</v>
      </c>
      <c r="AO702">
        <v>0</v>
      </c>
      <c r="AQ702">
        <v>0</v>
      </c>
      <c r="AR702">
        <v>0</v>
      </c>
      <c r="AT702">
        <v>0</v>
      </c>
      <c r="AU702">
        <v>0</v>
      </c>
      <c r="AW702">
        <v>0</v>
      </c>
      <c r="AX702">
        <v>0</v>
      </c>
      <c r="AY702">
        <v>140</v>
      </c>
      <c r="BC702" t="str">
        <f t="shared" si="90"/>
        <v>9788997946006</v>
      </c>
      <c r="BE702" t="str">
        <f t="shared" si="89"/>
        <v>판타지 웹소설 &gt; 현대 판타지</v>
      </c>
    </row>
    <row r="703" spans="1:57" x14ac:dyDescent="0.3">
      <c r="A703">
        <v>1525004030</v>
      </c>
      <c r="B703">
        <v>1525004471</v>
      </c>
      <c r="C703" t="str">
        <f>T("회귀의 전설 455화")</f>
        <v>회귀의 전설 455화</v>
      </c>
      <c r="D703" t="str">
        <f>T("455")</f>
        <v>455</v>
      </c>
      <c r="E703" t="str">
        <f t="shared" si="87"/>
        <v>김광수</v>
      </c>
      <c r="H703" t="str">
        <f t="shared" si="83"/>
        <v>스토리위즈</v>
      </c>
      <c r="I703" t="str">
        <f t="shared" si="88"/>
        <v>회귀의 전설</v>
      </c>
      <c r="J703">
        <v>100</v>
      </c>
      <c r="K703">
        <v>200</v>
      </c>
      <c r="L703">
        <v>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200</v>
      </c>
      <c r="AH703">
        <v>2</v>
      </c>
      <c r="AI703">
        <v>0</v>
      </c>
      <c r="AJ703">
        <v>0</v>
      </c>
      <c r="AK703">
        <v>200</v>
      </c>
      <c r="AL703">
        <v>0</v>
      </c>
      <c r="AM703">
        <v>0</v>
      </c>
      <c r="AN703">
        <v>0</v>
      </c>
      <c r="AO703">
        <v>0</v>
      </c>
      <c r="AQ703">
        <v>0</v>
      </c>
      <c r="AR703">
        <v>0</v>
      </c>
      <c r="AT703">
        <v>0</v>
      </c>
      <c r="AU703">
        <v>0</v>
      </c>
      <c r="AW703">
        <v>0</v>
      </c>
      <c r="AX703">
        <v>0</v>
      </c>
      <c r="AY703">
        <v>140</v>
      </c>
      <c r="BC703" t="str">
        <f t="shared" si="90"/>
        <v>9788997946006</v>
      </c>
      <c r="BE703" t="str">
        <f t="shared" si="89"/>
        <v>판타지 웹소설 &gt; 현대 판타지</v>
      </c>
    </row>
    <row r="704" spans="1:57" x14ac:dyDescent="0.3">
      <c r="A704">
        <v>1525004030</v>
      </c>
      <c r="B704">
        <v>1525004389</v>
      </c>
      <c r="C704" t="str">
        <f>T("회귀의 전설 361화")</f>
        <v>회귀의 전설 361화</v>
      </c>
      <c r="D704" t="str">
        <f>T("361")</f>
        <v>361</v>
      </c>
      <c r="E704" t="str">
        <f t="shared" si="87"/>
        <v>김광수</v>
      </c>
      <c r="H704" t="str">
        <f t="shared" si="83"/>
        <v>스토리위즈</v>
      </c>
      <c r="I704" t="str">
        <f t="shared" si="88"/>
        <v>회귀의 전설</v>
      </c>
      <c r="J704">
        <v>100</v>
      </c>
      <c r="K704">
        <v>200</v>
      </c>
      <c r="L704">
        <v>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200</v>
      </c>
      <c r="AH704">
        <v>2</v>
      </c>
      <c r="AI704">
        <v>0</v>
      </c>
      <c r="AJ704">
        <v>0</v>
      </c>
      <c r="AK704">
        <v>200</v>
      </c>
      <c r="AL704">
        <v>0</v>
      </c>
      <c r="AM704">
        <v>0</v>
      </c>
      <c r="AN704">
        <v>0</v>
      </c>
      <c r="AO704">
        <v>0</v>
      </c>
      <c r="AQ704">
        <v>0</v>
      </c>
      <c r="AR704">
        <v>0</v>
      </c>
      <c r="AT704">
        <v>0</v>
      </c>
      <c r="AU704">
        <v>0</v>
      </c>
      <c r="AW704">
        <v>0</v>
      </c>
      <c r="AX704">
        <v>0</v>
      </c>
      <c r="AY704">
        <v>140</v>
      </c>
      <c r="BC704" t="str">
        <f t="shared" si="90"/>
        <v>9788997946006</v>
      </c>
      <c r="BE704" t="str">
        <f t="shared" si="89"/>
        <v>판타지 웹소설 &gt; 현대 판타지</v>
      </c>
    </row>
    <row r="705" spans="1:57" x14ac:dyDescent="0.3">
      <c r="A705">
        <v>1525004030</v>
      </c>
      <c r="B705">
        <v>1525004446</v>
      </c>
      <c r="C705" t="str">
        <f>T("회귀의 전설 430화")</f>
        <v>회귀의 전설 430화</v>
      </c>
      <c r="D705" t="str">
        <f>T("430")</f>
        <v>430</v>
      </c>
      <c r="E705" t="str">
        <f t="shared" si="87"/>
        <v>김광수</v>
      </c>
      <c r="H705" t="str">
        <f t="shared" si="83"/>
        <v>스토리위즈</v>
      </c>
      <c r="I705" t="str">
        <f t="shared" si="88"/>
        <v>회귀의 전설</v>
      </c>
      <c r="J705">
        <v>100</v>
      </c>
      <c r="K705">
        <v>200</v>
      </c>
      <c r="L705">
        <v>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200</v>
      </c>
      <c r="AH705">
        <v>2</v>
      </c>
      <c r="AI705">
        <v>0</v>
      </c>
      <c r="AJ705">
        <v>0</v>
      </c>
      <c r="AK705">
        <v>200</v>
      </c>
      <c r="AL705">
        <v>0</v>
      </c>
      <c r="AM705">
        <v>0</v>
      </c>
      <c r="AN705">
        <v>0</v>
      </c>
      <c r="AO705">
        <v>0</v>
      </c>
      <c r="AQ705">
        <v>0</v>
      </c>
      <c r="AR705">
        <v>0</v>
      </c>
      <c r="AT705">
        <v>0</v>
      </c>
      <c r="AU705">
        <v>0</v>
      </c>
      <c r="AW705">
        <v>0</v>
      </c>
      <c r="AX705">
        <v>0</v>
      </c>
      <c r="AY705">
        <v>140</v>
      </c>
      <c r="BC705" t="str">
        <f t="shared" si="90"/>
        <v>9788997946006</v>
      </c>
      <c r="BE705" t="str">
        <f t="shared" si="89"/>
        <v>판타지 웹소설 &gt; 현대 판타지</v>
      </c>
    </row>
    <row r="706" spans="1:57" x14ac:dyDescent="0.3">
      <c r="A706">
        <v>1525004030</v>
      </c>
      <c r="B706">
        <v>1525004064</v>
      </c>
      <c r="C706" t="str">
        <f>T("회귀의 전설 35화")</f>
        <v>회귀의 전설 35화</v>
      </c>
      <c r="D706" t="str">
        <f>T("35")</f>
        <v>35</v>
      </c>
      <c r="E706" t="str">
        <f t="shared" si="87"/>
        <v>김광수</v>
      </c>
      <c r="H706" t="str">
        <f t="shared" si="83"/>
        <v>스토리위즈</v>
      </c>
      <c r="I706" t="str">
        <f t="shared" si="88"/>
        <v>회귀의 전설</v>
      </c>
      <c r="J706">
        <v>100</v>
      </c>
      <c r="K706">
        <v>200</v>
      </c>
      <c r="L706">
        <v>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200</v>
      </c>
      <c r="AH706">
        <v>2</v>
      </c>
      <c r="AI706">
        <v>0</v>
      </c>
      <c r="AJ706">
        <v>0</v>
      </c>
      <c r="AK706">
        <v>100</v>
      </c>
      <c r="AL706">
        <v>0</v>
      </c>
      <c r="AM706">
        <v>120</v>
      </c>
      <c r="AN706">
        <v>-36</v>
      </c>
      <c r="AO706">
        <v>0</v>
      </c>
      <c r="AQ706">
        <v>0</v>
      </c>
      <c r="AR706">
        <v>0</v>
      </c>
      <c r="AS706">
        <v>120</v>
      </c>
      <c r="AT706">
        <v>-36</v>
      </c>
      <c r="AU706">
        <v>0</v>
      </c>
      <c r="AW706">
        <v>0</v>
      </c>
      <c r="AX706">
        <v>0</v>
      </c>
      <c r="AY706">
        <v>128.80000000000001</v>
      </c>
      <c r="BC706" t="str">
        <f t="shared" si="90"/>
        <v>9788997946006</v>
      </c>
      <c r="BE706" t="str">
        <f t="shared" si="89"/>
        <v>판타지 웹소설 &gt; 현대 판타지</v>
      </c>
    </row>
    <row r="707" spans="1:57" x14ac:dyDescent="0.3">
      <c r="A707">
        <v>1525004030</v>
      </c>
      <c r="B707">
        <v>1525004308</v>
      </c>
      <c r="C707" t="str">
        <f>T("회귀의 전설 279화")</f>
        <v>회귀의 전설 279화</v>
      </c>
      <c r="D707" t="str">
        <f>T("279")</f>
        <v>279</v>
      </c>
      <c r="E707" t="str">
        <f t="shared" si="87"/>
        <v>김광수</v>
      </c>
      <c r="H707" t="str">
        <f t="shared" si="83"/>
        <v>스토리위즈</v>
      </c>
      <c r="I707" t="str">
        <f t="shared" si="88"/>
        <v>회귀의 전설</v>
      </c>
      <c r="J707">
        <v>100</v>
      </c>
      <c r="K707">
        <v>200</v>
      </c>
      <c r="L707">
        <v>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200</v>
      </c>
      <c r="AH707">
        <v>2</v>
      </c>
      <c r="AI707">
        <v>0</v>
      </c>
      <c r="AJ707">
        <v>0</v>
      </c>
      <c r="AK707">
        <v>200</v>
      </c>
      <c r="AL707">
        <v>0</v>
      </c>
      <c r="AM707">
        <v>0</v>
      </c>
      <c r="AN707">
        <v>0</v>
      </c>
      <c r="AO707">
        <v>0</v>
      </c>
      <c r="AQ707">
        <v>0</v>
      </c>
      <c r="AR707">
        <v>0</v>
      </c>
      <c r="AT707">
        <v>0</v>
      </c>
      <c r="AU707">
        <v>0</v>
      </c>
      <c r="AW707">
        <v>0</v>
      </c>
      <c r="AX707">
        <v>0</v>
      </c>
      <c r="AY707">
        <v>140</v>
      </c>
      <c r="BC707" t="str">
        <f t="shared" si="90"/>
        <v>9788997946006</v>
      </c>
      <c r="BE707" t="str">
        <f t="shared" si="89"/>
        <v>판타지 웹소설 &gt; 현대 판타지</v>
      </c>
    </row>
    <row r="708" spans="1:57" x14ac:dyDescent="0.3">
      <c r="A708">
        <v>1525004030</v>
      </c>
      <c r="B708">
        <v>1525006676</v>
      </c>
      <c r="C708" t="str">
        <f>T("회귀의 전설 2부 559화")</f>
        <v>회귀의 전설 2부 559화</v>
      </c>
      <c r="D708" t="str">
        <f>T("559")</f>
        <v>559</v>
      </c>
      <c r="E708" t="str">
        <f t="shared" si="87"/>
        <v>김광수</v>
      </c>
      <c r="H708" t="str">
        <f t="shared" si="83"/>
        <v>스토리위즈</v>
      </c>
      <c r="I708" t="str">
        <f t="shared" si="88"/>
        <v>회귀의 전설</v>
      </c>
      <c r="J708">
        <v>100</v>
      </c>
      <c r="K708">
        <v>200</v>
      </c>
      <c r="L708">
        <v>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200</v>
      </c>
      <c r="AH708">
        <v>2</v>
      </c>
      <c r="AI708">
        <v>0</v>
      </c>
      <c r="AJ708">
        <v>0</v>
      </c>
      <c r="AK708">
        <v>200</v>
      </c>
      <c r="AL708">
        <v>0</v>
      </c>
      <c r="AM708">
        <v>0</v>
      </c>
      <c r="AN708">
        <v>0</v>
      </c>
      <c r="AO708">
        <v>0</v>
      </c>
      <c r="AQ708">
        <v>0</v>
      </c>
      <c r="AR708">
        <v>0</v>
      </c>
      <c r="AT708">
        <v>0</v>
      </c>
      <c r="AU708">
        <v>0</v>
      </c>
      <c r="AW708">
        <v>0</v>
      </c>
      <c r="AX708">
        <v>0</v>
      </c>
      <c r="AY708">
        <v>140</v>
      </c>
      <c r="BC708" t="str">
        <f>T("9791191102086")</f>
        <v>9791191102086</v>
      </c>
      <c r="BE708" t="str">
        <f t="shared" si="89"/>
        <v>판타지 웹소설 &gt; 현대 판타지</v>
      </c>
    </row>
    <row r="709" spans="1:57" x14ac:dyDescent="0.3">
      <c r="A709">
        <v>1525004030</v>
      </c>
      <c r="B709">
        <v>1525004096</v>
      </c>
      <c r="C709" t="str">
        <f>T("회귀의 전설 67화")</f>
        <v>회귀의 전설 67화</v>
      </c>
      <c r="D709" t="str">
        <f>T("67")</f>
        <v>67</v>
      </c>
      <c r="E709" t="str">
        <f t="shared" si="87"/>
        <v>김광수</v>
      </c>
      <c r="H709" t="str">
        <f t="shared" si="83"/>
        <v>스토리위즈</v>
      </c>
      <c r="I709" t="str">
        <f t="shared" si="88"/>
        <v>회귀의 전설</v>
      </c>
      <c r="J709">
        <v>100</v>
      </c>
      <c r="K709">
        <v>200</v>
      </c>
      <c r="L709">
        <v>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200</v>
      </c>
      <c r="AH709">
        <v>2</v>
      </c>
      <c r="AI709">
        <v>0</v>
      </c>
      <c r="AJ709">
        <v>0</v>
      </c>
      <c r="AK709">
        <v>100</v>
      </c>
      <c r="AL709">
        <v>0</v>
      </c>
      <c r="AM709">
        <v>120</v>
      </c>
      <c r="AN709">
        <v>-36</v>
      </c>
      <c r="AO709">
        <v>0</v>
      </c>
      <c r="AQ709">
        <v>0</v>
      </c>
      <c r="AR709">
        <v>0</v>
      </c>
      <c r="AS709">
        <v>120</v>
      </c>
      <c r="AT709">
        <v>-36</v>
      </c>
      <c r="AU709">
        <v>0</v>
      </c>
      <c r="AW709">
        <v>0</v>
      </c>
      <c r="AX709">
        <v>0</v>
      </c>
      <c r="AY709">
        <v>128.80000000000001</v>
      </c>
      <c r="BC709" t="str">
        <f>T("9788997946006")</f>
        <v>9788997946006</v>
      </c>
      <c r="BE709" t="str">
        <f t="shared" si="89"/>
        <v>판타지 웹소설 &gt; 현대 판타지</v>
      </c>
    </row>
    <row r="710" spans="1:57" x14ac:dyDescent="0.3">
      <c r="A710">
        <v>1525004030</v>
      </c>
      <c r="B710">
        <v>1525006831</v>
      </c>
      <c r="C710" t="str">
        <f>T("회귀의 전설 2부 714화")</f>
        <v>회귀의 전설 2부 714화</v>
      </c>
      <c r="D710" t="str">
        <f>T("714")</f>
        <v>714</v>
      </c>
      <c r="E710" t="str">
        <f t="shared" si="87"/>
        <v>김광수</v>
      </c>
      <c r="H710" t="str">
        <f t="shared" si="83"/>
        <v>스토리위즈</v>
      </c>
      <c r="I710" t="str">
        <f t="shared" si="88"/>
        <v>회귀의 전설</v>
      </c>
      <c r="J710">
        <v>100</v>
      </c>
      <c r="K710">
        <v>200</v>
      </c>
      <c r="L710">
        <v>2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200</v>
      </c>
      <c r="AH710">
        <v>2</v>
      </c>
      <c r="AI710">
        <v>0</v>
      </c>
      <c r="AJ710">
        <v>0</v>
      </c>
      <c r="AK710">
        <v>100</v>
      </c>
      <c r="AL710">
        <v>0</v>
      </c>
      <c r="AM710">
        <v>120</v>
      </c>
      <c r="AN710">
        <v>-12</v>
      </c>
      <c r="AO710">
        <v>0</v>
      </c>
      <c r="AQ710">
        <v>0</v>
      </c>
      <c r="AR710">
        <v>0</v>
      </c>
      <c r="AS710">
        <v>120</v>
      </c>
      <c r="AT710">
        <v>-12</v>
      </c>
      <c r="AU710">
        <v>0</v>
      </c>
      <c r="AW710">
        <v>0</v>
      </c>
      <c r="AX710">
        <v>0</v>
      </c>
      <c r="AY710">
        <v>145.6</v>
      </c>
      <c r="BC710" t="str">
        <f>T("9791191102086")</f>
        <v>9791191102086</v>
      </c>
      <c r="BE710" t="str">
        <f t="shared" si="89"/>
        <v>판타지 웹소설 &gt; 현대 판타지</v>
      </c>
    </row>
    <row r="711" spans="1:57" x14ac:dyDescent="0.3">
      <c r="A711">
        <v>1525004030</v>
      </c>
      <c r="B711">
        <v>1525006790</v>
      </c>
      <c r="C711" t="str">
        <f>T("회귀의 전설 2부 673화")</f>
        <v>회귀의 전설 2부 673화</v>
      </c>
      <c r="D711" t="str">
        <f>T("673")</f>
        <v>673</v>
      </c>
      <c r="E711" t="str">
        <f t="shared" si="87"/>
        <v>김광수</v>
      </c>
      <c r="H711" t="str">
        <f t="shared" si="83"/>
        <v>스토리위즈</v>
      </c>
      <c r="I711" t="str">
        <f t="shared" si="88"/>
        <v>회귀의 전설</v>
      </c>
      <c r="J711">
        <v>100</v>
      </c>
      <c r="K711">
        <v>200</v>
      </c>
      <c r="L711">
        <v>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200</v>
      </c>
      <c r="AH711">
        <v>2</v>
      </c>
      <c r="AI711">
        <v>0</v>
      </c>
      <c r="AJ711">
        <v>0</v>
      </c>
      <c r="AK711">
        <v>100</v>
      </c>
      <c r="AL711">
        <v>0</v>
      </c>
      <c r="AM711">
        <v>120</v>
      </c>
      <c r="AN711">
        <v>-12</v>
      </c>
      <c r="AO711">
        <v>0</v>
      </c>
      <c r="AQ711">
        <v>0</v>
      </c>
      <c r="AR711">
        <v>0</v>
      </c>
      <c r="AS711">
        <v>120</v>
      </c>
      <c r="AT711">
        <v>-12</v>
      </c>
      <c r="AU711">
        <v>0</v>
      </c>
      <c r="AW711">
        <v>0</v>
      </c>
      <c r="AX711">
        <v>0</v>
      </c>
      <c r="AY711">
        <v>145.6</v>
      </c>
      <c r="BC711" t="str">
        <f>T("9791191102086")</f>
        <v>9791191102086</v>
      </c>
      <c r="BE711" t="str">
        <f t="shared" si="89"/>
        <v>판타지 웹소설 &gt; 현대 판타지</v>
      </c>
    </row>
    <row r="712" spans="1:57" x14ac:dyDescent="0.3">
      <c r="A712">
        <v>1525004030</v>
      </c>
      <c r="B712">
        <v>1525006651</v>
      </c>
      <c r="C712" t="str">
        <f>T("회귀의 전설 2부 534화")</f>
        <v>회귀의 전설 2부 534화</v>
      </c>
      <c r="D712" t="str">
        <f>T("534")</f>
        <v>534</v>
      </c>
      <c r="E712" t="str">
        <f t="shared" si="87"/>
        <v>김광수</v>
      </c>
      <c r="H712" t="str">
        <f t="shared" si="83"/>
        <v>스토리위즈</v>
      </c>
      <c r="I712" t="str">
        <f t="shared" si="88"/>
        <v>회귀의 전설</v>
      </c>
      <c r="J712">
        <v>100</v>
      </c>
      <c r="K712">
        <v>200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200</v>
      </c>
      <c r="AH712">
        <v>2</v>
      </c>
      <c r="AI712">
        <v>0</v>
      </c>
      <c r="AJ712">
        <v>0</v>
      </c>
      <c r="AK712">
        <v>200</v>
      </c>
      <c r="AL712">
        <v>0</v>
      </c>
      <c r="AM712">
        <v>0</v>
      </c>
      <c r="AN712">
        <v>0</v>
      </c>
      <c r="AO712">
        <v>0</v>
      </c>
      <c r="AQ712">
        <v>0</v>
      </c>
      <c r="AR712">
        <v>0</v>
      </c>
      <c r="AT712">
        <v>0</v>
      </c>
      <c r="AU712">
        <v>0</v>
      </c>
      <c r="AW712">
        <v>0</v>
      </c>
      <c r="AX712">
        <v>0</v>
      </c>
      <c r="AY712">
        <v>140</v>
      </c>
      <c r="BC712" t="str">
        <f>T("9791191102086")</f>
        <v>9791191102086</v>
      </c>
      <c r="BE712" t="str">
        <f t="shared" si="89"/>
        <v>판타지 웹소설 &gt; 현대 판타지</v>
      </c>
    </row>
    <row r="713" spans="1:57" x14ac:dyDescent="0.3">
      <c r="A713">
        <v>1525004030</v>
      </c>
      <c r="B713">
        <v>1525006665</v>
      </c>
      <c r="C713" t="str">
        <f>T("회귀의 전설 2부 548화")</f>
        <v>회귀의 전설 2부 548화</v>
      </c>
      <c r="D713" t="str">
        <f>T("548")</f>
        <v>548</v>
      </c>
      <c r="E713" t="str">
        <f t="shared" si="87"/>
        <v>김광수</v>
      </c>
      <c r="H713" t="str">
        <f t="shared" si="83"/>
        <v>스토리위즈</v>
      </c>
      <c r="I713" t="str">
        <f t="shared" si="88"/>
        <v>회귀의 전설</v>
      </c>
      <c r="J713">
        <v>100</v>
      </c>
      <c r="K713">
        <v>200</v>
      </c>
      <c r="L713">
        <v>2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200</v>
      </c>
      <c r="AH713">
        <v>2</v>
      </c>
      <c r="AI713">
        <v>0</v>
      </c>
      <c r="AJ713">
        <v>0</v>
      </c>
      <c r="AK713">
        <v>200</v>
      </c>
      <c r="AL713">
        <v>0</v>
      </c>
      <c r="AM713">
        <v>0</v>
      </c>
      <c r="AN713">
        <v>0</v>
      </c>
      <c r="AO713">
        <v>0</v>
      </c>
      <c r="AQ713">
        <v>0</v>
      </c>
      <c r="AR713">
        <v>0</v>
      </c>
      <c r="AT713">
        <v>0</v>
      </c>
      <c r="AU713">
        <v>0</v>
      </c>
      <c r="AW713">
        <v>0</v>
      </c>
      <c r="AX713">
        <v>0</v>
      </c>
      <c r="AY713">
        <v>140</v>
      </c>
      <c r="BC713" t="str">
        <f>T("9791191102086")</f>
        <v>9791191102086</v>
      </c>
      <c r="BE713" t="str">
        <f t="shared" si="89"/>
        <v>판타지 웹소설 &gt; 현대 판타지</v>
      </c>
    </row>
    <row r="714" spans="1:57" x14ac:dyDescent="0.3">
      <c r="A714">
        <v>1525008428</v>
      </c>
      <c r="B714">
        <v>1525008440</v>
      </c>
      <c r="C714" t="str">
        <f>T("무히비(Muhibbi) 30화")</f>
        <v>무히비(Muhibbi) 30화</v>
      </c>
      <c r="D714" t="str">
        <f>T("30")</f>
        <v>30</v>
      </c>
      <c r="E714" t="str">
        <f>T("jooki")</f>
        <v>jooki</v>
      </c>
      <c r="H714" t="str">
        <f>T("블러쉬")</f>
        <v>블러쉬</v>
      </c>
      <c r="I714" t="str">
        <f>T("무히비(Muhibbi)")</f>
        <v>무히비(Muhibbi)</v>
      </c>
      <c r="J714">
        <v>100</v>
      </c>
      <c r="K714">
        <v>200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200</v>
      </c>
      <c r="AH714">
        <v>2</v>
      </c>
      <c r="AI714">
        <v>0</v>
      </c>
      <c r="AJ714">
        <v>0</v>
      </c>
      <c r="AK714">
        <v>200</v>
      </c>
      <c r="AL714">
        <v>0</v>
      </c>
      <c r="AM714">
        <v>0</v>
      </c>
      <c r="AN714">
        <v>0</v>
      </c>
      <c r="AO714">
        <v>0</v>
      </c>
      <c r="AQ714">
        <v>0</v>
      </c>
      <c r="AR714">
        <v>0</v>
      </c>
      <c r="AT714">
        <v>0</v>
      </c>
      <c r="AU714">
        <v>0</v>
      </c>
      <c r="AW714">
        <v>0</v>
      </c>
      <c r="AX714">
        <v>0</v>
      </c>
      <c r="AY714">
        <v>140</v>
      </c>
      <c r="BC714" t="str">
        <f>T("9791164896622")</f>
        <v>9791164896622</v>
      </c>
      <c r="BE714" t="str">
        <f>T("BL 웹소설 &gt; 역사/시대물")</f>
        <v>BL 웹소설 &gt; 역사/시대물</v>
      </c>
    </row>
    <row r="715" spans="1:57" x14ac:dyDescent="0.3">
      <c r="A715">
        <v>1525004030</v>
      </c>
      <c r="B715">
        <v>1525004085</v>
      </c>
      <c r="C715" t="str">
        <f>T("회귀의 전설 56화")</f>
        <v>회귀의 전설 56화</v>
      </c>
      <c r="D715" t="str">
        <f>T("56")</f>
        <v>56</v>
      </c>
      <c r="E715" t="str">
        <f t="shared" ref="E715:E732" si="91">T("김광수")</f>
        <v>김광수</v>
      </c>
      <c r="H715" t="str">
        <f t="shared" ref="H715:H732" si="92">T("스토리위즈")</f>
        <v>스토리위즈</v>
      </c>
      <c r="I715" t="str">
        <f t="shared" ref="I715:I732" si="93">T("회귀의 전설")</f>
        <v>회귀의 전설</v>
      </c>
      <c r="J715">
        <v>100</v>
      </c>
      <c r="K715">
        <v>200</v>
      </c>
      <c r="L715">
        <v>2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200</v>
      </c>
      <c r="AH715">
        <v>2</v>
      </c>
      <c r="AI715">
        <v>0</v>
      </c>
      <c r="AJ715">
        <v>0</v>
      </c>
      <c r="AK715">
        <v>100</v>
      </c>
      <c r="AL715">
        <v>0</v>
      </c>
      <c r="AM715">
        <v>120</v>
      </c>
      <c r="AN715">
        <v>-36</v>
      </c>
      <c r="AO715">
        <v>0</v>
      </c>
      <c r="AQ715">
        <v>0</v>
      </c>
      <c r="AR715">
        <v>0</v>
      </c>
      <c r="AS715">
        <v>120</v>
      </c>
      <c r="AT715">
        <v>-36</v>
      </c>
      <c r="AU715">
        <v>0</v>
      </c>
      <c r="AW715">
        <v>0</v>
      </c>
      <c r="AX715">
        <v>0</v>
      </c>
      <c r="AY715">
        <v>128.80000000000001</v>
      </c>
      <c r="BC715" t="str">
        <f>T("9788997946006")</f>
        <v>9788997946006</v>
      </c>
      <c r="BE715" t="str">
        <f t="shared" ref="BE715:BE732" si="94">T("판타지 웹소설 &gt; 현대 판타지")</f>
        <v>판타지 웹소설 &gt; 현대 판타지</v>
      </c>
    </row>
    <row r="716" spans="1:57" x14ac:dyDescent="0.3">
      <c r="A716">
        <v>1525004030</v>
      </c>
      <c r="B716">
        <v>1525006779</v>
      </c>
      <c r="C716" t="str">
        <f>T("회귀의 전설 2부 662화")</f>
        <v>회귀의 전설 2부 662화</v>
      </c>
      <c r="D716" t="str">
        <f>T("662")</f>
        <v>662</v>
      </c>
      <c r="E716" t="str">
        <f t="shared" si="91"/>
        <v>김광수</v>
      </c>
      <c r="H716" t="str">
        <f t="shared" si="92"/>
        <v>스토리위즈</v>
      </c>
      <c r="I716" t="str">
        <f t="shared" si="93"/>
        <v>회귀의 전설</v>
      </c>
      <c r="J716">
        <v>100</v>
      </c>
      <c r="K716">
        <v>200</v>
      </c>
      <c r="L716">
        <v>2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200</v>
      </c>
      <c r="AH716">
        <v>2</v>
      </c>
      <c r="AI716">
        <v>0</v>
      </c>
      <c r="AJ716">
        <v>0</v>
      </c>
      <c r="AK716">
        <v>100</v>
      </c>
      <c r="AL716">
        <v>0</v>
      </c>
      <c r="AM716">
        <v>120</v>
      </c>
      <c r="AN716">
        <v>-12</v>
      </c>
      <c r="AO716">
        <v>0</v>
      </c>
      <c r="AQ716">
        <v>0</v>
      </c>
      <c r="AR716">
        <v>0</v>
      </c>
      <c r="AS716">
        <v>120</v>
      </c>
      <c r="AT716">
        <v>-12</v>
      </c>
      <c r="AU716">
        <v>0</v>
      </c>
      <c r="AW716">
        <v>0</v>
      </c>
      <c r="AX716">
        <v>0</v>
      </c>
      <c r="AY716">
        <v>145.6</v>
      </c>
      <c r="BC716" t="str">
        <f>T("9791191102086")</f>
        <v>9791191102086</v>
      </c>
      <c r="BE716" t="str">
        <f t="shared" si="94"/>
        <v>판타지 웹소설 &gt; 현대 판타지</v>
      </c>
    </row>
    <row r="717" spans="1:57" x14ac:dyDescent="0.3">
      <c r="A717">
        <v>1525004030</v>
      </c>
      <c r="B717">
        <v>1525004329</v>
      </c>
      <c r="C717" t="str">
        <f>T("회귀의 전설 300화")</f>
        <v>회귀의 전설 300화</v>
      </c>
      <c r="D717" t="str">
        <f>T("300")</f>
        <v>300</v>
      </c>
      <c r="E717" t="str">
        <f t="shared" si="91"/>
        <v>김광수</v>
      </c>
      <c r="H717" t="str">
        <f t="shared" si="92"/>
        <v>스토리위즈</v>
      </c>
      <c r="I717" t="str">
        <f t="shared" si="93"/>
        <v>회귀의 전설</v>
      </c>
      <c r="J717">
        <v>100</v>
      </c>
      <c r="K717">
        <v>200</v>
      </c>
      <c r="L717">
        <v>2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200</v>
      </c>
      <c r="AH717">
        <v>2</v>
      </c>
      <c r="AI717">
        <v>0</v>
      </c>
      <c r="AJ717">
        <v>0</v>
      </c>
      <c r="AK717">
        <v>200</v>
      </c>
      <c r="AL717">
        <v>0</v>
      </c>
      <c r="AM717">
        <v>0</v>
      </c>
      <c r="AN717">
        <v>0</v>
      </c>
      <c r="AO717">
        <v>0</v>
      </c>
      <c r="AQ717">
        <v>0</v>
      </c>
      <c r="AR717">
        <v>0</v>
      </c>
      <c r="AT717">
        <v>0</v>
      </c>
      <c r="AU717">
        <v>0</v>
      </c>
      <c r="AW717">
        <v>0</v>
      </c>
      <c r="AX717">
        <v>0</v>
      </c>
      <c r="AY717">
        <v>140</v>
      </c>
      <c r="BC717" t="str">
        <f>T("9788997946006")</f>
        <v>9788997946006</v>
      </c>
      <c r="BE717" t="str">
        <f t="shared" si="94"/>
        <v>판타지 웹소설 &gt; 현대 판타지</v>
      </c>
    </row>
    <row r="718" spans="1:57" x14ac:dyDescent="0.3">
      <c r="A718">
        <v>1525004030</v>
      </c>
      <c r="B718">
        <v>1525004240</v>
      </c>
      <c r="C718" t="str">
        <f>T("회귀의 전설 211화")</f>
        <v>회귀의 전설 211화</v>
      </c>
      <c r="D718" t="str">
        <f>T("211")</f>
        <v>211</v>
      </c>
      <c r="E718" t="str">
        <f t="shared" si="91"/>
        <v>김광수</v>
      </c>
      <c r="H718" t="str">
        <f t="shared" si="92"/>
        <v>스토리위즈</v>
      </c>
      <c r="I718" t="str">
        <f t="shared" si="93"/>
        <v>회귀의 전설</v>
      </c>
      <c r="J718">
        <v>100</v>
      </c>
      <c r="K718">
        <v>200</v>
      </c>
      <c r="L718">
        <v>2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200</v>
      </c>
      <c r="AH718">
        <v>2</v>
      </c>
      <c r="AI718">
        <v>0</v>
      </c>
      <c r="AJ718">
        <v>0</v>
      </c>
      <c r="AK718">
        <v>200</v>
      </c>
      <c r="AL718">
        <v>0</v>
      </c>
      <c r="AM718">
        <v>0</v>
      </c>
      <c r="AN718">
        <v>0</v>
      </c>
      <c r="AO718">
        <v>0</v>
      </c>
      <c r="AQ718">
        <v>0</v>
      </c>
      <c r="AR718">
        <v>0</v>
      </c>
      <c r="AT718">
        <v>0</v>
      </c>
      <c r="AU718">
        <v>0</v>
      </c>
      <c r="AW718">
        <v>0</v>
      </c>
      <c r="AX718">
        <v>0</v>
      </c>
      <c r="AY718">
        <v>140</v>
      </c>
      <c r="BC718" t="str">
        <f>T("9788997946006")</f>
        <v>9788997946006</v>
      </c>
      <c r="BE718" t="str">
        <f t="shared" si="94"/>
        <v>판타지 웹소설 &gt; 현대 판타지</v>
      </c>
    </row>
    <row r="719" spans="1:57" x14ac:dyDescent="0.3">
      <c r="A719">
        <v>1525004030</v>
      </c>
      <c r="B719">
        <v>1525006697</v>
      </c>
      <c r="C719" t="str">
        <f>T("회귀의 전설 2부 580화")</f>
        <v>회귀의 전설 2부 580화</v>
      </c>
      <c r="D719" t="str">
        <f>T("580")</f>
        <v>580</v>
      </c>
      <c r="E719" t="str">
        <f t="shared" si="91"/>
        <v>김광수</v>
      </c>
      <c r="H719" t="str">
        <f t="shared" si="92"/>
        <v>스토리위즈</v>
      </c>
      <c r="I719" t="str">
        <f t="shared" si="93"/>
        <v>회귀의 전설</v>
      </c>
      <c r="J719">
        <v>100</v>
      </c>
      <c r="K719">
        <v>200</v>
      </c>
      <c r="L719">
        <v>2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200</v>
      </c>
      <c r="AH719">
        <v>2</v>
      </c>
      <c r="AI719">
        <v>0</v>
      </c>
      <c r="AJ719">
        <v>0</v>
      </c>
      <c r="AK719">
        <v>200</v>
      </c>
      <c r="AL719">
        <v>0</v>
      </c>
      <c r="AM719">
        <v>0</v>
      </c>
      <c r="AN719">
        <v>0</v>
      </c>
      <c r="AO719">
        <v>0</v>
      </c>
      <c r="AQ719">
        <v>0</v>
      </c>
      <c r="AR719">
        <v>0</v>
      </c>
      <c r="AT719">
        <v>0</v>
      </c>
      <c r="AU719">
        <v>0</v>
      </c>
      <c r="AW719">
        <v>0</v>
      </c>
      <c r="AX719">
        <v>0</v>
      </c>
      <c r="AY719">
        <v>140</v>
      </c>
      <c r="BC719" t="str">
        <f>T("9791191102086")</f>
        <v>9791191102086</v>
      </c>
      <c r="BE719" t="str">
        <f t="shared" si="94"/>
        <v>판타지 웹소설 &gt; 현대 판타지</v>
      </c>
    </row>
    <row r="720" spans="1:57" x14ac:dyDescent="0.3">
      <c r="A720">
        <v>1525004030</v>
      </c>
      <c r="B720">
        <v>1525006852</v>
      </c>
      <c r="C720" t="str">
        <f>T("회귀의 전설 2부 735화")</f>
        <v>회귀의 전설 2부 735화</v>
      </c>
      <c r="D720" t="str">
        <f>T("735")</f>
        <v>735</v>
      </c>
      <c r="E720" t="str">
        <f t="shared" si="91"/>
        <v>김광수</v>
      </c>
      <c r="H720" t="str">
        <f t="shared" si="92"/>
        <v>스토리위즈</v>
      </c>
      <c r="I720" t="str">
        <f t="shared" si="93"/>
        <v>회귀의 전설</v>
      </c>
      <c r="J720">
        <v>100</v>
      </c>
      <c r="K720">
        <v>200</v>
      </c>
      <c r="L720">
        <v>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200</v>
      </c>
      <c r="AH720">
        <v>2</v>
      </c>
      <c r="AI720">
        <v>0</v>
      </c>
      <c r="AJ720">
        <v>0</v>
      </c>
      <c r="AK720">
        <v>100</v>
      </c>
      <c r="AL720">
        <v>0</v>
      </c>
      <c r="AM720">
        <v>120</v>
      </c>
      <c r="AN720">
        <v>-12</v>
      </c>
      <c r="AO720">
        <v>0</v>
      </c>
      <c r="AQ720">
        <v>0</v>
      </c>
      <c r="AR720">
        <v>0</v>
      </c>
      <c r="AS720">
        <v>120</v>
      </c>
      <c r="AT720">
        <v>-12</v>
      </c>
      <c r="AU720">
        <v>0</v>
      </c>
      <c r="AW720">
        <v>0</v>
      </c>
      <c r="AX720">
        <v>0</v>
      </c>
      <c r="AY720">
        <v>145.6</v>
      </c>
      <c r="BC720" t="str">
        <f>T("9791191102086")</f>
        <v>9791191102086</v>
      </c>
      <c r="BE720" t="str">
        <f t="shared" si="94"/>
        <v>판타지 웹소설 &gt; 현대 판타지</v>
      </c>
    </row>
    <row r="721" spans="1:57" x14ac:dyDescent="0.3">
      <c r="A721">
        <v>1525004030</v>
      </c>
      <c r="B721">
        <v>1525006811</v>
      </c>
      <c r="C721" t="str">
        <f>T("회귀의 전설 2부 694화")</f>
        <v>회귀의 전설 2부 694화</v>
      </c>
      <c r="D721" t="str">
        <f>T("694")</f>
        <v>694</v>
      </c>
      <c r="E721" t="str">
        <f t="shared" si="91"/>
        <v>김광수</v>
      </c>
      <c r="H721" t="str">
        <f t="shared" si="92"/>
        <v>스토리위즈</v>
      </c>
      <c r="I721" t="str">
        <f t="shared" si="93"/>
        <v>회귀의 전설</v>
      </c>
      <c r="J721">
        <v>100</v>
      </c>
      <c r="K721">
        <v>200</v>
      </c>
      <c r="L721">
        <v>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200</v>
      </c>
      <c r="AH721">
        <v>2</v>
      </c>
      <c r="AI721">
        <v>0</v>
      </c>
      <c r="AJ721">
        <v>0</v>
      </c>
      <c r="AK721">
        <v>100</v>
      </c>
      <c r="AL721">
        <v>0</v>
      </c>
      <c r="AM721">
        <v>120</v>
      </c>
      <c r="AN721">
        <v>-12</v>
      </c>
      <c r="AO721">
        <v>0</v>
      </c>
      <c r="AQ721">
        <v>0</v>
      </c>
      <c r="AR721">
        <v>0</v>
      </c>
      <c r="AS721">
        <v>120</v>
      </c>
      <c r="AT721">
        <v>-12</v>
      </c>
      <c r="AU721">
        <v>0</v>
      </c>
      <c r="AW721">
        <v>0</v>
      </c>
      <c r="AX721">
        <v>0</v>
      </c>
      <c r="AY721">
        <v>145.6</v>
      </c>
      <c r="BC721" t="str">
        <f>T("9791191102086")</f>
        <v>9791191102086</v>
      </c>
      <c r="BE721" t="str">
        <f t="shared" si="94"/>
        <v>판타지 웹소설 &gt; 현대 판타지</v>
      </c>
    </row>
    <row r="722" spans="1:57" x14ac:dyDescent="0.3">
      <c r="A722">
        <v>1525004030</v>
      </c>
      <c r="B722">
        <v>1525004272</v>
      </c>
      <c r="C722" t="str">
        <f>T("회귀의 전설 243화")</f>
        <v>회귀의 전설 243화</v>
      </c>
      <c r="D722" t="str">
        <f>T("243")</f>
        <v>243</v>
      </c>
      <c r="E722" t="str">
        <f t="shared" si="91"/>
        <v>김광수</v>
      </c>
      <c r="H722" t="str">
        <f t="shared" si="92"/>
        <v>스토리위즈</v>
      </c>
      <c r="I722" t="str">
        <f t="shared" si="93"/>
        <v>회귀의 전설</v>
      </c>
      <c r="J722">
        <v>100</v>
      </c>
      <c r="K722">
        <v>200</v>
      </c>
      <c r="L722">
        <v>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200</v>
      </c>
      <c r="AH722">
        <v>2</v>
      </c>
      <c r="AI722">
        <v>0</v>
      </c>
      <c r="AJ722">
        <v>0</v>
      </c>
      <c r="AK722">
        <v>200</v>
      </c>
      <c r="AL722">
        <v>0</v>
      </c>
      <c r="AM722">
        <v>0</v>
      </c>
      <c r="AN722">
        <v>0</v>
      </c>
      <c r="AO722">
        <v>0</v>
      </c>
      <c r="AQ722">
        <v>0</v>
      </c>
      <c r="AR722">
        <v>0</v>
      </c>
      <c r="AT722">
        <v>0</v>
      </c>
      <c r="AU722">
        <v>0</v>
      </c>
      <c r="AW722">
        <v>0</v>
      </c>
      <c r="AX722">
        <v>0</v>
      </c>
      <c r="AY722">
        <v>140</v>
      </c>
      <c r="BC722" t="str">
        <f t="shared" ref="BC722:BC729" si="95">T("9788997946006")</f>
        <v>9788997946006</v>
      </c>
      <c r="BE722" t="str">
        <f t="shared" si="94"/>
        <v>판타지 웹소설 &gt; 현대 판타지</v>
      </c>
    </row>
    <row r="723" spans="1:57" x14ac:dyDescent="0.3">
      <c r="A723">
        <v>1525004030</v>
      </c>
      <c r="B723">
        <v>1525004346</v>
      </c>
      <c r="C723" t="str">
        <f>T("회귀의 전설 318화")</f>
        <v>회귀의 전설 318화</v>
      </c>
      <c r="D723" t="str">
        <f>T("318")</f>
        <v>318</v>
      </c>
      <c r="E723" t="str">
        <f t="shared" si="91"/>
        <v>김광수</v>
      </c>
      <c r="H723" t="str">
        <f t="shared" si="92"/>
        <v>스토리위즈</v>
      </c>
      <c r="I723" t="str">
        <f t="shared" si="93"/>
        <v>회귀의 전설</v>
      </c>
      <c r="J723">
        <v>100</v>
      </c>
      <c r="K723">
        <v>200</v>
      </c>
      <c r="L723">
        <v>2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200</v>
      </c>
      <c r="AH723">
        <v>2</v>
      </c>
      <c r="AI723">
        <v>0</v>
      </c>
      <c r="AJ723">
        <v>0</v>
      </c>
      <c r="AK723">
        <v>200</v>
      </c>
      <c r="AL723">
        <v>0</v>
      </c>
      <c r="AM723">
        <v>0</v>
      </c>
      <c r="AN723">
        <v>0</v>
      </c>
      <c r="AO723">
        <v>0</v>
      </c>
      <c r="AQ723">
        <v>0</v>
      </c>
      <c r="AR723">
        <v>0</v>
      </c>
      <c r="AT723">
        <v>0</v>
      </c>
      <c r="AU723">
        <v>0</v>
      </c>
      <c r="AW723">
        <v>0</v>
      </c>
      <c r="AX723">
        <v>0</v>
      </c>
      <c r="AY723">
        <v>140</v>
      </c>
      <c r="BC723" t="str">
        <f t="shared" si="95"/>
        <v>9788997946006</v>
      </c>
      <c r="BE723" t="str">
        <f t="shared" si="94"/>
        <v>판타지 웹소설 &gt; 현대 판타지</v>
      </c>
    </row>
    <row r="724" spans="1:57" x14ac:dyDescent="0.3">
      <c r="A724">
        <v>1525004030</v>
      </c>
      <c r="B724">
        <v>1525004403</v>
      </c>
      <c r="C724" t="str">
        <f>T("회귀의 전설 375화")</f>
        <v>회귀의 전설 375화</v>
      </c>
      <c r="D724" t="str">
        <f>T("375")</f>
        <v>375</v>
      </c>
      <c r="E724" t="str">
        <f t="shared" si="91"/>
        <v>김광수</v>
      </c>
      <c r="H724" t="str">
        <f t="shared" si="92"/>
        <v>스토리위즈</v>
      </c>
      <c r="I724" t="str">
        <f t="shared" si="93"/>
        <v>회귀의 전설</v>
      </c>
      <c r="J724">
        <v>100</v>
      </c>
      <c r="K724">
        <v>200</v>
      </c>
      <c r="L724">
        <v>2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200</v>
      </c>
      <c r="AH724">
        <v>2</v>
      </c>
      <c r="AI724">
        <v>0</v>
      </c>
      <c r="AJ724">
        <v>0</v>
      </c>
      <c r="AK724">
        <v>200</v>
      </c>
      <c r="AL724">
        <v>0</v>
      </c>
      <c r="AM724">
        <v>0</v>
      </c>
      <c r="AN724">
        <v>0</v>
      </c>
      <c r="AO724">
        <v>0</v>
      </c>
      <c r="AQ724">
        <v>0</v>
      </c>
      <c r="AR724">
        <v>0</v>
      </c>
      <c r="AT724">
        <v>0</v>
      </c>
      <c r="AU724">
        <v>0</v>
      </c>
      <c r="AW724">
        <v>0</v>
      </c>
      <c r="AX724">
        <v>0</v>
      </c>
      <c r="AY724">
        <v>140</v>
      </c>
      <c r="BC724" t="str">
        <f t="shared" si="95"/>
        <v>9788997946006</v>
      </c>
      <c r="BE724" t="str">
        <f t="shared" si="94"/>
        <v>판타지 웹소설 &gt; 현대 판타지</v>
      </c>
    </row>
    <row r="725" spans="1:57" x14ac:dyDescent="0.3">
      <c r="A725">
        <v>1525004030</v>
      </c>
      <c r="B725">
        <v>1525004460</v>
      </c>
      <c r="C725" t="str">
        <f>T("회귀의 전설 444화")</f>
        <v>회귀의 전설 444화</v>
      </c>
      <c r="D725" t="str">
        <f>T("444")</f>
        <v>444</v>
      </c>
      <c r="E725" t="str">
        <f t="shared" si="91"/>
        <v>김광수</v>
      </c>
      <c r="H725" t="str">
        <f t="shared" si="92"/>
        <v>스토리위즈</v>
      </c>
      <c r="I725" t="str">
        <f t="shared" si="93"/>
        <v>회귀의 전설</v>
      </c>
      <c r="J725">
        <v>100</v>
      </c>
      <c r="K725">
        <v>200</v>
      </c>
      <c r="L725">
        <v>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200</v>
      </c>
      <c r="AH725">
        <v>2</v>
      </c>
      <c r="AI725">
        <v>0</v>
      </c>
      <c r="AJ725">
        <v>0</v>
      </c>
      <c r="AK725">
        <v>200</v>
      </c>
      <c r="AL725">
        <v>0</v>
      </c>
      <c r="AM725">
        <v>0</v>
      </c>
      <c r="AN725">
        <v>0</v>
      </c>
      <c r="AO725">
        <v>0</v>
      </c>
      <c r="AQ725">
        <v>0</v>
      </c>
      <c r="AR725">
        <v>0</v>
      </c>
      <c r="AT725">
        <v>0</v>
      </c>
      <c r="AU725">
        <v>0</v>
      </c>
      <c r="AW725">
        <v>0</v>
      </c>
      <c r="AX725">
        <v>0</v>
      </c>
      <c r="AY725">
        <v>140</v>
      </c>
      <c r="BC725" t="str">
        <f t="shared" si="95"/>
        <v>9788997946006</v>
      </c>
      <c r="BE725" t="str">
        <f t="shared" si="94"/>
        <v>판타지 웹소설 &gt; 현대 판타지</v>
      </c>
    </row>
    <row r="726" spans="1:57" x14ac:dyDescent="0.3">
      <c r="A726">
        <v>1525004030</v>
      </c>
      <c r="B726">
        <v>1525004378</v>
      </c>
      <c r="C726" t="str">
        <f>T("회귀의 전설 350화")</f>
        <v>회귀의 전설 350화</v>
      </c>
      <c r="D726" t="str">
        <f>T("350")</f>
        <v>350</v>
      </c>
      <c r="E726" t="str">
        <f t="shared" si="91"/>
        <v>김광수</v>
      </c>
      <c r="H726" t="str">
        <f t="shared" si="92"/>
        <v>스토리위즈</v>
      </c>
      <c r="I726" t="str">
        <f t="shared" si="93"/>
        <v>회귀의 전설</v>
      </c>
      <c r="J726">
        <v>100</v>
      </c>
      <c r="K726">
        <v>200</v>
      </c>
      <c r="L726">
        <v>2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200</v>
      </c>
      <c r="AH726">
        <v>2</v>
      </c>
      <c r="AI726">
        <v>0</v>
      </c>
      <c r="AJ726">
        <v>0</v>
      </c>
      <c r="AK726">
        <v>200</v>
      </c>
      <c r="AL726">
        <v>0</v>
      </c>
      <c r="AM726">
        <v>0</v>
      </c>
      <c r="AN726">
        <v>0</v>
      </c>
      <c r="AO726">
        <v>0</v>
      </c>
      <c r="AQ726">
        <v>0</v>
      </c>
      <c r="AR726">
        <v>0</v>
      </c>
      <c r="AT726">
        <v>0</v>
      </c>
      <c r="AU726">
        <v>0</v>
      </c>
      <c r="AW726">
        <v>0</v>
      </c>
      <c r="AX726">
        <v>0</v>
      </c>
      <c r="AY726">
        <v>140</v>
      </c>
      <c r="BC726" t="str">
        <f t="shared" si="95"/>
        <v>9788997946006</v>
      </c>
      <c r="BE726" t="str">
        <f t="shared" si="94"/>
        <v>판타지 웹소설 &gt; 현대 판타지</v>
      </c>
    </row>
    <row r="727" spans="1:57" x14ac:dyDescent="0.3">
      <c r="A727">
        <v>1525004030</v>
      </c>
      <c r="B727">
        <v>1525004435</v>
      </c>
      <c r="C727" t="str">
        <f>T("회귀의 전설 419화")</f>
        <v>회귀의 전설 419화</v>
      </c>
      <c r="D727" t="str">
        <f>T("419")</f>
        <v>419</v>
      </c>
      <c r="E727" t="str">
        <f t="shared" si="91"/>
        <v>김광수</v>
      </c>
      <c r="H727" t="str">
        <f t="shared" si="92"/>
        <v>스토리위즈</v>
      </c>
      <c r="I727" t="str">
        <f t="shared" si="93"/>
        <v>회귀의 전설</v>
      </c>
      <c r="J727">
        <v>100</v>
      </c>
      <c r="K727">
        <v>200</v>
      </c>
      <c r="L727">
        <v>2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200</v>
      </c>
      <c r="AH727">
        <v>2</v>
      </c>
      <c r="AI727">
        <v>0</v>
      </c>
      <c r="AJ727">
        <v>0</v>
      </c>
      <c r="AK727">
        <v>200</v>
      </c>
      <c r="AL727">
        <v>0</v>
      </c>
      <c r="AM727">
        <v>0</v>
      </c>
      <c r="AN727">
        <v>0</v>
      </c>
      <c r="AO727">
        <v>0</v>
      </c>
      <c r="AQ727">
        <v>0</v>
      </c>
      <c r="AR727">
        <v>0</v>
      </c>
      <c r="AT727">
        <v>0</v>
      </c>
      <c r="AU727">
        <v>0</v>
      </c>
      <c r="AW727">
        <v>0</v>
      </c>
      <c r="AX727">
        <v>0</v>
      </c>
      <c r="AY727">
        <v>140</v>
      </c>
      <c r="BC727" t="str">
        <f t="shared" si="95"/>
        <v>9788997946006</v>
      </c>
      <c r="BE727" t="str">
        <f t="shared" si="94"/>
        <v>판타지 웹소설 &gt; 현대 판타지</v>
      </c>
    </row>
    <row r="728" spans="1:57" x14ac:dyDescent="0.3">
      <c r="A728">
        <v>1525004030</v>
      </c>
      <c r="B728">
        <v>1525004492</v>
      </c>
      <c r="C728" t="str">
        <f>T("회귀의 전설 476화")</f>
        <v>회귀의 전설 476화</v>
      </c>
      <c r="D728" t="str">
        <f>T("476")</f>
        <v>476</v>
      </c>
      <c r="E728" t="str">
        <f t="shared" si="91"/>
        <v>김광수</v>
      </c>
      <c r="H728" t="str">
        <f t="shared" si="92"/>
        <v>스토리위즈</v>
      </c>
      <c r="I728" t="str">
        <f t="shared" si="93"/>
        <v>회귀의 전설</v>
      </c>
      <c r="J728">
        <v>100</v>
      </c>
      <c r="K728">
        <v>200</v>
      </c>
      <c r="L728">
        <v>2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200</v>
      </c>
      <c r="AH728">
        <v>2</v>
      </c>
      <c r="AI728">
        <v>0</v>
      </c>
      <c r="AJ728">
        <v>0</v>
      </c>
      <c r="AK728">
        <v>200</v>
      </c>
      <c r="AL728">
        <v>0</v>
      </c>
      <c r="AM728">
        <v>0</v>
      </c>
      <c r="AN728">
        <v>0</v>
      </c>
      <c r="AO728">
        <v>0</v>
      </c>
      <c r="AQ728">
        <v>0</v>
      </c>
      <c r="AR728">
        <v>0</v>
      </c>
      <c r="AT728">
        <v>0</v>
      </c>
      <c r="AU728">
        <v>0</v>
      </c>
      <c r="AW728">
        <v>0</v>
      </c>
      <c r="AX728">
        <v>0</v>
      </c>
      <c r="AY728">
        <v>140</v>
      </c>
      <c r="BC728" t="str">
        <f t="shared" si="95"/>
        <v>9788997946006</v>
      </c>
      <c r="BE728" t="str">
        <f t="shared" si="94"/>
        <v>판타지 웹소설 &gt; 현대 판타지</v>
      </c>
    </row>
    <row r="729" spans="1:57" x14ac:dyDescent="0.3">
      <c r="A729">
        <v>1525004030</v>
      </c>
      <c r="B729">
        <v>1525004297</v>
      </c>
      <c r="C729" t="str">
        <f>T("회귀의 전설 268화")</f>
        <v>회귀의 전설 268화</v>
      </c>
      <c r="D729" t="str">
        <f>T("268")</f>
        <v>268</v>
      </c>
      <c r="E729" t="str">
        <f t="shared" si="91"/>
        <v>김광수</v>
      </c>
      <c r="H729" t="str">
        <f t="shared" si="92"/>
        <v>스토리위즈</v>
      </c>
      <c r="I729" t="str">
        <f t="shared" si="93"/>
        <v>회귀의 전설</v>
      </c>
      <c r="J729">
        <v>100</v>
      </c>
      <c r="K729">
        <v>200</v>
      </c>
      <c r="L729">
        <v>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200</v>
      </c>
      <c r="AH729">
        <v>2</v>
      </c>
      <c r="AI729">
        <v>0</v>
      </c>
      <c r="AJ729">
        <v>0</v>
      </c>
      <c r="AK729">
        <v>200</v>
      </c>
      <c r="AL729">
        <v>0</v>
      </c>
      <c r="AM729">
        <v>0</v>
      </c>
      <c r="AN729">
        <v>0</v>
      </c>
      <c r="AO729">
        <v>0</v>
      </c>
      <c r="AQ729">
        <v>0</v>
      </c>
      <c r="AR729">
        <v>0</v>
      </c>
      <c r="AT729">
        <v>0</v>
      </c>
      <c r="AU729">
        <v>0</v>
      </c>
      <c r="AW729">
        <v>0</v>
      </c>
      <c r="AX729">
        <v>0</v>
      </c>
      <c r="AY729">
        <v>140</v>
      </c>
      <c r="BC729" t="str">
        <f t="shared" si="95"/>
        <v>9788997946006</v>
      </c>
      <c r="BE729" t="str">
        <f t="shared" si="94"/>
        <v>판타지 웹소설 &gt; 현대 판타지</v>
      </c>
    </row>
    <row r="730" spans="1:57" x14ac:dyDescent="0.3">
      <c r="A730">
        <v>1525004030</v>
      </c>
      <c r="B730">
        <v>1525006890</v>
      </c>
      <c r="C730" t="str">
        <f>T("회귀의 전설 2부 773화")</f>
        <v>회귀의 전설 2부 773화</v>
      </c>
      <c r="D730" t="str">
        <f>T("773")</f>
        <v>773</v>
      </c>
      <c r="E730" t="str">
        <f t="shared" si="91"/>
        <v>김광수</v>
      </c>
      <c r="H730" t="str">
        <f t="shared" si="92"/>
        <v>스토리위즈</v>
      </c>
      <c r="I730" t="str">
        <f t="shared" si="93"/>
        <v>회귀의 전설</v>
      </c>
      <c r="J730">
        <v>100</v>
      </c>
      <c r="K730">
        <v>200</v>
      </c>
      <c r="L730">
        <v>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200</v>
      </c>
      <c r="AH730">
        <v>2</v>
      </c>
      <c r="AI730">
        <v>0</v>
      </c>
      <c r="AJ730">
        <v>0</v>
      </c>
      <c r="AK730">
        <v>100</v>
      </c>
      <c r="AL730">
        <v>0</v>
      </c>
      <c r="AM730">
        <v>120</v>
      </c>
      <c r="AN730">
        <v>-12</v>
      </c>
      <c r="AO730">
        <v>0</v>
      </c>
      <c r="AQ730">
        <v>0</v>
      </c>
      <c r="AR730">
        <v>0</v>
      </c>
      <c r="AS730">
        <v>120</v>
      </c>
      <c r="AT730">
        <v>-12</v>
      </c>
      <c r="AU730">
        <v>0</v>
      </c>
      <c r="AW730">
        <v>0</v>
      </c>
      <c r="AX730">
        <v>0</v>
      </c>
      <c r="AY730">
        <v>145.6</v>
      </c>
      <c r="BC730" t="str">
        <f>T("9791191102086")</f>
        <v>9791191102086</v>
      </c>
      <c r="BE730" t="str">
        <f t="shared" si="94"/>
        <v>판타지 웹소설 &gt; 현대 판타지</v>
      </c>
    </row>
    <row r="731" spans="1:57" x14ac:dyDescent="0.3">
      <c r="A731">
        <v>1525004030</v>
      </c>
      <c r="B731">
        <v>1525004481</v>
      </c>
      <c r="C731" t="str">
        <f>T("회귀의 전설 465화")</f>
        <v>회귀의 전설 465화</v>
      </c>
      <c r="D731" t="str">
        <f>T("465")</f>
        <v>465</v>
      </c>
      <c r="E731" t="str">
        <f t="shared" si="91"/>
        <v>김광수</v>
      </c>
      <c r="H731" t="str">
        <f t="shared" si="92"/>
        <v>스토리위즈</v>
      </c>
      <c r="I731" t="str">
        <f t="shared" si="93"/>
        <v>회귀의 전설</v>
      </c>
      <c r="J731">
        <v>100</v>
      </c>
      <c r="K731">
        <v>200</v>
      </c>
      <c r="L731">
        <v>2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200</v>
      </c>
      <c r="AH731">
        <v>2</v>
      </c>
      <c r="AI731">
        <v>0</v>
      </c>
      <c r="AJ731">
        <v>0</v>
      </c>
      <c r="AK731">
        <v>200</v>
      </c>
      <c r="AL731">
        <v>0</v>
      </c>
      <c r="AM731">
        <v>0</v>
      </c>
      <c r="AN731">
        <v>0</v>
      </c>
      <c r="AO731">
        <v>0</v>
      </c>
      <c r="AQ731">
        <v>0</v>
      </c>
      <c r="AR731">
        <v>0</v>
      </c>
      <c r="AT731">
        <v>0</v>
      </c>
      <c r="AU731">
        <v>0</v>
      </c>
      <c r="AW731">
        <v>0</v>
      </c>
      <c r="AX731">
        <v>0</v>
      </c>
      <c r="AY731">
        <v>140</v>
      </c>
      <c r="BC731" t="str">
        <f>T("9788997946006")</f>
        <v>9788997946006</v>
      </c>
      <c r="BE731" t="str">
        <f t="shared" si="94"/>
        <v>판타지 웹소설 &gt; 현대 판타지</v>
      </c>
    </row>
    <row r="732" spans="1:57" x14ac:dyDescent="0.3">
      <c r="A732">
        <v>1525004030</v>
      </c>
      <c r="B732">
        <v>1525004286</v>
      </c>
      <c r="C732" t="str">
        <f>T("회귀의 전설 257화")</f>
        <v>회귀의 전설 257화</v>
      </c>
      <c r="D732" t="str">
        <f>T("257")</f>
        <v>257</v>
      </c>
      <c r="E732" t="str">
        <f t="shared" si="91"/>
        <v>김광수</v>
      </c>
      <c r="H732" t="str">
        <f t="shared" si="92"/>
        <v>스토리위즈</v>
      </c>
      <c r="I732" t="str">
        <f t="shared" si="93"/>
        <v>회귀의 전설</v>
      </c>
      <c r="J732">
        <v>100</v>
      </c>
      <c r="K732">
        <v>200</v>
      </c>
      <c r="L732">
        <v>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200</v>
      </c>
      <c r="AH732">
        <v>2</v>
      </c>
      <c r="AI732">
        <v>0</v>
      </c>
      <c r="AJ732">
        <v>0</v>
      </c>
      <c r="AK732">
        <v>200</v>
      </c>
      <c r="AL732">
        <v>0</v>
      </c>
      <c r="AM732">
        <v>0</v>
      </c>
      <c r="AN732">
        <v>0</v>
      </c>
      <c r="AO732">
        <v>0</v>
      </c>
      <c r="AQ732">
        <v>0</v>
      </c>
      <c r="AR732">
        <v>0</v>
      </c>
      <c r="AT732">
        <v>0</v>
      </c>
      <c r="AU732">
        <v>0</v>
      </c>
      <c r="AW732">
        <v>0</v>
      </c>
      <c r="AX732">
        <v>0</v>
      </c>
      <c r="AY732">
        <v>140</v>
      </c>
      <c r="BC732" t="str">
        <f>T("9788997946006")</f>
        <v>9788997946006</v>
      </c>
      <c r="BE732" t="str">
        <f t="shared" si="94"/>
        <v>판타지 웹소설 &gt; 현대 판타지</v>
      </c>
    </row>
    <row r="733" spans="1:57" x14ac:dyDescent="0.3">
      <c r="A733">
        <v>1525008428</v>
      </c>
      <c r="B733">
        <v>1525008427</v>
      </c>
      <c r="C733" t="str">
        <f>T("무히비(Muhibbi) 19화")</f>
        <v>무히비(Muhibbi) 19화</v>
      </c>
      <c r="D733" t="str">
        <f>T("19")</f>
        <v>19</v>
      </c>
      <c r="E733" t="str">
        <f>T("jooki")</f>
        <v>jooki</v>
      </c>
      <c r="H733" t="str">
        <f>T("블러쉬")</f>
        <v>블러쉬</v>
      </c>
      <c r="I733" t="str">
        <f>T("무히비(Muhibbi)")</f>
        <v>무히비(Muhibbi)</v>
      </c>
      <c r="J733">
        <v>100</v>
      </c>
      <c r="K733">
        <v>200</v>
      </c>
      <c r="L733">
        <v>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200</v>
      </c>
      <c r="AH733">
        <v>2</v>
      </c>
      <c r="AI733">
        <v>0</v>
      </c>
      <c r="AJ733">
        <v>0</v>
      </c>
      <c r="AK733">
        <v>200</v>
      </c>
      <c r="AL733">
        <v>0</v>
      </c>
      <c r="AM733">
        <v>0</v>
      </c>
      <c r="AN733">
        <v>0</v>
      </c>
      <c r="AO733">
        <v>0</v>
      </c>
      <c r="AQ733">
        <v>0</v>
      </c>
      <c r="AR733">
        <v>0</v>
      </c>
      <c r="AT733">
        <v>0</v>
      </c>
      <c r="AU733">
        <v>0</v>
      </c>
      <c r="AW733">
        <v>0</v>
      </c>
      <c r="AX733">
        <v>0</v>
      </c>
      <c r="AY733">
        <v>140</v>
      </c>
      <c r="BC733" t="str">
        <f>T("9791164896622")</f>
        <v>9791164896622</v>
      </c>
      <c r="BE733" t="str">
        <f>T("BL 웹소설 &gt; 역사/시대물")</f>
        <v>BL 웹소설 &gt; 역사/시대물</v>
      </c>
    </row>
    <row r="734" spans="1:57" x14ac:dyDescent="0.3">
      <c r="A734">
        <v>1525004030</v>
      </c>
      <c r="B734">
        <v>1525004074</v>
      </c>
      <c r="C734" t="str">
        <f>T("회귀의 전설 45화")</f>
        <v>회귀의 전설 45화</v>
      </c>
      <c r="D734" t="str">
        <f>T("45")</f>
        <v>45</v>
      </c>
      <c r="E734" t="str">
        <f>T("김광수")</f>
        <v>김광수</v>
      </c>
      <c r="H734" t="str">
        <f t="shared" ref="H734:H779" si="96">T("스토리위즈")</f>
        <v>스토리위즈</v>
      </c>
      <c r="I734" t="str">
        <f>T("회귀의 전설")</f>
        <v>회귀의 전설</v>
      </c>
      <c r="J734">
        <v>100</v>
      </c>
      <c r="K734">
        <v>200</v>
      </c>
      <c r="L734">
        <v>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200</v>
      </c>
      <c r="AH734">
        <v>2</v>
      </c>
      <c r="AI734">
        <v>0</v>
      </c>
      <c r="AJ734">
        <v>0</v>
      </c>
      <c r="AK734">
        <v>100</v>
      </c>
      <c r="AL734">
        <v>0</v>
      </c>
      <c r="AM734">
        <v>120</v>
      </c>
      <c r="AN734">
        <v>-36</v>
      </c>
      <c r="AO734">
        <v>0</v>
      </c>
      <c r="AQ734">
        <v>0</v>
      </c>
      <c r="AR734">
        <v>0</v>
      </c>
      <c r="AS734">
        <v>120</v>
      </c>
      <c r="AT734">
        <v>-36</v>
      </c>
      <c r="AU734">
        <v>0</v>
      </c>
      <c r="AW734">
        <v>0</v>
      </c>
      <c r="AX734">
        <v>0</v>
      </c>
      <c r="AY734">
        <v>128.80000000000001</v>
      </c>
      <c r="BC734" t="str">
        <f>T("9788997946006")</f>
        <v>9788997946006</v>
      </c>
      <c r="BE734" t="str">
        <f>T("판타지 웹소설 &gt; 현대 판타지")</f>
        <v>판타지 웹소설 &gt; 현대 판타지</v>
      </c>
    </row>
    <row r="735" spans="1:57" x14ac:dyDescent="0.3">
      <c r="A735">
        <v>1525004799</v>
      </c>
      <c r="B735">
        <v>1525004969</v>
      </c>
      <c r="C735" t="str">
        <f>T("검산도해 171화")</f>
        <v>검산도해 171화</v>
      </c>
      <c r="D735" t="str">
        <f>T("171")</f>
        <v>171</v>
      </c>
      <c r="E735" t="str">
        <f>T("권용찬")</f>
        <v>권용찬</v>
      </c>
      <c r="H735" t="str">
        <f t="shared" si="96"/>
        <v>스토리위즈</v>
      </c>
      <c r="I735" t="str">
        <f>T("검산도해")</f>
        <v>검산도해</v>
      </c>
      <c r="J735">
        <v>100</v>
      </c>
      <c r="K735">
        <v>200</v>
      </c>
      <c r="L735">
        <v>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200</v>
      </c>
      <c r="AH735">
        <v>2</v>
      </c>
      <c r="AI735">
        <v>0</v>
      </c>
      <c r="AJ735">
        <v>0</v>
      </c>
      <c r="AK735">
        <v>100</v>
      </c>
      <c r="AL735">
        <v>0</v>
      </c>
      <c r="AM735">
        <v>120</v>
      </c>
      <c r="AN735">
        <v>-12</v>
      </c>
      <c r="AO735">
        <v>0</v>
      </c>
      <c r="AQ735">
        <v>0</v>
      </c>
      <c r="AR735">
        <v>0</v>
      </c>
      <c r="AS735">
        <v>120</v>
      </c>
      <c r="AT735">
        <v>-12</v>
      </c>
      <c r="AU735">
        <v>0</v>
      </c>
      <c r="AW735">
        <v>0</v>
      </c>
      <c r="AX735">
        <v>0</v>
      </c>
      <c r="AY735">
        <v>145.6</v>
      </c>
      <c r="BC735" t="str">
        <f>T("9791159285936")</f>
        <v>9791159285936</v>
      </c>
      <c r="BE735" t="str">
        <f>T("판타지 웹소설 &gt; 무협 소설")</f>
        <v>판타지 웹소설 &gt; 무협 소설</v>
      </c>
    </row>
    <row r="736" spans="1:57" x14ac:dyDescent="0.3">
      <c r="A736">
        <v>1525004030</v>
      </c>
      <c r="B736">
        <v>1525004318</v>
      </c>
      <c r="C736" t="str">
        <f>T("회귀의 전설 289화")</f>
        <v>회귀의 전설 289화</v>
      </c>
      <c r="D736" t="str">
        <f>T("289")</f>
        <v>289</v>
      </c>
      <c r="E736" t="str">
        <f t="shared" ref="E736:E779" si="97">T("김광수")</f>
        <v>김광수</v>
      </c>
      <c r="H736" t="str">
        <f t="shared" si="96"/>
        <v>스토리위즈</v>
      </c>
      <c r="I736" t="str">
        <f t="shared" ref="I736:I779" si="98">T("회귀의 전설")</f>
        <v>회귀의 전설</v>
      </c>
      <c r="J736">
        <v>100</v>
      </c>
      <c r="K736">
        <v>200</v>
      </c>
      <c r="L736">
        <v>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200</v>
      </c>
      <c r="AH736">
        <v>2</v>
      </c>
      <c r="AI736">
        <v>0</v>
      </c>
      <c r="AJ736">
        <v>0</v>
      </c>
      <c r="AK736">
        <v>200</v>
      </c>
      <c r="AL736">
        <v>0</v>
      </c>
      <c r="AM736">
        <v>0</v>
      </c>
      <c r="AN736">
        <v>0</v>
      </c>
      <c r="AO736">
        <v>0</v>
      </c>
      <c r="AQ736">
        <v>0</v>
      </c>
      <c r="AR736">
        <v>0</v>
      </c>
      <c r="AT736">
        <v>0</v>
      </c>
      <c r="AU736">
        <v>0</v>
      </c>
      <c r="AW736">
        <v>0</v>
      </c>
      <c r="AX736">
        <v>0</v>
      </c>
      <c r="AY736">
        <v>140</v>
      </c>
      <c r="BC736" t="str">
        <f>T("9788997946006")</f>
        <v>9788997946006</v>
      </c>
      <c r="BE736" t="str">
        <f t="shared" ref="BE736:BE779" si="99">T("판타지 웹소설 &gt; 현대 판타지")</f>
        <v>판타지 웹소설 &gt; 현대 판타지</v>
      </c>
    </row>
    <row r="737" spans="1:57" x14ac:dyDescent="0.3">
      <c r="A737">
        <v>1525004030</v>
      </c>
      <c r="B737">
        <v>1525004514</v>
      </c>
      <c r="C737" t="str">
        <f>T("회귀의 전설 385화")</f>
        <v>회귀의 전설 385화</v>
      </c>
      <c r="D737" t="str">
        <f>T("385")</f>
        <v>385</v>
      </c>
      <c r="E737" t="str">
        <f t="shared" si="97"/>
        <v>김광수</v>
      </c>
      <c r="H737" t="str">
        <f t="shared" si="96"/>
        <v>스토리위즈</v>
      </c>
      <c r="I737" t="str">
        <f t="shared" si="98"/>
        <v>회귀의 전설</v>
      </c>
      <c r="J737">
        <v>100</v>
      </c>
      <c r="K737">
        <v>200</v>
      </c>
      <c r="L737">
        <v>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200</v>
      </c>
      <c r="AH737">
        <v>2</v>
      </c>
      <c r="AI737">
        <v>0</v>
      </c>
      <c r="AJ737">
        <v>0</v>
      </c>
      <c r="AK737">
        <v>200</v>
      </c>
      <c r="AL737">
        <v>0</v>
      </c>
      <c r="AM737">
        <v>0</v>
      </c>
      <c r="AN737">
        <v>0</v>
      </c>
      <c r="AO737">
        <v>0</v>
      </c>
      <c r="AQ737">
        <v>0</v>
      </c>
      <c r="AR737">
        <v>0</v>
      </c>
      <c r="AT737">
        <v>0</v>
      </c>
      <c r="AU737">
        <v>0</v>
      </c>
      <c r="AW737">
        <v>0</v>
      </c>
      <c r="AX737">
        <v>0</v>
      </c>
      <c r="AY737">
        <v>140</v>
      </c>
      <c r="BC737" t="str">
        <f>T("9788997946006")</f>
        <v>9788997946006</v>
      </c>
      <c r="BE737" t="str">
        <f t="shared" si="99"/>
        <v>판타지 웹소설 &gt; 현대 판타지</v>
      </c>
    </row>
    <row r="738" spans="1:57" x14ac:dyDescent="0.3">
      <c r="A738">
        <v>1525004030</v>
      </c>
      <c r="B738">
        <v>1525004229</v>
      </c>
      <c r="C738" t="str">
        <f>T("회귀의 전설 200화")</f>
        <v>회귀의 전설 200화</v>
      </c>
      <c r="D738" t="str">
        <f>T("200")</f>
        <v>200</v>
      </c>
      <c r="E738" t="str">
        <f t="shared" si="97"/>
        <v>김광수</v>
      </c>
      <c r="H738" t="str">
        <f t="shared" si="96"/>
        <v>스토리위즈</v>
      </c>
      <c r="I738" t="str">
        <f t="shared" si="98"/>
        <v>회귀의 전설</v>
      </c>
      <c r="J738">
        <v>100</v>
      </c>
      <c r="K738">
        <v>200</v>
      </c>
      <c r="L738">
        <v>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200</v>
      </c>
      <c r="AH738">
        <v>2</v>
      </c>
      <c r="AI738">
        <v>0</v>
      </c>
      <c r="AJ738">
        <v>0</v>
      </c>
      <c r="AK738">
        <v>200</v>
      </c>
      <c r="AL738">
        <v>0</v>
      </c>
      <c r="AM738">
        <v>0</v>
      </c>
      <c r="AN738">
        <v>0</v>
      </c>
      <c r="AO738">
        <v>0</v>
      </c>
      <c r="AQ738">
        <v>0</v>
      </c>
      <c r="AR738">
        <v>0</v>
      </c>
      <c r="AT738">
        <v>0</v>
      </c>
      <c r="AU738">
        <v>0</v>
      </c>
      <c r="AW738">
        <v>0</v>
      </c>
      <c r="AX738">
        <v>0</v>
      </c>
      <c r="AY738">
        <v>140</v>
      </c>
      <c r="BC738" t="str">
        <f>T("9788997946006")</f>
        <v>9788997946006</v>
      </c>
      <c r="BE738" t="str">
        <f t="shared" si="99"/>
        <v>판타지 웹소설 &gt; 현대 판타지</v>
      </c>
    </row>
    <row r="739" spans="1:57" x14ac:dyDescent="0.3">
      <c r="A739">
        <v>1525004030</v>
      </c>
      <c r="B739">
        <v>1525004106</v>
      </c>
      <c r="C739" t="str">
        <f>T("회귀의 전설 77화")</f>
        <v>회귀의 전설 77화</v>
      </c>
      <c r="D739" t="str">
        <f>T("77")</f>
        <v>77</v>
      </c>
      <c r="E739" t="str">
        <f t="shared" si="97"/>
        <v>김광수</v>
      </c>
      <c r="H739" t="str">
        <f t="shared" si="96"/>
        <v>스토리위즈</v>
      </c>
      <c r="I739" t="str">
        <f t="shared" si="98"/>
        <v>회귀의 전설</v>
      </c>
      <c r="J739">
        <v>100</v>
      </c>
      <c r="K739">
        <v>200</v>
      </c>
      <c r="L739">
        <v>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200</v>
      </c>
      <c r="AH739">
        <v>2</v>
      </c>
      <c r="AI739">
        <v>0</v>
      </c>
      <c r="AJ739">
        <v>0</v>
      </c>
      <c r="AK739">
        <v>100</v>
      </c>
      <c r="AL739">
        <v>0</v>
      </c>
      <c r="AM739">
        <v>120</v>
      </c>
      <c r="AN739">
        <v>-36</v>
      </c>
      <c r="AO739">
        <v>0</v>
      </c>
      <c r="AQ739">
        <v>0</v>
      </c>
      <c r="AR739">
        <v>0</v>
      </c>
      <c r="AS739">
        <v>120</v>
      </c>
      <c r="AT739">
        <v>-36</v>
      </c>
      <c r="AU739">
        <v>0</v>
      </c>
      <c r="AW739">
        <v>0</v>
      </c>
      <c r="AX739">
        <v>0</v>
      </c>
      <c r="AY739">
        <v>128.80000000000001</v>
      </c>
      <c r="BC739" t="str">
        <f>T("9788997946006")</f>
        <v>9788997946006</v>
      </c>
      <c r="BE739" t="str">
        <f t="shared" si="99"/>
        <v>판타지 웹소설 &gt; 현대 판타지</v>
      </c>
    </row>
    <row r="740" spans="1:57" x14ac:dyDescent="0.3">
      <c r="A740">
        <v>1525004030</v>
      </c>
      <c r="B740">
        <v>1525006841</v>
      </c>
      <c r="C740" t="str">
        <f>T("회귀의 전설 2부 724화")</f>
        <v>회귀의 전설 2부 724화</v>
      </c>
      <c r="D740" t="str">
        <f>T("724")</f>
        <v>724</v>
      </c>
      <c r="E740" t="str">
        <f t="shared" si="97"/>
        <v>김광수</v>
      </c>
      <c r="H740" t="str">
        <f t="shared" si="96"/>
        <v>스토리위즈</v>
      </c>
      <c r="I740" t="str">
        <f t="shared" si="98"/>
        <v>회귀의 전설</v>
      </c>
      <c r="J740">
        <v>100</v>
      </c>
      <c r="K740">
        <v>200</v>
      </c>
      <c r="L740">
        <v>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200</v>
      </c>
      <c r="AH740">
        <v>2</v>
      </c>
      <c r="AI740">
        <v>0</v>
      </c>
      <c r="AJ740">
        <v>0</v>
      </c>
      <c r="AK740">
        <v>100</v>
      </c>
      <c r="AL740">
        <v>0</v>
      </c>
      <c r="AM740">
        <v>120</v>
      </c>
      <c r="AN740">
        <v>-12</v>
      </c>
      <c r="AO740">
        <v>0</v>
      </c>
      <c r="AQ740">
        <v>0</v>
      </c>
      <c r="AR740">
        <v>0</v>
      </c>
      <c r="AS740">
        <v>120</v>
      </c>
      <c r="AT740">
        <v>-12</v>
      </c>
      <c r="AU740">
        <v>0</v>
      </c>
      <c r="AW740">
        <v>0</v>
      </c>
      <c r="AX740">
        <v>0</v>
      </c>
      <c r="AY740">
        <v>145.6</v>
      </c>
      <c r="BC740" t="str">
        <f>T("9791191102086")</f>
        <v>9791191102086</v>
      </c>
      <c r="BE740" t="str">
        <f t="shared" si="99"/>
        <v>판타지 웹소설 &gt; 현대 판타지</v>
      </c>
    </row>
    <row r="741" spans="1:57" x14ac:dyDescent="0.3">
      <c r="A741">
        <v>1525004030</v>
      </c>
      <c r="B741">
        <v>1525006800</v>
      </c>
      <c r="C741" t="str">
        <f>T("회귀의 전설 2부 683화")</f>
        <v>회귀의 전설 2부 683화</v>
      </c>
      <c r="D741" t="str">
        <f>T("683")</f>
        <v>683</v>
      </c>
      <c r="E741" t="str">
        <f t="shared" si="97"/>
        <v>김광수</v>
      </c>
      <c r="H741" t="str">
        <f t="shared" si="96"/>
        <v>스토리위즈</v>
      </c>
      <c r="I741" t="str">
        <f t="shared" si="98"/>
        <v>회귀의 전설</v>
      </c>
      <c r="J741">
        <v>100</v>
      </c>
      <c r="K741">
        <v>200</v>
      </c>
      <c r="L741">
        <v>2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200</v>
      </c>
      <c r="AH741">
        <v>2</v>
      </c>
      <c r="AI741">
        <v>0</v>
      </c>
      <c r="AJ741">
        <v>0</v>
      </c>
      <c r="AK741">
        <v>100</v>
      </c>
      <c r="AL741">
        <v>0</v>
      </c>
      <c r="AM741">
        <v>120</v>
      </c>
      <c r="AN741">
        <v>-12</v>
      </c>
      <c r="AO741">
        <v>0</v>
      </c>
      <c r="AQ741">
        <v>0</v>
      </c>
      <c r="AR741">
        <v>0</v>
      </c>
      <c r="AS741">
        <v>120</v>
      </c>
      <c r="AT741">
        <v>-12</v>
      </c>
      <c r="AU741">
        <v>0</v>
      </c>
      <c r="AW741">
        <v>0</v>
      </c>
      <c r="AX741">
        <v>0</v>
      </c>
      <c r="AY741">
        <v>145.6</v>
      </c>
      <c r="BC741" t="str">
        <f>T("9791191102086")</f>
        <v>9791191102086</v>
      </c>
      <c r="BE741" t="str">
        <f t="shared" si="99"/>
        <v>판타지 웹소설 &gt; 현대 판타지</v>
      </c>
    </row>
    <row r="742" spans="1:57" x14ac:dyDescent="0.3">
      <c r="A742">
        <v>1525004030</v>
      </c>
      <c r="B742">
        <v>1525006759</v>
      </c>
      <c r="C742" t="str">
        <f>T("회귀의 전설 2부 642화")</f>
        <v>회귀의 전설 2부 642화</v>
      </c>
      <c r="D742" t="str">
        <f>T("642")</f>
        <v>642</v>
      </c>
      <c r="E742" t="str">
        <f t="shared" si="97"/>
        <v>김광수</v>
      </c>
      <c r="H742" t="str">
        <f t="shared" si="96"/>
        <v>스토리위즈</v>
      </c>
      <c r="I742" t="str">
        <f t="shared" si="98"/>
        <v>회귀의 전설</v>
      </c>
      <c r="J742">
        <v>100</v>
      </c>
      <c r="K742">
        <v>200</v>
      </c>
      <c r="L742">
        <v>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200</v>
      </c>
      <c r="AH742">
        <v>2</v>
      </c>
      <c r="AI742">
        <v>0</v>
      </c>
      <c r="AJ742">
        <v>0</v>
      </c>
      <c r="AK742">
        <v>100</v>
      </c>
      <c r="AL742">
        <v>0</v>
      </c>
      <c r="AM742">
        <v>120</v>
      </c>
      <c r="AN742">
        <v>-12</v>
      </c>
      <c r="AO742">
        <v>0</v>
      </c>
      <c r="AQ742">
        <v>0</v>
      </c>
      <c r="AR742">
        <v>0</v>
      </c>
      <c r="AS742">
        <v>120</v>
      </c>
      <c r="AT742">
        <v>-12</v>
      </c>
      <c r="AU742">
        <v>0</v>
      </c>
      <c r="AW742">
        <v>0</v>
      </c>
      <c r="AX742">
        <v>0</v>
      </c>
      <c r="AY742">
        <v>145.6</v>
      </c>
      <c r="BC742" t="str">
        <f>T("9791191102086")</f>
        <v>9791191102086</v>
      </c>
      <c r="BE742" t="str">
        <f t="shared" si="99"/>
        <v>판타지 웹소설 &gt; 현대 판타지</v>
      </c>
    </row>
    <row r="743" spans="1:57" x14ac:dyDescent="0.3">
      <c r="A743">
        <v>1525004030</v>
      </c>
      <c r="B743">
        <v>1525004220</v>
      </c>
      <c r="C743" t="str">
        <f>T("회귀의 전설 191화")</f>
        <v>회귀의 전설 191화</v>
      </c>
      <c r="D743" t="str">
        <f>T("191")</f>
        <v>191</v>
      </c>
      <c r="E743" t="str">
        <f t="shared" si="97"/>
        <v>김광수</v>
      </c>
      <c r="H743" t="str">
        <f t="shared" si="96"/>
        <v>스토리위즈</v>
      </c>
      <c r="I743" t="str">
        <f t="shared" si="98"/>
        <v>회귀의 전설</v>
      </c>
      <c r="J743">
        <v>100</v>
      </c>
      <c r="K743">
        <v>200</v>
      </c>
      <c r="L743">
        <v>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200</v>
      </c>
      <c r="AH743">
        <v>2</v>
      </c>
      <c r="AI743">
        <v>0</v>
      </c>
      <c r="AJ743">
        <v>0</v>
      </c>
      <c r="AK743">
        <v>200</v>
      </c>
      <c r="AL743">
        <v>0</v>
      </c>
      <c r="AM743">
        <v>0</v>
      </c>
      <c r="AN743">
        <v>0</v>
      </c>
      <c r="AO743">
        <v>0</v>
      </c>
      <c r="AQ743">
        <v>0</v>
      </c>
      <c r="AR743">
        <v>0</v>
      </c>
      <c r="AT743">
        <v>0</v>
      </c>
      <c r="AU743">
        <v>0</v>
      </c>
      <c r="AW743">
        <v>0</v>
      </c>
      <c r="AX743">
        <v>0</v>
      </c>
      <c r="AY743">
        <v>140</v>
      </c>
      <c r="BC743" t="str">
        <f>T("9788997946006")</f>
        <v>9788997946006</v>
      </c>
      <c r="BE743" t="str">
        <f t="shared" si="99"/>
        <v>판타지 웹소설 &gt; 현대 판타지</v>
      </c>
    </row>
    <row r="744" spans="1:57" x14ac:dyDescent="0.3">
      <c r="A744">
        <v>1525004030</v>
      </c>
      <c r="B744">
        <v>1525006873</v>
      </c>
      <c r="C744" t="str">
        <f>T("회귀의 전설 2부 756화")</f>
        <v>회귀의 전설 2부 756화</v>
      </c>
      <c r="D744" t="str">
        <f>T("756")</f>
        <v>756</v>
      </c>
      <c r="E744" t="str">
        <f t="shared" si="97"/>
        <v>김광수</v>
      </c>
      <c r="H744" t="str">
        <f t="shared" si="96"/>
        <v>스토리위즈</v>
      </c>
      <c r="I744" t="str">
        <f t="shared" si="98"/>
        <v>회귀의 전설</v>
      </c>
      <c r="J744">
        <v>100</v>
      </c>
      <c r="K744">
        <v>200</v>
      </c>
      <c r="L744">
        <v>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200</v>
      </c>
      <c r="AH744">
        <v>2</v>
      </c>
      <c r="AI744">
        <v>0</v>
      </c>
      <c r="AJ744">
        <v>0</v>
      </c>
      <c r="AK744">
        <v>100</v>
      </c>
      <c r="AL744">
        <v>0</v>
      </c>
      <c r="AM744">
        <v>120</v>
      </c>
      <c r="AN744">
        <v>-12</v>
      </c>
      <c r="AO744">
        <v>0</v>
      </c>
      <c r="AQ744">
        <v>0</v>
      </c>
      <c r="AR744">
        <v>0</v>
      </c>
      <c r="AS744">
        <v>120</v>
      </c>
      <c r="AT744">
        <v>-12</v>
      </c>
      <c r="AU744">
        <v>0</v>
      </c>
      <c r="AW744">
        <v>0</v>
      </c>
      <c r="AX744">
        <v>0</v>
      </c>
      <c r="AY744">
        <v>145.6</v>
      </c>
      <c r="BC744" t="str">
        <f>T("9791191102086")</f>
        <v>9791191102086</v>
      </c>
      <c r="BE744" t="str">
        <f t="shared" si="99"/>
        <v>판타지 웹소설 &gt; 현대 판타지</v>
      </c>
    </row>
    <row r="745" spans="1:57" x14ac:dyDescent="0.3">
      <c r="A745">
        <v>1525004030</v>
      </c>
      <c r="B745">
        <v>1525004367</v>
      </c>
      <c r="C745" t="str">
        <f>T("회귀의 전설 339화")</f>
        <v>회귀의 전설 339화</v>
      </c>
      <c r="D745" t="str">
        <f>T("339")</f>
        <v>339</v>
      </c>
      <c r="E745" t="str">
        <f t="shared" si="97"/>
        <v>김광수</v>
      </c>
      <c r="H745" t="str">
        <f t="shared" si="96"/>
        <v>스토리위즈</v>
      </c>
      <c r="I745" t="str">
        <f t="shared" si="98"/>
        <v>회귀의 전설</v>
      </c>
      <c r="J745">
        <v>100</v>
      </c>
      <c r="K745">
        <v>200</v>
      </c>
      <c r="L745">
        <v>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200</v>
      </c>
      <c r="AH745">
        <v>2</v>
      </c>
      <c r="AI745">
        <v>0</v>
      </c>
      <c r="AJ745">
        <v>0</v>
      </c>
      <c r="AK745">
        <v>200</v>
      </c>
      <c r="AL745">
        <v>0</v>
      </c>
      <c r="AM745">
        <v>0</v>
      </c>
      <c r="AN745">
        <v>0</v>
      </c>
      <c r="AO745">
        <v>0</v>
      </c>
      <c r="AQ745">
        <v>0</v>
      </c>
      <c r="AR745">
        <v>0</v>
      </c>
      <c r="AT745">
        <v>0</v>
      </c>
      <c r="AU745">
        <v>0</v>
      </c>
      <c r="AW745">
        <v>0</v>
      </c>
      <c r="AX745">
        <v>0</v>
      </c>
      <c r="AY745">
        <v>140</v>
      </c>
      <c r="BC745" t="str">
        <f t="shared" ref="BC745:BC753" si="100">T("9788997946006")</f>
        <v>9788997946006</v>
      </c>
      <c r="BE745" t="str">
        <f t="shared" si="99"/>
        <v>판타지 웹소설 &gt; 현대 판타지</v>
      </c>
    </row>
    <row r="746" spans="1:57" x14ac:dyDescent="0.3">
      <c r="A746">
        <v>1525004030</v>
      </c>
      <c r="B746">
        <v>1525004424</v>
      </c>
      <c r="C746" t="str">
        <f>T("회귀의 전설 408화")</f>
        <v>회귀의 전설 408화</v>
      </c>
      <c r="D746" t="str">
        <f>T("408")</f>
        <v>408</v>
      </c>
      <c r="E746" t="str">
        <f t="shared" si="97"/>
        <v>김광수</v>
      </c>
      <c r="H746" t="str">
        <f t="shared" si="96"/>
        <v>스토리위즈</v>
      </c>
      <c r="I746" t="str">
        <f t="shared" si="98"/>
        <v>회귀의 전설</v>
      </c>
      <c r="J746">
        <v>100</v>
      </c>
      <c r="K746">
        <v>200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200</v>
      </c>
      <c r="AH746">
        <v>2</v>
      </c>
      <c r="AI746">
        <v>0</v>
      </c>
      <c r="AJ746">
        <v>0</v>
      </c>
      <c r="AK746">
        <v>200</v>
      </c>
      <c r="AL746">
        <v>0</v>
      </c>
      <c r="AM746">
        <v>0</v>
      </c>
      <c r="AN746">
        <v>0</v>
      </c>
      <c r="AO746">
        <v>0</v>
      </c>
      <c r="AQ746">
        <v>0</v>
      </c>
      <c r="AR746">
        <v>0</v>
      </c>
      <c r="AT746">
        <v>0</v>
      </c>
      <c r="AU746">
        <v>0</v>
      </c>
      <c r="AW746">
        <v>0</v>
      </c>
      <c r="AX746">
        <v>0</v>
      </c>
      <c r="AY746">
        <v>140</v>
      </c>
      <c r="BC746" t="str">
        <f t="shared" si="100"/>
        <v>9788997946006</v>
      </c>
      <c r="BE746" t="str">
        <f t="shared" si="99"/>
        <v>판타지 웹소설 &gt; 현대 판타지</v>
      </c>
    </row>
    <row r="747" spans="1:57" x14ac:dyDescent="0.3">
      <c r="A747">
        <v>1525004030</v>
      </c>
      <c r="B747">
        <v>1525004112</v>
      </c>
      <c r="C747" t="str">
        <f>T("회귀의 전설 83화")</f>
        <v>회귀의 전설 83화</v>
      </c>
      <c r="D747" t="str">
        <f>T("83")</f>
        <v>83</v>
      </c>
      <c r="E747" t="str">
        <f t="shared" si="97"/>
        <v>김광수</v>
      </c>
      <c r="H747" t="str">
        <f t="shared" si="96"/>
        <v>스토리위즈</v>
      </c>
      <c r="I747" t="str">
        <f t="shared" si="98"/>
        <v>회귀의 전설</v>
      </c>
      <c r="J747">
        <v>100</v>
      </c>
      <c r="K747">
        <v>200</v>
      </c>
      <c r="L747">
        <v>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200</v>
      </c>
      <c r="AH747">
        <v>2</v>
      </c>
      <c r="AI747">
        <v>0</v>
      </c>
      <c r="AJ747">
        <v>0</v>
      </c>
      <c r="AK747">
        <v>100</v>
      </c>
      <c r="AL747">
        <v>0</v>
      </c>
      <c r="AM747">
        <v>120</v>
      </c>
      <c r="AN747">
        <v>-12</v>
      </c>
      <c r="AO747">
        <v>0</v>
      </c>
      <c r="AQ747">
        <v>0</v>
      </c>
      <c r="AR747">
        <v>0</v>
      </c>
      <c r="AS747">
        <v>120</v>
      </c>
      <c r="AT747">
        <v>-12</v>
      </c>
      <c r="AU747">
        <v>0</v>
      </c>
      <c r="AW747">
        <v>0</v>
      </c>
      <c r="AX747">
        <v>0</v>
      </c>
      <c r="AY747">
        <v>145.6</v>
      </c>
      <c r="BC747" t="str">
        <f t="shared" si="100"/>
        <v>9788997946006</v>
      </c>
      <c r="BE747" t="str">
        <f t="shared" si="99"/>
        <v>판타지 웹소설 &gt; 현대 판타지</v>
      </c>
    </row>
    <row r="748" spans="1:57" x14ac:dyDescent="0.3">
      <c r="A748">
        <v>1525004030</v>
      </c>
      <c r="B748">
        <v>1525004356</v>
      </c>
      <c r="C748" t="str">
        <f>T("회귀의 전설 328화")</f>
        <v>회귀의 전설 328화</v>
      </c>
      <c r="D748" t="str">
        <f>T("328")</f>
        <v>328</v>
      </c>
      <c r="E748" t="str">
        <f t="shared" si="97"/>
        <v>김광수</v>
      </c>
      <c r="H748" t="str">
        <f t="shared" si="96"/>
        <v>스토리위즈</v>
      </c>
      <c r="I748" t="str">
        <f t="shared" si="98"/>
        <v>회귀의 전설</v>
      </c>
      <c r="J748">
        <v>100</v>
      </c>
      <c r="K748">
        <v>200</v>
      </c>
      <c r="L748">
        <v>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200</v>
      </c>
      <c r="AH748">
        <v>2</v>
      </c>
      <c r="AI748">
        <v>0</v>
      </c>
      <c r="AJ748">
        <v>0</v>
      </c>
      <c r="AK748">
        <v>200</v>
      </c>
      <c r="AL748">
        <v>0</v>
      </c>
      <c r="AM748">
        <v>0</v>
      </c>
      <c r="AN748">
        <v>0</v>
      </c>
      <c r="AO748">
        <v>0</v>
      </c>
      <c r="AQ748">
        <v>0</v>
      </c>
      <c r="AR748">
        <v>0</v>
      </c>
      <c r="AT748">
        <v>0</v>
      </c>
      <c r="AU748">
        <v>0</v>
      </c>
      <c r="AW748">
        <v>0</v>
      </c>
      <c r="AX748">
        <v>0</v>
      </c>
      <c r="AY748">
        <v>140</v>
      </c>
      <c r="BC748" t="str">
        <f t="shared" si="100"/>
        <v>9788997946006</v>
      </c>
      <c r="BE748" t="str">
        <f t="shared" si="99"/>
        <v>판타지 웹소설 &gt; 현대 판타지</v>
      </c>
    </row>
    <row r="749" spans="1:57" x14ac:dyDescent="0.3">
      <c r="A749">
        <v>1525004030</v>
      </c>
      <c r="B749">
        <v>1525004413</v>
      </c>
      <c r="C749" t="str">
        <f>T("회귀의 전설 397화")</f>
        <v>회귀의 전설 397화</v>
      </c>
      <c r="D749" t="str">
        <f>T("397")</f>
        <v>397</v>
      </c>
      <c r="E749" t="str">
        <f t="shared" si="97"/>
        <v>김광수</v>
      </c>
      <c r="H749" t="str">
        <f t="shared" si="96"/>
        <v>스토리위즈</v>
      </c>
      <c r="I749" t="str">
        <f t="shared" si="98"/>
        <v>회귀의 전설</v>
      </c>
      <c r="J749">
        <v>100</v>
      </c>
      <c r="K749">
        <v>200</v>
      </c>
      <c r="L749">
        <v>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200</v>
      </c>
      <c r="AH749">
        <v>2</v>
      </c>
      <c r="AI749">
        <v>0</v>
      </c>
      <c r="AJ749">
        <v>0</v>
      </c>
      <c r="AK749">
        <v>200</v>
      </c>
      <c r="AL749">
        <v>0</v>
      </c>
      <c r="AM749">
        <v>0</v>
      </c>
      <c r="AN749">
        <v>0</v>
      </c>
      <c r="AO749">
        <v>0</v>
      </c>
      <c r="AQ749">
        <v>0</v>
      </c>
      <c r="AR749">
        <v>0</v>
      </c>
      <c r="AT749">
        <v>0</v>
      </c>
      <c r="AU749">
        <v>0</v>
      </c>
      <c r="AW749">
        <v>0</v>
      </c>
      <c r="AX749">
        <v>0</v>
      </c>
      <c r="AY749">
        <v>140</v>
      </c>
      <c r="BC749" t="str">
        <f t="shared" si="100"/>
        <v>9788997946006</v>
      </c>
      <c r="BE749" t="str">
        <f t="shared" si="99"/>
        <v>판타지 웹소설 &gt; 현대 판타지</v>
      </c>
    </row>
    <row r="750" spans="1:57" x14ac:dyDescent="0.3">
      <c r="A750">
        <v>1525004030</v>
      </c>
      <c r="B750">
        <v>1525004470</v>
      </c>
      <c r="C750" t="str">
        <f>T("회귀의 전설 454화")</f>
        <v>회귀의 전설 454화</v>
      </c>
      <c r="D750" t="str">
        <f>T("454")</f>
        <v>454</v>
      </c>
      <c r="E750" t="str">
        <f t="shared" si="97"/>
        <v>김광수</v>
      </c>
      <c r="H750" t="str">
        <f t="shared" si="96"/>
        <v>스토리위즈</v>
      </c>
      <c r="I750" t="str">
        <f t="shared" si="98"/>
        <v>회귀의 전설</v>
      </c>
      <c r="J750">
        <v>100</v>
      </c>
      <c r="K750">
        <v>200</v>
      </c>
      <c r="L750">
        <v>2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200</v>
      </c>
      <c r="AH750">
        <v>2</v>
      </c>
      <c r="AI750">
        <v>0</v>
      </c>
      <c r="AJ750">
        <v>0</v>
      </c>
      <c r="AK750">
        <v>200</v>
      </c>
      <c r="AL750">
        <v>0</v>
      </c>
      <c r="AM750">
        <v>0</v>
      </c>
      <c r="AN750">
        <v>0</v>
      </c>
      <c r="AO750">
        <v>0</v>
      </c>
      <c r="AQ750">
        <v>0</v>
      </c>
      <c r="AR750">
        <v>0</v>
      </c>
      <c r="AT750">
        <v>0</v>
      </c>
      <c r="AU750">
        <v>0</v>
      </c>
      <c r="AW750">
        <v>0</v>
      </c>
      <c r="AX750">
        <v>0</v>
      </c>
      <c r="AY750">
        <v>140</v>
      </c>
      <c r="BC750" t="str">
        <f t="shared" si="100"/>
        <v>9788997946006</v>
      </c>
      <c r="BE750" t="str">
        <f t="shared" si="99"/>
        <v>판타지 웹소설 &gt; 현대 판타지</v>
      </c>
    </row>
    <row r="751" spans="1:57" x14ac:dyDescent="0.3">
      <c r="A751">
        <v>1525004030</v>
      </c>
      <c r="B751">
        <v>1525004388</v>
      </c>
      <c r="C751" t="str">
        <f>T("회귀의 전설 360화")</f>
        <v>회귀의 전설 360화</v>
      </c>
      <c r="D751" t="str">
        <f>T("360")</f>
        <v>360</v>
      </c>
      <c r="E751" t="str">
        <f t="shared" si="97"/>
        <v>김광수</v>
      </c>
      <c r="H751" t="str">
        <f t="shared" si="96"/>
        <v>스토리위즈</v>
      </c>
      <c r="I751" t="str">
        <f t="shared" si="98"/>
        <v>회귀의 전설</v>
      </c>
      <c r="J751">
        <v>100</v>
      </c>
      <c r="K751">
        <v>200</v>
      </c>
      <c r="L751">
        <v>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200</v>
      </c>
      <c r="AH751">
        <v>2</v>
      </c>
      <c r="AI751">
        <v>0</v>
      </c>
      <c r="AJ751">
        <v>0</v>
      </c>
      <c r="AK751">
        <v>200</v>
      </c>
      <c r="AL751">
        <v>0</v>
      </c>
      <c r="AM751">
        <v>0</v>
      </c>
      <c r="AN751">
        <v>0</v>
      </c>
      <c r="AO751">
        <v>0</v>
      </c>
      <c r="AQ751">
        <v>0</v>
      </c>
      <c r="AR751">
        <v>0</v>
      </c>
      <c r="AT751">
        <v>0</v>
      </c>
      <c r="AU751">
        <v>0</v>
      </c>
      <c r="AW751">
        <v>0</v>
      </c>
      <c r="AX751">
        <v>0</v>
      </c>
      <c r="AY751">
        <v>140</v>
      </c>
      <c r="BC751" t="str">
        <f t="shared" si="100"/>
        <v>9788997946006</v>
      </c>
      <c r="BE751" t="str">
        <f t="shared" si="99"/>
        <v>판타지 웹소설 &gt; 현대 판타지</v>
      </c>
    </row>
    <row r="752" spans="1:57" x14ac:dyDescent="0.3">
      <c r="A752">
        <v>1525004030</v>
      </c>
      <c r="B752">
        <v>1525004445</v>
      </c>
      <c r="C752" t="str">
        <f>T("회귀의 전설 429화")</f>
        <v>회귀의 전설 429화</v>
      </c>
      <c r="D752" t="str">
        <f>T("429")</f>
        <v>429</v>
      </c>
      <c r="E752" t="str">
        <f t="shared" si="97"/>
        <v>김광수</v>
      </c>
      <c r="H752" t="str">
        <f t="shared" si="96"/>
        <v>스토리위즈</v>
      </c>
      <c r="I752" t="str">
        <f t="shared" si="98"/>
        <v>회귀의 전설</v>
      </c>
      <c r="J752">
        <v>100</v>
      </c>
      <c r="K752">
        <v>200</v>
      </c>
      <c r="L752">
        <v>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200</v>
      </c>
      <c r="AH752">
        <v>2</v>
      </c>
      <c r="AI752">
        <v>0</v>
      </c>
      <c r="AJ752">
        <v>0</v>
      </c>
      <c r="AK752">
        <v>200</v>
      </c>
      <c r="AL752">
        <v>0</v>
      </c>
      <c r="AM752">
        <v>0</v>
      </c>
      <c r="AN752">
        <v>0</v>
      </c>
      <c r="AO752">
        <v>0</v>
      </c>
      <c r="AQ752">
        <v>0</v>
      </c>
      <c r="AR752">
        <v>0</v>
      </c>
      <c r="AT752">
        <v>0</v>
      </c>
      <c r="AU752">
        <v>0</v>
      </c>
      <c r="AW752">
        <v>0</v>
      </c>
      <c r="AX752">
        <v>0</v>
      </c>
      <c r="AY752">
        <v>140</v>
      </c>
      <c r="BC752" t="str">
        <f t="shared" si="100"/>
        <v>9788997946006</v>
      </c>
      <c r="BE752" t="str">
        <f t="shared" si="99"/>
        <v>판타지 웹소설 &gt; 현대 판타지</v>
      </c>
    </row>
    <row r="753" spans="1:57" x14ac:dyDescent="0.3">
      <c r="A753">
        <v>1525004030</v>
      </c>
      <c r="B753">
        <v>1525004063</v>
      </c>
      <c r="C753" t="str">
        <f>T("회귀의 전설 34화")</f>
        <v>회귀의 전설 34화</v>
      </c>
      <c r="D753" t="str">
        <f>T("34")</f>
        <v>34</v>
      </c>
      <c r="E753" t="str">
        <f t="shared" si="97"/>
        <v>김광수</v>
      </c>
      <c r="H753" t="str">
        <f t="shared" si="96"/>
        <v>스토리위즈</v>
      </c>
      <c r="I753" t="str">
        <f t="shared" si="98"/>
        <v>회귀의 전설</v>
      </c>
      <c r="J753">
        <v>100</v>
      </c>
      <c r="K753">
        <v>200</v>
      </c>
      <c r="L753">
        <v>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200</v>
      </c>
      <c r="AH753">
        <v>2</v>
      </c>
      <c r="AI753">
        <v>0</v>
      </c>
      <c r="AJ753">
        <v>0</v>
      </c>
      <c r="AK753">
        <v>100</v>
      </c>
      <c r="AL753">
        <v>0</v>
      </c>
      <c r="AM753">
        <v>120</v>
      </c>
      <c r="AN753">
        <v>-36</v>
      </c>
      <c r="AO753">
        <v>0</v>
      </c>
      <c r="AQ753">
        <v>0</v>
      </c>
      <c r="AR753">
        <v>0</v>
      </c>
      <c r="AS753">
        <v>120</v>
      </c>
      <c r="AT753">
        <v>-36</v>
      </c>
      <c r="AU753">
        <v>0</v>
      </c>
      <c r="AW753">
        <v>0</v>
      </c>
      <c r="AX753">
        <v>0</v>
      </c>
      <c r="AY753">
        <v>128.80000000000001</v>
      </c>
      <c r="BC753" t="str">
        <f t="shared" si="100"/>
        <v>9788997946006</v>
      </c>
      <c r="BE753" t="str">
        <f t="shared" si="99"/>
        <v>판타지 웹소설 &gt; 현대 판타지</v>
      </c>
    </row>
    <row r="754" spans="1:57" x14ac:dyDescent="0.3">
      <c r="A754">
        <v>1525004030</v>
      </c>
      <c r="B754">
        <v>1525006716</v>
      </c>
      <c r="C754" t="str">
        <f>T("회귀의 전설 2부 599화")</f>
        <v>회귀의 전설 2부 599화</v>
      </c>
      <c r="D754" t="str">
        <f>T("599")</f>
        <v>599</v>
      </c>
      <c r="E754" t="str">
        <f t="shared" si="97"/>
        <v>김광수</v>
      </c>
      <c r="H754" t="str">
        <f t="shared" si="96"/>
        <v>스토리위즈</v>
      </c>
      <c r="I754" t="str">
        <f t="shared" si="98"/>
        <v>회귀의 전설</v>
      </c>
      <c r="J754">
        <v>100</v>
      </c>
      <c r="K754">
        <v>200</v>
      </c>
      <c r="L754">
        <v>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200</v>
      </c>
      <c r="AH754">
        <v>2</v>
      </c>
      <c r="AI754">
        <v>0</v>
      </c>
      <c r="AJ754">
        <v>0</v>
      </c>
      <c r="AK754">
        <v>100</v>
      </c>
      <c r="AL754">
        <v>0</v>
      </c>
      <c r="AM754">
        <v>120</v>
      </c>
      <c r="AN754">
        <v>-12</v>
      </c>
      <c r="AO754">
        <v>0</v>
      </c>
      <c r="AQ754">
        <v>0</v>
      </c>
      <c r="AR754">
        <v>0</v>
      </c>
      <c r="AS754">
        <v>120</v>
      </c>
      <c r="AT754">
        <v>-12</v>
      </c>
      <c r="AU754">
        <v>0</v>
      </c>
      <c r="AW754">
        <v>0</v>
      </c>
      <c r="AX754">
        <v>0</v>
      </c>
      <c r="AY754">
        <v>145.6</v>
      </c>
      <c r="BC754" t="str">
        <f>T("9791191102086")</f>
        <v>9791191102086</v>
      </c>
      <c r="BE754" t="str">
        <f t="shared" si="99"/>
        <v>판타지 웹소설 &gt; 현대 판타지</v>
      </c>
    </row>
    <row r="755" spans="1:57" x14ac:dyDescent="0.3">
      <c r="A755">
        <v>1525004030</v>
      </c>
      <c r="B755">
        <v>1525004307</v>
      </c>
      <c r="C755" t="str">
        <f>T("회귀의 전설 278화")</f>
        <v>회귀의 전설 278화</v>
      </c>
      <c r="D755" t="str">
        <f>T("278")</f>
        <v>278</v>
      </c>
      <c r="E755" t="str">
        <f t="shared" si="97"/>
        <v>김광수</v>
      </c>
      <c r="H755" t="str">
        <f t="shared" si="96"/>
        <v>스토리위즈</v>
      </c>
      <c r="I755" t="str">
        <f t="shared" si="98"/>
        <v>회귀의 전설</v>
      </c>
      <c r="J755">
        <v>100</v>
      </c>
      <c r="K755">
        <v>200</v>
      </c>
      <c r="L755">
        <v>2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200</v>
      </c>
      <c r="AH755">
        <v>2</v>
      </c>
      <c r="AI755">
        <v>0</v>
      </c>
      <c r="AJ755">
        <v>0</v>
      </c>
      <c r="AK755">
        <v>200</v>
      </c>
      <c r="AL755">
        <v>0</v>
      </c>
      <c r="AM755">
        <v>0</v>
      </c>
      <c r="AN755">
        <v>0</v>
      </c>
      <c r="AO755">
        <v>0</v>
      </c>
      <c r="AQ755">
        <v>0</v>
      </c>
      <c r="AR755">
        <v>0</v>
      </c>
      <c r="AT755">
        <v>0</v>
      </c>
      <c r="AU755">
        <v>0</v>
      </c>
      <c r="AW755">
        <v>0</v>
      </c>
      <c r="AX755">
        <v>0</v>
      </c>
      <c r="AY755">
        <v>140</v>
      </c>
      <c r="BC755" t="str">
        <f>T("9788997946006")</f>
        <v>9788997946006</v>
      </c>
      <c r="BE755" t="str">
        <f t="shared" si="99"/>
        <v>판타지 웹소설 &gt; 현대 판타지</v>
      </c>
    </row>
    <row r="756" spans="1:57" x14ac:dyDescent="0.3">
      <c r="A756">
        <v>1525004030</v>
      </c>
      <c r="B756">
        <v>1525006675</v>
      </c>
      <c r="C756" t="str">
        <f>T("회귀의 전설 2부 558화")</f>
        <v>회귀의 전설 2부 558화</v>
      </c>
      <c r="D756" t="str">
        <f>T("558")</f>
        <v>558</v>
      </c>
      <c r="E756" t="str">
        <f t="shared" si="97"/>
        <v>김광수</v>
      </c>
      <c r="H756" t="str">
        <f t="shared" si="96"/>
        <v>스토리위즈</v>
      </c>
      <c r="I756" t="str">
        <f t="shared" si="98"/>
        <v>회귀의 전설</v>
      </c>
      <c r="J756">
        <v>100</v>
      </c>
      <c r="K756">
        <v>200</v>
      </c>
      <c r="L756">
        <v>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200</v>
      </c>
      <c r="AH756">
        <v>2</v>
      </c>
      <c r="AI756">
        <v>0</v>
      </c>
      <c r="AJ756">
        <v>0</v>
      </c>
      <c r="AK756">
        <v>200</v>
      </c>
      <c r="AL756">
        <v>0</v>
      </c>
      <c r="AM756">
        <v>0</v>
      </c>
      <c r="AN756">
        <v>0</v>
      </c>
      <c r="AO756">
        <v>0</v>
      </c>
      <c r="AQ756">
        <v>0</v>
      </c>
      <c r="AR756">
        <v>0</v>
      </c>
      <c r="AT756">
        <v>0</v>
      </c>
      <c r="AU756">
        <v>0</v>
      </c>
      <c r="AW756">
        <v>0</v>
      </c>
      <c r="AX756">
        <v>0</v>
      </c>
      <c r="AY756">
        <v>140</v>
      </c>
      <c r="BC756" t="str">
        <f>T("9791191102086")</f>
        <v>9791191102086</v>
      </c>
      <c r="BE756" t="str">
        <f t="shared" si="99"/>
        <v>판타지 웹소설 &gt; 현대 판타지</v>
      </c>
    </row>
    <row r="757" spans="1:57" x14ac:dyDescent="0.3">
      <c r="A757">
        <v>1525004030</v>
      </c>
      <c r="B757">
        <v>1525004095</v>
      </c>
      <c r="C757" t="str">
        <f>T("회귀의 전설 66화")</f>
        <v>회귀의 전설 66화</v>
      </c>
      <c r="D757" t="str">
        <f>T("66")</f>
        <v>66</v>
      </c>
      <c r="E757" t="str">
        <f t="shared" si="97"/>
        <v>김광수</v>
      </c>
      <c r="H757" t="str">
        <f t="shared" si="96"/>
        <v>스토리위즈</v>
      </c>
      <c r="I757" t="str">
        <f t="shared" si="98"/>
        <v>회귀의 전설</v>
      </c>
      <c r="J757">
        <v>100</v>
      </c>
      <c r="K757">
        <v>200</v>
      </c>
      <c r="L757">
        <v>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200</v>
      </c>
      <c r="AH757">
        <v>2</v>
      </c>
      <c r="AI757">
        <v>0</v>
      </c>
      <c r="AJ757">
        <v>0</v>
      </c>
      <c r="AK757">
        <v>100</v>
      </c>
      <c r="AL757">
        <v>0</v>
      </c>
      <c r="AM757">
        <v>120</v>
      </c>
      <c r="AN757">
        <v>-36</v>
      </c>
      <c r="AO757">
        <v>0</v>
      </c>
      <c r="AQ757">
        <v>0</v>
      </c>
      <c r="AR757">
        <v>0</v>
      </c>
      <c r="AS757">
        <v>120</v>
      </c>
      <c r="AT757">
        <v>-36</v>
      </c>
      <c r="AU757">
        <v>0</v>
      </c>
      <c r="AW757">
        <v>0</v>
      </c>
      <c r="AX757">
        <v>0</v>
      </c>
      <c r="AY757">
        <v>128.80000000000001</v>
      </c>
      <c r="BC757" t="str">
        <f>T("9788997946006")</f>
        <v>9788997946006</v>
      </c>
      <c r="BE757" t="str">
        <f t="shared" si="99"/>
        <v>판타지 웹소설 &gt; 현대 판타지</v>
      </c>
    </row>
    <row r="758" spans="1:57" x14ac:dyDescent="0.3">
      <c r="A758">
        <v>1525004030</v>
      </c>
      <c r="B758">
        <v>1525006830</v>
      </c>
      <c r="C758" t="str">
        <f>T("회귀의 전설 2부 713화")</f>
        <v>회귀의 전설 2부 713화</v>
      </c>
      <c r="D758" t="str">
        <f>T("713")</f>
        <v>713</v>
      </c>
      <c r="E758" t="str">
        <f t="shared" si="97"/>
        <v>김광수</v>
      </c>
      <c r="H758" t="str">
        <f t="shared" si="96"/>
        <v>스토리위즈</v>
      </c>
      <c r="I758" t="str">
        <f t="shared" si="98"/>
        <v>회귀의 전설</v>
      </c>
      <c r="J758">
        <v>100</v>
      </c>
      <c r="K758">
        <v>200</v>
      </c>
      <c r="L758">
        <v>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200</v>
      </c>
      <c r="AH758">
        <v>2</v>
      </c>
      <c r="AI758">
        <v>0</v>
      </c>
      <c r="AJ758">
        <v>0</v>
      </c>
      <c r="AK758">
        <v>100</v>
      </c>
      <c r="AL758">
        <v>0</v>
      </c>
      <c r="AM758">
        <v>120</v>
      </c>
      <c r="AN758">
        <v>-12</v>
      </c>
      <c r="AO758">
        <v>0</v>
      </c>
      <c r="AQ758">
        <v>0</v>
      </c>
      <c r="AR758">
        <v>0</v>
      </c>
      <c r="AS758">
        <v>120</v>
      </c>
      <c r="AT758">
        <v>-12</v>
      </c>
      <c r="AU758">
        <v>0</v>
      </c>
      <c r="AW758">
        <v>0</v>
      </c>
      <c r="AX758">
        <v>0</v>
      </c>
      <c r="AY758">
        <v>145.6</v>
      </c>
      <c r="BC758" t="str">
        <f>T("9791191102086")</f>
        <v>9791191102086</v>
      </c>
      <c r="BE758" t="str">
        <f t="shared" si="99"/>
        <v>판타지 웹소설 &gt; 현대 판타지</v>
      </c>
    </row>
    <row r="759" spans="1:57" x14ac:dyDescent="0.3">
      <c r="A759">
        <v>1525004030</v>
      </c>
      <c r="B759">
        <v>1525006789</v>
      </c>
      <c r="C759" t="str">
        <f>T("회귀의 전설 2부 672화")</f>
        <v>회귀의 전설 2부 672화</v>
      </c>
      <c r="D759" t="str">
        <f>T("672")</f>
        <v>672</v>
      </c>
      <c r="E759" t="str">
        <f t="shared" si="97"/>
        <v>김광수</v>
      </c>
      <c r="H759" t="str">
        <f t="shared" si="96"/>
        <v>스토리위즈</v>
      </c>
      <c r="I759" t="str">
        <f t="shared" si="98"/>
        <v>회귀의 전설</v>
      </c>
      <c r="J759">
        <v>100</v>
      </c>
      <c r="K759">
        <v>200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200</v>
      </c>
      <c r="AH759">
        <v>2</v>
      </c>
      <c r="AI759">
        <v>0</v>
      </c>
      <c r="AJ759">
        <v>0</v>
      </c>
      <c r="AK759">
        <v>100</v>
      </c>
      <c r="AL759">
        <v>0</v>
      </c>
      <c r="AM759">
        <v>120</v>
      </c>
      <c r="AN759">
        <v>-12</v>
      </c>
      <c r="AO759">
        <v>0</v>
      </c>
      <c r="AQ759">
        <v>0</v>
      </c>
      <c r="AR759">
        <v>0</v>
      </c>
      <c r="AS759">
        <v>120</v>
      </c>
      <c r="AT759">
        <v>-12</v>
      </c>
      <c r="AU759">
        <v>0</v>
      </c>
      <c r="AW759">
        <v>0</v>
      </c>
      <c r="AX759">
        <v>0</v>
      </c>
      <c r="AY759">
        <v>145.6</v>
      </c>
      <c r="BC759" t="str">
        <f>T("9791191102086")</f>
        <v>9791191102086</v>
      </c>
      <c r="BE759" t="str">
        <f t="shared" si="99"/>
        <v>판타지 웹소설 &gt; 현대 판타지</v>
      </c>
    </row>
    <row r="760" spans="1:57" x14ac:dyDescent="0.3">
      <c r="A760">
        <v>1525004030</v>
      </c>
      <c r="B760">
        <v>1525006650</v>
      </c>
      <c r="C760" t="str">
        <f>T("회귀의 전설 2부 533화")</f>
        <v>회귀의 전설 2부 533화</v>
      </c>
      <c r="D760" t="str">
        <f>T("533")</f>
        <v>533</v>
      </c>
      <c r="E760" t="str">
        <f t="shared" si="97"/>
        <v>김광수</v>
      </c>
      <c r="H760" t="str">
        <f t="shared" si="96"/>
        <v>스토리위즈</v>
      </c>
      <c r="I760" t="str">
        <f t="shared" si="98"/>
        <v>회귀의 전설</v>
      </c>
      <c r="J760">
        <v>100</v>
      </c>
      <c r="K760">
        <v>200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200</v>
      </c>
      <c r="AH760">
        <v>2</v>
      </c>
      <c r="AI760">
        <v>0</v>
      </c>
      <c r="AJ760">
        <v>0</v>
      </c>
      <c r="AK760">
        <v>200</v>
      </c>
      <c r="AL760">
        <v>0</v>
      </c>
      <c r="AM760">
        <v>0</v>
      </c>
      <c r="AN760">
        <v>0</v>
      </c>
      <c r="AO760">
        <v>0</v>
      </c>
      <c r="AQ760">
        <v>0</v>
      </c>
      <c r="AR760">
        <v>0</v>
      </c>
      <c r="AT760">
        <v>0</v>
      </c>
      <c r="AU760">
        <v>0</v>
      </c>
      <c r="AW760">
        <v>0</v>
      </c>
      <c r="AX760">
        <v>0</v>
      </c>
      <c r="AY760">
        <v>140</v>
      </c>
      <c r="BC760" t="str">
        <f>T("9791191102086")</f>
        <v>9791191102086</v>
      </c>
      <c r="BE760" t="str">
        <f t="shared" si="99"/>
        <v>판타지 웹소설 &gt; 현대 판타지</v>
      </c>
    </row>
    <row r="761" spans="1:57" x14ac:dyDescent="0.3">
      <c r="A761">
        <v>1525004030</v>
      </c>
      <c r="B761">
        <v>1525004250</v>
      </c>
      <c r="C761" t="str">
        <f>T("회귀의 전설 221화")</f>
        <v>회귀의 전설 221화</v>
      </c>
      <c r="D761" t="str">
        <f>T("221")</f>
        <v>221</v>
      </c>
      <c r="E761" t="str">
        <f t="shared" si="97"/>
        <v>김광수</v>
      </c>
      <c r="H761" t="str">
        <f t="shared" si="96"/>
        <v>스토리위즈</v>
      </c>
      <c r="I761" t="str">
        <f t="shared" si="98"/>
        <v>회귀의 전설</v>
      </c>
      <c r="J761">
        <v>100</v>
      </c>
      <c r="K761">
        <v>200</v>
      </c>
      <c r="L761">
        <v>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200</v>
      </c>
      <c r="AH761">
        <v>2</v>
      </c>
      <c r="AI761">
        <v>0</v>
      </c>
      <c r="AJ761">
        <v>0</v>
      </c>
      <c r="AK761">
        <v>200</v>
      </c>
      <c r="AL761">
        <v>0</v>
      </c>
      <c r="AM761">
        <v>0</v>
      </c>
      <c r="AN761">
        <v>0</v>
      </c>
      <c r="AO761">
        <v>0</v>
      </c>
      <c r="AQ761">
        <v>0</v>
      </c>
      <c r="AR761">
        <v>0</v>
      </c>
      <c r="AT761">
        <v>0</v>
      </c>
      <c r="AU761">
        <v>0</v>
      </c>
      <c r="AW761">
        <v>0</v>
      </c>
      <c r="AX761">
        <v>0</v>
      </c>
      <c r="AY761">
        <v>140</v>
      </c>
      <c r="BC761" t="str">
        <f>T("9788997946006")</f>
        <v>9788997946006</v>
      </c>
      <c r="BE761" t="str">
        <f t="shared" si="99"/>
        <v>판타지 웹소설 &gt; 현대 판타지</v>
      </c>
    </row>
    <row r="762" spans="1:57" x14ac:dyDescent="0.3">
      <c r="A762">
        <v>1525004030</v>
      </c>
      <c r="B762">
        <v>1525006707</v>
      </c>
      <c r="C762" t="str">
        <f>T("회귀의 전설 2부 590화")</f>
        <v>회귀의 전설 2부 590화</v>
      </c>
      <c r="D762" t="str">
        <f>T("590")</f>
        <v>590</v>
      </c>
      <c r="E762" t="str">
        <f t="shared" si="97"/>
        <v>김광수</v>
      </c>
      <c r="H762" t="str">
        <f t="shared" si="96"/>
        <v>스토리위즈</v>
      </c>
      <c r="I762" t="str">
        <f t="shared" si="98"/>
        <v>회귀의 전설</v>
      </c>
      <c r="J762">
        <v>100</v>
      </c>
      <c r="K762">
        <v>200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200</v>
      </c>
      <c r="AH762">
        <v>2</v>
      </c>
      <c r="AI762">
        <v>0</v>
      </c>
      <c r="AJ762">
        <v>0</v>
      </c>
      <c r="AK762">
        <v>100</v>
      </c>
      <c r="AL762">
        <v>0</v>
      </c>
      <c r="AM762">
        <v>120</v>
      </c>
      <c r="AN762">
        <v>-12</v>
      </c>
      <c r="AO762">
        <v>0</v>
      </c>
      <c r="AQ762">
        <v>0</v>
      </c>
      <c r="AR762">
        <v>0</v>
      </c>
      <c r="AS762">
        <v>120</v>
      </c>
      <c r="AT762">
        <v>-12</v>
      </c>
      <c r="AU762">
        <v>0</v>
      </c>
      <c r="AW762">
        <v>0</v>
      </c>
      <c r="AX762">
        <v>0</v>
      </c>
      <c r="AY762">
        <v>145.6</v>
      </c>
      <c r="BC762" t="str">
        <f>T("9791191102086")</f>
        <v>9791191102086</v>
      </c>
      <c r="BE762" t="str">
        <f t="shared" si="99"/>
        <v>판타지 웹소설 &gt; 현대 판타지</v>
      </c>
    </row>
    <row r="763" spans="1:57" x14ac:dyDescent="0.3">
      <c r="A763">
        <v>1525004030</v>
      </c>
      <c r="B763">
        <v>1525004209</v>
      </c>
      <c r="C763" t="str">
        <f>T("회귀의 전설 180화")</f>
        <v>회귀의 전설 180화</v>
      </c>
      <c r="D763" t="str">
        <f>T("180")</f>
        <v>180</v>
      </c>
      <c r="E763" t="str">
        <f t="shared" si="97"/>
        <v>김광수</v>
      </c>
      <c r="H763" t="str">
        <f t="shared" si="96"/>
        <v>스토리위즈</v>
      </c>
      <c r="I763" t="str">
        <f t="shared" si="98"/>
        <v>회귀의 전설</v>
      </c>
      <c r="J763">
        <v>100</v>
      </c>
      <c r="K763">
        <v>200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200</v>
      </c>
      <c r="AH763">
        <v>2</v>
      </c>
      <c r="AI763">
        <v>0</v>
      </c>
      <c r="AJ763">
        <v>0</v>
      </c>
      <c r="AK763">
        <v>200</v>
      </c>
      <c r="AL763">
        <v>0</v>
      </c>
      <c r="AM763">
        <v>0</v>
      </c>
      <c r="AN763">
        <v>0</v>
      </c>
      <c r="AO763">
        <v>0</v>
      </c>
      <c r="AQ763">
        <v>0</v>
      </c>
      <c r="AR763">
        <v>0</v>
      </c>
      <c r="AT763">
        <v>0</v>
      </c>
      <c r="AU763">
        <v>0</v>
      </c>
      <c r="AW763">
        <v>0</v>
      </c>
      <c r="AX763">
        <v>0</v>
      </c>
      <c r="AY763">
        <v>140</v>
      </c>
      <c r="BC763" t="str">
        <f>T("9788997946006")</f>
        <v>9788997946006</v>
      </c>
      <c r="BE763" t="str">
        <f t="shared" si="99"/>
        <v>판타지 웹소설 &gt; 현대 판타지</v>
      </c>
    </row>
    <row r="764" spans="1:57" x14ac:dyDescent="0.3">
      <c r="A764">
        <v>1525004030</v>
      </c>
      <c r="B764">
        <v>1525006862</v>
      </c>
      <c r="C764" t="str">
        <f>T("회귀의 전설 2부 745화")</f>
        <v>회귀의 전설 2부 745화</v>
      </c>
      <c r="D764" t="str">
        <f>T("745")</f>
        <v>745</v>
      </c>
      <c r="E764" t="str">
        <f t="shared" si="97"/>
        <v>김광수</v>
      </c>
      <c r="H764" t="str">
        <f t="shared" si="96"/>
        <v>스토리위즈</v>
      </c>
      <c r="I764" t="str">
        <f t="shared" si="98"/>
        <v>회귀의 전설</v>
      </c>
      <c r="J764">
        <v>100</v>
      </c>
      <c r="K764">
        <v>200</v>
      </c>
      <c r="L764">
        <v>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200</v>
      </c>
      <c r="AH764">
        <v>2</v>
      </c>
      <c r="AI764">
        <v>0</v>
      </c>
      <c r="AJ764">
        <v>0</v>
      </c>
      <c r="AK764">
        <v>100</v>
      </c>
      <c r="AL764">
        <v>0</v>
      </c>
      <c r="AM764">
        <v>120</v>
      </c>
      <c r="AN764">
        <v>-12</v>
      </c>
      <c r="AO764">
        <v>0</v>
      </c>
      <c r="AQ764">
        <v>0</v>
      </c>
      <c r="AR764">
        <v>0</v>
      </c>
      <c r="AS764">
        <v>120</v>
      </c>
      <c r="AT764">
        <v>-12</v>
      </c>
      <c r="AU764">
        <v>0</v>
      </c>
      <c r="AW764">
        <v>0</v>
      </c>
      <c r="AX764">
        <v>0</v>
      </c>
      <c r="AY764">
        <v>145.6</v>
      </c>
      <c r="BC764" t="str">
        <f>T("9791191102086")</f>
        <v>9791191102086</v>
      </c>
      <c r="BE764" t="str">
        <f t="shared" si="99"/>
        <v>판타지 웹소설 &gt; 현대 판타지</v>
      </c>
    </row>
    <row r="765" spans="1:57" x14ac:dyDescent="0.3">
      <c r="A765">
        <v>1525004030</v>
      </c>
      <c r="B765">
        <v>1525006778</v>
      </c>
      <c r="C765" t="str">
        <f>T("회귀의 전설 2부 661화")</f>
        <v>회귀의 전설 2부 661화</v>
      </c>
      <c r="D765" t="str">
        <f>T("661")</f>
        <v>661</v>
      </c>
      <c r="E765" t="str">
        <f t="shared" si="97"/>
        <v>김광수</v>
      </c>
      <c r="H765" t="str">
        <f t="shared" si="96"/>
        <v>스토리위즈</v>
      </c>
      <c r="I765" t="str">
        <f t="shared" si="98"/>
        <v>회귀의 전설</v>
      </c>
      <c r="J765">
        <v>100</v>
      </c>
      <c r="K765">
        <v>200</v>
      </c>
      <c r="L765">
        <v>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200</v>
      </c>
      <c r="AH765">
        <v>2</v>
      </c>
      <c r="AI765">
        <v>0</v>
      </c>
      <c r="AJ765">
        <v>0</v>
      </c>
      <c r="AK765">
        <v>100</v>
      </c>
      <c r="AL765">
        <v>0</v>
      </c>
      <c r="AM765">
        <v>120</v>
      </c>
      <c r="AN765">
        <v>-12</v>
      </c>
      <c r="AO765">
        <v>0</v>
      </c>
      <c r="AQ765">
        <v>0</v>
      </c>
      <c r="AR765">
        <v>0</v>
      </c>
      <c r="AS765">
        <v>120</v>
      </c>
      <c r="AT765">
        <v>-12</v>
      </c>
      <c r="AU765">
        <v>0</v>
      </c>
      <c r="AW765">
        <v>0</v>
      </c>
      <c r="AX765">
        <v>0</v>
      </c>
      <c r="AY765">
        <v>145.6</v>
      </c>
      <c r="BC765" t="str">
        <f>T("9791191102086")</f>
        <v>9791191102086</v>
      </c>
      <c r="BE765" t="str">
        <f t="shared" si="99"/>
        <v>판타지 웹소설 &gt; 현대 판타지</v>
      </c>
    </row>
    <row r="766" spans="1:57" x14ac:dyDescent="0.3">
      <c r="A766">
        <v>1525004030</v>
      </c>
      <c r="B766">
        <v>1525004328</v>
      </c>
      <c r="C766" t="str">
        <f>T("회귀의 전설 299화")</f>
        <v>회귀의 전설 299화</v>
      </c>
      <c r="D766" t="str">
        <f>T("299")</f>
        <v>299</v>
      </c>
      <c r="E766" t="str">
        <f t="shared" si="97"/>
        <v>김광수</v>
      </c>
      <c r="H766" t="str">
        <f t="shared" si="96"/>
        <v>스토리위즈</v>
      </c>
      <c r="I766" t="str">
        <f t="shared" si="98"/>
        <v>회귀의 전설</v>
      </c>
      <c r="J766">
        <v>100</v>
      </c>
      <c r="K766">
        <v>200</v>
      </c>
      <c r="L766">
        <v>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200</v>
      </c>
      <c r="AH766">
        <v>2</v>
      </c>
      <c r="AI766">
        <v>0</v>
      </c>
      <c r="AJ766">
        <v>0</v>
      </c>
      <c r="AK766">
        <v>200</v>
      </c>
      <c r="AL766">
        <v>0</v>
      </c>
      <c r="AM766">
        <v>0</v>
      </c>
      <c r="AN766">
        <v>0</v>
      </c>
      <c r="AO766">
        <v>0</v>
      </c>
      <c r="AQ766">
        <v>0</v>
      </c>
      <c r="AR766">
        <v>0</v>
      </c>
      <c r="AT766">
        <v>0</v>
      </c>
      <c r="AU766">
        <v>0</v>
      </c>
      <c r="AW766">
        <v>0</v>
      </c>
      <c r="AX766">
        <v>0</v>
      </c>
      <c r="AY766">
        <v>140</v>
      </c>
      <c r="BC766" t="str">
        <f>T("9788997946006")</f>
        <v>9788997946006</v>
      </c>
      <c r="BE766" t="str">
        <f t="shared" si="99"/>
        <v>판타지 웹소설 &gt; 현대 판타지</v>
      </c>
    </row>
    <row r="767" spans="1:57" x14ac:dyDescent="0.3">
      <c r="A767">
        <v>1525004030</v>
      </c>
      <c r="B767">
        <v>1525004524</v>
      </c>
      <c r="C767" t="str">
        <f>T("회귀의 전설 395화")</f>
        <v>회귀의 전설 395화</v>
      </c>
      <c r="D767" t="str">
        <f>T("395")</f>
        <v>395</v>
      </c>
      <c r="E767" t="str">
        <f t="shared" si="97"/>
        <v>김광수</v>
      </c>
      <c r="H767" t="str">
        <f t="shared" si="96"/>
        <v>스토리위즈</v>
      </c>
      <c r="I767" t="str">
        <f t="shared" si="98"/>
        <v>회귀의 전설</v>
      </c>
      <c r="J767">
        <v>100</v>
      </c>
      <c r="K767">
        <v>200</v>
      </c>
      <c r="L767">
        <v>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200</v>
      </c>
      <c r="AH767">
        <v>2</v>
      </c>
      <c r="AI767">
        <v>0</v>
      </c>
      <c r="AJ767">
        <v>0</v>
      </c>
      <c r="AK767">
        <v>200</v>
      </c>
      <c r="AL767">
        <v>0</v>
      </c>
      <c r="AM767">
        <v>0</v>
      </c>
      <c r="AN767">
        <v>0</v>
      </c>
      <c r="AO767">
        <v>0</v>
      </c>
      <c r="AQ767">
        <v>0</v>
      </c>
      <c r="AR767">
        <v>0</v>
      </c>
      <c r="AT767">
        <v>0</v>
      </c>
      <c r="AU767">
        <v>0</v>
      </c>
      <c r="AW767">
        <v>0</v>
      </c>
      <c r="AX767">
        <v>0</v>
      </c>
      <c r="AY767">
        <v>140</v>
      </c>
      <c r="BC767" t="str">
        <f>T("9788997946006")</f>
        <v>9788997946006</v>
      </c>
      <c r="BE767" t="str">
        <f t="shared" si="99"/>
        <v>판타지 웹소설 &gt; 현대 판타지</v>
      </c>
    </row>
    <row r="768" spans="1:57" x14ac:dyDescent="0.3">
      <c r="A768">
        <v>1525004030</v>
      </c>
      <c r="B768">
        <v>1525006696</v>
      </c>
      <c r="C768" t="str">
        <f>T("회귀의 전설 2부 579화")</f>
        <v>회귀의 전설 2부 579화</v>
      </c>
      <c r="D768" t="str">
        <f>T("579")</f>
        <v>579</v>
      </c>
      <c r="E768" t="str">
        <f t="shared" si="97"/>
        <v>김광수</v>
      </c>
      <c r="H768" t="str">
        <f t="shared" si="96"/>
        <v>스토리위즈</v>
      </c>
      <c r="I768" t="str">
        <f t="shared" si="98"/>
        <v>회귀의 전설</v>
      </c>
      <c r="J768">
        <v>100</v>
      </c>
      <c r="K768">
        <v>200</v>
      </c>
      <c r="L768">
        <v>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200</v>
      </c>
      <c r="AH768">
        <v>2</v>
      </c>
      <c r="AI768">
        <v>0</v>
      </c>
      <c r="AJ768">
        <v>0</v>
      </c>
      <c r="AK768">
        <v>200</v>
      </c>
      <c r="AL768">
        <v>0</v>
      </c>
      <c r="AM768">
        <v>0</v>
      </c>
      <c r="AN768">
        <v>0</v>
      </c>
      <c r="AO768">
        <v>0</v>
      </c>
      <c r="AQ768">
        <v>0</v>
      </c>
      <c r="AR768">
        <v>0</v>
      </c>
      <c r="AT768">
        <v>0</v>
      </c>
      <c r="AU768">
        <v>0</v>
      </c>
      <c r="AW768">
        <v>0</v>
      </c>
      <c r="AX768">
        <v>0</v>
      </c>
      <c r="AY768">
        <v>140</v>
      </c>
      <c r="BC768" t="str">
        <f>T("9791191102086")</f>
        <v>9791191102086</v>
      </c>
      <c r="BE768" t="str">
        <f t="shared" si="99"/>
        <v>판타지 웹소설 &gt; 현대 판타지</v>
      </c>
    </row>
    <row r="769" spans="1:57" x14ac:dyDescent="0.3">
      <c r="A769">
        <v>1525004030</v>
      </c>
      <c r="B769">
        <v>1525006851</v>
      </c>
      <c r="C769" t="str">
        <f>T("회귀의 전설 2부 734화")</f>
        <v>회귀의 전설 2부 734화</v>
      </c>
      <c r="D769" t="str">
        <f>T("734")</f>
        <v>734</v>
      </c>
      <c r="E769" t="str">
        <f t="shared" si="97"/>
        <v>김광수</v>
      </c>
      <c r="H769" t="str">
        <f t="shared" si="96"/>
        <v>스토리위즈</v>
      </c>
      <c r="I769" t="str">
        <f t="shared" si="98"/>
        <v>회귀의 전설</v>
      </c>
      <c r="J769">
        <v>100</v>
      </c>
      <c r="K769">
        <v>200</v>
      </c>
      <c r="L769">
        <v>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200</v>
      </c>
      <c r="AH769">
        <v>2</v>
      </c>
      <c r="AI769">
        <v>0</v>
      </c>
      <c r="AJ769">
        <v>0</v>
      </c>
      <c r="AK769">
        <v>100</v>
      </c>
      <c r="AL769">
        <v>0</v>
      </c>
      <c r="AM769">
        <v>120</v>
      </c>
      <c r="AN769">
        <v>-12</v>
      </c>
      <c r="AO769">
        <v>0</v>
      </c>
      <c r="AQ769">
        <v>0</v>
      </c>
      <c r="AR769">
        <v>0</v>
      </c>
      <c r="AS769">
        <v>120</v>
      </c>
      <c r="AT769">
        <v>-12</v>
      </c>
      <c r="AU769">
        <v>0</v>
      </c>
      <c r="AW769">
        <v>0</v>
      </c>
      <c r="AX769">
        <v>0</v>
      </c>
      <c r="AY769">
        <v>145.6</v>
      </c>
      <c r="BC769" t="str">
        <f>T("9791191102086")</f>
        <v>9791191102086</v>
      </c>
      <c r="BE769" t="str">
        <f t="shared" si="99"/>
        <v>판타지 웹소설 &gt; 현대 판타지</v>
      </c>
    </row>
    <row r="770" spans="1:57" x14ac:dyDescent="0.3">
      <c r="A770">
        <v>1525004030</v>
      </c>
      <c r="B770">
        <v>1525006810</v>
      </c>
      <c r="C770" t="str">
        <f>T("회귀의 전설 2부 693화")</f>
        <v>회귀의 전설 2부 693화</v>
      </c>
      <c r="D770" t="str">
        <f>T("693")</f>
        <v>693</v>
      </c>
      <c r="E770" t="str">
        <f t="shared" si="97"/>
        <v>김광수</v>
      </c>
      <c r="H770" t="str">
        <f t="shared" si="96"/>
        <v>스토리위즈</v>
      </c>
      <c r="I770" t="str">
        <f t="shared" si="98"/>
        <v>회귀의 전설</v>
      </c>
      <c r="J770">
        <v>100</v>
      </c>
      <c r="K770">
        <v>200</v>
      </c>
      <c r="L770">
        <v>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200</v>
      </c>
      <c r="AH770">
        <v>2</v>
      </c>
      <c r="AI770">
        <v>0</v>
      </c>
      <c r="AJ770">
        <v>0</v>
      </c>
      <c r="AK770">
        <v>100</v>
      </c>
      <c r="AL770">
        <v>0</v>
      </c>
      <c r="AM770">
        <v>120</v>
      </c>
      <c r="AN770">
        <v>-12</v>
      </c>
      <c r="AO770">
        <v>0</v>
      </c>
      <c r="AQ770">
        <v>0</v>
      </c>
      <c r="AR770">
        <v>0</v>
      </c>
      <c r="AS770">
        <v>120</v>
      </c>
      <c r="AT770">
        <v>-12</v>
      </c>
      <c r="AU770">
        <v>0</v>
      </c>
      <c r="AW770">
        <v>0</v>
      </c>
      <c r="AX770">
        <v>0</v>
      </c>
      <c r="AY770">
        <v>145.6</v>
      </c>
      <c r="BC770" t="str">
        <f>T("9791191102086")</f>
        <v>9791191102086</v>
      </c>
      <c r="BE770" t="str">
        <f t="shared" si="99"/>
        <v>판타지 웹소설 &gt; 현대 판타지</v>
      </c>
    </row>
    <row r="771" spans="1:57" x14ac:dyDescent="0.3">
      <c r="A771">
        <v>1525004030</v>
      </c>
      <c r="B771">
        <v>1525004271</v>
      </c>
      <c r="C771" t="str">
        <f>T("회귀의 전설 242화")</f>
        <v>회귀의 전설 242화</v>
      </c>
      <c r="D771" t="str">
        <f>T("242")</f>
        <v>242</v>
      </c>
      <c r="E771" t="str">
        <f t="shared" si="97"/>
        <v>김광수</v>
      </c>
      <c r="H771" t="str">
        <f t="shared" si="96"/>
        <v>스토리위즈</v>
      </c>
      <c r="I771" t="str">
        <f t="shared" si="98"/>
        <v>회귀의 전설</v>
      </c>
      <c r="J771">
        <v>100</v>
      </c>
      <c r="K771">
        <v>200</v>
      </c>
      <c r="L771">
        <v>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200</v>
      </c>
      <c r="AH771">
        <v>2</v>
      </c>
      <c r="AI771">
        <v>0</v>
      </c>
      <c r="AJ771">
        <v>0</v>
      </c>
      <c r="AK771">
        <v>200</v>
      </c>
      <c r="AL771">
        <v>0</v>
      </c>
      <c r="AM771">
        <v>0</v>
      </c>
      <c r="AN771">
        <v>0</v>
      </c>
      <c r="AO771">
        <v>0</v>
      </c>
      <c r="AQ771">
        <v>0</v>
      </c>
      <c r="AR771">
        <v>0</v>
      </c>
      <c r="AT771">
        <v>0</v>
      </c>
      <c r="AU771">
        <v>0</v>
      </c>
      <c r="AW771">
        <v>0</v>
      </c>
      <c r="AX771">
        <v>0</v>
      </c>
      <c r="AY771">
        <v>140</v>
      </c>
      <c r="BC771" t="str">
        <f t="shared" ref="BC771:BC778" si="101">T("9788997946006")</f>
        <v>9788997946006</v>
      </c>
      <c r="BE771" t="str">
        <f t="shared" si="99"/>
        <v>판타지 웹소설 &gt; 현대 판타지</v>
      </c>
    </row>
    <row r="772" spans="1:57" x14ac:dyDescent="0.3">
      <c r="A772">
        <v>1525004030</v>
      </c>
      <c r="B772">
        <v>1525004345</v>
      </c>
      <c r="C772" t="str">
        <f>T("회귀의 전설 317화")</f>
        <v>회귀의 전설 317화</v>
      </c>
      <c r="D772" t="str">
        <f>T("317")</f>
        <v>317</v>
      </c>
      <c r="E772" t="str">
        <f t="shared" si="97"/>
        <v>김광수</v>
      </c>
      <c r="H772" t="str">
        <f t="shared" si="96"/>
        <v>스토리위즈</v>
      </c>
      <c r="I772" t="str">
        <f t="shared" si="98"/>
        <v>회귀의 전설</v>
      </c>
      <c r="J772">
        <v>100</v>
      </c>
      <c r="K772">
        <v>200</v>
      </c>
      <c r="L772">
        <v>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200</v>
      </c>
      <c r="AH772">
        <v>2</v>
      </c>
      <c r="AI772">
        <v>0</v>
      </c>
      <c r="AJ772">
        <v>0</v>
      </c>
      <c r="AK772">
        <v>200</v>
      </c>
      <c r="AL772">
        <v>0</v>
      </c>
      <c r="AM772">
        <v>0</v>
      </c>
      <c r="AN772">
        <v>0</v>
      </c>
      <c r="AO772">
        <v>0</v>
      </c>
      <c r="AQ772">
        <v>0</v>
      </c>
      <c r="AR772">
        <v>0</v>
      </c>
      <c r="AT772">
        <v>0</v>
      </c>
      <c r="AU772">
        <v>0</v>
      </c>
      <c r="AW772">
        <v>0</v>
      </c>
      <c r="AX772">
        <v>0</v>
      </c>
      <c r="AY772">
        <v>140</v>
      </c>
      <c r="BC772" t="str">
        <f t="shared" si="101"/>
        <v>9788997946006</v>
      </c>
      <c r="BE772" t="str">
        <f t="shared" si="99"/>
        <v>판타지 웹소설 &gt; 현대 판타지</v>
      </c>
    </row>
    <row r="773" spans="1:57" x14ac:dyDescent="0.3">
      <c r="A773">
        <v>1525004030</v>
      </c>
      <c r="B773">
        <v>1525004402</v>
      </c>
      <c r="C773" t="str">
        <f>T("회귀의 전설 374화")</f>
        <v>회귀의 전설 374화</v>
      </c>
      <c r="D773" t="str">
        <f>T("374")</f>
        <v>374</v>
      </c>
      <c r="E773" t="str">
        <f t="shared" si="97"/>
        <v>김광수</v>
      </c>
      <c r="H773" t="str">
        <f t="shared" si="96"/>
        <v>스토리위즈</v>
      </c>
      <c r="I773" t="str">
        <f t="shared" si="98"/>
        <v>회귀의 전설</v>
      </c>
      <c r="J773">
        <v>100</v>
      </c>
      <c r="K773">
        <v>200</v>
      </c>
      <c r="L773">
        <v>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200</v>
      </c>
      <c r="AH773">
        <v>2</v>
      </c>
      <c r="AI773">
        <v>0</v>
      </c>
      <c r="AJ773">
        <v>0</v>
      </c>
      <c r="AK773">
        <v>200</v>
      </c>
      <c r="AL773">
        <v>0</v>
      </c>
      <c r="AM773">
        <v>0</v>
      </c>
      <c r="AN773">
        <v>0</v>
      </c>
      <c r="AO773">
        <v>0</v>
      </c>
      <c r="AQ773">
        <v>0</v>
      </c>
      <c r="AR773">
        <v>0</v>
      </c>
      <c r="AT773">
        <v>0</v>
      </c>
      <c r="AU773">
        <v>0</v>
      </c>
      <c r="AW773">
        <v>0</v>
      </c>
      <c r="AX773">
        <v>0</v>
      </c>
      <c r="AY773">
        <v>140</v>
      </c>
      <c r="BC773" t="str">
        <f t="shared" si="101"/>
        <v>9788997946006</v>
      </c>
      <c r="BE773" t="str">
        <f t="shared" si="99"/>
        <v>판타지 웹소설 &gt; 현대 판타지</v>
      </c>
    </row>
    <row r="774" spans="1:57" x14ac:dyDescent="0.3">
      <c r="A774">
        <v>1525004030</v>
      </c>
      <c r="B774">
        <v>1525004459</v>
      </c>
      <c r="C774" t="str">
        <f>T("회귀의 전설 443화")</f>
        <v>회귀의 전설 443화</v>
      </c>
      <c r="D774" t="str">
        <f>T("443")</f>
        <v>443</v>
      </c>
      <c r="E774" t="str">
        <f t="shared" si="97"/>
        <v>김광수</v>
      </c>
      <c r="H774" t="str">
        <f t="shared" si="96"/>
        <v>스토리위즈</v>
      </c>
      <c r="I774" t="str">
        <f t="shared" si="98"/>
        <v>회귀의 전설</v>
      </c>
      <c r="J774">
        <v>100</v>
      </c>
      <c r="K774">
        <v>200</v>
      </c>
      <c r="L774">
        <v>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200</v>
      </c>
      <c r="AH774">
        <v>2</v>
      </c>
      <c r="AI774">
        <v>0</v>
      </c>
      <c r="AJ774">
        <v>0</v>
      </c>
      <c r="AK774">
        <v>200</v>
      </c>
      <c r="AL774">
        <v>0</v>
      </c>
      <c r="AM774">
        <v>0</v>
      </c>
      <c r="AN774">
        <v>0</v>
      </c>
      <c r="AO774">
        <v>0</v>
      </c>
      <c r="AQ774">
        <v>0</v>
      </c>
      <c r="AR774">
        <v>0</v>
      </c>
      <c r="AT774">
        <v>0</v>
      </c>
      <c r="AU774">
        <v>0</v>
      </c>
      <c r="AW774">
        <v>0</v>
      </c>
      <c r="AX774">
        <v>0</v>
      </c>
      <c r="AY774">
        <v>140</v>
      </c>
      <c r="BC774" t="str">
        <f t="shared" si="101"/>
        <v>9788997946006</v>
      </c>
      <c r="BE774" t="str">
        <f t="shared" si="99"/>
        <v>판타지 웹소설 &gt; 현대 판타지</v>
      </c>
    </row>
    <row r="775" spans="1:57" x14ac:dyDescent="0.3">
      <c r="A775">
        <v>1525004030</v>
      </c>
      <c r="B775">
        <v>1525004377</v>
      </c>
      <c r="C775" t="str">
        <f>T("회귀의 전설 349화")</f>
        <v>회귀의 전설 349화</v>
      </c>
      <c r="D775" t="str">
        <f>T("349")</f>
        <v>349</v>
      </c>
      <c r="E775" t="str">
        <f t="shared" si="97"/>
        <v>김광수</v>
      </c>
      <c r="H775" t="str">
        <f t="shared" si="96"/>
        <v>스토리위즈</v>
      </c>
      <c r="I775" t="str">
        <f t="shared" si="98"/>
        <v>회귀의 전설</v>
      </c>
      <c r="J775">
        <v>100</v>
      </c>
      <c r="K775">
        <v>200</v>
      </c>
      <c r="L775">
        <v>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200</v>
      </c>
      <c r="AH775">
        <v>2</v>
      </c>
      <c r="AI775">
        <v>0</v>
      </c>
      <c r="AJ775">
        <v>0</v>
      </c>
      <c r="AK775">
        <v>200</v>
      </c>
      <c r="AL775">
        <v>0</v>
      </c>
      <c r="AM775">
        <v>0</v>
      </c>
      <c r="AN775">
        <v>0</v>
      </c>
      <c r="AO775">
        <v>0</v>
      </c>
      <c r="AQ775">
        <v>0</v>
      </c>
      <c r="AR775">
        <v>0</v>
      </c>
      <c r="AT775">
        <v>0</v>
      </c>
      <c r="AU775">
        <v>0</v>
      </c>
      <c r="AW775">
        <v>0</v>
      </c>
      <c r="AX775">
        <v>0</v>
      </c>
      <c r="AY775">
        <v>140</v>
      </c>
      <c r="BC775" t="str">
        <f t="shared" si="101"/>
        <v>9788997946006</v>
      </c>
      <c r="BE775" t="str">
        <f t="shared" si="99"/>
        <v>판타지 웹소설 &gt; 현대 판타지</v>
      </c>
    </row>
    <row r="776" spans="1:57" x14ac:dyDescent="0.3">
      <c r="A776">
        <v>1525004030</v>
      </c>
      <c r="B776">
        <v>1525004434</v>
      </c>
      <c r="C776" t="str">
        <f>T("회귀의 전설 418화")</f>
        <v>회귀의 전설 418화</v>
      </c>
      <c r="D776" t="str">
        <f>T("418")</f>
        <v>418</v>
      </c>
      <c r="E776" t="str">
        <f t="shared" si="97"/>
        <v>김광수</v>
      </c>
      <c r="H776" t="str">
        <f t="shared" si="96"/>
        <v>스토리위즈</v>
      </c>
      <c r="I776" t="str">
        <f t="shared" si="98"/>
        <v>회귀의 전설</v>
      </c>
      <c r="J776">
        <v>100</v>
      </c>
      <c r="K776">
        <v>200</v>
      </c>
      <c r="L776">
        <v>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200</v>
      </c>
      <c r="AH776">
        <v>2</v>
      </c>
      <c r="AI776">
        <v>0</v>
      </c>
      <c r="AJ776">
        <v>0</v>
      </c>
      <c r="AK776">
        <v>200</v>
      </c>
      <c r="AL776">
        <v>0</v>
      </c>
      <c r="AM776">
        <v>0</v>
      </c>
      <c r="AN776">
        <v>0</v>
      </c>
      <c r="AO776">
        <v>0</v>
      </c>
      <c r="AQ776">
        <v>0</v>
      </c>
      <c r="AR776">
        <v>0</v>
      </c>
      <c r="AT776">
        <v>0</v>
      </c>
      <c r="AU776">
        <v>0</v>
      </c>
      <c r="AW776">
        <v>0</v>
      </c>
      <c r="AX776">
        <v>0</v>
      </c>
      <c r="AY776">
        <v>140</v>
      </c>
      <c r="BC776" t="str">
        <f t="shared" si="101"/>
        <v>9788997946006</v>
      </c>
      <c r="BE776" t="str">
        <f t="shared" si="99"/>
        <v>판타지 웹소설 &gt; 현대 판타지</v>
      </c>
    </row>
    <row r="777" spans="1:57" x14ac:dyDescent="0.3">
      <c r="A777">
        <v>1525004030</v>
      </c>
      <c r="B777">
        <v>1525004491</v>
      </c>
      <c r="C777" t="str">
        <f>T("회귀의 전설 475화")</f>
        <v>회귀의 전설 475화</v>
      </c>
      <c r="D777" t="str">
        <f>T("475")</f>
        <v>475</v>
      </c>
      <c r="E777" t="str">
        <f t="shared" si="97"/>
        <v>김광수</v>
      </c>
      <c r="H777" t="str">
        <f t="shared" si="96"/>
        <v>스토리위즈</v>
      </c>
      <c r="I777" t="str">
        <f t="shared" si="98"/>
        <v>회귀의 전설</v>
      </c>
      <c r="J777">
        <v>100</v>
      </c>
      <c r="K777">
        <v>200</v>
      </c>
      <c r="L777">
        <v>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200</v>
      </c>
      <c r="AH777">
        <v>2</v>
      </c>
      <c r="AI777">
        <v>0</v>
      </c>
      <c r="AJ777">
        <v>0</v>
      </c>
      <c r="AK777">
        <v>200</v>
      </c>
      <c r="AL777">
        <v>0</v>
      </c>
      <c r="AM777">
        <v>0</v>
      </c>
      <c r="AN777">
        <v>0</v>
      </c>
      <c r="AO777">
        <v>0</v>
      </c>
      <c r="AQ777">
        <v>0</v>
      </c>
      <c r="AR777">
        <v>0</v>
      </c>
      <c r="AT777">
        <v>0</v>
      </c>
      <c r="AU777">
        <v>0</v>
      </c>
      <c r="AW777">
        <v>0</v>
      </c>
      <c r="AX777">
        <v>0</v>
      </c>
      <c r="AY777">
        <v>140</v>
      </c>
      <c r="BC777" t="str">
        <f t="shared" si="101"/>
        <v>9788997946006</v>
      </c>
      <c r="BE777" t="str">
        <f t="shared" si="99"/>
        <v>판타지 웹소설 &gt; 현대 판타지</v>
      </c>
    </row>
    <row r="778" spans="1:57" x14ac:dyDescent="0.3">
      <c r="A778">
        <v>1525004030</v>
      </c>
      <c r="B778">
        <v>1525004296</v>
      </c>
      <c r="C778" t="str">
        <f>T("회귀의 전설 267화")</f>
        <v>회귀의 전설 267화</v>
      </c>
      <c r="D778" t="str">
        <f>T("267")</f>
        <v>267</v>
      </c>
      <c r="E778" t="str">
        <f t="shared" si="97"/>
        <v>김광수</v>
      </c>
      <c r="H778" t="str">
        <f t="shared" si="96"/>
        <v>스토리위즈</v>
      </c>
      <c r="I778" t="str">
        <f t="shared" si="98"/>
        <v>회귀의 전설</v>
      </c>
      <c r="J778">
        <v>100</v>
      </c>
      <c r="K778">
        <v>200</v>
      </c>
      <c r="L778">
        <v>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200</v>
      </c>
      <c r="AH778">
        <v>2</v>
      </c>
      <c r="AI778">
        <v>0</v>
      </c>
      <c r="AJ778">
        <v>0</v>
      </c>
      <c r="AK778">
        <v>200</v>
      </c>
      <c r="AL778">
        <v>0</v>
      </c>
      <c r="AM778">
        <v>0</v>
      </c>
      <c r="AN778">
        <v>0</v>
      </c>
      <c r="AO778">
        <v>0</v>
      </c>
      <c r="AQ778">
        <v>0</v>
      </c>
      <c r="AR778">
        <v>0</v>
      </c>
      <c r="AT778">
        <v>0</v>
      </c>
      <c r="AU778">
        <v>0</v>
      </c>
      <c r="AW778">
        <v>0</v>
      </c>
      <c r="AX778">
        <v>0</v>
      </c>
      <c r="AY778">
        <v>140</v>
      </c>
      <c r="BC778" t="str">
        <f t="shared" si="101"/>
        <v>9788997946006</v>
      </c>
      <c r="BE778" t="str">
        <f t="shared" si="99"/>
        <v>판타지 웹소설 &gt; 현대 판타지</v>
      </c>
    </row>
    <row r="779" spans="1:57" x14ac:dyDescent="0.3">
      <c r="A779">
        <v>1525004030</v>
      </c>
      <c r="B779">
        <v>1525006664</v>
      </c>
      <c r="C779" t="str">
        <f>T("회귀의 전설 2부 547화")</f>
        <v>회귀의 전설 2부 547화</v>
      </c>
      <c r="D779" t="str">
        <f>T("547")</f>
        <v>547</v>
      </c>
      <c r="E779" t="str">
        <f t="shared" si="97"/>
        <v>김광수</v>
      </c>
      <c r="H779" t="str">
        <f t="shared" si="96"/>
        <v>스토리위즈</v>
      </c>
      <c r="I779" t="str">
        <f t="shared" si="98"/>
        <v>회귀의 전설</v>
      </c>
      <c r="J779">
        <v>100</v>
      </c>
      <c r="K779">
        <v>200</v>
      </c>
      <c r="L779">
        <v>2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200</v>
      </c>
      <c r="AH779">
        <v>2</v>
      </c>
      <c r="AI779">
        <v>0</v>
      </c>
      <c r="AJ779">
        <v>0</v>
      </c>
      <c r="AK779">
        <v>200</v>
      </c>
      <c r="AL779">
        <v>0</v>
      </c>
      <c r="AM779">
        <v>0</v>
      </c>
      <c r="AN779">
        <v>0</v>
      </c>
      <c r="AO779">
        <v>0</v>
      </c>
      <c r="AQ779">
        <v>0</v>
      </c>
      <c r="AR779">
        <v>0</v>
      </c>
      <c r="AT779">
        <v>0</v>
      </c>
      <c r="AU779">
        <v>0</v>
      </c>
      <c r="AW779">
        <v>0</v>
      </c>
      <c r="AX779">
        <v>0</v>
      </c>
      <c r="AY779">
        <v>140</v>
      </c>
      <c r="BC779" t="str">
        <f>T("9791191102086")</f>
        <v>9791191102086</v>
      </c>
      <c r="BE779" t="str">
        <f t="shared" si="99"/>
        <v>판타지 웹소설 &gt; 현대 판타지</v>
      </c>
    </row>
    <row r="780" spans="1:57" x14ac:dyDescent="0.3">
      <c r="A780">
        <v>1525008428</v>
      </c>
      <c r="B780">
        <v>1525008438</v>
      </c>
      <c r="C780" t="str">
        <f>T("무히비(Muhibbi) 29화")</f>
        <v>무히비(Muhibbi) 29화</v>
      </c>
      <c r="D780" t="str">
        <f>T("29")</f>
        <v>29</v>
      </c>
      <c r="E780" t="str">
        <f>T("jooki")</f>
        <v>jooki</v>
      </c>
      <c r="H780" t="str">
        <f>T("블러쉬")</f>
        <v>블러쉬</v>
      </c>
      <c r="I780" t="str">
        <f>T("무히비(Muhibbi)")</f>
        <v>무히비(Muhibbi)</v>
      </c>
      <c r="J780">
        <v>100</v>
      </c>
      <c r="K780">
        <v>200</v>
      </c>
      <c r="L780">
        <v>2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200</v>
      </c>
      <c r="AH780">
        <v>2</v>
      </c>
      <c r="AI780">
        <v>0</v>
      </c>
      <c r="AJ780">
        <v>0</v>
      </c>
      <c r="AK780">
        <v>200</v>
      </c>
      <c r="AL780">
        <v>0</v>
      </c>
      <c r="AM780">
        <v>0</v>
      </c>
      <c r="AN780">
        <v>0</v>
      </c>
      <c r="AO780">
        <v>0</v>
      </c>
      <c r="AQ780">
        <v>0</v>
      </c>
      <c r="AR780">
        <v>0</v>
      </c>
      <c r="AT780">
        <v>0</v>
      </c>
      <c r="AU780">
        <v>0</v>
      </c>
      <c r="AW780">
        <v>0</v>
      </c>
      <c r="AX780">
        <v>0</v>
      </c>
      <c r="AY780">
        <v>140</v>
      </c>
      <c r="BC780" t="str">
        <f>T("9791164896622")</f>
        <v>9791164896622</v>
      </c>
      <c r="BE780" t="str">
        <f>T("BL 웹소설 &gt; 역사/시대물")</f>
        <v>BL 웹소설 &gt; 역사/시대물</v>
      </c>
    </row>
    <row r="781" spans="1:57" x14ac:dyDescent="0.3">
      <c r="A781">
        <v>1525004030</v>
      </c>
      <c r="B781">
        <v>1525004084</v>
      </c>
      <c r="C781" t="str">
        <f>T("회귀의 전설 55화")</f>
        <v>회귀의 전설 55화</v>
      </c>
      <c r="D781" t="str">
        <f>T("55")</f>
        <v>55</v>
      </c>
      <c r="E781" t="str">
        <f>T("김광수")</f>
        <v>김광수</v>
      </c>
      <c r="H781" t="str">
        <f>T("스토리위즈")</f>
        <v>스토리위즈</v>
      </c>
      <c r="I781" t="str">
        <f>T("회귀의 전설")</f>
        <v>회귀의 전설</v>
      </c>
      <c r="J781">
        <v>100</v>
      </c>
      <c r="K781">
        <v>200</v>
      </c>
      <c r="L781">
        <v>2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200</v>
      </c>
      <c r="AH781">
        <v>2</v>
      </c>
      <c r="AI781">
        <v>0</v>
      </c>
      <c r="AJ781">
        <v>0</v>
      </c>
      <c r="AK781">
        <v>100</v>
      </c>
      <c r="AL781">
        <v>0</v>
      </c>
      <c r="AM781">
        <v>120</v>
      </c>
      <c r="AN781">
        <v>-36</v>
      </c>
      <c r="AO781">
        <v>0</v>
      </c>
      <c r="AQ781">
        <v>0</v>
      </c>
      <c r="AR781">
        <v>0</v>
      </c>
      <c r="AS781">
        <v>120</v>
      </c>
      <c r="AT781">
        <v>-36</v>
      </c>
      <c r="AU781">
        <v>0</v>
      </c>
      <c r="AW781">
        <v>0</v>
      </c>
      <c r="AX781">
        <v>0</v>
      </c>
      <c r="AY781">
        <v>128.80000000000001</v>
      </c>
      <c r="BC781" t="str">
        <f>T("9788997946006")</f>
        <v>9788997946006</v>
      </c>
      <c r="BE781" t="str">
        <f>T("판타지 웹소설 &gt; 현대 판타지")</f>
        <v>판타지 웹소설 &gt; 현대 판타지</v>
      </c>
    </row>
    <row r="782" spans="1:57" x14ac:dyDescent="0.3">
      <c r="A782">
        <v>1525004030</v>
      </c>
      <c r="B782">
        <v>1525004480</v>
      </c>
      <c r="C782" t="str">
        <f>T("회귀의 전설 464화")</f>
        <v>회귀의 전설 464화</v>
      </c>
      <c r="D782" t="str">
        <f>T("464")</f>
        <v>464</v>
      </c>
      <c r="E782" t="str">
        <f>T("김광수")</f>
        <v>김광수</v>
      </c>
      <c r="H782" t="str">
        <f>T("스토리위즈")</f>
        <v>스토리위즈</v>
      </c>
      <c r="I782" t="str">
        <f>T("회귀의 전설")</f>
        <v>회귀의 전설</v>
      </c>
      <c r="J782">
        <v>100</v>
      </c>
      <c r="K782">
        <v>200</v>
      </c>
      <c r="L782">
        <v>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200</v>
      </c>
      <c r="AH782">
        <v>2</v>
      </c>
      <c r="AI782">
        <v>0</v>
      </c>
      <c r="AJ782">
        <v>0</v>
      </c>
      <c r="AK782">
        <v>200</v>
      </c>
      <c r="AL782">
        <v>0</v>
      </c>
      <c r="AM782">
        <v>0</v>
      </c>
      <c r="AN782">
        <v>0</v>
      </c>
      <c r="AO782">
        <v>0</v>
      </c>
      <c r="AQ782">
        <v>0</v>
      </c>
      <c r="AR782">
        <v>0</v>
      </c>
      <c r="AT782">
        <v>0</v>
      </c>
      <c r="AU782">
        <v>0</v>
      </c>
      <c r="AW782">
        <v>0</v>
      </c>
      <c r="AX782">
        <v>0</v>
      </c>
      <c r="AY782">
        <v>140</v>
      </c>
      <c r="BC782" t="str">
        <f>T("9788997946006")</f>
        <v>9788997946006</v>
      </c>
      <c r="BE782" t="str">
        <f>T("판타지 웹소설 &gt; 현대 판타지")</f>
        <v>판타지 웹소설 &gt; 현대 판타지</v>
      </c>
    </row>
    <row r="783" spans="1:57" x14ac:dyDescent="0.3">
      <c r="A783">
        <v>1525004030</v>
      </c>
      <c r="B783">
        <v>1525004285</v>
      </c>
      <c r="C783" t="str">
        <f>T("회귀의 전설 256화")</f>
        <v>회귀의 전설 256화</v>
      </c>
      <c r="D783" t="str">
        <f>T("256")</f>
        <v>256</v>
      </c>
      <c r="E783" t="str">
        <f>T("김광수")</f>
        <v>김광수</v>
      </c>
      <c r="H783" t="str">
        <f>T("스토리위즈")</f>
        <v>스토리위즈</v>
      </c>
      <c r="I783" t="str">
        <f>T("회귀의 전설")</f>
        <v>회귀의 전설</v>
      </c>
      <c r="J783">
        <v>100</v>
      </c>
      <c r="K783">
        <v>200</v>
      </c>
      <c r="L783">
        <v>2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200</v>
      </c>
      <c r="AH783">
        <v>2</v>
      </c>
      <c r="AI783">
        <v>0</v>
      </c>
      <c r="AJ783">
        <v>0</v>
      </c>
      <c r="AK783">
        <v>200</v>
      </c>
      <c r="AL783">
        <v>0</v>
      </c>
      <c r="AM783">
        <v>0</v>
      </c>
      <c r="AN783">
        <v>0</v>
      </c>
      <c r="AO783">
        <v>0</v>
      </c>
      <c r="AQ783">
        <v>0</v>
      </c>
      <c r="AR783">
        <v>0</v>
      </c>
      <c r="AT783">
        <v>0</v>
      </c>
      <c r="AU783">
        <v>0</v>
      </c>
      <c r="AW783">
        <v>0</v>
      </c>
      <c r="AX783">
        <v>0</v>
      </c>
      <c r="AY783">
        <v>140</v>
      </c>
      <c r="BC783" t="str">
        <f>T("9788997946006")</f>
        <v>9788997946006</v>
      </c>
      <c r="BE783" t="str">
        <f>T("판타지 웹소설 &gt; 현대 판타지")</f>
        <v>판타지 웹소설 &gt; 현대 판타지</v>
      </c>
    </row>
    <row r="784" spans="1:57" x14ac:dyDescent="0.3">
      <c r="A784">
        <v>1525008428</v>
      </c>
      <c r="B784">
        <v>1525008426</v>
      </c>
      <c r="C784" t="str">
        <f>T("무히비(Muhibbi) 18화")</f>
        <v>무히비(Muhibbi) 18화</v>
      </c>
      <c r="D784" t="str">
        <f>T("18")</f>
        <v>18</v>
      </c>
      <c r="E784" t="str">
        <f>T("jooki")</f>
        <v>jooki</v>
      </c>
      <c r="H784" t="str">
        <f>T("블러쉬")</f>
        <v>블러쉬</v>
      </c>
      <c r="I784" t="str">
        <f>T("무히비(Muhibbi)")</f>
        <v>무히비(Muhibbi)</v>
      </c>
      <c r="J784">
        <v>100</v>
      </c>
      <c r="K784">
        <v>200</v>
      </c>
      <c r="L784">
        <v>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200</v>
      </c>
      <c r="AH784">
        <v>2</v>
      </c>
      <c r="AI784">
        <v>0</v>
      </c>
      <c r="AJ784">
        <v>0</v>
      </c>
      <c r="AK784">
        <v>200</v>
      </c>
      <c r="AL784">
        <v>0</v>
      </c>
      <c r="AM784">
        <v>0</v>
      </c>
      <c r="AN784">
        <v>0</v>
      </c>
      <c r="AO784">
        <v>0</v>
      </c>
      <c r="AQ784">
        <v>0</v>
      </c>
      <c r="AR784">
        <v>0</v>
      </c>
      <c r="AT784">
        <v>0</v>
      </c>
      <c r="AU784">
        <v>0</v>
      </c>
      <c r="AW784">
        <v>0</v>
      </c>
      <c r="AX784">
        <v>0</v>
      </c>
      <c r="AY784">
        <v>140</v>
      </c>
      <c r="BC784" t="str">
        <f>T("9791164896622")</f>
        <v>9791164896622</v>
      </c>
      <c r="BE784" t="str">
        <f>T("BL 웹소설 &gt; 역사/시대물")</f>
        <v>BL 웹소설 &gt; 역사/시대물</v>
      </c>
    </row>
    <row r="785" spans="1:57" x14ac:dyDescent="0.3">
      <c r="A785">
        <v>1525004030</v>
      </c>
      <c r="B785">
        <v>1525004073</v>
      </c>
      <c r="C785" t="str">
        <f>T("회귀의 전설 44화")</f>
        <v>회귀의 전설 44화</v>
      </c>
      <c r="D785" t="str">
        <f>T("44")</f>
        <v>44</v>
      </c>
      <c r="E785" t="str">
        <f>T("김광수")</f>
        <v>김광수</v>
      </c>
      <c r="H785" t="str">
        <f t="shared" ref="H785:H809" si="102">T("스토리위즈")</f>
        <v>스토리위즈</v>
      </c>
      <c r="I785" t="str">
        <f>T("회귀의 전설")</f>
        <v>회귀의 전설</v>
      </c>
      <c r="J785">
        <v>100</v>
      </c>
      <c r="K785">
        <v>200</v>
      </c>
      <c r="L785">
        <v>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200</v>
      </c>
      <c r="AH785">
        <v>2</v>
      </c>
      <c r="AI785">
        <v>0</v>
      </c>
      <c r="AJ785">
        <v>0</v>
      </c>
      <c r="AK785">
        <v>100</v>
      </c>
      <c r="AL785">
        <v>0</v>
      </c>
      <c r="AM785">
        <v>120</v>
      </c>
      <c r="AN785">
        <v>-36</v>
      </c>
      <c r="AO785">
        <v>0</v>
      </c>
      <c r="AQ785">
        <v>0</v>
      </c>
      <c r="AR785">
        <v>0</v>
      </c>
      <c r="AS785">
        <v>120</v>
      </c>
      <c r="AT785">
        <v>-36</v>
      </c>
      <c r="AU785">
        <v>0</v>
      </c>
      <c r="AW785">
        <v>0</v>
      </c>
      <c r="AX785">
        <v>0</v>
      </c>
      <c r="AY785">
        <v>128.80000000000001</v>
      </c>
      <c r="BC785" t="str">
        <f>T("9788997946006")</f>
        <v>9788997946006</v>
      </c>
      <c r="BE785" t="str">
        <f>T("판타지 웹소설 &gt; 현대 판타지")</f>
        <v>판타지 웹소설 &gt; 현대 판타지</v>
      </c>
    </row>
    <row r="786" spans="1:57" x14ac:dyDescent="0.3">
      <c r="A786">
        <v>1525004799</v>
      </c>
      <c r="B786">
        <v>1525004968</v>
      </c>
      <c r="C786" t="str">
        <f>T("검산도해 170화")</f>
        <v>검산도해 170화</v>
      </c>
      <c r="D786" t="str">
        <f>T("170")</f>
        <v>170</v>
      </c>
      <c r="E786" t="str">
        <f>T("권용찬")</f>
        <v>권용찬</v>
      </c>
      <c r="H786" t="str">
        <f t="shared" si="102"/>
        <v>스토리위즈</v>
      </c>
      <c r="I786" t="str">
        <f>T("검산도해")</f>
        <v>검산도해</v>
      </c>
      <c r="J786">
        <v>100</v>
      </c>
      <c r="K786">
        <v>200</v>
      </c>
      <c r="L786">
        <v>2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200</v>
      </c>
      <c r="AH786">
        <v>2</v>
      </c>
      <c r="AI786">
        <v>0</v>
      </c>
      <c r="AJ786">
        <v>0</v>
      </c>
      <c r="AK786">
        <v>100</v>
      </c>
      <c r="AL786">
        <v>0</v>
      </c>
      <c r="AM786">
        <v>120</v>
      </c>
      <c r="AN786">
        <v>-12</v>
      </c>
      <c r="AO786">
        <v>0</v>
      </c>
      <c r="AQ786">
        <v>0</v>
      </c>
      <c r="AR786">
        <v>0</v>
      </c>
      <c r="AS786">
        <v>120</v>
      </c>
      <c r="AT786">
        <v>-12</v>
      </c>
      <c r="AU786">
        <v>0</v>
      </c>
      <c r="AW786">
        <v>0</v>
      </c>
      <c r="AX786">
        <v>0</v>
      </c>
      <c r="AY786">
        <v>145.6</v>
      </c>
      <c r="BC786" t="str">
        <f>T("9791159285936")</f>
        <v>9791159285936</v>
      </c>
      <c r="BE786" t="str">
        <f>T("판타지 웹소설 &gt; 무협 소설")</f>
        <v>판타지 웹소설 &gt; 무협 소설</v>
      </c>
    </row>
    <row r="787" spans="1:57" x14ac:dyDescent="0.3">
      <c r="A787">
        <v>1525004030</v>
      </c>
      <c r="B787">
        <v>1525004317</v>
      </c>
      <c r="C787" t="str">
        <f>T("회귀의 전설 288화")</f>
        <v>회귀의 전설 288화</v>
      </c>
      <c r="D787" t="str">
        <f>T("288")</f>
        <v>288</v>
      </c>
      <c r="E787" t="str">
        <f t="shared" ref="E787:E809" si="103">T("김광수")</f>
        <v>김광수</v>
      </c>
      <c r="H787" t="str">
        <f t="shared" si="102"/>
        <v>스토리위즈</v>
      </c>
      <c r="I787" t="str">
        <f t="shared" ref="I787:I809" si="104">T("회귀의 전설")</f>
        <v>회귀의 전설</v>
      </c>
      <c r="J787">
        <v>100</v>
      </c>
      <c r="K787">
        <v>200</v>
      </c>
      <c r="L787">
        <v>2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200</v>
      </c>
      <c r="AH787">
        <v>2</v>
      </c>
      <c r="AI787">
        <v>0</v>
      </c>
      <c r="AJ787">
        <v>0</v>
      </c>
      <c r="AK787">
        <v>200</v>
      </c>
      <c r="AL787">
        <v>0</v>
      </c>
      <c r="AM787">
        <v>0</v>
      </c>
      <c r="AN787">
        <v>0</v>
      </c>
      <c r="AO787">
        <v>0</v>
      </c>
      <c r="AQ787">
        <v>0</v>
      </c>
      <c r="AR787">
        <v>0</v>
      </c>
      <c r="AT787">
        <v>0</v>
      </c>
      <c r="AU787">
        <v>0</v>
      </c>
      <c r="AW787">
        <v>0</v>
      </c>
      <c r="AX787">
        <v>0</v>
      </c>
      <c r="AY787">
        <v>140</v>
      </c>
      <c r="BC787" t="str">
        <f>T("9788997946006")</f>
        <v>9788997946006</v>
      </c>
      <c r="BE787" t="str">
        <f t="shared" ref="BE787:BE809" si="105">T("판타지 웹소설 &gt; 현대 판타지")</f>
        <v>판타지 웹소설 &gt; 현대 판타지</v>
      </c>
    </row>
    <row r="788" spans="1:57" x14ac:dyDescent="0.3">
      <c r="A788">
        <v>1525004030</v>
      </c>
      <c r="B788">
        <v>1525004513</v>
      </c>
      <c r="C788" t="str">
        <f>T("회귀의 전설 384화")</f>
        <v>회귀의 전설 384화</v>
      </c>
      <c r="D788" t="str">
        <f>T("384")</f>
        <v>384</v>
      </c>
      <c r="E788" t="str">
        <f t="shared" si="103"/>
        <v>김광수</v>
      </c>
      <c r="H788" t="str">
        <f t="shared" si="102"/>
        <v>스토리위즈</v>
      </c>
      <c r="I788" t="str">
        <f t="shared" si="104"/>
        <v>회귀의 전설</v>
      </c>
      <c r="J788">
        <v>100</v>
      </c>
      <c r="K788">
        <v>200</v>
      </c>
      <c r="L788">
        <v>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200</v>
      </c>
      <c r="AH788">
        <v>2</v>
      </c>
      <c r="AI788">
        <v>0</v>
      </c>
      <c r="AJ788">
        <v>0</v>
      </c>
      <c r="AK788">
        <v>200</v>
      </c>
      <c r="AL788">
        <v>0</v>
      </c>
      <c r="AM788">
        <v>0</v>
      </c>
      <c r="AN788">
        <v>0</v>
      </c>
      <c r="AO788">
        <v>0</v>
      </c>
      <c r="AQ788">
        <v>0</v>
      </c>
      <c r="AR788">
        <v>0</v>
      </c>
      <c r="AT788">
        <v>0</v>
      </c>
      <c r="AU788">
        <v>0</v>
      </c>
      <c r="AW788">
        <v>0</v>
      </c>
      <c r="AX788">
        <v>0</v>
      </c>
      <c r="AY788">
        <v>140</v>
      </c>
      <c r="BC788" t="str">
        <f>T("9788997946006")</f>
        <v>9788997946006</v>
      </c>
      <c r="BE788" t="str">
        <f t="shared" si="105"/>
        <v>판타지 웹소설 &gt; 현대 판타지</v>
      </c>
    </row>
    <row r="789" spans="1:57" x14ac:dyDescent="0.3">
      <c r="A789">
        <v>1525004030</v>
      </c>
      <c r="B789">
        <v>1525004228</v>
      </c>
      <c r="C789" t="str">
        <f>T("회귀의 전설 199화")</f>
        <v>회귀의 전설 199화</v>
      </c>
      <c r="D789" t="str">
        <f>T("199")</f>
        <v>199</v>
      </c>
      <c r="E789" t="str">
        <f t="shared" si="103"/>
        <v>김광수</v>
      </c>
      <c r="H789" t="str">
        <f t="shared" si="102"/>
        <v>스토리위즈</v>
      </c>
      <c r="I789" t="str">
        <f t="shared" si="104"/>
        <v>회귀의 전설</v>
      </c>
      <c r="J789">
        <v>100</v>
      </c>
      <c r="K789">
        <v>200</v>
      </c>
      <c r="L789">
        <v>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200</v>
      </c>
      <c r="AH789">
        <v>2</v>
      </c>
      <c r="AI789">
        <v>0</v>
      </c>
      <c r="AJ789">
        <v>0</v>
      </c>
      <c r="AK789">
        <v>200</v>
      </c>
      <c r="AL789">
        <v>0</v>
      </c>
      <c r="AM789">
        <v>0</v>
      </c>
      <c r="AN789">
        <v>0</v>
      </c>
      <c r="AO789">
        <v>0</v>
      </c>
      <c r="AQ789">
        <v>0</v>
      </c>
      <c r="AR789">
        <v>0</v>
      </c>
      <c r="AT789">
        <v>0</v>
      </c>
      <c r="AU789">
        <v>0</v>
      </c>
      <c r="AW789">
        <v>0</v>
      </c>
      <c r="AX789">
        <v>0</v>
      </c>
      <c r="AY789">
        <v>140</v>
      </c>
      <c r="BC789" t="str">
        <f>T("9788997946006")</f>
        <v>9788997946006</v>
      </c>
      <c r="BE789" t="str">
        <f t="shared" si="105"/>
        <v>판타지 웹소설 &gt; 현대 판타지</v>
      </c>
    </row>
    <row r="790" spans="1:57" x14ac:dyDescent="0.3">
      <c r="A790">
        <v>1525004030</v>
      </c>
      <c r="B790">
        <v>1525004105</v>
      </c>
      <c r="C790" t="str">
        <f>T("회귀의 전설 76화")</f>
        <v>회귀의 전설 76화</v>
      </c>
      <c r="D790" t="str">
        <f>T("76")</f>
        <v>76</v>
      </c>
      <c r="E790" t="str">
        <f t="shared" si="103"/>
        <v>김광수</v>
      </c>
      <c r="H790" t="str">
        <f t="shared" si="102"/>
        <v>스토리위즈</v>
      </c>
      <c r="I790" t="str">
        <f t="shared" si="104"/>
        <v>회귀의 전설</v>
      </c>
      <c r="J790">
        <v>100</v>
      </c>
      <c r="K790">
        <v>200</v>
      </c>
      <c r="L790">
        <v>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200</v>
      </c>
      <c r="AH790">
        <v>2</v>
      </c>
      <c r="AI790">
        <v>0</v>
      </c>
      <c r="AJ790">
        <v>0</v>
      </c>
      <c r="AK790">
        <v>100</v>
      </c>
      <c r="AL790">
        <v>0</v>
      </c>
      <c r="AM790">
        <v>120</v>
      </c>
      <c r="AN790">
        <v>-36</v>
      </c>
      <c r="AO790">
        <v>0</v>
      </c>
      <c r="AQ790">
        <v>0</v>
      </c>
      <c r="AR790">
        <v>0</v>
      </c>
      <c r="AS790">
        <v>120</v>
      </c>
      <c r="AT790">
        <v>-36</v>
      </c>
      <c r="AU790">
        <v>0</v>
      </c>
      <c r="AW790">
        <v>0</v>
      </c>
      <c r="AX790">
        <v>0</v>
      </c>
      <c r="AY790">
        <v>128.80000000000001</v>
      </c>
      <c r="BC790" t="str">
        <f>T("9788997946006")</f>
        <v>9788997946006</v>
      </c>
      <c r="BE790" t="str">
        <f t="shared" si="105"/>
        <v>판타지 웹소설 &gt; 현대 판타지</v>
      </c>
    </row>
    <row r="791" spans="1:57" x14ac:dyDescent="0.3">
      <c r="A791">
        <v>1525004030</v>
      </c>
      <c r="B791">
        <v>1525006840</v>
      </c>
      <c r="C791" t="str">
        <f>T("회귀의 전설 2부 723화")</f>
        <v>회귀의 전설 2부 723화</v>
      </c>
      <c r="D791" t="str">
        <f>T("723")</f>
        <v>723</v>
      </c>
      <c r="E791" t="str">
        <f t="shared" si="103"/>
        <v>김광수</v>
      </c>
      <c r="H791" t="str">
        <f t="shared" si="102"/>
        <v>스토리위즈</v>
      </c>
      <c r="I791" t="str">
        <f t="shared" si="104"/>
        <v>회귀의 전설</v>
      </c>
      <c r="J791">
        <v>100</v>
      </c>
      <c r="K791">
        <v>200</v>
      </c>
      <c r="L791">
        <v>2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200</v>
      </c>
      <c r="AH791">
        <v>2</v>
      </c>
      <c r="AI791">
        <v>0</v>
      </c>
      <c r="AJ791">
        <v>0</v>
      </c>
      <c r="AK791">
        <v>100</v>
      </c>
      <c r="AL791">
        <v>0</v>
      </c>
      <c r="AM791">
        <v>120</v>
      </c>
      <c r="AN791">
        <v>-12</v>
      </c>
      <c r="AO791">
        <v>0</v>
      </c>
      <c r="AQ791">
        <v>0</v>
      </c>
      <c r="AR791">
        <v>0</v>
      </c>
      <c r="AS791">
        <v>120</v>
      </c>
      <c r="AT791">
        <v>-12</v>
      </c>
      <c r="AU791">
        <v>0</v>
      </c>
      <c r="AW791">
        <v>0</v>
      </c>
      <c r="AX791">
        <v>0</v>
      </c>
      <c r="AY791">
        <v>145.6</v>
      </c>
      <c r="BC791" t="str">
        <f>T("9791191102086")</f>
        <v>9791191102086</v>
      </c>
      <c r="BE791" t="str">
        <f t="shared" si="105"/>
        <v>판타지 웹소설 &gt; 현대 판타지</v>
      </c>
    </row>
    <row r="792" spans="1:57" x14ac:dyDescent="0.3">
      <c r="A792">
        <v>1525004030</v>
      </c>
      <c r="B792">
        <v>1525006799</v>
      </c>
      <c r="C792" t="str">
        <f>T("회귀의 전설 2부 682화")</f>
        <v>회귀의 전설 2부 682화</v>
      </c>
      <c r="D792" t="str">
        <f>T("682")</f>
        <v>682</v>
      </c>
      <c r="E792" t="str">
        <f t="shared" si="103"/>
        <v>김광수</v>
      </c>
      <c r="H792" t="str">
        <f t="shared" si="102"/>
        <v>스토리위즈</v>
      </c>
      <c r="I792" t="str">
        <f t="shared" si="104"/>
        <v>회귀의 전설</v>
      </c>
      <c r="J792">
        <v>100</v>
      </c>
      <c r="K792">
        <v>200</v>
      </c>
      <c r="L792">
        <v>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200</v>
      </c>
      <c r="AH792">
        <v>2</v>
      </c>
      <c r="AI792">
        <v>0</v>
      </c>
      <c r="AJ792">
        <v>0</v>
      </c>
      <c r="AK792">
        <v>100</v>
      </c>
      <c r="AL792">
        <v>0</v>
      </c>
      <c r="AM792">
        <v>120</v>
      </c>
      <c r="AN792">
        <v>-12</v>
      </c>
      <c r="AO792">
        <v>0</v>
      </c>
      <c r="AQ792">
        <v>0</v>
      </c>
      <c r="AR792">
        <v>0</v>
      </c>
      <c r="AS792">
        <v>120</v>
      </c>
      <c r="AT792">
        <v>-12</v>
      </c>
      <c r="AU792">
        <v>0</v>
      </c>
      <c r="AW792">
        <v>0</v>
      </c>
      <c r="AX792">
        <v>0</v>
      </c>
      <c r="AY792">
        <v>145.6</v>
      </c>
      <c r="BC792" t="str">
        <f>T("9791191102086")</f>
        <v>9791191102086</v>
      </c>
      <c r="BE792" t="str">
        <f t="shared" si="105"/>
        <v>판타지 웹소설 &gt; 현대 판타지</v>
      </c>
    </row>
    <row r="793" spans="1:57" x14ac:dyDescent="0.3">
      <c r="A793">
        <v>1525004030</v>
      </c>
      <c r="B793">
        <v>1525006758</v>
      </c>
      <c r="C793" t="str">
        <f>T("회귀의 전설 2부 641화")</f>
        <v>회귀의 전설 2부 641화</v>
      </c>
      <c r="D793" t="str">
        <f>T("641")</f>
        <v>641</v>
      </c>
      <c r="E793" t="str">
        <f t="shared" si="103"/>
        <v>김광수</v>
      </c>
      <c r="H793" t="str">
        <f t="shared" si="102"/>
        <v>스토리위즈</v>
      </c>
      <c r="I793" t="str">
        <f t="shared" si="104"/>
        <v>회귀의 전설</v>
      </c>
      <c r="J793">
        <v>100</v>
      </c>
      <c r="K793">
        <v>200</v>
      </c>
      <c r="L793">
        <v>2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200</v>
      </c>
      <c r="AH793">
        <v>2</v>
      </c>
      <c r="AI793">
        <v>0</v>
      </c>
      <c r="AJ793">
        <v>0</v>
      </c>
      <c r="AK793">
        <v>100</v>
      </c>
      <c r="AL793">
        <v>0</v>
      </c>
      <c r="AM793">
        <v>120</v>
      </c>
      <c r="AN793">
        <v>-12</v>
      </c>
      <c r="AO793">
        <v>0</v>
      </c>
      <c r="AQ793">
        <v>0</v>
      </c>
      <c r="AR793">
        <v>0</v>
      </c>
      <c r="AS793">
        <v>120</v>
      </c>
      <c r="AT793">
        <v>-12</v>
      </c>
      <c r="AU793">
        <v>0</v>
      </c>
      <c r="AW793">
        <v>0</v>
      </c>
      <c r="AX793">
        <v>0</v>
      </c>
      <c r="AY793">
        <v>145.6</v>
      </c>
      <c r="BC793" t="str">
        <f>T("9791191102086")</f>
        <v>9791191102086</v>
      </c>
      <c r="BE793" t="str">
        <f t="shared" si="105"/>
        <v>판타지 웹소설 &gt; 현대 판타지</v>
      </c>
    </row>
    <row r="794" spans="1:57" x14ac:dyDescent="0.3">
      <c r="A794">
        <v>1525004030</v>
      </c>
      <c r="B794">
        <v>1525004260</v>
      </c>
      <c r="C794" t="str">
        <f>T("회귀의 전설 231화")</f>
        <v>회귀의 전설 231화</v>
      </c>
      <c r="D794" t="str">
        <f>T("231")</f>
        <v>231</v>
      </c>
      <c r="E794" t="str">
        <f t="shared" si="103"/>
        <v>김광수</v>
      </c>
      <c r="H794" t="str">
        <f t="shared" si="102"/>
        <v>스토리위즈</v>
      </c>
      <c r="I794" t="str">
        <f t="shared" si="104"/>
        <v>회귀의 전설</v>
      </c>
      <c r="J794">
        <v>100</v>
      </c>
      <c r="K794">
        <v>200</v>
      </c>
      <c r="L794">
        <v>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200</v>
      </c>
      <c r="AH794">
        <v>2</v>
      </c>
      <c r="AI794">
        <v>0</v>
      </c>
      <c r="AJ794">
        <v>0</v>
      </c>
      <c r="AK794">
        <v>200</v>
      </c>
      <c r="AL794">
        <v>0</v>
      </c>
      <c r="AM794">
        <v>0</v>
      </c>
      <c r="AN794">
        <v>0</v>
      </c>
      <c r="AO794">
        <v>0</v>
      </c>
      <c r="AQ794">
        <v>0</v>
      </c>
      <c r="AR794">
        <v>0</v>
      </c>
      <c r="AT794">
        <v>0</v>
      </c>
      <c r="AU794">
        <v>0</v>
      </c>
      <c r="AW794">
        <v>0</v>
      </c>
      <c r="AX794">
        <v>0</v>
      </c>
      <c r="AY794">
        <v>140</v>
      </c>
      <c r="BC794" t="str">
        <f>T("9788997946006")</f>
        <v>9788997946006</v>
      </c>
      <c r="BE794" t="str">
        <f t="shared" si="105"/>
        <v>판타지 웹소설 &gt; 현대 판타지</v>
      </c>
    </row>
    <row r="795" spans="1:57" x14ac:dyDescent="0.3">
      <c r="A795">
        <v>1525004030</v>
      </c>
      <c r="B795">
        <v>1525004219</v>
      </c>
      <c r="C795" t="str">
        <f>T("회귀의 전설 190화")</f>
        <v>회귀의 전설 190화</v>
      </c>
      <c r="D795" t="str">
        <f>T("190")</f>
        <v>190</v>
      </c>
      <c r="E795" t="str">
        <f t="shared" si="103"/>
        <v>김광수</v>
      </c>
      <c r="H795" t="str">
        <f t="shared" si="102"/>
        <v>스토리위즈</v>
      </c>
      <c r="I795" t="str">
        <f t="shared" si="104"/>
        <v>회귀의 전설</v>
      </c>
      <c r="J795">
        <v>100</v>
      </c>
      <c r="K795">
        <v>200</v>
      </c>
      <c r="L795">
        <v>2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200</v>
      </c>
      <c r="AH795">
        <v>2</v>
      </c>
      <c r="AI795">
        <v>0</v>
      </c>
      <c r="AJ795">
        <v>0</v>
      </c>
      <c r="AK795">
        <v>200</v>
      </c>
      <c r="AL795">
        <v>0</v>
      </c>
      <c r="AM795">
        <v>0</v>
      </c>
      <c r="AN795">
        <v>0</v>
      </c>
      <c r="AO795">
        <v>0</v>
      </c>
      <c r="AQ795">
        <v>0</v>
      </c>
      <c r="AR795">
        <v>0</v>
      </c>
      <c r="AT795">
        <v>0</v>
      </c>
      <c r="AU795">
        <v>0</v>
      </c>
      <c r="AW795">
        <v>0</v>
      </c>
      <c r="AX795">
        <v>0</v>
      </c>
      <c r="AY795">
        <v>140</v>
      </c>
      <c r="BC795" t="str">
        <f>T("9788997946006")</f>
        <v>9788997946006</v>
      </c>
      <c r="BE795" t="str">
        <f t="shared" si="105"/>
        <v>판타지 웹소설 &gt; 현대 판타지</v>
      </c>
    </row>
    <row r="796" spans="1:57" x14ac:dyDescent="0.3">
      <c r="A796">
        <v>1525004030</v>
      </c>
      <c r="B796">
        <v>1525006872</v>
      </c>
      <c r="C796" t="str">
        <f>T("회귀의 전설 2부 755화")</f>
        <v>회귀의 전설 2부 755화</v>
      </c>
      <c r="D796" t="str">
        <f>T("755")</f>
        <v>755</v>
      </c>
      <c r="E796" t="str">
        <f t="shared" si="103"/>
        <v>김광수</v>
      </c>
      <c r="H796" t="str">
        <f t="shared" si="102"/>
        <v>스토리위즈</v>
      </c>
      <c r="I796" t="str">
        <f t="shared" si="104"/>
        <v>회귀의 전설</v>
      </c>
      <c r="J796">
        <v>100</v>
      </c>
      <c r="K796">
        <v>200</v>
      </c>
      <c r="L796">
        <v>2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200</v>
      </c>
      <c r="AH796">
        <v>2</v>
      </c>
      <c r="AI796">
        <v>0</v>
      </c>
      <c r="AJ796">
        <v>0</v>
      </c>
      <c r="AK796">
        <v>100</v>
      </c>
      <c r="AL796">
        <v>0</v>
      </c>
      <c r="AM796">
        <v>120</v>
      </c>
      <c r="AN796">
        <v>-12</v>
      </c>
      <c r="AO796">
        <v>0</v>
      </c>
      <c r="AQ796">
        <v>0</v>
      </c>
      <c r="AR796">
        <v>0</v>
      </c>
      <c r="AS796">
        <v>120</v>
      </c>
      <c r="AT796">
        <v>-12</v>
      </c>
      <c r="AU796">
        <v>0</v>
      </c>
      <c r="AW796">
        <v>0</v>
      </c>
      <c r="AX796">
        <v>0</v>
      </c>
      <c r="AY796">
        <v>145.6</v>
      </c>
      <c r="BC796" t="str">
        <f>T("9791191102086")</f>
        <v>9791191102086</v>
      </c>
      <c r="BE796" t="str">
        <f t="shared" si="105"/>
        <v>판타지 웹소설 &gt; 현대 판타지</v>
      </c>
    </row>
    <row r="797" spans="1:57" x14ac:dyDescent="0.3">
      <c r="A797">
        <v>1525004030</v>
      </c>
      <c r="B797">
        <v>1525004366</v>
      </c>
      <c r="C797" t="str">
        <f>T("회귀의 전설 338화")</f>
        <v>회귀의 전설 338화</v>
      </c>
      <c r="D797" t="str">
        <f>T("338")</f>
        <v>338</v>
      </c>
      <c r="E797" t="str">
        <f t="shared" si="103"/>
        <v>김광수</v>
      </c>
      <c r="H797" t="str">
        <f t="shared" si="102"/>
        <v>스토리위즈</v>
      </c>
      <c r="I797" t="str">
        <f t="shared" si="104"/>
        <v>회귀의 전설</v>
      </c>
      <c r="J797">
        <v>100</v>
      </c>
      <c r="K797">
        <v>200</v>
      </c>
      <c r="L797">
        <v>2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200</v>
      </c>
      <c r="AH797">
        <v>2</v>
      </c>
      <c r="AI797">
        <v>0</v>
      </c>
      <c r="AJ797">
        <v>0</v>
      </c>
      <c r="AK797">
        <v>200</v>
      </c>
      <c r="AL797">
        <v>0</v>
      </c>
      <c r="AM797">
        <v>0</v>
      </c>
      <c r="AN797">
        <v>0</v>
      </c>
      <c r="AO797">
        <v>0</v>
      </c>
      <c r="AQ797">
        <v>0</v>
      </c>
      <c r="AR797">
        <v>0</v>
      </c>
      <c r="AT797">
        <v>0</v>
      </c>
      <c r="AU797">
        <v>0</v>
      </c>
      <c r="AW797">
        <v>0</v>
      </c>
      <c r="AX797">
        <v>0</v>
      </c>
      <c r="AY797">
        <v>140</v>
      </c>
      <c r="BC797" t="str">
        <f>T("9788997946006")</f>
        <v>9788997946006</v>
      </c>
      <c r="BE797" t="str">
        <f t="shared" si="105"/>
        <v>판타지 웹소설 &gt; 현대 판타지</v>
      </c>
    </row>
    <row r="798" spans="1:57" x14ac:dyDescent="0.3">
      <c r="A798">
        <v>1525004030</v>
      </c>
      <c r="B798">
        <v>1525004423</v>
      </c>
      <c r="C798" t="str">
        <f>T("회귀의 전설 407화")</f>
        <v>회귀의 전설 407화</v>
      </c>
      <c r="D798" t="str">
        <f>T("407")</f>
        <v>407</v>
      </c>
      <c r="E798" t="str">
        <f t="shared" si="103"/>
        <v>김광수</v>
      </c>
      <c r="H798" t="str">
        <f t="shared" si="102"/>
        <v>스토리위즈</v>
      </c>
      <c r="I798" t="str">
        <f t="shared" si="104"/>
        <v>회귀의 전설</v>
      </c>
      <c r="J798">
        <v>100</v>
      </c>
      <c r="K798">
        <v>200</v>
      </c>
      <c r="L798">
        <v>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200</v>
      </c>
      <c r="AH798">
        <v>2</v>
      </c>
      <c r="AI798">
        <v>0</v>
      </c>
      <c r="AJ798">
        <v>0</v>
      </c>
      <c r="AK798">
        <v>200</v>
      </c>
      <c r="AL798">
        <v>0</v>
      </c>
      <c r="AM798">
        <v>0</v>
      </c>
      <c r="AN798">
        <v>0</v>
      </c>
      <c r="AO798">
        <v>0</v>
      </c>
      <c r="AQ798">
        <v>0</v>
      </c>
      <c r="AR798">
        <v>0</v>
      </c>
      <c r="AT798">
        <v>0</v>
      </c>
      <c r="AU798">
        <v>0</v>
      </c>
      <c r="AW798">
        <v>0</v>
      </c>
      <c r="AX798">
        <v>0</v>
      </c>
      <c r="AY798">
        <v>140</v>
      </c>
      <c r="BC798" t="str">
        <f>T("9788997946006")</f>
        <v>9788997946006</v>
      </c>
      <c r="BE798" t="str">
        <f t="shared" si="105"/>
        <v>판타지 웹소설 &gt; 현대 판타지</v>
      </c>
    </row>
    <row r="799" spans="1:57" x14ac:dyDescent="0.3">
      <c r="A799">
        <v>1525004030</v>
      </c>
      <c r="B799">
        <v>1525006889</v>
      </c>
      <c r="C799" t="str">
        <f>T("회귀의 전설 2부 772화")</f>
        <v>회귀의 전설 2부 772화</v>
      </c>
      <c r="D799" t="str">
        <f>T("772")</f>
        <v>772</v>
      </c>
      <c r="E799" t="str">
        <f t="shared" si="103"/>
        <v>김광수</v>
      </c>
      <c r="H799" t="str">
        <f t="shared" si="102"/>
        <v>스토리위즈</v>
      </c>
      <c r="I799" t="str">
        <f t="shared" si="104"/>
        <v>회귀의 전설</v>
      </c>
      <c r="J799">
        <v>100</v>
      </c>
      <c r="K799">
        <v>200</v>
      </c>
      <c r="L799">
        <v>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200</v>
      </c>
      <c r="AH799">
        <v>2</v>
      </c>
      <c r="AI799">
        <v>0</v>
      </c>
      <c r="AJ799">
        <v>0</v>
      </c>
      <c r="AK799">
        <v>100</v>
      </c>
      <c r="AL799">
        <v>0</v>
      </c>
      <c r="AM799">
        <v>120</v>
      </c>
      <c r="AN799">
        <v>-12</v>
      </c>
      <c r="AO799">
        <v>0</v>
      </c>
      <c r="AQ799">
        <v>0</v>
      </c>
      <c r="AR799">
        <v>0</v>
      </c>
      <c r="AS799">
        <v>120</v>
      </c>
      <c r="AT799">
        <v>-12</v>
      </c>
      <c r="AU799">
        <v>0</v>
      </c>
      <c r="AW799">
        <v>0</v>
      </c>
      <c r="AX799">
        <v>0</v>
      </c>
      <c r="AY799">
        <v>145.6</v>
      </c>
      <c r="BC799" t="str">
        <f>T("9791191102086")</f>
        <v>9791191102086</v>
      </c>
      <c r="BE799" t="str">
        <f t="shared" si="105"/>
        <v>판타지 웹소설 &gt; 현대 판타지</v>
      </c>
    </row>
    <row r="800" spans="1:57" x14ac:dyDescent="0.3">
      <c r="A800">
        <v>1525004030</v>
      </c>
      <c r="B800">
        <v>1525004111</v>
      </c>
      <c r="C800" t="str">
        <f>T("회귀의 전설 82화")</f>
        <v>회귀의 전설 82화</v>
      </c>
      <c r="D800" t="str">
        <f>T("82")</f>
        <v>82</v>
      </c>
      <c r="E800" t="str">
        <f t="shared" si="103"/>
        <v>김광수</v>
      </c>
      <c r="H800" t="str">
        <f t="shared" si="102"/>
        <v>스토리위즈</v>
      </c>
      <c r="I800" t="str">
        <f t="shared" si="104"/>
        <v>회귀의 전설</v>
      </c>
      <c r="J800">
        <v>100</v>
      </c>
      <c r="K800">
        <v>200</v>
      </c>
      <c r="L800">
        <v>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200</v>
      </c>
      <c r="AH800">
        <v>2</v>
      </c>
      <c r="AI800">
        <v>0</v>
      </c>
      <c r="AJ800">
        <v>0</v>
      </c>
      <c r="AK800">
        <v>100</v>
      </c>
      <c r="AL800">
        <v>0</v>
      </c>
      <c r="AM800">
        <v>120</v>
      </c>
      <c r="AN800">
        <v>-12</v>
      </c>
      <c r="AO800">
        <v>0</v>
      </c>
      <c r="AQ800">
        <v>0</v>
      </c>
      <c r="AR800">
        <v>0</v>
      </c>
      <c r="AS800">
        <v>120</v>
      </c>
      <c r="AT800">
        <v>-12</v>
      </c>
      <c r="AU800">
        <v>0</v>
      </c>
      <c r="AW800">
        <v>0</v>
      </c>
      <c r="AX800">
        <v>0</v>
      </c>
      <c r="AY800">
        <v>145.6</v>
      </c>
      <c r="BC800" t="str">
        <f t="shared" ref="BC800:BC806" si="106">T("9788997946006")</f>
        <v>9788997946006</v>
      </c>
      <c r="BE800" t="str">
        <f t="shared" si="105"/>
        <v>판타지 웹소설 &gt; 현대 판타지</v>
      </c>
    </row>
    <row r="801" spans="1:57" x14ac:dyDescent="0.3">
      <c r="A801">
        <v>1525004030</v>
      </c>
      <c r="B801">
        <v>1525004355</v>
      </c>
      <c r="C801" t="str">
        <f>T("회귀의 전설 327화")</f>
        <v>회귀의 전설 327화</v>
      </c>
      <c r="D801" t="str">
        <f>T("327")</f>
        <v>327</v>
      </c>
      <c r="E801" t="str">
        <f t="shared" si="103"/>
        <v>김광수</v>
      </c>
      <c r="H801" t="str">
        <f t="shared" si="102"/>
        <v>스토리위즈</v>
      </c>
      <c r="I801" t="str">
        <f t="shared" si="104"/>
        <v>회귀의 전설</v>
      </c>
      <c r="J801">
        <v>100</v>
      </c>
      <c r="K801">
        <v>200</v>
      </c>
      <c r="L801">
        <v>2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200</v>
      </c>
      <c r="AH801">
        <v>2</v>
      </c>
      <c r="AI801">
        <v>0</v>
      </c>
      <c r="AJ801">
        <v>0</v>
      </c>
      <c r="AK801">
        <v>200</v>
      </c>
      <c r="AL801">
        <v>0</v>
      </c>
      <c r="AM801">
        <v>0</v>
      </c>
      <c r="AN801">
        <v>0</v>
      </c>
      <c r="AO801">
        <v>0</v>
      </c>
      <c r="AQ801">
        <v>0</v>
      </c>
      <c r="AR801">
        <v>0</v>
      </c>
      <c r="AT801">
        <v>0</v>
      </c>
      <c r="AU801">
        <v>0</v>
      </c>
      <c r="AW801">
        <v>0</v>
      </c>
      <c r="AX801">
        <v>0</v>
      </c>
      <c r="AY801">
        <v>140</v>
      </c>
      <c r="BC801" t="str">
        <f t="shared" si="106"/>
        <v>9788997946006</v>
      </c>
      <c r="BE801" t="str">
        <f t="shared" si="105"/>
        <v>판타지 웹소설 &gt; 현대 판타지</v>
      </c>
    </row>
    <row r="802" spans="1:57" x14ac:dyDescent="0.3">
      <c r="A802">
        <v>1525004030</v>
      </c>
      <c r="B802">
        <v>1525004412</v>
      </c>
      <c r="C802" t="str">
        <f>T("회귀의 전설 396화")</f>
        <v>회귀의 전설 396화</v>
      </c>
      <c r="D802" t="str">
        <f>T("396")</f>
        <v>396</v>
      </c>
      <c r="E802" t="str">
        <f t="shared" si="103"/>
        <v>김광수</v>
      </c>
      <c r="H802" t="str">
        <f t="shared" si="102"/>
        <v>스토리위즈</v>
      </c>
      <c r="I802" t="str">
        <f t="shared" si="104"/>
        <v>회귀의 전설</v>
      </c>
      <c r="J802">
        <v>100</v>
      </c>
      <c r="K802">
        <v>200</v>
      </c>
      <c r="L802">
        <v>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200</v>
      </c>
      <c r="AH802">
        <v>2</v>
      </c>
      <c r="AI802">
        <v>0</v>
      </c>
      <c r="AJ802">
        <v>0</v>
      </c>
      <c r="AK802">
        <v>200</v>
      </c>
      <c r="AL802">
        <v>0</v>
      </c>
      <c r="AM802">
        <v>0</v>
      </c>
      <c r="AN802">
        <v>0</v>
      </c>
      <c r="AO802">
        <v>0</v>
      </c>
      <c r="AQ802">
        <v>0</v>
      </c>
      <c r="AR802">
        <v>0</v>
      </c>
      <c r="AT802">
        <v>0</v>
      </c>
      <c r="AU802">
        <v>0</v>
      </c>
      <c r="AW802">
        <v>0</v>
      </c>
      <c r="AX802">
        <v>0</v>
      </c>
      <c r="AY802">
        <v>140</v>
      </c>
      <c r="BC802" t="str">
        <f t="shared" si="106"/>
        <v>9788997946006</v>
      </c>
      <c r="BE802" t="str">
        <f t="shared" si="105"/>
        <v>판타지 웹소설 &gt; 현대 판타지</v>
      </c>
    </row>
    <row r="803" spans="1:57" x14ac:dyDescent="0.3">
      <c r="A803">
        <v>1525004030</v>
      </c>
      <c r="B803">
        <v>1525004469</v>
      </c>
      <c r="C803" t="str">
        <f>T("회귀의 전설 453화")</f>
        <v>회귀의 전설 453화</v>
      </c>
      <c r="D803" t="str">
        <f>T("453")</f>
        <v>453</v>
      </c>
      <c r="E803" t="str">
        <f t="shared" si="103"/>
        <v>김광수</v>
      </c>
      <c r="H803" t="str">
        <f t="shared" si="102"/>
        <v>스토리위즈</v>
      </c>
      <c r="I803" t="str">
        <f t="shared" si="104"/>
        <v>회귀의 전설</v>
      </c>
      <c r="J803">
        <v>100</v>
      </c>
      <c r="K803">
        <v>200</v>
      </c>
      <c r="L803">
        <v>2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200</v>
      </c>
      <c r="AH803">
        <v>2</v>
      </c>
      <c r="AI803">
        <v>0</v>
      </c>
      <c r="AJ803">
        <v>0</v>
      </c>
      <c r="AK803">
        <v>200</v>
      </c>
      <c r="AL803">
        <v>0</v>
      </c>
      <c r="AM803">
        <v>0</v>
      </c>
      <c r="AN803">
        <v>0</v>
      </c>
      <c r="AO803">
        <v>0</v>
      </c>
      <c r="AQ803">
        <v>0</v>
      </c>
      <c r="AR803">
        <v>0</v>
      </c>
      <c r="AT803">
        <v>0</v>
      </c>
      <c r="AU803">
        <v>0</v>
      </c>
      <c r="AW803">
        <v>0</v>
      </c>
      <c r="AX803">
        <v>0</v>
      </c>
      <c r="AY803">
        <v>140</v>
      </c>
      <c r="BC803" t="str">
        <f t="shared" si="106"/>
        <v>9788997946006</v>
      </c>
      <c r="BE803" t="str">
        <f t="shared" si="105"/>
        <v>판타지 웹소설 &gt; 현대 판타지</v>
      </c>
    </row>
    <row r="804" spans="1:57" x14ac:dyDescent="0.3">
      <c r="A804">
        <v>1525004030</v>
      </c>
      <c r="B804">
        <v>1525004387</v>
      </c>
      <c r="C804" t="str">
        <f>T("회귀의 전설 359화")</f>
        <v>회귀의 전설 359화</v>
      </c>
      <c r="D804" t="str">
        <f>T("359")</f>
        <v>359</v>
      </c>
      <c r="E804" t="str">
        <f t="shared" si="103"/>
        <v>김광수</v>
      </c>
      <c r="H804" t="str">
        <f t="shared" si="102"/>
        <v>스토리위즈</v>
      </c>
      <c r="I804" t="str">
        <f t="shared" si="104"/>
        <v>회귀의 전설</v>
      </c>
      <c r="J804">
        <v>100</v>
      </c>
      <c r="K804">
        <v>200</v>
      </c>
      <c r="L804">
        <v>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200</v>
      </c>
      <c r="AH804">
        <v>2</v>
      </c>
      <c r="AI804">
        <v>0</v>
      </c>
      <c r="AJ804">
        <v>0</v>
      </c>
      <c r="AK804">
        <v>200</v>
      </c>
      <c r="AL804">
        <v>0</v>
      </c>
      <c r="AM804">
        <v>0</v>
      </c>
      <c r="AN804">
        <v>0</v>
      </c>
      <c r="AO804">
        <v>0</v>
      </c>
      <c r="AQ804">
        <v>0</v>
      </c>
      <c r="AR804">
        <v>0</v>
      </c>
      <c r="AT804">
        <v>0</v>
      </c>
      <c r="AU804">
        <v>0</v>
      </c>
      <c r="AW804">
        <v>0</v>
      </c>
      <c r="AX804">
        <v>0</v>
      </c>
      <c r="AY804">
        <v>140</v>
      </c>
      <c r="BC804" t="str">
        <f t="shared" si="106"/>
        <v>9788997946006</v>
      </c>
      <c r="BE804" t="str">
        <f t="shared" si="105"/>
        <v>판타지 웹소설 &gt; 현대 판타지</v>
      </c>
    </row>
    <row r="805" spans="1:57" x14ac:dyDescent="0.3">
      <c r="A805">
        <v>1525004030</v>
      </c>
      <c r="B805">
        <v>1525004444</v>
      </c>
      <c r="C805" t="str">
        <f>T("회귀의 전설 428화")</f>
        <v>회귀의 전설 428화</v>
      </c>
      <c r="D805" t="str">
        <f>T("428")</f>
        <v>428</v>
      </c>
      <c r="E805" t="str">
        <f t="shared" si="103"/>
        <v>김광수</v>
      </c>
      <c r="H805" t="str">
        <f t="shared" si="102"/>
        <v>스토리위즈</v>
      </c>
      <c r="I805" t="str">
        <f t="shared" si="104"/>
        <v>회귀의 전설</v>
      </c>
      <c r="J805">
        <v>100</v>
      </c>
      <c r="K805">
        <v>200</v>
      </c>
      <c r="L805">
        <v>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200</v>
      </c>
      <c r="AH805">
        <v>2</v>
      </c>
      <c r="AI805">
        <v>0</v>
      </c>
      <c r="AJ805">
        <v>0</v>
      </c>
      <c r="AK805">
        <v>200</v>
      </c>
      <c r="AL805">
        <v>0</v>
      </c>
      <c r="AM805">
        <v>0</v>
      </c>
      <c r="AN805">
        <v>0</v>
      </c>
      <c r="AO805">
        <v>0</v>
      </c>
      <c r="AQ805">
        <v>0</v>
      </c>
      <c r="AR805">
        <v>0</v>
      </c>
      <c r="AT805">
        <v>0</v>
      </c>
      <c r="AU805">
        <v>0</v>
      </c>
      <c r="AW805">
        <v>0</v>
      </c>
      <c r="AX805">
        <v>0</v>
      </c>
      <c r="AY805">
        <v>140</v>
      </c>
      <c r="BC805" t="str">
        <f t="shared" si="106"/>
        <v>9788997946006</v>
      </c>
      <c r="BE805" t="str">
        <f t="shared" si="105"/>
        <v>판타지 웹소설 &gt; 현대 판타지</v>
      </c>
    </row>
    <row r="806" spans="1:57" x14ac:dyDescent="0.3">
      <c r="A806">
        <v>1525004030</v>
      </c>
      <c r="B806">
        <v>1525004062</v>
      </c>
      <c r="C806" t="str">
        <f>T("회귀의 전설 33화")</f>
        <v>회귀의 전설 33화</v>
      </c>
      <c r="D806" t="str">
        <f>T("33")</f>
        <v>33</v>
      </c>
      <c r="E806" t="str">
        <f t="shared" si="103"/>
        <v>김광수</v>
      </c>
      <c r="H806" t="str">
        <f t="shared" si="102"/>
        <v>스토리위즈</v>
      </c>
      <c r="I806" t="str">
        <f t="shared" si="104"/>
        <v>회귀의 전설</v>
      </c>
      <c r="J806">
        <v>100</v>
      </c>
      <c r="K806">
        <v>200</v>
      </c>
      <c r="L806">
        <v>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200</v>
      </c>
      <c r="AH806">
        <v>2</v>
      </c>
      <c r="AI806">
        <v>0</v>
      </c>
      <c r="AJ806">
        <v>0</v>
      </c>
      <c r="AK806">
        <v>100</v>
      </c>
      <c r="AL806">
        <v>0</v>
      </c>
      <c r="AM806">
        <v>120</v>
      </c>
      <c r="AN806">
        <v>-36</v>
      </c>
      <c r="AO806">
        <v>0</v>
      </c>
      <c r="AQ806">
        <v>0</v>
      </c>
      <c r="AR806">
        <v>0</v>
      </c>
      <c r="AS806">
        <v>120</v>
      </c>
      <c r="AT806">
        <v>-36</v>
      </c>
      <c r="AU806">
        <v>0</v>
      </c>
      <c r="AW806">
        <v>0</v>
      </c>
      <c r="AX806">
        <v>0</v>
      </c>
      <c r="AY806">
        <v>128.80000000000001</v>
      </c>
      <c r="BC806" t="str">
        <f t="shared" si="106"/>
        <v>9788997946006</v>
      </c>
      <c r="BE806" t="str">
        <f t="shared" si="105"/>
        <v>판타지 웹소설 &gt; 현대 판타지</v>
      </c>
    </row>
    <row r="807" spans="1:57" x14ac:dyDescent="0.3">
      <c r="A807">
        <v>1525004030</v>
      </c>
      <c r="B807">
        <v>1525006715</v>
      </c>
      <c r="C807" t="str">
        <f>T("회귀의 전설 2부 598화")</f>
        <v>회귀의 전설 2부 598화</v>
      </c>
      <c r="D807" t="str">
        <f>T("598")</f>
        <v>598</v>
      </c>
      <c r="E807" t="str">
        <f t="shared" si="103"/>
        <v>김광수</v>
      </c>
      <c r="H807" t="str">
        <f t="shared" si="102"/>
        <v>스토리위즈</v>
      </c>
      <c r="I807" t="str">
        <f t="shared" si="104"/>
        <v>회귀의 전설</v>
      </c>
      <c r="J807">
        <v>100</v>
      </c>
      <c r="K807">
        <v>200</v>
      </c>
      <c r="L807">
        <v>2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200</v>
      </c>
      <c r="AH807">
        <v>2</v>
      </c>
      <c r="AI807">
        <v>0</v>
      </c>
      <c r="AJ807">
        <v>0</v>
      </c>
      <c r="AK807">
        <v>100</v>
      </c>
      <c r="AL807">
        <v>0</v>
      </c>
      <c r="AM807">
        <v>120</v>
      </c>
      <c r="AN807">
        <v>-12</v>
      </c>
      <c r="AO807">
        <v>0</v>
      </c>
      <c r="AQ807">
        <v>0</v>
      </c>
      <c r="AR807">
        <v>0</v>
      </c>
      <c r="AS807">
        <v>120</v>
      </c>
      <c r="AT807">
        <v>-12</v>
      </c>
      <c r="AU807">
        <v>0</v>
      </c>
      <c r="AW807">
        <v>0</v>
      </c>
      <c r="AX807">
        <v>0</v>
      </c>
      <c r="AY807">
        <v>145.6</v>
      </c>
      <c r="BC807" t="str">
        <f>T("9791191102086")</f>
        <v>9791191102086</v>
      </c>
      <c r="BE807" t="str">
        <f t="shared" si="105"/>
        <v>판타지 웹소설 &gt; 현대 판타지</v>
      </c>
    </row>
    <row r="808" spans="1:57" x14ac:dyDescent="0.3">
      <c r="A808">
        <v>1525004030</v>
      </c>
      <c r="B808">
        <v>1525004306</v>
      </c>
      <c r="C808" t="str">
        <f>T("회귀의 전설 277화")</f>
        <v>회귀의 전설 277화</v>
      </c>
      <c r="D808" t="str">
        <f>T("277")</f>
        <v>277</v>
      </c>
      <c r="E808" t="str">
        <f t="shared" si="103"/>
        <v>김광수</v>
      </c>
      <c r="H808" t="str">
        <f t="shared" si="102"/>
        <v>스토리위즈</v>
      </c>
      <c r="I808" t="str">
        <f t="shared" si="104"/>
        <v>회귀의 전설</v>
      </c>
      <c r="J808">
        <v>100</v>
      </c>
      <c r="K808">
        <v>200</v>
      </c>
      <c r="L808">
        <v>2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200</v>
      </c>
      <c r="AH808">
        <v>2</v>
      </c>
      <c r="AI808">
        <v>0</v>
      </c>
      <c r="AJ808">
        <v>0</v>
      </c>
      <c r="AK808">
        <v>200</v>
      </c>
      <c r="AL808">
        <v>0</v>
      </c>
      <c r="AM808">
        <v>0</v>
      </c>
      <c r="AN808">
        <v>0</v>
      </c>
      <c r="AO808">
        <v>0</v>
      </c>
      <c r="AQ808">
        <v>0</v>
      </c>
      <c r="AR808">
        <v>0</v>
      </c>
      <c r="AT808">
        <v>0</v>
      </c>
      <c r="AU808">
        <v>0</v>
      </c>
      <c r="AW808">
        <v>0</v>
      </c>
      <c r="AX808">
        <v>0</v>
      </c>
      <c r="AY808">
        <v>140</v>
      </c>
      <c r="BC808" t="str">
        <f>T("9788997946006")</f>
        <v>9788997946006</v>
      </c>
      <c r="BE808" t="str">
        <f t="shared" si="105"/>
        <v>판타지 웹소설 &gt; 현대 판타지</v>
      </c>
    </row>
    <row r="809" spans="1:57" x14ac:dyDescent="0.3">
      <c r="A809">
        <v>1525004030</v>
      </c>
      <c r="B809">
        <v>1525006674</v>
      </c>
      <c r="C809" t="str">
        <f>T("회귀의 전설 2부 557화")</f>
        <v>회귀의 전설 2부 557화</v>
      </c>
      <c r="D809" t="str">
        <f>T("557")</f>
        <v>557</v>
      </c>
      <c r="E809" t="str">
        <f t="shared" si="103"/>
        <v>김광수</v>
      </c>
      <c r="H809" t="str">
        <f t="shared" si="102"/>
        <v>스토리위즈</v>
      </c>
      <c r="I809" t="str">
        <f t="shared" si="104"/>
        <v>회귀의 전설</v>
      </c>
      <c r="J809">
        <v>100</v>
      </c>
      <c r="K809">
        <v>200</v>
      </c>
      <c r="L809">
        <v>2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200</v>
      </c>
      <c r="AH809">
        <v>2</v>
      </c>
      <c r="AI809">
        <v>0</v>
      </c>
      <c r="AJ809">
        <v>0</v>
      </c>
      <c r="AK809">
        <v>200</v>
      </c>
      <c r="AL809">
        <v>0</v>
      </c>
      <c r="AM809">
        <v>0</v>
      </c>
      <c r="AN809">
        <v>0</v>
      </c>
      <c r="AO809">
        <v>0</v>
      </c>
      <c r="AQ809">
        <v>0</v>
      </c>
      <c r="AR809">
        <v>0</v>
      </c>
      <c r="AT809">
        <v>0</v>
      </c>
      <c r="AU809">
        <v>0</v>
      </c>
      <c r="AW809">
        <v>0</v>
      </c>
      <c r="AX809">
        <v>0</v>
      </c>
      <c r="AY809">
        <v>140</v>
      </c>
      <c r="BC809" t="str">
        <f>T("9791191102086")</f>
        <v>9791191102086</v>
      </c>
      <c r="BE809" t="str">
        <f t="shared" si="105"/>
        <v>판타지 웹소설 &gt; 현대 판타지</v>
      </c>
    </row>
    <row r="810" spans="1:57" x14ac:dyDescent="0.3">
      <c r="A810">
        <v>1525008428</v>
      </c>
      <c r="B810">
        <v>1525008449</v>
      </c>
      <c r="C810" t="str">
        <f>T("무히비(Muhibbi) 39화")</f>
        <v>무히비(Muhibbi) 39화</v>
      </c>
      <c r="D810" t="str">
        <f>T("39")</f>
        <v>39</v>
      </c>
      <c r="E810" t="str">
        <f>T("jooki")</f>
        <v>jooki</v>
      </c>
      <c r="H810" t="str">
        <f>T("블러쉬")</f>
        <v>블러쉬</v>
      </c>
      <c r="I810" t="str">
        <f>T("무히비(Muhibbi)")</f>
        <v>무히비(Muhibbi)</v>
      </c>
      <c r="J810">
        <v>100</v>
      </c>
      <c r="K810">
        <v>200</v>
      </c>
      <c r="L810">
        <v>2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200</v>
      </c>
      <c r="AH810">
        <v>2</v>
      </c>
      <c r="AI810">
        <v>0</v>
      </c>
      <c r="AJ810">
        <v>0</v>
      </c>
      <c r="AK810">
        <v>200</v>
      </c>
      <c r="AL810">
        <v>0</v>
      </c>
      <c r="AM810">
        <v>0</v>
      </c>
      <c r="AN810">
        <v>0</v>
      </c>
      <c r="AO810">
        <v>0</v>
      </c>
      <c r="AQ810">
        <v>0</v>
      </c>
      <c r="AR810">
        <v>0</v>
      </c>
      <c r="AT810">
        <v>0</v>
      </c>
      <c r="AU810">
        <v>0</v>
      </c>
      <c r="AW810">
        <v>0</v>
      </c>
      <c r="AX810">
        <v>0</v>
      </c>
      <c r="AY810">
        <v>140</v>
      </c>
      <c r="BC810" t="str">
        <f>T("9791164896622")</f>
        <v>9791164896622</v>
      </c>
      <c r="BE810" t="str">
        <f>T("BL 웹소설 &gt; 역사/시대물")</f>
        <v>BL 웹소설 &gt; 역사/시대물</v>
      </c>
    </row>
    <row r="811" spans="1:57" x14ac:dyDescent="0.3">
      <c r="A811">
        <v>1525004030</v>
      </c>
      <c r="B811">
        <v>1525004094</v>
      </c>
      <c r="C811" t="str">
        <f>T("회귀의 전설 65화")</f>
        <v>회귀의 전설 65화</v>
      </c>
      <c r="D811" t="str">
        <f>T("65")</f>
        <v>65</v>
      </c>
      <c r="E811" t="str">
        <f t="shared" ref="E811:E817" si="107">T("김광수")</f>
        <v>김광수</v>
      </c>
      <c r="H811" t="str">
        <f t="shared" ref="H811:H833" si="108">T("스토리위즈")</f>
        <v>스토리위즈</v>
      </c>
      <c r="I811" t="str">
        <f t="shared" ref="I811:I817" si="109">T("회귀의 전설")</f>
        <v>회귀의 전설</v>
      </c>
      <c r="J811">
        <v>100</v>
      </c>
      <c r="K811">
        <v>200</v>
      </c>
      <c r="L811">
        <v>2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200</v>
      </c>
      <c r="AH811">
        <v>2</v>
      </c>
      <c r="AI811">
        <v>0</v>
      </c>
      <c r="AJ811">
        <v>0</v>
      </c>
      <c r="AK811">
        <v>100</v>
      </c>
      <c r="AL811">
        <v>0</v>
      </c>
      <c r="AM811">
        <v>120</v>
      </c>
      <c r="AN811">
        <v>-36</v>
      </c>
      <c r="AO811">
        <v>0</v>
      </c>
      <c r="AQ811">
        <v>0</v>
      </c>
      <c r="AR811">
        <v>0</v>
      </c>
      <c r="AS811">
        <v>120</v>
      </c>
      <c r="AT811">
        <v>-36</v>
      </c>
      <c r="AU811">
        <v>0</v>
      </c>
      <c r="AW811">
        <v>0</v>
      </c>
      <c r="AX811">
        <v>0</v>
      </c>
      <c r="AY811">
        <v>128.80000000000001</v>
      </c>
      <c r="BC811" t="str">
        <f>T("9788997946006")</f>
        <v>9788997946006</v>
      </c>
      <c r="BE811" t="str">
        <f t="shared" ref="BE811:BE817" si="110">T("판타지 웹소설 &gt; 현대 판타지")</f>
        <v>판타지 웹소설 &gt; 현대 판타지</v>
      </c>
    </row>
    <row r="812" spans="1:57" x14ac:dyDescent="0.3">
      <c r="A812">
        <v>1525004030</v>
      </c>
      <c r="B812">
        <v>1525006829</v>
      </c>
      <c r="C812" t="str">
        <f>T("회귀의 전설 2부 712화")</f>
        <v>회귀의 전설 2부 712화</v>
      </c>
      <c r="D812" t="str">
        <f>T("712")</f>
        <v>712</v>
      </c>
      <c r="E812" t="str">
        <f t="shared" si="107"/>
        <v>김광수</v>
      </c>
      <c r="H812" t="str">
        <f t="shared" si="108"/>
        <v>스토리위즈</v>
      </c>
      <c r="I812" t="str">
        <f t="shared" si="109"/>
        <v>회귀의 전설</v>
      </c>
      <c r="J812">
        <v>100</v>
      </c>
      <c r="K812">
        <v>200</v>
      </c>
      <c r="L812">
        <v>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200</v>
      </c>
      <c r="AH812">
        <v>2</v>
      </c>
      <c r="AI812">
        <v>0</v>
      </c>
      <c r="AJ812">
        <v>0</v>
      </c>
      <c r="AK812">
        <v>100</v>
      </c>
      <c r="AL812">
        <v>0</v>
      </c>
      <c r="AM812">
        <v>120</v>
      </c>
      <c r="AN812">
        <v>-12</v>
      </c>
      <c r="AO812">
        <v>0</v>
      </c>
      <c r="AQ812">
        <v>0</v>
      </c>
      <c r="AR812">
        <v>0</v>
      </c>
      <c r="AS812">
        <v>120</v>
      </c>
      <c r="AT812">
        <v>-12</v>
      </c>
      <c r="AU812">
        <v>0</v>
      </c>
      <c r="AW812">
        <v>0</v>
      </c>
      <c r="AX812">
        <v>0</v>
      </c>
      <c r="AY812">
        <v>145.6</v>
      </c>
      <c r="BC812" t="str">
        <f>T("9791191102086")</f>
        <v>9791191102086</v>
      </c>
      <c r="BE812" t="str">
        <f t="shared" si="110"/>
        <v>판타지 웹소설 &gt; 현대 판타지</v>
      </c>
    </row>
    <row r="813" spans="1:57" x14ac:dyDescent="0.3">
      <c r="A813">
        <v>1525004030</v>
      </c>
      <c r="B813">
        <v>1525006788</v>
      </c>
      <c r="C813" t="str">
        <f>T("회귀의 전설 2부 671화")</f>
        <v>회귀의 전설 2부 671화</v>
      </c>
      <c r="D813" t="str">
        <f>T("671")</f>
        <v>671</v>
      </c>
      <c r="E813" t="str">
        <f t="shared" si="107"/>
        <v>김광수</v>
      </c>
      <c r="H813" t="str">
        <f t="shared" si="108"/>
        <v>스토리위즈</v>
      </c>
      <c r="I813" t="str">
        <f t="shared" si="109"/>
        <v>회귀의 전설</v>
      </c>
      <c r="J813">
        <v>100</v>
      </c>
      <c r="K813">
        <v>200</v>
      </c>
      <c r="L813">
        <v>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200</v>
      </c>
      <c r="AH813">
        <v>2</v>
      </c>
      <c r="AI813">
        <v>0</v>
      </c>
      <c r="AJ813">
        <v>0</v>
      </c>
      <c r="AK813">
        <v>100</v>
      </c>
      <c r="AL813">
        <v>0</v>
      </c>
      <c r="AM813">
        <v>120</v>
      </c>
      <c r="AN813">
        <v>-12</v>
      </c>
      <c r="AO813">
        <v>0</v>
      </c>
      <c r="AQ813">
        <v>0</v>
      </c>
      <c r="AR813">
        <v>0</v>
      </c>
      <c r="AS813">
        <v>120</v>
      </c>
      <c r="AT813">
        <v>-12</v>
      </c>
      <c r="AU813">
        <v>0</v>
      </c>
      <c r="AW813">
        <v>0</v>
      </c>
      <c r="AX813">
        <v>0</v>
      </c>
      <c r="AY813">
        <v>145.6</v>
      </c>
      <c r="BC813" t="str">
        <f>T("9791191102086")</f>
        <v>9791191102086</v>
      </c>
      <c r="BE813" t="str">
        <f t="shared" si="110"/>
        <v>판타지 웹소설 &gt; 현대 판타지</v>
      </c>
    </row>
    <row r="814" spans="1:57" x14ac:dyDescent="0.3">
      <c r="A814">
        <v>1525004030</v>
      </c>
      <c r="B814">
        <v>1525006649</v>
      </c>
      <c r="C814" t="str">
        <f>T("회귀의 전설 2부 532화")</f>
        <v>회귀의 전설 2부 532화</v>
      </c>
      <c r="D814" t="str">
        <f>T("532")</f>
        <v>532</v>
      </c>
      <c r="E814" t="str">
        <f t="shared" si="107"/>
        <v>김광수</v>
      </c>
      <c r="H814" t="str">
        <f t="shared" si="108"/>
        <v>스토리위즈</v>
      </c>
      <c r="I814" t="str">
        <f t="shared" si="109"/>
        <v>회귀의 전설</v>
      </c>
      <c r="J814">
        <v>100</v>
      </c>
      <c r="K814">
        <v>200</v>
      </c>
      <c r="L814">
        <v>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200</v>
      </c>
      <c r="AH814">
        <v>2</v>
      </c>
      <c r="AI814">
        <v>0</v>
      </c>
      <c r="AJ814">
        <v>0</v>
      </c>
      <c r="AK814">
        <v>200</v>
      </c>
      <c r="AL814">
        <v>0</v>
      </c>
      <c r="AM814">
        <v>0</v>
      </c>
      <c r="AN814">
        <v>0</v>
      </c>
      <c r="AO814">
        <v>0</v>
      </c>
      <c r="AQ814">
        <v>0</v>
      </c>
      <c r="AR814">
        <v>0</v>
      </c>
      <c r="AT814">
        <v>0</v>
      </c>
      <c r="AU814">
        <v>0</v>
      </c>
      <c r="AW814">
        <v>0</v>
      </c>
      <c r="AX814">
        <v>0</v>
      </c>
      <c r="AY814">
        <v>140</v>
      </c>
      <c r="BC814" t="str">
        <f>T("9791191102086")</f>
        <v>9791191102086</v>
      </c>
      <c r="BE814" t="str">
        <f t="shared" si="110"/>
        <v>판타지 웹소설 &gt; 현대 판타지</v>
      </c>
    </row>
    <row r="815" spans="1:57" x14ac:dyDescent="0.3">
      <c r="A815">
        <v>1525004030</v>
      </c>
      <c r="B815">
        <v>1525006706</v>
      </c>
      <c r="C815" t="str">
        <f>T("회귀의 전설 2부 589화")</f>
        <v>회귀의 전설 2부 589화</v>
      </c>
      <c r="D815" t="str">
        <f>T("589")</f>
        <v>589</v>
      </c>
      <c r="E815" t="str">
        <f t="shared" si="107"/>
        <v>김광수</v>
      </c>
      <c r="H815" t="str">
        <f t="shared" si="108"/>
        <v>스토리위즈</v>
      </c>
      <c r="I815" t="str">
        <f t="shared" si="109"/>
        <v>회귀의 전설</v>
      </c>
      <c r="J815">
        <v>100</v>
      </c>
      <c r="K815">
        <v>200</v>
      </c>
      <c r="L815">
        <v>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200</v>
      </c>
      <c r="AH815">
        <v>2</v>
      </c>
      <c r="AI815">
        <v>0</v>
      </c>
      <c r="AJ815">
        <v>0</v>
      </c>
      <c r="AK815">
        <v>124</v>
      </c>
      <c r="AL815">
        <v>0</v>
      </c>
      <c r="AM815">
        <v>91.2</v>
      </c>
      <c r="AN815">
        <v>-9.1199999999999992</v>
      </c>
      <c r="AO815">
        <v>0</v>
      </c>
      <c r="AQ815">
        <v>0</v>
      </c>
      <c r="AR815">
        <v>0</v>
      </c>
      <c r="AS815">
        <v>91.2</v>
      </c>
      <c r="AT815">
        <v>-9.1199999999999992</v>
      </c>
      <c r="AU815">
        <v>0</v>
      </c>
      <c r="AW815">
        <v>0</v>
      </c>
      <c r="AX815">
        <v>0</v>
      </c>
      <c r="AY815">
        <v>144.26</v>
      </c>
      <c r="BC815" t="str">
        <f>T("9791191102086")</f>
        <v>9791191102086</v>
      </c>
      <c r="BE815" t="str">
        <f t="shared" si="110"/>
        <v>판타지 웹소설 &gt; 현대 판타지</v>
      </c>
    </row>
    <row r="816" spans="1:57" x14ac:dyDescent="0.3">
      <c r="A816">
        <v>1525004030</v>
      </c>
      <c r="B816">
        <v>1525004208</v>
      </c>
      <c r="C816" t="str">
        <f>T("회귀의 전설 179화")</f>
        <v>회귀의 전설 179화</v>
      </c>
      <c r="D816" t="str">
        <f>T("179")</f>
        <v>179</v>
      </c>
      <c r="E816" t="str">
        <f t="shared" si="107"/>
        <v>김광수</v>
      </c>
      <c r="H816" t="str">
        <f t="shared" si="108"/>
        <v>스토리위즈</v>
      </c>
      <c r="I816" t="str">
        <f t="shared" si="109"/>
        <v>회귀의 전설</v>
      </c>
      <c r="J816">
        <v>100</v>
      </c>
      <c r="K816">
        <v>200</v>
      </c>
      <c r="L816">
        <v>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200</v>
      </c>
      <c r="AH816">
        <v>2</v>
      </c>
      <c r="AI816">
        <v>0</v>
      </c>
      <c r="AJ816">
        <v>0</v>
      </c>
      <c r="AK816">
        <v>200</v>
      </c>
      <c r="AL816">
        <v>0</v>
      </c>
      <c r="AM816">
        <v>0</v>
      </c>
      <c r="AN816">
        <v>0</v>
      </c>
      <c r="AO816">
        <v>0</v>
      </c>
      <c r="AQ816">
        <v>0</v>
      </c>
      <c r="AR816">
        <v>0</v>
      </c>
      <c r="AT816">
        <v>0</v>
      </c>
      <c r="AU816">
        <v>0</v>
      </c>
      <c r="AW816">
        <v>0</v>
      </c>
      <c r="AX816">
        <v>0</v>
      </c>
      <c r="AY816">
        <v>140</v>
      </c>
      <c r="BC816" t="str">
        <f>T("9788997946006")</f>
        <v>9788997946006</v>
      </c>
      <c r="BE816" t="str">
        <f t="shared" si="110"/>
        <v>판타지 웹소설 &gt; 현대 판타지</v>
      </c>
    </row>
    <row r="817" spans="1:57" x14ac:dyDescent="0.3">
      <c r="A817">
        <v>1525004030</v>
      </c>
      <c r="B817">
        <v>1525006861</v>
      </c>
      <c r="C817" t="str">
        <f>T("회귀의 전설 2부 744화")</f>
        <v>회귀의 전설 2부 744화</v>
      </c>
      <c r="D817" t="str">
        <f>T("744")</f>
        <v>744</v>
      </c>
      <c r="E817" t="str">
        <f t="shared" si="107"/>
        <v>김광수</v>
      </c>
      <c r="H817" t="str">
        <f t="shared" si="108"/>
        <v>스토리위즈</v>
      </c>
      <c r="I817" t="str">
        <f t="shared" si="109"/>
        <v>회귀의 전설</v>
      </c>
      <c r="J817">
        <v>100</v>
      </c>
      <c r="K817">
        <v>200</v>
      </c>
      <c r="L817">
        <v>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200</v>
      </c>
      <c r="AH817">
        <v>2</v>
      </c>
      <c r="AI817">
        <v>0</v>
      </c>
      <c r="AJ817">
        <v>0</v>
      </c>
      <c r="AK817">
        <v>100</v>
      </c>
      <c r="AL817">
        <v>0</v>
      </c>
      <c r="AM817">
        <v>120</v>
      </c>
      <c r="AN817">
        <v>-12</v>
      </c>
      <c r="AO817">
        <v>0</v>
      </c>
      <c r="AQ817">
        <v>0</v>
      </c>
      <c r="AR817">
        <v>0</v>
      </c>
      <c r="AS817">
        <v>120</v>
      </c>
      <c r="AT817">
        <v>-12</v>
      </c>
      <c r="AU817">
        <v>0</v>
      </c>
      <c r="AW817">
        <v>0</v>
      </c>
      <c r="AX817">
        <v>0</v>
      </c>
      <c r="AY817">
        <v>145.6</v>
      </c>
      <c r="BC817" t="str">
        <f>T("9791191102086")</f>
        <v>9791191102086</v>
      </c>
      <c r="BE817" t="str">
        <f t="shared" si="110"/>
        <v>판타지 웹소설 &gt; 현대 판타지</v>
      </c>
    </row>
    <row r="818" spans="1:57" x14ac:dyDescent="0.3">
      <c r="A818">
        <v>1525004799</v>
      </c>
      <c r="B818">
        <v>1525004978</v>
      </c>
      <c r="C818" t="str">
        <f>T("검산도해 180화 (완결)")</f>
        <v>검산도해 180화 (완결)</v>
      </c>
      <c r="D818" t="str">
        <f>T("180")</f>
        <v>180</v>
      </c>
      <c r="E818" t="str">
        <f>T("권용찬")</f>
        <v>권용찬</v>
      </c>
      <c r="H818" t="str">
        <f t="shared" si="108"/>
        <v>스토리위즈</v>
      </c>
      <c r="I818" t="str">
        <f>T("검산도해")</f>
        <v>검산도해</v>
      </c>
      <c r="J818">
        <v>100</v>
      </c>
      <c r="K818">
        <v>200</v>
      </c>
      <c r="L818">
        <v>2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200</v>
      </c>
      <c r="AH818">
        <v>2</v>
      </c>
      <c r="AI818">
        <v>0</v>
      </c>
      <c r="AJ818">
        <v>0</v>
      </c>
      <c r="AK818">
        <v>100</v>
      </c>
      <c r="AL818">
        <v>0</v>
      </c>
      <c r="AM818">
        <v>120</v>
      </c>
      <c r="AN818">
        <v>-12</v>
      </c>
      <c r="AO818">
        <v>0</v>
      </c>
      <c r="AQ818">
        <v>0</v>
      </c>
      <c r="AR818">
        <v>0</v>
      </c>
      <c r="AS818">
        <v>120</v>
      </c>
      <c r="AT818">
        <v>-12</v>
      </c>
      <c r="AU818">
        <v>0</v>
      </c>
      <c r="AW818">
        <v>0</v>
      </c>
      <c r="AX818">
        <v>0</v>
      </c>
      <c r="AY818">
        <v>145.6</v>
      </c>
      <c r="BC818" t="str">
        <f>T("9791159285936")</f>
        <v>9791159285936</v>
      </c>
      <c r="BE818" t="str">
        <f>T("판타지 웹소설 &gt; 무협 소설")</f>
        <v>판타지 웹소설 &gt; 무협 소설</v>
      </c>
    </row>
    <row r="819" spans="1:57" x14ac:dyDescent="0.3">
      <c r="A819">
        <v>1525004030</v>
      </c>
      <c r="B819">
        <v>1525004327</v>
      </c>
      <c r="C819" t="str">
        <f>T("회귀의 전설 298화")</f>
        <v>회귀의 전설 298화</v>
      </c>
      <c r="D819" t="str">
        <f>T("298")</f>
        <v>298</v>
      </c>
      <c r="E819" t="str">
        <f t="shared" ref="E819:E833" si="111">T("김광수")</f>
        <v>김광수</v>
      </c>
      <c r="H819" t="str">
        <f t="shared" si="108"/>
        <v>스토리위즈</v>
      </c>
      <c r="I819" t="str">
        <f t="shared" ref="I819:I833" si="112">T("회귀의 전설")</f>
        <v>회귀의 전설</v>
      </c>
      <c r="J819">
        <v>100</v>
      </c>
      <c r="K819">
        <v>200</v>
      </c>
      <c r="L819">
        <v>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200</v>
      </c>
      <c r="AH819">
        <v>2</v>
      </c>
      <c r="AI819">
        <v>0</v>
      </c>
      <c r="AJ819">
        <v>0</v>
      </c>
      <c r="AK819">
        <v>200</v>
      </c>
      <c r="AL819">
        <v>0</v>
      </c>
      <c r="AM819">
        <v>0</v>
      </c>
      <c r="AN819">
        <v>0</v>
      </c>
      <c r="AO819">
        <v>0</v>
      </c>
      <c r="AQ819">
        <v>0</v>
      </c>
      <c r="AR819">
        <v>0</v>
      </c>
      <c r="AT819">
        <v>0</v>
      </c>
      <c r="AU819">
        <v>0</v>
      </c>
      <c r="AW819">
        <v>0</v>
      </c>
      <c r="AX819">
        <v>0</v>
      </c>
      <c r="AY819">
        <v>140</v>
      </c>
      <c r="BC819" t="str">
        <f>T("9788997946006")</f>
        <v>9788997946006</v>
      </c>
      <c r="BE819" t="str">
        <f t="shared" ref="BE819:BE833" si="113">T("판타지 웹소설 &gt; 현대 판타지")</f>
        <v>판타지 웹소설 &gt; 현대 판타지</v>
      </c>
    </row>
    <row r="820" spans="1:57" x14ac:dyDescent="0.3">
      <c r="A820">
        <v>1525004030</v>
      </c>
      <c r="B820">
        <v>1525004523</v>
      </c>
      <c r="C820" t="str">
        <f>T("회귀의 전설 394화")</f>
        <v>회귀의 전설 394화</v>
      </c>
      <c r="D820" t="str">
        <f>T("394")</f>
        <v>394</v>
      </c>
      <c r="E820" t="str">
        <f t="shared" si="111"/>
        <v>김광수</v>
      </c>
      <c r="H820" t="str">
        <f t="shared" si="108"/>
        <v>스토리위즈</v>
      </c>
      <c r="I820" t="str">
        <f t="shared" si="112"/>
        <v>회귀의 전설</v>
      </c>
      <c r="J820">
        <v>100</v>
      </c>
      <c r="K820">
        <v>200</v>
      </c>
      <c r="L820">
        <v>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200</v>
      </c>
      <c r="AH820">
        <v>2</v>
      </c>
      <c r="AI820">
        <v>0</v>
      </c>
      <c r="AJ820">
        <v>0</v>
      </c>
      <c r="AK820">
        <v>200</v>
      </c>
      <c r="AL820">
        <v>0</v>
      </c>
      <c r="AM820">
        <v>0</v>
      </c>
      <c r="AN820">
        <v>0</v>
      </c>
      <c r="AO820">
        <v>0</v>
      </c>
      <c r="AQ820">
        <v>0</v>
      </c>
      <c r="AR820">
        <v>0</v>
      </c>
      <c r="AT820">
        <v>0</v>
      </c>
      <c r="AU820">
        <v>0</v>
      </c>
      <c r="AW820">
        <v>0</v>
      </c>
      <c r="AX820">
        <v>0</v>
      </c>
      <c r="AY820">
        <v>140</v>
      </c>
      <c r="BC820" t="str">
        <f>T("9788997946006")</f>
        <v>9788997946006</v>
      </c>
      <c r="BE820" t="str">
        <f t="shared" si="113"/>
        <v>판타지 웹소설 &gt; 현대 판타지</v>
      </c>
    </row>
    <row r="821" spans="1:57" x14ac:dyDescent="0.3">
      <c r="A821">
        <v>1525004030</v>
      </c>
      <c r="B821">
        <v>1525004238</v>
      </c>
      <c r="C821" t="str">
        <f>T("회귀의 전설 209화")</f>
        <v>회귀의 전설 209화</v>
      </c>
      <c r="D821" t="str">
        <f>T("209")</f>
        <v>209</v>
      </c>
      <c r="E821" t="str">
        <f t="shared" si="111"/>
        <v>김광수</v>
      </c>
      <c r="H821" t="str">
        <f t="shared" si="108"/>
        <v>스토리위즈</v>
      </c>
      <c r="I821" t="str">
        <f t="shared" si="112"/>
        <v>회귀의 전설</v>
      </c>
      <c r="J821">
        <v>100</v>
      </c>
      <c r="K821">
        <v>200</v>
      </c>
      <c r="L821">
        <v>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200</v>
      </c>
      <c r="AH821">
        <v>2</v>
      </c>
      <c r="AI821">
        <v>0</v>
      </c>
      <c r="AJ821">
        <v>0</v>
      </c>
      <c r="AK821">
        <v>200</v>
      </c>
      <c r="AL821">
        <v>0</v>
      </c>
      <c r="AM821">
        <v>0</v>
      </c>
      <c r="AN821">
        <v>0</v>
      </c>
      <c r="AO821">
        <v>0</v>
      </c>
      <c r="AQ821">
        <v>0</v>
      </c>
      <c r="AR821">
        <v>0</v>
      </c>
      <c r="AT821">
        <v>0</v>
      </c>
      <c r="AU821">
        <v>0</v>
      </c>
      <c r="AW821">
        <v>0</v>
      </c>
      <c r="AX821">
        <v>0</v>
      </c>
      <c r="AY821">
        <v>140</v>
      </c>
      <c r="BC821" t="str">
        <f>T("9788997946006")</f>
        <v>9788997946006</v>
      </c>
      <c r="BE821" t="str">
        <f t="shared" si="113"/>
        <v>판타지 웹소설 &gt; 현대 판타지</v>
      </c>
    </row>
    <row r="822" spans="1:57" x14ac:dyDescent="0.3">
      <c r="A822">
        <v>1525004030</v>
      </c>
      <c r="B822">
        <v>1525006850</v>
      </c>
      <c r="C822" t="str">
        <f>T("회귀의 전설 2부 733화")</f>
        <v>회귀의 전설 2부 733화</v>
      </c>
      <c r="D822" t="str">
        <f>T("733")</f>
        <v>733</v>
      </c>
      <c r="E822" t="str">
        <f t="shared" si="111"/>
        <v>김광수</v>
      </c>
      <c r="H822" t="str">
        <f t="shared" si="108"/>
        <v>스토리위즈</v>
      </c>
      <c r="I822" t="str">
        <f t="shared" si="112"/>
        <v>회귀의 전설</v>
      </c>
      <c r="J822">
        <v>100</v>
      </c>
      <c r="K822">
        <v>200</v>
      </c>
      <c r="L822">
        <v>2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200</v>
      </c>
      <c r="AH822">
        <v>2</v>
      </c>
      <c r="AI822">
        <v>0</v>
      </c>
      <c r="AJ822">
        <v>0</v>
      </c>
      <c r="AK822">
        <v>100</v>
      </c>
      <c r="AL822">
        <v>0</v>
      </c>
      <c r="AM822">
        <v>120</v>
      </c>
      <c r="AN822">
        <v>-12</v>
      </c>
      <c r="AO822">
        <v>0</v>
      </c>
      <c r="AQ822">
        <v>0</v>
      </c>
      <c r="AR822">
        <v>0</v>
      </c>
      <c r="AS822">
        <v>120</v>
      </c>
      <c r="AT822">
        <v>-12</v>
      </c>
      <c r="AU822">
        <v>0</v>
      </c>
      <c r="AW822">
        <v>0</v>
      </c>
      <c r="AX822">
        <v>0</v>
      </c>
      <c r="AY822">
        <v>145.6</v>
      </c>
      <c r="BC822" t="str">
        <f>T("9791191102086")</f>
        <v>9791191102086</v>
      </c>
      <c r="BE822" t="str">
        <f t="shared" si="113"/>
        <v>판타지 웹소설 &gt; 현대 판타지</v>
      </c>
    </row>
    <row r="823" spans="1:57" x14ac:dyDescent="0.3">
      <c r="A823">
        <v>1525004030</v>
      </c>
      <c r="B823">
        <v>1525006809</v>
      </c>
      <c r="C823" t="str">
        <f>T("회귀의 전설 2부 692화")</f>
        <v>회귀의 전설 2부 692화</v>
      </c>
      <c r="D823" t="str">
        <f>T("692")</f>
        <v>692</v>
      </c>
      <c r="E823" t="str">
        <f t="shared" si="111"/>
        <v>김광수</v>
      </c>
      <c r="H823" t="str">
        <f t="shared" si="108"/>
        <v>스토리위즈</v>
      </c>
      <c r="I823" t="str">
        <f t="shared" si="112"/>
        <v>회귀의 전설</v>
      </c>
      <c r="J823">
        <v>100</v>
      </c>
      <c r="K823">
        <v>200</v>
      </c>
      <c r="L823">
        <v>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200</v>
      </c>
      <c r="AH823">
        <v>2</v>
      </c>
      <c r="AI823">
        <v>0</v>
      </c>
      <c r="AJ823">
        <v>0</v>
      </c>
      <c r="AK823">
        <v>100</v>
      </c>
      <c r="AL823">
        <v>0</v>
      </c>
      <c r="AM823">
        <v>120</v>
      </c>
      <c r="AN823">
        <v>-12</v>
      </c>
      <c r="AO823">
        <v>0</v>
      </c>
      <c r="AQ823">
        <v>0</v>
      </c>
      <c r="AR823">
        <v>0</v>
      </c>
      <c r="AS823">
        <v>120</v>
      </c>
      <c r="AT823">
        <v>-12</v>
      </c>
      <c r="AU823">
        <v>0</v>
      </c>
      <c r="AW823">
        <v>0</v>
      </c>
      <c r="AX823">
        <v>0</v>
      </c>
      <c r="AY823">
        <v>145.6</v>
      </c>
      <c r="BC823" t="str">
        <f>T("9791191102086")</f>
        <v>9791191102086</v>
      </c>
      <c r="BE823" t="str">
        <f t="shared" si="113"/>
        <v>판타지 웹소설 &gt; 현대 판타지</v>
      </c>
    </row>
    <row r="824" spans="1:57" x14ac:dyDescent="0.3">
      <c r="A824">
        <v>1525004030</v>
      </c>
      <c r="B824">
        <v>1525004270</v>
      </c>
      <c r="C824" t="str">
        <f>T("회귀의 전설 241화")</f>
        <v>회귀의 전설 241화</v>
      </c>
      <c r="D824" t="str">
        <f>T("241")</f>
        <v>241</v>
      </c>
      <c r="E824" t="str">
        <f t="shared" si="111"/>
        <v>김광수</v>
      </c>
      <c r="H824" t="str">
        <f t="shared" si="108"/>
        <v>스토리위즈</v>
      </c>
      <c r="I824" t="str">
        <f t="shared" si="112"/>
        <v>회귀의 전설</v>
      </c>
      <c r="J824">
        <v>100</v>
      </c>
      <c r="K824">
        <v>200</v>
      </c>
      <c r="L824">
        <v>2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200</v>
      </c>
      <c r="AH824">
        <v>2</v>
      </c>
      <c r="AI824">
        <v>0</v>
      </c>
      <c r="AJ824">
        <v>0</v>
      </c>
      <c r="AK824">
        <v>200</v>
      </c>
      <c r="AL824">
        <v>0</v>
      </c>
      <c r="AM824">
        <v>0</v>
      </c>
      <c r="AN824">
        <v>0</v>
      </c>
      <c r="AO824">
        <v>0</v>
      </c>
      <c r="AQ824">
        <v>0</v>
      </c>
      <c r="AR824">
        <v>0</v>
      </c>
      <c r="AT824">
        <v>0</v>
      </c>
      <c r="AU824">
        <v>0</v>
      </c>
      <c r="AW824">
        <v>0</v>
      </c>
      <c r="AX824">
        <v>0</v>
      </c>
      <c r="AY824">
        <v>140</v>
      </c>
      <c r="BC824" t="str">
        <f>T("9788997946006")</f>
        <v>9788997946006</v>
      </c>
      <c r="BE824" t="str">
        <f t="shared" si="113"/>
        <v>판타지 웹소설 &gt; 현대 판타지</v>
      </c>
    </row>
    <row r="825" spans="1:57" x14ac:dyDescent="0.3">
      <c r="A825">
        <v>1525004030</v>
      </c>
      <c r="B825">
        <v>1525004344</v>
      </c>
      <c r="C825" t="str">
        <f>T("회귀의 전설 316화")</f>
        <v>회귀의 전설 316화</v>
      </c>
      <c r="D825" t="str">
        <f>T("316")</f>
        <v>316</v>
      </c>
      <c r="E825" t="str">
        <f t="shared" si="111"/>
        <v>김광수</v>
      </c>
      <c r="H825" t="str">
        <f t="shared" si="108"/>
        <v>스토리위즈</v>
      </c>
      <c r="I825" t="str">
        <f t="shared" si="112"/>
        <v>회귀의 전설</v>
      </c>
      <c r="J825">
        <v>100</v>
      </c>
      <c r="K825">
        <v>200</v>
      </c>
      <c r="L825">
        <v>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200</v>
      </c>
      <c r="AH825">
        <v>2</v>
      </c>
      <c r="AI825">
        <v>0</v>
      </c>
      <c r="AJ825">
        <v>0</v>
      </c>
      <c r="AK825">
        <v>200</v>
      </c>
      <c r="AL825">
        <v>0</v>
      </c>
      <c r="AM825">
        <v>0</v>
      </c>
      <c r="AN825">
        <v>0</v>
      </c>
      <c r="AO825">
        <v>0</v>
      </c>
      <c r="AQ825">
        <v>0</v>
      </c>
      <c r="AR825">
        <v>0</v>
      </c>
      <c r="AT825">
        <v>0</v>
      </c>
      <c r="AU825">
        <v>0</v>
      </c>
      <c r="AW825">
        <v>0</v>
      </c>
      <c r="AX825">
        <v>0</v>
      </c>
      <c r="AY825">
        <v>140</v>
      </c>
      <c r="BC825" t="str">
        <f>T("9788997946006")</f>
        <v>9788997946006</v>
      </c>
      <c r="BE825" t="str">
        <f t="shared" si="113"/>
        <v>판타지 웹소설 &gt; 현대 판타지</v>
      </c>
    </row>
    <row r="826" spans="1:57" x14ac:dyDescent="0.3">
      <c r="A826">
        <v>1525004030</v>
      </c>
      <c r="B826">
        <v>1525004401</v>
      </c>
      <c r="C826" t="str">
        <f>T("회귀의 전설 373화")</f>
        <v>회귀의 전설 373화</v>
      </c>
      <c r="D826" t="str">
        <f>T("373")</f>
        <v>373</v>
      </c>
      <c r="E826" t="str">
        <f t="shared" si="111"/>
        <v>김광수</v>
      </c>
      <c r="H826" t="str">
        <f t="shared" si="108"/>
        <v>스토리위즈</v>
      </c>
      <c r="I826" t="str">
        <f t="shared" si="112"/>
        <v>회귀의 전설</v>
      </c>
      <c r="J826">
        <v>100</v>
      </c>
      <c r="K826">
        <v>200</v>
      </c>
      <c r="L826">
        <v>2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200</v>
      </c>
      <c r="AH826">
        <v>2</v>
      </c>
      <c r="AI826">
        <v>0</v>
      </c>
      <c r="AJ826">
        <v>0</v>
      </c>
      <c r="AK826">
        <v>200</v>
      </c>
      <c r="AL826">
        <v>0</v>
      </c>
      <c r="AM826">
        <v>0</v>
      </c>
      <c r="AN826">
        <v>0</v>
      </c>
      <c r="AO826">
        <v>0</v>
      </c>
      <c r="AQ826">
        <v>0</v>
      </c>
      <c r="AR826">
        <v>0</v>
      </c>
      <c r="AT826">
        <v>0</v>
      </c>
      <c r="AU826">
        <v>0</v>
      </c>
      <c r="AW826">
        <v>0</v>
      </c>
      <c r="AX826">
        <v>0</v>
      </c>
      <c r="AY826">
        <v>140</v>
      </c>
      <c r="BC826" t="str">
        <f>T("9788997946006")</f>
        <v>9788997946006</v>
      </c>
      <c r="BE826" t="str">
        <f t="shared" si="113"/>
        <v>판타지 웹소설 &gt; 현대 판타지</v>
      </c>
    </row>
    <row r="827" spans="1:57" x14ac:dyDescent="0.3">
      <c r="A827">
        <v>1525004030</v>
      </c>
      <c r="B827">
        <v>1525006882</v>
      </c>
      <c r="C827" t="str">
        <f>T("회귀의 전설 2부 765화")</f>
        <v>회귀의 전설 2부 765화</v>
      </c>
      <c r="D827" t="str">
        <f>T("765")</f>
        <v>765</v>
      </c>
      <c r="E827" t="str">
        <f t="shared" si="111"/>
        <v>김광수</v>
      </c>
      <c r="H827" t="str">
        <f t="shared" si="108"/>
        <v>스토리위즈</v>
      </c>
      <c r="I827" t="str">
        <f t="shared" si="112"/>
        <v>회귀의 전설</v>
      </c>
      <c r="J827">
        <v>100</v>
      </c>
      <c r="K827">
        <v>200</v>
      </c>
      <c r="L827">
        <v>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200</v>
      </c>
      <c r="AH827">
        <v>2</v>
      </c>
      <c r="AI827">
        <v>0</v>
      </c>
      <c r="AJ827">
        <v>0</v>
      </c>
      <c r="AK827">
        <v>100</v>
      </c>
      <c r="AL827">
        <v>0</v>
      </c>
      <c r="AM827">
        <v>120</v>
      </c>
      <c r="AN827">
        <v>-12</v>
      </c>
      <c r="AO827">
        <v>0</v>
      </c>
      <c r="AQ827">
        <v>0</v>
      </c>
      <c r="AR827">
        <v>0</v>
      </c>
      <c r="AS827">
        <v>120</v>
      </c>
      <c r="AT827">
        <v>-12</v>
      </c>
      <c r="AU827">
        <v>0</v>
      </c>
      <c r="AW827">
        <v>0</v>
      </c>
      <c r="AX827">
        <v>0</v>
      </c>
      <c r="AY827">
        <v>145.6</v>
      </c>
      <c r="BC827" t="str">
        <f>T("9791191102086")</f>
        <v>9791191102086</v>
      </c>
      <c r="BE827" t="str">
        <f t="shared" si="113"/>
        <v>판타지 웹소설 &gt; 현대 판타지</v>
      </c>
    </row>
    <row r="828" spans="1:57" x14ac:dyDescent="0.3">
      <c r="A828">
        <v>1525004030</v>
      </c>
      <c r="B828">
        <v>1525004458</v>
      </c>
      <c r="C828" t="str">
        <f>T("회귀의 전설 442화")</f>
        <v>회귀의 전설 442화</v>
      </c>
      <c r="D828" t="str">
        <f>T("442")</f>
        <v>442</v>
      </c>
      <c r="E828" t="str">
        <f t="shared" si="111"/>
        <v>김광수</v>
      </c>
      <c r="H828" t="str">
        <f t="shared" si="108"/>
        <v>스토리위즈</v>
      </c>
      <c r="I828" t="str">
        <f t="shared" si="112"/>
        <v>회귀의 전설</v>
      </c>
      <c r="J828">
        <v>100</v>
      </c>
      <c r="K828">
        <v>200</v>
      </c>
      <c r="L828">
        <v>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200</v>
      </c>
      <c r="AH828">
        <v>2</v>
      </c>
      <c r="AI828">
        <v>0</v>
      </c>
      <c r="AJ828">
        <v>0</v>
      </c>
      <c r="AK828">
        <v>200</v>
      </c>
      <c r="AL828">
        <v>0</v>
      </c>
      <c r="AM828">
        <v>0</v>
      </c>
      <c r="AN828">
        <v>0</v>
      </c>
      <c r="AO828">
        <v>0</v>
      </c>
      <c r="AQ828">
        <v>0</v>
      </c>
      <c r="AR828">
        <v>0</v>
      </c>
      <c r="AT828">
        <v>0</v>
      </c>
      <c r="AU828">
        <v>0</v>
      </c>
      <c r="AW828">
        <v>0</v>
      </c>
      <c r="AX828">
        <v>0</v>
      </c>
      <c r="AY828">
        <v>140</v>
      </c>
      <c r="BC828" t="str">
        <f>T("9788997946006")</f>
        <v>9788997946006</v>
      </c>
      <c r="BE828" t="str">
        <f t="shared" si="113"/>
        <v>판타지 웹소설 &gt; 현대 판타지</v>
      </c>
    </row>
    <row r="829" spans="1:57" x14ac:dyDescent="0.3">
      <c r="A829">
        <v>1525004030</v>
      </c>
      <c r="B829">
        <v>1525004132</v>
      </c>
      <c r="C829" t="str">
        <f>T("회귀의 전설 103화")</f>
        <v>회귀의 전설 103화</v>
      </c>
      <c r="D829" t="str">
        <f>T("103")</f>
        <v>103</v>
      </c>
      <c r="E829" t="str">
        <f t="shared" si="111"/>
        <v>김광수</v>
      </c>
      <c r="H829" t="str">
        <f t="shared" si="108"/>
        <v>스토리위즈</v>
      </c>
      <c r="I829" t="str">
        <f t="shared" si="112"/>
        <v>회귀의 전설</v>
      </c>
      <c r="J829">
        <v>100</v>
      </c>
      <c r="K829">
        <v>200</v>
      </c>
      <c r="L829">
        <v>2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200</v>
      </c>
      <c r="AH829">
        <v>2</v>
      </c>
      <c r="AI829">
        <v>0</v>
      </c>
      <c r="AJ829">
        <v>0</v>
      </c>
      <c r="AK829">
        <v>100</v>
      </c>
      <c r="AL829">
        <v>0</v>
      </c>
      <c r="AM829">
        <v>120</v>
      </c>
      <c r="AN829">
        <v>-12</v>
      </c>
      <c r="AO829">
        <v>0</v>
      </c>
      <c r="AQ829">
        <v>0</v>
      </c>
      <c r="AR829">
        <v>0</v>
      </c>
      <c r="AS829">
        <v>120</v>
      </c>
      <c r="AT829">
        <v>-12</v>
      </c>
      <c r="AU829">
        <v>0</v>
      </c>
      <c r="AW829">
        <v>0</v>
      </c>
      <c r="AX829">
        <v>0</v>
      </c>
      <c r="AY829">
        <v>145.6</v>
      </c>
      <c r="BC829" t="str">
        <f>T("9788997946006")</f>
        <v>9788997946006</v>
      </c>
      <c r="BE829" t="str">
        <f t="shared" si="113"/>
        <v>판타지 웹소설 &gt; 현대 판타지</v>
      </c>
    </row>
    <row r="830" spans="1:57" x14ac:dyDescent="0.3">
      <c r="A830">
        <v>1525004030</v>
      </c>
      <c r="B830">
        <v>1525004376</v>
      </c>
      <c r="C830" t="str">
        <f>T("회귀의 전설 348화")</f>
        <v>회귀의 전설 348화</v>
      </c>
      <c r="D830" t="str">
        <f>T("348")</f>
        <v>348</v>
      </c>
      <c r="E830" t="str">
        <f t="shared" si="111"/>
        <v>김광수</v>
      </c>
      <c r="H830" t="str">
        <f t="shared" si="108"/>
        <v>스토리위즈</v>
      </c>
      <c r="I830" t="str">
        <f t="shared" si="112"/>
        <v>회귀의 전설</v>
      </c>
      <c r="J830">
        <v>100</v>
      </c>
      <c r="K830">
        <v>200</v>
      </c>
      <c r="L830">
        <v>2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200</v>
      </c>
      <c r="AH830">
        <v>2</v>
      </c>
      <c r="AI830">
        <v>0</v>
      </c>
      <c r="AJ830">
        <v>0</v>
      </c>
      <c r="AK830">
        <v>200</v>
      </c>
      <c r="AL830">
        <v>0</v>
      </c>
      <c r="AM830">
        <v>0</v>
      </c>
      <c r="AN830">
        <v>0</v>
      </c>
      <c r="AO830">
        <v>0</v>
      </c>
      <c r="AQ830">
        <v>0</v>
      </c>
      <c r="AR830">
        <v>0</v>
      </c>
      <c r="AT830">
        <v>0</v>
      </c>
      <c r="AU830">
        <v>0</v>
      </c>
      <c r="AW830">
        <v>0</v>
      </c>
      <c r="AX830">
        <v>0</v>
      </c>
      <c r="AY830">
        <v>140</v>
      </c>
      <c r="BC830" t="str">
        <f>T("9788997946006")</f>
        <v>9788997946006</v>
      </c>
      <c r="BE830" t="str">
        <f t="shared" si="113"/>
        <v>판타지 웹소설 &gt; 현대 판타지</v>
      </c>
    </row>
    <row r="831" spans="1:57" x14ac:dyDescent="0.3">
      <c r="A831">
        <v>1525004030</v>
      </c>
      <c r="B831">
        <v>1525004490</v>
      </c>
      <c r="C831" t="str">
        <f>T("회귀의 전설 474화")</f>
        <v>회귀의 전설 474화</v>
      </c>
      <c r="D831" t="str">
        <f>T("474")</f>
        <v>474</v>
      </c>
      <c r="E831" t="str">
        <f t="shared" si="111"/>
        <v>김광수</v>
      </c>
      <c r="H831" t="str">
        <f t="shared" si="108"/>
        <v>스토리위즈</v>
      </c>
      <c r="I831" t="str">
        <f t="shared" si="112"/>
        <v>회귀의 전설</v>
      </c>
      <c r="J831">
        <v>100</v>
      </c>
      <c r="K831">
        <v>200</v>
      </c>
      <c r="L831">
        <v>2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200</v>
      </c>
      <c r="AH831">
        <v>2</v>
      </c>
      <c r="AI831">
        <v>0</v>
      </c>
      <c r="AJ831">
        <v>0</v>
      </c>
      <c r="AK831">
        <v>200</v>
      </c>
      <c r="AL831">
        <v>0</v>
      </c>
      <c r="AM831">
        <v>0</v>
      </c>
      <c r="AN831">
        <v>0</v>
      </c>
      <c r="AO831">
        <v>0</v>
      </c>
      <c r="AQ831">
        <v>0</v>
      </c>
      <c r="AR831">
        <v>0</v>
      </c>
      <c r="AT831">
        <v>0</v>
      </c>
      <c r="AU831">
        <v>0</v>
      </c>
      <c r="AW831">
        <v>0</v>
      </c>
      <c r="AX831">
        <v>0</v>
      </c>
      <c r="AY831">
        <v>140</v>
      </c>
      <c r="BC831" t="str">
        <f>T("9788997946006")</f>
        <v>9788997946006</v>
      </c>
      <c r="BE831" t="str">
        <f t="shared" si="113"/>
        <v>판타지 웹소설 &gt; 현대 판타지</v>
      </c>
    </row>
    <row r="832" spans="1:57" x14ac:dyDescent="0.3">
      <c r="A832">
        <v>1525004030</v>
      </c>
      <c r="B832">
        <v>1525004295</v>
      </c>
      <c r="C832" t="str">
        <f>T("회귀의 전설 266화")</f>
        <v>회귀의 전설 266화</v>
      </c>
      <c r="D832" t="str">
        <f>T("266")</f>
        <v>266</v>
      </c>
      <c r="E832" t="str">
        <f t="shared" si="111"/>
        <v>김광수</v>
      </c>
      <c r="H832" t="str">
        <f t="shared" si="108"/>
        <v>스토리위즈</v>
      </c>
      <c r="I832" t="str">
        <f t="shared" si="112"/>
        <v>회귀의 전설</v>
      </c>
      <c r="J832">
        <v>100</v>
      </c>
      <c r="K832">
        <v>200</v>
      </c>
      <c r="L832">
        <v>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200</v>
      </c>
      <c r="AH832">
        <v>2</v>
      </c>
      <c r="AI832">
        <v>0</v>
      </c>
      <c r="AJ832">
        <v>0</v>
      </c>
      <c r="AK832">
        <v>200</v>
      </c>
      <c r="AL832">
        <v>0</v>
      </c>
      <c r="AM832">
        <v>0</v>
      </c>
      <c r="AN832">
        <v>0</v>
      </c>
      <c r="AO832">
        <v>0</v>
      </c>
      <c r="AQ832">
        <v>0</v>
      </c>
      <c r="AR832">
        <v>0</v>
      </c>
      <c r="AT832">
        <v>0</v>
      </c>
      <c r="AU832">
        <v>0</v>
      </c>
      <c r="AW832">
        <v>0</v>
      </c>
      <c r="AX832">
        <v>0</v>
      </c>
      <c r="AY832">
        <v>140</v>
      </c>
      <c r="BC832" t="str">
        <f>T("9788997946006")</f>
        <v>9788997946006</v>
      </c>
      <c r="BE832" t="str">
        <f t="shared" si="113"/>
        <v>판타지 웹소설 &gt; 현대 판타지</v>
      </c>
    </row>
    <row r="833" spans="1:57" x14ac:dyDescent="0.3">
      <c r="A833">
        <v>1525004030</v>
      </c>
      <c r="B833">
        <v>1525006663</v>
      </c>
      <c r="C833" t="str">
        <f>T("회귀의 전설 2부 546화")</f>
        <v>회귀의 전설 2부 546화</v>
      </c>
      <c r="D833" t="str">
        <f>T("546")</f>
        <v>546</v>
      </c>
      <c r="E833" t="str">
        <f t="shared" si="111"/>
        <v>김광수</v>
      </c>
      <c r="H833" t="str">
        <f t="shared" si="108"/>
        <v>스토리위즈</v>
      </c>
      <c r="I833" t="str">
        <f t="shared" si="112"/>
        <v>회귀의 전설</v>
      </c>
      <c r="J833">
        <v>100</v>
      </c>
      <c r="K833">
        <v>200</v>
      </c>
      <c r="L833">
        <v>2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200</v>
      </c>
      <c r="AH833">
        <v>2</v>
      </c>
      <c r="AI833">
        <v>0</v>
      </c>
      <c r="AJ833">
        <v>0</v>
      </c>
      <c r="AK833">
        <v>200</v>
      </c>
      <c r="AL833">
        <v>0</v>
      </c>
      <c r="AM833">
        <v>0</v>
      </c>
      <c r="AN833">
        <v>0</v>
      </c>
      <c r="AO833">
        <v>0</v>
      </c>
      <c r="AQ833">
        <v>0</v>
      </c>
      <c r="AR833">
        <v>0</v>
      </c>
      <c r="AT833">
        <v>0</v>
      </c>
      <c r="AU833">
        <v>0</v>
      </c>
      <c r="AW833">
        <v>0</v>
      </c>
      <c r="AX833">
        <v>0</v>
      </c>
      <c r="AY833">
        <v>140</v>
      </c>
      <c r="BC833" t="str">
        <f>T("9791191102086")</f>
        <v>9791191102086</v>
      </c>
      <c r="BE833" t="str">
        <f t="shared" si="113"/>
        <v>판타지 웹소설 &gt; 현대 판타지</v>
      </c>
    </row>
    <row r="834" spans="1:57" x14ac:dyDescent="0.3">
      <c r="A834">
        <v>1525008428</v>
      </c>
      <c r="B834">
        <v>1525008437</v>
      </c>
      <c r="C834" t="str">
        <f>T("무히비(Muhibbi) 28화")</f>
        <v>무히비(Muhibbi) 28화</v>
      </c>
      <c r="D834" t="str">
        <f>T("28")</f>
        <v>28</v>
      </c>
      <c r="E834" t="str">
        <f>T("jooki")</f>
        <v>jooki</v>
      </c>
      <c r="H834" t="str">
        <f>T("블러쉬")</f>
        <v>블러쉬</v>
      </c>
      <c r="I834" t="str">
        <f>T("무히비(Muhibbi)")</f>
        <v>무히비(Muhibbi)</v>
      </c>
      <c r="J834">
        <v>100</v>
      </c>
      <c r="K834">
        <v>200</v>
      </c>
      <c r="L834">
        <v>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200</v>
      </c>
      <c r="AH834">
        <v>2</v>
      </c>
      <c r="AI834">
        <v>0</v>
      </c>
      <c r="AJ834">
        <v>0</v>
      </c>
      <c r="AK834">
        <v>200</v>
      </c>
      <c r="AL834">
        <v>0</v>
      </c>
      <c r="AM834">
        <v>0</v>
      </c>
      <c r="AN834">
        <v>0</v>
      </c>
      <c r="AO834">
        <v>0</v>
      </c>
      <c r="AQ834">
        <v>0</v>
      </c>
      <c r="AR834">
        <v>0</v>
      </c>
      <c r="AT834">
        <v>0</v>
      </c>
      <c r="AU834">
        <v>0</v>
      </c>
      <c r="AW834">
        <v>0</v>
      </c>
      <c r="AX834">
        <v>0</v>
      </c>
      <c r="AY834">
        <v>140</v>
      </c>
      <c r="BC834" t="str">
        <f>T("9791164896622")</f>
        <v>9791164896622</v>
      </c>
      <c r="BE834" t="str">
        <f>T("BL 웹소설 &gt; 역사/시대물")</f>
        <v>BL 웹소설 &gt; 역사/시대물</v>
      </c>
    </row>
    <row r="835" spans="1:57" x14ac:dyDescent="0.3">
      <c r="A835">
        <v>1525004030</v>
      </c>
      <c r="B835">
        <v>1525004083</v>
      </c>
      <c r="C835" t="str">
        <f>T("회귀의 전설 54화")</f>
        <v>회귀의 전설 54화</v>
      </c>
      <c r="D835" t="str">
        <f>T("54")</f>
        <v>54</v>
      </c>
      <c r="E835" t="str">
        <f>T("김광수")</f>
        <v>김광수</v>
      </c>
      <c r="H835" t="str">
        <f>T("스토리위즈")</f>
        <v>스토리위즈</v>
      </c>
      <c r="I835" t="str">
        <f>T("회귀의 전설")</f>
        <v>회귀의 전설</v>
      </c>
      <c r="J835">
        <v>100</v>
      </c>
      <c r="K835">
        <v>200</v>
      </c>
      <c r="L835">
        <v>2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200</v>
      </c>
      <c r="AH835">
        <v>2</v>
      </c>
      <c r="AI835">
        <v>0</v>
      </c>
      <c r="AJ835">
        <v>0</v>
      </c>
      <c r="AK835">
        <v>100</v>
      </c>
      <c r="AL835">
        <v>0</v>
      </c>
      <c r="AM835">
        <v>120</v>
      </c>
      <c r="AN835">
        <v>-36</v>
      </c>
      <c r="AO835">
        <v>0</v>
      </c>
      <c r="AQ835">
        <v>0</v>
      </c>
      <c r="AR835">
        <v>0</v>
      </c>
      <c r="AS835">
        <v>120</v>
      </c>
      <c r="AT835">
        <v>-36</v>
      </c>
      <c r="AU835">
        <v>0</v>
      </c>
      <c r="AW835">
        <v>0</v>
      </c>
      <c r="AX835">
        <v>0</v>
      </c>
      <c r="AY835">
        <v>128.80000000000001</v>
      </c>
      <c r="BC835" t="str">
        <f>T("9788997946006")</f>
        <v>9788997946006</v>
      </c>
      <c r="BE835" t="str">
        <f>T("판타지 웹소설 &gt; 현대 판타지")</f>
        <v>판타지 웹소설 &gt; 현대 판타지</v>
      </c>
    </row>
    <row r="836" spans="1:57" x14ac:dyDescent="0.3">
      <c r="A836">
        <v>1525004030</v>
      </c>
      <c r="B836">
        <v>1525006777</v>
      </c>
      <c r="C836" t="str">
        <f>T("회귀의 전설 2부 660화")</f>
        <v>회귀의 전설 2부 660화</v>
      </c>
      <c r="D836" t="str">
        <f>T("660")</f>
        <v>660</v>
      </c>
      <c r="E836" t="str">
        <f>T("김광수")</f>
        <v>김광수</v>
      </c>
      <c r="H836" t="str">
        <f>T("스토리위즈")</f>
        <v>스토리위즈</v>
      </c>
      <c r="I836" t="str">
        <f>T("회귀의 전설")</f>
        <v>회귀의 전설</v>
      </c>
      <c r="J836">
        <v>100</v>
      </c>
      <c r="K836">
        <v>200</v>
      </c>
      <c r="L836">
        <v>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200</v>
      </c>
      <c r="AH836">
        <v>2</v>
      </c>
      <c r="AI836">
        <v>0</v>
      </c>
      <c r="AJ836">
        <v>0</v>
      </c>
      <c r="AK836">
        <v>100</v>
      </c>
      <c r="AL836">
        <v>0</v>
      </c>
      <c r="AM836">
        <v>120</v>
      </c>
      <c r="AN836">
        <v>-12</v>
      </c>
      <c r="AO836">
        <v>0</v>
      </c>
      <c r="AQ836">
        <v>0</v>
      </c>
      <c r="AR836">
        <v>0</v>
      </c>
      <c r="AS836">
        <v>120</v>
      </c>
      <c r="AT836">
        <v>-12</v>
      </c>
      <c r="AU836">
        <v>0</v>
      </c>
      <c r="AW836">
        <v>0</v>
      </c>
      <c r="AX836">
        <v>0</v>
      </c>
      <c r="AY836">
        <v>145.6</v>
      </c>
      <c r="BC836" t="str">
        <f>T("9791191102086")</f>
        <v>9791191102086</v>
      </c>
      <c r="BE836" t="str">
        <f>T("판타지 웹소설 &gt; 현대 판타지")</f>
        <v>판타지 웹소설 &gt; 현대 판타지</v>
      </c>
    </row>
    <row r="837" spans="1:57" x14ac:dyDescent="0.3">
      <c r="A837">
        <v>1525004030</v>
      </c>
      <c r="B837">
        <v>1525004284</v>
      </c>
      <c r="C837" t="str">
        <f>T("회귀의 전설 255화")</f>
        <v>회귀의 전설 255화</v>
      </c>
      <c r="D837" t="str">
        <f>T("255")</f>
        <v>255</v>
      </c>
      <c r="E837" t="str">
        <f>T("김광수")</f>
        <v>김광수</v>
      </c>
      <c r="H837" t="str">
        <f>T("스토리위즈")</f>
        <v>스토리위즈</v>
      </c>
      <c r="I837" t="str">
        <f>T("회귀의 전설")</f>
        <v>회귀의 전설</v>
      </c>
      <c r="J837">
        <v>100</v>
      </c>
      <c r="K837">
        <v>200</v>
      </c>
      <c r="L837">
        <v>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200</v>
      </c>
      <c r="AH837">
        <v>2</v>
      </c>
      <c r="AI837">
        <v>0</v>
      </c>
      <c r="AJ837">
        <v>0</v>
      </c>
      <c r="AK837">
        <v>200</v>
      </c>
      <c r="AL837">
        <v>0</v>
      </c>
      <c r="AM837">
        <v>0</v>
      </c>
      <c r="AN837">
        <v>0</v>
      </c>
      <c r="AO837">
        <v>0</v>
      </c>
      <c r="AQ837">
        <v>0</v>
      </c>
      <c r="AR837">
        <v>0</v>
      </c>
      <c r="AT837">
        <v>0</v>
      </c>
      <c r="AU837">
        <v>0</v>
      </c>
      <c r="AW837">
        <v>0</v>
      </c>
      <c r="AX837">
        <v>0</v>
      </c>
      <c r="AY837">
        <v>140</v>
      </c>
      <c r="BC837" t="str">
        <f>T("9788997946006")</f>
        <v>9788997946006</v>
      </c>
      <c r="BE837" t="str">
        <f>T("판타지 웹소설 &gt; 현대 판타지")</f>
        <v>판타지 웹소설 &gt; 현대 판타지</v>
      </c>
    </row>
    <row r="838" spans="1:57" x14ac:dyDescent="0.3">
      <c r="A838">
        <v>1525008428</v>
      </c>
      <c r="B838">
        <v>1525008425</v>
      </c>
      <c r="C838" t="str">
        <f>T("무히비(Muhibbi) 17화")</f>
        <v>무히비(Muhibbi) 17화</v>
      </c>
      <c r="D838" t="str">
        <f>T("17")</f>
        <v>17</v>
      </c>
      <c r="E838" t="str">
        <f>T("jooki")</f>
        <v>jooki</v>
      </c>
      <c r="H838" t="str">
        <f>T("블러쉬")</f>
        <v>블러쉬</v>
      </c>
      <c r="I838" t="str">
        <f>T("무히비(Muhibbi)")</f>
        <v>무히비(Muhibbi)</v>
      </c>
      <c r="J838">
        <v>100</v>
      </c>
      <c r="K838">
        <v>200</v>
      </c>
      <c r="L838">
        <v>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200</v>
      </c>
      <c r="AH838">
        <v>2</v>
      </c>
      <c r="AI838">
        <v>0</v>
      </c>
      <c r="AJ838">
        <v>0</v>
      </c>
      <c r="AK838">
        <v>200</v>
      </c>
      <c r="AL838">
        <v>0</v>
      </c>
      <c r="AM838">
        <v>0</v>
      </c>
      <c r="AN838">
        <v>0</v>
      </c>
      <c r="AO838">
        <v>0</v>
      </c>
      <c r="AQ838">
        <v>0</v>
      </c>
      <c r="AR838">
        <v>0</v>
      </c>
      <c r="AT838">
        <v>0</v>
      </c>
      <c r="AU838">
        <v>0</v>
      </c>
      <c r="AW838">
        <v>0</v>
      </c>
      <c r="AX838">
        <v>0</v>
      </c>
      <c r="AY838">
        <v>140</v>
      </c>
      <c r="BC838" t="str">
        <f>T("9791164896622")</f>
        <v>9791164896622</v>
      </c>
      <c r="BE838" t="str">
        <f>T("BL 웹소설 &gt; 역사/시대물")</f>
        <v>BL 웹소설 &gt; 역사/시대물</v>
      </c>
    </row>
    <row r="839" spans="1:57" x14ac:dyDescent="0.3">
      <c r="A839">
        <v>1525004030</v>
      </c>
      <c r="B839">
        <v>1525004072</v>
      </c>
      <c r="C839" t="str">
        <f>T("회귀의 전설 43화")</f>
        <v>회귀의 전설 43화</v>
      </c>
      <c r="D839" t="str">
        <f>T("43")</f>
        <v>43</v>
      </c>
      <c r="E839" t="str">
        <f t="shared" ref="E839:E861" si="114">T("김광수")</f>
        <v>김광수</v>
      </c>
      <c r="H839" t="str">
        <f t="shared" ref="H839:H861" si="115">T("스토리위즈")</f>
        <v>스토리위즈</v>
      </c>
      <c r="I839" t="str">
        <f t="shared" ref="I839:I861" si="116">T("회귀의 전설")</f>
        <v>회귀의 전설</v>
      </c>
      <c r="J839">
        <v>100</v>
      </c>
      <c r="K839">
        <v>200</v>
      </c>
      <c r="L839">
        <v>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200</v>
      </c>
      <c r="AH839">
        <v>2</v>
      </c>
      <c r="AI839">
        <v>0</v>
      </c>
      <c r="AJ839">
        <v>0</v>
      </c>
      <c r="AK839">
        <v>100</v>
      </c>
      <c r="AL839">
        <v>0</v>
      </c>
      <c r="AM839">
        <v>120</v>
      </c>
      <c r="AN839">
        <v>-36</v>
      </c>
      <c r="AO839">
        <v>0</v>
      </c>
      <c r="AQ839">
        <v>0</v>
      </c>
      <c r="AR839">
        <v>0</v>
      </c>
      <c r="AS839">
        <v>120</v>
      </c>
      <c r="AT839">
        <v>-36</v>
      </c>
      <c r="AU839">
        <v>0</v>
      </c>
      <c r="AW839">
        <v>0</v>
      </c>
      <c r="AX839">
        <v>0</v>
      </c>
      <c r="AY839">
        <v>128.80000000000001</v>
      </c>
      <c r="BC839" t="str">
        <f>T("9788997946006")</f>
        <v>9788997946006</v>
      </c>
      <c r="BE839" t="str">
        <f t="shared" ref="BE839:BE861" si="117">T("판타지 웹소설 &gt; 현대 판타지")</f>
        <v>판타지 웹소설 &gt; 현대 판타지</v>
      </c>
    </row>
    <row r="840" spans="1:57" x14ac:dyDescent="0.3">
      <c r="A840">
        <v>1525004030</v>
      </c>
      <c r="B840">
        <v>1525004316</v>
      </c>
      <c r="C840" t="str">
        <f>T("회귀의 전설 287화")</f>
        <v>회귀의 전설 287화</v>
      </c>
      <c r="D840" t="str">
        <f>T("287")</f>
        <v>287</v>
      </c>
      <c r="E840" t="str">
        <f t="shared" si="114"/>
        <v>김광수</v>
      </c>
      <c r="H840" t="str">
        <f t="shared" si="115"/>
        <v>스토리위즈</v>
      </c>
      <c r="I840" t="str">
        <f t="shared" si="116"/>
        <v>회귀의 전설</v>
      </c>
      <c r="J840">
        <v>100</v>
      </c>
      <c r="K840">
        <v>200</v>
      </c>
      <c r="L840">
        <v>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200</v>
      </c>
      <c r="AH840">
        <v>2</v>
      </c>
      <c r="AI840">
        <v>0</v>
      </c>
      <c r="AJ840">
        <v>0</v>
      </c>
      <c r="AK840">
        <v>200</v>
      </c>
      <c r="AL840">
        <v>0</v>
      </c>
      <c r="AM840">
        <v>0</v>
      </c>
      <c r="AN840">
        <v>0</v>
      </c>
      <c r="AO840">
        <v>0</v>
      </c>
      <c r="AQ840">
        <v>0</v>
      </c>
      <c r="AR840">
        <v>0</v>
      </c>
      <c r="AT840">
        <v>0</v>
      </c>
      <c r="AU840">
        <v>0</v>
      </c>
      <c r="AW840">
        <v>0</v>
      </c>
      <c r="AX840">
        <v>0</v>
      </c>
      <c r="AY840">
        <v>140</v>
      </c>
      <c r="BC840" t="str">
        <f>T("9788997946006")</f>
        <v>9788997946006</v>
      </c>
      <c r="BE840" t="str">
        <f t="shared" si="117"/>
        <v>판타지 웹소설 &gt; 현대 판타지</v>
      </c>
    </row>
    <row r="841" spans="1:57" x14ac:dyDescent="0.3">
      <c r="A841">
        <v>1525004030</v>
      </c>
      <c r="B841">
        <v>1525004512</v>
      </c>
      <c r="C841" t="str">
        <f>T("회귀의 전설 311화")</f>
        <v>회귀의 전설 311화</v>
      </c>
      <c r="D841" t="str">
        <f>T("311")</f>
        <v>311</v>
      </c>
      <c r="E841" t="str">
        <f t="shared" si="114"/>
        <v>김광수</v>
      </c>
      <c r="H841" t="str">
        <f t="shared" si="115"/>
        <v>스토리위즈</v>
      </c>
      <c r="I841" t="str">
        <f t="shared" si="116"/>
        <v>회귀의 전설</v>
      </c>
      <c r="J841">
        <v>100</v>
      </c>
      <c r="K841">
        <v>200</v>
      </c>
      <c r="L841">
        <v>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200</v>
      </c>
      <c r="AH841">
        <v>2</v>
      </c>
      <c r="AI841">
        <v>0</v>
      </c>
      <c r="AJ841">
        <v>0</v>
      </c>
      <c r="AK841">
        <v>200</v>
      </c>
      <c r="AL841">
        <v>0</v>
      </c>
      <c r="AM841">
        <v>0</v>
      </c>
      <c r="AN841">
        <v>0</v>
      </c>
      <c r="AO841">
        <v>0</v>
      </c>
      <c r="AQ841">
        <v>0</v>
      </c>
      <c r="AR841">
        <v>0</v>
      </c>
      <c r="AT841">
        <v>0</v>
      </c>
      <c r="AU841">
        <v>0</v>
      </c>
      <c r="AW841">
        <v>0</v>
      </c>
      <c r="AX841">
        <v>0</v>
      </c>
      <c r="AY841">
        <v>140</v>
      </c>
      <c r="BC841" t="str">
        <f>T("9788997946006")</f>
        <v>9788997946006</v>
      </c>
      <c r="BE841" t="str">
        <f t="shared" si="117"/>
        <v>판타지 웹소설 &gt; 현대 판타지</v>
      </c>
    </row>
    <row r="842" spans="1:57" x14ac:dyDescent="0.3">
      <c r="A842">
        <v>1525004030</v>
      </c>
      <c r="B842">
        <v>1525004227</v>
      </c>
      <c r="C842" t="str">
        <f>T("회귀의 전설 198화")</f>
        <v>회귀의 전설 198화</v>
      </c>
      <c r="D842" t="str">
        <f>T("198")</f>
        <v>198</v>
      </c>
      <c r="E842" t="str">
        <f t="shared" si="114"/>
        <v>김광수</v>
      </c>
      <c r="H842" t="str">
        <f t="shared" si="115"/>
        <v>스토리위즈</v>
      </c>
      <c r="I842" t="str">
        <f t="shared" si="116"/>
        <v>회귀의 전설</v>
      </c>
      <c r="J842">
        <v>100</v>
      </c>
      <c r="K842">
        <v>200</v>
      </c>
      <c r="L842">
        <v>2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200</v>
      </c>
      <c r="AH842">
        <v>2</v>
      </c>
      <c r="AI842">
        <v>0</v>
      </c>
      <c r="AJ842">
        <v>0</v>
      </c>
      <c r="AK842">
        <v>200</v>
      </c>
      <c r="AL842">
        <v>0</v>
      </c>
      <c r="AM842">
        <v>0</v>
      </c>
      <c r="AN842">
        <v>0</v>
      </c>
      <c r="AO842">
        <v>0</v>
      </c>
      <c r="AQ842">
        <v>0</v>
      </c>
      <c r="AR842">
        <v>0</v>
      </c>
      <c r="AT842">
        <v>0</v>
      </c>
      <c r="AU842">
        <v>0</v>
      </c>
      <c r="AW842">
        <v>0</v>
      </c>
      <c r="AX842">
        <v>0</v>
      </c>
      <c r="AY842">
        <v>140</v>
      </c>
      <c r="BC842" t="str">
        <f>T("9788997946006")</f>
        <v>9788997946006</v>
      </c>
      <c r="BE842" t="str">
        <f t="shared" si="117"/>
        <v>판타지 웹소설 &gt; 현대 판타지</v>
      </c>
    </row>
    <row r="843" spans="1:57" x14ac:dyDescent="0.3">
      <c r="A843">
        <v>1525004030</v>
      </c>
      <c r="B843">
        <v>1525004104</v>
      </c>
      <c r="C843" t="str">
        <f>T("회귀의 전설 75화")</f>
        <v>회귀의 전설 75화</v>
      </c>
      <c r="D843" t="str">
        <f>T("75")</f>
        <v>75</v>
      </c>
      <c r="E843" t="str">
        <f t="shared" si="114"/>
        <v>김광수</v>
      </c>
      <c r="H843" t="str">
        <f t="shared" si="115"/>
        <v>스토리위즈</v>
      </c>
      <c r="I843" t="str">
        <f t="shared" si="116"/>
        <v>회귀의 전설</v>
      </c>
      <c r="J843">
        <v>100</v>
      </c>
      <c r="K843">
        <v>200</v>
      </c>
      <c r="L843">
        <v>2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200</v>
      </c>
      <c r="AH843">
        <v>2</v>
      </c>
      <c r="AI843">
        <v>0</v>
      </c>
      <c r="AJ843">
        <v>0</v>
      </c>
      <c r="AK843">
        <v>100</v>
      </c>
      <c r="AL843">
        <v>0</v>
      </c>
      <c r="AM843">
        <v>120</v>
      </c>
      <c r="AN843">
        <v>-36</v>
      </c>
      <c r="AO843">
        <v>0</v>
      </c>
      <c r="AQ843">
        <v>0</v>
      </c>
      <c r="AR843">
        <v>0</v>
      </c>
      <c r="AS843">
        <v>120</v>
      </c>
      <c r="AT843">
        <v>-36</v>
      </c>
      <c r="AU843">
        <v>0</v>
      </c>
      <c r="AW843">
        <v>0</v>
      </c>
      <c r="AX843">
        <v>0</v>
      </c>
      <c r="AY843">
        <v>128.80000000000001</v>
      </c>
      <c r="BC843" t="str">
        <f>T("9788997946006")</f>
        <v>9788997946006</v>
      </c>
      <c r="BE843" t="str">
        <f t="shared" si="117"/>
        <v>판타지 웹소설 &gt; 현대 판타지</v>
      </c>
    </row>
    <row r="844" spans="1:57" x14ac:dyDescent="0.3">
      <c r="A844">
        <v>1525004030</v>
      </c>
      <c r="B844">
        <v>1525006839</v>
      </c>
      <c r="C844" t="str">
        <f>T("회귀의 전설 2부 722화")</f>
        <v>회귀의 전설 2부 722화</v>
      </c>
      <c r="D844" t="str">
        <f>T("722")</f>
        <v>722</v>
      </c>
      <c r="E844" t="str">
        <f t="shared" si="114"/>
        <v>김광수</v>
      </c>
      <c r="H844" t="str">
        <f t="shared" si="115"/>
        <v>스토리위즈</v>
      </c>
      <c r="I844" t="str">
        <f t="shared" si="116"/>
        <v>회귀의 전설</v>
      </c>
      <c r="J844">
        <v>100</v>
      </c>
      <c r="K844">
        <v>200</v>
      </c>
      <c r="L844">
        <v>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200</v>
      </c>
      <c r="AH844">
        <v>2</v>
      </c>
      <c r="AI844">
        <v>0</v>
      </c>
      <c r="AJ844">
        <v>0</v>
      </c>
      <c r="AK844">
        <v>100</v>
      </c>
      <c r="AL844">
        <v>0</v>
      </c>
      <c r="AM844">
        <v>120</v>
      </c>
      <c r="AN844">
        <v>-12</v>
      </c>
      <c r="AO844">
        <v>0</v>
      </c>
      <c r="AQ844">
        <v>0</v>
      </c>
      <c r="AR844">
        <v>0</v>
      </c>
      <c r="AS844">
        <v>120</v>
      </c>
      <c r="AT844">
        <v>-12</v>
      </c>
      <c r="AU844">
        <v>0</v>
      </c>
      <c r="AW844">
        <v>0</v>
      </c>
      <c r="AX844">
        <v>0</v>
      </c>
      <c r="AY844">
        <v>145.6</v>
      </c>
      <c r="BC844" t="str">
        <f>T("9791191102086")</f>
        <v>9791191102086</v>
      </c>
      <c r="BE844" t="str">
        <f t="shared" si="117"/>
        <v>판타지 웹소설 &gt; 현대 판타지</v>
      </c>
    </row>
    <row r="845" spans="1:57" x14ac:dyDescent="0.3">
      <c r="A845">
        <v>1525004030</v>
      </c>
      <c r="B845">
        <v>1525006757</v>
      </c>
      <c r="C845" t="str">
        <f>T("회귀의 전설 2부 640화")</f>
        <v>회귀의 전설 2부 640화</v>
      </c>
      <c r="D845" t="str">
        <f>T("640")</f>
        <v>640</v>
      </c>
      <c r="E845" t="str">
        <f t="shared" si="114"/>
        <v>김광수</v>
      </c>
      <c r="H845" t="str">
        <f t="shared" si="115"/>
        <v>스토리위즈</v>
      </c>
      <c r="I845" t="str">
        <f t="shared" si="116"/>
        <v>회귀의 전설</v>
      </c>
      <c r="J845">
        <v>100</v>
      </c>
      <c r="K845">
        <v>200</v>
      </c>
      <c r="L845">
        <v>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200</v>
      </c>
      <c r="AH845">
        <v>2</v>
      </c>
      <c r="AI845">
        <v>0</v>
      </c>
      <c r="AJ845">
        <v>0</v>
      </c>
      <c r="AK845">
        <v>100</v>
      </c>
      <c r="AL845">
        <v>0</v>
      </c>
      <c r="AM845">
        <v>120</v>
      </c>
      <c r="AN845">
        <v>-12</v>
      </c>
      <c r="AO845">
        <v>0</v>
      </c>
      <c r="AQ845">
        <v>0</v>
      </c>
      <c r="AR845">
        <v>0</v>
      </c>
      <c r="AS845">
        <v>120</v>
      </c>
      <c r="AT845">
        <v>-12</v>
      </c>
      <c r="AU845">
        <v>0</v>
      </c>
      <c r="AW845">
        <v>0</v>
      </c>
      <c r="AX845">
        <v>0</v>
      </c>
      <c r="AY845">
        <v>145.6</v>
      </c>
      <c r="BC845" t="str">
        <f>T("9791191102086")</f>
        <v>9791191102086</v>
      </c>
      <c r="BE845" t="str">
        <f t="shared" si="117"/>
        <v>판타지 웹소설 &gt; 현대 판타지</v>
      </c>
    </row>
    <row r="846" spans="1:57" x14ac:dyDescent="0.3">
      <c r="A846">
        <v>1525004030</v>
      </c>
      <c r="B846">
        <v>1525004259</v>
      </c>
      <c r="C846" t="str">
        <f>T("회귀의 전설 230화")</f>
        <v>회귀의 전설 230화</v>
      </c>
      <c r="D846" t="str">
        <f>T("230")</f>
        <v>230</v>
      </c>
      <c r="E846" t="str">
        <f t="shared" si="114"/>
        <v>김광수</v>
      </c>
      <c r="H846" t="str">
        <f t="shared" si="115"/>
        <v>스토리위즈</v>
      </c>
      <c r="I846" t="str">
        <f t="shared" si="116"/>
        <v>회귀의 전설</v>
      </c>
      <c r="J846">
        <v>100</v>
      </c>
      <c r="K846">
        <v>200</v>
      </c>
      <c r="L846">
        <v>2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200</v>
      </c>
      <c r="AH846">
        <v>2</v>
      </c>
      <c r="AI846">
        <v>0</v>
      </c>
      <c r="AJ846">
        <v>0</v>
      </c>
      <c r="AK846">
        <v>200</v>
      </c>
      <c r="AL846">
        <v>0</v>
      </c>
      <c r="AM846">
        <v>0</v>
      </c>
      <c r="AN846">
        <v>0</v>
      </c>
      <c r="AO846">
        <v>0</v>
      </c>
      <c r="AQ846">
        <v>0</v>
      </c>
      <c r="AR846">
        <v>0</v>
      </c>
      <c r="AT846">
        <v>0</v>
      </c>
      <c r="AU846">
        <v>0</v>
      </c>
      <c r="AW846">
        <v>0</v>
      </c>
      <c r="AX846">
        <v>0</v>
      </c>
      <c r="AY846">
        <v>140</v>
      </c>
      <c r="BC846" t="str">
        <f>T("9788997946006")</f>
        <v>9788997946006</v>
      </c>
      <c r="BE846" t="str">
        <f t="shared" si="117"/>
        <v>판타지 웹소설 &gt; 현대 판타지</v>
      </c>
    </row>
    <row r="847" spans="1:57" x14ac:dyDescent="0.3">
      <c r="A847">
        <v>1525004030</v>
      </c>
      <c r="B847">
        <v>1525004218</v>
      </c>
      <c r="C847" t="str">
        <f>T("회귀의 전설 189화")</f>
        <v>회귀의 전설 189화</v>
      </c>
      <c r="D847" t="str">
        <f>T("189")</f>
        <v>189</v>
      </c>
      <c r="E847" t="str">
        <f t="shared" si="114"/>
        <v>김광수</v>
      </c>
      <c r="H847" t="str">
        <f t="shared" si="115"/>
        <v>스토리위즈</v>
      </c>
      <c r="I847" t="str">
        <f t="shared" si="116"/>
        <v>회귀의 전설</v>
      </c>
      <c r="J847">
        <v>100</v>
      </c>
      <c r="K847">
        <v>200</v>
      </c>
      <c r="L847">
        <v>2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200</v>
      </c>
      <c r="AH847">
        <v>2</v>
      </c>
      <c r="AI847">
        <v>0</v>
      </c>
      <c r="AJ847">
        <v>0</v>
      </c>
      <c r="AK847">
        <v>200</v>
      </c>
      <c r="AL847">
        <v>0</v>
      </c>
      <c r="AM847">
        <v>0</v>
      </c>
      <c r="AN847">
        <v>0</v>
      </c>
      <c r="AO847">
        <v>0</v>
      </c>
      <c r="AQ847">
        <v>0</v>
      </c>
      <c r="AR847">
        <v>0</v>
      </c>
      <c r="AT847">
        <v>0</v>
      </c>
      <c r="AU847">
        <v>0</v>
      </c>
      <c r="AW847">
        <v>0</v>
      </c>
      <c r="AX847">
        <v>0</v>
      </c>
      <c r="AY847">
        <v>140</v>
      </c>
      <c r="BC847" t="str">
        <f>T("9788997946006")</f>
        <v>9788997946006</v>
      </c>
      <c r="BE847" t="str">
        <f t="shared" si="117"/>
        <v>판타지 웹소설 &gt; 현대 판타지</v>
      </c>
    </row>
    <row r="848" spans="1:57" x14ac:dyDescent="0.3">
      <c r="A848">
        <v>1525004030</v>
      </c>
      <c r="B848">
        <v>1525006871</v>
      </c>
      <c r="C848" t="str">
        <f>T("회귀의 전설 2부 754화")</f>
        <v>회귀의 전설 2부 754화</v>
      </c>
      <c r="D848" t="str">
        <f>T("754")</f>
        <v>754</v>
      </c>
      <c r="E848" t="str">
        <f t="shared" si="114"/>
        <v>김광수</v>
      </c>
      <c r="H848" t="str">
        <f t="shared" si="115"/>
        <v>스토리위즈</v>
      </c>
      <c r="I848" t="str">
        <f t="shared" si="116"/>
        <v>회귀의 전설</v>
      </c>
      <c r="J848">
        <v>100</v>
      </c>
      <c r="K848">
        <v>200</v>
      </c>
      <c r="L848">
        <v>2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200</v>
      </c>
      <c r="AH848">
        <v>2</v>
      </c>
      <c r="AI848">
        <v>0</v>
      </c>
      <c r="AJ848">
        <v>0</v>
      </c>
      <c r="AK848">
        <v>100</v>
      </c>
      <c r="AL848">
        <v>0</v>
      </c>
      <c r="AM848">
        <v>120</v>
      </c>
      <c r="AN848">
        <v>-12</v>
      </c>
      <c r="AO848">
        <v>0</v>
      </c>
      <c r="AQ848">
        <v>0</v>
      </c>
      <c r="AR848">
        <v>0</v>
      </c>
      <c r="AS848">
        <v>120</v>
      </c>
      <c r="AT848">
        <v>-12</v>
      </c>
      <c r="AU848">
        <v>0</v>
      </c>
      <c r="AW848">
        <v>0</v>
      </c>
      <c r="AX848">
        <v>0</v>
      </c>
      <c r="AY848">
        <v>145.6</v>
      </c>
      <c r="BC848" t="str">
        <f>T("9791191102086")</f>
        <v>9791191102086</v>
      </c>
      <c r="BE848" t="str">
        <f t="shared" si="117"/>
        <v>판타지 웹소설 &gt; 현대 판타지</v>
      </c>
    </row>
    <row r="849" spans="1:57" x14ac:dyDescent="0.3">
      <c r="A849">
        <v>1525004030</v>
      </c>
      <c r="B849">
        <v>1525004365</v>
      </c>
      <c r="C849" t="str">
        <f>T("회귀의 전설 337화")</f>
        <v>회귀의 전설 337화</v>
      </c>
      <c r="D849" t="str">
        <f>T("337")</f>
        <v>337</v>
      </c>
      <c r="E849" t="str">
        <f t="shared" si="114"/>
        <v>김광수</v>
      </c>
      <c r="H849" t="str">
        <f t="shared" si="115"/>
        <v>스토리위즈</v>
      </c>
      <c r="I849" t="str">
        <f t="shared" si="116"/>
        <v>회귀의 전설</v>
      </c>
      <c r="J849">
        <v>100</v>
      </c>
      <c r="K849">
        <v>200</v>
      </c>
      <c r="L849">
        <v>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200</v>
      </c>
      <c r="AH849">
        <v>2</v>
      </c>
      <c r="AI849">
        <v>0</v>
      </c>
      <c r="AJ849">
        <v>0</v>
      </c>
      <c r="AK849">
        <v>200</v>
      </c>
      <c r="AL849">
        <v>0</v>
      </c>
      <c r="AM849">
        <v>0</v>
      </c>
      <c r="AN849">
        <v>0</v>
      </c>
      <c r="AO849">
        <v>0</v>
      </c>
      <c r="AQ849">
        <v>0</v>
      </c>
      <c r="AR849">
        <v>0</v>
      </c>
      <c r="AT849">
        <v>0</v>
      </c>
      <c r="AU849">
        <v>0</v>
      </c>
      <c r="AW849">
        <v>0</v>
      </c>
      <c r="AX849">
        <v>0</v>
      </c>
      <c r="AY849">
        <v>140</v>
      </c>
      <c r="BC849" t="str">
        <f>T("9788997946006")</f>
        <v>9788997946006</v>
      </c>
      <c r="BE849" t="str">
        <f t="shared" si="117"/>
        <v>판타지 웹소설 &gt; 현대 판타지</v>
      </c>
    </row>
    <row r="850" spans="1:57" x14ac:dyDescent="0.3">
      <c r="A850">
        <v>1525004030</v>
      </c>
      <c r="B850">
        <v>1525004422</v>
      </c>
      <c r="C850" t="str">
        <f>T("회귀의 전설 406화")</f>
        <v>회귀의 전설 406화</v>
      </c>
      <c r="D850" t="str">
        <f>T("406")</f>
        <v>406</v>
      </c>
      <c r="E850" t="str">
        <f t="shared" si="114"/>
        <v>김광수</v>
      </c>
      <c r="H850" t="str">
        <f t="shared" si="115"/>
        <v>스토리위즈</v>
      </c>
      <c r="I850" t="str">
        <f t="shared" si="116"/>
        <v>회귀의 전설</v>
      </c>
      <c r="J850">
        <v>100</v>
      </c>
      <c r="K850">
        <v>200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200</v>
      </c>
      <c r="AH850">
        <v>2</v>
      </c>
      <c r="AI850">
        <v>0</v>
      </c>
      <c r="AJ850">
        <v>0</v>
      </c>
      <c r="AK850">
        <v>200</v>
      </c>
      <c r="AL850">
        <v>0</v>
      </c>
      <c r="AM850">
        <v>0</v>
      </c>
      <c r="AN850">
        <v>0</v>
      </c>
      <c r="AO850">
        <v>0</v>
      </c>
      <c r="AQ850">
        <v>0</v>
      </c>
      <c r="AR850">
        <v>0</v>
      </c>
      <c r="AT850">
        <v>0</v>
      </c>
      <c r="AU850">
        <v>0</v>
      </c>
      <c r="AW850">
        <v>0</v>
      </c>
      <c r="AX850">
        <v>0</v>
      </c>
      <c r="AY850">
        <v>140</v>
      </c>
      <c r="BC850" t="str">
        <f>T("9788997946006")</f>
        <v>9788997946006</v>
      </c>
      <c r="BE850" t="str">
        <f t="shared" si="117"/>
        <v>판타지 웹소설 &gt; 현대 판타지</v>
      </c>
    </row>
    <row r="851" spans="1:57" x14ac:dyDescent="0.3">
      <c r="A851">
        <v>1525004030</v>
      </c>
      <c r="B851">
        <v>1525006888</v>
      </c>
      <c r="C851" t="str">
        <f>T("회귀의 전설 2부 771화")</f>
        <v>회귀의 전설 2부 771화</v>
      </c>
      <c r="D851" t="str">
        <f>T("771")</f>
        <v>771</v>
      </c>
      <c r="E851" t="str">
        <f t="shared" si="114"/>
        <v>김광수</v>
      </c>
      <c r="H851" t="str">
        <f t="shared" si="115"/>
        <v>스토리위즈</v>
      </c>
      <c r="I851" t="str">
        <f t="shared" si="116"/>
        <v>회귀의 전설</v>
      </c>
      <c r="J851">
        <v>100</v>
      </c>
      <c r="K851">
        <v>200</v>
      </c>
      <c r="L851">
        <v>2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200</v>
      </c>
      <c r="AH851">
        <v>2</v>
      </c>
      <c r="AI851">
        <v>0</v>
      </c>
      <c r="AJ851">
        <v>0</v>
      </c>
      <c r="AK851">
        <v>100</v>
      </c>
      <c r="AL851">
        <v>0</v>
      </c>
      <c r="AM851">
        <v>120</v>
      </c>
      <c r="AN851">
        <v>-12</v>
      </c>
      <c r="AO851">
        <v>0</v>
      </c>
      <c r="AQ851">
        <v>0</v>
      </c>
      <c r="AR851">
        <v>0</v>
      </c>
      <c r="AS851">
        <v>120</v>
      </c>
      <c r="AT851">
        <v>-12</v>
      </c>
      <c r="AU851">
        <v>0</v>
      </c>
      <c r="AW851">
        <v>0</v>
      </c>
      <c r="AX851">
        <v>0</v>
      </c>
      <c r="AY851">
        <v>145.6</v>
      </c>
      <c r="BC851" t="str">
        <f>T("9791191102086")</f>
        <v>9791191102086</v>
      </c>
      <c r="BE851" t="str">
        <f t="shared" si="117"/>
        <v>판타지 웹소설 &gt; 현대 판타지</v>
      </c>
    </row>
    <row r="852" spans="1:57" x14ac:dyDescent="0.3">
      <c r="A852">
        <v>1525004030</v>
      </c>
      <c r="B852">
        <v>1525004479</v>
      </c>
      <c r="C852" t="str">
        <f>T("회귀의 전설 463화")</f>
        <v>회귀의 전설 463화</v>
      </c>
      <c r="D852" t="str">
        <f>T("463")</f>
        <v>463</v>
      </c>
      <c r="E852" t="str">
        <f t="shared" si="114"/>
        <v>김광수</v>
      </c>
      <c r="H852" t="str">
        <f t="shared" si="115"/>
        <v>스토리위즈</v>
      </c>
      <c r="I852" t="str">
        <f t="shared" si="116"/>
        <v>회귀의 전설</v>
      </c>
      <c r="J852">
        <v>100</v>
      </c>
      <c r="K852">
        <v>200</v>
      </c>
      <c r="L852">
        <v>2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200</v>
      </c>
      <c r="AH852">
        <v>2</v>
      </c>
      <c r="AI852">
        <v>0</v>
      </c>
      <c r="AJ852">
        <v>0</v>
      </c>
      <c r="AK852">
        <v>200</v>
      </c>
      <c r="AL852">
        <v>0</v>
      </c>
      <c r="AM852">
        <v>0</v>
      </c>
      <c r="AN852">
        <v>0</v>
      </c>
      <c r="AO852">
        <v>0</v>
      </c>
      <c r="AQ852">
        <v>0</v>
      </c>
      <c r="AR852">
        <v>0</v>
      </c>
      <c r="AT852">
        <v>0</v>
      </c>
      <c r="AU852">
        <v>0</v>
      </c>
      <c r="AW852">
        <v>0</v>
      </c>
      <c r="AX852">
        <v>0</v>
      </c>
      <c r="AY852">
        <v>140</v>
      </c>
      <c r="BC852" t="str">
        <f t="shared" ref="BC852:BC858" si="118">T("9788997946006")</f>
        <v>9788997946006</v>
      </c>
      <c r="BE852" t="str">
        <f t="shared" si="117"/>
        <v>판타지 웹소설 &gt; 현대 판타지</v>
      </c>
    </row>
    <row r="853" spans="1:57" x14ac:dyDescent="0.3">
      <c r="A853">
        <v>1525004030</v>
      </c>
      <c r="B853">
        <v>1525004354</v>
      </c>
      <c r="C853" t="str">
        <f>T("회귀의 전설 326화")</f>
        <v>회귀의 전설 326화</v>
      </c>
      <c r="D853" t="str">
        <f>T("326")</f>
        <v>326</v>
      </c>
      <c r="E853" t="str">
        <f t="shared" si="114"/>
        <v>김광수</v>
      </c>
      <c r="H853" t="str">
        <f t="shared" si="115"/>
        <v>스토리위즈</v>
      </c>
      <c r="I853" t="str">
        <f t="shared" si="116"/>
        <v>회귀의 전설</v>
      </c>
      <c r="J853">
        <v>100</v>
      </c>
      <c r="K853">
        <v>200</v>
      </c>
      <c r="L853">
        <v>2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200</v>
      </c>
      <c r="AH853">
        <v>2</v>
      </c>
      <c r="AI853">
        <v>0</v>
      </c>
      <c r="AJ853">
        <v>0</v>
      </c>
      <c r="AK853">
        <v>200</v>
      </c>
      <c r="AL853">
        <v>0</v>
      </c>
      <c r="AM853">
        <v>0</v>
      </c>
      <c r="AN853">
        <v>0</v>
      </c>
      <c r="AO853">
        <v>0</v>
      </c>
      <c r="AQ853">
        <v>0</v>
      </c>
      <c r="AR853">
        <v>0</v>
      </c>
      <c r="AT853">
        <v>0</v>
      </c>
      <c r="AU853">
        <v>0</v>
      </c>
      <c r="AW853">
        <v>0</v>
      </c>
      <c r="AX853">
        <v>0</v>
      </c>
      <c r="AY853">
        <v>140</v>
      </c>
      <c r="BC853" t="str">
        <f t="shared" si="118"/>
        <v>9788997946006</v>
      </c>
      <c r="BE853" t="str">
        <f t="shared" si="117"/>
        <v>판타지 웹소설 &gt; 현대 판타지</v>
      </c>
    </row>
    <row r="854" spans="1:57" x14ac:dyDescent="0.3">
      <c r="A854">
        <v>1525004030</v>
      </c>
      <c r="B854">
        <v>1525004411</v>
      </c>
      <c r="C854" t="str">
        <f>T("회귀의 전설 383화")</f>
        <v>회귀의 전설 383화</v>
      </c>
      <c r="D854" t="str">
        <f>T("383")</f>
        <v>383</v>
      </c>
      <c r="E854" t="str">
        <f t="shared" si="114"/>
        <v>김광수</v>
      </c>
      <c r="H854" t="str">
        <f t="shared" si="115"/>
        <v>스토리위즈</v>
      </c>
      <c r="I854" t="str">
        <f t="shared" si="116"/>
        <v>회귀의 전설</v>
      </c>
      <c r="J854">
        <v>100</v>
      </c>
      <c r="K854">
        <v>200</v>
      </c>
      <c r="L854">
        <v>2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200</v>
      </c>
      <c r="AH854">
        <v>2</v>
      </c>
      <c r="AI854">
        <v>0</v>
      </c>
      <c r="AJ854">
        <v>0</v>
      </c>
      <c r="AK854">
        <v>200</v>
      </c>
      <c r="AL854">
        <v>0</v>
      </c>
      <c r="AM854">
        <v>0</v>
      </c>
      <c r="AN854">
        <v>0</v>
      </c>
      <c r="AO854">
        <v>0</v>
      </c>
      <c r="AQ854">
        <v>0</v>
      </c>
      <c r="AR854">
        <v>0</v>
      </c>
      <c r="AT854">
        <v>0</v>
      </c>
      <c r="AU854">
        <v>0</v>
      </c>
      <c r="AW854">
        <v>0</v>
      </c>
      <c r="AX854">
        <v>0</v>
      </c>
      <c r="AY854">
        <v>140</v>
      </c>
      <c r="BC854" t="str">
        <f t="shared" si="118"/>
        <v>9788997946006</v>
      </c>
      <c r="BE854" t="str">
        <f t="shared" si="117"/>
        <v>판타지 웹소설 &gt; 현대 판타지</v>
      </c>
    </row>
    <row r="855" spans="1:57" x14ac:dyDescent="0.3">
      <c r="A855">
        <v>1525004030</v>
      </c>
      <c r="B855">
        <v>1525004468</v>
      </c>
      <c r="C855" t="str">
        <f>T("회귀의 전설 452화")</f>
        <v>회귀의 전설 452화</v>
      </c>
      <c r="D855" t="str">
        <f>T("452")</f>
        <v>452</v>
      </c>
      <c r="E855" t="str">
        <f t="shared" si="114"/>
        <v>김광수</v>
      </c>
      <c r="H855" t="str">
        <f t="shared" si="115"/>
        <v>스토리위즈</v>
      </c>
      <c r="I855" t="str">
        <f t="shared" si="116"/>
        <v>회귀의 전설</v>
      </c>
      <c r="J855">
        <v>100</v>
      </c>
      <c r="K855">
        <v>200</v>
      </c>
      <c r="L855">
        <v>2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200</v>
      </c>
      <c r="AH855">
        <v>2</v>
      </c>
      <c r="AI855">
        <v>0</v>
      </c>
      <c r="AJ855">
        <v>0</v>
      </c>
      <c r="AK855">
        <v>200</v>
      </c>
      <c r="AL855">
        <v>0</v>
      </c>
      <c r="AM855">
        <v>0</v>
      </c>
      <c r="AN855">
        <v>0</v>
      </c>
      <c r="AO855">
        <v>0</v>
      </c>
      <c r="AQ855">
        <v>0</v>
      </c>
      <c r="AR855">
        <v>0</v>
      </c>
      <c r="AT855">
        <v>0</v>
      </c>
      <c r="AU855">
        <v>0</v>
      </c>
      <c r="AW855">
        <v>0</v>
      </c>
      <c r="AX855">
        <v>0</v>
      </c>
      <c r="AY855">
        <v>140</v>
      </c>
      <c r="BC855" t="str">
        <f t="shared" si="118"/>
        <v>9788997946006</v>
      </c>
      <c r="BE855" t="str">
        <f t="shared" si="117"/>
        <v>판타지 웹소설 &gt; 현대 판타지</v>
      </c>
    </row>
    <row r="856" spans="1:57" x14ac:dyDescent="0.3">
      <c r="A856">
        <v>1525004030</v>
      </c>
      <c r="B856">
        <v>1525004386</v>
      </c>
      <c r="C856" t="str">
        <f>T("회귀의 전설 358화")</f>
        <v>회귀의 전설 358화</v>
      </c>
      <c r="D856" t="str">
        <f>T("358")</f>
        <v>358</v>
      </c>
      <c r="E856" t="str">
        <f t="shared" si="114"/>
        <v>김광수</v>
      </c>
      <c r="H856" t="str">
        <f t="shared" si="115"/>
        <v>스토리위즈</v>
      </c>
      <c r="I856" t="str">
        <f t="shared" si="116"/>
        <v>회귀의 전설</v>
      </c>
      <c r="J856">
        <v>100</v>
      </c>
      <c r="K856">
        <v>200</v>
      </c>
      <c r="L856">
        <v>2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200</v>
      </c>
      <c r="AH856">
        <v>2</v>
      </c>
      <c r="AI856">
        <v>0</v>
      </c>
      <c r="AJ856">
        <v>0</v>
      </c>
      <c r="AK856">
        <v>200</v>
      </c>
      <c r="AL856">
        <v>0</v>
      </c>
      <c r="AM856">
        <v>0</v>
      </c>
      <c r="AN856">
        <v>0</v>
      </c>
      <c r="AO856">
        <v>0</v>
      </c>
      <c r="AQ856">
        <v>0</v>
      </c>
      <c r="AR856">
        <v>0</v>
      </c>
      <c r="AT856">
        <v>0</v>
      </c>
      <c r="AU856">
        <v>0</v>
      </c>
      <c r="AW856">
        <v>0</v>
      </c>
      <c r="AX856">
        <v>0</v>
      </c>
      <c r="AY856">
        <v>140</v>
      </c>
      <c r="BC856" t="str">
        <f t="shared" si="118"/>
        <v>9788997946006</v>
      </c>
      <c r="BE856" t="str">
        <f t="shared" si="117"/>
        <v>판타지 웹소설 &gt; 현대 판타지</v>
      </c>
    </row>
    <row r="857" spans="1:57" x14ac:dyDescent="0.3">
      <c r="A857">
        <v>1525004030</v>
      </c>
      <c r="B857">
        <v>1525004443</v>
      </c>
      <c r="C857" t="str">
        <f>T("회귀의 전설 427화")</f>
        <v>회귀의 전설 427화</v>
      </c>
      <c r="D857" t="str">
        <f>T("427")</f>
        <v>427</v>
      </c>
      <c r="E857" t="str">
        <f t="shared" si="114"/>
        <v>김광수</v>
      </c>
      <c r="H857" t="str">
        <f t="shared" si="115"/>
        <v>스토리위즈</v>
      </c>
      <c r="I857" t="str">
        <f t="shared" si="116"/>
        <v>회귀의 전설</v>
      </c>
      <c r="J857">
        <v>100</v>
      </c>
      <c r="K857">
        <v>200</v>
      </c>
      <c r="L857">
        <v>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200</v>
      </c>
      <c r="AH857">
        <v>2</v>
      </c>
      <c r="AI857">
        <v>0</v>
      </c>
      <c r="AJ857">
        <v>0</v>
      </c>
      <c r="AK857">
        <v>200</v>
      </c>
      <c r="AL857">
        <v>0</v>
      </c>
      <c r="AM857">
        <v>0</v>
      </c>
      <c r="AN857">
        <v>0</v>
      </c>
      <c r="AO857">
        <v>0</v>
      </c>
      <c r="AQ857">
        <v>0</v>
      </c>
      <c r="AR857">
        <v>0</v>
      </c>
      <c r="AT857">
        <v>0</v>
      </c>
      <c r="AU857">
        <v>0</v>
      </c>
      <c r="AW857">
        <v>0</v>
      </c>
      <c r="AX857">
        <v>0</v>
      </c>
      <c r="AY857">
        <v>140</v>
      </c>
      <c r="BC857" t="str">
        <f t="shared" si="118"/>
        <v>9788997946006</v>
      </c>
      <c r="BE857" t="str">
        <f t="shared" si="117"/>
        <v>판타지 웹소설 &gt; 현대 판타지</v>
      </c>
    </row>
    <row r="858" spans="1:57" x14ac:dyDescent="0.3">
      <c r="A858">
        <v>1525004030</v>
      </c>
      <c r="B858">
        <v>1525004061</v>
      </c>
      <c r="C858" t="str">
        <f>T("회귀의 전설 32화")</f>
        <v>회귀의 전설 32화</v>
      </c>
      <c r="D858" t="str">
        <f>T("32")</f>
        <v>32</v>
      </c>
      <c r="E858" t="str">
        <f t="shared" si="114"/>
        <v>김광수</v>
      </c>
      <c r="H858" t="str">
        <f t="shared" si="115"/>
        <v>스토리위즈</v>
      </c>
      <c r="I858" t="str">
        <f t="shared" si="116"/>
        <v>회귀의 전설</v>
      </c>
      <c r="J858">
        <v>100</v>
      </c>
      <c r="K858">
        <v>200</v>
      </c>
      <c r="L858">
        <v>2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200</v>
      </c>
      <c r="AH858">
        <v>2</v>
      </c>
      <c r="AI858">
        <v>0</v>
      </c>
      <c r="AJ858">
        <v>0</v>
      </c>
      <c r="AK858">
        <v>100</v>
      </c>
      <c r="AL858">
        <v>0</v>
      </c>
      <c r="AM858">
        <v>120</v>
      </c>
      <c r="AN858">
        <v>-36</v>
      </c>
      <c r="AO858">
        <v>0</v>
      </c>
      <c r="AQ858">
        <v>0</v>
      </c>
      <c r="AR858">
        <v>0</v>
      </c>
      <c r="AS858">
        <v>120</v>
      </c>
      <c r="AT858">
        <v>-36</v>
      </c>
      <c r="AU858">
        <v>0</v>
      </c>
      <c r="AW858">
        <v>0</v>
      </c>
      <c r="AX858">
        <v>0</v>
      </c>
      <c r="AY858">
        <v>128.80000000000001</v>
      </c>
      <c r="BC858" t="str">
        <f t="shared" si="118"/>
        <v>9788997946006</v>
      </c>
      <c r="BE858" t="str">
        <f t="shared" si="117"/>
        <v>판타지 웹소설 &gt; 현대 판타지</v>
      </c>
    </row>
    <row r="859" spans="1:57" x14ac:dyDescent="0.3">
      <c r="A859">
        <v>1525004030</v>
      </c>
      <c r="B859">
        <v>1525006714</v>
      </c>
      <c r="C859" t="str">
        <f>T("회귀의 전설 2부 597화")</f>
        <v>회귀의 전설 2부 597화</v>
      </c>
      <c r="D859" t="str">
        <f>T("597")</f>
        <v>597</v>
      </c>
      <c r="E859" t="str">
        <f t="shared" si="114"/>
        <v>김광수</v>
      </c>
      <c r="H859" t="str">
        <f t="shared" si="115"/>
        <v>스토리위즈</v>
      </c>
      <c r="I859" t="str">
        <f t="shared" si="116"/>
        <v>회귀의 전설</v>
      </c>
      <c r="J859">
        <v>100</v>
      </c>
      <c r="K859">
        <v>200</v>
      </c>
      <c r="L859">
        <v>2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200</v>
      </c>
      <c r="AH859">
        <v>2</v>
      </c>
      <c r="AI859">
        <v>0</v>
      </c>
      <c r="AJ859">
        <v>0</v>
      </c>
      <c r="AK859">
        <v>100</v>
      </c>
      <c r="AL859">
        <v>0</v>
      </c>
      <c r="AM859">
        <v>120</v>
      </c>
      <c r="AN859">
        <v>-12</v>
      </c>
      <c r="AO859">
        <v>0</v>
      </c>
      <c r="AQ859">
        <v>0</v>
      </c>
      <c r="AR859">
        <v>0</v>
      </c>
      <c r="AS859">
        <v>120</v>
      </c>
      <c r="AT859">
        <v>-12</v>
      </c>
      <c r="AU859">
        <v>0</v>
      </c>
      <c r="AW859">
        <v>0</v>
      </c>
      <c r="AX859">
        <v>0</v>
      </c>
      <c r="AY859">
        <v>145.6</v>
      </c>
      <c r="BC859" t="str">
        <f>T("9791191102086")</f>
        <v>9791191102086</v>
      </c>
      <c r="BE859" t="str">
        <f t="shared" si="117"/>
        <v>판타지 웹소설 &gt; 현대 판타지</v>
      </c>
    </row>
    <row r="860" spans="1:57" x14ac:dyDescent="0.3">
      <c r="A860">
        <v>1525004030</v>
      </c>
      <c r="B860">
        <v>1525004305</v>
      </c>
      <c r="C860" t="str">
        <f>T("회귀의 전설 276화")</f>
        <v>회귀의 전설 276화</v>
      </c>
      <c r="D860" t="str">
        <f>T("276")</f>
        <v>276</v>
      </c>
      <c r="E860" t="str">
        <f t="shared" si="114"/>
        <v>김광수</v>
      </c>
      <c r="H860" t="str">
        <f t="shared" si="115"/>
        <v>스토리위즈</v>
      </c>
      <c r="I860" t="str">
        <f t="shared" si="116"/>
        <v>회귀의 전설</v>
      </c>
      <c r="J860">
        <v>100</v>
      </c>
      <c r="K860">
        <v>200</v>
      </c>
      <c r="L860">
        <v>2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200</v>
      </c>
      <c r="AH860">
        <v>2</v>
      </c>
      <c r="AI860">
        <v>0</v>
      </c>
      <c r="AJ860">
        <v>0</v>
      </c>
      <c r="AK860">
        <v>200</v>
      </c>
      <c r="AL860">
        <v>0</v>
      </c>
      <c r="AM860">
        <v>0</v>
      </c>
      <c r="AN860">
        <v>0</v>
      </c>
      <c r="AO860">
        <v>0</v>
      </c>
      <c r="AQ860">
        <v>0</v>
      </c>
      <c r="AR860">
        <v>0</v>
      </c>
      <c r="AT860">
        <v>0</v>
      </c>
      <c r="AU860">
        <v>0</v>
      </c>
      <c r="AW860">
        <v>0</v>
      </c>
      <c r="AX860">
        <v>0</v>
      </c>
      <c r="AY860">
        <v>140</v>
      </c>
      <c r="BC860" t="str">
        <f>T("9788997946006")</f>
        <v>9788997946006</v>
      </c>
      <c r="BE860" t="str">
        <f t="shared" si="117"/>
        <v>판타지 웹소설 &gt; 현대 판타지</v>
      </c>
    </row>
    <row r="861" spans="1:57" x14ac:dyDescent="0.3">
      <c r="A861">
        <v>1525004030</v>
      </c>
      <c r="B861">
        <v>1525006673</v>
      </c>
      <c r="C861" t="str">
        <f>T("회귀의 전설 2부 556화")</f>
        <v>회귀의 전설 2부 556화</v>
      </c>
      <c r="D861" t="str">
        <f>T("556")</f>
        <v>556</v>
      </c>
      <c r="E861" t="str">
        <f t="shared" si="114"/>
        <v>김광수</v>
      </c>
      <c r="H861" t="str">
        <f t="shared" si="115"/>
        <v>스토리위즈</v>
      </c>
      <c r="I861" t="str">
        <f t="shared" si="116"/>
        <v>회귀의 전설</v>
      </c>
      <c r="J861">
        <v>100</v>
      </c>
      <c r="K861">
        <v>200</v>
      </c>
      <c r="L861">
        <v>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200</v>
      </c>
      <c r="AH861">
        <v>2</v>
      </c>
      <c r="AI861">
        <v>0</v>
      </c>
      <c r="AJ861">
        <v>0</v>
      </c>
      <c r="AK861">
        <v>200</v>
      </c>
      <c r="AL861">
        <v>0</v>
      </c>
      <c r="AM861">
        <v>0</v>
      </c>
      <c r="AN861">
        <v>0</v>
      </c>
      <c r="AO861">
        <v>0</v>
      </c>
      <c r="AQ861">
        <v>0</v>
      </c>
      <c r="AR861">
        <v>0</v>
      </c>
      <c r="AT861">
        <v>0</v>
      </c>
      <c r="AU861">
        <v>0</v>
      </c>
      <c r="AW861">
        <v>0</v>
      </c>
      <c r="AX861">
        <v>0</v>
      </c>
      <c r="AY861">
        <v>140</v>
      </c>
      <c r="BC861" t="str">
        <f>T("9791191102086")</f>
        <v>9791191102086</v>
      </c>
      <c r="BE861" t="str">
        <f t="shared" si="117"/>
        <v>판타지 웹소설 &gt; 현대 판타지</v>
      </c>
    </row>
    <row r="862" spans="1:57" x14ac:dyDescent="0.3">
      <c r="A862">
        <v>1525008428</v>
      </c>
      <c r="B862">
        <v>1525008448</v>
      </c>
      <c r="C862" t="str">
        <f>T("무히비(Muhibbi) 38화")</f>
        <v>무히비(Muhibbi) 38화</v>
      </c>
      <c r="D862" t="str">
        <f>T("38")</f>
        <v>38</v>
      </c>
      <c r="E862" t="str">
        <f>T("jooki")</f>
        <v>jooki</v>
      </c>
      <c r="H862" t="str">
        <f>T("블러쉬")</f>
        <v>블러쉬</v>
      </c>
      <c r="I862" t="str">
        <f>T("무히비(Muhibbi)")</f>
        <v>무히비(Muhibbi)</v>
      </c>
      <c r="J862">
        <v>100</v>
      </c>
      <c r="K862">
        <v>200</v>
      </c>
      <c r="L862">
        <v>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200</v>
      </c>
      <c r="AH862">
        <v>2</v>
      </c>
      <c r="AI862">
        <v>0</v>
      </c>
      <c r="AJ862">
        <v>0</v>
      </c>
      <c r="AK862">
        <v>200</v>
      </c>
      <c r="AL862">
        <v>0</v>
      </c>
      <c r="AM862">
        <v>0</v>
      </c>
      <c r="AN862">
        <v>0</v>
      </c>
      <c r="AO862">
        <v>0</v>
      </c>
      <c r="AQ862">
        <v>0</v>
      </c>
      <c r="AR862">
        <v>0</v>
      </c>
      <c r="AT862">
        <v>0</v>
      </c>
      <c r="AU862">
        <v>0</v>
      </c>
      <c r="AW862">
        <v>0</v>
      </c>
      <c r="AX862">
        <v>0</v>
      </c>
      <c r="AY862">
        <v>140</v>
      </c>
      <c r="BC862" t="str">
        <f>T("9791164896622")</f>
        <v>9791164896622</v>
      </c>
      <c r="BE862" t="str">
        <f>T("BL 웹소설 &gt; 역사/시대물")</f>
        <v>BL 웹소설 &gt; 역사/시대물</v>
      </c>
    </row>
    <row r="863" spans="1:57" x14ac:dyDescent="0.3">
      <c r="A863">
        <v>1525004030</v>
      </c>
      <c r="B863">
        <v>1525004093</v>
      </c>
      <c r="C863" t="str">
        <f>T("회귀의 전설 64화")</f>
        <v>회귀의 전설 64화</v>
      </c>
      <c r="D863" t="str">
        <f>T("64")</f>
        <v>64</v>
      </c>
      <c r="E863" t="str">
        <f t="shared" ref="E863:E886" si="119">T("김광수")</f>
        <v>김광수</v>
      </c>
      <c r="H863" t="str">
        <f t="shared" ref="H863:H886" si="120">T("스토리위즈")</f>
        <v>스토리위즈</v>
      </c>
      <c r="I863" t="str">
        <f t="shared" ref="I863:I886" si="121">T("회귀의 전설")</f>
        <v>회귀의 전설</v>
      </c>
      <c r="J863">
        <v>100</v>
      </c>
      <c r="K863">
        <v>200</v>
      </c>
      <c r="L863">
        <v>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200</v>
      </c>
      <c r="AH863">
        <v>2</v>
      </c>
      <c r="AI863">
        <v>0</v>
      </c>
      <c r="AJ863">
        <v>0</v>
      </c>
      <c r="AK863">
        <v>100</v>
      </c>
      <c r="AL863">
        <v>0</v>
      </c>
      <c r="AM863">
        <v>120</v>
      </c>
      <c r="AN863">
        <v>-36</v>
      </c>
      <c r="AO863">
        <v>0</v>
      </c>
      <c r="AQ863">
        <v>0</v>
      </c>
      <c r="AR863">
        <v>0</v>
      </c>
      <c r="AS863">
        <v>120</v>
      </c>
      <c r="AT863">
        <v>-36</v>
      </c>
      <c r="AU863">
        <v>0</v>
      </c>
      <c r="AW863">
        <v>0</v>
      </c>
      <c r="AX863">
        <v>0</v>
      </c>
      <c r="AY863">
        <v>128.80000000000001</v>
      </c>
      <c r="BC863" t="str">
        <f>T("9788997946006")</f>
        <v>9788997946006</v>
      </c>
      <c r="BE863" t="str">
        <f t="shared" ref="BE863:BE886" si="122">T("판타지 웹소설 &gt; 현대 판타지")</f>
        <v>판타지 웹소설 &gt; 현대 판타지</v>
      </c>
    </row>
    <row r="864" spans="1:57" x14ac:dyDescent="0.3">
      <c r="A864">
        <v>1525004030</v>
      </c>
      <c r="B864">
        <v>1525006828</v>
      </c>
      <c r="C864" t="str">
        <f>T("회귀의 전설 2부 711화")</f>
        <v>회귀의 전설 2부 711화</v>
      </c>
      <c r="D864" t="str">
        <f>T("711")</f>
        <v>711</v>
      </c>
      <c r="E864" t="str">
        <f t="shared" si="119"/>
        <v>김광수</v>
      </c>
      <c r="H864" t="str">
        <f t="shared" si="120"/>
        <v>스토리위즈</v>
      </c>
      <c r="I864" t="str">
        <f t="shared" si="121"/>
        <v>회귀의 전설</v>
      </c>
      <c r="J864">
        <v>100</v>
      </c>
      <c r="K864">
        <v>200</v>
      </c>
      <c r="L864">
        <v>2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200</v>
      </c>
      <c r="AH864">
        <v>2</v>
      </c>
      <c r="AI864">
        <v>0</v>
      </c>
      <c r="AJ864">
        <v>0</v>
      </c>
      <c r="AK864">
        <v>100</v>
      </c>
      <c r="AL864">
        <v>0</v>
      </c>
      <c r="AM864">
        <v>120</v>
      </c>
      <c r="AN864">
        <v>-12</v>
      </c>
      <c r="AO864">
        <v>0</v>
      </c>
      <c r="AQ864">
        <v>0</v>
      </c>
      <c r="AR864">
        <v>0</v>
      </c>
      <c r="AS864">
        <v>120</v>
      </c>
      <c r="AT864">
        <v>-12</v>
      </c>
      <c r="AU864">
        <v>0</v>
      </c>
      <c r="AW864">
        <v>0</v>
      </c>
      <c r="AX864">
        <v>0</v>
      </c>
      <c r="AY864">
        <v>145.6</v>
      </c>
      <c r="BC864" t="str">
        <f>T("9791191102086")</f>
        <v>9791191102086</v>
      </c>
      <c r="BE864" t="str">
        <f t="shared" si="122"/>
        <v>판타지 웹소설 &gt; 현대 판타지</v>
      </c>
    </row>
    <row r="865" spans="1:57" x14ac:dyDescent="0.3">
      <c r="A865">
        <v>1525004030</v>
      </c>
      <c r="B865">
        <v>1525006787</v>
      </c>
      <c r="C865" t="str">
        <f>T("회귀의 전설 2부 670화")</f>
        <v>회귀의 전설 2부 670화</v>
      </c>
      <c r="D865" t="str">
        <f>T("670")</f>
        <v>670</v>
      </c>
      <c r="E865" t="str">
        <f t="shared" si="119"/>
        <v>김광수</v>
      </c>
      <c r="H865" t="str">
        <f t="shared" si="120"/>
        <v>스토리위즈</v>
      </c>
      <c r="I865" t="str">
        <f t="shared" si="121"/>
        <v>회귀의 전설</v>
      </c>
      <c r="J865">
        <v>100</v>
      </c>
      <c r="K865">
        <v>200</v>
      </c>
      <c r="L865">
        <v>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200</v>
      </c>
      <c r="AH865">
        <v>2</v>
      </c>
      <c r="AI865">
        <v>0</v>
      </c>
      <c r="AJ865">
        <v>0</v>
      </c>
      <c r="AK865">
        <v>100</v>
      </c>
      <c r="AL865">
        <v>0</v>
      </c>
      <c r="AM865">
        <v>120</v>
      </c>
      <c r="AN865">
        <v>-12</v>
      </c>
      <c r="AO865">
        <v>0</v>
      </c>
      <c r="AQ865">
        <v>0</v>
      </c>
      <c r="AR865">
        <v>0</v>
      </c>
      <c r="AS865">
        <v>120</v>
      </c>
      <c r="AT865">
        <v>-12</v>
      </c>
      <c r="AU865">
        <v>0</v>
      </c>
      <c r="AW865">
        <v>0</v>
      </c>
      <c r="AX865">
        <v>0</v>
      </c>
      <c r="AY865">
        <v>145.6</v>
      </c>
      <c r="BC865" t="str">
        <f>T("9791191102086")</f>
        <v>9791191102086</v>
      </c>
      <c r="BE865" t="str">
        <f t="shared" si="122"/>
        <v>판타지 웹소설 &gt; 현대 판타지</v>
      </c>
    </row>
    <row r="866" spans="1:57" x14ac:dyDescent="0.3">
      <c r="A866">
        <v>1525004030</v>
      </c>
      <c r="B866">
        <v>1525006648</v>
      </c>
      <c r="C866" t="str">
        <f>T("회귀의 전설 2부 531화")</f>
        <v>회귀의 전설 2부 531화</v>
      </c>
      <c r="D866" t="str">
        <f>T("531")</f>
        <v>531</v>
      </c>
      <c r="E866" t="str">
        <f t="shared" si="119"/>
        <v>김광수</v>
      </c>
      <c r="H866" t="str">
        <f t="shared" si="120"/>
        <v>스토리위즈</v>
      </c>
      <c r="I866" t="str">
        <f t="shared" si="121"/>
        <v>회귀의 전설</v>
      </c>
      <c r="J866">
        <v>100</v>
      </c>
      <c r="K866">
        <v>200</v>
      </c>
      <c r="L866">
        <v>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200</v>
      </c>
      <c r="AH866">
        <v>2</v>
      </c>
      <c r="AI866">
        <v>0</v>
      </c>
      <c r="AJ866">
        <v>0</v>
      </c>
      <c r="AK866">
        <v>200</v>
      </c>
      <c r="AL866">
        <v>0</v>
      </c>
      <c r="AM866">
        <v>0</v>
      </c>
      <c r="AN866">
        <v>0</v>
      </c>
      <c r="AO866">
        <v>0</v>
      </c>
      <c r="AQ866">
        <v>0</v>
      </c>
      <c r="AR866">
        <v>0</v>
      </c>
      <c r="AT866">
        <v>0</v>
      </c>
      <c r="AU866">
        <v>0</v>
      </c>
      <c r="AW866">
        <v>0</v>
      </c>
      <c r="AX866">
        <v>0</v>
      </c>
      <c r="AY866">
        <v>140</v>
      </c>
      <c r="BC866" t="str">
        <f>T("9791191102086")</f>
        <v>9791191102086</v>
      </c>
      <c r="BE866" t="str">
        <f t="shared" si="122"/>
        <v>판타지 웹소설 &gt; 현대 판타지</v>
      </c>
    </row>
    <row r="867" spans="1:57" x14ac:dyDescent="0.3">
      <c r="A867">
        <v>1525004030</v>
      </c>
      <c r="B867">
        <v>1525004248</v>
      </c>
      <c r="C867" t="str">
        <f>T("회귀의 전설 219화")</f>
        <v>회귀의 전설 219화</v>
      </c>
      <c r="D867" t="str">
        <f>T("219")</f>
        <v>219</v>
      </c>
      <c r="E867" t="str">
        <f t="shared" si="119"/>
        <v>김광수</v>
      </c>
      <c r="H867" t="str">
        <f t="shared" si="120"/>
        <v>스토리위즈</v>
      </c>
      <c r="I867" t="str">
        <f t="shared" si="121"/>
        <v>회귀의 전설</v>
      </c>
      <c r="J867">
        <v>100</v>
      </c>
      <c r="K867">
        <v>200</v>
      </c>
      <c r="L867">
        <v>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200</v>
      </c>
      <c r="AH867">
        <v>2</v>
      </c>
      <c r="AI867">
        <v>0</v>
      </c>
      <c r="AJ867">
        <v>0</v>
      </c>
      <c r="AK867">
        <v>200</v>
      </c>
      <c r="AL867">
        <v>0</v>
      </c>
      <c r="AM867">
        <v>0</v>
      </c>
      <c r="AN867">
        <v>0</v>
      </c>
      <c r="AO867">
        <v>0</v>
      </c>
      <c r="AQ867">
        <v>0</v>
      </c>
      <c r="AR867">
        <v>0</v>
      </c>
      <c r="AT867">
        <v>0</v>
      </c>
      <c r="AU867">
        <v>0</v>
      </c>
      <c r="AW867">
        <v>0</v>
      </c>
      <c r="AX867">
        <v>0</v>
      </c>
      <c r="AY867">
        <v>140</v>
      </c>
      <c r="BC867" t="str">
        <f>T("9788997946006")</f>
        <v>9788997946006</v>
      </c>
      <c r="BE867" t="str">
        <f t="shared" si="122"/>
        <v>판타지 웹소설 &gt; 현대 판타지</v>
      </c>
    </row>
    <row r="868" spans="1:57" x14ac:dyDescent="0.3">
      <c r="A868">
        <v>1525004030</v>
      </c>
      <c r="B868">
        <v>1525006705</v>
      </c>
      <c r="C868" t="str">
        <f>T("회귀의 전설 2부 588화")</f>
        <v>회귀의 전설 2부 588화</v>
      </c>
      <c r="D868" t="str">
        <f>T("588")</f>
        <v>588</v>
      </c>
      <c r="E868" t="str">
        <f t="shared" si="119"/>
        <v>김광수</v>
      </c>
      <c r="H868" t="str">
        <f t="shared" si="120"/>
        <v>스토리위즈</v>
      </c>
      <c r="I868" t="str">
        <f t="shared" si="121"/>
        <v>회귀의 전설</v>
      </c>
      <c r="J868">
        <v>100</v>
      </c>
      <c r="K868">
        <v>200</v>
      </c>
      <c r="L868">
        <v>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200</v>
      </c>
      <c r="AH868">
        <v>2</v>
      </c>
      <c r="AI868">
        <v>0</v>
      </c>
      <c r="AJ868">
        <v>0</v>
      </c>
      <c r="AK868">
        <v>100</v>
      </c>
      <c r="AL868">
        <v>0</v>
      </c>
      <c r="AM868">
        <v>120</v>
      </c>
      <c r="AN868">
        <v>-36</v>
      </c>
      <c r="AO868">
        <v>0</v>
      </c>
      <c r="AQ868">
        <v>0</v>
      </c>
      <c r="AR868">
        <v>0</v>
      </c>
      <c r="AS868">
        <v>120</v>
      </c>
      <c r="AT868">
        <v>-36</v>
      </c>
      <c r="AU868">
        <v>0</v>
      </c>
      <c r="AW868">
        <v>0</v>
      </c>
      <c r="AX868">
        <v>0</v>
      </c>
      <c r="AY868">
        <v>128.80000000000001</v>
      </c>
      <c r="BC868" t="str">
        <f>T("9791191102086")</f>
        <v>9791191102086</v>
      </c>
      <c r="BE868" t="str">
        <f t="shared" si="122"/>
        <v>판타지 웹소설 &gt; 현대 판타지</v>
      </c>
    </row>
    <row r="869" spans="1:57" x14ac:dyDescent="0.3">
      <c r="A869">
        <v>1525004030</v>
      </c>
      <c r="B869">
        <v>1525004207</v>
      </c>
      <c r="C869" t="str">
        <f>T("회귀의 전설 178화")</f>
        <v>회귀의 전설 178화</v>
      </c>
      <c r="D869" t="str">
        <f>T("178")</f>
        <v>178</v>
      </c>
      <c r="E869" t="str">
        <f t="shared" si="119"/>
        <v>김광수</v>
      </c>
      <c r="H869" t="str">
        <f t="shared" si="120"/>
        <v>스토리위즈</v>
      </c>
      <c r="I869" t="str">
        <f t="shared" si="121"/>
        <v>회귀의 전설</v>
      </c>
      <c r="J869">
        <v>100</v>
      </c>
      <c r="K869">
        <v>200</v>
      </c>
      <c r="L869">
        <v>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200</v>
      </c>
      <c r="AH869">
        <v>2</v>
      </c>
      <c r="AI869">
        <v>0</v>
      </c>
      <c r="AJ869">
        <v>0</v>
      </c>
      <c r="AK869">
        <v>200</v>
      </c>
      <c r="AL869">
        <v>0</v>
      </c>
      <c r="AM869">
        <v>0</v>
      </c>
      <c r="AN869">
        <v>0</v>
      </c>
      <c r="AO869">
        <v>0</v>
      </c>
      <c r="AQ869">
        <v>0</v>
      </c>
      <c r="AR869">
        <v>0</v>
      </c>
      <c r="AT869">
        <v>0</v>
      </c>
      <c r="AU869">
        <v>0</v>
      </c>
      <c r="AW869">
        <v>0</v>
      </c>
      <c r="AX869">
        <v>0</v>
      </c>
      <c r="AY869">
        <v>140</v>
      </c>
      <c r="BC869" t="str">
        <f>T("9788997946006")</f>
        <v>9788997946006</v>
      </c>
      <c r="BE869" t="str">
        <f t="shared" si="122"/>
        <v>판타지 웹소설 &gt; 현대 판타지</v>
      </c>
    </row>
    <row r="870" spans="1:57" x14ac:dyDescent="0.3">
      <c r="A870">
        <v>1525004030</v>
      </c>
      <c r="B870">
        <v>1525006860</v>
      </c>
      <c r="C870" t="str">
        <f>T("회귀의 전설 2부 743화")</f>
        <v>회귀의 전설 2부 743화</v>
      </c>
      <c r="D870" t="str">
        <f>T("743")</f>
        <v>743</v>
      </c>
      <c r="E870" t="str">
        <f t="shared" si="119"/>
        <v>김광수</v>
      </c>
      <c r="H870" t="str">
        <f t="shared" si="120"/>
        <v>스토리위즈</v>
      </c>
      <c r="I870" t="str">
        <f t="shared" si="121"/>
        <v>회귀의 전설</v>
      </c>
      <c r="J870">
        <v>100</v>
      </c>
      <c r="K870">
        <v>200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200</v>
      </c>
      <c r="AH870">
        <v>2</v>
      </c>
      <c r="AI870">
        <v>0</v>
      </c>
      <c r="AJ870">
        <v>0</v>
      </c>
      <c r="AK870">
        <v>100</v>
      </c>
      <c r="AL870">
        <v>0</v>
      </c>
      <c r="AM870">
        <v>120</v>
      </c>
      <c r="AN870">
        <v>-12</v>
      </c>
      <c r="AO870">
        <v>0</v>
      </c>
      <c r="AQ870">
        <v>0</v>
      </c>
      <c r="AR870">
        <v>0</v>
      </c>
      <c r="AS870">
        <v>120</v>
      </c>
      <c r="AT870">
        <v>-12</v>
      </c>
      <c r="AU870">
        <v>0</v>
      </c>
      <c r="AW870">
        <v>0</v>
      </c>
      <c r="AX870">
        <v>0</v>
      </c>
      <c r="AY870">
        <v>145.6</v>
      </c>
      <c r="BC870" t="str">
        <f>T("9791191102086")</f>
        <v>9791191102086</v>
      </c>
      <c r="BE870" t="str">
        <f t="shared" si="122"/>
        <v>판타지 웹소설 &gt; 현대 판타지</v>
      </c>
    </row>
    <row r="871" spans="1:57" x14ac:dyDescent="0.3">
      <c r="A871">
        <v>1525004030</v>
      </c>
      <c r="B871">
        <v>1525004110</v>
      </c>
      <c r="C871" t="str">
        <f>T("회귀의 전설 81화")</f>
        <v>회귀의 전설 81화</v>
      </c>
      <c r="D871" t="str">
        <f>T("81")</f>
        <v>81</v>
      </c>
      <c r="E871" t="str">
        <f t="shared" si="119"/>
        <v>김광수</v>
      </c>
      <c r="H871" t="str">
        <f t="shared" si="120"/>
        <v>스토리위즈</v>
      </c>
      <c r="I871" t="str">
        <f t="shared" si="121"/>
        <v>회귀의 전설</v>
      </c>
      <c r="J871">
        <v>100</v>
      </c>
      <c r="K871">
        <v>200</v>
      </c>
      <c r="L871">
        <v>2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200</v>
      </c>
      <c r="AH871">
        <v>2</v>
      </c>
      <c r="AI871">
        <v>0</v>
      </c>
      <c r="AJ871">
        <v>0</v>
      </c>
      <c r="AK871">
        <v>190</v>
      </c>
      <c r="AL871">
        <v>0</v>
      </c>
      <c r="AM871">
        <v>12</v>
      </c>
      <c r="AN871">
        <v>-1.2</v>
      </c>
      <c r="AO871">
        <v>0</v>
      </c>
      <c r="AQ871">
        <v>0</v>
      </c>
      <c r="AR871">
        <v>0</v>
      </c>
      <c r="AS871">
        <v>12</v>
      </c>
      <c r="AT871">
        <v>-1.2</v>
      </c>
      <c r="AU871">
        <v>0</v>
      </c>
      <c r="AW871">
        <v>0</v>
      </c>
      <c r="AX871">
        <v>0</v>
      </c>
      <c r="AY871">
        <v>140.56</v>
      </c>
      <c r="BC871" t="str">
        <f>T("9788997946006")</f>
        <v>9788997946006</v>
      </c>
      <c r="BE871" t="str">
        <f t="shared" si="122"/>
        <v>판타지 웹소설 &gt; 현대 판타지</v>
      </c>
    </row>
    <row r="872" spans="1:57" x14ac:dyDescent="0.3">
      <c r="A872">
        <v>1525004030</v>
      </c>
      <c r="B872">
        <v>1525004326</v>
      </c>
      <c r="C872" t="str">
        <f>T("회귀의 전설 297화")</f>
        <v>회귀의 전설 297화</v>
      </c>
      <c r="D872" t="str">
        <f>T("297")</f>
        <v>297</v>
      </c>
      <c r="E872" t="str">
        <f t="shared" si="119"/>
        <v>김광수</v>
      </c>
      <c r="H872" t="str">
        <f t="shared" si="120"/>
        <v>스토리위즈</v>
      </c>
      <c r="I872" t="str">
        <f t="shared" si="121"/>
        <v>회귀의 전설</v>
      </c>
      <c r="J872">
        <v>100</v>
      </c>
      <c r="K872">
        <v>200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200</v>
      </c>
      <c r="AH872">
        <v>2</v>
      </c>
      <c r="AI872">
        <v>0</v>
      </c>
      <c r="AJ872">
        <v>0</v>
      </c>
      <c r="AK872">
        <v>200</v>
      </c>
      <c r="AL872">
        <v>0</v>
      </c>
      <c r="AM872">
        <v>0</v>
      </c>
      <c r="AN872">
        <v>0</v>
      </c>
      <c r="AO872">
        <v>0</v>
      </c>
      <c r="AQ872">
        <v>0</v>
      </c>
      <c r="AR872">
        <v>0</v>
      </c>
      <c r="AT872">
        <v>0</v>
      </c>
      <c r="AU872">
        <v>0</v>
      </c>
      <c r="AW872">
        <v>0</v>
      </c>
      <c r="AX872">
        <v>0</v>
      </c>
      <c r="AY872">
        <v>140</v>
      </c>
      <c r="BC872" t="str">
        <f>T("9788997946006")</f>
        <v>9788997946006</v>
      </c>
      <c r="BE872" t="str">
        <f t="shared" si="122"/>
        <v>판타지 웹소설 &gt; 현대 판타지</v>
      </c>
    </row>
    <row r="873" spans="1:57" x14ac:dyDescent="0.3">
      <c r="A873">
        <v>1525004030</v>
      </c>
      <c r="B873">
        <v>1525004522</v>
      </c>
      <c r="C873" t="str">
        <f>T("회귀의 전설 393화")</f>
        <v>회귀의 전설 393화</v>
      </c>
      <c r="D873" t="str">
        <f>T("393")</f>
        <v>393</v>
      </c>
      <c r="E873" t="str">
        <f t="shared" si="119"/>
        <v>김광수</v>
      </c>
      <c r="H873" t="str">
        <f t="shared" si="120"/>
        <v>스토리위즈</v>
      </c>
      <c r="I873" t="str">
        <f t="shared" si="121"/>
        <v>회귀의 전설</v>
      </c>
      <c r="J873">
        <v>100</v>
      </c>
      <c r="K873">
        <v>200</v>
      </c>
      <c r="L873">
        <v>2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200</v>
      </c>
      <c r="AH873">
        <v>2</v>
      </c>
      <c r="AI873">
        <v>0</v>
      </c>
      <c r="AJ873">
        <v>0</v>
      </c>
      <c r="AK873">
        <v>200</v>
      </c>
      <c r="AL873">
        <v>0</v>
      </c>
      <c r="AM873">
        <v>0</v>
      </c>
      <c r="AN873">
        <v>0</v>
      </c>
      <c r="AO873">
        <v>0</v>
      </c>
      <c r="AQ873">
        <v>0</v>
      </c>
      <c r="AR873">
        <v>0</v>
      </c>
      <c r="AT873">
        <v>0</v>
      </c>
      <c r="AU873">
        <v>0</v>
      </c>
      <c r="AW873">
        <v>0</v>
      </c>
      <c r="AX873">
        <v>0</v>
      </c>
      <c r="AY873">
        <v>140</v>
      </c>
      <c r="BC873" t="str">
        <f>T("9788997946006")</f>
        <v>9788997946006</v>
      </c>
      <c r="BE873" t="str">
        <f t="shared" si="122"/>
        <v>판타지 웹소설 &gt; 현대 판타지</v>
      </c>
    </row>
    <row r="874" spans="1:57" x14ac:dyDescent="0.3">
      <c r="A874">
        <v>1525004030</v>
      </c>
      <c r="B874">
        <v>1525004237</v>
      </c>
      <c r="C874" t="str">
        <f>T("회귀의 전설 208화")</f>
        <v>회귀의 전설 208화</v>
      </c>
      <c r="D874" t="str">
        <f>T("208")</f>
        <v>208</v>
      </c>
      <c r="E874" t="str">
        <f t="shared" si="119"/>
        <v>김광수</v>
      </c>
      <c r="H874" t="str">
        <f t="shared" si="120"/>
        <v>스토리위즈</v>
      </c>
      <c r="I874" t="str">
        <f t="shared" si="121"/>
        <v>회귀의 전설</v>
      </c>
      <c r="J874">
        <v>100</v>
      </c>
      <c r="K874">
        <v>200</v>
      </c>
      <c r="L874">
        <v>2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200</v>
      </c>
      <c r="AH874">
        <v>2</v>
      </c>
      <c r="AI874">
        <v>0</v>
      </c>
      <c r="AJ874">
        <v>0</v>
      </c>
      <c r="AK874">
        <v>200</v>
      </c>
      <c r="AL874">
        <v>0</v>
      </c>
      <c r="AM874">
        <v>0</v>
      </c>
      <c r="AN874">
        <v>0</v>
      </c>
      <c r="AO874">
        <v>0</v>
      </c>
      <c r="AQ874">
        <v>0</v>
      </c>
      <c r="AR874">
        <v>0</v>
      </c>
      <c r="AT874">
        <v>0</v>
      </c>
      <c r="AU874">
        <v>0</v>
      </c>
      <c r="AW874">
        <v>0</v>
      </c>
      <c r="AX874">
        <v>0</v>
      </c>
      <c r="AY874">
        <v>140</v>
      </c>
      <c r="BC874" t="str">
        <f>T("9788997946006")</f>
        <v>9788997946006</v>
      </c>
      <c r="BE874" t="str">
        <f t="shared" si="122"/>
        <v>판타지 웹소설 &gt; 현대 판타지</v>
      </c>
    </row>
    <row r="875" spans="1:57" x14ac:dyDescent="0.3">
      <c r="A875">
        <v>1525004030</v>
      </c>
      <c r="B875">
        <v>1525006849</v>
      </c>
      <c r="C875" t="str">
        <f>T("회귀의 전설 2부 732화")</f>
        <v>회귀의 전설 2부 732화</v>
      </c>
      <c r="D875" t="str">
        <f>T("732")</f>
        <v>732</v>
      </c>
      <c r="E875" t="str">
        <f t="shared" si="119"/>
        <v>김광수</v>
      </c>
      <c r="H875" t="str">
        <f t="shared" si="120"/>
        <v>스토리위즈</v>
      </c>
      <c r="I875" t="str">
        <f t="shared" si="121"/>
        <v>회귀의 전설</v>
      </c>
      <c r="J875">
        <v>100</v>
      </c>
      <c r="K875">
        <v>200</v>
      </c>
      <c r="L875">
        <v>2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200</v>
      </c>
      <c r="AH875">
        <v>2</v>
      </c>
      <c r="AI875">
        <v>0</v>
      </c>
      <c r="AJ875">
        <v>0</v>
      </c>
      <c r="AK875">
        <v>100</v>
      </c>
      <c r="AL875">
        <v>0</v>
      </c>
      <c r="AM875">
        <v>120</v>
      </c>
      <c r="AN875">
        <v>-12</v>
      </c>
      <c r="AO875">
        <v>0</v>
      </c>
      <c r="AQ875">
        <v>0</v>
      </c>
      <c r="AR875">
        <v>0</v>
      </c>
      <c r="AS875">
        <v>120</v>
      </c>
      <c r="AT875">
        <v>-12</v>
      </c>
      <c r="AU875">
        <v>0</v>
      </c>
      <c r="AW875">
        <v>0</v>
      </c>
      <c r="AX875">
        <v>0</v>
      </c>
      <c r="AY875">
        <v>145.6</v>
      </c>
      <c r="BC875" t="str">
        <f>T("9791191102086")</f>
        <v>9791191102086</v>
      </c>
      <c r="BE875" t="str">
        <f t="shared" si="122"/>
        <v>판타지 웹소설 &gt; 현대 판타지</v>
      </c>
    </row>
    <row r="876" spans="1:57" x14ac:dyDescent="0.3">
      <c r="A876">
        <v>1525004030</v>
      </c>
      <c r="B876">
        <v>1525006808</v>
      </c>
      <c r="C876" t="str">
        <f>T("회귀의 전설 2부 691화")</f>
        <v>회귀의 전설 2부 691화</v>
      </c>
      <c r="D876" t="str">
        <f>T("691")</f>
        <v>691</v>
      </c>
      <c r="E876" t="str">
        <f t="shared" si="119"/>
        <v>김광수</v>
      </c>
      <c r="H876" t="str">
        <f t="shared" si="120"/>
        <v>스토리위즈</v>
      </c>
      <c r="I876" t="str">
        <f t="shared" si="121"/>
        <v>회귀의 전설</v>
      </c>
      <c r="J876">
        <v>100</v>
      </c>
      <c r="K876">
        <v>200</v>
      </c>
      <c r="L876">
        <v>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200</v>
      </c>
      <c r="AH876">
        <v>2</v>
      </c>
      <c r="AI876">
        <v>0</v>
      </c>
      <c r="AJ876">
        <v>0</v>
      </c>
      <c r="AK876">
        <v>100</v>
      </c>
      <c r="AL876">
        <v>0</v>
      </c>
      <c r="AM876">
        <v>120</v>
      </c>
      <c r="AN876">
        <v>-12</v>
      </c>
      <c r="AO876">
        <v>0</v>
      </c>
      <c r="AQ876">
        <v>0</v>
      </c>
      <c r="AR876">
        <v>0</v>
      </c>
      <c r="AS876">
        <v>120</v>
      </c>
      <c r="AT876">
        <v>-12</v>
      </c>
      <c r="AU876">
        <v>0</v>
      </c>
      <c r="AW876">
        <v>0</v>
      </c>
      <c r="AX876">
        <v>0</v>
      </c>
      <c r="AY876">
        <v>145.6</v>
      </c>
      <c r="BC876" t="str">
        <f>T("9791191102086")</f>
        <v>9791191102086</v>
      </c>
      <c r="BE876" t="str">
        <f t="shared" si="122"/>
        <v>판타지 웹소설 &gt; 현대 판타지</v>
      </c>
    </row>
    <row r="877" spans="1:57" x14ac:dyDescent="0.3">
      <c r="A877">
        <v>1525004030</v>
      </c>
      <c r="B877">
        <v>1525004269</v>
      </c>
      <c r="C877" t="str">
        <f>T("회귀의 전설 240화")</f>
        <v>회귀의 전설 240화</v>
      </c>
      <c r="D877" t="str">
        <f>T("240")</f>
        <v>240</v>
      </c>
      <c r="E877" t="str">
        <f t="shared" si="119"/>
        <v>김광수</v>
      </c>
      <c r="H877" t="str">
        <f t="shared" si="120"/>
        <v>스토리위즈</v>
      </c>
      <c r="I877" t="str">
        <f t="shared" si="121"/>
        <v>회귀의 전설</v>
      </c>
      <c r="J877">
        <v>100</v>
      </c>
      <c r="K877">
        <v>200</v>
      </c>
      <c r="L877">
        <v>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200</v>
      </c>
      <c r="AH877">
        <v>2</v>
      </c>
      <c r="AI877">
        <v>0</v>
      </c>
      <c r="AJ877">
        <v>0</v>
      </c>
      <c r="AK877">
        <v>200</v>
      </c>
      <c r="AL877">
        <v>0</v>
      </c>
      <c r="AM877">
        <v>0</v>
      </c>
      <c r="AN877">
        <v>0</v>
      </c>
      <c r="AO877">
        <v>0</v>
      </c>
      <c r="AQ877">
        <v>0</v>
      </c>
      <c r="AR877">
        <v>0</v>
      </c>
      <c r="AT877">
        <v>0</v>
      </c>
      <c r="AU877">
        <v>0</v>
      </c>
      <c r="AW877">
        <v>0</v>
      </c>
      <c r="AX877">
        <v>0</v>
      </c>
      <c r="AY877">
        <v>140</v>
      </c>
      <c r="BC877" t="str">
        <f>T("9788997946006")</f>
        <v>9788997946006</v>
      </c>
      <c r="BE877" t="str">
        <f t="shared" si="122"/>
        <v>판타지 웹소설 &gt; 현대 판타지</v>
      </c>
    </row>
    <row r="878" spans="1:57" x14ac:dyDescent="0.3">
      <c r="A878">
        <v>1525004030</v>
      </c>
      <c r="B878">
        <v>1525004343</v>
      </c>
      <c r="C878" t="str">
        <f>T("회귀의 전설 315화")</f>
        <v>회귀의 전설 315화</v>
      </c>
      <c r="D878" t="str">
        <f>T("315")</f>
        <v>315</v>
      </c>
      <c r="E878" t="str">
        <f t="shared" si="119"/>
        <v>김광수</v>
      </c>
      <c r="H878" t="str">
        <f t="shared" si="120"/>
        <v>스토리위즈</v>
      </c>
      <c r="I878" t="str">
        <f t="shared" si="121"/>
        <v>회귀의 전설</v>
      </c>
      <c r="J878">
        <v>100</v>
      </c>
      <c r="K878">
        <v>200</v>
      </c>
      <c r="L878">
        <v>2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200</v>
      </c>
      <c r="AH878">
        <v>2</v>
      </c>
      <c r="AI878">
        <v>0</v>
      </c>
      <c r="AJ878">
        <v>0</v>
      </c>
      <c r="AK878">
        <v>200</v>
      </c>
      <c r="AL878">
        <v>0</v>
      </c>
      <c r="AM878">
        <v>0</v>
      </c>
      <c r="AN878">
        <v>0</v>
      </c>
      <c r="AO878">
        <v>0</v>
      </c>
      <c r="AQ878">
        <v>0</v>
      </c>
      <c r="AR878">
        <v>0</v>
      </c>
      <c r="AT878">
        <v>0</v>
      </c>
      <c r="AU878">
        <v>0</v>
      </c>
      <c r="AW878">
        <v>0</v>
      </c>
      <c r="AX878">
        <v>0</v>
      </c>
      <c r="AY878">
        <v>140</v>
      </c>
      <c r="BC878" t="str">
        <f>T("9788997946006")</f>
        <v>9788997946006</v>
      </c>
      <c r="BE878" t="str">
        <f t="shared" si="122"/>
        <v>판타지 웹소설 &gt; 현대 판타지</v>
      </c>
    </row>
    <row r="879" spans="1:57" x14ac:dyDescent="0.3">
      <c r="A879">
        <v>1525004030</v>
      </c>
      <c r="B879">
        <v>1525004400</v>
      </c>
      <c r="C879" t="str">
        <f>T("회귀의 전설 372화")</f>
        <v>회귀의 전설 372화</v>
      </c>
      <c r="D879" t="str">
        <f>T("372")</f>
        <v>372</v>
      </c>
      <c r="E879" t="str">
        <f t="shared" si="119"/>
        <v>김광수</v>
      </c>
      <c r="H879" t="str">
        <f t="shared" si="120"/>
        <v>스토리위즈</v>
      </c>
      <c r="I879" t="str">
        <f t="shared" si="121"/>
        <v>회귀의 전설</v>
      </c>
      <c r="J879">
        <v>100</v>
      </c>
      <c r="K879">
        <v>200</v>
      </c>
      <c r="L879">
        <v>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200</v>
      </c>
      <c r="AH879">
        <v>2</v>
      </c>
      <c r="AI879">
        <v>0</v>
      </c>
      <c r="AJ879">
        <v>0</v>
      </c>
      <c r="AK879">
        <v>200</v>
      </c>
      <c r="AL879">
        <v>0</v>
      </c>
      <c r="AM879">
        <v>0</v>
      </c>
      <c r="AN879">
        <v>0</v>
      </c>
      <c r="AO879">
        <v>0</v>
      </c>
      <c r="AQ879">
        <v>0</v>
      </c>
      <c r="AR879">
        <v>0</v>
      </c>
      <c r="AT879">
        <v>0</v>
      </c>
      <c r="AU879">
        <v>0</v>
      </c>
      <c r="AW879">
        <v>0</v>
      </c>
      <c r="AX879">
        <v>0</v>
      </c>
      <c r="AY879">
        <v>140</v>
      </c>
      <c r="BC879" t="str">
        <f>T("9788997946006")</f>
        <v>9788997946006</v>
      </c>
      <c r="BE879" t="str">
        <f t="shared" si="122"/>
        <v>판타지 웹소설 &gt; 현대 판타지</v>
      </c>
    </row>
    <row r="880" spans="1:57" x14ac:dyDescent="0.3">
      <c r="A880">
        <v>1525004030</v>
      </c>
      <c r="B880">
        <v>1525006881</v>
      </c>
      <c r="C880" t="str">
        <f>T("회귀의 전설 2부 764화")</f>
        <v>회귀의 전설 2부 764화</v>
      </c>
      <c r="D880" t="str">
        <f>T("764")</f>
        <v>764</v>
      </c>
      <c r="E880" t="str">
        <f t="shared" si="119"/>
        <v>김광수</v>
      </c>
      <c r="H880" t="str">
        <f t="shared" si="120"/>
        <v>스토리위즈</v>
      </c>
      <c r="I880" t="str">
        <f t="shared" si="121"/>
        <v>회귀의 전설</v>
      </c>
      <c r="J880">
        <v>100</v>
      </c>
      <c r="K880">
        <v>200</v>
      </c>
      <c r="L880">
        <v>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200</v>
      </c>
      <c r="AH880">
        <v>2</v>
      </c>
      <c r="AI880">
        <v>0</v>
      </c>
      <c r="AJ880">
        <v>0</v>
      </c>
      <c r="AK880">
        <v>100</v>
      </c>
      <c r="AL880">
        <v>0</v>
      </c>
      <c r="AM880">
        <v>120</v>
      </c>
      <c r="AN880">
        <v>-12</v>
      </c>
      <c r="AO880">
        <v>0</v>
      </c>
      <c r="AQ880">
        <v>0</v>
      </c>
      <c r="AR880">
        <v>0</v>
      </c>
      <c r="AS880">
        <v>120</v>
      </c>
      <c r="AT880">
        <v>-12</v>
      </c>
      <c r="AU880">
        <v>0</v>
      </c>
      <c r="AW880">
        <v>0</v>
      </c>
      <c r="AX880">
        <v>0</v>
      </c>
      <c r="AY880">
        <v>145.6</v>
      </c>
      <c r="BC880" t="str">
        <f>T("9791191102086")</f>
        <v>9791191102086</v>
      </c>
      <c r="BE880" t="str">
        <f t="shared" si="122"/>
        <v>판타지 웹소설 &gt; 현대 판타지</v>
      </c>
    </row>
    <row r="881" spans="1:57" x14ac:dyDescent="0.3">
      <c r="A881">
        <v>1525004030</v>
      </c>
      <c r="B881">
        <v>1525004457</v>
      </c>
      <c r="C881" t="str">
        <f>T("회귀의 전설 441화")</f>
        <v>회귀의 전설 441화</v>
      </c>
      <c r="D881" t="str">
        <f>T("441")</f>
        <v>441</v>
      </c>
      <c r="E881" t="str">
        <f t="shared" si="119"/>
        <v>김광수</v>
      </c>
      <c r="H881" t="str">
        <f t="shared" si="120"/>
        <v>스토리위즈</v>
      </c>
      <c r="I881" t="str">
        <f t="shared" si="121"/>
        <v>회귀의 전설</v>
      </c>
      <c r="J881">
        <v>100</v>
      </c>
      <c r="K881">
        <v>200</v>
      </c>
      <c r="L881">
        <v>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200</v>
      </c>
      <c r="AH881">
        <v>2</v>
      </c>
      <c r="AI881">
        <v>0</v>
      </c>
      <c r="AJ881">
        <v>0</v>
      </c>
      <c r="AK881">
        <v>200</v>
      </c>
      <c r="AL881">
        <v>0</v>
      </c>
      <c r="AM881">
        <v>0</v>
      </c>
      <c r="AN881">
        <v>0</v>
      </c>
      <c r="AO881">
        <v>0</v>
      </c>
      <c r="AQ881">
        <v>0</v>
      </c>
      <c r="AR881">
        <v>0</v>
      </c>
      <c r="AT881">
        <v>0</v>
      </c>
      <c r="AU881">
        <v>0</v>
      </c>
      <c r="AW881">
        <v>0</v>
      </c>
      <c r="AX881">
        <v>0</v>
      </c>
      <c r="AY881">
        <v>140</v>
      </c>
      <c r="BC881" t="str">
        <f>T("9788997946006")</f>
        <v>9788997946006</v>
      </c>
      <c r="BE881" t="str">
        <f t="shared" si="122"/>
        <v>판타지 웹소설 &gt; 현대 판타지</v>
      </c>
    </row>
    <row r="882" spans="1:57" x14ac:dyDescent="0.3">
      <c r="A882">
        <v>1525004030</v>
      </c>
      <c r="B882">
        <v>1525004375</v>
      </c>
      <c r="C882" t="str">
        <f>T("회귀의 전설 347화")</f>
        <v>회귀의 전설 347화</v>
      </c>
      <c r="D882" t="str">
        <f>T("347")</f>
        <v>347</v>
      </c>
      <c r="E882" t="str">
        <f t="shared" si="119"/>
        <v>김광수</v>
      </c>
      <c r="H882" t="str">
        <f t="shared" si="120"/>
        <v>스토리위즈</v>
      </c>
      <c r="I882" t="str">
        <f t="shared" si="121"/>
        <v>회귀의 전설</v>
      </c>
      <c r="J882">
        <v>100</v>
      </c>
      <c r="K882">
        <v>200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200</v>
      </c>
      <c r="AH882">
        <v>2</v>
      </c>
      <c r="AI882">
        <v>0</v>
      </c>
      <c r="AJ882">
        <v>0</v>
      </c>
      <c r="AK882">
        <v>200</v>
      </c>
      <c r="AL882">
        <v>0</v>
      </c>
      <c r="AM882">
        <v>0</v>
      </c>
      <c r="AN882">
        <v>0</v>
      </c>
      <c r="AO882">
        <v>0</v>
      </c>
      <c r="AQ882">
        <v>0</v>
      </c>
      <c r="AR882">
        <v>0</v>
      </c>
      <c r="AT882">
        <v>0</v>
      </c>
      <c r="AU882">
        <v>0</v>
      </c>
      <c r="AW882">
        <v>0</v>
      </c>
      <c r="AX882">
        <v>0</v>
      </c>
      <c r="AY882">
        <v>140</v>
      </c>
      <c r="BC882" t="str">
        <f>T("9788997946006")</f>
        <v>9788997946006</v>
      </c>
      <c r="BE882" t="str">
        <f t="shared" si="122"/>
        <v>판타지 웹소설 &gt; 현대 판타지</v>
      </c>
    </row>
    <row r="883" spans="1:57" x14ac:dyDescent="0.3">
      <c r="A883">
        <v>1525004030</v>
      </c>
      <c r="B883">
        <v>1525004432</v>
      </c>
      <c r="C883" t="str">
        <f>T("회귀의 전설 416화")</f>
        <v>회귀의 전설 416화</v>
      </c>
      <c r="D883" t="str">
        <f>T("416")</f>
        <v>416</v>
      </c>
      <c r="E883" t="str">
        <f t="shared" si="119"/>
        <v>김광수</v>
      </c>
      <c r="H883" t="str">
        <f t="shared" si="120"/>
        <v>스토리위즈</v>
      </c>
      <c r="I883" t="str">
        <f t="shared" si="121"/>
        <v>회귀의 전설</v>
      </c>
      <c r="J883">
        <v>100</v>
      </c>
      <c r="K883">
        <v>200</v>
      </c>
      <c r="L883">
        <v>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200</v>
      </c>
      <c r="AH883">
        <v>2</v>
      </c>
      <c r="AI883">
        <v>0</v>
      </c>
      <c r="AJ883">
        <v>0</v>
      </c>
      <c r="AK883">
        <v>200</v>
      </c>
      <c r="AL883">
        <v>0</v>
      </c>
      <c r="AM883">
        <v>0</v>
      </c>
      <c r="AN883">
        <v>0</v>
      </c>
      <c r="AO883">
        <v>0</v>
      </c>
      <c r="AQ883">
        <v>0</v>
      </c>
      <c r="AR883">
        <v>0</v>
      </c>
      <c r="AT883">
        <v>0</v>
      </c>
      <c r="AU883">
        <v>0</v>
      </c>
      <c r="AW883">
        <v>0</v>
      </c>
      <c r="AX883">
        <v>0</v>
      </c>
      <c r="AY883">
        <v>140</v>
      </c>
      <c r="BC883" t="str">
        <f>T("9788997946006")</f>
        <v>9788997946006</v>
      </c>
      <c r="BE883" t="str">
        <f t="shared" si="122"/>
        <v>판타지 웹소설 &gt; 현대 판타지</v>
      </c>
    </row>
    <row r="884" spans="1:57" x14ac:dyDescent="0.3">
      <c r="A884">
        <v>1525004030</v>
      </c>
      <c r="B884">
        <v>1525004489</v>
      </c>
      <c r="C884" t="str">
        <f>T("회귀의 전설 473화")</f>
        <v>회귀의 전설 473화</v>
      </c>
      <c r="D884" t="str">
        <f>T("473")</f>
        <v>473</v>
      </c>
      <c r="E884" t="str">
        <f t="shared" si="119"/>
        <v>김광수</v>
      </c>
      <c r="H884" t="str">
        <f t="shared" si="120"/>
        <v>스토리위즈</v>
      </c>
      <c r="I884" t="str">
        <f t="shared" si="121"/>
        <v>회귀의 전설</v>
      </c>
      <c r="J884">
        <v>100</v>
      </c>
      <c r="K884">
        <v>200</v>
      </c>
      <c r="L884">
        <v>2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200</v>
      </c>
      <c r="AH884">
        <v>2</v>
      </c>
      <c r="AI884">
        <v>0</v>
      </c>
      <c r="AJ884">
        <v>0</v>
      </c>
      <c r="AK884">
        <v>200</v>
      </c>
      <c r="AL884">
        <v>0</v>
      </c>
      <c r="AM884">
        <v>0</v>
      </c>
      <c r="AN884">
        <v>0</v>
      </c>
      <c r="AO884">
        <v>0</v>
      </c>
      <c r="AQ884">
        <v>0</v>
      </c>
      <c r="AR884">
        <v>0</v>
      </c>
      <c r="AT884">
        <v>0</v>
      </c>
      <c r="AU884">
        <v>0</v>
      </c>
      <c r="AW884">
        <v>0</v>
      </c>
      <c r="AX884">
        <v>0</v>
      </c>
      <c r="AY884">
        <v>140</v>
      </c>
      <c r="BC884" t="str">
        <f>T("9788997946006")</f>
        <v>9788997946006</v>
      </c>
      <c r="BE884" t="str">
        <f t="shared" si="122"/>
        <v>판타지 웹소설 &gt; 현대 판타지</v>
      </c>
    </row>
    <row r="885" spans="1:57" x14ac:dyDescent="0.3">
      <c r="A885">
        <v>1525004030</v>
      </c>
      <c r="B885">
        <v>1525004294</v>
      </c>
      <c r="C885" t="str">
        <f>T("회귀의 전설 265화")</f>
        <v>회귀의 전설 265화</v>
      </c>
      <c r="D885" t="str">
        <f>T("265")</f>
        <v>265</v>
      </c>
      <c r="E885" t="str">
        <f t="shared" si="119"/>
        <v>김광수</v>
      </c>
      <c r="H885" t="str">
        <f t="shared" si="120"/>
        <v>스토리위즈</v>
      </c>
      <c r="I885" t="str">
        <f t="shared" si="121"/>
        <v>회귀의 전설</v>
      </c>
      <c r="J885">
        <v>100</v>
      </c>
      <c r="K885">
        <v>200</v>
      </c>
      <c r="L885">
        <v>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200</v>
      </c>
      <c r="AH885">
        <v>2</v>
      </c>
      <c r="AI885">
        <v>0</v>
      </c>
      <c r="AJ885">
        <v>0</v>
      </c>
      <c r="AK885">
        <v>200</v>
      </c>
      <c r="AL885">
        <v>0</v>
      </c>
      <c r="AM885">
        <v>0</v>
      </c>
      <c r="AN885">
        <v>0</v>
      </c>
      <c r="AO885">
        <v>0</v>
      </c>
      <c r="AQ885">
        <v>0</v>
      </c>
      <c r="AR885">
        <v>0</v>
      </c>
      <c r="AT885">
        <v>0</v>
      </c>
      <c r="AU885">
        <v>0</v>
      </c>
      <c r="AW885">
        <v>0</v>
      </c>
      <c r="AX885">
        <v>0</v>
      </c>
      <c r="AY885">
        <v>140</v>
      </c>
      <c r="BC885" t="str">
        <f>T("9788997946006")</f>
        <v>9788997946006</v>
      </c>
      <c r="BE885" t="str">
        <f t="shared" si="122"/>
        <v>판타지 웹소설 &gt; 현대 판타지</v>
      </c>
    </row>
    <row r="886" spans="1:57" x14ac:dyDescent="0.3">
      <c r="A886">
        <v>1525004030</v>
      </c>
      <c r="B886">
        <v>1525006662</v>
      </c>
      <c r="C886" t="str">
        <f>T("회귀의 전설 2부 545화")</f>
        <v>회귀의 전설 2부 545화</v>
      </c>
      <c r="D886" t="str">
        <f>T("545")</f>
        <v>545</v>
      </c>
      <c r="E886" t="str">
        <f t="shared" si="119"/>
        <v>김광수</v>
      </c>
      <c r="H886" t="str">
        <f t="shared" si="120"/>
        <v>스토리위즈</v>
      </c>
      <c r="I886" t="str">
        <f t="shared" si="121"/>
        <v>회귀의 전설</v>
      </c>
      <c r="J886">
        <v>100</v>
      </c>
      <c r="K886">
        <v>200</v>
      </c>
      <c r="L886">
        <v>2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200</v>
      </c>
      <c r="AH886">
        <v>2</v>
      </c>
      <c r="AI886">
        <v>0</v>
      </c>
      <c r="AJ886">
        <v>0</v>
      </c>
      <c r="AK886">
        <v>200</v>
      </c>
      <c r="AL886">
        <v>0</v>
      </c>
      <c r="AM886">
        <v>0</v>
      </c>
      <c r="AN886">
        <v>0</v>
      </c>
      <c r="AO886">
        <v>0</v>
      </c>
      <c r="AQ886">
        <v>0</v>
      </c>
      <c r="AR886">
        <v>0</v>
      </c>
      <c r="AT886">
        <v>0</v>
      </c>
      <c r="AU886">
        <v>0</v>
      </c>
      <c r="AW886">
        <v>0</v>
      </c>
      <c r="AX886">
        <v>0</v>
      </c>
      <c r="AY886">
        <v>140</v>
      </c>
      <c r="BC886" t="str">
        <f>T("9791191102086")</f>
        <v>9791191102086</v>
      </c>
      <c r="BE886" t="str">
        <f t="shared" si="122"/>
        <v>판타지 웹소설 &gt; 현대 판타지</v>
      </c>
    </row>
    <row r="887" spans="1:57" x14ac:dyDescent="0.3">
      <c r="A887">
        <v>1525008428</v>
      </c>
      <c r="B887">
        <v>1525008436</v>
      </c>
      <c r="C887" t="str">
        <f>T("무히비(Muhibbi) 27화")</f>
        <v>무히비(Muhibbi) 27화</v>
      </c>
      <c r="D887" t="str">
        <f>T("27")</f>
        <v>27</v>
      </c>
      <c r="E887" t="str">
        <f>T("jooki")</f>
        <v>jooki</v>
      </c>
      <c r="H887" t="str">
        <f>T("블러쉬")</f>
        <v>블러쉬</v>
      </c>
      <c r="I887" t="str">
        <f>T("무히비(Muhibbi)")</f>
        <v>무히비(Muhibbi)</v>
      </c>
      <c r="J887">
        <v>100</v>
      </c>
      <c r="K887">
        <v>200</v>
      </c>
      <c r="L887">
        <v>2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200</v>
      </c>
      <c r="AH887">
        <v>2</v>
      </c>
      <c r="AI887">
        <v>0</v>
      </c>
      <c r="AJ887">
        <v>0</v>
      </c>
      <c r="AK887">
        <v>200</v>
      </c>
      <c r="AL887">
        <v>0</v>
      </c>
      <c r="AM887">
        <v>0</v>
      </c>
      <c r="AN887">
        <v>0</v>
      </c>
      <c r="AO887">
        <v>0</v>
      </c>
      <c r="AQ887">
        <v>0</v>
      </c>
      <c r="AR887">
        <v>0</v>
      </c>
      <c r="AT887">
        <v>0</v>
      </c>
      <c r="AU887">
        <v>0</v>
      </c>
      <c r="AW887">
        <v>0</v>
      </c>
      <c r="AX887">
        <v>0</v>
      </c>
      <c r="AY887">
        <v>140</v>
      </c>
      <c r="BC887" t="str">
        <f>T("9791164896622")</f>
        <v>9791164896622</v>
      </c>
      <c r="BE887" t="str">
        <f>T("BL 웹소설 &gt; 역사/시대물")</f>
        <v>BL 웹소설 &gt; 역사/시대물</v>
      </c>
    </row>
    <row r="888" spans="1:57" x14ac:dyDescent="0.3">
      <c r="A888">
        <v>1525004030</v>
      </c>
      <c r="B888">
        <v>1525004082</v>
      </c>
      <c r="C888" t="str">
        <f>T("회귀의 전설 53화")</f>
        <v>회귀의 전설 53화</v>
      </c>
      <c r="D888" t="str">
        <f>T("53")</f>
        <v>53</v>
      </c>
      <c r="E888" t="str">
        <f>T("김광수")</f>
        <v>김광수</v>
      </c>
      <c r="H888" t="str">
        <f t="shared" ref="H888:H911" si="123">T("스토리위즈")</f>
        <v>스토리위즈</v>
      </c>
      <c r="I888" t="str">
        <f>T("회귀의 전설")</f>
        <v>회귀의 전설</v>
      </c>
      <c r="J888">
        <v>100</v>
      </c>
      <c r="K888">
        <v>200</v>
      </c>
      <c r="L888">
        <v>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200</v>
      </c>
      <c r="AH888">
        <v>2</v>
      </c>
      <c r="AI888">
        <v>0</v>
      </c>
      <c r="AJ888">
        <v>0</v>
      </c>
      <c r="AK888">
        <v>100</v>
      </c>
      <c r="AL888">
        <v>0</v>
      </c>
      <c r="AM888">
        <v>120</v>
      </c>
      <c r="AN888">
        <v>-36</v>
      </c>
      <c r="AO888">
        <v>0</v>
      </c>
      <c r="AQ888">
        <v>0</v>
      </c>
      <c r="AR888">
        <v>0</v>
      </c>
      <c r="AS888">
        <v>120</v>
      </c>
      <c r="AT888">
        <v>-36</v>
      </c>
      <c r="AU888">
        <v>0</v>
      </c>
      <c r="AW888">
        <v>0</v>
      </c>
      <c r="AX888">
        <v>0</v>
      </c>
      <c r="AY888">
        <v>128.80000000000001</v>
      </c>
      <c r="BC888" t="str">
        <f>T("9788997946006")</f>
        <v>9788997946006</v>
      </c>
      <c r="BE888" t="str">
        <f>T("판타지 웹소설 &gt; 현대 판타지")</f>
        <v>판타지 웹소설 &gt; 현대 판타지</v>
      </c>
    </row>
    <row r="889" spans="1:57" x14ac:dyDescent="0.3">
      <c r="A889">
        <v>1525004030</v>
      </c>
      <c r="B889">
        <v>1525006776</v>
      </c>
      <c r="C889" t="str">
        <f>T("회귀의 전설 2부 659화")</f>
        <v>회귀의 전설 2부 659화</v>
      </c>
      <c r="D889" t="str">
        <f>T("659")</f>
        <v>659</v>
      </c>
      <c r="E889" t="str">
        <f>T("김광수")</f>
        <v>김광수</v>
      </c>
      <c r="H889" t="str">
        <f t="shared" si="123"/>
        <v>스토리위즈</v>
      </c>
      <c r="I889" t="str">
        <f>T("회귀의 전설")</f>
        <v>회귀의 전설</v>
      </c>
      <c r="J889">
        <v>100</v>
      </c>
      <c r="K889">
        <v>200</v>
      </c>
      <c r="L889">
        <v>2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200</v>
      </c>
      <c r="AH889">
        <v>2</v>
      </c>
      <c r="AI889">
        <v>0</v>
      </c>
      <c r="AJ889">
        <v>0</v>
      </c>
      <c r="AK889">
        <v>100</v>
      </c>
      <c r="AL889">
        <v>0</v>
      </c>
      <c r="AM889">
        <v>120</v>
      </c>
      <c r="AN889">
        <v>-12</v>
      </c>
      <c r="AO889">
        <v>0</v>
      </c>
      <c r="AQ889">
        <v>0</v>
      </c>
      <c r="AR889">
        <v>0</v>
      </c>
      <c r="AS889">
        <v>120</v>
      </c>
      <c r="AT889">
        <v>-12</v>
      </c>
      <c r="AU889">
        <v>0</v>
      </c>
      <c r="AW889">
        <v>0</v>
      </c>
      <c r="AX889">
        <v>0</v>
      </c>
      <c r="AY889">
        <v>145.6</v>
      </c>
      <c r="BC889" t="str">
        <f>T("9791191102086")</f>
        <v>9791191102086</v>
      </c>
      <c r="BE889" t="str">
        <f>T("판타지 웹소설 &gt; 현대 판타지")</f>
        <v>판타지 웹소설 &gt; 현대 판타지</v>
      </c>
    </row>
    <row r="890" spans="1:57" x14ac:dyDescent="0.3">
      <c r="A890">
        <v>1525004799</v>
      </c>
      <c r="B890">
        <v>1525004977</v>
      </c>
      <c r="C890" t="str">
        <f>T("검산도해 179화")</f>
        <v>검산도해 179화</v>
      </c>
      <c r="D890" t="str">
        <f>T("179")</f>
        <v>179</v>
      </c>
      <c r="E890" t="str">
        <f>T("권용찬")</f>
        <v>권용찬</v>
      </c>
      <c r="H890" t="str">
        <f t="shared" si="123"/>
        <v>스토리위즈</v>
      </c>
      <c r="I890" t="str">
        <f>T("검산도해")</f>
        <v>검산도해</v>
      </c>
      <c r="J890">
        <v>100</v>
      </c>
      <c r="K890">
        <v>200</v>
      </c>
      <c r="L890">
        <v>2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200</v>
      </c>
      <c r="AH890">
        <v>2</v>
      </c>
      <c r="AI890">
        <v>0</v>
      </c>
      <c r="AJ890">
        <v>0</v>
      </c>
      <c r="AK890">
        <v>100</v>
      </c>
      <c r="AL890">
        <v>0</v>
      </c>
      <c r="AM890">
        <v>120</v>
      </c>
      <c r="AN890">
        <v>-12</v>
      </c>
      <c r="AO890">
        <v>0</v>
      </c>
      <c r="AQ890">
        <v>0</v>
      </c>
      <c r="AR890">
        <v>0</v>
      </c>
      <c r="AS890">
        <v>120</v>
      </c>
      <c r="AT890">
        <v>-12</v>
      </c>
      <c r="AU890">
        <v>0</v>
      </c>
      <c r="AW890">
        <v>0</v>
      </c>
      <c r="AX890">
        <v>0</v>
      </c>
      <c r="AY890">
        <v>145.6</v>
      </c>
      <c r="BC890" t="str">
        <f>T("9791159285936")</f>
        <v>9791159285936</v>
      </c>
      <c r="BE890" t="str">
        <f>T("판타지 웹소설 &gt; 무협 소설")</f>
        <v>판타지 웹소설 &gt; 무협 소설</v>
      </c>
    </row>
    <row r="891" spans="1:57" x14ac:dyDescent="0.3">
      <c r="A891">
        <v>1525004030</v>
      </c>
      <c r="B891">
        <v>1525004283</v>
      </c>
      <c r="C891" t="str">
        <f>T("회귀의 전설 254화")</f>
        <v>회귀의 전설 254화</v>
      </c>
      <c r="D891" t="str">
        <f>T("254")</f>
        <v>254</v>
      </c>
      <c r="E891" t="str">
        <f t="shared" ref="E891:E911" si="124">T("김광수")</f>
        <v>김광수</v>
      </c>
      <c r="H891" t="str">
        <f t="shared" si="123"/>
        <v>스토리위즈</v>
      </c>
      <c r="I891" t="str">
        <f t="shared" ref="I891:I911" si="125">T("회귀의 전설")</f>
        <v>회귀의 전설</v>
      </c>
      <c r="J891">
        <v>100</v>
      </c>
      <c r="K891">
        <v>200</v>
      </c>
      <c r="L891">
        <v>2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200</v>
      </c>
      <c r="AH891">
        <v>2</v>
      </c>
      <c r="AI891">
        <v>0</v>
      </c>
      <c r="AJ891">
        <v>0</v>
      </c>
      <c r="AK891">
        <v>200</v>
      </c>
      <c r="AL891">
        <v>0</v>
      </c>
      <c r="AM891">
        <v>0</v>
      </c>
      <c r="AN891">
        <v>0</v>
      </c>
      <c r="AO891">
        <v>0</v>
      </c>
      <c r="AQ891">
        <v>0</v>
      </c>
      <c r="AR891">
        <v>0</v>
      </c>
      <c r="AT891">
        <v>0</v>
      </c>
      <c r="AU891">
        <v>0</v>
      </c>
      <c r="AW891">
        <v>0</v>
      </c>
      <c r="AX891">
        <v>0</v>
      </c>
      <c r="AY891">
        <v>140</v>
      </c>
      <c r="BC891" t="str">
        <f>T("9788997946006")</f>
        <v>9788997946006</v>
      </c>
      <c r="BE891" t="str">
        <f t="shared" ref="BE891:BE911" si="126">T("판타지 웹소설 &gt; 현대 판타지")</f>
        <v>판타지 웹소설 &gt; 현대 판타지</v>
      </c>
    </row>
    <row r="892" spans="1:57" x14ac:dyDescent="0.3">
      <c r="A892">
        <v>1525004030</v>
      </c>
      <c r="B892">
        <v>1525004071</v>
      </c>
      <c r="C892" t="str">
        <f>T("회귀의 전설 42화")</f>
        <v>회귀의 전설 42화</v>
      </c>
      <c r="D892" t="str">
        <f>T("42")</f>
        <v>42</v>
      </c>
      <c r="E892" t="str">
        <f t="shared" si="124"/>
        <v>김광수</v>
      </c>
      <c r="H892" t="str">
        <f t="shared" si="123"/>
        <v>스토리위즈</v>
      </c>
      <c r="I892" t="str">
        <f t="shared" si="125"/>
        <v>회귀의 전설</v>
      </c>
      <c r="J892">
        <v>100</v>
      </c>
      <c r="K892">
        <v>200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200</v>
      </c>
      <c r="AH892">
        <v>2</v>
      </c>
      <c r="AI892">
        <v>0</v>
      </c>
      <c r="AJ892">
        <v>0</v>
      </c>
      <c r="AK892">
        <v>100</v>
      </c>
      <c r="AL892">
        <v>0</v>
      </c>
      <c r="AM892">
        <v>120</v>
      </c>
      <c r="AN892">
        <v>-36</v>
      </c>
      <c r="AO892">
        <v>0</v>
      </c>
      <c r="AQ892">
        <v>0</v>
      </c>
      <c r="AR892">
        <v>0</v>
      </c>
      <c r="AS892">
        <v>120</v>
      </c>
      <c r="AT892">
        <v>-36</v>
      </c>
      <c r="AU892">
        <v>0</v>
      </c>
      <c r="AW892">
        <v>0</v>
      </c>
      <c r="AX892">
        <v>0</v>
      </c>
      <c r="AY892">
        <v>128.80000000000001</v>
      </c>
      <c r="BC892" t="str">
        <f>T("9788997946006")</f>
        <v>9788997946006</v>
      </c>
      <c r="BE892" t="str">
        <f t="shared" si="126"/>
        <v>판타지 웹소설 &gt; 현대 판타지</v>
      </c>
    </row>
    <row r="893" spans="1:57" x14ac:dyDescent="0.3">
      <c r="A893">
        <v>1525004030</v>
      </c>
      <c r="B893">
        <v>1525004315</v>
      </c>
      <c r="C893" t="str">
        <f>T("회귀의 전설 286화")</f>
        <v>회귀의 전설 286화</v>
      </c>
      <c r="D893" t="str">
        <f>T("286")</f>
        <v>286</v>
      </c>
      <c r="E893" t="str">
        <f t="shared" si="124"/>
        <v>김광수</v>
      </c>
      <c r="H893" t="str">
        <f t="shared" si="123"/>
        <v>스토리위즈</v>
      </c>
      <c r="I893" t="str">
        <f t="shared" si="125"/>
        <v>회귀의 전설</v>
      </c>
      <c r="J893">
        <v>100</v>
      </c>
      <c r="K893">
        <v>200</v>
      </c>
      <c r="L893">
        <v>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200</v>
      </c>
      <c r="AH893">
        <v>2</v>
      </c>
      <c r="AI893">
        <v>0</v>
      </c>
      <c r="AJ893">
        <v>0</v>
      </c>
      <c r="AK893">
        <v>200</v>
      </c>
      <c r="AL893">
        <v>0</v>
      </c>
      <c r="AM893">
        <v>0</v>
      </c>
      <c r="AN893">
        <v>0</v>
      </c>
      <c r="AO893">
        <v>0</v>
      </c>
      <c r="AQ893">
        <v>0</v>
      </c>
      <c r="AR893">
        <v>0</v>
      </c>
      <c r="AT893">
        <v>0</v>
      </c>
      <c r="AU893">
        <v>0</v>
      </c>
      <c r="AW893">
        <v>0</v>
      </c>
      <c r="AX893">
        <v>0</v>
      </c>
      <c r="AY893">
        <v>140</v>
      </c>
      <c r="BC893" t="str">
        <f>T("9788997946006")</f>
        <v>9788997946006</v>
      </c>
      <c r="BE893" t="str">
        <f t="shared" si="126"/>
        <v>판타지 웹소설 &gt; 현대 판타지</v>
      </c>
    </row>
    <row r="894" spans="1:57" x14ac:dyDescent="0.3">
      <c r="A894">
        <v>1525004030</v>
      </c>
      <c r="B894">
        <v>1525004226</v>
      </c>
      <c r="C894" t="str">
        <f>T("회귀의 전설 197화")</f>
        <v>회귀의 전설 197화</v>
      </c>
      <c r="D894" t="str">
        <f>T("197")</f>
        <v>197</v>
      </c>
      <c r="E894" t="str">
        <f t="shared" si="124"/>
        <v>김광수</v>
      </c>
      <c r="H894" t="str">
        <f t="shared" si="123"/>
        <v>스토리위즈</v>
      </c>
      <c r="I894" t="str">
        <f t="shared" si="125"/>
        <v>회귀의 전설</v>
      </c>
      <c r="J894">
        <v>100</v>
      </c>
      <c r="K894">
        <v>200</v>
      </c>
      <c r="L894">
        <v>2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200</v>
      </c>
      <c r="AH894">
        <v>2</v>
      </c>
      <c r="AI894">
        <v>0</v>
      </c>
      <c r="AJ894">
        <v>0</v>
      </c>
      <c r="AK894">
        <v>200</v>
      </c>
      <c r="AL894">
        <v>0</v>
      </c>
      <c r="AM894">
        <v>0</v>
      </c>
      <c r="AN894">
        <v>0</v>
      </c>
      <c r="AO894">
        <v>0</v>
      </c>
      <c r="AQ894">
        <v>0</v>
      </c>
      <c r="AR894">
        <v>0</v>
      </c>
      <c r="AT894">
        <v>0</v>
      </c>
      <c r="AU894">
        <v>0</v>
      </c>
      <c r="AW894">
        <v>0</v>
      </c>
      <c r="AX894">
        <v>0</v>
      </c>
      <c r="AY894">
        <v>140</v>
      </c>
      <c r="BC894" t="str">
        <f>T("9788997946006")</f>
        <v>9788997946006</v>
      </c>
      <c r="BE894" t="str">
        <f t="shared" si="126"/>
        <v>판타지 웹소설 &gt; 현대 판타지</v>
      </c>
    </row>
    <row r="895" spans="1:57" x14ac:dyDescent="0.3">
      <c r="A895">
        <v>1525004030</v>
      </c>
      <c r="B895">
        <v>1525004103</v>
      </c>
      <c r="C895" t="str">
        <f>T("회귀의 전설 74화")</f>
        <v>회귀의 전설 74화</v>
      </c>
      <c r="D895" t="str">
        <f>T("74")</f>
        <v>74</v>
      </c>
      <c r="E895" t="str">
        <f t="shared" si="124"/>
        <v>김광수</v>
      </c>
      <c r="H895" t="str">
        <f t="shared" si="123"/>
        <v>스토리위즈</v>
      </c>
      <c r="I895" t="str">
        <f t="shared" si="125"/>
        <v>회귀의 전설</v>
      </c>
      <c r="J895">
        <v>100</v>
      </c>
      <c r="K895">
        <v>200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200</v>
      </c>
      <c r="AH895">
        <v>2</v>
      </c>
      <c r="AI895">
        <v>0</v>
      </c>
      <c r="AJ895">
        <v>0</v>
      </c>
      <c r="AK895">
        <v>100</v>
      </c>
      <c r="AL895">
        <v>0</v>
      </c>
      <c r="AM895">
        <v>120</v>
      </c>
      <c r="AN895">
        <v>-36</v>
      </c>
      <c r="AO895">
        <v>0</v>
      </c>
      <c r="AQ895">
        <v>0</v>
      </c>
      <c r="AR895">
        <v>0</v>
      </c>
      <c r="AS895">
        <v>120</v>
      </c>
      <c r="AT895">
        <v>-36</v>
      </c>
      <c r="AU895">
        <v>0</v>
      </c>
      <c r="AW895">
        <v>0</v>
      </c>
      <c r="AX895">
        <v>0</v>
      </c>
      <c r="AY895">
        <v>128.80000000000001</v>
      </c>
      <c r="BC895" t="str">
        <f>T("9788997946006")</f>
        <v>9788997946006</v>
      </c>
      <c r="BE895" t="str">
        <f t="shared" si="126"/>
        <v>판타지 웹소설 &gt; 현대 판타지</v>
      </c>
    </row>
    <row r="896" spans="1:57" x14ac:dyDescent="0.3">
      <c r="A896">
        <v>1525004030</v>
      </c>
      <c r="B896">
        <v>1525006838</v>
      </c>
      <c r="C896" t="str">
        <f>T("회귀의 전설 2부 721화")</f>
        <v>회귀의 전설 2부 721화</v>
      </c>
      <c r="D896" t="str">
        <f>T("721")</f>
        <v>721</v>
      </c>
      <c r="E896" t="str">
        <f t="shared" si="124"/>
        <v>김광수</v>
      </c>
      <c r="H896" t="str">
        <f t="shared" si="123"/>
        <v>스토리위즈</v>
      </c>
      <c r="I896" t="str">
        <f t="shared" si="125"/>
        <v>회귀의 전설</v>
      </c>
      <c r="J896">
        <v>100</v>
      </c>
      <c r="K896">
        <v>200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200</v>
      </c>
      <c r="AH896">
        <v>2</v>
      </c>
      <c r="AI896">
        <v>0</v>
      </c>
      <c r="AJ896">
        <v>0</v>
      </c>
      <c r="AK896">
        <v>100</v>
      </c>
      <c r="AL896">
        <v>0</v>
      </c>
      <c r="AM896">
        <v>120</v>
      </c>
      <c r="AN896">
        <v>-12</v>
      </c>
      <c r="AO896">
        <v>0</v>
      </c>
      <c r="AQ896">
        <v>0</v>
      </c>
      <c r="AR896">
        <v>0</v>
      </c>
      <c r="AS896">
        <v>120</v>
      </c>
      <c r="AT896">
        <v>-12</v>
      </c>
      <c r="AU896">
        <v>0</v>
      </c>
      <c r="AW896">
        <v>0</v>
      </c>
      <c r="AX896">
        <v>0</v>
      </c>
      <c r="AY896">
        <v>145.6</v>
      </c>
      <c r="BC896" t="str">
        <f>T("9791191102086")</f>
        <v>9791191102086</v>
      </c>
      <c r="BE896" t="str">
        <f t="shared" si="126"/>
        <v>판타지 웹소설 &gt; 현대 판타지</v>
      </c>
    </row>
    <row r="897" spans="1:57" x14ac:dyDescent="0.3">
      <c r="A897">
        <v>1525004030</v>
      </c>
      <c r="B897">
        <v>1525006756</v>
      </c>
      <c r="C897" t="str">
        <f>T("회귀의 전설 2부 639화")</f>
        <v>회귀의 전설 2부 639화</v>
      </c>
      <c r="D897" t="str">
        <f>T("639")</f>
        <v>639</v>
      </c>
      <c r="E897" t="str">
        <f t="shared" si="124"/>
        <v>김광수</v>
      </c>
      <c r="H897" t="str">
        <f t="shared" si="123"/>
        <v>스토리위즈</v>
      </c>
      <c r="I897" t="str">
        <f t="shared" si="125"/>
        <v>회귀의 전설</v>
      </c>
      <c r="J897">
        <v>100</v>
      </c>
      <c r="K897">
        <v>200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200</v>
      </c>
      <c r="AH897">
        <v>2</v>
      </c>
      <c r="AI897">
        <v>0</v>
      </c>
      <c r="AJ897">
        <v>0</v>
      </c>
      <c r="AK897">
        <v>124</v>
      </c>
      <c r="AL897">
        <v>0</v>
      </c>
      <c r="AM897">
        <v>91.2</v>
      </c>
      <c r="AN897">
        <v>-9.1199999999999992</v>
      </c>
      <c r="AO897">
        <v>0</v>
      </c>
      <c r="AQ897">
        <v>0</v>
      </c>
      <c r="AR897">
        <v>0</v>
      </c>
      <c r="AS897">
        <v>91.2</v>
      </c>
      <c r="AT897">
        <v>-9.1199999999999992</v>
      </c>
      <c r="AU897">
        <v>0</v>
      </c>
      <c r="AW897">
        <v>0</v>
      </c>
      <c r="AX897">
        <v>0</v>
      </c>
      <c r="AY897">
        <v>144.26</v>
      </c>
      <c r="BC897" t="str">
        <f>T("9791191102086")</f>
        <v>9791191102086</v>
      </c>
      <c r="BE897" t="str">
        <f t="shared" si="126"/>
        <v>판타지 웹소설 &gt; 현대 판타지</v>
      </c>
    </row>
    <row r="898" spans="1:57" x14ac:dyDescent="0.3">
      <c r="A898">
        <v>1525004030</v>
      </c>
      <c r="B898">
        <v>1525004258</v>
      </c>
      <c r="C898" t="str">
        <f>T("회귀의 전설 229화")</f>
        <v>회귀의 전설 229화</v>
      </c>
      <c r="D898" t="str">
        <f>T("229")</f>
        <v>229</v>
      </c>
      <c r="E898" t="str">
        <f t="shared" si="124"/>
        <v>김광수</v>
      </c>
      <c r="H898" t="str">
        <f t="shared" si="123"/>
        <v>스토리위즈</v>
      </c>
      <c r="I898" t="str">
        <f t="shared" si="125"/>
        <v>회귀의 전설</v>
      </c>
      <c r="J898">
        <v>100</v>
      </c>
      <c r="K898">
        <v>200</v>
      </c>
      <c r="L898">
        <v>2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200</v>
      </c>
      <c r="AH898">
        <v>2</v>
      </c>
      <c r="AI898">
        <v>0</v>
      </c>
      <c r="AJ898">
        <v>0</v>
      </c>
      <c r="AK898">
        <v>200</v>
      </c>
      <c r="AL898">
        <v>0</v>
      </c>
      <c r="AM898">
        <v>0</v>
      </c>
      <c r="AN898">
        <v>0</v>
      </c>
      <c r="AO898">
        <v>0</v>
      </c>
      <c r="AQ898">
        <v>0</v>
      </c>
      <c r="AR898">
        <v>0</v>
      </c>
      <c r="AT898">
        <v>0</v>
      </c>
      <c r="AU898">
        <v>0</v>
      </c>
      <c r="AW898">
        <v>0</v>
      </c>
      <c r="AX898">
        <v>0</v>
      </c>
      <c r="AY898">
        <v>140</v>
      </c>
      <c r="BC898" t="str">
        <f>T("9788997946006")</f>
        <v>9788997946006</v>
      </c>
      <c r="BE898" t="str">
        <f t="shared" si="126"/>
        <v>판타지 웹소설 &gt; 현대 판타지</v>
      </c>
    </row>
    <row r="899" spans="1:57" x14ac:dyDescent="0.3">
      <c r="A899">
        <v>1525004030</v>
      </c>
      <c r="B899">
        <v>1525004217</v>
      </c>
      <c r="C899" t="str">
        <f>T("회귀의 전설 188화")</f>
        <v>회귀의 전설 188화</v>
      </c>
      <c r="D899" t="str">
        <f>T("188")</f>
        <v>188</v>
      </c>
      <c r="E899" t="str">
        <f t="shared" si="124"/>
        <v>김광수</v>
      </c>
      <c r="H899" t="str">
        <f t="shared" si="123"/>
        <v>스토리위즈</v>
      </c>
      <c r="I899" t="str">
        <f t="shared" si="125"/>
        <v>회귀의 전설</v>
      </c>
      <c r="J899">
        <v>100</v>
      </c>
      <c r="K899">
        <v>200</v>
      </c>
      <c r="L899">
        <v>2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200</v>
      </c>
      <c r="AH899">
        <v>2</v>
      </c>
      <c r="AI899">
        <v>0</v>
      </c>
      <c r="AJ899">
        <v>0</v>
      </c>
      <c r="AK899">
        <v>200</v>
      </c>
      <c r="AL899">
        <v>0</v>
      </c>
      <c r="AM899">
        <v>0</v>
      </c>
      <c r="AN899">
        <v>0</v>
      </c>
      <c r="AO899">
        <v>0</v>
      </c>
      <c r="AQ899">
        <v>0</v>
      </c>
      <c r="AR899">
        <v>0</v>
      </c>
      <c r="AT899">
        <v>0</v>
      </c>
      <c r="AU899">
        <v>0</v>
      </c>
      <c r="AW899">
        <v>0</v>
      </c>
      <c r="AX899">
        <v>0</v>
      </c>
      <c r="AY899">
        <v>140</v>
      </c>
      <c r="BC899" t="str">
        <f>T("9788997946006")</f>
        <v>9788997946006</v>
      </c>
      <c r="BE899" t="str">
        <f t="shared" si="126"/>
        <v>판타지 웹소설 &gt; 현대 판타지</v>
      </c>
    </row>
    <row r="900" spans="1:57" x14ac:dyDescent="0.3">
      <c r="A900">
        <v>1525004030</v>
      </c>
      <c r="B900">
        <v>1525006870</v>
      </c>
      <c r="C900" t="str">
        <f>T("회귀의 전설 2부 753화")</f>
        <v>회귀의 전설 2부 753화</v>
      </c>
      <c r="D900" t="str">
        <f>T("753")</f>
        <v>753</v>
      </c>
      <c r="E900" t="str">
        <f t="shared" si="124"/>
        <v>김광수</v>
      </c>
      <c r="H900" t="str">
        <f t="shared" si="123"/>
        <v>스토리위즈</v>
      </c>
      <c r="I900" t="str">
        <f t="shared" si="125"/>
        <v>회귀의 전설</v>
      </c>
      <c r="J900">
        <v>100</v>
      </c>
      <c r="K900">
        <v>200</v>
      </c>
      <c r="L900">
        <v>2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200</v>
      </c>
      <c r="AH900">
        <v>2</v>
      </c>
      <c r="AI900">
        <v>0</v>
      </c>
      <c r="AJ900">
        <v>0</v>
      </c>
      <c r="AK900">
        <v>100</v>
      </c>
      <c r="AL900">
        <v>0</v>
      </c>
      <c r="AM900">
        <v>120</v>
      </c>
      <c r="AN900">
        <v>-12</v>
      </c>
      <c r="AO900">
        <v>0</v>
      </c>
      <c r="AQ900">
        <v>0</v>
      </c>
      <c r="AR900">
        <v>0</v>
      </c>
      <c r="AS900">
        <v>120</v>
      </c>
      <c r="AT900">
        <v>-12</v>
      </c>
      <c r="AU900">
        <v>0</v>
      </c>
      <c r="AW900">
        <v>0</v>
      </c>
      <c r="AX900">
        <v>0</v>
      </c>
      <c r="AY900">
        <v>145.6</v>
      </c>
      <c r="BC900" t="str">
        <f>T("9791191102086")</f>
        <v>9791191102086</v>
      </c>
      <c r="BE900" t="str">
        <f t="shared" si="126"/>
        <v>판타지 웹소설 &gt; 현대 판타지</v>
      </c>
    </row>
    <row r="901" spans="1:57" x14ac:dyDescent="0.3">
      <c r="A901">
        <v>1525004030</v>
      </c>
      <c r="B901">
        <v>1525004364</v>
      </c>
      <c r="C901" t="str">
        <f>T("회귀의 전설 336화")</f>
        <v>회귀의 전설 336화</v>
      </c>
      <c r="D901" t="str">
        <f>T("336")</f>
        <v>336</v>
      </c>
      <c r="E901" t="str">
        <f t="shared" si="124"/>
        <v>김광수</v>
      </c>
      <c r="H901" t="str">
        <f t="shared" si="123"/>
        <v>스토리위즈</v>
      </c>
      <c r="I901" t="str">
        <f t="shared" si="125"/>
        <v>회귀의 전설</v>
      </c>
      <c r="J901">
        <v>100</v>
      </c>
      <c r="K901">
        <v>200</v>
      </c>
      <c r="L901">
        <v>2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200</v>
      </c>
      <c r="AH901">
        <v>2</v>
      </c>
      <c r="AI901">
        <v>0</v>
      </c>
      <c r="AJ901">
        <v>0</v>
      </c>
      <c r="AK901">
        <v>200</v>
      </c>
      <c r="AL901">
        <v>0</v>
      </c>
      <c r="AM901">
        <v>0</v>
      </c>
      <c r="AN901">
        <v>0</v>
      </c>
      <c r="AO901">
        <v>0</v>
      </c>
      <c r="AQ901">
        <v>0</v>
      </c>
      <c r="AR901">
        <v>0</v>
      </c>
      <c r="AT901">
        <v>0</v>
      </c>
      <c r="AU901">
        <v>0</v>
      </c>
      <c r="AW901">
        <v>0</v>
      </c>
      <c r="AX901">
        <v>0</v>
      </c>
      <c r="AY901">
        <v>140</v>
      </c>
      <c r="BC901" t="str">
        <f>T("9788997946006")</f>
        <v>9788997946006</v>
      </c>
      <c r="BE901" t="str">
        <f t="shared" si="126"/>
        <v>판타지 웹소설 &gt; 현대 판타지</v>
      </c>
    </row>
    <row r="902" spans="1:57" x14ac:dyDescent="0.3">
      <c r="A902">
        <v>1525004030</v>
      </c>
      <c r="B902">
        <v>1525004421</v>
      </c>
      <c r="C902" t="str">
        <f>T("회귀의 전설 405화")</f>
        <v>회귀의 전설 405화</v>
      </c>
      <c r="D902" t="str">
        <f>T("405")</f>
        <v>405</v>
      </c>
      <c r="E902" t="str">
        <f t="shared" si="124"/>
        <v>김광수</v>
      </c>
      <c r="H902" t="str">
        <f t="shared" si="123"/>
        <v>스토리위즈</v>
      </c>
      <c r="I902" t="str">
        <f t="shared" si="125"/>
        <v>회귀의 전설</v>
      </c>
      <c r="J902">
        <v>100</v>
      </c>
      <c r="K902">
        <v>200</v>
      </c>
      <c r="L902">
        <v>2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200</v>
      </c>
      <c r="AH902">
        <v>2</v>
      </c>
      <c r="AI902">
        <v>0</v>
      </c>
      <c r="AJ902">
        <v>0</v>
      </c>
      <c r="AK902">
        <v>200</v>
      </c>
      <c r="AL902">
        <v>0</v>
      </c>
      <c r="AM902">
        <v>0</v>
      </c>
      <c r="AN902">
        <v>0</v>
      </c>
      <c r="AO902">
        <v>0</v>
      </c>
      <c r="AQ902">
        <v>0</v>
      </c>
      <c r="AR902">
        <v>0</v>
      </c>
      <c r="AT902">
        <v>0</v>
      </c>
      <c r="AU902">
        <v>0</v>
      </c>
      <c r="AW902">
        <v>0</v>
      </c>
      <c r="AX902">
        <v>0</v>
      </c>
      <c r="AY902">
        <v>140</v>
      </c>
      <c r="BC902" t="str">
        <f>T("9788997946006")</f>
        <v>9788997946006</v>
      </c>
      <c r="BE902" t="str">
        <f t="shared" si="126"/>
        <v>판타지 웹소설 &gt; 현대 판타지</v>
      </c>
    </row>
    <row r="903" spans="1:57" x14ac:dyDescent="0.3">
      <c r="A903">
        <v>1525004030</v>
      </c>
      <c r="B903">
        <v>1525006887</v>
      </c>
      <c r="C903" t="str">
        <f>T("회귀의 전설 2부 770화")</f>
        <v>회귀의 전설 2부 770화</v>
      </c>
      <c r="D903" t="str">
        <f>T("770")</f>
        <v>770</v>
      </c>
      <c r="E903" t="str">
        <f t="shared" si="124"/>
        <v>김광수</v>
      </c>
      <c r="H903" t="str">
        <f t="shared" si="123"/>
        <v>스토리위즈</v>
      </c>
      <c r="I903" t="str">
        <f t="shared" si="125"/>
        <v>회귀의 전설</v>
      </c>
      <c r="J903">
        <v>100</v>
      </c>
      <c r="K903">
        <v>200</v>
      </c>
      <c r="L903">
        <v>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200</v>
      </c>
      <c r="AH903">
        <v>2</v>
      </c>
      <c r="AI903">
        <v>0</v>
      </c>
      <c r="AJ903">
        <v>0</v>
      </c>
      <c r="AK903">
        <v>100</v>
      </c>
      <c r="AL903">
        <v>0</v>
      </c>
      <c r="AM903">
        <v>120</v>
      </c>
      <c r="AN903">
        <v>-12</v>
      </c>
      <c r="AO903">
        <v>0</v>
      </c>
      <c r="AQ903">
        <v>0</v>
      </c>
      <c r="AR903">
        <v>0</v>
      </c>
      <c r="AS903">
        <v>120</v>
      </c>
      <c r="AT903">
        <v>-12</v>
      </c>
      <c r="AU903">
        <v>0</v>
      </c>
      <c r="AW903">
        <v>0</v>
      </c>
      <c r="AX903">
        <v>0</v>
      </c>
      <c r="AY903">
        <v>145.6</v>
      </c>
      <c r="BC903" t="str">
        <f>T("9791191102086")</f>
        <v>9791191102086</v>
      </c>
      <c r="BE903" t="str">
        <f t="shared" si="126"/>
        <v>판타지 웹소설 &gt; 현대 판타지</v>
      </c>
    </row>
    <row r="904" spans="1:57" x14ac:dyDescent="0.3">
      <c r="A904">
        <v>1525004030</v>
      </c>
      <c r="B904">
        <v>1525004478</v>
      </c>
      <c r="C904" t="str">
        <f>T("회귀의 전설 462화")</f>
        <v>회귀의 전설 462화</v>
      </c>
      <c r="D904" t="str">
        <f>T("462")</f>
        <v>462</v>
      </c>
      <c r="E904" t="str">
        <f t="shared" si="124"/>
        <v>김광수</v>
      </c>
      <c r="H904" t="str">
        <f t="shared" si="123"/>
        <v>스토리위즈</v>
      </c>
      <c r="I904" t="str">
        <f t="shared" si="125"/>
        <v>회귀의 전설</v>
      </c>
      <c r="J904">
        <v>100</v>
      </c>
      <c r="K904">
        <v>200</v>
      </c>
      <c r="L904">
        <v>2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200</v>
      </c>
      <c r="AH904">
        <v>2</v>
      </c>
      <c r="AI904">
        <v>0</v>
      </c>
      <c r="AJ904">
        <v>0</v>
      </c>
      <c r="AK904">
        <v>200</v>
      </c>
      <c r="AL904">
        <v>0</v>
      </c>
      <c r="AM904">
        <v>0</v>
      </c>
      <c r="AN904">
        <v>0</v>
      </c>
      <c r="AO904">
        <v>0</v>
      </c>
      <c r="AQ904">
        <v>0</v>
      </c>
      <c r="AR904">
        <v>0</v>
      </c>
      <c r="AT904">
        <v>0</v>
      </c>
      <c r="AU904">
        <v>0</v>
      </c>
      <c r="AW904">
        <v>0</v>
      </c>
      <c r="AX904">
        <v>0</v>
      </c>
      <c r="AY904">
        <v>140</v>
      </c>
      <c r="BC904" t="str">
        <f>T("9788997946006")</f>
        <v>9788997946006</v>
      </c>
      <c r="BE904" t="str">
        <f t="shared" si="126"/>
        <v>판타지 웹소설 &gt; 현대 판타지</v>
      </c>
    </row>
    <row r="905" spans="1:57" x14ac:dyDescent="0.3">
      <c r="A905">
        <v>1525004030</v>
      </c>
      <c r="B905">
        <v>1525004410</v>
      </c>
      <c r="C905" t="str">
        <f>T("회귀의 전설 382화")</f>
        <v>회귀의 전설 382화</v>
      </c>
      <c r="D905" t="str">
        <f>T("382")</f>
        <v>382</v>
      </c>
      <c r="E905" t="str">
        <f t="shared" si="124"/>
        <v>김광수</v>
      </c>
      <c r="H905" t="str">
        <f t="shared" si="123"/>
        <v>스토리위즈</v>
      </c>
      <c r="I905" t="str">
        <f t="shared" si="125"/>
        <v>회귀의 전설</v>
      </c>
      <c r="J905">
        <v>100</v>
      </c>
      <c r="K905">
        <v>200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200</v>
      </c>
      <c r="AH905">
        <v>2</v>
      </c>
      <c r="AI905">
        <v>0</v>
      </c>
      <c r="AJ905">
        <v>0</v>
      </c>
      <c r="AK905">
        <v>200</v>
      </c>
      <c r="AL905">
        <v>0</v>
      </c>
      <c r="AM905">
        <v>0</v>
      </c>
      <c r="AN905">
        <v>0</v>
      </c>
      <c r="AO905">
        <v>0</v>
      </c>
      <c r="AQ905">
        <v>0</v>
      </c>
      <c r="AR905">
        <v>0</v>
      </c>
      <c r="AT905">
        <v>0</v>
      </c>
      <c r="AU905">
        <v>0</v>
      </c>
      <c r="AW905">
        <v>0</v>
      </c>
      <c r="AX905">
        <v>0</v>
      </c>
      <c r="AY905">
        <v>140</v>
      </c>
      <c r="BC905" t="str">
        <f>T("9788997946006")</f>
        <v>9788997946006</v>
      </c>
      <c r="BE905" t="str">
        <f t="shared" si="126"/>
        <v>판타지 웹소설 &gt; 현대 판타지</v>
      </c>
    </row>
    <row r="906" spans="1:57" x14ac:dyDescent="0.3">
      <c r="A906">
        <v>1525004030</v>
      </c>
      <c r="B906">
        <v>1525004467</v>
      </c>
      <c r="C906" t="str">
        <f>T("회귀의 전설 451화")</f>
        <v>회귀의 전설 451화</v>
      </c>
      <c r="D906" t="str">
        <f>T("451")</f>
        <v>451</v>
      </c>
      <c r="E906" t="str">
        <f t="shared" si="124"/>
        <v>김광수</v>
      </c>
      <c r="H906" t="str">
        <f t="shared" si="123"/>
        <v>스토리위즈</v>
      </c>
      <c r="I906" t="str">
        <f t="shared" si="125"/>
        <v>회귀의 전설</v>
      </c>
      <c r="J906">
        <v>100</v>
      </c>
      <c r="K906">
        <v>200</v>
      </c>
      <c r="L906">
        <v>2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200</v>
      </c>
      <c r="AH906">
        <v>2</v>
      </c>
      <c r="AI906">
        <v>0</v>
      </c>
      <c r="AJ906">
        <v>0</v>
      </c>
      <c r="AK906">
        <v>200</v>
      </c>
      <c r="AL906">
        <v>0</v>
      </c>
      <c r="AM906">
        <v>0</v>
      </c>
      <c r="AN906">
        <v>0</v>
      </c>
      <c r="AO906">
        <v>0</v>
      </c>
      <c r="AQ906">
        <v>0</v>
      </c>
      <c r="AR906">
        <v>0</v>
      </c>
      <c r="AT906">
        <v>0</v>
      </c>
      <c r="AU906">
        <v>0</v>
      </c>
      <c r="AW906">
        <v>0</v>
      </c>
      <c r="AX906">
        <v>0</v>
      </c>
      <c r="AY906">
        <v>140</v>
      </c>
      <c r="BC906" t="str">
        <f>T("9788997946006")</f>
        <v>9788997946006</v>
      </c>
      <c r="BE906" t="str">
        <f t="shared" si="126"/>
        <v>판타지 웹소설 &gt; 현대 판타지</v>
      </c>
    </row>
    <row r="907" spans="1:57" x14ac:dyDescent="0.3">
      <c r="A907">
        <v>1525004030</v>
      </c>
      <c r="B907">
        <v>1525004385</v>
      </c>
      <c r="C907" t="str">
        <f>T("회귀의 전설 357화")</f>
        <v>회귀의 전설 357화</v>
      </c>
      <c r="D907" t="str">
        <f>T("357")</f>
        <v>357</v>
      </c>
      <c r="E907" t="str">
        <f t="shared" si="124"/>
        <v>김광수</v>
      </c>
      <c r="H907" t="str">
        <f t="shared" si="123"/>
        <v>스토리위즈</v>
      </c>
      <c r="I907" t="str">
        <f t="shared" si="125"/>
        <v>회귀의 전설</v>
      </c>
      <c r="J907">
        <v>100</v>
      </c>
      <c r="K907">
        <v>200</v>
      </c>
      <c r="L907">
        <v>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200</v>
      </c>
      <c r="AH907">
        <v>2</v>
      </c>
      <c r="AI907">
        <v>0</v>
      </c>
      <c r="AJ907">
        <v>0</v>
      </c>
      <c r="AK907">
        <v>200</v>
      </c>
      <c r="AL907">
        <v>0</v>
      </c>
      <c r="AM907">
        <v>0</v>
      </c>
      <c r="AN907">
        <v>0</v>
      </c>
      <c r="AO907">
        <v>0</v>
      </c>
      <c r="AQ907">
        <v>0</v>
      </c>
      <c r="AR907">
        <v>0</v>
      </c>
      <c r="AT907">
        <v>0</v>
      </c>
      <c r="AU907">
        <v>0</v>
      </c>
      <c r="AW907">
        <v>0</v>
      </c>
      <c r="AX907">
        <v>0</v>
      </c>
      <c r="AY907">
        <v>140</v>
      </c>
      <c r="BC907" t="str">
        <f>T("9788997946006")</f>
        <v>9788997946006</v>
      </c>
      <c r="BE907" t="str">
        <f t="shared" si="126"/>
        <v>판타지 웹소설 &gt; 현대 판타지</v>
      </c>
    </row>
    <row r="908" spans="1:57" x14ac:dyDescent="0.3">
      <c r="A908">
        <v>1525004030</v>
      </c>
      <c r="B908">
        <v>1525004442</v>
      </c>
      <c r="C908" t="str">
        <f>T("회귀의 전설 426화")</f>
        <v>회귀의 전설 426화</v>
      </c>
      <c r="D908" t="str">
        <f>T("426")</f>
        <v>426</v>
      </c>
      <c r="E908" t="str">
        <f t="shared" si="124"/>
        <v>김광수</v>
      </c>
      <c r="H908" t="str">
        <f t="shared" si="123"/>
        <v>스토리위즈</v>
      </c>
      <c r="I908" t="str">
        <f t="shared" si="125"/>
        <v>회귀의 전설</v>
      </c>
      <c r="J908">
        <v>100</v>
      </c>
      <c r="K908">
        <v>200</v>
      </c>
      <c r="L908">
        <v>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200</v>
      </c>
      <c r="AH908">
        <v>2</v>
      </c>
      <c r="AI908">
        <v>0</v>
      </c>
      <c r="AJ908">
        <v>0</v>
      </c>
      <c r="AK908">
        <v>200</v>
      </c>
      <c r="AL908">
        <v>0</v>
      </c>
      <c r="AM908">
        <v>0</v>
      </c>
      <c r="AN908">
        <v>0</v>
      </c>
      <c r="AO908">
        <v>0</v>
      </c>
      <c r="AQ908">
        <v>0</v>
      </c>
      <c r="AR908">
        <v>0</v>
      </c>
      <c r="AT908">
        <v>0</v>
      </c>
      <c r="AU908">
        <v>0</v>
      </c>
      <c r="AW908">
        <v>0</v>
      </c>
      <c r="AX908">
        <v>0</v>
      </c>
      <c r="AY908">
        <v>140</v>
      </c>
      <c r="BC908" t="str">
        <f>T("9788997946006")</f>
        <v>9788997946006</v>
      </c>
      <c r="BE908" t="str">
        <f t="shared" si="126"/>
        <v>판타지 웹소설 &gt; 현대 판타지</v>
      </c>
    </row>
    <row r="909" spans="1:57" x14ac:dyDescent="0.3">
      <c r="A909">
        <v>1525004030</v>
      </c>
      <c r="B909">
        <v>1525006713</v>
      </c>
      <c r="C909" t="str">
        <f>T("회귀의 전설 2부 596화")</f>
        <v>회귀의 전설 2부 596화</v>
      </c>
      <c r="D909" t="str">
        <f>T("596")</f>
        <v>596</v>
      </c>
      <c r="E909" t="str">
        <f t="shared" si="124"/>
        <v>김광수</v>
      </c>
      <c r="H909" t="str">
        <f t="shared" si="123"/>
        <v>스토리위즈</v>
      </c>
      <c r="I909" t="str">
        <f t="shared" si="125"/>
        <v>회귀의 전설</v>
      </c>
      <c r="J909">
        <v>100</v>
      </c>
      <c r="K909">
        <v>200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200</v>
      </c>
      <c r="AH909">
        <v>2</v>
      </c>
      <c r="AI909">
        <v>0</v>
      </c>
      <c r="AJ909">
        <v>0</v>
      </c>
      <c r="AK909">
        <v>100</v>
      </c>
      <c r="AL909">
        <v>0</v>
      </c>
      <c r="AM909">
        <v>120</v>
      </c>
      <c r="AN909">
        <v>-12</v>
      </c>
      <c r="AO909">
        <v>0</v>
      </c>
      <c r="AQ909">
        <v>0</v>
      </c>
      <c r="AR909">
        <v>0</v>
      </c>
      <c r="AS909">
        <v>120</v>
      </c>
      <c r="AT909">
        <v>-12</v>
      </c>
      <c r="AU909">
        <v>0</v>
      </c>
      <c r="AW909">
        <v>0</v>
      </c>
      <c r="AX909">
        <v>0</v>
      </c>
      <c r="AY909">
        <v>145.6</v>
      </c>
      <c r="BC909" t="str">
        <f>T("9791191102086")</f>
        <v>9791191102086</v>
      </c>
      <c r="BE909" t="str">
        <f t="shared" si="126"/>
        <v>판타지 웹소설 &gt; 현대 판타지</v>
      </c>
    </row>
    <row r="910" spans="1:57" x14ac:dyDescent="0.3">
      <c r="A910">
        <v>1525004030</v>
      </c>
      <c r="B910">
        <v>1525004304</v>
      </c>
      <c r="C910" t="str">
        <f>T("회귀의 전설 275화")</f>
        <v>회귀의 전설 275화</v>
      </c>
      <c r="D910" t="str">
        <f>T("275")</f>
        <v>275</v>
      </c>
      <c r="E910" t="str">
        <f t="shared" si="124"/>
        <v>김광수</v>
      </c>
      <c r="H910" t="str">
        <f t="shared" si="123"/>
        <v>스토리위즈</v>
      </c>
      <c r="I910" t="str">
        <f t="shared" si="125"/>
        <v>회귀의 전설</v>
      </c>
      <c r="J910">
        <v>100</v>
      </c>
      <c r="K910">
        <v>200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200</v>
      </c>
      <c r="AH910">
        <v>2</v>
      </c>
      <c r="AI910">
        <v>0</v>
      </c>
      <c r="AJ910">
        <v>0</v>
      </c>
      <c r="AK910">
        <v>200</v>
      </c>
      <c r="AL910">
        <v>0</v>
      </c>
      <c r="AM910">
        <v>0</v>
      </c>
      <c r="AN910">
        <v>0</v>
      </c>
      <c r="AO910">
        <v>0</v>
      </c>
      <c r="AQ910">
        <v>0</v>
      </c>
      <c r="AR910">
        <v>0</v>
      </c>
      <c r="AT910">
        <v>0</v>
      </c>
      <c r="AU910">
        <v>0</v>
      </c>
      <c r="AW910">
        <v>0</v>
      </c>
      <c r="AX910">
        <v>0</v>
      </c>
      <c r="AY910">
        <v>140</v>
      </c>
      <c r="BC910" t="str">
        <f>T("9788997946006")</f>
        <v>9788997946006</v>
      </c>
      <c r="BE910" t="str">
        <f t="shared" si="126"/>
        <v>판타지 웹소설 &gt; 현대 판타지</v>
      </c>
    </row>
    <row r="911" spans="1:57" x14ac:dyDescent="0.3">
      <c r="A911">
        <v>1525004030</v>
      </c>
      <c r="B911">
        <v>1525006672</v>
      </c>
      <c r="C911" t="str">
        <f>T("회귀의 전설 2부 555화")</f>
        <v>회귀의 전설 2부 555화</v>
      </c>
      <c r="D911" t="str">
        <f>T("555")</f>
        <v>555</v>
      </c>
      <c r="E911" t="str">
        <f t="shared" si="124"/>
        <v>김광수</v>
      </c>
      <c r="H911" t="str">
        <f t="shared" si="123"/>
        <v>스토리위즈</v>
      </c>
      <c r="I911" t="str">
        <f t="shared" si="125"/>
        <v>회귀의 전설</v>
      </c>
      <c r="J911">
        <v>100</v>
      </c>
      <c r="K911">
        <v>200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200</v>
      </c>
      <c r="AH911">
        <v>2</v>
      </c>
      <c r="AI911">
        <v>0</v>
      </c>
      <c r="AJ911">
        <v>0</v>
      </c>
      <c r="AK911">
        <v>200</v>
      </c>
      <c r="AL911">
        <v>0</v>
      </c>
      <c r="AM911">
        <v>0</v>
      </c>
      <c r="AN911">
        <v>0</v>
      </c>
      <c r="AO911">
        <v>0</v>
      </c>
      <c r="AQ911">
        <v>0</v>
      </c>
      <c r="AR911">
        <v>0</v>
      </c>
      <c r="AT911">
        <v>0</v>
      </c>
      <c r="AU911">
        <v>0</v>
      </c>
      <c r="AW911">
        <v>0</v>
      </c>
      <c r="AX911">
        <v>0</v>
      </c>
      <c r="AY911">
        <v>140</v>
      </c>
      <c r="BC911" t="str">
        <f>T("9791191102086")</f>
        <v>9791191102086</v>
      </c>
      <c r="BE911" t="str">
        <f t="shared" si="126"/>
        <v>판타지 웹소설 &gt; 현대 판타지</v>
      </c>
    </row>
    <row r="912" spans="1:57" x14ac:dyDescent="0.3">
      <c r="A912">
        <v>1525008428</v>
      </c>
      <c r="B912">
        <v>1525008447</v>
      </c>
      <c r="C912" t="str">
        <f>T("무히비(Muhibbi) 37화")</f>
        <v>무히비(Muhibbi) 37화</v>
      </c>
      <c r="D912" t="str">
        <f>T("37")</f>
        <v>37</v>
      </c>
      <c r="E912" t="str">
        <f>T("jooki")</f>
        <v>jooki</v>
      </c>
      <c r="H912" t="str">
        <f>T("블러쉬")</f>
        <v>블러쉬</v>
      </c>
      <c r="I912" t="str">
        <f>T("무히비(Muhibbi)")</f>
        <v>무히비(Muhibbi)</v>
      </c>
      <c r="J912">
        <v>100</v>
      </c>
      <c r="K912">
        <v>200</v>
      </c>
      <c r="L912">
        <v>2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200</v>
      </c>
      <c r="AH912">
        <v>2</v>
      </c>
      <c r="AI912">
        <v>0</v>
      </c>
      <c r="AJ912">
        <v>0</v>
      </c>
      <c r="AK912">
        <v>200</v>
      </c>
      <c r="AL912">
        <v>0</v>
      </c>
      <c r="AM912">
        <v>0</v>
      </c>
      <c r="AN912">
        <v>0</v>
      </c>
      <c r="AO912">
        <v>0</v>
      </c>
      <c r="AQ912">
        <v>0</v>
      </c>
      <c r="AR912">
        <v>0</v>
      </c>
      <c r="AT912">
        <v>0</v>
      </c>
      <c r="AU912">
        <v>0</v>
      </c>
      <c r="AW912">
        <v>0</v>
      </c>
      <c r="AX912">
        <v>0</v>
      </c>
      <c r="AY912">
        <v>140</v>
      </c>
      <c r="BC912" t="str">
        <f>T("9791164896622")</f>
        <v>9791164896622</v>
      </c>
      <c r="BE912" t="str">
        <f>T("BL 웹소설 &gt; 역사/시대물")</f>
        <v>BL 웹소설 &gt; 역사/시대물</v>
      </c>
    </row>
    <row r="913" spans="1:57" x14ac:dyDescent="0.3">
      <c r="A913">
        <v>1525004030</v>
      </c>
      <c r="B913">
        <v>1525004092</v>
      </c>
      <c r="C913" t="str">
        <f>T("회귀의 전설 63화")</f>
        <v>회귀의 전설 63화</v>
      </c>
      <c r="D913" t="str">
        <f>T("63")</f>
        <v>63</v>
      </c>
      <c r="E913" t="str">
        <f t="shared" ref="E913:E933" si="127">T("김광수")</f>
        <v>김광수</v>
      </c>
      <c r="H913" t="str">
        <f t="shared" ref="H913:H933" si="128">T("스토리위즈")</f>
        <v>스토리위즈</v>
      </c>
      <c r="I913" t="str">
        <f t="shared" ref="I913:I933" si="129">T("회귀의 전설")</f>
        <v>회귀의 전설</v>
      </c>
      <c r="J913">
        <v>100</v>
      </c>
      <c r="K913">
        <v>200</v>
      </c>
      <c r="L913">
        <v>2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200</v>
      </c>
      <c r="AH913">
        <v>2</v>
      </c>
      <c r="AI913">
        <v>0</v>
      </c>
      <c r="AJ913">
        <v>0</v>
      </c>
      <c r="AK913">
        <v>100</v>
      </c>
      <c r="AL913">
        <v>0</v>
      </c>
      <c r="AM913">
        <v>120</v>
      </c>
      <c r="AN913">
        <v>-36</v>
      </c>
      <c r="AO913">
        <v>0</v>
      </c>
      <c r="AQ913">
        <v>0</v>
      </c>
      <c r="AR913">
        <v>0</v>
      </c>
      <c r="AS913">
        <v>120</v>
      </c>
      <c r="AT913">
        <v>-36</v>
      </c>
      <c r="AU913">
        <v>0</v>
      </c>
      <c r="AW913">
        <v>0</v>
      </c>
      <c r="AX913">
        <v>0</v>
      </c>
      <c r="AY913">
        <v>128.80000000000001</v>
      </c>
      <c r="BC913" t="str">
        <f>T("9788997946006")</f>
        <v>9788997946006</v>
      </c>
      <c r="BE913" t="str">
        <f t="shared" ref="BE913:BE933" si="130">T("판타지 웹소설 &gt; 현대 판타지")</f>
        <v>판타지 웹소설 &gt; 현대 판타지</v>
      </c>
    </row>
    <row r="914" spans="1:57" x14ac:dyDescent="0.3">
      <c r="A914">
        <v>1525004030</v>
      </c>
      <c r="B914">
        <v>1525006827</v>
      </c>
      <c r="C914" t="str">
        <f>T("회귀의 전설 2부 710화")</f>
        <v>회귀의 전설 2부 710화</v>
      </c>
      <c r="D914" t="str">
        <f>T("710")</f>
        <v>710</v>
      </c>
      <c r="E914" t="str">
        <f t="shared" si="127"/>
        <v>김광수</v>
      </c>
      <c r="H914" t="str">
        <f t="shared" si="128"/>
        <v>스토리위즈</v>
      </c>
      <c r="I914" t="str">
        <f t="shared" si="129"/>
        <v>회귀의 전설</v>
      </c>
      <c r="J914">
        <v>100</v>
      </c>
      <c r="K914">
        <v>200</v>
      </c>
      <c r="L914">
        <v>2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200</v>
      </c>
      <c r="AH914">
        <v>2</v>
      </c>
      <c r="AI914">
        <v>0</v>
      </c>
      <c r="AJ914">
        <v>0</v>
      </c>
      <c r="AK914">
        <v>100</v>
      </c>
      <c r="AL914">
        <v>0</v>
      </c>
      <c r="AM914">
        <v>120</v>
      </c>
      <c r="AN914">
        <v>-12</v>
      </c>
      <c r="AO914">
        <v>0</v>
      </c>
      <c r="AQ914">
        <v>0</v>
      </c>
      <c r="AR914">
        <v>0</v>
      </c>
      <c r="AS914">
        <v>120</v>
      </c>
      <c r="AT914">
        <v>-12</v>
      </c>
      <c r="AU914">
        <v>0</v>
      </c>
      <c r="AW914">
        <v>0</v>
      </c>
      <c r="AX914">
        <v>0</v>
      </c>
      <c r="AY914">
        <v>145.6</v>
      </c>
      <c r="BC914" t="str">
        <f>T("9791191102086")</f>
        <v>9791191102086</v>
      </c>
      <c r="BE914" t="str">
        <f t="shared" si="130"/>
        <v>판타지 웹소설 &gt; 현대 판타지</v>
      </c>
    </row>
    <row r="915" spans="1:57" x14ac:dyDescent="0.3">
      <c r="A915">
        <v>1525004030</v>
      </c>
      <c r="B915">
        <v>1525006786</v>
      </c>
      <c r="C915" t="str">
        <f>T("회귀의 전설 2부 669화")</f>
        <v>회귀의 전설 2부 669화</v>
      </c>
      <c r="D915" t="str">
        <f>T("669")</f>
        <v>669</v>
      </c>
      <c r="E915" t="str">
        <f t="shared" si="127"/>
        <v>김광수</v>
      </c>
      <c r="H915" t="str">
        <f t="shared" si="128"/>
        <v>스토리위즈</v>
      </c>
      <c r="I915" t="str">
        <f t="shared" si="129"/>
        <v>회귀의 전설</v>
      </c>
      <c r="J915">
        <v>100</v>
      </c>
      <c r="K915">
        <v>200</v>
      </c>
      <c r="L915">
        <v>2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200</v>
      </c>
      <c r="AH915">
        <v>2</v>
      </c>
      <c r="AI915">
        <v>0</v>
      </c>
      <c r="AJ915">
        <v>0</v>
      </c>
      <c r="AK915">
        <v>100</v>
      </c>
      <c r="AL915">
        <v>0</v>
      </c>
      <c r="AM915">
        <v>120</v>
      </c>
      <c r="AN915">
        <v>-12</v>
      </c>
      <c r="AO915">
        <v>0</v>
      </c>
      <c r="AQ915">
        <v>0</v>
      </c>
      <c r="AR915">
        <v>0</v>
      </c>
      <c r="AS915">
        <v>120</v>
      </c>
      <c r="AT915">
        <v>-12</v>
      </c>
      <c r="AU915">
        <v>0</v>
      </c>
      <c r="AW915">
        <v>0</v>
      </c>
      <c r="AX915">
        <v>0</v>
      </c>
      <c r="AY915">
        <v>145.6</v>
      </c>
      <c r="BC915" t="str">
        <f>T("9791191102086")</f>
        <v>9791191102086</v>
      </c>
      <c r="BE915" t="str">
        <f t="shared" si="130"/>
        <v>판타지 웹소설 &gt; 현대 판타지</v>
      </c>
    </row>
    <row r="916" spans="1:57" x14ac:dyDescent="0.3">
      <c r="A916">
        <v>1525004030</v>
      </c>
      <c r="B916">
        <v>1525006647</v>
      </c>
      <c r="C916" t="str">
        <f>T("회귀의 전설 2부 530화")</f>
        <v>회귀의 전설 2부 530화</v>
      </c>
      <c r="D916" t="str">
        <f>T("530")</f>
        <v>530</v>
      </c>
      <c r="E916" t="str">
        <f t="shared" si="127"/>
        <v>김광수</v>
      </c>
      <c r="H916" t="str">
        <f t="shared" si="128"/>
        <v>스토리위즈</v>
      </c>
      <c r="I916" t="str">
        <f t="shared" si="129"/>
        <v>회귀의 전설</v>
      </c>
      <c r="J916">
        <v>100</v>
      </c>
      <c r="K916">
        <v>200</v>
      </c>
      <c r="L916">
        <v>2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200</v>
      </c>
      <c r="AH916">
        <v>2</v>
      </c>
      <c r="AI916">
        <v>0</v>
      </c>
      <c r="AJ916">
        <v>0</v>
      </c>
      <c r="AK916">
        <v>200</v>
      </c>
      <c r="AL916">
        <v>0</v>
      </c>
      <c r="AM916">
        <v>0</v>
      </c>
      <c r="AN916">
        <v>0</v>
      </c>
      <c r="AO916">
        <v>0</v>
      </c>
      <c r="AQ916">
        <v>0</v>
      </c>
      <c r="AR916">
        <v>0</v>
      </c>
      <c r="AT916">
        <v>0</v>
      </c>
      <c r="AU916">
        <v>0</v>
      </c>
      <c r="AW916">
        <v>0</v>
      </c>
      <c r="AX916">
        <v>0</v>
      </c>
      <c r="AY916">
        <v>140</v>
      </c>
      <c r="BC916" t="str">
        <f>T("9791191102086")</f>
        <v>9791191102086</v>
      </c>
      <c r="BE916" t="str">
        <f t="shared" si="130"/>
        <v>판타지 웹소설 &gt; 현대 판타지</v>
      </c>
    </row>
    <row r="917" spans="1:57" x14ac:dyDescent="0.3">
      <c r="A917">
        <v>1525004030</v>
      </c>
      <c r="B917">
        <v>1525004247</v>
      </c>
      <c r="C917" t="str">
        <f>T("회귀의 전설 218화")</f>
        <v>회귀의 전설 218화</v>
      </c>
      <c r="D917" t="str">
        <f>T("218")</f>
        <v>218</v>
      </c>
      <c r="E917" t="str">
        <f t="shared" si="127"/>
        <v>김광수</v>
      </c>
      <c r="H917" t="str">
        <f t="shared" si="128"/>
        <v>스토리위즈</v>
      </c>
      <c r="I917" t="str">
        <f t="shared" si="129"/>
        <v>회귀의 전설</v>
      </c>
      <c r="J917">
        <v>100</v>
      </c>
      <c r="K917">
        <v>200</v>
      </c>
      <c r="L917">
        <v>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200</v>
      </c>
      <c r="AH917">
        <v>2</v>
      </c>
      <c r="AI917">
        <v>0</v>
      </c>
      <c r="AJ917">
        <v>0</v>
      </c>
      <c r="AK917">
        <v>200</v>
      </c>
      <c r="AL917">
        <v>0</v>
      </c>
      <c r="AM917">
        <v>0</v>
      </c>
      <c r="AN917">
        <v>0</v>
      </c>
      <c r="AO917">
        <v>0</v>
      </c>
      <c r="AQ917">
        <v>0</v>
      </c>
      <c r="AR917">
        <v>0</v>
      </c>
      <c r="AT917">
        <v>0</v>
      </c>
      <c r="AU917">
        <v>0</v>
      </c>
      <c r="AW917">
        <v>0</v>
      </c>
      <c r="AX917">
        <v>0</v>
      </c>
      <c r="AY917">
        <v>140</v>
      </c>
      <c r="BC917" t="str">
        <f>T("9788997946006")</f>
        <v>9788997946006</v>
      </c>
      <c r="BE917" t="str">
        <f t="shared" si="130"/>
        <v>판타지 웹소설 &gt; 현대 판타지</v>
      </c>
    </row>
    <row r="918" spans="1:57" x14ac:dyDescent="0.3">
      <c r="A918">
        <v>1525004030</v>
      </c>
      <c r="B918">
        <v>1525006704</v>
      </c>
      <c r="C918" t="str">
        <f>T("회귀의 전설 2부 587화")</f>
        <v>회귀의 전설 2부 587화</v>
      </c>
      <c r="D918" t="str">
        <f>T("587")</f>
        <v>587</v>
      </c>
      <c r="E918" t="str">
        <f t="shared" si="127"/>
        <v>김광수</v>
      </c>
      <c r="H918" t="str">
        <f t="shared" si="128"/>
        <v>스토리위즈</v>
      </c>
      <c r="I918" t="str">
        <f t="shared" si="129"/>
        <v>회귀의 전설</v>
      </c>
      <c r="J918">
        <v>100</v>
      </c>
      <c r="K918">
        <v>200</v>
      </c>
      <c r="L918">
        <v>2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200</v>
      </c>
      <c r="AH918">
        <v>2</v>
      </c>
      <c r="AI918">
        <v>0</v>
      </c>
      <c r="AJ918">
        <v>0</v>
      </c>
      <c r="AK918">
        <v>100</v>
      </c>
      <c r="AL918">
        <v>0</v>
      </c>
      <c r="AM918">
        <v>120</v>
      </c>
      <c r="AN918">
        <v>-36</v>
      </c>
      <c r="AO918">
        <v>0</v>
      </c>
      <c r="AQ918">
        <v>0</v>
      </c>
      <c r="AR918">
        <v>0</v>
      </c>
      <c r="AS918">
        <v>120</v>
      </c>
      <c r="AT918">
        <v>-36</v>
      </c>
      <c r="AU918">
        <v>0</v>
      </c>
      <c r="AW918">
        <v>0</v>
      </c>
      <c r="AX918">
        <v>0</v>
      </c>
      <c r="AY918">
        <v>128.80000000000001</v>
      </c>
      <c r="BC918" t="str">
        <f>T("9791191102086")</f>
        <v>9791191102086</v>
      </c>
      <c r="BE918" t="str">
        <f t="shared" si="130"/>
        <v>판타지 웹소설 &gt; 현대 판타지</v>
      </c>
    </row>
    <row r="919" spans="1:57" x14ac:dyDescent="0.3">
      <c r="A919">
        <v>1525004030</v>
      </c>
      <c r="B919">
        <v>1525004206</v>
      </c>
      <c r="C919" t="str">
        <f>T("회귀의 전설 177화")</f>
        <v>회귀의 전설 177화</v>
      </c>
      <c r="D919" t="str">
        <f>T("177")</f>
        <v>177</v>
      </c>
      <c r="E919" t="str">
        <f t="shared" si="127"/>
        <v>김광수</v>
      </c>
      <c r="H919" t="str">
        <f t="shared" si="128"/>
        <v>스토리위즈</v>
      </c>
      <c r="I919" t="str">
        <f t="shared" si="129"/>
        <v>회귀의 전설</v>
      </c>
      <c r="J919">
        <v>100</v>
      </c>
      <c r="K919">
        <v>200</v>
      </c>
      <c r="L919">
        <v>2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200</v>
      </c>
      <c r="AH919">
        <v>2</v>
      </c>
      <c r="AI919">
        <v>0</v>
      </c>
      <c r="AJ919">
        <v>0</v>
      </c>
      <c r="AK919">
        <v>200</v>
      </c>
      <c r="AL919">
        <v>0</v>
      </c>
      <c r="AM919">
        <v>0</v>
      </c>
      <c r="AN919">
        <v>0</v>
      </c>
      <c r="AO919">
        <v>0</v>
      </c>
      <c r="AQ919">
        <v>0</v>
      </c>
      <c r="AR919">
        <v>0</v>
      </c>
      <c r="AT919">
        <v>0</v>
      </c>
      <c r="AU919">
        <v>0</v>
      </c>
      <c r="AW919">
        <v>0</v>
      </c>
      <c r="AX919">
        <v>0</v>
      </c>
      <c r="AY919">
        <v>140</v>
      </c>
      <c r="BC919" t="str">
        <f>T("9788997946006")</f>
        <v>9788997946006</v>
      </c>
      <c r="BE919" t="str">
        <f t="shared" si="130"/>
        <v>판타지 웹소설 &gt; 현대 판타지</v>
      </c>
    </row>
    <row r="920" spans="1:57" x14ac:dyDescent="0.3">
      <c r="A920">
        <v>1525004030</v>
      </c>
      <c r="B920">
        <v>1525006859</v>
      </c>
      <c r="C920" t="str">
        <f>T("회귀의 전설 2부 742화")</f>
        <v>회귀의 전설 2부 742화</v>
      </c>
      <c r="D920" t="str">
        <f>T("742")</f>
        <v>742</v>
      </c>
      <c r="E920" t="str">
        <f t="shared" si="127"/>
        <v>김광수</v>
      </c>
      <c r="H920" t="str">
        <f t="shared" si="128"/>
        <v>스토리위즈</v>
      </c>
      <c r="I920" t="str">
        <f t="shared" si="129"/>
        <v>회귀의 전설</v>
      </c>
      <c r="J920">
        <v>100</v>
      </c>
      <c r="K920">
        <v>200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200</v>
      </c>
      <c r="AH920">
        <v>2</v>
      </c>
      <c r="AI920">
        <v>0</v>
      </c>
      <c r="AJ920">
        <v>0</v>
      </c>
      <c r="AK920">
        <v>100</v>
      </c>
      <c r="AL920">
        <v>0</v>
      </c>
      <c r="AM920">
        <v>120</v>
      </c>
      <c r="AN920">
        <v>-12</v>
      </c>
      <c r="AO920">
        <v>0</v>
      </c>
      <c r="AQ920">
        <v>0</v>
      </c>
      <c r="AR920">
        <v>0</v>
      </c>
      <c r="AS920">
        <v>120</v>
      </c>
      <c r="AT920">
        <v>-12</v>
      </c>
      <c r="AU920">
        <v>0</v>
      </c>
      <c r="AW920">
        <v>0</v>
      </c>
      <c r="AX920">
        <v>0</v>
      </c>
      <c r="AY920">
        <v>145.6</v>
      </c>
      <c r="BC920" t="str">
        <f>T("9791191102086")</f>
        <v>9791191102086</v>
      </c>
      <c r="BE920" t="str">
        <f t="shared" si="130"/>
        <v>판타지 웹소설 &gt; 현대 판타지</v>
      </c>
    </row>
    <row r="921" spans="1:57" x14ac:dyDescent="0.3">
      <c r="A921">
        <v>1525004030</v>
      </c>
      <c r="B921">
        <v>1525004109</v>
      </c>
      <c r="C921" t="str">
        <f>T("회귀의 전설 80화")</f>
        <v>회귀의 전설 80화</v>
      </c>
      <c r="D921" t="str">
        <f>T("80")</f>
        <v>80</v>
      </c>
      <c r="E921" t="str">
        <f t="shared" si="127"/>
        <v>김광수</v>
      </c>
      <c r="H921" t="str">
        <f t="shared" si="128"/>
        <v>스토리위즈</v>
      </c>
      <c r="I921" t="str">
        <f t="shared" si="129"/>
        <v>회귀의 전설</v>
      </c>
      <c r="J921">
        <v>100</v>
      </c>
      <c r="K921">
        <v>200</v>
      </c>
      <c r="L921">
        <v>2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200</v>
      </c>
      <c r="AH921">
        <v>2</v>
      </c>
      <c r="AI921">
        <v>0</v>
      </c>
      <c r="AJ921">
        <v>0</v>
      </c>
      <c r="AK921">
        <v>100</v>
      </c>
      <c r="AL921">
        <v>0</v>
      </c>
      <c r="AM921">
        <v>120</v>
      </c>
      <c r="AN921">
        <v>-36</v>
      </c>
      <c r="AO921">
        <v>0</v>
      </c>
      <c r="AQ921">
        <v>0</v>
      </c>
      <c r="AR921">
        <v>0</v>
      </c>
      <c r="AS921">
        <v>120</v>
      </c>
      <c r="AT921">
        <v>-36</v>
      </c>
      <c r="AU921">
        <v>0</v>
      </c>
      <c r="AW921">
        <v>0</v>
      </c>
      <c r="AX921">
        <v>0</v>
      </c>
      <c r="AY921">
        <v>128.80000000000001</v>
      </c>
      <c r="BC921" t="str">
        <f>T("9788997946006")</f>
        <v>9788997946006</v>
      </c>
      <c r="BE921" t="str">
        <f t="shared" si="130"/>
        <v>판타지 웹소설 &gt; 현대 판타지</v>
      </c>
    </row>
    <row r="922" spans="1:57" x14ac:dyDescent="0.3">
      <c r="A922">
        <v>1525004030</v>
      </c>
      <c r="B922">
        <v>1525004353</v>
      </c>
      <c r="C922" t="str">
        <f>T("회귀의 전설 325화")</f>
        <v>회귀의 전설 325화</v>
      </c>
      <c r="D922" t="str">
        <f>T("325")</f>
        <v>325</v>
      </c>
      <c r="E922" t="str">
        <f t="shared" si="127"/>
        <v>김광수</v>
      </c>
      <c r="H922" t="str">
        <f t="shared" si="128"/>
        <v>스토리위즈</v>
      </c>
      <c r="I922" t="str">
        <f t="shared" si="129"/>
        <v>회귀의 전설</v>
      </c>
      <c r="J922">
        <v>100</v>
      </c>
      <c r="K922">
        <v>200</v>
      </c>
      <c r="L922">
        <v>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200</v>
      </c>
      <c r="AH922">
        <v>2</v>
      </c>
      <c r="AI922">
        <v>0</v>
      </c>
      <c r="AJ922">
        <v>0</v>
      </c>
      <c r="AK922">
        <v>200</v>
      </c>
      <c r="AL922">
        <v>0</v>
      </c>
      <c r="AM922">
        <v>0</v>
      </c>
      <c r="AN922">
        <v>0</v>
      </c>
      <c r="AO922">
        <v>0</v>
      </c>
      <c r="AQ922">
        <v>0</v>
      </c>
      <c r="AR922">
        <v>0</v>
      </c>
      <c r="AT922">
        <v>0</v>
      </c>
      <c r="AU922">
        <v>0</v>
      </c>
      <c r="AW922">
        <v>0</v>
      </c>
      <c r="AX922">
        <v>0</v>
      </c>
      <c r="AY922">
        <v>140</v>
      </c>
      <c r="BC922" t="str">
        <f>T("9788997946006")</f>
        <v>9788997946006</v>
      </c>
      <c r="BE922" t="str">
        <f t="shared" si="130"/>
        <v>판타지 웹소설 &gt; 현대 판타지</v>
      </c>
    </row>
    <row r="923" spans="1:57" x14ac:dyDescent="0.3">
      <c r="A923">
        <v>1525004030</v>
      </c>
      <c r="B923">
        <v>1525006807</v>
      </c>
      <c r="C923" t="str">
        <f>T("회귀의 전설 2부 690화")</f>
        <v>회귀의 전설 2부 690화</v>
      </c>
      <c r="D923" t="str">
        <f>T("690")</f>
        <v>690</v>
      </c>
      <c r="E923" t="str">
        <f t="shared" si="127"/>
        <v>김광수</v>
      </c>
      <c r="H923" t="str">
        <f t="shared" si="128"/>
        <v>스토리위즈</v>
      </c>
      <c r="I923" t="str">
        <f t="shared" si="129"/>
        <v>회귀의 전설</v>
      </c>
      <c r="J923">
        <v>100</v>
      </c>
      <c r="K923">
        <v>200</v>
      </c>
      <c r="L923">
        <v>2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200</v>
      </c>
      <c r="AH923">
        <v>2</v>
      </c>
      <c r="AI923">
        <v>0</v>
      </c>
      <c r="AJ923">
        <v>0</v>
      </c>
      <c r="AK923">
        <v>100</v>
      </c>
      <c r="AL923">
        <v>0</v>
      </c>
      <c r="AM923">
        <v>120</v>
      </c>
      <c r="AN923">
        <v>-12</v>
      </c>
      <c r="AO923">
        <v>0</v>
      </c>
      <c r="AQ923">
        <v>0</v>
      </c>
      <c r="AR923">
        <v>0</v>
      </c>
      <c r="AS923">
        <v>120</v>
      </c>
      <c r="AT923">
        <v>-12</v>
      </c>
      <c r="AU923">
        <v>0</v>
      </c>
      <c r="AW923">
        <v>0</v>
      </c>
      <c r="AX923">
        <v>0</v>
      </c>
      <c r="AY923">
        <v>145.6</v>
      </c>
      <c r="BC923" t="str">
        <f>T("9791191102086")</f>
        <v>9791191102086</v>
      </c>
      <c r="BE923" t="str">
        <f t="shared" si="130"/>
        <v>판타지 웹소설 &gt; 현대 판타지</v>
      </c>
    </row>
    <row r="924" spans="1:57" x14ac:dyDescent="0.3">
      <c r="A924">
        <v>1525004030</v>
      </c>
      <c r="B924">
        <v>1525004268</v>
      </c>
      <c r="C924" t="str">
        <f>T("회귀의 전설 239화")</f>
        <v>회귀의 전설 239화</v>
      </c>
      <c r="D924" t="str">
        <f>T("239")</f>
        <v>239</v>
      </c>
      <c r="E924" t="str">
        <f t="shared" si="127"/>
        <v>김광수</v>
      </c>
      <c r="H924" t="str">
        <f t="shared" si="128"/>
        <v>스토리위즈</v>
      </c>
      <c r="I924" t="str">
        <f t="shared" si="129"/>
        <v>회귀의 전설</v>
      </c>
      <c r="J924">
        <v>100</v>
      </c>
      <c r="K924">
        <v>200</v>
      </c>
      <c r="L924">
        <v>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200</v>
      </c>
      <c r="AH924">
        <v>2</v>
      </c>
      <c r="AI924">
        <v>0</v>
      </c>
      <c r="AJ924">
        <v>0</v>
      </c>
      <c r="AK924">
        <v>200</v>
      </c>
      <c r="AL924">
        <v>0</v>
      </c>
      <c r="AM924">
        <v>0</v>
      </c>
      <c r="AN924">
        <v>0</v>
      </c>
      <c r="AO924">
        <v>0</v>
      </c>
      <c r="AQ924">
        <v>0</v>
      </c>
      <c r="AR924">
        <v>0</v>
      </c>
      <c r="AT924">
        <v>0</v>
      </c>
      <c r="AU924">
        <v>0</v>
      </c>
      <c r="AW924">
        <v>0</v>
      </c>
      <c r="AX924">
        <v>0</v>
      </c>
      <c r="AY924">
        <v>140</v>
      </c>
      <c r="BC924" t="str">
        <f>T("9788997946006")</f>
        <v>9788997946006</v>
      </c>
      <c r="BE924" t="str">
        <f t="shared" si="130"/>
        <v>판타지 웹소설 &gt; 현대 판타지</v>
      </c>
    </row>
    <row r="925" spans="1:57" x14ac:dyDescent="0.3">
      <c r="A925">
        <v>1525004030</v>
      </c>
      <c r="B925">
        <v>1525004342</v>
      </c>
      <c r="C925" t="str">
        <f>T("회귀의 전설 314화")</f>
        <v>회귀의 전설 314화</v>
      </c>
      <c r="D925" t="str">
        <f>T("314")</f>
        <v>314</v>
      </c>
      <c r="E925" t="str">
        <f t="shared" si="127"/>
        <v>김광수</v>
      </c>
      <c r="H925" t="str">
        <f t="shared" si="128"/>
        <v>스토리위즈</v>
      </c>
      <c r="I925" t="str">
        <f t="shared" si="129"/>
        <v>회귀의 전설</v>
      </c>
      <c r="J925">
        <v>100</v>
      </c>
      <c r="K925">
        <v>200</v>
      </c>
      <c r="L925">
        <v>2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200</v>
      </c>
      <c r="AH925">
        <v>2</v>
      </c>
      <c r="AI925">
        <v>0</v>
      </c>
      <c r="AJ925">
        <v>0</v>
      </c>
      <c r="AK925">
        <v>200</v>
      </c>
      <c r="AL925">
        <v>0</v>
      </c>
      <c r="AM925">
        <v>0</v>
      </c>
      <c r="AN925">
        <v>0</v>
      </c>
      <c r="AO925">
        <v>0</v>
      </c>
      <c r="AQ925">
        <v>0</v>
      </c>
      <c r="AR925">
        <v>0</v>
      </c>
      <c r="AT925">
        <v>0</v>
      </c>
      <c r="AU925">
        <v>0</v>
      </c>
      <c r="AW925">
        <v>0</v>
      </c>
      <c r="AX925">
        <v>0</v>
      </c>
      <c r="AY925">
        <v>140</v>
      </c>
      <c r="BC925" t="str">
        <f>T("9788997946006")</f>
        <v>9788997946006</v>
      </c>
      <c r="BE925" t="str">
        <f t="shared" si="130"/>
        <v>판타지 웹소설 &gt; 현대 판타지</v>
      </c>
    </row>
    <row r="926" spans="1:57" x14ac:dyDescent="0.3">
      <c r="A926">
        <v>1525004030</v>
      </c>
      <c r="B926">
        <v>1525004399</v>
      </c>
      <c r="C926" t="str">
        <f>T("회귀의 전설 371화")</f>
        <v>회귀의 전설 371화</v>
      </c>
      <c r="D926" t="str">
        <f>T("371")</f>
        <v>371</v>
      </c>
      <c r="E926" t="str">
        <f t="shared" si="127"/>
        <v>김광수</v>
      </c>
      <c r="H926" t="str">
        <f t="shared" si="128"/>
        <v>스토리위즈</v>
      </c>
      <c r="I926" t="str">
        <f t="shared" si="129"/>
        <v>회귀의 전설</v>
      </c>
      <c r="J926">
        <v>100</v>
      </c>
      <c r="K926">
        <v>200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200</v>
      </c>
      <c r="AH926">
        <v>2</v>
      </c>
      <c r="AI926">
        <v>0</v>
      </c>
      <c r="AJ926">
        <v>0</v>
      </c>
      <c r="AK926">
        <v>200</v>
      </c>
      <c r="AL926">
        <v>0</v>
      </c>
      <c r="AM926">
        <v>0</v>
      </c>
      <c r="AN926">
        <v>0</v>
      </c>
      <c r="AO926">
        <v>0</v>
      </c>
      <c r="AQ926">
        <v>0</v>
      </c>
      <c r="AR926">
        <v>0</v>
      </c>
      <c r="AT926">
        <v>0</v>
      </c>
      <c r="AU926">
        <v>0</v>
      </c>
      <c r="AW926">
        <v>0</v>
      </c>
      <c r="AX926">
        <v>0</v>
      </c>
      <c r="AY926">
        <v>140</v>
      </c>
      <c r="BC926" t="str">
        <f>T("9788997946006")</f>
        <v>9788997946006</v>
      </c>
      <c r="BE926" t="str">
        <f t="shared" si="130"/>
        <v>판타지 웹소설 &gt; 현대 판타지</v>
      </c>
    </row>
    <row r="927" spans="1:57" x14ac:dyDescent="0.3">
      <c r="A927">
        <v>1525004030</v>
      </c>
      <c r="B927">
        <v>1525006880</v>
      </c>
      <c r="C927" t="str">
        <f>T("회귀의 전설 2부 763화")</f>
        <v>회귀의 전설 2부 763화</v>
      </c>
      <c r="D927" t="str">
        <f>T("763")</f>
        <v>763</v>
      </c>
      <c r="E927" t="str">
        <f t="shared" si="127"/>
        <v>김광수</v>
      </c>
      <c r="H927" t="str">
        <f t="shared" si="128"/>
        <v>스토리위즈</v>
      </c>
      <c r="I927" t="str">
        <f t="shared" si="129"/>
        <v>회귀의 전설</v>
      </c>
      <c r="J927">
        <v>100</v>
      </c>
      <c r="K927">
        <v>200</v>
      </c>
      <c r="L927">
        <v>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200</v>
      </c>
      <c r="AH927">
        <v>2</v>
      </c>
      <c r="AI927">
        <v>0</v>
      </c>
      <c r="AJ927">
        <v>0</v>
      </c>
      <c r="AK927">
        <v>100</v>
      </c>
      <c r="AL927">
        <v>0</v>
      </c>
      <c r="AM927">
        <v>120</v>
      </c>
      <c r="AN927">
        <v>-12</v>
      </c>
      <c r="AO927">
        <v>0</v>
      </c>
      <c r="AQ927">
        <v>0</v>
      </c>
      <c r="AR927">
        <v>0</v>
      </c>
      <c r="AS927">
        <v>120</v>
      </c>
      <c r="AT927">
        <v>-12</v>
      </c>
      <c r="AU927">
        <v>0</v>
      </c>
      <c r="AW927">
        <v>0</v>
      </c>
      <c r="AX927">
        <v>0</v>
      </c>
      <c r="AY927">
        <v>145.6</v>
      </c>
      <c r="BC927" t="str">
        <f>T("9791191102086")</f>
        <v>9791191102086</v>
      </c>
      <c r="BE927" t="str">
        <f t="shared" si="130"/>
        <v>판타지 웹소설 &gt; 현대 판타지</v>
      </c>
    </row>
    <row r="928" spans="1:57" x14ac:dyDescent="0.3">
      <c r="A928">
        <v>1525004030</v>
      </c>
      <c r="B928">
        <v>1525004456</v>
      </c>
      <c r="C928" t="str">
        <f>T("회귀의 전설 440화")</f>
        <v>회귀의 전설 440화</v>
      </c>
      <c r="D928" t="str">
        <f>T("440")</f>
        <v>440</v>
      </c>
      <c r="E928" t="str">
        <f t="shared" si="127"/>
        <v>김광수</v>
      </c>
      <c r="H928" t="str">
        <f t="shared" si="128"/>
        <v>스토리위즈</v>
      </c>
      <c r="I928" t="str">
        <f t="shared" si="129"/>
        <v>회귀의 전설</v>
      </c>
      <c r="J928">
        <v>100</v>
      </c>
      <c r="K928">
        <v>200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200</v>
      </c>
      <c r="AH928">
        <v>2</v>
      </c>
      <c r="AI928">
        <v>0</v>
      </c>
      <c r="AJ928">
        <v>0</v>
      </c>
      <c r="AK928">
        <v>200</v>
      </c>
      <c r="AL928">
        <v>0</v>
      </c>
      <c r="AM928">
        <v>0</v>
      </c>
      <c r="AN928">
        <v>0</v>
      </c>
      <c r="AO928">
        <v>0</v>
      </c>
      <c r="AQ928">
        <v>0</v>
      </c>
      <c r="AR928">
        <v>0</v>
      </c>
      <c r="AT928">
        <v>0</v>
      </c>
      <c r="AU928">
        <v>0</v>
      </c>
      <c r="AW928">
        <v>0</v>
      </c>
      <c r="AX928">
        <v>0</v>
      </c>
      <c r="AY928">
        <v>140</v>
      </c>
      <c r="BC928" t="str">
        <f>T("9788997946006")</f>
        <v>9788997946006</v>
      </c>
      <c r="BE928" t="str">
        <f t="shared" si="130"/>
        <v>판타지 웹소설 &gt; 현대 판타지</v>
      </c>
    </row>
    <row r="929" spans="1:57" x14ac:dyDescent="0.3">
      <c r="A929">
        <v>1525004030</v>
      </c>
      <c r="B929">
        <v>1525004374</v>
      </c>
      <c r="C929" t="str">
        <f>T("회귀의 전설 346화")</f>
        <v>회귀의 전설 346화</v>
      </c>
      <c r="D929" t="str">
        <f>T("346")</f>
        <v>346</v>
      </c>
      <c r="E929" t="str">
        <f t="shared" si="127"/>
        <v>김광수</v>
      </c>
      <c r="H929" t="str">
        <f t="shared" si="128"/>
        <v>스토리위즈</v>
      </c>
      <c r="I929" t="str">
        <f t="shared" si="129"/>
        <v>회귀의 전설</v>
      </c>
      <c r="J929">
        <v>100</v>
      </c>
      <c r="K929">
        <v>200</v>
      </c>
      <c r="L929">
        <v>2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200</v>
      </c>
      <c r="AH929">
        <v>2</v>
      </c>
      <c r="AI929">
        <v>0</v>
      </c>
      <c r="AJ929">
        <v>0</v>
      </c>
      <c r="AK929">
        <v>200</v>
      </c>
      <c r="AL929">
        <v>0</v>
      </c>
      <c r="AM929">
        <v>0</v>
      </c>
      <c r="AN929">
        <v>0</v>
      </c>
      <c r="AO929">
        <v>0</v>
      </c>
      <c r="AQ929">
        <v>0</v>
      </c>
      <c r="AR929">
        <v>0</v>
      </c>
      <c r="AT929">
        <v>0</v>
      </c>
      <c r="AU929">
        <v>0</v>
      </c>
      <c r="AW929">
        <v>0</v>
      </c>
      <c r="AX929">
        <v>0</v>
      </c>
      <c r="AY929">
        <v>140</v>
      </c>
      <c r="BC929" t="str">
        <f>T("9788997946006")</f>
        <v>9788997946006</v>
      </c>
      <c r="BE929" t="str">
        <f t="shared" si="130"/>
        <v>판타지 웹소설 &gt; 현대 판타지</v>
      </c>
    </row>
    <row r="930" spans="1:57" x14ac:dyDescent="0.3">
      <c r="A930">
        <v>1525004030</v>
      </c>
      <c r="B930">
        <v>1525004431</v>
      </c>
      <c r="C930" t="str">
        <f>T("회귀의 전설 415화")</f>
        <v>회귀의 전설 415화</v>
      </c>
      <c r="D930" t="str">
        <f>T("415")</f>
        <v>415</v>
      </c>
      <c r="E930" t="str">
        <f t="shared" si="127"/>
        <v>김광수</v>
      </c>
      <c r="H930" t="str">
        <f t="shared" si="128"/>
        <v>스토리위즈</v>
      </c>
      <c r="I930" t="str">
        <f t="shared" si="129"/>
        <v>회귀의 전설</v>
      </c>
      <c r="J930">
        <v>100</v>
      </c>
      <c r="K930">
        <v>200</v>
      </c>
      <c r="L930">
        <v>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200</v>
      </c>
      <c r="AH930">
        <v>2</v>
      </c>
      <c r="AI930">
        <v>0</v>
      </c>
      <c r="AJ930">
        <v>0</v>
      </c>
      <c r="AK930">
        <v>200</v>
      </c>
      <c r="AL930">
        <v>0</v>
      </c>
      <c r="AM930">
        <v>0</v>
      </c>
      <c r="AN930">
        <v>0</v>
      </c>
      <c r="AO930">
        <v>0</v>
      </c>
      <c r="AQ930">
        <v>0</v>
      </c>
      <c r="AR930">
        <v>0</v>
      </c>
      <c r="AT930">
        <v>0</v>
      </c>
      <c r="AU930">
        <v>0</v>
      </c>
      <c r="AW930">
        <v>0</v>
      </c>
      <c r="AX930">
        <v>0</v>
      </c>
      <c r="AY930">
        <v>140</v>
      </c>
      <c r="BC930" t="str">
        <f>T("9788997946006")</f>
        <v>9788997946006</v>
      </c>
      <c r="BE930" t="str">
        <f t="shared" si="130"/>
        <v>판타지 웹소설 &gt; 현대 판타지</v>
      </c>
    </row>
    <row r="931" spans="1:57" x14ac:dyDescent="0.3">
      <c r="A931">
        <v>1525004030</v>
      </c>
      <c r="B931">
        <v>1525004488</v>
      </c>
      <c r="C931" t="str">
        <f>T("회귀의 전설 472화")</f>
        <v>회귀의 전설 472화</v>
      </c>
      <c r="D931" t="str">
        <f>T("472")</f>
        <v>472</v>
      </c>
      <c r="E931" t="str">
        <f t="shared" si="127"/>
        <v>김광수</v>
      </c>
      <c r="H931" t="str">
        <f t="shared" si="128"/>
        <v>스토리위즈</v>
      </c>
      <c r="I931" t="str">
        <f t="shared" si="129"/>
        <v>회귀의 전설</v>
      </c>
      <c r="J931">
        <v>100</v>
      </c>
      <c r="K931">
        <v>200</v>
      </c>
      <c r="L931">
        <v>2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200</v>
      </c>
      <c r="AH931">
        <v>2</v>
      </c>
      <c r="AI931">
        <v>0</v>
      </c>
      <c r="AJ931">
        <v>0</v>
      </c>
      <c r="AK931">
        <v>200</v>
      </c>
      <c r="AL931">
        <v>0</v>
      </c>
      <c r="AM931">
        <v>0</v>
      </c>
      <c r="AN931">
        <v>0</v>
      </c>
      <c r="AO931">
        <v>0</v>
      </c>
      <c r="AQ931">
        <v>0</v>
      </c>
      <c r="AR931">
        <v>0</v>
      </c>
      <c r="AT931">
        <v>0</v>
      </c>
      <c r="AU931">
        <v>0</v>
      </c>
      <c r="AW931">
        <v>0</v>
      </c>
      <c r="AX931">
        <v>0</v>
      </c>
      <c r="AY931">
        <v>140</v>
      </c>
      <c r="BC931" t="str">
        <f>T("9788997946006")</f>
        <v>9788997946006</v>
      </c>
      <c r="BE931" t="str">
        <f t="shared" si="130"/>
        <v>판타지 웹소설 &gt; 현대 판타지</v>
      </c>
    </row>
    <row r="932" spans="1:57" x14ac:dyDescent="0.3">
      <c r="A932">
        <v>1525004030</v>
      </c>
      <c r="B932">
        <v>1525004293</v>
      </c>
      <c r="C932" t="str">
        <f>T("회귀의 전설 264화")</f>
        <v>회귀의 전설 264화</v>
      </c>
      <c r="D932" t="str">
        <f>T("264")</f>
        <v>264</v>
      </c>
      <c r="E932" t="str">
        <f t="shared" si="127"/>
        <v>김광수</v>
      </c>
      <c r="H932" t="str">
        <f t="shared" si="128"/>
        <v>스토리위즈</v>
      </c>
      <c r="I932" t="str">
        <f t="shared" si="129"/>
        <v>회귀의 전설</v>
      </c>
      <c r="J932">
        <v>100</v>
      </c>
      <c r="K932">
        <v>200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200</v>
      </c>
      <c r="AH932">
        <v>2</v>
      </c>
      <c r="AI932">
        <v>0</v>
      </c>
      <c r="AJ932">
        <v>0</v>
      </c>
      <c r="AK932">
        <v>200</v>
      </c>
      <c r="AL932">
        <v>0</v>
      </c>
      <c r="AM932">
        <v>0</v>
      </c>
      <c r="AN932">
        <v>0</v>
      </c>
      <c r="AO932">
        <v>0</v>
      </c>
      <c r="AQ932">
        <v>0</v>
      </c>
      <c r="AR932">
        <v>0</v>
      </c>
      <c r="AT932">
        <v>0</v>
      </c>
      <c r="AU932">
        <v>0</v>
      </c>
      <c r="AW932">
        <v>0</v>
      </c>
      <c r="AX932">
        <v>0</v>
      </c>
      <c r="AY932">
        <v>140</v>
      </c>
      <c r="BC932" t="str">
        <f>T("9788997946006")</f>
        <v>9788997946006</v>
      </c>
      <c r="BE932" t="str">
        <f t="shared" si="130"/>
        <v>판타지 웹소설 &gt; 현대 판타지</v>
      </c>
    </row>
    <row r="933" spans="1:57" x14ac:dyDescent="0.3">
      <c r="A933">
        <v>1525004030</v>
      </c>
      <c r="B933">
        <v>1525006661</v>
      </c>
      <c r="C933" t="str">
        <f>T("회귀의 전설 2부 544화")</f>
        <v>회귀의 전설 2부 544화</v>
      </c>
      <c r="D933" t="str">
        <f>T("544")</f>
        <v>544</v>
      </c>
      <c r="E933" t="str">
        <f t="shared" si="127"/>
        <v>김광수</v>
      </c>
      <c r="H933" t="str">
        <f t="shared" si="128"/>
        <v>스토리위즈</v>
      </c>
      <c r="I933" t="str">
        <f t="shared" si="129"/>
        <v>회귀의 전설</v>
      </c>
      <c r="J933">
        <v>100</v>
      </c>
      <c r="K933">
        <v>200</v>
      </c>
      <c r="L933">
        <v>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200</v>
      </c>
      <c r="AH933">
        <v>2</v>
      </c>
      <c r="AI933">
        <v>0</v>
      </c>
      <c r="AJ933">
        <v>0</v>
      </c>
      <c r="AK933">
        <v>200</v>
      </c>
      <c r="AL933">
        <v>0</v>
      </c>
      <c r="AM933">
        <v>0</v>
      </c>
      <c r="AN933">
        <v>0</v>
      </c>
      <c r="AO933">
        <v>0</v>
      </c>
      <c r="AQ933">
        <v>0</v>
      </c>
      <c r="AR933">
        <v>0</v>
      </c>
      <c r="AT933">
        <v>0</v>
      </c>
      <c r="AU933">
        <v>0</v>
      </c>
      <c r="AW933">
        <v>0</v>
      </c>
      <c r="AX933">
        <v>0</v>
      </c>
      <c r="AY933">
        <v>140</v>
      </c>
      <c r="BC933" t="str">
        <f>T("9791191102086")</f>
        <v>9791191102086</v>
      </c>
      <c r="BE933" t="str">
        <f t="shared" si="130"/>
        <v>판타지 웹소설 &gt; 현대 판타지</v>
      </c>
    </row>
    <row r="934" spans="1:57" x14ac:dyDescent="0.3">
      <c r="A934">
        <v>1525008428</v>
      </c>
      <c r="B934">
        <v>1525008435</v>
      </c>
      <c r="C934" t="str">
        <f>T("무히비(Muhibbi) 26화")</f>
        <v>무히비(Muhibbi) 26화</v>
      </c>
      <c r="D934" t="str">
        <f>T("26")</f>
        <v>26</v>
      </c>
      <c r="E934" t="str">
        <f>T("jooki")</f>
        <v>jooki</v>
      </c>
      <c r="H934" t="str">
        <f>T("블러쉬")</f>
        <v>블러쉬</v>
      </c>
      <c r="I934" t="str">
        <f>T("무히비(Muhibbi)")</f>
        <v>무히비(Muhibbi)</v>
      </c>
      <c r="J934">
        <v>100</v>
      </c>
      <c r="K934">
        <v>200</v>
      </c>
      <c r="L934">
        <v>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200</v>
      </c>
      <c r="AH934">
        <v>2</v>
      </c>
      <c r="AI934">
        <v>0</v>
      </c>
      <c r="AJ934">
        <v>0</v>
      </c>
      <c r="AK934">
        <v>200</v>
      </c>
      <c r="AL934">
        <v>0</v>
      </c>
      <c r="AM934">
        <v>0</v>
      </c>
      <c r="AN934">
        <v>0</v>
      </c>
      <c r="AO934">
        <v>0</v>
      </c>
      <c r="AQ934">
        <v>0</v>
      </c>
      <c r="AR934">
        <v>0</v>
      </c>
      <c r="AT934">
        <v>0</v>
      </c>
      <c r="AU934">
        <v>0</v>
      </c>
      <c r="AW934">
        <v>0</v>
      </c>
      <c r="AX934">
        <v>0</v>
      </c>
      <c r="AY934">
        <v>140</v>
      </c>
      <c r="BC934" t="str">
        <f>T("9791164896622")</f>
        <v>9791164896622</v>
      </c>
      <c r="BE934" t="str">
        <f>T("BL 웹소설 &gt; 역사/시대물")</f>
        <v>BL 웹소설 &gt; 역사/시대물</v>
      </c>
    </row>
    <row r="935" spans="1:57" x14ac:dyDescent="0.3">
      <c r="A935">
        <v>1525004030</v>
      </c>
      <c r="B935">
        <v>1525004081</v>
      </c>
      <c r="C935" t="str">
        <f>T("회귀의 전설 52화")</f>
        <v>회귀의 전설 52화</v>
      </c>
      <c r="D935" t="str">
        <f>T("52")</f>
        <v>52</v>
      </c>
      <c r="E935" t="str">
        <f>T("김광수")</f>
        <v>김광수</v>
      </c>
      <c r="H935" t="str">
        <f t="shared" ref="H935:H963" si="131">T("스토리위즈")</f>
        <v>스토리위즈</v>
      </c>
      <c r="I935" t="str">
        <f>T("회귀의 전설")</f>
        <v>회귀의 전설</v>
      </c>
      <c r="J935">
        <v>100</v>
      </c>
      <c r="K935">
        <v>200</v>
      </c>
      <c r="L935">
        <v>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200</v>
      </c>
      <c r="AH935">
        <v>2</v>
      </c>
      <c r="AI935">
        <v>0</v>
      </c>
      <c r="AJ935">
        <v>0</v>
      </c>
      <c r="AK935">
        <v>100</v>
      </c>
      <c r="AL935">
        <v>0</v>
      </c>
      <c r="AM935">
        <v>120</v>
      </c>
      <c r="AN935">
        <v>-36</v>
      </c>
      <c r="AO935">
        <v>0</v>
      </c>
      <c r="AQ935">
        <v>0</v>
      </c>
      <c r="AR935">
        <v>0</v>
      </c>
      <c r="AS935">
        <v>120</v>
      </c>
      <c r="AT935">
        <v>-36</v>
      </c>
      <c r="AU935">
        <v>0</v>
      </c>
      <c r="AW935">
        <v>0</v>
      </c>
      <c r="AX935">
        <v>0</v>
      </c>
      <c r="AY935">
        <v>128.80000000000001</v>
      </c>
      <c r="BC935" t="str">
        <f>T("9788997946006")</f>
        <v>9788997946006</v>
      </c>
      <c r="BE935" t="str">
        <f>T("판타지 웹소설 &gt; 현대 판타지")</f>
        <v>판타지 웹소설 &gt; 현대 판타지</v>
      </c>
    </row>
    <row r="936" spans="1:57" x14ac:dyDescent="0.3">
      <c r="A936">
        <v>1525004030</v>
      </c>
      <c r="B936">
        <v>1525006775</v>
      </c>
      <c r="C936" t="str">
        <f>T("회귀의 전설 2부 658화")</f>
        <v>회귀의 전설 2부 658화</v>
      </c>
      <c r="D936" t="str">
        <f>T("658")</f>
        <v>658</v>
      </c>
      <c r="E936" t="str">
        <f>T("김광수")</f>
        <v>김광수</v>
      </c>
      <c r="H936" t="str">
        <f t="shared" si="131"/>
        <v>스토리위즈</v>
      </c>
      <c r="I936" t="str">
        <f>T("회귀의 전설")</f>
        <v>회귀의 전설</v>
      </c>
      <c r="J936">
        <v>100</v>
      </c>
      <c r="K936">
        <v>200</v>
      </c>
      <c r="L936">
        <v>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200</v>
      </c>
      <c r="AH936">
        <v>2</v>
      </c>
      <c r="AI936">
        <v>0</v>
      </c>
      <c r="AJ936">
        <v>0</v>
      </c>
      <c r="AK936">
        <v>100</v>
      </c>
      <c r="AL936">
        <v>0</v>
      </c>
      <c r="AM936">
        <v>120</v>
      </c>
      <c r="AN936">
        <v>-12</v>
      </c>
      <c r="AO936">
        <v>0</v>
      </c>
      <c r="AQ936">
        <v>0</v>
      </c>
      <c r="AR936">
        <v>0</v>
      </c>
      <c r="AS936">
        <v>120</v>
      </c>
      <c r="AT936">
        <v>-12</v>
      </c>
      <c r="AU936">
        <v>0</v>
      </c>
      <c r="AW936">
        <v>0</v>
      </c>
      <c r="AX936">
        <v>0</v>
      </c>
      <c r="AY936">
        <v>145.6</v>
      </c>
      <c r="BC936" t="str">
        <f>T("9791191102086")</f>
        <v>9791191102086</v>
      </c>
      <c r="BE936" t="str">
        <f>T("판타지 웹소설 &gt; 현대 판타지")</f>
        <v>판타지 웹소설 &gt; 현대 판타지</v>
      </c>
    </row>
    <row r="937" spans="1:57" x14ac:dyDescent="0.3">
      <c r="A937">
        <v>1525004799</v>
      </c>
      <c r="B937">
        <v>1525004976</v>
      </c>
      <c r="C937" t="str">
        <f>T("검산도해 178화")</f>
        <v>검산도해 178화</v>
      </c>
      <c r="D937" t="str">
        <f>T("178")</f>
        <v>178</v>
      </c>
      <c r="E937" t="str">
        <f>T("권용찬")</f>
        <v>권용찬</v>
      </c>
      <c r="H937" t="str">
        <f t="shared" si="131"/>
        <v>스토리위즈</v>
      </c>
      <c r="I937" t="str">
        <f>T("검산도해")</f>
        <v>검산도해</v>
      </c>
      <c r="J937">
        <v>100</v>
      </c>
      <c r="K937">
        <v>200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200</v>
      </c>
      <c r="AH937">
        <v>2</v>
      </c>
      <c r="AI937">
        <v>0</v>
      </c>
      <c r="AJ937">
        <v>0</v>
      </c>
      <c r="AK937">
        <v>100</v>
      </c>
      <c r="AL937">
        <v>0</v>
      </c>
      <c r="AM937">
        <v>120</v>
      </c>
      <c r="AN937">
        <v>-12</v>
      </c>
      <c r="AO937">
        <v>0</v>
      </c>
      <c r="AQ937">
        <v>0</v>
      </c>
      <c r="AR937">
        <v>0</v>
      </c>
      <c r="AS937">
        <v>120</v>
      </c>
      <c r="AT937">
        <v>-12</v>
      </c>
      <c r="AU937">
        <v>0</v>
      </c>
      <c r="AW937">
        <v>0</v>
      </c>
      <c r="AX937">
        <v>0</v>
      </c>
      <c r="AY937">
        <v>145.6</v>
      </c>
      <c r="BC937" t="str">
        <f>T("9791159285936")</f>
        <v>9791159285936</v>
      </c>
      <c r="BE937" t="str">
        <f>T("판타지 웹소설 &gt; 무협 소설")</f>
        <v>판타지 웹소설 &gt; 무협 소설</v>
      </c>
    </row>
    <row r="938" spans="1:57" x14ac:dyDescent="0.3">
      <c r="A938">
        <v>1525004030</v>
      </c>
      <c r="B938">
        <v>1525004325</v>
      </c>
      <c r="C938" t="str">
        <f>T("회귀의 전설 296화")</f>
        <v>회귀의 전설 296화</v>
      </c>
      <c r="D938" t="str">
        <f>T("296")</f>
        <v>296</v>
      </c>
      <c r="E938" t="str">
        <f t="shared" ref="E938:E963" si="132">T("김광수")</f>
        <v>김광수</v>
      </c>
      <c r="H938" t="str">
        <f t="shared" si="131"/>
        <v>스토리위즈</v>
      </c>
      <c r="I938" t="str">
        <f t="shared" ref="I938:I963" si="133">T("회귀의 전설")</f>
        <v>회귀의 전설</v>
      </c>
      <c r="J938">
        <v>100</v>
      </c>
      <c r="K938">
        <v>200</v>
      </c>
      <c r="L938">
        <v>2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200</v>
      </c>
      <c r="AH938">
        <v>2</v>
      </c>
      <c r="AI938">
        <v>0</v>
      </c>
      <c r="AJ938">
        <v>0</v>
      </c>
      <c r="AK938">
        <v>200</v>
      </c>
      <c r="AL938">
        <v>0</v>
      </c>
      <c r="AM938">
        <v>0</v>
      </c>
      <c r="AN938">
        <v>0</v>
      </c>
      <c r="AO938">
        <v>0</v>
      </c>
      <c r="AQ938">
        <v>0</v>
      </c>
      <c r="AR938">
        <v>0</v>
      </c>
      <c r="AT938">
        <v>0</v>
      </c>
      <c r="AU938">
        <v>0</v>
      </c>
      <c r="AW938">
        <v>0</v>
      </c>
      <c r="AX938">
        <v>0</v>
      </c>
      <c r="AY938">
        <v>140</v>
      </c>
      <c r="BC938" t="str">
        <f>T("9788997946006")</f>
        <v>9788997946006</v>
      </c>
      <c r="BE938" t="str">
        <f t="shared" ref="BE938:BE963" si="134">T("판타지 웹소설 &gt; 현대 판타지")</f>
        <v>판타지 웹소설 &gt; 현대 판타지</v>
      </c>
    </row>
    <row r="939" spans="1:57" x14ac:dyDescent="0.3">
      <c r="A939">
        <v>1525004030</v>
      </c>
      <c r="B939">
        <v>1525004521</v>
      </c>
      <c r="C939" t="str">
        <f>T("회귀의 전설 392화")</f>
        <v>회귀의 전설 392화</v>
      </c>
      <c r="D939" t="str">
        <f>T("392")</f>
        <v>392</v>
      </c>
      <c r="E939" t="str">
        <f t="shared" si="132"/>
        <v>김광수</v>
      </c>
      <c r="H939" t="str">
        <f t="shared" si="131"/>
        <v>스토리위즈</v>
      </c>
      <c r="I939" t="str">
        <f t="shared" si="133"/>
        <v>회귀의 전설</v>
      </c>
      <c r="J939">
        <v>100</v>
      </c>
      <c r="K939">
        <v>200</v>
      </c>
      <c r="L939">
        <v>2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200</v>
      </c>
      <c r="AH939">
        <v>2</v>
      </c>
      <c r="AI939">
        <v>0</v>
      </c>
      <c r="AJ939">
        <v>0</v>
      </c>
      <c r="AK939">
        <v>200</v>
      </c>
      <c r="AL939">
        <v>0</v>
      </c>
      <c r="AM939">
        <v>0</v>
      </c>
      <c r="AN939">
        <v>0</v>
      </c>
      <c r="AO939">
        <v>0</v>
      </c>
      <c r="AQ939">
        <v>0</v>
      </c>
      <c r="AR939">
        <v>0</v>
      </c>
      <c r="AT939">
        <v>0</v>
      </c>
      <c r="AU939">
        <v>0</v>
      </c>
      <c r="AW939">
        <v>0</v>
      </c>
      <c r="AX939">
        <v>0</v>
      </c>
      <c r="AY939">
        <v>140</v>
      </c>
      <c r="BC939" t="str">
        <f>T("9788997946006")</f>
        <v>9788997946006</v>
      </c>
      <c r="BE939" t="str">
        <f t="shared" si="134"/>
        <v>판타지 웹소설 &gt; 현대 판타지</v>
      </c>
    </row>
    <row r="940" spans="1:57" x14ac:dyDescent="0.3">
      <c r="A940">
        <v>1525004030</v>
      </c>
      <c r="B940">
        <v>1525004236</v>
      </c>
      <c r="C940" t="str">
        <f>T("회귀의 전설 207화")</f>
        <v>회귀의 전설 207화</v>
      </c>
      <c r="D940" t="str">
        <f>T("207")</f>
        <v>207</v>
      </c>
      <c r="E940" t="str">
        <f t="shared" si="132"/>
        <v>김광수</v>
      </c>
      <c r="H940" t="str">
        <f t="shared" si="131"/>
        <v>스토리위즈</v>
      </c>
      <c r="I940" t="str">
        <f t="shared" si="133"/>
        <v>회귀의 전설</v>
      </c>
      <c r="J940">
        <v>100</v>
      </c>
      <c r="K940">
        <v>200</v>
      </c>
      <c r="L940">
        <v>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200</v>
      </c>
      <c r="AH940">
        <v>2</v>
      </c>
      <c r="AI940">
        <v>0</v>
      </c>
      <c r="AJ940">
        <v>0</v>
      </c>
      <c r="AK940">
        <v>200</v>
      </c>
      <c r="AL940">
        <v>0</v>
      </c>
      <c r="AM940">
        <v>0</v>
      </c>
      <c r="AN940">
        <v>0</v>
      </c>
      <c r="AO940">
        <v>0</v>
      </c>
      <c r="AQ940">
        <v>0</v>
      </c>
      <c r="AR940">
        <v>0</v>
      </c>
      <c r="AT940">
        <v>0</v>
      </c>
      <c r="AU940">
        <v>0</v>
      </c>
      <c r="AW940">
        <v>0</v>
      </c>
      <c r="AX940">
        <v>0</v>
      </c>
      <c r="AY940">
        <v>140</v>
      </c>
      <c r="BC940" t="str">
        <f>T("9788997946006")</f>
        <v>9788997946006</v>
      </c>
      <c r="BE940" t="str">
        <f t="shared" si="134"/>
        <v>판타지 웹소설 &gt; 현대 판타지</v>
      </c>
    </row>
    <row r="941" spans="1:57" x14ac:dyDescent="0.3">
      <c r="A941">
        <v>1525004030</v>
      </c>
      <c r="B941">
        <v>1525004314</v>
      </c>
      <c r="C941" t="str">
        <f>T("회귀의 전설 285화")</f>
        <v>회귀의 전설 285화</v>
      </c>
      <c r="D941" t="str">
        <f>T("285")</f>
        <v>285</v>
      </c>
      <c r="E941" t="str">
        <f t="shared" si="132"/>
        <v>김광수</v>
      </c>
      <c r="H941" t="str">
        <f t="shared" si="131"/>
        <v>스토리위즈</v>
      </c>
      <c r="I941" t="str">
        <f t="shared" si="133"/>
        <v>회귀의 전설</v>
      </c>
      <c r="J941">
        <v>100</v>
      </c>
      <c r="K941">
        <v>200</v>
      </c>
      <c r="L941">
        <v>2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200</v>
      </c>
      <c r="AH941">
        <v>2</v>
      </c>
      <c r="AI941">
        <v>0</v>
      </c>
      <c r="AJ941">
        <v>0</v>
      </c>
      <c r="AK941">
        <v>200</v>
      </c>
      <c r="AL941">
        <v>0</v>
      </c>
      <c r="AM941">
        <v>0</v>
      </c>
      <c r="AN941">
        <v>0</v>
      </c>
      <c r="AO941">
        <v>0</v>
      </c>
      <c r="AQ941">
        <v>0</v>
      </c>
      <c r="AR941">
        <v>0</v>
      </c>
      <c r="AT941">
        <v>0</v>
      </c>
      <c r="AU941">
        <v>0</v>
      </c>
      <c r="AW941">
        <v>0</v>
      </c>
      <c r="AX941">
        <v>0</v>
      </c>
      <c r="AY941">
        <v>140</v>
      </c>
      <c r="BC941" t="str">
        <f>T("9788997946006")</f>
        <v>9788997946006</v>
      </c>
      <c r="BE941" t="str">
        <f t="shared" si="134"/>
        <v>판타지 웹소설 &gt; 현대 판타지</v>
      </c>
    </row>
    <row r="942" spans="1:57" x14ac:dyDescent="0.3">
      <c r="A942">
        <v>1525004030</v>
      </c>
      <c r="B942">
        <v>1525004225</v>
      </c>
      <c r="C942" t="str">
        <f>T("회귀의 전설 196화")</f>
        <v>회귀의 전설 196화</v>
      </c>
      <c r="D942" t="str">
        <f>T("196")</f>
        <v>196</v>
      </c>
      <c r="E942" t="str">
        <f t="shared" si="132"/>
        <v>김광수</v>
      </c>
      <c r="H942" t="str">
        <f t="shared" si="131"/>
        <v>스토리위즈</v>
      </c>
      <c r="I942" t="str">
        <f t="shared" si="133"/>
        <v>회귀의 전설</v>
      </c>
      <c r="J942">
        <v>100</v>
      </c>
      <c r="K942">
        <v>200</v>
      </c>
      <c r="L942">
        <v>2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200</v>
      </c>
      <c r="AH942">
        <v>2</v>
      </c>
      <c r="AI942">
        <v>0</v>
      </c>
      <c r="AJ942">
        <v>0</v>
      </c>
      <c r="AK942">
        <v>200</v>
      </c>
      <c r="AL942">
        <v>0</v>
      </c>
      <c r="AM942">
        <v>0</v>
      </c>
      <c r="AN942">
        <v>0</v>
      </c>
      <c r="AO942">
        <v>0</v>
      </c>
      <c r="AQ942">
        <v>0</v>
      </c>
      <c r="AR942">
        <v>0</v>
      </c>
      <c r="AT942">
        <v>0</v>
      </c>
      <c r="AU942">
        <v>0</v>
      </c>
      <c r="AW942">
        <v>0</v>
      </c>
      <c r="AX942">
        <v>0</v>
      </c>
      <c r="AY942">
        <v>140</v>
      </c>
      <c r="BC942" t="str">
        <f>T("9788997946006")</f>
        <v>9788997946006</v>
      </c>
      <c r="BE942" t="str">
        <f t="shared" si="134"/>
        <v>판타지 웹소설 &gt; 현대 판타지</v>
      </c>
    </row>
    <row r="943" spans="1:57" x14ac:dyDescent="0.3">
      <c r="A943">
        <v>1525004030</v>
      </c>
      <c r="B943">
        <v>1525006682</v>
      </c>
      <c r="C943" t="str">
        <f>T("회귀의 전설 2부 565화")</f>
        <v>회귀의 전설 2부 565화</v>
      </c>
      <c r="D943" t="str">
        <f>T("565")</f>
        <v>565</v>
      </c>
      <c r="E943" t="str">
        <f t="shared" si="132"/>
        <v>김광수</v>
      </c>
      <c r="H943" t="str">
        <f t="shared" si="131"/>
        <v>스토리위즈</v>
      </c>
      <c r="I943" t="str">
        <f t="shared" si="133"/>
        <v>회귀의 전설</v>
      </c>
      <c r="J943">
        <v>100</v>
      </c>
      <c r="K943">
        <v>200</v>
      </c>
      <c r="L943">
        <v>2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200</v>
      </c>
      <c r="AH943">
        <v>2</v>
      </c>
      <c r="AI943">
        <v>0</v>
      </c>
      <c r="AJ943">
        <v>0</v>
      </c>
      <c r="AK943">
        <v>200</v>
      </c>
      <c r="AL943">
        <v>0</v>
      </c>
      <c r="AM943">
        <v>0</v>
      </c>
      <c r="AN943">
        <v>0</v>
      </c>
      <c r="AO943">
        <v>0</v>
      </c>
      <c r="AQ943">
        <v>0</v>
      </c>
      <c r="AR943">
        <v>0</v>
      </c>
      <c r="AT943">
        <v>0</v>
      </c>
      <c r="AU943">
        <v>0</v>
      </c>
      <c r="AW943">
        <v>0</v>
      </c>
      <c r="AX943">
        <v>0</v>
      </c>
      <c r="AY943">
        <v>140</v>
      </c>
      <c r="BC943" t="str">
        <f>T("9791191102086")</f>
        <v>9791191102086</v>
      </c>
      <c r="BE943" t="str">
        <f t="shared" si="134"/>
        <v>판타지 웹소설 &gt; 현대 판타지</v>
      </c>
    </row>
    <row r="944" spans="1:57" x14ac:dyDescent="0.3">
      <c r="A944">
        <v>1525004030</v>
      </c>
      <c r="B944">
        <v>1525004102</v>
      </c>
      <c r="C944" t="str">
        <f>T("회귀의 전설 73화")</f>
        <v>회귀의 전설 73화</v>
      </c>
      <c r="D944" t="str">
        <f>T("73")</f>
        <v>73</v>
      </c>
      <c r="E944" t="str">
        <f t="shared" si="132"/>
        <v>김광수</v>
      </c>
      <c r="H944" t="str">
        <f t="shared" si="131"/>
        <v>스토리위즈</v>
      </c>
      <c r="I944" t="str">
        <f t="shared" si="133"/>
        <v>회귀의 전설</v>
      </c>
      <c r="J944">
        <v>100</v>
      </c>
      <c r="K944">
        <v>200</v>
      </c>
      <c r="L944">
        <v>2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200</v>
      </c>
      <c r="AH944">
        <v>2</v>
      </c>
      <c r="AI944">
        <v>0</v>
      </c>
      <c r="AJ944">
        <v>0</v>
      </c>
      <c r="AK944">
        <v>100</v>
      </c>
      <c r="AL944">
        <v>0</v>
      </c>
      <c r="AM944">
        <v>120</v>
      </c>
      <c r="AN944">
        <v>-36</v>
      </c>
      <c r="AO944">
        <v>0</v>
      </c>
      <c r="AQ944">
        <v>0</v>
      </c>
      <c r="AR944">
        <v>0</v>
      </c>
      <c r="AS944">
        <v>120</v>
      </c>
      <c r="AT944">
        <v>-36</v>
      </c>
      <c r="AU944">
        <v>0</v>
      </c>
      <c r="AW944">
        <v>0</v>
      </c>
      <c r="AX944">
        <v>0</v>
      </c>
      <c r="AY944">
        <v>128.80000000000001</v>
      </c>
      <c r="BC944" t="str">
        <f>T("9788997946006")</f>
        <v>9788997946006</v>
      </c>
      <c r="BE944" t="str">
        <f t="shared" si="134"/>
        <v>판타지 웹소설 &gt; 현대 판타지</v>
      </c>
    </row>
    <row r="945" spans="1:57" x14ac:dyDescent="0.3">
      <c r="A945">
        <v>1525004030</v>
      </c>
      <c r="B945">
        <v>1525006837</v>
      </c>
      <c r="C945" t="str">
        <f>T("회귀의 전설 2부 720화")</f>
        <v>회귀의 전설 2부 720화</v>
      </c>
      <c r="D945" t="str">
        <f>T("720")</f>
        <v>720</v>
      </c>
      <c r="E945" t="str">
        <f t="shared" si="132"/>
        <v>김광수</v>
      </c>
      <c r="H945" t="str">
        <f t="shared" si="131"/>
        <v>스토리위즈</v>
      </c>
      <c r="I945" t="str">
        <f t="shared" si="133"/>
        <v>회귀의 전설</v>
      </c>
      <c r="J945">
        <v>100</v>
      </c>
      <c r="K945">
        <v>200</v>
      </c>
      <c r="L945">
        <v>2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200</v>
      </c>
      <c r="AH945">
        <v>2</v>
      </c>
      <c r="AI945">
        <v>0</v>
      </c>
      <c r="AJ945">
        <v>0</v>
      </c>
      <c r="AK945">
        <v>100</v>
      </c>
      <c r="AL945">
        <v>0</v>
      </c>
      <c r="AM945">
        <v>120</v>
      </c>
      <c r="AN945">
        <v>-12</v>
      </c>
      <c r="AO945">
        <v>0</v>
      </c>
      <c r="AQ945">
        <v>0</v>
      </c>
      <c r="AR945">
        <v>0</v>
      </c>
      <c r="AS945">
        <v>120</v>
      </c>
      <c r="AT945">
        <v>-12</v>
      </c>
      <c r="AU945">
        <v>0</v>
      </c>
      <c r="AW945">
        <v>0</v>
      </c>
      <c r="AX945">
        <v>0</v>
      </c>
      <c r="AY945">
        <v>145.6</v>
      </c>
      <c r="BC945" t="str">
        <f>T("9791191102086")</f>
        <v>9791191102086</v>
      </c>
      <c r="BE945" t="str">
        <f t="shared" si="134"/>
        <v>판타지 웹소설 &gt; 현대 판타지</v>
      </c>
    </row>
    <row r="946" spans="1:57" x14ac:dyDescent="0.3">
      <c r="A946">
        <v>1525004030</v>
      </c>
      <c r="B946">
        <v>1525006796</v>
      </c>
      <c r="C946" t="str">
        <f>T("회귀의 전설 2부 679화")</f>
        <v>회귀의 전설 2부 679화</v>
      </c>
      <c r="D946" t="str">
        <f>T("679")</f>
        <v>679</v>
      </c>
      <c r="E946" t="str">
        <f t="shared" si="132"/>
        <v>김광수</v>
      </c>
      <c r="H946" t="str">
        <f t="shared" si="131"/>
        <v>스토리위즈</v>
      </c>
      <c r="I946" t="str">
        <f t="shared" si="133"/>
        <v>회귀의 전설</v>
      </c>
      <c r="J946">
        <v>100</v>
      </c>
      <c r="K946">
        <v>200</v>
      </c>
      <c r="L946">
        <v>2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200</v>
      </c>
      <c r="AH946">
        <v>2</v>
      </c>
      <c r="AI946">
        <v>0</v>
      </c>
      <c r="AJ946">
        <v>0</v>
      </c>
      <c r="AK946">
        <v>100</v>
      </c>
      <c r="AL946">
        <v>0</v>
      </c>
      <c r="AM946">
        <v>120</v>
      </c>
      <c r="AN946">
        <v>-12</v>
      </c>
      <c r="AO946">
        <v>0</v>
      </c>
      <c r="AQ946">
        <v>0</v>
      </c>
      <c r="AR946">
        <v>0</v>
      </c>
      <c r="AS946">
        <v>120</v>
      </c>
      <c r="AT946">
        <v>-12</v>
      </c>
      <c r="AU946">
        <v>0</v>
      </c>
      <c r="AW946">
        <v>0</v>
      </c>
      <c r="AX946">
        <v>0</v>
      </c>
      <c r="AY946">
        <v>145.6</v>
      </c>
      <c r="BC946" t="str">
        <f>T("9791191102086")</f>
        <v>9791191102086</v>
      </c>
      <c r="BE946" t="str">
        <f t="shared" si="134"/>
        <v>판타지 웹소설 &gt; 현대 판타지</v>
      </c>
    </row>
    <row r="947" spans="1:57" x14ac:dyDescent="0.3">
      <c r="A947">
        <v>1525004030</v>
      </c>
      <c r="B947">
        <v>1525006755</v>
      </c>
      <c r="C947" t="str">
        <f>T("회귀의 전설 2부 638화")</f>
        <v>회귀의 전설 2부 638화</v>
      </c>
      <c r="D947" t="str">
        <f>T("638")</f>
        <v>638</v>
      </c>
      <c r="E947" t="str">
        <f t="shared" si="132"/>
        <v>김광수</v>
      </c>
      <c r="H947" t="str">
        <f t="shared" si="131"/>
        <v>스토리위즈</v>
      </c>
      <c r="I947" t="str">
        <f t="shared" si="133"/>
        <v>회귀의 전설</v>
      </c>
      <c r="J947">
        <v>100</v>
      </c>
      <c r="K947">
        <v>200</v>
      </c>
      <c r="L947">
        <v>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200</v>
      </c>
      <c r="AH947">
        <v>2</v>
      </c>
      <c r="AI947">
        <v>0</v>
      </c>
      <c r="AJ947">
        <v>0</v>
      </c>
      <c r="AK947">
        <v>100</v>
      </c>
      <c r="AL947">
        <v>0</v>
      </c>
      <c r="AM947">
        <v>120</v>
      </c>
      <c r="AN947">
        <v>-12</v>
      </c>
      <c r="AO947">
        <v>0</v>
      </c>
      <c r="AQ947">
        <v>0</v>
      </c>
      <c r="AR947">
        <v>0</v>
      </c>
      <c r="AS947">
        <v>120</v>
      </c>
      <c r="AT947">
        <v>-12</v>
      </c>
      <c r="AU947">
        <v>0</v>
      </c>
      <c r="AW947">
        <v>0</v>
      </c>
      <c r="AX947">
        <v>0</v>
      </c>
      <c r="AY947">
        <v>145.6</v>
      </c>
      <c r="BC947" t="str">
        <f>T("9791191102086")</f>
        <v>9791191102086</v>
      </c>
      <c r="BE947" t="str">
        <f t="shared" si="134"/>
        <v>판타지 웹소설 &gt; 현대 판타지</v>
      </c>
    </row>
    <row r="948" spans="1:57" x14ac:dyDescent="0.3">
      <c r="A948">
        <v>1525004030</v>
      </c>
      <c r="B948">
        <v>1525004257</v>
      </c>
      <c r="C948" t="str">
        <f>T("회귀의 전설 228화")</f>
        <v>회귀의 전설 228화</v>
      </c>
      <c r="D948" t="str">
        <f>T("228")</f>
        <v>228</v>
      </c>
      <c r="E948" t="str">
        <f t="shared" si="132"/>
        <v>김광수</v>
      </c>
      <c r="H948" t="str">
        <f t="shared" si="131"/>
        <v>스토리위즈</v>
      </c>
      <c r="I948" t="str">
        <f t="shared" si="133"/>
        <v>회귀의 전설</v>
      </c>
      <c r="J948">
        <v>100</v>
      </c>
      <c r="K948">
        <v>200</v>
      </c>
      <c r="L948">
        <v>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200</v>
      </c>
      <c r="AH948">
        <v>2</v>
      </c>
      <c r="AI948">
        <v>0</v>
      </c>
      <c r="AJ948">
        <v>0</v>
      </c>
      <c r="AK948">
        <v>200</v>
      </c>
      <c r="AL948">
        <v>0</v>
      </c>
      <c r="AM948">
        <v>0</v>
      </c>
      <c r="AN948">
        <v>0</v>
      </c>
      <c r="AO948">
        <v>0</v>
      </c>
      <c r="AQ948">
        <v>0</v>
      </c>
      <c r="AR948">
        <v>0</v>
      </c>
      <c r="AT948">
        <v>0</v>
      </c>
      <c r="AU948">
        <v>0</v>
      </c>
      <c r="AW948">
        <v>0</v>
      </c>
      <c r="AX948">
        <v>0</v>
      </c>
      <c r="AY948">
        <v>140</v>
      </c>
      <c r="BC948" t="str">
        <f>T("9788997946006")</f>
        <v>9788997946006</v>
      </c>
      <c r="BE948" t="str">
        <f t="shared" si="134"/>
        <v>판타지 웹소설 &gt; 현대 판타지</v>
      </c>
    </row>
    <row r="949" spans="1:57" x14ac:dyDescent="0.3">
      <c r="A949">
        <v>1525004030</v>
      </c>
      <c r="B949">
        <v>1525004216</v>
      </c>
      <c r="C949" t="str">
        <f>T("회귀의 전설 187화")</f>
        <v>회귀의 전설 187화</v>
      </c>
      <c r="D949" t="str">
        <f>T("187")</f>
        <v>187</v>
      </c>
      <c r="E949" t="str">
        <f t="shared" si="132"/>
        <v>김광수</v>
      </c>
      <c r="H949" t="str">
        <f t="shared" si="131"/>
        <v>스토리위즈</v>
      </c>
      <c r="I949" t="str">
        <f t="shared" si="133"/>
        <v>회귀의 전설</v>
      </c>
      <c r="J949">
        <v>100</v>
      </c>
      <c r="K949">
        <v>200</v>
      </c>
      <c r="L949">
        <v>2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200</v>
      </c>
      <c r="AH949">
        <v>2</v>
      </c>
      <c r="AI949">
        <v>0</v>
      </c>
      <c r="AJ949">
        <v>0</v>
      </c>
      <c r="AK949">
        <v>200</v>
      </c>
      <c r="AL949">
        <v>0</v>
      </c>
      <c r="AM949">
        <v>0</v>
      </c>
      <c r="AN949">
        <v>0</v>
      </c>
      <c r="AO949">
        <v>0</v>
      </c>
      <c r="AQ949">
        <v>0</v>
      </c>
      <c r="AR949">
        <v>0</v>
      </c>
      <c r="AT949">
        <v>0</v>
      </c>
      <c r="AU949">
        <v>0</v>
      </c>
      <c r="AW949">
        <v>0</v>
      </c>
      <c r="AX949">
        <v>0</v>
      </c>
      <c r="AY949">
        <v>140</v>
      </c>
      <c r="BC949" t="str">
        <f>T("9788997946006")</f>
        <v>9788997946006</v>
      </c>
      <c r="BE949" t="str">
        <f t="shared" si="134"/>
        <v>판타지 웹소설 &gt; 현대 판타지</v>
      </c>
    </row>
    <row r="950" spans="1:57" x14ac:dyDescent="0.3">
      <c r="A950">
        <v>1525004030</v>
      </c>
      <c r="B950">
        <v>1525006869</v>
      </c>
      <c r="C950" t="str">
        <f>T("회귀의 전설 2부 752화")</f>
        <v>회귀의 전설 2부 752화</v>
      </c>
      <c r="D950" t="str">
        <f>T("752")</f>
        <v>752</v>
      </c>
      <c r="E950" t="str">
        <f t="shared" si="132"/>
        <v>김광수</v>
      </c>
      <c r="H950" t="str">
        <f t="shared" si="131"/>
        <v>스토리위즈</v>
      </c>
      <c r="I950" t="str">
        <f t="shared" si="133"/>
        <v>회귀의 전설</v>
      </c>
      <c r="J950">
        <v>100</v>
      </c>
      <c r="K950">
        <v>200</v>
      </c>
      <c r="L950">
        <v>2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200</v>
      </c>
      <c r="AH950">
        <v>2</v>
      </c>
      <c r="AI950">
        <v>0</v>
      </c>
      <c r="AJ950">
        <v>0</v>
      </c>
      <c r="AK950">
        <v>100</v>
      </c>
      <c r="AL950">
        <v>0</v>
      </c>
      <c r="AM950">
        <v>120</v>
      </c>
      <c r="AN950">
        <v>-12</v>
      </c>
      <c r="AO950">
        <v>0</v>
      </c>
      <c r="AQ950">
        <v>0</v>
      </c>
      <c r="AR950">
        <v>0</v>
      </c>
      <c r="AS950">
        <v>120</v>
      </c>
      <c r="AT950">
        <v>-12</v>
      </c>
      <c r="AU950">
        <v>0</v>
      </c>
      <c r="AW950">
        <v>0</v>
      </c>
      <c r="AX950">
        <v>0</v>
      </c>
      <c r="AY950">
        <v>145.6</v>
      </c>
      <c r="BC950" t="str">
        <f>T("9791191102086")</f>
        <v>9791191102086</v>
      </c>
      <c r="BE950" t="str">
        <f t="shared" si="134"/>
        <v>판타지 웹소설 &gt; 현대 판타지</v>
      </c>
    </row>
    <row r="951" spans="1:57" x14ac:dyDescent="0.3">
      <c r="A951">
        <v>1525004030</v>
      </c>
      <c r="B951">
        <v>1525004363</v>
      </c>
      <c r="C951" t="str">
        <f>T("회귀의 전설 335화")</f>
        <v>회귀의 전설 335화</v>
      </c>
      <c r="D951" t="str">
        <f>T("335")</f>
        <v>335</v>
      </c>
      <c r="E951" t="str">
        <f t="shared" si="132"/>
        <v>김광수</v>
      </c>
      <c r="H951" t="str">
        <f t="shared" si="131"/>
        <v>스토리위즈</v>
      </c>
      <c r="I951" t="str">
        <f t="shared" si="133"/>
        <v>회귀의 전설</v>
      </c>
      <c r="J951">
        <v>100</v>
      </c>
      <c r="K951">
        <v>200</v>
      </c>
      <c r="L951">
        <v>2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200</v>
      </c>
      <c r="AH951">
        <v>2</v>
      </c>
      <c r="AI951">
        <v>0</v>
      </c>
      <c r="AJ951">
        <v>0</v>
      </c>
      <c r="AK951">
        <v>200</v>
      </c>
      <c r="AL951">
        <v>0</v>
      </c>
      <c r="AM951">
        <v>0</v>
      </c>
      <c r="AN951">
        <v>0</v>
      </c>
      <c r="AO951">
        <v>0</v>
      </c>
      <c r="AQ951">
        <v>0</v>
      </c>
      <c r="AR951">
        <v>0</v>
      </c>
      <c r="AT951">
        <v>0</v>
      </c>
      <c r="AU951">
        <v>0</v>
      </c>
      <c r="AW951">
        <v>0</v>
      </c>
      <c r="AX951">
        <v>0</v>
      </c>
      <c r="AY951">
        <v>140</v>
      </c>
      <c r="BC951" t="str">
        <f>T("9788997946006")</f>
        <v>9788997946006</v>
      </c>
      <c r="BE951" t="str">
        <f t="shared" si="134"/>
        <v>판타지 웹소설 &gt; 현대 판타지</v>
      </c>
    </row>
    <row r="952" spans="1:57" x14ac:dyDescent="0.3">
      <c r="A952">
        <v>1525004030</v>
      </c>
      <c r="B952">
        <v>1525004420</v>
      </c>
      <c r="C952" t="str">
        <f>T("회귀의 전설 404화")</f>
        <v>회귀의 전설 404화</v>
      </c>
      <c r="D952" t="str">
        <f>T("404")</f>
        <v>404</v>
      </c>
      <c r="E952" t="str">
        <f t="shared" si="132"/>
        <v>김광수</v>
      </c>
      <c r="H952" t="str">
        <f t="shared" si="131"/>
        <v>스토리위즈</v>
      </c>
      <c r="I952" t="str">
        <f t="shared" si="133"/>
        <v>회귀의 전설</v>
      </c>
      <c r="J952">
        <v>100</v>
      </c>
      <c r="K952">
        <v>200</v>
      </c>
      <c r="L952">
        <v>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200</v>
      </c>
      <c r="AH952">
        <v>2</v>
      </c>
      <c r="AI952">
        <v>0</v>
      </c>
      <c r="AJ952">
        <v>0</v>
      </c>
      <c r="AK952">
        <v>200</v>
      </c>
      <c r="AL952">
        <v>0</v>
      </c>
      <c r="AM952">
        <v>0</v>
      </c>
      <c r="AN952">
        <v>0</v>
      </c>
      <c r="AO952">
        <v>0</v>
      </c>
      <c r="AQ952">
        <v>0</v>
      </c>
      <c r="AR952">
        <v>0</v>
      </c>
      <c r="AT952">
        <v>0</v>
      </c>
      <c r="AU952">
        <v>0</v>
      </c>
      <c r="AW952">
        <v>0</v>
      </c>
      <c r="AX952">
        <v>0</v>
      </c>
      <c r="AY952">
        <v>140</v>
      </c>
      <c r="BC952" t="str">
        <f>T("9788997946006")</f>
        <v>9788997946006</v>
      </c>
      <c r="BE952" t="str">
        <f t="shared" si="134"/>
        <v>판타지 웹소설 &gt; 현대 판타지</v>
      </c>
    </row>
    <row r="953" spans="1:57" x14ac:dyDescent="0.3">
      <c r="A953">
        <v>1525004030</v>
      </c>
      <c r="B953">
        <v>1525006886</v>
      </c>
      <c r="C953" t="str">
        <f>T("회귀의 전설 2부 769화")</f>
        <v>회귀의 전설 2부 769화</v>
      </c>
      <c r="D953" t="str">
        <f>T("769")</f>
        <v>769</v>
      </c>
      <c r="E953" t="str">
        <f t="shared" si="132"/>
        <v>김광수</v>
      </c>
      <c r="H953" t="str">
        <f t="shared" si="131"/>
        <v>스토리위즈</v>
      </c>
      <c r="I953" t="str">
        <f t="shared" si="133"/>
        <v>회귀의 전설</v>
      </c>
      <c r="J953">
        <v>100</v>
      </c>
      <c r="K953">
        <v>200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200</v>
      </c>
      <c r="AH953">
        <v>2</v>
      </c>
      <c r="AI953">
        <v>0</v>
      </c>
      <c r="AJ953">
        <v>0</v>
      </c>
      <c r="AK953">
        <v>100</v>
      </c>
      <c r="AL953">
        <v>0</v>
      </c>
      <c r="AM953">
        <v>120</v>
      </c>
      <c r="AN953">
        <v>-12</v>
      </c>
      <c r="AO953">
        <v>0</v>
      </c>
      <c r="AQ953">
        <v>0</v>
      </c>
      <c r="AR953">
        <v>0</v>
      </c>
      <c r="AS953">
        <v>120</v>
      </c>
      <c r="AT953">
        <v>-12</v>
      </c>
      <c r="AU953">
        <v>0</v>
      </c>
      <c r="AW953">
        <v>0</v>
      </c>
      <c r="AX953">
        <v>0</v>
      </c>
      <c r="AY953">
        <v>145.6</v>
      </c>
      <c r="BC953" t="str">
        <f>T("9791191102086")</f>
        <v>9791191102086</v>
      </c>
      <c r="BE953" t="str">
        <f t="shared" si="134"/>
        <v>판타지 웹소설 &gt; 현대 판타지</v>
      </c>
    </row>
    <row r="954" spans="1:57" x14ac:dyDescent="0.3">
      <c r="A954">
        <v>1525004030</v>
      </c>
      <c r="B954">
        <v>1525004477</v>
      </c>
      <c r="C954" t="str">
        <f>T("회귀의 전설 461화")</f>
        <v>회귀의 전설 461화</v>
      </c>
      <c r="D954" t="str">
        <f>T("461")</f>
        <v>461</v>
      </c>
      <c r="E954" t="str">
        <f t="shared" si="132"/>
        <v>김광수</v>
      </c>
      <c r="H954" t="str">
        <f t="shared" si="131"/>
        <v>스토리위즈</v>
      </c>
      <c r="I954" t="str">
        <f t="shared" si="133"/>
        <v>회귀의 전설</v>
      </c>
      <c r="J954">
        <v>100</v>
      </c>
      <c r="K954">
        <v>200</v>
      </c>
      <c r="L954">
        <v>2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200</v>
      </c>
      <c r="AH954">
        <v>2</v>
      </c>
      <c r="AI954">
        <v>0</v>
      </c>
      <c r="AJ954">
        <v>0</v>
      </c>
      <c r="AK954">
        <v>200</v>
      </c>
      <c r="AL954">
        <v>0</v>
      </c>
      <c r="AM954">
        <v>0</v>
      </c>
      <c r="AN954">
        <v>0</v>
      </c>
      <c r="AO954">
        <v>0</v>
      </c>
      <c r="AQ954">
        <v>0</v>
      </c>
      <c r="AR954">
        <v>0</v>
      </c>
      <c r="AT954">
        <v>0</v>
      </c>
      <c r="AU954">
        <v>0</v>
      </c>
      <c r="AW954">
        <v>0</v>
      </c>
      <c r="AX954">
        <v>0</v>
      </c>
      <c r="AY954">
        <v>140</v>
      </c>
      <c r="BC954" t="str">
        <f t="shared" ref="BC954:BC960" si="135">T("9788997946006")</f>
        <v>9788997946006</v>
      </c>
      <c r="BE954" t="str">
        <f t="shared" si="134"/>
        <v>판타지 웹소설 &gt; 현대 판타지</v>
      </c>
    </row>
    <row r="955" spans="1:57" x14ac:dyDescent="0.3">
      <c r="A955">
        <v>1525004030</v>
      </c>
      <c r="B955">
        <v>1525004282</v>
      </c>
      <c r="C955" t="str">
        <f>T("회귀의 전설 253화")</f>
        <v>회귀의 전설 253화</v>
      </c>
      <c r="D955" t="str">
        <f>T("253")</f>
        <v>253</v>
      </c>
      <c r="E955" t="str">
        <f t="shared" si="132"/>
        <v>김광수</v>
      </c>
      <c r="H955" t="str">
        <f t="shared" si="131"/>
        <v>스토리위즈</v>
      </c>
      <c r="I955" t="str">
        <f t="shared" si="133"/>
        <v>회귀의 전설</v>
      </c>
      <c r="J955">
        <v>100</v>
      </c>
      <c r="K955">
        <v>200</v>
      </c>
      <c r="L955">
        <v>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200</v>
      </c>
      <c r="AH955">
        <v>2</v>
      </c>
      <c r="AI955">
        <v>0</v>
      </c>
      <c r="AJ955">
        <v>0</v>
      </c>
      <c r="AK955">
        <v>200</v>
      </c>
      <c r="AL955">
        <v>0</v>
      </c>
      <c r="AM955">
        <v>0</v>
      </c>
      <c r="AN955">
        <v>0</v>
      </c>
      <c r="AO955">
        <v>0</v>
      </c>
      <c r="AQ955">
        <v>0</v>
      </c>
      <c r="AR955">
        <v>0</v>
      </c>
      <c r="AT955">
        <v>0</v>
      </c>
      <c r="AU955">
        <v>0</v>
      </c>
      <c r="AW955">
        <v>0</v>
      </c>
      <c r="AX955">
        <v>0</v>
      </c>
      <c r="AY955">
        <v>140</v>
      </c>
      <c r="BC955" t="str">
        <f t="shared" si="135"/>
        <v>9788997946006</v>
      </c>
      <c r="BE955" t="str">
        <f t="shared" si="134"/>
        <v>판타지 웹소설 &gt; 현대 판타지</v>
      </c>
    </row>
    <row r="956" spans="1:57" x14ac:dyDescent="0.3">
      <c r="A956">
        <v>1525004030</v>
      </c>
      <c r="B956">
        <v>1525004070</v>
      </c>
      <c r="C956" t="str">
        <f>T("회귀의 전설 41화")</f>
        <v>회귀의 전설 41화</v>
      </c>
      <c r="D956" t="str">
        <f>T("41")</f>
        <v>41</v>
      </c>
      <c r="E956" t="str">
        <f t="shared" si="132"/>
        <v>김광수</v>
      </c>
      <c r="H956" t="str">
        <f t="shared" si="131"/>
        <v>스토리위즈</v>
      </c>
      <c r="I956" t="str">
        <f t="shared" si="133"/>
        <v>회귀의 전설</v>
      </c>
      <c r="J956">
        <v>100</v>
      </c>
      <c r="K956">
        <v>200</v>
      </c>
      <c r="L956">
        <v>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200</v>
      </c>
      <c r="AH956">
        <v>2</v>
      </c>
      <c r="AI956">
        <v>0</v>
      </c>
      <c r="AJ956">
        <v>0</v>
      </c>
      <c r="AK956">
        <v>100</v>
      </c>
      <c r="AL956">
        <v>0</v>
      </c>
      <c r="AM956">
        <v>120</v>
      </c>
      <c r="AN956">
        <v>-36</v>
      </c>
      <c r="AO956">
        <v>0</v>
      </c>
      <c r="AQ956">
        <v>0</v>
      </c>
      <c r="AR956">
        <v>0</v>
      </c>
      <c r="AS956">
        <v>120</v>
      </c>
      <c r="AT956">
        <v>-36</v>
      </c>
      <c r="AU956">
        <v>0</v>
      </c>
      <c r="AW956">
        <v>0</v>
      </c>
      <c r="AX956">
        <v>0</v>
      </c>
      <c r="AY956">
        <v>128.80000000000001</v>
      </c>
      <c r="BC956" t="str">
        <f t="shared" si="135"/>
        <v>9788997946006</v>
      </c>
      <c r="BE956" t="str">
        <f t="shared" si="134"/>
        <v>판타지 웹소설 &gt; 현대 판타지</v>
      </c>
    </row>
    <row r="957" spans="1:57" x14ac:dyDescent="0.3">
      <c r="A957">
        <v>1525004030</v>
      </c>
      <c r="B957">
        <v>1525004466</v>
      </c>
      <c r="C957" t="str">
        <f>T("회귀의 전설 450화")</f>
        <v>회귀의 전설 450화</v>
      </c>
      <c r="D957" t="str">
        <f>T("450")</f>
        <v>450</v>
      </c>
      <c r="E957" t="str">
        <f t="shared" si="132"/>
        <v>김광수</v>
      </c>
      <c r="H957" t="str">
        <f t="shared" si="131"/>
        <v>스토리위즈</v>
      </c>
      <c r="I957" t="str">
        <f t="shared" si="133"/>
        <v>회귀의 전설</v>
      </c>
      <c r="J957">
        <v>100</v>
      </c>
      <c r="K957">
        <v>200</v>
      </c>
      <c r="L957">
        <v>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200</v>
      </c>
      <c r="AH957">
        <v>2</v>
      </c>
      <c r="AI957">
        <v>0</v>
      </c>
      <c r="AJ957">
        <v>0</v>
      </c>
      <c r="AK957">
        <v>200</v>
      </c>
      <c r="AL957">
        <v>0</v>
      </c>
      <c r="AM957">
        <v>0</v>
      </c>
      <c r="AN957">
        <v>0</v>
      </c>
      <c r="AO957">
        <v>0</v>
      </c>
      <c r="AQ957">
        <v>0</v>
      </c>
      <c r="AR957">
        <v>0</v>
      </c>
      <c r="AT957">
        <v>0</v>
      </c>
      <c r="AU957">
        <v>0</v>
      </c>
      <c r="AW957">
        <v>0</v>
      </c>
      <c r="AX957">
        <v>0</v>
      </c>
      <c r="AY957">
        <v>140</v>
      </c>
      <c r="BC957" t="str">
        <f t="shared" si="135"/>
        <v>9788997946006</v>
      </c>
      <c r="BE957" t="str">
        <f t="shared" si="134"/>
        <v>판타지 웹소설 &gt; 현대 판타지</v>
      </c>
    </row>
    <row r="958" spans="1:57" x14ac:dyDescent="0.3">
      <c r="A958">
        <v>1525004030</v>
      </c>
      <c r="B958">
        <v>1525004384</v>
      </c>
      <c r="C958" t="str">
        <f>T("회귀의 전설 356화")</f>
        <v>회귀의 전설 356화</v>
      </c>
      <c r="D958" t="str">
        <f>T("356")</f>
        <v>356</v>
      </c>
      <c r="E958" t="str">
        <f t="shared" si="132"/>
        <v>김광수</v>
      </c>
      <c r="H958" t="str">
        <f t="shared" si="131"/>
        <v>스토리위즈</v>
      </c>
      <c r="I958" t="str">
        <f t="shared" si="133"/>
        <v>회귀의 전설</v>
      </c>
      <c r="J958">
        <v>100</v>
      </c>
      <c r="K958">
        <v>200</v>
      </c>
      <c r="L958">
        <v>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200</v>
      </c>
      <c r="AH958">
        <v>2</v>
      </c>
      <c r="AI958">
        <v>0</v>
      </c>
      <c r="AJ958">
        <v>0</v>
      </c>
      <c r="AK958">
        <v>200</v>
      </c>
      <c r="AL958">
        <v>0</v>
      </c>
      <c r="AM958">
        <v>0</v>
      </c>
      <c r="AN958">
        <v>0</v>
      </c>
      <c r="AO958">
        <v>0</v>
      </c>
      <c r="AQ958">
        <v>0</v>
      </c>
      <c r="AR958">
        <v>0</v>
      </c>
      <c r="AT958">
        <v>0</v>
      </c>
      <c r="AU958">
        <v>0</v>
      </c>
      <c r="AW958">
        <v>0</v>
      </c>
      <c r="AX958">
        <v>0</v>
      </c>
      <c r="AY958">
        <v>140</v>
      </c>
      <c r="BC958" t="str">
        <f t="shared" si="135"/>
        <v>9788997946006</v>
      </c>
      <c r="BE958" t="str">
        <f t="shared" si="134"/>
        <v>판타지 웹소설 &gt; 현대 판타지</v>
      </c>
    </row>
    <row r="959" spans="1:57" x14ac:dyDescent="0.3">
      <c r="A959">
        <v>1525004030</v>
      </c>
      <c r="B959">
        <v>1525004441</v>
      </c>
      <c r="C959" t="str">
        <f>T("회귀의 전설 425화")</f>
        <v>회귀의 전설 425화</v>
      </c>
      <c r="D959" t="str">
        <f>T("425")</f>
        <v>425</v>
      </c>
      <c r="E959" t="str">
        <f t="shared" si="132"/>
        <v>김광수</v>
      </c>
      <c r="H959" t="str">
        <f t="shared" si="131"/>
        <v>스토리위즈</v>
      </c>
      <c r="I959" t="str">
        <f t="shared" si="133"/>
        <v>회귀의 전설</v>
      </c>
      <c r="J959">
        <v>100</v>
      </c>
      <c r="K959">
        <v>200</v>
      </c>
      <c r="L959">
        <v>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200</v>
      </c>
      <c r="AH959">
        <v>2</v>
      </c>
      <c r="AI959">
        <v>0</v>
      </c>
      <c r="AJ959">
        <v>0</v>
      </c>
      <c r="AK959">
        <v>200</v>
      </c>
      <c r="AL959">
        <v>0</v>
      </c>
      <c r="AM959">
        <v>0</v>
      </c>
      <c r="AN959">
        <v>0</v>
      </c>
      <c r="AO959">
        <v>0</v>
      </c>
      <c r="AQ959">
        <v>0</v>
      </c>
      <c r="AR959">
        <v>0</v>
      </c>
      <c r="AT959">
        <v>0</v>
      </c>
      <c r="AU959">
        <v>0</v>
      </c>
      <c r="AW959">
        <v>0</v>
      </c>
      <c r="AX959">
        <v>0</v>
      </c>
      <c r="AY959">
        <v>140</v>
      </c>
      <c r="BC959" t="str">
        <f t="shared" si="135"/>
        <v>9788997946006</v>
      </c>
      <c r="BE959" t="str">
        <f t="shared" si="134"/>
        <v>판타지 웹소설 &gt; 현대 판타지</v>
      </c>
    </row>
    <row r="960" spans="1:57" x14ac:dyDescent="0.3">
      <c r="A960">
        <v>1525004030</v>
      </c>
      <c r="B960">
        <v>1525004059</v>
      </c>
      <c r="C960" t="str">
        <f>T("회귀의 전설 30화")</f>
        <v>회귀의 전설 30화</v>
      </c>
      <c r="D960" t="str">
        <f>T("30")</f>
        <v>30</v>
      </c>
      <c r="E960" t="str">
        <f t="shared" si="132"/>
        <v>김광수</v>
      </c>
      <c r="H960" t="str">
        <f t="shared" si="131"/>
        <v>스토리위즈</v>
      </c>
      <c r="I960" t="str">
        <f t="shared" si="133"/>
        <v>회귀의 전설</v>
      </c>
      <c r="J960">
        <v>100</v>
      </c>
      <c r="K960">
        <v>200</v>
      </c>
      <c r="L960">
        <v>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200</v>
      </c>
      <c r="AH960">
        <v>2</v>
      </c>
      <c r="AI960">
        <v>0</v>
      </c>
      <c r="AJ960">
        <v>0</v>
      </c>
      <c r="AK960">
        <v>200</v>
      </c>
      <c r="AL960">
        <v>0</v>
      </c>
      <c r="AM960">
        <v>0</v>
      </c>
      <c r="AN960">
        <v>0</v>
      </c>
      <c r="AO960">
        <v>0</v>
      </c>
      <c r="AQ960">
        <v>0</v>
      </c>
      <c r="AR960">
        <v>0</v>
      </c>
      <c r="AT960">
        <v>0</v>
      </c>
      <c r="AU960">
        <v>0</v>
      </c>
      <c r="AW960">
        <v>0</v>
      </c>
      <c r="AX960">
        <v>0</v>
      </c>
      <c r="AY960">
        <v>140</v>
      </c>
      <c r="BC960" t="str">
        <f t="shared" si="135"/>
        <v>9788997946006</v>
      </c>
      <c r="BE960" t="str">
        <f t="shared" si="134"/>
        <v>판타지 웹소설 &gt; 현대 판타지</v>
      </c>
    </row>
    <row r="961" spans="1:57" x14ac:dyDescent="0.3">
      <c r="A961">
        <v>1525004030</v>
      </c>
      <c r="B961">
        <v>1525006712</v>
      </c>
      <c r="C961" t="str">
        <f>T("회귀의 전설 2부 595화")</f>
        <v>회귀의 전설 2부 595화</v>
      </c>
      <c r="D961" t="str">
        <f>T("595")</f>
        <v>595</v>
      </c>
      <c r="E961" t="str">
        <f t="shared" si="132"/>
        <v>김광수</v>
      </c>
      <c r="H961" t="str">
        <f t="shared" si="131"/>
        <v>스토리위즈</v>
      </c>
      <c r="I961" t="str">
        <f t="shared" si="133"/>
        <v>회귀의 전설</v>
      </c>
      <c r="J961">
        <v>100</v>
      </c>
      <c r="K961">
        <v>200</v>
      </c>
      <c r="L961">
        <v>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200</v>
      </c>
      <c r="AH961">
        <v>2</v>
      </c>
      <c r="AI961">
        <v>0</v>
      </c>
      <c r="AJ961">
        <v>0</v>
      </c>
      <c r="AK961">
        <v>100</v>
      </c>
      <c r="AL961">
        <v>0</v>
      </c>
      <c r="AM961">
        <v>120</v>
      </c>
      <c r="AN961">
        <v>-12</v>
      </c>
      <c r="AO961">
        <v>0</v>
      </c>
      <c r="AQ961">
        <v>0</v>
      </c>
      <c r="AR961">
        <v>0</v>
      </c>
      <c r="AS961">
        <v>120</v>
      </c>
      <c r="AT961">
        <v>-12</v>
      </c>
      <c r="AU961">
        <v>0</v>
      </c>
      <c r="AW961">
        <v>0</v>
      </c>
      <c r="AX961">
        <v>0</v>
      </c>
      <c r="AY961">
        <v>145.6</v>
      </c>
      <c r="BC961" t="str">
        <f>T("9791191102086")</f>
        <v>9791191102086</v>
      </c>
      <c r="BE961" t="str">
        <f t="shared" si="134"/>
        <v>판타지 웹소설 &gt; 현대 판타지</v>
      </c>
    </row>
    <row r="962" spans="1:57" x14ac:dyDescent="0.3">
      <c r="A962">
        <v>1525004030</v>
      </c>
      <c r="B962">
        <v>1525004303</v>
      </c>
      <c r="C962" t="str">
        <f>T("회귀의 전설 274화")</f>
        <v>회귀의 전설 274화</v>
      </c>
      <c r="D962" t="str">
        <f>T("274")</f>
        <v>274</v>
      </c>
      <c r="E962" t="str">
        <f t="shared" si="132"/>
        <v>김광수</v>
      </c>
      <c r="H962" t="str">
        <f t="shared" si="131"/>
        <v>스토리위즈</v>
      </c>
      <c r="I962" t="str">
        <f t="shared" si="133"/>
        <v>회귀의 전설</v>
      </c>
      <c r="J962">
        <v>100</v>
      </c>
      <c r="K962">
        <v>200</v>
      </c>
      <c r="L962">
        <v>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200</v>
      </c>
      <c r="AH962">
        <v>2</v>
      </c>
      <c r="AI962">
        <v>0</v>
      </c>
      <c r="AJ962">
        <v>0</v>
      </c>
      <c r="AK962">
        <v>200</v>
      </c>
      <c r="AL962">
        <v>0</v>
      </c>
      <c r="AM962">
        <v>0</v>
      </c>
      <c r="AN962">
        <v>0</v>
      </c>
      <c r="AO962">
        <v>0</v>
      </c>
      <c r="AQ962">
        <v>0</v>
      </c>
      <c r="AR962">
        <v>0</v>
      </c>
      <c r="AT962">
        <v>0</v>
      </c>
      <c r="AU962">
        <v>0</v>
      </c>
      <c r="AW962">
        <v>0</v>
      </c>
      <c r="AX962">
        <v>0</v>
      </c>
      <c r="AY962">
        <v>140</v>
      </c>
      <c r="BC962" t="str">
        <f>T("9788997946006")</f>
        <v>9788997946006</v>
      </c>
      <c r="BE962" t="str">
        <f t="shared" si="134"/>
        <v>판타지 웹소설 &gt; 현대 판타지</v>
      </c>
    </row>
    <row r="963" spans="1:57" x14ac:dyDescent="0.3">
      <c r="A963">
        <v>1525004030</v>
      </c>
      <c r="B963">
        <v>1525006671</v>
      </c>
      <c r="C963" t="str">
        <f>T("회귀의 전설 2부 554화")</f>
        <v>회귀의 전설 2부 554화</v>
      </c>
      <c r="D963" t="str">
        <f>T("554")</f>
        <v>554</v>
      </c>
      <c r="E963" t="str">
        <f t="shared" si="132"/>
        <v>김광수</v>
      </c>
      <c r="H963" t="str">
        <f t="shared" si="131"/>
        <v>스토리위즈</v>
      </c>
      <c r="I963" t="str">
        <f t="shared" si="133"/>
        <v>회귀의 전설</v>
      </c>
      <c r="J963">
        <v>100</v>
      </c>
      <c r="K963">
        <v>200</v>
      </c>
      <c r="L963">
        <v>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200</v>
      </c>
      <c r="AH963">
        <v>2</v>
      </c>
      <c r="AI963">
        <v>0</v>
      </c>
      <c r="AJ963">
        <v>0</v>
      </c>
      <c r="AK963">
        <v>200</v>
      </c>
      <c r="AL963">
        <v>0</v>
      </c>
      <c r="AM963">
        <v>0</v>
      </c>
      <c r="AN963">
        <v>0</v>
      </c>
      <c r="AO963">
        <v>0</v>
      </c>
      <c r="AQ963">
        <v>0</v>
      </c>
      <c r="AR963">
        <v>0</v>
      </c>
      <c r="AT963">
        <v>0</v>
      </c>
      <c r="AU963">
        <v>0</v>
      </c>
      <c r="AW963">
        <v>0</v>
      </c>
      <c r="AX963">
        <v>0</v>
      </c>
      <c r="AY963">
        <v>140</v>
      </c>
      <c r="BC963" t="str">
        <f>T("9791191102086")</f>
        <v>9791191102086</v>
      </c>
      <c r="BE963" t="str">
        <f t="shared" si="134"/>
        <v>판타지 웹소설 &gt; 현대 판타지</v>
      </c>
    </row>
    <row r="964" spans="1:57" x14ac:dyDescent="0.3">
      <c r="A964">
        <v>1525008428</v>
      </c>
      <c r="B964">
        <v>1525008446</v>
      </c>
      <c r="C964" t="str">
        <f>T("무히비(Muhibbi) 36화")</f>
        <v>무히비(Muhibbi) 36화</v>
      </c>
      <c r="D964" t="str">
        <f>T("36")</f>
        <v>36</v>
      </c>
      <c r="E964" t="str">
        <f>T("jooki")</f>
        <v>jooki</v>
      </c>
      <c r="H964" t="str">
        <f>T("블러쉬")</f>
        <v>블러쉬</v>
      </c>
      <c r="I964" t="str">
        <f>T("무히비(Muhibbi)")</f>
        <v>무히비(Muhibbi)</v>
      </c>
      <c r="J964">
        <v>100</v>
      </c>
      <c r="K964">
        <v>200</v>
      </c>
      <c r="L964">
        <v>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200</v>
      </c>
      <c r="AH964">
        <v>2</v>
      </c>
      <c r="AI964">
        <v>0</v>
      </c>
      <c r="AJ964">
        <v>0</v>
      </c>
      <c r="AK964">
        <v>200</v>
      </c>
      <c r="AL964">
        <v>0</v>
      </c>
      <c r="AM964">
        <v>0</v>
      </c>
      <c r="AN964">
        <v>0</v>
      </c>
      <c r="AO964">
        <v>0</v>
      </c>
      <c r="AQ964">
        <v>0</v>
      </c>
      <c r="AR964">
        <v>0</v>
      </c>
      <c r="AT964">
        <v>0</v>
      </c>
      <c r="AU964">
        <v>0</v>
      </c>
      <c r="AW964">
        <v>0</v>
      </c>
      <c r="AX964">
        <v>0</v>
      </c>
      <c r="AY964">
        <v>140</v>
      </c>
      <c r="BC964" t="str">
        <f>T("9791164896622")</f>
        <v>9791164896622</v>
      </c>
      <c r="BE964" t="str">
        <f>T("BL 웹소설 &gt; 역사/시대물")</f>
        <v>BL 웹소설 &gt; 역사/시대물</v>
      </c>
    </row>
    <row r="965" spans="1:57" x14ac:dyDescent="0.3">
      <c r="A965">
        <v>1525004030</v>
      </c>
      <c r="B965">
        <v>1525004091</v>
      </c>
      <c r="C965" t="str">
        <f>T("회귀의 전설 62화")</f>
        <v>회귀의 전설 62화</v>
      </c>
      <c r="D965" t="str">
        <f>T("62")</f>
        <v>62</v>
      </c>
      <c r="E965" t="str">
        <f t="shared" ref="E965:E986" si="136">T("김광수")</f>
        <v>김광수</v>
      </c>
      <c r="H965" t="str">
        <f t="shared" ref="H965:H986" si="137">T("스토리위즈")</f>
        <v>스토리위즈</v>
      </c>
      <c r="I965" t="str">
        <f t="shared" ref="I965:I986" si="138">T("회귀의 전설")</f>
        <v>회귀의 전설</v>
      </c>
      <c r="J965">
        <v>100</v>
      </c>
      <c r="K965">
        <v>200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200</v>
      </c>
      <c r="AH965">
        <v>2</v>
      </c>
      <c r="AI965">
        <v>0</v>
      </c>
      <c r="AJ965">
        <v>0</v>
      </c>
      <c r="AK965">
        <v>100</v>
      </c>
      <c r="AL965">
        <v>0</v>
      </c>
      <c r="AM965">
        <v>120</v>
      </c>
      <c r="AN965">
        <v>-36</v>
      </c>
      <c r="AO965">
        <v>0</v>
      </c>
      <c r="AQ965">
        <v>0</v>
      </c>
      <c r="AR965">
        <v>0</v>
      </c>
      <c r="AS965">
        <v>120</v>
      </c>
      <c r="AT965">
        <v>-36</v>
      </c>
      <c r="AU965">
        <v>0</v>
      </c>
      <c r="AW965">
        <v>0</v>
      </c>
      <c r="AX965">
        <v>0</v>
      </c>
      <c r="AY965">
        <v>128.80000000000001</v>
      </c>
      <c r="BC965" t="str">
        <f>T("9788997946006")</f>
        <v>9788997946006</v>
      </c>
      <c r="BE965" t="str">
        <f t="shared" ref="BE965:BE986" si="139">T("판타지 웹소설 &gt; 현대 판타지")</f>
        <v>판타지 웹소설 &gt; 현대 판타지</v>
      </c>
    </row>
    <row r="966" spans="1:57" x14ac:dyDescent="0.3">
      <c r="A966">
        <v>1525004030</v>
      </c>
      <c r="B966">
        <v>1525006826</v>
      </c>
      <c r="C966" t="str">
        <f>T("회귀의 전설 2부 709화")</f>
        <v>회귀의 전설 2부 709화</v>
      </c>
      <c r="D966" t="str">
        <f>T("709")</f>
        <v>709</v>
      </c>
      <c r="E966" t="str">
        <f t="shared" si="136"/>
        <v>김광수</v>
      </c>
      <c r="H966" t="str">
        <f t="shared" si="137"/>
        <v>스토리위즈</v>
      </c>
      <c r="I966" t="str">
        <f t="shared" si="138"/>
        <v>회귀의 전설</v>
      </c>
      <c r="J966">
        <v>100</v>
      </c>
      <c r="K966">
        <v>200</v>
      </c>
      <c r="L966">
        <v>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200</v>
      </c>
      <c r="AH966">
        <v>2</v>
      </c>
      <c r="AI966">
        <v>0</v>
      </c>
      <c r="AJ966">
        <v>0</v>
      </c>
      <c r="AK966">
        <v>100</v>
      </c>
      <c r="AL966">
        <v>0</v>
      </c>
      <c r="AM966">
        <v>120</v>
      </c>
      <c r="AN966">
        <v>-12</v>
      </c>
      <c r="AO966">
        <v>0</v>
      </c>
      <c r="AQ966">
        <v>0</v>
      </c>
      <c r="AR966">
        <v>0</v>
      </c>
      <c r="AS966">
        <v>120</v>
      </c>
      <c r="AT966">
        <v>-12</v>
      </c>
      <c r="AU966">
        <v>0</v>
      </c>
      <c r="AW966">
        <v>0</v>
      </c>
      <c r="AX966">
        <v>0</v>
      </c>
      <c r="AY966">
        <v>145.6</v>
      </c>
      <c r="BC966" t="str">
        <f>T("9791191102086")</f>
        <v>9791191102086</v>
      </c>
      <c r="BE966" t="str">
        <f t="shared" si="139"/>
        <v>판타지 웹소설 &gt; 현대 판타지</v>
      </c>
    </row>
    <row r="967" spans="1:57" x14ac:dyDescent="0.3">
      <c r="A967">
        <v>1525004030</v>
      </c>
      <c r="B967">
        <v>1525006785</v>
      </c>
      <c r="C967" t="str">
        <f>T("회귀의 전설 2부 668화")</f>
        <v>회귀의 전설 2부 668화</v>
      </c>
      <c r="D967" t="str">
        <f>T("668")</f>
        <v>668</v>
      </c>
      <c r="E967" t="str">
        <f t="shared" si="136"/>
        <v>김광수</v>
      </c>
      <c r="H967" t="str">
        <f t="shared" si="137"/>
        <v>스토리위즈</v>
      </c>
      <c r="I967" t="str">
        <f t="shared" si="138"/>
        <v>회귀의 전설</v>
      </c>
      <c r="J967">
        <v>100</v>
      </c>
      <c r="K967">
        <v>200</v>
      </c>
      <c r="L967">
        <v>2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200</v>
      </c>
      <c r="AH967">
        <v>2</v>
      </c>
      <c r="AI967">
        <v>0</v>
      </c>
      <c r="AJ967">
        <v>0</v>
      </c>
      <c r="AK967">
        <v>100</v>
      </c>
      <c r="AL967">
        <v>0</v>
      </c>
      <c r="AM967">
        <v>120</v>
      </c>
      <c r="AN967">
        <v>-12</v>
      </c>
      <c r="AO967">
        <v>0</v>
      </c>
      <c r="AQ967">
        <v>0</v>
      </c>
      <c r="AR967">
        <v>0</v>
      </c>
      <c r="AS967">
        <v>120</v>
      </c>
      <c r="AT967">
        <v>-12</v>
      </c>
      <c r="AU967">
        <v>0</v>
      </c>
      <c r="AW967">
        <v>0</v>
      </c>
      <c r="AX967">
        <v>0</v>
      </c>
      <c r="AY967">
        <v>145.6</v>
      </c>
      <c r="BC967" t="str">
        <f>T("9791191102086")</f>
        <v>9791191102086</v>
      </c>
      <c r="BE967" t="str">
        <f t="shared" si="139"/>
        <v>판타지 웹소설 &gt; 현대 판타지</v>
      </c>
    </row>
    <row r="968" spans="1:57" x14ac:dyDescent="0.3">
      <c r="A968">
        <v>1525004030</v>
      </c>
      <c r="B968">
        <v>1525006646</v>
      </c>
      <c r="C968" t="str">
        <f>T("회귀의 전설 2부 529화")</f>
        <v>회귀의 전설 2부 529화</v>
      </c>
      <c r="D968" t="str">
        <f>T("529")</f>
        <v>529</v>
      </c>
      <c r="E968" t="str">
        <f t="shared" si="136"/>
        <v>김광수</v>
      </c>
      <c r="H968" t="str">
        <f t="shared" si="137"/>
        <v>스토리위즈</v>
      </c>
      <c r="I968" t="str">
        <f t="shared" si="138"/>
        <v>회귀의 전설</v>
      </c>
      <c r="J968">
        <v>100</v>
      </c>
      <c r="K968">
        <v>200</v>
      </c>
      <c r="L968">
        <v>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200</v>
      </c>
      <c r="AH968">
        <v>2</v>
      </c>
      <c r="AI968">
        <v>0</v>
      </c>
      <c r="AJ968">
        <v>0</v>
      </c>
      <c r="AK968">
        <v>200</v>
      </c>
      <c r="AL968">
        <v>0</v>
      </c>
      <c r="AM968">
        <v>0</v>
      </c>
      <c r="AN968">
        <v>0</v>
      </c>
      <c r="AO968">
        <v>0</v>
      </c>
      <c r="AQ968">
        <v>0</v>
      </c>
      <c r="AR968">
        <v>0</v>
      </c>
      <c r="AT968">
        <v>0</v>
      </c>
      <c r="AU968">
        <v>0</v>
      </c>
      <c r="AW968">
        <v>0</v>
      </c>
      <c r="AX968">
        <v>0</v>
      </c>
      <c r="AY968">
        <v>140</v>
      </c>
      <c r="BC968" t="str">
        <f>T("9791191102086")</f>
        <v>9791191102086</v>
      </c>
      <c r="BE968" t="str">
        <f t="shared" si="139"/>
        <v>판타지 웹소설 &gt; 현대 판타지</v>
      </c>
    </row>
    <row r="969" spans="1:57" x14ac:dyDescent="0.3">
      <c r="A969">
        <v>1525004030</v>
      </c>
      <c r="B969">
        <v>1525004335</v>
      </c>
      <c r="C969" t="str">
        <f>T("회귀의 전설 306화")</f>
        <v>회귀의 전설 306화</v>
      </c>
      <c r="D969" t="str">
        <f>T("306")</f>
        <v>306</v>
      </c>
      <c r="E969" t="str">
        <f t="shared" si="136"/>
        <v>김광수</v>
      </c>
      <c r="H969" t="str">
        <f t="shared" si="137"/>
        <v>스토리위즈</v>
      </c>
      <c r="I969" t="str">
        <f t="shared" si="138"/>
        <v>회귀의 전설</v>
      </c>
      <c r="J969">
        <v>100</v>
      </c>
      <c r="K969">
        <v>200</v>
      </c>
      <c r="L969">
        <v>2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200</v>
      </c>
      <c r="AH969">
        <v>2</v>
      </c>
      <c r="AI969">
        <v>0</v>
      </c>
      <c r="AJ969">
        <v>0</v>
      </c>
      <c r="AK969">
        <v>200</v>
      </c>
      <c r="AL969">
        <v>0</v>
      </c>
      <c r="AM969">
        <v>0</v>
      </c>
      <c r="AN969">
        <v>0</v>
      </c>
      <c r="AO969">
        <v>0</v>
      </c>
      <c r="AQ969">
        <v>0</v>
      </c>
      <c r="AR969">
        <v>0</v>
      </c>
      <c r="AT969">
        <v>0</v>
      </c>
      <c r="AU969">
        <v>0</v>
      </c>
      <c r="AW969">
        <v>0</v>
      </c>
      <c r="AX969">
        <v>0</v>
      </c>
      <c r="AY969">
        <v>140</v>
      </c>
      <c r="BC969" t="str">
        <f>T("9788997946006")</f>
        <v>9788997946006</v>
      </c>
      <c r="BE969" t="str">
        <f t="shared" si="139"/>
        <v>판타지 웹소설 &gt; 현대 판타지</v>
      </c>
    </row>
    <row r="970" spans="1:57" x14ac:dyDescent="0.3">
      <c r="A970">
        <v>1525004030</v>
      </c>
      <c r="B970">
        <v>1525004246</v>
      </c>
      <c r="C970" t="str">
        <f>T("회귀의 전설 217화")</f>
        <v>회귀의 전설 217화</v>
      </c>
      <c r="D970" t="str">
        <f>T("217")</f>
        <v>217</v>
      </c>
      <c r="E970" t="str">
        <f t="shared" si="136"/>
        <v>김광수</v>
      </c>
      <c r="H970" t="str">
        <f t="shared" si="137"/>
        <v>스토리위즈</v>
      </c>
      <c r="I970" t="str">
        <f t="shared" si="138"/>
        <v>회귀의 전설</v>
      </c>
      <c r="J970">
        <v>100</v>
      </c>
      <c r="K970">
        <v>200</v>
      </c>
      <c r="L970">
        <v>2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200</v>
      </c>
      <c r="AH970">
        <v>2</v>
      </c>
      <c r="AI970">
        <v>0</v>
      </c>
      <c r="AJ970">
        <v>0</v>
      </c>
      <c r="AK970">
        <v>200</v>
      </c>
      <c r="AL970">
        <v>0</v>
      </c>
      <c r="AM970">
        <v>0</v>
      </c>
      <c r="AN970">
        <v>0</v>
      </c>
      <c r="AO970">
        <v>0</v>
      </c>
      <c r="AQ970">
        <v>0</v>
      </c>
      <c r="AR970">
        <v>0</v>
      </c>
      <c r="AT970">
        <v>0</v>
      </c>
      <c r="AU970">
        <v>0</v>
      </c>
      <c r="AW970">
        <v>0</v>
      </c>
      <c r="AX970">
        <v>0</v>
      </c>
      <c r="AY970">
        <v>140</v>
      </c>
      <c r="BC970" t="str">
        <f>T("9788997946006")</f>
        <v>9788997946006</v>
      </c>
      <c r="BE970" t="str">
        <f t="shared" si="139"/>
        <v>판타지 웹소설 &gt; 현대 판타지</v>
      </c>
    </row>
    <row r="971" spans="1:57" x14ac:dyDescent="0.3">
      <c r="A971">
        <v>1525004030</v>
      </c>
      <c r="B971">
        <v>1525004205</v>
      </c>
      <c r="C971" t="str">
        <f>T("회귀의 전설 176화")</f>
        <v>회귀의 전설 176화</v>
      </c>
      <c r="D971" t="str">
        <f>T("176")</f>
        <v>176</v>
      </c>
      <c r="E971" t="str">
        <f t="shared" si="136"/>
        <v>김광수</v>
      </c>
      <c r="H971" t="str">
        <f t="shared" si="137"/>
        <v>스토리위즈</v>
      </c>
      <c r="I971" t="str">
        <f t="shared" si="138"/>
        <v>회귀의 전설</v>
      </c>
      <c r="J971">
        <v>100</v>
      </c>
      <c r="K971">
        <v>200</v>
      </c>
      <c r="L971">
        <v>2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200</v>
      </c>
      <c r="AH971">
        <v>2</v>
      </c>
      <c r="AI971">
        <v>0</v>
      </c>
      <c r="AJ971">
        <v>0</v>
      </c>
      <c r="AK971">
        <v>200</v>
      </c>
      <c r="AL971">
        <v>0</v>
      </c>
      <c r="AM971">
        <v>0</v>
      </c>
      <c r="AN971">
        <v>0</v>
      </c>
      <c r="AO971">
        <v>0</v>
      </c>
      <c r="AQ971">
        <v>0</v>
      </c>
      <c r="AR971">
        <v>0</v>
      </c>
      <c r="AT971">
        <v>0</v>
      </c>
      <c r="AU971">
        <v>0</v>
      </c>
      <c r="AW971">
        <v>0</v>
      </c>
      <c r="AX971">
        <v>0</v>
      </c>
      <c r="AY971">
        <v>140</v>
      </c>
      <c r="BC971" t="str">
        <f>T("9788997946006")</f>
        <v>9788997946006</v>
      </c>
      <c r="BE971" t="str">
        <f t="shared" si="139"/>
        <v>판타지 웹소설 &gt; 현대 판타지</v>
      </c>
    </row>
    <row r="972" spans="1:57" x14ac:dyDescent="0.3">
      <c r="A972">
        <v>1525004030</v>
      </c>
      <c r="B972">
        <v>1525006858</v>
      </c>
      <c r="C972" t="str">
        <f>T("회귀의 전설 2부 741화")</f>
        <v>회귀의 전설 2부 741화</v>
      </c>
      <c r="D972" t="str">
        <f>T("741")</f>
        <v>741</v>
      </c>
      <c r="E972" t="str">
        <f t="shared" si="136"/>
        <v>김광수</v>
      </c>
      <c r="H972" t="str">
        <f t="shared" si="137"/>
        <v>스토리위즈</v>
      </c>
      <c r="I972" t="str">
        <f t="shared" si="138"/>
        <v>회귀의 전설</v>
      </c>
      <c r="J972">
        <v>100</v>
      </c>
      <c r="K972">
        <v>200</v>
      </c>
      <c r="L972">
        <v>2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200</v>
      </c>
      <c r="AH972">
        <v>2</v>
      </c>
      <c r="AI972">
        <v>0</v>
      </c>
      <c r="AJ972">
        <v>0</v>
      </c>
      <c r="AK972">
        <v>100</v>
      </c>
      <c r="AL972">
        <v>0</v>
      </c>
      <c r="AM972">
        <v>120</v>
      </c>
      <c r="AN972">
        <v>-12</v>
      </c>
      <c r="AO972">
        <v>0</v>
      </c>
      <c r="AQ972">
        <v>0</v>
      </c>
      <c r="AR972">
        <v>0</v>
      </c>
      <c r="AS972">
        <v>120</v>
      </c>
      <c r="AT972">
        <v>-12</v>
      </c>
      <c r="AU972">
        <v>0</v>
      </c>
      <c r="AW972">
        <v>0</v>
      </c>
      <c r="AX972">
        <v>0</v>
      </c>
      <c r="AY972">
        <v>145.6</v>
      </c>
      <c r="BC972" t="str">
        <f>T("9791191102086")</f>
        <v>9791191102086</v>
      </c>
      <c r="BE972" t="str">
        <f t="shared" si="139"/>
        <v>판타지 웹소설 &gt; 현대 판타지</v>
      </c>
    </row>
    <row r="973" spans="1:57" x14ac:dyDescent="0.3">
      <c r="A973">
        <v>1525004030</v>
      </c>
      <c r="B973">
        <v>1525004108</v>
      </c>
      <c r="C973" t="str">
        <f>T("회귀의 전설 79화")</f>
        <v>회귀의 전설 79화</v>
      </c>
      <c r="D973" t="str">
        <f>T("79")</f>
        <v>79</v>
      </c>
      <c r="E973" t="str">
        <f t="shared" si="136"/>
        <v>김광수</v>
      </c>
      <c r="H973" t="str">
        <f t="shared" si="137"/>
        <v>스토리위즈</v>
      </c>
      <c r="I973" t="str">
        <f t="shared" si="138"/>
        <v>회귀의 전설</v>
      </c>
      <c r="J973">
        <v>100</v>
      </c>
      <c r="K973">
        <v>200</v>
      </c>
      <c r="L973">
        <v>2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200</v>
      </c>
      <c r="AH973">
        <v>2</v>
      </c>
      <c r="AI973">
        <v>0</v>
      </c>
      <c r="AJ973">
        <v>0</v>
      </c>
      <c r="AK973">
        <v>100</v>
      </c>
      <c r="AL973">
        <v>0</v>
      </c>
      <c r="AM973">
        <v>120</v>
      </c>
      <c r="AN973">
        <v>-36</v>
      </c>
      <c r="AO973">
        <v>0</v>
      </c>
      <c r="AQ973">
        <v>0</v>
      </c>
      <c r="AR973">
        <v>0</v>
      </c>
      <c r="AS973">
        <v>120</v>
      </c>
      <c r="AT973">
        <v>-36</v>
      </c>
      <c r="AU973">
        <v>0</v>
      </c>
      <c r="AW973">
        <v>0</v>
      </c>
      <c r="AX973">
        <v>0</v>
      </c>
      <c r="AY973">
        <v>128.80000000000001</v>
      </c>
      <c r="BC973" t="str">
        <f t="shared" ref="BC973:BC979" si="140">T("9788997946006")</f>
        <v>9788997946006</v>
      </c>
      <c r="BE973" t="str">
        <f t="shared" si="139"/>
        <v>판타지 웹소설 &gt; 현대 판타지</v>
      </c>
    </row>
    <row r="974" spans="1:57" x14ac:dyDescent="0.3">
      <c r="A974">
        <v>1525004030</v>
      </c>
      <c r="B974">
        <v>1525004278</v>
      </c>
      <c r="C974" t="str">
        <f>T("회귀의 전설 249화")</f>
        <v>회귀의 전설 249화</v>
      </c>
      <c r="D974" t="str">
        <f>T("249")</f>
        <v>249</v>
      </c>
      <c r="E974" t="str">
        <f t="shared" si="136"/>
        <v>김광수</v>
      </c>
      <c r="H974" t="str">
        <f t="shared" si="137"/>
        <v>스토리위즈</v>
      </c>
      <c r="I974" t="str">
        <f t="shared" si="138"/>
        <v>회귀의 전설</v>
      </c>
      <c r="J974">
        <v>100</v>
      </c>
      <c r="K974">
        <v>200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200</v>
      </c>
      <c r="AH974">
        <v>2</v>
      </c>
      <c r="AI974">
        <v>0</v>
      </c>
      <c r="AJ974">
        <v>0</v>
      </c>
      <c r="AK974">
        <v>200</v>
      </c>
      <c r="AL974">
        <v>0</v>
      </c>
      <c r="AM974">
        <v>0</v>
      </c>
      <c r="AN974">
        <v>0</v>
      </c>
      <c r="AO974">
        <v>0</v>
      </c>
      <c r="AQ974">
        <v>0</v>
      </c>
      <c r="AR974">
        <v>0</v>
      </c>
      <c r="AT974">
        <v>0</v>
      </c>
      <c r="AU974">
        <v>0</v>
      </c>
      <c r="AW974">
        <v>0</v>
      </c>
      <c r="AX974">
        <v>0</v>
      </c>
      <c r="AY974">
        <v>140</v>
      </c>
      <c r="BC974" t="str">
        <f t="shared" si="140"/>
        <v>9788997946006</v>
      </c>
      <c r="BE974" t="str">
        <f t="shared" si="139"/>
        <v>판타지 웹소설 &gt; 현대 판타지</v>
      </c>
    </row>
    <row r="975" spans="1:57" x14ac:dyDescent="0.3">
      <c r="A975">
        <v>1525004030</v>
      </c>
      <c r="B975">
        <v>1525004352</v>
      </c>
      <c r="C975" t="str">
        <f>T("회귀의 전설 324화")</f>
        <v>회귀의 전설 324화</v>
      </c>
      <c r="D975" t="str">
        <f>T("324")</f>
        <v>324</v>
      </c>
      <c r="E975" t="str">
        <f t="shared" si="136"/>
        <v>김광수</v>
      </c>
      <c r="H975" t="str">
        <f t="shared" si="137"/>
        <v>스토리위즈</v>
      </c>
      <c r="I975" t="str">
        <f t="shared" si="138"/>
        <v>회귀의 전설</v>
      </c>
      <c r="J975">
        <v>100</v>
      </c>
      <c r="K975">
        <v>200</v>
      </c>
      <c r="L975">
        <v>2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200</v>
      </c>
      <c r="AH975">
        <v>2</v>
      </c>
      <c r="AI975">
        <v>0</v>
      </c>
      <c r="AJ975">
        <v>0</v>
      </c>
      <c r="AK975">
        <v>200</v>
      </c>
      <c r="AL975">
        <v>0</v>
      </c>
      <c r="AM975">
        <v>0</v>
      </c>
      <c r="AN975">
        <v>0</v>
      </c>
      <c r="AO975">
        <v>0</v>
      </c>
      <c r="AQ975">
        <v>0</v>
      </c>
      <c r="AR975">
        <v>0</v>
      </c>
      <c r="AT975">
        <v>0</v>
      </c>
      <c r="AU975">
        <v>0</v>
      </c>
      <c r="AW975">
        <v>0</v>
      </c>
      <c r="AX975">
        <v>0</v>
      </c>
      <c r="AY975">
        <v>140</v>
      </c>
      <c r="BC975" t="str">
        <f t="shared" si="140"/>
        <v>9788997946006</v>
      </c>
      <c r="BE975" t="str">
        <f t="shared" si="139"/>
        <v>판타지 웹소설 &gt; 현대 판타지</v>
      </c>
    </row>
    <row r="976" spans="1:57" x14ac:dyDescent="0.3">
      <c r="A976">
        <v>1525004030</v>
      </c>
      <c r="B976">
        <v>1525004409</v>
      </c>
      <c r="C976" t="str">
        <f>T("회귀의 전설 381화")</f>
        <v>회귀의 전설 381화</v>
      </c>
      <c r="D976" t="str">
        <f>T("381")</f>
        <v>381</v>
      </c>
      <c r="E976" t="str">
        <f t="shared" si="136"/>
        <v>김광수</v>
      </c>
      <c r="H976" t="str">
        <f t="shared" si="137"/>
        <v>스토리위즈</v>
      </c>
      <c r="I976" t="str">
        <f t="shared" si="138"/>
        <v>회귀의 전설</v>
      </c>
      <c r="J976">
        <v>100</v>
      </c>
      <c r="K976">
        <v>200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200</v>
      </c>
      <c r="AH976">
        <v>2</v>
      </c>
      <c r="AI976">
        <v>0</v>
      </c>
      <c r="AJ976">
        <v>0</v>
      </c>
      <c r="AK976">
        <v>200</v>
      </c>
      <c r="AL976">
        <v>0</v>
      </c>
      <c r="AM976">
        <v>0</v>
      </c>
      <c r="AN976">
        <v>0</v>
      </c>
      <c r="AO976">
        <v>0</v>
      </c>
      <c r="AQ976">
        <v>0</v>
      </c>
      <c r="AR976">
        <v>0</v>
      </c>
      <c r="AT976">
        <v>0</v>
      </c>
      <c r="AU976">
        <v>0</v>
      </c>
      <c r="AW976">
        <v>0</v>
      </c>
      <c r="AX976">
        <v>0</v>
      </c>
      <c r="AY976">
        <v>140</v>
      </c>
      <c r="BC976" t="str">
        <f t="shared" si="140"/>
        <v>9788997946006</v>
      </c>
      <c r="BE976" t="str">
        <f t="shared" si="139"/>
        <v>판타지 웹소설 &gt; 현대 판타지</v>
      </c>
    </row>
    <row r="977" spans="1:57" x14ac:dyDescent="0.3">
      <c r="A977">
        <v>1525004030</v>
      </c>
      <c r="B977">
        <v>1525004267</v>
      </c>
      <c r="C977" t="str">
        <f>T("회귀의 전설 238화")</f>
        <v>회귀의 전설 238화</v>
      </c>
      <c r="D977" t="str">
        <f>T("238")</f>
        <v>238</v>
      </c>
      <c r="E977" t="str">
        <f t="shared" si="136"/>
        <v>김광수</v>
      </c>
      <c r="H977" t="str">
        <f t="shared" si="137"/>
        <v>스토리위즈</v>
      </c>
      <c r="I977" t="str">
        <f t="shared" si="138"/>
        <v>회귀의 전설</v>
      </c>
      <c r="J977">
        <v>100</v>
      </c>
      <c r="K977">
        <v>200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200</v>
      </c>
      <c r="AH977">
        <v>2</v>
      </c>
      <c r="AI977">
        <v>0</v>
      </c>
      <c r="AJ977">
        <v>0</v>
      </c>
      <c r="AK977">
        <v>200</v>
      </c>
      <c r="AL977">
        <v>0</v>
      </c>
      <c r="AM977">
        <v>0</v>
      </c>
      <c r="AN977">
        <v>0</v>
      </c>
      <c r="AO977">
        <v>0</v>
      </c>
      <c r="AQ977">
        <v>0</v>
      </c>
      <c r="AR977">
        <v>0</v>
      </c>
      <c r="AT977">
        <v>0</v>
      </c>
      <c r="AU977">
        <v>0</v>
      </c>
      <c r="AW977">
        <v>0</v>
      </c>
      <c r="AX977">
        <v>0</v>
      </c>
      <c r="AY977">
        <v>140</v>
      </c>
      <c r="BC977" t="str">
        <f t="shared" si="140"/>
        <v>9788997946006</v>
      </c>
      <c r="BE977" t="str">
        <f t="shared" si="139"/>
        <v>판타지 웹소설 &gt; 현대 판타지</v>
      </c>
    </row>
    <row r="978" spans="1:57" x14ac:dyDescent="0.3">
      <c r="A978">
        <v>1525004030</v>
      </c>
      <c r="B978">
        <v>1525004341</v>
      </c>
      <c r="C978" t="str">
        <f>T("회귀의 전설 313화")</f>
        <v>회귀의 전설 313화</v>
      </c>
      <c r="D978" t="str">
        <f>T("313")</f>
        <v>313</v>
      </c>
      <c r="E978" t="str">
        <f t="shared" si="136"/>
        <v>김광수</v>
      </c>
      <c r="H978" t="str">
        <f t="shared" si="137"/>
        <v>스토리위즈</v>
      </c>
      <c r="I978" t="str">
        <f t="shared" si="138"/>
        <v>회귀의 전설</v>
      </c>
      <c r="J978">
        <v>100</v>
      </c>
      <c r="K978">
        <v>200</v>
      </c>
      <c r="L978">
        <v>2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200</v>
      </c>
      <c r="AH978">
        <v>2</v>
      </c>
      <c r="AI978">
        <v>0</v>
      </c>
      <c r="AJ978">
        <v>0</v>
      </c>
      <c r="AK978">
        <v>200</v>
      </c>
      <c r="AL978">
        <v>0</v>
      </c>
      <c r="AM978">
        <v>0</v>
      </c>
      <c r="AN978">
        <v>0</v>
      </c>
      <c r="AO978">
        <v>0</v>
      </c>
      <c r="AQ978">
        <v>0</v>
      </c>
      <c r="AR978">
        <v>0</v>
      </c>
      <c r="AT978">
        <v>0</v>
      </c>
      <c r="AU978">
        <v>0</v>
      </c>
      <c r="AW978">
        <v>0</v>
      </c>
      <c r="AX978">
        <v>0</v>
      </c>
      <c r="AY978">
        <v>140</v>
      </c>
      <c r="BC978" t="str">
        <f t="shared" si="140"/>
        <v>9788997946006</v>
      </c>
      <c r="BE978" t="str">
        <f t="shared" si="139"/>
        <v>판타지 웹소설 &gt; 현대 판타지</v>
      </c>
    </row>
    <row r="979" spans="1:57" x14ac:dyDescent="0.3">
      <c r="A979">
        <v>1525004030</v>
      </c>
      <c r="B979">
        <v>1525004398</v>
      </c>
      <c r="C979" t="str">
        <f>T("회귀의 전설 370화")</f>
        <v>회귀의 전설 370화</v>
      </c>
      <c r="D979" t="str">
        <f>T("370")</f>
        <v>370</v>
      </c>
      <c r="E979" t="str">
        <f t="shared" si="136"/>
        <v>김광수</v>
      </c>
      <c r="H979" t="str">
        <f t="shared" si="137"/>
        <v>스토리위즈</v>
      </c>
      <c r="I979" t="str">
        <f t="shared" si="138"/>
        <v>회귀의 전설</v>
      </c>
      <c r="J979">
        <v>100</v>
      </c>
      <c r="K979">
        <v>200</v>
      </c>
      <c r="L979">
        <v>2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200</v>
      </c>
      <c r="AH979">
        <v>2</v>
      </c>
      <c r="AI979">
        <v>0</v>
      </c>
      <c r="AJ979">
        <v>0</v>
      </c>
      <c r="AK979">
        <v>200</v>
      </c>
      <c r="AL979">
        <v>0</v>
      </c>
      <c r="AM979">
        <v>0</v>
      </c>
      <c r="AN979">
        <v>0</v>
      </c>
      <c r="AO979">
        <v>0</v>
      </c>
      <c r="AQ979">
        <v>0</v>
      </c>
      <c r="AR979">
        <v>0</v>
      </c>
      <c r="AT979">
        <v>0</v>
      </c>
      <c r="AU979">
        <v>0</v>
      </c>
      <c r="AW979">
        <v>0</v>
      </c>
      <c r="AX979">
        <v>0</v>
      </c>
      <c r="AY979">
        <v>140</v>
      </c>
      <c r="BC979" t="str">
        <f t="shared" si="140"/>
        <v>9788997946006</v>
      </c>
      <c r="BE979" t="str">
        <f t="shared" si="139"/>
        <v>판타지 웹소설 &gt; 현대 판타지</v>
      </c>
    </row>
    <row r="980" spans="1:57" x14ac:dyDescent="0.3">
      <c r="A980">
        <v>1525004030</v>
      </c>
      <c r="B980">
        <v>1525006879</v>
      </c>
      <c r="C980" t="str">
        <f>T("회귀의 전설 2부 762화")</f>
        <v>회귀의 전설 2부 762화</v>
      </c>
      <c r="D980" t="str">
        <f>T("762")</f>
        <v>762</v>
      </c>
      <c r="E980" t="str">
        <f t="shared" si="136"/>
        <v>김광수</v>
      </c>
      <c r="H980" t="str">
        <f t="shared" si="137"/>
        <v>스토리위즈</v>
      </c>
      <c r="I980" t="str">
        <f t="shared" si="138"/>
        <v>회귀의 전설</v>
      </c>
      <c r="J980">
        <v>100</v>
      </c>
      <c r="K980">
        <v>200</v>
      </c>
      <c r="L980">
        <v>2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200</v>
      </c>
      <c r="AH980">
        <v>2</v>
      </c>
      <c r="AI980">
        <v>0</v>
      </c>
      <c r="AJ980">
        <v>0</v>
      </c>
      <c r="AK980">
        <v>100</v>
      </c>
      <c r="AL980">
        <v>0</v>
      </c>
      <c r="AM980">
        <v>120</v>
      </c>
      <c r="AN980">
        <v>-12</v>
      </c>
      <c r="AO980">
        <v>0</v>
      </c>
      <c r="AQ980">
        <v>0</v>
      </c>
      <c r="AR980">
        <v>0</v>
      </c>
      <c r="AS980">
        <v>120</v>
      </c>
      <c r="AT980">
        <v>-12</v>
      </c>
      <c r="AU980">
        <v>0</v>
      </c>
      <c r="AW980">
        <v>0</v>
      </c>
      <c r="AX980">
        <v>0</v>
      </c>
      <c r="AY980">
        <v>145.6</v>
      </c>
      <c r="BC980" t="str">
        <f>T("9791191102086")</f>
        <v>9791191102086</v>
      </c>
      <c r="BE980" t="str">
        <f t="shared" si="139"/>
        <v>판타지 웹소설 &gt; 현대 판타지</v>
      </c>
    </row>
    <row r="981" spans="1:57" x14ac:dyDescent="0.3">
      <c r="A981">
        <v>1525004030</v>
      </c>
      <c r="B981">
        <v>1525004455</v>
      </c>
      <c r="C981" t="str">
        <f>T("회귀의 전설 439화")</f>
        <v>회귀의 전설 439화</v>
      </c>
      <c r="D981" t="str">
        <f>T("439")</f>
        <v>439</v>
      </c>
      <c r="E981" t="str">
        <f t="shared" si="136"/>
        <v>김광수</v>
      </c>
      <c r="H981" t="str">
        <f t="shared" si="137"/>
        <v>스토리위즈</v>
      </c>
      <c r="I981" t="str">
        <f t="shared" si="138"/>
        <v>회귀의 전설</v>
      </c>
      <c r="J981">
        <v>100</v>
      </c>
      <c r="K981">
        <v>200</v>
      </c>
      <c r="L981">
        <v>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200</v>
      </c>
      <c r="AH981">
        <v>2</v>
      </c>
      <c r="AI981">
        <v>0</v>
      </c>
      <c r="AJ981">
        <v>0</v>
      </c>
      <c r="AK981">
        <v>200</v>
      </c>
      <c r="AL981">
        <v>0</v>
      </c>
      <c r="AM981">
        <v>0</v>
      </c>
      <c r="AN981">
        <v>0</v>
      </c>
      <c r="AO981">
        <v>0</v>
      </c>
      <c r="AQ981">
        <v>0</v>
      </c>
      <c r="AR981">
        <v>0</v>
      </c>
      <c r="AT981">
        <v>0</v>
      </c>
      <c r="AU981">
        <v>0</v>
      </c>
      <c r="AW981">
        <v>0</v>
      </c>
      <c r="AX981">
        <v>0</v>
      </c>
      <c r="AY981">
        <v>140</v>
      </c>
      <c r="BC981" t="str">
        <f>T("9788997946006")</f>
        <v>9788997946006</v>
      </c>
      <c r="BE981" t="str">
        <f t="shared" si="139"/>
        <v>판타지 웹소설 &gt; 현대 판타지</v>
      </c>
    </row>
    <row r="982" spans="1:57" x14ac:dyDescent="0.3">
      <c r="A982">
        <v>1525004030</v>
      </c>
      <c r="B982">
        <v>1525004373</v>
      </c>
      <c r="C982" t="str">
        <f>T("회귀의 전설 345화")</f>
        <v>회귀의 전설 345화</v>
      </c>
      <c r="D982" t="str">
        <f>T("345")</f>
        <v>345</v>
      </c>
      <c r="E982" t="str">
        <f t="shared" si="136"/>
        <v>김광수</v>
      </c>
      <c r="H982" t="str">
        <f t="shared" si="137"/>
        <v>스토리위즈</v>
      </c>
      <c r="I982" t="str">
        <f t="shared" si="138"/>
        <v>회귀의 전설</v>
      </c>
      <c r="J982">
        <v>100</v>
      </c>
      <c r="K982">
        <v>200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200</v>
      </c>
      <c r="AH982">
        <v>2</v>
      </c>
      <c r="AI982">
        <v>0</v>
      </c>
      <c r="AJ982">
        <v>0</v>
      </c>
      <c r="AK982">
        <v>200</v>
      </c>
      <c r="AL982">
        <v>0</v>
      </c>
      <c r="AM982">
        <v>0</v>
      </c>
      <c r="AN982">
        <v>0</v>
      </c>
      <c r="AO982">
        <v>0</v>
      </c>
      <c r="AQ982">
        <v>0</v>
      </c>
      <c r="AR982">
        <v>0</v>
      </c>
      <c r="AT982">
        <v>0</v>
      </c>
      <c r="AU982">
        <v>0</v>
      </c>
      <c r="AW982">
        <v>0</v>
      </c>
      <c r="AX982">
        <v>0</v>
      </c>
      <c r="AY982">
        <v>140</v>
      </c>
      <c r="BC982" t="str">
        <f>T("9788997946006")</f>
        <v>9788997946006</v>
      </c>
      <c r="BE982" t="str">
        <f t="shared" si="139"/>
        <v>판타지 웹소설 &gt; 현대 판타지</v>
      </c>
    </row>
    <row r="983" spans="1:57" x14ac:dyDescent="0.3">
      <c r="A983">
        <v>1525004030</v>
      </c>
      <c r="B983">
        <v>1525004430</v>
      </c>
      <c r="C983" t="str">
        <f>T("회귀의 전설 414화")</f>
        <v>회귀의 전설 414화</v>
      </c>
      <c r="D983" t="str">
        <f>T("414")</f>
        <v>414</v>
      </c>
      <c r="E983" t="str">
        <f t="shared" si="136"/>
        <v>김광수</v>
      </c>
      <c r="H983" t="str">
        <f t="shared" si="137"/>
        <v>스토리위즈</v>
      </c>
      <c r="I983" t="str">
        <f t="shared" si="138"/>
        <v>회귀의 전설</v>
      </c>
      <c r="J983">
        <v>100</v>
      </c>
      <c r="K983">
        <v>200</v>
      </c>
      <c r="L983">
        <v>2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200</v>
      </c>
      <c r="AH983">
        <v>2</v>
      </c>
      <c r="AI983">
        <v>0</v>
      </c>
      <c r="AJ983">
        <v>0</v>
      </c>
      <c r="AK983">
        <v>200</v>
      </c>
      <c r="AL983">
        <v>0</v>
      </c>
      <c r="AM983">
        <v>0</v>
      </c>
      <c r="AN983">
        <v>0</v>
      </c>
      <c r="AO983">
        <v>0</v>
      </c>
      <c r="AQ983">
        <v>0</v>
      </c>
      <c r="AR983">
        <v>0</v>
      </c>
      <c r="AT983">
        <v>0</v>
      </c>
      <c r="AU983">
        <v>0</v>
      </c>
      <c r="AW983">
        <v>0</v>
      </c>
      <c r="AX983">
        <v>0</v>
      </c>
      <c r="AY983">
        <v>140</v>
      </c>
      <c r="BC983" t="str">
        <f>T("9788997946006")</f>
        <v>9788997946006</v>
      </c>
      <c r="BE983" t="str">
        <f t="shared" si="139"/>
        <v>판타지 웹소설 &gt; 현대 판타지</v>
      </c>
    </row>
    <row r="984" spans="1:57" x14ac:dyDescent="0.3">
      <c r="A984">
        <v>1525004030</v>
      </c>
      <c r="B984">
        <v>1525004487</v>
      </c>
      <c r="C984" t="str">
        <f>T("회귀의 전설 471화")</f>
        <v>회귀의 전설 471화</v>
      </c>
      <c r="D984" t="str">
        <f>T("471")</f>
        <v>471</v>
      </c>
      <c r="E984" t="str">
        <f t="shared" si="136"/>
        <v>김광수</v>
      </c>
      <c r="H984" t="str">
        <f t="shared" si="137"/>
        <v>스토리위즈</v>
      </c>
      <c r="I984" t="str">
        <f t="shared" si="138"/>
        <v>회귀의 전설</v>
      </c>
      <c r="J984">
        <v>100</v>
      </c>
      <c r="K984">
        <v>200</v>
      </c>
      <c r="L984">
        <v>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200</v>
      </c>
      <c r="AH984">
        <v>2</v>
      </c>
      <c r="AI984">
        <v>0</v>
      </c>
      <c r="AJ984">
        <v>0</v>
      </c>
      <c r="AK984">
        <v>200</v>
      </c>
      <c r="AL984">
        <v>0</v>
      </c>
      <c r="AM984">
        <v>0</v>
      </c>
      <c r="AN984">
        <v>0</v>
      </c>
      <c r="AO984">
        <v>0</v>
      </c>
      <c r="AQ984">
        <v>0</v>
      </c>
      <c r="AR984">
        <v>0</v>
      </c>
      <c r="AT984">
        <v>0</v>
      </c>
      <c r="AU984">
        <v>0</v>
      </c>
      <c r="AW984">
        <v>0</v>
      </c>
      <c r="AX984">
        <v>0</v>
      </c>
      <c r="AY984">
        <v>140</v>
      </c>
      <c r="BC984" t="str">
        <f>T("9788997946006")</f>
        <v>9788997946006</v>
      </c>
      <c r="BE984" t="str">
        <f t="shared" si="139"/>
        <v>판타지 웹소설 &gt; 현대 판타지</v>
      </c>
    </row>
    <row r="985" spans="1:57" x14ac:dyDescent="0.3">
      <c r="A985">
        <v>1525004030</v>
      </c>
      <c r="B985">
        <v>1525004292</v>
      </c>
      <c r="C985" t="str">
        <f>T("회귀의 전설 263화")</f>
        <v>회귀의 전설 263화</v>
      </c>
      <c r="D985" t="str">
        <f>T("263")</f>
        <v>263</v>
      </c>
      <c r="E985" t="str">
        <f t="shared" si="136"/>
        <v>김광수</v>
      </c>
      <c r="H985" t="str">
        <f t="shared" si="137"/>
        <v>스토리위즈</v>
      </c>
      <c r="I985" t="str">
        <f t="shared" si="138"/>
        <v>회귀의 전설</v>
      </c>
      <c r="J985">
        <v>100</v>
      </c>
      <c r="K985">
        <v>200</v>
      </c>
      <c r="L985">
        <v>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200</v>
      </c>
      <c r="AH985">
        <v>2</v>
      </c>
      <c r="AI985">
        <v>0</v>
      </c>
      <c r="AJ985">
        <v>0</v>
      </c>
      <c r="AK985">
        <v>200</v>
      </c>
      <c r="AL985">
        <v>0</v>
      </c>
      <c r="AM985">
        <v>0</v>
      </c>
      <c r="AN985">
        <v>0</v>
      </c>
      <c r="AO985">
        <v>0</v>
      </c>
      <c r="AQ985">
        <v>0</v>
      </c>
      <c r="AR985">
        <v>0</v>
      </c>
      <c r="AT985">
        <v>0</v>
      </c>
      <c r="AU985">
        <v>0</v>
      </c>
      <c r="AW985">
        <v>0</v>
      </c>
      <c r="AX985">
        <v>0</v>
      </c>
      <c r="AY985">
        <v>140</v>
      </c>
      <c r="BC985" t="str">
        <f>T("9788997946006")</f>
        <v>9788997946006</v>
      </c>
      <c r="BE985" t="str">
        <f t="shared" si="139"/>
        <v>판타지 웹소설 &gt; 현대 판타지</v>
      </c>
    </row>
    <row r="986" spans="1:57" x14ac:dyDescent="0.3">
      <c r="A986">
        <v>1525004030</v>
      </c>
      <c r="B986">
        <v>1525006660</v>
      </c>
      <c r="C986" t="str">
        <f>T("회귀의 전설 2부 543화")</f>
        <v>회귀의 전설 2부 543화</v>
      </c>
      <c r="D986" t="str">
        <f>T("543")</f>
        <v>543</v>
      </c>
      <c r="E986" t="str">
        <f t="shared" si="136"/>
        <v>김광수</v>
      </c>
      <c r="H986" t="str">
        <f t="shared" si="137"/>
        <v>스토리위즈</v>
      </c>
      <c r="I986" t="str">
        <f t="shared" si="138"/>
        <v>회귀의 전설</v>
      </c>
      <c r="J986">
        <v>100</v>
      </c>
      <c r="K986">
        <v>200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200</v>
      </c>
      <c r="AH986">
        <v>2</v>
      </c>
      <c r="AI986">
        <v>0</v>
      </c>
      <c r="AJ986">
        <v>0</v>
      </c>
      <c r="AK986">
        <v>200</v>
      </c>
      <c r="AL986">
        <v>0</v>
      </c>
      <c r="AM986">
        <v>0</v>
      </c>
      <c r="AN986">
        <v>0</v>
      </c>
      <c r="AO986">
        <v>0</v>
      </c>
      <c r="AQ986">
        <v>0</v>
      </c>
      <c r="AR986">
        <v>0</v>
      </c>
      <c r="AT986">
        <v>0</v>
      </c>
      <c r="AU986">
        <v>0</v>
      </c>
      <c r="AW986">
        <v>0</v>
      </c>
      <c r="AX986">
        <v>0</v>
      </c>
      <c r="AY986">
        <v>140</v>
      </c>
      <c r="BC986" t="str">
        <f>T("9791191102086")</f>
        <v>9791191102086</v>
      </c>
      <c r="BE986" t="str">
        <f t="shared" si="139"/>
        <v>판타지 웹소설 &gt; 현대 판타지</v>
      </c>
    </row>
    <row r="987" spans="1:57" x14ac:dyDescent="0.3">
      <c r="A987">
        <v>1525008428</v>
      </c>
      <c r="B987">
        <v>1525008434</v>
      </c>
      <c r="C987" t="str">
        <f>T("무히비(Muhibbi) 25화")</f>
        <v>무히비(Muhibbi) 25화</v>
      </c>
      <c r="D987" t="str">
        <f>T("25")</f>
        <v>25</v>
      </c>
      <c r="E987" t="str">
        <f>T("jooki")</f>
        <v>jooki</v>
      </c>
      <c r="H987" t="str">
        <f>T("블러쉬")</f>
        <v>블러쉬</v>
      </c>
      <c r="I987" t="str">
        <f>T("무히비(Muhibbi)")</f>
        <v>무히비(Muhibbi)</v>
      </c>
      <c r="J987">
        <v>100</v>
      </c>
      <c r="K987">
        <v>200</v>
      </c>
      <c r="L987">
        <v>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200</v>
      </c>
      <c r="AH987">
        <v>2</v>
      </c>
      <c r="AI987">
        <v>0</v>
      </c>
      <c r="AJ987">
        <v>0</v>
      </c>
      <c r="AK987">
        <v>200</v>
      </c>
      <c r="AL987">
        <v>0</v>
      </c>
      <c r="AM987">
        <v>0</v>
      </c>
      <c r="AN987">
        <v>0</v>
      </c>
      <c r="AO987">
        <v>0</v>
      </c>
      <c r="AQ987">
        <v>0</v>
      </c>
      <c r="AR987">
        <v>0</v>
      </c>
      <c r="AT987">
        <v>0</v>
      </c>
      <c r="AU987">
        <v>0</v>
      </c>
      <c r="AW987">
        <v>0</v>
      </c>
      <c r="AX987">
        <v>0</v>
      </c>
      <c r="AY987">
        <v>140</v>
      </c>
      <c r="BC987" t="str">
        <f>T("9791164896622")</f>
        <v>9791164896622</v>
      </c>
      <c r="BE987" t="str">
        <f>T("BL 웹소설 &gt; 역사/시대물")</f>
        <v>BL 웹소설 &gt; 역사/시대물</v>
      </c>
    </row>
    <row r="988" spans="1:57" x14ac:dyDescent="0.3">
      <c r="A988">
        <v>1525004030</v>
      </c>
      <c r="B988">
        <v>1525004080</v>
      </c>
      <c r="C988" t="str">
        <f>T("회귀의 전설 51화")</f>
        <v>회귀의 전설 51화</v>
      </c>
      <c r="D988" t="str">
        <f>T("51")</f>
        <v>51</v>
      </c>
      <c r="E988" t="str">
        <f>T("김광수")</f>
        <v>김광수</v>
      </c>
      <c r="H988" t="str">
        <f t="shared" ref="H988:H1040" si="141">T("스토리위즈")</f>
        <v>스토리위즈</v>
      </c>
      <c r="I988" t="str">
        <f>T("회귀의 전설")</f>
        <v>회귀의 전설</v>
      </c>
      <c r="J988">
        <v>100</v>
      </c>
      <c r="K988">
        <v>200</v>
      </c>
      <c r="L988">
        <v>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200</v>
      </c>
      <c r="AH988">
        <v>2</v>
      </c>
      <c r="AI988">
        <v>0</v>
      </c>
      <c r="AJ988">
        <v>0</v>
      </c>
      <c r="AK988">
        <v>100</v>
      </c>
      <c r="AL988">
        <v>0</v>
      </c>
      <c r="AM988">
        <v>120</v>
      </c>
      <c r="AN988">
        <v>-36</v>
      </c>
      <c r="AO988">
        <v>0</v>
      </c>
      <c r="AQ988">
        <v>0</v>
      </c>
      <c r="AR988">
        <v>0</v>
      </c>
      <c r="AS988">
        <v>120</v>
      </c>
      <c r="AT988">
        <v>-36</v>
      </c>
      <c r="AU988">
        <v>0</v>
      </c>
      <c r="AW988">
        <v>0</v>
      </c>
      <c r="AX988">
        <v>0</v>
      </c>
      <c r="AY988">
        <v>128.80000000000001</v>
      </c>
      <c r="BC988" t="str">
        <f>T("9788997946006")</f>
        <v>9788997946006</v>
      </c>
      <c r="BE988" t="str">
        <f>T("판타지 웹소설 &gt; 현대 판타지")</f>
        <v>판타지 웹소설 &gt; 현대 판타지</v>
      </c>
    </row>
    <row r="989" spans="1:57" x14ac:dyDescent="0.3">
      <c r="A989">
        <v>1525004030</v>
      </c>
      <c r="B989">
        <v>1525006774</v>
      </c>
      <c r="C989" t="str">
        <f>T("회귀의 전설 2부 657화")</f>
        <v>회귀의 전설 2부 657화</v>
      </c>
      <c r="D989" t="str">
        <f>T("657")</f>
        <v>657</v>
      </c>
      <c r="E989" t="str">
        <f>T("김광수")</f>
        <v>김광수</v>
      </c>
      <c r="H989" t="str">
        <f t="shared" si="141"/>
        <v>스토리위즈</v>
      </c>
      <c r="I989" t="str">
        <f>T("회귀의 전설")</f>
        <v>회귀의 전설</v>
      </c>
      <c r="J989">
        <v>100</v>
      </c>
      <c r="K989">
        <v>200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200</v>
      </c>
      <c r="AH989">
        <v>2</v>
      </c>
      <c r="AI989">
        <v>0</v>
      </c>
      <c r="AJ989">
        <v>0</v>
      </c>
      <c r="AK989">
        <v>100</v>
      </c>
      <c r="AL989">
        <v>0</v>
      </c>
      <c r="AM989">
        <v>120</v>
      </c>
      <c r="AN989">
        <v>-12</v>
      </c>
      <c r="AO989">
        <v>0</v>
      </c>
      <c r="AQ989">
        <v>0</v>
      </c>
      <c r="AR989">
        <v>0</v>
      </c>
      <c r="AS989">
        <v>120</v>
      </c>
      <c r="AT989">
        <v>-12</v>
      </c>
      <c r="AU989">
        <v>0</v>
      </c>
      <c r="AW989">
        <v>0</v>
      </c>
      <c r="AX989">
        <v>0</v>
      </c>
      <c r="AY989">
        <v>145.6</v>
      </c>
      <c r="BC989" t="str">
        <f>T("9791191102086")</f>
        <v>9791191102086</v>
      </c>
      <c r="BE989" t="str">
        <f>T("판타지 웹소설 &gt; 현대 판타지")</f>
        <v>판타지 웹소설 &gt; 현대 판타지</v>
      </c>
    </row>
    <row r="990" spans="1:57" x14ac:dyDescent="0.3">
      <c r="A990">
        <v>1525004799</v>
      </c>
      <c r="B990">
        <v>1525004975</v>
      </c>
      <c r="C990" t="str">
        <f>T("검산도해 177화")</f>
        <v>검산도해 177화</v>
      </c>
      <c r="D990" t="str">
        <f>T("177")</f>
        <v>177</v>
      </c>
      <c r="E990" t="str">
        <f>T("권용찬")</f>
        <v>권용찬</v>
      </c>
      <c r="H990" t="str">
        <f t="shared" si="141"/>
        <v>스토리위즈</v>
      </c>
      <c r="I990" t="str">
        <f>T("검산도해")</f>
        <v>검산도해</v>
      </c>
      <c r="J990">
        <v>100</v>
      </c>
      <c r="K990">
        <v>200</v>
      </c>
      <c r="L990">
        <v>2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200</v>
      </c>
      <c r="AH990">
        <v>2</v>
      </c>
      <c r="AI990">
        <v>0</v>
      </c>
      <c r="AJ990">
        <v>0</v>
      </c>
      <c r="AK990">
        <v>100</v>
      </c>
      <c r="AL990">
        <v>0</v>
      </c>
      <c r="AM990">
        <v>120</v>
      </c>
      <c r="AN990">
        <v>-12</v>
      </c>
      <c r="AO990">
        <v>0</v>
      </c>
      <c r="AQ990">
        <v>0</v>
      </c>
      <c r="AR990">
        <v>0</v>
      </c>
      <c r="AS990">
        <v>120</v>
      </c>
      <c r="AT990">
        <v>-12</v>
      </c>
      <c r="AU990">
        <v>0</v>
      </c>
      <c r="AW990">
        <v>0</v>
      </c>
      <c r="AX990">
        <v>0</v>
      </c>
      <c r="AY990">
        <v>145.6</v>
      </c>
      <c r="BC990" t="str">
        <f>T("9791159285936")</f>
        <v>9791159285936</v>
      </c>
      <c r="BE990" t="str">
        <f>T("판타지 웹소설 &gt; 무협 소설")</f>
        <v>판타지 웹소설 &gt; 무협 소설</v>
      </c>
    </row>
    <row r="991" spans="1:57" x14ac:dyDescent="0.3">
      <c r="A991">
        <v>1525004030</v>
      </c>
      <c r="B991">
        <v>1525004324</v>
      </c>
      <c r="C991" t="str">
        <f>T("회귀의 전설 295화")</f>
        <v>회귀의 전설 295화</v>
      </c>
      <c r="D991" t="str">
        <f>T("295")</f>
        <v>295</v>
      </c>
      <c r="E991" t="str">
        <f t="shared" ref="E991:E1040" si="142">T("김광수")</f>
        <v>김광수</v>
      </c>
      <c r="H991" t="str">
        <f t="shared" si="141"/>
        <v>스토리위즈</v>
      </c>
      <c r="I991" t="str">
        <f t="shared" ref="I991:I1040" si="143">T("회귀의 전설")</f>
        <v>회귀의 전설</v>
      </c>
      <c r="J991">
        <v>100</v>
      </c>
      <c r="K991">
        <v>200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200</v>
      </c>
      <c r="AH991">
        <v>2</v>
      </c>
      <c r="AI991">
        <v>0</v>
      </c>
      <c r="AJ991">
        <v>0</v>
      </c>
      <c r="AK991">
        <v>200</v>
      </c>
      <c r="AL991">
        <v>0</v>
      </c>
      <c r="AM991">
        <v>0</v>
      </c>
      <c r="AN991">
        <v>0</v>
      </c>
      <c r="AO991">
        <v>0</v>
      </c>
      <c r="AQ991">
        <v>0</v>
      </c>
      <c r="AR991">
        <v>0</v>
      </c>
      <c r="AT991">
        <v>0</v>
      </c>
      <c r="AU991">
        <v>0</v>
      </c>
      <c r="AW991">
        <v>0</v>
      </c>
      <c r="AX991">
        <v>0</v>
      </c>
      <c r="AY991">
        <v>140</v>
      </c>
      <c r="BC991" t="str">
        <f>T("9788997946006")</f>
        <v>9788997946006</v>
      </c>
      <c r="BE991" t="str">
        <f t="shared" ref="BE991:BE1040" si="144">T("판타지 웹소설 &gt; 현대 판타지")</f>
        <v>판타지 웹소설 &gt; 현대 판타지</v>
      </c>
    </row>
    <row r="992" spans="1:57" x14ac:dyDescent="0.3">
      <c r="A992">
        <v>1525004030</v>
      </c>
      <c r="B992">
        <v>1525004520</v>
      </c>
      <c r="C992" t="str">
        <f>T("회귀의 전설 391화")</f>
        <v>회귀의 전설 391화</v>
      </c>
      <c r="D992" t="str">
        <f>T("391")</f>
        <v>391</v>
      </c>
      <c r="E992" t="str">
        <f t="shared" si="142"/>
        <v>김광수</v>
      </c>
      <c r="H992" t="str">
        <f t="shared" si="141"/>
        <v>스토리위즈</v>
      </c>
      <c r="I992" t="str">
        <f t="shared" si="143"/>
        <v>회귀의 전설</v>
      </c>
      <c r="J992">
        <v>100</v>
      </c>
      <c r="K992">
        <v>200</v>
      </c>
      <c r="L992">
        <v>2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200</v>
      </c>
      <c r="AH992">
        <v>2</v>
      </c>
      <c r="AI992">
        <v>0</v>
      </c>
      <c r="AJ992">
        <v>0</v>
      </c>
      <c r="AK992">
        <v>200</v>
      </c>
      <c r="AL992">
        <v>0</v>
      </c>
      <c r="AM992">
        <v>0</v>
      </c>
      <c r="AN992">
        <v>0</v>
      </c>
      <c r="AO992">
        <v>0</v>
      </c>
      <c r="AQ992">
        <v>0</v>
      </c>
      <c r="AR992">
        <v>0</v>
      </c>
      <c r="AT992">
        <v>0</v>
      </c>
      <c r="AU992">
        <v>0</v>
      </c>
      <c r="AW992">
        <v>0</v>
      </c>
      <c r="AX992">
        <v>0</v>
      </c>
      <c r="AY992">
        <v>140</v>
      </c>
      <c r="BC992" t="str">
        <f>T("9788997946006")</f>
        <v>9788997946006</v>
      </c>
      <c r="BE992" t="str">
        <f t="shared" si="144"/>
        <v>판타지 웹소설 &gt; 현대 판타지</v>
      </c>
    </row>
    <row r="993" spans="1:57" x14ac:dyDescent="0.3">
      <c r="A993">
        <v>1525004030</v>
      </c>
      <c r="B993">
        <v>1525004235</v>
      </c>
      <c r="C993" t="str">
        <f>T("회귀의 전설 206화")</f>
        <v>회귀의 전설 206화</v>
      </c>
      <c r="D993" t="str">
        <f>T("206")</f>
        <v>206</v>
      </c>
      <c r="E993" t="str">
        <f t="shared" si="142"/>
        <v>김광수</v>
      </c>
      <c r="H993" t="str">
        <f t="shared" si="141"/>
        <v>스토리위즈</v>
      </c>
      <c r="I993" t="str">
        <f t="shared" si="143"/>
        <v>회귀의 전설</v>
      </c>
      <c r="J993">
        <v>100</v>
      </c>
      <c r="K993">
        <v>200</v>
      </c>
      <c r="L993">
        <v>2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200</v>
      </c>
      <c r="AH993">
        <v>2</v>
      </c>
      <c r="AI993">
        <v>0</v>
      </c>
      <c r="AJ993">
        <v>0</v>
      </c>
      <c r="AK993">
        <v>200</v>
      </c>
      <c r="AL993">
        <v>0</v>
      </c>
      <c r="AM993">
        <v>0</v>
      </c>
      <c r="AN993">
        <v>0</v>
      </c>
      <c r="AO993">
        <v>0</v>
      </c>
      <c r="AQ993">
        <v>0</v>
      </c>
      <c r="AR993">
        <v>0</v>
      </c>
      <c r="AT993">
        <v>0</v>
      </c>
      <c r="AU993">
        <v>0</v>
      </c>
      <c r="AW993">
        <v>0</v>
      </c>
      <c r="AX993">
        <v>0</v>
      </c>
      <c r="AY993">
        <v>140</v>
      </c>
      <c r="BC993" t="str">
        <f>T("9788997946006")</f>
        <v>9788997946006</v>
      </c>
      <c r="BE993" t="str">
        <f t="shared" si="144"/>
        <v>판타지 웹소설 &gt; 현대 판타지</v>
      </c>
    </row>
    <row r="994" spans="1:57" x14ac:dyDescent="0.3">
      <c r="A994">
        <v>1525004030</v>
      </c>
      <c r="B994">
        <v>1525006692</v>
      </c>
      <c r="C994" t="str">
        <f>T("회귀의 전설 2부 575화")</f>
        <v>회귀의 전설 2부 575화</v>
      </c>
      <c r="D994" t="str">
        <f>T("575")</f>
        <v>575</v>
      </c>
      <c r="E994" t="str">
        <f t="shared" si="142"/>
        <v>김광수</v>
      </c>
      <c r="H994" t="str">
        <f t="shared" si="141"/>
        <v>스토리위즈</v>
      </c>
      <c r="I994" t="str">
        <f t="shared" si="143"/>
        <v>회귀의 전설</v>
      </c>
      <c r="J994">
        <v>100</v>
      </c>
      <c r="K994">
        <v>200</v>
      </c>
      <c r="L994">
        <v>2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200</v>
      </c>
      <c r="AH994">
        <v>2</v>
      </c>
      <c r="AI994">
        <v>0</v>
      </c>
      <c r="AJ994">
        <v>0</v>
      </c>
      <c r="AK994">
        <v>200</v>
      </c>
      <c r="AL994">
        <v>0</v>
      </c>
      <c r="AM994">
        <v>0</v>
      </c>
      <c r="AN994">
        <v>0</v>
      </c>
      <c r="AO994">
        <v>0</v>
      </c>
      <c r="AQ994">
        <v>0</v>
      </c>
      <c r="AR994">
        <v>0</v>
      </c>
      <c r="AT994">
        <v>0</v>
      </c>
      <c r="AU994">
        <v>0</v>
      </c>
      <c r="AW994">
        <v>0</v>
      </c>
      <c r="AX994">
        <v>0</v>
      </c>
      <c r="AY994">
        <v>140</v>
      </c>
      <c r="BC994" t="str">
        <f>T("9791191102086")</f>
        <v>9791191102086</v>
      </c>
      <c r="BE994" t="str">
        <f t="shared" si="144"/>
        <v>판타지 웹소설 &gt; 현대 판타지</v>
      </c>
    </row>
    <row r="995" spans="1:57" x14ac:dyDescent="0.3">
      <c r="A995">
        <v>1525004030</v>
      </c>
      <c r="B995">
        <v>1525006806</v>
      </c>
      <c r="C995" t="str">
        <f>T("회귀의 전설 2부 689화")</f>
        <v>회귀의 전설 2부 689화</v>
      </c>
      <c r="D995" t="str">
        <f>T("689")</f>
        <v>689</v>
      </c>
      <c r="E995" t="str">
        <f t="shared" si="142"/>
        <v>김광수</v>
      </c>
      <c r="H995" t="str">
        <f t="shared" si="141"/>
        <v>스토리위즈</v>
      </c>
      <c r="I995" t="str">
        <f t="shared" si="143"/>
        <v>회귀의 전설</v>
      </c>
      <c r="J995">
        <v>100</v>
      </c>
      <c r="K995">
        <v>200</v>
      </c>
      <c r="L995">
        <v>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200</v>
      </c>
      <c r="AH995">
        <v>2</v>
      </c>
      <c r="AI995">
        <v>0</v>
      </c>
      <c r="AJ995">
        <v>0</v>
      </c>
      <c r="AK995">
        <v>124</v>
      </c>
      <c r="AL995">
        <v>0</v>
      </c>
      <c r="AM995">
        <v>91.2</v>
      </c>
      <c r="AN995">
        <v>-9.1199999999999992</v>
      </c>
      <c r="AO995">
        <v>0</v>
      </c>
      <c r="AQ995">
        <v>0</v>
      </c>
      <c r="AR995">
        <v>0</v>
      </c>
      <c r="AS995">
        <v>91.2</v>
      </c>
      <c r="AT995">
        <v>-9.1199999999999992</v>
      </c>
      <c r="AU995">
        <v>0</v>
      </c>
      <c r="AW995">
        <v>0</v>
      </c>
      <c r="AX995">
        <v>0</v>
      </c>
      <c r="AY995">
        <v>144.26</v>
      </c>
      <c r="BC995" t="str">
        <f>T("9791191102086")</f>
        <v>9791191102086</v>
      </c>
      <c r="BE995" t="str">
        <f t="shared" si="144"/>
        <v>판타지 웹소설 &gt; 현대 판타지</v>
      </c>
    </row>
    <row r="996" spans="1:57" x14ac:dyDescent="0.3">
      <c r="A996">
        <v>1525004030</v>
      </c>
      <c r="B996">
        <v>1525004313</v>
      </c>
      <c r="C996" t="str">
        <f>T("회귀의 전설 284화")</f>
        <v>회귀의 전설 284화</v>
      </c>
      <c r="D996" t="str">
        <f>T("284")</f>
        <v>284</v>
      </c>
      <c r="E996" t="str">
        <f t="shared" si="142"/>
        <v>김광수</v>
      </c>
      <c r="H996" t="str">
        <f t="shared" si="141"/>
        <v>스토리위즈</v>
      </c>
      <c r="I996" t="str">
        <f t="shared" si="143"/>
        <v>회귀의 전설</v>
      </c>
      <c r="J996">
        <v>100</v>
      </c>
      <c r="K996">
        <v>200</v>
      </c>
      <c r="L996">
        <v>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200</v>
      </c>
      <c r="AH996">
        <v>2</v>
      </c>
      <c r="AI996">
        <v>0</v>
      </c>
      <c r="AJ996">
        <v>0</v>
      </c>
      <c r="AK996">
        <v>200</v>
      </c>
      <c r="AL996">
        <v>0</v>
      </c>
      <c r="AM996">
        <v>0</v>
      </c>
      <c r="AN996">
        <v>0</v>
      </c>
      <c r="AO996">
        <v>0</v>
      </c>
      <c r="AQ996">
        <v>0</v>
      </c>
      <c r="AR996">
        <v>0</v>
      </c>
      <c r="AT996">
        <v>0</v>
      </c>
      <c r="AU996">
        <v>0</v>
      </c>
      <c r="AW996">
        <v>0</v>
      </c>
      <c r="AX996">
        <v>0</v>
      </c>
      <c r="AY996">
        <v>140</v>
      </c>
      <c r="BC996" t="str">
        <f>T("9788997946006")</f>
        <v>9788997946006</v>
      </c>
      <c r="BE996" t="str">
        <f t="shared" si="144"/>
        <v>판타지 웹소설 &gt; 현대 판타지</v>
      </c>
    </row>
    <row r="997" spans="1:57" x14ac:dyDescent="0.3">
      <c r="A997">
        <v>1525004030</v>
      </c>
      <c r="B997">
        <v>1525004224</v>
      </c>
      <c r="C997" t="str">
        <f>T("회귀의 전설 195화")</f>
        <v>회귀의 전설 195화</v>
      </c>
      <c r="D997" t="str">
        <f>T("195")</f>
        <v>195</v>
      </c>
      <c r="E997" t="str">
        <f t="shared" si="142"/>
        <v>김광수</v>
      </c>
      <c r="H997" t="str">
        <f t="shared" si="141"/>
        <v>스토리위즈</v>
      </c>
      <c r="I997" t="str">
        <f t="shared" si="143"/>
        <v>회귀의 전설</v>
      </c>
      <c r="J997">
        <v>100</v>
      </c>
      <c r="K997">
        <v>200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200</v>
      </c>
      <c r="AH997">
        <v>2</v>
      </c>
      <c r="AI997">
        <v>0</v>
      </c>
      <c r="AJ997">
        <v>0</v>
      </c>
      <c r="AK997">
        <v>200</v>
      </c>
      <c r="AL997">
        <v>0</v>
      </c>
      <c r="AM997">
        <v>0</v>
      </c>
      <c r="AN997">
        <v>0</v>
      </c>
      <c r="AO997">
        <v>0</v>
      </c>
      <c r="AQ997">
        <v>0</v>
      </c>
      <c r="AR997">
        <v>0</v>
      </c>
      <c r="AT997">
        <v>0</v>
      </c>
      <c r="AU997">
        <v>0</v>
      </c>
      <c r="AW997">
        <v>0</v>
      </c>
      <c r="AX997">
        <v>0</v>
      </c>
      <c r="AY997">
        <v>140</v>
      </c>
      <c r="BC997" t="str">
        <f>T("9788997946006")</f>
        <v>9788997946006</v>
      </c>
      <c r="BE997" t="str">
        <f t="shared" si="144"/>
        <v>판타지 웹소설 &gt; 현대 판타지</v>
      </c>
    </row>
    <row r="998" spans="1:57" x14ac:dyDescent="0.3">
      <c r="A998">
        <v>1525004030</v>
      </c>
      <c r="B998">
        <v>1525006681</v>
      </c>
      <c r="C998" t="str">
        <f>T("회귀의 전설 2부 564화")</f>
        <v>회귀의 전설 2부 564화</v>
      </c>
      <c r="D998" t="str">
        <f>T("564")</f>
        <v>564</v>
      </c>
      <c r="E998" t="str">
        <f t="shared" si="142"/>
        <v>김광수</v>
      </c>
      <c r="H998" t="str">
        <f t="shared" si="141"/>
        <v>스토리위즈</v>
      </c>
      <c r="I998" t="str">
        <f t="shared" si="143"/>
        <v>회귀의 전설</v>
      </c>
      <c r="J998">
        <v>100</v>
      </c>
      <c r="K998">
        <v>200</v>
      </c>
      <c r="L998">
        <v>2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200</v>
      </c>
      <c r="AH998">
        <v>2</v>
      </c>
      <c r="AI998">
        <v>0</v>
      </c>
      <c r="AJ998">
        <v>0</v>
      </c>
      <c r="AK998">
        <v>200</v>
      </c>
      <c r="AL998">
        <v>0</v>
      </c>
      <c r="AM998">
        <v>0</v>
      </c>
      <c r="AN998">
        <v>0</v>
      </c>
      <c r="AO998">
        <v>0</v>
      </c>
      <c r="AQ998">
        <v>0</v>
      </c>
      <c r="AR998">
        <v>0</v>
      </c>
      <c r="AT998">
        <v>0</v>
      </c>
      <c r="AU998">
        <v>0</v>
      </c>
      <c r="AW998">
        <v>0</v>
      </c>
      <c r="AX998">
        <v>0</v>
      </c>
      <c r="AY998">
        <v>140</v>
      </c>
      <c r="BC998" t="str">
        <f>T("9791191102086")</f>
        <v>9791191102086</v>
      </c>
      <c r="BE998" t="str">
        <f t="shared" si="144"/>
        <v>판타지 웹소설 &gt; 현대 판타지</v>
      </c>
    </row>
    <row r="999" spans="1:57" x14ac:dyDescent="0.3">
      <c r="A999">
        <v>1525004030</v>
      </c>
      <c r="B999">
        <v>1525004101</v>
      </c>
      <c r="C999" t="str">
        <f>T("회귀의 전설 72화")</f>
        <v>회귀의 전설 72화</v>
      </c>
      <c r="D999" t="str">
        <f>T("72")</f>
        <v>72</v>
      </c>
      <c r="E999" t="str">
        <f t="shared" si="142"/>
        <v>김광수</v>
      </c>
      <c r="H999" t="str">
        <f t="shared" si="141"/>
        <v>스토리위즈</v>
      </c>
      <c r="I999" t="str">
        <f t="shared" si="143"/>
        <v>회귀의 전설</v>
      </c>
      <c r="J999">
        <v>100</v>
      </c>
      <c r="K999">
        <v>200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200</v>
      </c>
      <c r="AH999">
        <v>2</v>
      </c>
      <c r="AI999">
        <v>0</v>
      </c>
      <c r="AJ999">
        <v>0</v>
      </c>
      <c r="AK999">
        <v>100</v>
      </c>
      <c r="AL999">
        <v>0</v>
      </c>
      <c r="AM999">
        <v>120</v>
      </c>
      <c r="AN999">
        <v>-36</v>
      </c>
      <c r="AO999">
        <v>0</v>
      </c>
      <c r="AQ999">
        <v>0</v>
      </c>
      <c r="AR999">
        <v>0</v>
      </c>
      <c r="AS999">
        <v>120</v>
      </c>
      <c r="AT999">
        <v>-36</v>
      </c>
      <c r="AU999">
        <v>0</v>
      </c>
      <c r="AW999">
        <v>0</v>
      </c>
      <c r="AX999">
        <v>0</v>
      </c>
      <c r="AY999">
        <v>128.80000000000001</v>
      </c>
      <c r="BC999" t="str">
        <f>T("9788997946006")</f>
        <v>9788997946006</v>
      </c>
      <c r="BE999" t="str">
        <f t="shared" si="144"/>
        <v>판타지 웹소설 &gt; 현대 판타지</v>
      </c>
    </row>
    <row r="1000" spans="1:57" x14ac:dyDescent="0.3">
      <c r="A1000">
        <v>1525004030</v>
      </c>
      <c r="B1000">
        <v>1525006836</v>
      </c>
      <c r="C1000" t="str">
        <f>T("회귀의 전설 2부 719화")</f>
        <v>회귀의 전설 2부 719화</v>
      </c>
      <c r="D1000" t="str">
        <f>T("719")</f>
        <v>719</v>
      </c>
      <c r="E1000" t="str">
        <f t="shared" si="142"/>
        <v>김광수</v>
      </c>
      <c r="H1000" t="str">
        <f t="shared" si="141"/>
        <v>스토리위즈</v>
      </c>
      <c r="I1000" t="str">
        <f t="shared" si="143"/>
        <v>회귀의 전설</v>
      </c>
      <c r="J1000">
        <v>100</v>
      </c>
      <c r="K1000">
        <v>200</v>
      </c>
      <c r="L1000">
        <v>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200</v>
      </c>
      <c r="AH1000">
        <v>2</v>
      </c>
      <c r="AI1000">
        <v>0</v>
      </c>
      <c r="AJ1000">
        <v>0</v>
      </c>
      <c r="AK1000">
        <v>100</v>
      </c>
      <c r="AL1000">
        <v>0</v>
      </c>
      <c r="AM1000">
        <v>120</v>
      </c>
      <c r="AN1000">
        <v>-12</v>
      </c>
      <c r="AO1000">
        <v>0</v>
      </c>
      <c r="AQ1000">
        <v>0</v>
      </c>
      <c r="AR1000">
        <v>0</v>
      </c>
      <c r="AS1000">
        <v>120</v>
      </c>
      <c r="AT1000">
        <v>-12</v>
      </c>
      <c r="AU1000">
        <v>0</v>
      </c>
      <c r="AW1000">
        <v>0</v>
      </c>
      <c r="AX1000">
        <v>0</v>
      </c>
      <c r="AY1000">
        <v>145.6</v>
      </c>
      <c r="BC1000" t="str">
        <f>T("9791191102086")</f>
        <v>9791191102086</v>
      </c>
      <c r="BE1000" t="str">
        <f t="shared" si="144"/>
        <v>판타지 웹소설 &gt; 현대 판타지</v>
      </c>
    </row>
    <row r="1001" spans="1:57" x14ac:dyDescent="0.3">
      <c r="A1001">
        <v>1525004030</v>
      </c>
      <c r="B1001">
        <v>1525006795</v>
      </c>
      <c r="C1001" t="str">
        <f>T("회귀의 전설 2부 678화")</f>
        <v>회귀의 전설 2부 678화</v>
      </c>
      <c r="D1001" t="str">
        <f>T("678")</f>
        <v>678</v>
      </c>
      <c r="E1001" t="str">
        <f t="shared" si="142"/>
        <v>김광수</v>
      </c>
      <c r="H1001" t="str">
        <f t="shared" si="141"/>
        <v>스토리위즈</v>
      </c>
      <c r="I1001" t="str">
        <f t="shared" si="143"/>
        <v>회귀의 전설</v>
      </c>
      <c r="J1001">
        <v>100</v>
      </c>
      <c r="K1001">
        <v>200</v>
      </c>
      <c r="L1001">
        <v>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200</v>
      </c>
      <c r="AH1001">
        <v>2</v>
      </c>
      <c r="AI1001">
        <v>0</v>
      </c>
      <c r="AJ1001">
        <v>0</v>
      </c>
      <c r="AK1001">
        <v>100</v>
      </c>
      <c r="AL1001">
        <v>0</v>
      </c>
      <c r="AM1001">
        <v>120</v>
      </c>
      <c r="AN1001">
        <v>-12</v>
      </c>
      <c r="AO1001">
        <v>0</v>
      </c>
      <c r="AQ1001">
        <v>0</v>
      </c>
      <c r="AR1001">
        <v>0</v>
      </c>
      <c r="AS1001">
        <v>120</v>
      </c>
      <c r="AT1001">
        <v>-12</v>
      </c>
      <c r="AU1001">
        <v>0</v>
      </c>
      <c r="AW1001">
        <v>0</v>
      </c>
      <c r="AX1001">
        <v>0</v>
      </c>
      <c r="AY1001">
        <v>145.6</v>
      </c>
      <c r="BC1001" t="str">
        <f>T("9791191102086")</f>
        <v>9791191102086</v>
      </c>
      <c r="BE1001" t="str">
        <f t="shared" si="144"/>
        <v>판타지 웹소설 &gt; 현대 판타지</v>
      </c>
    </row>
    <row r="1002" spans="1:57" x14ac:dyDescent="0.3">
      <c r="A1002">
        <v>1525004030</v>
      </c>
      <c r="B1002">
        <v>1525006754</v>
      </c>
      <c r="C1002" t="str">
        <f>T("회귀의 전설 2부 637화")</f>
        <v>회귀의 전설 2부 637화</v>
      </c>
      <c r="D1002" t="str">
        <f>T("637")</f>
        <v>637</v>
      </c>
      <c r="E1002" t="str">
        <f t="shared" si="142"/>
        <v>김광수</v>
      </c>
      <c r="H1002" t="str">
        <f t="shared" si="141"/>
        <v>스토리위즈</v>
      </c>
      <c r="I1002" t="str">
        <f t="shared" si="143"/>
        <v>회귀의 전설</v>
      </c>
      <c r="J1002">
        <v>100</v>
      </c>
      <c r="K1002">
        <v>200</v>
      </c>
      <c r="L1002">
        <v>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200</v>
      </c>
      <c r="AH1002">
        <v>2</v>
      </c>
      <c r="AI1002">
        <v>0</v>
      </c>
      <c r="AJ1002">
        <v>0</v>
      </c>
      <c r="AK1002">
        <v>100</v>
      </c>
      <c r="AL1002">
        <v>0</v>
      </c>
      <c r="AM1002">
        <v>120</v>
      </c>
      <c r="AN1002">
        <v>-12</v>
      </c>
      <c r="AO1002">
        <v>0</v>
      </c>
      <c r="AQ1002">
        <v>0</v>
      </c>
      <c r="AR1002">
        <v>0</v>
      </c>
      <c r="AS1002">
        <v>120</v>
      </c>
      <c r="AT1002">
        <v>-12</v>
      </c>
      <c r="AU1002">
        <v>0</v>
      </c>
      <c r="AW1002">
        <v>0</v>
      </c>
      <c r="AX1002">
        <v>0</v>
      </c>
      <c r="AY1002">
        <v>145.6</v>
      </c>
      <c r="BC1002" t="str">
        <f>T("9791191102086")</f>
        <v>9791191102086</v>
      </c>
      <c r="BE1002" t="str">
        <f t="shared" si="144"/>
        <v>판타지 웹소설 &gt; 현대 판타지</v>
      </c>
    </row>
    <row r="1003" spans="1:57" x14ac:dyDescent="0.3">
      <c r="A1003">
        <v>1525004030</v>
      </c>
      <c r="B1003">
        <v>1525004256</v>
      </c>
      <c r="C1003" t="str">
        <f>T("회귀의 전설 227화")</f>
        <v>회귀의 전설 227화</v>
      </c>
      <c r="D1003" t="str">
        <f>T("227")</f>
        <v>227</v>
      </c>
      <c r="E1003" t="str">
        <f t="shared" si="142"/>
        <v>김광수</v>
      </c>
      <c r="H1003" t="str">
        <f t="shared" si="141"/>
        <v>스토리위즈</v>
      </c>
      <c r="I1003" t="str">
        <f t="shared" si="143"/>
        <v>회귀의 전설</v>
      </c>
      <c r="J1003">
        <v>100</v>
      </c>
      <c r="K1003">
        <v>200</v>
      </c>
      <c r="L1003">
        <v>2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200</v>
      </c>
      <c r="AH1003">
        <v>2</v>
      </c>
      <c r="AI1003">
        <v>0</v>
      </c>
      <c r="AJ1003">
        <v>0</v>
      </c>
      <c r="AK1003">
        <v>200</v>
      </c>
      <c r="AL1003">
        <v>0</v>
      </c>
      <c r="AM1003">
        <v>0</v>
      </c>
      <c r="AN1003">
        <v>0</v>
      </c>
      <c r="AO1003">
        <v>0</v>
      </c>
      <c r="AQ1003">
        <v>0</v>
      </c>
      <c r="AR1003">
        <v>0</v>
      </c>
      <c r="AT1003">
        <v>0</v>
      </c>
      <c r="AU1003">
        <v>0</v>
      </c>
      <c r="AW1003">
        <v>0</v>
      </c>
      <c r="AX1003">
        <v>0</v>
      </c>
      <c r="AY1003">
        <v>140</v>
      </c>
      <c r="BC1003" t="str">
        <f>T("9788997946006")</f>
        <v>9788997946006</v>
      </c>
      <c r="BE1003" t="str">
        <f t="shared" si="144"/>
        <v>판타지 웹소설 &gt; 현대 판타지</v>
      </c>
    </row>
    <row r="1004" spans="1:57" x14ac:dyDescent="0.3">
      <c r="A1004">
        <v>1525004030</v>
      </c>
      <c r="B1004">
        <v>1525004215</v>
      </c>
      <c r="C1004" t="str">
        <f>T("회귀의 전설 186화")</f>
        <v>회귀의 전설 186화</v>
      </c>
      <c r="D1004" t="str">
        <f>T("186")</f>
        <v>186</v>
      </c>
      <c r="E1004" t="str">
        <f t="shared" si="142"/>
        <v>김광수</v>
      </c>
      <c r="H1004" t="str">
        <f t="shared" si="141"/>
        <v>스토리위즈</v>
      </c>
      <c r="I1004" t="str">
        <f t="shared" si="143"/>
        <v>회귀의 전설</v>
      </c>
      <c r="J1004">
        <v>100</v>
      </c>
      <c r="K1004">
        <v>200</v>
      </c>
      <c r="L1004">
        <v>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200</v>
      </c>
      <c r="AH1004">
        <v>2</v>
      </c>
      <c r="AI1004">
        <v>0</v>
      </c>
      <c r="AJ1004">
        <v>0</v>
      </c>
      <c r="AK1004">
        <v>200</v>
      </c>
      <c r="AL1004">
        <v>0</v>
      </c>
      <c r="AM1004">
        <v>0</v>
      </c>
      <c r="AN1004">
        <v>0</v>
      </c>
      <c r="AO1004">
        <v>0</v>
      </c>
      <c r="AQ1004">
        <v>0</v>
      </c>
      <c r="AR1004">
        <v>0</v>
      </c>
      <c r="AT1004">
        <v>0</v>
      </c>
      <c r="AU1004">
        <v>0</v>
      </c>
      <c r="AW1004">
        <v>0</v>
      </c>
      <c r="AX1004">
        <v>0</v>
      </c>
      <c r="AY1004">
        <v>140</v>
      </c>
      <c r="BC1004" t="str">
        <f>T("9788997946006")</f>
        <v>9788997946006</v>
      </c>
      <c r="BE1004" t="str">
        <f t="shared" si="144"/>
        <v>판타지 웹소설 &gt; 현대 판타지</v>
      </c>
    </row>
    <row r="1005" spans="1:57" x14ac:dyDescent="0.3">
      <c r="A1005">
        <v>1525004030</v>
      </c>
      <c r="B1005">
        <v>1525006868</v>
      </c>
      <c r="C1005" t="str">
        <f>T("회귀의 전설 2부 751화")</f>
        <v>회귀의 전설 2부 751화</v>
      </c>
      <c r="D1005" t="str">
        <f>T("751")</f>
        <v>751</v>
      </c>
      <c r="E1005" t="str">
        <f t="shared" si="142"/>
        <v>김광수</v>
      </c>
      <c r="H1005" t="str">
        <f t="shared" si="141"/>
        <v>스토리위즈</v>
      </c>
      <c r="I1005" t="str">
        <f t="shared" si="143"/>
        <v>회귀의 전설</v>
      </c>
      <c r="J1005">
        <v>100</v>
      </c>
      <c r="K1005">
        <v>200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200</v>
      </c>
      <c r="AH1005">
        <v>2</v>
      </c>
      <c r="AI1005">
        <v>0</v>
      </c>
      <c r="AJ1005">
        <v>0</v>
      </c>
      <c r="AK1005">
        <v>100</v>
      </c>
      <c r="AL1005">
        <v>0</v>
      </c>
      <c r="AM1005">
        <v>120</v>
      </c>
      <c r="AN1005">
        <v>-12</v>
      </c>
      <c r="AO1005">
        <v>0</v>
      </c>
      <c r="AQ1005">
        <v>0</v>
      </c>
      <c r="AR1005">
        <v>0</v>
      </c>
      <c r="AS1005">
        <v>120</v>
      </c>
      <c r="AT1005">
        <v>-12</v>
      </c>
      <c r="AU1005">
        <v>0</v>
      </c>
      <c r="AW1005">
        <v>0</v>
      </c>
      <c r="AX1005">
        <v>0</v>
      </c>
      <c r="AY1005">
        <v>145.6</v>
      </c>
      <c r="BC1005" t="str">
        <f>T("9791191102086")</f>
        <v>9791191102086</v>
      </c>
      <c r="BE1005" t="str">
        <f t="shared" si="144"/>
        <v>판타지 웹소설 &gt; 현대 판타지</v>
      </c>
    </row>
    <row r="1006" spans="1:57" x14ac:dyDescent="0.3">
      <c r="A1006">
        <v>1525004030</v>
      </c>
      <c r="B1006">
        <v>1525004118</v>
      </c>
      <c r="C1006" t="str">
        <f>T("회귀의 전설 89화")</f>
        <v>회귀의 전설 89화</v>
      </c>
      <c r="D1006" t="str">
        <f>T("89")</f>
        <v>89</v>
      </c>
      <c r="E1006" t="str">
        <f t="shared" si="142"/>
        <v>김광수</v>
      </c>
      <c r="H1006" t="str">
        <f t="shared" si="141"/>
        <v>스토리위즈</v>
      </c>
      <c r="I1006" t="str">
        <f t="shared" si="143"/>
        <v>회귀의 전설</v>
      </c>
      <c r="J1006">
        <v>100</v>
      </c>
      <c r="K1006">
        <v>200</v>
      </c>
      <c r="L1006">
        <v>2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200</v>
      </c>
      <c r="AH1006">
        <v>2</v>
      </c>
      <c r="AI1006">
        <v>0</v>
      </c>
      <c r="AJ1006">
        <v>0</v>
      </c>
      <c r="AK1006">
        <v>100</v>
      </c>
      <c r="AL1006">
        <v>0</v>
      </c>
      <c r="AM1006">
        <v>120</v>
      </c>
      <c r="AN1006">
        <v>-12</v>
      </c>
      <c r="AO1006">
        <v>0</v>
      </c>
      <c r="AQ1006">
        <v>0</v>
      </c>
      <c r="AR1006">
        <v>0</v>
      </c>
      <c r="AS1006">
        <v>120</v>
      </c>
      <c r="AT1006">
        <v>-12</v>
      </c>
      <c r="AU1006">
        <v>0</v>
      </c>
      <c r="AW1006">
        <v>0</v>
      </c>
      <c r="AX1006">
        <v>0</v>
      </c>
      <c r="AY1006">
        <v>145.6</v>
      </c>
      <c r="BC1006" t="str">
        <f>T("9788997946006")</f>
        <v>9788997946006</v>
      </c>
      <c r="BE1006" t="str">
        <f t="shared" si="144"/>
        <v>판타지 웹소설 &gt; 현대 판타지</v>
      </c>
    </row>
    <row r="1007" spans="1:57" x14ac:dyDescent="0.3">
      <c r="A1007">
        <v>1525004030</v>
      </c>
      <c r="B1007">
        <v>1525004362</v>
      </c>
      <c r="C1007" t="str">
        <f>T("회귀의 전설 334화")</f>
        <v>회귀의 전설 334화</v>
      </c>
      <c r="D1007" t="str">
        <f>T("334")</f>
        <v>334</v>
      </c>
      <c r="E1007" t="str">
        <f t="shared" si="142"/>
        <v>김광수</v>
      </c>
      <c r="H1007" t="str">
        <f t="shared" si="141"/>
        <v>스토리위즈</v>
      </c>
      <c r="I1007" t="str">
        <f t="shared" si="143"/>
        <v>회귀의 전설</v>
      </c>
      <c r="J1007">
        <v>100</v>
      </c>
      <c r="K1007">
        <v>200</v>
      </c>
      <c r="L1007">
        <v>2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200</v>
      </c>
      <c r="AH1007">
        <v>2</v>
      </c>
      <c r="AI1007">
        <v>0</v>
      </c>
      <c r="AJ1007">
        <v>0</v>
      </c>
      <c r="AK1007">
        <v>200</v>
      </c>
      <c r="AL1007">
        <v>0</v>
      </c>
      <c r="AM1007">
        <v>0</v>
      </c>
      <c r="AN1007">
        <v>0</v>
      </c>
      <c r="AO1007">
        <v>0</v>
      </c>
      <c r="AQ1007">
        <v>0</v>
      </c>
      <c r="AR1007">
        <v>0</v>
      </c>
      <c r="AT1007">
        <v>0</v>
      </c>
      <c r="AU1007">
        <v>0</v>
      </c>
      <c r="AW1007">
        <v>0</v>
      </c>
      <c r="AX1007">
        <v>0</v>
      </c>
      <c r="AY1007">
        <v>140</v>
      </c>
      <c r="BC1007" t="str">
        <f>T("9788997946006")</f>
        <v>9788997946006</v>
      </c>
      <c r="BE1007" t="str">
        <f t="shared" si="144"/>
        <v>판타지 웹소설 &gt; 현대 판타지</v>
      </c>
    </row>
    <row r="1008" spans="1:57" x14ac:dyDescent="0.3">
      <c r="A1008">
        <v>1525004030</v>
      </c>
      <c r="B1008">
        <v>1525004419</v>
      </c>
      <c r="C1008" t="str">
        <f>T("회귀의 전설 403화")</f>
        <v>회귀의 전설 403화</v>
      </c>
      <c r="D1008" t="str">
        <f>T("403")</f>
        <v>403</v>
      </c>
      <c r="E1008" t="str">
        <f t="shared" si="142"/>
        <v>김광수</v>
      </c>
      <c r="H1008" t="str">
        <f t="shared" si="141"/>
        <v>스토리위즈</v>
      </c>
      <c r="I1008" t="str">
        <f t="shared" si="143"/>
        <v>회귀의 전설</v>
      </c>
      <c r="J1008">
        <v>100</v>
      </c>
      <c r="K1008">
        <v>200</v>
      </c>
      <c r="L1008">
        <v>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200</v>
      </c>
      <c r="AH1008">
        <v>2</v>
      </c>
      <c r="AI1008">
        <v>0</v>
      </c>
      <c r="AJ1008">
        <v>0</v>
      </c>
      <c r="AK1008">
        <v>200</v>
      </c>
      <c r="AL1008">
        <v>0</v>
      </c>
      <c r="AM1008">
        <v>0</v>
      </c>
      <c r="AN1008">
        <v>0</v>
      </c>
      <c r="AO1008">
        <v>0</v>
      </c>
      <c r="AQ1008">
        <v>0</v>
      </c>
      <c r="AR1008">
        <v>0</v>
      </c>
      <c r="AT1008">
        <v>0</v>
      </c>
      <c r="AU1008">
        <v>0</v>
      </c>
      <c r="AW1008">
        <v>0</v>
      </c>
      <c r="AX1008">
        <v>0</v>
      </c>
      <c r="AY1008">
        <v>140</v>
      </c>
      <c r="BC1008" t="str">
        <f>T("9788997946006")</f>
        <v>9788997946006</v>
      </c>
      <c r="BE1008" t="str">
        <f t="shared" si="144"/>
        <v>판타지 웹소설 &gt; 현대 판타지</v>
      </c>
    </row>
    <row r="1009" spans="1:57" x14ac:dyDescent="0.3">
      <c r="A1009">
        <v>1525004030</v>
      </c>
      <c r="B1009">
        <v>1525006885</v>
      </c>
      <c r="C1009" t="str">
        <f>T("회귀의 전설 2부 768화")</f>
        <v>회귀의 전설 2부 768화</v>
      </c>
      <c r="D1009" t="str">
        <f>T("768")</f>
        <v>768</v>
      </c>
      <c r="E1009" t="str">
        <f t="shared" si="142"/>
        <v>김광수</v>
      </c>
      <c r="H1009" t="str">
        <f t="shared" si="141"/>
        <v>스토리위즈</v>
      </c>
      <c r="I1009" t="str">
        <f t="shared" si="143"/>
        <v>회귀의 전설</v>
      </c>
      <c r="J1009">
        <v>100</v>
      </c>
      <c r="K1009">
        <v>200</v>
      </c>
      <c r="L1009">
        <v>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200</v>
      </c>
      <c r="AH1009">
        <v>2</v>
      </c>
      <c r="AI1009">
        <v>0</v>
      </c>
      <c r="AJ1009">
        <v>0</v>
      </c>
      <c r="AK1009">
        <v>100</v>
      </c>
      <c r="AL1009">
        <v>0</v>
      </c>
      <c r="AM1009">
        <v>120</v>
      </c>
      <c r="AN1009">
        <v>-12</v>
      </c>
      <c r="AO1009">
        <v>0</v>
      </c>
      <c r="AQ1009">
        <v>0</v>
      </c>
      <c r="AR1009">
        <v>0</v>
      </c>
      <c r="AS1009">
        <v>120</v>
      </c>
      <c r="AT1009">
        <v>-12</v>
      </c>
      <c r="AU1009">
        <v>0</v>
      </c>
      <c r="AW1009">
        <v>0</v>
      </c>
      <c r="AX1009">
        <v>0</v>
      </c>
      <c r="AY1009">
        <v>145.6</v>
      </c>
      <c r="BC1009" t="str">
        <f>T("9791191102086")</f>
        <v>9791191102086</v>
      </c>
      <c r="BE1009" t="str">
        <f t="shared" si="144"/>
        <v>판타지 웹소설 &gt; 현대 판타지</v>
      </c>
    </row>
    <row r="1010" spans="1:57" x14ac:dyDescent="0.3">
      <c r="A1010">
        <v>1525004030</v>
      </c>
      <c r="B1010">
        <v>1525004476</v>
      </c>
      <c r="C1010" t="str">
        <f>T("회귀의 전설 460화")</f>
        <v>회귀의 전설 460화</v>
      </c>
      <c r="D1010" t="str">
        <f>T("460")</f>
        <v>460</v>
      </c>
      <c r="E1010" t="str">
        <f t="shared" si="142"/>
        <v>김광수</v>
      </c>
      <c r="H1010" t="str">
        <f t="shared" si="141"/>
        <v>스토리위즈</v>
      </c>
      <c r="I1010" t="str">
        <f t="shared" si="143"/>
        <v>회귀의 전설</v>
      </c>
      <c r="J1010">
        <v>100</v>
      </c>
      <c r="K1010">
        <v>200</v>
      </c>
      <c r="L1010">
        <v>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200</v>
      </c>
      <c r="AH1010">
        <v>2</v>
      </c>
      <c r="AI1010">
        <v>0</v>
      </c>
      <c r="AJ1010">
        <v>0</v>
      </c>
      <c r="AK1010">
        <v>200</v>
      </c>
      <c r="AL1010">
        <v>0</v>
      </c>
      <c r="AM1010">
        <v>0</v>
      </c>
      <c r="AN1010">
        <v>0</v>
      </c>
      <c r="AO1010">
        <v>0</v>
      </c>
      <c r="AQ1010">
        <v>0</v>
      </c>
      <c r="AR1010">
        <v>0</v>
      </c>
      <c r="AT1010">
        <v>0</v>
      </c>
      <c r="AU1010">
        <v>0</v>
      </c>
      <c r="AW1010">
        <v>0</v>
      </c>
      <c r="AX1010">
        <v>0</v>
      </c>
      <c r="AY1010">
        <v>140</v>
      </c>
      <c r="BC1010" t="str">
        <f t="shared" ref="BC1010:BC1016" si="145">T("9788997946006")</f>
        <v>9788997946006</v>
      </c>
      <c r="BE1010" t="str">
        <f t="shared" si="144"/>
        <v>판타지 웹소설 &gt; 현대 판타지</v>
      </c>
    </row>
    <row r="1011" spans="1:57" x14ac:dyDescent="0.3">
      <c r="A1011">
        <v>1525004030</v>
      </c>
      <c r="B1011">
        <v>1525004281</v>
      </c>
      <c r="C1011" t="str">
        <f>T("회귀의 전설 252화")</f>
        <v>회귀의 전설 252화</v>
      </c>
      <c r="D1011" t="str">
        <f>T("252")</f>
        <v>252</v>
      </c>
      <c r="E1011" t="str">
        <f t="shared" si="142"/>
        <v>김광수</v>
      </c>
      <c r="H1011" t="str">
        <f t="shared" si="141"/>
        <v>스토리위즈</v>
      </c>
      <c r="I1011" t="str">
        <f t="shared" si="143"/>
        <v>회귀의 전설</v>
      </c>
      <c r="J1011">
        <v>100</v>
      </c>
      <c r="K1011">
        <v>200</v>
      </c>
      <c r="L1011">
        <v>2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200</v>
      </c>
      <c r="AH1011">
        <v>2</v>
      </c>
      <c r="AI1011">
        <v>0</v>
      </c>
      <c r="AJ1011">
        <v>0</v>
      </c>
      <c r="AK1011">
        <v>200</v>
      </c>
      <c r="AL1011">
        <v>0</v>
      </c>
      <c r="AM1011">
        <v>0</v>
      </c>
      <c r="AN1011">
        <v>0</v>
      </c>
      <c r="AO1011">
        <v>0</v>
      </c>
      <c r="AQ1011">
        <v>0</v>
      </c>
      <c r="AR1011">
        <v>0</v>
      </c>
      <c r="AT1011">
        <v>0</v>
      </c>
      <c r="AU1011">
        <v>0</v>
      </c>
      <c r="AW1011">
        <v>0</v>
      </c>
      <c r="AX1011">
        <v>0</v>
      </c>
      <c r="AY1011">
        <v>140</v>
      </c>
      <c r="BC1011" t="str">
        <f t="shared" si="145"/>
        <v>9788997946006</v>
      </c>
      <c r="BE1011" t="str">
        <f t="shared" si="144"/>
        <v>판타지 웹소설 &gt; 현대 판타지</v>
      </c>
    </row>
    <row r="1012" spans="1:57" x14ac:dyDescent="0.3">
      <c r="A1012">
        <v>1525004030</v>
      </c>
      <c r="B1012">
        <v>1525004069</v>
      </c>
      <c r="C1012" t="str">
        <f>T("회귀의 전설 40화")</f>
        <v>회귀의 전설 40화</v>
      </c>
      <c r="D1012" t="str">
        <f>T("40")</f>
        <v>40</v>
      </c>
      <c r="E1012" t="str">
        <f t="shared" si="142"/>
        <v>김광수</v>
      </c>
      <c r="H1012" t="str">
        <f t="shared" si="141"/>
        <v>스토리위즈</v>
      </c>
      <c r="I1012" t="str">
        <f t="shared" si="143"/>
        <v>회귀의 전설</v>
      </c>
      <c r="J1012">
        <v>100</v>
      </c>
      <c r="K1012">
        <v>200</v>
      </c>
      <c r="L1012">
        <v>2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200</v>
      </c>
      <c r="AH1012">
        <v>2</v>
      </c>
      <c r="AI1012">
        <v>0</v>
      </c>
      <c r="AJ1012">
        <v>0</v>
      </c>
      <c r="AK1012">
        <v>100</v>
      </c>
      <c r="AL1012">
        <v>0</v>
      </c>
      <c r="AM1012">
        <v>120</v>
      </c>
      <c r="AN1012">
        <v>-36</v>
      </c>
      <c r="AO1012">
        <v>0</v>
      </c>
      <c r="AQ1012">
        <v>0</v>
      </c>
      <c r="AR1012">
        <v>0</v>
      </c>
      <c r="AS1012">
        <v>120</v>
      </c>
      <c r="AT1012">
        <v>-36</v>
      </c>
      <c r="AU1012">
        <v>0</v>
      </c>
      <c r="AW1012">
        <v>0</v>
      </c>
      <c r="AX1012">
        <v>0</v>
      </c>
      <c r="AY1012">
        <v>128.80000000000001</v>
      </c>
      <c r="BC1012" t="str">
        <f t="shared" si="145"/>
        <v>9788997946006</v>
      </c>
      <c r="BE1012" t="str">
        <f t="shared" si="144"/>
        <v>판타지 웹소설 &gt; 현대 판타지</v>
      </c>
    </row>
    <row r="1013" spans="1:57" x14ac:dyDescent="0.3">
      <c r="A1013">
        <v>1525004030</v>
      </c>
      <c r="B1013">
        <v>1525004383</v>
      </c>
      <c r="C1013" t="str">
        <f>T("회귀의 전설 355화")</f>
        <v>회귀의 전설 355화</v>
      </c>
      <c r="D1013" t="str">
        <f>T("355")</f>
        <v>355</v>
      </c>
      <c r="E1013" t="str">
        <f t="shared" si="142"/>
        <v>김광수</v>
      </c>
      <c r="H1013" t="str">
        <f t="shared" si="141"/>
        <v>스토리위즈</v>
      </c>
      <c r="I1013" t="str">
        <f t="shared" si="143"/>
        <v>회귀의 전설</v>
      </c>
      <c r="J1013">
        <v>100</v>
      </c>
      <c r="K1013">
        <v>200</v>
      </c>
      <c r="L1013">
        <v>2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200</v>
      </c>
      <c r="AH1013">
        <v>2</v>
      </c>
      <c r="AI1013">
        <v>0</v>
      </c>
      <c r="AJ1013">
        <v>0</v>
      </c>
      <c r="AK1013">
        <v>200</v>
      </c>
      <c r="AL1013">
        <v>0</v>
      </c>
      <c r="AM1013">
        <v>0</v>
      </c>
      <c r="AN1013">
        <v>0</v>
      </c>
      <c r="AO1013">
        <v>0</v>
      </c>
      <c r="AQ1013">
        <v>0</v>
      </c>
      <c r="AR1013">
        <v>0</v>
      </c>
      <c r="AT1013">
        <v>0</v>
      </c>
      <c r="AU1013">
        <v>0</v>
      </c>
      <c r="AW1013">
        <v>0</v>
      </c>
      <c r="AX1013">
        <v>0</v>
      </c>
      <c r="AY1013">
        <v>140</v>
      </c>
      <c r="BC1013" t="str">
        <f t="shared" si="145"/>
        <v>9788997946006</v>
      </c>
      <c r="BE1013" t="str">
        <f t="shared" si="144"/>
        <v>판타지 웹소설 &gt; 현대 판타지</v>
      </c>
    </row>
    <row r="1014" spans="1:57" x14ac:dyDescent="0.3">
      <c r="A1014">
        <v>1525004030</v>
      </c>
      <c r="B1014">
        <v>1525004440</v>
      </c>
      <c r="C1014" t="str">
        <f>T("회귀의 전설 424화")</f>
        <v>회귀의 전설 424화</v>
      </c>
      <c r="D1014" t="str">
        <f>T("424")</f>
        <v>424</v>
      </c>
      <c r="E1014" t="str">
        <f t="shared" si="142"/>
        <v>김광수</v>
      </c>
      <c r="H1014" t="str">
        <f t="shared" si="141"/>
        <v>스토리위즈</v>
      </c>
      <c r="I1014" t="str">
        <f t="shared" si="143"/>
        <v>회귀의 전설</v>
      </c>
      <c r="J1014">
        <v>100</v>
      </c>
      <c r="K1014">
        <v>200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200</v>
      </c>
      <c r="AH1014">
        <v>2</v>
      </c>
      <c r="AI1014">
        <v>0</v>
      </c>
      <c r="AJ1014">
        <v>0</v>
      </c>
      <c r="AK1014">
        <v>200</v>
      </c>
      <c r="AL1014">
        <v>0</v>
      </c>
      <c r="AM1014">
        <v>0</v>
      </c>
      <c r="AN1014">
        <v>0</v>
      </c>
      <c r="AO1014">
        <v>0</v>
      </c>
      <c r="AQ1014">
        <v>0</v>
      </c>
      <c r="AR1014">
        <v>0</v>
      </c>
      <c r="AT1014">
        <v>0</v>
      </c>
      <c r="AU1014">
        <v>0</v>
      </c>
      <c r="AW1014">
        <v>0</v>
      </c>
      <c r="AX1014">
        <v>0</v>
      </c>
      <c r="AY1014">
        <v>140</v>
      </c>
      <c r="BC1014" t="str">
        <f t="shared" si="145"/>
        <v>9788997946006</v>
      </c>
      <c r="BE1014" t="str">
        <f t="shared" si="144"/>
        <v>판타지 웹소설 &gt; 현대 판타지</v>
      </c>
    </row>
    <row r="1015" spans="1:57" x14ac:dyDescent="0.3">
      <c r="A1015">
        <v>1525004030</v>
      </c>
      <c r="B1015">
        <v>1525004058</v>
      </c>
      <c r="C1015" t="str">
        <f>T("회귀의 전설 29화")</f>
        <v>회귀의 전설 29화</v>
      </c>
      <c r="D1015" t="str">
        <f>T("29")</f>
        <v>29</v>
      </c>
      <c r="E1015" t="str">
        <f t="shared" si="142"/>
        <v>김광수</v>
      </c>
      <c r="H1015" t="str">
        <f t="shared" si="141"/>
        <v>스토리위즈</v>
      </c>
      <c r="I1015" t="str">
        <f t="shared" si="143"/>
        <v>회귀의 전설</v>
      </c>
      <c r="J1015">
        <v>100</v>
      </c>
      <c r="K1015">
        <v>200</v>
      </c>
      <c r="L1015">
        <v>2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200</v>
      </c>
      <c r="AH1015">
        <v>2</v>
      </c>
      <c r="AI1015">
        <v>0</v>
      </c>
      <c r="AJ1015">
        <v>0</v>
      </c>
      <c r="AK1015">
        <v>200</v>
      </c>
      <c r="AL1015">
        <v>0</v>
      </c>
      <c r="AM1015">
        <v>0</v>
      </c>
      <c r="AN1015">
        <v>0</v>
      </c>
      <c r="AO1015">
        <v>0</v>
      </c>
      <c r="AQ1015">
        <v>0</v>
      </c>
      <c r="AR1015">
        <v>0</v>
      </c>
      <c r="AT1015">
        <v>0</v>
      </c>
      <c r="AU1015">
        <v>0</v>
      </c>
      <c r="AW1015">
        <v>0</v>
      </c>
      <c r="AX1015">
        <v>0</v>
      </c>
      <c r="AY1015">
        <v>140</v>
      </c>
      <c r="BC1015" t="str">
        <f t="shared" si="145"/>
        <v>9788997946006</v>
      </c>
      <c r="BE1015" t="str">
        <f t="shared" si="144"/>
        <v>판타지 웹소설 &gt; 현대 판타지</v>
      </c>
    </row>
    <row r="1016" spans="1:57" x14ac:dyDescent="0.3">
      <c r="A1016">
        <v>1525004030</v>
      </c>
      <c r="B1016">
        <v>1525004302</v>
      </c>
      <c r="C1016" t="str">
        <f>T("회귀의 전설 273화")</f>
        <v>회귀의 전설 273화</v>
      </c>
      <c r="D1016" t="str">
        <f>T("273")</f>
        <v>273</v>
      </c>
      <c r="E1016" t="str">
        <f t="shared" si="142"/>
        <v>김광수</v>
      </c>
      <c r="H1016" t="str">
        <f t="shared" si="141"/>
        <v>스토리위즈</v>
      </c>
      <c r="I1016" t="str">
        <f t="shared" si="143"/>
        <v>회귀의 전설</v>
      </c>
      <c r="J1016">
        <v>100</v>
      </c>
      <c r="K1016">
        <v>200</v>
      </c>
      <c r="L1016">
        <v>2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200</v>
      </c>
      <c r="AH1016">
        <v>2</v>
      </c>
      <c r="AI1016">
        <v>0</v>
      </c>
      <c r="AJ1016">
        <v>0</v>
      </c>
      <c r="AK1016">
        <v>200</v>
      </c>
      <c r="AL1016">
        <v>0</v>
      </c>
      <c r="AM1016">
        <v>0</v>
      </c>
      <c r="AN1016">
        <v>0</v>
      </c>
      <c r="AO1016">
        <v>0</v>
      </c>
      <c r="AQ1016">
        <v>0</v>
      </c>
      <c r="AR1016">
        <v>0</v>
      </c>
      <c r="AT1016">
        <v>0</v>
      </c>
      <c r="AU1016">
        <v>0</v>
      </c>
      <c r="AW1016">
        <v>0</v>
      </c>
      <c r="AX1016">
        <v>0</v>
      </c>
      <c r="AY1016">
        <v>140</v>
      </c>
      <c r="BC1016" t="str">
        <f t="shared" si="145"/>
        <v>9788997946006</v>
      </c>
      <c r="BE1016" t="str">
        <f t="shared" si="144"/>
        <v>판타지 웹소설 &gt; 현대 판타지</v>
      </c>
    </row>
    <row r="1017" spans="1:57" x14ac:dyDescent="0.3">
      <c r="A1017">
        <v>1525004030</v>
      </c>
      <c r="B1017">
        <v>1525006670</v>
      </c>
      <c r="C1017" t="str">
        <f>T("회귀의 전설 2부 553화")</f>
        <v>회귀의 전설 2부 553화</v>
      </c>
      <c r="D1017" t="str">
        <f>T("553")</f>
        <v>553</v>
      </c>
      <c r="E1017" t="str">
        <f t="shared" si="142"/>
        <v>김광수</v>
      </c>
      <c r="H1017" t="str">
        <f t="shared" si="141"/>
        <v>스토리위즈</v>
      </c>
      <c r="I1017" t="str">
        <f t="shared" si="143"/>
        <v>회귀의 전설</v>
      </c>
      <c r="J1017">
        <v>100</v>
      </c>
      <c r="K1017">
        <v>200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200</v>
      </c>
      <c r="AH1017">
        <v>2</v>
      </c>
      <c r="AI1017">
        <v>0</v>
      </c>
      <c r="AJ1017">
        <v>0</v>
      </c>
      <c r="AK1017">
        <v>200</v>
      </c>
      <c r="AL1017">
        <v>0</v>
      </c>
      <c r="AM1017">
        <v>0</v>
      </c>
      <c r="AN1017">
        <v>0</v>
      </c>
      <c r="AO1017">
        <v>0</v>
      </c>
      <c r="AQ1017">
        <v>0</v>
      </c>
      <c r="AR1017">
        <v>0</v>
      </c>
      <c r="AT1017">
        <v>0</v>
      </c>
      <c r="AU1017">
        <v>0</v>
      </c>
      <c r="AW1017">
        <v>0</v>
      </c>
      <c r="AX1017">
        <v>0</v>
      </c>
      <c r="AY1017">
        <v>140</v>
      </c>
      <c r="BC1017" t="str">
        <f>T("9791191102086")</f>
        <v>9791191102086</v>
      </c>
      <c r="BE1017" t="str">
        <f t="shared" si="144"/>
        <v>판타지 웹소설 &gt; 현대 판타지</v>
      </c>
    </row>
    <row r="1018" spans="1:57" x14ac:dyDescent="0.3">
      <c r="A1018">
        <v>1525004030</v>
      </c>
      <c r="B1018">
        <v>1525004090</v>
      </c>
      <c r="C1018" t="str">
        <f>T("회귀의 전설 61화")</f>
        <v>회귀의 전설 61화</v>
      </c>
      <c r="D1018" t="str">
        <f>T("61")</f>
        <v>61</v>
      </c>
      <c r="E1018" t="str">
        <f t="shared" si="142"/>
        <v>김광수</v>
      </c>
      <c r="H1018" t="str">
        <f t="shared" si="141"/>
        <v>스토리위즈</v>
      </c>
      <c r="I1018" t="str">
        <f t="shared" si="143"/>
        <v>회귀의 전설</v>
      </c>
      <c r="J1018">
        <v>100</v>
      </c>
      <c r="K1018">
        <v>200</v>
      </c>
      <c r="L1018">
        <v>2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200</v>
      </c>
      <c r="AH1018">
        <v>2</v>
      </c>
      <c r="AI1018">
        <v>0</v>
      </c>
      <c r="AJ1018">
        <v>0</v>
      </c>
      <c r="AK1018">
        <v>100</v>
      </c>
      <c r="AL1018">
        <v>0</v>
      </c>
      <c r="AM1018">
        <v>120</v>
      </c>
      <c r="AN1018">
        <v>-36</v>
      </c>
      <c r="AO1018">
        <v>0</v>
      </c>
      <c r="AQ1018">
        <v>0</v>
      </c>
      <c r="AR1018">
        <v>0</v>
      </c>
      <c r="AS1018">
        <v>120</v>
      </c>
      <c r="AT1018">
        <v>-36</v>
      </c>
      <c r="AU1018">
        <v>0</v>
      </c>
      <c r="AW1018">
        <v>0</v>
      </c>
      <c r="AX1018">
        <v>0</v>
      </c>
      <c r="AY1018">
        <v>128.80000000000001</v>
      </c>
      <c r="BC1018" t="str">
        <f>T("9788997946006")</f>
        <v>9788997946006</v>
      </c>
      <c r="BE1018" t="str">
        <f t="shared" si="144"/>
        <v>판타지 웹소설 &gt; 현대 판타지</v>
      </c>
    </row>
    <row r="1019" spans="1:57" x14ac:dyDescent="0.3">
      <c r="A1019">
        <v>1525004030</v>
      </c>
      <c r="B1019">
        <v>1525006784</v>
      </c>
      <c r="C1019" t="str">
        <f>T("회귀의 전설 2부 667화")</f>
        <v>회귀의 전설 2부 667화</v>
      </c>
      <c r="D1019" t="str">
        <f>T("667")</f>
        <v>667</v>
      </c>
      <c r="E1019" t="str">
        <f t="shared" si="142"/>
        <v>김광수</v>
      </c>
      <c r="H1019" t="str">
        <f t="shared" si="141"/>
        <v>스토리위즈</v>
      </c>
      <c r="I1019" t="str">
        <f t="shared" si="143"/>
        <v>회귀의 전설</v>
      </c>
      <c r="J1019">
        <v>100</v>
      </c>
      <c r="K1019">
        <v>200</v>
      </c>
      <c r="L1019">
        <v>2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200</v>
      </c>
      <c r="AH1019">
        <v>2</v>
      </c>
      <c r="AI1019">
        <v>0</v>
      </c>
      <c r="AJ1019">
        <v>0</v>
      </c>
      <c r="AK1019">
        <v>100</v>
      </c>
      <c r="AL1019">
        <v>0</v>
      </c>
      <c r="AM1019">
        <v>120</v>
      </c>
      <c r="AN1019">
        <v>-12</v>
      </c>
      <c r="AO1019">
        <v>0</v>
      </c>
      <c r="AQ1019">
        <v>0</v>
      </c>
      <c r="AR1019">
        <v>0</v>
      </c>
      <c r="AS1019">
        <v>120</v>
      </c>
      <c r="AT1019">
        <v>-12</v>
      </c>
      <c r="AU1019">
        <v>0</v>
      </c>
      <c r="AW1019">
        <v>0</v>
      </c>
      <c r="AX1019">
        <v>0</v>
      </c>
      <c r="AY1019">
        <v>145.6</v>
      </c>
      <c r="BC1019" t="str">
        <f>T("9791191102086")</f>
        <v>9791191102086</v>
      </c>
      <c r="BE1019" t="str">
        <f t="shared" si="144"/>
        <v>판타지 웹소설 &gt; 현대 판타지</v>
      </c>
    </row>
    <row r="1020" spans="1:57" x14ac:dyDescent="0.3">
      <c r="A1020">
        <v>1525004030</v>
      </c>
      <c r="B1020">
        <v>1525006645</v>
      </c>
      <c r="C1020" t="str">
        <f>T("회귀의 전설 2부 528화")</f>
        <v>회귀의 전설 2부 528화</v>
      </c>
      <c r="D1020" t="str">
        <f>T("528")</f>
        <v>528</v>
      </c>
      <c r="E1020" t="str">
        <f t="shared" si="142"/>
        <v>김광수</v>
      </c>
      <c r="H1020" t="str">
        <f t="shared" si="141"/>
        <v>스토리위즈</v>
      </c>
      <c r="I1020" t="str">
        <f t="shared" si="143"/>
        <v>회귀의 전설</v>
      </c>
      <c r="J1020">
        <v>100</v>
      </c>
      <c r="K1020">
        <v>200</v>
      </c>
      <c r="L1020">
        <v>2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200</v>
      </c>
      <c r="AH1020">
        <v>2</v>
      </c>
      <c r="AI1020">
        <v>0</v>
      </c>
      <c r="AJ1020">
        <v>0</v>
      </c>
      <c r="AK1020">
        <v>200</v>
      </c>
      <c r="AL1020">
        <v>0</v>
      </c>
      <c r="AM1020">
        <v>0</v>
      </c>
      <c r="AN1020">
        <v>0</v>
      </c>
      <c r="AO1020">
        <v>0</v>
      </c>
      <c r="AQ1020">
        <v>0</v>
      </c>
      <c r="AR1020">
        <v>0</v>
      </c>
      <c r="AT1020">
        <v>0</v>
      </c>
      <c r="AU1020">
        <v>0</v>
      </c>
      <c r="AW1020">
        <v>0</v>
      </c>
      <c r="AX1020">
        <v>0</v>
      </c>
      <c r="AY1020">
        <v>140</v>
      </c>
      <c r="BC1020" t="str">
        <f>T("9791191102086")</f>
        <v>9791191102086</v>
      </c>
      <c r="BE1020" t="str">
        <f t="shared" si="144"/>
        <v>판타지 웹소설 &gt; 현대 판타지</v>
      </c>
    </row>
    <row r="1021" spans="1:57" x14ac:dyDescent="0.3">
      <c r="A1021">
        <v>1525004030</v>
      </c>
      <c r="B1021">
        <v>1525004334</v>
      </c>
      <c r="C1021" t="str">
        <f>T("회귀의 전설 305화")</f>
        <v>회귀의 전설 305화</v>
      </c>
      <c r="D1021" t="str">
        <f>T("305")</f>
        <v>305</v>
      </c>
      <c r="E1021" t="str">
        <f t="shared" si="142"/>
        <v>김광수</v>
      </c>
      <c r="H1021" t="str">
        <f t="shared" si="141"/>
        <v>스토리위즈</v>
      </c>
      <c r="I1021" t="str">
        <f t="shared" si="143"/>
        <v>회귀의 전설</v>
      </c>
      <c r="J1021">
        <v>100</v>
      </c>
      <c r="K1021">
        <v>200</v>
      </c>
      <c r="L1021">
        <v>2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200</v>
      </c>
      <c r="AH1021">
        <v>2</v>
      </c>
      <c r="AI1021">
        <v>0</v>
      </c>
      <c r="AJ1021">
        <v>0</v>
      </c>
      <c r="AK1021">
        <v>200</v>
      </c>
      <c r="AL1021">
        <v>0</v>
      </c>
      <c r="AM1021">
        <v>0</v>
      </c>
      <c r="AN1021">
        <v>0</v>
      </c>
      <c r="AO1021">
        <v>0</v>
      </c>
      <c r="AQ1021">
        <v>0</v>
      </c>
      <c r="AR1021">
        <v>0</v>
      </c>
      <c r="AT1021">
        <v>0</v>
      </c>
      <c r="AU1021">
        <v>0</v>
      </c>
      <c r="AW1021">
        <v>0</v>
      </c>
      <c r="AX1021">
        <v>0</v>
      </c>
      <c r="AY1021">
        <v>140</v>
      </c>
      <c r="BC1021" t="str">
        <f>T("9788997946006")</f>
        <v>9788997946006</v>
      </c>
      <c r="BE1021" t="str">
        <f t="shared" si="144"/>
        <v>판타지 웹소설 &gt; 현대 판타지</v>
      </c>
    </row>
    <row r="1022" spans="1:57" x14ac:dyDescent="0.3">
      <c r="A1022">
        <v>1525004030</v>
      </c>
      <c r="B1022">
        <v>1525004245</v>
      </c>
      <c r="C1022" t="str">
        <f>T("회귀의 전설 216화")</f>
        <v>회귀의 전설 216화</v>
      </c>
      <c r="D1022" t="str">
        <f>T("216")</f>
        <v>216</v>
      </c>
      <c r="E1022" t="str">
        <f t="shared" si="142"/>
        <v>김광수</v>
      </c>
      <c r="H1022" t="str">
        <f t="shared" si="141"/>
        <v>스토리위즈</v>
      </c>
      <c r="I1022" t="str">
        <f t="shared" si="143"/>
        <v>회귀의 전설</v>
      </c>
      <c r="J1022">
        <v>100</v>
      </c>
      <c r="K1022">
        <v>200</v>
      </c>
      <c r="L1022">
        <v>2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200</v>
      </c>
      <c r="AH1022">
        <v>2</v>
      </c>
      <c r="AI1022">
        <v>0</v>
      </c>
      <c r="AJ1022">
        <v>0</v>
      </c>
      <c r="AK1022">
        <v>200</v>
      </c>
      <c r="AL1022">
        <v>0</v>
      </c>
      <c r="AM1022">
        <v>0</v>
      </c>
      <c r="AN1022">
        <v>0</v>
      </c>
      <c r="AO1022">
        <v>0</v>
      </c>
      <c r="AQ1022">
        <v>0</v>
      </c>
      <c r="AR1022">
        <v>0</v>
      </c>
      <c r="AT1022">
        <v>0</v>
      </c>
      <c r="AU1022">
        <v>0</v>
      </c>
      <c r="AW1022">
        <v>0</v>
      </c>
      <c r="AX1022">
        <v>0</v>
      </c>
      <c r="AY1022">
        <v>140</v>
      </c>
      <c r="BC1022" t="str">
        <f>T("9788997946006")</f>
        <v>9788997946006</v>
      </c>
      <c r="BE1022" t="str">
        <f t="shared" si="144"/>
        <v>판타지 웹소설 &gt; 현대 판타지</v>
      </c>
    </row>
    <row r="1023" spans="1:57" x14ac:dyDescent="0.3">
      <c r="A1023">
        <v>1525004030</v>
      </c>
      <c r="B1023">
        <v>1525006702</v>
      </c>
      <c r="C1023" t="str">
        <f>T("회귀의 전설 2부 585화")</f>
        <v>회귀의 전설 2부 585화</v>
      </c>
      <c r="D1023" t="str">
        <f>T("585")</f>
        <v>585</v>
      </c>
      <c r="E1023" t="str">
        <f t="shared" si="142"/>
        <v>김광수</v>
      </c>
      <c r="H1023" t="str">
        <f t="shared" si="141"/>
        <v>스토리위즈</v>
      </c>
      <c r="I1023" t="str">
        <f t="shared" si="143"/>
        <v>회귀의 전설</v>
      </c>
      <c r="J1023">
        <v>100</v>
      </c>
      <c r="K1023">
        <v>200</v>
      </c>
      <c r="L1023">
        <v>2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200</v>
      </c>
      <c r="AH1023">
        <v>2</v>
      </c>
      <c r="AI1023">
        <v>0</v>
      </c>
      <c r="AJ1023">
        <v>0</v>
      </c>
      <c r="AK1023">
        <v>100</v>
      </c>
      <c r="AL1023">
        <v>0</v>
      </c>
      <c r="AM1023">
        <v>120</v>
      </c>
      <c r="AN1023">
        <v>-36</v>
      </c>
      <c r="AO1023">
        <v>0</v>
      </c>
      <c r="AQ1023">
        <v>0</v>
      </c>
      <c r="AR1023">
        <v>0</v>
      </c>
      <c r="AS1023">
        <v>120</v>
      </c>
      <c r="AT1023">
        <v>-36</v>
      </c>
      <c r="AU1023">
        <v>0</v>
      </c>
      <c r="AW1023">
        <v>0</v>
      </c>
      <c r="AX1023">
        <v>0</v>
      </c>
      <c r="AY1023">
        <v>128.80000000000001</v>
      </c>
      <c r="BC1023" t="str">
        <f>T("9791191102086")</f>
        <v>9791191102086</v>
      </c>
      <c r="BE1023" t="str">
        <f t="shared" si="144"/>
        <v>판타지 웹소설 &gt; 현대 판타지</v>
      </c>
    </row>
    <row r="1024" spans="1:57" x14ac:dyDescent="0.3">
      <c r="A1024">
        <v>1525004030</v>
      </c>
      <c r="B1024">
        <v>1525004204</v>
      </c>
      <c r="C1024" t="str">
        <f>T("회귀의 전설 175화")</f>
        <v>회귀의 전설 175화</v>
      </c>
      <c r="D1024" t="str">
        <f>T("175")</f>
        <v>175</v>
      </c>
      <c r="E1024" t="str">
        <f t="shared" si="142"/>
        <v>김광수</v>
      </c>
      <c r="H1024" t="str">
        <f t="shared" si="141"/>
        <v>스토리위즈</v>
      </c>
      <c r="I1024" t="str">
        <f t="shared" si="143"/>
        <v>회귀의 전설</v>
      </c>
      <c r="J1024">
        <v>100</v>
      </c>
      <c r="K1024">
        <v>200</v>
      </c>
      <c r="L1024">
        <v>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200</v>
      </c>
      <c r="AH1024">
        <v>2</v>
      </c>
      <c r="AI1024">
        <v>0</v>
      </c>
      <c r="AJ1024">
        <v>0</v>
      </c>
      <c r="AK1024">
        <v>200</v>
      </c>
      <c r="AL1024">
        <v>0</v>
      </c>
      <c r="AM1024">
        <v>0</v>
      </c>
      <c r="AN1024">
        <v>0</v>
      </c>
      <c r="AO1024">
        <v>0</v>
      </c>
      <c r="AQ1024">
        <v>0</v>
      </c>
      <c r="AR1024">
        <v>0</v>
      </c>
      <c r="AT1024">
        <v>0</v>
      </c>
      <c r="AU1024">
        <v>0</v>
      </c>
      <c r="AW1024">
        <v>0</v>
      </c>
      <c r="AX1024">
        <v>0</v>
      </c>
      <c r="AY1024">
        <v>140</v>
      </c>
      <c r="BC1024" t="str">
        <f>T("9788997946006")</f>
        <v>9788997946006</v>
      </c>
      <c r="BE1024" t="str">
        <f t="shared" si="144"/>
        <v>판타지 웹소설 &gt; 현대 판타지</v>
      </c>
    </row>
    <row r="1025" spans="1:57" x14ac:dyDescent="0.3">
      <c r="A1025">
        <v>1525004030</v>
      </c>
      <c r="B1025">
        <v>1525006857</v>
      </c>
      <c r="C1025" t="str">
        <f>T("회귀의 전설 2부 740화")</f>
        <v>회귀의 전설 2부 740화</v>
      </c>
      <c r="D1025" t="str">
        <f>T("740")</f>
        <v>740</v>
      </c>
      <c r="E1025" t="str">
        <f t="shared" si="142"/>
        <v>김광수</v>
      </c>
      <c r="H1025" t="str">
        <f t="shared" si="141"/>
        <v>스토리위즈</v>
      </c>
      <c r="I1025" t="str">
        <f t="shared" si="143"/>
        <v>회귀의 전설</v>
      </c>
      <c r="J1025">
        <v>100</v>
      </c>
      <c r="K1025">
        <v>200</v>
      </c>
      <c r="L1025">
        <v>2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200</v>
      </c>
      <c r="AH1025">
        <v>2</v>
      </c>
      <c r="AI1025">
        <v>0</v>
      </c>
      <c r="AJ1025">
        <v>0</v>
      </c>
      <c r="AK1025">
        <v>100</v>
      </c>
      <c r="AL1025">
        <v>0</v>
      </c>
      <c r="AM1025">
        <v>120</v>
      </c>
      <c r="AN1025">
        <v>-12</v>
      </c>
      <c r="AO1025">
        <v>0</v>
      </c>
      <c r="AQ1025">
        <v>0</v>
      </c>
      <c r="AR1025">
        <v>0</v>
      </c>
      <c r="AS1025">
        <v>120</v>
      </c>
      <c r="AT1025">
        <v>-12</v>
      </c>
      <c r="AU1025">
        <v>0</v>
      </c>
      <c r="AW1025">
        <v>0</v>
      </c>
      <c r="AX1025">
        <v>0</v>
      </c>
      <c r="AY1025">
        <v>145.6</v>
      </c>
      <c r="BC1025" t="str">
        <f>T("9791191102086")</f>
        <v>9791191102086</v>
      </c>
      <c r="BE1025" t="str">
        <f t="shared" si="144"/>
        <v>판타지 웹소설 &gt; 현대 판타지</v>
      </c>
    </row>
    <row r="1026" spans="1:57" x14ac:dyDescent="0.3">
      <c r="A1026">
        <v>1525004030</v>
      </c>
      <c r="B1026">
        <v>1525006816</v>
      </c>
      <c r="C1026" t="str">
        <f>T("회귀의 전설 2부 699화")</f>
        <v>회귀의 전설 2부 699화</v>
      </c>
      <c r="D1026" t="str">
        <f>T("699")</f>
        <v>699</v>
      </c>
      <c r="E1026" t="str">
        <f t="shared" si="142"/>
        <v>김광수</v>
      </c>
      <c r="H1026" t="str">
        <f t="shared" si="141"/>
        <v>스토리위즈</v>
      </c>
      <c r="I1026" t="str">
        <f t="shared" si="143"/>
        <v>회귀의 전설</v>
      </c>
      <c r="J1026">
        <v>100</v>
      </c>
      <c r="K1026">
        <v>200</v>
      </c>
      <c r="L1026">
        <v>2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200</v>
      </c>
      <c r="AH1026">
        <v>2</v>
      </c>
      <c r="AI1026">
        <v>0</v>
      </c>
      <c r="AJ1026">
        <v>0</v>
      </c>
      <c r="AK1026">
        <v>100</v>
      </c>
      <c r="AL1026">
        <v>0</v>
      </c>
      <c r="AM1026">
        <v>120</v>
      </c>
      <c r="AN1026">
        <v>-12</v>
      </c>
      <c r="AO1026">
        <v>0</v>
      </c>
      <c r="AQ1026">
        <v>0</v>
      </c>
      <c r="AR1026">
        <v>0</v>
      </c>
      <c r="AS1026">
        <v>120</v>
      </c>
      <c r="AT1026">
        <v>-12</v>
      </c>
      <c r="AU1026">
        <v>0</v>
      </c>
      <c r="AW1026">
        <v>0</v>
      </c>
      <c r="AX1026">
        <v>0</v>
      </c>
      <c r="AY1026">
        <v>145.6</v>
      </c>
      <c r="BC1026" t="str">
        <f>T("9791191102086")</f>
        <v>9791191102086</v>
      </c>
      <c r="BE1026" t="str">
        <f t="shared" si="144"/>
        <v>판타지 웹소설 &gt; 현대 판타지</v>
      </c>
    </row>
    <row r="1027" spans="1:57" x14ac:dyDescent="0.3">
      <c r="A1027">
        <v>1525004030</v>
      </c>
      <c r="B1027">
        <v>1525004277</v>
      </c>
      <c r="C1027" t="str">
        <f>T("회귀의 전설 248화")</f>
        <v>회귀의 전설 248화</v>
      </c>
      <c r="D1027" t="str">
        <f>T("248")</f>
        <v>248</v>
      </c>
      <c r="E1027" t="str">
        <f t="shared" si="142"/>
        <v>김광수</v>
      </c>
      <c r="H1027" t="str">
        <f t="shared" si="141"/>
        <v>스토리위즈</v>
      </c>
      <c r="I1027" t="str">
        <f t="shared" si="143"/>
        <v>회귀의 전설</v>
      </c>
      <c r="J1027">
        <v>100</v>
      </c>
      <c r="K1027">
        <v>200</v>
      </c>
      <c r="L1027">
        <v>2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200</v>
      </c>
      <c r="AH1027">
        <v>2</v>
      </c>
      <c r="AI1027">
        <v>0</v>
      </c>
      <c r="AJ1027">
        <v>0</v>
      </c>
      <c r="AK1027">
        <v>200</v>
      </c>
      <c r="AL1027">
        <v>0</v>
      </c>
      <c r="AM1027">
        <v>0</v>
      </c>
      <c r="AN1027">
        <v>0</v>
      </c>
      <c r="AO1027">
        <v>0</v>
      </c>
      <c r="AQ1027">
        <v>0</v>
      </c>
      <c r="AR1027">
        <v>0</v>
      </c>
      <c r="AT1027">
        <v>0</v>
      </c>
      <c r="AU1027">
        <v>0</v>
      </c>
      <c r="AW1027">
        <v>0</v>
      </c>
      <c r="AX1027">
        <v>0</v>
      </c>
      <c r="AY1027">
        <v>140</v>
      </c>
      <c r="BC1027" t="str">
        <f t="shared" ref="BC1027:BC1033" si="146">T("9788997946006")</f>
        <v>9788997946006</v>
      </c>
      <c r="BE1027" t="str">
        <f t="shared" si="144"/>
        <v>판타지 웹소설 &gt; 현대 판타지</v>
      </c>
    </row>
    <row r="1028" spans="1:57" x14ac:dyDescent="0.3">
      <c r="A1028">
        <v>1525004030</v>
      </c>
      <c r="B1028">
        <v>1525004351</v>
      </c>
      <c r="C1028" t="str">
        <f>T("회귀의 전설 323화")</f>
        <v>회귀의 전설 323화</v>
      </c>
      <c r="D1028" t="str">
        <f>T("323")</f>
        <v>323</v>
      </c>
      <c r="E1028" t="str">
        <f t="shared" si="142"/>
        <v>김광수</v>
      </c>
      <c r="H1028" t="str">
        <f t="shared" si="141"/>
        <v>스토리위즈</v>
      </c>
      <c r="I1028" t="str">
        <f t="shared" si="143"/>
        <v>회귀의 전설</v>
      </c>
      <c r="J1028">
        <v>100</v>
      </c>
      <c r="K1028">
        <v>200</v>
      </c>
      <c r="L1028">
        <v>2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200</v>
      </c>
      <c r="AH1028">
        <v>2</v>
      </c>
      <c r="AI1028">
        <v>0</v>
      </c>
      <c r="AJ1028">
        <v>0</v>
      </c>
      <c r="AK1028">
        <v>200</v>
      </c>
      <c r="AL1028">
        <v>0</v>
      </c>
      <c r="AM1028">
        <v>0</v>
      </c>
      <c r="AN1028">
        <v>0</v>
      </c>
      <c r="AO1028">
        <v>0</v>
      </c>
      <c r="AQ1028">
        <v>0</v>
      </c>
      <c r="AR1028">
        <v>0</v>
      </c>
      <c r="AT1028">
        <v>0</v>
      </c>
      <c r="AU1028">
        <v>0</v>
      </c>
      <c r="AW1028">
        <v>0</v>
      </c>
      <c r="AX1028">
        <v>0</v>
      </c>
      <c r="AY1028">
        <v>140</v>
      </c>
      <c r="BC1028" t="str">
        <f t="shared" si="146"/>
        <v>9788997946006</v>
      </c>
      <c r="BE1028" t="str">
        <f t="shared" si="144"/>
        <v>판타지 웹소설 &gt; 현대 판타지</v>
      </c>
    </row>
    <row r="1029" spans="1:57" x14ac:dyDescent="0.3">
      <c r="A1029">
        <v>1525004030</v>
      </c>
      <c r="B1029">
        <v>1525004408</v>
      </c>
      <c r="C1029" t="str">
        <f>T("회귀의 전설 380화")</f>
        <v>회귀의 전설 380화</v>
      </c>
      <c r="D1029" t="str">
        <f>T("380")</f>
        <v>380</v>
      </c>
      <c r="E1029" t="str">
        <f t="shared" si="142"/>
        <v>김광수</v>
      </c>
      <c r="H1029" t="str">
        <f t="shared" si="141"/>
        <v>스토리위즈</v>
      </c>
      <c r="I1029" t="str">
        <f t="shared" si="143"/>
        <v>회귀의 전설</v>
      </c>
      <c r="J1029">
        <v>100</v>
      </c>
      <c r="K1029">
        <v>200</v>
      </c>
      <c r="L1029">
        <v>2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200</v>
      </c>
      <c r="AH1029">
        <v>2</v>
      </c>
      <c r="AI1029">
        <v>0</v>
      </c>
      <c r="AJ1029">
        <v>0</v>
      </c>
      <c r="AK1029">
        <v>200</v>
      </c>
      <c r="AL1029">
        <v>0</v>
      </c>
      <c r="AM1029">
        <v>0</v>
      </c>
      <c r="AN1029">
        <v>0</v>
      </c>
      <c r="AO1029">
        <v>0</v>
      </c>
      <c r="AQ1029">
        <v>0</v>
      </c>
      <c r="AR1029">
        <v>0</v>
      </c>
      <c r="AT1029">
        <v>0</v>
      </c>
      <c r="AU1029">
        <v>0</v>
      </c>
      <c r="AW1029">
        <v>0</v>
      </c>
      <c r="AX1029">
        <v>0</v>
      </c>
      <c r="AY1029">
        <v>140</v>
      </c>
      <c r="BC1029" t="str">
        <f t="shared" si="146"/>
        <v>9788997946006</v>
      </c>
      <c r="BE1029" t="str">
        <f t="shared" si="144"/>
        <v>판타지 웹소설 &gt; 현대 판타지</v>
      </c>
    </row>
    <row r="1030" spans="1:57" x14ac:dyDescent="0.3">
      <c r="A1030">
        <v>1525004030</v>
      </c>
      <c r="B1030">
        <v>1525004465</v>
      </c>
      <c r="C1030" t="str">
        <f>T("회귀의 전설 449화")</f>
        <v>회귀의 전설 449화</v>
      </c>
      <c r="D1030" t="str">
        <f>T("449")</f>
        <v>449</v>
      </c>
      <c r="E1030" t="str">
        <f t="shared" si="142"/>
        <v>김광수</v>
      </c>
      <c r="H1030" t="str">
        <f t="shared" si="141"/>
        <v>스토리위즈</v>
      </c>
      <c r="I1030" t="str">
        <f t="shared" si="143"/>
        <v>회귀의 전설</v>
      </c>
      <c r="J1030">
        <v>100</v>
      </c>
      <c r="K1030">
        <v>200</v>
      </c>
      <c r="L1030">
        <v>2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200</v>
      </c>
      <c r="AH1030">
        <v>2</v>
      </c>
      <c r="AI1030">
        <v>0</v>
      </c>
      <c r="AJ1030">
        <v>0</v>
      </c>
      <c r="AK1030">
        <v>200</v>
      </c>
      <c r="AL1030">
        <v>0</v>
      </c>
      <c r="AM1030">
        <v>0</v>
      </c>
      <c r="AN1030">
        <v>0</v>
      </c>
      <c r="AO1030">
        <v>0</v>
      </c>
      <c r="AQ1030">
        <v>0</v>
      </c>
      <c r="AR1030">
        <v>0</v>
      </c>
      <c r="AT1030">
        <v>0</v>
      </c>
      <c r="AU1030">
        <v>0</v>
      </c>
      <c r="AW1030">
        <v>0</v>
      </c>
      <c r="AX1030">
        <v>0</v>
      </c>
      <c r="AY1030">
        <v>140</v>
      </c>
      <c r="BC1030" t="str">
        <f t="shared" si="146"/>
        <v>9788997946006</v>
      </c>
      <c r="BE1030" t="str">
        <f t="shared" si="144"/>
        <v>판타지 웹소설 &gt; 현대 판타지</v>
      </c>
    </row>
    <row r="1031" spans="1:57" x14ac:dyDescent="0.3">
      <c r="A1031">
        <v>1525004030</v>
      </c>
      <c r="B1031">
        <v>1525004266</v>
      </c>
      <c r="C1031" t="str">
        <f>T("회귀의 전설 237화")</f>
        <v>회귀의 전설 237화</v>
      </c>
      <c r="D1031" t="str">
        <f>T("237")</f>
        <v>237</v>
      </c>
      <c r="E1031" t="str">
        <f t="shared" si="142"/>
        <v>김광수</v>
      </c>
      <c r="H1031" t="str">
        <f t="shared" si="141"/>
        <v>스토리위즈</v>
      </c>
      <c r="I1031" t="str">
        <f t="shared" si="143"/>
        <v>회귀의 전설</v>
      </c>
      <c r="J1031">
        <v>100</v>
      </c>
      <c r="K1031">
        <v>200</v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200</v>
      </c>
      <c r="AH1031">
        <v>2</v>
      </c>
      <c r="AI1031">
        <v>0</v>
      </c>
      <c r="AJ1031">
        <v>0</v>
      </c>
      <c r="AK1031">
        <v>200</v>
      </c>
      <c r="AL1031">
        <v>0</v>
      </c>
      <c r="AM1031">
        <v>0</v>
      </c>
      <c r="AN1031">
        <v>0</v>
      </c>
      <c r="AO1031">
        <v>0</v>
      </c>
      <c r="AQ1031">
        <v>0</v>
      </c>
      <c r="AR1031">
        <v>0</v>
      </c>
      <c r="AT1031">
        <v>0</v>
      </c>
      <c r="AU1031">
        <v>0</v>
      </c>
      <c r="AW1031">
        <v>0</v>
      </c>
      <c r="AX1031">
        <v>0</v>
      </c>
      <c r="AY1031">
        <v>140</v>
      </c>
      <c r="BC1031" t="str">
        <f t="shared" si="146"/>
        <v>9788997946006</v>
      </c>
      <c r="BE1031" t="str">
        <f t="shared" si="144"/>
        <v>판타지 웹소설 &gt; 현대 판타지</v>
      </c>
    </row>
    <row r="1032" spans="1:57" x14ac:dyDescent="0.3">
      <c r="A1032">
        <v>1525004030</v>
      </c>
      <c r="B1032">
        <v>1525004340</v>
      </c>
      <c r="C1032" t="str">
        <f>T("회귀의 전설 312화")</f>
        <v>회귀의 전설 312화</v>
      </c>
      <c r="D1032" t="str">
        <f>T("312")</f>
        <v>312</v>
      </c>
      <c r="E1032" t="str">
        <f t="shared" si="142"/>
        <v>김광수</v>
      </c>
      <c r="H1032" t="str">
        <f t="shared" si="141"/>
        <v>스토리위즈</v>
      </c>
      <c r="I1032" t="str">
        <f t="shared" si="143"/>
        <v>회귀의 전설</v>
      </c>
      <c r="J1032">
        <v>100</v>
      </c>
      <c r="K1032">
        <v>200</v>
      </c>
      <c r="L1032">
        <v>2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200</v>
      </c>
      <c r="AH1032">
        <v>2</v>
      </c>
      <c r="AI1032">
        <v>0</v>
      </c>
      <c r="AJ1032">
        <v>0</v>
      </c>
      <c r="AK1032">
        <v>200</v>
      </c>
      <c r="AL1032">
        <v>0</v>
      </c>
      <c r="AM1032">
        <v>0</v>
      </c>
      <c r="AN1032">
        <v>0</v>
      </c>
      <c r="AO1032">
        <v>0</v>
      </c>
      <c r="AQ1032">
        <v>0</v>
      </c>
      <c r="AR1032">
        <v>0</v>
      </c>
      <c r="AT1032">
        <v>0</v>
      </c>
      <c r="AU1032">
        <v>0</v>
      </c>
      <c r="AW1032">
        <v>0</v>
      </c>
      <c r="AX1032">
        <v>0</v>
      </c>
      <c r="AY1032">
        <v>140</v>
      </c>
      <c r="BC1032" t="str">
        <f t="shared" si="146"/>
        <v>9788997946006</v>
      </c>
      <c r="BE1032" t="str">
        <f t="shared" si="144"/>
        <v>판타지 웹소설 &gt; 현대 판타지</v>
      </c>
    </row>
    <row r="1033" spans="1:57" x14ac:dyDescent="0.3">
      <c r="A1033">
        <v>1525004030</v>
      </c>
      <c r="B1033">
        <v>1525004397</v>
      </c>
      <c r="C1033" t="str">
        <f>T("회귀의 전설 369화")</f>
        <v>회귀의 전설 369화</v>
      </c>
      <c r="D1033" t="str">
        <f>T("369")</f>
        <v>369</v>
      </c>
      <c r="E1033" t="str">
        <f t="shared" si="142"/>
        <v>김광수</v>
      </c>
      <c r="H1033" t="str">
        <f t="shared" si="141"/>
        <v>스토리위즈</v>
      </c>
      <c r="I1033" t="str">
        <f t="shared" si="143"/>
        <v>회귀의 전설</v>
      </c>
      <c r="J1033">
        <v>100</v>
      </c>
      <c r="K1033">
        <v>200</v>
      </c>
      <c r="L1033">
        <v>2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200</v>
      </c>
      <c r="AH1033">
        <v>2</v>
      </c>
      <c r="AI1033">
        <v>0</v>
      </c>
      <c r="AJ1033">
        <v>0</v>
      </c>
      <c r="AK1033">
        <v>200</v>
      </c>
      <c r="AL1033">
        <v>0</v>
      </c>
      <c r="AM1033">
        <v>0</v>
      </c>
      <c r="AN1033">
        <v>0</v>
      </c>
      <c r="AO1033">
        <v>0</v>
      </c>
      <c r="AQ1033">
        <v>0</v>
      </c>
      <c r="AR1033">
        <v>0</v>
      </c>
      <c r="AT1033">
        <v>0</v>
      </c>
      <c r="AU1033">
        <v>0</v>
      </c>
      <c r="AW1033">
        <v>0</v>
      </c>
      <c r="AX1033">
        <v>0</v>
      </c>
      <c r="AY1033">
        <v>140</v>
      </c>
      <c r="BC1033" t="str">
        <f t="shared" si="146"/>
        <v>9788997946006</v>
      </c>
      <c r="BE1033" t="str">
        <f t="shared" si="144"/>
        <v>판타지 웹소설 &gt; 현대 판타지</v>
      </c>
    </row>
    <row r="1034" spans="1:57" x14ac:dyDescent="0.3">
      <c r="A1034">
        <v>1525004030</v>
      </c>
      <c r="B1034">
        <v>1525006878</v>
      </c>
      <c r="C1034" t="str">
        <f>T("회귀의 전설 2부 761화")</f>
        <v>회귀의 전설 2부 761화</v>
      </c>
      <c r="D1034" t="str">
        <f>T("761")</f>
        <v>761</v>
      </c>
      <c r="E1034" t="str">
        <f t="shared" si="142"/>
        <v>김광수</v>
      </c>
      <c r="H1034" t="str">
        <f t="shared" si="141"/>
        <v>스토리위즈</v>
      </c>
      <c r="I1034" t="str">
        <f t="shared" si="143"/>
        <v>회귀의 전설</v>
      </c>
      <c r="J1034">
        <v>100</v>
      </c>
      <c r="K1034">
        <v>200</v>
      </c>
      <c r="L1034">
        <v>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200</v>
      </c>
      <c r="AH1034">
        <v>2</v>
      </c>
      <c r="AI1034">
        <v>0</v>
      </c>
      <c r="AJ1034">
        <v>0</v>
      </c>
      <c r="AK1034">
        <v>100</v>
      </c>
      <c r="AL1034">
        <v>0</v>
      </c>
      <c r="AM1034">
        <v>120</v>
      </c>
      <c r="AN1034">
        <v>-12</v>
      </c>
      <c r="AO1034">
        <v>0</v>
      </c>
      <c r="AQ1034">
        <v>0</v>
      </c>
      <c r="AR1034">
        <v>0</v>
      </c>
      <c r="AS1034">
        <v>120</v>
      </c>
      <c r="AT1034">
        <v>-12</v>
      </c>
      <c r="AU1034">
        <v>0</v>
      </c>
      <c r="AW1034">
        <v>0</v>
      </c>
      <c r="AX1034">
        <v>0</v>
      </c>
      <c r="AY1034">
        <v>145.6</v>
      </c>
      <c r="BC1034" t="str">
        <f>T("9791191102086")</f>
        <v>9791191102086</v>
      </c>
      <c r="BE1034" t="str">
        <f t="shared" si="144"/>
        <v>판타지 웹소설 &gt; 현대 판타지</v>
      </c>
    </row>
    <row r="1035" spans="1:57" x14ac:dyDescent="0.3">
      <c r="A1035">
        <v>1525004030</v>
      </c>
      <c r="B1035">
        <v>1525004454</v>
      </c>
      <c r="C1035" t="str">
        <f>T("회귀의 전설 438화")</f>
        <v>회귀의 전설 438화</v>
      </c>
      <c r="D1035" t="str">
        <f>T("438")</f>
        <v>438</v>
      </c>
      <c r="E1035" t="str">
        <f t="shared" si="142"/>
        <v>김광수</v>
      </c>
      <c r="H1035" t="str">
        <f t="shared" si="141"/>
        <v>스토리위즈</v>
      </c>
      <c r="I1035" t="str">
        <f t="shared" si="143"/>
        <v>회귀의 전설</v>
      </c>
      <c r="J1035">
        <v>100</v>
      </c>
      <c r="K1035">
        <v>200</v>
      </c>
      <c r="L1035">
        <v>2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200</v>
      </c>
      <c r="AH1035">
        <v>2</v>
      </c>
      <c r="AI1035">
        <v>0</v>
      </c>
      <c r="AJ1035">
        <v>0</v>
      </c>
      <c r="AK1035">
        <v>200</v>
      </c>
      <c r="AL1035">
        <v>0</v>
      </c>
      <c r="AM1035">
        <v>0</v>
      </c>
      <c r="AN1035">
        <v>0</v>
      </c>
      <c r="AO1035">
        <v>0</v>
      </c>
      <c r="AQ1035">
        <v>0</v>
      </c>
      <c r="AR1035">
        <v>0</v>
      </c>
      <c r="AT1035">
        <v>0</v>
      </c>
      <c r="AU1035">
        <v>0</v>
      </c>
      <c r="AW1035">
        <v>0</v>
      </c>
      <c r="AX1035">
        <v>0</v>
      </c>
      <c r="AY1035">
        <v>140</v>
      </c>
      <c r="BC1035" t="str">
        <f>T("9788997946006")</f>
        <v>9788997946006</v>
      </c>
      <c r="BE1035" t="str">
        <f t="shared" si="144"/>
        <v>판타지 웹소설 &gt; 현대 판타지</v>
      </c>
    </row>
    <row r="1036" spans="1:57" x14ac:dyDescent="0.3">
      <c r="A1036">
        <v>1525004030</v>
      </c>
      <c r="B1036">
        <v>1525004372</v>
      </c>
      <c r="C1036" t="str">
        <f>T("회귀의 전설 344화")</f>
        <v>회귀의 전설 344화</v>
      </c>
      <c r="D1036" t="str">
        <f>T("344")</f>
        <v>344</v>
      </c>
      <c r="E1036" t="str">
        <f t="shared" si="142"/>
        <v>김광수</v>
      </c>
      <c r="H1036" t="str">
        <f t="shared" si="141"/>
        <v>스토리위즈</v>
      </c>
      <c r="I1036" t="str">
        <f t="shared" si="143"/>
        <v>회귀의 전설</v>
      </c>
      <c r="J1036">
        <v>100</v>
      </c>
      <c r="K1036">
        <v>200</v>
      </c>
      <c r="L1036">
        <v>2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200</v>
      </c>
      <c r="AH1036">
        <v>2</v>
      </c>
      <c r="AI1036">
        <v>0</v>
      </c>
      <c r="AJ1036">
        <v>0</v>
      </c>
      <c r="AK1036">
        <v>200</v>
      </c>
      <c r="AL1036">
        <v>0</v>
      </c>
      <c r="AM1036">
        <v>0</v>
      </c>
      <c r="AN1036">
        <v>0</v>
      </c>
      <c r="AO1036">
        <v>0</v>
      </c>
      <c r="AQ1036">
        <v>0</v>
      </c>
      <c r="AR1036">
        <v>0</v>
      </c>
      <c r="AT1036">
        <v>0</v>
      </c>
      <c r="AU1036">
        <v>0</v>
      </c>
      <c r="AW1036">
        <v>0</v>
      </c>
      <c r="AX1036">
        <v>0</v>
      </c>
      <c r="AY1036">
        <v>140</v>
      </c>
      <c r="BC1036" t="str">
        <f>T("9788997946006")</f>
        <v>9788997946006</v>
      </c>
      <c r="BE1036" t="str">
        <f t="shared" si="144"/>
        <v>판타지 웹소설 &gt; 현대 판타지</v>
      </c>
    </row>
    <row r="1037" spans="1:57" x14ac:dyDescent="0.3">
      <c r="A1037">
        <v>1525004030</v>
      </c>
      <c r="B1037">
        <v>1525004429</v>
      </c>
      <c r="C1037" t="str">
        <f>T("회귀의 전설 413화")</f>
        <v>회귀의 전설 413화</v>
      </c>
      <c r="D1037" t="str">
        <f>T("413")</f>
        <v>413</v>
      </c>
      <c r="E1037" t="str">
        <f t="shared" si="142"/>
        <v>김광수</v>
      </c>
      <c r="H1037" t="str">
        <f t="shared" si="141"/>
        <v>스토리위즈</v>
      </c>
      <c r="I1037" t="str">
        <f t="shared" si="143"/>
        <v>회귀의 전설</v>
      </c>
      <c r="J1037">
        <v>100</v>
      </c>
      <c r="K1037">
        <v>200</v>
      </c>
      <c r="L1037">
        <v>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200</v>
      </c>
      <c r="AH1037">
        <v>2</v>
      </c>
      <c r="AI1037">
        <v>0</v>
      </c>
      <c r="AJ1037">
        <v>0</v>
      </c>
      <c r="AK1037">
        <v>200</v>
      </c>
      <c r="AL1037">
        <v>0</v>
      </c>
      <c r="AM1037">
        <v>0</v>
      </c>
      <c r="AN1037">
        <v>0</v>
      </c>
      <c r="AO1037">
        <v>0</v>
      </c>
      <c r="AQ1037">
        <v>0</v>
      </c>
      <c r="AR1037">
        <v>0</v>
      </c>
      <c r="AT1037">
        <v>0</v>
      </c>
      <c r="AU1037">
        <v>0</v>
      </c>
      <c r="AW1037">
        <v>0</v>
      </c>
      <c r="AX1037">
        <v>0</v>
      </c>
      <c r="AY1037">
        <v>140</v>
      </c>
      <c r="BC1037" t="str">
        <f>T("9788997946006")</f>
        <v>9788997946006</v>
      </c>
      <c r="BE1037" t="str">
        <f t="shared" si="144"/>
        <v>판타지 웹소설 &gt; 현대 판타지</v>
      </c>
    </row>
    <row r="1038" spans="1:57" x14ac:dyDescent="0.3">
      <c r="A1038">
        <v>1525004030</v>
      </c>
      <c r="B1038">
        <v>1525004486</v>
      </c>
      <c r="C1038" t="str">
        <f>T("회귀의 전설 470화")</f>
        <v>회귀의 전설 470화</v>
      </c>
      <c r="D1038" t="str">
        <f>T("470")</f>
        <v>470</v>
      </c>
      <c r="E1038" t="str">
        <f t="shared" si="142"/>
        <v>김광수</v>
      </c>
      <c r="H1038" t="str">
        <f t="shared" si="141"/>
        <v>스토리위즈</v>
      </c>
      <c r="I1038" t="str">
        <f t="shared" si="143"/>
        <v>회귀의 전설</v>
      </c>
      <c r="J1038">
        <v>100</v>
      </c>
      <c r="K1038">
        <v>200</v>
      </c>
      <c r="L1038">
        <v>2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200</v>
      </c>
      <c r="AH1038">
        <v>2</v>
      </c>
      <c r="AI1038">
        <v>0</v>
      </c>
      <c r="AJ1038">
        <v>0</v>
      </c>
      <c r="AK1038">
        <v>200</v>
      </c>
      <c r="AL1038">
        <v>0</v>
      </c>
      <c r="AM1038">
        <v>0</v>
      </c>
      <c r="AN1038">
        <v>0</v>
      </c>
      <c r="AO1038">
        <v>0</v>
      </c>
      <c r="AQ1038">
        <v>0</v>
      </c>
      <c r="AR1038">
        <v>0</v>
      </c>
      <c r="AT1038">
        <v>0</v>
      </c>
      <c r="AU1038">
        <v>0</v>
      </c>
      <c r="AW1038">
        <v>0</v>
      </c>
      <c r="AX1038">
        <v>0</v>
      </c>
      <c r="AY1038">
        <v>140</v>
      </c>
      <c r="BC1038" t="str">
        <f>T("9788997946006")</f>
        <v>9788997946006</v>
      </c>
      <c r="BE1038" t="str">
        <f t="shared" si="144"/>
        <v>판타지 웹소설 &gt; 현대 판타지</v>
      </c>
    </row>
    <row r="1039" spans="1:57" x14ac:dyDescent="0.3">
      <c r="A1039">
        <v>1525004030</v>
      </c>
      <c r="B1039">
        <v>1525004291</v>
      </c>
      <c r="C1039" t="str">
        <f>T("회귀의 전설 262화")</f>
        <v>회귀의 전설 262화</v>
      </c>
      <c r="D1039" t="str">
        <f>T("262")</f>
        <v>262</v>
      </c>
      <c r="E1039" t="str">
        <f t="shared" si="142"/>
        <v>김광수</v>
      </c>
      <c r="H1039" t="str">
        <f t="shared" si="141"/>
        <v>스토리위즈</v>
      </c>
      <c r="I1039" t="str">
        <f t="shared" si="143"/>
        <v>회귀의 전설</v>
      </c>
      <c r="J1039">
        <v>100</v>
      </c>
      <c r="K1039">
        <v>200</v>
      </c>
      <c r="L1039">
        <v>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200</v>
      </c>
      <c r="AH1039">
        <v>2</v>
      </c>
      <c r="AI1039">
        <v>0</v>
      </c>
      <c r="AJ1039">
        <v>0</v>
      </c>
      <c r="AK1039">
        <v>200</v>
      </c>
      <c r="AL1039">
        <v>0</v>
      </c>
      <c r="AM1039">
        <v>0</v>
      </c>
      <c r="AN1039">
        <v>0</v>
      </c>
      <c r="AO1039">
        <v>0</v>
      </c>
      <c r="AQ1039">
        <v>0</v>
      </c>
      <c r="AR1039">
        <v>0</v>
      </c>
      <c r="AT1039">
        <v>0</v>
      </c>
      <c r="AU1039">
        <v>0</v>
      </c>
      <c r="AW1039">
        <v>0</v>
      </c>
      <c r="AX1039">
        <v>0</v>
      </c>
      <c r="AY1039">
        <v>140</v>
      </c>
      <c r="BC1039" t="str">
        <f>T("9788997946006")</f>
        <v>9788997946006</v>
      </c>
      <c r="BE1039" t="str">
        <f t="shared" si="144"/>
        <v>판타지 웹소설 &gt; 현대 판타지</v>
      </c>
    </row>
    <row r="1040" spans="1:57" x14ac:dyDescent="0.3">
      <c r="A1040">
        <v>1525004030</v>
      </c>
      <c r="B1040">
        <v>1525006659</v>
      </c>
      <c r="C1040" t="str">
        <f>T("회귀의 전설 2부 542화")</f>
        <v>회귀의 전설 2부 542화</v>
      </c>
      <c r="D1040" t="str">
        <f>T("542")</f>
        <v>542</v>
      </c>
      <c r="E1040" t="str">
        <f t="shared" si="142"/>
        <v>김광수</v>
      </c>
      <c r="H1040" t="str">
        <f t="shared" si="141"/>
        <v>스토리위즈</v>
      </c>
      <c r="I1040" t="str">
        <f t="shared" si="143"/>
        <v>회귀의 전설</v>
      </c>
      <c r="J1040">
        <v>100</v>
      </c>
      <c r="K1040">
        <v>200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200</v>
      </c>
      <c r="AH1040">
        <v>2</v>
      </c>
      <c r="AI1040">
        <v>0</v>
      </c>
      <c r="AJ1040">
        <v>0</v>
      </c>
      <c r="AK1040">
        <v>200</v>
      </c>
      <c r="AL1040">
        <v>0</v>
      </c>
      <c r="AM1040">
        <v>0</v>
      </c>
      <c r="AN1040">
        <v>0</v>
      </c>
      <c r="AO1040">
        <v>0</v>
      </c>
      <c r="AQ1040">
        <v>0</v>
      </c>
      <c r="AR1040">
        <v>0</v>
      </c>
      <c r="AT1040">
        <v>0</v>
      </c>
      <c r="AU1040">
        <v>0</v>
      </c>
      <c r="AW1040">
        <v>0</v>
      </c>
      <c r="AX1040">
        <v>0</v>
      </c>
      <c r="AY1040">
        <v>140</v>
      </c>
      <c r="BC1040" t="str">
        <f>T("9791191102086")</f>
        <v>9791191102086</v>
      </c>
      <c r="BE1040" t="str">
        <f t="shared" si="144"/>
        <v>판타지 웹소설 &gt; 현대 판타지</v>
      </c>
    </row>
    <row r="1041" spans="1:57" x14ac:dyDescent="0.3">
      <c r="A1041">
        <v>1525008428</v>
      </c>
      <c r="B1041">
        <v>1525008433</v>
      </c>
      <c r="C1041" t="str">
        <f>T("무히비(Muhibbi) 24화")</f>
        <v>무히비(Muhibbi) 24화</v>
      </c>
      <c r="D1041" t="str">
        <f>T("24")</f>
        <v>24</v>
      </c>
      <c r="E1041" t="str">
        <f>T("jooki")</f>
        <v>jooki</v>
      </c>
      <c r="H1041" t="str">
        <f>T("블러쉬")</f>
        <v>블러쉬</v>
      </c>
      <c r="I1041" t="str">
        <f>T("무히비(Muhibbi)")</f>
        <v>무히비(Muhibbi)</v>
      </c>
      <c r="J1041">
        <v>100</v>
      </c>
      <c r="K1041">
        <v>200</v>
      </c>
      <c r="L1041">
        <v>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200</v>
      </c>
      <c r="AH1041">
        <v>2</v>
      </c>
      <c r="AI1041">
        <v>0</v>
      </c>
      <c r="AJ1041">
        <v>0</v>
      </c>
      <c r="AK1041">
        <v>200</v>
      </c>
      <c r="AL1041">
        <v>0</v>
      </c>
      <c r="AM1041">
        <v>0</v>
      </c>
      <c r="AN1041">
        <v>0</v>
      </c>
      <c r="AO1041">
        <v>0</v>
      </c>
      <c r="AQ1041">
        <v>0</v>
      </c>
      <c r="AR1041">
        <v>0</v>
      </c>
      <c r="AT1041">
        <v>0</v>
      </c>
      <c r="AU1041">
        <v>0</v>
      </c>
      <c r="AW1041">
        <v>0</v>
      </c>
      <c r="AX1041">
        <v>0</v>
      </c>
      <c r="AY1041">
        <v>140</v>
      </c>
      <c r="BC1041" t="str">
        <f>T("9791164896622")</f>
        <v>9791164896622</v>
      </c>
      <c r="BE1041" t="str">
        <f>T("BL 웹소설 &gt; 역사/시대물")</f>
        <v>BL 웹소설 &gt; 역사/시대물</v>
      </c>
    </row>
    <row r="1042" spans="1:57" x14ac:dyDescent="0.3">
      <c r="A1042">
        <v>1525004799</v>
      </c>
      <c r="B1042">
        <v>1525004974</v>
      </c>
      <c r="C1042" t="str">
        <f>T("검산도해 176화")</f>
        <v>검산도해 176화</v>
      </c>
      <c r="D1042" t="str">
        <f>T("176")</f>
        <v>176</v>
      </c>
      <c r="E1042" t="str">
        <f>T("권용찬")</f>
        <v>권용찬</v>
      </c>
      <c r="H1042" t="str">
        <f t="shared" ref="H1042:H1094" si="147">T("스토리위즈")</f>
        <v>스토리위즈</v>
      </c>
      <c r="I1042" t="str">
        <f>T("검산도해")</f>
        <v>검산도해</v>
      </c>
      <c r="J1042">
        <v>100</v>
      </c>
      <c r="K1042">
        <v>200</v>
      </c>
      <c r="L1042">
        <v>2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200</v>
      </c>
      <c r="AH1042">
        <v>2</v>
      </c>
      <c r="AI1042">
        <v>0</v>
      </c>
      <c r="AJ1042">
        <v>0</v>
      </c>
      <c r="AK1042">
        <v>100</v>
      </c>
      <c r="AL1042">
        <v>0</v>
      </c>
      <c r="AM1042">
        <v>120</v>
      </c>
      <c r="AN1042">
        <v>-12</v>
      </c>
      <c r="AO1042">
        <v>0</v>
      </c>
      <c r="AQ1042">
        <v>0</v>
      </c>
      <c r="AR1042">
        <v>0</v>
      </c>
      <c r="AS1042">
        <v>120</v>
      </c>
      <c r="AT1042">
        <v>-12</v>
      </c>
      <c r="AU1042">
        <v>0</v>
      </c>
      <c r="AW1042">
        <v>0</v>
      </c>
      <c r="AX1042">
        <v>0</v>
      </c>
      <c r="AY1042">
        <v>145.6</v>
      </c>
      <c r="BC1042" t="str">
        <f>T("9791159285936")</f>
        <v>9791159285936</v>
      </c>
      <c r="BE1042" t="str">
        <f>T("판타지 웹소설 &gt; 무협 소설")</f>
        <v>판타지 웹소설 &gt; 무협 소설</v>
      </c>
    </row>
    <row r="1043" spans="1:57" x14ac:dyDescent="0.3">
      <c r="A1043">
        <v>1525004030</v>
      </c>
      <c r="B1043">
        <v>1525004323</v>
      </c>
      <c r="C1043" t="str">
        <f>T("회귀의 전설 294화")</f>
        <v>회귀의 전설 294화</v>
      </c>
      <c r="D1043" t="str">
        <f>T("294")</f>
        <v>294</v>
      </c>
      <c r="E1043" t="str">
        <f t="shared" ref="E1043:E1057" si="148">T("김광수")</f>
        <v>김광수</v>
      </c>
      <c r="H1043" t="str">
        <f t="shared" si="147"/>
        <v>스토리위즈</v>
      </c>
      <c r="I1043" t="str">
        <f t="shared" ref="I1043:I1057" si="149">T("회귀의 전설")</f>
        <v>회귀의 전설</v>
      </c>
      <c r="J1043">
        <v>100</v>
      </c>
      <c r="K1043">
        <v>200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200</v>
      </c>
      <c r="AH1043">
        <v>2</v>
      </c>
      <c r="AI1043">
        <v>0</v>
      </c>
      <c r="AJ1043">
        <v>0</v>
      </c>
      <c r="AK1043">
        <v>200</v>
      </c>
      <c r="AL1043">
        <v>0</v>
      </c>
      <c r="AM1043">
        <v>0</v>
      </c>
      <c r="AN1043">
        <v>0</v>
      </c>
      <c r="AO1043">
        <v>0</v>
      </c>
      <c r="AQ1043">
        <v>0</v>
      </c>
      <c r="AR1043">
        <v>0</v>
      </c>
      <c r="AT1043">
        <v>0</v>
      </c>
      <c r="AU1043">
        <v>0</v>
      </c>
      <c r="AW1043">
        <v>0</v>
      </c>
      <c r="AX1043">
        <v>0</v>
      </c>
      <c r="AY1043">
        <v>140</v>
      </c>
      <c r="BC1043" t="str">
        <f>T("9788997946006")</f>
        <v>9788997946006</v>
      </c>
      <c r="BE1043" t="str">
        <f t="shared" ref="BE1043:BE1057" si="150">T("판타지 웹소설 &gt; 현대 판타지")</f>
        <v>판타지 웹소설 &gt; 현대 판타지</v>
      </c>
    </row>
    <row r="1044" spans="1:57" x14ac:dyDescent="0.3">
      <c r="A1044">
        <v>1525004030</v>
      </c>
      <c r="B1044">
        <v>1525004519</v>
      </c>
      <c r="C1044" t="str">
        <f>T("회귀의 전설 390화")</f>
        <v>회귀의 전설 390화</v>
      </c>
      <c r="D1044" t="str">
        <f>T("390")</f>
        <v>390</v>
      </c>
      <c r="E1044" t="str">
        <f t="shared" si="148"/>
        <v>김광수</v>
      </c>
      <c r="H1044" t="str">
        <f t="shared" si="147"/>
        <v>스토리위즈</v>
      </c>
      <c r="I1044" t="str">
        <f t="shared" si="149"/>
        <v>회귀의 전설</v>
      </c>
      <c r="J1044">
        <v>100</v>
      </c>
      <c r="K1044">
        <v>200</v>
      </c>
      <c r="L1044">
        <v>2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200</v>
      </c>
      <c r="AH1044">
        <v>2</v>
      </c>
      <c r="AI1044">
        <v>0</v>
      </c>
      <c r="AJ1044">
        <v>0</v>
      </c>
      <c r="AK1044">
        <v>200</v>
      </c>
      <c r="AL1044">
        <v>0</v>
      </c>
      <c r="AM1044">
        <v>0</v>
      </c>
      <c r="AN1044">
        <v>0</v>
      </c>
      <c r="AO1044">
        <v>0</v>
      </c>
      <c r="AQ1044">
        <v>0</v>
      </c>
      <c r="AR1044">
        <v>0</v>
      </c>
      <c r="AT1044">
        <v>0</v>
      </c>
      <c r="AU1044">
        <v>0</v>
      </c>
      <c r="AW1044">
        <v>0</v>
      </c>
      <c r="AX1044">
        <v>0</v>
      </c>
      <c r="AY1044">
        <v>140</v>
      </c>
      <c r="BC1044" t="str">
        <f>T("9788997946006")</f>
        <v>9788997946006</v>
      </c>
      <c r="BE1044" t="str">
        <f t="shared" si="150"/>
        <v>판타지 웹소설 &gt; 현대 판타지</v>
      </c>
    </row>
    <row r="1045" spans="1:57" x14ac:dyDescent="0.3">
      <c r="A1045">
        <v>1525004030</v>
      </c>
      <c r="B1045">
        <v>1525004234</v>
      </c>
      <c r="C1045" t="str">
        <f>T("회귀의 전설 205화")</f>
        <v>회귀의 전설 205화</v>
      </c>
      <c r="D1045" t="str">
        <f>T("205")</f>
        <v>205</v>
      </c>
      <c r="E1045" t="str">
        <f t="shared" si="148"/>
        <v>김광수</v>
      </c>
      <c r="H1045" t="str">
        <f t="shared" si="147"/>
        <v>스토리위즈</v>
      </c>
      <c r="I1045" t="str">
        <f t="shared" si="149"/>
        <v>회귀의 전설</v>
      </c>
      <c r="J1045">
        <v>100</v>
      </c>
      <c r="K1045">
        <v>200</v>
      </c>
      <c r="L1045">
        <v>2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200</v>
      </c>
      <c r="AH1045">
        <v>2</v>
      </c>
      <c r="AI1045">
        <v>0</v>
      </c>
      <c r="AJ1045">
        <v>0</v>
      </c>
      <c r="AK1045">
        <v>200</v>
      </c>
      <c r="AL1045">
        <v>0</v>
      </c>
      <c r="AM1045">
        <v>0</v>
      </c>
      <c r="AN1045">
        <v>0</v>
      </c>
      <c r="AO1045">
        <v>0</v>
      </c>
      <c r="AQ1045">
        <v>0</v>
      </c>
      <c r="AR1045">
        <v>0</v>
      </c>
      <c r="AT1045">
        <v>0</v>
      </c>
      <c r="AU1045">
        <v>0</v>
      </c>
      <c r="AW1045">
        <v>0</v>
      </c>
      <c r="AX1045">
        <v>0</v>
      </c>
      <c r="AY1045">
        <v>140</v>
      </c>
      <c r="BC1045" t="str">
        <f>T("9788997946006")</f>
        <v>9788997946006</v>
      </c>
      <c r="BE1045" t="str">
        <f t="shared" si="150"/>
        <v>판타지 웹소설 &gt; 현대 판타지</v>
      </c>
    </row>
    <row r="1046" spans="1:57" x14ac:dyDescent="0.3">
      <c r="A1046">
        <v>1525004030</v>
      </c>
      <c r="B1046">
        <v>1525006691</v>
      </c>
      <c r="C1046" t="str">
        <f>T("회귀의 전설 2부 574화")</f>
        <v>회귀의 전설 2부 574화</v>
      </c>
      <c r="D1046" t="str">
        <f>T("574")</f>
        <v>574</v>
      </c>
      <c r="E1046" t="str">
        <f t="shared" si="148"/>
        <v>김광수</v>
      </c>
      <c r="H1046" t="str">
        <f t="shared" si="147"/>
        <v>스토리위즈</v>
      </c>
      <c r="I1046" t="str">
        <f t="shared" si="149"/>
        <v>회귀의 전설</v>
      </c>
      <c r="J1046">
        <v>100</v>
      </c>
      <c r="K1046">
        <v>200</v>
      </c>
      <c r="L1046">
        <v>2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200</v>
      </c>
      <c r="AH1046">
        <v>2</v>
      </c>
      <c r="AI1046">
        <v>0</v>
      </c>
      <c r="AJ1046">
        <v>0</v>
      </c>
      <c r="AK1046">
        <v>200</v>
      </c>
      <c r="AL1046">
        <v>0</v>
      </c>
      <c r="AM1046">
        <v>0</v>
      </c>
      <c r="AN1046">
        <v>0</v>
      </c>
      <c r="AO1046">
        <v>0</v>
      </c>
      <c r="AQ1046">
        <v>0</v>
      </c>
      <c r="AR1046">
        <v>0</v>
      </c>
      <c r="AT1046">
        <v>0</v>
      </c>
      <c r="AU1046">
        <v>0</v>
      </c>
      <c r="AW1046">
        <v>0</v>
      </c>
      <c r="AX1046">
        <v>0</v>
      </c>
      <c r="AY1046">
        <v>140</v>
      </c>
      <c r="BC1046" t="str">
        <f>T("9791191102086")</f>
        <v>9791191102086</v>
      </c>
      <c r="BE1046" t="str">
        <f t="shared" si="150"/>
        <v>판타지 웹소설 &gt; 현대 판타지</v>
      </c>
    </row>
    <row r="1047" spans="1:57" x14ac:dyDescent="0.3">
      <c r="A1047">
        <v>1525004030</v>
      </c>
      <c r="B1047">
        <v>1525006846</v>
      </c>
      <c r="C1047" t="str">
        <f>T("회귀의 전설 2부 729화")</f>
        <v>회귀의 전설 2부 729화</v>
      </c>
      <c r="D1047" t="str">
        <f>T("729")</f>
        <v>729</v>
      </c>
      <c r="E1047" t="str">
        <f t="shared" si="148"/>
        <v>김광수</v>
      </c>
      <c r="H1047" t="str">
        <f t="shared" si="147"/>
        <v>스토리위즈</v>
      </c>
      <c r="I1047" t="str">
        <f t="shared" si="149"/>
        <v>회귀의 전설</v>
      </c>
      <c r="J1047">
        <v>100</v>
      </c>
      <c r="K1047">
        <v>200</v>
      </c>
      <c r="L1047">
        <v>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200</v>
      </c>
      <c r="AH1047">
        <v>2</v>
      </c>
      <c r="AI1047">
        <v>0</v>
      </c>
      <c r="AJ1047">
        <v>0</v>
      </c>
      <c r="AK1047">
        <v>100</v>
      </c>
      <c r="AL1047">
        <v>0</v>
      </c>
      <c r="AM1047">
        <v>120</v>
      </c>
      <c r="AN1047">
        <v>-12</v>
      </c>
      <c r="AO1047">
        <v>0</v>
      </c>
      <c r="AQ1047">
        <v>0</v>
      </c>
      <c r="AR1047">
        <v>0</v>
      </c>
      <c r="AS1047">
        <v>120</v>
      </c>
      <c r="AT1047">
        <v>-12</v>
      </c>
      <c r="AU1047">
        <v>0</v>
      </c>
      <c r="AW1047">
        <v>0</v>
      </c>
      <c r="AX1047">
        <v>0</v>
      </c>
      <c r="AY1047">
        <v>145.6</v>
      </c>
      <c r="BC1047" t="str">
        <f>T("9791191102086")</f>
        <v>9791191102086</v>
      </c>
      <c r="BE1047" t="str">
        <f t="shared" si="150"/>
        <v>판타지 웹소설 &gt; 현대 판타지</v>
      </c>
    </row>
    <row r="1048" spans="1:57" x14ac:dyDescent="0.3">
      <c r="A1048">
        <v>1525004030</v>
      </c>
      <c r="B1048">
        <v>1525006805</v>
      </c>
      <c r="C1048" t="str">
        <f>T("회귀의 전설 2부 688화")</f>
        <v>회귀의 전설 2부 688화</v>
      </c>
      <c r="D1048" t="str">
        <f>T("688")</f>
        <v>688</v>
      </c>
      <c r="E1048" t="str">
        <f t="shared" si="148"/>
        <v>김광수</v>
      </c>
      <c r="H1048" t="str">
        <f t="shared" si="147"/>
        <v>스토리위즈</v>
      </c>
      <c r="I1048" t="str">
        <f t="shared" si="149"/>
        <v>회귀의 전설</v>
      </c>
      <c r="J1048">
        <v>100</v>
      </c>
      <c r="K1048">
        <v>200</v>
      </c>
      <c r="L1048">
        <v>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200</v>
      </c>
      <c r="AH1048">
        <v>2</v>
      </c>
      <c r="AI1048">
        <v>0</v>
      </c>
      <c r="AJ1048">
        <v>0</v>
      </c>
      <c r="AK1048">
        <v>100</v>
      </c>
      <c r="AL1048">
        <v>0</v>
      </c>
      <c r="AM1048">
        <v>120</v>
      </c>
      <c r="AN1048">
        <v>-12</v>
      </c>
      <c r="AO1048">
        <v>0</v>
      </c>
      <c r="AQ1048">
        <v>0</v>
      </c>
      <c r="AR1048">
        <v>0</v>
      </c>
      <c r="AS1048">
        <v>120</v>
      </c>
      <c r="AT1048">
        <v>-12</v>
      </c>
      <c r="AU1048">
        <v>0</v>
      </c>
      <c r="AW1048">
        <v>0</v>
      </c>
      <c r="AX1048">
        <v>0</v>
      </c>
      <c r="AY1048">
        <v>145.6</v>
      </c>
      <c r="BC1048" t="str">
        <f>T("9791191102086")</f>
        <v>9791191102086</v>
      </c>
      <c r="BE1048" t="str">
        <f t="shared" si="150"/>
        <v>판타지 웹소설 &gt; 현대 판타지</v>
      </c>
    </row>
    <row r="1049" spans="1:57" x14ac:dyDescent="0.3">
      <c r="A1049">
        <v>1525004030</v>
      </c>
      <c r="B1049">
        <v>1525004312</v>
      </c>
      <c r="C1049" t="str">
        <f>T("회귀의 전설 283화")</f>
        <v>회귀의 전설 283화</v>
      </c>
      <c r="D1049" t="str">
        <f>T("283")</f>
        <v>283</v>
      </c>
      <c r="E1049" t="str">
        <f t="shared" si="148"/>
        <v>김광수</v>
      </c>
      <c r="H1049" t="str">
        <f t="shared" si="147"/>
        <v>스토리위즈</v>
      </c>
      <c r="I1049" t="str">
        <f t="shared" si="149"/>
        <v>회귀의 전설</v>
      </c>
      <c r="J1049">
        <v>100</v>
      </c>
      <c r="K1049">
        <v>200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200</v>
      </c>
      <c r="AH1049">
        <v>2</v>
      </c>
      <c r="AI1049">
        <v>0</v>
      </c>
      <c r="AJ1049">
        <v>0</v>
      </c>
      <c r="AK1049">
        <v>200</v>
      </c>
      <c r="AL1049">
        <v>0</v>
      </c>
      <c r="AM1049">
        <v>0</v>
      </c>
      <c r="AN1049">
        <v>0</v>
      </c>
      <c r="AO1049">
        <v>0</v>
      </c>
      <c r="AQ1049">
        <v>0</v>
      </c>
      <c r="AR1049">
        <v>0</v>
      </c>
      <c r="AT1049">
        <v>0</v>
      </c>
      <c r="AU1049">
        <v>0</v>
      </c>
      <c r="AW1049">
        <v>0</v>
      </c>
      <c r="AX1049">
        <v>0</v>
      </c>
      <c r="AY1049">
        <v>140</v>
      </c>
      <c r="BC1049" t="str">
        <f>T("9788997946006")</f>
        <v>9788997946006</v>
      </c>
      <c r="BE1049" t="str">
        <f t="shared" si="150"/>
        <v>판타지 웹소설 &gt; 현대 판타지</v>
      </c>
    </row>
    <row r="1050" spans="1:57" x14ac:dyDescent="0.3">
      <c r="A1050">
        <v>1525004030</v>
      </c>
      <c r="B1050">
        <v>1525004223</v>
      </c>
      <c r="C1050" t="str">
        <f>T("회귀의 전설 194화")</f>
        <v>회귀의 전설 194화</v>
      </c>
      <c r="D1050" t="str">
        <f>T("194")</f>
        <v>194</v>
      </c>
      <c r="E1050" t="str">
        <f t="shared" si="148"/>
        <v>김광수</v>
      </c>
      <c r="H1050" t="str">
        <f t="shared" si="147"/>
        <v>스토리위즈</v>
      </c>
      <c r="I1050" t="str">
        <f t="shared" si="149"/>
        <v>회귀의 전설</v>
      </c>
      <c r="J1050">
        <v>100</v>
      </c>
      <c r="K1050">
        <v>200</v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200</v>
      </c>
      <c r="AH1050">
        <v>2</v>
      </c>
      <c r="AI1050">
        <v>0</v>
      </c>
      <c r="AJ1050">
        <v>0</v>
      </c>
      <c r="AK1050">
        <v>200</v>
      </c>
      <c r="AL1050">
        <v>0</v>
      </c>
      <c r="AM1050">
        <v>0</v>
      </c>
      <c r="AN1050">
        <v>0</v>
      </c>
      <c r="AO1050">
        <v>0</v>
      </c>
      <c r="AQ1050">
        <v>0</v>
      </c>
      <c r="AR1050">
        <v>0</v>
      </c>
      <c r="AT1050">
        <v>0</v>
      </c>
      <c r="AU1050">
        <v>0</v>
      </c>
      <c r="AW1050">
        <v>0</v>
      </c>
      <c r="AX1050">
        <v>0</v>
      </c>
      <c r="AY1050">
        <v>140</v>
      </c>
      <c r="BC1050" t="str">
        <f>T("9788997946006")</f>
        <v>9788997946006</v>
      </c>
      <c r="BE1050" t="str">
        <f t="shared" si="150"/>
        <v>판타지 웹소설 &gt; 현대 판타지</v>
      </c>
    </row>
    <row r="1051" spans="1:57" x14ac:dyDescent="0.3">
      <c r="A1051">
        <v>1525004030</v>
      </c>
      <c r="B1051">
        <v>1525006680</v>
      </c>
      <c r="C1051" t="str">
        <f>T("회귀의 전설 2부 563화")</f>
        <v>회귀의 전설 2부 563화</v>
      </c>
      <c r="D1051" t="str">
        <f>T("563")</f>
        <v>563</v>
      </c>
      <c r="E1051" t="str">
        <f t="shared" si="148"/>
        <v>김광수</v>
      </c>
      <c r="H1051" t="str">
        <f t="shared" si="147"/>
        <v>스토리위즈</v>
      </c>
      <c r="I1051" t="str">
        <f t="shared" si="149"/>
        <v>회귀의 전설</v>
      </c>
      <c r="J1051">
        <v>100</v>
      </c>
      <c r="K1051">
        <v>200</v>
      </c>
      <c r="L1051">
        <v>2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200</v>
      </c>
      <c r="AH1051">
        <v>2</v>
      </c>
      <c r="AI1051">
        <v>0</v>
      </c>
      <c r="AJ1051">
        <v>0</v>
      </c>
      <c r="AK1051">
        <v>200</v>
      </c>
      <c r="AL1051">
        <v>0</v>
      </c>
      <c r="AM1051">
        <v>0</v>
      </c>
      <c r="AN1051">
        <v>0</v>
      </c>
      <c r="AO1051">
        <v>0</v>
      </c>
      <c r="AQ1051">
        <v>0</v>
      </c>
      <c r="AR1051">
        <v>0</v>
      </c>
      <c r="AT1051">
        <v>0</v>
      </c>
      <c r="AU1051">
        <v>0</v>
      </c>
      <c r="AW1051">
        <v>0</v>
      </c>
      <c r="AX1051">
        <v>0</v>
      </c>
      <c r="AY1051">
        <v>140</v>
      </c>
      <c r="BC1051" t="str">
        <f>T("9791191102086")</f>
        <v>9791191102086</v>
      </c>
      <c r="BE1051" t="str">
        <f t="shared" si="150"/>
        <v>판타지 웹소설 &gt; 현대 판타지</v>
      </c>
    </row>
    <row r="1052" spans="1:57" x14ac:dyDescent="0.3">
      <c r="A1052">
        <v>1525004030</v>
      </c>
      <c r="B1052">
        <v>1525004100</v>
      </c>
      <c r="C1052" t="str">
        <f>T("회귀의 전설 71화")</f>
        <v>회귀의 전설 71화</v>
      </c>
      <c r="D1052" t="str">
        <f>T("71")</f>
        <v>71</v>
      </c>
      <c r="E1052" t="str">
        <f t="shared" si="148"/>
        <v>김광수</v>
      </c>
      <c r="H1052" t="str">
        <f t="shared" si="147"/>
        <v>스토리위즈</v>
      </c>
      <c r="I1052" t="str">
        <f t="shared" si="149"/>
        <v>회귀의 전설</v>
      </c>
      <c r="J1052">
        <v>100</v>
      </c>
      <c r="K1052">
        <v>200</v>
      </c>
      <c r="L1052">
        <v>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200</v>
      </c>
      <c r="AH1052">
        <v>2</v>
      </c>
      <c r="AI1052">
        <v>0</v>
      </c>
      <c r="AJ1052">
        <v>0</v>
      </c>
      <c r="AK1052">
        <v>100</v>
      </c>
      <c r="AL1052">
        <v>0</v>
      </c>
      <c r="AM1052">
        <v>120</v>
      </c>
      <c r="AN1052">
        <v>-36</v>
      </c>
      <c r="AO1052">
        <v>0</v>
      </c>
      <c r="AQ1052">
        <v>0</v>
      </c>
      <c r="AR1052">
        <v>0</v>
      </c>
      <c r="AS1052">
        <v>120</v>
      </c>
      <c r="AT1052">
        <v>-36</v>
      </c>
      <c r="AU1052">
        <v>0</v>
      </c>
      <c r="AW1052">
        <v>0</v>
      </c>
      <c r="AX1052">
        <v>0</v>
      </c>
      <c r="AY1052">
        <v>128.80000000000001</v>
      </c>
      <c r="BC1052" t="str">
        <f>T("9788997946006")</f>
        <v>9788997946006</v>
      </c>
      <c r="BE1052" t="str">
        <f t="shared" si="150"/>
        <v>판타지 웹소설 &gt; 현대 판타지</v>
      </c>
    </row>
    <row r="1053" spans="1:57" x14ac:dyDescent="0.3">
      <c r="A1053">
        <v>1525004030</v>
      </c>
      <c r="B1053">
        <v>1525006835</v>
      </c>
      <c r="C1053" t="str">
        <f>T("회귀의 전설 2부 718화")</f>
        <v>회귀의 전설 2부 718화</v>
      </c>
      <c r="D1053" t="str">
        <f>T("718")</f>
        <v>718</v>
      </c>
      <c r="E1053" t="str">
        <f t="shared" si="148"/>
        <v>김광수</v>
      </c>
      <c r="H1053" t="str">
        <f t="shared" si="147"/>
        <v>스토리위즈</v>
      </c>
      <c r="I1053" t="str">
        <f t="shared" si="149"/>
        <v>회귀의 전설</v>
      </c>
      <c r="J1053">
        <v>100</v>
      </c>
      <c r="K1053">
        <v>200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200</v>
      </c>
      <c r="AH1053">
        <v>2</v>
      </c>
      <c r="AI1053">
        <v>0</v>
      </c>
      <c r="AJ1053">
        <v>0</v>
      </c>
      <c r="AK1053">
        <v>100</v>
      </c>
      <c r="AL1053">
        <v>0</v>
      </c>
      <c r="AM1053">
        <v>120</v>
      </c>
      <c r="AN1053">
        <v>-12</v>
      </c>
      <c r="AO1053">
        <v>0</v>
      </c>
      <c r="AQ1053">
        <v>0</v>
      </c>
      <c r="AR1053">
        <v>0</v>
      </c>
      <c r="AS1053">
        <v>120</v>
      </c>
      <c r="AT1053">
        <v>-12</v>
      </c>
      <c r="AU1053">
        <v>0</v>
      </c>
      <c r="AW1053">
        <v>0</v>
      </c>
      <c r="AX1053">
        <v>0</v>
      </c>
      <c r="AY1053">
        <v>145.6</v>
      </c>
      <c r="BC1053" t="str">
        <f>T("9791191102086")</f>
        <v>9791191102086</v>
      </c>
      <c r="BE1053" t="str">
        <f t="shared" si="150"/>
        <v>판타지 웹소설 &gt; 현대 판타지</v>
      </c>
    </row>
    <row r="1054" spans="1:57" x14ac:dyDescent="0.3">
      <c r="A1054">
        <v>1525004030</v>
      </c>
      <c r="B1054">
        <v>1525006794</v>
      </c>
      <c r="C1054" t="str">
        <f>T("회귀의 전설 2부 677화")</f>
        <v>회귀의 전설 2부 677화</v>
      </c>
      <c r="D1054" t="str">
        <f>T("677")</f>
        <v>677</v>
      </c>
      <c r="E1054" t="str">
        <f t="shared" si="148"/>
        <v>김광수</v>
      </c>
      <c r="H1054" t="str">
        <f t="shared" si="147"/>
        <v>스토리위즈</v>
      </c>
      <c r="I1054" t="str">
        <f t="shared" si="149"/>
        <v>회귀의 전설</v>
      </c>
      <c r="J1054">
        <v>100</v>
      </c>
      <c r="K1054">
        <v>200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200</v>
      </c>
      <c r="AH1054">
        <v>2</v>
      </c>
      <c r="AI1054">
        <v>0</v>
      </c>
      <c r="AJ1054">
        <v>0</v>
      </c>
      <c r="AK1054">
        <v>100</v>
      </c>
      <c r="AL1054">
        <v>0</v>
      </c>
      <c r="AM1054">
        <v>120</v>
      </c>
      <c r="AN1054">
        <v>-12</v>
      </c>
      <c r="AO1054">
        <v>0</v>
      </c>
      <c r="AQ1054">
        <v>0</v>
      </c>
      <c r="AR1054">
        <v>0</v>
      </c>
      <c r="AS1054">
        <v>120</v>
      </c>
      <c r="AT1054">
        <v>-12</v>
      </c>
      <c r="AU1054">
        <v>0</v>
      </c>
      <c r="AW1054">
        <v>0</v>
      </c>
      <c r="AX1054">
        <v>0</v>
      </c>
      <c r="AY1054">
        <v>145.6</v>
      </c>
      <c r="BC1054" t="str">
        <f>T("9791191102086")</f>
        <v>9791191102086</v>
      </c>
      <c r="BE1054" t="str">
        <f t="shared" si="150"/>
        <v>판타지 웹소설 &gt; 현대 판타지</v>
      </c>
    </row>
    <row r="1055" spans="1:57" x14ac:dyDescent="0.3">
      <c r="A1055">
        <v>1525004030</v>
      </c>
      <c r="B1055">
        <v>1525006753</v>
      </c>
      <c r="C1055" t="str">
        <f>T("회귀의 전설 2부 636화")</f>
        <v>회귀의 전설 2부 636화</v>
      </c>
      <c r="D1055" t="str">
        <f>T("636")</f>
        <v>636</v>
      </c>
      <c r="E1055" t="str">
        <f t="shared" si="148"/>
        <v>김광수</v>
      </c>
      <c r="H1055" t="str">
        <f t="shared" si="147"/>
        <v>스토리위즈</v>
      </c>
      <c r="I1055" t="str">
        <f t="shared" si="149"/>
        <v>회귀의 전설</v>
      </c>
      <c r="J1055">
        <v>100</v>
      </c>
      <c r="K1055">
        <v>200</v>
      </c>
      <c r="L1055">
        <v>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200</v>
      </c>
      <c r="AH1055">
        <v>2</v>
      </c>
      <c r="AI1055">
        <v>0</v>
      </c>
      <c r="AJ1055">
        <v>0</v>
      </c>
      <c r="AK1055">
        <v>100</v>
      </c>
      <c r="AL1055">
        <v>0</v>
      </c>
      <c r="AM1055">
        <v>120</v>
      </c>
      <c r="AN1055">
        <v>-12</v>
      </c>
      <c r="AO1055">
        <v>0</v>
      </c>
      <c r="AQ1055">
        <v>0</v>
      </c>
      <c r="AR1055">
        <v>0</v>
      </c>
      <c r="AS1055">
        <v>120</v>
      </c>
      <c r="AT1055">
        <v>-12</v>
      </c>
      <c r="AU1055">
        <v>0</v>
      </c>
      <c r="AW1055">
        <v>0</v>
      </c>
      <c r="AX1055">
        <v>0</v>
      </c>
      <c r="AY1055">
        <v>145.6</v>
      </c>
      <c r="BC1055" t="str">
        <f>T("9791191102086")</f>
        <v>9791191102086</v>
      </c>
      <c r="BE1055" t="str">
        <f t="shared" si="150"/>
        <v>판타지 웹소설 &gt; 현대 판타지</v>
      </c>
    </row>
    <row r="1056" spans="1:57" x14ac:dyDescent="0.3">
      <c r="A1056">
        <v>1525004030</v>
      </c>
      <c r="B1056">
        <v>1525004255</v>
      </c>
      <c r="C1056" t="str">
        <f>T("회귀의 전설 226화")</f>
        <v>회귀의 전설 226화</v>
      </c>
      <c r="D1056" t="str">
        <f>T("226")</f>
        <v>226</v>
      </c>
      <c r="E1056" t="str">
        <f t="shared" si="148"/>
        <v>김광수</v>
      </c>
      <c r="H1056" t="str">
        <f t="shared" si="147"/>
        <v>스토리위즈</v>
      </c>
      <c r="I1056" t="str">
        <f t="shared" si="149"/>
        <v>회귀의 전설</v>
      </c>
      <c r="J1056">
        <v>100</v>
      </c>
      <c r="K1056">
        <v>200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200</v>
      </c>
      <c r="AH1056">
        <v>2</v>
      </c>
      <c r="AI1056">
        <v>0</v>
      </c>
      <c r="AJ1056">
        <v>0</v>
      </c>
      <c r="AK1056">
        <v>200</v>
      </c>
      <c r="AL1056">
        <v>0</v>
      </c>
      <c r="AM1056">
        <v>0</v>
      </c>
      <c r="AN1056">
        <v>0</v>
      </c>
      <c r="AO1056">
        <v>0</v>
      </c>
      <c r="AQ1056">
        <v>0</v>
      </c>
      <c r="AR1056">
        <v>0</v>
      </c>
      <c r="AT1056">
        <v>0</v>
      </c>
      <c r="AU1056">
        <v>0</v>
      </c>
      <c r="AW1056">
        <v>0</v>
      </c>
      <c r="AX1056">
        <v>0</v>
      </c>
      <c r="AY1056">
        <v>140</v>
      </c>
      <c r="BC1056" t="str">
        <f>T("9788997946006")</f>
        <v>9788997946006</v>
      </c>
      <c r="BE1056" t="str">
        <f t="shared" si="150"/>
        <v>판타지 웹소설 &gt; 현대 판타지</v>
      </c>
    </row>
    <row r="1057" spans="1:57" x14ac:dyDescent="0.3">
      <c r="A1057">
        <v>1525004030</v>
      </c>
      <c r="B1057">
        <v>1525004214</v>
      </c>
      <c r="C1057" t="str">
        <f>T("회귀의 전설 185화")</f>
        <v>회귀의 전설 185화</v>
      </c>
      <c r="D1057" t="str">
        <f>T("185")</f>
        <v>185</v>
      </c>
      <c r="E1057" t="str">
        <f t="shared" si="148"/>
        <v>김광수</v>
      </c>
      <c r="H1057" t="str">
        <f t="shared" si="147"/>
        <v>스토리위즈</v>
      </c>
      <c r="I1057" t="str">
        <f t="shared" si="149"/>
        <v>회귀의 전설</v>
      </c>
      <c r="J1057">
        <v>100</v>
      </c>
      <c r="K1057">
        <v>200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200</v>
      </c>
      <c r="AH1057">
        <v>2</v>
      </c>
      <c r="AI1057">
        <v>0</v>
      </c>
      <c r="AJ1057">
        <v>0</v>
      </c>
      <c r="AK1057">
        <v>200</v>
      </c>
      <c r="AL1057">
        <v>0</v>
      </c>
      <c r="AM1057">
        <v>0</v>
      </c>
      <c r="AN1057">
        <v>0</v>
      </c>
      <c r="AO1057">
        <v>0</v>
      </c>
      <c r="AQ1057">
        <v>0</v>
      </c>
      <c r="AR1057">
        <v>0</v>
      </c>
      <c r="AT1057">
        <v>0</v>
      </c>
      <c r="AU1057">
        <v>0</v>
      </c>
      <c r="AW1057">
        <v>0</v>
      </c>
      <c r="AX1057">
        <v>0</v>
      </c>
      <c r="AY1057">
        <v>140</v>
      </c>
      <c r="BC1057" t="str">
        <f>T("9788997946006")</f>
        <v>9788997946006</v>
      </c>
      <c r="BE1057" t="str">
        <f t="shared" si="150"/>
        <v>판타지 웹소설 &gt; 현대 판타지</v>
      </c>
    </row>
    <row r="1058" spans="1:57" x14ac:dyDescent="0.3">
      <c r="A1058">
        <v>1525002864</v>
      </c>
      <c r="B1058">
        <v>1525002892</v>
      </c>
      <c r="C1058" t="str">
        <f>T("소드마스터의 환생 29화")</f>
        <v>소드마스터의 환생 29화</v>
      </c>
      <c r="D1058" t="str">
        <f>T("29")</f>
        <v>29</v>
      </c>
      <c r="E1058" t="str">
        <f>T("파란영")</f>
        <v>파란영</v>
      </c>
      <c r="H1058" t="str">
        <f t="shared" si="147"/>
        <v>스토리위즈</v>
      </c>
      <c r="I1058" t="str">
        <f>T("소드마스터의 환생")</f>
        <v>소드마스터의 환생</v>
      </c>
      <c r="J1058">
        <v>100</v>
      </c>
      <c r="K1058">
        <v>200</v>
      </c>
      <c r="L1058">
        <v>2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200</v>
      </c>
      <c r="AH1058">
        <v>2</v>
      </c>
      <c r="AI1058">
        <v>0</v>
      </c>
      <c r="AJ1058">
        <v>0</v>
      </c>
      <c r="AK1058">
        <v>200</v>
      </c>
      <c r="AL1058">
        <v>0</v>
      </c>
      <c r="AM1058">
        <v>0</v>
      </c>
      <c r="AN1058">
        <v>0</v>
      </c>
      <c r="AO1058">
        <v>0</v>
      </c>
      <c r="AQ1058">
        <v>0</v>
      </c>
      <c r="AR1058">
        <v>0</v>
      </c>
      <c r="AT1058">
        <v>0</v>
      </c>
      <c r="AU1058">
        <v>0</v>
      </c>
      <c r="AW1058">
        <v>0</v>
      </c>
      <c r="AX1058">
        <v>0</v>
      </c>
      <c r="AY1058">
        <v>140</v>
      </c>
      <c r="BC1058" t="str">
        <f>T("9791159287527")</f>
        <v>9791159287527</v>
      </c>
      <c r="BE1058" t="str">
        <f>T("판타지 웹소설 &gt; 정통 판타지")</f>
        <v>판타지 웹소설 &gt; 정통 판타지</v>
      </c>
    </row>
    <row r="1059" spans="1:57" x14ac:dyDescent="0.3">
      <c r="A1059">
        <v>1525004030</v>
      </c>
      <c r="B1059">
        <v>1525006867</v>
      </c>
      <c r="C1059" t="str">
        <f>T("회귀의 전설 2부 750화")</f>
        <v>회귀의 전설 2부 750화</v>
      </c>
      <c r="D1059" t="str">
        <f>T("750")</f>
        <v>750</v>
      </c>
      <c r="E1059" t="str">
        <f t="shared" ref="E1059:E1094" si="151">T("김광수")</f>
        <v>김광수</v>
      </c>
      <c r="H1059" t="str">
        <f t="shared" si="147"/>
        <v>스토리위즈</v>
      </c>
      <c r="I1059" t="str">
        <f t="shared" ref="I1059:I1094" si="152">T("회귀의 전설")</f>
        <v>회귀의 전설</v>
      </c>
      <c r="J1059">
        <v>100</v>
      </c>
      <c r="K1059">
        <v>200</v>
      </c>
      <c r="L1059">
        <v>2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200</v>
      </c>
      <c r="AH1059">
        <v>2</v>
      </c>
      <c r="AI1059">
        <v>0</v>
      </c>
      <c r="AJ1059">
        <v>0</v>
      </c>
      <c r="AK1059">
        <v>100</v>
      </c>
      <c r="AL1059">
        <v>0</v>
      </c>
      <c r="AM1059">
        <v>120</v>
      </c>
      <c r="AN1059">
        <v>-12</v>
      </c>
      <c r="AO1059">
        <v>0</v>
      </c>
      <c r="AQ1059">
        <v>0</v>
      </c>
      <c r="AR1059">
        <v>0</v>
      </c>
      <c r="AS1059">
        <v>120</v>
      </c>
      <c r="AT1059">
        <v>-12</v>
      </c>
      <c r="AU1059">
        <v>0</v>
      </c>
      <c r="AW1059">
        <v>0</v>
      </c>
      <c r="AX1059">
        <v>0</v>
      </c>
      <c r="AY1059">
        <v>145.6</v>
      </c>
      <c r="BC1059" t="str">
        <f>T("9791191102086")</f>
        <v>9791191102086</v>
      </c>
      <c r="BE1059" t="str">
        <f t="shared" ref="BE1059:BE1094" si="153">T("판타지 웹소설 &gt; 현대 판타지")</f>
        <v>판타지 웹소설 &gt; 현대 판타지</v>
      </c>
    </row>
    <row r="1060" spans="1:57" x14ac:dyDescent="0.3">
      <c r="A1060">
        <v>1525004030</v>
      </c>
      <c r="B1060">
        <v>1525004117</v>
      </c>
      <c r="C1060" t="str">
        <f>T("회귀의 전설 88화")</f>
        <v>회귀의 전설 88화</v>
      </c>
      <c r="D1060" t="str">
        <f>T("88")</f>
        <v>88</v>
      </c>
      <c r="E1060" t="str">
        <f t="shared" si="151"/>
        <v>김광수</v>
      </c>
      <c r="H1060" t="str">
        <f t="shared" si="147"/>
        <v>스토리위즈</v>
      </c>
      <c r="I1060" t="str">
        <f t="shared" si="152"/>
        <v>회귀의 전설</v>
      </c>
      <c r="J1060">
        <v>100</v>
      </c>
      <c r="K1060">
        <v>200</v>
      </c>
      <c r="L1060">
        <v>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200</v>
      </c>
      <c r="AH1060">
        <v>2</v>
      </c>
      <c r="AI1060">
        <v>0</v>
      </c>
      <c r="AJ1060">
        <v>0</v>
      </c>
      <c r="AK1060">
        <v>100</v>
      </c>
      <c r="AL1060">
        <v>0</v>
      </c>
      <c r="AM1060">
        <v>120</v>
      </c>
      <c r="AN1060">
        <v>-12</v>
      </c>
      <c r="AO1060">
        <v>0</v>
      </c>
      <c r="AQ1060">
        <v>0</v>
      </c>
      <c r="AR1060">
        <v>0</v>
      </c>
      <c r="AS1060">
        <v>120</v>
      </c>
      <c r="AT1060">
        <v>-12</v>
      </c>
      <c r="AU1060">
        <v>0</v>
      </c>
      <c r="AW1060">
        <v>0</v>
      </c>
      <c r="AX1060">
        <v>0</v>
      </c>
      <c r="AY1060">
        <v>145.6</v>
      </c>
      <c r="BC1060" t="str">
        <f>T("9788997946006")</f>
        <v>9788997946006</v>
      </c>
      <c r="BE1060" t="str">
        <f t="shared" si="153"/>
        <v>판타지 웹소설 &gt; 현대 판타지</v>
      </c>
    </row>
    <row r="1061" spans="1:57" x14ac:dyDescent="0.3">
      <c r="A1061">
        <v>1525004030</v>
      </c>
      <c r="B1061">
        <v>1525004361</v>
      </c>
      <c r="C1061" t="str">
        <f>T("회귀의 전설 333화")</f>
        <v>회귀의 전설 333화</v>
      </c>
      <c r="D1061" t="str">
        <f>T("333")</f>
        <v>333</v>
      </c>
      <c r="E1061" t="str">
        <f t="shared" si="151"/>
        <v>김광수</v>
      </c>
      <c r="H1061" t="str">
        <f t="shared" si="147"/>
        <v>스토리위즈</v>
      </c>
      <c r="I1061" t="str">
        <f t="shared" si="152"/>
        <v>회귀의 전설</v>
      </c>
      <c r="J1061">
        <v>100</v>
      </c>
      <c r="K1061">
        <v>200</v>
      </c>
      <c r="L1061">
        <v>2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200</v>
      </c>
      <c r="AH1061">
        <v>2</v>
      </c>
      <c r="AI1061">
        <v>0</v>
      </c>
      <c r="AJ1061">
        <v>0</v>
      </c>
      <c r="AK1061">
        <v>200</v>
      </c>
      <c r="AL1061">
        <v>0</v>
      </c>
      <c r="AM1061">
        <v>0</v>
      </c>
      <c r="AN1061">
        <v>0</v>
      </c>
      <c r="AO1061">
        <v>0</v>
      </c>
      <c r="AQ1061">
        <v>0</v>
      </c>
      <c r="AR1061">
        <v>0</v>
      </c>
      <c r="AT1061">
        <v>0</v>
      </c>
      <c r="AU1061">
        <v>0</v>
      </c>
      <c r="AW1061">
        <v>0</v>
      </c>
      <c r="AX1061">
        <v>0</v>
      </c>
      <c r="AY1061">
        <v>140</v>
      </c>
      <c r="BC1061" t="str">
        <f>T("9788997946006")</f>
        <v>9788997946006</v>
      </c>
      <c r="BE1061" t="str">
        <f t="shared" si="153"/>
        <v>판타지 웹소설 &gt; 현대 판타지</v>
      </c>
    </row>
    <row r="1062" spans="1:57" x14ac:dyDescent="0.3">
      <c r="A1062">
        <v>1525004030</v>
      </c>
      <c r="B1062">
        <v>1525004418</v>
      </c>
      <c r="C1062" t="str">
        <f>T("회귀의 전설 402화")</f>
        <v>회귀의 전설 402화</v>
      </c>
      <c r="D1062" t="str">
        <f>T("402")</f>
        <v>402</v>
      </c>
      <c r="E1062" t="str">
        <f t="shared" si="151"/>
        <v>김광수</v>
      </c>
      <c r="H1062" t="str">
        <f t="shared" si="147"/>
        <v>스토리위즈</v>
      </c>
      <c r="I1062" t="str">
        <f t="shared" si="152"/>
        <v>회귀의 전설</v>
      </c>
      <c r="J1062">
        <v>100</v>
      </c>
      <c r="K1062">
        <v>200</v>
      </c>
      <c r="L1062">
        <v>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200</v>
      </c>
      <c r="AH1062">
        <v>2</v>
      </c>
      <c r="AI1062">
        <v>0</v>
      </c>
      <c r="AJ1062">
        <v>0</v>
      </c>
      <c r="AK1062">
        <v>200</v>
      </c>
      <c r="AL1062">
        <v>0</v>
      </c>
      <c r="AM1062">
        <v>0</v>
      </c>
      <c r="AN1062">
        <v>0</v>
      </c>
      <c r="AO1062">
        <v>0</v>
      </c>
      <c r="AQ1062">
        <v>0</v>
      </c>
      <c r="AR1062">
        <v>0</v>
      </c>
      <c r="AT1062">
        <v>0</v>
      </c>
      <c r="AU1062">
        <v>0</v>
      </c>
      <c r="AW1062">
        <v>0</v>
      </c>
      <c r="AX1062">
        <v>0</v>
      </c>
      <c r="AY1062">
        <v>140</v>
      </c>
      <c r="BC1062" t="str">
        <f>T("9788997946006")</f>
        <v>9788997946006</v>
      </c>
      <c r="BE1062" t="str">
        <f t="shared" si="153"/>
        <v>판타지 웹소설 &gt; 현대 판타지</v>
      </c>
    </row>
    <row r="1063" spans="1:57" x14ac:dyDescent="0.3">
      <c r="A1063">
        <v>1525004030</v>
      </c>
      <c r="B1063">
        <v>1525006884</v>
      </c>
      <c r="C1063" t="str">
        <f>T("회귀의 전설 2부 767화")</f>
        <v>회귀의 전설 2부 767화</v>
      </c>
      <c r="D1063" t="str">
        <f>T("767")</f>
        <v>767</v>
      </c>
      <c r="E1063" t="str">
        <f t="shared" si="151"/>
        <v>김광수</v>
      </c>
      <c r="H1063" t="str">
        <f t="shared" si="147"/>
        <v>스토리위즈</v>
      </c>
      <c r="I1063" t="str">
        <f t="shared" si="152"/>
        <v>회귀의 전설</v>
      </c>
      <c r="J1063">
        <v>100</v>
      </c>
      <c r="K1063">
        <v>200</v>
      </c>
      <c r="L1063">
        <v>2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200</v>
      </c>
      <c r="AH1063">
        <v>2</v>
      </c>
      <c r="AI1063">
        <v>0</v>
      </c>
      <c r="AJ1063">
        <v>0</v>
      </c>
      <c r="AK1063">
        <v>100</v>
      </c>
      <c r="AL1063">
        <v>0</v>
      </c>
      <c r="AM1063">
        <v>120</v>
      </c>
      <c r="AN1063">
        <v>-12</v>
      </c>
      <c r="AO1063">
        <v>0</v>
      </c>
      <c r="AQ1063">
        <v>0</v>
      </c>
      <c r="AR1063">
        <v>0</v>
      </c>
      <c r="AS1063">
        <v>120</v>
      </c>
      <c r="AT1063">
        <v>-12</v>
      </c>
      <c r="AU1063">
        <v>0</v>
      </c>
      <c r="AW1063">
        <v>0</v>
      </c>
      <c r="AX1063">
        <v>0</v>
      </c>
      <c r="AY1063">
        <v>145.6</v>
      </c>
      <c r="BC1063" t="str">
        <f>T("9791191102086")</f>
        <v>9791191102086</v>
      </c>
      <c r="BE1063" t="str">
        <f t="shared" si="153"/>
        <v>판타지 웹소설 &gt; 현대 판타지</v>
      </c>
    </row>
    <row r="1064" spans="1:57" x14ac:dyDescent="0.3">
      <c r="A1064">
        <v>1525004030</v>
      </c>
      <c r="B1064">
        <v>1525004475</v>
      </c>
      <c r="C1064" t="str">
        <f>T("회귀의 전설 459화")</f>
        <v>회귀의 전설 459화</v>
      </c>
      <c r="D1064" t="str">
        <f>T("459")</f>
        <v>459</v>
      </c>
      <c r="E1064" t="str">
        <f t="shared" si="151"/>
        <v>김광수</v>
      </c>
      <c r="H1064" t="str">
        <f t="shared" si="147"/>
        <v>스토리위즈</v>
      </c>
      <c r="I1064" t="str">
        <f t="shared" si="152"/>
        <v>회귀의 전설</v>
      </c>
      <c r="J1064">
        <v>100</v>
      </c>
      <c r="K1064">
        <v>200</v>
      </c>
      <c r="L1064">
        <v>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200</v>
      </c>
      <c r="AH1064">
        <v>2</v>
      </c>
      <c r="AI1064">
        <v>0</v>
      </c>
      <c r="AJ1064">
        <v>0</v>
      </c>
      <c r="AK1064">
        <v>200</v>
      </c>
      <c r="AL1064">
        <v>0</v>
      </c>
      <c r="AM1064">
        <v>0</v>
      </c>
      <c r="AN1064">
        <v>0</v>
      </c>
      <c r="AO1064">
        <v>0</v>
      </c>
      <c r="AQ1064">
        <v>0</v>
      </c>
      <c r="AR1064">
        <v>0</v>
      </c>
      <c r="AT1064">
        <v>0</v>
      </c>
      <c r="AU1064">
        <v>0</v>
      </c>
      <c r="AW1064">
        <v>0</v>
      </c>
      <c r="AX1064">
        <v>0</v>
      </c>
      <c r="AY1064">
        <v>140</v>
      </c>
      <c r="BC1064" t="str">
        <f>T("9788997946006")</f>
        <v>9788997946006</v>
      </c>
      <c r="BE1064" t="str">
        <f t="shared" si="153"/>
        <v>판타지 웹소설 &gt; 현대 판타지</v>
      </c>
    </row>
    <row r="1065" spans="1:57" x14ac:dyDescent="0.3">
      <c r="A1065">
        <v>1525004030</v>
      </c>
      <c r="B1065">
        <v>1525004280</v>
      </c>
      <c r="C1065" t="str">
        <f>T("회귀의 전설 251화")</f>
        <v>회귀의 전설 251화</v>
      </c>
      <c r="D1065" t="str">
        <f>T("251")</f>
        <v>251</v>
      </c>
      <c r="E1065" t="str">
        <f t="shared" si="151"/>
        <v>김광수</v>
      </c>
      <c r="H1065" t="str">
        <f t="shared" si="147"/>
        <v>스토리위즈</v>
      </c>
      <c r="I1065" t="str">
        <f t="shared" si="152"/>
        <v>회귀의 전설</v>
      </c>
      <c r="J1065">
        <v>100</v>
      </c>
      <c r="K1065">
        <v>200</v>
      </c>
      <c r="L1065">
        <v>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200</v>
      </c>
      <c r="AH1065">
        <v>2</v>
      </c>
      <c r="AI1065">
        <v>0</v>
      </c>
      <c r="AJ1065">
        <v>0</v>
      </c>
      <c r="AK1065">
        <v>200</v>
      </c>
      <c r="AL1065">
        <v>0</v>
      </c>
      <c r="AM1065">
        <v>0</v>
      </c>
      <c r="AN1065">
        <v>0</v>
      </c>
      <c r="AO1065">
        <v>0</v>
      </c>
      <c r="AQ1065">
        <v>0</v>
      </c>
      <c r="AR1065">
        <v>0</v>
      </c>
      <c r="AT1065">
        <v>0</v>
      </c>
      <c r="AU1065">
        <v>0</v>
      </c>
      <c r="AW1065">
        <v>0</v>
      </c>
      <c r="AX1065">
        <v>0</v>
      </c>
      <c r="AY1065">
        <v>140</v>
      </c>
      <c r="BC1065" t="str">
        <f>T("9788997946006")</f>
        <v>9788997946006</v>
      </c>
      <c r="BE1065" t="str">
        <f t="shared" si="153"/>
        <v>판타지 웹소설 &gt; 현대 판타지</v>
      </c>
    </row>
    <row r="1066" spans="1:57" x14ac:dyDescent="0.3">
      <c r="A1066">
        <v>1525004030</v>
      </c>
      <c r="B1066">
        <v>1525004068</v>
      </c>
      <c r="C1066" t="str">
        <f>T("회귀의 전설 39화")</f>
        <v>회귀의 전설 39화</v>
      </c>
      <c r="D1066" t="str">
        <f>T("39")</f>
        <v>39</v>
      </c>
      <c r="E1066" t="str">
        <f t="shared" si="151"/>
        <v>김광수</v>
      </c>
      <c r="H1066" t="str">
        <f t="shared" si="147"/>
        <v>스토리위즈</v>
      </c>
      <c r="I1066" t="str">
        <f t="shared" si="152"/>
        <v>회귀의 전설</v>
      </c>
      <c r="J1066">
        <v>100</v>
      </c>
      <c r="K1066">
        <v>200</v>
      </c>
      <c r="L1066">
        <v>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200</v>
      </c>
      <c r="AH1066">
        <v>2</v>
      </c>
      <c r="AI1066">
        <v>0</v>
      </c>
      <c r="AJ1066">
        <v>0</v>
      </c>
      <c r="AK1066">
        <v>100</v>
      </c>
      <c r="AL1066">
        <v>0</v>
      </c>
      <c r="AM1066">
        <v>120</v>
      </c>
      <c r="AN1066">
        <v>-36</v>
      </c>
      <c r="AO1066">
        <v>0</v>
      </c>
      <c r="AQ1066">
        <v>0</v>
      </c>
      <c r="AR1066">
        <v>0</v>
      </c>
      <c r="AS1066">
        <v>120</v>
      </c>
      <c r="AT1066">
        <v>-36</v>
      </c>
      <c r="AU1066">
        <v>0</v>
      </c>
      <c r="AW1066">
        <v>0</v>
      </c>
      <c r="AX1066">
        <v>0</v>
      </c>
      <c r="AY1066">
        <v>128.80000000000001</v>
      </c>
      <c r="BC1066" t="str">
        <f>T("9788997946006")</f>
        <v>9788997946006</v>
      </c>
      <c r="BE1066" t="str">
        <f t="shared" si="153"/>
        <v>판타지 웹소설 &gt; 현대 판타지</v>
      </c>
    </row>
    <row r="1067" spans="1:57" x14ac:dyDescent="0.3">
      <c r="A1067">
        <v>1525004030</v>
      </c>
      <c r="B1067">
        <v>1525006721</v>
      </c>
      <c r="C1067" t="str">
        <f>T("회귀의 전설 2부 604화")</f>
        <v>회귀의 전설 2부 604화</v>
      </c>
      <c r="D1067" t="str">
        <f>T("604")</f>
        <v>604</v>
      </c>
      <c r="E1067" t="str">
        <f t="shared" si="151"/>
        <v>김광수</v>
      </c>
      <c r="H1067" t="str">
        <f t="shared" si="147"/>
        <v>스토리위즈</v>
      </c>
      <c r="I1067" t="str">
        <f t="shared" si="152"/>
        <v>회귀의 전설</v>
      </c>
      <c r="J1067">
        <v>100</v>
      </c>
      <c r="K1067">
        <v>200</v>
      </c>
      <c r="L1067">
        <v>2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200</v>
      </c>
      <c r="AH1067">
        <v>2</v>
      </c>
      <c r="AI1067">
        <v>0</v>
      </c>
      <c r="AJ1067">
        <v>0</v>
      </c>
      <c r="AK1067">
        <v>100</v>
      </c>
      <c r="AL1067">
        <v>0</v>
      </c>
      <c r="AM1067">
        <v>120</v>
      </c>
      <c r="AN1067">
        <v>-12</v>
      </c>
      <c r="AO1067">
        <v>0</v>
      </c>
      <c r="AQ1067">
        <v>0</v>
      </c>
      <c r="AR1067">
        <v>0</v>
      </c>
      <c r="AS1067">
        <v>120</v>
      </c>
      <c r="AT1067">
        <v>-12</v>
      </c>
      <c r="AU1067">
        <v>0</v>
      </c>
      <c r="AW1067">
        <v>0</v>
      </c>
      <c r="AX1067">
        <v>0</v>
      </c>
      <c r="AY1067">
        <v>145.6</v>
      </c>
      <c r="BC1067" t="str">
        <f>T("9791191102086")</f>
        <v>9791191102086</v>
      </c>
      <c r="BE1067" t="str">
        <f t="shared" si="153"/>
        <v>판타지 웹소설 &gt; 현대 판타지</v>
      </c>
    </row>
    <row r="1068" spans="1:57" x14ac:dyDescent="0.3">
      <c r="A1068">
        <v>1525004030</v>
      </c>
      <c r="B1068">
        <v>1525004382</v>
      </c>
      <c r="C1068" t="str">
        <f>T("회귀의 전설 354화")</f>
        <v>회귀의 전설 354화</v>
      </c>
      <c r="D1068" t="str">
        <f>T("354")</f>
        <v>354</v>
      </c>
      <c r="E1068" t="str">
        <f t="shared" si="151"/>
        <v>김광수</v>
      </c>
      <c r="H1068" t="str">
        <f t="shared" si="147"/>
        <v>스토리위즈</v>
      </c>
      <c r="I1068" t="str">
        <f t="shared" si="152"/>
        <v>회귀의 전설</v>
      </c>
      <c r="J1068">
        <v>100</v>
      </c>
      <c r="K1068">
        <v>200</v>
      </c>
      <c r="L1068">
        <v>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200</v>
      </c>
      <c r="AH1068">
        <v>2</v>
      </c>
      <c r="AI1068">
        <v>0</v>
      </c>
      <c r="AJ1068">
        <v>0</v>
      </c>
      <c r="AK1068">
        <v>200</v>
      </c>
      <c r="AL1068">
        <v>0</v>
      </c>
      <c r="AM1068">
        <v>0</v>
      </c>
      <c r="AN1068">
        <v>0</v>
      </c>
      <c r="AO1068">
        <v>0</v>
      </c>
      <c r="AQ1068">
        <v>0</v>
      </c>
      <c r="AR1068">
        <v>0</v>
      </c>
      <c r="AT1068">
        <v>0</v>
      </c>
      <c r="AU1068">
        <v>0</v>
      </c>
      <c r="AW1068">
        <v>0</v>
      </c>
      <c r="AX1068">
        <v>0</v>
      </c>
      <c r="AY1068">
        <v>140</v>
      </c>
      <c r="BC1068" t="str">
        <f>T("9788997946006")</f>
        <v>9788997946006</v>
      </c>
      <c r="BE1068" t="str">
        <f t="shared" si="153"/>
        <v>판타지 웹소설 &gt; 현대 판타지</v>
      </c>
    </row>
    <row r="1069" spans="1:57" x14ac:dyDescent="0.3">
      <c r="A1069">
        <v>1525004030</v>
      </c>
      <c r="B1069">
        <v>1525004439</v>
      </c>
      <c r="C1069" t="str">
        <f>T("회귀의 전설 423화")</f>
        <v>회귀의 전설 423화</v>
      </c>
      <c r="D1069" t="str">
        <f>T("423")</f>
        <v>423</v>
      </c>
      <c r="E1069" t="str">
        <f t="shared" si="151"/>
        <v>김광수</v>
      </c>
      <c r="H1069" t="str">
        <f t="shared" si="147"/>
        <v>스토리위즈</v>
      </c>
      <c r="I1069" t="str">
        <f t="shared" si="152"/>
        <v>회귀의 전설</v>
      </c>
      <c r="J1069">
        <v>100</v>
      </c>
      <c r="K1069">
        <v>200</v>
      </c>
      <c r="L1069">
        <v>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200</v>
      </c>
      <c r="AH1069">
        <v>2</v>
      </c>
      <c r="AI1069">
        <v>0</v>
      </c>
      <c r="AJ1069">
        <v>0</v>
      </c>
      <c r="AK1069">
        <v>200</v>
      </c>
      <c r="AL1069">
        <v>0</v>
      </c>
      <c r="AM1069">
        <v>0</v>
      </c>
      <c r="AN1069">
        <v>0</v>
      </c>
      <c r="AO1069">
        <v>0</v>
      </c>
      <c r="AQ1069">
        <v>0</v>
      </c>
      <c r="AR1069">
        <v>0</v>
      </c>
      <c r="AT1069">
        <v>0</v>
      </c>
      <c r="AU1069">
        <v>0</v>
      </c>
      <c r="AW1069">
        <v>0</v>
      </c>
      <c r="AX1069">
        <v>0</v>
      </c>
      <c r="AY1069">
        <v>140</v>
      </c>
      <c r="BC1069" t="str">
        <f>T("9788997946006")</f>
        <v>9788997946006</v>
      </c>
      <c r="BE1069" t="str">
        <f t="shared" si="153"/>
        <v>판타지 웹소설 &gt; 현대 판타지</v>
      </c>
    </row>
    <row r="1070" spans="1:57" x14ac:dyDescent="0.3">
      <c r="A1070">
        <v>1525004030</v>
      </c>
      <c r="B1070">
        <v>1525004057</v>
      </c>
      <c r="C1070" t="str">
        <f>T("회귀의 전설 28화")</f>
        <v>회귀의 전설 28화</v>
      </c>
      <c r="D1070" t="str">
        <f>T("28")</f>
        <v>28</v>
      </c>
      <c r="E1070" t="str">
        <f t="shared" si="151"/>
        <v>김광수</v>
      </c>
      <c r="H1070" t="str">
        <f t="shared" si="147"/>
        <v>스토리위즈</v>
      </c>
      <c r="I1070" t="str">
        <f t="shared" si="152"/>
        <v>회귀의 전설</v>
      </c>
      <c r="J1070">
        <v>100</v>
      </c>
      <c r="K1070">
        <v>200</v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200</v>
      </c>
      <c r="AH1070">
        <v>2</v>
      </c>
      <c r="AI1070">
        <v>0</v>
      </c>
      <c r="AJ1070">
        <v>0</v>
      </c>
      <c r="AK1070">
        <v>200</v>
      </c>
      <c r="AL1070">
        <v>0</v>
      </c>
      <c r="AM1070">
        <v>0</v>
      </c>
      <c r="AN1070">
        <v>0</v>
      </c>
      <c r="AO1070">
        <v>0</v>
      </c>
      <c r="AQ1070">
        <v>0</v>
      </c>
      <c r="AR1070">
        <v>0</v>
      </c>
      <c r="AT1070">
        <v>0</v>
      </c>
      <c r="AU1070">
        <v>0</v>
      </c>
      <c r="AW1070">
        <v>0</v>
      </c>
      <c r="AX1070">
        <v>0</v>
      </c>
      <c r="AY1070">
        <v>140</v>
      </c>
      <c r="BC1070" t="str">
        <f>T("9788997946006")</f>
        <v>9788997946006</v>
      </c>
      <c r="BE1070" t="str">
        <f t="shared" si="153"/>
        <v>판타지 웹소설 &gt; 현대 판타지</v>
      </c>
    </row>
    <row r="1071" spans="1:57" x14ac:dyDescent="0.3">
      <c r="A1071">
        <v>1525004030</v>
      </c>
      <c r="B1071">
        <v>1525004496</v>
      </c>
      <c r="C1071" t="str">
        <f>T("회귀의 전설 480화")</f>
        <v>회귀의 전설 480화</v>
      </c>
      <c r="D1071" t="str">
        <f>T("480")</f>
        <v>480</v>
      </c>
      <c r="E1071" t="str">
        <f t="shared" si="151"/>
        <v>김광수</v>
      </c>
      <c r="H1071" t="str">
        <f t="shared" si="147"/>
        <v>스토리위즈</v>
      </c>
      <c r="I1071" t="str">
        <f t="shared" si="152"/>
        <v>회귀의 전설</v>
      </c>
      <c r="J1071">
        <v>100</v>
      </c>
      <c r="K1071">
        <v>200</v>
      </c>
      <c r="L1071">
        <v>2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200</v>
      </c>
      <c r="AH1071">
        <v>2</v>
      </c>
      <c r="AI1071">
        <v>0</v>
      </c>
      <c r="AJ1071">
        <v>0</v>
      </c>
      <c r="AK1071">
        <v>200</v>
      </c>
      <c r="AL1071">
        <v>0</v>
      </c>
      <c r="AM1071">
        <v>0</v>
      </c>
      <c r="AN1071">
        <v>0</v>
      </c>
      <c r="AO1071">
        <v>0</v>
      </c>
      <c r="AQ1071">
        <v>0</v>
      </c>
      <c r="AR1071">
        <v>0</v>
      </c>
      <c r="AT1071">
        <v>0</v>
      </c>
      <c r="AU1071">
        <v>0</v>
      </c>
      <c r="AW1071">
        <v>0</v>
      </c>
      <c r="AX1071">
        <v>0</v>
      </c>
      <c r="AY1071">
        <v>140</v>
      </c>
      <c r="BC1071" t="str">
        <f>T("9788997946006")</f>
        <v>9788997946006</v>
      </c>
      <c r="BE1071" t="str">
        <f t="shared" si="153"/>
        <v>판타지 웹소설 &gt; 현대 판타지</v>
      </c>
    </row>
    <row r="1072" spans="1:57" x14ac:dyDescent="0.3">
      <c r="A1072">
        <v>1525004030</v>
      </c>
      <c r="B1072">
        <v>1525004301</v>
      </c>
      <c r="C1072" t="str">
        <f>T("회귀의 전설 272화")</f>
        <v>회귀의 전설 272화</v>
      </c>
      <c r="D1072" t="str">
        <f>T("272")</f>
        <v>272</v>
      </c>
      <c r="E1072" t="str">
        <f t="shared" si="151"/>
        <v>김광수</v>
      </c>
      <c r="H1072" t="str">
        <f t="shared" si="147"/>
        <v>스토리위즈</v>
      </c>
      <c r="I1072" t="str">
        <f t="shared" si="152"/>
        <v>회귀의 전설</v>
      </c>
      <c r="J1072">
        <v>100</v>
      </c>
      <c r="K1072">
        <v>200</v>
      </c>
      <c r="L1072">
        <v>2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200</v>
      </c>
      <c r="AH1072">
        <v>2</v>
      </c>
      <c r="AI1072">
        <v>0</v>
      </c>
      <c r="AJ1072">
        <v>0</v>
      </c>
      <c r="AK1072">
        <v>200</v>
      </c>
      <c r="AL1072">
        <v>0</v>
      </c>
      <c r="AM1072">
        <v>0</v>
      </c>
      <c r="AN1072">
        <v>0</v>
      </c>
      <c r="AO1072">
        <v>0</v>
      </c>
      <c r="AQ1072">
        <v>0</v>
      </c>
      <c r="AR1072">
        <v>0</v>
      </c>
      <c r="AT1072">
        <v>0</v>
      </c>
      <c r="AU1072">
        <v>0</v>
      </c>
      <c r="AW1072">
        <v>0</v>
      </c>
      <c r="AX1072">
        <v>0</v>
      </c>
      <c r="AY1072">
        <v>140</v>
      </c>
      <c r="BC1072" t="str">
        <f>T("9788997946006")</f>
        <v>9788997946006</v>
      </c>
      <c r="BE1072" t="str">
        <f t="shared" si="153"/>
        <v>판타지 웹소설 &gt; 현대 판타지</v>
      </c>
    </row>
    <row r="1073" spans="1:57" x14ac:dyDescent="0.3">
      <c r="A1073">
        <v>1525004030</v>
      </c>
      <c r="B1073">
        <v>1525006669</v>
      </c>
      <c r="C1073" t="str">
        <f>T("회귀의 전설 2부 552화")</f>
        <v>회귀의 전설 2부 552화</v>
      </c>
      <c r="D1073" t="str">
        <f>T("552")</f>
        <v>552</v>
      </c>
      <c r="E1073" t="str">
        <f t="shared" si="151"/>
        <v>김광수</v>
      </c>
      <c r="H1073" t="str">
        <f t="shared" si="147"/>
        <v>스토리위즈</v>
      </c>
      <c r="I1073" t="str">
        <f t="shared" si="152"/>
        <v>회귀의 전설</v>
      </c>
      <c r="J1073">
        <v>100</v>
      </c>
      <c r="K1073">
        <v>200</v>
      </c>
      <c r="L1073">
        <v>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200</v>
      </c>
      <c r="AH1073">
        <v>2</v>
      </c>
      <c r="AI1073">
        <v>0</v>
      </c>
      <c r="AJ1073">
        <v>0</v>
      </c>
      <c r="AK1073">
        <v>200</v>
      </c>
      <c r="AL1073">
        <v>0</v>
      </c>
      <c r="AM1073">
        <v>0</v>
      </c>
      <c r="AN1073">
        <v>0</v>
      </c>
      <c r="AO1073">
        <v>0</v>
      </c>
      <c r="AQ1073">
        <v>0</v>
      </c>
      <c r="AR1073">
        <v>0</v>
      </c>
      <c r="AT1073">
        <v>0</v>
      </c>
      <c r="AU1073">
        <v>0</v>
      </c>
      <c r="AW1073">
        <v>0</v>
      </c>
      <c r="AX1073">
        <v>0</v>
      </c>
      <c r="AY1073">
        <v>140</v>
      </c>
      <c r="BC1073" t="str">
        <f>T("9791191102086")</f>
        <v>9791191102086</v>
      </c>
      <c r="BE1073" t="str">
        <f t="shared" si="153"/>
        <v>판타지 웹소설 &gt; 현대 판타지</v>
      </c>
    </row>
    <row r="1074" spans="1:57" x14ac:dyDescent="0.3">
      <c r="A1074">
        <v>1525004030</v>
      </c>
      <c r="B1074">
        <v>1525004089</v>
      </c>
      <c r="C1074" t="str">
        <f>T("회귀의 전설 60화")</f>
        <v>회귀의 전설 60화</v>
      </c>
      <c r="D1074" t="str">
        <f>T("60")</f>
        <v>60</v>
      </c>
      <c r="E1074" t="str">
        <f t="shared" si="151"/>
        <v>김광수</v>
      </c>
      <c r="H1074" t="str">
        <f t="shared" si="147"/>
        <v>스토리위즈</v>
      </c>
      <c r="I1074" t="str">
        <f t="shared" si="152"/>
        <v>회귀의 전설</v>
      </c>
      <c r="J1074">
        <v>100</v>
      </c>
      <c r="K1074">
        <v>200</v>
      </c>
      <c r="L1074">
        <v>2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200</v>
      </c>
      <c r="AH1074">
        <v>2</v>
      </c>
      <c r="AI1074">
        <v>0</v>
      </c>
      <c r="AJ1074">
        <v>0</v>
      </c>
      <c r="AK1074">
        <v>100</v>
      </c>
      <c r="AL1074">
        <v>0</v>
      </c>
      <c r="AM1074">
        <v>120</v>
      </c>
      <c r="AN1074">
        <v>-36</v>
      </c>
      <c r="AO1074">
        <v>0</v>
      </c>
      <c r="AQ1074">
        <v>0</v>
      </c>
      <c r="AR1074">
        <v>0</v>
      </c>
      <c r="AS1074">
        <v>120</v>
      </c>
      <c r="AT1074">
        <v>-36</v>
      </c>
      <c r="AU1074">
        <v>0</v>
      </c>
      <c r="AW1074">
        <v>0</v>
      </c>
      <c r="AX1074">
        <v>0</v>
      </c>
      <c r="AY1074">
        <v>128.80000000000001</v>
      </c>
      <c r="BC1074" t="str">
        <f>T("9788997946006")</f>
        <v>9788997946006</v>
      </c>
      <c r="BE1074" t="str">
        <f t="shared" si="153"/>
        <v>판타지 웹소설 &gt; 현대 판타지</v>
      </c>
    </row>
    <row r="1075" spans="1:57" x14ac:dyDescent="0.3">
      <c r="A1075">
        <v>1525004030</v>
      </c>
      <c r="B1075">
        <v>1525006783</v>
      </c>
      <c r="C1075" t="str">
        <f>T("회귀의 전설 2부 666화")</f>
        <v>회귀의 전설 2부 666화</v>
      </c>
      <c r="D1075" t="str">
        <f>T("666")</f>
        <v>666</v>
      </c>
      <c r="E1075" t="str">
        <f t="shared" si="151"/>
        <v>김광수</v>
      </c>
      <c r="H1075" t="str">
        <f t="shared" si="147"/>
        <v>스토리위즈</v>
      </c>
      <c r="I1075" t="str">
        <f t="shared" si="152"/>
        <v>회귀의 전설</v>
      </c>
      <c r="J1075">
        <v>100</v>
      </c>
      <c r="K1075">
        <v>200</v>
      </c>
      <c r="L1075">
        <v>2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200</v>
      </c>
      <c r="AH1075">
        <v>2</v>
      </c>
      <c r="AI1075">
        <v>0</v>
      </c>
      <c r="AJ1075">
        <v>0</v>
      </c>
      <c r="AK1075">
        <v>100</v>
      </c>
      <c r="AL1075">
        <v>0</v>
      </c>
      <c r="AM1075">
        <v>120</v>
      </c>
      <c r="AN1075">
        <v>-12</v>
      </c>
      <c r="AO1075">
        <v>0</v>
      </c>
      <c r="AQ1075">
        <v>0</v>
      </c>
      <c r="AR1075">
        <v>0</v>
      </c>
      <c r="AS1075">
        <v>120</v>
      </c>
      <c r="AT1075">
        <v>-12</v>
      </c>
      <c r="AU1075">
        <v>0</v>
      </c>
      <c r="AW1075">
        <v>0</v>
      </c>
      <c r="AX1075">
        <v>0</v>
      </c>
      <c r="AY1075">
        <v>145.6</v>
      </c>
      <c r="BC1075" t="str">
        <f>T("9791191102086")</f>
        <v>9791191102086</v>
      </c>
      <c r="BE1075" t="str">
        <f t="shared" si="153"/>
        <v>판타지 웹소설 &gt; 현대 판타지</v>
      </c>
    </row>
    <row r="1076" spans="1:57" x14ac:dyDescent="0.3">
      <c r="A1076">
        <v>1525004030</v>
      </c>
      <c r="B1076">
        <v>1525006644</v>
      </c>
      <c r="C1076" t="str">
        <f>T("회귀의 전설 2부 527화")</f>
        <v>회귀의 전설 2부 527화</v>
      </c>
      <c r="D1076" t="str">
        <f>T("527")</f>
        <v>527</v>
      </c>
      <c r="E1076" t="str">
        <f t="shared" si="151"/>
        <v>김광수</v>
      </c>
      <c r="H1076" t="str">
        <f t="shared" si="147"/>
        <v>스토리위즈</v>
      </c>
      <c r="I1076" t="str">
        <f t="shared" si="152"/>
        <v>회귀의 전설</v>
      </c>
      <c r="J1076">
        <v>100</v>
      </c>
      <c r="K1076">
        <v>200</v>
      </c>
      <c r="L1076">
        <v>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200</v>
      </c>
      <c r="AH1076">
        <v>2</v>
      </c>
      <c r="AI1076">
        <v>0</v>
      </c>
      <c r="AJ1076">
        <v>0</v>
      </c>
      <c r="AK1076">
        <v>200</v>
      </c>
      <c r="AL1076">
        <v>0</v>
      </c>
      <c r="AM1076">
        <v>0</v>
      </c>
      <c r="AN1076">
        <v>0</v>
      </c>
      <c r="AO1076">
        <v>0</v>
      </c>
      <c r="AQ1076">
        <v>0</v>
      </c>
      <c r="AR1076">
        <v>0</v>
      </c>
      <c r="AT1076">
        <v>0</v>
      </c>
      <c r="AU1076">
        <v>0</v>
      </c>
      <c r="AW1076">
        <v>0</v>
      </c>
      <c r="AX1076">
        <v>0</v>
      </c>
      <c r="AY1076">
        <v>140</v>
      </c>
      <c r="BC1076" t="str">
        <f>T("9791191102086")</f>
        <v>9791191102086</v>
      </c>
      <c r="BE1076" t="str">
        <f t="shared" si="153"/>
        <v>판타지 웹소설 &gt; 현대 판타지</v>
      </c>
    </row>
    <row r="1077" spans="1:57" x14ac:dyDescent="0.3">
      <c r="A1077">
        <v>1525004030</v>
      </c>
      <c r="B1077">
        <v>1525004333</v>
      </c>
      <c r="C1077" t="str">
        <f>T("회귀의 전설 304화")</f>
        <v>회귀의 전설 304화</v>
      </c>
      <c r="D1077" t="str">
        <f>T("304")</f>
        <v>304</v>
      </c>
      <c r="E1077" t="str">
        <f t="shared" si="151"/>
        <v>김광수</v>
      </c>
      <c r="H1077" t="str">
        <f t="shared" si="147"/>
        <v>스토리위즈</v>
      </c>
      <c r="I1077" t="str">
        <f t="shared" si="152"/>
        <v>회귀의 전설</v>
      </c>
      <c r="J1077">
        <v>100</v>
      </c>
      <c r="K1077">
        <v>200</v>
      </c>
      <c r="L1077">
        <v>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200</v>
      </c>
      <c r="AH1077">
        <v>2</v>
      </c>
      <c r="AI1077">
        <v>0</v>
      </c>
      <c r="AJ1077">
        <v>0</v>
      </c>
      <c r="AK1077">
        <v>200</v>
      </c>
      <c r="AL1077">
        <v>0</v>
      </c>
      <c r="AM1077">
        <v>0</v>
      </c>
      <c r="AN1077">
        <v>0</v>
      </c>
      <c r="AO1077">
        <v>0</v>
      </c>
      <c r="AQ1077">
        <v>0</v>
      </c>
      <c r="AR1077">
        <v>0</v>
      </c>
      <c r="AT1077">
        <v>0</v>
      </c>
      <c r="AU1077">
        <v>0</v>
      </c>
      <c r="AW1077">
        <v>0</v>
      </c>
      <c r="AX1077">
        <v>0</v>
      </c>
      <c r="AY1077">
        <v>140</v>
      </c>
      <c r="BC1077" t="str">
        <f>T("9788997946006")</f>
        <v>9788997946006</v>
      </c>
      <c r="BE1077" t="str">
        <f t="shared" si="153"/>
        <v>판타지 웹소설 &gt; 현대 판타지</v>
      </c>
    </row>
    <row r="1078" spans="1:57" x14ac:dyDescent="0.3">
      <c r="A1078">
        <v>1525004030</v>
      </c>
      <c r="B1078">
        <v>1525004244</v>
      </c>
      <c r="C1078" t="str">
        <f>T("회귀의 전설 215화")</f>
        <v>회귀의 전설 215화</v>
      </c>
      <c r="D1078" t="str">
        <f>T("215")</f>
        <v>215</v>
      </c>
      <c r="E1078" t="str">
        <f t="shared" si="151"/>
        <v>김광수</v>
      </c>
      <c r="H1078" t="str">
        <f t="shared" si="147"/>
        <v>스토리위즈</v>
      </c>
      <c r="I1078" t="str">
        <f t="shared" si="152"/>
        <v>회귀의 전설</v>
      </c>
      <c r="J1078">
        <v>100</v>
      </c>
      <c r="K1078">
        <v>200</v>
      </c>
      <c r="L1078">
        <v>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200</v>
      </c>
      <c r="AH1078">
        <v>2</v>
      </c>
      <c r="AI1078">
        <v>0</v>
      </c>
      <c r="AJ1078">
        <v>0</v>
      </c>
      <c r="AK1078">
        <v>200</v>
      </c>
      <c r="AL1078">
        <v>0</v>
      </c>
      <c r="AM1078">
        <v>0</v>
      </c>
      <c r="AN1078">
        <v>0</v>
      </c>
      <c r="AO1078">
        <v>0</v>
      </c>
      <c r="AQ1078">
        <v>0</v>
      </c>
      <c r="AR1078">
        <v>0</v>
      </c>
      <c r="AT1078">
        <v>0</v>
      </c>
      <c r="AU1078">
        <v>0</v>
      </c>
      <c r="AW1078">
        <v>0</v>
      </c>
      <c r="AX1078">
        <v>0</v>
      </c>
      <c r="AY1078">
        <v>140</v>
      </c>
      <c r="BC1078" t="str">
        <f>T("9788997946006")</f>
        <v>9788997946006</v>
      </c>
      <c r="BE1078" t="str">
        <f t="shared" si="153"/>
        <v>판타지 웹소설 &gt; 현대 판타지</v>
      </c>
    </row>
    <row r="1079" spans="1:57" x14ac:dyDescent="0.3">
      <c r="A1079">
        <v>1525004030</v>
      </c>
      <c r="B1079">
        <v>1525004203</v>
      </c>
      <c r="C1079" t="str">
        <f>T("회귀의 전설 174화")</f>
        <v>회귀의 전설 174화</v>
      </c>
      <c r="D1079" t="str">
        <f>T("174")</f>
        <v>174</v>
      </c>
      <c r="E1079" t="str">
        <f t="shared" si="151"/>
        <v>김광수</v>
      </c>
      <c r="H1079" t="str">
        <f t="shared" si="147"/>
        <v>스토리위즈</v>
      </c>
      <c r="I1079" t="str">
        <f t="shared" si="152"/>
        <v>회귀의 전설</v>
      </c>
      <c r="J1079">
        <v>100</v>
      </c>
      <c r="K1079">
        <v>200</v>
      </c>
      <c r="L1079">
        <v>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200</v>
      </c>
      <c r="AH1079">
        <v>2</v>
      </c>
      <c r="AI1079">
        <v>0</v>
      </c>
      <c r="AJ1079">
        <v>0</v>
      </c>
      <c r="AK1079">
        <v>200</v>
      </c>
      <c r="AL1079">
        <v>0</v>
      </c>
      <c r="AM1079">
        <v>0</v>
      </c>
      <c r="AN1079">
        <v>0</v>
      </c>
      <c r="AO1079">
        <v>0</v>
      </c>
      <c r="AQ1079">
        <v>0</v>
      </c>
      <c r="AR1079">
        <v>0</v>
      </c>
      <c r="AT1079">
        <v>0</v>
      </c>
      <c r="AU1079">
        <v>0</v>
      </c>
      <c r="AW1079">
        <v>0</v>
      </c>
      <c r="AX1079">
        <v>0</v>
      </c>
      <c r="AY1079">
        <v>140</v>
      </c>
      <c r="BC1079" t="str">
        <f>T("9788997946006")</f>
        <v>9788997946006</v>
      </c>
      <c r="BE1079" t="str">
        <f t="shared" si="153"/>
        <v>판타지 웹소설 &gt; 현대 판타지</v>
      </c>
    </row>
    <row r="1080" spans="1:57" x14ac:dyDescent="0.3">
      <c r="A1080">
        <v>1525004030</v>
      </c>
      <c r="B1080">
        <v>1525006856</v>
      </c>
      <c r="C1080" t="str">
        <f>T("회귀의 전설 2부 739화")</f>
        <v>회귀의 전설 2부 739화</v>
      </c>
      <c r="D1080" t="str">
        <f>T("739")</f>
        <v>739</v>
      </c>
      <c r="E1080" t="str">
        <f t="shared" si="151"/>
        <v>김광수</v>
      </c>
      <c r="H1080" t="str">
        <f t="shared" si="147"/>
        <v>스토리위즈</v>
      </c>
      <c r="I1080" t="str">
        <f t="shared" si="152"/>
        <v>회귀의 전설</v>
      </c>
      <c r="J1080">
        <v>100</v>
      </c>
      <c r="K1080">
        <v>200</v>
      </c>
      <c r="L1080">
        <v>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200</v>
      </c>
      <c r="AH1080">
        <v>2</v>
      </c>
      <c r="AI1080">
        <v>0</v>
      </c>
      <c r="AJ1080">
        <v>0</v>
      </c>
      <c r="AK1080">
        <v>124</v>
      </c>
      <c r="AL1080">
        <v>0</v>
      </c>
      <c r="AM1080">
        <v>91.2</v>
      </c>
      <c r="AN1080">
        <v>-9.1199999999999992</v>
      </c>
      <c r="AO1080">
        <v>0</v>
      </c>
      <c r="AQ1080">
        <v>0</v>
      </c>
      <c r="AR1080">
        <v>0</v>
      </c>
      <c r="AS1080">
        <v>91.2</v>
      </c>
      <c r="AT1080">
        <v>-9.1199999999999992</v>
      </c>
      <c r="AU1080">
        <v>0</v>
      </c>
      <c r="AW1080">
        <v>0</v>
      </c>
      <c r="AX1080">
        <v>0</v>
      </c>
      <c r="AY1080">
        <v>144.26</v>
      </c>
      <c r="BC1080" t="str">
        <f>T("9791191102086")</f>
        <v>9791191102086</v>
      </c>
      <c r="BE1080" t="str">
        <f t="shared" si="153"/>
        <v>판타지 웹소설 &gt; 현대 판타지</v>
      </c>
    </row>
    <row r="1081" spans="1:57" x14ac:dyDescent="0.3">
      <c r="A1081">
        <v>1525004030</v>
      </c>
      <c r="B1081">
        <v>1525006815</v>
      </c>
      <c r="C1081" t="str">
        <f>T("회귀의 전설 2부 698화")</f>
        <v>회귀의 전설 2부 698화</v>
      </c>
      <c r="D1081" t="str">
        <f>T("698")</f>
        <v>698</v>
      </c>
      <c r="E1081" t="str">
        <f t="shared" si="151"/>
        <v>김광수</v>
      </c>
      <c r="H1081" t="str">
        <f t="shared" si="147"/>
        <v>스토리위즈</v>
      </c>
      <c r="I1081" t="str">
        <f t="shared" si="152"/>
        <v>회귀의 전설</v>
      </c>
      <c r="J1081">
        <v>100</v>
      </c>
      <c r="K1081">
        <v>200</v>
      </c>
      <c r="L1081">
        <v>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200</v>
      </c>
      <c r="AH1081">
        <v>2</v>
      </c>
      <c r="AI1081">
        <v>0</v>
      </c>
      <c r="AJ1081">
        <v>0</v>
      </c>
      <c r="AK1081">
        <v>100</v>
      </c>
      <c r="AL1081">
        <v>0</v>
      </c>
      <c r="AM1081">
        <v>120</v>
      </c>
      <c r="AN1081">
        <v>-12</v>
      </c>
      <c r="AO1081">
        <v>0</v>
      </c>
      <c r="AQ1081">
        <v>0</v>
      </c>
      <c r="AR1081">
        <v>0</v>
      </c>
      <c r="AS1081">
        <v>120</v>
      </c>
      <c r="AT1081">
        <v>-12</v>
      </c>
      <c r="AU1081">
        <v>0</v>
      </c>
      <c r="AW1081">
        <v>0</v>
      </c>
      <c r="AX1081">
        <v>0</v>
      </c>
      <c r="AY1081">
        <v>145.6</v>
      </c>
      <c r="BC1081" t="str">
        <f>T("9791191102086")</f>
        <v>9791191102086</v>
      </c>
      <c r="BE1081" t="str">
        <f t="shared" si="153"/>
        <v>판타지 웹소설 &gt; 현대 판타지</v>
      </c>
    </row>
    <row r="1082" spans="1:57" x14ac:dyDescent="0.3">
      <c r="A1082">
        <v>1525004030</v>
      </c>
      <c r="B1082">
        <v>1525004276</v>
      </c>
      <c r="C1082" t="str">
        <f>T("회귀의 전설 247화")</f>
        <v>회귀의 전설 247화</v>
      </c>
      <c r="D1082" t="str">
        <f>T("247")</f>
        <v>247</v>
      </c>
      <c r="E1082" t="str">
        <f t="shared" si="151"/>
        <v>김광수</v>
      </c>
      <c r="H1082" t="str">
        <f t="shared" si="147"/>
        <v>스토리위즈</v>
      </c>
      <c r="I1082" t="str">
        <f t="shared" si="152"/>
        <v>회귀의 전설</v>
      </c>
      <c r="J1082">
        <v>100</v>
      </c>
      <c r="K1082">
        <v>200</v>
      </c>
      <c r="L1082">
        <v>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200</v>
      </c>
      <c r="AH1082">
        <v>2</v>
      </c>
      <c r="AI1082">
        <v>0</v>
      </c>
      <c r="AJ1082">
        <v>0</v>
      </c>
      <c r="AK1082">
        <v>200</v>
      </c>
      <c r="AL1082">
        <v>0</v>
      </c>
      <c r="AM1082">
        <v>0</v>
      </c>
      <c r="AN1082">
        <v>0</v>
      </c>
      <c r="AO1082">
        <v>0</v>
      </c>
      <c r="AQ1082">
        <v>0</v>
      </c>
      <c r="AR1082">
        <v>0</v>
      </c>
      <c r="AT1082">
        <v>0</v>
      </c>
      <c r="AU1082">
        <v>0</v>
      </c>
      <c r="AW1082">
        <v>0</v>
      </c>
      <c r="AX1082">
        <v>0</v>
      </c>
      <c r="AY1082">
        <v>140</v>
      </c>
      <c r="BC1082" t="str">
        <f t="shared" ref="BC1082:BC1087" si="154">T("9788997946006")</f>
        <v>9788997946006</v>
      </c>
      <c r="BE1082" t="str">
        <f t="shared" si="153"/>
        <v>판타지 웹소설 &gt; 현대 판타지</v>
      </c>
    </row>
    <row r="1083" spans="1:57" x14ac:dyDescent="0.3">
      <c r="A1083">
        <v>1525004030</v>
      </c>
      <c r="B1083">
        <v>1525004350</v>
      </c>
      <c r="C1083" t="str">
        <f>T("회귀의 전설 322화")</f>
        <v>회귀의 전설 322화</v>
      </c>
      <c r="D1083" t="str">
        <f>T("322")</f>
        <v>322</v>
      </c>
      <c r="E1083" t="str">
        <f t="shared" si="151"/>
        <v>김광수</v>
      </c>
      <c r="H1083" t="str">
        <f t="shared" si="147"/>
        <v>스토리위즈</v>
      </c>
      <c r="I1083" t="str">
        <f t="shared" si="152"/>
        <v>회귀의 전설</v>
      </c>
      <c r="J1083">
        <v>100</v>
      </c>
      <c r="K1083">
        <v>200</v>
      </c>
      <c r="L1083">
        <v>2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200</v>
      </c>
      <c r="AH1083">
        <v>2</v>
      </c>
      <c r="AI1083">
        <v>0</v>
      </c>
      <c r="AJ1083">
        <v>0</v>
      </c>
      <c r="AK1083">
        <v>200</v>
      </c>
      <c r="AL1083">
        <v>0</v>
      </c>
      <c r="AM1083">
        <v>0</v>
      </c>
      <c r="AN1083">
        <v>0</v>
      </c>
      <c r="AO1083">
        <v>0</v>
      </c>
      <c r="AQ1083">
        <v>0</v>
      </c>
      <c r="AR1083">
        <v>0</v>
      </c>
      <c r="AT1083">
        <v>0</v>
      </c>
      <c r="AU1083">
        <v>0</v>
      </c>
      <c r="AW1083">
        <v>0</v>
      </c>
      <c r="AX1083">
        <v>0</v>
      </c>
      <c r="AY1083">
        <v>140</v>
      </c>
      <c r="BC1083" t="str">
        <f t="shared" si="154"/>
        <v>9788997946006</v>
      </c>
      <c r="BE1083" t="str">
        <f t="shared" si="153"/>
        <v>판타지 웹소설 &gt; 현대 판타지</v>
      </c>
    </row>
    <row r="1084" spans="1:57" x14ac:dyDescent="0.3">
      <c r="A1084">
        <v>1525004030</v>
      </c>
      <c r="B1084">
        <v>1525004407</v>
      </c>
      <c r="C1084" t="str">
        <f>T("회귀의 전설 379화")</f>
        <v>회귀의 전설 379화</v>
      </c>
      <c r="D1084" t="str">
        <f>T("379")</f>
        <v>379</v>
      </c>
      <c r="E1084" t="str">
        <f t="shared" si="151"/>
        <v>김광수</v>
      </c>
      <c r="H1084" t="str">
        <f t="shared" si="147"/>
        <v>스토리위즈</v>
      </c>
      <c r="I1084" t="str">
        <f t="shared" si="152"/>
        <v>회귀의 전설</v>
      </c>
      <c r="J1084">
        <v>100</v>
      </c>
      <c r="K1084">
        <v>200</v>
      </c>
      <c r="L1084">
        <v>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200</v>
      </c>
      <c r="AH1084">
        <v>2</v>
      </c>
      <c r="AI1084">
        <v>0</v>
      </c>
      <c r="AJ1084">
        <v>0</v>
      </c>
      <c r="AK1084">
        <v>200</v>
      </c>
      <c r="AL1084">
        <v>0</v>
      </c>
      <c r="AM1084">
        <v>0</v>
      </c>
      <c r="AN1084">
        <v>0</v>
      </c>
      <c r="AO1084">
        <v>0</v>
      </c>
      <c r="AQ1084">
        <v>0</v>
      </c>
      <c r="AR1084">
        <v>0</v>
      </c>
      <c r="AT1084">
        <v>0</v>
      </c>
      <c r="AU1084">
        <v>0</v>
      </c>
      <c r="AW1084">
        <v>0</v>
      </c>
      <c r="AX1084">
        <v>0</v>
      </c>
      <c r="AY1084">
        <v>140</v>
      </c>
      <c r="BC1084" t="str">
        <f t="shared" si="154"/>
        <v>9788997946006</v>
      </c>
      <c r="BE1084" t="str">
        <f t="shared" si="153"/>
        <v>판타지 웹소설 &gt; 현대 판타지</v>
      </c>
    </row>
    <row r="1085" spans="1:57" x14ac:dyDescent="0.3">
      <c r="A1085">
        <v>1525004030</v>
      </c>
      <c r="B1085">
        <v>1525004464</v>
      </c>
      <c r="C1085" t="str">
        <f>T("회귀의 전설 448화")</f>
        <v>회귀의 전설 448화</v>
      </c>
      <c r="D1085" t="str">
        <f>T("448")</f>
        <v>448</v>
      </c>
      <c r="E1085" t="str">
        <f t="shared" si="151"/>
        <v>김광수</v>
      </c>
      <c r="H1085" t="str">
        <f t="shared" si="147"/>
        <v>스토리위즈</v>
      </c>
      <c r="I1085" t="str">
        <f t="shared" si="152"/>
        <v>회귀의 전설</v>
      </c>
      <c r="J1085">
        <v>100</v>
      </c>
      <c r="K1085">
        <v>200</v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200</v>
      </c>
      <c r="AH1085">
        <v>2</v>
      </c>
      <c r="AI1085">
        <v>0</v>
      </c>
      <c r="AJ1085">
        <v>0</v>
      </c>
      <c r="AK1085">
        <v>200</v>
      </c>
      <c r="AL1085">
        <v>0</v>
      </c>
      <c r="AM1085">
        <v>0</v>
      </c>
      <c r="AN1085">
        <v>0</v>
      </c>
      <c r="AO1085">
        <v>0</v>
      </c>
      <c r="AQ1085">
        <v>0</v>
      </c>
      <c r="AR1085">
        <v>0</v>
      </c>
      <c r="AT1085">
        <v>0</v>
      </c>
      <c r="AU1085">
        <v>0</v>
      </c>
      <c r="AW1085">
        <v>0</v>
      </c>
      <c r="AX1085">
        <v>0</v>
      </c>
      <c r="AY1085">
        <v>140</v>
      </c>
      <c r="BC1085" t="str">
        <f t="shared" si="154"/>
        <v>9788997946006</v>
      </c>
      <c r="BE1085" t="str">
        <f t="shared" si="153"/>
        <v>판타지 웹소설 &gt; 현대 판타지</v>
      </c>
    </row>
    <row r="1086" spans="1:57" x14ac:dyDescent="0.3">
      <c r="A1086">
        <v>1525004030</v>
      </c>
      <c r="B1086">
        <v>1525004339</v>
      </c>
      <c r="C1086" t="str">
        <f>T("회귀의 전설 310화")</f>
        <v>회귀의 전설 310화</v>
      </c>
      <c r="D1086" t="str">
        <f>T("310")</f>
        <v>310</v>
      </c>
      <c r="E1086" t="str">
        <f t="shared" si="151"/>
        <v>김광수</v>
      </c>
      <c r="H1086" t="str">
        <f t="shared" si="147"/>
        <v>스토리위즈</v>
      </c>
      <c r="I1086" t="str">
        <f t="shared" si="152"/>
        <v>회귀의 전설</v>
      </c>
      <c r="J1086">
        <v>100</v>
      </c>
      <c r="K1086">
        <v>200</v>
      </c>
      <c r="L1086">
        <v>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200</v>
      </c>
      <c r="AH1086">
        <v>2</v>
      </c>
      <c r="AI1086">
        <v>0</v>
      </c>
      <c r="AJ1086">
        <v>0</v>
      </c>
      <c r="AK1086">
        <v>200</v>
      </c>
      <c r="AL1086">
        <v>0</v>
      </c>
      <c r="AM1086">
        <v>0</v>
      </c>
      <c r="AN1086">
        <v>0</v>
      </c>
      <c r="AO1086">
        <v>0</v>
      </c>
      <c r="AQ1086">
        <v>0</v>
      </c>
      <c r="AR1086">
        <v>0</v>
      </c>
      <c r="AT1086">
        <v>0</v>
      </c>
      <c r="AU1086">
        <v>0</v>
      </c>
      <c r="AW1086">
        <v>0</v>
      </c>
      <c r="AX1086">
        <v>0</v>
      </c>
      <c r="AY1086">
        <v>140</v>
      </c>
      <c r="BC1086" t="str">
        <f t="shared" si="154"/>
        <v>9788997946006</v>
      </c>
      <c r="BE1086" t="str">
        <f t="shared" si="153"/>
        <v>판타지 웹소설 &gt; 현대 판타지</v>
      </c>
    </row>
    <row r="1087" spans="1:57" x14ac:dyDescent="0.3">
      <c r="A1087">
        <v>1525004030</v>
      </c>
      <c r="B1087">
        <v>1525004396</v>
      </c>
      <c r="C1087" t="str">
        <f>T("회귀의 전설 368화")</f>
        <v>회귀의 전설 368화</v>
      </c>
      <c r="D1087" t="str">
        <f>T("368")</f>
        <v>368</v>
      </c>
      <c r="E1087" t="str">
        <f t="shared" si="151"/>
        <v>김광수</v>
      </c>
      <c r="H1087" t="str">
        <f t="shared" si="147"/>
        <v>스토리위즈</v>
      </c>
      <c r="I1087" t="str">
        <f t="shared" si="152"/>
        <v>회귀의 전설</v>
      </c>
      <c r="J1087">
        <v>100</v>
      </c>
      <c r="K1087">
        <v>200</v>
      </c>
      <c r="L1087">
        <v>2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200</v>
      </c>
      <c r="AH1087">
        <v>2</v>
      </c>
      <c r="AI1087">
        <v>0</v>
      </c>
      <c r="AJ1087">
        <v>0</v>
      </c>
      <c r="AK1087">
        <v>200</v>
      </c>
      <c r="AL1087">
        <v>0</v>
      </c>
      <c r="AM1087">
        <v>0</v>
      </c>
      <c r="AN1087">
        <v>0</v>
      </c>
      <c r="AO1087">
        <v>0</v>
      </c>
      <c r="AQ1087">
        <v>0</v>
      </c>
      <c r="AR1087">
        <v>0</v>
      </c>
      <c r="AT1087">
        <v>0</v>
      </c>
      <c r="AU1087">
        <v>0</v>
      </c>
      <c r="AW1087">
        <v>0</v>
      </c>
      <c r="AX1087">
        <v>0</v>
      </c>
      <c r="AY1087">
        <v>140</v>
      </c>
      <c r="BC1087" t="str">
        <f t="shared" si="154"/>
        <v>9788997946006</v>
      </c>
      <c r="BE1087" t="str">
        <f t="shared" si="153"/>
        <v>판타지 웹소설 &gt; 현대 판타지</v>
      </c>
    </row>
    <row r="1088" spans="1:57" x14ac:dyDescent="0.3">
      <c r="A1088">
        <v>1525004030</v>
      </c>
      <c r="B1088">
        <v>1525006877</v>
      </c>
      <c r="C1088" t="str">
        <f>T("회귀의 전설 2부 760화")</f>
        <v>회귀의 전설 2부 760화</v>
      </c>
      <c r="D1088" t="str">
        <f>T("760")</f>
        <v>760</v>
      </c>
      <c r="E1088" t="str">
        <f t="shared" si="151"/>
        <v>김광수</v>
      </c>
      <c r="H1088" t="str">
        <f t="shared" si="147"/>
        <v>스토리위즈</v>
      </c>
      <c r="I1088" t="str">
        <f t="shared" si="152"/>
        <v>회귀의 전설</v>
      </c>
      <c r="J1088">
        <v>100</v>
      </c>
      <c r="K1088">
        <v>200</v>
      </c>
      <c r="L1088">
        <v>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200</v>
      </c>
      <c r="AH1088">
        <v>2</v>
      </c>
      <c r="AI1088">
        <v>0</v>
      </c>
      <c r="AJ1088">
        <v>0</v>
      </c>
      <c r="AK1088">
        <v>100</v>
      </c>
      <c r="AL1088">
        <v>0</v>
      </c>
      <c r="AM1088">
        <v>120</v>
      </c>
      <c r="AN1088">
        <v>-12</v>
      </c>
      <c r="AO1088">
        <v>0</v>
      </c>
      <c r="AQ1088">
        <v>0</v>
      </c>
      <c r="AR1088">
        <v>0</v>
      </c>
      <c r="AS1088">
        <v>120</v>
      </c>
      <c r="AT1088">
        <v>-12</v>
      </c>
      <c r="AU1088">
        <v>0</v>
      </c>
      <c r="AW1088">
        <v>0</v>
      </c>
      <c r="AX1088">
        <v>0</v>
      </c>
      <c r="AY1088">
        <v>145.6</v>
      </c>
      <c r="BC1088" t="str">
        <f>T("9791191102086")</f>
        <v>9791191102086</v>
      </c>
      <c r="BE1088" t="str">
        <f t="shared" si="153"/>
        <v>판타지 웹소설 &gt; 현대 판타지</v>
      </c>
    </row>
    <row r="1089" spans="1:57" x14ac:dyDescent="0.3">
      <c r="A1089">
        <v>1525004030</v>
      </c>
      <c r="B1089">
        <v>1525004453</v>
      </c>
      <c r="C1089" t="str">
        <f>T("회귀의 전설 437화")</f>
        <v>회귀의 전설 437화</v>
      </c>
      <c r="D1089" t="str">
        <f>T("437")</f>
        <v>437</v>
      </c>
      <c r="E1089" t="str">
        <f t="shared" si="151"/>
        <v>김광수</v>
      </c>
      <c r="H1089" t="str">
        <f t="shared" si="147"/>
        <v>스토리위즈</v>
      </c>
      <c r="I1089" t="str">
        <f t="shared" si="152"/>
        <v>회귀의 전설</v>
      </c>
      <c r="J1089">
        <v>100</v>
      </c>
      <c r="K1089">
        <v>200</v>
      </c>
      <c r="L1089">
        <v>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200</v>
      </c>
      <c r="AH1089">
        <v>2</v>
      </c>
      <c r="AI1089">
        <v>0</v>
      </c>
      <c r="AJ1089">
        <v>0</v>
      </c>
      <c r="AK1089">
        <v>200</v>
      </c>
      <c r="AL1089">
        <v>0</v>
      </c>
      <c r="AM1089">
        <v>0</v>
      </c>
      <c r="AN1089">
        <v>0</v>
      </c>
      <c r="AO1089">
        <v>0</v>
      </c>
      <c r="AQ1089">
        <v>0</v>
      </c>
      <c r="AR1089">
        <v>0</v>
      </c>
      <c r="AT1089">
        <v>0</v>
      </c>
      <c r="AU1089">
        <v>0</v>
      </c>
      <c r="AW1089">
        <v>0</v>
      </c>
      <c r="AX1089">
        <v>0</v>
      </c>
      <c r="AY1089">
        <v>140</v>
      </c>
      <c r="BC1089" t="str">
        <f>T("9788997946006")</f>
        <v>9788997946006</v>
      </c>
      <c r="BE1089" t="str">
        <f t="shared" si="153"/>
        <v>판타지 웹소설 &gt; 현대 판타지</v>
      </c>
    </row>
    <row r="1090" spans="1:57" x14ac:dyDescent="0.3">
      <c r="A1090">
        <v>1525004030</v>
      </c>
      <c r="B1090">
        <v>1525004371</v>
      </c>
      <c r="C1090" t="str">
        <f>T("회귀의 전설 343화")</f>
        <v>회귀의 전설 343화</v>
      </c>
      <c r="D1090" t="str">
        <f>T("343")</f>
        <v>343</v>
      </c>
      <c r="E1090" t="str">
        <f t="shared" si="151"/>
        <v>김광수</v>
      </c>
      <c r="H1090" t="str">
        <f t="shared" si="147"/>
        <v>스토리위즈</v>
      </c>
      <c r="I1090" t="str">
        <f t="shared" si="152"/>
        <v>회귀의 전설</v>
      </c>
      <c r="J1090">
        <v>100</v>
      </c>
      <c r="K1090">
        <v>200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200</v>
      </c>
      <c r="AH1090">
        <v>2</v>
      </c>
      <c r="AI1090">
        <v>0</v>
      </c>
      <c r="AJ1090">
        <v>0</v>
      </c>
      <c r="AK1090">
        <v>200</v>
      </c>
      <c r="AL1090">
        <v>0</v>
      </c>
      <c r="AM1090">
        <v>0</v>
      </c>
      <c r="AN1090">
        <v>0</v>
      </c>
      <c r="AO1090">
        <v>0</v>
      </c>
      <c r="AQ1090">
        <v>0</v>
      </c>
      <c r="AR1090">
        <v>0</v>
      </c>
      <c r="AT1090">
        <v>0</v>
      </c>
      <c r="AU1090">
        <v>0</v>
      </c>
      <c r="AW1090">
        <v>0</v>
      </c>
      <c r="AX1090">
        <v>0</v>
      </c>
      <c r="AY1090">
        <v>140</v>
      </c>
      <c r="BC1090" t="str">
        <f>T("9788997946006")</f>
        <v>9788997946006</v>
      </c>
      <c r="BE1090" t="str">
        <f t="shared" si="153"/>
        <v>판타지 웹소설 &gt; 현대 판타지</v>
      </c>
    </row>
    <row r="1091" spans="1:57" x14ac:dyDescent="0.3">
      <c r="A1091">
        <v>1525004030</v>
      </c>
      <c r="B1091">
        <v>1525004428</v>
      </c>
      <c r="C1091" t="str">
        <f>T("회귀의 전설 412화")</f>
        <v>회귀의 전설 412화</v>
      </c>
      <c r="D1091" t="str">
        <f>T("412")</f>
        <v>412</v>
      </c>
      <c r="E1091" t="str">
        <f t="shared" si="151"/>
        <v>김광수</v>
      </c>
      <c r="H1091" t="str">
        <f t="shared" si="147"/>
        <v>스토리위즈</v>
      </c>
      <c r="I1091" t="str">
        <f t="shared" si="152"/>
        <v>회귀의 전설</v>
      </c>
      <c r="J1091">
        <v>100</v>
      </c>
      <c r="K1091">
        <v>200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200</v>
      </c>
      <c r="AH1091">
        <v>2</v>
      </c>
      <c r="AI1091">
        <v>0</v>
      </c>
      <c r="AJ1091">
        <v>0</v>
      </c>
      <c r="AK1091">
        <v>200</v>
      </c>
      <c r="AL1091">
        <v>0</v>
      </c>
      <c r="AM1091">
        <v>0</v>
      </c>
      <c r="AN1091">
        <v>0</v>
      </c>
      <c r="AO1091">
        <v>0</v>
      </c>
      <c r="AQ1091">
        <v>0</v>
      </c>
      <c r="AR1091">
        <v>0</v>
      </c>
      <c r="AT1091">
        <v>0</v>
      </c>
      <c r="AU1091">
        <v>0</v>
      </c>
      <c r="AW1091">
        <v>0</v>
      </c>
      <c r="AX1091">
        <v>0</v>
      </c>
      <c r="AY1091">
        <v>140</v>
      </c>
      <c r="BC1091" t="str">
        <f>T("9788997946006")</f>
        <v>9788997946006</v>
      </c>
      <c r="BE1091" t="str">
        <f t="shared" si="153"/>
        <v>판타지 웹소설 &gt; 현대 판타지</v>
      </c>
    </row>
    <row r="1092" spans="1:57" x14ac:dyDescent="0.3">
      <c r="A1092">
        <v>1525004030</v>
      </c>
      <c r="B1092">
        <v>1525004485</v>
      </c>
      <c r="C1092" t="str">
        <f>T("회귀의 전설 469화")</f>
        <v>회귀의 전설 469화</v>
      </c>
      <c r="D1092" t="str">
        <f>T("469")</f>
        <v>469</v>
      </c>
      <c r="E1092" t="str">
        <f t="shared" si="151"/>
        <v>김광수</v>
      </c>
      <c r="H1092" t="str">
        <f t="shared" si="147"/>
        <v>스토리위즈</v>
      </c>
      <c r="I1092" t="str">
        <f t="shared" si="152"/>
        <v>회귀의 전설</v>
      </c>
      <c r="J1092">
        <v>100</v>
      </c>
      <c r="K1092">
        <v>200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200</v>
      </c>
      <c r="AH1092">
        <v>2</v>
      </c>
      <c r="AI1092">
        <v>0</v>
      </c>
      <c r="AJ1092">
        <v>0</v>
      </c>
      <c r="AK1092">
        <v>200</v>
      </c>
      <c r="AL1092">
        <v>0</v>
      </c>
      <c r="AM1092">
        <v>0</v>
      </c>
      <c r="AN1092">
        <v>0</v>
      </c>
      <c r="AO1092">
        <v>0</v>
      </c>
      <c r="AQ1092">
        <v>0</v>
      </c>
      <c r="AR1092">
        <v>0</v>
      </c>
      <c r="AT1092">
        <v>0</v>
      </c>
      <c r="AU1092">
        <v>0</v>
      </c>
      <c r="AW1092">
        <v>0</v>
      </c>
      <c r="AX1092">
        <v>0</v>
      </c>
      <c r="AY1092">
        <v>140</v>
      </c>
      <c r="BC1092" t="str">
        <f>T("9788997946006")</f>
        <v>9788997946006</v>
      </c>
      <c r="BE1092" t="str">
        <f t="shared" si="153"/>
        <v>판타지 웹소설 &gt; 현대 판타지</v>
      </c>
    </row>
    <row r="1093" spans="1:57" x14ac:dyDescent="0.3">
      <c r="A1093">
        <v>1525004030</v>
      </c>
      <c r="B1093">
        <v>1525004290</v>
      </c>
      <c r="C1093" t="str">
        <f>T("회귀의 전설 261화")</f>
        <v>회귀의 전설 261화</v>
      </c>
      <c r="D1093" t="str">
        <f>T("261")</f>
        <v>261</v>
      </c>
      <c r="E1093" t="str">
        <f t="shared" si="151"/>
        <v>김광수</v>
      </c>
      <c r="H1093" t="str">
        <f t="shared" si="147"/>
        <v>스토리위즈</v>
      </c>
      <c r="I1093" t="str">
        <f t="shared" si="152"/>
        <v>회귀의 전설</v>
      </c>
      <c r="J1093">
        <v>100</v>
      </c>
      <c r="K1093">
        <v>200</v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200</v>
      </c>
      <c r="AH1093">
        <v>2</v>
      </c>
      <c r="AI1093">
        <v>0</v>
      </c>
      <c r="AJ1093">
        <v>0</v>
      </c>
      <c r="AK1093">
        <v>200</v>
      </c>
      <c r="AL1093">
        <v>0</v>
      </c>
      <c r="AM1093">
        <v>0</v>
      </c>
      <c r="AN1093">
        <v>0</v>
      </c>
      <c r="AO1093">
        <v>0</v>
      </c>
      <c r="AQ1093">
        <v>0</v>
      </c>
      <c r="AR1093">
        <v>0</v>
      </c>
      <c r="AT1093">
        <v>0</v>
      </c>
      <c r="AU1093">
        <v>0</v>
      </c>
      <c r="AW1093">
        <v>0</v>
      </c>
      <c r="AX1093">
        <v>0</v>
      </c>
      <c r="AY1093">
        <v>140</v>
      </c>
      <c r="BC1093" t="str">
        <f>T("9788997946006")</f>
        <v>9788997946006</v>
      </c>
      <c r="BE1093" t="str">
        <f t="shared" si="153"/>
        <v>판타지 웹소설 &gt; 현대 판타지</v>
      </c>
    </row>
    <row r="1094" spans="1:57" x14ac:dyDescent="0.3">
      <c r="A1094">
        <v>1525004030</v>
      </c>
      <c r="B1094">
        <v>1525006658</v>
      </c>
      <c r="C1094" t="str">
        <f>T("회귀의 전설 2부 541화")</f>
        <v>회귀의 전설 2부 541화</v>
      </c>
      <c r="D1094" t="str">
        <f>T("541")</f>
        <v>541</v>
      </c>
      <c r="E1094" t="str">
        <f t="shared" si="151"/>
        <v>김광수</v>
      </c>
      <c r="H1094" t="str">
        <f t="shared" si="147"/>
        <v>스토리위즈</v>
      </c>
      <c r="I1094" t="str">
        <f t="shared" si="152"/>
        <v>회귀의 전설</v>
      </c>
      <c r="J1094">
        <v>100</v>
      </c>
      <c r="K1094">
        <v>200</v>
      </c>
      <c r="L1094">
        <v>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200</v>
      </c>
      <c r="AH1094">
        <v>2</v>
      </c>
      <c r="AI1094">
        <v>0</v>
      </c>
      <c r="AJ1094">
        <v>0</v>
      </c>
      <c r="AK1094">
        <v>200</v>
      </c>
      <c r="AL1094">
        <v>0</v>
      </c>
      <c r="AM1094">
        <v>0</v>
      </c>
      <c r="AN1094">
        <v>0</v>
      </c>
      <c r="AO1094">
        <v>0</v>
      </c>
      <c r="AQ1094">
        <v>0</v>
      </c>
      <c r="AR1094">
        <v>0</v>
      </c>
      <c r="AT1094">
        <v>0</v>
      </c>
      <c r="AU1094">
        <v>0</v>
      </c>
      <c r="AW1094">
        <v>0</v>
      </c>
      <c r="AX1094">
        <v>0</v>
      </c>
      <c r="AY1094">
        <v>140</v>
      </c>
      <c r="BC1094" t="str">
        <f>T("9791191102086")</f>
        <v>9791191102086</v>
      </c>
      <c r="BE1094" t="str">
        <f t="shared" si="153"/>
        <v>판타지 웹소설 &gt; 현대 판타지</v>
      </c>
    </row>
    <row r="1095" spans="1:57" x14ac:dyDescent="0.3">
      <c r="A1095">
        <v>1525008428</v>
      </c>
      <c r="B1095">
        <v>1525008432</v>
      </c>
      <c r="C1095" t="str">
        <f>T("무히비(Muhibbi) 23화")</f>
        <v>무히비(Muhibbi) 23화</v>
      </c>
      <c r="D1095" t="str">
        <f>T("23")</f>
        <v>23</v>
      </c>
      <c r="E1095" t="str">
        <f>T("jooki")</f>
        <v>jooki</v>
      </c>
      <c r="H1095" t="str">
        <f>T("블러쉬")</f>
        <v>블러쉬</v>
      </c>
      <c r="I1095" t="str">
        <f>T("무히비(Muhibbi)")</f>
        <v>무히비(Muhibbi)</v>
      </c>
      <c r="J1095">
        <v>100</v>
      </c>
      <c r="K1095">
        <v>200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200</v>
      </c>
      <c r="AH1095">
        <v>2</v>
      </c>
      <c r="AI1095">
        <v>0</v>
      </c>
      <c r="AJ1095">
        <v>0</v>
      </c>
      <c r="AK1095">
        <v>200</v>
      </c>
      <c r="AL1095">
        <v>0</v>
      </c>
      <c r="AM1095">
        <v>0</v>
      </c>
      <c r="AN1095">
        <v>0</v>
      </c>
      <c r="AO1095">
        <v>0</v>
      </c>
      <c r="AQ1095">
        <v>0</v>
      </c>
      <c r="AR1095">
        <v>0</v>
      </c>
      <c r="AT1095">
        <v>0</v>
      </c>
      <c r="AU1095">
        <v>0</v>
      </c>
      <c r="AW1095">
        <v>0</v>
      </c>
      <c r="AX1095">
        <v>0</v>
      </c>
      <c r="AY1095">
        <v>140</v>
      </c>
      <c r="BC1095" t="str">
        <f>T("9791164896622")</f>
        <v>9791164896622</v>
      </c>
      <c r="BE1095" t="str">
        <f>T("BL 웹소설 &gt; 역사/시대물")</f>
        <v>BL 웹소설 &gt; 역사/시대물</v>
      </c>
    </row>
    <row r="1096" spans="1:57" x14ac:dyDescent="0.3">
      <c r="A1096">
        <v>1525004799</v>
      </c>
      <c r="B1096">
        <v>1525004973</v>
      </c>
      <c r="C1096" t="str">
        <f>T("검산도해 175화")</f>
        <v>검산도해 175화</v>
      </c>
      <c r="D1096" t="str">
        <f>T("175")</f>
        <v>175</v>
      </c>
      <c r="E1096" t="str">
        <f>T("권용찬")</f>
        <v>권용찬</v>
      </c>
      <c r="H1096" t="str">
        <f t="shared" ref="H1096:H1149" si="155">T("스토리위즈")</f>
        <v>스토리위즈</v>
      </c>
      <c r="I1096" t="str">
        <f>T("검산도해")</f>
        <v>검산도해</v>
      </c>
      <c r="J1096">
        <v>100</v>
      </c>
      <c r="K1096">
        <v>200</v>
      </c>
      <c r="L1096">
        <v>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200</v>
      </c>
      <c r="AH1096">
        <v>2</v>
      </c>
      <c r="AI1096">
        <v>0</v>
      </c>
      <c r="AJ1096">
        <v>0</v>
      </c>
      <c r="AK1096">
        <v>100</v>
      </c>
      <c r="AL1096">
        <v>0</v>
      </c>
      <c r="AM1096">
        <v>120</v>
      </c>
      <c r="AN1096">
        <v>-12</v>
      </c>
      <c r="AO1096">
        <v>0</v>
      </c>
      <c r="AQ1096">
        <v>0</v>
      </c>
      <c r="AR1096">
        <v>0</v>
      </c>
      <c r="AS1096">
        <v>120</v>
      </c>
      <c r="AT1096">
        <v>-12</v>
      </c>
      <c r="AU1096">
        <v>0</v>
      </c>
      <c r="AW1096">
        <v>0</v>
      </c>
      <c r="AX1096">
        <v>0</v>
      </c>
      <c r="AY1096">
        <v>145.6</v>
      </c>
      <c r="BC1096" t="str">
        <f>T("9791159285936")</f>
        <v>9791159285936</v>
      </c>
      <c r="BE1096" t="str">
        <f>T("판타지 웹소설 &gt; 무협 소설")</f>
        <v>판타지 웹소설 &gt; 무협 소설</v>
      </c>
    </row>
    <row r="1097" spans="1:57" x14ac:dyDescent="0.3">
      <c r="A1097">
        <v>1525004030</v>
      </c>
      <c r="B1097">
        <v>1525004322</v>
      </c>
      <c r="C1097" t="str">
        <f>T("회귀의 전설 293화")</f>
        <v>회귀의 전설 293화</v>
      </c>
      <c r="D1097" t="str">
        <f>T("293")</f>
        <v>293</v>
      </c>
      <c r="E1097" t="str">
        <f t="shared" ref="E1097:E1110" si="156">T("김광수")</f>
        <v>김광수</v>
      </c>
      <c r="H1097" t="str">
        <f t="shared" si="155"/>
        <v>스토리위즈</v>
      </c>
      <c r="I1097" t="str">
        <f t="shared" ref="I1097:I1110" si="157">T("회귀의 전설")</f>
        <v>회귀의 전설</v>
      </c>
      <c r="J1097">
        <v>100</v>
      </c>
      <c r="K1097">
        <v>200</v>
      </c>
      <c r="L1097">
        <v>2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200</v>
      </c>
      <c r="AH1097">
        <v>2</v>
      </c>
      <c r="AI1097">
        <v>0</v>
      </c>
      <c r="AJ1097">
        <v>0</v>
      </c>
      <c r="AK1097">
        <v>200</v>
      </c>
      <c r="AL1097">
        <v>0</v>
      </c>
      <c r="AM1097">
        <v>0</v>
      </c>
      <c r="AN1097">
        <v>0</v>
      </c>
      <c r="AO1097">
        <v>0</v>
      </c>
      <c r="AQ1097">
        <v>0</v>
      </c>
      <c r="AR1097">
        <v>0</v>
      </c>
      <c r="AT1097">
        <v>0</v>
      </c>
      <c r="AU1097">
        <v>0</v>
      </c>
      <c r="AW1097">
        <v>0</v>
      </c>
      <c r="AX1097">
        <v>0</v>
      </c>
      <c r="AY1097">
        <v>140</v>
      </c>
      <c r="BC1097" t="str">
        <f>T("9788997946006")</f>
        <v>9788997946006</v>
      </c>
      <c r="BE1097" t="str">
        <f t="shared" ref="BE1097:BE1110" si="158">T("판타지 웹소설 &gt; 현대 판타지")</f>
        <v>판타지 웹소설 &gt; 현대 판타지</v>
      </c>
    </row>
    <row r="1098" spans="1:57" x14ac:dyDescent="0.3">
      <c r="A1098">
        <v>1525004030</v>
      </c>
      <c r="B1098">
        <v>1525004518</v>
      </c>
      <c r="C1098" t="str">
        <f>T("회귀의 전설 389화")</f>
        <v>회귀의 전설 389화</v>
      </c>
      <c r="D1098" t="str">
        <f>T("389")</f>
        <v>389</v>
      </c>
      <c r="E1098" t="str">
        <f t="shared" si="156"/>
        <v>김광수</v>
      </c>
      <c r="H1098" t="str">
        <f t="shared" si="155"/>
        <v>스토리위즈</v>
      </c>
      <c r="I1098" t="str">
        <f t="shared" si="157"/>
        <v>회귀의 전설</v>
      </c>
      <c r="J1098">
        <v>100</v>
      </c>
      <c r="K1098">
        <v>200</v>
      </c>
      <c r="L1098">
        <v>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200</v>
      </c>
      <c r="AH1098">
        <v>2</v>
      </c>
      <c r="AI1098">
        <v>0</v>
      </c>
      <c r="AJ1098">
        <v>0</v>
      </c>
      <c r="AK1098">
        <v>200</v>
      </c>
      <c r="AL1098">
        <v>0</v>
      </c>
      <c r="AM1098">
        <v>0</v>
      </c>
      <c r="AN1098">
        <v>0</v>
      </c>
      <c r="AO1098">
        <v>0</v>
      </c>
      <c r="AQ1098">
        <v>0</v>
      </c>
      <c r="AR1098">
        <v>0</v>
      </c>
      <c r="AT1098">
        <v>0</v>
      </c>
      <c r="AU1098">
        <v>0</v>
      </c>
      <c r="AW1098">
        <v>0</v>
      </c>
      <c r="AX1098">
        <v>0</v>
      </c>
      <c r="AY1098">
        <v>140</v>
      </c>
      <c r="BC1098" t="str">
        <f>T("9788997946006")</f>
        <v>9788997946006</v>
      </c>
      <c r="BE1098" t="str">
        <f t="shared" si="158"/>
        <v>판타지 웹소설 &gt; 현대 판타지</v>
      </c>
    </row>
    <row r="1099" spans="1:57" x14ac:dyDescent="0.3">
      <c r="A1099">
        <v>1525004030</v>
      </c>
      <c r="B1099">
        <v>1525004233</v>
      </c>
      <c r="C1099" t="str">
        <f>T("회귀의 전설 204화")</f>
        <v>회귀의 전설 204화</v>
      </c>
      <c r="D1099" t="str">
        <f>T("204")</f>
        <v>204</v>
      </c>
      <c r="E1099" t="str">
        <f t="shared" si="156"/>
        <v>김광수</v>
      </c>
      <c r="H1099" t="str">
        <f t="shared" si="155"/>
        <v>스토리위즈</v>
      </c>
      <c r="I1099" t="str">
        <f t="shared" si="157"/>
        <v>회귀의 전설</v>
      </c>
      <c r="J1099">
        <v>100</v>
      </c>
      <c r="K1099">
        <v>200</v>
      </c>
      <c r="L1099">
        <v>2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200</v>
      </c>
      <c r="AH1099">
        <v>2</v>
      </c>
      <c r="AI1099">
        <v>0</v>
      </c>
      <c r="AJ1099">
        <v>0</v>
      </c>
      <c r="AK1099">
        <v>200</v>
      </c>
      <c r="AL1099">
        <v>0</v>
      </c>
      <c r="AM1099">
        <v>0</v>
      </c>
      <c r="AN1099">
        <v>0</v>
      </c>
      <c r="AO1099">
        <v>0</v>
      </c>
      <c r="AQ1099">
        <v>0</v>
      </c>
      <c r="AR1099">
        <v>0</v>
      </c>
      <c r="AT1099">
        <v>0</v>
      </c>
      <c r="AU1099">
        <v>0</v>
      </c>
      <c r="AW1099">
        <v>0</v>
      </c>
      <c r="AX1099">
        <v>0</v>
      </c>
      <c r="AY1099">
        <v>140</v>
      </c>
      <c r="BC1099" t="str">
        <f>T("9788997946006")</f>
        <v>9788997946006</v>
      </c>
      <c r="BE1099" t="str">
        <f t="shared" si="158"/>
        <v>판타지 웹소설 &gt; 현대 판타지</v>
      </c>
    </row>
    <row r="1100" spans="1:57" x14ac:dyDescent="0.3">
      <c r="A1100">
        <v>1525004030</v>
      </c>
      <c r="B1100">
        <v>1525006690</v>
      </c>
      <c r="C1100" t="str">
        <f>T("회귀의 전설 2부 573화")</f>
        <v>회귀의 전설 2부 573화</v>
      </c>
      <c r="D1100" t="str">
        <f>T("573")</f>
        <v>573</v>
      </c>
      <c r="E1100" t="str">
        <f t="shared" si="156"/>
        <v>김광수</v>
      </c>
      <c r="H1100" t="str">
        <f t="shared" si="155"/>
        <v>스토리위즈</v>
      </c>
      <c r="I1100" t="str">
        <f t="shared" si="157"/>
        <v>회귀의 전설</v>
      </c>
      <c r="J1100">
        <v>100</v>
      </c>
      <c r="K1100">
        <v>200</v>
      </c>
      <c r="L1100">
        <v>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200</v>
      </c>
      <c r="AH1100">
        <v>2</v>
      </c>
      <c r="AI1100">
        <v>0</v>
      </c>
      <c r="AJ1100">
        <v>0</v>
      </c>
      <c r="AK1100">
        <v>200</v>
      </c>
      <c r="AL1100">
        <v>0</v>
      </c>
      <c r="AM1100">
        <v>0</v>
      </c>
      <c r="AN1100">
        <v>0</v>
      </c>
      <c r="AO1100">
        <v>0</v>
      </c>
      <c r="AQ1100">
        <v>0</v>
      </c>
      <c r="AR1100">
        <v>0</v>
      </c>
      <c r="AT1100">
        <v>0</v>
      </c>
      <c r="AU1100">
        <v>0</v>
      </c>
      <c r="AW1100">
        <v>0</v>
      </c>
      <c r="AX1100">
        <v>0</v>
      </c>
      <c r="AY1100">
        <v>140</v>
      </c>
      <c r="BC1100" t="str">
        <f>T("9791191102086")</f>
        <v>9791191102086</v>
      </c>
      <c r="BE1100" t="str">
        <f t="shared" si="158"/>
        <v>판타지 웹소설 &gt; 현대 판타지</v>
      </c>
    </row>
    <row r="1101" spans="1:57" x14ac:dyDescent="0.3">
      <c r="A1101">
        <v>1525004030</v>
      </c>
      <c r="B1101">
        <v>1525006845</v>
      </c>
      <c r="C1101" t="str">
        <f>T("회귀의 전설 2부 728화")</f>
        <v>회귀의 전설 2부 728화</v>
      </c>
      <c r="D1101" t="str">
        <f>T("728")</f>
        <v>728</v>
      </c>
      <c r="E1101" t="str">
        <f t="shared" si="156"/>
        <v>김광수</v>
      </c>
      <c r="H1101" t="str">
        <f t="shared" si="155"/>
        <v>스토리위즈</v>
      </c>
      <c r="I1101" t="str">
        <f t="shared" si="157"/>
        <v>회귀의 전설</v>
      </c>
      <c r="J1101">
        <v>100</v>
      </c>
      <c r="K1101">
        <v>200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200</v>
      </c>
      <c r="AH1101">
        <v>2</v>
      </c>
      <c r="AI1101">
        <v>0</v>
      </c>
      <c r="AJ1101">
        <v>0</v>
      </c>
      <c r="AK1101">
        <v>100</v>
      </c>
      <c r="AL1101">
        <v>0</v>
      </c>
      <c r="AM1101">
        <v>120</v>
      </c>
      <c r="AN1101">
        <v>-12</v>
      </c>
      <c r="AO1101">
        <v>0</v>
      </c>
      <c r="AQ1101">
        <v>0</v>
      </c>
      <c r="AR1101">
        <v>0</v>
      </c>
      <c r="AS1101">
        <v>120</v>
      </c>
      <c r="AT1101">
        <v>-12</v>
      </c>
      <c r="AU1101">
        <v>0</v>
      </c>
      <c r="AW1101">
        <v>0</v>
      </c>
      <c r="AX1101">
        <v>0</v>
      </c>
      <c r="AY1101">
        <v>145.6</v>
      </c>
      <c r="BC1101" t="str">
        <f>T("9791191102086")</f>
        <v>9791191102086</v>
      </c>
      <c r="BE1101" t="str">
        <f t="shared" si="158"/>
        <v>판타지 웹소설 &gt; 현대 판타지</v>
      </c>
    </row>
    <row r="1102" spans="1:57" x14ac:dyDescent="0.3">
      <c r="A1102">
        <v>1525004030</v>
      </c>
      <c r="B1102">
        <v>1525006804</v>
      </c>
      <c r="C1102" t="str">
        <f>T("회귀의 전설 2부 687화")</f>
        <v>회귀의 전설 2부 687화</v>
      </c>
      <c r="D1102" t="str">
        <f>T("687")</f>
        <v>687</v>
      </c>
      <c r="E1102" t="str">
        <f t="shared" si="156"/>
        <v>김광수</v>
      </c>
      <c r="H1102" t="str">
        <f t="shared" si="155"/>
        <v>스토리위즈</v>
      </c>
      <c r="I1102" t="str">
        <f t="shared" si="157"/>
        <v>회귀의 전설</v>
      </c>
      <c r="J1102">
        <v>100</v>
      </c>
      <c r="K1102">
        <v>200</v>
      </c>
      <c r="L1102">
        <v>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200</v>
      </c>
      <c r="AH1102">
        <v>2</v>
      </c>
      <c r="AI1102">
        <v>0</v>
      </c>
      <c r="AJ1102">
        <v>0</v>
      </c>
      <c r="AK1102">
        <v>100</v>
      </c>
      <c r="AL1102">
        <v>0</v>
      </c>
      <c r="AM1102">
        <v>120</v>
      </c>
      <c r="AN1102">
        <v>-12</v>
      </c>
      <c r="AO1102">
        <v>0</v>
      </c>
      <c r="AQ1102">
        <v>0</v>
      </c>
      <c r="AR1102">
        <v>0</v>
      </c>
      <c r="AS1102">
        <v>120</v>
      </c>
      <c r="AT1102">
        <v>-12</v>
      </c>
      <c r="AU1102">
        <v>0</v>
      </c>
      <c r="AW1102">
        <v>0</v>
      </c>
      <c r="AX1102">
        <v>0</v>
      </c>
      <c r="AY1102">
        <v>145.6</v>
      </c>
      <c r="BC1102" t="str">
        <f>T("9791191102086")</f>
        <v>9791191102086</v>
      </c>
      <c r="BE1102" t="str">
        <f t="shared" si="158"/>
        <v>판타지 웹소설 &gt; 현대 판타지</v>
      </c>
    </row>
    <row r="1103" spans="1:57" x14ac:dyDescent="0.3">
      <c r="A1103">
        <v>1525004030</v>
      </c>
      <c r="B1103">
        <v>1525004265</v>
      </c>
      <c r="C1103" t="str">
        <f>T("회귀의 전설 236화")</f>
        <v>회귀의 전설 236화</v>
      </c>
      <c r="D1103" t="str">
        <f>T("236")</f>
        <v>236</v>
      </c>
      <c r="E1103" t="str">
        <f t="shared" si="156"/>
        <v>김광수</v>
      </c>
      <c r="H1103" t="str">
        <f t="shared" si="155"/>
        <v>스토리위즈</v>
      </c>
      <c r="I1103" t="str">
        <f t="shared" si="157"/>
        <v>회귀의 전설</v>
      </c>
      <c r="J1103">
        <v>100</v>
      </c>
      <c r="K1103">
        <v>200</v>
      </c>
      <c r="L1103">
        <v>2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200</v>
      </c>
      <c r="AH1103">
        <v>2</v>
      </c>
      <c r="AI1103">
        <v>0</v>
      </c>
      <c r="AJ1103">
        <v>0</v>
      </c>
      <c r="AK1103">
        <v>200</v>
      </c>
      <c r="AL1103">
        <v>0</v>
      </c>
      <c r="AM1103">
        <v>0</v>
      </c>
      <c r="AN1103">
        <v>0</v>
      </c>
      <c r="AO1103">
        <v>0</v>
      </c>
      <c r="AQ1103">
        <v>0</v>
      </c>
      <c r="AR1103">
        <v>0</v>
      </c>
      <c r="AT1103">
        <v>0</v>
      </c>
      <c r="AU1103">
        <v>0</v>
      </c>
      <c r="AW1103">
        <v>0</v>
      </c>
      <c r="AX1103">
        <v>0</v>
      </c>
      <c r="AY1103">
        <v>140</v>
      </c>
      <c r="BC1103" t="str">
        <f>T("9788997946006")</f>
        <v>9788997946006</v>
      </c>
      <c r="BE1103" t="str">
        <f t="shared" si="158"/>
        <v>판타지 웹소설 &gt; 현대 판타지</v>
      </c>
    </row>
    <row r="1104" spans="1:57" x14ac:dyDescent="0.3">
      <c r="A1104">
        <v>1525004030</v>
      </c>
      <c r="B1104">
        <v>1525004099</v>
      </c>
      <c r="C1104" t="str">
        <f>T("회귀의 전설 70화")</f>
        <v>회귀의 전설 70화</v>
      </c>
      <c r="D1104" t="str">
        <f>T("70")</f>
        <v>70</v>
      </c>
      <c r="E1104" t="str">
        <f t="shared" si="156"/>
        <v>김광수</v>
      </c>
      <c r="H1104" t="str">
        <f t="shared" si="155"/>
        <v>스토리위즈</v>
      </c>
      <c r="I1104" t="str">
        <f t="shared" si="157"/>
        <v>회귀의 전설</v>
      </c>
      <c r="J1104">
        <v>100</v>
      </c>
      <c r="K1104">
        <v>200</v>
      </c>
      <c r="L1104">
        <v>2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200</v>
      </c>
      <c r="AH1104">
        <v>2</v>
      </c>
      <c r="AI1104">
        <v>0</v>
      </c>
      <c r="AJ1104">
        <v>0</v>
      </c>
      <c r="AK1104">
        <v>100</v>
      </c>
      <c r="AL1104">
        <v>0</v>
      </c>
      <c r="AM1104">
        <v>120</v>
      </c>
      <c r="AN1104">
        <v>-36</v>
      </c>
      <c r="AO1104">
        <v>0</v>
      </c>
      <c r="AQ1104">
        <v>0</v>
      </c>
      <c r="AR1104">
        <v>0</v>
      </c>
      <c r="AS1104">
        <v>120</v>
      </c>
      <c r="AT1104">
        <v>-36</v>
      </c>
      <c r="AU1104">
        <v>0</v>
      </c>
      <c r="AW1104">
        <v>0</v>
      </c>
      <c r="AX1104">
        <v>0</v>
      </c>
      <c r="AY1104">
        <v>128.80000000000001</v>
      </c>
      <c r="BC1104" t="str">
        <f>T("9788997946006")</f>
        <v>9788997946006</v>
      </c>
      <c r="BE1104" t="str">
        <f t="shared" si="158"/>
        <v>판타지 웹소설 &gt; 현대 판타지</v>
      </c>
    </row>
    <row r="1105" spans="1:57" x14ac:dyDescent="0.3">
      <c r="A1105">
        <v>1525004030</v>
      </c>
      <c r="B1105">
        <v>1525006834</v>
      </c>
      <c r="C1105" t="str">
        <f>T("회귀의 전설 2부 717화")</f>
        <v>회귀의 전설 2부 717화</v>
      </c>
      <c r="D1105" t="str">
        <f>T("717")</f>
        <v>717</v>
      </c>
      <c r="E1105" t="str">
        <f t="shared" si="156"/>
        <v>김광수</v>
      </c>
      <c r="H1105" t="str">
        <f t="shared" si="155"/>
        <v>스토리위즈</v>
      </c>
      <c r="I1105" t="str">
        <f t="shared" si="157"/>
        <v>회귀의 전설</v>
      </c>
      <c r="J1105">
        <v>100</v>
      </c>
      <c r="K1105">
        <v>200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200</v>
      </c>
      <c r="AH1105">
        <v>2</v>
      </c>
      <c r="AI1105">
        <v>0</v>
      </c>
      <c r="AJ1105">
        <v>0</v>
      </c>
      <c r="AK1105">
        <v>100</v>
      </c>
      <c r="AL1105">
        <v>0</v>
      </c>
      <c r="AM1105">
        <v>120</v>
      </c>
      <c r="AN1105">
        <v>-12</v>
      </c>
      <c r="AO1105">
        <v>0</v>
      </c>
      <c r="AQ1105">
        <v>0</v>
      </c>
      <c r="AR1105">
        <v>0</v>
      </c>
      <c r="AS1105">
        <v>120</v>
      </c>
      <c r="AT1105">
        <v>-12</v>
      </c>
      <c r="AU1105">
        <v>0</v>
      </c>
      <c r="AW1105">
        <v>0</v>
      </c>
      <c r="AX1105">
        <v>0</v>
      </c>
      <c r="AY1105">
        <v>145.6</v>
      </c>
      <c r="BC1105" t="str">
        <f>T("9791191102086")</f>
        <v>9791191102086</v>
      </c>
      <c r="BE1105" t="str">
        <f t="shared" si="158"/>
        <v>판타지 웹소설 &gt; 현대 판타지</v>
      </c>
    </row>
    <row r="1106" spans="1:57" x14ac:dyDescent="0.3">
      <c r="A1106">
        <v>1525004030</v>
      </c>
      <c r="B1106">
        <v>1525006793</v>
      </c>
      <c r="C1106" t="str">
        <f>T("회귀의 전설 2부 676화")</f>
        <v>회귀의 전설 2부 676화</v>
      </c>
      <c r="D1106" t="str">
        <f>T("676")</f>
        <v>676</v>
      </c>
      <c r="E1106" t="str">
        <f t="shared" si="156"/>
        <v>김광수</v>
      </c>
      <c r="H1106" t="str">
        <f t="shared" si="155"/>
        <v>스토리위즈</v>
      </c>
      <c r="I1106" t="str">
        <f t="shared" si="157"/>
        <v>회귀의 전설</v>
      </c>
      <c r="J1106">
        <v>100</v>
      </c>
      <c r="K1106">
        <v>200</v>
      </c>
      <c r="L1106">
        <v>2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200</v>
      </c>
      <c r="AH1106">
        <v>2</v>
      </c>
      <c r="AI1106">
        <v>0</v>
      </c>
      <c r="AJ1106">
        <v>0</v>
      </c>
      <c r="AK1106">
        <v>100</v>
      </c>
      <c r="AL1106">
        <v>0</v>
      </c>
      <c r="AM1106">
        <v>120</v>
      </c>
      <c r="AN1106">
        <v>-12</v>
      </c>
      <c r="AO1106">
        <v>0</v>
      </c>
      <c r="AQ1106">
        <v>0</v>
      </c>
      <c r="AR1106">
        <v>0</v>
      </c>
      <c r="AS1106">
        <v>120</v>
      </c>
      <c r="AT1106">
        <v>-12</v>
      </c>
      <c r="AU1106">
        <v>0</v>
      </c>
      <c r="AW1106">
        <v>0</v>
      </c>
      <c r="AX1106">
        <v>0</v>
      </c>
      <c r="AY1106">
        <v>145.6</v>
      </c>
      <c r="BC1106" t="str">
        <f>T("9791191102086")</f>
        <v>9791191102086</v>
      </c>
      <c r="BE1106" t="str">
        <f t="shared" si="158"/>
        <v>판타지 웹소설 &gt; 현대 판타지</v>
      </c>
    </row>
    <row r="1107" spans="1:57" x14ac:dyDescent="0.3">
      <c r="A1107">
        <v>1525004030</v>
      </c>
      <c r="B1107">
        <v>1525006752</v>
      </c>
      <c r="C1107" t="str">
        <f>T("회귀의 전설 2부 635화")</f>
        <v>회귀의 전설 2부 635화</v>
      </c>
      <c r="D1107" t="str">
        <f>T("635")</f>
        <v>635</v>
      </c>
      <c r="E1107" t="str">
        <f t="shared" si="156"/>
        <v>김광수</v>
      </c>
      <c r="H1107" t="str">
        <f t="shared" si="155"/>
        <v>스토리위즈</v>
      </c>
      <c r="I1107" t="str">
        <f t="shared" si="157"/>
        <v>회귀의 전설</v>
      </c>
      <c r="J1107">
        <v>100</v>
      </c>
      <c r="K1107">
        <v>200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200</v>
      </c>
      <c r="AH1107">
        <v>2</v>
      </c>
      <c r="AI1107">
        <v>0</v>
      </c>
      <c r="AJ1107">
        <v>0</v>
      </c>
      <c r="AK1107">
        <v>100</v>
      </c>
      <c r="AL1107">
        <v>0</v>
      </c>
      <c r="AM1107">
        <v>120</v>
      </c>
      <c r="AN1107">
        <v>-12</v>
      </c>
      <c r="AO1107">
        <v>0</v>
      </c>
      <c r="AQ1107">
        <v>0</v>
      </c>
      <c r="AR1107">
        <v>0</v>
      </c>
      <c r="AS1107">
        <v>120</v>
      </c>
      <c r="AT1107">
        <v>-12</v>
      </c>
      <c r="AU1107">
        <v>0</v>
      </c>
      <c r="AW1107">
        <v>0</v>
      </c>
      <c r="AX1107">
        <v>0</v>
      </c>
      <c r="AY1107">
        <v>145.6</v>
      </c>
      <c r="BC1107" t="str">
        <f>T("9791191102086")</f>
        <v>9791191102086</v>
      </c>
      <c r="BE1107" t="str">
        <f t="shared" si="158"/>
        <v>판타지 웹소설 &gt; 현대 판타지</v>
      </c>
    </row>
    <row r="1108" spans="1:57" x14ac:dyDescent="0.3">
      <c r="A1108">
        <v>1525004030</v>
      </c>
      <c r="B1108">
        <v>1525004254</v>
      </c>
      <c r="C1108" t="str">
        <f>T("회귀의 전설 225화")</f>
        <v>회귀의 전설 225화</v>
      </c>
      <c r="D1108" t="str">
        <f>T("225")</f>
        <v>225</v>
      </c>
      <c r="E1108" t="str">
        <f t="shared" si="156"/>
        <v>김광수</v>
      </c>
      <c r="H1108" t="str">
        <f t="shared" si="155"/>
        <v>스토리위즈</v>
      </c>
      <c r="I1108" t="str">
        <f t="shared" si="157"/>
        <v>회귀의 전설</v>
      </c>
      <c r="J1108">
        <v>100</v>
      </c>
      <c r="K1108">
        <v>200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200</v>
      </c>
      <c r="AH1108">
        <v>2</v>
      </c>
      <c r="AI1108">
        <v>0</v>
      </c>
      <c r="AJ1108">
        <v>0</v>
      </c>
      <c r="AK1108">
        <v>200</v>
      </c>
      <c r="AL1108">
        <v>0</v>
      </c>
      <c r="AM1108">
        <v>0</v>
      </c>
      <c r="AN1108">
        <v>0</v>
      </c>
      <c r="AO1108">
        <v>0</v>
      </c>
      <c r="AQ1108">
        <v>0</v>
      </c>
      <c r="AR1108">
        <v>0</v>
      </c>
      <c r="AT1108">
        <v>0</v>
      </c>
      <c r="AU1108">
        <v>0</v>
      </c>
      <c r="AW1108">
        <v>0</v>
      </c>
      <c r="AX1108">
        <v>0</v>
      </c>
      <c r="AY1108">
        <v>140</v>
      </c>
      <c r="BC1108" t="str">
        <f>T("9788997946006")</f>
        <v>9788997946006</v>
      </c>
      <c r="BE1108" t="str">
        <f t="shared" si="158"/>
        <v>판타지 웹소설 &gt; 현대 판타지</v>
      </c>
    </row>
    <row r="1109" spans="1:57" x14ac:dyDescent="0.3">
      <c r="A1109">
        <v>1525004030</v>
      </c>
      <c r="B1109">
        <v>1525006711</v>
      </c>
      <c r="C1109" t="str">
        <f>T("회귀의 전설 2부 594화")</f>
        <v>회귀의 전설 2부 594화</v>
      </c>
      <c r="D1109" t="str">
        <f>T("594")</f>
        <v>594</v>
      </c>
      <c r="E1109" t="str">
        <f t="shared" si="156"/>
        <v>김광수</v>
      </c>
      <c r="H1109" t="str">
        <f t="shared" si="155"/>
        <v>스토리위즈</v>
      </c>
      <c r="I1109" t="str">
        <f t="shared" si="157"/>
        <v>회귀의 전설</v>
      </c>
      <c r="J1109">
        <v>100</v>
      </c>
      <c r="K1109">
        <v>200</v>
      </c>
      <c r="L1109">
        <v>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200</v>
      </c>
      <c r="AH1109">
        <v>2</v>
      </c>
      <c r="AI1109">
        <v>0</v>
      </c>
      <c r="AJ1109">
        <v>0</v>
      </c>
      <c r="AK1109">
        <v>100</v>
      </c>
      <c r="AL1109">
        <v>0</v>
      </c>
      <c r="AM1109">
        <v>120</v>
      </c>
      <c r="AN1109">
        <v>-12</v>
      </c>
      <c r="AO1109">
        <v>0</v>
      </c>
      <c r="AQ1109">
        <v>0</v>
      </c>
      <c r="AR1109">
        <v>0</v>
      </c>
      <c r="AS1109">
        <v>120</v>
      </c>
      <c r="AT1109">
        <v>-12</v>
      </c>
      <c r="AU1109">
        <v>0</v>
      </c>
      <c r="AW1109">
        <v>0</v>
      </c>
      <c r="AX1109">
        <v>0</v>
      </c>
      <c r="AY1109">
        <v>145.6</v>
      </c>
      <c r="BC1109" t="str">
        <f>T("9791191102086")</f>
        <v>9791191102086</v>
      </c>
      <c r="BE1109" t="str">
        <f t="shared" si="158"/>
        <v>판타지 웹소설 &gt; 현대 판타지</v>
      </c>
    </row>
    <row r="1110" spans="1:57" x14ac:dyDescent="0.3">
      <c r="A1110">
        <v>1525004030</v>
      </c>
      <c r="B1110">
        <v>1525004213</v>
      </c>
      <c r="C1110" t="str">
        <f>T("회귀의 전설 184화")</f>
        <v>회귀의 전설 184화</v>
      </c>
      <c r="D1110" t="str">
        <f>T("184")</f>
        <v>184</v>
      </c>
      <c r="E1110" t="str">
        <f t="shared" si="156"/>
        <v>김광수</v>
      </c>
      <c r="H1110" t="str">
        <f t="shared" si="155"/>
        <v>스토리위즈</v>
      </c>
      <c r="I1110" t="str">
        <f t="shared" si="157"/>
        <v>회귀의 전설</v>
      </c>
      <c r="J1110">
        <v>100</v>
      </c>
      <c r="K1110">
        <v>200</v>
      </c>
      <c r="L1110">
        <v>2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200</v>
      </c>
      <c r="AH1110">
        <v>2</v>
      </c>
      <c r="AI1110">
        <v>0</v>
      </c>
      <c r="AJ1110">
        <v>0</v>
      </c>
      <c r="AK1110">
        <v>200</v>
      </c>
      <c r="AL1110">
        <v>0</v>
      </c>
      <c r="AM1110">
        <v>0</v>
      </c>
      <c r="AN1110">
        <v>0</v>
      </c>
      <c r="AO1110">
        <v>0</v>
      </c>
      <c r="AQ1110">
        <v>0</v>
      </c>
      <c r="AR1110">
        <v>0</v>
      </c>
      <c r="AT1110">
        <v>0</v>
      </c>
      <c r="AU1110">
        <v>0</v>
      </c>
      <c r="AW1110">
        <v>0</v>
      </c>
      <c r="AX1110">
        <v>0</v>
      </c>
      <c r="AY1110">
        <v>140</v>
      </c>
      <c r="BC1110" t="str">
        <f>T("9788997946006")</f>
        <v>9788997946006</v>
      </c>
      <c r="BE1110" t="str">
        <f t="shared" si="158"/>
        <v>판타지 웹소설 &gt; 현대 판타지</v>
      </c>
    </row>
    <row r="1111" spans="1:57" x14ac:dyDescent="0.3">
      <c r="A1111">
        <v>1525002864</v>
      </c>
      <c r="B1111">
        <v>1525002891</v>
      </c>
      <c r="C1111" t="str">
        <f>T("소드마스터의 환생 28화")</f>
        <v>소드마스터의 환생 28화</v>
      </c>
      <c r="D1111" t="str">
        <f>T("28")</f>
        <v>28</v>
      </c>
      <c r="E1111" t="str">
        <f>T("파란영")</f>
        <v>파란영</v>
      </c>
      <c r="H1111" t="str">
        <f t="shared" si="155"/>
        <v>스토리위즈</v>
      </c>
      <c r="I1111" t="str">
        <f>T("소드마스터의 환생")</f>
        <v>소드마스터의 환생</v>
      </c>
      <c r="J1111">
        <v>100</v>
      </c>
      <c r="K1111">
        <v>200</v>
      </c>
      <c r="L1111">
        <v>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200</v>
      </c>
      <c r="AH1111">
        <v>2</v>
      </c>
      <c r="AI1111">
        <v>0</v>
      </c>
      <c r="AJ1111">
        <v>0</v>
      </c>
      <c r="AK1111">
        <v>200</v>
      </c>
      <c r="AL1111">
        <v>0</v>
      </c>
      <c r="AM1111">
        <v>0</v>
      </c>
      <c r="AN1111">
        <v>0</v>
      </c>
      <c r="AO1111">
        <v>0</v>
      </c>
      <c r="AQ1111">
        <v>0</v>
      </c>
      <c r="AR1111">
        <v>0</v>
      </c>
      <c r="AT1111">
        <v>0</v>
      </c>
      <c r="AU1111">
        <v>0</v>
      </c>
      <c r="AW1111">
        <v>0</v>
      </c>
      <c r="AX1111">
        <v>0</v>
      </c>
      <c r="AY1111">
        <v>140</v>
      </c>
      <c r="BC1111" t="str">
        <f>T("9791159287527")</f>
        <v>9791159287527</v>
      </c>
      <c r="BE1111" t="str">
        <f>T("판타지 웹소설 &gt; 정통 판타지")</f>
        <v>판타지 웹소설 &gt; 정통 판타지</v>
      </c>
    </row>
    <row r="1112" spans="1:57" x14ac:dyDescent="0.3">
      <c r="A1112">
        <v>1525004030</v>
      </c>
      <c r="B1112">
        <v>1525006866</v>
      </c>
      <c r="C1112" t="str">
        <f>T("회귀의 전설 2부 749화")</f>
        <v>회귀의 전설 2부 749화</v>
      </c>
      <c r="D1112" t="str">
        <f>T("749")</f>
        <v>749</v>
      </c>
      <c r="E1112" t="str">
        <f t="shared" ref="E1112:E1149" si="159">T("김광수")</f>
        <v>김광수</v>
      </c>
      <c r="H1112" t="str">
        <f t="shared" si="155"/>
        <v>스토리위즈</v>
      </c>
      <c r="I1112" t="str">
        <f t="shared" ref="I1112:I1149" si="160">T("회귀의 전설")</f>
        <v>회귀의 전설</v>
      </c>
      <c r="J1112">
        <v>100</v>
      </c>
      <c r="K1112">
        <v>200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200</v>
      </c>
      <c r="AH1112">
        <v>2</v>
      </c>
      <c r="AI1112">
        <v>0</v>
      </c>
      <c r="AJ1112">
        <v>0</v>
      </c>
      <c r="AK1112">
        <v>100</v>
      </c>
      <c r="AL1112">
        <v>0</v>
      </c>
      <c r="AM1112">
        <v>120</v>
      </c>
      <c r="AN1112">
        <v>-12</v>
      </c>
      <c r="AO1112">
        <v>0</v>
      </c>
      <c r="AQ1112">
        <v>0</v>
      </c>
      <c r="AR1112">
        <v>0</v>
      </c>
      <c r="AS1112">
        <v>120</v>
      </c>
      <c r="AT1112">
        <v>-12</v>
      </c>
      <c r="AU1112">
        <v>0</v>
      </c>
      <c r="AW1112">
        <v>0</v>
      </c>
      <c r="AX1112">
        <v>0</v>
      </c>
      <c r="AY1112">
        <v>145.6</v>
      </c>
      <c r="BC1112" t="str">
        <f>T("9791191102086")</f>
        <v>9791191102086</v>
      </c>
      <c r="BE1112" t="str">
        <f t="shared" ref="BE1112:BE1149" si="161">T("판타지 웹소설 &gt; 현대 판타지")</f>
        <v>판타지 웹소설 &gt; 현대 판타지</v>
      </c>
    </row>
    <row r="1113" spans="1:57" x14ac:dyDescent="0.3">
      <c r="A1113">
        <v>1525004030</v>
      </c>
      <c r="B1113">
        <v>1525006825</v>
      </c>
      <c r="C1113" t="str">
        <f>T("회귀의 전설 2부 708화")</f>
        <v>회귀의 전설 2부 708화</v>
      </c>
      <c r="D1113" t="str">
        <f>T("708")</f>
        <v>708</v>
      </c>
      <c r="E1113" t="str">
        <f t="shared" si="159"/>
        <v>김광수</v>
      </c>
      <c r="H1113" t="str">
        <f t="shared" si="155"/>
        <v>스토리위즈</v>
      </c>
      <c r="I1113" t="str">
        <f t="shared" si="160"/>
        <v>회귀의 전설</v>
      </c>
      <c r="J1113">
        <v>100</v>
      </c>
      <c r="K1113">
        <v>200</v>
      </c>
      <c r="L1113">
        <v>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200</v>
      </c>
      <c r="AH1113">
        <v>2</v>
      </c>
      <c r="AI1113">
        <v>0</v>
      </c>
      <c r="AJ1113">
        <v>0</v>
      </c>
      <c r="AK1113">
        <v>100</v>
      </c>
      <c r="AL1113">
        <v>0</v>
      </c>
      <c r="AM1113">
        <v>120</v>
      </c>
      <c r="AN1113">
        <v>-12</v>
      </c>
      <c r="AO1113">
        <v>0</v>
      </c>
      <c r="AQ1113">
        <v>0</v>
      </c>
      <c r="AR1113">
        <v>0</v>
      </c>
      <c r="AS1113">
        <v>120</v>
      </c>
      <c r="AT1113">
        <v>-12</v>
      </c>
      <c r="AU1113">
        <v>0</v>
      </c>
      <c r="AW1113">
        <v>0</v>
      </c>
      <c r="AX1113">
        <v>0</v>
      </c>
      <c r="AY1113">
        <v>145.6</v>
      </c>
      <c r="BC1113" t="str">
        <f>T("9791191102086")</f>
        <v>9791191102086</v>
      </c>
      <c r="BE1113" t="str">
        <f t="shared" si="161"/>
        <v>판타지 웹소설 &gt; 현대 판타지</v>
      </c>
    </row>
    <row r="1114" spans="1:57" x14ac:dyDescent="0.3">
      <c r="A1114">
        <v>1525004030</v>
      </c>
      <c r="B1114">
        <v>1525004116</v>
      </c>
      <c r="C1114" t="str">
        <f>T("회귀의 전설 87화")</f>
        <v>회귀의 전설 87화</v>
      </c>
      <c r="D1114" t="str">
        <f>T("87")</f>
        <v>87</v>
      </c>
      <c r="E1114" t="str">
        <f t="shared" si="159"/>
        <v>김광수</v>
      </c>
      <c r="H1114" t="str">
        <f t="shared" si="155"/>
        <v>스토리위즈</v>
      </c>
      <c r="I1114" t="str">
        <f t="shared" si="160"/>
        <v>회귀의 전설</v>
      </c>
      <c r="J1114">
        <v>100</v>
      </c>
      <c r="K1114">
        <v>200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200</v>
      </c>
      <c r="AH1114">
        <v>2</v>
      </c>
      <c r="AI1114">
        <v>0</v>
      </c>
      <c r="AJ1114">
        <v>0</v>
      </c>
      <c r="AK1114">
        <v>100</v>
      </c>
      <c r="AL1114">
        <v>0</v>
      </c>
      <c r="AM1114">
        <v>120</v>
      </c>
      <c r="AN1114">
        <v>-12</v>
      </c>
      <c r="AO1114">
        <v>0</v>
      </c>
      <c r="AQ1114">
        <v>0</v>
      </c>
      <c r="AR1114">
        <v>0</v>
      </c>
      <c r="AS1114">
        <v>120</v>
      </c>
      <c r="AT1114">
        <v>-12</v>
      </c>
      <c r="AU1114">
        <v>0</v>
      </c>
      <c r="AW1114">
        <v>0</v>
      </c>
      <c r="AX1114">
        <v>0</v>
      </c>
      <c r="AY1114">
        <v>145.6</v>
      </c>
      <c r="BC1114" t="str">
        <f>T("9788997946006")</f>
        <v>9788997946006</v>
      </c>
      <c r="BE1114" t="str">
        <f t="shared" si="161"/>
        <v>판타지 웹소설 &gt; 현대 판타지</v>
      </c>
    </row>
    <row r="1115" spans="1:57" x14ac:dyDescent="0.3">
      <c r="A1115">
        <v>1525004030</v>
      </c>
      <c r="B1115">
        <v>1525004360</v>
      </c>
      <c r="C1115" t="str">
        <f>T("회귀의 전설 332화")</f>
        <v>회귀의 전설 332화</v>
      </c>
      <c r="D1115" t="str">
        <f>T("332")</f>
        <v>332</v>
      </c>
      <c r="E1115" t="str">
        <f t="shared" si="159"/>
        <v>김광수</v>
      </c>
      <c r="H1115" t="str">
        <f t="shared" si="155"/>
        <v>스토리위즈</v>
      </c>
      <c r="I1115" t="str">
        <f t="shared" si="160"/>
        <v>회귀의 전설</v>
      </c>
      <c r="J1115">
        <v>100</v>
      </c>
      <c r="K1115">
        <v>200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200</v>
      </c>
      <c r="AH1115">
        <v>2</v>
      </c>
      <c r="AI1115">
        <v>0</v>
      </c>
      <c r="AJ1115">
        <v>0</v>
      </c>
      <c r="AK1115">
        <v>200</v>
      </c>
      <c r="AL1115">
        <v>0</v>
      </c>
      <c r="AM1115">
        <v>0</v>
      </c>
      <c r="AN1115">
        <v>0</v>
      </c>
      <c r="AO1115">
        <v>0</v>
      </c>
      <c r="AQ1115">
        <v>0</v>
      </c>
      <c r="AR1115">
        <v>0</v>
      </c>
      <c r="AT1115">
        <v>0</v>
      </c>
      <c r="AU1115">
        <v>0</v>
      </c>
      <c r="AW1115">
        <v>0</v>
      </c>
      <c r="AX1115">
        <v>0</v>
      </c>
      <c r="AY1115">
        <v>140</v>
      </c>
      <c r="BC1115" t="str">
        <f>T("9788997946006")</f>
        <v>9788997946006</v>
      </c>
      <c r="BE1115" t="str">
        <f t="shared" si="161"/>
        <v>판타지 웹소설 &gt; 현대 판타지</v>
      </c>
    </row>
    <row r="1116" spans="1:57" x14ac:dyDescent="0.3">
      <c r="A1116">
        <v>1525004030</v>
      </c>
      <c r="B1116">
        <v>1525004417</v>
      </c>
      <c r="C1116" t="str">
        <f>T("회귀의 전설 401화")</f>
        <v>회귀의 전설 401화</v>
      </c>
      <c r="D1116" t="str">
        <f>T("401")</f>
        <v>401</v>
      </c>
      <c r="E1116" t="str">
        <f t="shared" si="159"/>
        <v>김광수</v>
      </c>
      <c r="H1116" t="str">
        <f t="shared" si="155"/>
        <v>스토리위즈</v>
      </c>
      <c r="I1116" t="str">
        <f t="shared" si="160"/>
        <v>회귀의 전설</v>
      </c>
      <c r="J1116">
        <v>100</v>
      </c>
      <c r="K1116">
        <v>200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200</v>
      </c>
      <c r="AH1116">
        <v>2</v>
      </c>
      <c r="AI1116">
        <v>0</v>
      </c>
      <c r="AJ1116">
        <v>0</v>
      </c>
      <c r="AK1116">
        <v>200</v>
      </c>
      <c r="AL1116">
        <v>0</v>
      </c>
      <c r="AM1116">
        <v>0</v>
      </c>
      <c r="AN1116">
        <v>0</v>
      </c>
      <c r="AO1116">
        <v>0</v>
      </c>
      <c r="AQ1116">
        <v>0</v>
      </c>
      <c r="AR1116">
        <v>0</v>
      </c>
      <c r="AT1116">
        <v>0</v>
      </c>
      <c r="AU1116">
        <v>0</v>
      </c>
      <c r="AW1116">
        <v>0</v>
      </c>
      <c r="AX1116">
        <v>0</v>
      </c>
      <c r="AY1116">
        <v>140</v>
      </c>
      <c r="BC1116" t="str">
        <f>T("9788997946006")</f>
        <v>9788997946006</v>
      </c>
      <c r="BE1116" t="str">
        <f t="shared" si="161"/>
        <v>판타지 웹소설 &gt; 현대 판타지</v>
      </c>
    </row>
    <row r="1117" spans="1:57" x14ac:dyDescent="0.3">
      <c r="A1117">
        <v>1525004030</v>
      </c>
      <c r="B1117">
        <v>1525006883</v>
      </c>
      <c r="C1117" t="str">
        <f>T("회귀의 전설 2부 766화")</f>
        <v>회귀의 전설 2부 766화</v>
      </c>
      <c r="D1117" t="str">
        <f>T("766")</f>
        <v>766</v>
      </c>
      <c r="E1117" t="str">
        <f t="shared" si="159"/>
        <v>김광수</v>
      </c>
      <c r="H1117" t="str">
        <f t="shared" si="155"/>
        <v>스토리위즈</v>
      </c>
      <c r="I1117" t="str">
        <f t="shared" si="160"/>
        <v>회귀의 전설</v>
      </c>
      <c r="J1117">
        <v>100</v>
      </c>
      <c r="K1117">
        <v>200</v>
      </c>
      <c r="L1117">
        <v>2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200</v>
      </c>
      <c r="AH1117">
        <v>2</v>
      </c>
      <c r="AI1117">
        <v>0</v>
      </c>
      <c r="AJ1117">
        <v>0</v>
      </c>
      <c r="AK1117">
        <v>100</v>
      </c>
      <c r="AL1117">
        <v>0</v>
      </c>
      <c r="AM1117">
        <v>120</v>
      </c>
      <c r="AN1117">
        <v>-12</v>
      </c>
      <c r="AO1117">
        <v>0</v>
      </c>
      <c r="AQ1117">
        <v>0</v>
      </c>
      <c r="AR1117">
        <v>0</v>
      </c>
      <c r="AS1117">
        <v>120</v>
      </c>
      <c r="AT1117">
        <v>-12</v>
      </c>
      <c r="AU1117">
        <v>0</v>
      </c>
      <c r="AW1117">
        <v>0</v>
      </c>
      <c r="AX1117">
        <v>0</v>
      </c>
      <c r="AY1117">
        <v>145.6</v>
      </c>
      <c r="BC1117" t="str">
        <f>T("9791191102086")</f>
        <v>9791191102086</v>
      </c>
      <c r="BE1117" t="str">
        <f t="shared" si="161"/>
        <v>판타지 웹소설 &gt; 현대 판타지</v>
      </c>
    </row>
    <row r="1118" spans="1:57" x14ac:dyDescent="0.3">
      <c r="A1118">
        <v>1525004030</v>
      </c>
      <c r="B1118">
        <v>1525004474</v>
      </c>
      <c r="C1118" t="str">
        <f>T("회귀의 전설 458화")</f>
        <v>회귀의 전설 458화</v>
      </c>
      <c r="D1118" t="str">
        <f>T("458")</f>
        <v>458</v>
      </c>
      <c r="E1118" t="str">
        <f t="shared" si="159"/>
        <v>김광수</v>
      </c>
      <c r="H1118" t="str">
        <f t="shared" si="155"/>
        <v>스토리위즈</v>
      </c>
      <c r="I1118" t="str">
        <f t="shared" si="160"/>
        <v>회귀의 전설</v>
      </c>
      <c r="J1118">
        <v>100</v>
      </c>
      <c r="K1118">
        <v>200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200</v>
      </c>
      <c r="AH1118">
        <v>2</v>
      </c>
      <c r="AI1118">
        <v>0</v>
      </c>
      <c r="AJ1118">
        <v>0</v>
      </c>
      <c r="AK1118">
        <v>200</v>
      </c>
      <c r="AL1118">
        <v>0</v>
      </c>
      <c r="AM1118">
        <v>0</v>
      </c>
      <c r="AN1118">
        <v>0</v>
      </c>
      <c r="AO1118">
        <v>0</v>
      </c>
      <c r="AQ1118">
        <v>0</v>
      </c>
      <c r="AR1118">
        <v>0</v>
      </c>
      <c r="AT1118">
        <v>0</v>
      </c>
      <c r="AU1118">
        <v>0</v>
      </c>
      <c r="AW1118">
        <v>0</v>
      </c>
      <c r="AX1118">
        <v>0</v>
      </c>
      <c r="AY1118">
        <v>140</v>
      </c>
      <c r="BC1118" t="str">
        <f>T("9788997946006")</f>
        <v>9788997946006</v>
      </c>
      <c r="BE1118" t="str">
        <f t="shared" si="161"/>
        <v>판타지 웹소설 &gt; 현대 판타지</v>
      </c>
    </row>
    <row r="1119" spans="1:57" x14ac:dyDescent="0.3">
      <c r="A1119">
        <v>1525004030</v>
      </c>
      <c r="B1119">
        <v>1525004392</v>
      </c>
      <c r="C1119" t="str">
        <f>T("회귀의 전설 364화")</f>
        <v>회귀의 전설 364화</v>
      </c>
      <c r="D1119" t="str">
        <f>T("364")</f>
        <v>364</v>
      </c>
      <c r="E1119" t="str">
        <f t="shared" si="159"/>
        <v>김광수</v>
      </c>
      <c r="H1119" t="str">
        <f t="shared" si="155"/>
        <v>스토리위즈</v>
      </c>
      <c r="I1119" t="str">
        <f t="shared" si="160"/>
        <v>회귀의 전설</v>
      </c>
      <c r="J1119">
        <v>100</v>
      </c>
      <c r="K1119">
        <v>200</v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200</v>
      </c>
      <c r="AH1119">
        <v>2</v>
      </c>
      <c r="AI1119">
        <v>0</v>
      </c>
      <c r="AJ1119">
        <v>0</v>
      </c>
      <c r="AK1119">
        <v>200</v>
      </c>
      <c r="AL1119">
        <v>0</v>
      </c>
      <c r="AM1119">
        <v>0</v>
      </c>
      <c r="AN1119">
        <v>0</v>
      </c>
      <c r="AO1119">
        <v>0</v>
      </c>
      <c r="AQ1119">
        <v>0</v>
      </c>
      <c r="AR1119">
        <v>0</v>
      </c>
      <c r="AT1119">
        <v>0</v>
      </c>
      <c r="AU1119">
        <v>0</v>
      </c>
      <c r="AW1119">
        <v>0</v>
      </c>
      <c r="AX1119">
        <v>0</v>
      </c>
      <c r="AY1119">
        <v>140</v>
      </c>
      <c r="BC1119" t="str">
        <f>T("9788997946006")</f>
        <v>9788997946006</v>
      </c>
      <c r="BE1119" t="str">
        <f t="shared" si="161"/>
        <v>판타지 웹소설 &gt; 현대 판타지</v>
      </c>
    </row>
    <row r="1120" spans="1:57" x14ac:dyDescent="0.3">
      <c r="A1120">
        <v>1525004030</v>
      </c>
      <c r="B1120">
        <v>1525004279</v>
      </c>
      <c r="C1120" t="str">
        <f>T("회귀의 전설 250화")</f>
        <v>회귀의 전설 250화</v>
      </c>
      <c r="D1120" t="str">
        <f>T("250")</f>
        <v>250</v>
      </c>
      <c r="E1120" t="str">
        <f t="shared" si="159"/>
        <v>김광수</v>
      </c>
      <c r="H1120" t="str">
        <f t="shared" si="155"/>
        <v>스토리위즈</v>
      </c>
      <c r="I1120" t="str">
        <f t="shared" si="160"/>
        <v>회귀의 전설</v>
      </c>
      <c r="J1120">
        <v>100</v>
      </c>
      <c r="K1120">
        <v>200</v>
      </c>
      <c r="L1120">
        <v>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200</v>
      </c>
      <c r="AH1120">
        <v>2</v>
      </c>
      <c r="AI1120">
        <v>0</v>
      </c>
      <c r="AJ1120">
        <v>0</v>
      </c>
      <c r="AK1120">
        <v>200</v>
      </c>
      <c r="AL1120">
        <v>0</v>
      </c>
      <c r="AM1120">
        <v>0</v>
      </c>
      <c r="AN1120">
        <v>0</v>
      </c>
      <c r="AO1120">
        <v>0</v>
      </c>
      <c r="AQ1120">
        <v>0</v>
      </c>
      <c r="AR1120">
        <v>0</v>
      </c>
      <c r="AT1120">
        <v>0</v>
      </c>
      <c r="AU1120">
        <v>0</v>
      </c>
      <c r="AW1120">
        <v>0</v>
      </c>
      <c r="AX1120">
        <v>0</v>
      </c>
      <c r="AY1120">
        <v>140</v>
      </c>
      <c r="BC1120" t="str">
        <f>T("9788997946006")</f>
        <v>9788997946006</v>
      </c>
      <c r="BE1120" t="str">
        <f t="shared" si="161"/>
        <v>판타지 웹소설 &gt; 현대 판타지</v>
      </c>
    </row>
    <row r="1121" spans="1:57" x14ac:dyDescent="0.3">
      <c r="A1121">
        <v>1525004030</v>
      </c>
      <c r="B1121">
        <v>1525004449</v>
      </c>
      <c r="C1121" t="str">
        <f>T("회귀의 전설 433화")</f>
        <v>회귀의 전설 433화</v>
      </c>
      <c r="D1121" t="str">
        <f>T("433")</f>
        <v>433</v>
      </c>
      <c r="E1121" t="str">
        <f t="shared" si="159"/>
        <v>김광수</v>
      </c>
      <c r="H1121" t="str">
        <f t="shared" si="155"/>
        <v>스토리위즈</v>
      </c>
      <c r="I1121" t="str">
        <f t="shared" si="160"/>
        <v>회귀의 전설</v>
      </c>
      <c r="J1121">
        <v>100</v>
      </c>
      <c r="K1121">
        <v>200</v>
      </c>
      <c r="L1121">
        <v>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200</v>
      </c>
      <c r="AH1121">
        <v>2</v>
      </c>
      <c r="AI1121">
        <v>0</v>
      </c>
      <c r="AJ1121">
        <v>0</v>
      </c>
      <c r="AK1121">
        <v>200</v>
      </c>
      <c r="AL1121">
        <v>0</v>
      </c>
      <c r="AM1121">
        <v>0</v>
      </c>
      <c r="AN1121">
        <v>0</v>
      </c>
      <c r="AO1121">
        <v>0</v>
      </c>
      <c r="AQ1121">
        <v>0</v>
      </c>
      <c r="AR1121">
        <v>0</v>
      </c>
      <c r="AT1121">
        <v>0</v>
      </c>
      <c r="AU1121">
        <v>0</v>
      </c>
      <c r="AW1121">
        <v>0</v>
      </c>
      <c r="AX1121">
        <v>0</v>
      </c>
      <c r="AY1121">
        <v>140</v>
      </c>
      <c r="BC1121" t="str">
        <f>T("9788997946006")</f>
        <v>9788997946006</v>
      </c>
      <c r="BE1121" t="str">
        <f t="shared" si="161"/>
        <v>판타지 웹소설 &gt; 현대 판타지</v>
      </c>
    </row>
    <row r="1122" spans="1:57" x14ac:dyDescent="0.3">
      <c r="A1122">
        <v>1525004030</v>
      </c>
      <c r="B1122">
        <v>1525004067</v>
      </c>
      <c r="C1122" t="str">
        <f>T("회귀의 전설 38화")</f>
        <v>회귀의 전설 38화</v>
      </c>
      <c r="D1122" t="str">
        <f>T("38")</f>
        <v>38</v>
      </c>
      <c r="E1122" t="str">
        <f t="shared" si="159"/>
        <v>김광수</v>
      </c>
      <c r="H1122" t="str">
        <f t="shared" si="155"/>
        <v>스토리위즈</v>
      </c>
      <c r="I1122" t="str">
        <f t="shared" si="160"/>
        <v>회귀의 전설</v>
      </c>
      <c r="J1122">
        <v>100</v>
      </c>
      <c r="K1122">
        <v>200</v>
      </c>
      <c r="L1122">
        <v>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200</v>
      </c>
      <c r="AH1122">
        <v>2</v>
      </c>
      <c r="AI1122">
        <v>0</v>
      </c>
      <c r="AJ1122">
        <v>0</v>
      </c>
      <c r="AK1122">
        <v>100</v>
      </c>
      <c r="AL1122">
        <v>0</v>
      </c>
      <c r="AM1122">
        <v>120</v>
      </c>
      <c r="AN1122">
        <v>-36</v>
      </c>
      <c r="AO1122">
        <v>0</v>
      </c>
      <c r="AQ1122">
        <v>0</v>
      </c>
      <c r="AR1122">
        <v>0</v>
      </c>
      <c r="AS1122">
        <v>120</v>
      </c>
      <c r="AT1122">
        <v>-36</v>
      </c>
      <c r="AU1122">
        <v>0</v>
      </c>
      <c r="AW1122">
        <v>0</v>
      </c>
      <c r="AX1122">
        <v>0</v>
      </c>
      <c r="AY1122">
        <v>128.80000000000001</v>
      </c>
      <c r="BC1122" t="str">
        <f>T("9788997946006")</f>
        <v>9788997946006</v>
      </c>
      <c r="BE1122" t="str">
        <f t="shared" si="161"/>
        <v>판타지 웹소설 &gt; 현대 판타지</v>
      </c>
    </row>
    <row r="1123" spans="1:57" x14ac:dyDescent="0.3">
      <c r="A1123">
        <v>1525004030</v>
      </c>
      <c r="B1123">
        <v>1525006720</v>
      </c>
      <c r="C1123" t="str">
        <f>T("회귀의 전설 2부 603화")</f>
        <v>회귀의 전설 2부 603화</v>
      </c>
      <c r="D1123" t="str">
        <f>T("603")</f>
        <v>603</v>
      </c>
      <c r="E1123" t="str">
        <f t="shared" si="159"/>
        <v>김광수</v>
      </c>
      <c r="H1123" t="str">
        <f t="shared" si="155"/>
        <v>스토리위즈</v>
      </c>
      <c r="I1123" t="str">
        <f t="shared" si="160"/>
        <v>회귀의 전설</v>
      </c>
      <c r="J1123">
        <v>100</v>
      </c>
      <c r="K1123">
        <v>200</v>
      </c>
      <c r="L1123">
        <v>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200</v>
      </c>
      <c r="AH1123">
        <v>2</v>
      </c>
      <c r="AI1123">
        <v>0</v>
      </c>
      <c r="AJ1123">
        <v>0</v>
      </c>
      <c r="AK1123">
        <v>100</v>
      </c>
      <c r="AL1123">
        <v>0</v>
      </c>
      <c r="AM1123">
        <v>120</v>
      </c>
      <c r="AN1123">
        <v>-12</v>
      </c>
      <c r="AO1123">
        <v>0</v>
      </c>
      <c r="AQ1123">
        <v>0</v>
      </c>
      <c r="AR1123">
        <v>0</v>
      </c>
      <c r="AS1123">
        <v>120</v>
      </c>
      <c r="AT1123">
        <v>-12</v>
      </c>
      <c r="AU1123">
        <v>0</v>
      </c>
      <c r="AW1123">
        <v>0</v>
      </c>
      <c r="AX1123">
        <v>0</v>
      </c>
      <c r="AY1123">
        <v>145.6</v>
      </c>
      <c r="BC1123" t="str">
        <f>T("9791191102086")</f>
        <v>9791191102086</v>
      </c>
      <c r="BE1123" t="str">
        <f t="shared" si="161"/>
        <v>판타지 웹소설 &gt; 현대 판타지</v>
      </c>
    </row>
    <row r="1124" spans="1:57" x14ac:dyDescent="0.3">
      <c r="A1124">
        <v>1525004030</v>
      </c>
      <c r="B1124">
        <v>1525004311</v>
      </c>
      <c r="C1124" t="str">
        <f>T("회귀의 전설 282화")</f>
        <v>회귀의 전설 282화</v>
      </c>
      <c r="D1124" t="str">
        <f>T("282")</f>
        <v>282</v>
      </c>
      <c r="E1124" t="str">
        <f t="shared" si="159"/>
        <v>김광수</v>
      </c>
      <c r="H1124" t="str">
        <f t="shared" si="155"/>
        <v>스토리위즈</v>
      </c>
      <c r="I1124" t="str">
        <f t="shared" si="160"/>
        <v>회귀의 전설</v>
      </c>
      <c r="J1124">
        <v>100</v>
      </c>
      <c r="K1124">
        <v>200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200</v>
      </c>
      <c r="AH1124">
        <v>2</v>
      </c>
      <c r="AI1124">
        <v>0</v>
      </c>
      <c r="AJ1124">
        <v>0</v>
      </c>
      <c r="AK1124">
        <v>200</v>
      </c>
      <c r="AL1124">
        <v>0</v>
      </c>
      <c r="AM1124">
        <v>0</v>
      </c>
      <c r="AN1124">
        <v>0</v>
      </c>
      <c r="AO1124">
        <v>0</v>
      </c>
      <c r="AQ1124">
        <v>0</v>
      </c>
      <c r="AR1124">
        <v>0</v>
      </c>
      <c r="AT1124">
        <v>0</v>
      </c>
      <c r="AU1124">
        <v>0</v>
      </c>
      <c r="AW1124">
        <v>0</v>
      </c>
      <c r="AX1124">
        <v>0</v>
      </c>
      <c r="AY1124">
        <v>140</v>
      </c>
      <c r="BC1124" t="str">
        <f>T("9788997946006")</f>
        <v>9788997946006</v>
      </c>
      <c r="BE1124" t="str">
        <f t="shared" si="161"/>
        <v>판타지 웹소설 &gt; 현대 판타지</v>
      </c>
    </row>
    <row r="1125" spans="1:57" x14ac:dyDescent="0.3">
      <c r="A1125">
        <v>1525004030</v>
      </c>
      <c r="B1125">
        <v>1525004222</v>
      </c>
      <c r="C1125" t="str">
        <f>T("회귀의 전설 193화")</f>
        <v>회귀의 전설 193화</v>
      </c>
      <c r="D1125" t="str">
        <f>T("193")</f>
        <v>193</v>
      </c>
      <c r="E1125" t="str">
        <f t="shared" si="159"/>
        <v>김광수</v>
      </c>
      <c r="H1125" t="str">
        <f t="shared" si="155"/>
        <v>스토리위즈</v>
      </c>
      <c r="I1125" t="str">
        <f t="shared" si="160"/>
        <v>회귀의 전설</v>
      </c>
      <c r="J1125">
        <v>100</v>
      </c>
      <c r="K1125">
        <v>200</v>
      </c>
      <c r="L1125">
        <v>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200</v>
      </c>
      <c r="AH1125">
        <v>2</v>
      </c>
      <c r="AI1125">
        <v>0</v>
      </c>
      <c r="AJ1125">
        <v>0</v>
      </c>
      <c r="AK1125">
        <v>200</v>
      </c>
      <c r="AL1125">
        <v>0</v>
      </c>
      <c r="AM1125">
        <v>0</v>
      </c>
      <c r="AN1125">
        <v>0</v>
      </c>
      <c r="AO1125">
        <v>0</v>
      </c>
      <c r="AQ1125">
        <v>0</v>
      </c>
      <c r="AR1125">
        <v>0</v>
      </c>
      <c r="AT1125">
        <v>0</v>
      </c>
      <c r="AU1125">
        <v>0</v>
      </c>
      <c r="AW1125">
        <v>0</v>
      </c>
      <c r="AX1125">
        <v>0</v>
      </c>
      <c r="AY1125">
        <v>140</v>
      </c>
      <c r="BC1125" t="str">
        <f>T("9788997946006")</f>
        <v>9788997946006</v>
      </c>
      <c r="BE1125" t="str">
        <f t="shared" si="161"/>
        <v>판타지 웹소설 &gt; 현대 판타지</v>
      </c>
    </row>
    <row r="1126" spans="1:57" x14ac:dyDescent="0.3">
      <c r="A1126">
        <v>1525004030</v>
      </c>
      <c r="B1126">
        <v>1525006679</v>
      </c>
      <c r="C1126" t="str">
        <f>T("회귀의 전설 2부 562화")</f>
        <v>회귀의 전설 2부 562화</v>
      </c>
      <c r="D1126" t="str">
        <f>T("562")</f>
        <v>562</v>
      </c>
      <c r="E1126" t="str">
        <f t="shared" si="159"/>
        <v>김광수</v>
      </c>
      <c r="H1126" t="str">
        <f t="shared" si="155"/>
        <v>스토리위즈</v>
      </c>
      <c r="I1126" t="str">
        <f t="shared" si="160"/>
        <v>회귀의 전설</v>
      </c>
      <c r="J1126">
        <v>100</v>
      </c>
      <c r="K1126">
        <v>200</v>
      </c>
      <c r="L1126">
        <v>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200</v>
      </c>
      <c r="AH1126">
        <v>2</v>
      </c>
      <c r="AI1126">
        <v>0</v>
      </c>
      <c r="AJ1126">
        <v>0</v>
      </c>
      <c r="AK1126">
        <v>200</v>
      </c>
      <c r="AL1126">
        <v>0</v>
      </c>
      <c r="AM1126">
        <v>0</v>
      </c>
      <c r="AN1126">
        <v>0</v>
      </c>
      <c r="AO1126">
        <v>0</v>
      </c>
      <c r="AQ1126">
        <v>0</v>
      </c>
      <c r="AR1126">
        <v>0</v>
      </c>
      <c r="AT1126">
        <v>0</v>
      </c>
      <c r="AU1126">
        <v>0</v>
      </c>
      <c r="AW1126">
        <v>0</v>
      </c>
      <c r="AX1126">
        <v>0</v>
      </c>
      <c r="AY1126">
        <v>140</v>
      </c>
      <c r="BC1126" t="str">
        <f>T("9791191102086")</f>
        <v>9791191102086</v>
      </c>
      <c r="BE1126" t="str">
        <f t="shared" si="161"/>
        <v>판타지 웹소설 &gt; 현대 판타지</v>
      </c>
    </row>
    <row r="1127" spans="1:57" x14ac:dyDescent="0.3">
      <c r="A1127">
        <v>1525004030</v>
      </c>
      <c r="B1127">
        <v>1525004056</v>
      </c>
      <c r="C1127" t="str">
        <f>T("회귀의 전설 27화")</f>
        <v>회귀의 전설 27화</v>
      </c>
      <c r="D1127" t="str">
        <f>T("27")</f>
        <v>27</v>
      </c>
      <c r="E1127" t="str">
        <f t="shared" si="159"/>
        <v>김광수</v>
      </c>
      <c r="H1127" t="str">
        <f t="shared" si="155"/>
        <v>스토리위즈</v>
      </c>
      <c r="I1127" t="str">
        <f t="shared" si="160"/>
        <v>회귀의 전설</v>
      </c>
      <c r="J1127">
        <v>100</v>
      </c>
      <c r="K1127">
        <v>200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200</v>
      </c>
      <c r="AH1127">
        <v>2</v>
      </c>
      <c r="AI1127">
        <v>0</v>
      </c>
      <c r="AJ1127">
        <v>0</v>
      </c>
      <c r="AK1127">
        <v>200</v>
      </c>
      <c r="AL1127">
        <v>0</v>
      </c>
      <c r="AM1127">
        <v>0</v>
      </c>
      <c r="AN1127">
        <v>0</v>
      </c>
      <c r="AO1127">
        <v>0</v>
      </c>
      <c r="AQ1127">
        <v>0</v>
      </c>
      <c r="AR1127">
        <v>0</v>
      </c>
      <c r="AT1127">
        <v>0</v>
      </c>
      <c r="AU1127">
        <v>0</v>
      </c>
      <c r="AW1127">
        <v>0</v>
      </c>
      <c r="AX1127">
        <v>0</v>
      </c>
      <c r="AY1127">
        <v>140</v>
      </c>
      <c r="BC1127" t="str">
        <f>T("9788997946006")</f>
        <v>9788997946006</v>
      </c>
      <c r="BE1127" t="str">
        <f t="shared" si="161"/>
        <v>판타지 웹소설 &gt; 현대 판타지</v>
      </c>
    </row>
    <row r="1128" spans="1:57" x14ac:dyDescent="0.3">
      <c r="A1128">
        <v>1525004030</v>
      </c>
      <c r="B1128">
        <v>1525004495</v>
      </c>
      <c r="C1128" t="str">
        <f>T("회귀의 전설 479화")</f>
        <v>회귀의 전설 479화</v>
      </c>
      <c r="D1128" t="str">
        <f>T("479")</f>
        <v>479</v>
      </c>
      <c r="E1128" t="str">
        <f t="shared" si="159"/>
        <v>김광수</v>
      </c>
      <c r="H1128" t="str">
        <f t="shared" si="155"/>
        <v>스토리위즈</v>
      </c>
      <c r="I1128" t="str">
        <f t="shared" si="160"/>
        <v>회귀의 전설</v>
      </c>
      <c r="J1128">
        <v>100</v>
      </c>
      <c r="K1128">
        <v>200</v>
      </c>
      <c r="L1128">
        <v>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200</v>
      </c>
      <c r="AH1128">
        <v>2</v>
      </c>
      <c r="AI1128">
        <v>0</v>
      </c>
      <c r="AJ1128">
        <v>0</v>
      </c>
      <c r="AK1128">
        <v>200</v>
      </c>
      <c r="AL1128">
        <v>0</v>
      </c>
      <c r="AM1128">
        <v>0</v>
      </c>
      <c r="AN1128">
        <v>0</v>
      </c>
      <c r="AO1128">
        <v>0</v>
      </c>
      <c r="AQ1128">
        <v>0</v>
      </c>
      <c r="AR1128">
        <v>0</v>
      </c>
      <c r="AT1128">
        <v>0</v>
      </c>
      <c r="AU1128">
        <v>0</v>
      </c>
      <c r="AW1128">
        <v>0</v>
      </c>
      <c r="AX1128">
        <v>0</v>
      </c>
      <c r="AY1128">
        <v>140</v>
      </c>
      <c r="BC1128" t="str">
        <f>T("9788997946006")</f>
        <v>9788997946006</v>
      </c>
      <c r="BE1128" t="str">
        <f t="shared" si="161"/>
        <v>판타지 웹소설 &gt; 현대 판타지</v>
      </c>
    </row>
    <row r="1129" spans="1:57" x14ac:dyDescent="0.3">
      <c r="A1129">
        <v>1525004030</v>
      </c>
      <c r="B1129">
        <v>1525004300</v>
      </c>
      <c r="C1129" t="str">
        <f>T("회귀의 전설 271화")</f>
        <v>회귀의 전설 271화</v>
      </c>
      <c r="D1129" t="str">
        <f>T("271")</f>
        <v>271</v>
      </c>
      <c r="E1129" t="str">
        <f t="shared" si="159"/>
        <v>김광수</v>
      </c>
      <c r="H1129" t="str">
        <f t="shared" si="155"/>
        <v>스토리위즈</v>
      </c>
      <c r="I1129" t="str">
        <f t="shared" si="160"/>
        <v>회귀의 전설</v>
      </c>
      <c r="J1129">
        <v>100</v>
      </c>
      <c r="K1129">
        <v>200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200</v>
      </c>
      <c r="AH1129">
        <v>2</v>
      </c>
      <c r="AI1129">
        <v>0</v>
      </c>
      <c r="AJ1129">
        <v>0</v>
      </c>
      <c r="AK1129">
        <v>200</v>
      </c>
      <c r="AL1129">
        <v>0</v>
      </c>
      <c r="AM1129">
        <v>0</v>
      </c>
      <c r="AN1129">
        <v>0</v>
      </c>
      <c r="AO1129">
        <v>0</v>
      </c>
      <c r="AQ1129">
        <v>0</v>
      </c>
      <c r="AR1129">
        <v>0</v>
      </c>
      <c r="AT1129">
        <v>0</v>
      </c>
      <c r="AU1129">
        <v>0</v>
      </c>
      <c r="AW1129">
        <v>0</v>
      </c>
      <c r="AX1129">
        <v>0</v>
      </c>
      <c r="AY1129">
        <v>140</v>
      </c>
      <c r="BC1129" t="str">
        <f>T("9788997946006")</f>
        <v>9788997946006</v>
      </c>
      <c r="BE1129" t="str">
        <f t="shared" si="161"/>
        <v>판타지 웹소설 &gt; 현대 판타지</v>
      </c>
    </row>
    <row r="1130" spans="1:57" x14ac:dyDescent="0.3">
      <c r="A1130">
        <v>1525004030</v>
      </c>
      <c r="B1130">
        <v>1525006668</v>
      </c>
      <c r="C1130" t="str">
        <f>T("회귀의 전설 2부 551화")</f>
        <v>회귀의 전설 2부 551화</v>
      </c>
      <c r="D1130" t="str">
        <f>T("551")</f>
        <v>551</v>
      </c>
      <c r="E1130" t="str">
        <f t="shared" si="159"/>
        <v>김광수</v>
      </c>
      <c r="H1130" t="str">
        <f t="shared" si="155"/>
        <v>스토리위즈</v>
      </c>
      <c r="I1130" t="str">
        <f t="shared" si="160"/>
        <v>회귀의 전설</v>
      </c>
      <c r="J1130">
        <v>100</v>
      </c>
      <c r="K1130">
        <v>200</v>
      </c>
      <c r="L1130">
        <v>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200</v>
      </c>
      <c r="AH1130">
        <v>2</v>
      </c>
      <c r="AI1130">
        <v>0</v>
      </c>
      <c r="AJ1130">
        <v>0</v>
      </c>
      <c r="AK1130">
        <v>200</v>
      </c>
      <c r="AL1130">
        <v>0</v>
      </c>
      <c r="AM1130">
        <v>0</v>
      </c>
      <c r="AN1130">
        <v>0</v>
      </c>
      <c r="AO1130">
        <v>0</v>
      </c>
      <c r="AQ1130">
        <v>0</v>
      </c>
      <c r="AR1130">
        <v>0</v>
      </c>
      <c r="AT1130">
        <v>0</v>
      </c>
      <c r="AU1130">
        <v>0</v>
      </c>
      <c r="AW1130">
        <v>0</v>
      </c>
      <c r="AX1130">
        <v>0</v>
      </c>
      <c r="AY1130">
        <v>140</v>
      </c>
      <c r="BC1130" t="str">
        <f>T("9791191102086")</f>
        <v>9791191102086</v>
      </c>
      <c r="BE1130" t="str">
        <f t="shared" si="161"/>
        <v>판타지 웹소설 &gt; 현대 판타지</v>
      </c>
    </row>
    <row r="1131" spans="1:57" x14ac:dyDescent="0.3">
      <c r="A1131">
        <v>1525004030</v>
      </c>
      <c r="B1131">
        <v>1525004088</v>
      </c>
      <c r="C1131" t="str">
        <f>T("회귀의 전설 59화")</f>
        <v>회귀의 전설 59화</v>
      </c>
      <c r="D1131" t="str">
        <f>T("59")</f>
        <v>59</v>
      </c>
      <c r="E1131" t="str">
        <f t="shared" si="159"/>
        <v>김광수</v>
      </c>
      <c r="H1131" t="str">
        <f t="shared" si="155"/>
        <v>스토리위즈</v>
      </c>
      <c r="I1131" t="str">
        <f t="shared" si="160"/>
        <v>회귀의 전설</v>
      </c>
      <c r="J1131">
        <v>100</v>
      </c>
      <c r="K1131">
        <v>200</v>
      </c>
      <c r="L1131">
        <v>2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200</v>
      </c>
      <c r="AH1131">
        <v>2</v>
      </c>
      <c r="AI1131">
        <v>0</v>
      </c>
      <c r="AJ1131">
        <v>0</v>
      </c>
      <c r="AK1131">
        <v>100</v>
      </c>
      <c r="AL1131">
        <v>0</v>
      </c>
      <c r="AM1131">
        <v>120</v>
      </c>
      <c r="AN1131">
        <v>-36</v>
      </c>
      <c r="AO1131">
        <v>0</v>
      </c>
      <c r="AQ1131">
        <v>0</v>
      </c>
      <c r="AR1131">
        <v>0</v>
      </c>
      <c r="AS1131">
        <v>120</v>
      </c>
      <c r="AT1131">
        <v>-36</v>
      </c>
      <c r="AU1131">
        <v>0</v>
      </c>
      <c r="AW1131">
        <v>0</v>
      </c>
      <c r="AX1131">
        <v>0</v>
      </c>
      <c r="AY1131">
        <v>128.80000000000001</v>
      </c>
      <c r="BC1131" t="str">
        <f>T("9788997946006")</f>
        <v>9788997946006</v>
      </c>
      <c r="BE1131" t="str">
        <f t="shared" si="161"/>
        <v>판타지 웹소설 &gt; 현대 판타지</v>
      </c>
    </row>
    <row r="1132" spans="1:57" x14ac:dyDescent="0.3">
      <c r="A1132">
        <v>1525004030</v>
      </c>
      <c r="B1132">
        <v>1525006782</v>
      </c>
      <c r="C1132" t="str">
        <f>T("회귀의 전설 2부 665화")</f>
        <v>회귀의 전설 2부 665화</v>
      </c>
      <c r="D1132" t="str">
        <f>T("665")</f>
        <v>665</v>
      </c>
      <c r="E1132" t="str">
        <f t="shared" si="159"/>
        <v>김광수</v>
      </c>
      <c r="H1132" t="str">
        <f t="shared" si="155"/>
        <v>스토리위즈</v>
      </c>
      <c r="I1132" t="str">
        <f t="shared" si="160"/>
        <v>회귀의 전설</v>
      </c>
      <c r="J1132">
        <v>100</v>
      </c>
      <c r="K1132">
        <v>200</v>
      </c>
      <c r="L1132">
        <v>2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200</v>
      </c>
      <c r="AH1132">
        <v>2</v>
      </c>
      <c r="AI1132">
        <v>0</v>
      </c>
      <c r="AJ1132">
        <v>0</v>
      </c>
      <c r="AK1132">
        <v>100</v>
      </c>
      <c r="AL1132">
        <v>0</v>
      </c>
      <c r="AM1132">
        <v>120</v>
      </c>
      <c r="AN1132">
        <v>-12</v>
      </c>
      <c r="AO1132">
        <v>0</v>
      </c>
      <c r="AQ1132">
        <v>0</v>
      </c>
      <c r="AR1132">
        <v>0</v>
      </c>
      <c r="AS1132">
        <v>120</v>
      </c>
      <c r="AT1132">
        <v>-12</v>
      </c>
      <c r="AU1132">
        <v>0</v>
      </c>
      <c r="AW1132">
        <v>0</v>
      </c>
      <c r="AX1132">
        <v>0</v>
      </c>
      <c r="AY1132">
        <v>145.6</v>
      </c>
      <c r="BC1132" t="str">
        <f>T("9791191102086")</f>
        <v>9791191102086</v>
      </c>
      <c r="BE1132" t="str">
        <f t="shared" si="161"/>
        <v>판타지 웹소설 &gt; 현대 판타지</v>
      </c>
    </row>
    <row r="1133" spans="1:57" x14ac:dyDescent="0.3">
      <c r="A1133">
        <v>1525004030</v>
      </c>
      <c r="B1133">
        <v>1525006643</v>
      </c>
      <c r="C1133" t="str">
        <f>T("회귀의 전설 2부 526화")</f>
        <v>회귀의 전설 2부 526화</v>
      </c>
      <c r="D1133" t="str">
        <f>T("526")</f>
        <v>526</v>
      </c>
      <c r="E1133" t="str">
        <f t="shared" si="159"/>
        <v>김광수</v>
      </c>
      <c r="H1133" t="str">
        <f t="shared" si="155"/>
        <v>스토리위즈</v>
      </c>
      <c r="I1133" t="str">
        <f t="shared" si="160"/>
        <v>회귀의 전설</v>
      </c>
      <c r="J1133">
        <v>100</v>
      </c>
      <c r="K1133">
        <v>200</v>
      </c>
      <c r="L1133">
        <v>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200</v>
      </c>
      <c r="AH1133">
        <v>2</v>
      </c>
      <c r="AI1133">
        <v>0</v>
      </c>
      <c r="AJ1133">
        <v>0</v>
      </c>
      <c r="AK1133">
        <v>200</v>
      </c>
      <c r="AL1133">
        <v>0</v>
      </c>
      <c r="AM1133">
        <v>0</v>
      </c>
      <c r="AN1133">
        <v>0</v>
      </c>
      <c r="AO1133">
        <v>0</v>
      </c>
      <c r="AQ1133">
        <v>0</v>
      </c>
      <c r="AR1133">
        <v>0</v>
      </c>
      <c r="AT1133">
        <v>0</v>
      </c>
      <c r="AU1133">
        <v>0</v>
      </c>
      <c r="AW1133">
        <v>0</v>
      </c>
      <c r="AX1133">
        <v>0</v>
      </c>
      <c r="AY1133">
        <v>140</v>
      </c>
      <c r="BC1133" t="str">
        <f>T("9791191102086")</f>
        <v>9791191102086</v>
      </c>
      <c r="BE1133" t="str">
        <f t="shared" si="161"/>
        <v>판타지 웹소설 &gt; 현대 판타지</v>
      </c>
    </row>
    <row r="1134" spans="1:57" x14ac:dyDescent="0.3">
      <c r="A1134">
        <v>1525004030</v>
      </c>
      <c r="B1134">
        <v>1525004332</v>
      </c>
      <c r="C1134" t="str">
        <f>T("회귀의 전설 303화")</f>
        <v>회귀의 전설 303화</v>
      </c>
      <c r="D1134" t="str">
        <f>T("303")</f>
        <v>303</v>
      </c>
      <c r="E1134" t="str">
        <f t="shared" si="159"/>
        <v>김광수</v>
      </c>
      <c r="H1134" t="str">
        <f t="shared" si="155"/>
        <v>스토리위즈</v>
      </c>
      <c r="I1134" t="str">
        <f t="shared" si="160"/>
        <v>회귀의 전설</v>
      </c>
      <c r="J1134">
        <v>100</v>
      </c>
      <c r="K1134">
        <v>200</v>
      </c>
      <c r="L1134">
        <v>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200</v>
      </c>
      <c r="AH1134">
        <v>2</v>
      </c>
      <c r="AI1134">
        <v>0</v>
      </c>
      <c r="AJ1134">
        <v>0</v>
      </c>
      <c r="AK1134">
        <v>200</v>
      </c>
      <c r="AL1134">
        <v>0</v>
      </c>
      <c r="AM1134">
        <v>0</v>
      </c>
      <c r="AN1134">
        <v>0</v>
      </c>
      <c r="AO1134">
        <v>0</v>
      </c>
      <c r="AQ1134">
        <v>0</v>
      </c>
      <c r="AR1134">
        <v>0</v>
      </c>
      <c r="AT1134">
        <v>0</v>
      </c>
      <c r="AU1134">
        <v>0</v>
      </c>
      <c r="AW1134">
        <v>0</v>
      </c>
      <c r="AX1134">
        <v>0</v>
      </c>
      <c r="AY1134">
        <v>140</v>
      </c>
      <c r="BC1134" t="str">
        <f>T("9788997946006")</f>
        <v>9788997946006</v>
      </c>
      <c r="BE1134" t="str">
        <f t="shared" si="161"/>
        <v>판타지 웹소설 &gt; 현대 판타지</v>
      </c>
    </row>
    <row r="1135" spans="1:57" x14ac:dyDescent="0.3">
      <c r="A1135">
        <v>1525004030</v>
      </c>
      <c r="B1135">
        <v>1525004243</v>
      </c>
      <c r="C1135" t="str">
        <f>T("회귀의 전설 214화")</f>
        <v>회귀의 전설 214화</v>
      </c>
      <c r="D1135" t="str">
        <f>T("214")</f>
        <v>214</v>
      </c>
      <c r="E1135" t="str">
        <f t="shared" si="159"/>
        <v>김광수</v>
      </c>
      <c r="H1135" t="str">
        <f t="shared" si="155"/>
        <v>스토리위즈</v>
      </c>
      <c r="I1135" t="str">
        <f t="shared" si="160"/>
        <v>회귀의 전설</v>
      </c>
      <c r="J1135">
        <v>100</v>
      </c>
      <c r="K1135">
        <v>200</v>
      </c>
      <c r="L1135">
        <v>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200</v>
      </c>
      <c r="AH1135">
        <v>2</v>
      </c>
      <c r="AI1135">
        <v>0</v>
      </c>
      <c r="AJ1135">
        <v>0</v>
      </c>
      <c r="AK1135">
        <v>200</v>
      </c>
      <c r="AL1135">
        <v>0</v>
      </c>
      <c r="AM1135">
        <v>0</v>
      </c>
      <c r="AN1135">
        <v>0</v>
      </c>
      <c r="AO1135">
        <v>0</v>
      </c>
      <c r="AQ1135">
        <v>0</v>
      </c>
      <c r="AR1135">
        <v>0</v>
      </c>
      <c r="AT1135">
        <v>0</v>
      </c>
      <c r="AU1135">
        <v>0</v>
      </c>
      <c r="AW1135">
        <v>0</v>
      </c>
      <c r="AX1135">
        <v>0</v>
      </c>
      <c r="AY1135">
        <v>140</v>
      </c>
      <c r="BC1135" t="str">
        <f>T("9788997946006")</f>
        <v>9788997946006</v>
      </c>
      <c r="BE1135" t="str">
        <f t="shared" si="161"/>
        <v>판타지 웹소설 &gt; 현대 판타지</v>
      </c>
    </row>
    <row r="1136" spans="1:57" x14ac:dyDescent="0.3">
      <c r="A1136">
        <v>1525004030</v>
      </c>
      <c r="B1136">
        <v>1525006855</v>
      </c>
      <c r="C1136" t="str">
        <f>T("회귀의 전설 2부 738화")</f>
        <v>회귀의 전설 2부 738화</v>
      </c>
      <c r="D1136" t="str">
        <f>T("738")</f>
        <v>738</v>
      </c>
      <c r="E1136" t="str">
        <f t="shared" si="159"/>
        <v>김광수</v>
      </c>
      <c r="H1136" t="str">
        <f t="shared" si="155"/>
        <v>스토리위즈</v>
      </c>
      <c r="I1136" t="str">
        <f t="shared" si="160"/>
        <v>회귀의 전설</v>
      </c>
      <c r="J1136">
        <v>100</v>
      </c>
      <c r="K1136">
        <v>200</v>
      </c>
      <c r="L1136">
        <v>2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200</v>
      </c>
      <c r="AH1136">
        <v>2</v>
      </c>
      <c r="AI1136">
        <v>0</v>
      </c>
      <c r="AJ1136">
        <v>0</v>
      </c>
      <c r="AK1136">
        <v>100</v>
      </c>
      <c r="AL1136">
        <v>0</v>
      </c>
      <c r="AM1136">
        <v>120</v>
      </c>
      <c r="AN1136">
        <v>-12</v>
      </c>
      <c r="AO1136">
        <v>0</v>
      </c>
      <c r="AQ1136">
        <v>0</v>
      </c>
      <c r="AR1136">
        <v>0</v>
      </c>
      <c r="AS1136">
        <v>120</v>
      </c>
      <c r="AT1136">
        <v>-12</v>
      </c>
      <c r="AU1136">
        <v>0</v>
      </c>
      <c r="AW1136">
        <v>0</v>
      </c>
      <c r="AX1136">
        <v>0</v>
      </c>
      <c r="AY1136">
        <v>145.6</v>
      </c>
      <c r="BC1136" t="str">
        <f>T("9791191102086")</f>
        <v>9791191102086</v>
      </c>
      <c r="BE1136" t="str">
        <f t="shared" si="161"/>
        <v>판타지 웹소설 &gt; 현대 판타지</v>
      </c>
    </row>
    <row r="1137" spans="1:57" x14ac:dyDescent="0.3">
      <c r="A1137">
        <v>1525004030</v>
      </c>
      <c r="B1137">
        <v>1525006814</v>
      </c>
      <c r="C1137" t="str">
        <f>T("회귀의 전설 2부 697화")</f>
        <v>회귀의 전설 2부 697화</v>
      </c>
      <c r="D1137" t="str">
        <f>T("697")</f>
        <v>697</v>
      </c>
      <c r="E1137" t="str">
        <f t="shared" si="159"/>
        <v>김광수</v>
      </c>
      <c r="H1137" t="str">
        <f t="shared" si="155"/>
        <v>스토리위즈</v>
      </c>
      <c r="I1137" t="str">
        <f t="shared" si="160"/>
        <v>회귀의 전설</v>
      </c>
      <c r="J1137">
        <v>100</v>
      </c>
      <c r="K1137">
        <v>200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200</v>
      </c>
      <c r="AH1137">
        <v>2</v>
      </c>
      <c r="AI1137">
        <v>0</v>
      </c>
      <c r="AJ1137">
        <v>0</v>
      </c>
      <c r="AK1137">
        <v>100</v>
      </c>
      <c r="AL1137">
        <v>0</v>
      </c>
      <c r="AM1137">
        <v>120</v>
      </c>
      <c r="AN1137">
        <v>-12</v>
      </c>
      <c r="AO1137">
        <v>0</v>
      </c>
      <c r="AQ1137">
        <v>0</v>
      </c>
      <c r="AR1137">
        <v>0</v>
      </c>
      <c r="AS1137">
        <v>120</v>
      </c>
      <c r="AT1137">
        <v>-12</v>
      </c>
      <c r="AU1137">
        <v>0</v>
      </c>
      <c r="AW1137">
        <v>0</v>
      </c>
      <c r="AX1137">
        <v>0</v>
      </c>
      <c r="AY1137">
        <v>145.6</v>
      </c>
      <c r="BC1137" t="str">
        <f>T("9791191102086")</f>
        <v>9791191102086</v>
      </c>
      <c r="BE1137" t="str">
        <f t="shared" si="161"/>
        <v>판타지 웹소설 &gt; 현대 판타지</v>
      </c>
    </row>
    <row r="1138" spans="1:57" x14ac:dyDescent="0.3">
      <c r="A1138">
        <v>1525004030</v>
      </c>
      <c r="B1138">
        <v>1525004275</v>
      </c>
      <c r="C1138" t="str">
        <f>T("회귀의 전설 246화")</f>
        <v>회귀의 전설 246화</v>
      </c>
      <c r="D1138" t="str">
        <f>T("246")</f>
        <v>246</v>
      </c>
      <c r="E1138" t="str">
        <f t="shared" si="159"/>
        <v>김광수</v>
      </c>
      <c r="H1138" t="str">
        <f t="shared" si="155"/>
        <v>스토리위즈</v>
      </c>
      <c r="I1138" t="str">
        <f t="shared" si="160"/>
        <v>회귀의 전설</v>
      </c>
      <c r="J1138">
        <v>100</v>
      </c>
      <c r="K1138">
        <v>200</v>
      </c>
      <c r="L1138">
        <v>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200</v>
      </c>
      <c r="AH1138">
        <v>2</v>
      </c>
      <c r="AI1138">
        <v>0</v>
      </c>
      <c r="AJ1138">
        <v>0</v>
      </c>
      <c r="AK1138">
        <v>200</v>
      </c>
      <c r="AL1138">
        <v>0</v>
      </c>
      <c r="AM1138">
        <v>0</v>
      </c>
      <c r="AN1138">
        <v>0</v>
      </c>
      <c r="AO1138">
        <v>0</v>
      </c>
      <c r="AQ1138">
        <v>0</v>
      </c>
      <c r="AR1138">
        <v>0</v>
      </c>
      <c r="AT1138">
        <v>0</v>
      </c>
      <c r="AU1138">
        <v>0</v>
      </c>
      <c r="AW1138">
        <v>0</v>
      </c>
      <c r="AX1138">
        <v>0</v>
      </c>
      <c r="AY1138">
        <v>140</v>
      </c>
      <c r="BC1138" t="str">
        <f t="shared" ref="BC1138:BC1148" si="162">T("9788997946006")</f>
        <v>9788997946006</v>
      </c>
      <c r="BE1138" t="str">
        <f t="shared" si="161"/>
        <v>판타지 웹소설 &gt; 현대 판타지</v>
      </c>
    </row>
    <row r="1139" spans="1:57" x14ac:dyDescent="0.3">
      <c r="A1139">
        <v>1525004030</v>
      </c>
      <c r="B1139">
        <v>1525004349</v>
      </c>
      <c r="C1139" t="str">
        <f>T("회귀의 전설 321화")</f>
        <v>회귀의 전설 321화</v>
      </c>
      <c r="D1139" t="str">
        <f>T("321")</f>
        <v>321</v>
      </c>
      <c r="E1139" t="str">
        <f t="shared" si="159"/>
        <v>김광수</v>
      </c>
      <c r="H1139" t="str">
        <f t="shared" si="155"/>
        <v>스토리위즈</v>
      </c>
      <c r="I1139" t="str">
        <f t="shared" si="160"/>
        <v>회귀의 전설</v>
      </c>
      <c r="J1139">
        <v>100</v>
      </c>
      <c r="K1139">
        <v>200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200</v>
      </c>
      <c r="AH1139">
        <v>2</v>
      </c>
      <c r="AI1139">
        <v>0</v>
      </c>
      <c r="AJ1139">
        <v>0</v>
      </c>
      <c r="AK1139">
        <v>200</v>
      </c>
      <c r="AL1139">
        <v>0</v>
      </c>
      <c r="AM1139">
        <v>0</v>
      </c>
      <c r="AN1139">
        <v>0</v>
      </c>
      <c r="AO1139">
        <v>0</v>
      </c>
      <c r="AQ1139">
        <v>0</v>
      </c>
      <c r="AR1139">
        <v>0</v>
      </c>
      <c r="AT1139">
        <v>0</v>
      </c>
      <c r="AU1139">
        <v>0</v>
      </c>
      <c r="AW1139">
        <v>0</v>
      </c>
      <c r="AX1139">
        <v>0</v>
      </c>
      <c r="AY1139">
        <v>140</v>
      </c>
      <c r="BC1139" t="str">
        <f t="shared" si="162"/>
        <v>9788997946006</v>
      </c>
      <c r="BE1139" t="str">
        <f t="shared" si="161"/>
        <v>판타지 웹소설 &gt; 현대 판타지</v>
      </c>
    </row>
    <row r="1140" spans="1:57" x14ac:dyDescent="0.3">
      <c r="A1140">
        <v>1525004030</v>
      </c>
      <c r="B1140">
        <v>1525004406</v>
      </c>
      <c r="C1140" t="str">
        <f>T("회귀의 전설 378화")</f>
        <v>회귀의 전설 378화</v>
      </c>
      <c r="D1140" t="str">
        <f>T("378")</f>
        <v>378</v>
      </c>
      <c r="E1140" t="str">
        <f t="shared" si="159"/>
        <v>김광수</v>
      </c>
      <c r="H1140" t="str">
        <f t="shared" si="155"/>
        <v>스토리위즈</v>
      </c>
      <c r="I1140" t="str">
        <f t="shared" si="160"/>
        <v>회귀의 전설</v>
      </c>
      <c r="J1140">
        <v>100</v>
      </c>
      <c r="K1140">
        <v>200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200</v>
      </c>
      <c r="AH1140">
        <v>2</v>
      </c>
      <c r="AI1140">
        <v>0</v>
      </c>
      <c r="AJ1140">
        <v>0</v>
      </c>
      <c r="AK1140">
        <v>200</v>
      </c>
      <c r="AL1140">
        <v>0</v>
      </c>
      <c r="AM1140">
        <v>0</v>
      </c>
      <c r="AN1140">
        <v>0</v>
      </c>
      <c r="AO1140">
        <v>0</v>
      </c>
      <c r="AQ1140">
        <v>0</v>
      </c>
      <c r="AR1140">
        <v>0</v>
      </c>
      <c r="AT1140">
        <v>0</v>
      </c>
      <c r="AU1140">
        <v>0</v>
      </c>
      <c r="AW1140">
        <v>0</v>
      </c>
      <c r="AX1140">
        <v>0</v>
      </c>
      <c r="AY1140">
        <v>140</v>
      </c>
      <c r="BC1140" t="str">
        <f t="shared" si="162"/>
        <v>9788997946006</v>
      </c>
      <c r="BE1140" t="str">
        <f t="shared" si="161"/>
        <v>판타지 웹소설 &gt; 현대 판타지</v>
      </c>
    </row>
    <row r="1141" spans="1:57" x14ac:dyDescent="0.3">
      <c r="A1141">
        <v>1525004030</v>
      </c>
      <c r="B1141">
        <v>1525004463</v>
      </c>
      <c r="C1141" t="str">
        <f>T("회귀의 전설 447화")</f>
        <v>회귀의 전설 447화</v>
      </c>
      <c r="D1141" t="str">
        <f>T("447")</f>
        <v>447</v>
      </c>
      <c r="E1141" t="str">
        <f t="shared" si="159"/>
        <v>김광수</v>
      </c>
      <c r="H1141" t="str">
        <f t="shared" si="155"/>
        <v>스토리위즈</v>
      </c>
      <c r="I1141" t="str">
        <f t="shared" si="160"/>
        <v>회귀의 전설</v>
      </c>
      <c r="J1141">
        <v>100</v>
      </c>
      <c r="K1141">
        <v>200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200</v>
      </c>
      <c r="AH1141">
        <v>2</v>
      </c>
      <c r="AI1141">
        <v>0</v>
      </c>
      <c r="AJ1141">
        <v>0</v>
      </c>
      <c r="AK1141">
        <v>200</v>
      </c>
      <c r="AL1141">
        <v>0</v>
      </c>
      <c r="AM1141">
        <v>0</v>
      </c>
      <c r="AN1141">
        <v>0</v>
      </c>
      <c r="AO1141">
        <v>0</v>
      </c>
      <c r="AQ1141">
        <v>0</v>
      </c>
      <c r="AR1141">
        <v>0</v>
      </c>
      <c r="AT1141">
        <v>0</v>
      </c>
      <c r="AU1141">
        <v>0</v>
      </c>
      <c r="AW1141">
        <v>0</v>
      </c>
      <c r="AX1141">
        <v>0</v>
      </c>
      <c r="AY1141">
        <v>140</v>
      </c>
      <c r="BC1141" t="str">
        <f t="shared" si="162"/>
        <v>9788997946006</v>
      </c>
      <c r="BE1141" t="str">
        <f t="shared" si="161"/>
        <v>판타지 웹소설 &gt; 현대 판타지</v>
      </c>
    </row>
    <row r="1142" spans="1:57" x14ac:dyDescent="0.3">
      <c r="A1142">
        <v>1525004030</v>
      </c>
      <c r="B1142">
        <v>1525004381</v>
      </c>
      <c r="C1142" t="str">
        <f>T("회귀의 전설 353화")</f>
        <v>회귀의 전설 353화</v>
      </c>
      <c r="D1142" t="str">
        <f>T("353")</f>
        <v>353</v>
      </c>
      <c r="E1142" t="str">
        <f t="shared" si="159"/>
        <v>김광수</v>
      </c>
      <c r="H1142" t="str">
        <f t="shared" si="155"/>
        <v>스토리위즈</v>
      </c>
      <c r="I1142" t="str">
        <f t="shared" si="160"/>
        <v>회귀의 전설</v>
      </c>
      <c r="J1142">
        <v>100</v>
      </c>
      <c r="K1142">
        <v>200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200</v>
      </c>
      <c r="AH1142">
        <v>2</v>
      </c>
      <c r="AI1142">
        <v>0</v>
      </c>
      <c r="AJ1142">
        <v>0</v>
      </c>
      <c r="AK1142">
        <v>200</v>
      </c>
      <c r="AL1142">
        <v>0</v>
      </c>
      <c r="AM1142">
        <v>0</v>
      </c>
      <c r="AN1142">
        <v>0</v>
      </c>
      <c r="AO1142">
        <v>0</v>
      </c>
      <c r="AQ1142">
        <v>0</v>
      </c>
      <c r="AR1142">
        <v>0</v>
      </c>
      <c r="AT1142">
        <v>0</v>
      </c>
      <c r="AU1142">
        <v>0</v>
      </c>
      <c r="AW1142">
        <v>0</v>
      </c>
      <c r="AX1142">
        <v>0</v>
      </c>
      <c r="AY1142">
        <v>140</v>
      </c>
      <c r="BC1142" t="str">
        <f t="shared" si="162"/>
        <v>9788997946006</v>
      </c>
      <c r="BE1142" t="str">
        <f t="shared" si="161"/>
        <v>판타지 웹소설 &gt; 현대 판타지</v>
      </c>
    </row>
    <row r="1143" spans="1:57" x14ac:dyDescent="0.3">
      <c r="A1143">
        <v>1525004030</v>
      </c>
      <c r="B1143">
        <v>1525004438</v>
      </c>
      <c r="C1143" t="str">
        <f>T("회귀의 전설 422화")</f>
        <v>회귀의 전설 422화</v>
      </c>
      <c r="D1143" t="str">
        <f>T("422")</f>
        <v>422</v>
      </c>
      <c r="E1143" t="str">
        <f t="shared" si="159"/>
        <v>김광수</v>
      </c>
      <c r="H1143" t="str">
        <f t="shared" si="155"/>
        <v>스토리위즈</v>
      </c>
      <c r="I1143" t="str">
        <f t="shared" si="160"/>
        <v>회귀의 전설</v>
      </c>
      <c r="J1143">
        <v>100</v>
      </c>
      <c r="K1143">
        <v>200</v>
      </c>
      <c r="L1143">
        <v>2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200</v>
      </c>
      <c r="AH1143">
        <v>2</v>
      </c>
      <c r="AI1143">
        <v>0</v>
      </c>
      <c r="AJ1143">
        <v>0</v>
      </c>
      <c r="AK1143">
        <v>200</v>
      </c>
      <c r="AL1143">
        <v>0</v>
      </c>
      <c r="AM1143">
        <v>0</v>
      </c>
      <c r="AN1143">
        <v>0</v>
      </c>
      <c r="AO1143">
        <v>0</v>
      </c>
      <c r="AQ1143">
        <v>0</v>
      </c>
      <c r="AR1143">
        <v>0</v>
      </c>
      <c r="AT1143">
        <v>0</v>
      </c>
      <c r="AU1143">
        <v>0</v>
      </c>
      <c r="AW1143">
        <v>0</v>
      </c>
      <c r="AX1143">
        <v>0</v>
      </c>
      <c r="AY1143">
        <v>140</v>
      </c>
      <c r="BC1143" t="str">
        <f t="shared" si="162"/>
        <v>9788997946006</v>
      </c>
      <c r="BE1143" t="str">
        <f t="shared" si="161"/>
        <v>판타지 웹소설 &gt; 현대 판타지</v>
      </c>
    </row>
    <row r="1144" spans="1:57" x14ac:dyDescent="0.3">
      <c r="A1144">
        <v>1525004030</v>
      </c>
      <c r="B1144">
        <v>1525004452</v>
      </c>
      <c r="C1144" t="str">
        <f>T("회귀의 전설 436화")</f>
        <v>회귀의 전설 436화</v>
      </c>
      <c r="D1144" t="str">
        <f>T("436")</f>
        <v>436</v>
      </c>
      <c r="E1144" t="str">
        <f t="shared" si="159"/>
        <v>김광수</v>
      </c>
      <c r="H1144" t="str">
        <f t="shared" si="155"/>
        <v>스토리위즈</v>
      </c>
      <c r="I1144" t="str">
        <f t="shared" si="160"/>
        <v>회귀의 전설</v>
      </c>
      <c r="J1144">
        <v>100</v>
      </c>
      <c r="K1144">
        <v>200</v>
      </c>
      <c r="L1144">
        <v>2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200</v>
      </c>
      <c r="AH1144">
        <v>2</v>
      </c>
      <c r="AI1144">
        <v>0</v>
      </c>
      <c r="AJ1144">
        <v>0</v>
      </c>
      <c r="AK1144">
        <v>200</v>
      </c>
      <c r="AL1144">
        <v>0</v>
      </c>
      <c r="AM1144">
        <v>0</v>
      </c>
      <c r="AN1144">
        <v>0</v>
      </c>
      <c r="AO1144">
        <v>0</v>
      </c>
      <c r="AQ1144">
        <v>0</v>
      </c>
      <c r="AR1144">
        <v>0</v>
      </c>
      <c r="AT1144">
        <v>0</v>
      </c>
      <c r="AU1144">
        <v>0</v>
      </c>
      <c r="AW1144">
        <v>0</v>
      </c>
      <c r="AX1144">
        <v>0</v>
      </c>
      <c r="AY1144">
        <v>140</v>
      </c>
      <c r="BC1144" t="str">
        <f t="shared" si="162"/>
        <v>9788997946006</v>
      </c>
      <c r="BE1144" t="str">
        <f t="shared" si="161"/>
        <v>판타지 웹소설 &gt; 현대 판타지</v>
      </c>
    </row>
    <row r="1145" spans="1:57" x14ac:dyDescent="0.3">
      <c r="A1145">
        <v>1525004030</v>
      </c>
      <c r="B1145">
        <v>1525004370</v>
      </c>
      <c r="C1145" t="str">
        <f>T("회귀의 전설 342화")</f>
        <v>회귀의 전설 342화</v>
      </c>
      <c r="D1145" t="str">
        <f>T("342")</f>
        <v>342</v>
      </c>
      <c r="E1145" t="str">
        <f t="shared" si="159"/>
        <v>김광수</v>
      </c>
      <c r="H1145" t="str">
        <f t="shared" si="155"/>
        <v>스토리위즈</v>
      </c>
      <c r="I1145" t="str">
        <f t="shared" si="160"/>
        <v>회귀의 전설</v>
      </c>
      <c r="J1145">
        <v>100</v>
      </c>
      <c r="K1145">
        <v>200</v>
      </c>
      <c r="L1145">
        <v>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200</v>
      </c>
      <c r="AH1145">
        <v>2</v>
      </c>
      <c r="AI1145">
        <v>0</v>
      </c>
      <c r="AJ1145">
        <v>0</v>
      </c>
      <c r="AK1145">
        <v>200</v>
      </c>
      <c r="AL1145">
        <v>0</v>
      </c>
      <c r="AM1145">
        <v>0</v>
      </c>
      <c r="AN1145">
        <v>0</v>
      </c>
      <c r="AO1145">
        <v>0</v>
      </c>
      <c r="AQ1145">
        <v>0</v>
      </c>
      <c r="AR1145">
        <v>0</v>
      </c>
      <c r="AT1145">
        <v>0</v>
      </c>
      <c r="AU1145">
        <v>0</v>
      </c>
      <c r="AW1145">
        <v>0</v>
      </c>
      <c r="AX1145">
        <v>0</v>
      </c>
      <c r="AY1145">
        <v>140</v>
      </c>
      <c r="BC1145" t="str">
        <f t="shared" si="162"/>
        <v>9788997946006</v>
      </c>
      <c r="BE1145" t="str">
        <f t="shared" si="161"/>
        <v>판타지 웹소설 &gt; 현대 판타지</v>
      </c>
    </row>
    <row r="1146" spans="1:57" x14ac:dyDescent="0.3">
      <c r="A1146">
        <v>1525004030</v>
      </c>
      <c r="B1146">
        <v>1525004427</v>
      </c>
      <c r="C1146" t="str">
        <f>T("회귀의 전설 411화")</f>
        <v>회귀의 전설 411화</v>
      </c>
      <c r="D1146" t="str">
        <f>T("411")</f>
        <v>411</v>
      </c>
      <c r="E1146" t="str">
        <f t="shared" si="159"/>
        <v>김광수</v>
      </c>
      <c r="H1146" t="str">
        <f t="shared" si="155"/>
        <v>스토리위즈</v>
      </c>
      <c r="I1146" t="str">
        <f t="shared" si="160"/>
        <v>회귀의 전설</v>
      </c>
      <c r="J1146">
        <v>100</v>
      </c>
      <c r="K1146">
        <v>200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200</v>
      </c>
      <c r="AH1146">
        <v>2</v>
      </c>
      <c r="AI1146">
        <v>0</v>
      </c>
      <c r="AJ1146">
        <v>0</v>
      </c>
      <c r="AK1146">
        <v>200</v>
      </c>
      <c r="AL1146">
        <v>0</v>
      </c>
      <c r="AM1146">
        <v>0</v>
      </c>
      <c r="AN1146">
        <v>0</v>
      </c>
      <c r="AO1146">
        <v>0</v>
      </c>
      <c r="AQ1146">
        <v>0</v>
      </c>
      <c r="AR1146">
        <v>0</v>
      </c>
      <c r="AT1146">
        <v>0</v>
      </c>
      <c r="AU1146">
        <v>0</v>
      </c>
      <c r="AW1146">
        <v>0</v>
      </c>
      <c r="AX1146">
        <v>0</v>
      </c>
      <c r="AY1146">
        <v>140</v>
      </c>
      <c r="BC1146" t="str">
        <f t="shared" si="162"/>
        <v>9788997946006</v>
      </c>
      <c r="BE1146" t="str">
        <f t="shared" si="161"/>
        <v>판타지 웹소설 &gt; 현대 판타지</v>
      </c>
    </row>
    <row r="1147" spans="1:57" x14ac:dyDescent="0.3">
      <c r="A1147">
        <v>1525004030</v>
      </c>
      <c r="B1147">
        <v>1525004484</v>
      </c>
      <c r="C1147" t="str">
        <f>T("회귀의 전설 468화")</f>
        <v>회귀의 전설 468화</v>
      </c>
      <c r="D1147" t="str">
        <f>T("468")</f>
        <v>468</v>
      </c>
      <c r="E1147" t="str">
        <f t="shared" si="159"/>
        <v>김광수</v>
      </c>
      <c r="H1147" t="str">
        <f t="shared" si="155"/>
        <v>스토리위즈</v>
      </c>
      <c r="I1147" t="str">
        <f t="shared" si="160"/>
        <v>회귀의 전설</v>
      </c>
      <c r="J1147">
        <v>100</v>
      </c>
      <c r="K1147">
        <v>200</v>
      </c>
      <c r="L1147">
        <v>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200</v>
      </c>
      <c r="AH1147">
        <v>2</v>
      </c>
      <c r="AI1147">
        <v>0</v>
      </c>
      <c r="AJ1147">
        <v>0</v>
      </c>
      <c r="AK1147">
        <v>200</v>
      </c>
      <c r="AL1147">
        <v>0</v>
      </c>
      <c r="AM1147">
        <v>0</v>
      </c>
      <c r="AN1147">
        <v>0</v>
      </c>
      <c r="AO1147">
        <v>0</v>
      </c>
      <c r="AQ1147">
        <v>0</v>
      </c>
      <c r="AR1147">
        <v>0</v>
      </c>
      <c r="AT1147">
        <v>0</v>
      </c>
      <c r="AU1147">
        <v>0</v>
      </c>
      <c r="AW1147">
        <v>0</v>
      </c>
      <c r="AX1147">
        <v>0</v>
      </c>
      <c r="AY1147">
        <v>140</v>
      </c>
      <c r="BC1147" t="str">
        <f t="shared" si="162"/>
        <v>9788997946006</v>
      </c>
      <c r="BE1147" t="str">
        <f t="shared" si="161"/>
        <v>판타지 웹소설 &gt; 현대 판타지</v>
      </c>
    </row>
    <row r="1148" spans="1:57" x14ac:dyDescent="0.3">
      <c r="A1148">
        <v>1525004030</v>
      </c>
      <c r="B1148">
        <v>1525004289</v>
      </c>
      <c r="C1148" t="str">
        <f>T("회귀의 전설 260화")</f>
        <v>회귀의 전설 260화</v>
      </c>
      <c r="D1148" t="str">
        <f>T("260")</f>
        <v>260</v>
      </c>
      <c r="E1148" t="str">
        <f t="shared" si="159"/>
        <v>김광수</v>
      </c>
      <c r="H1148" t="str">
        <f t="shared" si="155"/>
        <v>스토리위즈</v>
      </c>
      <c r="I1148" t="str">
        <f t="shared" si="160"/>
        <v>회귀의 전설</v>
      </c>
      <c r="J1148">
        <v>100</v>
      </c>
      <c r="K1148">
        <v>200</v>
      </c>
      <c r="L1148">
        <v>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200</v>
      </c>
      <c r="AH1148">
        <v>2</v>
      </c>
      <c r="AI1148">
        <v>0</v>
      </c>
      <c r="AJ1148">
        <v>0</v>
      </c>
      <c r="AK1148">
        <v>200</v>
      </c>
      <c r="AL1148">
        <v>0</v>
      </c>
      <c r="AM1148">
        <v>0</v>
      </c>
      <c r="AN1148">
        <v>0</v>
      </c>
      <c r="AO1148">
        <v>0</v>
      </c>
      <c r="AQ1148">
        <v>0</v>
      </c>
      <c r="AR1148">
        <v>0</v>
      </c>
      <c r="AT1148">
        <v>0</v>
      </c>
      <c r="AU1148">
        <v>0</v>
      </c>
      <c r="AW1148">
        <v>0</v>
      </c>
      <c r="AX1148">
        <v>0</v>
      </c>
      <c r="AY1148">
        <v>140</v>
      </c>
      <c r="BC1148" t="str">
        <f t="shared" si="162"/>
        <v>9788997946006</v>
      </c>
      <c r="BE1148" t="str">
        <f t="shared" si="161"/>
        <v>판타지 웹소설 &gt; 현대 판타지</v>
      </c>
    </row>
    <row r="1149" spans="1:57" x14ac:dyDescent="0.3">
      <c r="A1149">
        <v>1525004030</v>
      </c>
      <c r="B1149">
        <v>1525006657</v>
      </c>
      <c r="C1149" t="str">
        <f>T("회귀의 전설 2부 540화")</f>
        <v>회귀의 전설 2부 540화</v>
      </c>
      <c r="D1149" t="str">
        <f>T("540")</f>
        <v>540</v>
      </c>
      <c r="E1149" t="str">
        <f t="shared" si="159"/>
        <v>김광수</v>
      </c>
      <c r="H1149" t="str">
        <f t="shared" si="155"/>
        <v>스토리위즈</v>
      </c>
      <c r="I1149" t="str">
        <f t="shared" si="160"/>
        <v>회귀의 전설</v>
      </c>
      <c r="J1149">
        <v>100</v>
      </c>
      <c r="K1149">
        <v>200</v>
      </c>
      <c r="L1149">
        <v>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200</v>
      </c>
      <c r="AH1149">
        <v>2</v>
      </c>
      <c r="AI1149">
        <v>0</v>
      </c>
      <c r="AJ1149">
        <v>0</v>
      </c>
      <c r="AK1149">
        <v>200</v>
      </c>
      <c r="AL1149">
        <v>0</v>
      </c>
      <c r="AM1149">
        <v>0</v>
      </c>
      <c r="AN1149">
        <v>0</v>
      </c>
      <c r="AO1149">
        <v>0</v>
      </c>
      <c r="AQ1149">
        <v>0</v>
      </c>
      <c r="AR1149">
        <v>0</v>
      </c>
      <c r="AT1149">
        <v>0</v>
      </c>
      <c r="AU1149">
        <v>0</v>
      </c>
      <c r="AW1149">
        <v>0</v>
      </c>
      <c r="AX1149">
        <v>0</v>
      </c>
      <c r="AY1149">
        <v>140</v>
      </c>
      <c r="BC1149" t="str">
        <f>T("9791191102086")</f>
        <v>9791191102086</v>
      </c>
      <c r="BE1149" t="str">
        <f t="shared" si="161"/>
        <v>판타지 웹소설 &gt; 현대 판타지</v>
      </c>
    </row>
    <row r="1150" spans="1:57" x14ac:dyDescent="0.3">
      <c r="A1150">
        <v>1525008428</v>
      </c>
      <c r="B1150">
        <v>1525008431</v>
      </c>
      <c r="C1150" t="str">
        <f>T("무히비(Muhibbi) 22화")</f>
        <v>무히비(Muhibbi) 22화</v>
      </c>
      <c r="D1150" t="str">
        <f>T("22")</f>
        <v>22</v>
      </c>
      <c r="E1150" t="str">
        <f>T("jooki")</f>
        <v>jooki</v>
      </c>
      <c r="H1150" t="str">
        <f>T("블러쉬")</f>
        <v>블러쉬</v>
      </c>
      <c r="I1150" t="str">
        <f>T("무히비(Muhibbi)")</f>
        <v>무히비(Muhibbi)</v>
      </c>
      <c r="J1150">
        <v>100</v>
      </c>
      <c r="K1150">
        <v>200</v>
      </c>
      <c r="L1150">
        <v>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200</v>
      </c>
      <c r="AH1150">
        <v>2</v>
      </c>
      <c r="AI1150">
        <v>0</v>
      </c>
      <c r="AJ1150">
        <v>0</v>
      </c>
      <c r="AK1150">
        <v>200</v>
      </c>
      <c r="AL1150">
        <v>0</v>
      </c>
      <c r="AM1150">
        <v>0</v>
      </c>
      <c r="AN1150">
        <v>0</v>
      </c>
      <c r="AO1150">
        <v>0</v>
      </c>
      <c r="AQ1150">
        <v>0</v>
      </c>
      <c r="AR1150">
        <v>0</v>
      </c>
      <c r="AT1150">
        <v>0</v>
      </c>
      <c r="AU1150">
        <v>0</v>
      </c>
      <c r="AW1150">
        <v>0</v>
      </c>
      <c r="AX1150">
        <v>0</v>
      </c>
      <c r="AY1150">
        <v>140</v>
      </c>
      <c r="BC1150" t="str">
        <f>T("9791164896622")</f>
        <v>9791164896622</v>
      </c>
      <c r="BE1150" t="str">
        <f>T("BL 웹소설 &gt; 역사/시대물")</f>
        <v>BL 웹소설 &gt; 역사/시대물</v>
      </c>
    </row>
    <row r="1151" spans="1:57" x14ac:dyDescent="0.3">
      <c r="A1151">
        <v>1525004799</v>
      </c>
      <c r="B1151">
        <v>1525004972</v>
      </c>
      <c r="C1151" t="str">
        <f>T("검산도해 174화")</f>
        <v>검산도해 174화</v>
      </c>
      <c r="D1151" t="str">
        <f>T("174")</f>
        <v>174</v>
      </c>
      <c r="E1151" t="str">
        <f>T("권용찬")</f>
        <v>권용찬</v>
      </c>
      <c r="H1151" t="str">
        <f t="shared" ref="H1151:H1201" si="163">T("스토리위즈")</f>
        <v>스토리위즈</v>
      </c>
      <c r="I1151" t="str">
        <f>T("검산도해")</f>
        <v>검산도해</v>
      </c>
      <c r="J1151">
        <v>100</v>
      </c>
      <c r="K1151">
        <v>200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200</v>
      </c>
      <c r="AH1151">
        <v>2</v>
      </c>
      <c r="AI1151">
        <v>0</v>
      </c>
      <c r="AJ1151">
        <v>0</v>
      </c>
      <c r="AK1151">
        <v>100</v>
      </c>
      <c r="AL1151">
        <v>0</v>
      </c>
      <c r="AM1151">
        <v>120</v>
      </c>
      <c r="AN1151">
        <v>-12</v>
      </c>
      <c r="AO1151">
        <v>0</v>
      </c>
      <c r="AQ1151">
        <v>0</v>
      </c>
      <c r="AR1151">
        <v>0</v>
      </c>
      <c r="AS1151">
        <v>120</v>
      </c>
      <c r="AT1151">
        <v>-12</v>
      </c>
      <c r="AU1151">
        <v>0</v>
      </c>
      <c r="AW1151">
        <v>0</v>
      </c>
      <c r="AX1151">
        <v>0</v>
      </c>
      <c r="AY1151">
        <v>145.6</v>
      </c>
      <c r="BC1151" t="str">
        <f>T("9791159285936")</f>
        <v>9791159285936</v>
      </c>
      <c r="BE1151" t="str">
        <f>T("판타지 웹소설 &gt; 무협 소설")</f>
        <v>판타지 웹소설 &gt; 무협 소설</v>
      </c>
    </row>
    <row r="1152" spans="1:57" x14ac:dyDescent="0.3">
      <c r="A1152">
        <v>1525004030</v>
      </c>
      <c r="B1152">
        <v>1525004321</v>
      </c>
      <c r="C1152" t="str">
        <f>T("회귀의 전설 292화")</f>
        <v>회귀의 전설 292화</v>
      </c>
      <c r="D1152" t="str">
        <f>T("292")</f>
        <v>292</v>
      </c>
      <c r="E1152" t="str">
        <f t="shared" ref="E1152:E1164" si="164">T("김광수")</f>
        <v>김광수</v>
      </c>
      <c r="H1152" t="str">
        <f t="shared" si="163"/>
        <v>스토리위즈</v>
      </c>
      <c r="I1152" t="str">
        <f t="shared" ref="I1152:I1164" si="165">T("회귀의 전설")</f>
        <v>회귀의 전설</v>
      </c>
      <c r="J1152">
        <v>100</v>
      </c>
      <c r="K1152">
        <v>200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200</v>
      </c>
      <c r="AH1152">
        <v>2</v>
      </c>
      <c r="AI1152">
        <v>0</v>
      </c>
      <c r="AJ1152">
        <v>0</v>
      </c>
      <c r="AK1152">
        <v>200</v>
      </c>
      <c r="AL1152">
        <v>0</v>
      </c>
      <c r="AM1152">
        <v>0</v>
      </c>
      <c r="AN1152">
        <v>0</v>
      </c>
      <c r="AO1152">
        <v>0</v>
      </c>
      <c r="AQ1152">
        <v>0</v>
      </c>
      <c r="AR1152">
        <v>0</v>
      </c>
      <c r="AT1152">
        <v>0</v>
      </c>
      <c r="AU1152">
        <v>0</v>
      </c>
      <c r="AW1152">
        <v>0</v>
      </c>
      <c r="AX1152">
        <v>0</v>
      </c>
      <c r="AY1152">
        <v>140</v>
      </c>
      <c r="BC1152" t="str">
        <f>T("9788997946006")</f>
        <v>9788997946006</v>
      </c>
      <c r="BE1152" t="str">
        <f t="shared" ref="BE1152:BE1164" si="166">T("판타지 웹소설 &gt; 현대 판타지")</f>
        <v>판타지 웹소설 &gt; 현대 판타지</v>
      </c>
    </row>
    <row r="1153" spans="1:57" x14ac:dyDescent="0.3">
      <c r="A1153">
        <v>1525004030</v>
      </c>
      <c r="B1153">
        <v>1525004517</v>
      </c>
      <c r="C1153" t="str">
        <f>T("회귀의 전설 388화")</f>
        <v>회귀의 전설 388화</v>
      </c>
      <c r="D1153" t="str">
        <f>T("388")</f>
        <v>388</v>
      </c>
      <c r="E1153" t="str">
        <f t="shared" si="164"/>
        <v>김광수</v>
      </c>
      <c r="H1153" t="str">
        <f t="shared" si="163"/>
        <v>스토리위즈</v>
      </c>
      <c r="I1153" t="str">
        <f t="shared" si="165"/>
        <v>회귀의 전설</v>
      </c>
      <c r="J1153">
        <v>100</v>
      </c>
      <c r="K1153">
        <v>200</v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200</v>
      </c>
      <c r="AH1153">
        <v>2</v>
      </c>
      <c r="AI1153">
        <v>0</v>
      </c>
      <c r="AJ1153">
        <v>0</v>
      </c>
      <c r="AK1153">
        <v>200</v>
      </c>
      <c r="AL1153">
        <v>0</v>
      </c>
      <c r="AM1153">
        <v>0</v>
      </c>
      <c r="AN1153">
        <v>0</v>
      </c>
      <c r="AO1153">
        <v>0</v>
      </c>
      <c r="AQ1153">
        <v>0</v>
      </c>
      <c r="AR1153">
        <v>0</v>
      </c>
      <c r="AT1153">
        <v>0</v>
      </c>
      <c r="AU1153">
        <v>0</v>
      </c>
      <c r="AW1153">
        <v>0</v>
      </c>
      <c r="AX1153">
        <v>0</v>
      </c>
      <c r="AY1153">
        <v>140</v>
      </c>
      <c r="BC1153" t="str">
        <f>T("9788997946006")</f>
        <v>9788997946006</v>
      </c>
      <c r="BE1153" t="str">
        <f t="shared" si="166"/>
        <v>판타지 웹소설 &gt; 현대 판타지</v>
      </c>
    </row>
    <row r="1154" spans="1:57" x14ac:dyDescent="0.3">
      <c r="A1154">
        <v>1525004030</v>
      </c>
      <c r="B1154">
        <v>1525004232</v>
      </c>
      <c r="C1154" t="str">
        <f>T("회귀의 전설 203화")</f>
        <v>회귀의 전설 203화</v>
      </c>
      <c r="D1154" t="str">
        <f>T("203")</f>
        <v>203</v>
      </c>
      <c r="E1154" t="str">
        <f t="shared" si="164"/>
        <v>김광수</v>
      </c>
      <c r="H1154" t="str">
        <f t="shared" si="163"/>
        <v>스토리위즈</v>
      </c>
      <c r="I1154" t="str">
        <f t="shared" si="165"/>
        <v>회귀의 전설</v>
      </c>
      <c r="J1154">
        <v>100</v>
      </c>
      <c r="K1154">
        <v>200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200</v>
      </c>
      <c r="AH1154">
        <v>2</v>
      </c>
      <c r="AI1154">
        <v>0</v>
      </c>
      <c r="AJ1154">
        <v>0</v>
      </c>
      <c r="AK1154">
        <v>200</v>
      </c>
      <c r="AL1154">
        <v>0</v>
      </c>
      <c r="AM1154">
        <v>0</v>
      </c>
      <c r="AN1154">
        <v>0</v>
      </c>
      <c r="AO1154">
        <v>0</v>
      </c>
      <c r="AQ1154">
        <v>0</v>
      </c>
      <c r="AR1154">
        <v>0</v>
      </c>
      <c r="AT1154">
        <v>0</v>
      </c>
      <c r="AU1154">
        <v>0</v>
      </c>
      <c r="AW1154">
        <v>0</v>
      </c>
      <c r="AX1154">
        <v>0</v>
      </c>
      <c r="AY1154">
        <v>140</v>
      </c>
      <c r="BC1154" t="str">
        <f>T("9788997946006")</f>
        <v>9788997946006</v>
      </c>
      <c r="BE1154" t="str">
        <f t="shared" si="166"/>
        <v>판타지 웹소설 &gt; 현대 판타지</v>
      </c>
    </row>
    <row r="1155" spans="1:57" x14ac:dyDescent="0.3">
      <c r="A1155">
        <v>1525004030</v>
      </c>
      <c r="B1155">
        <v>1525006689</v>
      </c>
      <c r="C1155" t="str">
        <f>T("회귀의 전설 2부 572화")</f>
        <v>회귀의 전설 2부 572화</v>
      </c>
      <c r="D1155" t="str">
        <f>T("572")</f>
        <v>572</v>
      </c>
      <c r="E1155" t="str">
        <f t="shared" si="164"/>
        <v>김광수</v>
      </c>
      <c r="H1155" t="str">
        <f t="shared" si="163"/>
        <v>스토리위즈</v>
      </c>
      <c r="I1155" t="str">
        <f t="shared" si="165"/>
        <v>회귀의 전설</v>
      </c>
      <c r="J1155">
        <v>100</v>
      </c>
      <c r="K1155">
        <v>200</v>
      </c>
      <c r="L1155">
        <v>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200</v>
      </c>
      <c r="AH1155">
        <v>2</v>
      </c>
      <c r="AI1155">
        <v>0</v>
      </c>
      <c r="AJ1155">
        <v>0</v>
      </c>
      <c r="AK1155">
        <v>200</v>
      </c>
      <c r="AL1155">
        <v>0</v>
      </c>
      <c r="AM1155">
        <v>0</v>
      </c>
      <c r="AN1155">
        <v>0</v>
      </c>
      <c r="AO1155">
        <v>0</v>
      </c>
      <c r="AQ1155">
        <v>0</v>
      </c>
      <c r="AR1155">
        <v>0</v>
      </c>
      <c r="AT1155">
        <v>0</v>
      </c>
      <c r="AU1155">
        <v>0</v>
      </c>
      <c r="AW1155">
        <v>0</v>
      </c>
      <c r="AX1155">
        <v>0</v>
      </c>
      <c r="AY1155">
        <v>140</v>
      </c>
      <c r="BC1155" t="str">
        <f>T("9791191102086")</f>
        <v>9791191102086</v>
      </c>
      <c r="BE1155" t="str">
        <f t="shared" si="166"/>
        <v>판타지 웹소설 &gt; 현대 판타지</v>
      </c>
    </row>
    <row r="1156" spans="1:57" x14ac:dyDescent="0.3">
      <c r="A1156">
        <v>1525004030</v>
      </c>
      <c r="B1156">
        <v>1525006844</v>
      </c>
      <c r="C1156" t="str">
        <f>T("회귀의 전설 2부 727화")</f>
        <v>회귀의 전설 2부 727화</v>
      </c>
      <c r="D1156" t="str">
        <f>T("727")</f>
        <v>727</v>
      </c>
      <c r="E1156" t="str">
        <f t="shared" si="164"/>
        <v>김광수</v>
      </c>
      <c r="H1156" t="str">
        <f t="shared" si="163"/>
        <v>스토리위즈</v>
      </c>
      <c r="I1156" t="str">
        <f t="shared" si="165"/>
        <v>회귀의 전설</v>
      </c>
      <c r="J1156">
        <v>100</v>
      </c>
      <c r="K1156">
        <v>200</v>
      </c>
      <c r="L1156">
        <v>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200</v>
      </c>
      <c r="AH1156">
        <v>2</v>
      </c>
      <c r="AI1156">
        <v>0</v>
      </c>
      <c r="AJ1156">
        <v>0</v>
      </c>
      <c r="AK1156">
        <v>100</v>
      </c>
      <c r="AL1156">
        <v>0</v>
      </c>
      <c r="AM1156">
        <v>120</v>
      </c>
      <c r="AN1156">
        <v>-12</v>
      </c>
      <c r="AO1156">
        <v>0</v>
      </c>
      <c r="AQ1156">
        <v>0</v>
      </c>
      <c r="AR1156">
        <v>0</v>
      </c>
      <c r="AS1156">
        <v>120</v>
      </c>
      <c r="AT1156">
        <v>-12</v>
      </c>
      <c r="AU1156">
        <v>0</v>
      </c>
      <c r="AW1156">
        <v>0</v>
      </c>
      <c r="AX1156">
        <v>0</v>
      </c>
      <c r="AY1156">
        <v>145.6</v>
      </c>
      <c r="BC1156" t="str">
        <f>T("9791191102086")</f>
        <v>9791191102086</v>
      </c>
      <c r="BE1156" t="str">
        <f t="shared" si="166"/>
        <v>판타지 웹소설 &gt; 현대 판타지</v>
      </c>
    </row>
    <row r="1157" spans="1:57" x14ac:dyDescent="0.3">
      <c r="A1157">
        <v>1525004030</v>
      </c>
      <c r="B1157">
        <v>1525006803</v>
      </c>
      <c r="C1157" t="str">
        <f>T("회귀의 전설 2부 686화")</f>
        <v>회귀의 전설 2부 686화</v>
      </c>
      <c r="D1157" t="str">
        <f>T("686")</f>
        <v>686</v>
      </c>
      <c r="E1157" t="str">
        <f t="shared" si="164"/>
        <v>김광수</v>
      </c>
      <c r="H1157" t="str">
        <f t="shared" si="163"/>
        <v>스토리위즈</v>
      </c>
      <c r="I1157" t="str">
        <f t="shared" si="165"/>
        <v>회귀의 전설</v>
      </c>
      <c r="J1157">
        <v>100</v>
      </c>
      <c r="K1157">
        <v>200</v>
      </c>
      <c r="L1157">
        <v>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200</v>
      </c>
      <c r="AH1157">
        <v>2</v>
      </c>
      <c r="AI1157">
        <v>0</v>
      </c>
      <c r="AJ1157">
        <v>0</v>
      </c>
      <c r="AK1157">
        <v>100</v>
      </c>
      <c r="AL1157">
        <v>0</v>
      </c>
      <c r="AM1157">
        <v>120</v>
      </c>
      <c r="AN1157">
        <v>-12</v>
      </c>
      <c r="AO1157">
        <v>0</v>
      </c>
      <c r="AQ1157">
        <v>0</v>
      </c>
      <c r="AR1157">
        <v>0</v>
      </c>
      <c r="AS1157">
        <v>120</v>
      </c>
      <c r="AT1157">
        <v>-12</v>
      </c>
      <c r="AU1157">
        <v>0</v>
      </c>
      <c r="AW1157">
        <v>0</v>
      </c>
      <c r="AX1157">
        <v>0</v>
      </c>
      <c r="AY1157">
        <v>145.6</v>
      </c>
      <c r="BC1157" t="str">
        <f>T("9791191102086")</f>
        <v>9791191102086</v>
      </c>
      <c r="BE1157" t="str">
        <f t="shared" si="166"/>
        <v>판타지 웹소설 &gt; 현대 판타지</v>
      </c>
    </row>
    <row r="1158" spans="1:57" x14ac:dyDescent="0.3">
      <c r="A1158">
        <v>1525004030</v>
      </c>
      <c r="B1158">
        <v>1525004264</v>
      </c>
      <c r="C1158" t="str">
        <f>T("회귀의 전설 235화")</f>
        <v>회귀의 전설 235화</v>
      </c>
      <c r="D1158" t="str">
        <f>T("235")</f>
        <v>235</v>
      </c>
      <c r="E1158" t="str">
        <f t="shared" si="164"/>
        <v>김광수</v>
      </c>
      <c r="H1158" t="str">
        <f t="shared" si="163"/>
        <v>스토리위즈</v>
      </c>
      <c r="I1158" t="str">
        <f t="shared" si="165"/>
        <v>회귀의 전설</v>
      </c>
      <c r="J1158">
        <v>100</v>
      </c>
      <c r="K1158">
        <v>200</v>
      </c>
      <c r="L1158">
        <v>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200</v>
      </c>
      <c r="AH1158">
        <v>2</v>
      </c>
      <c r="AI1158">
        <v>0</v>
      </c>
      <c r="AJ1158">
        <v>0</v>
      </c>
      <c r="AK1158">
        <v>200</v>
      </c>
      <c r="AL1158">
        <v>0</v>
      </c>
      <c r="AM1158">
        <v>0</v>
      </c>
      <c r="AN1158">
        <v>0</v>
      </c>
      <c r="AO1158">
        <v>0</v>
      </c>
      <c r="AQ1158">
        <v>0</v>
      </c>
      <c r="AR1158">
        <v>0</v>
      </c>
      <c r="AT1158">
        <v>0</v>
      </c>
      <c r="AU1158">
        <v>0</v>
      </c>
      <c r="AW1158">
        <v>0</v>
      </c>
      <c r="AX1158">
        <v>0</v>
      </c>
      <c r="AY1158">
        <v>140</v>
      </c>
      <c r="BC1158" t="str">
        <f>T("9788997946006")</f>
        <v>9788997946006</v>
      </c>
      <c r="BE1158" t="str">
        <f t="shared" si="166"/>
        <v>판타지 웹소설 &gt; 현대 판타지</v>
      </c>
    </row>
    <row r="1159" spans="1:57" x14ac:dyDescent="0.3">
      <c r="A1159">
        <v>1525004030</v>
      </c>
      <c r="B1159">
        <v>1525004338</v>
      </c>
      <c r="C1159" t="str">
        <f>T("회귀의 전설 309화")</f>
        <v>회귀의 전설 309화</v>
      </c>
      <c r="D1159" t="str">
        <f>T("309")</f>
        <v>309</v>
      </c>
      <c r="E1159" t="str">
        <f t="shared" si="164"/>
        <v>김광수</v>
      </c>
      <c r="H1159" t="str">
        <f t="shared" si="163"/>
        <v>스토리위즈</v>
      </c>
      <c r="I1159" t="str">
        <f t="shared" si="165"/>
        <v>회귀의 전설</v>
      </c>
      <c r="J1159">
        <v>100</v>
      </c>
      <c r="K1159">
        <v>200</v>
      </c>
      <c r="L1159">
        <v>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200</v>
      </c>
      <c r="AH1159">
        <v>2</v>
      </c>
      <c r="AI1159">
        <v>0</v>
      </c>
      <c r="AJ1159">
        <v>0</v>
      </c>
      <c r="AK1159">
        <v>200</v>
      </c>
      <c r="AL1159">
        <v>0</v>
      </c>
      <c r="AM1159">
        <v>0</v>
      </c>
      <c r="AN1159">
        <v>0</v>
      </c>
      <c r="AO1159">
        <v>0</v>
      </c>
      <c r="AQ1159">
        <v>0</v>
      </c>
      <c r="AR1159">
        <v>0</v>
      </c>
      <c r="AT1159">
        <v>0</v>
      </c>
      <c r="AU1159">
        <v>0</v>
      </c>
      <c r="AW1159">
        <v>0</v>
      </c>
      <c r="AX1159">
        <v>0</v>
      </c>
      <c r="AY1159">
        <v>140</v>
      </c>
      <c r="BC1159" t="str">
        <f>T("9788997946006")</f>
        <v>9788997946006</v>
      </c>
      <c r="BE1159" t="str">
        <f t="shared" si="166"/>
        <v>판타지 웹소설 &gt; 현대 판타지</v>
      </c>
    </row>
    <row r="1160" spans="1:57" x14ac:dyDescent="0.3">
      <c r="A1160">
        <v>1525004030</v>
      </c>
      <c r="B1160">
        <v>1525004395</v>
      </c>
      <c r="C1160" t="str">
        <f>T("회귀의 전설 367화")</f>
        <v>회귀의 전설 367화</v>
      </c>
      <c r="D1160" t="str">
        <f>T("367")</f>
        <v>367</v>
      </c>
      <c r="E1160" t="str">
        <f t="shared" si="164"/>
        <v>김광수</v>
      </c>
      <c r="H1160" t="str">
        <f t="shared" si="163"/>
        <v>스토리위즈</v>
      </c>
      <c r="I1160" t="str">
        <f t="shared" si="165"/>
        <v>회귀의 전설</v>
      </c>
      <c r="J1160">
        <v>100</v>
      </c>
      <c r="K1160">
        <v>200</v>
      </c>
      <c r="L1160">
        <v>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200</v>
      </c>
      <c r="AH1160">
        <v>2</v>
      </c>
      <c r="AI1160">
        <v>0</v>
      </c>
      <c r="AJ1160">
        <v>0</v>
      </c>
      <c r="AK1160">
        <v>200</v>
      </c>
      <c r="AL1160">
        <v>0</v>
      </c>
      <c r="AM1160">
        <v>0</v>
      </c>
      <c r="AN1160">
        <v>0</v>
      </c>
      <c r="AO1160">
        <v>0</v>
      </c>
      <c r="AQ1160">
        <v>0</v>
      </c>
      <c r="AR1160">
        <v>0</v>
      </c>
      <c r="AT1160">
        <v>0</v>
      </c>
      <c r="AU1160">
        <v>0</v>
      </c>
      <c r="AW1160">
        <v>0</v>
      </c>
      <c r="AX1160">
        <v>0</v>
      </c>
      <c r="AY1160">
        <v>140</v>
      </c>
      <c r="BC1160" t="str">
        <f>T("9788997946006")</f>
        <v>9788997946006</v>
      </c>
      <c r="BE1160" t="str">
        <f t="shared" si="166"/>
        <v>판타지 웹소설 &gt; 현대 판타지</v>
      </c>
    </row>
    <row r="1161" spans="1:57" x14ac:dyDescent="0.3">
      <c r="A1161">
        <v>1525004030</v>
      </c>
      <c r="B1161">
        <v>1525006876</v>
      </c>
      <c r="C1161" t="str">
        <f>T("회귀의 전설 2부 759화")</f>
        <v>회귀의 전설 2부 759화</v>
      </c>
      <c r="D1161" t="str">
        <f>T("759")</f>
        <v>759</v>
      </c>
      <c r="E1161" t="str">
        <f t="shared" si="164"/>
        <v>김광수</v>
      </c>
      <c r="H1161" t="str">
        <f t="shared" si="163"/>
        <v>스토리위즈</v>
      </c>
      <c r="I1161" t="str">
        <f t="shared" si="165"/>
        <v>회귀의 전설</v>
      </c>
      <c r="J1161">
        <v>100</v>
      </c>
      <c r="K1161">
        <v>200</v>
      </c>
      <c r="L1161">
        <v>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200</v>
      </c>
      <c r="AH1161">
        <v>2</v>
      </c>
      <c r="AI1161">
        <v>0</v>
      </c>
      <c r="AJ1161">
        <v>0</v>
      </c>
      <c r="AK1161">
        <v>100</v>
      </c>
      <c r="AL1161">
        <v>0</v>
      </c>
      <c r="AM1161">
        <v>120</v>
      </c>
      <c r="AN1161">
        <v>-12</v>
      </c>
      <c r="AO1161">
        <v>0</v>
      </c>
      <c r="AQ1161">
        <v>0</v>
      </c>
      <c r="AR1161">
        <v>0</v>
      </c>
      <c r="AS1161">
        <v>120</v>
      </c>
      <c r="AT1161">
        <v>-12</v>
      </c>
      <c r="AU1161">
        <v>0</v>
      </c>
      <c r="AW1161">
        <v>0</v>
      </c>
      <c r="AX1161">
        <v>0</v>
      </c>
      <c r="AY1161">
        <v>145.6</v>
      </c>
      <c r="BC1161" t="str">
        <f>T("9791191102086")</f>
        <v>9791191102086</v>
      </c>
      <c r="BE1161" t="str">
        <f t="shared" si="166"/>
        <v>판타지 웹소설 &gt; 현대 판타지</v>
      </c>
    </row>
    <row r="1162" spans="1:57" x14ac:dyDescent="0.3">
      <c r="A1162">
        <v>1525004030</v>
      </c>
      <c r="B1162">
        <v>1525004253</v>
      </c>
      <c r="C1162" t="str">
        <f>T("회귀의 전설 224화")</f>
        <v>회귀의 전설 224화</v>
      </c>
      <c r="D1162" t="str">
        <f>T("224")</f>
        <v>224</v>
      </c>
      <c r="E1162" t="str">
        <f t="shared" si="164"/>
        <v>김광수</v>
      </c>
      <c r="H1162" t="str">
        <f t="shared" si="163"/>
        <v>스토리위즈</v>
      </c>
      <c r="I1162" t="str">
        <f t="shared" si="165"/>
        <v>회귀의 전설</v>
      </c>
      <c r="J1162">
        <v>100</v>
      </c>
      <c r="K1162">
        <v>200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200</v>
      </c>
      <c r="AH1162">
        <v>2</v>
      </c>
      <c r="AI1162">
        <v>0</v>
      </c>
      <c r="AJ1162">
        <v>0</v>
      </c>
      <c r="AK1162">
        <v>200</v>
      </c>
      <c r="AL1162">
        <v>0</v>
      </c>
      <c r="AM1162">
        <v>0</v>
      </c>
      <c r="AN1162">
        <v>0</v>
      </c>
      <c r="AO1162">
        <v>0</v>
      </c>
      <c r="AQ1162">
        <v>0</v>
      </c>
      <c r="AR1162">
        <v>0</v>
      </c>
      <c r="AT1162">
        <v>0</v>
      </c>
      <c r="AU1162">
        <v>0</v>
      </c>
      <c r="AW1162">
        <v>0</v>
      </c>
      <c r="AX1162">
        <v>0</v>
      </c>
      <c r="AY1162">
        <v>140</v>
      </c>
      <c r="BC1162" t="str">
        <f>T("9788997946006")</f>
        <v>9788997946006</v>
      </c>
      <c r="BE1162" t="str">
        <f t="shared" si="166"/>
        <v>판타지 웹소설 &gt; 현대 판타지</v>
      </c>
    </row>
    <row r="1163" spans="1:57" x14ac:dyDescent="0.3">
      <c r="A1163">
        <v>1525004030</v>
      </c>
      <c r="B1163">
        <v>1525006710</v>
      </c>
      <c r="C1163" t="str">
        <f>T("회귀의 전설 2부 593화")</f>
        <v>회귀의 전설 2부 593화</v>
      </c>
      <c r="D1163" t="str">
        <f>T("593")</f>
        <v>593</v>
      </c>
      <c r="E1163" t="str">
        <f t="shared" si="164"/>
        <v>김광수</v>
      </c>
      <c r="H1163" t="str">
        <f t="shared" si="163"/>
        <v>스토리위즈</v>
      </c>
      <c r="I1163" t="str">
        <f t="shared" si="165"/>
        <v>회귀의 전설</v>
      </c>
      <c r="J1163">
        <v>100</v>
      </c>
      <c r="K1163">
        <v>200</v>
      </c>
      <c r="L1163">
        <v>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200</v>
      </c>
      <c r="AH1163">
        <v>2</v>
      </c>
      <c r="AI1163">
        <v>0</v>
      </c>
      <c r="AJ1163">
        <v>0</v>
      </c>
      <c r="AK1163">
        <v>100</v>
      </c>
      <c r="AL1163">
        <v>0</v>
      </c>
      <c r="AM1163">
        <v>120</v>
      </c>
      <c r="AN1163">
        <v>-12</v>
      </c>
      <c r="AO1163">
        <v>0</v>
      </c>
      <c r="AQ1163">
        <v>0</v>
      </c>
      <c r="AR1163">
        <v>0</v>
      </c>
      <c r="AS1163">
        <v>120</v>
      </c>
      <c r="AT1163">
        <v>-12</v>
      </c>
      <c r="AU1163">
        <v>0</v>
      </c>
      <c r="AW1163">
        <v>0</v>
      </c>
      <c r="AX1163">
        <v>0</v>
      </c>
      <c r="AY1163">
        <v>145.6</v>
      </c>
      <c r="BC1163" t="str">
        <f>T("9791191102086")</f>
        <v>9791191102086</v>
      </c>
      <c r="BE1163" t="str">
        <f t="shared" si="166"/>
        <v>판타지 웹소설 &gt; 현대 판타지</v>
      </c>
    </row>
    <row r="1164" spans="1:57" x14ac:dyDescent="0.3">
      <c r="A1164">
        <v>1525004030</v>
      </c>
      <c r="B1164">
        <v>1525004212</v>
      </c>
      <c r="C1164" t="str">
        <f>T("회귀의 전설 183화")</f>
        <v>회귀의 전설 183화</v>
      </c>
      <c r="D1164" t="str">
        <f>T("183")</f>
        <v>183</v>
      </c>
      <c r="E1164" t="str">
        <f t="shared" si="164"/>
        <v>김광수</v>
      </c>
      <c r="H1164" t="str">
        <f t="shared" si="163"/>
        <v>스토리위즈</v>
      </c>
      <c r="I1164" t="str">
        <f t="shared" si="165"/>
        <v>회귀의 전설</v>
      </c>
      <c r="J1164">
        <v>100</v>
      </c>
      <c r="K1164">
        <v>200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200</v>
      </c>
      <c r="AH1164">
        <v>2</v>
      </c>
      <c r="AI1164">
        <v>0</v>
      </c>
      <c r="AJ1164">
        <v>0</v>
      </c>
      <c r="AK1164">
        <v>200</v>
      </c>
      <c r="AL1164">
        <v>0</v>
      </c>
      <c r="AM1164">
        <v>0</v>
      </c>
      <c r="AN1164">
        <v>0</v>
      </c>
      <c r="AO1164">
        <v>0</v>
      </c>
      <c r="AQ1164">
        <v>0</v>
      </c>
      <c r="AR1164">
        <v>0</v>
      </c>
      <c r="AT1164">
        <v>0</v>
      </c>
      <c r="AU1164">
        <v>0</v>
      </c>
      <c r="AW1164">
        <v>0</v>
      </c>
      <c r="AX1164">
        <v>0</v>
      </c>
      <c r="AY1164">
        <v>140</v>
      </c>
      <c r="BC1164" t="str">
        <f>T("9788997946006")</f>
        <v>9788997946006</v>
      </c>
      <c r="BE1164" t="str">
        <f t="shared" si="166"/>
        <v>판타지 웹소설 &gt; 현대 판타지</v>
      </c>
    </row>
    <row r="1165" spans="1:57" x14ac:dyDescent="0.3">
      <c r="A1165">
        <v>1525002864</v>
      </c>
      <c r="B1165">
        <v>1525002890</v>
      </c>
      <c r="C1165" t="str">
        <f>T("소드마스터의 환생 27화")</f>
        <v>소드마스터의 환생 27화</v>
      </c>
      <c r="D1165" t="str">
        <f>T("27")</f>
        <v>27</v>
      </c>
      <c r="E1165" t="str">
        <f>T("파란영")</f>
        <v>파란영</v>
      </c>
      <c r="H1165" t="str">
        <f t="shared" si="163"/>
        <v>스토리위즈</v>
      </c>
      <c r="I1165" t="str">
        <f>T("소드마스터의 환생")</f>
        <v>소드마스터의 환생</v>
      </c>
      <c r="J1165">
        <v>100</v>
      </c>
      <c r="K1165">
        <v>200</v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200</v>
      </c>
      <c r="AH1165">
        <v>2</v>
      </c>
      <c r="AI1165">
        <v>0</v>
      </c>
      <c r="AJ1165">
        <v>0</v>
      </c>
      <c r="AK1165">
        <v>200</v>
      </c>
      <c r="AL1165">
        <v>0</v>
      </c>
      <c r="AM1165">
        <v>0</v>
      </c>
      <c r="AN1165">
        <v>0</v>
      </c>
      <c r="AO1165">
        <v>0</v>
      </c>
      <c r="AQ1165">
        <v>0</v>
      </c>
      <c r="AR1165">
        <v>0</v>
      </c>
      <c r="AT1165">
        <v>0</v>
      </c>
      <c r="AU1165">
        <v>0</v>
      </c>
      <c r="AW1165">
        <v>0</v>
      </c>
      <c r="AX1165">
        <v>0</v>
      </c>
      <c r="AY1165">
        <v>140</v>
      </c>
      <c r="BC1165" t="str">
        <f>T("9791159287527")</f>
        <v>9791159287527</v>
      </c>
      <c r="BE1165" t="str">
        <f>T("판타지 웹소설 &gt; 정통 판타지")</f>
        <v>판타지 웹소설 &gt; 정통 판타지</v>
      </c>
    </row>
    <row r="1166" spans="1:57" x14ac:dyDescent="0.3">
      <c r="A1166">
        <v>1525004030</v>
      </c>
      <c r="B1166">
        <v>1525006865</v>
      </c>
      <c r="C1166" t="str">
        <f>T("회귀의 전설 2부 748화")</f>
        <v>회귀의 전설 2부 748화</v>
      </c>
      <c r="D1166" t="str">
        <f>T("748")</f>
        <v>748</v>
      </c>
      <c r="E1166" t="str">
        <f t="shared" ref="E1166:E1201" si="167">T("김광수")</f>
        <v>김광수</v>
      </c>
      <c r="H1166" t="str">
        <f t="shared" si="163"/>
        <v>스토리위즈</v>
      </c>
      <c r="I1166" t="str">
        <f t="shared" ref="I1166:I1201" si="168">T("회귀의 전설")</f>
        <v>회귀의 전설</v>
      </c>
      <c r="J1166">
        <v>100</v>
      </c>
      <c r="K1166">
        <v>200</v>
      </c>
      <c r="L1166">
        <v>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200</v>
      </c>
      <c r="AH1166">
        <v>2</v>
      </c>
      <c r="AI1166">
        <v>0</v>
      </c>
      <c r="AJ1166">
        <v>0</v>
      </c>
      <c r="AK1166">
        <v>100</v>
      </c>
      <c r="AL1166">
        <v>0</v>
      </c>
      <c r="AM1166">
        <v>120</v>
      </c>
      <c r="AN1166">
        <v>-12</v>
      </c>
      <c r="AO1166">
        <v>0</v>
      </c>
      <c r="AQ1166">
        <v>0</v>
      </c>
      <c r="AR1166">
        <v>0</v>
      </c>
      <c r="AS1166">
        <v>120</v>
      </c>
      <c r="AT1166">
        <v>-12</v>
      </c>
      <c r="AU1166">
        <v>0</v>
      </c>
      <c r="AW1166">
        <v>0</v>
      </c>
      <c r="AX1166">
        <v>0</v>
      </c>
      <c r="AY1166">
        <v>145.6</v>
      </c>
      <c r="BC1166" t="str">
        <f>T("9791191102086")</f>
        <v>9791191102086</v>
      </c>
      <c r="BE1166" t="str">
        <f t="shared" ref="BE1166:BE1201" si="169">T("판타지 웹소설 &gt; 현대 판타지")</f>
        <v>판타지 웹소설 &gt; 현대 판타지</v>
      </c>
    </row>
    <row r="1167" spans="1:57" x14ac:dyDescent="0.3">
      <c r="A1167">
        <v>1525004030</v>
      </c>
      <c r="B1167">
        <v>1525006824</v>
      </c>
      <c r="C1167" t="str">
        <f>T("회귀의 전설 2부 707화")</f>
        <v>회귀의 전설 2부 707화</v>
      </c>
      <c r="D1167" t="str">
        <f>T("707")</f>
        <v>707</v>
      </c>
      <c r="E1167" t="str">
        <f t="shared" si="167"/>
        <v>김광수</v>
      </c>
      <c r="H1167" t="str">
        <f t="shared" si="163"/>
        <v>스토리위즈</v>
      </c>
      <c r="I1167" t="str">
        <f t="shared" si="168"/>
        <v>회귀의 전설</v>
      </c>
      <c r="J1167">
        <v>100</v>
      </c>
      <c r="K1167">
        <v>200</v>
      </c>
      <c r="L1167">
        <v>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200</v>
      </c>
      <c r="AH1167">
        <v>2</v>
      </c>
      <c r="AI1167">
        <v>0</v>
      </c>
      <c r="AJ1167">
        <v>0</v>
      </c>
      <c r="AK1167">
        <v>100</v>
      </c>
      <c r="AL1167">
        <v>0</v>
      </c>
      <c r="AM1167">
        <v>120</v>
      </c>
      <c r="AN1167">
        <v>-12</v>
      </c>
      <c r="AO1167">
        <v>0</v>
      </c>
      <c r="AQ1167">
        <v>0</v>
      </c>
      <c r="AR1167">
        <v>0</v>
      </c>
      <c r="AS1167">
        <v>120</v>
      </c>
      <c r="AT1167">
        <v>-12</v>
      </c>
      <c r="AU1167">
        <v>0</v>
      </c>
      <c r="AW1167">
        <v>0</v>
      </c>
      <c r="AX1167">
        <v>0</v>
      </c>
      <c r="AY1167">
        <v>145.6</v>
      </c>
      <c r="BC1167" t="str">
        <f>T("9791191102086")</f>
        <v>9791191102086</v>
      </c>
      <c r="BE1167" t="str">
        <f t="shared" si="169"/>
        <v>판타지 웹소설 &gt; 현대 판타지</v>
      </c>
    </row>
    <row r="1168" spans="1:57" x14ac:dyDescent="0.3">
      <c r="A1168">
        <v>1525004030</v>
      </c>
      <c r="B1168">
        <v>1525004115</v>
      </c>
      <c r="C1168" t="str">
        <f>T("회귀의 전설 86화")</f>
        <v>회귀의 전설 86화</v>
      </c>
      <c r="D1168" t="str">
        <f>T("86")</f>
        <v>86</v>
      </c>
      <c r="E1168" t="str">
        <f t="shared" si="167"/>
        <v>김광수</v>
      </c>
      <c r="H1168" t="str">
        <f t="shared" si="163"/>
        <v>스토리위즈</v>
      </c>
      <c r="I1168" t="str">
        <f t="shared" si="168"/>
        <v>회귀의 전설</v>
      </c>
      <c r="J1168">
        <v>100</v>
      </c>
      <c r="K1168">
        <v>200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200</v>
      </c>
      <c r="AH1168">
        <v>2</v>
      </c>
      <c r="AI1168">
        <v>0</v>
      </c>
      <c r="AJ1168">
        <v>0</v>
      </c>
      <c r="AK1168">
        <v>100</v>
      </c>
      <c r="AL1168">
        <v>0</v>
      </c>
      <c r="AM1168">
        <v>120</v>
      </c>
      <c r="AN1168">
        <v>-12</v>
      </c>
      <c r="AO1168">
        <v>0</v>
      </c>
      <c r="AQ1168">
        <v>0</v>
      </c>
      <c r="AR1168">
        <v>0</v>
      </c>
      <c r="AS1168">
        <v>120</v>
      </c>
      <c r="AT1168">
        <v>-12</v>
      </c>
      <c r="AU1168">
        <v>0</v>
      </c>
      <c r="AW1168">
        <v>0</v>
      </c>
      <c r="AX1168">
        <v>0</v>
      </c>
      <c r="AY1168">
        <v>145.6</v>
      </c>
      <c r="BC1168" t="str">
        <f t="shared" ref="BC1168:BC1174" si="170">T("9788997946006")</f>
        <v>9788997946006</v>
      </c>
      <c r="BE1168" t="str">
        <f t="shared" si="169"/>
        <v>판타지 웹소설 &gt; 현대 판타지</v>
      </c>
    </row>
    <row r="1169" spans="1:57" x14ac:dyDescent="0.3">
      <c r="A1169">
        <v>1525004030</v>
      </c>
      <c r="B1169">
        <v>1525004359</v>
      </c>
      <c r="C1169" t="str">
        <f>T("회귀의 전설 331화")</f>
        <v>회귀의 전설 331화</v>
      </c>
      <c r="D1169" t="str">
        <f>T("331")</f>
        <v>331</v>
      </c>
      <c r="E1169" t="str">
        <f t="shared" si="167"/>
        <v>김광수</v>
      </c>
      <c r="H1169" t="str">
        <f t="shared" si="163"/>
        <v>스토리위즈</v>
      </c>
      <c r="I1169" t="str">
        <f t="shared" si="168"/>
        <v>회귀의 전설</v>
      </c>
      <c r="J1169">
        <v>100</v>
      </c>
      <c r="K1169">
        <v>200</v>
      </c>
      <c r="L1169">
        <v>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200</v>
      </c>
      <c r="AH1169">
        <v>2</v>
      </c>
      <c r="AI1169">
        <v>0</v>
      </c>
      <c r="AJ1169">
        <v>0</v>
      </c>
      <c r="AK1169">
        <v>200</v>
      </c>
      <c r="AL1169">
        <v>0</v>
      </c>
      <c r="AM1169">
        <v>0</v>
      </c>
      <c r="AN1169">
        <v>0</v>
      </c>
      <c r="AO1169">
        <v>0</v>
      </c>
      <c r="AQ1169">
        <v>0</v>
      </c>
      <c r="AR1169">
        <v>0</v>
      </c>
      <c r="AT1169">
        <v>0</v>
      </c>
      <c r="AU1169">
        <v>0</v>
      </c>
      <c r="AW1169">
        <v>0</v>
      </c>
      <c r="AX1169">
        <v>0</v>
      </c>
      <c r="AY1169">
        <v>140</v>
      </c>
      <c r="BC1169" t="str">
        <f t="shared" si="170"/>
        <v>9788997946006</v>
      </c>
      <c r="BE1169" t="str">
        <f t="shared" si="169"/>
        <v>판타지 웹소설 &gt; 현대 판타지</v>
      </c>
    </row>
    <row r="1170" spans="1:57" x14ac:dyDescent="0.3">
      <c r="A1170">
        <v>1525004030</v>
      </c>
      <c r="B1170">
        <v>1525004416</v>
      </c>
      <c r="C1170" t="str">
        <f>T("회귀의 전설 400화")</f>
        <v>회귀의 전설 400화</v>
      </c>
      <c r="D1170" t="str">
        <f>T("400")</f>
        <v>400</v>
      </c>
      <c r="E1170" t="str">
        <f t="shared" si="167"/>
        <v>김광수</v>
      </c>
      <c r="H1170" t="str">
        <f t="shared" si="163"/>
        <v>스토리위즈</v>
      </c>
      <c r="I1170" t="str">
        <f t="shared" si="168"/>
        <v>회귀의 전설</v>
      </c>
      <c r="J1170">
        <v>100</v>
      </c>
      <c r="K1170">
        <v>200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200</v>
      </c>
      <c r="AH1170">
        <v>2</v>
      </c>
      <c r="AI1170">
        <v>0</v>
      </c>
      <c r="AJ1170">
        <v>0</v>
      </c>
      <c r="AK1170">
        <v>200</v>
      </c>
      <c r="AL1170">
        <v>0</v>
      </c>
      <c r="AM1170">
        <v>0</v>
      </c>
      <c r="AN1170">
        <v>0</v>
      </c>
      <c r="AO1170">
        <v>0</v>
      </c>
      <c r="AQ1170">
        <v>0</v>
      </c>
      <c r="AR1170">
        <v>0</v>
      </c>
      <c r="AT1170">
        <v>0</v>
      </c>
      <c r="AU1170">
        <v>0</v>
      </c>
      <c r="AW1170">
        <v>0</v>
      </c>
      <c r="AX1170">
        <v>0</v>
      </c>
      <c r="AY1170">
        <v>140</v>
      </c>
      <c r="BC1170" t="str">
        <f t="shared" si="170"/>
        <v>9788997946006</v>
      </c>
      <c r="BE1170" t="str">
        <f t="shared" si="169"/>
        <v>판타지 웹소설 &gt; 현대 판타지</v>
      </c>
    </row>
    <row r="1171" spans="1:57" x14ac:dyDescent="0.3">
      <c r="A1171">
        <v>1525004030</v>
      </c>
      <c r="B1171">
        <v>1525004473</v>
      </c>
      <c r="C1171" t="str">
        <f>T("회귀의 전설 457화")</f>
        <v>회귀의 전설 457화</v>
      </c>
      <c r="D1171" t="str">
        <f>T("457")</f>
        <v>457</v>
      </c>
      <c r="E1171" t="str">
        <f t="shared" si="167"/>
        <v>김광수</v>
      </c>
      <c r="H1171" t="str">
        <f t="shared" si="163"/>
        <v>스토리위즈</v>
      </c>
      <c r="I1171" t="str">
        <f t="shared" si="168"/>
        <v>회귀의 전설</v>
      </c>
      <c r="J1171">
        <v>100</v>
      </c>
      <c r="K1171">
        <v>200</v>
      </c>
      <c r="L1171">
        <v>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200</v>
      </c>
      <c r="AH1171">
        <v>2</v>
      </c>
      <c r="AI1171">
        <v>0</v>
      </c>
      <c r="AJ1171">
        <v>0</v>
      </c>
      <c r="AK1171">
        <v>200</v>
      </c>
      <c r="AL1171">
        <v>0</v>
      </c>
      <c r="AM1171">
        <v>0</v>
      </c>
      <c r="AN1171">
        <v>0</v>
      </c>
      <c r="AO1171">
        <v>0</v>
      </c>
      <c r="AQ1171">
        <v>0</v>
      </c>
      <c r="AR1171">
        <v>0</v>
      </c>
      <c r="AT1171">
        <v>0</v>
      </c>
      <c r="AU1171">
        <v>0</v>
      </c>
      <c r="AW1171">
        <v>0</v>
      </c>
      <c r="AX1171">
        <v>0</v>
      </c>
      <c r="AY1171">
        <v>140</v>
      </c>
      <c r="BC1171" t="str">
        <f t="shared" si="170"/>
        <v>9788997946006</v>
      </c>
      <c r="BE1171" t="str">
        <f t="shared" si="169"/>
        <v>판타지 웹소설 &gt; 현대 판타지</v>
      </c>
    </row>
    <row r="1172" spans="1:57" x14ac:dyDescent="0.3">
      <c r="A1172">
        <v>1525004030</v>
      </c>
      <c r="B1172">
        <v>1525004391</v>
      </c>
      <c r="C1172" t="str">
        <f>T("회귀의 전설 363화")</f>
        <v>회귀의 전설 363화</v>
      </c>
      <c r="D1172" t="str">
        <f>T("363")</f>
        <v>363</v>
      </c>
      <c r="E1172" t="str">
        <f t="shared" si="167"/>
        <v>김광수</v>
      </c>
      <c r="H1172" t="str">
        <f t="shared" si="163"/>
        <v>스토리위즈</v>
      </c>
      <c r="I1172" t="str">
        <f t="shared" si="168"/>
        <v>회귀의 전설</v>
      </c>
      <c r="J1172">
        <v>100</v>
      </c>
      <c r="K1172">
        <v>200</v>
      </c>
      <c r="L1172">
        <v>2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200</v>
      </c>
      <c r="AH1172">
        <v>2</v>
      </c>
      <c r="AI1172">
        <v>0</v>
      </c>
      <c r="AJ1172">
        <v>0</v>
      </c>
      <c r="AK1172">
        <v>200</v>
      </c>
      <c r="AL1172">
        <v>0</v>
      </c>
      <c r="AM1172">
        <v>0</v>
      </c>
      <c r="AN1172">
        <v>0</v>
      </c>
      <c r="AO1172">
        <v>0</v>
      </c>
      <c r="AQ1172">
        <v>0</v>
      </c>
      <c r="AR1172">
        <v>0</v>
      </c>
      <c r="AT1172">
        <v>0</v>
      </c>
      <c r="AU1172">
        <v>0</v>
      </c>
      <c r="AW1172">
        <v>0</v>
      </c>
      <c r="AX1172">
        <v>0</v>
      </c>
      <c r="AY1172">
        <v>140</v>
      </c>
      <c r="BC1172" t="str">
        <f t="shared" si="170"/>
        <v>9788997946006</v>
      </c>
      <c r="BE1172" t="str">
        <f t="shared" si="169"/>
        <v>판타지 웹소설 &gt; 현대 판타지</v>
      </c>
    </row>
    <row r="1173" spans="1:57" x14ac:dyDescent="0.3">
      <c r="A1173">
        <v>1525004030</v>
      </c>
      <c r="B1173">
        <v>1525004448</v>
      </c>
      <c r="C1173" t="str">
        <f>T("회귀의 전설 432화")</f>
        <v>회귀의 전설 432화</v>
      </c>
      <c r="D1173" t="str">
        <f>T("432")</f>
        <v>432</v>
      </c>
      <c r="E1173" t="str">
        <f t="shared" si="167"/>
        <v>김광수</v>
      </c>
      <c r="H1173" t="str">
        <f t="shared" si="163"/>
        <v>스토리위즈</v>
      </c>
      <c r="I1173" t="str">
        <f t="shared" si="168"/>
        <v>회귀의 전설</v>
      </c>
      <c r="J1173">
        <v>100</v>
      </c>
      <c r="K1173">
        <v>200</v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200</v>
      </c>
      <c r="AH1173">
        <v>2</v>
      </c>
      <c r="AI1173">
        <v>0</v>
      </c>
      <c r="AJ1173">
        <v>0</v>
      </c>
      <c r="AK1173">
        <v>200</v>
      </c>
      <c r="AL1173">
        <v>0</v>
      </c>
      <c r="AM1173">
        <v>0</v>
      </c>
      <c r="AN1173">
        <v>0</v>
      </c>
      <c r="AO1173">
        <v>0</v>
      </c>
      <c r="AQ1173">
        <v>0</v>
      </c>
      <c r="AR1173">
        <v>0</v>
      </c>
      <c r="AT1173">
        <v>0</v>
      </c>
      <c r="AU1173">
        <v>0</v>
      </c>
      <c r="AW1173">
        <v>0</v>
      </c>
      <c r="AX1173">
        <v>0</v>
      </c>
      <c r="AY1173">
        <v>140</v>
      </c>
      <c r="BC1173" t="str">
        <f t="shared" si="170"/>
        <v>9788997946006</v>
      </c>
      <c r="BE1173" t="str">
        <f t="shared" si="169"/>
        <v>판타지 웹소설 &gt; 현대 판타지</v>
      </c>
    </row>
    <row r="1174" spans="1:57" x14ac:dyDescent="0.3">
      <c r="A1174">
        <v>1525004030</v>
      </c>
      <c r="B1174">
        <v>1525004066</v>
      </c>
      <c r="C1174" t="str">
        <f>T("회귀의 전설 37화")</f>
        <v>회귀의 전설 37화</v>
      </c>
      <c r="D1174" t="str">
        <f>T("37")</f>
        <v>37</v>
      </c>
      <c r="E1174" t="str">
        <f t="shared" si="167"/>
        <v>김광수</v>
      </c>
      <c r="H1174" t="str">
        <f t="shared" si="163"/>
        <v>스토리위즈</v>
      </c>
      <c r="I1174" t="str">
        <f t="shared" si="168"/>
        <v>회귀의 전설</v>
      </c>
      <c r="J1174">
        <v>100</v>
      </c>
      <c r="K1174">
        <v>200</v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200</v>
      </c>
      <c r="AH1174">
        <v>2</v>
      </c>
      <c r="AI1174">
        <v>0</v>
      </c>
      <c r="AJ1174">
        <v>0</v>
      </c>
      <c r="AK1174">
        <v>100</v>
      </c>
      <c r="AL1174">
        <v>0</v>
      </c>
      <c r="AM1174">
        <v>120</v>
      </c>
      <c r="AN1174">
        <v>-36</v>
      </c>
      <c r="AO1174">
        <v>0</v>
      </c>
      <c r="AQ1174">
        <v>0</v>
      </c>
      <c r="AR1174">
        <v>0</v>
      </c>
      <c r="AS1174">
        <v>120</v>
      </c>
      <c r="AT1174">
        <v>-36</v>
      </c>
      <c r="AU1174">
        <v>0</v>
      </c>
      <c r="AW1174">
        <v>0</v>
      </c>
      <c r="AX1174">
        <v>0</v>
      </c>
      <c r="AY1174">
        <v>128.80000000000001</v>
      </c>
      <c r="BC1174" t="str">
        <f t="shared" si="170"/>
        <v>9788997946006</v>
      </c>
      <c r="BE1174" t="str">
        <f t="shared" si="169"/>
        <v>판타지 웹소설 &gt; 현대 판타지</v>
      </c>
    </row>
    <row r="1175" spans="1:57" x14ac:dyDescent="0.3">
      <c r="A1175">
        <v>1525004030</v>
      </c>
      <c r="B1175">
        <v>1525006719</v>
      </c>
      <c r="C1175" t="str">
        <f>T("회귀의 전설 2부 602화")</f>
        <v>회귀의 전설 2부 602화</v>
      </c>
      <c r="D1175" t="str">
        <f>T("602")</f>
        <v>602</v>
      </c>
      <c r="E1175" t="str">
        <f t="shared" si="167"/>
        <v>김광수</v>
      </c>
      <c r="H1175" t="str">
        <f t="shared" si="163"/>
        <v>스토리위즈</v>
      </c>
      <c r="I1175" t="str">
        <f t="shared" si="168"/>
        <v>회귀의 전설</v>
      </c>
      <c r="J1175">
        <v>100</v>
      </c>
      <c r="K1175">
        <v>200</v>
      </c>
      <c r="L1175">
        <v>2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200</v>
      </c>
      <c r="AH1175">
        <v>2</v>
      </c>
      <c r="AI1175">
        <v>0</v>
      </c>
      <c r="AJ1175">
        <v>0</v>
      </c>
      <c r="AK1175">
        <v>100</v>
      </c>
      <c r="AL1175">
        <v>0</v>
      </c>
      <c r="AM1175">
        <v>120</v>
      </c>
      <c r="AN1175">
        <v>-12</v>
      </c>
      <c r="AO1175">
        <v>0</v>
      </c>
      <c r="AQ1175">
        <v>0</v>
      </c>
      <c r="AR1175">
        <v>0</v>
      </c>
      <c r="AS1175">
        <v>120</v>
      </c>
      <c r="AT1175">
        <v>-12</v>
      </c>
      <c r="AU1175">
        <v>0</v>
      </c>
      <c r="AW1175">
        <v>0</v>
      </c>
      <c r="AX1175">
        <v>0</v>
      </c>
      <c r="AY1175">
        <v>145.6</v>
      </c>
      <c r="BC1175" t="str">
        <f>T("9791191102086")</f>
        <v>9791191102086</v>
      </c>
      <c r="BE1175" t="str">
        <f t="shared" si="169"/>
        <v>판타지 웹소설 &gt; 현대 판타지</v>
      </c>
    </row>
    <row r="1176" spans="1:57" x14ac:dyDescent="0.3">
      <c r="A1176">
        <v>1525004030</v>
      </c>
      <c r="B1176">
        <v>1525004310</v>
      </c>
      <c r="C1176" t="str">
        <f>T("회귀의 전설 281화")</f>
        <v>회귀의 전설 281화</v>
      </c>
      <c r="D1176" t="str">
        <f>T("281")</f>
        <v>281</v>
      </c>
      <c r="E1176" t="str">
        <f t="shared" si="167"/>
        <v>김광수</v>
      </c>
      <c r="H1176" t="str">
        <f t="shared" si="163"/>
        <v>스토리위즈</v>
      </c>
      <c r="I1176" t="str">
        <f t="shared" si="168"/>
        <v>회귀의 전설</v>
      </c>
      <c r="J1176">
        <v>100</v>
      </c>
      <c r="K1176">
        <v>200</v>
      </c>
      <c r="L1176">
        <v>2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200</v>
      </c>
      <c r="AH1176">
        <v>2</v>
      </c>
      <c r="AI1176">
        <v>0</v>
      </c>
      <c r="AJ1176">
        <v>0</v>
      </c>
      <c r="AK1176">
        <v>200</v>
      </c>
      <c r="AL1176">
        <v>0</v>
      </c>
      <c r="AM1176">
        <v>0</v>
      </c>
      <c r="AN1176">
        <v>0</v>
      </c>
      <c r="AO1176">
        <v>0</v>
      </c>
      <c r="AQ1176">
        <v>0</v>
      </c>
      <c r="AR1176">
        <v>0</v>
      </c>
      <c r="AT1176">
        <v>0</v>
      </c>
      <c r="AU1176">
        <v>0</v>
      </c>
      <c r="AW1176">
        <v>0</v>
      </c>
      <c r="AX1176">
        <v>0</v>
      </c>
      <c r="AY1176">
        <v>140</v>
      </c>
      <c r="BC1176" t="str">
        <f>T("9788997946006")</f>
        <v>9788997946006</v>
      </c>
      <c r="BE1176" t="str">
        <f t="shared" si="169"/>
        <v>판타지 웹소설 &gt; 현대 판타지</v>
      </c>
    </row>
    <row r="1177" spans="1:57" x14ac:dyDescent="0.3">
      <c r="A1177">
        <v>1525004030</v>
      </c>
      <c r="B1177">
        <v>1525006678</v>
      </c>
      <c r="C1177" t="str">
        <f>T("회귀의 전설 2부 561화")</f>
        <v>회귀의 전설 2부 561화</v>
      </c>
      <c r="D1177" t="str">
        <f>T("561")</f>
        <v>561</v>
      </c>
      <c r="E1177" t="str">
        <f t="shared" si="167"/>
        <v>김광수</v>
      </c>
      <c r="H1177" t="str">
        <f t="shared" si="163"/>
        <v>스토리위즈</v>
      </c>
      <c r="I1177" t="str">
        <f t="shared" si="168"/>
        <v>회귀의 전설</v>
      </c>
      <c r="J1177">
        <v>100</v>
      </c>
      <c r="K1177">
        <v>200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200</v>
      </c>
      <c r="AH1177">
        <v>2</v>
      </c>
      <c r="AI1177">
        <v>0</v>
      </c>
      <c r="AJ1177">
        <v>0</v>
      </c>
      <c r="AK1177">
        <v>200</v>
      </c>
      <c r="AL1177">
        <v>0</v>
      </c>
      <c r="AM1177">
        <v>0</v>
      </c>
      <c r="AN1177">
        <v>0</v>
      </c>
      <c r="AO1177">
        <v>0</v>
      </c>
      <c r="AQ1177">
        <v>0</v>
      </c>
      <c r="AR1177">
        <v>0</v>
      </c>
      <c r="AT1177">
        <v>0</v>
      </c>
      <c r="AU1177">
        <v>0</v>
      </c>
      <c r="AW1177">
        <v>0</v>
      </c>
      <c r="AX1177">
        <v>0</v>
      </c>
      <c r="AY1177">
        <v>140</v>
      </c>
      <c r="BC1177" t="str">
        <f>T("9791191102086")</f>
        <v>9791191102086</v>
      </c>
      <c r="BE1177" t="str">
        <f t="shared" si="169"/>
        <v>판타지 웹소설 &gt; 현대 판타지</v>
      </c>
    </row>
    <row r="1178" spans="1:57" x14ac:dyDescent="0.3">
      <c r="A1178">
        <v>1525004030</v>
      </c>
      <c r="B1178">
        <v>1525004098</v>
      </c>
      <c r="C1178" t="str">
        <f>T("회귀의 전설 69화")</f>
        <v>회귀의 전설 69화</v>
      </c>
      <c r="D1178" t="str">
        <f>T("69")</f>
        <v>69</v>
      </c>
      <c r="E1178" t="str">
        <f t="shared" si="167"/>
        <v>김광수</v>
      </c>
      <c r="H1178" t="str">
        <f t="shared" si="163"/>
        <v>스토리위즈</v>
      </c>
      <c r="I1178" t="str">
        <f t="shared" si="168"/>
        <v>회귀의 전설</v>
      </c>
      <c r="J1178">
        <v>100</v>
      </c>
      <c r="K1178">
        <v>200</v>
      </c>
      <c r="L1178">
        <v>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200</v>
      </c>
      <c r="AH1178">
        <v>2</v>
      </c>
      <c r="AI1178">
        <v>0</v>
      </c>
      <c r="AJ1178">
        <v>0</v>
      </c>
      <c r="AK1178">
        <v>100</v>
      </c>
      <c r="AL1178">
        <v>0</v>
      </c>
      <c r="AM1178">
        <v>120</v>
      </c>
      <c r="AN1178">
        <v>-36</v>
      </c>
      <c r="AO1178">
        <v>0</v>
      </c>
      <c r="AQ1178">
        <v>0</v>
      </c>
      <c r="AR1178">
        <v>0</v>
      </c>
      <c r="AS1178">
        <v>120</v>
      </c>
      <c r="AT1178">
        <v>-36</v>
      </c>
      <c r="AU1178">
        <v>0</v>
      </c>
      <c r="AW1178">
        <v>0</v>
      </c>
      <c r="AX1178">
        <v>0</v>
      </c>
      <c r="AY1178">
        <v>128.80000000000001</v>
      </c>
      <c r="BC1178" t="str">
        <f>T("9788997946006")</f>
        <v>9788997946006</v>
      </c>
      <c r="BE1178" t="str">
        <f t="shared" si="169"/>
        <v>판타지 웹소설 &gt; 현대 판타지</v>
      </c>
    </row>
    <row r="1179" spans="1:57" x14ac:dyDescent="0.3">
      <c r="A1179">
        <v>1525004030</v>
      </c>
      <c r="B1179">
        <v>1525006833</v>
      </c>
      <c r="C1179" t="str">
        <f>T("회귀의 전설 2부 716화")</f>
        <v>회귀의 전설 2부 716화</v>
      </c>
      <c r="D1179" t="str">
        <f>T("716")</f>
        <v>716</v>
      </c>
      <c r="E1179" t="str">
        <f t="shared" si="167"/>
        <v>김광수</v>
      </c>
      <c r="H1179" t="str">
        <f t="shared" si="163"/>
        <v>스토리위즈</v>
      </c>
      <c r="I1179" t="str">
        <f t="shared" si="168"/>
        <v>회귀의 전설</v>
      </c>
      <c r="J1179">
        <v>100</v>
      </c>
      <c r="K1179">
        <v>200</v>
      </c>
      <c r="L1179">
        <v>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200</v>
      </c>
      <c r="AH1179">
        <v>2</v>
      </c>
      <c r="AI1179">
        <v>0</v>
      </c>
      <c r="AJ1179">
        <v>0</v>
      </c>
      <c r="AK1179">
        <v>100</v>
      </c>
      <c r="AL1179">
        <v>0</v>
      </c>
      <c r="AM1179">
        <v>120</v>
      </c>
      <c r="AN1179">
        <v>-12</v>
      </c>
      <c r="AO1179">
        <v>0</v>
      </c>
      <c r="AQ1179">
        <v>0</v>
      </c>
      <c r="AR1179">
        <v>0</v>
      </c>
      <c r="AS1179">
        <v>120</v>
      </c>
      <c r="AT1179">
        <v>-12</v>
      </c>
      <c r="AU1179">
        <v>0</v>
      </c>
      <c r="AW1179">
        <v>0</v>
      </c>
      <c r="AX1179">
        <v>0</v>
      </c>
      <c r="AY1179">
        <v>145.6</v>
      </c>
      <c r="BC1179" t="str">
        <f>T("9791191102086")</f>
        <v>9791191102086</v>
      </c>
      <c r="BE1179" t="str">
        <f t="shared" si="169"/>
        <v>판타지 웹소설 &gt; 현대 판타지</v>
      </c>
    </row>
    <row r="1180" spans="1:57" x14ac:dyDescent="0.3">
      <c r="A1180">
        <v>1525004030</v>
      </c>
      <c r="B1180">
        <v>1525006792</v>
      </c>
      <c r="C1180" t="str">
        <f>T("회귀의 전설 2부 675화")</f>
        <v>회귀의 전설 2부 675화</v>
      </c>
      <c r="D1180" t="str">
        <f>T("675")</f>
        <v>675</v>
      </c>
      <c r="E1180" t="str">
        <f t="shared" si="167"/>
        <v>김광수</v>
      </c>
      <c r="H1180" t="str">
        <f t="shared" si="163"/>
        <v>스토리위즈</v>
      </c>
      <c r="I1180" t="str">
        <f t="shared" si="168"/>
        <v>회귀의 전설</v>
      </c>
      <c r="J1180">
        <v>100</v>
      </c>
      <c r="K1180">
        <v>200</v>
      </c>
      <c r="L1180">
        <v>2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200</v>
      </c>
      <c r="AH1180">
        <v>2</v>
      </c>
      <c r="AI1180">
        <v>0</v>
      </c>
      <c r="AJ1180">
        <v>0</v>
      </c>
      <c r="AK1180">
        <v>100</v>
      </c>
      <c r="AL1180">
        <v>0</v>
      </c>
      <c r="AM1180">
        <v>120</v>
      </c>
      <c r="AN1180">
        <v>-12</v>
      </c>
      <c r="AO1180">
        <v>0</v>
      </c>
      <c r="AQ1180">
        <v>0</v>
      </c>
      <c r="AR1180">
        <v>0</v>
      </c>
      <c r="AS1180">
        <v>120</v>
      </c>
      <c r="AT1180">
        <v>-12</v>
      </c>
      <c r="AU1180">
        <v>0</v>
      </c>
      <c r="AW1180">
        <v>0</v>
      </c>
      <c r="AX1180">
        <v>0</v>
      </c>
      <c r="AY1180">
        <v>145.6</v>
      </c>
      <c r="BC1180" t="str">
        <f>T("9791191102086")</f>
        <v>9791191102086</v>
      </c>
      <c r="BE1180" t="str">
        <f t="shared" si="169"/>
        <v>판타지 웹소설 &gt; 현대 판타지</v>
      </c>
    </row>
    <row r="1181" spans="1:57" x14ac:dyDescent="0.3">
      <c r="A1181">
        <v>1525004030</v>
      </c>
      <c r="B1181">
        <v>1525004299</v>
      </c>
      <c r="C1181" t="str">
        <f>T("회귀의 전설 270화")</f>
        <v>회귀의 전설 270화</v>
      </c>
      <c r="D1181" t="str">
        <f>T("270")</f>
        <v>270</v>
      </c>
      <c r="E1181" t="str">
        <f t="shared" si="167"/>
        <v>김광수</v>
      </c>
      <c r="H1181" t="str">
        <f t="shared" si="163"/>
        <v>스토리위즈</v>
      </c>
      <c r="I1181" t="str">
        <f t="shared" si="168"/>
        <v>회귀의 전설</v>
      </c>
      <c r="J1181">
        <v>100</v>
      </c>
      <c r="K1181">
        <v>200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200</v>
      </c>
      <c r="AH1181">
        <v>2</v>
      </c>
      <c r="AI1181">
        <v>0</v>
      </c>
      <c r="AJ1181">
        <v>0</v>
      </c>
      <c r="AK1181">
        <v>200</v>
      </c>
      <c r="AL1181">
        <v>0</v>
      </c>
      <c r="AM1181">
        <v>0</v>
      </c>
      <c r="AN1181">
        <v>0</v>
      </c>
      <c r="AO1181">
        <v>0</v>
      </c>
      <c r="AQ1181">
        <v>0</v>
      </c>
      <c r="AR1181">
        <v>0</v>
      </c>
      <c r="AT1181">
        <v>0</v>
      </c>
      <c r="AU1181">
        <v>0</v>
      </c>
      <c r="AW1181">
        <v>0</v>
      </c>
      <c r="AX1181">
        <v>0</v>
      </c>
      <c r="AY1181">
        <v>140</v>
      </c>
      <c r="BC1181" t="str">
        <f>T("9788997946006")</f>
        <v>9788997946006</v>
      </c>
      <c r="BE1181" t="str">
        <f t="shared" si="169"/>
        <v>판타지 웹소설 &gt; 현대 판타지</v>
      </c>
    </row>
    <row r="1182" spans="1:57" x14ac:dyDescent="0.3">
      <c r="A1182">
        <v>1525004030</v>
      </c>
      <c r="B1182">
        <v>1525006667</v>
      </c>
      <c r="C1182" t="str">
        <f>T("회귀의 전설 2부 550화")</f>
        <v>회귀의 전설 2부 550화</v>
      </c>
      <c r="D1182" t="str">
        <f>T("550")</f>
        <v>550</v>
      </c>
      <c r="E1182" t="str">
        <f t="shared" si="167"/>
        <v>김광수</v>
      </c>
      <c r="H1182" t="str">
        <f t="shared" si="163"/>
        <v>스토리위즈</v>
      </c>
      <c r="I1182" t="str">
        <f t="shared" si="168"/>
        <v>회귀의 전설</v>
      </c>
      <c r="J1182">
        <v>100</v>
      </c>
      <c r="K1182">
        <v>200</v>
      </c>
      <c r="L1182">
        <v>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200</v>
      </c>
      <c r="AH1182">
        <v>2</v>
      </c>
      <c r="AI1182">
        <v>0</v>
      </c>
      <c r="AJ1182">
        <v>0</v>
      </c>
      <c r="AK1182">
        <v>200</v>
      </c>
      <c r="AL1182">
        <v>0</v>
      </c>
      <c r="AM1182">
        <v>0</v>
      </c>
      <c r="AN1182">
        <v>0</v>
      </c>
      <c r="AO1182">
        <v>0</v>
      </c>
      <c r="AQ1182">
        <v>0</v>
      </c>
      <c r="AR1182">
        <v>0</v>
      </c>
      <c r="AT1182">
        <v>0</v>
      </c>
      <c r="AU1182">
        <v>0</v>
      </c>
      <c r="AW1182">
        <v>0</v>
      </c>
      <c r="AX1182">
        <v>0</v>
      </c>
      <c r="AY1182">
        <v>140</v>
      </c>
      <c r="BC1182" t="str">
        <f>T("9791191102086")</f>
        <v>9791191102086</v>
      </c>
      <c r="BE1182" t="str">
        <f t="shared" si="169"/>
        <v>판타지 웹소설 &gt; 현대 판타지</v>
      </c>
    </row>
    <row r="1183" spans="1:57" x14ac:dyDescent="0.3">
      <c r="A1183">
        <v>1525004030</v>
      </c>
      <c r="B1183">
        <v>1525004087</v>
      </c>
      <c r="C1183" t="str">
        <f>T("회귀의 전설 58화")</f>
        <v>회귀의 전설 58화</v>
      </c>
      <c r="D1183" t="str">
        <f>T("58")</f>
        <v>58</v>
      </c>
      <c r="E1183" t="str">
        <f t="shared" si="167"/>
        <v>김광수</v>
      </c>
      <c r="H1183" t="str">
        <f t="shared" si="163"/>
        <v>스토리위즈</v>
      </c>
      <c r="I1183" t="str">
        <f t="shared" si="168"/>
        <v>회귀의 전설</v>
      </c>
      <c r="J1183">
        <v>100</v>
      </c>
      <c r="K1183">
        <v>200</v>
      </c>
      <c r="L1183">
        <v>2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200</v>
      </c>
      <c r="AH1183">
        <v>2</v>
      </c>
      <c r="AI1183">
        <v>0</v>
      </c>
      <c r="AJ1183">
        <v>0</v>
      </c>
      <c r="AK1183">
        <v>100</v>
      </c>
      <c r="AL1183">
        <v>0</v>
      </c>
      <c r="AM1183">
        <v>120</v>
      </c>
      <c r="AN1183">
        <v>-36</v>
      </c>
      <c r="AO1183">
        <v>0</v>
      </c>
      <c r="AQ1183">
        <v>0</v>
      </c>
      <c r="AR1183">
        <v>0</v>
      </c>
      <c r="AS1183">
        <v>120</v>
      </c>
      <c r="AT1183">
        <v>-36</v>
      </c>
      <c r="AU1183">
        <v>0</v>
      </c>
      <c r="AW1183">
        <v>0</v>
      </c>
      <c r="AX1183">
        <v>0</v>
      </c>
      <c r="AY1183">
        <v>128.80000000000001</v>
      </c>
      <c r="BC1183" t="str">
        <f>T("9788997946006")</f>
        <v>9788997946006</v>
      </c>
      <c r="BE1183" t="str">
        <f t="shared" si="169"/>
        <v>판타지 웹소설 &gt; 현대 판타지</v>
      </c>
    </row>
    <row r="1184" spans="1:57" x14ac:dyDescent="0.3">
      <c r="A1184">
        <v>1525004030</v>
      </c>
      <c r="B1184">
        <v>1525006781</v>
      </c>
      <c r="C1184" t="str">
        <f>T("회귀의 전설 2부 664화")</f>
        <v>회귀의 전설 2부 664화</v>
      </c>
      <c r="D1184" t="str">
        <f>T("664")</f>
        <v>664</v>
      </c>
      <c r="E1184" t="str">
        <f t="shared" si="167"/>
        <v>김광수</v>
      </c>
      <c r="H1184" t="str">
        <f t="shared" si="163"/>
        <v>스토리위즈</v>
      </c>
      <c r="I1184" t="str">
        <f t="shared" si="168"/>
        <v>회귀의 전설</v>
      </c>
      <c r="J1184">
        <v>100</v>
      </c>
      <c r="K1184">
        <v>200</v>
      </c>
      <c r="L1184">
        <v>2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200</v>
      </c>
      <c r="AH1184">
        <v>2</v>
      </c>
      <c r="AI1184">
        <v>0</v>
      </c>
      <c r="AJ1184">
        <v>0</v>
      </c>
      <c r="AK1184">
        <v>100</v>
      </c>
      <c r="AL1184">
        <v>0</v>
      </c>
      <c r="AM1184">
        <v>120</v>
      </c>
      <c r="AN1184">
        <v>-12</v>
      </c>
      <c r="AO1184">
        <v>0</v>
      </c>
      <c r="AQ1184">
        <v>0</v>
      </c>
      <c r="AR1184">
        <v>0</v>
      </c>
      <c r="AS1184">
        <v>120</v>
      </c>
      <c r="AT1184">
        <v>-12</v>
      </c>
      <c r="AU1184">
        <v>0</v>
      </c>
      <c r="AW1184">
        <v>0</v>
      </c>
      <c r="AX1184">
        <v>0</v>
      </c>
      <c r="AY1184">
        <v>145.6</v>
      </c>
      <c r="BC1184" t="str">
        <f>T("9791191102086")</f>
        <v>9791191102086</v>
      </c>
      <c r="BE1184" t="str">
        <f t="shared" si="169"/>
        <v>판타지 웹소설 &gt; 현대 판타지</v>
      </c>
    </row>
    <row r="1185" spans="1:57" x14ac:dyDescent="0.3">
      <c r="A1185">
        <v>1525004030</v>
      </c>
      <c r="B1185">
        <v>1525004331</v>
      </c>
      <c r="C1185" t="str">
        <f>T("회귀의 전설 302화")</f>
        <v>회귀의 전설 302화</v>
      </c>
      <c r="D1185" t="str">
        <f>T("302")</f>
        <v>302</v>
      </c>
      <c r="E1185" t="str">
        <f t="shared" si="167"/>
        <v>김광수</v>
      </c>
      <c r="H1185" t="str">
        <f t="shared" si="163"/>
        <v>스토리위즈</v>
      </c>
      <c r="I1185" t="str">
        <f t="shared" si="168"/>
        <v>회귀의 전설</v>
      </c>
      <c r="J1185">
        <v>100</v>
      </c>
      <c r="K1185">
        <v>200</v>
      </c>
      <c r="L1185">
        <v>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200</v>
      </c>
      <c r="AH1185">
        <v>2</v>
      </c>
      <c r="AI1185">
        <v>0</v>
      </c>
      <c r="AJ1185">
        <v>0</v>
      </c>
      <c r="AK1185">
        <v>200</v>
      </c>
      <c r="AL1185">
        <v>0</v>
      </c>
      <c r="AM1185">
        <v>0</v>
      </c>
      <c r="AN1185">
        <v>0</v>
      </c>
      <c r="AO1185">
        <v>0</v>
      </c>
      <c r="AQ1185">
        <v>0</v>
      </c>
      <c r="AR1185">
        <v>0</v>
      </c>
      <c r="AT1185">
        <v>0</v>
      </c>
      <c r="AU1185">
        <v>0</v>
      </c>
      <c r="AW1185">
        <v>0</v>
      </c>
      <c r="AX1185">
        <v>0</v>
      </c>
      <c r="AY1185">
        <v>140</v>
      </c>
      <c r="BC1185" t="str">
        <f>T("9788997946006")</f>
        <v>9788997946006</v>
      </c>
      <c r="BE1185" t="str">
        <f t="shared" si="169"/>
        <v>판타지 웹소설 &gt; 현대 판타지</v>
      </c>
    </row>
    <row r="1186" spans="1:57" x14ac:dyDescent="0.3">
      <c r="A1186">
        <v>1525004030</v>
      </c>
      <c r="B1186">
        <v>1525004242</v>
      </c>
      <c r="C1186" t="str">
        <f>T("회귀의 전설 213화")</f>
        <v>회귀의 전설 213화</v>
      </c>
      <c r="D1186" t="str">
        <f>T("213")</f>
        <v>213</v>
      </c>
      <c r="E1186" t="str">
        <f t="shared" si="167"/>
        <v>김광수</v>
      </c>
      <c r="H1186" t="str">
        <f t="shared" si="163"/>
        <v>스토리위즈</v>
      </c>
      <c r="I1186" t="str">
        <f t="shared" si="168"/>
        <v>회귀의 전설</v>
      </c>
      <c r="J1186">
        <v>100</v>
      </c>
      <c r="K1186">
        <v>200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200</v>
      </c>
      <c r="AH1186">
        <v>2</v>
      </c>
      <c r="AI1186">
        <v>0</v>
      </c>
      <c r="AJ1186">
        <v>0</v>
      </c>
      <c r="AK1186">
        <v>200</v>
      </c>
      <c r="AL1186">
        <v>0</v>
      </c>
      <c r="AM1186">
        <v>0</v>
      </c>
      <c r="AN1186">
        <v>0</v>
      </c>
      <c r="AO1186">
        <v>0</v>
      </c>
      <c r="AQ1186">
        <v>0</v>
      </c>
      <c r="AR1186">
        <v>0</v>
      </c>
      <c r="AT1186">
        <v>0</v>
      </c>
      <c r="AU1186">
        <v>0</v>
      </c>
      <c r="AW1186">
        <v>0</v>
      </c>
      <c r="AX1186">
        <v>0</v>
      </c>
      <c r="AY1186">
        <v>140</v>
      </c>
      <c r="BC1186" t="str">
        <f>T("9788997946006")</f>
        <v>9788997946006</v>
      </c>
      <c r="BE1186" t="str">
        <f t="shared" si="169"/>
        <v>판타지 웹소설 &gt; 현대 판타지</v>
      </c>
    </row>
    <row r="1187" spans="1:57" x14ac:dyDescent="0.3">
      <c r="A1187">
        <v>1525004030</v>
      </c>
      <c r="B1187">
        <v>1525006699</v>
      </c>
      <c r="C1187" t="str">
        <f>T("회귀의 전설 2부 582화")</f>
        <v>회귀의 전설 2부 582화</v>
      </c>
      <c r="D1187" t="str">
        <f>T("582")</f>
        <v>582</v>
      </c>
      <c r="E1187" t="str">
        <f t="shared" si="167"/>
        <v>김광수</v>
      </c>
      <c r="H1187" t="str">
        <f t="shared" si="163"/>
        <v>스토리위즈</v>
      </c>
      <c r="I1187" t="str">
        <f t="shared" si="168"/>
        <v>회귀의 전설</v>
      </c>
      <c r="J1187">
        <v>100</v>
      </c>
      <c r="K1187">
        <v>200</v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200</v>
      </c>
      <c r="AH1187">
        <v>2</v>
      </c>
      <c r="AI1187">
        <v>0</v>
      </c>
      <c r="AJ1187">
        <v>0</v>
      </c>
      <c r="AK1187">
        <v>200</v>
      </c>
      <c r="AL1187">
        <v>0</v>
      </c>
      <c r="AM1187">
        <v>0</v>
      </c>
      <c r="AN1187">
        <v>0</v>
      </c>
      <c r="AO1187">
        <v>0</v>
      </c>
      <c r="AQ1187">
        <v>0</v>
      </c>
      <c r="AR1187">
        <v>0</v>
      </c>
      <c r="AT1187">
        <v>0</v>
      </c>
      <c r="AU1187">
        <v>0</v>
      </c>
      <c r="AW1187">
        <v>0</v>
      </c>
      <c r="AX1187">
        <v>0</v>
      </c>
      <c r="AY1187">
        <v>140</v>
      </c>
      <c r="BC1187" t="str">
        <f>T("9791191102086")</f>
        <v>9791191102086</v>
      </c>
      <c r="BE1187" t="str">
        <f t="shared" si="169"/>
        <v>판타지 웹소설 &gt; 현대 판타지</v>
      </c>
    </row>
    <row r="1188" spans="1:57" x14ac:dyDescent="0.3">
      <c r="A1188">
        <v>1525004030</v>
      </c>
      <c r="B1188">
        <v>1525006854</v>
      </c>
      <c r="C1188" t="str">
        <f>T("회귀의 전설 2부 737화")</f>
        <v>회귀의 전설 2부 737화</v>
      </c>
      <c r="D1188" t="str">
        <f>T("737")</f>
        <v>737</v>
      </c>
      <c r="E1188" t="str">
        <f t="shared" si="167"/>
        <v>김광수</v>
      </c>
      <c r="H1188" t="str">
        <f t="shared" si="163"/>
        <v>스토리위즈</v>
      </c>
      <c r="I1188" t="str">
        <f t="shared" si="168"/>
        <v>회귀의 전설</v>
      </c>
      <c r="J1188">
        <v>100</v>
      </c>
      <c r="K1188">
        <v>200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200</v>
      </c>
      <c r="AH1188">
        <v>2</v>
      </c>
      <c r="AI1188">
        <v>0</v>
      </c>
      <c r="AJ1188">
        <v>0</v>
      </c>
      <c r="AK1188">
        <v>100</v>
      </c>
      <c r="AL1188">
        <v>0</v>
      </c>
      <c r="AM1188">
        <v>120</v>
      </c>
      <c r="AN1188">
        <v>-12</v>
      </c>
      <c r="AO1188">
        <v>0</v>
      </c>
      <c r="AQ1188">
        <v>0</v>
      </c>
      <c r="AR1188">
        <v>0</v>
      </c>
      <c r="AS1188">
        <v>120</v>
      </c>
      <c r="AT1188">
        <v>-12</v>
      </c>
      <c r="AU1188">
        <v>0</v>
      </c>
      <c r="AW1188">
        <v>0</v>
      </c>
      <c r="AX1188">
        <v>0</v>
      </c>
      <c r="AY1188">
        <v>145.6</v>
      </c>
      <c r="BC1188" t="str">
        <f>T("9791191102086")</f>
        <v>9791191102086</v>
      </c>
      <c r="BE1188" t="str">
        <f t="shared" si="169"/>
        <v>판타지 웹소설 &gt; 현대 판타지</v>
      </c>
    </row>
    <row r="1189" spans="1:57" x14ac:dyDescent="0.3">
      <c r="A1189">
        <v>1525004030</v>
      </c>
      <c r="B1189">
        <v>1525006813</v>
      </c>
      <c r="C1189" t="str">
        <f>T("회귀의 전설 2부 696화")</f>
        <v>회귀의 전설 2부 696화</v>
      </c>
      <c r="D1189" t="str">
        <f>T("696")</f>
        <v>696</v>
      </c>
      <c r="E1189" t="str">
        <f t="shared" si="167"/>
        <v>김광수</v>
      </c>
      <c r="H1189" t="str">
        <f t="shared" si="163"/>
        <v>스토리위즈</v>
      </c>
      <c r="I1189" t="str">
        <f t="shared" si="168"/>
        <v>회귀의 전설</v>
      </c>
      <c r="J1189">
        <v>100</v>
      </c>
      <c r="K1189">
        <v>200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200</v>
      </c>
      <c r="AH1189">
        <v>2</v>
      </c>
      <c r="AI1189">
        <v>0</v>
      </c>
      <c r="AJ1189">
        <v>0</v>
      </c>
      <c r="AK1189">
        <v>100</v>
      </c>
      <c r="AL1189">
        <v>0</v>
      </c>
      <c r="AM1189">
        <v>120</v>
      </c>
      <c r="AN1189">
        <v>-12</v>
      </c>
      <c r="AO1189">
        <v>0</v>
      </c>
      <c r="AQ1189">
        <v>0</v>
      </c>
      <c r="AR1189">
        <v>0</v>
      </c>
      <c r="AS1189">
        <v>120</v>
      </c>
      <c r="AT1189">
        <v>-12</v>
      </c>
      <c r="AU1189">
        <v>0</v>
      </c>
      <c r="AW1189">
        <v>0</v>
      </c>
      <c r="AX1189">
        <v>0</v>
      </c>
      <c r="AY1189">
        <v>145.6</v>
      </c>
      <c r="BC1189" t="str">
        <f>T("9791191102086")</f>
        <v>9791191102086</v>
      </c>
      <c r="BE1189" t="str">
        <f t="shared" si="169"/>
        <v>판타지 웹소설 &gt; 현대 판타지</v>
      </c>
    </row>
    <row r="1190" spans="1:57" x14ac:dyDescent="0.3">
      <c r="A1190">
        <v>1525004030</v>
      </c>
      <c r="B1190">
        <v>1525004274</v>
      </c>
      <c r="C1190" t="str">
        <f>T("회귀의 전설 245화")</f>
        <v>회귀의 전설 245화</v>
      </c>
      <c r="D1190" t="str">
        <f>T("245")</f>
        <v>245</v>
      </c>
      <c r="E1190" t="str">
        <f t="shared" si="167"/>
        <v>김광수</v>
      </c>
      <c r="H1190" t="str">
        <f t="shared" si="163"/>
        <v>스토리위즈</v>
      </c>
      <c r="I1190" t="str">
        <f t="shared" si="168"/>
        <v>회귀의 전설</v>
      </c>
      <c r="J1190">
        <v>100</v>
      </c>
      <c r="K1190">
        <v>200</v>
      </c>
      <c r="L1190">
        <v>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200</v>
      </c>
      <c r="AH1190">
        <v>2</v>
      </c>
      <c r="AI1190">
        <v>0</v>
      </c>
      <c r="AJ1190">
        <v>0</v>
      </c>
      <c r="AK1190">
        <v>200</v>
      </c>
      <c r="AL1190">
        <v>0</v>
      </c>
      <c r="AM1190">
        <v>0</v>
      </c>
      <c r="AN1190">
        <v>0</v>
      </c>
      <c r="AO1190">
        <v>0</v>
      </c>
      <c r="AQ1190">
        <v>0</v>
      </c>
      <c r="AR1190">
        <v>0</v>
      </c>
      <c r="AT1190">
        <v>0</v>
      </c>
      <c r="AU1190">
        <v>0</v>
      </c>
      <c r="AW1190">
        <v>0</v>
      </c>
      <c r="AX1190">
        <v>0</v>
      </c>
      <c r="AY1190">
        <v>140</v>
      </c>
      <c r="BC1190" t="str">
        <f t="shared" ref="BC1190:BC1201" si="171">T("9788997946006")</f>
        <v>9788997946006</v>
      </c>
      <c r="BE1190" t="str">
        <f t="shared" si="169"/>
        <v>판타지 웹소설 &gt; 현대 판타지</v>
      </c>
    </row>
    <row r="1191" spans="1:57" x14ac:dyDescent="0.3">
      <c r="A1191">
        <v>1525004030</v>
      </c>
      <c r="B1191">
        <v>1525004348</v>
      </c>
      <c r="C1191" t="str">
        <f>T("회귀의 전설 320화")</f>
        <v>회귀의 전설 320화</v>
      </c>
      <c r="D1191" t="str">
        <f>T("320")</f>
        <v>320</v>
      </c>
      <c r="E1191" t="str">
        <f t="shared" si="167"/>
        <v>김광수</v>
      </c>
      <c r="H1191" t="str">
        <f t="shared" si="163"/>
        <v>스토리위즈</v>
      </c>
      <c r="I1191" t="str">
        <f t="shared" si="168"/>
        <v>회귀의 전설</v>
      </c>
      <c r="J1191">
        <v>100</v>
      </c>
      <c r="K1191">
        <v>200</v>
      </c>
      <c r="L1191">
        <v>2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200</v>
      </c>
      <c r="AH1191">
        <v>2</v>
      </c>
      <c r="AI1191">
        <v>0</v>
      </c>
      <c r="AJ1191">
        <v>0</v>
      </c>
      <c r="AK1191">
        <v>200</v>
      </c>
      <c r="AL1191">
        <v>0</v>
      </c>
      <c r="AM1191">
        <v>0</v>
      </c>
      <c r="AN1191">
        <v>0</v>
      </c>
      <c r="AO1191">
        <v>0</v>
      </c>
      <c r="AQ1191">
        <v>0</v>
      </c>
      <c r="AR1191">
        <v>0</v>
      </c>
      <c r="AT1191">
        <v>0</v>
      </c>
      <c r="AU1191">
        <v>0</v>
      </c>
      <c r="AW1191">
        <v>0</v>
      </c>
      <c r="AX1191">
        <v>0</v>
      </c>
      <c r="AY1191">
        <v>140</v>
      </c>
      <c r="BC1191" t="str">
        <f t="shared" si="171"/>
        <v>9788997946006</v>
      </c>
      <c r="BE1191" t="str">
        <f t="shared" si="169"/>
        <v>판타지 웹소설 &gt; 현대 판타지</v>
      </c>
    </row>
    <row r="1192" spans="1:57" x14ac:dyDescent="0.3">
      <c r="A1192">
        <v>1525004030</v>
      </c>
      <c r="B1192">
        <v>1525004405</v>
      </c>
      <c r="C1192" t="str">
        <f>T("회귀의 전설 377화")</f>
        <v>회귀의 전설 377화</v>
      </c>
      <c r="D1192" t="str">
        <f>T("377")</f>
        <v>377</v>
      </c>
      <c r="E1192" t="str">
        <f t="shared" si="167"/>
        <v>김광수</v>
      </c>
      <c r="H1192" t="str">
        <f t="shared" si="163"/>
        <v>스토리위즈</v>
      </c>
      <c r="I1192" t="str">
        <f t="shared" si="168"/>
        <v>회귀의 전설</v>
      </c>
      <c r="J1192">
        <v>100</v>
      </c>
      <c r="K1192">
        <v>200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200</v>
      </c>
      <c r="AH1192">
        <v>2</v>
      </c>
      <c r="AI1192">
        <v>0</v>
      </c>
      <c r="AJ1192">
        <v>0</v>
      </c>
      <c r="AK1192">
        <v>200</v>
      </c>
      <c r="AL1192">
        <v>0</v>
      </c>
      <c r="AM1192">
        <v>0</v>
      </c>
      <c r="AN1192">
        <v>0</v>
      </c>
      <c r="AO1192">
        <v>0</v>
      </c>
      <c r="AQ1192">
        <v>0</v>
      </c>
      <c r="AR1192">
        <v>0</v>
      </c>
      <c r="AT1192">
        <v>0</v>
      </c>
      <c r="AU1192">
        <v>0</v>
      </c>
      <c r="AW1192">
        <v>0</v>
      </c>
      <c r="AX1192">
        <v>0</v>
      </c>
      <c r="AY1192">
        <v>140</v>
      </c>
      <c r="BC1192" t="str">
        <f t="shared" si="171"/>
        <v>9788997946006</v>
      </c>
      <c r="BE1192" t="str">
        <f t="shared" si="169"/>
        <v>판타지 웹소설 &gt; 현대 판타지</v>
      </c>
    </row>
    <row r="1193" spans="1:57" x14ac:dyDescent="0.3">
      <c r="A1193">
        <v>1525004030</v>
      </c>
      <c r="B1193">
        <v>1525004462</v>
      </c>
      <c r="C1193" t="str">
        <f>T("회귀의 전설 446화")</f>
        <v>회귀의 전설 446화</v>
      </c>
      <c r="D1193" t="str">
        <f>T("446")</f>
        <v>446</v>
      </c>
      <c r="E1193" t="str">
        <f t="shared" si="167"/>
        <v>김광수</v>
      </c>
      <c r="H1193" t="str">
        <f t="shared" si="163"/>
        <v>스토리위즈</v>
      </c>
      <c r="I1193" t="str">
        <f t="shared" si="168"/>
        <v>회귀의 전설</v>
      </c>
      <c r="J1193">
        <v>100</v>
      </c>
      <c r="K1193">
        <v>200</v>
      </c>
      <c r="L1193">
        <v>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200</v>
      </c>
      <c r="AH1193">
        <v>2</v>
      </c>
      <c r="AI1193">
        <v>0</v>
      </c>
      <c r="AJ1193">
        <v>0</v>
      </c>
      <c r="AK1193">
        <v>200</v>
      </c>
      <c r="AL1193">
        <v>0</v>
      </c>
      <c r="AM1193">
        <v>0</v>
      </c>
      <c r="AN1193">
        <v>0</v>
      </c>
      <c r="AO1193">
        <v>0</v>
      </c>
      <c r="AQ1193">
        <v>0</v>
      </c>
      <c r="AR1193">
        <v>0</v>
      </c>
      <c r="AT1193">
        <v>0</v>
      </c>
      <c r="AU1193">
        <v>0</v>
      </c>
      <c r="AW1193">
        <v>0</v>
      </c>
      <c r="AX1193">
        <v>0</v>
      </c>
      <c r="AY1193">
        <v>140</v>
      </c>
      <c r="BC1193" t="str">
        <f t="shared" si="171"/>
        <v>9788997946006</v>
      </c>
      <c r="BE1193" t="str">
        <f t="shared" si="169"/>
        <v>판타지 웹소설 &gt; 현대 판타지</v>
      </c>
    </row>
    <row r="1194" spans="1:57" x14ac:dyDescent="0.3">
      <c r="A1194">
        <v>1525004030</v>
      </c>
      <c r="B1194">
        <v>1525004380</v>
      </c>
      <c r="C1194" t="str">
        <f>T("회귀의 전설 352화")</f>
        <v>회귀의 전설 352화</v>
      </c>
      <c r="D1194" t="str">
        <f>T("352")</f>
        <v>352</v>
      </c>
      <c r="E1194" t="str">
        <f t="shared" si="167"/>
        <v>김광수</v>
      </c>
      <c r="H1194" t="str">
        <f t="shared" si="163"/>
        <v>스토리위즈</v>
      </c>
      <c r="I1194" t="str">
        <f t="shared" si="168"/>
        <v>회귀의 전설</v>
      </c>
      <c r="J1194">
        <v>100</v>
      </c>
      <c r="K1194">
        <v>200</v>
      </c>
      <c r="L1194">
        <v>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200</v>
      </c>
      <c r="AH1194">
        <v>2</v>
      </c>
      <c r="AI1194">
        <v>0</v>
      </c>
      <c r="AJ1194">
        <v>0</v>
      </c>
      <c r="AK1194">
        <v>200</v>
      </c>
      <c r="AL1194">
        <v>0</v>
      </c>
      <c r="AM1194">
        <v>0</v>
      </c>
      <c r="AN1194">
        <v>0</v>
      </c>
      <c r="AO1194">
        <v>0</v>
      </c>
      <c r="AQ1194">
        <v>0</v>
      </c>
      <c r="AR1194">
        <v>0</v>
      </c>
      <c r="AT1194">
        <v>0</v>
      </c>
      <c r="AU1194">
        <v>0</v>
      </c>
      <c r="AW1194">
        <v>0</v>
      </c>
      <c r="AX1194">
        <v>0</v>
      </c>
      <c r="AY1194">
        <v>140</v>
      </c>
      <c r="BC1194" t="str">
        <f t="shared" si="171"/>
        <v>9788997946006</v>
      </c>
      <c r="BE1194" t="str">
        <f t="shared" si="169"/>
        <v>판타지 웹소설 &gt; 현대 판타지</v>
      </c>
    </row>
    <row r="1195" spans="1:57" x14ac:dyDescent="0.3">
      <c r="A1195">
        <v>1525004030</v>
      </c>
      <c r="B1195">
        <v>1525004437</v>
      </c>
      <c r="C1195" t="str">
        <f>T("회귀의 전설 421화")</f>
        <v>회귀의 전설 421화</v>
      </c>
      <c r="D1195" t="str">
        <f>T("421")</f>
        <v>421</v>
      </c>
      <c r="E1195" t="str">
        <f t="shared" si="167"/>
        <v>김광수</v>
      </c>
      <c r="H1195" t="str">
        <f t="shared" si="163"/>
        <v>스토리위즈</v>
      </c>
      <c r="I1195" t="str">
        <f t="shared" si="168"/>
        <v>회귀의 전설</v>
      </c>
      <c r="J1195">
        <v>100</v>
      </c>
      <c r="K1195">
        <v>200</v>
      </c>
      <c r="L1195">
        <v>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200</v>
      </c>
      <c r="AH1195">
        <v>2</v>
      </c>
      <c r="AI1195">
        <v>0</v>
      </c>
      <c r="AJ1195">
        <v>0</v>
      </c>
      <c r="AK1195">
        <v>200</v>
      </c>
      <c r="AL1195">
        <v>0</v>
      </c>
      <c r="AM1195">
        <v>0</v>
      </c>
      <c r="AN1195">
        <v>0</v>
      </c>
      <c r="AO1195">
        <v>0</v>
      </c>
      <c r="AQ1195">
        <v>0</v>
      </c>
      <c r="AR1195">
        <v>0</v>
      </c>
      <c r="AT1195">
        <v>0</v>
      </c>
      <c r="AU1195">
        <v>0</v>
      </c>
      <c r="AW1195">
        <v>0</v>
      </c>
      <c r="AX1195">
        <v>0</v>
      </c>
      <c r="AY1195">
        <v>140</v>
      </c>
      <c r="BC1195" t="str">
        <f t="shared" si="171"/>
        <v>9788997946006</v>
      </c>
      <c r="BE1195" t="str">
        <f t="shared" si="169"/>
        <v>판타지 웹소설 &gt; 현대 판타지</v>
      </c>
    </row>
    <row r="1196" spans="1:57" x14ac:dyDescent="0.3">
      <c r="A1196">
        <v>1525004030</v>
      </c>
      <c r="B1196">
        <v>1525004055</v>
      </c>
      <c r="C1196" t="str">
        <f>T("회귀의 전설 26화")</f>
        <v>회귀의 전설 26화</v>
      </c>
      <c r="D1196" t="str">
        <f>T("26")</f>
        <v>26</v>
      </c>
      <c r="E1196" t="str">
        <f t="shared" si="167"/>
        <v>김광수</v>
      </c>
      <c r="H1196" t="str">
        <f t="shared" si="163"/>
        <v>스토리위즈</v>
      </c>
      <c r="I1196" t="str">
        <f t="shared" si="168"/>
        <v>회귀의 전설</v>
      </c>
      <c r="J1196">
        <v>100</v>
      </c>
      <c r="K1196">
        <v>200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200</v>
      </c>
      <c r="AH1196">
        <v>2</v>
      </c>
      <c r="AI1196">
        <v>0</v>
      </c>
      <c r="AJ1196">
        <v>0</v>
      </c>
      <c r="AK1196">
        <v>200</v>
      </c>
      <c r="AL1196">
        <v>0</v>
      </c>
      <c r="AM1196">
        <v>0</v>
      </c>
      <c r="AN1196">
        <v>0</v>
      </c>
      <c r="AO1196">
        <v>0</v>
      </c>
      <c r="AQ1196">
        <v>0</v>
      </c>
      <c r="AR1196">
        <v>0</v>
      </c>
      <c r="AT1196">
        <v>0</v>
      </c>
      <c r="AU1196">
        <v>0</v>
      </c>
      <c r="AW1196">
        <v>0</v>
      </c>
      <c r="AX1196">
        <v>0</v>
      </c>
      <c r="AY1196">
        <v>140</v>
      </c>
      <c r="BC1196" t="str">
        <f t="shared" si="171"/>
        <v>9788997946006</v>
      </c>
      <c r="BE1196" t="str">
        <f t="shared" si="169"/>
        <v>판타지 웹소설 &gt; 현대 판타지</v>
      </c>
    </row>
    <row r="1197" spans="1:57" x14ac:dyDescent="0.3">
      <c r="A1197">
        <v>1525004030</v>
      </c>
      <c r="B1197">
        <v>1525004494</v>
      </c>
      <c r="C1197" t="str">
        <f>T("회귀의 전설 478화")</f>
        <v>회귀의 전설 478화</v>
      </c>
      <c r="D1197" t="str">
        <f>T("478")</f>
        <v>478</v>
      </c>
      <c r="E1197" t="str">
        <f t="shared" si="167"/>
        <v>김광수</v>
      </c>
      <c r="H1197" t="str">
        <f t="shared" si="163"/>
        <v>스토리위즈</v>
      </c>
      <c r="I1197" t="str">
        <f t="shared" si="168"/>
        <v>회귀의 전설</v>
      </c>
      <c r="J1197">
        <v>100</v>
      </c>
      <c r="K1197">
        <v>200</v>
      </c>
      <c r="L1197">
        <v>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200</v>
      </c>
      <c r="AH1197">
        <v>2</v>
      </c>
      <c r="AI1197">
        <v>0</v>
      </c>
      <c r="AJ1197">
        <v>0</v>
      </c>
      <c r="AK1197">
        <v>200</v>
      </c>
      <c r="AL1197">
        <v>0</v>
      </c>
      <c r="AM1197">
        <v>0</v>
      </c>
      <c r="AN1197">
        <v>0</v>
      </c>
      <c r="AO1197">
        <v>0</v>
      </c>
      <c r="AQ1197">
        <v>0</v>
      </c>
      <c r="AR1197">
        <v>0</v>
      </c>
      <c r="AT1197">
        <v>0</v>
      </c>
      <c r="AU1197">
        <v>0</v>
      </c>
      <c r="AW1197">
        <v>0</v>
      </c>
      <c r="AX1197">
        <v>0</v>
      </c>
      <c r="AY1197">
        <v>140</v>
      </c>
      <c r="BC1197" t="str">
        <f t="shared" si="171"/>
        <v>9788997946006</v>
      </c>
      <c r="BE1197" t="str">
        <f t="shared" si="169"/>
        <v>판타지 웹소설 &gt; 현대 판타지</v>
      </c>
    </row>
    <row r="1198" spans="1:57" x14ac:dyDescent="0.3">
      <c r="A1198">
        <v>1525004030</v>
      </c>
      <c r="B1198">
        <v>1525004369</v>
      </c>
      <c r="C1198" t="str">
        <f>T("회귀의 전설 341화")</f>
        <v>회귀의 전설 341화</v>
      </c>
      <c r="D1198" t="str">
        <f>T("341")</f>
        <v>341</v>
      </c>
      <c r="E1198" t="str">
        <f t="shared" si="167"/>
        <v>김광수</v>
      </c>
      <c r="H1198" t="str">
        <f t="shared" si="163"/>
        <v>스토리위즈</v>
      </c>
      <c r="I1198" t="str">
        <f t="shared" si="168"/>
        <v>회귀의 전설</v>
      </c>
      <c r="J1198">
        <v>100</v>
      </c>
      <c r="K1198">
        <v>200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200</v>
      </c>
      <c r="AH1198">
        <v>2</v>
      </c>
      <c r="AI1198">
        <v>0</v>
      </c>
      <c r="AJ1198">
        <v>0</v>
      </c>
      <c r="AK1198">
        <v>200</v>
      </c>
      <c r="AL1198">
        <v>0</v>
      </c>
      <c r="AM1198">
        <v>0</v>
      </c>
      <c r="AN1198">
        <v>0</v>
      </c>
      <c r="AO1198">
        <v>0</v>
      </c>
      <c r="AQ1198">
        <v>0</v>
      </c>
      <c r="AR1198">
        <v>0</v>
      </c>
      <c r="AT1198">
        <v>0</v>
      </c>
      <c r="AU1198">
        <v>0</v>
      </c>
      <c r="AW1198">
        <v>0</v>
      </c>
      <c r="AX1198">
        <v>0</v>
      </c>
      <c r="AY1198">
        <v>140</v>
      </c>
      <c r="BC1198" t="str">
        <f t="shared" si="171"/>
        <v>9788997946006</v>
      </c>
      <c r="BE1198" t="str">
        <f t="shared" si="169"/>
        <v>판타지 웹소설 &gt; 현대 판타지</v>
      </c>
    </row>
    <row r="1199" spans="1:57" x14ac:dyDescent="0.3">
      <c r="A1199">
        <v>1525004030</v>
      </c>
      <c r="B1199">
        <v>1525004426</v>
      </c>
      <c r="C1199" t="str">
        <f>T("회귀의 전설 410화")</f>
        <v>회귀의 전설 410화</v>
      </c>
      <c r="D1199" t="str">
        <f>T("410")</f>
        <v>410</v>
      </c>
      <c r="E1199" t="str">
        <f t="shared" si="167"/>
        <v>김광수</v>
      </c>
      <c r="H1199" t="str">
        <f t="shared" si="163"/>
        <v>스토리위즈</v>
      </c>
      <c r="I1199" t="str">
        <f t="shared" si="168"/>
        <v>회귀의 전설</v>
      </c>
      <c r="J1199">
        <v>100</v>
      </c>
      <c r="K1199">
        <v>200</v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200</v>
      </c>
      <c r="AH1199">
        <v>2</v>
      </c>
      <c r="AI1199">
        <v>0</v>
      </c>
      <c r="AJ1199">
        <v>0</v>
      </c>
      <c r="AK1199">
        <v>200</v>
      </c>
      <c r="AL1199">
        <v>0</v>
      </c>
      <c r="AM1199">
        <v>0</v>
      </c>
      <c r="AN1199">
        <v>0</v>
      </c>
      <c r="AO1199">
        <v>0</v>
      </c>
      <c r="AQ1199">
        <v>0</v>
      </c>
      <c r="AR1199">
        <v>0</v>
      </c>
      <c r="AT1199">
        <v>0</v>
      </c>
      <c r="AU1199">
        <v>0</v>
      </c>
      <c r="AW1199">
        <v>0</v>
      </c>
      <c r="AX1199">
        <v>0</v>
      </c>
      <c r="AY1199">
        <v>140</v>
      </c>
      <c r="BC1199" t="str">
        <f t="shared" si="171"/>
        <v>9788997946006</v>
      </c>
      <c r="BE1199" t="str">
        <f t="shared" si="169"/>
        <v>판타지 웹소설 &gt; 현대 판타지</v>
      </c>
    </row>
    <row r="1200" spans="1:57" x14ac:dyDescent="0.3">
      <c r="A1200">
        <v>1525004030</v>
      </c>
      <c r="B1200">
        <v>1525004483</v>
      </c>
      <c r="C1200" t="str">
        <f>T("회귀의 전설 467화")</f>
        <v>회귀의 전설 467화</v>
      </c>
      <c r="D1200" t="str">
        <f>T("467")</f>
        <v>467</v>
      </c>
      <c r="E1200" t="str">
        <f t="shared" si="167"/>
        <v>김광수</v>
      </c>
      <c r="H1200" t="str">
        <f t="shared" si="163"/>
        <v>스토리위즈</v>
      </c>
      <c r="I1200" t="str">
        <f t="shared" si="168"/>
        <v>회귀의 전설</v>
      </c>
      <c r="J1200">
        <v>100</v>
      </c>
      <c r="K1200">
        <v>200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200</v>
      </c>
      <c r="AH1200">
        <v>2</v>
      </c>
      <c r="AI1200">
        <v>0</v>
      </c>
      <c r="AJ1200">
        <v>0</v>
      </c>
      <c r="AK1200">
        <v>200</v>
      </c>
      <c r="AL1200">
        <v>0</v>
      </c>
      <c r="AM1200">
        <v>0</v>
      </c>
      <c r="AN1200">
        <v>0</v>
      </c>
      <c r="AO1200">
        <v>0</v>
      </c>
      <c r="AQ1200">
        <v>0</v>
      </c>
      <c r="AR1200">
        <v>0</v>
      </c>
      <c r="AT1200">
        <v>0</v>
      </c>
      <c r="AU1200">
        <v>0</v>
      </c>
      <c r="AW1200">
        <v>0</v>
      </c>
      <c r="AX1200">
        <v>0</v>
      </c>
      <c r="AY1200">
        <v>140</v>
      </c>
      <c r="BC1200" t="str">
        <f t="shared" si="171"/>
        <v>9788997946006</v>
      </c>
      <c r="BE1200" t="str">
        <f t="shared" si="169"/>
        <v>판타지 웹소설 &gt; 현대 판타지</v>
      </c>
    </row>
    <row r="1201" spans="1:57" x14ac:dyDescent="0.3">
      <c r="A1201">
        <v>1525004030</v>
      </c>
      <c r="B1201">
        <v>1525004288</v>
      </c>
      <c r="C1201" t="str">
        <f>T("회귀의 전설 259화")</f>
        <v>회귀의 전설 259화</v>
      </c>
      <c r="D1201" t="str">
        <f>T("259")</f>
        <v>259</v>
      </c>
      <c r="E1201" t="str">
        <f t="shared" si="167"/>
        <v>김광수</v>
      </c>
      <c r="H1201" t="str">
        <f t="shared" si="163"/>
        <v>스토리위즈</v>
      </c>
      <c r="I1201" t="str">
        <f t="shared" si="168"/>
        <v>회귀의 전설</v>
      </c>
      <c r="J1201">
        <v>100</v>
      </c>
      <c r="K1201">
        <v>200</v>
      </c>
      <c r="L1201">
        <v>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200</v>
      </c>
      <c r="AH1201">
        <v>2</v>
      </c>
      <c r="AI1201">
        <v>0</v>
      </c>
      <c r="AJ1201">
        <v>0</v>
      </c>
      <c r="AK1201">
        <v>200</v>
      </c>
      <c r="AL1201">
        <v>0</v>
      </c>
      <c r="AM1201">
        <v>0</v>
      </c>
      <c r="AN1201">
        <v>0</v>
      </c>
      <c r="AO1201">
        <v>0</v>
      </c>
      <c r="AQ1201">
        <v>0</v>
      </c>
      <c r="AR1201">
        <v>0</v>
      </c>
      <c r="AT1201">
        <v>0</v>
      </c>
      <c r="AU1201">
        <v>0</v>
      </c>
      <c r="AW1201">
        <v>0</v>
      </c>
      <c r="AX1201">
        <v>0</v>
      </c>
      <c r="AY1201">
        <v>140</v>
      </c>
      <c r="BC1201" t="str">
        <f t="shared" si="171"/>
        <v>9788997946006</v>
      </c>
      <c r="BE1201" t="str">
        <f t="shared" si="169"/>
        <v>판타지 웹소설 &gt; 현대 판타지</v>
      </c>
    </row>
    <row r="1202" spans="1:57" x14ac:dyDescent="0.3">
      <c r="A1202">
        <v>1525008428</v>
      </c>
      <c r="B1202">
        <v>1525008430</v>
      </c>
      <c r="C1202" t="str">
        <f>T("무히비(Muhibbi) 21화")</f>
        <v>무히비(Muhibbi) 21화</v>
      </c>
      <c r="D1202" t="str">
        <f>T("21")</f>
        <v>21</v>
      </c>
      <c r="E1202" t="str">
        <f>T("jooki")</f>
        <v>jooki</v>
      </c>
      <c r="H1202" t="str">
        <f>T("블러쉬")</f>
        <v>블러쉬</v>
      </c>
      <c r="I1202" t="str">
        <f>T("무히비(Muhibbi)")</f>
        <v>무히비(Muhibbi)</v>
      </c>
      <c r="J1202">
        <v>100</v>
      </c>
      <c r="K1202">
        <v>200</v>
      </c>
      <c r="L1202">
        <v>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200</v>
      </c>
      <c r="AH1202">
        <v>2</v>
      </c>
      <c r="AI1202">
        <v>0</v>
      </c>
      <c r="AJ1202">
        <v>0</v>
      </c>
      <c r="AK1202">
        <v>200</v>
      </c>
      <c r="AL1202">
        <v>0</v>
      </c>
      <c r="AM1202">
        <v>0</v>
      </c>
      <c r="AN1202">
        <v>0</v>
      </c>
      <c r="AO1202">
        <v>0</v>
      </c>
      <c r="AQ1202">
        <v>0</v>
      </c>
      <c r="AR1202">
        <v>0</v>
      </c>
      <c r="AT1202">
        <v>0</v>
      </c>
      <c r="AU1202">
        <v>0</v>
      </c>
      <c r="AW1202">
        <v>0</v>
      </c>
      <c r="AX1202">
        <v>0</v>
      </c>
      <c r="AY1202">
        <v>140</v>
      </c>
      <c r="BC1202" t="str">
        <f>T("9791164896622")</f>
        <v>9791164896622</v>
      </c>
      <c r="BE1202" t="str">
        <f>T("BL 웹소설 &gt; 역사/시대물")</f>
        <v>BL 웹소설 &gt; 역사/시대물</v>
      </c>
    </row>
    <row r="1203" spans="1:57" x14ac:dyDescent="0.3">
      <c r="A1203">
        <v>1525004030</v>
      </c>
      <c r="B1203">
        <v>1525004076</v>
      </c>
      <c r="C1203" t="str">
        <f>T("회귀의 전설 47화")</f>
        <v>회귀의 전설 47화</v>
      </c>
      <c r="D1203" t="str">
        <f>T("47")</f>
        <v>47</v>
      </c>
      <c r="E1203" t="str">
        <f>T("김광수")</f>
        <v>김광수</v>
      </c>
      <c r="H1203" t="str">
        <f t="shared" ref="H1203:H1235" si="172">T("스토리위즈")</f>
        <v>스토리위즈</v>
      </c>
      <c r="I1203" t="str">
        <f>T("회귀의 전설")</f>
        <v>회귀의 전설</v>
      </c>
      <c r="J1203">
        <v>100</v>
      </c>
      <c r="K1203">
        <v>200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200</v>
      </c>
      <c r="AH1203">
        <v>2</v>
      </c>
      <c r="AI1203">
        <v>0</v>
      </c>
      <c r="AJ1203">
        <v>0</v>
      </c>
      <c r="AK1203">
        <v>100</v>
      </c>
      <c r="AL1203">
        <v>0</v>
      </c>
      <c r="AM1203">
        <v>120</v>
      </c>
      <c r="AN1203">
        <v>-36</v>
      </c>
      <c r="AO1203">
        <v>0</v>
      </c>
      <c r="AQ1203">
        <v>0</v>
      </c>
      <c r="AR1203">
        <v>0</v>
      </c>
      <c r="AS1203">
        <v>120</v>
      </c>
      <c r="AT1203">
        <v>-36</v>
      </c>
      <c r="AU1203">
        <v>0</v>
      </c>
      <c r="AW1203">
        <v>0</v>
      </c>
      <c r="AX1203">
        <v>0</v>
      </c>
      <c r="AY1203">
        <v>128.80000000000001</v>
      </c>
      <c r="BC1203" t="str">
        <f>T("9788997946006")</f>
        <v>9788997946006</v>
      </c>
      <c r="BE1203" t="str">
        <f>T("판타지 웹소설 &gt; 현대 판타지")</f>
        <v>판타지 웹소설 &gt; 현대 판타지</v>
      </c>
    </row>
    <row r="1204" spans="1:57" x14ac:dyDescent="0.3">
      <c r="A1204">
        <v>1525004799</v>
      </c>
      <c r="B1204">
        <v>1525004971</v>
      </c>
      <c r="C1204" t="str">
        <f>T("검산도해 173화")</f>
        <v>검산도해 173화</v>
      </c>
      <c r="D1204" t="str">
        <f>T("173")</f>
        <v>173</v>
      </c>
      <c r="E1204" t="str">
        <f>T("권용찬")</f>
        <v>권용찬</v>
      </c>
      <c r="H1204" t="str">
        <f t="shared" si="172"/>
        <v>스토리위즈</v>
      </c>
      <c r="I1204" t="str">
        <f>T("검산도해")</f>
        <v>검산도해</v>
      </c>
      <c r="J1204">
        <v>100</v>
      </c>
      <c r="K1204">
        <v>200</v>
      </c>
      <c r="L1204">
        <v>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200</v>
      </c>
      <c r="AH1204">
        <v>2</v>
      </c>
      <c r="AI1204">
        <v>0</v>
      </c>
      <c r="AJ1204">
        <v>0</v>
      </c>
      <c r="AK1204">
        <v>100</v>
      </c>
      <c r="AL1204">
        <v>0</v>
      </c>
      <c r="AM1204">
        <v>120</v>
      </c>
      <c r="AN1204">
        <v>-12</v>
      </c>
      <c r="AO1204">
        <v>0</v>
      </c>
      <c r="AQ1204">
        <v>0</v>
      </c>
      <c r="AR1204">
        <v>0</v>
      </c>
      <c r="AS1204">
        <v>120</v>
      </c>
      <c r="AT1204">
        <v>-12</v>
      </c>
      <c r="AU1204">
        <v>0</v>
      </c>
      <c r="AW1204">
        <v>0</v>
      </c>
      <c r="AX1204">
        <v>0</v>
      </c>
      <c r="AY1204">
        <v>145.6</v>
      </c>
      <c r="BC1204" t="str">
        <f>T("9791159285936")</f>
        <v>9791159285936</v>
      </c>
      <c r="BE1204" t="str">
        <f>T("판타지 웹소설 &gt; 무협 소설")</f>
        <v>판타지 웹소설 &gt; 무협 소설</v>
      </c>
    </row>
    <row r="1205" spans="1:57" x14ac:dyDescent="0.3">
      <c r="A1205">
        <v>1525004030</v>
      </c>
      <c r="B1205">
        <v>1525004320</v>
      </c>
      <c r="C1205" t="str">
        <f>T("회귀의 전설 291화")</f>
        <v>회귀의 전설 291화</v>
      </c>
      <c r="D1205" t="str">
        <f>T("291")</f>
        <v>291</v>
      </c>
      <c r="E1205" t="str">
        <f t="shared" ref="E1205:E1219" si="173">T("김광수")</f>
        <v>김광수</v>
      </c>
      <c r="H1205" t="str">
        <f t="shared" si="172"/>
        <v>스토리위즈</v>
      </c>
      <c r="I1205" t="str">
        <f t="shared" ref="I1205:I1219" si="174">T("회귀의 전설")</f>
        <v>회귀의 전설</v>
      </c>
      <c r="J1205">
        <v>100</v>
      </c>
      <c r="K1205">
        <v>200</v>
      </c>
      <c r="L1205">
        <v>2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200</v>
      </c>
      <c r="AH1205">
        <v>2</v>
      </c>
      <c r="AI1205">
        <v>0</v>
      </c>
      <c r="AJ1205">
        <v>0</v>
      </c>
      <c r="AK1205">
        <v>200</v>
      </c>
      <c r="AL1205">
        <v>0</v>
      </c>
      <c r="AM1205">
        <v>0</v>
      </c>
      <c r="AN1205">
        <v>0</v>
      </c>
      <c r="AO1205">
        <v>0</v>
      </c>
      <c r="AQ1205">
        <v>0</v>
      </c>
      <c r="AR1205">
        <v>0</v>
      </c>
      <c r="AT1205">
        <v>0</v>
      </c>
      <c r="AU1205">
        <v>0</v>
      </c>
      <c r="AW1205">
        <v>0</v>
      </c>
      <c r="AX1205">
        <v>0</v>
      </c>
      <c r="AY1205">
        <v>140</v>
      </c>
      <c r="BC1205" t="str">
        <f>T("9788997946006")</f>
        <v>9788997946006</v>
      </c>
      <c r="BE1205" t="str">
        <f t="shared" ref="BE1205:BE1219" si="175">T("판타지 웹소설 &gt; 현대 판타지")</f>
        <v>판타지 웹소설 &gt; 현대 판타지</v>
      </c>
    </row>
    <row r="1206" spans="1:57" x14ac:dyDescent="0.3">
      <c r="A1206">
        <v>1525004030</v>
      </c>
      <c r="B1206">
        <v>1525004516</v>
      </c>
      <c r="C1206" t="str">
        <f>T("회귀의 전설 387화")</f>
        <v>회귀의 전설 387화</v>
      </c>
      <c r="D1206" t="str">
        <f>T("387")</f>
        <v>387</v>
      </c>
      <c r="E1206" t="str">
        <f t="shared" si="173"/>
        <v>김광수</v>
      </c>
      <c r="H1206" t="str">
        <f t="shared" si="172"/>
        <v>스토리위즈</v>
      </c>
      <c r="I1206" t="str">
        <f t="shared" si="174"/>
        <v>회귀의 전설</v>
      </c>
      <c r="J1206">
        <v>100</v>
      </c>
      <c r="K1206">
        <v>200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200</v>
      </c>
      <c r="AH1206">
        <v>2</v>
      </c>
      <c r="AI1206">
        <v>0</v>
      </c>
      <c r="AJ1206">
        <v>0</v>
      </c>
      <c r="AK1206">
        <v>200</v>
      </c>
      <c r="AL1206">
        <v>0</v>
      </c>
      <c r="AM1206">
        <v>0</v>
      </c>
      <c r="AN1206">
        <v>0</v>
      </c>
      <c r="AO1206">
        <v>0</v>
      </c>
      <c r="AQ1206">
        <v>0</v>
      </c>
      <c r="AR1206">
        <v>0</v>
      </c>
      <c r="AT1206">
        <v>0</v>
      </c>
      <c r="AU1206">
        <v>0</v>
      </c>
      <c r="AW1206">
        <v>0</v>
      </c>
      <c r="AX1206">
        <v>0</v>
      </c>
      <c r="AY1206">
        <v>140</v>
      </c>
      <c r="BC1206" t="str">
        <f>T("9788997946006")</f>
        <v>9788997946006</v>
      </c>
      <c r="BE1206" t="str">
        <f t="shared" si="175"/>
        <v>판타지 웹소설 &gt; 현대 판타지</v>
      </c>
    </row>
    <row r="1207" spans="1:57" x14ac:dyDescent="0.3">
      <c r="A1207">
        <v>1525004030</v>
      </c>
      <c r="B1207">
        <v>1525004231</v>
      </c>
      <c r="C1207" t="str">
        <f>T("회귀의 전설 202화")</f>
        <v>회귀의 전설 202화</v>
      </c>
      <c r="D1207" t="str">
        <f>T("202")</f>
        <v>202</v>
      </c>
      <c r="E1207" t="str">
        <f t="shared" si="173"/>
        <v>김광수</v>
      </c>
      <c r="H1207" t="str">
        <f t="shared" si="172"/>
        <v>스토리위즈</v>
      </c>
      <c r="I1207" t="str">
        <f t="shared" si="174"/>
        <v>회귀의 전설</v>
      </c>
      <c r="J1207">
        <v>100</v>
      </c>
      <c r="K1207">
        <v>200</v>
      </c>
      <c r="L1207">
        <v>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200</v>
      </c>
      <c r="AH1207">
        <v>2</v>
      </c>
      <c r="AI1207">
        <v>0</v>
      </c>
      <c r="AJ1207">
        <v>0</v>
      </c>
      <c r="AK1207">
        <v>200</v>
      </c>
      <c r="AL1207">
        <v>0</v>
      </c>
      <c r="AM1207">
        <v>0</v>
      </c>
      <c r="AN1207">
        <v>0</v>
      </c>
      <c r="AO1207">
        <v>0</v>
      </c>
      <c r="AQ1207">
        <v>0</v>
      </c>
      <c r="AR1207">
        <v>0</v>
      </c>
      <c r="AT1207">
        <v>0</v>
      </c>
      <c r="AU1207">
        <v>0</v>
      </c>
      <c r="AW1207">
        <v>0</v>
      </c>
      <c r="AX1207">
        <v>0</v>
      </c>
      <c r="AY1207">
        <v>140</v>
      </c>
      <c r="BC1207" t="str">
        <f>T("9788997946006")</f>
        <v>9788997946006</v>
      </c>
      <c r="BE1207" t="str">
        <f t="shared" si="175"/>
        <v>판타지 웹소설 &gt; 현대 판타지</v>
      </c>
    </row>
    <row r="1208" spans="1:57" x14ac:dyDescent="0.3">
      <c r="A1208">
        <v>1525004030</v>
      </c>
      <c r="B1208">
        <v>1525006688</v>
      </c>
      <c r="C1208" t="str">
        <f>T("회귀의 전설 2부 571화")</f>
        <v>회귀의 전설 2부 571화</v>
      </c>
      <c r="D1208" t="str">
        <f>T("571")</f>
        <v>571</v>
      </c>
      <c r="E1208" t="str">
        <f t="shared" si="173"/>
        <v>김광수</v>
      </c>
      <c r="H1208" t="str">
        <f t="shared" si="172"/>
        <v>스토리위즈</v>
      </c>
      <c r="I1208" t="str">
        <f t="shared" si="174"/>
        <v>회귀의 전설</v>
      </c>
      <c r="J1208">
        <v>100</v>
      </c>
      <c r="K1208">
        <v>200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200</v>
      </c>
      <c r="AH1208">
        <v>2</v>
      </c>
      <c r="AI1208">
        <v>0</v>
      </c>
      <c r="AJ1208">
        <v>0</v>
      </c>
      <c r="AK1208">
        <v>200</v>
      </c>
      <c r="AL1208">
        <v>0</v>
      </c>
      <c r="AM1208">
        <v>0</v>
      </c>
      <c r="AN1208">
        <v>0</v>
      </c>
      <c r="AO1208">
        <v>0</v>
      </c>
      <c r="AQ1208">
        <v>0</v>
      </c>
      <c r="AR1208">
        <v>0</v>
      </c>
      <c r="AT1208">
        <v>0</v>
      </c>
      <c r="AU1208">
        <v>0</v>
      </c>
      <c r="AW1208">
        <v>0</v>
      </c>
      <c r="AX1208">
        <v>0</v>
      </c>
      <c r="AY1208">
        <v>140</v>
      </c>
      <c r="BC1208" t="str">
        <f>T("9791191102086")</f>
        <v>9791191102086</v>
      </c>
      <c r="BE1208" t="str">
        <f t="shared" si="175"/>
        <v>판타지 웹소설 &gt; 현대 판타지</v>
      </c>
    </row>
    <row r="1209" spans="1:57" x14ac:dyDescent="0.3">
      <c r="A1209">
        <v>1525004030</v>
      </c>
      <c r="B1209">
        <v>1525006843</v>
      </c>
      <c r="C1209" t="str">
        <f>T("회귀의 전설 2부 726화")</f>
        <v>회귀의 전설 2부 726화</v>
      </c>
      <c r="D1209" t="str">
        <f>T("726")</f>
        <v>726</v>
      </c>
      <c r="E1209" t="str">
        <f t="shared" si="173"/>
        <v>김광수</v>
      </c>
      <c r="H1209" t="str">
        <f t="shared" si="172"/>
        <v>스토리위즈</v>
      </c>
      <c r="I1209" t="str">
        <f t="shared" si="174"/>
        <v>회귀의 전설</v>
      </c>
      <c r="J1209">
        <v>100</v>
      </c>
      <c r="K1209">
        <v>200</v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200</v>
      </c>
      <c r="AH1209">
        <v>2</v>
      </c>
      <c r="AI1209">
        <v>0</v>
      </c>
      <c r="AJ1209">
        <v>0</v>
      </c>
      <c r="AK1209">
        <v>100</v>
      </c>
      <c r="AL1209">
        <v>0</v>
      </c>
      <c r="AM1209">
        <v>120</v>
      </c>
      <c r="AN1209">
        <v>-12</v>
      </c>
      <c r="AO1209">
        <v>0</v>
      </c>
      <c r="AQ1209">
        <v>0</v>
      </c>
      <c r="AR1209">
        <v>0</v>
      </c>
      <c r="AS1209">
        <v>120</v>
      </c>
      <c r="AT1209">
        <v>-12</v>
      </c>
      <c r="AU1209">
        <v>0</v>
      </c>
      <c r="AW1209">
        <v>0</v>
      </c>
      <c r="AX1209">
        <v>0</v>
      </c>
      <c r="AY1209">
        <v>145.6</v>
      </c>
      <c r="BC1209" t="str">
        <f>T("9791191102086")</f>
        <v>9791191102086</v>
      </c>
      <c r="BE1209" t="str">
        <f t="shared" si="175"/>
        <v>판타지 웹소설 &gt; 현대 판타지</v>
      </c>
    </row>
    <row r="1210" spans="1:57" x14ac:dyDescent="0.3">
      <c r="A1210">
        <v>1525004030</v>
      </c>
      <c r="B1210">
        <v>1525006802</v>
      </c>
      <c r="C1210" t="str">
        <f>T("회귀의 전설 2부 685화")</f>
        <v>회귀의 전설 2부 685화</v>
      </c>
      <c r="D1210" t="str">
        <f>T("685")</f>
        <v>685</v>
      </c>
      <c r="E1210" t="str">
        <f t="shared" si="173"/>
        <v>김광수</v>
      </c>
      <c r="H1210" t="str">
        <f t="shared" si="172"/>
        <v>스토리위즈</v>
      </c>
      <c r="I1210" t="str">
        <f t="shared" si="174"/>
        <v>회귀의 전설</v>
      </c>
      <c r="J1210">
        <v>100</v>
      </c>
      <c r="K1210">
        <v>200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200</v>
      </c>
      <c r="AH1210">
        <v>2</v>
      </c>
      <c r="AI1210">
        <v>0</v>
      </c>
      <c r="AJ1210">
        <v>0</v>
      </c>
      <c r="AK1210">
        <v>100</v>
      </c>
      <c r="AL1210">
        <v>0</v>
      </c>
      <c r="AM1210">
        <v>120</v>
      </c>
      <c r="AN1210">
        <v>-12</v>
      </c>
      <c r="AO1210">
        <v>0</v>
      </c>
      <c r="AQ1210">
        <v>0</v>
      </c>
      <c r="AR1210">
        <v>0</v>
      </c>
      <c r="AS1210">
        <v>120</v>
      </c>
      <c r="AT1210">
        <v>-12</v>
      </c>
      <c r="AU1210">
        <v>0</v>
      </c>
      <c r="AW1210">
        <v>0</v>
      </c>
      <c r="AX1210">
        <v>0</v>
      </c>
      <c r="AY1210">
        <v>145.6</v>
      </c>
      <c r="BC1210" t="str">
        <f>T("9791191102086")</f>
        <v>9791191102086</v>
      </c>
      <c r="BE1210" t="str">
        <f t="shared" si="175"/>
        <v>판타지 웹소설 &gt; 현대 판타지</v>
      </c>
    </row>
    <row r="1211" spans="1:57" x14ac:dyDescent="0.3">
      <c r="A1211">
        <v>1525004030</v>
      </c>
      <c r="B1211">
        <v>1525006761</v>
      </c>
      <c r="C1211" t="str">
        <f>T("회귀의 전설 2부 644화")</f>
        <v>회귀의 전설 2부 644화</v>
      </c>
      <c r="D1211" t="str">
        <f>T("644")</f>
        <v>644</v>
      </c>
      <c r="E1211" t="str">
        <f t="shared" si="173"/>
        <v>김광수</v>
      </c>
      <c r="H1211" t="str">
        <f t="shared" si="172"/>
        <v>스토리위즈</v>
      </c>
      <c r="I1211" t="str">
        <f t="shared" si="174"/>
        <v>회귀의 전설</v>
      </c>
      <c r="J1211">
        <v>100</v>
      </c>
      <c r="K1211">
        <v>200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200</v>
      </c>
      <c r="AH1211">
        <v>2</v>
      </c>
      <c r="AI1211">
        <v>0</v>
      </c>
      <c r="AJ1211">
        <v>0</v>
      </c>
      <c r="AK1211">
        <v>100</v>
      </c>
      <c r="AL1211">
        <v>0</v>
      </c>
      <c r="AM1211">
        <v>120</v>
      </c>
      <c r="AN1211">
        <v>-12</v>
      </c>
      <c r="AO1211">
        <v>0</v>
      </c>
      <c r="AQ1211">
        <v>0</v>
      </c>
      <c r="AR1211">
        <v>0</v>
      </c>
      <c r="AS1211">
        <v>120</v>
      </c>
      <c r="AT1211">
        <v>-12</v>
      </c>
      <c r="AU1211">
        <v>0</v>
      </c>
      <c r="AW1211">
        <v>0</v>
      </c>
      <c r="AX1211">
        <v>0</v>
      </c>
      <c r="AY1211">
        <v>145.6</v>
      </c>
      <c r="BC1211" t="str">
        <f>T("9791191102086")</f>
        <v>9791191102086</v>
      </c>
      <c r="BE1211" t="str">
        <f t="shared" si="175"/>
        <v>판타지 웹소설 &gt; 현대 판타지</v>
      </c>
    </row>
    <row r="1212" spans="1:57" x14ac:dyDescent="0.3">
      <c r="A1212">
        <v>1525004030</v>
      </c>
      <c r="B1212">
        <v>1525004263</v>
      </c>
      <c r="C1212" t="str">
        <f>T("회귀의 전설 234화")</f>
        <v>회귀의 전설 234화</v>
      </c>
      <c r="D1212" t="str">
        <f>T("234")</f>
        <v>234</v>
      </c>
      <c r="E1212" t="str">
        <f t="shared" si="173"/>
        <v>김광수</v>
      </c>
      <c r="H1212" t="str">
        <f t="shared" si="172"/>
        <v>스토리위즈</v>
      </c>
      <c r="I1212" t="str">
        <f t="shared" si="174"/>
        <v>회귀의 전설</v>
      </c>
      <c r="J1212">
        <v>100</v>
      </c>
      <c r="K1212">
        <v>200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200</v>
      </c>
      <c r="AH1212">
        <v>2</v>
      </c>
      <c r="AI1212">
        <v>0</v>
      </c>
      <c r="AJ1212">
        <v>0</v>
      </c>
      <c r="AK1212">
        <v>200</v>
      </c>
      <c r="AL1212">
        <v>0</v>
      </c>
      <c r="AM1212">
        <v>0</v>
      </c>
      <c r="AN1212">
        <v>0</v>
      </c>
      <c r="AO1212">
        <v>0</v>
      </c>
      <c r="AQ1212">
        <v>0</v>
      </c>
      <c r="AR1212">
        <v>0</v>
      </c>
      <c r="AT1212">
        <v>0</v>
      </c>
      <c r="AU1212">
        <v>0</v>
      </c>
      <c r="AW1212">
        <v>0</v>
      </c>
      <c r="AX1212">
        <v>0</v>
      </c>
      <c r="AY1212">
        <v>140</v>
      </c>
      <c r="BC1212" t="str">
        <f>T("9788997946006")</f>
        <v>9788997946006</v>
      </c>
      <c r="BE1212" t="str">
        <f t="shared" si="175"/>
        <v>판타지 웹소설 &gt; 현대 판타지</v>
      </c>
    </row>
    <row r="1213" spans="1:57" x14ac:dyDescent="0.3">
      <c r="A1213">
        <v>1525004030</v>
      </c>
      <c r="B1213">
        <v>1525004337</v>
      </c>
      <c r="C1213" t="str">
        <f>T("회귀의 전설 308화")</f>
        <v>회귀의 전설 308화</v>
      </c>
      <c r="D1213" t="str">
        <f>T("308")</f>
        <v>308</v>
      </c>
      <c r="E1213" t="str">
        <f t="shared" si="173"/>
        <v>김광수</v>
      </c>
      <c r="H1213" t="str">
        <f t="shared" si="172"/>
        <v>스토리위즈</v>
      </c>
      <c r="I1213" t="str">
        <f t="shared" si="174"/>
        <v>회귀의 전설</v>
      </c>
      <c r="J1213">
        <v>100</v>
      </c>
      <c r="K1213">
        <v>200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200</v>
      </c>
      <c r="AH1213">
        <v>2</v>
      </c>
      <c r="AI1213">
        <v>0</v>
      </c>
      <c r="AJ1213">
        <v>0</v>
      </c>
      <c r="AK1213">
        <v>200</v>
      </c>
      <c r="AL1213">
        <v>0</v>
      </c>
      <c r="AM1213">
        <v>0</v>
      </c>
      <c r="AN1213">
        <v>0</v>
      </c>
      <c r="AO1213">
        <v>0</v>
      </c>
      <c r="AQ1213">
        <v>0</v>
      </c>
      <c r="AR1213">
        <v>0</v>
      </c>
      <c r="AT1213">
        <v>0</v>
      </c>
      <c r="AU1213">
        <v>0</v>
      </c>
      <c r="AW1213">
        <v>0</v>
      </c>
      <c r="AX1213">
        <v>0</v>
      </c>
      <c r="AY1213">
        <v>140</v>
      </c>
      <c r="BC1213" t="str">
        <f>T("9788997946006")</f>
        <v>9788997946006</v>
      </c>
      <c r="BE1213" t="str">
        <f t="shared" si="175"/>
        <v>판타지 웹소설 &gt; 현대 판타지</v>
      </c>
    </row>
    <row r="1214" spans="1:57" x14ac:dyDescent="0.3">
      <c r="A1214">
        <v>1525004030</v>
      </c>
      <c r="B1214">
        <v>1525004394</v>
      </c>
      <c r="C1214" t="str">
        <f>T("회귀의 전설 366화")</f>
        <v>회귀의 전설 366화</v>
      </c>
      <c r="D1214" t="str">
        <f>T("366")</f>
        <v>366</v>
      </c>
      <c r="E1214" t="str">
        <f t="shared" si="173"/>
        <v>김광수</v>
      </c>
      <c r="H1214" t="str">
        <f t="shared" si="172"/>
        <v>스토리위즈</v>
      </c>
      <c r="I1214" t="str">
        <f t="shared" si="174"/>
        <v>회귀의 전설</v>
      </c>
      <c r="J1214">
        <v>100</v>
      </c>
      <c r="K1214">
        <v>200</v>
      </c>
      <c r="L1214">
        <v>2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200</v>
      </c>
      <c r="AH1214">
        <v>2</v>
      </c>
      <c r="AI1214">
        <v>0</v>
      </c>
      <c r="AJ1214">
        <v>0</v>
      </c>
      <c r="AK1214">
        <v>200</v>
      </c>
      <c r="AL1214">
        <v>0</v>
      </c>
      <c r="AM1214">
        <v>0</v>
      </c>
      <c r="AN1214">
        <v>0</v>
      </c>
      <c r="AO1214">
        <v>0</v>
      </c>
      <c r="AQ1214">
        <v>0</v>
      </c>
      <c r="AR1214">
        <v>0</v>
      </c>
      <c r="AT1214">
        <v>0</v>
      </c>
      <c r="AU1214">
        <v>0</v>
      </c>
      <c r="AW1214">
        <v>0</v>
      </c>
      <c r="AX1214">
        <v>0</v>
      </c>
      <c r="AY1214">
        <v>140</v>
      </c>
      <c r="BC1214" t="str">
        <f>T("9788997946006")</f>
        <v>9788997946006</v>
      </c>
      <c r="BE1214" t="str">
        <f t="shared" si="175"/>
        <v>판타지 웹소설 &gt; 현대 판타지</v>
      </c>
    </row>
    <row r="1215" spans="1:57" x14ac:dyDescent="0.3">
      <c r="A1215">
        <v>1525004030</v>
      </c>
      <c r="B1215">
        <v>1525006875</v>
      </c>
      <c r="C1215" t="str">
        <f>T("회귀의 전설 2부 758화")</f>
        <v>회귀의 전설 2부 758화</v>
      </c>
      <c r="D1215" t="str">
        <f>T("758")</f>
        <v>758</v>
      </c>
      <c r="E1215" t="str">
        <f t="shared" si="173"/>
        <v>김광수</v>
      </c>
      <c r="H1215" t="str">
        <f t="shared" si="172"/>
        <v>스토리위즈</v>
      </c>
      <c r="I1215" t="str">
        <f t="shared" si="174"/>
        <v>회귀의 전설</v>
      </c>
      <c r="J1215">
        <v>100</v>
      </c>
      <c r="K1215">
        <v>200</v>
      </c>
      <c r="L1215">
        <v>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200</v>
      </c>
      <c r="AH1215">
        <v>2</v>
      </c>
      <c r="AI1215">
        <v>0</v>
      </c>
      <c r="AJ1215">
        <v>0</v>
      </c>
      <c r="AK1215">
        <v>100</v>
      </c>
      <c r="AL1215">
        <v>0</v>
      </c>
      <c r="AM1215">
        <v>120</v>
      </c>
      <c r="AN1215">
        <v>-12</v>
      </c>
      <c r="AO1215">
        <v>0</v>
      </c>
      <c r="AQ1215">
        <v>0</v>
      </c>
      <c r="AR1215">
        <v>0</v>
      </c>
      <c r="AS1215">
        <v>120</v>
      </c>
      <c r="AT1215">
        <v>-12</v>
      </c>
      <c r="AU1215">
        <v>0</v>
      </c>
      <c r="AW1215">
        <v>0</v>
      </c>
      <c r="AX1215">
        <v>0</v>
      </c>
      <c r="AY1215">
        <v>145.6</v>
      </c>
      <c r="BC1215" t="str">
        <f>T("9791191102086")</f>
        <v>9791191102086</v>
      </c>
      <c r="BE1215" t="str">
        <f t="shared" si="175"/>
        <v>판타지 웹소설 &gt; 현대 판타지</v>
      </c>
    </row>
    <row r="1216" spans="1:57" x14ac:dyDescent="0.3">
      <c r="A1216">
        <v>1525004030</v>
      </c>
      <c r="B1216">
        <v>1525004451</v>
      </c>
      <c r="C1216" t="str">
        <f>T("회귀의 전설 435화")</f>
        <v>회귀의 전설 435화</v>
      </c>
      <c r="D1216" t="str">
        <f>T("435")</f>
        <v>435</v>
      </c>
      <c r="E1216" t="str">
        <f t="shared" si="173"/>
        <v>김광수</v>
      </c>
      <c r="H1216" t="str">
        <f t="shared" si="172"/>
        <v>스토리위즈</v>
      </c>
      <c r="I1216" t="str">
        <f t="shared" si="174"/>
        <v>회귀의 전설</v>
      </c>
      <c r="J1216">
        <v>100</v>
      </c>
      <c r="K1216">
        <v>200</v>
      </c>
      <c r="L1216">
        <v>2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200</v>
      </c>
      <c r="AH1216">
        <v>2</v>
      </c>
      <c r="AI1216">
        <v>0</v>
      </c>
      <c r="AJ1216">
        <v>0</v>
      </c>
      <c r="AK1216">
        <v>200</v>
      </c>
      <c r="AL1216">
        <v>0</v>
      </c>
      <c r="AM1216">
        <v>0</v>
      </c>
      <c r="AN1216">
        <v>0</v>
      </c>
      <c r="AO1216">
        <v>0</v>
      </c>
      <c r="AQ1216">
        <v>0</v>
      </c>
      <c r="AR1216">
        <v>0</v>
      </c>
      <c r="AT1216">
        <v>0</v>
      </c>
      <c r="AU1216">
        <v>0</v>
      </c>
      <c r="AW1216">
        <v>0</v>
      </c>
      <c r="AX1216">
        <v>0</v>
      </c>
      <c r="AY1216">
        <v>140</v>
      </c>
      <c r="BC1216" t="str">
        <f>T("9788997946006")</f>
        <v>9788997946006</v>
      </c>
      <c r="BE1216" t="str">
        <f t="shared" si="175"/>
        <v>판타지 웹소설 &gt; 현대 판타지</v>
      </c>
    </row>
    <row r="1217" spans="1:57" x14ac:dyDescent="0.3">
      <c r="A1217">
        <v>1525004030</v>
      </c>
      <c r="B1217">
        <v>1525004252</v>
      </c>
      <c r="C1217" t="str">
        <f>T("회귀의 전설 223화")</f>
        <v>회귀의 전설 223화</v>
      </c>
      <c r="D1217" t="str">
        <f>T("223")</f>
        <v>223</v>
      </c>
      <c r="E1217" t="str">
        <f t="shared" si="173"/>
        <v>김광수</v>
      </c>
      <c r="H1217" t="str">
        <f t="shared" si="172"/>
        <v>스토리위즈</v>
      </c>
      <c r="I1217" t="str">
        <f t="shared" si="174"/>
        <v>회귀의 전설</v>
      </c>
      <c r="J1217">
        <v>100</v>
      </c>
      <c r="K1217">
        <v>200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200</v>
      </c>
      <c r="AH1217">
        <v>2</v>
      </c>
      <c r="AI1217">
        <v>0</v>
      </c>
      <c r="AJ1217">
        <v>0</v>
      </c>
      <c r="AK1217">
        <v>200</v>
      </c>
      <c r="AL1217">
        <v>0</v>
      </c>
      <c r="AM1217">
        <v>0</v>
      </c>
      <c r="AN1217">
        <v>0</v>
      </c>
      <c r="AO1217">
        <v>0</v>
      </c>
      <c r="AQ1217">
        <v>0</v>
      </c>
      <c r="AR1217">
        <v>0</v>
      </c>
      <c r="AT1217">
        <v>0</v>
      </c>
      <c r="AU1217">
        <v>0</v>
      </c>
      <c r="AW1217">
        <v>0</v>
      </c>
      <c r="AX1217">
        <v>0</v>
      </c>
      <c r="AY1217">
        <v>140</v>
      </c>
      <c r="BC1217" t="str">
        <f>T("9788997946006")</f>
        <v>9788997946006</v>
      </c>
      <c r="BE1217" t="str">
        <f t="shared" si="175"/>
        <v>판타지 웹소설 &gt; 현대 판타지</v>
      </c>
    </row>
    <row r="1218" spans="1:57" x14ac:dyDescent="0.3">
      <c r="A1218">
        <v>1525004030</v>
      </c>
      <c r="B1218">
        <v>1525006709</v>
      </c>
      <c r="C1218" t="str">
        <f>T("회귀의 전설 2부 592화")</f>
        <v>회귀의 전설 2부 592화</v>
      </c>
      <c r="D1218" t="str">
        <f>T("592")</f>
        <v>592</v>
      </c>
      <c r="E1218" t="str">
        <f t="shared" si="173"/>
        <v>김광수</v>
      </c>
      <c r="H1218" t="str">
        <f t="shared" si="172"/>
        <v>스토리위즈</v>
      </c>
      <c r="I1218" t="str">
        <f t="shared" si="174"/>
        <v>회귀의 전설</v>
      </c>
      <c r="J1218">
        <v>100</v>
      </c>
      <c r="K1218">
        <v>200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200</v>
      </c>
      <c r="AH1218">
        <v>2</v>
      </c>
      <c r="AI1218">
        <v>0</v>
      </c>
      <c r="AJ1218">
        <v>0</v>
      </c>
      <c r="AK1218">
        <v>100</v>
      </c>
      <c r="AL1218">
        <v>0</v>
      </c>
      <c r="AM1218">
        <v>120</v>
      </c>
      <c r="AN1218">
        <v>-12</v>
      </c>
      <c r="AO1218">
        <v>0</v>
      </c>
      <c r="AQ1218">
        <v>0</v>
      </c>
      <c r="AR1218">
        <v>0</v>
      </c>
      <c r="AS1218">
        <v>120</v>
      </c>
      <c r="AT1218">
        <v>-12</v>
      </c>
      <c r="AU1218">
        <v>0</v>
      </c>
      <c r="AW1218">
        <v>0</v>
      </c>
      <c r="AX1218">
        <v>0</v>
      </c>
      <c r="AY1218">
        <v>145.6</v>
      </c>
      <c r="BC1218" t="str">
        <f>T("9791191102086")</f>
        <v>9791191102086</v>
      </c>
      <c r="BE1218" t="str">
        <f t="shared" si="175"/>
        <v>판타지 웹소설 &gt; 현대 판타지</v>
      </c>
    </row>
    <row r="1219" spans="1:57" x14ac:dyDescent="0.3">
      <c r="A1219">
        <v>1525004030</v>
      </c>
      <c r="B1219">
        <v>1525004211</v>
      </c>
      <c r="C1219" t="str">
        <f>T("회귀의 전설 182화")</f>
        <v>회귀의 전설 182화</v>
      </c>
      <c r="D1219" t="str">
        <f>T("182")</f>
        <v>182</v>
      </c>
      <c r="E1219" t="str">
        <f t="shared" si="173"/>
        <v>김광수</v>
      </c>
      <c r="H1219" t="str">
        <f t="shared" si="172"/>
        <v>스토리위즈</v>
      </c>
      <c r="I1219" t="str">
        <f t="shared" si="174"/>
        <v>회귀의 전설</v>
      </c>
      <c r="J1219">
        <v>100</v>
      </c>
      <c r="K1219">
        <v>200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200</v>
      </c>
      <c r="AH1219">
        <v>2</v>
      </c>
      <c r="AI1219">
        <v>0</v>
      </c>
      <c r="AJ1219">
        <v>0</v>
      </c>
      <c r="AK1219">
        <v>200</v>
      </c>
      <c r="AL1219">
        <v>0</v>
      </c>
      <c r="AM1219">
        <v>0</v>
      </c>
      <c r="AN1219">
        <v>0</v>
      </c>
      <c r="AO1219">
        <v>0</v>
      </c>
      <c r="AQ1219">
        <v>0</v>
      </c>
      <c r="AR1219">
        <v>0</v>
      </c>
      <c r="AT1219">
        <v>0</v>
      </c>
      <c r="AU1219">
        <v>0</v>
      </c>
      <c r="AW1219">
        <v>0</v>
      </c>
      <c r="AX1219">
        <v>0</v>
      </c>
      <c r="AY1219">
        <v>140</v>
      </c>
      <c r="BC1219" t="str">
        <f>T("9788997946006")</f>
        <v>9788997946006</v>
      </c>
      <c r="BE1219" t="str">
        <f t="shared" si="175"/>
        <v>판타지 웹소설 &gt; 현대 판타지</v>
      </c>
    </row>
    <row r="1220" spans="1:57" x14ac:dyDescent="0.3">
      <c r="A1220">
        <v>1525002864</v>
      </c>
      <c r="B1220">
        <v>1525002889</v>
      </c>
      <c r="C1220" t="str">
        <f>T("소드마스터의 환생 26화")</f>
        <v>소드마스터의 환생 26화</v>
      </c>
      <c r="D1220" t="str">
        <f>T("26")</f>
        <v>26</v>
      </c>
      <c r="E1220" t="str">
        <f>T("파란영")</f>
        <v>파란영</v>
      </c>
      <c r="H1220" t="str">
        <f t="shared" si="172"/>
        <v>스토리위즈</v>
      </c>
      <c r="I1220" t="str">
        <f>T("소드마스터의 환생")</f>
        <v>소드마스터의 환생</v>
      </c>
      <c r="J1220">
        <v>100</v>
      </c>
      <c r="K1220">
        <v>200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200</v>
      </c>
      <c r="AH1220">
        <v>2</v>
      </c>
      <c r="AI1220">
        <v>0</v>
      </c>
      <c r="AJ1220">
        <v>0</v>
      </c>
      <c r="AK1220">
        <v>200</v>
      </c>
      <c r="AL1220">
        <v>0</v>
      </c>
      <c r="AM1220">
        <v>0</v>
      </c>
      <c r="AN1220">
        <v>0</v>
      </c>
      <c r="AO1220">
        <v>0</v>
      </c>
      <c r="AQ1220">
        <v>0</v>
      </c>
      <c r="AR1220">
        <v>0</v>
      </c>
      <c r="AT1220">
        <v>0</v>
      </c>
      <c r="AU1220">
        <v>0</v>
      </c>
      <c r="AW1220">
        <v>0</v>
      </c>
      <c r="AX1220">
        <v>0</v>
      </c>
      <c r="AY1220">
        <v>140</v>
      </c>
      <c r="BC1220" t="str">
        <f>T("9791159287527")</f>
        <v>9791159287527</v>
      </c>
      <c r="BE1220" t="str">
        <f>T("판타지 웹소설 &gt; 정통 판타지")</f>
        <v>판타지 웹소설 &gt; 정통 판타지</v>
      </c>
    </row>
    <row r="1221" spans="1:57" x14ac:dyDescent="0.3">
      <c r="A1221">
        <v>1525004030</v>
      </c>
      <c r="B1221">
        <v>1525006864</v>
      </c>
      <c r="C1221" t="str">
        <f>T("회귀의 전설 2부 747화")</f>
        <v>회귀의 전설 2부 747화</v>
      </c>
      <c r="D1221" t="str">
        <f>T("747")</f>
        <v>747</v>
      </c>
      <c r="E1221" t="str">
        <f t="shared" ref="E1221:E1235" si="176">T("김광수")</f>
        <v>김광수</v>
      </c>
      <c r="H1221" t="str">
        <f t="shared" si="172"/>
        <v>스토리위즈</v>
      </c>
      <c r="I1221" t="str">
        <f t="shared" ref="I1221:I1235" si="177">T("회귀의 전설")</f>
        <v>회귀의 전설</v>
      </c>
      <c r="J1221">
        <v>100</v>
      </c>
      <c r="K1221">
        <v>200</v>
      </c>
      <c r="L1221">
        <v>2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200</v>
      </c>
      <c r="AH1221">
        <v>2</v>
      </c>
      <c r="AI1221">
        <v>0</v>
      </c>
      <c r="AJ1221">
        <v>0</v>
      </c>
      <c r="AK1221">
        <v>100</v>
      </c>
      <c r="AL1221">
        <v>0</v>
      </c>
      <c r="AM1221">
        <v>120</v>
      </c>
      <c r="AN1221">
        <v>-12</v>
      </c>
      <c r="AO1221">
        <v>0</v>
      </c>
      <c r="AQ1221">
        <v>0</v>
      </c>
      <c r="AR1221">
        <v>0</v>
      </c>
      <c r="AS1221">
        <v>120</v>
      </c>
      <c r="AT1221">
        <v>-12</v>
      </c>
      <c r="AU1221">
        <v>0</v>
      </c>
      <c r="AW1221">
        <v>0</v>
      </c>
      <c r="AX1221">
        <v>0</v>
      </c>
      <c r="AY1221">
        <v>145.6</v>
      </c>
      <c r="BC1221" t="str">
        <f>T("9791191102086")</f>
        <v>9791191102086</v>
      </c>
      <c r="BE1221" t="str">
        <f t="shared" ref="BE1221:BE1235" si="178">T("판타지 웹소설 &gt; 현대 판타지")</f>
        <v>판타지 웹소설 &gt; 현대 판타지</v>
      </c>
    </row>
    <row r="1222" spans="1:57" x14ac:dyDescent="0.3">
      <c r="A1222">
        <v>1525004030</v>
      </c>
      <c r="B1222">
        <v>1525004114</v>
      </c>
      <c r="C1222" t="str">
        <f>T("회귀의 전설 85화")</f>
        <v>회귀의 전설 85화</v>
      </c>
      <c r="D1222" t="str">
        <f>T("85")</f>
        <v>85</v>
      </c>
      <c r="E1222" t="str">
        <f t="shared" si="176"/>
        <v>김광수</v>
      </c>
      <c r="H1222" t="str">
        <f t="shared" si="172"/>
        <v>스토리위즈</v>
      </c>
      <c r="I1222" t="str">
        <f t="shared" si="177"/>
        <v>회귀의 전설</v>
      </c>
      <c r="J1222">
        <v>100</v>
      </c>
      <c r="K1222">
        <v>200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200</v>
      </c>
      <c r="AH1222">
        <v>2</v>
      </c>
      <c r="AI1222">
        <v>0</v>
      </c>
      <c r="AJ1222">
        <v>0</v>
      </c>
      <c r="AK1222">
        <v>100</v>
      </c>
      <c r="AL1222">
        <v>0</v>
      </c>
      <c r="AM1222">
        <v>120</v>
      </c>
      <c r="AN1222">
        <v>-12</v>
      </c>
      <c r="AO1222">
        <v>0</v>
      </c>
      <c r="AQ1222">
        <v>0</v>
      </c>
      <c r="AR1222">
        <v>0</v>
      </c>
      <c r="AS1222">
        <v>120</v>
      </c>
      <c r="AT1222">
        <v>-12</v>
      </c>
      <c r="AU1222">
        <v>0</v>
      </c>
      <c r="AW1222">
        <v>0</v>
      </c>
      <c r="AX1222">
        <v>0</v>
      </c>
      <c r="AY1222">
        <v>145.6</v>
      </c>
      <c r="BC1222" t="str">
        <f t="shared" ref="BC1222:BC1228" si="179">T("9788997946006")</f>
        <v>9788997946006</v>
      </c>
      <c r="BE1222" t="str">
        <f t="shared" si="178"/>
        <v>판타지 웹소설 &gt; 현대 판타지</v>
      </c>
    </row>
    <row r="1223" spans="1:57" x14ac:dyDescent="0.3">
      <c r="A1223">
        <v>1525004030</v>
      </c>
      <c r="B1223">
        <v>1525004358</v>
      </c>
      <c r="C1223" t="str">
        <f>T("회귀의 전설 330화")</f>
        <v>회귀의 전설 330화</v>
      </c>
      <c r="D1223" t="str">
        <f>T("330")</f>
        <v>330</v>
      </c>
      <c r="E1223" t="str">
        <f t="shared" si="176"/>
        <v>김광수</v>
      </c>
      <c r="H1223" t="str">
        <f t="shared" si="172"/>
        <v>스토리위즈</v>
      </c>
      <c r="I1223" t="str">
        <f t="shared" si="177"/>
        <v>회귀의 전설</v>
      </c>
      <c r="J1223">
        <v>100</v>
      </c>
      <c r="K1223">
        <v>200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200</v>
      </c>
      <c r="AH1223">
        <v>2</v>
      </c>
      <c r="AI1223">
        <v>0</v>
      </c>
      <c r="AJ1223">
        <v>0</v>
      </c>
      <c r="AK1223">
        <v>200</v>
      </c>
      <c r="AL1223">
        <v>0</v>
      </c>
      <c r="AM1223">
        <v>0</v>
      </c>
      <c r="AN1223">
        <v>0</v>
      </c>
      <c r="AO1223">
        <v>0</v>
      </c>
      <c r="AQ1223">
        <v>0</v>
      </c>
      <c r="AR1223">
        <v>0</v>
      </c>
      <c r="AT1223">
        <v>0</v>
      </c>
      <c r="AU1223">
        <v>0</v>
      </c>
      <c r="AW1223">
        <v>0</v>
      </c>
      <c r="AX1223">
        <v>0</v>
      </c>
      <c r="AY1223">
        <v>140</v>
      </c>
      <c r="BC1223" t="str">
        <f t="shared" si="179"/>
        <v>9788997946006</v>
      </c>
      <c r="BE1223" t="str">
        <f t="shared" si="178"/>
        <v>판타지 웹소설 &gt; 현대 판타지</v>
      </c>
    </row>
    <row r="1224" spans="1:57" x14ac:dyDescent="0.3">
      <c r="A1224">
        <v>1525004030</v>
      </c>
      <c r="B1224">
        <v>1525004415</v>
      </c>
      <c r="C1224" t="str">
        <f>T("회귀의 전설 399화")</f>
        <v>회귀의 전설 399화</v>
      </c>
      <c r="D1224" t="str">
        <f>T("399")</f>
        <v>399</v>
      </c>
      <c r="E1224" t="str">
        <f t="shared" si="176"/>
        <v>김광수</v>
      </c>
      <c r="H1224" t="str">
        <f t="shared" si="172"/>
        <v>스토리위즈</v>
      </c>
      <c r="I1224" t="str">
        <f t="shared" si="177"/>
        <v>회귀의 전설</v>
      </c>
      <c r="J1224">
        <v>100</v>
      </c>
      <c r="K1224">
        <v>200</v>
      </c>
      <c r="L1224">
        <v>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200</v>
      </c>
      <c r="AH1224">
        <v>2</v>
      </c>
      <c r="AI1224">
        <v>0</v>
      </c>
      <c r="AJ1224">
        <v>0</v>
      </c>
      <c r="AK1224">
        <v>200</v>
      </c>
      <c r="AL1224">
        <v>0</v>
      </c>
      <c r="AM1224">
        <v>0</v>
      </c>
      <c r="AN1224">
        <v>0</v>
      </c>
      <c r="AO1224">
        <v>0</v>
      </c>
      <c r="AQ1224">
        <v>0</v>
      </c>
      <c r="AR1224">
        <v>0</v>
      </c>
      <c r="AT1224">
        <v>0</v>
      </c>
      <c r="AU1224">
        <v>0</v>
      </c>
      <c r="AW1224">
        <v>0</v>
      </c>
      <c r="AX1224">
        <v>0</v>
      </c>
      <c r="AY1224">
        <v>140</v>
      </c>
      <c r="BC1224" t="str">
        <f t="shared" si="179"/>
        <v>9788997946006</v>
      </c>
      <c r="BE1224" t="str">
        <f t="shared" si="178"/>
        <v>판타지 웹소설 &gt; 현대 판타지</v>
      </c>
    </row>
    <row r="1225" spans="1:57" x14ac:dyDescent="0.3">
      <c r="A1225">
        <v>1525004030</v>
      </c>
      <c r="B1225">
        <v>1525004472</v>
      </c>
      <c r="C1225" t="str">
        <f>T("회귀의 전설 456화")</f>
        <v>회귀의 전설 456화</v>
      </c>
      <c r="D1225" t="str">
        <f>T("456")</f>
        <v>456</v>
      </c>
      <c r="E1225" t="str">
        <f t="shared" si="176"/>
        <v>김광수</v>
      </c>
      <c r="H1225" t="str">
        <f t="shared" si="172"/>
        <v>스토리위즈</v>
      </c>
      <c r="I1225" t="str">
        <f t="shared" si="177"/>
        <v>회귀의 전설</v>
      </c>
      <c r="J1225">
        <v>100</v>
      </c>
      <c r="K1225">
        <v>200</v>
      </c>
      <c r="L1225">
        <v>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200</v>
      </c>
      <c r="AH1225">
        <v>2</v>
      </c>
      <c r="AI1225">
        <v>0</v>
      </c>
      <c r="AJ1225">
        <v>0</v>
      </c>
      <c r="AK1225">
        <v>200</v>
      </c>
      <c r="AL1225">
        <v>0</v>
      </c>
      <c r="AM1225">
        <v>0</v>
      </c>
      <c r="AN1225">
        <v>0</v>
      </c>
      <c r="AO1225">
        <v>0</v>
      </c>
      <c r="AQ1225">
        <v>0</v>
      </c>
      <c r="AR1225">
        <v>0</v>
      </c>
      <c r="AT1225">
        <v>0</v>
      </c>
      <c r="AU1225">
        <v>0</v>
      </c>
      <c r="AW1225">
        <v>0</v>
      </c>
      <c r="AX1225">
        <v>0</v>
      </c>
      <c r="AY1225">
        <v>140</v>
      </c>
      <c r="BC1225" t="str">
        <f t="shared" si="179"/>
        <v>9788997946006</v>
      </c>
      <c r="BE1225" t="str">
        <f t="shared" si="178"/>
        <v>판타지 웹소설 &gt; 현대 판타지</v>
      </c>
    </row>
    <row r="1226" spans="1:57" x14ac:dyDescent="0.3">
      <c r="A1226">
        <v>1525004030</v>
      </c>
      <c r="B1226">
        <v>1525004390</v>
      </c>
      <c r="C1226" t="str">
        <f>T("회귀의 전설 362화")</f>
        <v>회귀의 전설 362화</v>
      </c>
      <c r="D1226" t="str">
        <f>T("362")</f>
        <v>362</v>
      </c>
      <c r="E1226" t="str">
        <f t="shared" si="176"/>
        <v>김광수</v>
      </c>
      <c r="H1226" t="str">
        <f t="shared" si="172"/>
        <v>스토리위즈</v>
      </c>
      <c r="I1226" t="str">
        <f t="shared" si="177"/>
        <v>회귀의 전설</v>
      </c>
      <c r="J1226">
        <v>100</v>
      </c>
      <c r="K1226">
        <v>200</v>
      </c>
      <c r="L1226">
        <v>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200</v>
      </c>
      <c r="AH1226">
        <v>2</v>
      </c>
      <c r="AI1226">
        <v>0</v>
      </c>
      <c r="AJ1226">
        <v>0</v>
      </c>
      <c r="AK1226">
        <v>200</v>
      </c>
      <c r="AL1226">
        <v>0</v>
      </c>
      <c r="AM1226">
        <v>0</v>
      </c>
      <c r="AN1226">
        <v>0</v>
      </c>
      <c r="AO1226">
        <v>0</v>
      </c>
      <c r="AQ1226">
        <v>0</v>
      </c>
      <c r="AR1226">
        <v>0</v>
      </c>
      <c r="AT1226">
        <v>0</v>
      </c>
      <c r="AU1226">
        <v>0</v>
      </c>
      <c r="AW1226">
        <v>0</v>
      </c>
      <c r="AX1226">
        <v>0</v>
      </c>
      <c r="AY1226">
        <v>140</v>
      </c>
      <c r="BC1226" t="str">
        <f t="shared" si="179"/>
        <v>9788997946006</v>
      </c>
      <c r="BE1226" t="str">
        <f t="shared" si="178"/>
        <v>판타지 웹소설 &gt; 현대 판타지</v>
      </c>
    </row>
    <row r="1227" spans="1:57" x14ac:dyDescent="0.3">
      <c r="A1227">
        <v>1525004030</v>
      </c>
      <c r="B1227">
        <v>1525004447</v>
      </c>
      <c r="C1227" t="str">
        <f>T("회귀의 전설 431화")</f>
        <v>회귀의 전설 431화</v>
      </c>
      <c r="D1227" t="str">
        <f>T("431")</f>
        <v>431</v>
      </c>
      <c r="E1227" t="str">
        <f t="shared" si="176"/>
        <v>김광수</v>
      </c>
      <c r="H1227" t="str">
        <f t="shared" si="172"/>
        <v>스토리위즈</v>
      </c>
      <c r="I1227" t="str">
        <f t="shared" si="177"/>
        <v>회귀의 전설</v>
      </c>
      <c r="J1227">
        <v>100</v>
      </c>
      <c r="K1227">
        <v>200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200</v>
      </c>
      <c r="AH1227">
        <v>2</v>
      </c>
      <c r="AI1227">
        <v>0</v>
      </c>
      <c r="AJ1227">
        <v>0</v>
      </c>
      <c r="AK1227">
        <v>200</v>
      </c>
      <c r="AL1227">
        <v>0</v>
      </c>
      <c r="AM1227">
        <v>0</v>
      </c>
      <c r="AN1227">
        <v>0</v>
      </c>
      <c r="AO1227">
        <v>0</v>
      </c>
      <c r="AQ1227">
        <v>0</v>
      </c>
      <c r="AR1227">
        <v>0</v>
      </c>
      <c r="AT1227">
        <v>0</v>
      </c>
      <c r="AU1227">
        <v>0</v>
      </c>
      <c r="AW1227">
        <v>0</v>
      </c>
      <c r="AX1227">
        <v>0</v>
      </c>
      <c r="AY1227">
        <v>140</v>
      </c>
      <c r="BC1227" t="str">
        <f t="shared" si="179"/>
        <v>9788997946006</v>
      </c>
      <c r="BE1227" t="str">
        <f t="shared" si="178"/>
        <v>판타지 웹소설 &gt; 현대 판타지</v>
      </c>
    </row>
    <row r="1228" spans="1:57" x14ac:dyDescent="0.3">
      <c r="A1228">
        <v>1525004030</v>
      </c>
      <c r="B1228">
        <v>1525004065</v>
      </c>
      <c r="C1228" t="str">
        <f>T("회귀의 전설 36화")</f>
        <v>회귀의 전설 36화</v>
      </c>
      <c r="D1228" t="str">
        <f>T("36")</f>
        <v>36</v>
      </c>
      <c r="E1228" t="str">
        <f t="shared" si="176"/>
        <v>김광수</v>
      </c>
      <c r="H1228" t="str">
        <f t="shared" si="172"/>
        <v>스토리위즈</v>
      </c>
      <c r="I1228" t="str">
        <f t="shared" si="177"/>
        <v>회귀의 전설</v>
      </c>
      <c r="J1228">
        <v>100</v>
      </c>
      <c r="K1228">
        <v>200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200</v>
      </c>
      <c r="AH1228">
        <v>2</v>
      </c>
      <c r="AI1228">
        <v>0</v>
      </c>
      <c r="AJ1228">
        <v>0</v>
      </c>
      <c r="AK1228">
        <v>100</v>
      </c>
      <c r="AL1228">
        <v>0</v>
      </c>
      <c r="AM1228">
        <v>120</v>
      </c>
      <c r="AN1228">
        <v>-36</v>
      </c>
      <c r="AO1228">
        <v>0</v>
      </c>
      <c r="AQ1228">
        <v>0</v>
      </c>
      <c r="AR1228">
        <v>0</v>
      </c>
      <c r="AS1228">
        <v>120</v>
      </c>
      <c r="AT1228">
        <v>-36</v>
      </c>
      <c r="AU1228">
        <v>0</v>
      </c>
      <c r="AW1228">
        <v>0</v>
      </c>
      <c r="AX1228">
        <v>0</v>
      </c>
      <c r="AY1228">
        <v>128.80000000000001</v>
      </c>
      <c r="BC1228" t="str">
        <f t="shared" si="179"/>
        <v>9788997946006</v>
      </c>
      <c r="BE1228" t="str">
        <f t="shared" si="178"/>
        <v>판타지 웹소설 &gt; 현대 판타지</v>
      </c>
    </row>
    <row r="1229" spans="1:57" x14ac:dyDescent="0.3">
      <c r="A1229">
        <v>1525004030</v>
      </c>
      <c r="B1229">
        <v>1525006718</v>
      </c>
      <c r="C1229" t="str">
        <f>T("회귀의 전설 2부 601화")</f>
        <v>회귀의 전설 2부 601화</v>
      </c>
      <c r="D1229" t="str">
        <f>T("601")</f>
        <v>601</v>
      </c>
      <c r="E1229" t="str">
        <f t="shared" si="176"/>
        <v>김광수</v>
      </c>
      <c r="H1229" t="str">
        <f t="shared" si="172"/>
        <v>스토리위즈</v>
      </c>
      <c r="I1229" t="str">
        <f t="shared" si="177"/>
        <v>회귀의 전설</v>
      </c>
      <c r="J1229">
        <v>100</v>
      </c>
      <c r="K1229">
        <v>200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200</v>
      </c>
      <c r="AH1229">
        <v>2</v>
      </c>
      <c r="AI1229">
        <v>0</v>
      </c>
      <c r="AJ1229">
        <v>0</v>
      </c>
      <c r="AK1229">
        <v>100</v>
      </c>
      <c r="AL1229">
        <v>0</v>
      </c>
      <c r="AM1229">
        <v>120</v>
      </c>
      <c r="AN1229">
        <v>-12</v>
      </c>
      <c r="AO1229">
        <v>0</v>
      </c>
      <c r="AQ1229">
        <v>0</v>
      </c>
      <c r="AR1229">
        <v>0</v>
      </c>
      <c r="AS1229">
        <v>120</v>
      </c>
      <c r="AT1229">
        <v>-12</v>
      </c>
      <c r="AU1229">
        <v>0</v>
      </c>
      <c r="AW1229">
        <v>0</v>
      </c>
      <c r="AX1229">
        <v>0</v>
      </c>
      <c r="AY1229">
        <v>145.6</v>
      </c>
      <c r="BC1229" t="str">
        <f>T("9791191102086")</f>
        <v>9791191102086</v>
      </c>
      <c r="BE1229" t="str">
        <f t="shared" si="178"/>
        <v>판타지 웹소설 &gt; 현대 판타지</v>
      </c>
    </row>
    <row r="1230" spans="1:57" x14ac:dyDescent="0.3">
      <c r="A1230">
        <v>1525004030</v>
      </c>
      <c r="B1230">
        <v>1525004309</v>
      </c>
      <c r="C1230" t="str">
        <f>T("회귀의 전설 280화")</f>
        <v>회귀의 전설 280화</v>
      </c>
      <c r="D1230" t="str">
        <f>T("280")</f>
        <v>280</v>
      </c>
      <c r="E1230" t="str">
        <f t="shared" si="176"/>
        <v>김광수</v>
      </c>
      <c r="H1230" t="str">
        <f t="shared" si="172"/>
        <v>스토리위즈</v>
      </c>
      <c r="I1230" t="str">
        <f t="shared" si="177"/>
        <v>회귀의 전설</v>
      </c>
      <c r="J1230">
        <v>100</v>
      </c>
      <c r="K1230">
        <v>200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200</v>
      </c>
      <c r="AH1230">
        <v>2</v>
      </c>
      <c r="AI1230">
        <v>0</v>
      </c>
      <c r="AJ1230">
        <v>0</v>
      </c>
      <c r="AK1230">
        <v>200</v>
      </c>
      <c r="AL1230">
        <v>0</v>
      </c>
      <c r="AM1230">
        <v>0</v>
      </c>
      <c r="AN1230">
        <v>0</v>
      </c>
      <c r="AO1230">
        <v>0</v>
      </c>
      <c r="AQ1230">
        <v>0</v>
      </c>
      <c r="AR1230">
        <v>0</v>
      </c>
      <c r="AT1230">
        <v>0</v>
      </c>
      <c r="AU1230">
        <v>0</v>
      </c>
      <c r="AW1230">
        <v>0</v>
      </c>
      <c r="AX1230">
        <v>0</v>
      </c>
      <c r="AY1230">
        <v>140</v>
      </c>
      <c r="BC1230" t="str">
        <f>T("9788997946006")</f>
        <v>9788997946006</v>
      </c>
      <c r="BE1230" t="str">
        <f t="shared" si="178"/>
        <v>판타지 웹소설 &gt; 현대 판타지</v>
      </c>
    </row>
    <row r="1231" spans="1:57" x14ac:dyDescent="0.3">
      <c r="A1231">
        <v>1525004030</v>
      </c>
      <c r="B1231">
        <v>1525006677</v>
      </c>
      <c r="C1231" t="str">
        <f>T("회귀의 전설 2부 560화")</f>
        <v>회귀의 전설 2부 560화</v>
      </c>
      <c r="D1231" t="str">
        <f>T("560")</f>
        <v>560</v>
      </c>
      <c r="E1231" t="str">
        <f t="shared" si="176"/>
        <v>김광수</v>
      </c>
      <c r="H1231" t="str">
        <f t="shared" si="172"/>
        <v>스토리위즈</v>
      </c>
      <c r="I1231" t="str">
        <f t="shared" si="177"/>
        <v>회귀의 전설</v>
      </c>
      <c r="J1231">
        <v>100</v>
      </c>
      <c r="K1231">
        <v>200</v>
      </c>
      <c r="L1231">
        <v>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200</v>
      </c>
      <c r="AH1231">
        <v>2</v>
      </c>
      <c r="AI1231">
        <v>0</v>
      </c>
      <c r="AJ1231">
        <v>0</v>
      </c>
      <c r="AK1231">
        <v>200</v>
      </c>
      <c r="AL1231">
        <v>0</v>
      </c>
      <c r="AM1231">
        <v>0</v>
      </c>
      <c r="AN1231">
        <v>0</v>
      </c>
      <c r="AO1231">
        <v>0</v>
      </c>
      <c r="AQ1231">
        <v>0</v>
      </c>
      <c r="AR1231">
        <v>0</v>
      </c>
      <c r="AT1231">
        <v>0</v>
      </c>
      <c r="AU1231">
        <v>0</v>
      </c>
      <c r="AW1231">
        <v>0</v>
      </c>
      <c r="AX1231">
        <v>0</v>
      </c>
      <c r="AY1231">
        <v>140</v>
      </c>
      <c r="BC1231" t="str">
        <f>T("9791191102086")</f>
        <v>9791191102086</v>
      </c>
      <c r="BE1231" t="str">
        <f t="shared" si="178"/>
        <v>판타지 웹소설 &gt; 현대 판타지</v>
      </c>
    </row>
    <row r="1232" spans="1:57" x14ac:dyDescent="0.3">
      <c r="A1232">
        <v>1525004030</v>
      </c>
      <c r="B1232">
        <v>1525004097</v>
      </c>
      <c r="C1232" t="str">
        <f>T("회귀의 전설 68화")</f>
        <v>회귀의 전설 68화</v>
      </c>
      <c r="D1232" t="str">
        <f>T("68")</f>
        <v>68</v>
      </c>
      <c r="E1232" t="str">
        <f t="shared" si="176"/>
        <v>김광수</v>
      </c>
      <c r="H1232" t="str">
        <f t="shared" si="172"/>
        <v>스토리위즈</v>
      </c>
      <c r="I1232" t="str">
        <f t="shared" si="177"/>
        <v>회귀의 전설</v>
      </c>
      <c r="J1232">
        <v>100</v>
      </c>
      <c r="K1232">
        <v>200</v>
      </c>
      <c r="L1232">
        <v>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200</v>
      </c>
      <c r="AH1232">
        <v>2</v>
      </c>
      <c r="AI1232">
        <v>0</v>
      </c>
      <c r="AJ1232">
        <v>0</v>
      </c>
      <c r="AK1232">
        <v>100</v>
      </c>
      <c r="AL1232">
        <v>0</v>
      </c>
      <c r="AM1232">
        <v>120</v>
      </c>
      <c r="AN1232">
        <v>-36</v>
      </c>
      <c r="AO1232">
        <v>0</v>
      </c>
      <c r="AQ1232">
        <v>0</v>
      </c>
      <c r="AR1232">
        <v>0</v>
      </c>
      <c r="AS1232">
        <v>120</v>
      </c>
      <c r="AT1232">
        <v>-36</v>
      </c>
      <c r="AU1232">
        <v>0</v>
      </c>
      <c r="AW1232">
        <v>0</v>
      </c>
      <c r="AX1232">
        <v>0</v>
      </c>
      <c r="AY1232">
        <v>128.80000000000001</v>
      </c>
      <c r="BC1232" t="str">
        <f>T("9788997946006")</f>
        <v>9788997946006</v>
      </c>
      <c r="BE1232" t="str">
        <f t="shared" si="178"/>
        <v>판타지 웹소설 &gt; 현대 판타지</v>
      </c>
    </row>
    <row r="1233" spans="1:57" x14ac:dyDescent="0.3">
      <c r="A1233">
        <v>1525004030</v>
      </c>
      <c r="B1233">
        <v>1525006832</v>
      </c>
      <c r="C1233" t="str">
        <f>T("회귀의 전설 2부 715화")</f>
        <v>회귀의 전설 2부 715화</v>
      </c>
      <c r="D1233" t="str">
        <f>T("715")</f>
        <v>715</v>
      </c>
      <c r="E1233" t="str">
        <f t="shared" si="176"/>
        <v>김광수</v>
      </c>
      <c r="H1233" t="str">
        <f t="shared" si="172"/>
        <v>스토리위즈</v>
      </c>
      <c r="I1233" t="str">
        <f t="shared" si="177"/>
        <v>회귀의 전설</v>
      </c>
      <c r="J1233">
        <v>100</v>
      </c>
      <c r="K1233">
        <v>200</v>
      </c>
      <c r="L1233">
        <v>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200</v>
      </c>
      <c r="AH1233">
        <v>2</v>
      </c>
      <c r="AI1233">
        <v>0</v>
      </c>
      <c r="AJ1233">
        <v>0</v>
      </c>
      <c r="AK1233">
        <v>100</v>
      </c>
      <c r="AL1233">
        <v>0</v>
      </c>
      <c r="AM1233">
        <v>120</v>
      </c>
      <c r="AN1233">
        <v>-12</v>
      </c>
      <c r="AO1233">
        <v>0</v>
      </c>
      <c r="AQ1233">
        <v>0</v>
      </c>
      <c r="AR1233">
        <v>0</v>
      </c>
      <c r="AS1233">
        <v>120</v>
      </c>
      <c r="AT1233">
        <v>-12</v>
      </c>
      <c r="AU1233">
        <v>0</v>
      </c>
      <c r="AW1233">
        <v>0</v>
      </c>
      <c r="AX1233">
        <v>0</v>
      </c>
      <c r="AY1233">
        <v>145.6</v>
      </c>
      <c r="BC1233" t="str">
        <f>T("9791191102086")</f>
        <v>9791191102086</v>
      </c>
      <c r="BE1233" t="str">
        <f t="shared" si="178"/>
        <v>판타지 웹소설 &gt; 현대 판타지</v>
      </c>
    </row>
    <row r="1234" spans="1:57" x14ac:dyDescent="0.3">
      <c r="A1234">
        <v>1525004030</v>
      </c>
      <c r="B1234">
        <v>1525006791</v>
      </c>
      <c r="C1234" t="str">
        <f>T("회귀의 전설 2부 674화")</f>
        <v>회귀의 전설 2부 674화</v>
      </c>
      <c r="D1234" t="str">
        <f>T("674")</f>
        <v>674</v>
      </c>
      <c r="E1234" t="str">
        <f t="shared" si="176"/>
        <v>김광수</v>
      </c>
      <c r="H1234" t="str">
        <f t="shared" si="172"/>
        <v>스토리위즈</v>
      </c>
      <c r="I1234" t="str">
        <f t="shared" si="177"/>
        <v>회귀의 전설</v>
      </c>
      <c r="J1234">
        <v>100</v>
      </c>
      <c r="K1234">
        <v>200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200</v>
      </c>
      <c r="AH1234">
        <v>2</v>
      </c>
      <c r="AI1234">
        <v>0</v>
      </c>
      <c r="AJ1234">
        <v>0</v>
      </c>
      <c r="AK1234">
        <v>100</v>
      </c>
      <c r="AL1234">
        <v>0</v>
      </c>
      <c r="AM1234">
        <v>120</v>
      </c>
      <c r="AN1234">
        <v>-12</v>
      </c>
      <c r="AO1234">
        <v>0</v>
      </c>
      <c r="AQ1234">
        <v>0</v>
      </c>
      <c r="AR1234">
        <v>0</v>
      </c>
      <c r="AS1234">
        <v>120</v>
      </c>
      <c r="AT1234">
        <v>-12</v>
      </c>
      <c r="AU1234">
        <v>0</v>
      </c>
      <c r="AW1234">
        <v>0</v>
      </c>
      <c r="AX1234">
        <v>0</v>
      </c>
      <c r="AY1234">
        <v>145.6</v>
      </c>
      <c r="BC1234" t="str">
        <f>T("9791191102086")</f>
        <v>9791191102086</v>
      </c>
      <c r="BE1234" t="str">
        <f t="shared" si="178"/>
        <v>판타지 웹소설 &gt; 현대 판타지</v>
      </c>
    </row>
    <row r="1235" spans="1:57" x14ac:dyDescent="0.3">
      <c r="A1235">
        <v>1525004030</v>
      </c>
      <c r="B1235">
        <v>1525006652</v>
      </c>
      <c r="C1235" t="str">
        <f>T("회귀의 전설 2부 535화")</f>
        <v>회귀의 전설 2부 535화</v>
      </c>
      <c r="D1235" t="str">
        <f>T("535")</f>
        <v>535</v>
      </c>
      <c r="E1235" t="str">
        <f t="shared" si="176"/>
        <v>김광수</v>
      </c>
      <c r="H1235" t="str">
        <f t="shared" si="172"/>
        <v>스토리위즈</v>
      </c>
      <c r="I1235" t="str">
        <f t="shared" si="177"/>
        <v>회귀의 전설</v>
      </c>
      <c r="J1235">
        <v>100</v>
      </c>
      <c r="K1235">
        <v>200</v>
      </c>
      <c r="L1235">
        <v>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200</v>
      </c>
      <c r="AH1235">
        <v>2</v>
      </c>
      <c r="AI1235">
        <v>0</v>
      </c>
      <c r="AJ1235">
        <v>0</v>
      </c>
      <c r="AK1235">
        <v>200</v>
      </c>
      <c r="AL1235">
        <v>0</v>
      </c>
      <c r="AM1235">
        <v>0</v>
      </c>
      <c r="AN1235">
        <v>0</v>
      </c>
      <c r="AO1235">
        <v>0</v>
      </c>
      <c r="AQ1235">
        <v>0</v>
      </c>
      <c r="AR1235">
        <v>0</v>
      </c>
      <c r="AT1235">
        <v>0</v>
      </c>
      <c r="AU1235">
        <v>0</v>
      </c>
      <c r="AW1235">
        <v>0</v>
      </c>
      <c r="AX1235">
        <v>0</v>
      </c>
      <c r="AY1235">
        <v>140</v>
      </c>
      <c r="BC1235" t="str">
        <f>T("9791191102086")</f>
        <v>9791191102086</v>
      </c>
      <c r="BE1235" t="str">
        <f t="shared" si="178"/>
        <v>판타지 웹소설 &gt; 현대 판타지</v>
      </c>
    </row>
    <row r="1236" spans="1:57" x14ac:dyDescent="0.3">
      <c r="A1236">
        <v>1525008428</v>
      </c>
      <c r="B1236">
        <v>1525008484</v>
      </c>
      <c r="C1236" t="str">
        <f>T("무히비(Muhibbi) 70화")</f>
        <v>무히비(Muhibbi) 70화</v>
      </c>
      <c r="D1236" t="str">
        <f>T("70")</f>
        <v>70</v>
      </c>
      <c r="E1236" t="str">
        <f>T("jooki")</f>
        <v>jooki</v>
      </c>
      <c r="H1236" t="str">
        <f>T("블러쉬")</f>
        <v>블러쉬</v>
      </c>
      <c r="I1236" t="str">
        <f>T("무히비(Muhibbi)")</f>
        <v>무히비(Muhibbi)</v>
      </c>
      <c r="J1236">
        <v>100</v>
      </c>
      <c r="K1236">
        <v>100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100</v>
      </c>
      <c r="AH1236">
        <v>1</v>
      </c>
      <c r="AI1236">
        <v>0</v>
      </c>
      <c r="AJ1236">
        <v>0</v>
      </c>
      <c r="AK1236">
        <v>100</v>
      </c>
      <c r="AL1236">
        <v>0</v>
      </c>
      <c r="AM1236">
        <v>0</v>
      </c>
      <c r="AN1236">
        <v>0</v>
      </c>
      <c r="AO1236">
        <v>0</v>
      </c>
      <c r="AQ1236">
        <v>0</v>
      </c>
      <c r="AR1236">
        <v>0</v>
      </c>
      <c r="AT1236">
        <v>0</v>
      </c>
      <c r="AU1236">
        <v>0</v>
      </c>
      <c r="AW1236">
        <v>0</v>
      </c>
      <c r="AX1236">
        <v>0</v>
      </c>
      <c r="AY1236">
        <v>70</v>
      </c>
      <c r="BC1236" t="str">
        <f>T("9791164896622")</f>
        <v>9791164896622</v>
      </c>
      <c r="BE1236" t="str">
        <f>T("BL 웹소설 &gt; 역사/시대물")</f>
        <v>BL 웹소설 &gt; 역사/시대물</v>
      </c>
    </row>
    <row r="1237" spans="1:57" x14ac:dyDescent="0.3">
      <c r="A1237">
        <v>1525011523</v>
      </c>
      <c r="B1237">
        <v>1525011315</v>
      </c>
      <c r="C1237" t="str">
        <f>T("남창목가 209화")</f>
        <v>남창목가 209화</v>
      </c>
      <c r="D1237" t="str">
        <f>T("209")</f>
        <v>209</v>
      </c>
      <c r="E1237" t="str">
        <f>T("최재봉")</f>
        <v>최재봉</v>
      </c>
      <c r="H1237" t="str">
        <f>T("에필로그")</f>
        <v>에필로그</v>
      </c>
      <c r="I1237" t="str">
        <f>T("남창목가")</f>
        <v>남창목가</v>
      </c>
      <c r="J1237">
        <v>100</v>
      </c>
      <c r="K1237">
        <v>100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100</v>
      </c>
      <c r="AH1237">
        <v>1</v>
      </c>
      <c r="AI1237">
        <v>0</v>
      </c>
      <c r="AJ1237">
        <v>0</v>
      </c>
      <c r="AK1237">
        <v>0</v>
      </c>
      <c r="AL1237">
        <v>0</v>
      </c>
      <c r="AM1237">
        <v>120</v>
      </c>
      <c r="AN1237">
        <v>-12</v>
      </c>
      <c r="AO1237">
        <v>0</v>
      </c>
      <c r="AQ1237">
        <v>0</v>
      </c>
      <c r="AR1237">
        <v>0</v>
      </c>
      <c r="AS1237">
        <v>120</v>
      </c>
      <c r="AT1237">
        <v>-12</v>
      </c>
      <c r="AU1237">
        <v>0</v>
      </c>
      <c r="AW1237">
        <v>0</v>
      </c>
      <c r="AX1237">
        <v>0</v>
      </c>
      <c r="AY1237">
        <v>75.599999999999994</v>
      </c>
      <c r="BC1237" t="str">
        <f>T("9791164482849")</f>
        <v>9791164482849</v>
      </c>
      <c r="BE1237" t="str">
        <f>T("판타지 웹소설 &gt; 무협 소설")</f>
        <v>판타지 웹소설 &gt; 무협 소설</v>
      </c>
    </row>
    <row r="1238" spans="1:57" x14ac:dyDescent="0.3">
      <c r="A1238">
        <v>1525011523</v>
      </c>
      <c r="B1238">
        <v>1525011500</v>
      </c>
      <c r="C1238" t="str">
        <f>T("남창목가 24화")</f>
        <v>남창목가 24화</v>
      </c>
      <c r="D1238" t="str">
        <f>T("24")</f>
        <v>24</v>
      </c>
      <c r="E1238" t="str">
        <f>T("최재봉")</f>
        <v>최재봉</v>
      </c>
      <c r="H1238" t="str">
        <f>T("에필로그")</f>
        <v>에필로그</v>
      </c>
      <c r="I1238" t="str">
        <f>T("남창목가")</f>
        <v>남창목가</v>
      </c>
      <c r="J1238">
        <v>100</v>
      </c>
      <c r="K1238">
        <v>100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100</v>
      </c>
      <c r="AH1238">
        <v>1</v>
      </c>
      <c r="AI1238">
        <v>0</v>
      </c>
      <c r="AJ1238">
        <v>0</v>
      </c>
      <c r="AK1238">
        <v>100</v>
      </c>
      <c r="AL1238">
        <v>0</v>
      </c>
      <c r="AM1238">
        <v>0</v>
      </c>
      <c r="AN1238">
        <v>0</v>
      </c>
      <c r="AO1238">
        <v>0</v>
      </c>
      <c r="AQ1238">
        <v>0</v>
      </c>
      <c r="AR1238">
        <v>0</v>
      </c>
      <c r="AT1238">
        <v>0</v>
      </c>
      <c r="AU1238">
        <v>0</v>
      </c>
      <c r="AW1238">
        <v>0</v>
      </c>
      <c r="AX1238">
        <v>0</v>
      </c>
      <c r="AY1238">
        <v>70</v>
      </c>
      <c r="BC1238" t="str">
        <f>T("9791164482849")</f>
        <v>9791164482849</v>
      </c>
      <c r="BE1238" t="str">
        <f>T("판타지 웹소설 &gt; 무협 소설")</f>
        <v>판타지 웹소설 &gt; 무협 소설</v>
      </c>
    </row>
    <row r="1239" spans="1:57" x14ac:dyDescent="0.3">
      <c r="A1239">
        <v>1525012551</v>
      </c>
      <c r="B1239">
        <v>1525012599</v>
      </c>
      <c r="C1239" t="str">
        <f>T("개정판 | 바보가 만드는 멋진 세상 49화")</f>
        <v>개정판 | 바보가 만드는 멋진 세상 49화</v>
      </c>
      <c r="D1239" t="str">
        <f>T("49")</f>
        <v>49</v>
      </c>
      <c r="E1239" t="str">
        <f>T("백범(白帆)")</f>
        <v>백범(白帆)</v>
      </c>
      <c r="H1239" t="str">
        <f>T("에필로그")</f>
        <v>에필로그</v>
      </c>
      <c r="I1239" t="str">
        <f>T("개정판 | 바보가 만드는 멋진 세상")</f>
        <v>개정판 | 바보가 만드는 멋진 세상</v>
      </c>
      <c r="J1239">
        <v>100</v>
      </c>
      <c r="K1239">
        <v>100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100</v>
      </c>
      <c r="AH1239">
        <v>1</v>
      </c>
      <c r="AI1239">
        <v>0</v>
      </c>
      <c r="AJ1239">
        <v>0</v>
      </c>
      <c r="AK1239">
        <v>100</v>
      </c>
      <c r="AL1239">
        <v>0</v>
      </c>
      <c r="AM1239">
        <v>0</v>
      </c>
      <c r="AN1239">
        <v>0</v>
      </c>
      <c r="AO1239">
        <v>0</v>
      </c>
      <c r="AQ1239">
        <v>0</v>
      </c>
      <c r="AR1239">
        <v>0</v>
      </c>
      <c r="AT1239">
        <v>0</v>
      </c>
      <c r="AU1239">
        <v>0</v>
      </c>
      <c r="AW1239">
        <v>0</v>
      </c>
      <c r="AX1239">
        <v>0</v>
      </c>
      <c r="AY1239">
        <v>70</v>
      </c>
      <c r="BC1239" t="str">
        <f>T("9791166003493")</f>
        <v>9791166003493</v>
      </c>
      <c r="BE1239" t="str">
        <f>T("판타지 웹소설 &gt; 현대 판타지")</f>
        <v>판타지 웹소설 &gt; 현대 판타지</v>
      </c>
    </row>
    <row r="1240" spans="1:57" x14ac:dyDescent="0.3">
      <c r="A1240">
        <v>1525004799</v>
      </c>
      <c r="B1240">
        <v>1525004949</v>
      </c>
      <c r="C1240" t="str">
        <f>T("검산도해 151화")</f>
        <v>검산도해 151화</v>
      </c>
      <c r="D1240" t="str">
        <f>T("151")</f>
        <v>151</v>
      </c>
      <c r="E1240" t="str">
        <f>T("권용찬")</f>
        <v>권용찬</v>
      </c>
      <c r="H1240" t="str">
        <f>T("스토리위즈")</f>
        <v>스토리위즈</v>
      </c>
      <c r="I1240" t="str">
        <f>T("검산도해")</f>
        <v>검산도해</v>
      </c>
      <c r="J1240">
        <v>100</v>
      </c>
      <c r="K1240">
        <v>100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100</v>
      </c>
      <c r="AH1240">
        <v>1</v>
      </c>
      <c r="AI1240">
        <v>0</v>
      </c>
      <c r="AJ1240">
        <v>0</v>
      </c>
      <c r="AK1240">
        <v>0</v>
      </c>
      <c r="AL1240">
        <v>0</v>
      </c>
      <c r="AM1240">
        <v>120</v>
      </c>
      <c r="AN1240">
        <v>-12</v>
      </c>
      <c r="AO1240">
        <v>0</v>
      </c>
      <c r="AQ1240">
        <v>0</v>
      </c>
      <c r="AR1240">
        <v>0</v>
      </c>
      <c r="AS1240">
        <v>120</v>
      </c>
      <c r="AT1240">
        <v>-12</v>
      </c>
      <c r="AU1240">
        <v>0</v>
      </c>
      <c r="AW1240">
        <v>0</v>
      </c>
      <c r="AX1240">
        <v>0</v>
      </c>
      <c r="AY1240">
        <v>75.599999999999994</v>
      </c>
      <c r="BC1240" t="str">
        <f>T("9791159285936")</f>
        <v>9791159285936</v>
      </c>
      <c r="BE1240" t="str">
        <f>T("판타지 웹소설 &gt; 무협 소설")</f>
        <v>판타지 웹소설 &gt; 무협 소설</v>
      </c>
    </row>
    <row r="1241" spans="1:57" x14ac:dyDescent="0.3">
      <c r="A1241">
        <v>1525004030</v>
      </c>
      <c r="B1241">
        <v>1525007038</v>
      </c>
      <c r="C1241" t="str">
        <f>T("회귀의 전설 2부 922화")</f>
        <v>회귀의 전설 2부 922화</v>
      </c>
      <c r="D1241" t="str">
        <f>T("922")</f>
        <v>922</v>
      </c>
      <c r="E1241" t="str">
        <f>T("김광수")</f>
        <v>김광수</v>
      </c>
      <c r="H1241" t="str">
        <f>T("스토리위즈")</f>
        <v>스토리위즈</v>
      </c>
      <c r="I1241" t="str">
        <f>T("회귀의 전설")</f>
        <v>회귀의 전설</v>
      </c>
      <c r="J1241">
        <v>100</v>
      </c>
      <c r="K1241">
        <v>100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100</v>
      </c>
      <c r="AH1241">
        <v>1</v>
      </c>
      <c r="AI1241">
        <v>0</v>
      </c>
      <c r="AJ1241">
        <v>0</v>
      </c>
      <c r="AK1241">
        <v>100</v>
      </c>
      <c r="AL1241">
        <v>0</v>
      </c>
      <c r="AM1241">
        <v>0</v>
      </c>
      <c r="AN1241">
        <v>0</v>
      </c>
      <c r="AO1241">
        <v>0</v>
      </c>
      <c r="AQ1241">
        <v>0</v>
      </c>
      <c r="AR1241">
        <v>0</v>
      </c>
      <c r="AT1241">
        <v>0</v>
      </c>
      <c r="AU1241">
        <v>0</v>
      </c>
      <c r="AW1241">
        <v>0</v>
      </c>
      <c r="AX1241">
        <v>0</v>
      </c>
      <c r="AY1241">
        <v>70</v>
      </c>
      <c r="BC1241" t="str">
        <f>T("9791191102086")</f>
        <v>9791191102086</v>
      </c>
      <c r="BE1241" t="str">
        <f>T("판타지 웹소설 &gt; 현대 판타지")</f>
        <v>판타지 웹소설 &gt; 현대 판타지</v>
      </c>
    </row>
    <row r="1242" spans="1:57" x14ac:dyDescent="0.3">
      <c r="A1242">
        <v>1525008428</v>
      </c>
      <c r="B1242">
        <v>1525008441</v>
      </c>
      <c r="C1242" t="str">
        <f>T("무히비(Muhibbi) 31화")</f>
        <v>무히비(Muhibbi) 31화</v>
      </c>
      <c r="D1242" t="str">
        <f>T("31")</f>
        <v>31</v>
      </c>
      <c r="E1242" t="str">
        <f>T("jooki")</f>
        <v>jooki</v>
      </c>
      <c r="H1242" t="str">
        <f>T("블러쉬")</f>
        <v>블러쉬</v>
      </c>
      <c r="I1242" t="str">
        <f>T("무히비(Muhibbi)")</f>
        <v>무히비(Muhibbi)</v>
      </c>
      <c r="J1242">
        <v>100</v>
      </c>
      <c r="K1242">
        <v>100</v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100</v>
      </c>
      <c r="AH1242">
        <v>1</v>
      </c>
      <c r="AI1242">
        <v>0</v>
      </c>
      <c r="AJ1242">
        <v>0</v>
      </c>
      <c r="AK1242">
        <v>100</v>
      </c>
      <c r="AL1242">
        <v>0</v>
      </c>
      <c r="AM1242">
        <v>0</v>
      </c>
      <c r="AN1242">
        <v>0</v>
      </c>
      <c r="AO1242">
        <v>0</v>
      </c>
      <c r="AQ1242">
        <v>0</v>
      </c>
      <c r="AR1242">
        <v>0</v>
      </c>
      <c r="AT1242">
        <v>0</v>
      </c>
      <c r="AU1242">
        <v>0</v>
      </c>
      <c r="AW1242">
        <v>0</v>
      </c>
      <c r="AX1242">
        <v>0</v>
      </c>
      <c r="AY1242">
        <v>70</v>
      </c>
      <c r="BC1242" t="str">
        <f>T("9791164896622")</f>
        <v>9791164896622</v>
      </c>
      <c r="BE1242" t="str">
        <f>T("BL 웹소설 &gt; 역사/시대물")</f>
        <v>BL 웹소설 &gt; 역사/시대물</v>
      </c>
    </row>
    <row r="1243" spans="1:57" x14ac:dyDescent="0.3">
      <c r="A1243">
        <v>1525004030</v>
      </c>
      <c r="B1243">
        <v>1525006997</v>
      </c>
      <c r="C1243" t="str">
        <f>T("회귀의 전설 2부 881화")</f>
        <v>회귀의 전설 2부 881화</v>
      </c>
      <c r="D1243" t="str">
        <f>T("881")</f>
        <v>881</v>
      </c>
      <c r="E1243" t="str">
        <f>T("김광수")</f>
        <v>김광수</v>
      </c>
      <c r="H1243" t="str">
        <f>T("스토리위즈")</f>
        <v>스토리위즈</v>
      </c>
      <c r="I1243" t="str">
        <f>T("회귀의 전설")</f>
        <v>회귀의 전설</v>
      </c>
      <c r="J1243">
        <v>100</v>
      </c>
      <c r="K1243">
        <v>100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100</v>
      </c>
      <c r="AH1243">
        <v>1</v>
      </c>
      <c r="AI1243">
        <v>0</v>
      </c>
      <c r="AJ1243">
        <v>0</v>
      </c>
      <c r="AK1243">
        <v>100</v>
      </c>
      <c r="AL1243">
        <v>0</v>
      </c>
      <c r="AM1243">
        <v>0</v>
      </c>
      <c r="AN1243">
        <v>0</v>
      </c>
      <c r="AO1243">
        <v>0</v>
      </c>
      <c r="AQ1243">
        <v>0</v>
      </c>
      <c r="AR1243">
        <v>0</v>
      </c>
      <c r="AT1243">
        <v>0</v>
      </c>
      <c r="AU1243">
        <v>0</v>
      </c>
      <c r="AW1243">
        <v>0</v>
      </c>
      <c r="AX1243">
        <v>0</v>
      </c>
      <c r="AY1243">
        <v>70</v>
      </c>
      <c r="BC1243" t="str">
        <f>T("9791191102086")</f>
        <v>9791191102086</v>
      </c>
      <c r="BE1243" t="str">
        <f>T("판타지 웹소설 &gt; 현대 판타지")</f>
        <v>판타지 웹소설 &gt; 현대 판타지</v>
      </c>
    </row>
    <row r="1244" spans="1:57" x14ac:dyDescent="0.3">
      <c r="A1244">
        <v>1525011523</v>
      </c>
      <c r="B1244">
        <v>1525011396</v>
      </c>
      <c r="C1244" t="str">
        <f>T("남창목가 128화")</f>
        <v>남창목가 128화</v>
      </c>
      <c r="D1244" t="str">
        <f>T("128")</f>
        <v>128</v>
      </c>
      <c r="E1244" t="str">
        <f>T("최재봉")</f>
        <v>최재봉</v>
      </c>
      <c r="H1244" t="str">
        <f>T("에필로그")</f>
        <v>에필로그</v>
      </c>
      <c r="I1244" t="str">
        <f>T("남창목가")</f>
        <v>남창목가</v>
      </c>
      <c r="J1244">
        <v>100</v>
      </c>
      <c r="K1244">
        <v>100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100</v>
      </c>
      <c r="AH1244">
        <v>1</v>
      </c>
      <c r="AI1244">
        <v>0</v>
      </c>
      <c r="AJ1244">
        <v>0</v>
      </c>
      <c r="AK1244">
        <v>100</v>
      </c>
      <c r="AL1244">
        <v>0</v>
      </c>
      <c r="AM1244">
        <v>0</v>
      </c>
      <c r="AN1244">
        <v>0</v>
      </c>
      <c r="AO1244">
        <v>0</v>
      </c>
      <c r="AQ1244">
        <v>0</v>
      </c>
      <c r="AR1244">
        <v>0</v>
      </c>
      <c r="AT1244">
        <v>0</v>
      </c>
      <c r="AU1244">
        <v>0</v>
      </c>
      <c r="AW1244">
        <v>0</v>
      </c>
      <c r="AX1244">
        <v>0</v>
      </c>
      <c r="AY1244">
        <v>70</v>
      </c>
      <c r="BC1244" t="str">
        <f>T("9791164482849")</f>
        <v>9791164482849</v>
      </c>
      <c r="BE1244" t="str">
        <f>T("판타지 웹소설 &gt; 무협 소설")</f>
        <v>판타지 웹소설 &gt; 무협 소설</v>
      </c>
    </row>
    <row r="1245" spans="1:57" x14ac:dyDescent="0.3">
      <c r="A1245">
        <v>1525013020</v>
      </c>
      <c r="B1245">
        <v>1525013079</v>
      </c>
      <c r="C1245" t="str">
        <f>T("악당의 리턴 60화")</f>
        <v>악당의 리턴 60화</v>
      </c>
      <c r="D1245" t="str">
        <f>T("60")</f>
        <v>60</v>
      </c>
      <c r="E1245" t="str">
        <f>T("백범(白帆)")</f>
        <v>백범(白帆)</v>
      </c>
      <c r="H1245" t="str">
        <f>T("에필로그")</f>
        <v>에필로그</v>
      </c>
      <c r="I1245" t="str">
        <f>T("악당의 리턴")</f>
        <v>악당의 리턴</v>
      </c>
      <c r="J1245">
        <v>100</v>
      </c>
      <c r="K1245">
        <v>100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100</v>
      </c>
      <c r="AH1245">
        <v>1</v>
      </c>
      <c r="AI1245">
        <v>0</v>
      </c>
      <c r="AJ1245">
        <v>0</v>
      </c>
      <c r="AK1245">
        <v>100</v>
      </c>
      <c r="AL1245">
        <v>0</v>
      </c>
      <c r="AM1245">
        <v>0</v>
      </c>
      <c r="AN1245">
        <v>0</v>
      </c>
      <c r="AO1245">
        <v>0</v>
      </c>
      <c r="AQ1245">
        <v>0</v>
      </c>
      <c r="AR1245">
        <v>0</v>
      </c>
      <c r="AT1245">
        <v>0</v>
      </c>
      <c r="AU1245">
        <v>0</v>
      </c>
      <c r="AW1245">
        <v>0</v>
      </c>
      <c r="AX1245">
        <v>0</v>
      </c>
      <c r="AY1245">
        <v>70</v>
      </c>
      <c r="BC1245" t="str">
        <f>T("9791196538927")</f>
        <v>9791196538927</v>
      </c>
      <c r="BE1245" t="str">
        <f>T("판타지 웹소설 &gt; 현대 판타지")</f>
        <v>판타지 웹소설 &gt; 현대 판타지</v>
      </c>
    </row>
    <row r="1246" spans="1:57" x14ac:dyDescent="0.3">
      <c r="A1246">
        <v>1525004030</v>
      </c>
      <c r="B1246">
        <v>1525007153</v>
      </c>
      <c r="C1246" t="str">
        <f>T("회귀의 전설 2부 1036화")</f>
        <v>회귀의 전설 2부 1036화</v>
      </c>
      <c r="D1246" t="str">
        <f>T("1036")</f>
        <v>1036</v>
      </c>
      <c r="E1246" t="str">
        <f>T("김광수")</f>
        <v>김광수</v>
      </c>
      <c r="H1246" t="str">
        <f>T("스토리위즈")</f>
        <v>스토리위즈</v>
      </c>
      <c r="I1246" t="str">
        <f>T("회귀의 전설")</f>
        <v>회귀의 전설</v>
      </c>
      <c r="J1246">
        <v>100</v>
      </c>
      <c r="K1246">
        <v>100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100</v>
      </c>
      <c r="AH1246">
        <v>1</v>
      </c>
      <c r="AI1246">
        <v>0</v>
      </c>
      <c r="AJ1246">
        <v>0</v>
      </c>
      <c r="AK1246">
        <v>100</v>
      </c>
      <c r="AL1246">
        <v>0</v>
      </c>
      <c r="AM1246">
        <v>0</v>
      </c>
      <c r="AN1246">
        <v>0</v>
      </c>
      <c r="AO1246">
        <v>0</v>
      </c>
      <c r="AQ1246">
        <v>0</v>
      </c>
      <c r="AR1246">
        <v>0</v>
      </c>
      <c r="AT1246">
        <v>0</v>
      </c>
      <c r="AU1246">
        <v>0</v>
      </c>
      <c r="AW1246">
        <v>0</v>
      </c>
      <c r="AX1246">
        <v>0</v>
      </c>
      <c r="AY1246">
        <v>70</v>
      </c>
      <c r="BC1246" t="str">
        <f>T("9791191102086")</f>
        <v>9791191102086</v>
      </c>
      <c r="BE1246" t="str">
        <f>T("판타지 웹소설 &gt; 현대 판타지")</f>
        <v>판타지 웹소설 &gt; 현대 판타지</v>
      </c>
    </row>
    <row r="1247" spans="1:57" x14ac:dyDescent="0.3">
      <c r="A1247">
        <v>1525008545</v>
      </c>
      <c r="B1247">
        <v>1525008566</v>
      </c>
      <c r="C1247" t="str">
        <f>T("소년연애담 39화")</f>
        <v>소년연애담 39화</v>
      </c>
      <c r="D1247" t="str">
        <f>T("39")</f>
        <v>39</v>
      </c>
      <c r="E1247" t="str">
        <f>T("나나코")</f>
        <v>나나코</v>
      </c>
      <c r="H1247" t="str">
        <f>T("블러쉬")</f>
        <v>블러쉬</v>
      </c>
      <c r="I1247" t="str">
        <f>T("소년연애담")</f>
        <v>소년연애담</v>
      </c>
      <c r="J1247">
        <v>100</v>
      </c>
      <c r="K1247">
        <v>100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100</v>
      </c>
      <c r="AH1247">
        <v>1</v>
      </c>
      <c r="AI1247">
        <v>0</v>
      </c>
      <c r="AJ1247">
        <v>0</v>
      </c>
      <c r="AK1247">
        <v>100</v>
      </c>
      <c r="AL1247">
        <v>0</v>
      </c>
      <c r="AM1247">
        <v>0</v>
      </c>
      <c r="AN1247">
        <v>0</v>
      </c>
      <c r="AO1247">
        <v>0</v>
      </c>
      <c r="AQ1247">
        <v>0</v>
      </c>
      <c r="AR1247">
        <v>0</v>
      </c>
      <c r="AT1247">
        <v>0</v>
      </c>
      <c r="AU1247">
        <v>0</v>
      </c>
      <c r="AW1247">
        <v>0</v>
      </c>
      <c r="AX1247">
        <v>0</v>
      </c>
      <c r="AY1247">
        <v>70</v>
      </c>
      <c r="BA1247" t="str">
        <f>T("0000000000000")</f>
        <v>0000000000000</v>
      </c>
      <c r="BC1247" t="str">
        <f>T("9791164890729")</f>
        <v>9791164890729</v>
      </c>
      <c r="BD1247" t="str">
        <f>T("B12")</f>
        <v>B12</v>
      </c>
      <c r="BE1247" t="str">
        <f>T("BL 웹소설 &gt; 현대물")</f>
        <v>BL 웹소설 &gt; 현대물</v>
      </c>
    </row>
    <row r="1248" spans="1:57" x14ac:dyDescent="0.3">
      <c r="A1248">
        <v>1525012551</v>
      </c>
      <c r="B1248">
        <v>1525012640</v>
      </c>
      <c r="C1248" t="str">
        <f>T("개정판 | 바보가 만드는 멋진 세상 90화")</f>
        <v>개정판 | 바보가 만드는 멋진 세상 90화</v>
      </c>
      <c r="D1248" t="str">
        <f>T("90")</f>
        <v>90</v>
      </c>
      <c r="E1248" t="str">
        <f>T("백범(白帆)")</f>
        <v>백범(白帆)</v>
      </c>
      <c r="H1248" t="str">
        <f>T("에필로그")</f>
        <v>에필로그</v>
      </c>
      <c r="I1248" t="str">
        <f>T("개정판 | 바보가 만드는 멋진 세상")</f>
        <v>개정판 | 바보가 만드는 멋진 세상</v>
      </c>
      <c r="J1248">
        <v>100</v>
      </c>
      <c r="K1248">
        <v>100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100</v>
      </c>
      <c r="AH1248">
        <v>1</v>
      </c>
      <c r="AI1248">
        <v>0</v>
      </c>
      <c r="AJ1248">
        <v>0</v>
      </c>
      <c r="AK1248">
        <v>100</v>
      </c>
      <c r="AL1248">
        <v>0</v>
      </c>
      <c r="AM1248">
        <v>0</v>
      </c>
      <c r="AN1248">
        <v>0</v>
      </c>
      <c r="AO1248">
        <v>0</v>
      </c>
      <c r="AQ1248">
        <v>0</v>
      </c>
      <c r="AR1248">
        <v>0</v>
      </c>
      <c r="AT1248">
        <v>0</v>
      </c>
      <c r="AU1248">
        <v>0</v>
      </c>
      <c r="AW1248">
        <v>0</v>
      </c>
      <c r="AX1248">
        <v>0</v>
      </c>
      <c r="AY1248">
        <v>70</v>
      </c>
      <c r="BC1248" t="str">
        <f>T("9791166003493")</f>
        <v>9791166003493</v>
      </c>
      <c r="BE1248" t="str">
        <f>T("판타지 웹소설 &gt; 현대 판타지")</f>
        <v>판타지 웹소설 &gt; 현대 판타지</v>
      </c>
    </row>
    <row r="1249" spans="1:57" x14ac:dyDescent="0.3">
      <c r="A1249">
        <v>1525012551</v>
      </c>
      <c r="B1249">
        <v>1525012631</v>
      </c>
      <c r="C1249" t="str">
        <f>T("개정판 | 바보가 만드는 멋진 세상 81화")</f>
        <v>개정판 | 바보가 만드는 멋진 세상 81화</v>
      </c>
      <c r="D1249" t="str">
        <f>T("81")</f>
        <v>81</v>
      </c>
      <c r="E1249" t="str">
        <f>T("백범(白帆)")</f>
        <v>백범(白帆)</v>
      </c>
      <c r="H1249" t="str">
        <f>T("에필로그")</f>
        <v>에필로그</v>
      </c>
      <c r="I1249" t="str">
        <f>T("개정판 | 바보가 만드는 멋진 세상")</f>
        <v>개정판 | 바보가 만드는 멋진 세상</v>
      </c>
      <c r="J1249">
        <v>100</v>
      </c>
      <c r="K1249">
        <v>100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100</v>
      </c>
      <c r="AH1249">
        <v>1</v>
      </c>
      <c r="AI1249">
        <v>0</v>
      </c>
      <c r="AJ1249">
        <v>0</v>
      </c>
      <c r="AK1249">
        <v>100</v>
      </c>
      <c r="AL1249">
        <v>0</v>
      </c>
      <c r="AM1249">
        <v>0</v>
      </c>
      <c r="AN1249">
        <v>0</v>
      </c>
      <c r="AO1249">
        <v>0</v>
      </c>
      <c r="AQ1249">
        <v>0</v>
      </c>
      <c r="AR1249">
        <v>0</v>
      </c>
      <c r="AT1249">
        <v>0</v>
      </c>
      <c r="AU1249">
        <v>0</v>
      </c>
      <c r="AW1249">
        <v>0</v>
      </c>
      <c r="AX1249">
        <v>0</v>
      </c>
      <c r="AY1249">
        <v>70</v>
      </c>
      <c r="BC1249" t="str">
        <f>T("9791166003493")</f>
        <v>9791166003493</v>
      </c>
      <c r="BE1249" t="str">
        <f>T("판타지 웹소설 &gt; 현대 판타지")</f>
        <v>판타지 웹소설 &gt; 현대 판타지</v>
      </c>
    </row>
    <row r="1250" spans="1:57" x14ac:dyDescent="0.3">
      <c r="A1250">
        <v>1525004799</v>
      </c>
      <c r="B1250">
        <v>1525004868</v>
      </c>
      <c r="C1250" t="str">
        <f>T("검산도해 70화")</f>
        <v>검산도해 70화</v>
      </c>
      <c r="D1250" t="str">
        <f>T("70")</f>
        <v>70</v>
      </c>
      <c r="E1250" t="str">
        <f>T("권용찬")</f>
        <v>권용찬</v>
      </c>
      <c r="H1250" t="str">
        <f>T("스토리위즈")</f>
        <v>스토리위즈</v>
      </c>
      <c r="I1250" t="str">
        <f>T("검산도해")</f>
        <v>검산도해</v>
      </c>
      <c r="J1250">
        <v>100</v>
      </c>
      <c r="K1250">
        <v>100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100</v>
      </c>
      <c r="AH1250">
        <v>1</v>
      </c>
      <c r="AI1250">
        <v>0</v>
      </c>
      <c r="AJ1250">
        <v>0</v>
      </c>
      <c r="AK1250">
        <v>0</v>
      </c>
      <c r="AL1250">
        <v>0</v>
      </c>
      <c r="AM1250">
        <v>120</v>
      </c>
      <c r="AN1250">
        <v>-12</v>
      </c>
      <c r="AO1250">
        <v>0</v>
      </c>
      <c r="AQ1250">
        <v>0</v>
      </c>
      <c r="AR1250">
        <v>0</v>
      </c>
      <c r="AS1250">
        <v>120</v>
      </c>
      <c r="AT1250">
        <v>-12</v>
      </c>
      <c r="AU1250">
        <v>0</v>
      </c>
      <c r="AW1250">
        <v>0</v>
      </c>
      <c r="AX1250">
        <v>0</v>
      </c>
      <c r="AY1250">
        <v>75.599999999999994</v>
      </c>
      <c r="BC1250" t="str">
        <f>T("9791159285936")</f>
        <v>9791159285936</v>
      </c>
      <c r="BE1250" t="str">
        <f>T("판타지 웹소설 &gt; 무협 소설")</f>
        <v>판타지 웹소설 &gt; 무협 소설</v>
      </c>
    </row>
    <row r="1251" spans="1:57" x14ac:dyDescent="0.3">
      <c r="A1251">
        <v>1525000924</v>
      </c>
      <c r="B1251">
        <v>1525000964</v>
      </c>
      <c r="C1251" t="str">
        <f>T("스피릿 소드 41화")</f>
        <v>스피릿 소드 41화</v>
      </c>
      <c r="D1251" t="str">
        <f>T("41")</f>
        <v>41</v>
      </c>
      <c r="E1251" t="str">
        <f>T("김정률")</f>
        <v>김정률</v>
      </c>
      <c r="H1251" t="str">
        <f>T("스토리위즈")</f>
        <v>스토리위즈</v>
      </c>
      <c r="I1251" t="str">
        <f>T("스피릿 소드")</f>
        <v>스피릿 소드</v>
      </c>
      <c r="J1251">
        <v>100</v>
      </c>
      <c r="K1251">
        <v>100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100</v>
      </c>
      <c r="AH1251">
        <v>1</v>
      </c>
      <c r="AI1251">
        <v>0</v>
      </c>
      <c r="AJ1251">
        <v>0</v>
      </c>
      <c r="AK1251">
        <v>100</v>
      </c>
      <c r="AL1251">
        <v>0</v>
      </c>
      <c r="AM1251">
        <v>0</v>
      </c>
      <c r="AN1251">
        <v>0</v>
      </c>
      <c r="AO1251">
        <v>0</v>
      </c>
      <c r="AQ1251">
        <v>0</v>
      </c>
      <c r="AR1251">
        <v>0</v>
      </c>
      <c r="AT1251">
        <v>0</v>
      </c>
      <c r="AU1251">
        <v>0</v>
      </c>
      <c r="AW1251">
        <v>0</v>
      </c>
      <c r="AX1251">
        <v>0</v>
      </c>
      <c r="AY1251">
        <v>70</v>
      </c>
      <c r="BA1251" t="str">
        <f>T("9791159282713")</f>
        <v>9791159282713</v>
      </c>
      <c r="BC1251" t="str">
        <f>T("9791159282713")</f>
        <v>9791159282713</v>
      </c>
      <c r="BE1251" t="str">
        <f>T("판타지 웹소설 &gt; 정통 판타지")</f>
        <v>판타지 웹소설 &gt; 정통 판타지</v>
      </c>
    </row>
    <row r="1252" spans="1:57" x14ac:dyDescent="0.3">
      <c r="A1252">
        <v>1525004030</v>
      </c>
      <c r="B1252">
        <v>1525004526</v>
      </c>
      <c r="C1252" t="str">
        <f>T("회귀의 전설 493화")</f>
        <v>회귀의 전설 493화</v>
      </c>
      <c r="D1252" t="str">
        <f>T("493")</f>
        <v>493</v>
      </c>
      <c r="E1252" t="str">
        <f>T("김광수")</f>
        <v>김광수</v>
      </c>
      <c r="H1252" t="str">
        <f>T("스토리위즈")</f>
        <v>스토리위즈</v>
      </c>
      <c r="I1252" t="str">
        <f>T("회귀의 전설")</f>
        <v>회귀의 전설</v>
      </c>
      <c r="J1252">
        <v>100</v>
      </c>
      <c r="K1252">
        <v>100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100</v>
      </c>
      <c r="AH1252">
        <v>1</v>
      </c>
      <c r="AI1252">
        <v>0</v>
      </c>
      <c r="AJ1252">
        <v>0</v>
      </c>
      <c r="AK1252">
        <v>100</v>
      </c>
      <c r="AL1252">
        <v>0</v>
      </c>
      <c r="AM1252">
        <v>0</v>
      </c>
      <c r="AN1252">
        <v>0</v>
      </c>
      <c r="AO1252">
        <v>0</v>
      </c>
      <c r="AQ1252">
        <v>0</v>
      </c>
      <c r="AR1252">
        <v>0</v>
      </c>
      <c r="AT1252">
        <v>0</v>
      </c>
      <c r="AU1252">
        <v>0</v>
      </c>
      <c r="AW1252">
        <v>0</v>
      </c>
      <c r="AX1252">
        <v>0</v>
      </c>
      <c r="AY1252">
        <v>70</v>
      </c>
      <c r="BC1252" t="str">
        <f>T("9788997946006")</f>
        <v>9788997946006</v>
      </c>
      <c r="BE1252" t="str">
        <f>T("판타지 웹소설 &gt; 현대 판타지")</f>
        <v>판타지 웹소설 &gt; 현대 판타지</v>
      </c>
    </row>
    <row r="1253" spans="1:57" x14ac:dyDescent="0.3">
      <c r="A1253">
        <v>1525008545</v>
      </c>
      <c r="B1253">
        <v>1525008583</v>
      </c>
      <c r="C1253" t="str">
        <f>T("소년연애담 54화")</f>
        <v>소년연애담 54화</v>
      </c>
      <c r="D1253" t="str">
        <f>T("54")</f>
        <v>54</v>
      </c>
      <c r="E1253" t="str">
        <f>T("나나코")</f>
        <v>나나코</v>
      </c>
      <c r="H1253" t="str">
        <f>T("블러쉬")</f>
        <v>블러쉬</v>
      </c>
      <c r="I1253" t="str">
        <f>T("소년연애담")</f>
        <v>소년연애담</v>
      </c>
      <c r="J1253">
        <v>100</v>
      </c>
      <c r="K1253">
        <v>100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100</v>
      </c>
      <c r="AH1253">
        <v>1</v>
      </c>
      <c r="AI1253">
        <v>0</v>
      </c>
      <c r="AJ1253">
        <v>0</v>
      </c>
      <c r="AK1253">
        <v>100</v>
      </c>
      <c r="AL1253">
        <v>0</v>
      </c>
      <c r="AM1253">
        <v>0</v>
      </c>
      <c r="AN1253">
        <v>0</v>
      </c>
      <c r="AO1253">
        <v>0</v>
      </c>
      <c r="AQ1253">
        <v>0</v>
      </c>
      <c r="AR1253">
        <v>0</v>
      </c>
      <c r="AT1253">
        <v>0</v>
      </c>
      <c r="AU1253">
        <v>0</v>
      </c>
      <c r="AW1253">
        <v>0</v>
      </c>
      <c r="AX1253">
        <v>0</v>
      </c>
      <c r="AY1253">
        <v>70</v>
      </c>
      <c r="BA1253" t="str">
        <f>T("0000000000000")</f>
        <v>0000000000000</v>
      </c>
      <c r="BC1253" t="str">
        <f>T("9791164890729")</f>
        <v>9791164890729</v>
      </c>
      <c r="BD1253" t="str">
        <f>T("B12")</f>
        <v>B12</v>
      </c>
      <c r="BE1253" t="str">
        <f>T("BL 웹소설 &gt; 현대물")</f>
        <v>BL 웹소설 &gt; 현대물</v>
      </c>
    </row>
    <row r="1254" spans="1:57" x14ac:dyDescent="0.3">
      <c r="A1254">
        <v>1525012551</v>
      </c>
      <c r="B1254">
        <v>1525012672</v>
      </c>
      <c r="C1254" t="str">
        <f>T("개정판 | 바보가 만드는 멋진 세상 122화")</f>
        <v>개정판 | 바보가 만드는 멋진 세상 122화</v>
      </c>
      <c r="D1254" t="str">
        <f>T("122")</f>
        <v>122</v>
      </c>
      <c r="E1254" t="str">
        <f>T("백범(白帆)")</f>
        <v>백범(白帆)</v>
      </c>
      <c r="H1254" t="str">
        <f>T("에필로그")</f>
        <v>에필로그</v>
      </c>
      <c r="I1254" t="str">
        <f>T("개정판 | 바보가 만드는 멋진 세상")</f>
        <v>개정판 | 바보가 만드는 멋진 세상</v>
      </c>
      <c r="J1254">
        <v>100</v>
      </c>
      <c r="K1254">
        <v>100</v>
      </c>
      <c r="L1254">
        <v>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100</v>
      </c>
      <c r="AH1254">
        <v>1</v>
      </c>
      <c r="AI1254">
        <v>0</v>
      </c>
      <c r="AJ1254">
        <v>0</v>
      </c>
      <c r="AK1254">
        <v>100</v>
      </c>
      <c r="AL1254">
        <v>0</v>
      </c>
      <c r="AM1254">
        <v>0</v>
      </c>
      <c r="AN1254">
        <v>0</v>
      </c>
      <c r="AO1254">
        <v>0</v>
      </c>
      <c r="AQ1254">
        <v>0</v>
      </c>
      <c r="AR1254">
        <v>0</v>
      </c>
      <c r="AT1254">
        <v>0</v>
      </c>
      <c r="AU1254">
        <v>0</v>
      </c>
      <c r="AW1254">
        <v>0</v>
      </c>
      <c r="AX1254">
        <v>0</v>
      </c>
      <c r="AY1254">
        <v>70</v>
      </c>
      <c r="BC1254" t="str">
        <f>T("9791166003493")</f>
        <v>9791166003493</v>
      </c>
      <c r="BE1254" t="str">
        <f>T("판타지 웹소설 &gt; 현대 판타지")</f>
        <v>판타지 웹소설 &gt; 현대 판타지</v>
      </c>
    </row>
    <row r="1255" spans="1:57" x14ac:dyDescent="0.3">
      <c r="A1255">
        <v>1525004799</v>
      </c>
      <c r="B1255">
        <v>1525004843</v>
      </c>
      <c r="C1255" t="str">
        <f>T("검산도해 45화")</f>
        <v>검산도해 45화</v>
      </c>
      <c r="D1255" t="str">
        <f>T("45")</f>
        <v>45</v>
      </c>
      <c r="E1255" t="str">
        <f>T("권용찬")</f>
        <v>권용찬</v>
      </c>
      <c r="H1255" t="str">
        <f>T("스토리위즈")</f>
        <v>스토리위즈</v>
      </c>
      <c r="I1255" t="str">
        <f>T("검산도해")</f>
        <v>검산도해</v>
      </c>
      <c r="J1255">
        <v>100</v>
      </c>
      <c r="K1255">
        <v>100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100</v>
      </c>
      <c r="AH1255">
        <v>1</v>
      </c>
      <c r="AI1255">
        <v>0</v>
      </c>
      <c r="AJ1255">
        <v>0</v>
      </c>
      <c r="AK1255">
        <v>0</v>
      </c>
      <c r="AL1255">
        <v>0</v>
      </c>
      <c r="AM1255">
        <v>120</v>
      </c>
      <c r="AN1255">
        <v>-12</v>
      </c>
      <c r="AO1255">
        <v>0</v>
      </c>
      <c r="AQ1255">
        <v>0</v>
      </c>
      <c r="AR1255">
        <v>0</v>
      </c>
      <c r="AS1255">
        <v>120</v>
      </c>
      <c r="AT1255">
        <v>-12</v>
      </c>
      <c r="AU1255">
        <v>0</v>
      </c>
      <c r="AW1255">
        <v>0</v>
      </c>
      <c r="AX1255">
        <v>0</v>
      </c>
      <c r="AY1255">
        <v>75.599999999999994</v>
      </c>
      <c r="BC1255" t="str">
        <f>T("9791159285936")</f>
        <v>9791159285936</v>
      </c>
      <c r="BE1255" t="str">
        <f>T("판타지 웹소설 &gt; 무협 소설")</f>
        <v>판타지 웹소설 &gt; 무협 소설</v>
      </c>
    </row>
    <row r="1256" spans="1:57" x14ac:dyDescent="0.3">
      <c r="A1256">
        <v>1525004799</v>
      </c>
      <c r="B1256">
        <v>1525004900</v>
      </c>
      <c r="C1256" t="str">
        <f>T("검산도해 102화")</f>
        <v>검산도해 102화</v>
      </c>
      <c r="D1256" t="str">
        <f>T("102")</f>
        <v>102</v>
      </c>
      <c r="E1256" t="str">
        <f>T("권용찬")</f>
        <v>권용찬</v>
      </c>
      <c r="H1256" t="str">
        <f>T("스토리위즈")</f>
        <v>스토리위즈</v>
      </c>
      <c r="I1256" t="str">
        <f>T("검산도해")</f>
        <v>검산도해</v>
      </c>
      <c r="J1256">
        <v>100</v>
      </c>
      <c r="K1256">
        <v>100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100</v>
      </c>
      <c r="AH1256">
        <v>1</v>
      </c>
      <c r="AI1256">
        <v>0</v>
      </c>
      <c r="AJ1256">
        <v>0</v>
      </c>
      <c r="AK1256">
        <v>0</v>
      </c>
      <c r="AL1256">
        <v>0</v>
      </c>
      <c r="AM1256">
        <v>120</v>
      </c>
      <c r="AN1256">
        <v>-12</v>
      </c>
      <c r="AO1256">
        <v>0</v>
      </c>
      <c r="AQ1256">
        <v>0</v>
      </c>
      <c r="AR1256">
        <v>0</v>
      </c>
      <c r="AS1256">
        <v>120</v>
      </c>
      <c r="AT1256">
        <v>-12</v>
      </c>
      <c r="AU1256">
        <v>0</v>
      </c>
      <c r="AW1256">
        <v>0</v>
      </c>
      <c r="AX1256">
        <v>0</v>
      </c>
      <c r="AY1256">
        <v>75.599999999999994</v>
      </c>
      <c r="BC1256" t="str">
        <f>T("9791159285936")</f>
        <v>9791159285936</v>
      </c>
      <c r="BE1256" t="str">
        <f>T("판타지 웹소설 &gt; 무협 소설")</f>
        <v>판타지 웹소설 &gt; 무협 소설</v>
      </c>
    </row>
    <row r="1257" spans="1:57" x14ac:dyDescent="0.3">
      <c r="A1257">
        <v>1525004030</v>
      </c>
      <c r="B1257">
        <v>1525007087</v>
      </c>
      <c r="C1257" t="str">
        <f>T("회귀의 전설 2부 971화")</f>
        <v>회귀의 전설 2부 971화</v>
      </c>
      <c r="D1257" t="str">
        <f>T("971")</f>
        <v>971</v>
      </c>
      <c r="E1257" t="str">
        <f>T("김광수")</f>
        <v>김광수</v>
      </c>
      <c r="H1257" t="str">
        <f>T("스토리위즈")</f>
        <v>스토리위즈</v>
      </c>
      <c r="I1257" t="str">
        <f>T("회귀의 전설")</f>
        <v>회귀의 전설</v>
      </c>
      <c r="J1257">
        <v>100</v>
      </c>
      <c r="K1257">
        <v>100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100</v>
      </c>
      <c r="AH1257">
        <v>1</v>
      </c>
      <c r="AI1257">
        <v>0</v>
      </c>
      <c r="AJ1257">
        <v>0</v>
      </c>
      <c r="AK1257">
        <v>100</v>
      </c>
      <c r="AL1257">
        <v>0</v>
      </c>
      <c r="AM1257">
        <v>0</v>
      </c>
      <c r="AN1257">
        <v>0</v>
      </c>
      <c r="AO1257">
        <v>0</v>
      </c>
      <c r="AQ1257">
        <v>0</v>
      </c>
      <c r="AR1257">
        <v>0</v>
      </c>
      <c r="AT1257">
        <v>0</v>
      </c>
      <c r="AU1257">
        <v>0</v>
      </c>
      <c r="AW1257">
        <v>0</v>
      </c>
      <c r="AX1257">
        <v>0</v>
      </c>
      <c r="AY1257">
        <v>70</v>
      </c>
      <c r="BC1257" t="str">
        <f>T("9791191102086")</f>
        <v>9791191102086</v>
      </c>
      <c r="BE1257" t="str">
        <f>T("판타지 웹소설 &gt; 현대 판타지")</f>
        <v>판타지 웹소설 &gt; 현대 판타지</v>
      </c>
    </row>
    <row r="1258" spans="1:57" x14ac:dyDescent="0.3">
      <c r="A1258">
        <v>1525002125</v>
      </c>
      <c r="B1258">
        <v>1525002154</v>
      </c>
      <c r="C1258" t="str">
        <f>T("신을 죽이러 갑니다 30화")</f>
        <v>신을 죽이러 갑니다 30화</v>
      </c>
      <c r="D1258" t="str">
        <f>T("30")</f>
        <v>30</v>
      </c>
      <c r="E1258" t="str">
        <f>T("독고진")</f>
        <v>독고진</v>
      </c>
      <c r="H1258" t="str">
        <f>T("스토리위즈")</f>
        <v>스토리위즈</v>
      </c>
      <c r="I1258" t="str">
        <f>T("신을 죽이러 갑니다")</f>
        <v>신을 죽이러 갑니다</v>
      </c>
      <c r="J1258">
        <v>100</v>
      </c>
      <c r="K1258">
        <v>100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100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120</v>
      </c>
      <c r="AN1258">
        <v>-36</v>
      </c>
      <c r="AO1258">
        <v>0</v>
      </c>
      <c r="AQ1258">
        <v>0</v>
      </c>
      <c r="AR1258">
        <v>0</v>
      </c>
      <c r="AS1258">
        <v>120</v>
      </c>
      <c r="AT1258">
        <v>-36</v>
      </c>
      <c r="AU1258">
        <v>0</v>
      </c>
      <c r="AW1258">
        <v>0</v>
      </c>
      <c r="AX1258">
        <v>0</v>
      </c>
      <c r="AY1258">
        <v>58.8</v>
      </c>
      <c r="BC1258" t="str">
        <f>T("9791159285806")</f>
        <v>9791159285806</v>
      </c>
      <c r="BE1258" t="str">
        <f>T("판타지 웹소설 &gt; 퓨전 판타지")</f>
        <v>판타지 웹소설 &gt; 퓨전 판타지</v>
      </c>
    </row>
    <row r="1259" spans="1:57" x14ac:dyDescent="0.3">
      <c r="A1259">
        <v>1525002864</v>
      </c>
      <c r="B1259">
        <v>1525002910</v>
      </c>
      <c r="C1259" t="str">
        <f>T("소드마스터의 환생 47화")</f>
        <v>소드마스터의 환생 47화</v>
      </c>
      <c r="D1259" t="str">
        <f>T("47")</f>
        <v>47</v>
      </c>
      <c r="E1259" t="str">
        <f>T("파란영")</f>
        <v>파란영</v>
      </c>
      <c r="H1259" t="str">
        <f>T("스토리위즈")</f>
        <v>스토리위즈</v>
      </c>
      <c r="I1259" t="str">
        <f>T("소드마스터의 환생")</f>
        <v>소드마스터의 환생</v>
      </c>
      <c r="J1259">
        <v>100</v>
      </c>
      <c r="K1259">
        <v>100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100</v>
      </c>
      <c r="AH1259">
        <v>1</v>
      </c>
      <c r="AI1259">
        <v>0</v>
      </c>
      <c r="AJ1259">
        <v>0</v>
      </c>
      <c r="AK1259">
        <v>100</v>
      </c>
      <c r="AL1259">
        <v>0</v>
      </c>
      <c r="AM1259">
        <v>0</v>
      </c>
      <c r="AN1259">
        <v>0</v>
      </c>
      <c r="AO1259">
        <v>0</v>
      </c>
      <c r="AQ1259">
        <v>0</v>
      </c>
      <c r="AR1259">
        <v>0</v>
      </c>
      <c r="AT1259">
        <v>0</v>
      </c>
      <c r="AU1259">
        <v>0</v>
      </c>
      <c r="AW1259">
        <v>0</v>
      </c>
      <c r="AX1259">
        <v>0</v>
      </c>
      <c r="AY1259">
        <v>70</v>
      </c>
      <c r="BC1259" t="str">
        <f>T("9791159287527")</f>
        <v>9791159287527</v>
      </c>
      <c r="BE1259" t="str">
        <f>T("판타지 웹소설 &gt; 정통 판타지")</f>
        <v>판타지 웹소설 &gt; 정통 판타지</v>
      </c>
    </row>
    <row r="1260" spans="1:57" x14ac:dyDescent="0.3">
      <c r="A1260">
        <v>1525013020</v>
      </c>
      <c r="B1260">
        <v>1525013128</v>
      </c>
      <c r="C1260" t="str">
        <f>T("악당의 리턴 109화")</f>
        <v>악당의 리턴 109화</v>
      </c>
      <c r="D1260" t="str">
        <f>T("109")</f>
        <v>109</v>
      </c>
      <c r="E1260" t="str">
        <f>T("백범(白帆)")</f>
        <v>백범(白帆)</v>
      </c>
      <c r="H1260" t="str">
        <f>T("에필로그")</f>
        <v>에필로그</v>
      </c>
      <c r="I1260" t="str">
        <f>T("악당의 리턴")</f>
        <v>악당의 리턴</v>
      </c>
      <c r="J1260">
        <v>100</v>
      </c>
      <c r="K1260">
        <v>100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100</v>
      </c>
      <c r="AH1260">
        <v>1</v>
      </c>
      <c r="AI1260">
        <v>0</v>
      </c>
      <c r="AJ1260">
        <v>0</v>
      </c>
      <c r="AK1260">
        <v>100</v>
      </c>
      <c r="AL1260">
        <v>0</v>
      </c>
      <c r="AM1260">
        <v>0</v>
      </c>
      <c r="AN1260">
        <v>0</v>
      </c>
      <c r="AO1260">
        <v>0</v>
      </c>
      <c r="AQ1260">
        <v>0</v>
      </c>
      <c r="AR1260">
        <v>0</v>
      </c>
      <c r="AT1260">
        <v>0</v>
      </c>
      <c r="AU1260">
        <v>0</v>
      </c>
      <c r="AW1260">
        <v>0</v>
      </c>
      <c r="AX1260">
        <v>0</v>
      </c>
      <c r="AY1260">
        <v>70</v>
      </c>
      <c r="BC1260" t="str">
        <f>T("9791196538927")</f>
        <v>9791196538927</v>
      </c>
      <c r="BE1260" t="str">
        <f>T("판타지 웹소설 &gt; 현대 판타지")</f>
        <v>판타지 웹소설 &gt; 현대 판타지</v>
      </c>
    </row>
    <row r="1261" spans="1:57" x14ac:dyDescent="0.3">
      <c r="A1261">
        <v>1525015018</v>
      </c>
      <c r="B1261">
        <v>1525015048</v>
      </c>
      <c r="C1261" t="str">
        <f>T("그녀들은 소꿉친구지, 그 이상은 곤란합니다 31화")</f>
        <v>그녀들은 소꿉친구지, 그 이상은 곤란합니다 31화</v>
      </c>
      <c r="D1261" t="str">
        <f>T("31")</f>
        <v>31</v>
      </c>
      <c r="E1261" t="str">
        <f>T("자이오")</f>
        <v>자이오</v>
      </c>
      <c r="H1261" t="str">
        <f>T("스토리아크")</f>
        <v>스토리아크</v>
      </c>
      <c r="I1261" t="str">
        <f>T("그녀들은 소꿉친구지, 그 이상은 곤란합니다")</f>
        <v>그녀들은 소꿉친구지, 그 이상은 곤란합니다</v>
      </c>
      <c r="J1261">
        <v>100</v>
      </c>
      <c r="K1261">
        <v>100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100</v>
      </c>
      <c r="AH1261">
        <v>1</v>
      </c>
      <c r="AI1261">
        <v>0</v>
      </c>
      <c r="AJ1261">
        <v>0</v>
      </c>
      <c r="AK1261">
        <v>100</v>
      </c>
      <c r="AL1261">
        <v>0</v>
      </c>
      <c r="AM1261">
        <v>0</v>
      </c>
      <c r="AN1261">
        <v>0</v>
      </c>
      <c r="AO1261">
        <v>0</v>
      </c>
      <c r="AQ1261">
        <v>0</v>
      </c>
      <c r="AR1261">
        <v>0</v>
      </c>
      <c r="AT1261">
        <v>0</v>
      </c>
      <c r="AU1261">
        <v>0</v>
      </c>
      <c r="AW1261">
        <v>0</v>
      </c>
      <c r="AX1261">
        <v>0</v>
      </c>
      <c r="AY1261">
        <v>70</v>
      </c>
      <c r="BC1261" t="str">
        <f>T("9791191039313")</f>
        <v>9791191039313</v>
      </c>
      <c r="BE1261" t="str">
        <f>T("판타지 웹소설 &gt; 퓨전 판타지")</f>
        <v>판타지 웹소설 &gt; 퓨전 판타지</v>
      </c>
    </row>
    <row r="1262" spans="1:57" x14ac:dyDescent="0.3">
      <c r="A1262">
        <v>1525004030</v>
      </c>
      <c r="B1262">
        <v>1525004461</v>
      </c>
      <c r="C1262" t="str">
        <f>T("회귀의 전설 445화")</f>
        <v>회귀의 전설 445화</v>
      </c>
      <c r="D1262" t="str">
        <f>T("445")</f>
        <v>445</v>
      </c>
      <c r="E1262" t="str">
        <f>T("김광수")</f>
        <v>김광수</v>
      </c>
      <c r="H1262" t="str">
        <f>T("스토리위즈")</f>
        <v>스토리위즈</v>
      </c>
      <c r="I1262" t="str">
        <f>T("회귀의 전설")</f>
        <v>회귀의 전설</v>
      </c>
      <c r="J1262">
        <v>100</v>
      </c>
      <c r="K1262">
        <v>100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100</v>
      </c>
      <c r="AH1262">
        <v>1</v>
      </c>
      <c r="AI1262">
        <v>0</v>
      </c>
      <c r="AJ1262">
        <v>0</v>
      </c>
      <c r="AK1262">
        <v>100</v>
      </c>
      <c r="AL1262">
        <v>0</v>
      </c>
      <c r="AM1262">
        <v>0</v>
      </c>
      <c r="AN1262">
        <v>0</v>
      </c>
      <c r="AO1262">
        <v>0</v>
      </c>
      <c r="AQ1262">
        <v>0</v>
      </c>
      <c r="AR1262">
        <v>0</v>
      </c>
      <c r="AT1262">
        <v>0</v>
      </c>
      <c r="AU1262">
        <v>0</v>
      </c>
      <c r="AW1262">
        <v>0</v>
      </c>
      <c r="AX1262">
        <v>0</v>
      </c>
      <c r="AY1262">
        <v>70</v>
      </c>
      <c r="BC1262" t="str">
        <f>T("9788997946006")</f>
        <v>9788997946006</v>
      </c>
      <c r="BE1262" t="str">
        <f>T("판타지 웹소설 &gt; 현대 판타지")</f>
        <v>판타지 웹소설 &gt; 현대 판타지</v>
      </c>
    </row>
    <row r="1263" spans="1:57" x14ac:dyDescent="0.3">
      <c r="A1263">
        <v>1525008717</v>
      </c>
      <c r="B1263">
        <v>1525008753</v>
      </c>
      <c r="C1263" t="str">
        <f>T("음양상열지사 52화")</f>
        <v>음양상열지사 52화</v>
      </c>
      <c r="D1263" t="str">
        <f>T("52")</f>
        <v>52</v>
      </c>
      <c r="E1263" t="str">
        <f>T("이염")</f>
        <v>이염</v>
      </c>
      <c r="H1263" t="str">
        <f>T("블러쉬")</f>
        <v>블러쉬</v>
      </c>
      <c r="I1263" t="str">
        <f>T("음양상열지사")</f>
        <v>음양상열지사</v>
      </c>
      <c r="J1263">
        <v>100</v>
      </c>
      <c r="K1263">
        <v>100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100</v>
      </c>
      <c r="AH1263">
        <v>1</v>
      </c>
      <c r="AI1263">
        <v>0</v>
      </c>
      <c r="AJ1263">
        <v>0</v>
      </c>
      <c r="AK1263">
        <v>100</v>
      </c>
      <c r="AL1263">
        <v>0</v>
      </c>
      <c r="AM1263">
        <v>0</v>
      </c>
      <c r="AN1263">
        <v>0</v>
      </c>
      <c r="AO1263">
        <v>0</v>
      </c>
      <c r="AQ1263">
        <v>0</v>
      </c>
      <c r="AR1263">
        <v>0</v>
      </c>
      <c r="AT1263">
        <v>0</v>
      </c>
      <c r="AU1263">
        <v>0</v>
      </c>
      <c r="AW1263">
        <v>0</v>
      </c>
      <c r="AX1263">
        <v>0</v>
      </c>
      <c r="AY1263">
        <v>70</v>
      </c>
      <c r="BA1263" t="str">
        <f>T("0000000000000")</f>
        <v>0000000000000</v>
      </c>
      <c r="BC1263" t="str">
        <f>T("9791164896639")</f>
        <v>9791164896639</v>
      </c>
      <c r="BD1263" t="str">
        <f>T("B10")</f>
        <v>B10</v>
      </c>
      <c r="BE1263" t="str">
        <f>T("BL 웹소설 &gt; 역사/시대물")</f>
        <v>BL 웹소설 &gt; 역사/시대물</v>
      </c>
    </row>
    <row r="1264" spans="1:57" x14ac:dyDescent="0.3">
      <c r="A1264">
        <v>1525013020</v>
      </c>
      <c r="B1264">
        <v>1525013046</v>
      </c>
      <c r="C1264" t="str">
        <f>T("악당의 리턴 27화")</f>
        <v>악당의 리턴 27화</v>
      </c>
      <c r="D1264" t="str">
        <f>T("27")</f>
        <v>27</v>
      </c>
      <c r="E1264" t="str">
        <f>T("백범(白帆)")</f>
        <v>백범(白帆)</v>
      </c>
      <c r="H1264" t="str">
        <f>T("에필로그")</f>
        <v>에필로그</v>
      </c>
      <c r="I1264" t="str">
        <f>T("악당의 리턴")</f>
        <v>악당의 리턴</v>
      </c>
      <c r="J1264">
        <v>100</v>
      </c>
      <c r="K1264">
        <v>100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100</v>
      </c>
      <c r="AH1264">
        <v>1</v>
      </c>
      <c r="AI1264">
        <v>0</v>
      </c>
      <c r="AJ1264">
        <v>0</v>
      </c>
      <c r="AK1264">
        <v>100</v>
      </c>
      <c r="AL1264">
        <v>0</v>
      </c>
      <c r="AM1264">
        <v>0</v>
      </c>
      <c r="AN1264">
        <v>0</v>
      </c>
      <c r="AO1264">
        <v>0</v>
      </c>
      <c r="AQ1264">
        <v>0</v>
      </c>
      <c r="AR1264">
        <v>0</v>
      </c>
      <c r="AT1264">
        <v>0</v>
      </c>
      <c r="AU1264">
        <v>0</v>
      </c>
      <c r="AW1264">
        <v>0</v>
      </c>
      <c r="AX1264">
        <v>0</v>
      </c>
      <c r="AY1264">
        <v>70</v>
      </c>
      <c r="BC1264" t="str">
        <f>T("9791196538927")</f>
        <v>9791196538927</v>
      </c>
      <c r="BE1264" t="str">
        <f>T("판타지 웹소설 &gt; 현대 판타지")</f>
        <v>판타지 웹소설 &gt; 현대 판타지</v>
      </c>
    </row>
    <row r="1265" spans="1:57" x14ac:dyDescent="0.3">
      <c r="A1265">
        <v>1525011523</v>
      </c>
      <c r="B1265">
        <v>1525011239</v>
      </c>
      <c r="C1265" t="str">
        <f>T("남창목가 285화")</f>
        <v>남창목가 285화</v>
      </c>
      <c r="D1265" t="str">
        <f>T("285")</f>
        <v>285</v>
      </c>
      <c r="E1265" t="str">
        <f>T("최재봉")</f>
        <v>최재봉</v>
      </c>
      <c r="H1265" t="str">
        <f>T("에필로그")</f>
        <v>에필로그</v>
      </c>
      <c r="I1265" t="str">
        <f>T("남창목가")</f>
        <v>남창목가</v>
      </c>
      <c r="J1265">
        <v>100</v>
      </c>
      <c r="K1265">
        <v>100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100</v>
      </c>
      <c r="AH1265">
        <v>1</v>
      </c>
      <c r="AI1265">
        <v>0</v>
      </c>
      <c r="AJ1265">
        <v>0</v>
      </c>
      <c r="AK1265">
        <v>0</v>
      </c>
      <c r="AL1265">
        <v>0</v>
      </c>
      <c r="AM1265">
        <v>120</v>
      </c>
      <c r="AN1265">
        <v>-12</v>
      </c>
      <c r="AO1265">
        <v>0</v>
      </c>
      <c r="AQ1265">
        <v>0</v>
      </c>
      <c r="AR1265">
        <v>0</v>
      </c>
      <c r="AS1265">
        <v>120</v>
      </c>
      <c r="AT1265">
        <v>-12</v>
      </c>
      <c r="AU1265">
        <v>0</v>
      </c>
      <c r="AW1265">
        <v>0</v>
      </c>
      <c r="AX1265">
        <v>0</v>
      </c>
      <c r="AY1265">
        <v>75.599999999999994</v>
      </c>
      <c r="BC1265" t="str">
        <f>T("9791164482849")</f>
        <v>9791164482849</v>
      </c>
      <c r="BE1265" t="str">
        <f>T("판타지 웹소설 &gt; 무협 소설")</f>
        <v>판타지 웹소설 &gt; 무협 소설</v>
      </c>
    </row>
    <row r="1266" spans="1:57" x14ac:dyDescent="0.3">
      <c r="A1266">
        <v>1525011523</v>
      </c>
      <c r="B1266">
        <v>1525011418</v>
      </c>
      <c r="C1266" t="str">
        <f>T("남창목가 106화")</f>
        <v>남창목가 106화</v>
      </c>
      <c r="D1266" t="str">
        <f>T("106")</f>
        <v>106</v>
      </c>
      <c r="E1266" t="str">
        <f>T("최재봉")</f>
        <v>최재봉</v>
      </c>
      <c r="H1266" t="str">
        <f>T("에필로그")</f>
        <v>에필로그</v>
      </c>
      <c r="I1266" t="str">
        <f>T("남창목가")</f>
        <v>남창목가</v>
      </c>
      <c r="J1266">
        <v>100</v>
      </c>
      <c r="K1266">
        <v>100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100</v>
      </c>
      <c r="AH1266">
        <v>1</v>
      </c>
      <c r="AI1266">
        <v>0</v>
      </c>
      <c r="AJ1266">
        <v>0</v>
      </c>
      <c r="AK1266">
        <v>100</v>
      </c>
      <c r="AL1266">
        <v>0</v>
      </c>
      <c r="AM1266">
        <v>0</v>
      </c>
      <c r="AN1266">
        <v>0</v>
      </c>
      <c r="AO1266">
        <v>0</v>
      </c>
      <c r="AQ1266">
        <v>0</v>
      </c>
      <c r="AR1266">
        <v>0</v>
      </c>
      <c r="AT1266">
        <v>0</v>
      </c>
      <c r="AU1266">
        <v>0</v>
      </c>
      <c r="AW1266">
        <v>0</v>
      </c>
      <c r="AX1266">
        <v>0</v>
      </c>
      <c r="AY1266">
        <v>70</v>
      </c>
      <c r="BC1266" t="str">
        <f>T("9791164482849")</f>
        <v>9791164482849</v>
      </c>
      <c r="BE1266" t="str">
        <f>T("판타지 웹소설 &gt; 무협 소설")</f>
        <v>판타지 웹소설 &gt; 무협 소설</v>
      </c>
    </row>
    <row r="1267" spans="1:57" x14ac:dyDescent="0.3">
      <c r="A1267">
        <v>1525004030</v>
      </c>
      <c r="B1267">
        <v>1525007006</v>
      </c>
      <c r="C1267" t="str">
        <f>T("회귀의 전설 2부 890화")</f>
        <v>회귀의 전설 2부 890화</v>
      </c>
      <c r="D1267" t="str">
        <f>T("890")</f>
        <v>890</v>
      </c>
      <c r="E1267" t="str">
        <f>T("김광수")</f>
        <v>김광수</v>
      </c>
      <c r="H1267" t="str">
        <f>T("스토리위즈")</f>
        <v>스토리위즈</v>
      </c>
      <c r="I1267" t="str">
        <f>T("회귀의 전설")</f>
        <v>회귀의 전설</v>
      </c>
      <c r="J1267">
        <v>100</v>
      </c>
      <c r="K1267">
        <v>100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100</v>
      </c>
      <c r="AH1267">
        <v>1</v>
      </c>
      <c r="AI1267">
        <v>0</v>
      </c>
      <c r="AJ1267">
        <v>0</v>
      </c>
      <c r="AK1267">
        <v>100</v>
      </c>
      <c r="AL1267">
        <v>0</v>
      </c>
      <c r="AM1267">
        <v>0</v>
      </c>
      <c r="AN1267">
        <v>0</v>
      </c>
      <c r="AO1267">
        <v>0</v>
      </c>
      <c r="AQ1267">
        <v>0</v>
      </c>
      <c r="AR1267">
        <v>0</v>
      </c>
      <c r="AT1267">
        <v>0</v>
      </c>
      <c r="AU1267">
        <v>0</v>
      </c>
      <c r="AW1267">
        <v>0</v>
      </c>
      <c r="AX1267">
        <v>0</v>
      </c>
      <c r="AY1267">
        <v>70</v>
      </c>
      <c r="BC1267" t="str">
        <f>T("9791191102086")</f>
        <v>9791191102086</v>
      </c>
      <c r="BE1267" t="str">
        <f>T("판타지 웹소설 &gt; 현대 판타지")</f>
        <v>판타지 웹소설 &gt; 현대 판타지</v>
      </c>
    </row>
    <row r="1268" spans="1:57" x14ac:dyDescent="0.3">
      <c r="A1268">
        <v>1525011523</v>
      </c>
      <c r="B1268">
        <v>1525011066</v>
      </c>
      <c r="C1268" t="str">
        <f>T("남창목가 458화")</f>
        <v>남창목가 458화</v>
      </c>
      <c r="D1268" t="str">
        <f>T("458")</f>
        <v>458</v>
      </c>
      <c r="E1268" t="str">
        <f>T("최재봉")</f>
        <v>최재봉</v>
      </c>
      <c r="H1268" t="str">
        <f>T("에필로그")</f>
        <v>에필로그</v>
      </c>
      <c r="I1268" t="str">
        <f>T("남창목가")</f>
        <v>남창목가</v>
      </c>
      <c r="J1268">
        <v>100</v>
      </c>
      <c r="K1268">
        <v>100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100</v>
      </c>
      <c r="AH1268">
        <v>1</v>
      </c>
      <c r="AI1268">
        <v>0</v>
      </c>
      <c r="AJ1268">
        <v>0</v>
      </c>
      <c r="AK1268">
        <v>0</v>
      </c>
      <c r="AL1268">
        <v>0</v>
      </c>
      <c r="AM1268">
        <v>120</v>
      </c>
      <c r="AN1268">
        <v>-12</v>
      </c>
      <c r="AO1268">
        <v>0</v>
      </c>
      <c r="AQ1268">
        <v>0</v>
      </c>
      <c r="AR1268">
        <v>0</v>
      </c>
      <c r="AS1268">
        <v>120</v>
      </c>
      <c r="AT1268">
        <v>-12</v>
      </c>
      <c r="AU1268">
        <v>0</v>
      </c>
      <c r="AW1268">
        <v>0</v>
      </c>
      <c r="AX1268">
        <v>0</v>
      </c>
      <c r="AY1268">
        <v>75.599999999999994</v>
      </c>
      <c r="BC1268" t="str">
        <f>T("9791164482849")</f>
        <v>9791164482849</v>
      </c>
      <c r="BE1268" t="str">
        <f>T("판타지 웹소설 &gt; 무협 소설")</f>
        <v>판타지 웹소설 &gt; 무협 소설</v>
      </c>
    </row>
    <row r="1269" spans="1:57" x14ac:dyDescent="0.3">
      <c r="A1269">
        <v>1525008428</v>
      </c>
      <c r="B1269">
        <v>1525008405</v>
      </c>
      <c r="C1269" t="str">
        <f>T("무히비(Muhibbi) 102화")</f>
        <v>무히비(Muhibbi) 102화</v>
      </c>
      <c r="D1269" t="str">
        <f>T("102")</f>
        <v>102</v>
      </c>
      <c r="E1269" t="str">
        <f>T("jooki")</f>
        <v>jooki</v>
      </c>
      <c r="H1269" t="str">
        <f>T("블러쉬")</f>
        <v>블러쉬</v>
      </c>
      <c r="I1269" t="str">
        <f>T("무히비(Muhibbi)")</f>
        <v>무히비(Muhibbi)</v>
      </c>
      <c r="J1269">
        <v>100</v>
      </c>
      <c r="K1269">
        <v>100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100</v>
      </c>
      <c r="AH1269">
        <v>1</v>
      </c>
      <c r="AI1269">
        <v>0</v>
      </c>
      <c r="AJ1269">
        <v>0</v>
      </c>
      <c r="AK1269">
        <v>100</v>
      </c>
      <c r="AL1269">
        <v>0</v>
      </c>
      <c r="AM1269">
        <v>0</v>
      </c>
      <c r="AN1269">
        <v>0</v>
      </c>
      <c r="AO1269">
        <v>0</v>
      </c>
      <c r="AQ1269">
        <v>0</v>
      </c>
      <c r="AR1269">
        <v>0</v>
      </c>
      <c r="AT1269">
        <v>0</v>
      </c>
      <c r="AU1269">
        <v>0</v>
      </c>
      <c r="AW1269">
        <v>0</v>
      </c>
      <c r="AX1269">
        <v>0</v>
      </c>
      <c r="AY1269">
        <v>70</v>
      </c>
      <c r="BA1269" t="str">
        <f>T("0000000000000")</f>
        <v>0000000000000</v>
      </c>
      <c r="BC1269" t="str">
        <f>T("9791164896622")</f>
        <v>9791164896622</v>
      </c>
      <c r="BE1269" t="str">
        <f>T("BL 웹소설 &gt; 역사/시대물")</f>
        <v>BL 웹소설 &gt; 역사/시대물</v>
      </c>
    </row>
    <row r="1270" spans="1:57" x14ac:dyDescent="0.3">
      <c r="A1270">
        <v>1525004030</v>
      </c>
      <c r="B1270">
        <v>1525006902</v>
      </c>
      <c r="C1270" t="str">
        <f>T("회귀의 전설 2부 785화")</f>
        <v>회귀의 전설 2부 785화</v>
      </c>
      <c r="D1270" t="str">
        <f>T("785")</f>
        <v>785</v>
      </c>
      <c r="E1270" t="str">
        <f>T("김광수")</f>
        <v>김광수</v>
      </c>
      <c r="H1270" t="str">
        <f>T("스토리위즈")</f>
        <v>스토리위즈</v>
      </c>
      <c r="I1270" t="str">
        <f>T("회귀의 전설")</f>
        <v>회귀의 전설</v>
      </c>
      <c r="J1270">
        <v>100</v>
      </c>
      <c r="K1270">
        <v>100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100</v>
      </c>
      <c r="AH1270">
        <v>1</v>
      </c>
      <c r="AI1270">
        <v>0</v>
      </c>
      <c r="AJ1270">
        <v>0</v>
      </c>
      <c r="AK1270">
        <v>0</v>
      </c>
      <c r="AL1270">
        <v>0</v>
      </c>
      <c r="AM1270">
        <v>120</v>
      </c>
      <c r="AN1270">
        <v>-12</v>
      </c>
      <c r="AO1270">
        <v>0</v>
      </c>
      <c r="AQ1270">
        <v>0</v>
      </c>
      <c r="AR1270">
        <v>0</v>
      </c>
      <c r="AS1270">
        <v>120</v>
      </c>
      <c r="AT1270">
        <v>-12</v>
      </c>
      <c r="AU1270">
        <v>0</v>
      </c>
      <c r="AW1270">
        <v>0</v>
      </c>
      <c r="AX1270">
        <v>0</v>
      </c>
      <c r="AY1270">
        <v>75.599999999999994</v>
      </c>
      <c r="BC1270" t="str">
        <f>T("9791191102086")</f>
        <v>9791191102086</v>
      </c>
      <c r="BE1270" t="str">
        <f>T("판타지 웹소설 &gt; 현대 판타지")</f>
        <v>판타지 웹소설 &gt; 현대 판타지</v>
      </c>
    </row>
    <row r="1271" spans="1:57" x14ac:dyDescent="0.3">
      <c r="A1271">
        <v>1525011523</v>
      </c>
      <c r="B1271">
        <v>1525011358</v>
      </c>
      <c r="C1271" t="str">
        <f>T("남창목가 166화")</f>
        <v>남창목가 166화</v>
      </c>
      <c r="D1271" t="str">
        <f>T("166")</f>
        <v>166</v>
      </c>
      <c r="E1271" t="str">
        <f>T("최재봉")</f>
        <v>최재봉</v>
      </c>
      <c r="H1271" t="str">
        <f>T("에필로그")</f>
        <v>에필로그</v>
      </c>
      <c r="I1271" t="str">
        <f>T("남창목가")</f>
        <v>남창목가</v>
      </c>
      <c r="J1271">
        <v>100</v>
      </c>
      <c r="K1271">
        <v>100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100</v>
      </c>
      <c r="AH1271">
        <v>1</v>
      </c>
      <c r="AI1271">
        <v>0</v>
      </c>
      <c r="AJ1271">
        <v>0</v>
      </c>
      <c r="AK1271">
        <v>0</v>
      </c>
      <c r="AL1271">
        <v>0</v>
      </c>
      <c r="AM1271">
        <v>120</v>
      </c>
      <c r="AN1271">
        <v>-12</v>
      </c>
      <c r="AO1271">
        <v>0</v>
      </c>
      <c r="AQ1271">
        <v>0</v>
      </c>
      <c r="AR1271">
        <v>0</v>
      </c>
      <c r="AS1271">
        <v>120</v>
      </c>
      <c r="AT1271">
        <v>-12</v>
      </c>
      <c r="AU1271">
        <v>0</v>
      </c>
      <c r="AW1271">
        <v>0</v>
      </c>
      <c r="AX1271">
        <v>0</v>
      </c>
      <c r="AY1271">
        <v>75.599999999999994</v>
      </c>
      <c r="BC1271" t="str">
        <f>T("9791164482849")</f>
        <v>9791164482849</v>
      </c>
      <c r="BE1271" t="str">
        <f>T("판타지 웹소설 &gt; 무협 소설")</f>
        <v>판타지 웹소설 &gt; 무협 소설</v>
      </c>
    </row>
    <row r="1272" spans="1:57" x14ac:dyDescent="0.3">
      <c r="A1272">
        <v>1525002125</v>
      </c>
      <c r="B1272">
        <v>1525002386</v>
      </c>
      <c r="C1272" t="str">
        <f>T("신을 죽이러 갑니다 262화")</f>
        <v>신을 죽이러 갑니다 262화</v>
      </c>
      <c r="D1272" t="str">
        <f>T("262")</f>
        <v>262</v>
      </c>
      <c r="E1272" t="str">
        <f>T("독고진")</f>
        <v>독고진</v>
      </c>
      <c r="H1272" t="str">
        <f>T("스토리위즈")</f>
        <v>스토리위즈</v>
      </c>
      <c r="I1272" t="str">
        <f>T("신을 죽이러 갑니다")</f>
        <v>신을 죽이러 갑니다</v>
      </c>
      <c r="J1272">
        <v>100</v>
      </c>
      <c r="K1272">
        <v>100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100</v>
      </c>
      <c r="AH1272">
        <v>1</v>
      </c>
      <c r="AI1272">
        <v>0</v>
      </c>
      <c r="AJ1272">
        <v>0</v>
      </c>
      <c r="AK1272">
        <v>0</v>
      </c>
      <c r="AL1272">
        <v>0</v>
      </c>
      <c r="AM1272">
        <v>120</v>
      </c>
      <c r="AN1272">
        <v>-12</v>
      </c>
      <c r="AO1272">
        <v>0</v>
      </c>
      <c r="AQ1272">
        <v>0</v>
      </c>
      <c r="AR1272">
        <v>0</v>
      </c>
      <c r="AS1272">
        <v>120</v>
      </c>
      <c r="AT1272">
        <v>-12</v>
      </c>
      <c r="AU1272">
        <v>0</v>
      </c>
      <c r="AW1272">
        <v>0</v>
      </c>
      <c r="AX1272">
        <v>0</v>
      </c>
      <c r="AY1272">
        <v>75.599999999999994</v>
      </c>
      <c r="BC1272" t="str">
        <f>T("9791159285806")</f>
        <v>9791159285806</v>
      </c>
      <c r="BE1272" t="str">
        <f>T("판타지 웹소설 &gt; 퓨전 판타지")</f>
        <v>판타지 웹소설 &gt; 퓨전 판타지</v>
      </c>
    </row>
    <row r="1273" spans="1:57" x14ac:dyDescent="0.3">
      <c r="A1273">
        <v>1525004030</v>
      </c>
      <c r="B1273">
        <v>1525007120</v>
      </c>
      <c r="C1273" t="str">
        <f>T("회귀의 전설 2부 1004화")</f>
        <v>회귀의 전설 2부 1004화</v>
      </c>
      <c r="D1273" t="str">
        <f>T("1004")</f>
        <v>1004</v>
      </c>
      <c r="E1273" t="str">
        <f>T("김광수")</f>
        <v>김광수</v>
      </c>
      <c r="H1273" t="str">
        <f>T("스토리위즈")</f>
        <v>스토리위즈</v>
      </c>
      <c r="I1273" t="str">
        <f>T("회귀의 전설")</f>
        <v>회귀의 전설</v>
      </c>
      <c r="J1273">
        <v>100</v>
      </c>
      <c r="K1273">
        <v>100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100</v>
      </c>
      <c r="AH1273">
        <v>1</v>
      </c>
      <c r="AI1273">
        <v>0</v>
      </c>
      <c r="AJ1273">
        <v>0</v>
      </c>
      <c r="AK1273">
        <v>100</v>
      </c>
      <c r="AL1273">
        <v>0</v>
      </c>
      <c r="AM1273">
        <v>0</v>
      </c>
      <c r="AN1273">
        <v>0</v>
      </c>
      <c r="AO1273">
        <v>0</v>
      </c>
      <c r="AQ1273">
        <v>0</v>
      </c>
      <c r="AR1273">
        <v>0</v>
      </c>
      <c r="AT1273">
        <v>0</v>
      </c>
      <c r="AU1273">
        <v>0</v>
      </c>
      <c r="AW1273">
        <v>0</v>
      </c>
      <c r="AX1273">
        <v>0</v>
      </c>
      <c r="AY1273">
        <v>70</v>
      </c>
      <c r="BC1273" t="str">
        <f>T("9791191102086")</f>
        <v>9791191102086</v>
      </c>
      <c r="BE1273" t="str">
        <f>T("판타지 웹소설 &gt; 현대 판타지")</f>
        <v>판타지 웹소설 &gt; 현대 판타지</v>
      </c>
    </row>
    <row r="1274" spans="1:57" x14ac:dyDescent="0.3">
      <c r="A1274">
        <v>1525012551</v>
      </c>
      <c r="B1274">
        <v>1525012721</v>
      </c>
      <c r="C1274" t="str">
        <f>T("개정판 | 바보가 만드는 멋진 세상 171화")</f>
        <v>개정판 | 바보가 만드는 멋진 세상 171화</v>
      </c>
      <c r="D1274" t="str">
        <f>T("171")</f>
        <v>171</v>
      </c>
      <c r="E1274" t="str">
        <f>T("백범(白帆)")</f>
        <v>백범(白帆)</v>
      </c>
      <c r="H1274" t="str">
        <f>T("에필로그")</f>
        <v>에필로그</v>
      </c>
      <c r="I1274" t="str">
        <f>T("개정판 | 바보가 만드는 멋진 세상")</f>
        <v>개정판 | 바보가 만드는 멋진 세상</v>
      </c>
      <c r="J1274">
        <v>100</v>
      </c>
      <c r="K1274">
        <v>100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100</v>
      </c>
      <c r="AH1274">
        <v>1</v>
      </c>
      <c r="AI1274">
        <v>0</v>
      </c>
      <c r="AJ1274">
        <v>0</v>
      </c>
      <c r="AK1274">
        <v>100</v>
      </c>
      <c r="AL1274">
        <v>0</v>
      </c>
      <c r="AM1274">
        <v>0</v>
      </c>
      <c r="AN1274">
        <v>0</v>
      </c>
      <c r="AO1274">
        <v>0</v>
      </c>
      <c r="AQ1274">
        <v>0</v>
      </c>
      <c r="AR1274">
        <v>0</v>
      </c>
      <c r="AT1274">
        <v>0</v>
      </c>
      <c r="AU1274">
        <v>0</v>
      </c>
      <c r="AW1274">
        <v>0</v>
      </c>
      <c r="AX1274">
        <v>0</v>
      </c>
      <c r="AY1274">
        <v>70</v>
      </c>
      <c r="BC1274" t="str">
        <f>T("9791166003493")</f>
        <v>9791166003493</v>
      </c>
      <c r="BE1274" t="str">
        <f>T("판타지 웹소설 &gt; 현대 판타지")</f>
        <v>판타지 웹소설 &gt; 현대 판타지</v>
      </c>
    </row>
    <row r="1275" spans="1:57" x14ac:dyDescent="0.3">
      <c r="A1275">
        <v>1525008428</v>
      </c>
      <c r="B1275">
        <v>1525008534</v>
      </c>
      <c r="C1275" t="str">
        <f>T("무히비(Muhibbi) 외전 132화")</f>
        <v>무히비(Muhibbi) 외전 132화</v>
      </c>
      <c r="D1275" t="str">
        <f>T("132")</f>
        <v>132</v>
      </c>
      <c r="E1275" t="str">
        <f>T("jooki")</f>
        <v>jooki</v>
      </c>
      <c r="H1275" t="str">
        <f>T("블러쉬")</f>
        <v>블러쉬</v>
      </c>
      <c r="I1275" t="str">
        <f>T("무히비(Muhibbi)")</f>
        <v>무히비(Muhibbi)</v>
      </c>
      <c r="J1275">
        <v>100</v>
      </c>
      <c r="K1275">
        <v>100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100</v>
      </c>
      <c r="AH1275">
        <v>1</v>
      </c>
      <c r="AI1275">
        <v>0</v>
      </c>
      <c r="AJ1275">
        <v>0</v>
      </c>
      <c r="AK1275">
        <v>100</v>
      </c>
      <c r="AL1275">
        <v>0</v>
      </c>
      <c r="AM1275">
        <v>0</v>
      </c>
      <c r="AN1275">
        <v>0</v>
      </c>
      <c r="AO1275">
        <v>0</v>
      </c>
      <c r="AQ1275">
        <v>0</v>
      </c>
      <c r="AR1275">
        <v>0</v>
      </c>
      <c r="AT1275">
        <v>0</v>
      </c>
      <c r="AU1275">
        <v>0</v>
      </c>
      <c r="AW1275">
        <v>0</v>
      </c>
      <c r="AX1275">
        <v>0</v>
      </c>
      <c r="AY1275">
        <v>70</v>
      </c>
      <c r="BA1275" t="str">
        <f>T("0000000000000")</f>
        <v>0000000000000</v>
      </c>
      <c r="BC1275" t="str">
        <f>T("9791164896622")</f>
        <v>9791164896622</v>
      </c>
      <c r="BE1275" t="str">
        <f>T("BL 웹소설 &gt; 역사/시대물")</f>
        <v>BL 웹소설 &gt; 역사/시대물</v>
      </c>
    </row>
    <row r="1276" spans="1:57" x14ac:dyDescent="0.3">
      <c r="A1276">
        <v>1525002864</v>
      </c>
      <c r="B1276">
        <v>1525003489</v>
      </c>
      <c r="C1276" t="str">
        <f>T("소드마스터의 환생 201화 (외전 7)")</f>
        <v>소드마스터의 환생 201화 (외전 7)</v>
      </c>
      <c r="D1276" t="str">
        <f>T("201")</f>
        <v>201</v>
      </c>
      <c r="E1276" t="str">
        <f>T("파란영")</f>
        <v>파란영</v>
      </c>
      <c r="H1276" t="str">
        <f>T("스토리위즈")</f>
        <v>스토리위즈</v>
      </c>
      <c r="I1276" t="str">
        <f>T("소드마스터의 환생")</f>
        <v>소드마스터의 환생</v>
      </c>
      <c r="J1276">
        <v>100</v>
      </c>
      <c r="K1276">
        <v>100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100</v>
      </c>
      <c r="AH1276">
        <v>1</v>
      </c>
      <c r="AI1276">
        <v>0</v>
      </c>
      <c r="AJ1276">
        <v>0</v>
      </c>
      <c r="AK1276">
        <v>100</v>
      </c>
      <c r="AL1276">
        <v>0</v>
      </c>
      <c r="AM1276">
        <v>0</v>
      </c>
      <c r="AN1276">
        <v>0</v>
      </c>
      <c r="AO1276">
        <v>0</v>
      </c>
      <c r="AQ1276">
        <v>0</v>
      </c>
      <c r="AR1276">
        <v>0</v>
      </c>
      <c r="AT1276">
        <v>0</v>
      </c>
      <c r="AU1276">
        <v>0</v>
      </c>
      <c r="AW1276">
        <v>0</v>
      </c>
      <c r="AX1276">
        <v>0</v>
      </c>
      <c r="AY1276">
        <v>70</v>
      </c>
      <c r="BC1276" t="str">
        <f>T("9791159287527")</f>
        <v>9791159287527</v>
      </c>
      <c r="BE1276" t="str">
        <f>T("판타지 웹소설 &gt; 정통 판타지")</f>
        <v>판타지 웹소설 &gt; 정통 판타지</v>
      </c>
    </row>
    <row r="1277" spans="1:57" x14ac:dyDescent="0.3">
      <c r="A1277">
        <v>1525011523</v>
      </c>
      <c r="B1277">
        <v>1525011225</v>
      </c>
      <c r="C1277" t="str">
        <f>T("남창목가 299화")</f>
        <v>남창목가 299화</v>
      </c>
      <c r="D1277" t="str">
        <f>T("299")</f>
        <v>299</v>
      </c>
      <c r="E1277" t="str">
        <f>T("최재봉")</f>
        <v>최재봉</v>
      </c>
      <c r="H1277" t="str">
        <f>T("에필로그")</f>
        <v>에필로그</v>
      </c>
      <c r="I1277" t="str">
        <f>T("남창목가")</f>
        <v>남창목가</v>
      </c>
      <c r="J1277">
        <v>100</v>
      </c>
      <c r="K1277">
        <v>100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100</v>
      </c>
      <c r="AH1277">
        <v>1</v>
      </c>
      <c r="AI1277">
        <v>0</v>
      </c>
      <c r="AJ1277">
        <v>0</v>
      </c>
      <c r="AK1277">
        <v>0</v>
      </c>
      <c r="AL1277">
        <v>0</v>
      </c>
      <c r="AM1277">
        <v>120</v>
      </c>
      <c r="AN1277">
        <v>-12</v>
      </c>
      <c r="AO1277">
        <v>0</v>
      </c>
      <c r="AQ1277">
        <v>0</v>
      </c>
      <c r="AR1277">
        <v>0</v>
      </c>
      <c r="AS1277">
        <v>120</v>
      </c>
      <c r="AT1277">
        <v>-12</v>
      </c>
      <c r="AU1277">
        <v>0</v>
      </c>
      <c r="AW1277">
        <v>0</v>
      </c>
      <c r="AX1277">
        <v>0</v>
      </c>
      <c r="AY1277">
        <v>75.599999999999994</v>
      </c>
      <c r="BC1277" t="str">
        <f>T("9791164482849")</f>
        <v>9791164482849</v>
      </c>
      <c r="BE1277" t="str">
        <f>T("판타지 웹소설 &gt; 무협 소설")</f>
        <v>판타지 웹소설 &gt; 무협 소설</v>
      </c>
    </row>
    <row r="1278" spans="1:57" x14ac:dyDescent="0.3">
      <c r="A1278">
        <v>1525000569</v>
      </c>
      <c r="B1278">
        <v>1525000610</v>
      </c>
      <c r="C1278" t="str">
        <f>T("스트라이커 42화")</f>
        <v>스트라이커 42화</v>
      </c>
      <c r="D1278" t="str">
        <f>T("42")</f>
        <v>42</v>
      </c>
      <c r="E1278" t="str">
        <f>T("독고진")</f>
        <v>독고진</v>
      </c>
      <c r="H1278" t="str">
        <f>T("스토리위즈")</f>
        <v>스토리위즈</v>
      </c>
      <c r="I1278" t="str">
        <f>T("스트라이커")</f>
        <v>스트라이커</v>
      </c>
      <c r="J1278">
        <v>100</v>
      </c>
      <c r="K1278">
        <v>100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100</v>
      </c>
      <c r="AH1278">
        <v>1</v>
      </c>
      <c r="AI1278">
        <v>0</v>
      </c>
      <c r="AJ1278">
        <v>0</v>
      </c>
      <c r="AK1278">
        <v>100</v>
      </c>
      <c r="AL1278">
        <v>0</v>
      </c>
      <c r="AM1278">
        <v>0</v>
      </c>
      <c r="AN1278">
        <v>0</v>
      </c>
      <c r="AO1278">
        <v>0</v>
      </c>
      <c r="AQ1278">
        <v>0</v>
      </c>
      <c r="AR1278">
        <v>0</v>
      </c>
      <c r="AT1278">
        <v>0</v>
      </c>
      <c r="AU1278">
        <v>0</v>
      </c>
      <c r="AW1278">
        <v>0</v>
      </c>
      <c r="AX1278">
        <v>0</v>
      </c>
      <c r="AY1278">
        <v>70</v>
      </c>
      <c r="BC1278" t="str">
        <f>T("9791170151678")</f>
        <v>9791170151678</v>
      </c>
      <c r="BE1278" t="str">
        <f>T("판타지 웹소설 &gt; 현대 판타지")</f>
        <v>판타지 웹소설 &gt; 현대 판타지</v>
      </c>
    </row>
    <row r="1279" spans="1:57" x14ac:dyDescent="0.3">
      <c r="A1279">
        <v>1525011523</v>
      </c>
      <c r="B1279">
        <v>1525011004</v>
      </c>
      <c r="C1279" t="str">
        <f>T("남창목가 외전 488화")</f>
        <v>남창목가 외전 488화</v>
      </c>
      <c r="D1279" t="str">
        <f>T("488")</f>
        <v>488</v>
      </c>
      <c r="E1279" t="str">
        <f>T("최재봉")</f>
        <v>최재봉</v>
      </c>
      <c r="H1279" t="str">
        <f>T("에필로그")</f>
        <v>에필로그</v>
      </c>
      <c r="I1279" t="str">
        <f>T("남창목가")</f>
        <v>남창목가</v>
      </c>
      <c r="J1279">
        <v>100</v>
      </c>
      <c r="K1279">
        <v>100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100</v>
      </c>
      <c r="AH1279">
        <v>1</v>
      </c>
      <c r="AI1279">
        <v>0</v>
      </c>
      <c r="AJ1279">
        <v>0</v>
      </c>
      <c r="AK1279">
        <v>0</v>
      </c>
      <c r="AL1279">
        <v>0</v>
      </c>
      <c r="AM1279">
        <v>120</v>
      </c>
      <c r="AN1279">
        <v>-12</v>
      </c>
      <c r="AO1279">
        <v>0</v>
      </c>
      <c r="AQ1279">
        <v>0</v>
      </c>
      <c r="AR1279">
        <v>0</v>
      </c>
      <c r="AS1279">
        <v>120</v>
      </c>
      <c r="AT1279">
        <v>-12</v>
      </c>
      <c r="AU1279">
        <v>0</v>
      </c>
      <c r="AW1279">
        <v>0</v>
      </c>
      <c r="AX1279">
        <v>0</v>
      </c>
      <c r="AY1279">
        <v>75.599999999999994</v>
      </c>
      <c r="BC1279" t="str">
        <f>T("9791164482849")</f>
        <v>9791164482849</v>
      </c>
      <c r="BE1279" t="str">
        <f>T("판타지 웹소설 &gt; 무협 소설")</f>
        <v>판타지 웹소설 &gt; 무협 소설</v>
      </c>
    </row>
    <row r="1280" spans="1:57" x14ac:dyDescent="0.3">
      <c r="A1280">
        <v>1525004030</v>
      </c>
      <c r="B1280">
        <v>1525006891</v>
      </c>
      <c r="C1280" t="str">
        <f>T("회귀의 전설 2부 774화")</f>
        <v>회귀의 전설 2부 774화</v>
      </c>
      <c r="D1280" t="str">
        <f>T("774")</f>
        <v>774</v>
      </c>
      <c r="E1280" t="str">
        <f>T("김광수")</f>
        <v>김광수</v>
      </c>
      <c r="H1280" t="str">
        <f>T("스토리위즈")</f>
        <v>스토리위즈</v>
      </c>
      <c r="I1280" t="str">
        <f>T("회귀의 전설")</f>
        <v>회귀의 전설</v>
      </c>
      <c r="J1280">
        <v>100</v>
      </c>
      <c r="K1280">
        <v>100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100</v>
      </c>
      <c r="AH1280">
        <v>1</v>
      </c>
      <c r="AI1280">
        <v>0</v>
      </c>
      <c r="AJ1280">
        <v>0</v>
      </c>
      <c r="AK1280">
        <v>0</v>
      </c>
      <c r="AL1280">
        <v>0</v>
      </c>
      <c r="AM1280">
        <v>120</v>
      </c>
      <c r="AN1280">
        <v>-12</v>
      </c>
      <c r="AO1280">
        <v>0</v>
      </c>
      <c r="AQ1280">
        <v>0</v>
      </c>
      <c r="AR1280">
        <v>0</v>
      </c>
      <c r="AS1280">
        <v>120</v>
      </c>
      <c r="AT1280">
        <v>-12</v>
      </c>
      <c r="AU1280">
        <v>0</v>
      </c>
      <c r="AW1280">
        <v>0</v>
      </c>
      <c r="AX1280">
        <v>0</v>
      </c>
      <c r="AY1280">
        <v>75.599999999999994</v>
      </c>
      <c r="BC1280" t="str">
        <f>T("9791191102086")</f>
        <v>9791191102086</v>
      </c>
      <c r="BE1280" t="str">
        <f>T("판타지 웹소설 &gt; 현대 판타지")</f>
        <v>판타지 웹소설 &gt; 현대 판타지</v>
      </c>
    </row>
    <row r="1281" spans="1:57" x14ac:dyDescent="0.3">
      <c r="A1281">
        <v>1525011523</v>
      </c>
      <c r="B1281">
        <v>1525011341</v>
      </c>
      <c r="C1281" t="str">
        <f>T("남창목가 183화")</f>
        <v>남창목가 183화</v>
      </c>
      <c r="D1281" t="str">
        <f>T("183")</f>
        <v>183</v>
      </c>
      <c r="E1281" t="str">
        <f>T("최재봉")</f>
        <v>최재봉</v>
      </c>
      <c r="H1281" t="str">
        <f>T("에필로그")</f>
        <v>에필로그</v>
      </c>
      <c r="I1281" t="str">
        <f>T("남창목가")</f>
        <v>남창목가</v>
      </c>
      <c r="J1281">
        <v>100</v>
      </c>
      <c r="K1281">
        <v>100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100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120</v>
      </c>
      <c r="AN1281">
        <v>-12</v>
      </c>
      <c r="AO1281">
        <v>0</v>
      </c>
      <c r="AQ1281">
        <v>0</v>
      </c>
      <c r="AR1281">
        <v>0</v>
      </c>
      <c r="AS1281">
        <v>120</v>
      </c>
      <c r="AT1281">
        <v>-12</v>
      </c>
      <c r="AU1281">
        <v>0</v>
      </c>
      <c r="AW1281">
        <v>0</v>
      </c>
      <c r="AX1281">
        <v>0</v>
      </c>
      <c r="AY1281">
        <v>75.599999999999994</v>
      </c>
      <c r="BC1281" t="str">
        <f>T("9791164482849")</f>
        <v>9791164482849</v>
      </c>
      <c r="BE1281" t="str">
        <f>T("판타지 웹소설 &gt; 무협 소설")</f>
        <v>판타지 웹소설 &gt; 무협 소설</v>
      </c>
    </row>
    <row r="1282" spans="1:57" x14ac:dyDescent="0.3">
      <c r="A1282">
        <v>1525002125</v>
      </c>
      <c r="B1282">
        <v>1525002375</v>
      </c>
      <c r="C1282" t="str">
        <f>T("신을 죽이러 갑니다 251화")</f>
        <v>신을 죽이러 갑니다 251화</v>
      </c>
      <c r="D1282" t="str">
        <f>T("251")</f>
        <v>251</v>
      </c>
      <c r="E1282" t="str">
        <f>T("독고진")</f>
        <v>독고진</v>
      </c>
      <c r="H1282" t="str">
        <f>T("스토리위즈")</f>
        <v>스토리위즈</v>
      </c>
      <c r="I1282" t="str">
        <f>T("신을 죽이러 갑니다")</f>
        <v>신을 죽이러 갑니다</v>
      </c>
      <c r="J1282">
        <v>100</v>
      </c>
      <c r="K1282">
        <v>100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100</v>
      </c>
      <c r="AH1282">
        <v>1</v>
      </c>
      <c r="AI1282">
        <v>0</v>
      </c>
      <c r="AJ1282">
        <v>0</v>
      </c>
      <c r="AK1282">
        <v>0</v>
      </c>
      <c r="AL1282">
        <v>0</v>
      </c>
      <c r="AM1282">
        <v>120</v>
      </c>
      <c r="AN1282">
        <v>-36</v>
      </c>
      <c r="AO1282">
        <v>0</v>
      </c>
      <c r="AQ1282">
        <v>0</v>
      </c>
      <c r="AR1282">
        <v>0</v>
      </c>
      <c r="AS1282">
        <v>120</v>
      </c>
      <c r="AT1282">
        <v>-36</v>
      </c>
      <c r="AU1282">
        <v>0</v>
      </c>
      <c r="AW1282">
        <v>0</v>
      </c>
      <c r="AX1282">
        <v>0</v>
      </c>
      <c r="AY1282">
        <v>58.8</v>
      </c>
      <c r="BC1282" t="str">
        <f>T("9791159285806")</f>
        <v>9791159285806</v>
      </c>
      <c r="BE1282" t="str">
        <f>T("판타지 웹소설 &gt; 퓨전 판타지")</f>
        <v>판타지 웹소설 &gt; 퓨전 판타지</v>
      </c>
    </row>
    <row r="1283" spans="1:57" x14ac:dyDescent="0.3">
      <c r="A1283">
        <v>1525012551</v>
      </c>
      <c r="B1283">
        <v>1525012710</v>
      </c>
      <c r="C1283" t="str">
        <f>T("개정판 | 바보가 만드는 멋진 세상 160화")</f>
        <v>개정판 | 바보가 만드는 멋진 세상 160화</v>
      </c>
      <c r="D1283" t="str">
        <f>T("160")</f>
        <v>160</v>
      </c>
      <c r="E1283" t="str">
        <f>T("백범(白帆)")</f>
        <v>백범(白帆)</v>
      </c>
      <c r="H1283" t="str">
        <f>T("에필로그")</f>
        <v>에필로그</v>
      </c>
      <c r="I1283" t="str">
        <f>T("개정판 | 바보가 만드는 멋진 세상")</f>
        <v>개정판 | 바보가 만드는 멋진 세상</v>
      </c>
      <c r="J1283">
        <v>100</v>
      </c>
      <c r="K1283">
        <v>100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100</v>
      </c>
      <c r="AH1283">
        <v>1</v>
      </c>
      <c r="AI1283">
        <v>0</v>
      </c>
      <c r="AJ1283">
        <v>0</v>
      </c>
      <c r="AK1283">
        <v>100</v>
      </c>
      <c r="AL1283">
        <v>0</v>
      </c>
      <c r="AM1283">
        <v>0</v>
      </c>
      <c r="AN1283">
        <v>0</v>
      </c>
      <c r="AO1283">
        <v>0</v>
      </c>
      <c r="AQ1283">
        <v>0</v>
      </c>
      <c r="AR1283">
        <v>0</v>
      </c>
      <c r="AT1283">
        <v>0</v>
      </c>
      <c r="AU1283">
        <v>0</v>
      </c>
      <c r="AW1283">
        <v>0</v>
      </c>
      <c r="AX1283">
        <v>0</v>
      </c>
      <c r="AY1283">
        <v>70</v>
      </c>
      <c r="BC1283" t="str">
        <f>T("9791166003493")</f>
        <v>9791166003493</v>
      </c>
      <c r="BE1283" t="str">
        <f>T("판타지 웹소설 &gt; 현대 판타지")</f>
        <v>판타지 웹소설 &gt; 현대 판타지</v>
      </c>
    </row>
    <row r="1284" spans="1:57" x14ac:dyDescent="0.3">
      <c r="A1284">
        <v>1525008428</v>
      </c>
      <c r="B1284">
        <v>1525008516</v>
      </c>
      <c r="C1284" t="str">
        <f>T("무히비(Muhibbi) 9화")</f>
        <v>무히비(Muhibbi) 9화</v>
      </c>
      <c r="D1284" t="str">
        <f>T("9")</f>
        <v>9</v>
      </c>
      <c r="E1284" t="str">
        <f>T("jooki")</f>
        <v>jooki</v>
      </c>
      <c r="H1284" t="str">
        <f>T("블러쉬")</f>
        <v>블러쉬</v>
      </c>
      <c r="I1284" t="str">
        <f>T("무히비(Muhibbi)")</f>
        <v>무히비(Muhibbi)</v>
      </c>
      <c r="J1284">
        <v>100</v>
      </c>
      <c r="K1284">
        <v>100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100</v>
      </c>
      <c r="AH1284">
        <v>1</v>
      </c>
      <c r="AI1284">
        <v>0</v>
      </c>
      <c r="AJ1284">
        <v>0</v>
      </c>
      <c r="AK1284">
        <v>100</v>
      </c>
      <c r="AL1284">
        <v>0</v>
      </c>
      <c r="AM1284">
        <v>0</v>
      </c>
      <c r="AN1284">
        <v>0</v>
      </c>
      <c r="AO1284">
        <v>0</v>
      </c>
      <c r="AQ1284">
        <v>0</v>
      </c>
      <c r="AR1284">
        <v>0</v>
      </c>
      <c r="AT1284">
        <v>0</v>
      </c>
      <c r="AU1284">
        <v>0</v>
      </c>
      <c r="AW1284">
        <v>0</v>
      </c>
      <c r="AX1284">
        <v>0</v>
      </c>
      <c r="AY1284">
        <v>70</v>
      </c>
      <c r="BC1284" t="str">
        <f>T("9791164896622")</f>
        <v>9791164896622</v>
      </c>
      <c r="BE1284" t="str">
        <f>T("BL 웹소설 &gt; 역사/시대물")</f>
        <v>BL 웹소설 &gt; 역사/시대물</v>
      </c>
    </row>
    <row r="1285" spans="1:57" x14ac:dyDescent="0.3">
      <c r="A1285">
        <v>1525002864</v>
      </c>
      <c r="B1285">
        <v>1525002933</v>
      </c>
      <c r="C1285" t="str">
        <f>T("소드마스터의 환생 70화")</f>
        <v>소드마스터의 환생 70화</v>
      </c>
      <c r="D1285" t="str">
        <f>T("70")</f>
        <v>70</v>
      </c>
      <c r="E1285" t="str">
        <f>T("파란영")</f>
        <v>파란영</v>
      </c>
      <c r="H1285" t="str">
        <f>T("스토리위즈")</f>
        <v>스토리위즈</v>
      </c>
      <c r="I1285" t="str">
        <f>T("소드마스터의 환생")</f>
        <v>소드마스터의 환생</v>
      </c>
      <c r="J1285">
        <v>100</v>
      </c>
      <c r="K1285">
        <v>100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100</v>
      </c>
      <c r="AH1285">
        <v>1</v>
      </c>
      <c r="AI1285">
        <v>0</v>
      </c>
      <c r="AJ1285">
        <v>0</v>
      </c>
      <c r="AK1285">
        <v>100</v>
      </c>
      <c r="AL1285">
        <v>0</v>
      </c>
      <c r="AM1285">
        <v>0</v>
      </c>
      <c r="AN1285">
        <v>0</v>
      </c>
      <c r="AO1285">
        <v>0</v>
      </c>
      <c r="AQ1285">
        <v>0</v>
      </c>
      <c r="AR1285">
        <v>0</v>
      </c>
      <c r="AT1285">
        <v>0</v>
      </c>
      <c r="AU1285">
        <v>0</v>
      </c>
      <c r="AW1285">
        <v>0</v>
      </c>
      <c r="AX1285">
        <v>0</v>
      </c>
      <c r="AY1285">
        <v>70</v>
      </c>
      <c r="BC1285" t="str">
        <f>T("9791159287527")</f>
        <v>9791159287527</v>
      </c>
      <c r="BE1285" t="str">
        <f>T("판타지 웹소설 &gt; 정통 판타지")</f>
        <v>판타지 웹소설 &gt; 정통 판타지</v>
      </c>
    </row>
    <row r="1286" spans="1:57" x14ac:dyDescent="0.3">
      <c r="A1286">
        <v>1525008428</v>
      </c>
      <c r="B1286">
        <v>1525008472</v>
      </c>
      <c r="C1286" t="str">
        <f>T("무히비(Muhibbi) 5화")</f>
        <v>무히비(Muhibbi) 5화</v>
      </c>
      <c r="D1286" t="str">
        <f>T("5")</f>
        <v>5</v>
      </c>
      <c r="E1286" t="str">
        <f>T("jooki")</f>
        <v>jooki</v>
      </c>
      <c r="H1286" t="str">
        <f>T("블러쉬")</f>
        <v>블러쉬</v>
      </c>
      <c r="I1286" t="str">
        <f>T("무히비(Muhibbi)")</f>
        <v>무히비(Muhibbi)</v>
      </c>
      <c r="J1286">
        <v>100</v>
      </c>
      <c r="K1286">
        <v>100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100</v>
      </c>
      <c r="AH1286">
        <v>1</v>
      </c>
      <c r="AI1286">
        <v>0</v>
      </c>
      <c r="AJ1286">
        <v>0</v>
      </c>
      <c r="AK1286">
        <v>100</v>
      </c>
      <c r="AL1286">
        <v>0</v>
      </c>
      <c r="AM1286">
        <v>0</v>
      </c>
      <c r="AN1286">
        <v>0</v>
      </c>
      <c r="AO1286">
        <v>0</v>
      </c>
      <c r="AQ1286">
        <v>0</v>
      </c>
      <c r="AR1286">
        <v>0</v>
      </c>
      <c r="AT1286">
        <v>0</v>
      </c>
      <c r="AU1286">
        <v>0</v>
      </c>
      <c r="AW1286">
        <v>0</v>
      </c>
      <c r="AX1286">
        <v>0</v>
      </c>
      <c r="AY1286">
        <v>70</v>
      </c>
      <c r="BC1286" t="str">
        <f>T("9791164896622")</f>
        <v>9791164896622</v>
      </c>
      <c r="BE1286" t="str">
        <f>T("BL 웹소설 &gt; 역사/시대물")</f>
        <v>BL 웹소설 &gt; 역사/시대물</v>
      </c>
    </row>
    <row r="1287" spans="1:57" x14ac:dyDescent="0.3">
      <c r="A1287">
        <v>1525011523</v>
      </c>
      <c r="B1287">
        <v>1525011287</v>
      </c>
      <c r="C1287" t="str">
        <f>T("남창목가 237화")</f>
        <v>남창목가 237화</v>
      </c>
      <c r="D1287" t="str">
        <f>T("237")</f>
        <v>237</v>
      </c>
      <c r="E1287" t="str">
        <f>T("최재봉")</f>
        <v>최재봉</v>
      </c>
      <c r="H1287" t="str">
        <f>T("에필로그")</f>
        <v>에필로그</v>
      </c>
      <c r="I1287" t="str">
        <f>T("남창목가")</f>
        <v>남창목가</v>
      </c>
      <c r="J1287">
        <v>100</v>
      </c>
      <c r="K1287">
        <v>100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100</v>
      </c>
      <c r="AH1287">
        <v>1</v>
      </c>
      <c r="AI1287">
        <v>0</v>
      </c>
      <c r="AJ1287">
        <v>0</v>
      </c>
      <c r="AK1287">
        <v>0</v>
      </c>
      <c r="AL1287">
        <v>0</v>
      </c>
      <c r="AM1287">
        <v>120</v>
      </c>
      <c r="AN1287">
        <v>-12</v>
      </c>
      <c r="AO1287">
        <v>0</v>
      </c>
      <c r="AQ1287">
        <v>0</v>
      </c>
      <c r="AR1287">
        <v>0</v>
      </c>
      <c r="AS1287">
        <v>120</v>
      </c>
      <c r="AT1287">
        <v>-12</v>
      </c>
      <c r="AU1287">
        <v>0</v>
      </c>
      <c r="AW1287">
        <v>0</v>
      </c>
      <c r="AX1287">
        <v>0</v>
      </c>
      <c r="AY1287">
        <v>75.599999999999994</v>
      </c>
      <c r="BC1287" t="str">
        <f>T("9791164482849")</f>
        <v>9791164482849</v>
      </c>
      <c r="BE1287" t="str">
        <f>T("판타지 웹소설 &gt; 무협 소설")</f>
        <v>판타지 웹소설 &gt; 무협 소설</v>
      </c>
    </row>
    <row r="1288" spans="1:57" x14ac:dyDescent="0.3">
      <c r="A1288">
        <v>1525011523</v>
      </c>
      <c r="B1288">
        <v>1525011482</v>
      </c>
      <c r="C1288" t="str">
        <f>T("남창목가 42화")</f>
        <v>남창목가 42화</v>
      </c>
      <c r="D1288" t="str">
        <f>T("42")</f>
        <v>42</v>
      </c>
      <c r="E1288" t="str">
        <f>T("최재봉")</f>
        <v>최재봉</v>
      </c>
      <c r="H1288" t="str">
        <f>T("에필로그")</f>
        <v>에필로그</v>
      </c>
      <c r="I1288" t="str">
        <f>T("남창목가")</f>
        <v>남창목가</v>
      </c>
      <c r="J1288">
        <v>100</v>
      </c>
      <c r="K1288">
        <v>100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100</v>
      </c>
      <c r="AH1288">
        <v>1</v>
      </c>
      <c r="AI1288">
        <v>0</v>
      </c>
      <c r="AJ1288">
        <v>0</v>
      </c>
      <c r="AK1288">
        <v>100</v>
      </c>
      <c r="AL1288">
        <v>0</v>
      </c>
      <c r="AM1288">
        <v>0</v>
      </c>
      <c r="AN1288">
        <v>0</v>
      </c>
      <c r="AO1288">
        <v>0</v>
      </c>
      <c r="AQ1288">
        <v>0</v>
      </c>
      <c r="AR1288">
        <v>0</v>
      </c>
      <c r="AT1288">
        <v>0</v>
      </c>
      <c r="AU1288">
        <v>0</v>
      </c>
      <c r="AW1288">
        <v>0</v>
      </c>
      <c r="AX1288">
        <v>0</v>
      </c>
      <c r="AY1288">
        <v>70</v>
      </c>
      <c r="BC1288" t="str">
        <f>T("9791164482849")</f>
        <v>9791164482849</v>
      </c>
      <c r="BE1288" t="str">
        <f>T("판타지 웹소설 &gt; 무협 소설")</f>
        <v>판타지 웹소설 &gt; 무협 소설</v>
      </c>
    </row>
    <row r="1289" spans="1:57" x14ac:dyDescent="0.3">
      <c r="A1289">
        <v>1525012551</v>
      </c>
      <c r="B1289">
        <v>1525012588</v>
      </c>
      <c r="C1289" t="str">
        <f>T("개정판 | 바보가 만드는 멋진 세상 38화")</f>
        <v>개정판 | 바보가 만드는 멋진 세상 38화</v>
      </c>
      <c r="D1289" t="str">
        <f>T("38")</f>
        <v>38</v>
      </c>
      <c r="E1289" t="str">
        <f>T("백범(白帆)")</f>
        <v>백범(白帆)</v>
      </c>
      <c r="H1289" t="str">
        <f>T("에필로그")</f>
        <v>에필로그</v>
      </c>
      <c r="I1289" t="str">
        <f>T("개정판 | 바보가 만드는 멋진 세상")</f>
        <v>개정판 | 바보가 만드는 멋진 세상</v>
      </c>
      <c r="J1289">
        <v>100</v>
      </c>
      <c r="K1289">
        <v>100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100</v>
      </c>
      <c r="AH1289">
        <v>1</v>
      </c>
      <c r="AI1289">
        <v>0</v>
      </c>
      <c r="AJ1289">
        <v>0</v>
      </c>
      <c r="AK1289">
        <v>100</v>
      </c>
      <c r="AL1289">
        <v>0</v>
      </c>
      <c r="AM1289">
        <v>0</v>
      </c>
      <c r="AN1289">
        <v>0</v>
      </c>
      <c r="AO1289">
        <v>0</v>
      </c>
      <c r="AQ1289">
        <v>0</v>
      </c>
      <c r="AR1289">
        <v>0</v>
      </c>
      <c r="AT1289">
        <v>0</v>
      </c>
      <c r="AU1289">
        <v>0</v>
      </c>
      <c r="AW1289">
        <v>0</v>
      </c>
      <c r="AX1289">
        <v>0</v>
      </c>
      <c r="AY1289">
        <v>70</v>
      </c>
      <c r="BC1289" t="str">
        <f>T("9791166003493")</f>
        <v>9791166003493</v>
      </c>
      <c r="BE1289" t="str">
        <f>T("판타지 웹소설 &gt; 현대 판타지")</f>
        <v>판타지 웹소설 &gt; 현대 판타지</v>
      </c>
    </row>
    <row r="1290" spans="1:57" x14ac:dyDescent="0.3">
      <c r="A1290">
        <v>1525004799</v>
      </c>
      <c r="B1290">
        <v>1525004938</v>
      </c>
      <c r="C1290" t="str">
        <f>T("검산도해 140화")</f>
        <v>검산도해 140화</v>
      </c>
      <c r="D1290" t="str">
        <f>T("140")</f>
        <v>140</v>
      </c>
      <c r="E1290" t="str">
        <f>T("권용찬")</f>
        <v>권용찬</v>
      </c>
      <c r="H1290" t="str">
        <f>T("스토리위즈")</f>
        <v>스토리위즈</v>
      </c>
      <c r="I1290" t="str">
        <f>T("검산도해")</f>
        <v>검산도해</v>
      </c>
      <c r="J1290">
        <v>100</v>
      </c>
      <c r="K1290">
        <v>100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100</v>
      </c>
      <c r="AH1290">
        <v>1</v>
      </c>
      <c r="AI1290">
        <v>0</v>
      </c>
      <c r="AJ1290">
        <v>0</v>
      </c>
      <c r="AK1290">
        <v>0</v>
      </c>
      <c r="AL1290">
        <v>0</v>
      </c>
      <c r="AM1290">
        <v>120</v>
      </c>
      <c r="AN1290">
        <v>-12</v>
      </c>
      <c r="AO1290">
        <v>0</v>
      </c>
      <c r="AQ1290">
        <v>0</v>
      </c>
      <c r="AR1290">
        <v>0</v>
      </c>
      <c r="AS1290">
        <v>120</v>
      </c>
      <c r="AT1290">
        <v>-12</v>
      </c>
      <c r="AU1290">
        <v>0</v>
      </c>
      <c r="AW1290">
        <v>0</v>
      </c>
      <c r="AX1290">
        <v>0</v>
      </c>
      <c r="AY1290">
        <v>75.599999999999994</v>
      </c>
      <c r="BC1290" t="str">
        <f>T("9791159285936")</f>
        <v>9791159285936</v>
      </c>
      <c r="BE1290" t="str">
        <f>T("판타지 웹소설 &gt; 무협 소설")</f>
        <v>판타지 웹소설 &gt; 무협 소설</v>
      </c>
    </row>
    <row r="1291" spans="1:57" x14ac:dyDescent="0.3">
      <c r="A1291">
        <v>1525004030</v>
      </c>
      <c r="B1291">
        <v>1525007027</v>
      </c>
      <c r="C1291" t="str">
        <f>T("회귀의 전설 2부 911화")</f>
        <v>회귀의 전설 2부 911화</v>
      </c>
      <c r="D1291" t="str">
        <f>T("911")</f>
        <v>911</v>
      </c>
      <c r="E1291" t="str">
        <f>T("김광수")</f>
        <v>김광수</v>
      </c>
      <c r="H1291" t="str">
        <f>T("스토리위즈")</f>
        <v>스토리위즈</v>
      </c>
      <c r="I1291" t="str">
        <f>T("회귀의 전설")</f>
        <v>회귀의 전설</v>
      </c>
      <c r="J1291">
        <v>100</v>
      </c>
      <c r="K1291">
        <v>100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100</v>
      </c>
      <c r="AH1291">
        <v>1</v>
      </c>
      <c r="AI1291">
        <v>0</v>
      </c>
      <c r="AJ1291">
        <v>0</v>
      </c>
      <c r="AK1291">
        <v>100</v>
      </c>
      <c r="AL1291">
        <v>0</v>
      </c>
      <c r="AM1291">
        <v>0</v>
      </c>
      <c r="AN1291">
        <v>0</v>
      </c>
      <c r="AO1291">
        <v>0</v>
      </c>
      <c r="AQ1291">
        <v>0</v>
      </c>
      <c r="AR1291">
        <v>0</v>
      </c>
      <c r="AT1291">
        <v>0</v>
      </c>
      <c r="AU1291">
        <v>0</v>
      </c>
      <c r="AW1291">
        <v>0</v>
      </c>
      <c r="AX1291">
        <v>0</v>
      </c>
      <c r="AY1291">
        <v>70</v>
      </c>
      <c r="BC1291" t="str">
        <f>T("9791191102086")</f>
        <v>9791191102086</v>
      </c>
      <c r="BE1291" t="str">
        <f>T("판타지 웹소설 &gt; 현대 판타지")</f>
        <v>판타지 웹소설 &gt; 현대 판타지</v>
      </c>
    </row>
    <row r="1292" spans="1:57" x14ac:dyDescent="0.3">
      <c r="A1292">
        <v>1525004030</v>
      </c>
      <c r="B1292">
        <v>1525006655</v>
      </c>
      <c r="C1292" t="str">
        <f>T("회귀의 전설 2부 538화")</f>
        <v>회귀의 전설 2부 538화</v>
      </c>
      <c r="D1292" t="str">
        <f>T("538")</f>
        <v>538</v>
      </c>
      <c r="E1292" t="str">
        <f>T("김광수")</f>
        <v>김광수</v>
      </c>
      <c r="H1292" t="str">
        <f>T("스토리위즈")</f>
        <v>스토리위즈</v>
      </c>
      <c r="I1292" t="str">
        <f>T("회귀의 전설")</f>
        <v>회귀의 전설</v>
      </c>
      <c r="J1292">
        <v>100</v>
      </c>
      <c r="K1292">
        <v>100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100</v>
      </c>
      <c r="AH1292">
        <v>1</v>
      </c>
      <c r="AI1292">
        <v>0</v>
      </c>
      <c r="AJ1292">
        <v>0</v>
      </c>
      <c r="AK1292">
        <v>100</v>
      </c>
      <c r="AL1292">
        <v>0</v>
      </c>
      <c r="AM1292">
        <v>0</v>
      </c>
      <c r="AN1292">
        <v>0</v>
      </c>
      <c r="AO1292">
        <v>0</v>
      </c>
      <c r="AQ1292">
        <v>0</v>
      </c>
      <c r="AR1292">
        <v>0</v>
      </c>
      <c r="AT1292">
        <v>0</v>
      </c>
      <c r="AU1292">
        <v>0</v>
      </c>
      <c r="AW1292">
        <v>0</v>
      </c>
      <c r="AX1292">
        <v>0</v>
      </c>
      <c r="AY1292">
        <v>70</v>
      </c>
      <c r="BC1292" t="str">
        <f>T("9791191102086")</f>
        <v>9791191102086</v>
      </c>
      <c r="BE1292" t="str">
        <f>T("판타지 웹소설 &gt; 현대 판타지")</f>
        <v>판타지 웹소설 &gt; 현대 판타지</v>
      </c>
    </row>
    <row r="1293" spans="1:57" x14ac:dyDescent="0.3">
      <c r="A1293">
        <v>1525011523</v>
      </c>
      <c r="B1293">
        <v>1525011213</v>
      </c>
      <c r="C1293" t="str">
        <f>T("남창목가 311화")</f>
        <v>남창목가 311화</v>
      </c>
      <c r="D1293" t="str">
        <f>T("311")</f>
        <v>311</v>
      </c>
      <c r="E1293" t="str">
        <f>T("최재봉")</f>
        <v>최재봉</v>
      </c>
      <c r="H1293" t="str">
        <f>T("에필로그")</f>
        <v>에필로그</v>
      </c>
      <c r="I1293" t="str">
        <f>T("남창목가")</f>
        <v>남창목가</v>
      </c>
      <c r="J1293">
        <v>100</v>
      </c>
      <c r="K1293">
        <v>100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100</v>
      </c>
      <c r="AH1293">
        <v>1</v>
      </c>
      <c r="AI1293">
        <v>0</v>
      </c>
      <c r="AJ1293">
        <v>0</v>
      </c>
      <c r="AK1293">
        <v>0</v>
      </c>
      <c r="AL1293">
        <v>0</v>
      </c>
      <c r="AM1293">
        <v>120</v>
      </c>
      <c r="AN1293">
        <v>-12</v>
      </c>
      <c r="AO1293">
        <v>0</v>
      </c>
      <c r="AQ1293">
        <v>0</v>
      </c>
      <c r="AR1293">
        <v>0</v>
      </c>
      <c r="AS1293">
        <v>120</v>
      </c>
      <c r="AT1293">
        <v>-12</v>
      </c>
      <c r="AU1293">
        <v>0</v>
      </c>
      <c r="AW1293">
        <v>0</v>
      </c>
      <c r="AX1293">
        <v>0</v>
      </c>
      <c r="AY1293">
        <v>75.599999999999994</v>
      </c>
      <c r="BC1293" t="str">
        <f>T("9791164482849")</f>
        <v>9791164482849</v>
      </c>
      <c r="BE1293" t="str">
        <f>T("판타지 웹소설 &gt; 무협 소설")</f>
        <v>판타지 웹소설 &gt; 무협 소설</v>
      </c>
    </row>
    <row r="1294" spans="1:57" x14ac:dyDescent="0.3">
      <c r="A1294">
        <v>1525004030</v>
      </c>
      <c r="B1294">
        <v>1525006986</v>
      </c>
      <c r="C1294" t="str">
        <f>T("회귀의 전설 2부 870화")</f>
        <v>회귀의 전설 2부 870화</v>
      </c>
      <c r="D1294" t="str">
        <f>T("870")</f>
        <v>870</v>
      </c>
      <c r="E1294" t="str">
        <f>T("김광수")</f>
        <v>김광수</v>
      </c>
      <c r="H1294" t="str">
        <f>T("스토리위즈")</f>
        <v>스토리위즈</v>
      </c>
      <c r="I1294" t="str">
        <f>T("회귀의 전설")</f>
        <v>회귀의 전설</v>
      </c>
      <c r="J1294">
        <v>100</v>
      </c>
      <c r="K1294">
        <v>100</v>
      </c>
      <c r="L1294">
        <v>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100</v>
      </c>
      <c r="AH1294">
        <v>1</v>
      </c>
      <c r="AI1294">
        <v>0</v>
      </c>
      <c r="AJ1294">
        <v>0</v>
      </c>
      <c r="AK1294">
        <v>100</v>
      </c>
      <c r="AL1294">
        <v>0</v>
      </c>
      <c r="AM1294">
        <v>0</v>
      </c>
      <c r="AN1294">
        <v>0</v>
      </c>
      <c r="AO1294">
        <v>0</v>
      </c>
      <c r="AQ1294">
        <v>0</v>
      </c>
      <c r="AR1294">
        <v>0</v>
      </c>
      <c r="AT1294">
        <v>0</v>
      </c>
      <c r="AU1294">
        <v>0</v>
      </c>
      <c r="AW1294">
        <v>0</v>
      </c>
      <c r="AX1294">
        <v>0</v>
      </c>
      <c r="AY1294">
        <v>70</v>
      </c>
      <c r="BC1294" t="str">
        <f>T("9791191102086")</f>
        <v>9791191102086</v>
      </c>
      <c r="BE1294" t="str">
        <f>T("판타지 웹소설 &gt; 현대 판타지")</f>
        <v>판타지 웹소설 &gt; 현대 판타지</v>
      </c>
    </row>
    <row r="1295" spans="1:57" x14ac:dyDescent="0.3">
      <c r="A1295">
        <v>1525011523</v>
      </c>
      <c r="B1295">
        <v>1525011382</v>
      </c>
      <c r="C1295" t="str">
        <f>T("남창목가 142화")</f>
        <v>남창목가 142화</v>
      </c>
      <c r="D1295" t="str">
        <f>T("142")</f>
        <v>142</v>
      </c>
      <c r="E1295" t="str">
        <f>T("최재봉")</f>
        <v>최재봉</v>
      </c>
      <c r="H1295" t="str">
        <f>T("에필로그")</f>
        <v>에필로그</v>
      </c>
      <c r="I1295" t="str">
        <f>T("남창목가")</f>
        <v>남창목가</v>
      </c>
      <c r="J1295">
        <v>100</v>
      </c>
      <c r="K1295">
        <v>100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100</v>
      </c>
      <c r="AH1295">
        <v>1</v>
      </c>
      <c r="AI1295">
        <v>0</v>
      </c>
      <c r="AJ1295">
        <v>0</v>
      </c>
      <c r="AK1295">
        <v>0</v>
      </c>
      <c r="AL1295">
        <v>0</v>
      </c>
      <c r="AM1295">
        <v>120</v>
      </c>
      <c r="AN1295">
        <v>-12</v>
      </c>
      <c r="AO1295">
        <v>0</v>
      </c>
      <c r="AQ1295">
        <v>0</v>
      </c>
      <c r="AR1295">
        <v>0</v>
      </c>
      <c r="AS1295">
        <v>120</v>
      </c>
      <c r="AT1295">
        <v>-12</v>
      </c>
      <c r="AU1295">
        <v>0</v>
      </c>
      <c r="AW1295">
        <v>0</v>
      </c>
      <c r="AX1295">
        <v>0</v>
      </c>
      <c r="AY1295">
        <v>75.599999999999994</v>
      </c>
      <c r="BC1295" t="str">
        <f>T("9791164482849")</f>
        <v>9791164482849</v>
      </c>
      <c r="BE1295" t="str">
        <f>T("판타지 웹소설 &gt; 무협 소설")</f>
        <v>판타지 웹소설 &gt; 무협 소설</v>
      </c>
    </row>
    <row r="1296" spans="1:57" x14ac:dyDescent="0.3">
      <c r="A1296">
        <v>1525013020</v>
      </c>
      <c r="B1296">
        <v>1525013068</v>
      </c>
      <c r="C1296" t="str">
        <f>T("악당의 리턴 49화")</f>
        <v>악당의 리턴 49화</v>
      </c>
      <c r="D1296" t="str">
        <f>T("49")</f>
        <v>49</v>
      </c>
      <c r="E1296" t="str">
        <f>T("백범(白帆)")</f>
        <v>백범(白帆)</v>
      </c>
      <c r="H1296" t="str">
        <f>T("에필로그")</f>
        <v>에필로그</v>
      </c>
      <c r="I1296" t="str">
        <f>T("악당의 리턴")</f>
        <v>악당의 리턴</v>
      </c>
      <c r="J1296">
        <v>100</v>
      </c>
      <c r="K1296">
        <v>100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100</v>
      </c>
      <c r="AH1296">
        <v>1</v>
      </c>
      <c r="AI1296">
        <v>0</v>
      </c>
      <c r="AJ1296">
        <v>0</v>
      </c>
      <c r="AK1296">
        <v>100</v>
      </c>
      <c r="AL1296">
        <v>0</v>
      </c>
      <c r="AM1296">
        <v>0</v>
      </c>
      <c r="AN1296">
        <v>0</v>
      </c>
      <c r="AO1296">
        <v>0</v>
      </c>
      <c r="AQ1296">
        <v>0</v>
      </c>
      <c r="AR1296">
        <v>0</v>
      </c>
      <c r="AT1296">
        <v>0</v>
      </c>
      <c r="AU1296">
        <v>0</v>
      </c>
      <c r="AW1296">
        <v>0</v>
      </c>
      <c r="AX1296">
        <v>0</v>
      </c>
      <c r="AY1296">
        <v>70</v>
      </c>
      <c r="BC1296" t="str">
        <f>T("9791196538927")</f>
        <v>9791196538927</v>
      </c>
      <c r="BE1296" t="str">
        <f>T("판타지 웹소설 &gt; 현대 판타지")</f>
        <v>판타지 웹소설 &gt; 현대 판타지</v>
      </c>
    </row>
    <row r="1297" spans="1:57" x14ac:dyDescent="0.3">
      <c r="A1297">
        <v>1525004030</v>
      </c>
      <c r="B1297">
        <v>1525007142</v>
      </c>
      <c r="C1297" t="str">
        <f>T("회귀의 전설 2부 1025화")</f>
        <v>회귀의 전설 2부 1025화</v>
      </c>
      <c r="D1297" t="str">
        <f>T("1025")</f>
        <v>1025</v>
      </c>
      <c r="E1297" t="str">
        <f>T("김광수")</f>
        <v>김광수</v>
      </c>
      <c r="H1297" t="str">
        <f>T("스토리위즈")</f>
        <v>스토리위즈</v>
      </c>
      <c r="I1297" t="str">
        <f>T("회귀의 전설")</f>
        <v>회귀의 전설</v>
      </c>
      <c r="J1297">
        <v>100</v>
      </c>
      <c r="K1297">
        <v>100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100</v>
      </c>
      <c r="AH1297">
        <v>1</v>
      </c>
      <c r="AI1297">
        <v>0</v>
      </c>
      <c r="AJ1297">
        <v>0</v>
      </c>
      <c r="AK1297">
        <v>100</v>
      </c>
      <c r="AL1297">
        <v>0</v>
      </c>
      <c r="AM1297">
        <v>0</v>
      </c>
      <c r="AN1297">
        <v>0</v>
      </c>
      <c r="AO1297">
        <v>0</v>
      </c>
      <c r="AQ1297">
        <v>0</v>
      </c>
      <c r="AR1297">
        <v>0</v>
      </c>
      <c r="AT1297">
        <v>0</v>
      </c>
      <c r="AU1297">
        <v>0</v>
      </c>
      <c r="AW1297">
        <v>0</v>
      </c>
      <c r="AX1297">
        <v>0</v>
      </c>
      <c r="AY1297">
        <v>70</v>
      </c>
      <c r="BC1297" t="str">
        <f>T("9791191102086")</f>
        <v>9791191102086</v>
      </c>
      <c r="BE1297" t="str">
        <f>T("판타지 웹소설 &gt; 현대 판타지")</f>
        <v>판타지 웹소설 &gt; 현대 판타지</v>
      </c>
    </row>
    <row r="1298" spans="1:57" x14ac:dyDescent="0.3">
      <c r="A1298">
        <v>1525012551</v>
      </c>
      <c r="B1298">
        <v>1525012742</v>
      </c>
      <c r="C1298" t="str">
        <f>T("개정판 | 바보가 만드는 멋진 세상 192화")</f>
        <v>개정판 | 바보가 만드는 멋진 세상 192화</v>
      </c>
      <c r="D1298" t="str">
        <f>T("192")</f>
        <v>192</v>
      </c>
      <c r="E1298" t="str">
        <f>T("백범(白帆)")</f>
        <v>백범(白帆)</v>
      </c>
      <c r="H1298" t="str">
        <f>T("에필로그")</f>
        <v>에필로그</v>
      </c>
      <c r="I1298" t="str">
        <f>T("개정판 | 바보가 만드는 멋진 세상")</f>
        <v>개정판 | 바보가 만드는 멋진 세상</v>
      </c>
      <c r="J1298">
        <v>100</v>
      </c>
      <c r="K1298">
        <v>100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100</v>
      </c>
      <c r="AH1298">
        <v>1</v>
      </c>
      <c r="AI1298">
        <v>0</v>
      </c>
      <c r="AJ1298">
        <v>0</v>
      </c>
      <c r="AK1298">
        <v>100</v>
      </c>
      <c r="AL1298">
        <v>0</v>
      </c>
      <c r="AM1298">
        <v>0</v>
      </c>
      <c r="AN1298">
        <v>0</v>
      </c>
      <c r="AO1298">
        <v>0</v>
      </c>
      <c r="AQ1298">
        <v>0</v>
      </c>
      <c r="AR1298">
        <v>0</v>
      </c>
      <c r="AT1298">
        <v>0</v>
      </c>
      <c r="AU1298">
        <v>0</v>
      </c>
      <c r="AW1298">
        <v>0</v>
      </c>
      <c r="AX1298">
        <v>0</v>
      </c>
      <c r="AY1298">
        <v>70</v>
      </c>
      <c r="BC1298" t="str">
        <f>T("9791166003493")</f>
        <v>9791166003493</v>
      </c>
      <c r="BE1298" t="str">
        <f>T("판타지 웹소설 &gt; 현대 판타지")</f>
        <v>판타지 웹소설 &gt; 현대 판타지</v>
      </c>
    </row>
    <row r="1299" spans="1:57" x14ac:dyDescent="0.3">
      <c r="A1299">
        <v>1525008545</v>
      </c>
      <c r="B1299">
        <v>1525008555</v>
      </c>
      <c r="C1299" t="str">
        <f>T("소년연애담 29화")</f>
        <v>소년연애담 29화</v>
      </c>
      <c r="D1299" t="str">
        <f>T("29")</f>
        <v>29</v>
      </c>
      <c r="E1299" t="str">
        <f>T("나나코")</f>
        <v>나나코</v>
      </c>
      <c r="H1299" t="str">
        <f>T("블러쉬")</f>
        <v>블러쉬</v>
      </c>
      <c r="I1299" t="str">
        <f>T("소년연애담")</f>
        <v>소년연애담</v>
      </c>
      <c r="J1299">
        <v>100</v>
      </c>
      <c r="K1299">
        <v>100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100</v>
      </c>
      <c r="AH1299">
        <v>1</v>
      </c>
      <c r="AI1299">
        <v>0</v>
      </c>
      <c r="AJ1299">
        <v>0</v>
      </c>
      <c r="AK1299">
        <v>100</v>
      </c>
      <c r="AL1299">
        <v>0</v>
      </c>
      <c r="AM1299">
        <v>0</v>
      </c>
      <c r="AN1299">
        <v>0</v>
      </c>
      <c r="AO1299">
        <v>0</v>
      </c>
      <c r="AQ1299">
        <v>0</v>
      </c>
      <c r="AR1299">
        <v>0</v>
      </c>
      <c r="AT1299">
        <v>0</v>
      </c>
      <c r="AU1299">
        <v>0</v>
      </c>
      <c r="AW1299">
        <v>0</v>
      </c>
      <c r="AX1299">
        <v>0</v>
      </c>
      <c r="AY1299">
        <v>70</v>
      </c>
      <c r="BA1299" t="str">
        <f>T("0000000000000")</f>
        <v>0000000000000</v>
      </c>
      <c r="BC1299" t="str">
        <f>T("9791164890729")</f>
        <v>9791164890729</v>
      </c>
      <c r="BD1299" t="str">
        <f>T("B12")</f>
        <v>B12</v>
      </c>
      <c r="BE1299" t="str">
        <f>T("BL 웹소설 &gt; 현대물")</f>
        <v>BL 웹소설 &gt; 현대물</v>
      </c>
    </row>
    <row r="1300" spans="1:57" x14ac:dyDescent="0.3">
      <c r="A1300">
        <v>1525008428</v>
      </c>
      <c r="B1300">
        <v>1525008507</v>
      </c>
      <c r="C1300" t="str">
        <f>T("무히비(Muhibbi) 91화")</f>
        <v>무히비(Muhibbi) 91화</v>
      </c>
      <c r="D1300" t="str">
        <f>T("91")</f>
        <v>91</v>
      </c>
      <c r="E1300" t="str">
        <f>T("jooki")</f>
        <v>jooki</v>
      </c>
      <c r="H1300" t="str">
        <f>T("블러쉬")</f>
        <v>블러쉬</v>
      </c>
      <c r="I1300" t="str">
        <f>T("무히비(Muhibbi)")</f>
        <v>무히비(Muhibbi)</v>
      </c>
      <c r="J1300">
        <v>100</v>
      </c>
      <c r="K1300">
        <v>100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100</v>
      </c>
      <c r="AH1300">
        <v>1</v>
      </c>
      <c r="AI1300">
        <v>0</v>
      </c>
      <c r="AJ1300">
        <v>0</v>
      </c>
      <c r="AK1300">
        <v>100</v>
      </c>
      <c r="AL1300">
        <v>0</v>
      </c>
      <c r="AM1300">
        <v>0</v>
      </c>
      <c r="AN1300">
        <v>0</v>
      </c>
      <c r="AO1300">
        <v>0</v>
      </c>
      <c r="AQ1300">
        <v>0</v>
      </c>
      <c r="AR1300">
        <v>0</v>
      </c>
      <c r="AT1300">
        <v>0</v>
      </c>
      <c r="AU1300">
        <v>0</v>
      </c>
      <c r="AW1300">
        <v>0</v>
      </c>
      <c r="AX1300">
        <v>0</v>
      </c>
      <c r="AY1300">
        <v>70</v>
      </c>
      <c r="BA1300" t="str">
        <f>T("0000000000000")</f>
        <v>0000000000000</v>
      </c>
      <c r="BC1300" t="str">
        <f>T("9791164896622")</f>
        <v>9791164896622</v>
      </c>
      <c r="BE1300" t="str">
        <f>T("BL 웹소설 &gt; 역사/시대물")</f>
        <v>BL 웹소설 &gt; 역사/시대물</v>
      </c>
    </row>
    <row r="1301" spans="1:57" x14ac:dyDescent="0.3">
      <c r="A1301">
        <v>1525012551</v>
      </c>
      <c r="B1301">
        <v>1525012620</v>
      </c>
      <c r="C1301" t="str">
        <f>T("개정판 | 바보가 만드는 멋진 세상 70화")</f>
        <v>개정판 | 바보가 만드는 멋진 세상 70화</v>
      </c>
      <c r="D1301" t="str">
        <f>T("70")</f>
        <v>70</v>
      </c>
      <c r="E1301" t="str">
        <f>T("백범(白帆)")</f>
        <v>백범(白帆)</v>
      </c>
      <c r="H1301" t="str">
        <f>T("에필로그")</f>
        <v>에필로그</v>
      </c>
      <c r="I1301" t="str">
        <f>T("개정판 | 바보가 만드는 멋진 세상")</f>
        <v>개정판 | 바보가 만드는 멋진 세상</v>
      </c>
      <c r="J1301">
        <v>100</v>
      </c>
      <c r="K1301">
        <v>100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100</v>
      </c>
      <c r="AH1301">
        <v>1</v>
      </c>
      <c r="AI1301">
        <v>0</v>
      </c>
      <c r="AJ1301">
        <v>0</v>
      </c>
      <c r="AK1301">
        <v>100</v>
      </c>
      <c r="AL1301">
        <v>0</v>
      </c>
      <c r="AM1301">
        <v>0</v>
      </c>
      <c r="AN1301">
        <v>0</v>
      </c>
      <c r="AO1301">
        <v>0</v>
      </c>
      <c r="AQ1301">
        <v>0</v>
      </c>
      <c r="AR1301">
        <v>0</v>
      </c>
      <c r="AT1301">
        <v>0</v>
      </c>
      <c r="AU1301">
        <v>0</v>
      </c>
      <c r="AW1301">
        <v>0</v>
      </c>
      <c r="AX1301">
        <v>0</v>
      </c>
      <c r="AY1301">
        <v>70</v>
      </c>
      <c r="BC1301" t="str">
        <f>T("9791166003493")</f>
        <v>9791166003493</v>
      </c>
      <c r="BE1301" t="str">
        <f>T("판타지 웹소설 &gt; 현대 판타지")</f>
        <v>판타지 웹소설 &gt; 현대 판타지</v>
      </c>
    </row>
    <row r="1302" spans="1:57" x14ac:dyDescent="0.3">
      <c r="A1302">
        <v>1525000924</v>
      </c>
      <c r="B1302">
        <v>1525000953</v>
      </c>
      <c r="C1302" t="str">
        <f>T("스피릿 소드 30화")</f>
        <v>스피릿 소드 30화</v>
      </c>
      <c r="D1302" t="str">
        <f>T("30")</f>
        <v>30</v>
      </c>
      <c r="E1302" t="str">
        <f>T("김정률")</f>
        <v>김정률</v>
      </c>
      <c r="H1302" t="str">
        <f>T("스토리위즈")</f>
        <v>스토리위즈</v>
      </c>
      <c r="I1302" t="str">
        <f>T("스피릿 소드")</f>
        <v>스피릿 소드</v>
      </c>
      <c r="J1302">
        <v>100</v>
      </c>
      <c r="K1302">
        <v>100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100</v>
      </c>
      <c r="AH1302">
        <v>1</v>
      </c>
      <c r="AI1302">
        <v>0</v>
      </c>
      <c r="AJ1302">
        <v>0</v>
      </c>
      <c r="AK1302">
        <v>100</v>
      </c>
      <c r="AL1302">
        <v>0</v>
      </c>
      <c r="AM1302">
        <v>0</v>
      </c>
      <c r="AN1302">
        <v>0</v>
      </c>
      <c r="AO1302">
        <v>0</v>
      </c>
      <c r="AQ1302">
        <v>0</v>
      </c>
      <c r="AR1302">
        <v>0</v>
      </c>
      <c r="AT1302">
        <v>0</v>
      </c>
      <c r="AU1302">
        <v>0</v>
      </c>
      <c r="AW1302">
        <v>0</v>
      </c>
      <c r="AX1302">
        <v>0</v>
      </c>
      <c r="AY1302">
        <v>70</v>
      </c>
      <c r="BA1302" t="str">
        <f>T("9791159282713")</f>
        <v>9791159282713</v>
      </c>
      <c r="BC1302" t="str">
        <f>T("9791159282713")</f>
        <v>9791159282713</v>
      </c>
      <c r="BE1302" t="str">
        <f>T("판타지 웹소설 &gt; 정통 판타지")</f>
        <v>판타지 웹소설 &gt; 정통 판타지</v>
      </c>
    </row>
    <row r="1303" spans="1:57" x14ac:dyDescent="0.3">
      <c r="A1303">
        <v>1525004030</v>
      </c>
      <c r="B1303">
        <v>1525007059</v>
      </c>
      <c r="C1303" t="str">
        <f>T("회귀의 전설 2부 943화")</f>
        <v>회귀의 전설 2부 943화</v>
      </c>
      <c r="D1303" t="str">
        <f>T("943")</f>
        <v>943</v>
      </c>
      <c r="E1303" t="str">
        <f>T("김광수")</f>
        <v>김광수</v>
      </c>
      <c r="H1303" t="str">
        <f>T("스토리위즈")</f>
        <v>스토리위즈</v>
      </c>
      <c r="I1303" t="str">
        <f>T("회귀의 전설")</f>
        <v>회귀의 전설</v>
      </c>
      <c r="J1303">
        <v>100</v>
      </c>
      <c r="K1303">
        <v>100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100</v>
      </c>
      <c r="AH1303">
        <v>1</v>
      </c>
      <c r="AI1303">
        <v>0</v>
      </c>
      <c r="AJ1303">
        <v>0</v>
      </c>
      <c r="AK1303">
        <v>100</v>
      </c>
      <c r="AL1303">
        <v>0</v>
      </c>
      <c r="AM1303">
        <v>0</v>
      </c>
      <c r="AN1303">
        <v>0</v>
      </c>
      <c r="AO1303">
        <v>0</v>
      </c>
      <c r="AQ1303">
        <v>0</v>
      </c>
      <c r="AR1303">
        <v>0</v>
      </c>
      <c r="AT1303">
        <v>0</v>
      </c>
      <c r="AU1303">
        <v>0</v>
      </c>
      <c r="AW1303">
        <v>0</v>
      </c>
      <c r="AX1303">
        <v>0</v>
      </c>
      <c r="AY1303">
        <v>70</v>
      </c>
      <c r="BC1303" t="str">
        <f>T("9791191102086")</f>
        <v>9791191102086</v>
      </c>
      <c r="BE1303" t="str">
        <f>T("판타지 웹소설 &gt; 현대 판타지")</f>
        <v>판타지 웹소설 &gt; 현대 판타지</v>
      </c>
    </row>
    <row r="1304" spans="1:57" x14ac:dyDescent="0.3">
      <c r="A1304">
        <v>1525012551</v>
      </c>
      <c r="B1304">
        <v>1525012579</v>
      </c>
      <c r="C1304" t="str">
        <f>T("개정판 | 바보가 만드는 멋진 세상 29화")</f>
        <v>개정판 | 바보가 만드는 멋진 세상 29화</v>
      </c>
      <c r="D1304" t="str">
        <f>T("29")</f>
        <v>29</v>
      </c>
      <c r="E1304" t="str">
        <f>T("백범(白帆)")</f>
        <v>백범(白帆)</v>
      </c>
      <c r="H1304" t="str">
        <f>T("에필로그")</f>
        <v>에필로그</v>
      </c>
      <c r="I1304" t="str">
        <f>T("개정판 | 바보가 만드는 멋진 세상")</f>
        <v>개정판 | 바보가 만드는 멋진 세상</v>
      </c>
      <c r="J1304">
        <v>100</v>
      </c>
      <c r="K1304">
        <v>100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100</v>
      </c>
      <c r="AH1304">
        <v>1</v>
      </c>
      <c r="AI1304">
        <v>0</v>
      </c>
      <c r="AJ1304">
        <v>0</v>
      </c>
      <c r="AK1304">
        <v>100</v>
      </c>
      <c r="AL1304">
        <v>0</v>
      </c>
      <c r="AM1304">
        <v>0</v>
      </c>
      <c r="AN1304">
        <v>0</v>
      </c>
      <c r="AO1304">
        <v>0</v>
      </c>
      <c r="AQ1304">
        <v>0</v>
      </c>
      <c r="AR1304">
        <v>0</v>
      </c>
      <c r="AT1304">
        <v>0</v>
      </c>
      <c r="AU1304">
        <v>0</v>
      </c>
      <c r="AW1304">
        <v>0</v>
      </c>
      <c r="AX1304">
        <v>0</v>
      </c>
      <c r="AY1304">
        <v>70</v>
      </c>
      <c r="BC1304" t="str">
        <f>T("9791166003493")</f>
        <v>9791166003493</v>
      </c>
      <c r="BE1304" t="str">
        <f>T("판타지 웹소설 &gt; 현대 판타지")</f>
        <v>판타지 웹소설 &gt; 현대 판타지</v>
      </c>
    </row>
    <row r="1305" spans="1:57" x14ac:dyDescent="0.3">
      <c r="A1305">
        <v>1525013020</v>
      </c>
      <c r="B1305">
        <v>1525013100</v>
      </c>
      <c r="C1305" t="str">
        <f>T("악당의 리턴 81화")</f>
        <v>악당의 리턴 81화</v>
      </c>
      <c r="D1305" t="str">
        <f>T("81")</f>
        <v>81</v>
      </c>
      <c r="E1305" t="str">
        <f>T("백범(白帆)")</f>
        <v>백범(白帆)</v>
      </c>
      <c r="H1305" t="str">
        <f>T("에필로그")</f>
        <v>에필로그</v>
      </c>
      <c r="I1305" t="str">
        <f>T("악당의 리턴")</f>
        <v>악당의 리턴</v>
      </c>
      <c r="J1305">
        <v>100</v>
      </c>
      <c r="K1305">
        <v>100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100</v>
      </c>
      <c r="AH1305">
        <v>1</v>
      </c>
      <c r="AI1305">
        <v>0</v>
      </c>
      <c r="AJ1305">
        <v>0</v>
      </c>
      <c r="AK1305">
        <v>100</v>
      </c>
      <c r="AL1305">
        <v>0</v>
      </c>
      <c r="AM1305">
        <v>0</v>
      </c>
      <c r="AN1305">
        <v>0</v>
      </c>
      <c r="AO1305">
        <v>0</v>
      </c>
      <c r="AQ1305">
        <v>0</v>
      </c>
      <c r="AR1305">
        <v>0</v>
      </c>
      <c r="AT1305">
        <v>0</v>
      </c>
      <c r="AU1305">
        <v>0</v>
      </c>
      <c r="AW1305">
        <v>0</v>
      </c>
      <c r="AX1305">
        <v>0</v>
      </c>
      <c r="AY1305">
        <v>70</v>
      </c>
      <c r="BC1305" t="str">
        <f>T("9791196538927")</f>
        <v>9791196538927</v>
      </c>
      <c r="BE1305" t="str">
        <f>T("판타지 웹소설 &gt; 현대 판타지")</f>
        <v>판타지 웹소설 &gt; 현대 판타지</v>
      </c>
    </row>
    <row r="1306" spans="1:57" x14ac:dyDescent="0.3">
      <c r="A1306">
        <v>1525012551</v>
      </c>
      <c r="B1306">
        <v>1525012661</v>
      </c>
      <c r="C1306" t="str">
        <f>T("개정판 | 바보가 만드는 멋진 세상 111화")</f>
        <v>개정판 | 바보가 만드는 멋진 세상 111화</v>
      </c>
      <c r="D1306" t="str">
        <f>T("111")</f>
        <v>111</v>
      </c>
      <c r="E1306" t="str">
        <f>T("백범(白帆)")</f>
        <v>백범(白帆)</v>
      </c>
      <c r="H1306" t="str">
        <f>T("에필로그")</f>
        <v>에필로그</v>
      </c>
      <c r="I1306" t="str">
        <f>T("개정판 | 바보가 만드는 멋진 세상")</f>
        <v>개정판 | 바보가 만드는 멋진 세상</v>
      </c>
      <c r="J1306">
        <v>100</v>
      </c>
      <c r="K1306">
        <v>100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100</v>
      </c>
      <c r="AH1306">
        <v>1</v>
      </c>
      <c r="AI1306">
        <v>0</v>
      </c>
      <c r="AJ1306">
        <v>0</v>
      </c>
      <c r="AK1306">
        <v>100</v>
      </c>
      <c r="AL1306">
        <v>0</v>
      </c>
      <c r="AM1306">
        <v>0</v>
      </c>
      <c r="AN1306">
        <v>0</v>
      </c>
      <c r="AO1306">
        <v>0</v>
      </c>
      <c r="AQ1306">
        <v>0</v>
      </c>
      <c r="AR1306">
        <v>0</v>
      </c>
      <c r="AT1306">
        <v>0</v>
      </c>
      <c r="AU1306">
        <v>0</v>
      </c>
      <c r="AW1306">
        <v>0</v>
      </c>
      <c r="AX1306">
        <v>0</v>
      </c>
      <c r="AY1306">
        <v>70</v>
      </c>
      <c r="BC1306" t="str">
        <f>T("9791166003493")</f>
        <v>9791166003493</v>
      </c>
      <c r="BE1306" t="str">
        <f>T("판타지 웹소설 &gt; 현대 판타지")</f>
        <v>판타지 웹소설 &gt; 현대 판타지</v>
      </c>
    </row>
    <row r="1307" spans="1:57" x14ac:dyDescent="0.3">
      <c r="A1307">
        <v>1525012551</v>
      </c>
      <c r="B1307">
        <v>1525012759</v>
      </c>
      <c r="C1307" t="str">
        <f>T("개정판 | 바보가 만드는 멋진 세상 209화")</f>
        <v>개정판 | 바보가 만드는 멋진 세상 209화</v>
      </c>
      <c r="D1307" t="str">
        <f>T("209")</f>
        <v>209</v>
      </c>
      <c r="E1307" t="str">
        <f>T("백범(白帆)")</f>
        <v>백범(白帆)</v>
      </c>
      <c r="H1307" t="str">
        <f>T("에필로그")</f>
        <v>에필로그</v>
      </c>
      <c r="I1307" t="str">
        <f>T("개정판 | 바보가 만드는 멋진 세상")</f>
        <v>개정판 | 바보가 만드는 멋진 세상</v>
      </c>
      <c r="J1307">
        <v>100</v>
      </c>
      <c r="K1307">
        <v>100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100</v>
      </c>
      <c r="AH1307">
        <v>1</v>
      </c>
      <c r="AI1307">
        <v>0</v>
      </c>
      <c r="AJ1307">
        <v>0</v>
      </c>
      <c r="AK1307">
        <v>100</v>
      </c>
      <c r="AL1307">
        <v>0</v>
      </c>
      <c r="AM1307">
        <v>0</v>
      </c>
      <c r="AN1307">
        <v>0</v>
      </c>
      <c r="AO1307">
        <v>0</v>
      </c>
      <c r="AQ1307">
        <v>0</v>
      </c>
      <c r="AR1307">
        <v>0</v>
      </c>
      <c r="AT1307">
        <v>0</v>
      </c>
      <c r="AU1307">
        <v>0</v>
      </c>
      <c r="AW1307">
        <v>0</v>
      </c>
      <c r="AX1307">
        <v>0</v>
      </c>
      <c r="AY1307">
        <v>70</v>
      </c>
      <c r="BC1307" t="str">
        <f>T("9791166003493")</f>
        <v>9791166003493</v>
      </c>
      <c r="BE1307" t="str">
        <f>T("판타지 웹소설 &gt; 현대 판타지")</f>
        <v>판타지 웹소설 &gt; 현대 판타지</v>
      </c>
    </row>
    <row r="1308" spans="1:57" x14ac:dyDescent="0.3">
      <c r="A1308">
        <v>1525004799</v>
      </c>
      <c r="B1308">
        <v>1525004832</v>
      </c>
      <c r="C1308" t="str">
        <f>T("검산도해 34화")</f>
        <v>검산도해 34화</v>
      </c>
      <c r="D1308" t="str">
        <f>T("34")</f>
        <v>34</v>
      </c>
      <c r="E1308" t="str">
        <f>T("권용찬")</f>
        <v>권용찬</v>
      </c>
      <c r="H1308" t="str">
        <f>T("스토리위즈")</f>
        <v>스토리위즈</v>
      </c>
      <c r="I1308" t="str">
        <f>T("검산도해")</f>
        <v>검산도해</v>
      </c>
      <c r="J1308">
        <v>100</v>
      </c>
      <c r="K1308">
        <v>100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100</v>
      </c>
      <c r="AH1308">
        <v>1</v>
      </c>
      <c r="AI1308">
        <v>0</v>
      </c>
      <c r="AJ1308">
        <v>0</v>
      </c>
      <c r="AK1308">
        <v>0</v>
      </c>
      <c r="AL1308">
        <v>0</v>
      </c>
      <c r="AM1308">
        <v>120</v>
      </c>
      <c r="AN1308">
        <v>-12</v>
      </c>
      <c r="AO1308">
        <v>0</v>
      </c>
      <c r="AQ1308">
        <v>0</v>
      </c>
      <c r="AR1308">
        <v>0</v>
      </c>
      <c r="AS1308">
        <v>120</v>
      </c>
      <c r="AT1308">
        <v>-12</v>
      </c>
      <c r="AU1308">
        <v>0</v>
      </c>
      <c r="AW1308">
        <v>0</v>
      </c>
      <c r="AX1308">
        <v>0</v>
      </c>
      <c r="AY1308">
        <v>75.599999999999994</v>
      </c>
      <c r="BC1308" t="str">
        <f>T("9791159285936")</f>
        <v>9791159285936</v>
      </c>
      <c r="BE1308" t="str">
        <f>T("판타지 웹소설 &gt; 무협 소설")</f>
        <v>판타지 웹소설 &gt; 무협 소설</v>
      </c>
    </row>
    <row r="1309" spans="1:57" x14ac:dyDescent="0.3">
      <c r="A1309">
        <v>1525004799</v>
      </c>
      <c r="B1309">
        <v>1525004889</v>
      </c>
      <c r="C1309" t="str">
        <f>T("검산도해 91화")</f>
        <v>검산도해 91화</v>
      </c>
      <c r="D1309" t="str">
        <f>T("91")</f>
        <v>91</v>
      </c>
      <c r="E1309" t="str">
        <f>T("권용찬")</f>
        <v>권용찬</v>
      </c>
      <c r="H1309" t="str">
        <f>T("스토리위즈")</f>
        <v>스토리위즈</v>
      </c>
      <c r="I1309" t="str">
        <f>T("검산도해")</f>
        <v>검산도해</v>
      </c>
      <c r="J1309">
        <v>100</v>
      </c>
      <c r="K1309">
        <v>100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100</v>
      </c>
      <c r="AH1309">
        <v>1</v>
      </c>
      <c r="AI1309">
        <v>0</v>
      </c>
      <c r="AJ1309">
        <v>0</v>
      </c>
      <c r="AK1309">
        <v>0</v>
      </c>
      <c r="AL1309">
        <v>0</v>
      </c>
      <c r="AM1309">
        <v>120</v>
      </c>
      <c r="AN1309">
        <v>-12</v>
      </c>
      <c r="AO1309">
        <v>0</v>
      </c>
      <c r="AQ1309">
        <v>0</v>
      </c>
      <c r="AR1309">
        <v>0</v>
      </c>
      <c r="AS1309">
        <v>120</v>
      </c>
      <c r="AT1309">
        <v>-12</v>
      </c>
      <c r="AU1309">
        <v>0</v>
      </c>
      <c r="AW1309">
        <v>0</v>
      </c>
      <c r="AX1309">
        <v>0</v>
      </c>
      <c r="AY1309">
        <v>75.599999999999994</v>
      </c>
      <c r="BC1309" t="str">
        <f>T("9791159285936")</f>
        <v>9791159285936</v>
      </c>
      <c r="BE1309" t="str">
        <f>T("판타지 웹소설 &gt; 무협 소설")</f>
        <v>판타지 웹소설 &gt; 무협 소설</v>
      </c>
    </row>
    <row r="1310" spans="1:57" x14ac:dyDescent="0.3">
      <c r="A1310">
        <v>1525004030</v>
      </c>
      <c r="B1310">
        <v>1525007076</v>
      </c>
      <c r="C1310" t="str">
        <f>T("회귀의 전설 2부 960화")</f>
        <v>회귀의 전설 2부 960화</v>
      </c>
      <c r="D1310" t="str">
        <f>T("960")</f>
        <v>960</v>
      </c>
      <c r="E1310" t="str">
        <f>T("김광수")</f>
        <v>김광수</v>
      </c>
      <c r="H1310" t="str">
        <f>T("스토리위즈")</f>
        <v>스토리위즈</v>
      </c>
      <c r="I1310" t="str">
        <f>T("회귀의 전설")</f>
        <v>회귀의 전설</v>
      </c>
      <c r="J1310">
        <v>100</v>
      </c>
      <c r="K1310">
        <v>100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100</v>
      </c>
      <c r="AH1310">
        <v>1</v>
      </c>
      <c r="AI1310">
        <v>0</v>
      </c>
      <c r="AJ1310">
        <v>0</v>
      </c>
      <c r="AK1310">
        <v>100</v>
      </c>
      <c r="AL1310">
        <v>0</v>
      </c>
      <c r="AM1310">
        <v>0</v>
      </c>
      <c r="AN1310">
        <v>0</v>
      </c>
      <c r="AO1310">
        <v>0</v>
      </c>
      <c r="AQ1310">
        <v>0</v>
      </c>
      <c r="AR1310">
        <v>0</v>
      </c>
      <c r="AT1310">
        <v>0</v>
      </c>
      <c r="AU1310">
        <v>0</v>
      </c>
      <c r="AW1310">
        <v>0</v>
      </c>
      <c r="AX1310">
        <v>0</v>
      </c>
      <c r="AY1310">
        <v>70</v>
      </c>
      <c r="BC1310" t="str">
        <f>T("9791191102086")</f>
        <v>9791191102086</v>
      </c>
      <c r="BE1310" t="str">
        <f>T("판타지 웹소설 &gt; 현대 판타지")</f>
        <v>판타지 웹소설 &gt; 현대 판타지</v>
      </c>
    </row>
    <row r="1311" spans="1:57" x14ac:dyDescent="0.3">
      <c r="A1311">
        <v>1525004030</v>
      </c>
      <c r="B1311">
        <v>1525004547</v>
      </c>
      <c r="C1311" t="str">
        <f>T("회귀의 전설 524화")</f>
        <v>회귀의 전설 524화</v>
      </c>
      <c r="D1311" t="str">
        <f>T("524")</f>
        <v>524</v>
      </c>
      <c r="E1311" t="str">
        <f>T("김광수")</f>
        <v>김광수</v>
      </c>
      <c r="H1311" t="str">
        <f>T("스토리위즈")</f>
        <v>스토리위즈</v>
      </c>
      <c r="I1311" t="str">
        <f>T("회귀의 전설")</f>
        <v>회귀의 전설</v>
      </c>
      <c r="J1311">
        <v>100</v>
      </c>
      <c r="K1311">
        <v>100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100</v>
      </c>
      <c r="AH1311">
        <v>1</v>
      </c>
      <c r="AI1311">
        <v>0</v>
      </c>
      <c r="AJ1311">
        <v>0</v>
      </c>
      <c r="AK1311">
        <v>100</v>
      </c>
      <c r="AL1311">
        <v>0</v>
      </c>
      <c r="AM1311">
        <v>0</v>
      </c>
      <c r="AN1311">
        <v>0</v>
      </c>
      <c r="AO1311">
        <v>0</v>
      </c>
      <c r="AQ1311">
        <v>0</v>
      </c>
      <c r="AR1311">
        <v>0</v>
      </c>
      <c r="AT1311">
        <v>0</v>
      </c>
      <c r="AU1311">
        <v>0</v>
      </c>
      <c r="AW1311">
        <v>0</v>
      </c>
      <c r="AX1311">
        <v>0</v>
      </c>
      <c r="AY1311">
        <v>70</v>
      </c>
      <c r="BC1311" t="str">
        <f>T("9788997946006")</f>
        <v>9788997946006</v>
      </c>
      <c r="BE1311" t="str">
        <f>T("판타지 웹소설 &gt; 현대 판타지")</f>
        <v>판타지 웹소설 &gt; 현대 판타지</v>
      </c>
    </row>
    <row r="1312" spans="1:57" x14ac:dyDescent="0.3">
      <c r="A1312">
        <v>1525015018</v>
      </c>
      <c r="B1312">
        <v>1525015036</v>
      </c>
      <c r="C1312" t="str">
        <f>T("그녀들은 소꿉친구지, 그 이상은 곤란합니다 19화")</f>
        <v>그녀들은 소꿉친구지, 그 이상은 곤란합니다 19화</v>
      </c>
      <c r="D1312" t="str">
        <f>T("19")</f>
        <v>19</v>
      </c>
      <c r="E1312" t="str">
        <f>T("자이오")</f>
        <v>자이오</v>
      </c>
      <c r="H1312" t="str">
        <f>T("스토리아크")</f>
        <v>스토리아크</v>
      </c>
      <c r="I1312" t="str">
        <f>T("그녀들은 소꿉친구지, 그 이상은 곤란합니다")</f>
        <v>그녀들은 소꿉친구지, 그 이상은 곤란합니다</v>
      </c>
      <c r="J1312">
        <v>100</v>
      </c>
      <c r="K1312">
        <v>100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100</v>
      </c>
      <c r="AH1312">
        <v>1</v>
      </c>
      <c r="AI1312">
        <v>0</v>
      </c>
      <c r="AJ1312">
        <v>0</v>
      </c>
      <c r="AK1312">
        <v>100</v>
      </c>
      <c r="AL1312">
        <v>0</v>
      </c>
      <c r="AM1312">
        <v>0</v>
      </c>
      <c r="AN1312">
        <v>0</v>
      </c>
      <c r="AO1312">
        <v>0</v>
      </c>
      <c r="AQ1312">
        <v>0</v>
      </c>
      <c r="AR1312">
        <v>0</v>
      </c>
      <c r="AT1312">
        <v>0</v>
      </c>
      <c r="AU1312">
        <v>0</v>
      </c>
      <c r="AW1312">
        <v>0</v>
      </c>
      <c r="AX1312">
        <v>0</v>
      </c>
      <c r="AY1312">
        <v>70</v>
      </c>
      <c r="BC1312" t="str">
        <f>T("9791191039313")</f>
        <v>9791191039313</v>
      </c>
      <c r="BE1312" t="str">
        <f>T("판타지 웹소설 &gt; 퓨전 판타지")</f>
        <v>판타지 웹소설 &gt; 퓨전 판타지</v>
      </c>
    </row>
    <row r="1313" spans="1:57" x14ac:dyDescent="0.3">
      <c r="A1313">
        <v>1525004030</v>
      </c>
      <c r="B1313">
        <v>1525004336</v>
      </c>
      <c r="C1313" t="str">
        <f>T("회귀의 전설 307화")</f>
        <v>회귀의 전설 307화</v>
      </c>
      <c r="D1313" t="str">
        <f>T("307")</f>
        <v>307</v>
      </c>
      <c r="E1313" t="str">
        <f>T("김광수")</f>
        <v>김광수</v>
      </c>
      <c r="H1313" t="str">
        <f>T("스토리위즈")</f>
        <v>스토리위즈</v>
      </c>
      <c r="I1313" t="str">
        <f>T("회귀의 전설")</f>
        <v>회귀의 전설</v>
      </c>
      <c r="J1313">
        <v>100</v>
      </c>
      <c r="K1313">
        <v>100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100</v>
      </c>
      <c r="AH1313">
        <v>1</v>
      </c>
      <c r="AI1313">
        <v>0</v>
      </c>
      <c r="AJ1313">
        <v>0</v>
      </c>
      <c r="AK1313">
        <v>100</v>
      </c>
      <c r="AL1313">
        <v>0</v>
      </c>
      <c r="AM1313">
        <v>0</v>
      </c>
      <c r="AN1313">
        <v>0</v>
      </c>
      <c r="AO1313">
        <v>0</v>
      </c>
      <c r="AQ1313">
        <v>0</v>
      </c>
      <c r="AR1313">
        <v>0</v>
      </c>
      <c r="AT1313">
        <v>0</v>
      </c>
      <c r="AU1313">
        <v>0</v>
      </c>
      <c r="AW1313">
        <v>0</v>
      </c>
      <c r="AX1313">
        <v>0</v>
      </c>
      <c r="AY1313">
        <v>70</v>
      </c>
      <c r="BC1313" t="str">
        <f>T("9788997946006")</f>
        <v>9788997946006</v>
      </c>
      <c r="BE1313" t="str">
        <f>T("판타지 웹소설 &gt; 현대 판타지")</f>
        <v>판타지 웹소설 &gt; 현대 판타지</v>
      </c>
    </row>
    <row r="1314" spans="1:57" x14ac:dyDescent="0.3">
      <c r="A1314">
        <v>1525002864</v>
      </c>
      <c r="B1314">
        <v>1525002899</v>
      </c>
      <c r="C1314" t="str">
        <f>T("소드마스터의 환생 36화")</f>
        <v>소드마스터의 환생 36화</v>
      </c>
      <c r="D1314" t="str">
        <f>T("36")</f>
        <v>36</v>
      </c>
      <c r="E1314" t="str">
        <f>T("파란영")</f>
        <v>파란영</v>
      </c>
      <c r="H1314" t="str">
        <f>T("스토리위즈")</f>
        <v>스토리위즈</v>
      </c>
      <c r="I1314" t="str">
        <f>T("소드마스터의 환생")</f>
        <v>소드마스터의 환생</v>
      </c>
      <c r="J1314">
        <v>100</v>
      </c>
      <c r="K1314">
        <v>100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100</v>
      </c>
      <c r="AH1314">
        <v>1</v>
      </c>
      <c r="AI1314">
        <v>0</v>
      </c>
      <c r="AJ1314">
        <v>0</v>
      </c>
      <c r="AK1314">
        <v>100</v>
      </c>
      <c r="AL1314">
        <v>0</v>
      </c>
      <c r="AM1314">
        <v>0</v>
      </c>
      <c r="AN1314">
        <v>0</v>
      </c>
      <c r="AO1314">
        <v>0</v>
      </c>
      <c r="AQ1314">
        <v>0</v>
      </c>
      <c r="AR1314">
        <v>0</v>
      </c>
      <c r="AT1314">
        <v>0</v>
      </c>
      <c r="AU1314">
        <v>0</v>
      </c>
      <c r="AW1314">
        <v>0</v>
      </c>
      <c r="AX1314">
        <v>0</v>
      </c>
      <c r="AY1314">
        <v>70</v>
      </c>
      <c r="BC1314" t="str">
        <f>T("9791159287527")</f>
        <v>9791159287527</v>
      </c>
      <c r="BE1314" t="str">
        <f>T("판타지 웹소설 &gt; 정통 판타지")</f>
        <v>판타지 웹소설 &gt; 정통 판타지</v>
      </c>
    </row>
    <row r="1315" spans="1:57" x14ac:dyDescent="0.3">
      <c r="A1315">
        <v>1525013020</v>
      </c>
      <c r="B1315">
        <v>1525013117</v>
      </c>
      <c r="C1315" t="str">
        <f>T("악당의 리턴 98화")</f>
        <v>악당의 리턴 98화</v>
      </c>
      <c r="D1315" t="str">
        <f>T("98")</f>
        <v>98</v>
      </c>
      <c r="E1315" t="str">
        <f>T("백범(白帆)")</f>
        <v>백범(白帆)</v>
      </c>
      <c r="H1315" t="str">
        <f>T("에필로그")</f>
        <v>에필로그</v>
      </c>
      <c r="I1315" t="str">
        <f>T("악당의 리턴")</f>
        <v>악당의 리턴</v>
      </c>
      <c r="J1315">
        <v>100</v>
      </c>
      <c r="K1315">
        <v>100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100</v>
      </c>
      <c r="AH1315">
        <v>1</v>
      </c>
      <c r="AI1315">
        <v>0</v>
      </c>
      <c r="AJ1315">
        <v>0</v>
      </c>
      <c r="AK1315">
        <v>100</v>
      </c>
      <c r="AL1315">
        <v>0</v>
      </c>
      <c r="AM1315">
        <v>0</v>
      </c>
      <c r="AN1315">
        <v>0</v>
      </c>
      <c r="AO1315">
        <v>0</v>
      </c>
      <c r="AQ1315">
        <v>0</v>
      </c>
      <c r="AR1315">
        <v>0</v>
      </c>
      <c r="AT1315">
        <v>0</v>
      </c>
      <c r="AU1315">
        <v>0</v>
      </c>
      <c r="AW1315">
        <v>0</v>
      </c>
      <c r="AX1315">
        <v>0</v>
      </c>
      <c r="AY1315">
        <v>70</v>
      </c>
      <c r="BC1315" t="str">
        <f>T("9791196538927")</f>
        <v>9791196538927</v>
      </c>
      <c r="BE1315" t="str">
        <f>T("판타지 웹소설 &gt; 현대 판타지")</f>
        <v>판타지 웹소설 &gt; 현대 판타지</v>
      </c>
    </row>
    <row r="1316" spans="1:57" x14ac:dyDescent="0.3">
      <c r="A1316">
        <v>1525008717</v>
      </c>
      <c r="B1316">
        <v>1525008702</v>
      </c>
      <c r="C1316" t="str">
        <f>T("음양상열지사 114화")</f>
        <v>음양상열지사 114화</v>
      </c>
      <c r="D1316" t="str">
        <f>T("114")</f>
        <v>114</v>
      </c>
      <c r="E1316" t="str">
        <f>T("이염")</f>
        <v>이염</v>
      </c>
      <c r="H1316" t="str">
        <f>T("블러쉬")</f>
        <v>블러쉬</v>
      </c>
      <c r="I1316" t="str">
        <f>T("음양상열지사")</f>
        <v>음양상열지사</v>
      </c>
      <c r="J1316">
        <v>100</v>
      </c>
      <c r="K1316">
        <v>100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100</v>
      </c>
      <c r="AH1316">
        <v>1</v>
      </c>
      <c r="AI1316">
        <v>0</v>
      </c>
      <c r="AJ1316">
        <v>0</v>
      </c>
      <c r="AK1316">
        <v>100</v>
      </c>
      <c r="AL1316">
        <v>0</v>
      </c>
      <c r="AM1316">
        <v>0</v>
      </c>
      <c r="AN1316">
        <v>0</v>
      </c>
      <c r="AO1316">
        <v>0</v>
      </c>
      <c r="AQ1316">
        <v>0</v>
      </c>
      <c r="AR1316">
        <v>0</v>
      </c>
      <c r="AT1316">
        <v>0</v>
      </c>
      <c r="AU1316">
        <v>0</v>
      </c>
      <c r="AW1316">
        <v>0</v>
      </c>
      <c r="AX1316">
        <v>0</v>
      </c>
      <c r="AY1316">
        <v>70</v>
      </c>
      <c r="BA1316" t="str">
        <f>T("0000000000000")</f>
        <v>0000000000000</v>
      </c>
      <c r="BC1316" t="str">
        <f>T("9791164896639")</f>
        <v>9791164896639</v>
      </c>
      <c r="BE1316" t="str">
        <f>T("BL 웹소설 &gt; 역사/시대물")</f>
        <v>BL 웹소설 &gt; 역사/시대물</v>
      </c>
    </row>
    <row r="1317" spans="1:57" x14ac:dyDescent="0.3">
      <c r="A1317">
        <v>1525012551</v>
      </c>
      <c r="B1317">
        <v>1525012693</v>
      </c>
      <c r="C1317" t="str">
        <f>T("개정판 | 바보가 만드는 멋진 세상 143화")</f>
        <v>개정판 | 바보가 만드는 멋진 세상 143화</v>
      </c>
      <c r="D1317" t="str">
        <f>T("143")</f>
        <v>143</v>
      </c>
      <c r="E1317" t="str">
        <f>T("백범(白帆)")</f>
        <v>백범(白帆)</v>
      </c>
      <c r="H1317" t="str">
        <f>T("에필로그")</f>
        <v>에필로그</v>
      </c>
      <c r="I1317" t="str">
        <f>T("개정판 | 바보가 만드는 멋진 세상")</f>
        <v>개정판 | 바보가 만드는 멋진 세상</v>
      </c>
      <c r="J1317">
        <v>100</v>
      </c>
      <c r="K1317">
        <v>100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100</v>
      </c>
      <c r="AH1317">
        <v>1</v>
      </c>
      <c r="AI1317">
        <v>0</v>
      </c>
      <c r="AJ1317">
        <v>0</v>
      </c>
      <c r="AK1317">
        <v>100</v>
      </c>
      <c r="AL1317">
        <v>0</v>
      </c>
      <c r="AM1317">
        <v>0</v>
      </c>
      <c r="AN1317">
        <v>0</v>
      </c>
      <c r="AO1317">
        <v>0</v>
      </c>
      <c r="AQ1317">
        <v>0</v>
      </c>
      <c r="AR1317">
        <v>0</v>
      </c>
      <c r="AT1317">
        <v>0</v>
      </c>
      <c r="AU1317">
        <v>0</v>
      </c>
      <c r="AW1317">
        <v>0</v>
      </c>
      <c r="AX1317">
        <v>0</v>
      </c>
      <c r="AY1317">
        <v>70</v>
      </c>
      <c r="BC1317" t="str">
        <f>T("9791166003493")</f>
        <v>9791166003493</v>
      </c>
      <c r="BE1317" t="str">
        <f>T("판타지 웹소설 &gt; 현대 판타지")</f>
        <v>판타지 웹소설 &gt; 현대 판타지</v>
      </c>
    </row>
    <row r="1318" spans="1:57" x14ac:dyDescent="0.3">
      <c r="A1318">
        <v>1525004799</v>
      </c>
      <c r="B1318">
        <v>1525004864</v>
      </c>
      <c r="C1318" t="str">
        <f>T("검산도해 66화")</f>
        <v>검산도해 66화</v>
      </c>
      <c r="D1318" t="str">
        <f>T("66")</f>
        <v>66</v>
      </c>
      <c r="E1318" t="str">
        <f>T("권용찬")</f>
        <v>권용찬</v>
      </c>
      <c r="H1318" t="str">
        <f>T("스토리위즈")</f>
        <v>스토리위즈</v>
      </c>
      <c r="I1318" t="str">
        <f>T("검산도해")</f>
        <v>검산도해</v>
      </c>
      <c r="J1318">
        <v>100</v>
      </c>
      <c r="K1318">
        <v>100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100</v>
      </c>
      <c r="AH1318">
        <v>1</v>
      </c>
      <c r="AI1318">
        <v>0</v>
      </c>
      <c r="AJ1318">
        <v>0</v>
      </c>
      <c r="AK1318">
        <v>0</v>
      </c>
      <c r="AL1318">
        <v>0</v>
      </c>
      <c r="AM1318">
        <v>120</v>
      </c>
      <c r="AN1318">
        <v>-12</v>
      </c>
      <c r="AO1318">
        <v>0</v>
      </c>
      <c r="AQ1318">
        <v>0</v>
      </c>
      <c r="AR1318">
        <v>0</v>
      </c>
      <c r="AS1318">
        <v>120</v>
      </c>
      <c r="AT1318">
        <v>-12</v>
      </c>
      <c r="AU1318">
        <v>0</v>
      </c>
      <c r="AW1318">
        <v>0</v>
      </c>
      <c r="AX1318">
        <v>0</v>
      </c>
      <c r="AY1318">
        <v>75.599999999999994</v>
      </c>
      <c r="BC1318" t="str">
        <f>T("9791159285936")</f>
        <v>9791159285936</v>
      </c>
      <c r="BE1318" t="str">
        <f>T("판타지 웹소설 &gt; 무협 소설")</f>
        <v>판타지 웹소설 &gt; 무협 소설</v>
      </c>
    </row>
    <row r="1319" spans="1:57" x14ac:dyDescent="0.3">
      <c r="A1319">
        <v>1525004799</v>
      </c>
      <c r="B1319">
        <v>1525004921</v>
      </c>
      <c r="C1319" t="str">
        <f>T("검산도해 123화")</f>
        <v>검산도해 123화</v>
      </c>
      <c r="D1319" t="str">
        <f>T("123")</f>
        <v>123</v>
      </c>
      <c r="E1319" t="str">
        <f>T("권용찬")</f>
        <v>권용찬</v>
      </c>
      <c r="H1319" t="str">
        <f>T("스토리위즈")</f>
        <v>스토리위즈</v>
      </c>
      <c r="I1319" t="str">
        <f>T("검산도해")</f>
        <v>검산도해</v>
      </c>
      <c r="J1319">
        <v>100</v>
      </c>
      <c r="K1319">
        <v>100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100</v>
      </c>
      <c r="AH1319">
        <v>1</v>
      </c>
      <c r="AI1319">
        <v>0</v>
      </c>
      <c r="AJ1319">
        <v>0</v>
      </c>
      <c r="AK1319">
        <v>0</v>
      </c>
      <c r="AL1319">
        <v>0</v>
      </c>
      <c r="AM1319">
        <v>120</v>
      </c>
      <c r="AN1319">
        <v>-12</v>
      </c>
      <c r="AO1319">
        <v>0</v>
      </c>
      <c r="AQ1319">
        <v>0</v>
      </c>
      <c r="AR1319">
        <v>0</v>
      </c>
      <c r="AS1319">
        <v>120</v>
      </c>
      <c r="AT1319">
        <v>-12</v>
      </c>
      <c r="AU1319">
        <v>0</v>
      </c>
      <c r="AW1319">
        <v>0</v>
      </c>
      <c r="AX1319">
        <v>0</v>
      </c>
      <c r="AY1319">
        <v>75.599999999999994</v>
      </c>
      <c r="BC1319" t="str">
        <f>T("9791159285936")</f>
        <v>9791159285936</v>
      </c>
      <c r="BE1319" t="str">
        <f>T("판타지 웹소설 &gt; 무협 소설")</f>
        <v>판타지 웹소설 &gt; 무협 소설</v>
      </c>
    </row>
    <row r="1320" spans="1:57" x14ac:dyDescent="0.3">
      <c r="A1320">
        <v>1525004030</v>
      </c>
      <c r="B1320">
        <v>1525007108</v>
      </c>
      <c r="C1320" t="str">
        <f>T("회귀의 전설 2부 992화")</f>
        <v>회귀의 전설 2부 992화</v>
      </c>
      <c r="D1320" t="str">
        <f>T("992")</f>
        <v>992</v>
      </c>
      <c r="E1320" t="str">
        <f>T("김광수")</f>
        <v>김광수</v>
      </c>
      <c r="H1320" t="str">
        <f>T("스토리위즈")</f>
        <v>스토리위즈</v>
      </c>
      <c r="I1320" t="str">
        <f>T("회귀의 전설")</f>
        <v>회귀의 전설</v>
      </c>
      <c r="J1320">
        <v>100</v>
      </c>
      <c r="K1320">
        <v>100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100</v>
      </c>
      <c r="AH1320">
        <v>1</v>
      </c>
      <c r="AI1320">
        <v>0</v>
      </c>
      <c r="AJ1320">
        <v>0</v>
      </c>
      <c r="AK1320">
        <v>100</v>
      </c>
      <c r="AL1320">
        <v>0</v>
      </c>
      <c r="AM1320">
        <v>0</v>
      </c>
      <c r="AN1320">
        <v>0</v>
      </c>
      <c r="AO1320">
        <v>0</v>
      </c>
      <c r="AQ1320">
        <v>0</v>
      </c>
      <c r="AR1320">
        <v>0</v>
      </c>
      <c r="AT1320">
        <v>0</v>
      </c>
      <c r="AU1320">
        <v>0</v>
      </c>
      <c r="AW1320">
        <v>0</v>
      </c>
      <c r="AX1320">
        <v>0</v>
      </c>
      <c r="AY1320">
        <v>70</v>
      </c>
      <c r="BC1320" t="str">
        <f>T("9791191102086")</f>
        <v>9791191102086</v>
      </c>
      <c r="BE1320" t="str">
        <f>T("판타지 웹소설 &gt; 현대 판타지")</f>
        <v>판타지 웹소설 &gt; 현대 판타지</v>
      </c>
    </row>
    <row r="1321" spans="1:57" x14ac:dyDescent="0.3">
      <c r="A1321">
        <v>1525014780</v>
      </c>
      <c r="B1321">
        <v>1525014936</v>
      </c>
      <c r="C1321" t="str">
        <f>T("크랭키 걸즈 157화")</f>
        <v>크랭키 걸즈 157화</v>
      </c>
      <c r="D1321" t="str">
        <f>T("157")</f>
        <v>157</v>
      </c>
      <c r="E1321" t="str">
        <f>T("곽도우")</f>
        <v>곽도우</v>
      </c>
      <c r="H1321" t="str">
        <f>T("스토리아크")</f>
        <v>스토리아크</v>
      </c>
      <c r="I1321" t="str">
        <f>T("크랭키 걸즈")</f>
        <v>크랭키 걸즈</v>
      </c>
      <c r="J1321">
        <v>100</v>
      </c>
      <c r="K1321">
        <v>100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100</v>
      </c>
      <c r="AH1321">
        <v>1</v>
      </c>
      <c r="AI1321">
        <v>0</v>
      </c>
      <c r="AJ1321">
        <v>0</v>
      </c>
      <c r="AK1321">
        <v>100</v>
      </c>
      <c r="AL1321">
        <v>0</v>
      </c>
      <c r="AM1321">
        <v>0</v>
      </c>
      <c r="AN1321">
        <v>0</v>
      </c>
      <c r="AO1321">
        <v>0</v>
      </c>
      <c r="AQ1321">
        <v>0</v>
      </c>
      <c r="AR1321">
        <v>0</v>
      </c>
      <c r="AT1321">
        <v>0</v>
      </c>
      <c r="AU1321">
        <v>0</v>
      </c>
      <c r="AW1321">
        <v>0</v>
      </c>
      <c r="AX1321">
        <v>0</v>
      </c>
      <c r="AY1321">
        <v>70</v>
      </c>
      <c r="BC1321" t="str">
        <f>T("9791191039276")</f>
        <v>9791191039276</v>
      </c>
      <c r="BE1321" t="str">
        <f>T("판타지 웹소설 &gt; 현대 판타지")</f>
        <v>판타지 웹소설 &gt; 현대 판타지</v>
      </c>
    </row>
    <row r="1322" spans="1:57" x14ac:dyDescent="0.3">
      <c r="A1322">
        <v>1525008545</v>
      </c>
      <c r="B1322">
        <v>1525008593</v>
      </c>
      <c r="C1322" t="str">
        <f>T("소년연애담 9화")</f>
        <v>소년연애담 9화</v>
      </c>
      <c r="D1322" t="str">
        <f>T("9")</f>
        <v>9</v>
      </c>
      <c r="E1322" t="str">
        <f>T("나나코")</f>
        <v>나나코</v>
      </c>
      <c r="H1322" t="str">
        <f>T("블러쉬")</f>
        <v>블러쉬</v>
      </c>
      <c r="I1322" t="str">
        <f>T("소년연애담")</f>
        <v>소년연애담</v>
      </c>
      <c r="J1322">
        <v>100</v>
      </c>
      <c r="K1322">
        <v>100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100</v>
      </c>
      <c r="AH1322">
        <v>1</v>
      </c>
      <c r="AI1322">
        <v>0</v>
      </c>
      <c r="AJ1322">
        <v>0</v>
      </c>
      <c r="AK1322">
        <v>100</v>
      </c>
      <c r="AL1322">
        <v>0</v>
      </c>
      <c r="AM1322">
        <v>0</v>
      </c>
      <c r="AN1322">
        <v>0</v>
      </c>
      <c r="AO1322">
        <v>0</v>
      </c>
      <c r="AQ1322">
        <v>0</v>
      </c>
      <c r="AR1322">
        <v>0</v>
      </c>
      <c r="AT1322">
        <v>0</v>
      </c>
      <c r="AU1322">
        <v>0</v>
      </c>
      <c r="AW1322">
        <v>0</v>
      </c>
      <c r="AX1322">
        <v>0</v>
      </c>
      <c r="AY1322">
        <v>70</v>
      </c>
      <c r="BA1322" t="str">
        <f>T("0000000000000")</f>
        <v>0000000000000</v>
      </c>
      <c r="BC1322" t="str">
        <f>T("9791164890729")</f>
        <v>9791164890729</v>
      </c>
      <c r="BD1322" t="str">
        <f>T("B12")</f>
        <v>B12</v>
      </c>
      <c r="BE1322" t="str">
        <f>T("BL 웹소설 &gt; 현대물")</f>
        <v>BL 웹소설 &gt; 현대물</v>
      </c>
    </row>
    <row r="1323" spans="1:57" x14ac:dyDescent="0.3">
      <c r="A1323">
        <v>1525012551</v>
      </c>
      <c r="B1323">
        <v>1525012682</v>
      </c>
      <c r="C1323" t="str">
        <f>T("개정판 | 바보가 만드는 멋진 세상 132화")</f>
        <v>개정판 | 바보가 만드는 멋진 세상 132화</v>
      </c>
      <c r="D1323" t="str">
        <f>T("132")</f>
        <v>132</v>
      </c>
      <c r="E1323" t="str">
        <f>T("백범(白帆)")</f>
        <v>백범(白帆)</v>
      </c>
      <c r="H1323" t="str">
        <f>T("에필로그")</f>
        <v>에필로그</v>
      </c>
      <c r="I1323" t="str">
        <f>T("개정판 | 바보가 만드는 멋진 세상")</f>
        <v>개정판 | 바보가 만드는 멋진 세상</v>
      </c>
      <c r="J1323">
        <v>100</v>
      </c>
      <c r="K1323">
        <v>100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100</v>
      </c>
      <c r="AH1323">
        <v>1</v>
      </c>
      <c r="AI1323">
        <v>0</v>
      </c>
      <c r="AJ1323">
        <v>0</v>
      </c>
      <c r="AK1323">
        <v>100</v>
      </c>
      <c r="AL1323">
        <v>0</v>
      </c>
      <c r="AM1323">
        <v>0</v>
      </c>
      <c r="AN1323">
        <v>0</v>
      </c>
      <c r="AO1323">
        <v>0</v>
      </c>
      <c r="AQ1323">
        <v>0</v>
      </c>
      <c r="AR1323">
        <v>0</v>
      </c>
      <c r="AT1323">
        <v>0</v>
      </c>
      <c r="AU1323">
        <v>0</v>
      </c>
      <c r="AW1323">
        <v>0</v>
      </c>
      <c r="AX1323">
        <v>0</v>
      </c>
      <c r="AY1323">
        <v>70</v>
      </c>
      <c r="BC1323" t="str">
        <f>T("9791166003493")</f>
        <v>9791166003493</v>
      </c>
      <c r="BE1323" t="str">
        <f>T("판타지 웹소설 &gt; 현대 판타지")</f>
        <v>판타지 웹소설 &gt; 현대 판타지</v>
      </c>
    </row>
    <row r="1324" spans="1:57" x14ac:dyDescent="0.3">
      <c r="A1324">
        <v>1525004799</v>
      </c>
      <c r="B1324">
        <v>1525004853</v>
      </c>
      <c r="C1324" t="str">
        <f>T("검산도해 55화")</f>
        <v>검산도해 55화</v>
      </c>
      <c r="D1324" t="str">
        <f>T("55")</f>
        <v>55</v>
      </c>
      <c r="E1324" t="str">
        <f>T("권용찬")</f>
        <v>권용찬</v>
      </c>
      <c r="H1324" t="str">
        <f>T("스토리위즈")</f>
        <v>스토리위즈</v>
      </c>
      <c r="I1324" t="str">
        <f>T("검산도해")</f>
        <v>검산도해</v>
      </c>
      <c r="J1324">
        <v>100</v>
      </c>
      <c r="K1324">
        <v>100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100</v>
      </c>
      <c r="AH1324">
        <v>1</v>
      </c>
      <c r="AI1324">
        <v>0</v>
      </c>
      <c r="AJ1324">
        <v>0</v>
      </c>
      <c r="AK1324">
        <v>0</v>
      </c>
      <c r="AL1324">
        <v>0</v>
      </c>
      <c r="AM1324">
        <v>120</v>
      </c>
      <c r="AN1324">
        <v>-12</v>
      </c>
      <c r="AO1324">
        <v>0</v>
      </c>
      <c r="AQ1324">
        <v>0</v>
      </c>
      <c r="AR1324">
        <v>0</v>
      </c>
      <c r="AS1324">
        <v>120</v>
      </c>
      <c r="AT1324">
        <v>-12</v>
      </c>
      <c r="AU1324">
        <v>0</v>
      </c>
      <c r="AW1324">
        <v>0</v>
      </c>
      <c r="AX1324">
        <v>0</v>
      </c>
      <c r="AY1324">
        <v>75.599999999999994</v>
      </c>
      <c r="BC1324" t="str">
        <f>T("9791159285936")</f>
        <v>9791159285936</v>
      </c>
      <c r="BE1324" t="str">
        <f>T("판타지 웹소설 &gt; 무협 소설")</f>
        <v>판타지 웹소설 &gt; 무협 소설</v>
      </c>
    </row>
    <row r="1325" spans="1:57" x14ac:dyDescent="0.3">
      <c r="A1325">
        <v>1525004799</v>
      </c>
      <c r="B1325">
        <v>1525004910</v>
      </c>
      <c r="C1325" t="str">
        <f>T("검산도해 112화")</f>
        <v>검산도해 112화</v>
      </c>
      <c r="D1325" t="str">
        <f>T("112")</f>
        <v>112</v>
      </c>
      <c r="E1325" t="str">
        <f>T("권용찬")</f>
        <v>권용찬</v>
      </c>
      <c r="H1325" t="str">
        <f>T("스토리위즈")</f>
        <v>스토리위즈</v>
      </c>
      <c r="I1325" t="str">
        <f>T("검산도해")</f>
        <v>검산도해</v>
      </c>
      <c r="J1325">
        <v>100</v>
      </c>
      <c r="K1325">
        <v>100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100</v>
      </c>
      <c r="AH1325">
        <v>1</v>
      </c>
      <c r="AI1325">
        <v>0</v>
      </c>
      <c r="AJ1325">
        <v>0</v>
      </c>
      <c r="AK1325">
        <v>0</v>
      </c>
      <c r="AL1325">
        <v>0</v>
      </c>
      <c r="AM1325">
        <v>120</v>
      </c>
      <c r="AN1325">
        <v>-12</v>
      </c>
      <c r="AO1325">
        <v>0</v>
      </c>
      <c r="AQ1325">
        <v>0</v>
      </c>
      <c r="AR1325">
        <v>0</v>
      </c>
      <c r="AS1325">
        <v>120</v>
      </c>
      <c r="AT1325">
        <v>-12</v>
      </c>
      <c r="AU1325">
        <v>0</v>
      </c>
      <c r="AW1325">
        <v>0</v>
      </c>
      <c r="AX1325">
        <v>0</v>
      </c>
      <c r="AY1325">
        <v>75.599999999999994</v>
      </c>
      <c r="BC1325" t="str">
        <f>T("9791159285936")</f>
        <v>9791159285936</v>
      </c>
      <c r="BE1325" t="str">
        <f>T("판타지 웹소설 &gt; 무협 소설")</f>
        <v>판타지 웹소설 &gt; 무협 소설</v>
      </c>
    </row>
    <row r="1326" spans="1:57" x14ac:dyDescent="0.3">
      <c r="A1326">
        <v>1525000569</v>
      </c>
      <c r="B1326">
        <v>1525000599</v>
      </c>
      <c r="C1326" t="str">
        <f>T("스트라이커 31화")</f>
        <v>스트라이커 31화</v>
      </c>
      <c r="D1326" t="str">
        <f>T("31")</f>
        <v>31</v>
      </c>
      <c r="E1326" t="str">
        <f>T("독고진")</f>
        <v>독고진</v>
      </c>
      <c r="H1326" t="str">
        <f>T("스토리위즈")</f>
        <v>스토리위즈</v>
      </c>
      <c r="I1326" t="str">
        <f>T("스트라이커")</f>
        <v>스트라이커</v>
      </c>
      <c r="J1326">
        <v>100</v>
      </c>
      <c r="K1326">
        <v>100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100</v>
      </c>
      <c r="AH1326">
        <v>1</v>
      </c>
      <c r="AI1326">
        <v>0</v>
      </c>
      <c r="AJ1326">
        <v>0</v>
      </c>
      <c r="AK1326">
        <v>100</v>
      </c>
      <c r="AL1326">
        <v>0</v>
      </c>
      <c r="AM1326">
        <v>0</v>
      </c>
      <c r="AN1326">
        <v>0</v>
      </c>
      <c r="AO1326">
        <v>0</v>
      </c>
      <c r="AQ1326">
        <v>0</v>
      </c>
      <c r="AR1326">
        <v>0</v>
      </c>
      <c r="AT1326">
        <v>0</v>
      </c>
      <c r="AU1326">
        <v>0</v>
      </c>
      <c r="AW1326">
        <v>0</v>
      </c>
      <c r="AX1326">
        <v>0</v>
      </c>
      <c r="AY1326">
        <v>70</v>
      </c>
      <c r="BC1326" t="str">
        <f>T("9791170151678")</f>
        <v>9791170151678</v>
      </c>
      <c r="BE1326" t="str">
        <f>T("판타지 웹소설 &gt; 현대 판타지")</f>
        <v>판타지 웹소설 &gt; 현대 판타지</v>
      </c>
    </row>
    <row r="1327" spans="1:57" x14ac:dyDescent="0.3">
      <c r="A1327">
        <v>1525011523</v>
      </c>
      <c r="B1327">
        <v>1525010990</v>
      </c>
      <c r="C1327" t="str">
        <f>T("남창목가 외전 502화")</f>
        <v>남창목가 외전 502화</v>
      </c>
      <c r="D1327" t="str">
        <f>T("502")</f>
        <v>502</v>
      </c>
      <c r="E1327" t="str">
        <f>T("최재봉")</f>
        <v>최재봉</v>
      </c>
      <c r="H1327" t="str">
        <f>T("에필로그")</f>
        <v>에필로그</v>
      </c>
      <c r="I1327" t="str">
        <f>T("남창목가")</f>
        <v>남창목가</v>
      </c>
      <c r="J1327">
        <v>100</v>
      </c>
      <c r="K1327">
        <v>100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100</v>
      </c>
      <c r="AH1327">
        <v>1</v>
      </c>
      <c r="AI1327">
        <v>0</v>
      </c>
      <c r="AJ1327">
        <v>0</v>
      </c>
      <c r="AK1327">
        <v>0</v>
      </c>
      <c r="AL1327">
        <v>0</v>
      </c>
      <c r="AM1327">
        <v>120</v>
      </c>
      <c r="AN1327">
        <v>-12</v>
      </c>
      <c r="AO1327">
        <v>0</v>
      </c>
      <c r="AQ1327">
        <v>0</v>
      </c>
      <c r="AR1327">
        <v>0</v>
      </c>
      <c r="AS1327">
        <v>120</v>
      </c>
      <c r="AT1327">
        <v>-12</v>
      </c>
      <c r="AU1327">
        <v>0</v>
      </c>
      <c r="AW1327">
        <v>0</v>
      </c>
      <c r="AX1327">
        <v>0</v>
      </c>
      <c r="AY1327">
        <v>75.599999999999994</v>
      </c>
      <c r="BC1327" t="str">
        <f>T("9791164482849")</f>
        <v>9791164482849</v>
      </c>
      <c r="BE1327" t="str">
        <f>T("판타지 웹소설 &gt; 무협 소설")</f>
        <v>판타지 웹소설 &gt; 무협 소설</v>
      </c>
    </row>
    <row r="1328" spans="1:57" x14ac:dyDescent="0.3">
      <c r="A1328">
        <v>1525002125</v>
      </c>
      <c r="B1328">
        <v>1525002165</v>
      </c>
      <c r="C1328" t="str">
        <f>T("신을 죽이러 갑니다 41화")</f>
        <v>신을 죽이러 갑니다 41화</v>
      </c>
      <c r="D1328" t="str">
        <f>T("41")</f>
        <v>41</v>
      </c>
      <c r="E1328" t="str">
        <f>T("독고진")</f>
        <v>독고진</v>
      </c>
      <c r="H1328" t="str">
        <f>T("스토리위즈")</f>
        <v>스토리위즈</v>
      </c>
      <c r="I1328" t="str">
        <f>T("신을 죽이러 갑니다")</f>
        <v>신을 죽이러 갑니다</v>
      </c>
      <c r="J1328">
        <v>100</v>
      </c>
      <c r="K1328">
        <v>100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100</v>
      </c>
      <c r="AH1328">
        <v>1</v>
      </c>
      <c r="AI1328">
        <v>0</v>
      </c>
      <c r="AJ1328">
        <v>0</v>
      </c>
      <c r="AK1328">
        <v>0</v>
      </c>
      <c r="AL1328">
        <v>0</v>
      </c>
      <c r="AM1328">
        <v>120</v>
      </c>
      <c r="AN1328">
        <v>-36</v>
      </c>
      <c r="AO1328">
        <v>0</v>
      </c>
      <c r="AQ1328">
        <v>0</v>
      </c>
      <c r="AR1328">
        <v>0</v>
      </c>
      <c r="AS1328">
        <v>120</v>
      </c>
      <c r="AT1328">
        <v>-36</v>
      </c>
      <c r="AU1328">
        <v>0</v>
      </c>
      <c r="AW1328">
        <v>0</v>
      </c>
      <c r="AX1328">
        <v>0</v>
      </c>
      <c r="AY1328">
        <v>58.8</v>
      </c>
      <c r="BC1328" t="str">
        <f>T("9791159285806")</f>
        <v>9791159285806</v>
      </c>
      <c r="BE1328" t="str">
        <f>T("판타지 웹소설 &gt; 퓨전 판타지")</f>
        <v>판타지 웹소설 &gt; 퓨전 판타지</v>
      </c>
    </row>
    <row r="1329" spans="1:57" x14ac:dyDescent="0.3">
      <c r="A1329">
        <v>1525012551</v>
      </c>
      <c r="B1329">
        <v>1525012699</v>
      </c>
      <c r="C1329" t="str">
        <f>T("개정판 | 바보가 만드는 멋진 세상 149화")</f>
        <v>개정판 | 바보가 만드는 멋진 세상 149화</v>
      </c>
      <c r="D1329" t="str">
        <f>T("149")</f>
        <v>149</v>
      </c>
      <c r="E1329" t="str">
        <f>T("백범(白帆)")</f>
        <v>백범(白帆)</v>
      </c>
      <c r="H1329" t="str">
        <f>T("에필로그")</f>
        <v>에필로그</v>
      </c>
      <c r="I1329" t="str">
        <f>T("개정판 | 바보가 만드는 멋진 세상")</f>
        <v>개정판 | 바보가 만드는 멋진 세상</v>
      </c>
      <c r="J1329">
        <v>100</v>
      </c>
      <c r="K1329">
        <v>100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100</v>
      </c>
      <c r="AH1329">
        <v>1</v>
      </c>
      <c r="AI1329">
        <v>0</v>
      </c>
      <c r="AJ1329">
        <v>0</v>
      </c>
      <c r="AK1329">
        <v>100</v>
      </c>
      <c r="AL1329">
        <v>0</v>
      </c>
      <c r="AM1329">
        <v>0</v>
      </c>
      <c r="AN1329">
        <v>0</v>
      </c>
      <c r="AO1329">
        <v>0</v>
      </c>
      <c r="AQ1329">
        <v>0</v>
      </c>
      <c r="AR1329">
        <v>0</v>
      </c>
      <c r="AT1329">
        <v>0</v>
      </c>
      <c r="AU1329">
        <v>0</v>
      </c>
      <c r="AW1329">
        <v>0</v>
      </c>
      <c r="AX1329">
        <v>0</v>
      </c>
      <c r="AY1329">
        <v>70</v>
      </c>
      <c r="BC1329" t="str">
        <f>T("9791166003493")</f>
        <v>9791166003493</v>
      </c>
      <c r="BE1329" t="str">
        <f>T("판타지 웹소설 &gt; 현대 판타지")</f>
        <v>판타지 웹소설 &gt; 현대 판타지</v>
      </c>
    </row>
    <row r="1330" spans="1:57" x14ac:dyDescent="0.3">
      <c r="A1330">
        <v>1525002864</v>
      </c>
      <c r="B1330">
        <v>1525002922</v>
      </c>
      <c r="C1330" t="str">
        <f>T("소드마스터의 환생 59화")</f>
        <v>소드마스터의 환생 59화</v>
      </c>
      <c r="D1330" t="str">
        <f>T("59")</f>
        <v>59</v>
      </c>
      <c r="E1330" t="str">
        <f>T("파란영")</f>
        <v>파란영</v>
      </c>
      <c r="H1330" t="str">
        <f>T("스토리위즈")</f>
        <v>스토리위즈</v>
      </c>
      <c r="I1330" t="str">
        <f>T("소드마스터의 환생")</f>
        <v>소드마스터의 환생</v>
      </c>
      <c r="J1330">
        <v>100</v>
      </c>
      <c r="K1330">
        <v>100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100</v>
      </c>
      <c r="AH1330">
        <v>1</v>
      </c>
      <c r="AI1330">
        <v>0</v>
      </c>
      <c r="AJ1330">
        <v>0</v>
      </c>
      <c r="AK1330">
        <v>100</v>
      </c>
      <c r="AL1330">
        <v>0</v>
      </c>
      <c r="AM1330">
        <v>0</v>
      </c>
      <c r="AN1330">
        <v>0</v>
      </c>
      <c r="AO1330">
        <v>0</v>
      </c>
      <c r="AQ1330">
        <v>0</v>
      </c>
      <c r="AR1330">
        <v>0</v>
      </c>
      <c r="AT1330">
        <v>0</v>
      </c>
      <c r="AU1330">
        <v>0</v>
      </c>
      <c r="AW1330">
        <v>0</v>
      </c>
      <c r="AX1330">
        <v>0</v>
      </c>
      <c r="AY1330">
        <v>70</v>
      </c>
      <c r="BC1330" t="str">
        <f>T("9791159287527")</f>
        <v>9791159287527</v>
      </c>
      <c r="BE1330" t="str">
        <f>T("판타지 웹소설 &gt; 정통 판타지")</f>
        <v>판타지 웹소설 &gt; 정통 판타지</v>
      </c>
    </row>
    <row r="1331" spans="1:57" x14ac:dyDescent="0.3">
      <c r="A1331">
        <v>1525008428</v>
      </c>
      <c r="B1331">
        <v>1525008461</v>
      </c>
      <c r="C1331" t="str">
        <f>T("무히비(Muhibbi) 4화")</f>
        <v>무히비(Muhibbi) 4화</v>
      </c>
      <c r="D1331" t="str">
        <f>T("4")</f>
        <v>4</v>
      </c>
      <c r="E1331" t="str">
        <f>T("jooki")</f>
        <v>jooki</v>
      </c>
      <c r="H1331" t="str">
        <f>T("블러쉬")</f>
        <v>블러쉬</v>
      </c>
      <c r="I1331" t="str">
        <f>T("무히비(Muhibbi)")</f>
        <v>무히비(Muhibbi)</v>
      </c>
      <c r="J1331">
        <v>100</v>
      </c>
      <c r="K1331">
        <v>100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100</v>
      </c>
      <c r="AH1331">
        <v>1</v>
      </c>
      <c r="AI1331">
        <v>0</v>
      </c>
      <c r="AJ1331">
        <v>0</v>
      </c>
      <c r="AK1331">
        <v>100</v>
      </c>
      <c r="AL1331">
        <v>0</v>
      </c>
      <c r="AM1331">
        <v>0</v>
      </c>
      <c r="AN1331">
        <v>0</v>
      </c>
      <c r="AO1331">
        <v>0</v>
      </c>
      <c r="AQ1331">
        <v>0</v>
      </c>
      <c r="AR1331">
        <v>0</v>
      </c>
      <c r="AT1331">
        <v>0</v>
      </c>
      <c r="AU1331">
        <v>0</v>
      </c>
      <c r="AW1331">
        <v>0</v>
      </c>
      <c r="AX1331">
        <v>0</v>
      </c>
      <c r="AY1331">
        <v>70</v>
      </c>
      <c r="BC1331" t="str">
        <f>T("9791164896622")</f>
        <v>9791164896622</v>
      </c>
      <c r="BE1331" t="str">
        <f>T("BL 웹소설 &gt; 역사/시대물")</f>
        <v>BL 웹소설 &gt; 역사/시대물</v>
      </c>
    </row>
    <row r="1332" spans="1:57" x14ac:dyDescent="0.3">
      <c r="A1332">
        <v>1525011523</v>
      </c>
      <c r="B1332">
        <v>1525011257</v>
      </c>
      <c r="C1332" t="str">
        <f>T("남창목가 267화")</f>
        <v>남창목가 267화</v>
      </c>
      <c r="D1332" t="str">
        <f>T("267")</f>
        <v>267</v>
      </c>
      <c r="E1332" t="str">
        <f>T("최재봉")</f>
        <v>최재봉</v>
      </c>
      <c r="H1332" t="str">
        <f>T("에필로그")</f>
        <v>에필로그</v>
      </c>
      <c r="I1332" t="str">
        <f>T("남창목가")</f>
        <v>남창목가</v>
      </c>
      <c r="J1332">
        <v>100</v>
      </c>
      <c r="K1332">
        <v>100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100</v>
      </c>
      <c r="AH1332">
        <v>1</v>
      </c>
      <c r="AI1332">
        <v>0</v>
      </c>
      <c r="AJ1332">
        <v>0</v>
      </c>
      <c r="AK1332">
        <v>0</v>
      </c>
      <c r="AL1332">
        <v>0</v>
      </c>
      <c r="AM1332">
        <v>120</v>
      </c>
      <c r="AN1332">
        <v>-12</v>
      </c>
      <c r="AO1332">
        <v>0</v>
      </c>
      <c r="AQ1332">
        <v>0</v>
      </c>
      <c r="AR1332">
        <v>0</v>
      </c>
      <c r="AS1332">
        <v>120</v>
      </c>
      <c r="AT1332">
        <v>-12</v>
      </c>
      <c r="AU1332">
        <v>0</v>
      </c>
      <c r="AW1332">
        <v>0</v>
      </c>
      <c r="AX1332">
        <v>0</v>
      </c>
      <c r="AY1332">
        <v>75.599999999999994</v>
      </c>
      <c r="BC1332" t="str">
        <f>T("9791164482849")</f>
        <v>9791164482849</v>
      </c>
      <c r="BE1332" t="str">
        <f>T("판타지 웹소설 &gt; 무협 소설")</f>
        <v>판타지 웹소설 &gt; 무협 소설</v>
      </c>
    </row>
    <row r="1333" spans="1:57" x14ac:dyDescent="0.3">
      <c r="A1333">
        <v>1525011523</v>
      </c>
      <c r="B1333">
        <v>1525011441</v>
      </c>
      <c r="C1333" t="str">
        <f>T("남창목가 83화")</f>
        <v>남창목가 83화</v>
      </c>
      <c r="D1333" t="str">
        <f>T("83")</f>
        <v>83</v>
      </c>
      <c r="E1333" t="str">
        <f>T("최재봉")</f>
        <v>최재봉</v>
      </c>
      <c r="H1333" t="str">
        <f>T("에필로그")</f>
        <v>에필로그</v>
      </c>
      <c r="I1333" t="str">
        <f>T("남창목가")</f>
        <v>남창목가</v>
      </c>
      <c r="J1333">
        <v>100</v>
      </c>
      <c r="K1333">
        <v>100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100</v>
      </c>
      <c r="AH1333">
        <v>1</v>
      </c>
      <c r="AI1333">
        <v>0</v>
      </c>
      <c r="AJ1333">
        <v>0</v>
      </c>
      <c r="AK1333">
        <v>100</v>
      </c>
      <c r="AL1333">
        <v>0</v>
      </c>
      <c r="AM1333">
        <v>0</v>
      </c>
      <c r="AN1333">
        <v>0</v>
      </c>
      <c r="AO1333">
        <v>0</v>
      </c>
      <c r="AQ1333">
        <v>0</v>
      </c>
      <c r="AR1333">
        <v>0</v>
      </c>
      <c r="AT1333">
        <v>0</v>
      </c>
      <c r="AU1333">
        <v>0</v>
      </c>
      <c r="AW1333">
        <v>0</v>
      </c>
      <c r="AX1333">
        <v>0</v>
      </c>
      <c r="AY1333">
        <v>70</v>
      </c>
      <c r="BC1333" t="str">
        <f>T("9791164482849")</f>
        <v>9791164482849</v>
      </c>
      <c r="BE1333" t="str">
        <f>T("판타지 웹소설 &gt; 무협 소설")</f>
        <v>판타지 웹소설 &gt; 무협 소설</v>
      </c>
    </row>
    <row r="1334" spans="1:57" x14ac:dyDescent="0.3">
      <c r="A1334">
        <v>1525004799</v>
      </c>
      <c r="B1334">
        <v>1525004927</v>
      </c>
      <c r="C1334" t="str">
        <f>T("검산도해 129화")</f>
        <v>검산도해 129화</v>
      </c>
      <c r="D1334" t="str">
        <f>T("129")</f>
        <v>129</v>
      </c>
      <c r="E1334" t="str">
        <f>T("권용찬")</f>
        <v>권용찬</v>
      </c>
      <c r="H1334" t="str">
        <f>T("스토리위즈")</f>
        <v>스토리위즈</v>
      </c>
      <c r="I1334" t="str">
        <f>T("검산도해")</f>
        <v>검산도해</v>
      </c>
      <c r="J1334">
        <v>100</v>
      </c>
      <c r="K1334">
        <v>100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100</v>
      </c>
      <c r="AH1334">
        <v>1</v>
      </c>
      <c r="AI1334">
        <v>0</v>
      </c>
      <c r="AJ1334">
        <v>0</v>
      </c>
      <c r="AK1334">
        <v>0</v>
      </c>
      <c r="AL1334">
        <v>0</v>
      </c>
      <c r="AM1334">
        <v>120</v>
      </c>
      <c r="AN1334">
        <v>-12</v>
      </c>
      <c r="AO1334">
        <v>0</v>
      </c>
      <c r="AQ1334">
        <v>0</v>
      </c>
      <c r="AR1334">
        <v>0</v>
      </c>
      <c r="AS1334">
        <v>120</v>
      </c>
      <c r="AT1334">
        <v>-12</v>
      </c>
      <c r="AU1334">
        <v>0</v>
      </c>
      <c r="AW1334">
        <v>0</v>
      </c>
      <c r="AX1334">
        <v>0</v>
      </c>
      <c r="AY1334">
        <v>75.599999999999994</v>
      </c>
      <c r="BC1334" t="str">
        <f>T("9791159285936")</f>
        <v>9791159285936</v>
      </c>
      <c r="BE1334" t="str">
        <f>T("판타지 웹소설 &gt; 무협 소설")</f>
        <v>판타지 웹소설 &gt; 무협 소설</v>
      </c>
    </row>
    <row r="1335" spans="1:57" x14ac:dyDescent="0.3">
      <c r="A1335">
        <v>1525004030</v>
      </c>
      <c r="B1335">
        <v>1525007016</v>
      </c>
      <c r="C1335" t="str">
        <f>T("회귀의 전설 2부 900화")</f>
        <v>회귀의 전설 2부 900화</v>
      </c>
      <c r="D1335" t="str">
        <f>T("900")</f>
        <v>900</v>
      </c>
      <c r="E1335" t="str">
        <f>T("김광수")</f>
        <v>김광수</v>
      </c>
      <c r="H1335" t="str">
        <f>T("스토리위즈")</f>
        <v>스토리위즈</v>
      </c>
      <c r="I1335" t="str">
        <f>T("회귀의 전설")</f>
        <v>회귀의 전설</v>
      </c>
      <c r="J1335">
        <v>100</v>
      </c>
      <c r="K1335">
        <v>100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100</v>
      </c>
      <c r="AH1335">
        <v>1</v>
      </c>
      <c r="AI1335">
        <v>0</v>
      </c>
      <c r="AJ1335">
        <v>0</v>
      </c>
      <c r="AK1335">
        <v>100</v>
      </c>
      <c r="AL1335">
        <v>0</v>
      </c>
      <c r="AM1335">
        <v>0</v>
      </c>
      <c r="AN1335">
        <v>0</v>
      </c>
      <c r="AO1335">
        <v>0</v>
      </c>
      <c r="AQ1335">
        <v>0</v>
      </c>
      <c r="AR1335">
        <v>0</v>
      </c>
      <c r="AT1335">
        <v>0</v>
      </c>
      <c r="AU1335">
        <v>0</v>
      </c>
      <c r="AW1335">
        <v>0</v>
      </c>
      <c r="AX1335">
        <v>0</v>
      </c>
      <c r="AY1335">
        <v>70</v>
      </c>
      <c r="BC1335" t="str">
        <f>T("9791191102086")</f>
        <v>9791191102086</v>
      </c>
      <c r="BE1335" t="str">
        <f>T("판타지 웹소설 &gt; 현대 판타지")</f>
        <v>판타지 웹소설 &gt; 현대 판타지</v>
      </c>
    </row>
    <row r="1336" spans="1:57" x14ac:dyDescent="0.3">
      <c r="A1336">
        <v>1525011523</v>
      </c>
      <c r="B1336">
        <v>1525011171</v>
      </c>
      <c r="C1336" t="str">
        <f>T("남창목가 353화")</f>
        <v>남창목가 353화</v>
      </c>
      <c r="D1336" t="str">
        <f>T("353")</f>
        <v>353</v>
      </c>
      <c r="E1336" t="str">
        <f>T("최재봉")</f>
        <v>최재봉</v>
      </c>
      <c r="H1336" t="str">
        <f>T("에필로그")</f>
        <v>에필로그</v>
      </c>
      <c r="I1336" t="str">
        <f>T("남창목가")</f>
        <v>남창목가</v>
      </c>
      <c r="J1336">
        <v>100</v>
      </c>
      <c r="K1336">
        <v>100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100</v>
      </c>
      <c r="AH1336">
        <v>1</v>
      </c>
      <c r="AI1336">
        <v>0</v>
      </c>
      <c r="AJ1336">
        <v>0</v>
      </c>
      <c r="AK1336">
        <v>0</v>
      </c>
      <c r="AL1336">
        <v>0</v>
      </c>
      <c r="AM1336">
        <v>120</v>
      </c>
      <c r="AN1336">
        <v>-12</v>
      </c>
      <c r="AO1336">
        <v>0</v>
      </c>
      <c r="AQ1336">
        <v>0</v>
      </c>
      <c r="AR1336">
        <v>0</v>
      </c>
      <c r="AS1336">
        <v>120</v>
      </c>
      <c r="AT1336">
        <v>-12</v>
      </c>
      <c r="AU1336">
        <v>0</v>
      </c>
      <c r="AW1336">
        <v>0</v>
      </c>
      <c r="AX1336">
        <v>0</v>
      </c>
      <c r="AY1336">
        <v>75.599999999999994</v>
      </c>
      <c r="BC1336" t="str">
        <f>T("9791164482849")</f>
        <v>9791164482849</v>
      </c>
      <c r="BE1336" t="str">
        <f>T("판타지 웹소설 &gt; 무협 소설")</f>
        <v>판타지 웹소설 &gt; 무협 소설</v>
      </c>
    </row>
    <row r="1337" spans="1:57" x14ac:dyDescent="0.3">
      <c r="A1337">
        <v>1525008428</v>
      </c>
      <c r="B1337">
        <v>1525008417</v>
      </c>
      <c r="C1337" t="str">
        <f>T("무히비(Muhibbi) 113화")</f>
        <v>무히비(Muhibbi) 113화</v>
      </c>
      <c r="D1337" t="str">
        <f>T("113")</f>
        <v>113</v>
      </c>
      <c r="E1337" t="str">
        <f>T("jooki")</f>
        <v>jooki</v>
      </c>
      <c r="H1337" t="str">
        <f>T("블러쉬")</f>
        <v>블러쉬</v>
      </c>
      <c r="I1337" t="str">
        <f>T("무히비(Muhibbi)")</f>
        <v>무히비(Muhibbi)</v>
      </c>
      <c r="J1337">
        <v>100</v>
      </c>
      <c r="K1337">
        <v>100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100</v>
      </c>
      <c r="AH1337">
        <v>1</v>
      </c>
      <c r="AI1337">
        <v>0</v>
      </c>
      <c r="AJ1337">
        <v>0</v>
      </c>
      <c r="AK1337">
        <v>100</v>
      </c>
      <c r="AL1337">
        <v>0</v>
      </c>
      <c r="AM1337">
        <v>0</v>
      </c>
      <c r="AN1337">
        <v>0</v>
      </c>
      <c r="AO1337">
        <v>0</v>
      </c>
      <c r="AQ1337">
        <v>0</v>
      </c>
      <c r="AR1337">
        <v>0</v>
      </c>
      <c r="AT1337">
        <v>0</v>
      </c>
      <c r="AU1337">
        <v>0</v>
      </c>
      <c r="AW1337">
        <v>0</v>
      </c>
      <c r="AX1337">
        <v>0</v>
      </c>
      <c r="AY1337">
        <v>70</v>
      </c>
      <c r="BA1337" t="str">
        <f>T("0000000000000")</f>
        <v>0000000000000</v>
      </c>
      <c r="BC1337" t="str">
        <f>T("9791164896622")</f>
        <v>9791164896622</v>
      </c>
      <c r="BE1337" t="str">
        <f>T("BL 웹소설 &gt; 역사/시대물")</f>
        <v>BL 웹소설 &gt; 역사/시대물</v>
      </c>
    </row>
    <row r="1338" spans="1:57" x14ac:dyDescent="0.3">
      <c r="A1338">
        <v>1525004030</v>
      </c>
      <c r="B1338">
        <v>1525006975</v>
      </c>
      <c r="C1338" t="str">
        <f>T("회귀의 전설 2부 859화")</f>
        <v>회귀의 전설 2부 859화</v>
      </c>
      <c r="D1338" t="str">
        <f>T("859")</f>
        <v>859</v>
      </c>
      <c r="E1338" t="str">
        <f>T("김광수")</f>
        <v>김광수</v>
      </c>
      <c r="H1338" t="str">
        <f>T("스토리위즈")</f>
        <v>스토리위즈</v>
      </c>
      <c r="I1338" t="str">
        <f>T("회귀의 전설")</f>
        <v>회귀의 전설</v>
      </c>
      <c r="J1338">
        <v>100</v>
      </c>
      <c r="K1338">
        <v>100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100</v>
      </c>
      <c r="AH1338">
        <v>1</v>
      </c>
      <c r="AI1338">
        <v>0</v>
      </c>
      <c r="AJ1338">
        <v>0</v>
      </c>
      <c r="AK1338">
        <v>100</v>
      </c>
      <c r="AL1338">
        <v>0</v>
      </c>
      <c r="AM1338">
        <v>0</v>
      </c>
      <c r="AN1338">
        <v>0</v>
      </c>
      <c r="AO1338">
        <v>0</v>
      </c>
      <c r="AQ1338">
        <v>0</v>
      </c>
      <c r="AR1338">
        <v>0</v>
      </c>
      <c r="AT1338">
        <v>0</v>
      </c>
      <c r="AU1338">
        <v>0</v>
      </c>
      <c r="AW1338">
        <v>0</v>
      </c>
      <c r="AX1338">
        <v>0</v>
      </c>
      <c r="AY1338">
        <v>70</v>
      </c>
      <c r="BC1338" t="str">
        <f>T("9791191102086")</f>
        <v>9791191102086</v>
      </c>
      <c r="BE1338" t="str">
        <f>T("판타지 웹소설 &gt; 현대 판타지")</f>
        <v>판타지 웹소설 &gt; 현대 판타지</v>
      </c>
    </row>
    <row r="1339" spans="1:57" x14ac:dyDescent="0.3">
      <c r="A1339">
        <v>1525011523</v>
      </c>
      <c r="B1339">
        <v>1525011368</v>
      </c>
      <c r="C1339" t="str">
        <f>T("남창목가 156화")</f>
        <v>남창목가 156화</v>
      </c>
      <c r="D1339" t="str">
        <f>T("156")</f>
        <v>156</v>
      </c>
      <c r="E1339" t="str">
        <f>T("최재봉")</f>
        <v>최재봉</v>
      </c>
      <c r="H1339" t="str">
        <f>T("에필로그")</f>
        <v>에필로그</v>
      </c>
      <c r="I1339" t="str">
        <f>T("남창목가")</f>
        <v>남창목가</v>
      </c>
      <c r="J1339">
        <v>100</v>
      </c>
      <c r="K1339">
        <v>100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100</v>
      </c>
      <c r="AH1339">
        <v>1</v>
      </c>
      <c r="AI1339">
        <v>0</v>
      </c>
      <c r="AJ1339">
        <v>0</v>
      </c>
      <c r="AK1339">
        <v>0</v>
      </c>
      <c r="AL1339">
        <v>0</v>
      </c>
      <c r="AM1339">
        <v>120</v>
      </c>
      <c r="AN1339">
        <v>-12</v>
      </c>
      <c r="AO1339">
        <v>0</v>
      </c>
      <c r="AQ1339">
        <v>0</v>
      </c>
      <c r="AR1339">
        <v>0</v>
      </c>
      <c r="AS1339">
        <v>120</v>
      </c>
      <c r="AT1339">
        <v>-12</v>
      </c>
      <c r="AU1339">
        <v>0</v>
      </c>
      <c r="AW1339">
        <v>0</v>
      </c>
      <c r="AX1339">
        <v>0</v>
      </c>
      <c r="AY1339">
        <v>75.599999999999994</v>
      </c>
      <c r="BC1339" t="str">
        <f>T("9791164482849")</f>
        <v>9791164482849</v>
      </c>
      <c r="BE1339" t="str">
        <f>T("판타지 웹소설 &gt; 무협 소설")</f>
        <v>판타지 웹소설 &gt; 무협 소설</v>
      </c>
    </row>
    <row r="1340" spans="1:57" x14ac:dyDescent="0.3">
      <c r="A1340">
        <v>1525013020</v>
      </c>
      <c r="B1340">
        <v>1525013057</v>
      </c>
      <c r="C1340" t="str">
        <f>T("악당의 리턴 38화")</f>
        <v>악당의 리턴 38화</v>
      </c>
      <c r="D1340" t="str">
        <f>T("38")</f>
        <v>38</v>
      </c>
      <c r="E1340" t="str">
        <f>T("백범(白帆)")</f>
        <v>백범(白帆)</v>
      </c>
      <c r="H1340" t="str">
        <f>T("에필로그")</f>
        <v>에필로그</v>
      </c>
      <c r="I1340" t="str">
        <f>T("악당의 리턴")</f>
        <v>악당의 리턴</v>
      </c>
      <c r="J1340">
        <v>100</v>
      </c>
      <c r="K1340">
        <v>100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100</v>
      </c>
      <c r="AH1340">
        <v>1</v>
      </c>
      <c r="AI1340">
        <v>0</v>
      </c>
      <c r="AJ1340">
        <v>0</v>
      </c>
      <c r="AK1340">
        <v>100</v>
      </c>
      <c r="AL1340">
        <v>0</v>
      </c>
      <c r="AM1340">
        <v>0</v>
      </c>
      <c r="AN1340">
        <v>0</v>
      </c>
      <c r="AO1340">
        <v>0</v>
      </c>
      <c r="AQ1340">
        <v>0</v>
      </c>
      <c r="AR1340">
        <v>0</v>
      </c>
      <c r="AT1340">
        <v>0</v>
      </c>
      <c r="AU1340">
        <v>0</v>
      </c>
      <c r="AW1340">
        <v>0</v>
      </c>
      <c r="AX1340">
        <v>0</v>
      </c>
      <c r="AY1340">
        <v>70</v>
      </c>
      <c r="BC1340" t="str">
        <f>T("9791196538927")</f>
        <v>9791196538927</v>
      </c>
      <c r="BE1340" t="str">
        <f>T("판타지 웹소설 &gt; 현대 판타지")</f>
        <v>판타지 웹소설 &gt; 현대 판타지</v>
      </c>
    </row>
    <row r="1341" spans="1:57" x14ac:dyDescent="0.3">
      <c r="A1341">
        <v>1525004030</v>
      </c>
      <c r="B1341">
        <v>1525007130</v>
      </c>
      <c r="C1341" t="str">
        <f>T("회귀의 전설 2부 1014화")</f>
        <v>회귀의 전설 2부 1014화</v>
      </c>
      <c r="D1341" t="str">
        <f>T("1014")</f>
        <v>1014</v>
      </c>
      <c r="E1341" t="str">
        <f>T("김광수")</f>
        <v>김광수</v>
      </c>
      <c r="H1341" t="str">
        <f>T("스토리위즈")</f>
        <v>스토리위즈</v>
      </c>
      <c r="I1341" t="str">
        <f>T("회귀의 전설")</f>
        <v>회귀의 전설</v>
      </c>
      <c r="J1341">
        <v>100</v>
      </c>
      <c r="K1341">
        <v>100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100</v>
      </c>
      <c r="AH1341">
        <v>1</v>
      </c>
      <c r="AI1341">
        <v>0</v>
      </c>
      <c r="AJ1341">
        <v>0</v>
      </c>
      <c r="AK1341">
        <v>100</v>
      </c>
      <c r="AL1341">
        <v>0</v>
      </c>
      <c r="AM1341">
        <v>0</v>
      </c>
      <c r="AN1341">
        <v>0</v>
      </c>
      <c r="AO1341">
        <v>0</v>
      </c>
      <c r="AQ1341">
        <v>0</v>
      </c>
      <c r="AR1341">
        <v>0</v>
      </c>
      <c r="AT1341">
        <v>0</v>
      </c>
      <c r="AU1341">
        <v>0</v>
      </c>
      <c r="AW1341">
        <v>0</v>
      </c>
      <c r="AX1341">
        <v>0</v>
      </c>
      <c r="AY1341">
        <v>70</v>
      </c>
      <c r="BC1341" t="str">
        <f>T("9791191102086")</f>
        <v>9791191102086</v>
      </c>
      <c r="BE1341" t="str">
        <f>T("판타지 웹소설 &gt; 현대 판타지")</f>
        <v>판타지 웹소설 &gt; 현대 판타지</v>
      </c>
    </row>
    <row r="1342" spans="1:57" x14ac:dyDescent="0.3">
      <c r="A1342">
        <v>1525004030</v>
      </c>
      <c r="B1342">
        <v>1525004503</v>
      </c>
      <c r="C1342" t="str">
        <f>T("회귀의 전설 487화")</f>
        <v>회귀의 전설 487화</v>
      </c>
      <c r="D1342" t="str">
        <f>T("487")</f>
        <v>487</v>
      </c>
      <c r="E1342" t="str">
        <f>T("김광수")</f>
        <v>김광수</v>
      </c>
      <c r="H1342" t="str">
        <f>T("스토리위즈")</f>
        <v>스토리위즈</v>
      </c>
      <c r="I1342" t="str">
        <f>T("회귀의 전설")</f>
        <v>회귀의 전설</v>
      </c>
      <c r="J1342">
        <v>100</v>
      </c>
      <c r="K1342">
        <v>100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100</v>
      </c>
      <c r="AH1342">
        <v>1</v>
      </c>
      <c r="AI1342">
        <v>0</v>
      </c>
      <c r="AJ1342">
        <v>0</v>
      </c>
      <c r="AK1342">
        <v>100</v>
      </c>
      <c r="AL1342">
        <v>0</v>
      </c>
      <c r="AM1342">
        <v>0</v>
      </c>
      <c r="AN1342">
        <v>0</v>
      </c>
      <c r="AO1342">
        <v>0</v>
      </c>
      <c r="AQ1342">
        <v>0</v>
      </c>
      <c r="AR1342">
        <v>0</v>
      </c>
      <c r="AT1342">
        <v>0</v>
      </c>
      <c r="AU1342">
        <v>0</v>
      </c>
      <c r="AW1342">
        <v>0</v>
      </c>
      <c r="AX1342">
        <v>0</v>
      </c>
      <c r="AY1342">
        <v>70</v>
      </c>
      <c r="BC1342" t="str">
        <f>T("9788997946006")</f>
        <v>9788997946006</v>
      </c>
      <c r="BE1342" t="str">
        <f>T("판타지 웹소설 &gt; 현대 판타지")</f>
        <v>판타지 웹소설 &gt; 현대 판타지</v>
      </c>
    </row>
    <row r="1343" spans="1:57" x14ac:dyDescent="0.3">
      <c r="A1343">
        <v>1525012551</v>
      </c>
      <c r="B1343">
        <v>1525012731</v>
      </c>
      <c r="C1343" t="str">
        <f>T("개정판 | 바보가 만드는 멋진 세상 181화")</f>
        <v>개정판 | 바보가 만드는 멋진 세상 181화</v>
      </c>
      <c r="D1343" t="str">
        <f>T("181")</f>
        <v>181</v>
      </c>
      <c r="E1343" t="str">
        <f>T("백범(白帆)")</f>
        <v>백범(白帆)</v>
      </c>
      <c r="H1343" t="str">
        <f>T("에필로그")</f>
        <v>에필로그</v>
      </c>
      <c r="I1343" t="str">
        <f>T("개정판 | 바보가 만드는 멋진 세상")</f>
        <v>개정판 | 바보가 만드는 멋진 세상</v>
      </c>
      <c r="J1343">
        <v>100</v>
      </c>
      <c r="K1343">
        <v>100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100</v>
      </c>
      <c r="AH1343">
        <v>1</v>
      </c>
      <c r="AI1343">
        <v>0</v>
      </c>
      <c r="AJ1343">
        <v>0</v>
      </c>
      <c r="AK1343">
        <v>100</v>
      </c>
      <c r="AL1343">
        <v>0</v>
      </c>
      <c r="AM1343">
        <v>0</v>
      </c>
      <c r="AN1343">
        <v>0</v>
      </c>
      <c r="AO1343">
        <v>0</v>
      </c>
      <c r="AQ1343">
        <v>0</v>
      </c>
      <c r="AR1343">
        <v>0</v>
      </c>
      <c r="AT1343">
        <v>0</v>
      </c>
      <c r="AU1343">
        <v>0</v>
      </c>
      <c r="AW1343">
        <v>0</v>
      </c>
      <c r="AX1343">
        <v>0</v>
      </c>
      <c r="AY1343">
        <v>70</v>
      </c>
      <c r="BC1343" t="str">
        <f>T("9791166003493")</f>
        <v>9791166003493</v>
      </c>
      <c r="BE1343" t="str">
        <f>T("판타지 웹소설 &gt; 현대 판타지")</f>
        <v>판타지 웹소설 &gt; 현대 판타지</v>
      </c>
    </row>
    <row r="1344" spans="1:57" x14ac:dyDescent="0.3">
      <c r="A1344">
        <v>1525008545</v>
      </c>
      <c r="B1344">
        <v>1525008544</v>
      </c>
      <c r="C1344" t="str">
        <f>T("소년연애담 19화")</f>
        <v>소년연애담 19화</v>
      </c>
      <c r="D1344" t="str">
        <f>T("19")</f>
        <v>19</v>
      </c>
      <c r="E1344" t="str">
        <f>T("나나코")</f>
        <v>나나코</v>
      </c>
      <c r="H1344" t="str">
        <f>T("블러쉬")</f>
        <v>블러쉬</v>
      </c>
      <c r="I1344" t="str">
        <f>T("소년연애담")</f>
        <v>소년연애담</v>
      </c>
      <c r="J1344">
        <v>100</v>
      </c>
      <c r="K1344">
        <v>100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100</v>
      </c>
      <c r="AH1344">
        <v>1</v>
      </c>
      <c r="AI1344">
        <v>0</v>
      </c>
      <c r="AJ1344">
        <v>0</v>
      </c>
      <c r="AK1344">
        <v>100</v>
      </c>
      <c r="AL1344">
        <v>0</v>
      </c>
      <c r="AM1344">
        <v>0</v>
      </c>
      <c r="AN1344">
        <v>0</v>
      </c>
      <c r="AO1344">
        <v>0</v>
      </c>
      <c r="AQ1344">
        <v>0</v>
      </c>
      <c r="AR1344">
        <v>0</v>
      </c>
      <c r="AT1344">
        <v>0</v>
      </c>
      <c r="AU1344">
        <v>0</v>
      </c>
      <c r="AW1344">
        <v>0</v>
      </c>
      <c r="AX1344">
        <v>0</v>
      </c>
      <c r="AY1344">
        <v>70</v>
      </c>
      <c r="BA1344" t="str">
        <f>T("0000000000000")</f>
        <v>0000000000000</v>
      </c>
      <c r="BC1344" t="str">
        <f>T("9791164890729")</f>
        <v>9791164890729</v>
      </c>
      <c r="BD1344" t="str">
        <f>T("B12")</f>
        <v>B12</v>
      </c>
      <c r="BE1344" t="str">
        <f>T("BL 웹소설 &gt; 현대물")</f>
        <v>BL 웹소설 &gt; 현대물</v>
      </c>
    </row>
    <row r="1345" spans="1:57" x14ac:dyDescent="0.3">
      <c r="A1345">
        <v>1525008428</v>
      </c>
      <c r="B1345">
        <v>1525008494</v>
      </c>
      <c r="C1345" t="str">
        <f>T("무히비(Muhibbi) 7화")</f>
        <v>무히비(Muhibbi) 7화</v>
      </c>
      <c r="D1345" t="str">
        <f>T("7")</f>
        <v>7</v>
      </c>
      <c r="E1345" t="str">
        <f>T("jooki")</f>
        <v>jooki</v>
      </c>
      <c r="H1345" t="str">
        <f>T("블러쉬")</f>
        <v>블러쉬</v>
      </c>
      <c r="I1345" t="str">
        <f>T("무히비(Muhibbi)")</f>
        <v>무히비(Muhibbi)</v>
      </c>
      <c r="J1345">
        <v>100</v>
      </c>
      <c r="K1345">
        <v>100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100</v>
      </c>
      <c r="AH1345">
        <v>1</v>
      </c>
      <c r="AI1345">
        <v>0</v>
      </c>
      <c r="AJ1345">
        <v>0</v>
      </c>
      <c r="AK1345">
        <v>100</v>
      </c>
      <c r="AL1345">
        <v>0</v>
      </c>
      <c r="AM1345">
        <v>0</v>
      </c>
      <c r="AN1345">
        <v>0</v>
      </c>
      <c r="AO1345">
        <v>0</v>
      </c>
      <c r="AQ1345">
        <v>0</v>
      </c>
      <c r="AR1345">
        <v>0</v>
      </c>
      <c r="AT1345">
        <v>0</v>
      </c>
      <c r="AU1345">
        <v>0</v>
      </c>
      <c r="AW1345">
        <v>0</v>
      </c>
      <c r="AX1345">
        <v>0</v>
      </c>
      <c r="AY1345">
        <v>70</v>
      </c>
      <c r="BC1345" t="str">
        <f>T("9791164896622")</f>
        <v>9791164896622</v>
      </c>
      <c r="BE1345" t="str">
        <f>T("BL 웹소설 &gt; 역사/시대물")</f>
        <v>BL 웹소설 &gt; 역사/시대물</v>
      </c>
    </row>
    <row r="1346" spans="1:57" x14ac:dyDescent="0.3">
      <c r="A1346">
        <v>1525012551</v>
      </c>
      <c r="B1346">
        <v>1525012609</v>
      </c>
      <c r="C1346" t="str">
        <f>T("개정판 | 바보가 만드는 멋진 세상 59화")</f>
        <v>개정판 | 바보가 만드는 멋진 세상 59화</v>
      </c>
      <c r="D1346" t="str">
        <f>T("59")</f>
        <v>59</v>
      </c>
      <c r="E1346" t="str">
        <f>T("백범(白帆)")</f>
        <v>백범(白帆)</v>
      </c>
      <c r="H1346" t="str">
        <f>T("에필로그")</f>
        <v>에필로그</v>
      </c>
      <c r="I1346" t="str">
        <f>T("개정판 | 바보가 만드는 멋진 세상")</f>
        <v>개정판 | 바보가 만드는 멋진 세상</v>
      </c>
      <c r="J1346">
        <v>100</v>
      </c>
      <c r="K1346">
        <v>100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100</v>
      </c>
      <c r="AH1346">
        <v>1</v>
      </c>
      <c r="AI1346">
        <v>0</v>
      </c>
      <c r="AJ1346">
        <v>0</v>
      </c>
      <c r="AK1346">
        <v>100</v>
      </c>
      <c r="AL1346">
        <v>0</v>
      </c>
      <c r="AM1346">
        <v>0</v>
      </c>
      <c r="AN1346">
        <v>0</v>
      </c>
      <c r="AO1346">
        <v>0</v>
      </c>
      <c r="AQ1346">
        <v>0</v>
      </c>
      <c r="AR1346">
        <v>0</v>
      </c>
      <c r="AT1346">
        <v>0</v>
      </c>
      <c r="AU1346">
        <v>0</v>
      </c>
      <c r="AW1346">
        <v>0</v>
      </c>
      <c r="AX1346">
        <v>0</v>
      </c>
      <c r="AY1346">
        <v>70</v>
      </c>
      <c r="BC1346" t="str">
        <f>T("9791166003493")</f>
        <v>9791166003493</v>
      </c>
      <c r="BE1346" t="str">
        <f>T("판타지 웹소설 &gt; 현대 판타지")</f>
        <v>판타지 웹소설 &gt; 현대 판타지</v>
      </c>
    </row>
    <row r="1347" spans="1:57" x14ac:dyDescent="0.3">
      <c r="A1347">
        <v>1525004799</v>
      </c>
      <c r="B1347">
        <v>1525004959</v>
      </c>
      <c r="C1347" t="str">
        <f>T("검산도해 161화")</f>
        <v>검산도해 161화</v>
      </c>
      <c r="D1347" t="str">
        <f>T("161")</f>
        <v>161</v>
      </c>
      <c r="E1347" t="str">
        <f>T("권용찬")</f>
        <v>권용찬</v>
      </c>
      <c r="H1347" t="str">
        <f>T("스토리위즈")</f>
        <v>스토리위즈</v>
      </c>
      <c r="I1347" t="str">
        <f>T("검산도해")</f>
        <v>검산도해</v>
      </c>
      <c r="J1347">
        <v>100</v>
      </c>
      <c r="K1347">
        <v>100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100</v>
      </c>
      <c r="AH1347">
        <v>1</v>
      </c>
      <c r="AI1347">
        <v>0</v>
      </c>
      <c r="AJ1347">
        <v>0</v>
      </c>
      <c r="AK1347">
        <v>0</v>
      </c>
      <c r="AL1347">
        <v>0</v>
      </c>
      <c r="AM1347">
        <v>120</v>
      </c>
      <c r="AN1347">
        <v>-12</v>
      </c>
      <c r="AO1347">
        <v>0</v>
      </c>
      <c r="AQ1347">
        <v>0</v>
      </c>
      <c r="AR1347">
        <v>0</v>
      </c>
      <c r="AS1347">
        <v>120</v>
      </c>
      <c r="AT1347">
        <v>-12</v>
      </c>
      <c r="AU1347">
        <v>0</v>
      </c>
      <c r="AW1347">
        <v>0</v>
      </c>
      <c r="AX1347">
        <v>0</v>
      </c>
      <c r="AY1347">
        <v>75.599999999999994</v>
      </c>
      <c r="BC1347" t="str">
        <f>T("9791159285936")</f>
        <v>9791159285936</v>
      </c>
      <c r="BE1347" t="str">
        <f>T("판타지 웹소설 &gt; 무협 소설")</f>
        <v>판타지 웹소설 &gt; 무협 소설</v>
      </c>
    </row>
    <row r="1348" spans="1:57" x14ac:dyDescent="0.3">
      <c r="A1348">
        <v>1525004030</v>
      </c>
      <c r="B1348">
        <v>1525007048</v>
      </c>
      <c r="C1348" t="str">
        <f>T("회귀의 전설 2부 932화")</f>
        <v>회귀의 전설 2부 932화</v>
      </c>
      <c r="D1348" t="str">
        <f>T("932")</f>
        <v>932</v>
      </c>
      <c r="E1348" t="str">
        <f>T("김광수")</f>
        <v>김광수</v>
      </c>
      <c r="H1348" t="str">
        <f>T("스토리위즈")</f>
        <v>스토리위즈</v>
      </c>
      <c r="I1348" t="str">
        <f>T("회귀의 전설")</f>
        <v>회귀의 전설</v>
      </c>
      <c r="J1348">
        <v>100</v>
      </c>
      <c r="K1348">
        <v>100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100</v>
      </c>
      <c r="AH1348">
        <v>1</v>
      </c>
      <c r="AI1348">
        <v>0</v>
      </c>
      <c r="AJ1348">
        <v>0</v>
      </c>
      <c r="AK1348">
        <v>100</v>
      </c>
      <c r="AL1348">
        <v>0</v>
      </c>
      <c r="AM1348">
        <v>0</v>
      </c>
      <c r="AN1348">
        <v>0</v>
      </c>
      <c r="AO1348">
        <v>0</v>
      </c>
      <c r="AQ1348">
        <v>0</v>
      </c>
      <c r="AR1348">
        <v>0</v>
      </c>
      <c r="AT1348">
        <v>0</v>
      </c>
      <c r="AU1348">
        <v>0</v>
      </c>
      <c r="AW1348">
        <v>0</v>
      </c>
      <c r="AX1348">
        <v>0</v>
      </c>
      <c r="AY1348">
        <v>70</v>
      </c>
      <c r="BC1348" t="str">
        <f>T("9791191102086")</f>
        <v>9791191102086</v>
      </c>
      <c r="BE1348" t="str">
        <f>T("판타지 웹소설 &gt; 현대 판타지")</f>
        <v>판타지 웹소설 &gt; 현대 판타지</v>
      </c>
    </row>
    <row r="1349" spans="1:57" x14ac:dyDescent="0.3">
      <c r="A1349">
        <v>1525008428</v>
      </c>
      <c r="B1349">
        <v>1525008452</v>
      </c>
      <c r="C1349" t="str">
        <f>T("무히비(Muhibbi) 41화")</f>
        <v>무히비(Muhibbi) 41화</v>
      </c>
      <c r="D1349" t="str">
        <f>T("41")</f>
        <v>41</v>
      </c>
      <c r="E1349" t="str">
        <f>T("jooki")</f>
        <v>jooki</v>
      </c>
      <c r="H1349" t="str">
        <f>T("블러쉬")</f>
        <v>블러쉬</v>
      </c>
      <c r="I1349" t="str">
        <f>T("무히비(Muhibbi)")</f>
        <v>무히비(Muhibbi)</v>
      </c>
      <c r="J1349">
        <v>100</v>
      </c>
      <c r="K1349">
        <v>100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100</v>
      </c>
      <c r="AH1349">
        <v>1</v>
      </c>
      <c r="AI1349">
        <v>0</v>
      </c>
      <c r="AJ1349">
        <v>0</v>
      </c>
      <c r="AK1349">
        <v>100</v>
      </c>
      <c r="AL1349">
        <v>0</v>
      </c>
      <c r="AM1349">
        <v>0</v>
      </c>
      <c r="AN1349">
        <v>0</v>
      </c>
      <c r="AO1349">
        <v>0</v>
      </c>
      <c r="AQ1349">
        <v>0</v>
      </c>
      <c r="AR1349">
        <v>0</v>
      </c>
      <c r="AT1349">
        <v>0</v>
      </c>
      <c r="AU1349">
        <v>0</v>
      </c>
      <c r="AW1349">
        <v>0</v>
      </c>
      <c r="AX1349">
        <v>0</v>
      </c>
      <c r="AY1349">
        <v>70</v>
      </c>
      <c r="BC1349" t="str">
        <f>T("9791164896622")</f>
        <v>9791164896622</v>
      </c>
      <c r="BE1349" t="str">
        <f>T("BL 웹소설 &gt; 역사/시대물")</f>
        <v>BL 웹소설 &gt; 역사/시대물</v>
      </c>
    </row>
    <row r="1350" spans="1:57" x14ac:dyDescent="0.3">
      <c r="A1350">
        <v>1525013020</v>
      </c>
      <c r="B1350">
        <v>1525013089</v>
      </c>
      <c r="C1350" t="str">
        <f>T("악당의 리턴 70화")</f>
        <v>악당의 리턴 70화</v>
      </c>
      <c r="D1350" t="str">
        <f>T("70")</f>
        <v>70</v>
      </c>
      <c r="E1350" t="str">
        <f>T("백범(白帆)")</f>
        <v>백범(白帆)</v>
      </c>
      <c r="H1350" t="str">
        <f>T("에필로그")</f>
        <v>에필로그</v>
      </c>
      <c r="I1350" t="str">
        <f>T("악당의 리턴")</f>
        <v>악당의 리턴</v>
      </c>
      <c r="J1350">
        <v>100</v>
      </c>
      <c r="K1350">
        <v>100</v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100</v>
      </c>
      <c r="AH1350">
        <v>1</v>
      </c>
      <c r="AI1350">
        <v>0</v>
      </c>
      <c r="AJ1350">
        <v>0</v>
      </c>
      <c r="AK1350">
        <v>100</v>
      </c>
      <c r="AL1350">
        <v>0</v>
      </c>
      <c r="AM1350">
        <v>0</v>
      </c>
      <c r="AN1350">
        <v>0</v>
      </c>
      <c r="AO1350">
        <v>0</v>
      </c>
      <c r="AQ1350">
        <v>0</v>
      </c>
      <c r="AR1350">
        <v>0</v>
      </c>
      <c r="AT1350">
        <v>0</v>
      </c>
      <c r="AU1350">
        <v>0</v>
      </c>
      <c r="AW1350">
        <v>0</v>
      </c>
      <c r="AX1350">
        <v>0</v>
      </c>
      <c r="AY1350">
        <v>70</v>
      </c>
      <c r="BC1350" t="str">
        <f>T("9791196538927")</f>
        <v>9791196538927</v>
      </c>
      <c r="BE1350" t="str">
        <f>T("판타지 웹소설 &gt; 현대 판타지")</f>
        <v>판타지 웹소설 &gt; 현대 판타지</v>
      </c>
    </row>
    <row r="1351" spans="1:57" x14ac:dyDescent="0.3">
      <c r="A1351">
        <v>1525004030</v>
      </c>
      <c r="B1351">
        <v>1525007190</v>
      </c>
      <c r="C1351" t="str">
        <f>T("회귀의 전설 2부 1073화")</f>
        <v>회귀의 전설 2부 1073화</v>
      </c>
      <c r="D1351" t="str">
        <f>T("1073")</f>
        <v>1073</v>
      </c>
      <c r="E1351" t="str">
        <f>T("김광수")</f>
        <v>김광수</v>
      </c>
      <c r="H1351" t="str">
        <f>T("스토리위즈")</f>
        <v>스토리위즈</v>
      </c>
      <c r="I1351" t="str">
        <f>T("회귀의 전설")</f>
        <v>회귀의 전설</v>
      </c>
      <c r="J1351">
        <v>100</v>
      </c>
      <c r="K1351">
        <v>100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100</v>
      </c>
      <c r="AH1351">
        <v>1</v>
      </c>
      <c r="AI1351">
        <v>0</v>
      </c>
      <c r="AJ1351">
        <v>0</v>
      </c>
      <c r="AK1351">
        <v>100</v>
      </c>
      <c r="AL1351">
        <v>0</v>
      </c>
      <c r="AM1351">
        <v>0</v>
      </c>
      <c r="AN1351">
        <v>0</v>
      </c>
      <c r="AO1351">
        <v>0</v>
      </c>
      <c r="AQ1351">
        <v>0</v>
      </c>
      <c r="AR1351">
        <v>0</v>
      </c>
      <c r="AT1351">
        <v>0</v>
      </c>
      <c r="AU1351">
        <v>0</v>
      </c>
      <c r="AW1351">
        <v>0</v>
      </c>
      <c r="AX1351">
        <v>0</v>
      </c>
      <c r="AY1351">
        <v>70</v>
      </c>
      <c r="BC1351" t="str">
        <f>T("9791191102086")</f>
        <v>9791191102086</v>
      </c>
      <c r="BE1351" t="str">
        <f>T("판타지 웹소설 &gt; 현대 판타지")</f>
        <v>판타지 웹소설 &gt; 현대 판타지</v>
      </c>
    </row>
    <row r="1352" spans="1:57" x14ac:dyDescent="0.3">
      <c r="A1352">
        <v>1525008545</v>
      </c>
      <c r="B1352">
        <v>1525008576</v>
      </c>
      <c r="C1352" t="str">
        <f>T("소년연애담 48화")</f>
        <v>소년연애담 48화</v>
      </c>
      <c r="D1352" t="str">
        <f>T("48")</f>
        <v>48</v>
      </c>
      <c r="E1352" t="str">
        <f>T("나나코")</f>
        <v>나나코</v>
      </c>
      <c r="H1352" t="str">
        <f>T("블러쉬")</f>
        <v>블러쉬</v>
      </c>
      <c r="I1352" t="str">
        <f>T("소년연애담")</f>
        <v>소년연애담</v>
      </c>
      <c r="J1352">
        <v>100</v>
      </c>
      <c r="K1352">
        <v>100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100</v>
      </c>
      <c r="AH1352">
        <v>1</v>
      </c>
      <c r="AI1352">
        <v>0</v>
      </c>
      <c r="AJ1352">
        <v>0</v>
      </c>
      <c r="AK1352">
        <v>100</v>
      </c>
      <c r="AL1352">
        <v>0</v>
      </c>
      <c r="AM1352">
        <v>0</v>
      </c>
      <c r="AN1352">
        <v>0</v>
      </c>
      <c r="AO1352">
        <v>0</v>
      </c>
      <c r="AQ1352">
        <v>0</v>
      </c>
      <c r="AR1352">
        <v>0</v>
      </c>
      <c r="AT1352">
        <v>0</v>
      </c>
      <c r="AU1352">
        <v>0</v>
      </c>
      <c r="AW1352">
        <v>0</v>
      </c>
      <c r="AX1352">
        <v>0</v>
      </c>
      <c r="AY1352">
        <v>70</v>
      </c>
      <c r="BA1352" t="str">
        <f>T("0000000000000")</f>
        <v>0000000000000</v>
      </c>
      <c r="BC1352" t="str">
        <f>T("9791164890729")</f>
        <v>9791164890729</v>
      </c>
      <c r="BD1352" t="str">
        <f>T("B12")</f>
        <v>B12</v>
      </c>
      <c r="BE1352" t="str">
        <f>T("BL 웹소설 &gt; 현대물")</f>
        <v>BL 웹소설 &gt; 현대물</v>
      </c>
    </row>
    <row r="1353" spans="1:57" x14ac:dyDescent="0.3">
      <c r="A1353">
        <v>1525012551</v>
      </c>
      <c r="B1353">
        <v>1525012650</v>
      </c>
      <c r="C1353" t="str">
        <f>T("개정판 | 바보가 만드는 멋진 세상 100화")</f>
        <v>개정판 | 바보가 만드는 멋진 세상 100화</v>
      </c>
      <c r="D1353" t="str">
        <f>T("100")</f>
        <v>100</v>
      </c>
      <c r="E1353" t="str">
        <f>T("백범(白帆)")</f>
        <v>백범(白帆)</v>
      </c>
      <c r="H1353" t="str">
        <f>T("에필로그")</f>
        <v>에필로그</v>
      </c>
      <c r="I1353" t="str">
        <f>T("개정판 | 바보가 만드는 멋진 세상")</f>
        <v>개정판 | 바보가 만드는 멋진 세상</v>
      </c>
      <c r="J1353">
        <v>100</v>
      </c>
      <c r="K1353">
        <v>100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100</v>
      </c>
      <c r="AH1353">
        <v>1</v>
      </c>
      <c r="AI1353">
        <v>0</v>
      </c>
      <c r="AJ1353">
        <v>0</v>
      </c>
      <c r="AK1353">
        <v>100</v>
      </c>
      <c r="AL1353">
        <v>0</v>
      </c>
      <c r="AM1353">
        <v>0</v>
      </c>
      <c r="AN1353">
        <v>0</v>
      </c>
      <c r="AO1353">
        <v>0</v>
      </c>
      <c r="AQ1353">
        <v>0</v>
      </c>
      <c r="AR1353">
        <v>0</v>
      </c>
      <c r="AT1353">
        <v>0</v>
      </c>
      <c r="AU1353">
        <v>0</v>
      </c>
      <c r="AW1353">
        <v>0</v>
      </c>
      <c r="AX1353">
        <v>0</v>
      </c>
      <c r="AY1353">
        <v>70</v>
      </c>
      <c r="BC1353" t="str">
        <f>T("9791166003493")</f>
        <v>9791166003493</v>
      </c>
      <c r="BE1353" t="str">
        <f>T("판타지 웹소설 &gt; 현대 판타지")</f>
        <v>판타지 웹소설 &gt; 현대 판타지</v>
      </c>
    </row>
    <row r="1354" spans="1:57" x14ac:dyDescent="0.3">
      <c r="A1354">
        <v>1525004799</v>
      </c>
      <c r="B1354">
        <v>1525004821</v>
      </c>
      <c r="C1354" t="str">
        <f>T("검산도해 23화")</f>
        <v>검산도해 23화</v>
      </c>
      <c r="D1354" t="str">
        <f>T("23")</f>
        <v>23</v>
      </c>
      <c r="E1354" t="str">
        <f>T("권용찬")</f>
        <v>권용찬</v>
      </c>
      <c r="H1354" t="str">
        <f t="shared" ref="H1354:H1359" si="180">T("스토리위즈")</f>
        <v>스토리위즈</v>
      </c>
      <c r="I1354" t="str">
        <f>T("검산도해")</f>
        <v>검산도해</v>
      </c>
      <c r="J1354">
        <v>100</v>
      </c>
      <c r="K1354">
        <v>100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100</v>
      </c>
      <c r="AH1354">
        <v>1</v>
      </c>
      <c r="AI1354">
        <v>0</v>
      </c>
      <c r="AJ1354">
        <v>0</v>
      </c>
      <c r="AK1354">
        <v>0</v>
      </c>
      <c r="AL1354">
        <v>0</v>
      </c>
      <c r="AM1354">
        <v>120</v>
      </c>
      <c r="AN1354">
        <v>-12</v>
      </c>
      <c r="AO1354">
        <v>0</v>
      </c>
      <c r="AQ1354">
        <v>0</v>
      </c>
      <c r="AR1354">
        <v>0</v>
      </c>
      <c r="AS1354">
        <v>120</v>
      </c>
      <c r="AT1354">
        <v>-12</v>
      </c>
      <c r="AU1354">
        <v>0</v>
      </c>
      <c r="AW1354">
        <v>0</v>
      </c>
      <c r="AX1354">
        <v>0</v>
      </c>
      <c r="AY1354">
        <v>75.599999999999994</v>
      </c>
      <c r="BC1354" t="str">
        <f>T("9791159285936")</f>
        <v>9791159285936</v>
      </c>
      <c r="BE1354" t="str">
        <f>T("판타지 웹소설 &gt; 무협 소설")</f>
        <v>판타지 웹소설 &gt; 무협 소설</v>
      </c>
    </row>
    <row r="1355" spans="1:57" x14ac:dyDescent="0.3">
      <c r="A1355">
        <v>1525004799</v>
      </c>
      <c r="B1355">
        <v>1525004878</v>
      </c>
      <c r="C1355" t="str">
        <f>T("검산도해 80화")</f>
        <v>검산도해 80화</v>
      </c>
      <c r="D1355" t="str">
        <f>T("80")</f>
        <v>80</v>
      </c>
      <c r="E1355" t="str">
        <f>T("권용찬")</f>
        <v>권용찬</v>
      </c>
      <c r="H1355" t="str">
        <f t="shared" si="180"/>
        <v>스토리위즈</v>
      </c>
      <c r="I1355" t="str">
        <f>T("검산도해")</f>
        <v>검산도해</v>
      </c>
      <c r="J1355">
        <v>100</v>
      </c>
      <c r="K1355">
        <v>100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100</v>
      </c>
      <c r="AH1355">
        <v>1</v>
      </c>
      <c r="AI1355">
        <v>0</v>
      </c>
      <c r="AJ1355">
        <v>0</v>
      </c>
      <c r="AK1355">
        <v>0</v>
      </c>
      <c r="AL1355">
        <v>0</v>
      </c>
      <c r="AM1355">
        <v>120</v>
      </c>
      <c r="AN1355">
        <v>-12</v>
      </c>
      <c r="AO1355">
        <v>0</v>
      </c>
      <c r="AQ1355">
        <v>0</v>
      </c>
      <c r="AR1355">
        <v>0</v>
      </c>
      <c r="AS1355">
        <v>120</v>
      </c>
      <c r="AT1355">
        <v>-12</v>
      </c>
      <c r="AU1355">
        <v>0</v>
      </c>
      <c r="AW1355">
        <v>0</v>
      </c>
      <c r="AX1355">
        <v>0</v>
      </c>
      <c r="AY1355">
        <v>75.599999999999994</v>
      </c>
      <c r="BC1355" t="str">
        <f>T("9791159285936")</f>
        <v>9791159285936</v>
      </c>
      <c r="BE1355" t="str">
        <f>T("판타지 웹소설 &gt; 무협 소설")</f>
        <v>판타지 웹소설 &gt; 무협 소설</v>
      </c>
    </row>
    <row r="1356" spans="1:57" x14ac:dyDescent="0.3">
      <c r="A1356">
        <v>1525000924</v>
      </c>
      <c r="B1356">
        <v>1525000974</v>
      </c>
      <c r="C1356" t="str">
        <f>T("스피릿 소드 51화")</f>
        <v>스피릿 소드 51화</v>
      </c>
      <c r="D1356" t="str">
        <f>T("51")</f>
        <v>51</v>
      </c>
      <c r="E1356" t="str">
        <f>T("김정률")</f>
        <v>김정률</v>
      </c>
      <c r="H1356" t="str">
        <f t="shared" si="180"/>
        <v>스토리위즈</v>
      </c>
      <c r="I1356" t="str">
        <f>T("스피릿 소드")</f>
        <v>스피릿 소드</v>
      </c>
      <c r="J1356">
        <v>100</v>
      </c>
      <c r="K1356">
        <v>100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100</v>
      </c>
      <c r="AH1356">
        <v>1</v>
      </c>
      <c r="AI1356">
        <v>0</v>
      </c>
      <c r="AJ1356">
        <v>0</v>
      </c>
      <c r="AK1356">
        <v>100</v>
      </c>
      <c r="AL1356">
        <v>0</v>
      </c>
      <c r="AM1356">
        <v>0</v>
      </c>
      <c r="AN1356">
        <v>0</v>
      </c>
      <c r="AO1356">
        <v>0</v>
      </c>
      <c r="AQ1356">
        <v>0</v>
      </c>
      <c r="AR1356">
        <v>0</v>
      </c>
      <c r="AT1356">
        <v>0</v>
      </c>
      <c r="AU1356">
        <v>0</v>
      </c>
      <c r="AW1356">
        <v>0</v>
      </c>
      <c r="AX1356">
        <v>0</v>
      </c>
      <c r="AY1356">
        <v>70</v>
      </c>
      <c r="BA1356" t="str">
        <f>T("9791159282713")</f>
        <v>9791159282713</v>
      </c>
      <c r="BC1356" t="str">
        <f>T("9791159282713")</f>
        <v>9791159282713</v>
      </c>
      <c r="BE1356" t="str">
        <f>T("판타지 웹소설 &gt; 정통 판타지")</f>
        <v>판타지 웹소설 &gt; 정통 판타지</v>
      </c>
    </row>
    <row r="1357" spans="1:57" x14ac:dyDescent="0.3">
      <c r="A1357">
        <v>1525004030</v>
      </c>
      <c r="B1357">
        <v>1525007065</v>
      </c>
      <c r="C1357" t="str">
        <f>T("회귀의 전설 2부 949화")</f>
        <v>회귀의 전설 2부 949화</v>
      </c>
      <c r="D1357" t="str">
        <f>T("949")</f>
        <v>949</v>
      </c>
      <c r="E1357" t="str">
        <f>T("김광수")</f>
        <v>김광수</v>
      </c>
      <c r="H1357" t="str">
        <f t="shared" si="180"/>
        <v>스토리위즈</v>
      </c>
      <c r="I1357" t="str">
        <f>T("회귀의 전설")</f>
        <v>회귀의 전설</v>
      </c>
      <c r="J1357">
        <v>100</v>
      </c>
      <c r="K1357">
        <v>100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100</v>
      </c>
      <c r="AH1357">
        <v>1</v>
      </c>
      <c r="AI1357">
        <v>0</v>
      </c>
      <c r="AJ1357">
        <v>0</v>
      </c>
      <c r="AK1357">
        <v>100</v>
      </c>
      <c r="AL1357">
        <v>0</v>
      </c>
      <c r="AM1357">
        <v>0</v>
      </c>
      <c r="AN1357">
        <v>0</v>
      </c>
      <c r="AO1357">
        <v>0</v>
      </c>
      <c r="AQ1357">
        <v>0</v>
      </c>
      <c r="AR1357">
        <v>0</v>
      </c>
      <c r="AT1357">
        <v>0</v>
      </c>
      <c r="AU1357">
        <v>0</v>
      </c>
      <c r="AW1357">
        <v>0</v>
      </c>
      <c r="AX1357">
        <v>0</v>
      </c>
      <c r="AY1357">
        <v>70</v>
      </c>
      <c r="BC1357" t="str">
        <f>T("9791191102086")</f>
        <v>9791191102086</v>
      </c>
      <c r="BE1357" t="str">
        <f>T("판타지 웹소설 &gt; 현대 판타지")</f>
        <v>판타지 웹소설 &gt; 현대 판타지</v>
      </c>
    </row>
    <row r="1358" spans="1:57" x14ac:dyDescent="0.3">
      <c r="A1358">
        <v>1525004030</v>
      </c>
      <c r="B1358">
        <v>1525004536</v>
      </c>
      <c r="C1358" t="str">
        <f>T("회귀의 전설 513화")</f>
        <v>회귀의 전설 513화</v>
      </c>
      <c r="D1358" t="str">
        <f>T("513")</f>
        <v>513</v>
      </c>
      <c r="E1358" t="str">
        <f>T("김광수")</f>
        <v>김광수</v>
      </c>
      <c r="H1358" t="str">
        <f t="shared" si="180"/>
        <v>스토리위즈</v>
      </c>
      <c r="I1358" t="str">
        <f>T("회귀의 전설")</f>
        <v>회귀의 전설</v>
      </c>
      <c r="J1358">
        <v>100</v>
      </c>
      <c r="K1358">
        <v>100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100</v>
      </c>
      <c r="AH1358">
        <v>1</v>
      </c>
      <c r="AI1358">
        <v>0</v>
      </c>
      <c r="AJ1358">
        <v>0</v>
      </c>
      <c r="AK1358">
        <v>100</v>
      </c>
      <c r="AL1358">
        <v>0</v>
      </c>
      <c r="AM1358">
        <v>0</v>
      </c>
      <c r="AN1358">
        <v>0</v>
      </c>
      <c r="AO1358">
        <v>0</v>
      </c>
      <c r="AQ1358">
        <v>0</v>
      </c>
      <c r="AR1358">
        <v>0</v>
      </c>
      <c r="AT1358">
        <v>0</v>
      </c>
      <c r="AU1358">
        <v>0</v>
      </c>
      <c r="AW1358">
        <v>0</v>
      </c>
      <c r="AX1358">
        <v>0</v>
      </c>
      <c r="AY1358">
        <v>70</v>
      </c>
      <c r="BC1358" t="str">
        <f>T("9788997946006")</f>
        <v>9788997946006</v>
      </c>
      <c r="BE1358" t="str">
        <f>T("판타지 웹소설 &gt; 현대 판타지")</f>
        <v>판타지 웹소설 &gt; 현대 판타지</v>
      </c>
    </row>
    <row r="1359" spans="1:57" x14ac:dyDescent="0.3">
      <c r="A1359">
        <v>1525004030</v>
      </c>
      <c r="B1359">
        <v>1525006996</v>
      </c>
      <c r="C1359" t="str">
        <f>T("회귀의 전설 2부 880화")</f>
        <v>회귀의 전설 2부 880화</v>
      </c>
      <c r="D1359" t="str">
        <f>T("880")</f>
        <v>880</v>
      </c>
      <c r="E1359" t="str">
        <f>T("김광수")</f>
        <v>김광수</v>
      </c>
      <c r="H1359" t="str">
        <f t="shared" si="180"/>
        <v>스토리위즈</v>
      </c>
      <c r="I1359" t="str">
        <f>T("회귀의 전설")</f>
        <v>회귀의 전설</v>
      </c>
      <c r="J1359">
        <v>100</v>
      </c>
      <c r="K1359">
        <v>100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100</v>
      </c>
      <c r="AH1359">
        <v>1</v>
      </c>
      <c r="AI1359">
        <v>0</v>
      </c>
      <c r="AJ1359">
        <v>0</v>
      </c>
      <c r="AK1359">
        <v>100</v>
      </c>
      <c r="AL1359">
        <v>0</v>
      </c>
      <c r="AM1359">
        <v>0</v>
      </c>
      <c r="AN1359">
        <v>0</v>
      </c>
      <c r="AO1359">
        <v>0</v>
      </c>
      <c r="AQ1359">
        <v>0</v>
      </c>
      <c r="AR1359">
        <v>0</v>
      </c>
      <c r="AT1359">
        <v>0</v>
      </c>
      <c r="AU1359">
        <v>0</v>
      </c>
      <c r="AW1359">
        <v>0</v>
      </c>
      <c r="AX1359">
        <v>0</v>
      </c>
      <c r="AY1359">
        <v>70</v>
      </c>
      <c r="BC1359" t="str">
        <f>T("9791191102086")</f>
        <v>9791191102086</v>
      </c>
      <c r="BE1359" t="str">
        <f>T("판타지 웹소설 &gt; 현대 판타지")</f>
        <v>판타지 웹소설 &gt; 현대 판타지</v>
      </c>
    </row>
    <row r="1360" spans="1:57" x14ac:dyDescent="0.3">
      <c r="A1360">
        <v>1525011523</v>
      </c>
      <c r="B1360">
        <v>1525011395</v>
      </c>
      <c r="C1360" t="str">
        <f>T("남창목가 129화")</f>
        <v>남창목가 129화</v>
      </c>
      <c r="D1360" t="str">
        <f>T("129")</f>
        <v>129</v>
      </c>
      <c r="E1360" t="str">
        <f>T("최재봉")</f>
        <v>최재봉</v>
      </c>
      <c r="H1360" t="str">
        <f>T("에필로그")</f>
        <v>에필로그</v>
      </c>
      <c r="I1360" t="str">
        <f>T("남창목가")</f>
        <v>남창목가</v>
      </c>
      <c r="J1360">
        <v>100</v>
      </c>
      <c r="K1360">
        <v>100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100</v>
      </c>
      <c r="AH1360">
        <v>1</v>
      </c>
      <c r="AI1360">
        <v>0</v>
      </c>
      <c r="AJ1360">
        <v>0</v>
      </c>
      <c r="AK1360">
        <v>100</v>
      </c>
      <c r="AL1360">
        <v>0</v>
      </c>
      <c r="AM1360">
        <v>0</v>
      </c>
      <c r="AN1360">
        <v>0</v>
      </c>
      <c r="AO1360">
        <v>0</v>
      </c>
      <c r="AQ1360">
        <v>0</v>
      </c>
      <c r="AR1360">
        <v>0</v>
      </c>
      <c r="AT1360">
        <v>0</v>
      </c>
      <c r="AU1360">
        <v>0</v>
      </c>
      <c r="AW1360">
        <v>0</v>
      </c>
      <c r="AX1360">
        <v>0</v>
      </c>
      <c r="AY1360">
        <v>70</v>
      </c>
      <c r="BC1360" t="str">
        <f>T("9791164482849")</f>
        <v>9791164482849</v>
      </c>
      <c r="BE1360" t="str">
        <f>T("판타지 웹소설 &gt; 무협 소설")</f>
        <v>판타지 웹소설 &gt; 무협 소설</v>
      </c>
    </row>
    <row r="1361" spans="1:57" x14ac:dyDescent="0.3">
      <c r="A1361">
        <v>1525013020</v>
      </c>
      <c r="B1361">
        <v>1525013078</v>
      </c>
      <c r="C1361" t="str">
        <f>T("악당의 리턴 59화")</f>
        <v>악당의 리턴 59화</v>
      </c>
      <c r="D1361" t="str">
        <f>T("59")</f>
        <v>59</v>
      </c>
      <c r="E1361" t="str">
        <f>T("백범(白帆)")</f>
        <v>백범(白帆)</v>
      </c>
      <c r="H1361" t="str">
        <f>T("에필로그")</f>
        <v>에필로그</v>
      </c>
      <c r="I1361" t="str">
        <f>T("악당의 리턴")</f>
        <v>악당의 리턴</v>
      </c>
      <c r="J1361">
        <v>100</v>
      </c>
      <c r="K1361">
        <v>100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100</v>
      </c>
      <c r="AH1361">
        <v>1</v>
      </c>
      <c r="AI1361">
        <v>0</v>
      </c>
      <c r="AJ1361">
        <v>0</v>
      </c>
      <c r="AK1361">
        <v>100</v>
      </c>
      <c r="AL1361">
        <v>0</v>
      </c>
      <c r="AM1361">
        <v>0</v>
      </c>
      <c r="AN1361">
        <v>0</v>
      </c>
      <c r="AO1361">
        <v>0</v>
      </c>
      <c r="AQ1361">
        <v>0</v>
      </c>
      <c r="AR1361">
        <v>0</v>
      </c>
      <c r="AT1361">
        <v>0</v>
      </c>
      <c r="AU1361">
        <v>0</v>
      </c>
      <c r="AW1361">
        <v>0</v>
      </c>
      <c r="AX1361">
        <v>0</v>
      </c>
      <c r="AY1361">
        <v>70</v>
      </c>
      <c r="BC1361" t="str">
        <f>T("9791196538927")</f>
        <v>9791196538927</v>
      </c>
      <c r="BE1361" t="str">
        <f>T("판타지 웹소설 &gt; 현대 판타지")</f>
        <v>판타지 웹소설 &gt; 현대 판타지</v>
      </c>
    </row>
    <row r="1362" spans="1:57" x14ac:dyDescent="0.3">
      <c r="A1362">
        <v>1525004030</v>
      </c>
      <c r="B1362">
        <v>1525007152</v>
      </c>
      <c r="C1362" t="str">
        <f>T("회귀의 전설 2부 1035화")</f>
        <v>회귀의 전설 2부 1035화</v>
      </c>
      <c r="D1362" t="str">
        <f>T("1035")</f>
        <v>1035</v>
      </c>
      <c r="E1362" t="str">
        <f>T("김광수")</f>
        <v>김광수</v>
      </c>
      <c r="H1362" t="str">
        <f>T("스토리위즈")</f>
        <v>스토리위즈</v>
      </c>
      <c r="I1362" t="str">
        <f>T("회귀의 전설")</f>
        <v>회귀의 전설</v>
      </c>
      <c r="J1362">
        <v>100</v>
      </c>
      <c r="K1362">
        <v>100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100</v>
      </c>
      <c r="AH1362">
        <v>1</v>
      </c>
      <c r="AI1362">
        <v>0</v>
      </c>
      <c r="AJ1362">
        <v>0</v>
      </c>
      <c r="AK1362">
        <v>100</v>
      </c>
      <c r="AL1362">
        <v>0</v>
      </c>
      <c r="AM1362">
        <v>0</v>
      </c>
      <c r="AN1362">
        <v>0</v>
      </c>
      <c r="AO1362">
        <v>0</v>
      </c>
      <c r="AQ1362">
        <v>0</v>
      </c>
      <c r="AR1362">
        <v>0</v>
      </c>
      <c r="AT1362">
        <v>0</v>
      </c>
      <c r="AU1362">
        <v>0</v>
      </c>
      <c r="AW1362">
        <v>0</v>
      </c>
      <c r="AX1362">
        <v>0</v>
      </c>
      <c r="AY1362">
        <v>70</v>
      </c>
      <c r="BC1362" t="str">
        <f>T("9791191102086")</f>
        <v>9791191102086</v>
      </c>
      <c r="BE1362" t="str">
        <f>T("판타지 웹소설 &gt; 현대 판타지")</f>
        <v>판타지 웹소설 &gt; 현대 판타지</v>
      </c>
    </row>
    <row r="1363" spans="1:57" x14ac:dyDescent="0.3">
      <c r="A1363">
        <v>1525008545</v>
      </c>
      <c r="B1363">
        <v>1525008565</v>
      </c>
      <c r="C1363" t="str">
        <f>T("소년연애담 38화")</f>
        <v>소년연애담 38화</v>
      </c>
      <c r="D1363" t="str">
        <f>T("38")</f>
        <v>38</v>
      </c>
      <c r="E1363" t="str">
        <f>T("나나코")</f>
        <v>나나코</v>
      </c>
      <c r="H1363" t="str">
        <f>T("블러쉬")</f>
        <v>블러쉬</v>
      </c>
      <c r="I1363" t="str">
        <f>T("소년연애담")</f>
        <v>소년연애담</v>
      </c>
      <c r="J1363">
        <v>100</v>
      </c>
      <c r="K1363">
        <v>100</v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100</v>
      </c>
      <c r="AH1363">
        <v>1</v>
      </c>
      <c r="AI1363">
        <v>0</v>
      </c>
      <c r="AJ1363">
        <v>0</v>
      </c>
      <c r="AK1363">
        <v>100</v>
      </c>
      <c r="AL1363">
        <v>0</v>
      </c>
      <c r="AM1363">
        <v>0</v>
      </c>
      <c r="AN1363">
        <v>0</v>
      </c>
      <c r="AO1363">
        <v>0</v>
      </c>
      <c r="AQ1363">
        <v>0</v>
      </c>
      <c r="AR1363">
        <v>0</v>
      </c>
      <c r="AT1363">
        <v>0</v>
      </c>
      <c r="AU1363">
        <v>0</v>
      </c>
      <c r="AW1363">
        <v>0</v>
      </c>
      <c r="AX1363">
        <v>0</v>
      </c>
      <c r="AY1363">
        <v>70</v>
      </c>
      <c r="BC1363" t="str">
        <f>T("9791164890729")</f>
        <v>9791164890729</v>
      </c>
      <c r="BD1363" t="str">
        <f>T("B12")</f>
        <v>B12</v>
      </c>
      <c r="BE1363" t="str">
        <f>T("BL 웹소설 &gt; 현대물")</f>
        <v>BL 웹소설 &gt; 현대물</v>
      </c>
    </row>
    <row r="1364" spans="1:57" x14ac:dyDescent="0.3">
      <c r="A1364">
        <v>1525012551</v>
      </c>
      <c r="B1364">
        <v>1525012639</v>
      </c>
      <c r="C1364" t="str">
        <f>T("개정판 | 바보가 만드는 멋진 세상 89화")</f>
        <v>개정판 | 바보가 만드는 멋진 세상 89화</v>
      </c>
      <c r="D1364" t="str">
        <f>T("89")</f>
        <v>89</v>
      </c>
      <c r="E1364" t="str">
        <f>T("백범(白帆)")</f>
        <v>백범(白帆)</v>
      </c>
      <c r="H1364" t="str">
        <f>T("에필로그")</f>
        <v>에필로그</v>
      </c>
      <c r="I1364" t="str">
        <f>T("개정판 | 바보가 만드는 멋진 세상")</f>
        <v>개정판 | 바보가 만드는 멋진 세상</v>
      </c>
      <c r="J1364">
        <v>100</v>
      </c>
      <c r="K1364">
        <v>100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100</v>
      </c>
      <c r="AH1364">
        <v>1</v>
      </c>
      <c r="AI1364">
        <v>0</v>
      </c>
      <c r="AJ1364">
        <v>0</v>
      </c>
      <c r="AK1364">
        <v>100</v>
      </c>
      <c r="AL1364">
        <v>0</v>
      </c>
      <c r="AM1364">
        <v>0</v>
      </c>
      <c r="AN1364">
        <v>0</v>
      </c>
      <c r="AO1364">
        <v>0</v>
      </c>
      <c r="AQ1364">
        <v>0</v>
      </c>
      <c r="AR1364">
        <v>0</v>
      </c>
      <c r="AT1364">
        <v>0</v>
      </c>
      <c r="AU1364">
        <v>0</v>
      </c>
      <c r="AW1364">
        <v>0</v>
      </c>
      <c r="AX1364">
        <v>0</v>
      </c>
      <c r="AY1364">
        <v>70</v>
      </c>
      <c r="BC1364" t="str">
        <f>T("9791166003493")</f>
        <v>9791166003493</v>
      </c>
      <c r="BE1364" t="str">
        <f>T("판타지 웹소설 &gt; 현대 판타지")</f>
        <v>판타지 웹소설 &gt; 현대 판타지</v>
      </c>
    </row>
    <row r="1365" spans="1:57" x14ac:dyDescent="0.3">
      <c r="A1365">
        <v>1525012551</v>
      </c>
      <c r="B1365">
        <v>1525012630</v>
      </c>
      <c r="C1365" t="str">
        <f>T("개정판 | 바보가 만드는 멋진 세상 80화")</f>
        <v>개정판 | 바보가 만드는 멋진 세상 80화</v>
      </c>
      <c r="D1365" t="str">
        <f>T("80")</f>
        <v>80</v>
      </c>
      <c r="E1365" t="str">
        <f>T("백범(白帆)")</f>
        <v>백범(白帆)</v>
      </c>
      <c r="H1365" t="str">
        <f>T("에필로그")</f>
        <v>에필로그</v>
      </c>
      <c r="I1365" t="str">
        <f>T("개정판 | 바보가 만드는 멋진 세상")</f>
        <v>개정판 | 바보가 만드는 멋진 세상</v>
      </c>
      <c r="J1365">
        <v>100</v>
      </c>
      <c r="K1365">
        <v>100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100</v>
      </c>
      <c r="AH1365">
        <v>1</v>
      </c>
      <c r="AI1365">
        <v>0</v>
      </c>
      <c r="AJ1365">
        <v>0</v>
      </c>
      <c r="AK1365">
        <v>100</v>
      </c>
      <c r="AL1365">
        <v>0</v>
      </c>
      <c r="AM1365">
        <v>0</v>
      </c>
      <c r="AN1365">
        <v>0</v>
      </c>
      <c r="AO1365">
        <v>0</v>
      </c>
      <c r="AQ1365">
        <v>0</v>
      </c>
      <c r="AR1365">
        <v>0</v>
      </c>
      <c r="AT1365">
        <v>0</v>
      </c>
      <c r="AU1365">
        <v>0</v>
      </c>
      <c r="AW1365">
        <v>0</v>
      </c>
      <c r="AX1365">
        <v>0</v>
      </c>
      <c r="AY1365">
        <v>70</v>
      </c>
      <c r="BC1365" t="str">
        <f>T("9791166003493")</f>
        <v>9791166003493</v>
      </c>
      <c r="BE1365" t="str">
        <f>T("판타지 웹소설 &gt; 현대 판타지")</f>
        <v>판타지 웹소설 &gt; 현대 판타지</v>
      </c>
    </row>
    <row r="1366" spans="1:57" x14ac:dyDescent="0.3">
      <c r="A1366">
        <v>1525004799</v>
      </c>
      <c r="B1366">
        <v>1525004867</v>
      </c>
      <c r="C1366" t="str">
        <f>T("검산도해 69화")</f>
        <v>검산도해 69화</v>
      </c>
      <c r="D1366" t="str">
        <f>T("69")</f>
        <v>69</v>
      </c>
      <c r="E1366" t="str">
        <f>T("권용찬")</f>
        <v>권용찬</v>
      </c>
      <c r="H1366" t="str">
        <f>T("스토리위즈")</f>
        <v>스토리위즈</v>
      </c>
      <c r="I1366" t="str">
        <f>T("검산도해")</f>
        <v>검산도해</v>
      </c>
      <c r="J1366">
        <v>100</v>
      </c>
      <c r="K1366">
        <v>100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100</v>
      </c>
      <c r="AH1366">
        <v>1</v>
      </c>
      <c r="AI1366">
        <v>0</v>
      </c>
      <c r="AJ1366">
        <v>0</v>
      </c>
      <c r="AK1366">
        <v>0</v>
      </c>
      <c r="AL1366">
        <v>0</v>
      </c>
      <c r="AM1366">
        <v>120</v>
      </c>
      <c r="AN1366">
        <v>-12</v>
      </c>
      <c r="AO1366">
        <v>0</v>
      </c>
      <c r="AQ1366">
        <v>0</v>
      </c>
      <c r="AR1366">
        <v>0</v>
      </c>
      <c r="AS1366">
        <v>120</v>
      </c>
      <c r="AT1366">
        <v>-12</v>
      </c>
      <c r="AU1366">
        <v>0</v>
      </c>
      <c r="AW1366">
        <v>0</v>
      </c>
      <c r="AX1366">
        <v>0</v>
      </c>
      <c r="AY1366">
        <v>75.599999999999994</v>
      </c>
      <c r="BC1366" t="str">
        <f>T("9791159285936")</f>
        <v>9791159285936</v>
      </c>
      <c r="BE1366" t="str">
        <f>T("판타지 웹소설 &gt; 무협 소설")</f>
        <v>판타지 웹소설 &gt; 무협 소설</v>
      </c>
    </row>
    <row r="1367" spans="1:57" x14ac:dyDescent="0.3">
      <c r="A1367">
        <v>1525000924</v>
      </c>
      <c r="B1367">
        <v>1525000963</v>
      </c>
      <c r="C1367" t="str">
        <f>T("스피릿 소드 40화")</f>
        <v>스피릿 소드 40화</v>
      </c>
      <c r="D1367" t="str">
        <f>T("40")</f>
        <v>40</v>
      </c>
      <c r="E1367" t="str">
        <f>T("김정률")</f>
        <v>김정률</v>
      </c>
      <c r="H1367" t="str">
        <f>T("스토리위즈")</f>
        <v>스토리위즈</v>
      </c>
      <c r="I1367" t="str">
        <f>T("스피릿 소드")</f>
        <v>스피릿 소드</v>
      </c>
      <c r="J1367">
        <v>100</v>
      </c>
      <c r="K1367">
        <v>100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100</v>
      </c>
      <c r="AH1367">
        <v>1</v>
      </c>
      <c r="AI1367">
        <v>0</v>
      </c>
      <c r="AJ1367">
        <v>0</v>
      </c>
      <c r="AK1367">
        <v>100</v>
      </c>
      <c r="AL1367">
        <v>0</v>
      </c>
      <c r="AM1367">
        <v>0</v>
      </c>
      <c r="AN1367">
        <v>0</v>
      </c>
      <c r="AO1367">
        <v>0</v>
      </c>
      <c r="AQ1367">
        <v>0</v>
      </c>
      <c r="AR1367">
        <v>0</v>
      </c>
      <c r="AT1367">
        <v>0</v>
      </c>
      <c r="AU1367">
        <v>0</v>
      </c>
      <c r="AW1367">
        <v>0</v>
      </c>
      <c r="AX1367">
        <v>0</v>
      </c>
      <c r="AY1367">
        <v>70</v>
      </c>
      <c r="BA1367" t="str">
        <f>T("9791159282713")</f>
        <v>9791159282713</v>
      </c>
      <c r="BC1367" t="str">
        <f>T("9791159282713")</f>
        <v>9791159282713</v>
      </c>
      <c r="BE1367" t="str">
        <f>T("판타지 웹소설 &gt; 정통 판타지")</f>
        <v>판타지 웹소설 &gt; 정통 판타지</v>
      </c>
    </row>
    <row r="1368" spans="1:57" x14ac:dyDescent="0.3">
      <c r="A1368">
        <v>1525004030</v>
      </c>
      <c r="B1368">
        <v>1525004525</v>
      </c>
      <c r="C1368" t="str">
        <f>T("회귀의 전설 491화")</f>
        <v>회귀의 전설 491화</v>
      </c>
      <c r="D1368" t="str">
        <f>T("491")</f>
        <v>491</v>
      </c>
      <c r="E1368" t="str">
        <f>T("김광수")</f>
        <v>김광수</v>
      </c>
      <c r="H1368" t="str">
        <f>T("스토리위즈")</f>
        <v>스토리위즈</v>
      </c>
      <c r="I1368" t="str">
        <f>T("회귀의 전설")</f>
        <v>회귀의 전설</v>
      </c>
      <c r="J1368">
        <v>100</v>
      </c>
      <c r="K1368">
        <v>100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100</v>
      </c>
      <c r="AH1368">
        <v>1</v>
      </c>
      <c r="AI1368">
        <v>0</v>
      </c>
      <c r="AJ1368">
        <v>0</v>
      </c>
      <c r="AK1368">
        <v>100</v>
      </c>
      <c r="AL1368">
        <v>0</v>
      </c>
      <c r="AM1368">
        <v>0</v>
      </c>
      <c r="AN1368">
        <v>0</v>
      </c>
      <c r="AO1368">
        <v>0</v>
      </c>
      <c r="AQ1368">
        <v>0</v>
      </c>
      <c r="AR1368">
        <v>0</v>
      </c>
      <c r="AT1368">
        <v>0</v>
      </c>
      <c r="AU1368">
        <v>0</v>
      </c>
      <c r="AW1368">
        <v>0</v>
      </c>
      <c r="AX1368">
        <v>0</v>
      </c>
      <c r="AY1368">
        <v>70</v>
      </c>
      <c r="BC1368" t="str">
        <f>T("9788997946006")</f>
        <v>9788997946006</v>
      </c>
      <c r="BE1368" t="str">
        <f>T("판타지 웹소설 &gt; 현대 판타지")</f>
        <v>판타지 웹소설 &gt; 현대 판타지</v>
      </c>
    </row>
    <row r="1369" spans="1:57" x14ac:dyDescent="0.3">
      <c r="A1369">
        <v>1525008545</v>
      </c>
      <c r="B1369">
        <v>1525008582</v>
      </c>
      <c r="C1369" t="str">
        <f>T("소년연애담 53화")</f>
        <v>소년연애담 53화</v>
      </c>
      <c r="D1369" t="str">
        <f>T("53")</f>
        <v>53</v>
      </c>
      <c r="E1369" t="str">
        <f>T("나나코")</f>
        <v>나나코</v>
      </c>
      <c r="H1369" t="str">
        <f>T("블러쉬")</f>
        <v>블러쉬</v>
      </c>
      <c r="I1369" t="str">
        <f>T("소년연애담")</f>
        <v>소년연애담</v>
      </c>
      <c r="J1369">
        <v>100</v>
      </c>
      <c r="K1369">
        <v>100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100</v>
      </c>
      <c r="AH1369">
        <v>1</v>
      </c>
      <c r="AI1369">
        <v>0</v>
      </c>
      <c r="AJ1369">
        <v>0</v>
      </c>
      <c r="AK1369">
        <v>100</v>
      </c>
      <c r="AL1369">
        <v>0</v>
      </c>
      <c r="AM1369">
        <v>0</v>
      </c>
      <c r="AN1369">
        <v>0</v>
      </c>
      <c r="AO1369">
        <v>0</v>
      </c>
      <c r="AQ1369">
        <v>0</v>
      </c>
      <c r="AR1369">
        <v>0</v>
      </c>
      <c r="AT1369">
        <v>0</v>
      </c>
      <c r="AU1369">
        <v>0</v>
      </c>
      <c r="AW1369">
        <v>0</v>
      </c>
      <c r="AX1369">
        <v>0</v>
      </c>
      <c r="AY1369">
        <v>70</v>
      </c>
      <c r="BA1369" t="str">
        <f>T("0000000000000")</f>
        <v>0000000000000</v>
      </c>
      <c r="BC1369" t="str">
        <f>T("9791164890729")</f>
        <v>9791164890729</v>
      </c>
      <c r="BD1369" t="str">
        <f>T("B12")</f>
        <v>B12</v>
      </c>
      <c r="BE1369" t="str">
        <f>T("BL 웹소설 &gt; 현대물")</f>
        <v>BL 웹소설 &gt; 현대물</v>
      </c>
    </row>
    <row r="1370" spans="1:57" x14ac:dyDescent="0.3">
      <c r="A1370">
        <v>1525012551</v>
      </c>
      <c r="B1370">
        <v>1525012671</v>
      </c>
      <c r="C1370" t="str">
        <f>T("개정판 | 바보가 만드는 멋진 세상 121화")</f>
        <v>개정판 | 바보가 만드는 멋진 세상 121화</v>
      </c>
      <c r="D1370" t="str">
        <f>T("121")</f>
        <v>121</v>
      </c>
      <c r="E1370" t="str">
        <f>T("백범(白帆)")</f>
        <v>백범(白帆)</v>
      </c>
      <c r="H1370" t="str">
        <f>T("에필로그")</f>
        <v>에필로그</v>
      </c>
      <c r="I1370" t="str">
        <f>T("개정판 | 바보가 만드는 멋진 세상")</f>
        <v>개정판 | 바보가 만드는 멋진 세상</v>
      </c>
      <c r="J1370">
        <v>100</v>
      </c>
      <c r="K1370">
        <v>100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100</v>
      </c>
      <c r="AH1370">
        <v>1</v>
      </c>
      <c r="AI1370">
        <v>0</v>
      </c>
      <c r="AJ1370">
        <v>0</v>
      </c>
      <c r="AK1370">
        <v>100</v>
      </c>
      <c r="AL1370">
        <v>0</v>
      </c>
      <c r="AM1370">
        <v>0</v>
      </c>
      <c r="AN1370">
        <v>0</v>
      </c>
      <c r="AO1370">
        <v>0</v>
      </c>
      <c r="AQ1370">
        <v>0</v>
      </c>
      <c r="AR1370">
        <v>0</v>
      </c>
      <c r="AT1370">
        <v>0</v>
      </c>
      <c r="AU1370">
        <v>0</v>
      </c>
      <c r="AW1370">
        <v>0</v>
      </c>
      <c r="AX1370">
        <v>0</v>
      </c>
      <c r="AY1370">
        <v>70</v>
      </c>
      <c r="BC1370" t="str">
        <f>T("9791166003493")</f>
        <v>9791166003493</v>
      </c>
      <c r="BE1370" t="str">
        <f>T("판타지 웹소설 &gt; 현대 판타지")</f>
        <v>판타지 웹소설 &gt; 현대 판타지</v>
      </c>
    </row>
    <row r="1371" spans="1:57" x14ac:dyDescent="0.3">
      <c r="A1371">
        <v>1525004799</v>
      </c>
      <c r="B1371">
        <v>1525004842</v>
      </c>
      <c r="C1371" t="str">
        <f>T("검산도해 44화")</f>
        <v>검산도해 44화</v>
      </c>
      <c r="D1371" t="str">
        <f>T("44")</f>
        <v>44</v>
      </c>
      <c r="E1371" t="str">
        <f>T("권용찬")</f>
        <v>권용찬</v>
      </c>
      <c r="H1371" t="str">
        <f>T("스토리위즈")</f>
        <v>스토리위즈</v>
      </c>
      <c r="I1371" t="str">
        <f>T("검산도해")</f>
        <v>검산도해</v>
      </c>
      <c r="J1371">
        <v>100</v>
      </c>
      <c r="K1371">
        <v>100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100</v>
      </c>
      <c r="AH1371">
        <v>1</v>
      </c>
      <c r="AI1371">
        <v>0</v>
      </c>
      <c r="AJ1371">
        <v>0</v>
      </c>
      <c r="AK1371">
        <v>0</v>
      </c>
      <c r="AL1371">
        <v>0</v>
      </c>
      <c r="AM1371">
        <v>120</v>
      </c>
      <c r="AN1371">
        <v>-12</v>
      </c>
      <c r="AO1371">
        <v>0</v>
      </c>
      <c r="AQ1371">
        <v>0</v>
      </c>
      <c r="AR1371">
        <v>0</v>
      </c>
      <c r="AS1371">
        <v>120</v>
      </c>
      <c r="AT1371">
        <v>-12</v>
      </c>
      <c r="AU1371">
        <v>0</v>
      </c>
      <c r="AW1371">
        <v>0</v>
      </c>
      <c r="AX1371">
        <v>0</v>
      </c>
      <c r="AY1371">
        <v>75.599999999999994</v>
      </c>
      <c r="BC1371" t="str">
        <f>T("9791159285936")</f>
        <v>9791159285936</v>
      </c>
      <c r="BE1371" t="str">
        <f>T("판타지 웹소설 &gt; 무협 소설")</f>
        <v>판타지 웹소설 &gt; 무협 소설</v>
      </c>
    </row>
    <row r="1372" spans="1:57" x14ac:dyDescent="0.3">
      <c r="A1372">
        <v>1525004799</v>
      </c>
      <c r="B1372">
        <v>1525004899</v>
      </c>
      <c r="C1372" t="str">
        <f>T("검산도해 101화")</f>
        <v>검산도해 101화</v>
      </c>
      <c r="D1372" t="str">
        <f>T("101")</f>
        <v>101</v>
      </c>
      <c r="E1372" t="str">
        <f>T("권용찬")</f>
        <v>권용찬</v>
      </c>
      <c r="H1372" t="str">
        <f>T("스토리위즈")</f>
        <v>스토리위즈</v>
      </c>
      <c r="I1372" t="str">
        <f>T("검산도해")</f>
        <v>검산도해</v>
      </c>
      <c r="J1372">
        <v>100</v>
      </c>
      <c r="K1372">
        <v>100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100</v>
      </c>
      <c r="AH1372">
        <v>1</v>
      </c>
      <c r="AI1372">
        <v>0</v>
      </c>
      <c r="AJ1372">
        <v>0</v>
      </c>
      <c r="AK1372">
        <v>0</v>
      </c>
      <c r="AL1372">
        <v>0</v>
      </c>
      <c r="AM1372">
        <v>120</v>
      </c>
      <c r="AN1372">
        <v>-12</v>
      </c>
      <c r="AO1372">
        <v>0</v>
      </c>
      <c r="AQ1372">
        <v>0</v>
      </c>
      <c r="AR1372">
        <v>0</v>
      </c>
      <c r="AS1372">
        <v>120</v>
      </c>
      <c r="AT1372">
        <v>-12</v>
      </c>
      <c r="AU1372">
        <v>0</v>
      </c>
      <c r="AW1372">
        <v>0</v>
      </c>
      <c r="AX1372">
        <v>0</v>
      </c>
      <c r="AY1372">
        <v>75.599999999999994</v>
      </c>
      <c r="BC1372" t="str">
        <f>T("9791159285936")</f>
        <v>9791159285936</v>
      </c>
      <c r="BE1372" t="str">
        <f>T("판타지 웹소설 &gt; 무협 소설")</f>
        <v>판타지 웹소설 &gt; 무협 소설</v>
      </c>
    </row>
    <row r="1373" spans="1:57" x14ac:dyDescent="0.3">
      <c r="A1373">
        <v>1525004030</v>
      </c>
      <c r="B1373">
        <v>1525007086</v>
      </c>
      <c r="C1373" t="str">
        <f>T("회귀의 전설 2부 970화")</f>
        <v>회귀의 전설 2부 970화</v>
      </c>
      <c r="D1373" t="str">
        <f>T("970")</f>
        <v>970</v>
      </c>
      <c r="E1373" t="str">
        <f>T("김광수")</f>
        <v>김광수</v>
      </c>
      <c r="H1373" t="str">
        <f>T("스토리위즈")</f>
        <v>스토리위즈</v>
      </c>
      <c r="I1373" t="str">
        <f>T("회귀의 전설")</f>
        <v>회귀의 전설</v>
      </c>
      <c r="J1373">
        <v>100</v>
      </c>
      <c r="K1373">
        <v>100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100</v>
      </c>
      <c r="AH1373">
        <v>1</v>
      </c>
      <c r="AI1373">
        <v>0</v>
      </c>
      <c r="AJ1373">
        <v>0</v>
      </c>
      <c r="AK1373">
        <v>100</v>
      </c>
      <c r="AL1373">
        <v>0</v>
      </c>
      <c r="AM1373">
        <v>0</v>
      </c>
      <c r="AN1373">
        <v>0</v>
      </c>
      <c r="AO1373">
        <v>0</v>
      </c>
      <c r="AQ1373">
        <v>0</v>
      </c>
      <c r="AR1373">
        <v>0</v>
      </c>
      <c r="AT1373">
        <v>0</v>
      </c>
      <c r="AU1373">
        <v>0</v>
      </c>
      <c r="AW1373">
        <v>0</v>
      </c>
      <c r="AX1373">
        <v>0</v>
      </c>
      <c r="AY1373">
        <v>70</v>
      </c>
      <c r="BC1373" t="str">
        <f>T("9791191102086")</f>
        <v>9791191102086</v>
      </c>
      <c r="BE1373" t="str">
        <f>T("판타지 웹소설 &gt; 현대 판타지")</f>
        <v>판타지 웹소설 &gt; 현대 판타지</v>
      </c>
    </row>
    <row r="1374" spans="1:57" x14ac:dyDescent="0.3">
      <c r="A1374">
        <v>1525002125</v>
      </c>
      <c r="B1374">
        <v>1525002153</v>
      </c>
      <c r="C1374" t="str">
        <f>T("신을 죽이러 갑니다 29화")</f>
        <v>신을 죽이러 갑니다 29화</v>
      </c>
      <c r="D1374" t="str">
        <f>T("29")</f>
        <v>29</v>
      </c>
      <c r="E1374" t="str">
        <f>T("독고진")</f>
        <v>독고진</v>
      </c>
      <c r="H1374" t="str">
        <f>T("스토리위즈")</f>
        <v>스토리위즈</v>
      </c>
      <c r="I1374" t="str">
        <f>T("신을 죽이러 갑니다")</f>
        <v>신을 죽이러 갑니다</v>
      </c>
      <c r="J1374">
        <v>100</v>
      </c>
      <c r="K1374">
        <v>100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100</v>
      </c>
      <c r="AH1374">
        <v>1</v>
      </c>
      <c r="AI1374">
        <v>0</v>
      </c>
      <c r="AJ1374">
        <v>0</v>
      </c>
      <c r="AK1374">
        <v>0</v>
      </c>
      <c r="AL1374">
        <v>0</v>
      </c>
      <c r="AM1374">
        <v>120</v>
      </c>
      <c r="AN1374">
        <v>-36</v>
      </c>
      <c r="AO1374">
        <v>0</v>
      </c>
      <c r="AQ1374">
        <v>0</v>
      </c>
      <c r="AR1374">
        <v>0</v>
      </c>
      <c r="AS1374">
        <v>120</v>
      </c>
      <c r="AT1374">
        <v>-36</v>
      </c>
      <c r="AU1374">
        <v>0</v>
      </c>
      <c r="AW1374">
        <v>0</v>
      </c>
      <c r="AX1374">
        <v>0</v>
      </c>
      <c r="AY1374">
        <v>58.8</v>
      </c>
      <c r="BC1374" t="str">
        <f>T("9791159285806")</f>
        <v>9791159285806</v>
      </c>
      <c r="BE1374" t="str">
        <f>T("판타지 웹소설 &gt; 퓨전 판타지")</f>
        <v>판타지 웹소설 &gt; 퓨전 판타지</v>
      </c>
    </row>
    <row r="1375" spans="1:57" x14ac:dyDescent="0.3">
      <c r="A1375">
        <v>1525002864</v>
      </c>
      <c r="B1375">
        <v>1525002909</v>
      </c>
      <c r="C1375" t="str">
        <f>T("소드마스터의 환생 46화")</f>
        <v>소드마스터의 환생 46화</v>
      </c>
      <c r="D1375" t="str">
        <f>T("46")</f>
        <v>46</v>
      </c>
      <c r="E1375" t="str">
        <f>T("파란영")</f>
        <v>파란영</v>
      </c>
      <c r="H1375" t="str">
        <f>T("스토리위즈")</f>
        <v>스토리위즈</v>
      </c>
      <c r="I1375" t="str">
        <f>T("소드마스터의 환생")</f>
        <v>소드마스터의 환생</v>
      </c>
      <c r="J1375">
        <v>100</v>
      </c>
      <c r="K1375">
        <v>100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100</v>
      </c>
      <c r="AH1375">
        <v>1</v>
      </c>
      <c r="AI1375">
        <v>0</v>
      </c>
      <c r="AJ1375">
        <v>0</v>
      </c>
      <c r="AK1375">
        <v>100</v>
      </c>
      <c r="AL1375">
        <v>0</v>
      </c>
      <c r="AM1375">
        <v>0</v>
      </c>
      <c r="AN1375">
        <v>0</v>
      </c>
      <c r="AO1375">
        <v>0</v>
      </c>
      <c r="AQ1375">
        <v>0</v>
      </c>
      <c r="AR1375">
        <v>0</v>
      </c>
      <c r="AT1375">
        <v>0</v>
      </c>
      <c r="AU1375">
        <v>0</v>
      </c>
      <c r="AW1375">
        <v>0</v>
      </c>
      <c r="AX1375">
        <v>0</v>
      </c>
      <c r="AY1375">
        <v>70</v>
      </c>
      <c r="BC1375" t="str">
        <f>T("9791159287527")</f>
        <v>9791159287527</v>
      </c>
      <c r="BE1375" t="str">
        <f>T("판타지 웹소설 &gt; 정통 판타지")</f>
        <v>판타지 웹소설 &gt; 정통 판타지</v>
      </c>
    </row>
    <row r="1376" spans="1:57" x14ac:dyDescent="0.3">
      <c r="A1376">
        <v>1525013020</v>
      </c>
      <c r="B1376">
        <v>1525013127</v>
      </c>
      <c r="C1376" t="str">
        <f>T("악당의 리턴 108화")</f>
        <v>악당의 리턴 108화</v>
      </c>
      <c r="D1376" t="str">
        <f>T("108")</f>
        <v>108</v>
      </c>
      <c r="E1376" t="str">
        <f>T("백범(白帆)")</f>
        <v>백범(白帆)</v>
      </c>
      <c r="H1376" t="str">
        <f>T("에필로그")</f>
        <v>에필로그</v>
      </c>
      <c r="I1376" t="str">
        <f>T("악당의 리턴")</f>
        <v>악당의 리턴</v>
      </c>
      <c r="J1376">
        <v>100</v>
      </c>
      <c r="K1376">
        <v>100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100</v>
      </c>
      <c r="AH1376">
        <v>1</v>
      </c>
      <c r="AI1376">
        <v>0</v>
      </c>
      <c r="AJ1376">
        <v>0</v>
      </c>
      <c r="AK1376">
        <v>100</v>
      </c>
      <c r="AL1376">
        <v>0</v>
      </c>
      <c r="AM1376">
        <v>0</v>
      </c>
      <c r="AN1376">
        <v>0</v>
      </c>
      <c r="AO1376">
        <v>0</v>
      </c>
      <c r="AQ1376">
        <v>0</v>
      </c>
      <c r="AR1376">
        <v>0</v>
      </c>
      <c r="AT1376">
        <v>0</v>
      </c>
      <c r="AU1376">
        <v>0</v>
      </c>
      <c r="AW1376">
        <v>0</v>
      </c>
      <c r="AX1376">
        <v>0</v>
      </c>
      <c r="AY1376">
        <v>70</v>
      </c>
      <c r="BC1376" t="str">
        <f>T("9791196538927")</f>
        <v>9791196538927</v>
      </c>
      <c r="BE1376" t="str">
        <f>T("판타지 웹소설 &gt; 현대 판타지")</f>
        <v>판타지 웹소설 &gt; 현대 판타지</v>
      </c>
    </row>
    <row r="1377" spans="1:57" x14ac:dyDescent="0.3">
      <c r="A1377">
        <v>1525015018</v>
      </c>
      <c r="B1377">
        <v>1525015047</v>
      </c>
      <c r="C1377" t="str">
        <f>T("그녀들은 소꿉친구지, 그 이상은 곤란합니다 30화")</f>
        <v>그녀들은 소꿉친구지, 그 이상은 곤란합니다 30화</v>
      </c>
      <c r="D1377" t="str">
        <f>T("30")</f>
        <v>30</v>
      </c>
      <c r="E1377" t="str">
        <f>T("자이오")</f>
        <v>자이오</v>
      </c>
      <c r="H1377" t="str">
        <f>T("스토리아크")</f>
        <v>스토리아크</v>
      </c>
      <c r="I1377" t="str">
        <f>T("그녀들은 소꿉친구지, 그 이상은 곤란합니다")</f>
        <v>그녀들은 소꿉친구지, 그 이상은 곤란합니다</v>
      </c>
      <c r="J1377">
        <v>100</v>
      </c>
      <c r="K1377">
        <v>100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100</v>
      </c>
      <c r="AH1377">
        <v>1</v>
      </c>
      <c r="AI1377">
        <v>0</v>
      </c>
      <c r="AJ1377">
        <v>0</v>
      </c>
      <c r="AK1377">
        <v>100</v>
      </c>
      <c r="AL1377">
        <v>0</v>
      </c>
      <c r="AM1377">
        <v>0</v>
      </c>
      <c r="AN1377">
        <v>0</v>
      </c>
      <c r="AO1377">
        <v>0</v>
      </c>
      <c r="AQ1377">
        <v>0</v>
      </c>
      <c r="AR1377">
        <v>0</v>
      </c>
      <c r="AT1377">
        <v>0</v>
      </c>
      <c r="AU1377">
        <v>0</v>
      </c>
      <c r="AW1377">
        <v>0</v>
      </c>
      <c r="AX1377">
        <v>0</v>
      </c>
      <c r="AY1377">
        <v>70</v>
      </c>
      <c r="BC1377" t="str">
        <f>T("9791191039313")</f>
        <v>9791191039313</v>
      </c>
      <c r="BE1377" t="str">
        <f>T("판타지 웹소설 &gt; 퓨전 판타지")</f>
        <v>판타지 웹소설 &gt; 퓨전 판타지</v>
      </c>
    </row>
    <row r="1378" spans="1:57" x14ac:dyDescent="0.3">
      <c r="A1378">
        <v>1525013020</v>
      </c>
      <c r="B1378">
        <v>1525013045</v>
      </c>
      <c r="C1378" t="str">
        <f>T("악당의 리턴 26화")</f>
        <v>악당의 리턴 26화</v>
      </c>
      <c r="D1378" t="str">
        <f>T("26")</f>
        <v>26</v>
      </c>
      <c r="E1378" t="str">
        <f>T("백범(白帆)")</f>
        <v>백범(白帆)</v>
      </c>
      <c r="H1378" t="str">
        <f>T("에필로그")</f>
        <v>에필로그</v>
      </c>
      <c r="I1378" t="str">
        <f>T("악당의 리턴")</f>
        <v>악당의 리턴</v>
      </c>
      <c r="J1378">
        <v>100</v>
      </c>
      <c r="K1378">
        <v>100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100</v>
      </c>
      <c r="AH1378">
        <v>1</v>
      </c>
      <c r="AI1378">
        <v>0</v>
      </c>
      <c r="AJ1378">
        <v>0</v>
      </c>
      <c r="AK1378">
        <v>100</v>
      </c>
      <c r="AL1378">
        <v>0</v>
      </c>
      <c r="AM1378">
        <v>0</v>
      </c>
      <c r="AN1378">
        <v>0</v>
      </c>
      <c r="AO1378">
        <v>0</v>
      </c>
      <c r="AQ1378">
        <v>0</v>
      </c>
      <c r="AR1378">
        <v>0</v>
      </c>
      <c r="AT1378">
        <v>0</v>
      </c>
      <c r="AU1378">
        <v>0</v>
      </c>
      <c r="AW1378">
        <v>0</v>
      </c>
      <c r="AX1378">
        <v>0</v>
      </c>
      <c r="AY1378">
        <v>70</v>
      </c>
      <c r="BC1378" t="str">
        <f>T("9791196538927")</f>
        <v>9791196538927</v>
      </c>
      <c r="BE1378" t="str">
        <f>T("판타지 웹소설 &gt; 현대 판타지")</f>
        <v>판타지 웹소설 &gt; 현대 판타지</v>
      </c>
    </row>
    <row r="1379" spans="1:57" x14ac:dyDescent="0.3">
      <c r="A1379">
        <v>1525011523</v>
      </c>
      <c r="B1379">
        <v>1525011238</v>
      </c>
      <c r="C1379" t="str">
        <f>T("남창목가 286화")</f>
        <v>남창목가 286화</v>
      </c>
      <c r="D1379" t="str">
        <f>T("286")</f>
        <v>286</v>
      </c>
      <c r="E1379" t="str">
        <f>T("최재봉")</f>
        <v>최재봉</v>
      </c>
      <c r="H1379" t="str">
        <f>T("에필로그")</f>
        <v>에필로그</v>
      </c>
      <c r="I1379" t="str">
        <f>T("남창목가")</f>
        <v>남창목가</v>
      </c>
      <c r="J1379">
        <v>100</v>
      </c>
      <c r="K1379">
        <v>100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100</v>
      </c>
      <c r="AH1379">
        <v>1</v>
      </c>
      <c r="AI1379">
        <v>0</v>
      </c>
      <c r="AJ1379">
        <v>0</v>
      </c>
      <c r="AK1379">
        <v>0</v>
      </c>
      <c r="AL1379">
        <v>0</v>
      </c>
      <c r="AM1379">
        <v>120</v>
      </c>
      <c r="AN1379">
        <v>-12</v>
      </c>
      <c r="AO1379">
        <v>0</v>
      </c>
      <c r="AQ1379">
        <v>0</v>
      </c>
      <c r="AR1379">
        <v>0</v>
      </c>
      <c r="AS1379">
        <v>120</v>
      </c>
      <c r="AT1379">
        <v>-12</v>
      </c>
      <c r="AU1379">
        <v>0</v>
      </c>
      <c r="AW1379">
        <v>0</v>
      </c>
      <c r="AX1379">
        <v>0</v>
      </c>
      <c r="AY1379">
        <v>75.599999999999994</v>
      </c>
      <c r="BC1379" t="str">
        <f>T("9791164482849")</f>
        <v>9791164482849</v>
      </c>
      <c r="BE1379" t="str">
        <f>T("판타지 웹소설 &gt; 무협 소설")</f>
        <v>판타지 웹소설 &gt; 무협 소설</v>
      </c>
    </row>
    <row r="1380" spans="1:57" x14ac:dyDescent="0.3">
      <c r="A1380">
        <v>1525011523</v>
      </c>
      <c r="B1380">
        <v>1525011417</v>
      </c>
      <c r="C1380" t="str">
        <f>T("남창목가 107화")</f>
        <v>남창목가 107화</v>
      </c>
      <c r="D1380" t="str">
        <f>T("107")</f>
        <v>107</v>
      </c>
      <c r="E1380" t="str">
        <f>T("최재봉")</f>
        <v>최재봉</v>
      </c>
      <c r="H1380" t="str">
        <f>T("에필로그")</f>
        <v>에필로그</v>
      </c>
      <c r="I1380" t="str">
        <f>T("남창목가")</f>
        <v>남창목가</v>
      </c>
      <c r="J1380">
        <v>100</v>
      </c>
      <c r="K1380">
        <v>100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100</v>
      </c>
      <c r="AH1380">
        <v>1</v>
      </c>
      <c r="AI1380">
        <v>0</v>
      </c>
      <c r="AJ1380">
        <v>0</v>
      </c>
      <c r="AK1380">
        <v>100</v>
      </c>
      <c r="AL1380">
        <v>0</v>
      </c>
      <c r="AM1380">
        <v>0</v>
      </c>
      <c r="AN1380">
        <v>0</v>
      </c>
      <c r="AO1380">
        <v>0</v>
      </c>
      <c r="AQ1380">
        <v>0</v>
      </c>
      <c r="AR1380">
        <v>0</v>
      </c>
      <c r="AT1380">
        <v>0</v>
      </c>
      <c r="AU1380">
        <v>0</v>
      </c>
      <c r="AW1380">
        <v>0</v>
      </c>
      <c r="AX1380">
        <v>0</v>
      </c>
      <c r="AY1380">
        <v>70</v>
      </c>
      <c r="BC1380" t="str">
        <f>T("9791164482849")</f>
        <v>9791164482849</v>
      </c>
      <c r="BE1380" t="str">
        <f>T("판타지 웹소설 &gt; 무협 소설")</f>
        <v>판타지 웹소설 &gt; 무협 소설</v>
      </c>
    </row>
    <row r="1381" spans="1:57" x14ac:dyDescent="0.3">
      <c r="A1381">
        <v>1525004030</v>
      </c>
      <c r="B1381">
        <v>1525007005</v>
      </c>
      <c r="C1381" t="str">
        <f>T("회귀의 전설 2부 889화")</f>
        <v>회귀의 전설 2부 889화</v>
      </c>
      <c r="D1381" t="str">
        <f>T("889")</f>
        <v>889</v>
      </c>
      <c r="E1381" t="str">
        <f>T("김광수")</f>
        <v>김광수</v>
      </c>
      <c r="H1381" t="str">
        <f>T("스토리위즈")</f>
        <v>스토리위즈</v>
      </c>
      <c r="I1381" t="str">
        <f>T("회귀의 전설")</f>
        <v>회귀의 전설</v>
      </c>
      <c r="J1381">
        <v>100</v>
      </c>
      <c r="K1381">
        <v>100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100</v>
      </c>
      <c r="AH1381">
        <v>1</v>
      </c>
      <c r="AI1381">
        <v>0</v>
      </c>
      <c r="AJ1381">
        <v>0</v>
      </c>
      <c r="AK1381">
        <v>100</v>
      </c>
      <c r="AL1381">
        <v>0</v>
      </c>
      <c r="AM1381">
        <v>0</v>
      </c>
      <c r="AN1381">
        <v>0</v>
      </c>
      <c r="AO1381">
        <v>0</v>
      </c>
      <c r="AQ1381">
        <v>0</v>
      </c>
      <c r="AR1381">
        <v>0</v>
      </c>
      <c r="AT1381">
        <v>0</v>
      </c>
      <c r="AU1381">
        <v>0</v>
      </c>
      <c r="AW1381">
        <v>0</v>
      </c>
      <c r="AX1381">
        <v>0</v>
      </c>
      <c r="AY1381">
        <v>70</v>
      </c>
      <c r="BC1381" t="str">
        <f>T("9791191102086")</f>
        <v>9791191102086</v>
      </c>
      <c r="BE1381" t="str">
        <f>T("판타지 웹소설 &gt; 현대 판타지")</f>
        <v>판타지 웹소설 &gt; 현대 판타지</v>
      </c>
    </row>
    <row r="1382" spans="1:57" x14ac:dyDescent="0.3">
      <c r="A1382">
        <v>1525000411</v>
      </c>
      <c r="B1382">
        <v>1525000783</v>
      </c>
      <c r="C1382" t="str">
        <f>T("레이드 만물상점 167화 (완결)")</f>
        <v>레이드 만물상점 167화 (완결)</v>
      </c>
      <c r="D1382" t="str">
        <f>T("167")</f>
        <v>167</v>
      </c>
      <c r="E1382" t="str">
        <f>T("전혁")</f>
        <v>전혁</v>
      </c>
      <c r="H1382" t="str">
        <f>T("스토리위즈")</f>
        <v>스토리위즈</v>
      </c>
      <c r="I1382" t="str">
        <f>T("레이드 만물상점")</f>
        <v>레이드 만물상점</v>
      </c>
      <c r="J1382">
        <v>100</v>
      </c>
      <c r="K1382">
        <v>100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100</v>
      </c>
      <c r="AH1382">
        <v>1</v>
      </c>
      <c r="AI1382">
        <v>0</v>
      </c>
      <c r="AJ1382">
        <v>0</v>
      </c>
      <c r="AK1382">
        <v>0</v>
      </c>
      <c r="AL1382">
        <v>0</v>
      </c>
      <c r="AM1382">
        <v>120</v>
      </c>
      <c r="AN1382">
        <v>-12</v>
      </c>
      <c r="AO1382">
        <v>0</v>
      </c>
      <c r="AQ1382">
        <v>0</v>
      </c>
      <c r="AR1382">
        <v>0</v>
      </c>
      <c r="AS1382">
        <v>120</v>
      </c>
      <c r="AT1382">
        <v>-12</v>
      </c>
      <c r="AU1382">
        <v>0</v>
      </c>
      <c r="AW1382">
        <v>0</v>
      </c>
      <c r="AX1382">
        <v>0</v>
      </c>
      <c r="AY1382">
        <v>75.599999999999994</v>
      </c>
      <c r="BC1382" t="str">
        <f>T("9791170151432")</f>
        <v>9791170151432</v>
      </c>
      <c r="BE1382" t="str">
        <f>T("판타지 웹소설 &gt; 현대 판타지")</f>
        <v>판타지 웹소설 &gt; 현대 판타지</v>
      </c>
    </row>
    <row r="1383" spans="1:57" x14ac:dyDescent="0.3">
      <c r="A1383">
        <v>1525008428</v>
      </c>
      <c r="B1383">
        <v>1525008404</v>
      </c>
      <c r="C1383" t="str">
        <f>T("무히비(Muhibbi) 101화")</f>
        <v>무히비(Muhibbi) 101화</v>
      </c>
      <c r="D1383" t="str">
        <f>T("101")</f>
        <v>101</v>
      </c>
      <c r="E1383" t="str">
        <f>T("jooki")</f>
        <v>jooki</v>
      </c>
      <c r="H1383" t="str">
        <f>T("블러쉬")</f>
        <v>블러쉬</v>
      </c>
      <c r="I1383" t="str">
        <f>T("무히비(Muhibbi)")</f>
        <v>무히비(Muhibbi)</v>
      </c>
      <c r="J1383">
        <v>100</v>
      </c>
      <c r="K1383">
        <v>100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100</v>
      </c>
      <c r="AH1383">
        <v>1</v>
      </c>
      <c r="AI1383">
        <v>0</v>
      </c>
      <c r="AJ1383">
        <v>0</v>
      </c>
      <c r="AK1383">
        <v>100</v>
      </c>
      <c r="AL1383">
        <v>0</v>
      </c>
      <c r="AM1383">
        <v>0</v>
      </c>
      <c r="AN1383">
        <v>0</v>
      </c>
      <c r="AO1383">
        <v>0</v>
      </c>
      <c r="AQ1383">
        <v>0</v>
      </c>
      <c r="AR1383">
        <v>0</v>
      </c>
      <c r="AT1383">
        <v>0</v>
      </c>
      <c r="AU1383">
        <v>0</v>
      </c>
      <c r="AW1383">
        <v>0</v>
      </c>
      <c r="AX1383">
        <v>0</v>
      </c>
      <c r="AY1383">
        <v>70</v>
      </c>
      <c r="BA1383" t="str">
        <f>T("0000000000000")</f>
        <v>0000000000000</v>
      </c>
      <c r="BC1383" t="str">
        <f>T("9791164896622")</f>
        <v>9791164896622</v>
      </c>
      <c r="BE1383" t="str">
        <f>T("BL 웹소설 &gt; 역사/시대물")</f>
        <v>BL 웹소설 &gt; 역사/시대물</v>
      </c>
    </row>
    <row r="1384" spans="1:57" x14ac:dyDescent="0.3">
      <c r="A1384">
        <v>1525004030</v>
      </c>
      <c r="B1384">
        <v>1525006901</v>
      </c>
      <c r="C1384" t="str">
        <f>T("회귀의 전설 2부 784화")</f>
        <v>회귀의 전설 2부 784화</v>
      </c>
      <c r="D1384" t="str">
        <f>T("784")</f>
        <v>784</v>
      </c>
      <c r="E1384" t="str">
        <f>T("김광수")</f>
        <v>김광수</v>
      </c>
      <c r="H1384" t="str">
        <f>T("스토리위즈")</f>
        <v>스토리위즈</v>
      </c>
      <c r="I1384" t="str">
        <f>T("회귀의 전설")</f>
        <v>회귀의 전설</v>
      </c>
      <c r="J1384">
        <v>100</v>
      </c>
      <c r="K1384">
        <v>100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100</v>
      </c>
      <c r="AH1384">
        <v>1</v>
      </c>
      <c r="AI1384">
        <v>0</v>
      </c>
      <c r="AJ1384">
        <v>0</v>
      </c>
      <c r="AK1384">
        <v>0</v>
      </c>
      <c r="AL1384">
        <v>0</v>
      </c>
      <c r="AM1384">
        <v>120</v>
      </c>
      <c r="AN1384">
        <v>-12</v>
      </c>
      <c r="AO1384">
        <v>0</v>
      </c>
      <c r="AQ1384">
        <v>0</v>
      </c>
      <c r="AR1384">
        <v>0</v>
      </c>
      <c r="AS1384">
        <v>120</v>
      </c>
      <c r="AT1384">
        <v>-12</v>
      </c>
      <c r="AU1384">
        <v>0</v>
      </c>
      <c r="AW1384">
        <v>0</v>
      </c>
      <c r="AX1384">
        <v>0</v>
      </c>
      <c r="AY1384">
        <v>75.599999999999994</v>
      </c>
      <c r="BC1384" t="str">
        <f>T("9791191102086")</f>
        <v>9791191102086</v>
      </c>
      <c r="BE1384" t="str">
        <f>T("판타지 웹소설 &gt; 현대 판타지")</f>
        <v>판타지 웹소설 &gt; 현대 판타지</v>
      </c>
    </row>
    <row r="1385" spans="1:57" x14ac:dyDescent="0.3">
      <c r="A1385">
        <v>1525011523</v>
      </c>
      <c r="B1385">
        <v>1525011357</v>
      </c>
      <c r="C1385" t="str">
        <f>T("남창목가 167화")</f>
        <v>남창목가 167화</v>
      </c>
      <c r="D1385" t="str">
        <f>T("167")</f>
        <v>167</v>
      </c>
      <c r="E1385" t="str">
        <f>T("최재봉")</f>
        <v>최재봉</v>
      </c>
      <c r="H1385" t="str">
        <f>T("에필로그")</f>
        <v>에필로그</v>
      </c>
      <c r="I1385" t="str">
        <f>T("남창목가")</f>
        <v>남창목가</v>
      </c>
      <c r="J1385">
        <v>100</v>
      </c>
      <c r="K1385">
        <v>100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100</v>
      </c>
      <c r="AH1385">
        <v>1</v>
      </c>
      <c r="AI1385">
        <v>0</v>
      </c>
      <c r="AJ1385">
        <v>0</v>
      </c>
      <c r="AK1385">
        <v>0</v>
      </c>
      <c r="AL1385">
        <v>0</v>
      </c>
      <c r="AM1385">
        <v>120</v>
      </c>
      <c r="AN1385">
        <v>-12</v>
      </c>
      <c r="AO1385">
        <v>0</v>
      </c>
      <c r="AQ1385">
        <v>0</v>
      </c>
      <c r="AR1385">
        <v>0</v>
      </c>
      <c r="AS1385">
        <v>120</v>
      </c>
      <c r="AT1385">
        <v>-12</v>
      </c>
      <c r="AU1385">
        <v>0</v>
      </c>
      <c r="AW1385">
        <v>0</v>
      </c>
      <c r="AX1385">
        <v>0</v>
      </c>
      <c r="AY1385">
        <v>75.599999999999994</v>
      </c>
      <c r="BC1385" t="str">
        <f>T("9791164482849")</f>
        <v>9791164482849</v>
      </c>
      <c r="BE1385" t="str">
        <f>T("판타지 웹소설 &gt; 무협 소설")</f>
        <v>판타지 웹소설 &gt; 무협 소설</v>
      </c>
    </row>
    <row r="1386" spans="1:57" x14ac:dyDescent="0.3">
      <c r="A1386">
        <v>1525002125</v>
      </c>
      <c r="B1386">
        <v>1525002385</v>
      </c>
      <c r="C1386" t="str">
        <f>T("신을 죽이러 갑니다 261화")</f>
        <v>신을 죽이러 갑니다 261화</v>
      </c>
      <c r="D1386" t="str">
        <f>T("261")</f>
        <v>261</v>
      </c>
      <c r="E1386" t="str">
        <f>T("독고진")</f>
        <v>독고진</v>
      </c>
      <c r="H1386" t="str">
        <f>T("스토리위즈")</f>
        <v>스토리위즈</v>
      </c>
      <c r="I1386" t="str">
        <f>T("신을 죽이러 갑니다")</f>
        <v>신을 죽이러 갑니다</v>
      </c>
      <c r="J1386">
        <v>100</v>
      </c>
      <c r="K1386">
        <v>100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100</v>
      </c>
      <c r="AH1386">
        <v>1</v>
      </c>
      <c r="AI1386">
        <v>0</v>
      </c>
      <c r="AJ1386">
        <v>0</v>
      </c>
      <c r="AK1386">
        <v>0</v>
      </c>
      <c r="AL1386">
        <v>0</v>
      </c>
      <c r="AM1386">
        <v>120</v>
      </c>
      <c r="AN1386">
        <v>-12</v>
      </c>
      <c r="AO1386">
        <v>0</v>
      </c>
      <c r="AQ1386">
        <v>0</v>
      </c>
      <c r="AR1386">
        <v>0</v>
      </c>
      <c r="AS1386">
        <v>120</v>
      </c>
      <c r="AT1386">
        <v>-12</v>
      </c>
      <c r="AU1386">
        <v>0</v>
      </c>
      <c r="AW1386">
        <v>0</v>
      </c>
      <c r="AX1386">
        <v>0</v>
      </c>
      <c r="AY1386">
        <v>75.599999999999994</v>
      </c>
      <c r="BC1386" t="str">
        <f>T("9791159285806")</f>
        <v>9791159285806</v>
      </c>
      <c r="BE1386" t="str">
        <f>T("판타지 웹소설 &gt; 퓨전 판타지")</f>
        <v>판타지 웹소설 &gt; 퓨전 판타지</v>
      </c>
    </row>
    <row r="1387" spans="1:57" x14ac:dyDescent="0.3">
      <c r="A1387">
        <v>1525004030</v>
      </c>
      <c r="B1387">
        <v>1525007119</v>
      </c>
      <c r="C1387" t="str">
        <f>T("회귀의 전설 2부 1003화")</f>
        <v>회귀의 전설 2부 1003화</v>
      </c>
      <c r="D1387" t="str">
        <f>T("1003")</f>
        <v>1003</v>
      </c>
      <c r="E1387" t="str">
        <f>T("김광수")</f>
        <v>김광수</v>
      </c>
      <c r="H1387" t="str">
        <f>T("스토리위즈")</f>
        <v>스토리위즈</v>
      </c>
      <c r="I1387" t="str">
        <f>T("회귀의 전설")</f>
        <v>회귀의 전설</v>
      </c>
      <c r="J1387">
        <v>100</v>
      </c>
      <c r="K1387">
        <v>100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100</v>
      </c>
      <c r="AH1387">
        <v>1</v>
      </c>
      <c r="AI1387">
        <v>0</v>
      </c>
      <c r="AJ1387">
        <v>0</v>
      </c>
      <c r="AK1387">
        <v>100</v>
      </c>
      <c r="AL1387">
        <v>0</v>
      </c>
      <c r="AM1387">
        <v>0</v>
      </c>
      <c r="AN1387">
        <v>0</v>
      </c>
      <c r="AO1387">
        <v>0</v>
      </c>
      <c r="AQ1387">
        <v>0</v>
      </c>
      <c r="AR1387">
        <v>0</v>
      </c>
      <c r="AT1387">
        <v>0</v>
      </c>
      <c r="AU1387">
        <v>0</v>
      </c>
      <c r="AW1387">
        <v>0</v>
      </c>
      <c r="AX1387">
        <v>0</v>
      </c>
      <c r="AY1387">
        <v>70</v>
      </c>
      <c r="BC1387" t="str">
        <f>T("9791191102086")</f>
        <v>9791191102086</v>
      </c>
      <c r="BE1387" t="str">
        <f>T("판타지 웹소설 &gt; 현대 판타지")</f>
        <v>판타지 웹소설 &gt; 현대 판타지</v>
      </c>
    </row>
    <row r="1388" spans="1:57" x14ac:dyDescent="0.3">
      <c r="A1388">
        <v>1525012551</v>
      </c>
      <c r="B1388">
        <v>1525012720</v>
      </c>
      <c r="C1388" t="str">
        <f>T("개정판 | 바보가 만드는 멋진 세상 170화")</f>
        <v>개정판 | 바보가 만드는 멋진 세상 170화</v>
      </c>
      <c r="D1388" t="str">
        <f>T("170")</f>
        <v>170</v>
      </c>
      <c r="E1388" t="str">
        <f>T("백범(白帆)")</f>
        <v>백범(白帆)</v>
      </c>
      <c r="H1388" t="str">
        <f>T("에필로그")</f>
        <v>에필로그</v>
      </c>
      <c r="I1388" t="str">
        <f>T("개정판 | 바보가 만드는 멋진 세상")</f>
        <v>개정판 | 바보가 만드는 멋진 세상</v>
      </c>
      <c r="J1388">
        <v>100</v>
      </c>
      <c r="K1388">
        <v>100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100</v>
      </c>
      <c r="AH1388">
        <v>1</v>
      </c>
      <c r="AI1388">
        <v>0</v>
      </c>
      <c r="AJ1388">
        <v>0</v>
      </c>
      <c r="AK1388">
        <v>100</v>
      </c>
      <c r="AL1388">
        <v>0</v>
      </c>
      <c r="AM1388">
        <v>0</v>
      </c>
      <c r="AN1388">
        <v>0</v>
      </c>
      <c r="AO1388">
        <v>0</v>
      </c>
      <c r="AQ1388">
        <v>0</v>
      </c>
      <c r="AR1388">
        <v>0</v>
      </c>
      <c r="AT1388">
        <v>0</v>
      </c>
      <c r="AU1388">
        <v>0</v>
      </c>
      <c r="AW1388">
        <v>0</v>
      </c>
      <c r="AX1388">
        <v>0</v>
      </c>
      <c r="AY1388">
        <v>70</v>
      </c>
      <c r="BC1388" t="str">
        <f>T("9791166003493")</f>
        <v>9791166003493</v>
      </c>
      <c r="BE1388" t="str">
        <f>T("판타지 웹소설 &gt; 현대 판타지")</f>
        <v>판타지 웹소설 &gt; 현대 판타지</v>
      </c>
    </row>
    <row r="1389" spans="1:57" x14ac:dyDescent="0.3">
      <c r="A1389">
        <v>1525008428</v>
      </c>
      <c r="B1389">
        <v>1525008533</v>
      </c>
      <c r="C1389" t="str">
        <f>T("무히비(Muhibbi) 외전 131화")</f>
        <v>무히비(Muhibbi) 외전 131화</v>
      </c>
      <c r="D1389" t="str">
        <f>T("131")</f>
        <v>131</v>
      </c>
      <c r="E1389" t="str">
        <f>T("jooki")</f>
        <v>jooki</v>
      </c>
      <c r="H1389" t="str">
        <f>T("블러쉬")</f>
        <v>블러쉬</v>
      </c>
      <c r="I1389" t="str">
        <f>T("무히비(Muhibbi)")</f>
        <v>무히비(Muhibbi)</v>
      </c>
      <c r="J1389">
        <v>100</v>
      </c>
      <c r="K1389">
        <v>100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100</v>
      </c>
      <c r="AH1389">
        <v>1</v>
      </c>
      <c r="AI1389">
        <v>0</v>
      </c>
      <c r="AJ1389">
        <v>0</v>
      </c>
      <c r="AK1389">
        <v>100</v>
      </c>
      <c r="AL1389">
        <v>0</v>
      </c>
      <c r="AM1389">
        <v>0</v>
      </c>
      <c r="AN1389">
        <v>0</v>
      </c>
      <c r="AO1389">
        <v>0</v>
      </c>
      <c r="AQ1389">
        <v>0</v>
      </c>
      <c r="AR1389">
        <v>0</v>
      </c>
      <c r="AT1389">
        <v>0</v>
      </c>
      <c r="AU1389">
        <v>0</v>
      </c>
      <c r="AW1389">
        <v>0</v>
      </c>
      <c r="AX1389">
        <v>0</v>
      </c>
      <c r="AY1389">
        <v>70</v>
      </c>
      <c r="BA1389" t="str">
        <f>T("0000000000000")</f>
        <v>0000000000000</v>
      </c>
      <c r="BC1389" t="str">
        <f>T("9791164896622")</f>
        <v>9791164896622</v>
      </c>
      <c r="BE1389" t="str">
        <f>T("BL 웹소설 &gt; 역사/시대물")</f>
        <v>BL 웹소설 &gt; 역사/시대물</v>
      </c>
    </row>
    <row r="1390" spans="1:57" x14ac:dyDescent="0.3">
      <c r="A1390">
        <v>1525002864</v>
      </c>
      <c r="B1390">
        <v>1525003488</v>
      </c>
      <c r="C1390" t="str">
        <f>T("소드마스터의 환생 200화 (외전 6)")</f>
        <v>소드마스터의 환생 200화 (외전 6)</v>
      </c>
      <c r="D1390" t="str">
        <f>T("200")</f>
        <v>200</v>
      </c>
      <c r="E1390" t="str">
        <f>T("파란영")</f>
        <v>파란영</v>
      </c>
      <c r="H1390" t="str">
        <f>T("스토리위즈")</f>
        <v>스토리위즈</v>
      </c>
      <c r="I1390" t="str">
        <f>T("소드마스터의 환생")</f>
        <v>소드마스터의 환생</v>
      </c>
      <c r="J1390">
        <v>100</v>
      </c>
      <c r="K1390">
        <v>100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100</v>
      </c>
      <c r="AH1390">
        <v>1</v>
      </c>
      <c r="AI1390">
        <v>0</v>
      </c>
      <c r="AJ1390">
        <v>0</v>
      </c>
      <c r="AK1390">
        <v>100</v>
      </c>
      <c r="AL1390">
        <v>0</v>
      </c>
      <c r="AM1390">
        <v>0</v>
      </c>
      <c r="AN1390">
        <v>0</v>
      </c>
      <c r="AO1390">
        <v>0</v>
      </c>
      <c r="AQ1390">
        <v>0</v>
      </c>
      <c r="AR1390">
        <v>0</v>
      </c>
      <c r="AT1390">
        <v>0</v>
      </c>
      <c r="AU1390">
        <v>0</v>
      </c>
      <c r="AW1390">
        <v>0</v>
      </c>
      <c r="AX1390">
        <v>0</v>
      </c>
      <c r="AY1390">
        <v>70</v>
      </c>
      <c r="BC1390" t="str">
        <f>T("9791159287527")</f>
        <v>9791159287527</v>
      </c>
      <c r="BE1390" t="str">
        <f>T("판타지 웹소설 &gt; 정통 판타지")</f>
        <v>판타지 웹소설 &gt; 정통 판타지</v>
      </c>
    </row>
    <row r="1391" spans="1:57" x14ac:dyDescent="0.3">
      <c r="A1391">
        <v>1525008428</v>
      </c>
      <c r="B1391">
        <v>1525008483</v>
      </c>
      <c r="C1391" t="str">
        <f>T("무히비(Muhibbi) 6화")</f>
        <v>무히비(Muhibbi) 6화</v>
      </c>
      <c r="D1391" t="str">
        <f>T("6")</f>
        <v>6</v>
      </c>
      <c r="E1391" t="str">
        <f>T("jooki")</f>
        <v>jooki</v>
      </c>
      <c r="H1391" t="str">
        <f>T("블러쉬")</f>
        <v>블러쉬</v>
      </c>
      <c r="I1391" t="str">
        <f>T("무히비(Muhibbi)")</f>
        <v>무히비(Muhibbi)</v>
      </c>
      <c r="J1391">
        <v>100</v>
      </c>
      <c r="K1391">
        <v>100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100</v>
      </c>
      <c r="AH1391">
        <v>1</v>
      </c>
      <c r="AI1391">
        <v>0</v>
      </c>
      <c r="AJ1391">
        <v>0</v>
      </c>
      <c r="AK1391">
        <v>100</v>
      </c>
      <c r="AL1391">
        <v>0</v>
      </c>
      <c r="AM1391">
        <v>0</v>
      </c>
      <c r="AN1391">
        <v>0</v>
      </c>
      <c r="AO1391">
        <v>0</v>
      </c>
      <c r="AQ1391">
        <v>0</v>
      </c>
      <c r="AR1391">
        <v>0</v>
      </c>
      <c r="AT1391">
        <v>0</v>
      </c>
      <c r="AU1391">
        <v>0</v>
      </c>
      <c r="AW1391">
        <v>0</v>
      </c>
      <c r="AX1391">
        <v>0</v>
      </c>
      <c r="AY1391">
        <v>70</v>
      </c>
      <c r="BC1391" t="str">
        <f>T("9791164896622")</f>
        <v>9791164896622</v>
      </c>
      <c r="BE1391" t="str">
        <f>T("BL 웹소설 &gt; 역사/시대물")</f>
        <v>BL 웹소설 &gt; 역사/시대물</v>
      </c>
    </row>
    <row r="1392" spans="1:57" x14ac:dyDescent="0.3">
      <c r="A1392">
        <v>1525011523</v>
      </c>
      <c r="B1392">
        <v>1525011314</v>
      </c>
      <c r="C1392" t="str">
        <f>T("남창목가 210화")</f>
        <v>남창목가 210화</v>
      </c>
      <c r="D1392" t="str">
        <f>T("210")</f>
        <v>210</v>
      </c>
      <c r="E1392" t="str">
        <f>T("최재봉")</f>
        <v>최재봉</v>
      </c>
      <c r="H1392" t="str">
        <f>T("에필로그")</f>
        <v>에필로그</v>
      </c>
      <c r="I1392" t="str">
        <f>T("남창목가")</f>
        <v>남창목가</v>
      </c>
      <c r="J1392">
        <v>100</v>
      </c>
      <c r="K1392">
        <v>100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100</v>
      </c>
      <c r="AH1392">
        <v>1</v>
      </c>
      <c r="AI1392">
        <v>0</v>
      </c>
      <c r="AJ1392">
        <v>0</v>
      </c>
      <c r="AK1392">
        <v>0</v>
      </c>
      <c r="AL1392">
        <v>0</v>
      </c>
      <c r="AM1392">
        <v>120</v>
      </c>
      <c r="AN1392">
        <v>-12</v>
      </c>
      <c r="AO1392">
        <v>0</v>
      </c>
      <c r="AQ1392">
        <v>0</v>
      </c>
      <c r="AR1392">
        <v>0</v>
      </c>
      <c r="AS1392">
        <v>120</v>
      </c>
      <c r="AT1392">
        <v>-12</v>
      </c>
      <c r="AU1392">
        <v>0</v>
      </c>
      <c r="AW1392">
        <v>0</v>
      </c>
      <c r="AX1392">
        <v>0</v>
      </c>
      <c r="AY1392">
        <v>75.599999999999994</v>
      </c>
      <c r="BC1392" t="str">
        <f>T("9791164482849")</f>
        <v>9791164482849</v>
      </c>
      <c r="BE1392" t="str">
        <f>T("판타지 웹소설 &gt; 무협 소설")</f>
        <v>판타지 웹소설 &gt; 무협 소설</v>
      </c>
    </row>
    <row r="1393" spans="1:57" x14ac:dyDescent="0.3">
      <c r="A1393">
        <v>1525011523</v>
      </c>
      <c r="B1393">
        <v>1525011499</v>
      </c>
      <c r="C1393" t="str">
        <f>T("남창목가 25화")</f>
        <v>남창목가 25화</v>
      </c>
      <c r="D1393" t="str">
        <f>T("25")</f>
        <v>25</v>
      </c>
      <c r="E1393" t="str">
        <f>T("최재봉")</f>
        <v>최재봉</v>
      </c>
      <c r="H1393" t="str">
        <f>T("에필로그")</f>
        <v>에필로그</v>
      </c>
      <c r="I1393" t="str">
        <f>T("남창목가")</f>
        <v>남창목가</v>
      </c>
      <c r="J1393">
        <v>100</v>
      </c>
      <c r="K1393">
        <v>100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100</v>
      </c>
      <c r="AH1393">
        <v>1</v>
      </c>
      <c r="AI1393">
        <v>0</v>
      </c>
      <c r="AJ1393">
        <v>0</v>
      </c>
      <c r="AK1393">
        <v>100</v>
      </c>
      <c r="AL1393">
        <v>0</v>
      </c>
      <c r="AM1393">
        <v>0</v>
      </c>
      <c r="AN1393">
        <v>0</v>
      </c>
      <c r="AO1393">
        <v>0</v>
      </c>
      <c r="AQ1393">
        <v>0</v>
      </c>
      <c r="AR1393">
        <v>0</v>
      </c>
      <c r="AT1393">
        <v>0</v>
      </c>
      <c r="AU1393">
        <v>0</v>
      </c>
      <c r="AW1393">
        <v>0</v>
      </c>
      <c r="AX1393">
        <v>0</v>
      </c>
      <c r="AY1393">
        <v>70</v>
      </c>
      <c r="BC1393" t="str">
        <f>T("9791164482849")</f>
        <v>9791164482849</v>
      </c>
      <c r="BE1393" t="str">
        <f>T("판타지 웹소설 &gt; 무협 소설")</f>
        <v>판타지 웹소설 &gt; 무협 소설</v>
      </c>
    </row>
    <row r="1394" spans="1:57" x14ac:dyDescent="0.3">
      <c r="A1394">
        <v>1525012551</v>
      </c>
      <c r="B1394">
        <v>1525012598</v>
      </c>
      <c r="C1394" t="str">
        <f>T("개정판 | 바보가 만드는 멋진 세상 48화")</f>
        <v>개정판 | 바보가 만드는 멋진 세상 48화</v>
      </c>
      <c r="D1394" t="str">
        <f>T("48")</f>
        <v>48</v>
      </c>
      <c r="E1394" t="str">
        <f>T("백범(白帆)")</f>
        <v>백범(白帆)</v>
      </c>
      <c r="H1394" t="str">
        <f>T("에필로그")</f>
        <v>에필로그</v>
      </c>
      <c r="I1394" t="str">
        <f>T("개정판 | 바보가 만드는 멋진 세상")</f>
        <v>개정판 | 바보가 만드는 멋진 세상</v>
      </c>
      <c r="J1394">
        <v>100</v>
      </c>
      <c r="K1394">
        <v>100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100</v>
      </c>
      <c r="AH1394">
        <v>1</v>
      </c>
      <c r="AI1394">
        <v>0</v>
      </c>
      <c r="AJ1394">
        <v>0</v>
      </c>
      <c r="AK1394">
        <v>100</v>
      </c>
      <c r="AL1394">
        <v>0</v>
      </c>
      <c r="AM1394">
        <v>0</v>
      </c>
      <c r="AN1394">
        <v>0</v>
      </c>
      <c r="AO1394">
        <v>0</v>
      </c>
      <c r="AQ1394">
        <v>0</v>
      </c>
      <c r="AR1394">
        <v>0</v>
      </c>
      <c r="AT1394">
        <v>0</v>
      </c>
      <c r="AU1394">
        <v>0</v>
      </c>
      <c r="AW1394">
        <v>0</v>
      </c>
      <c r="AX1394">
        <v>0</v>
      </c>
      <c r="AY1394">
        <v>70</v>
      </c>
      <c r="BC1394" t="str">
        <f>T("9791166003493")</f>
        <v>9791166003493</v>
      </c>
      <c r="BE1394" t="str">
        <f>T("판타지 웹소설 &gt; 현대 판타지")</f>
        <v>판타지 웹소설 &gt; 현대 판타지</v>
      </c>
    </row>
    <row r="1395" spans="1:57" x14ac:dyDescent="0.3">
      <c r="A1395">
        <v>1525004799</v>
      </c>
      <c r="B1395">
        <v>1525004948</v>
      </c>
      <c r="C1395" t="str">
        <f>T("검산도해 150화")</f>
        <v>검산도해 150화</v>
      </c>
      <c r="D1395" t="str">
        <f>T("150")</f>
        <v>150</v>
      </c>
      <c r="E1395" t="str">
        <f>T("권용찬")</f>
        <v>권용찬</v>
      </c>
      <c r="H1395" t="str">
        <f>T("스토리위즈")</f>
        <v>스토리위즈</v>
      </c>
      <c r="I1395" t="str">
        <f>T("검산도해")</f>
        <v>검산도해</v>
      </c>
      <c r="J1395">
        <v>100</v>
      </c>
      <c r="K1395">
        <v>100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100</v>
      </c>
      <c r="AH1395">
        <v>1</v>
      </c>
      <c r="AI1395">
        <v>0</v>
      </c>
      <c r="AJ1395">
        <v>0</v>
      </c>
      <c r="AK1395">
        <v>0</v>
      </c>
      <c r="AL1395">
        <v>0</v>
      </c>
      <c r="AM1395">
        <v>120</v>
      </c>
      <c r="AN1395">
        <v>-12</v>
      </c>
      <c r="AO1395">
        <v>0</v>
      </c>
      <c r="AQ1395">
        <v>0</v>
      </c>
      <c r="AR1395">
        <v>0</v>
      </c>
      <c r="AS1395">
        <v>120</v>
      </c>
      <c r="AT1395">
        <v>-12</v>
      </c>
      <c r="AU1395">
        <v>0</v>
      </c>
      <c r="AW1395">
        <v>0</v>
      </c>
      <c r="AX1395">
        <v>0</v>
      </c>
      <c r="AY1395">
        <v>75.599999999999994</v>
      </c>
      <c r="BC1395" t="str">
        <f>T("9791159285936")</f>
        <v>9791159285936</v>
      </c>
      <c r="BE1395" t="str">
        <f>T("판타지 웹소설 &gt; 무협 소설")</f>
        <v>판타지 웹소설 &gt; 무협 소설</v>
      </c>
    </row>
    <row r="1396" spans="1:57" x14ac:dyDescent="0.3">
      <c r="A1396">
        <v>1525004030</v>
      </c>
      <c r="B1396">
        <v>1525007037</v>
      </c>
      <c r="C1396" t="str">
        <f>T("회귀의 전설 2부 921화")</f>
        <v>회귀의 전설 2부 921화</v>
      </c>
      <c r="D1396" t="str">
        <f>T("921")</f>
        <v>921</v>
      </c>
      <c r="E1396" t="str">
        <f>T("김광수")</f>
        <v>김광수</v>
      </c>
      <c r="H1396" t="str">
        <f>T("스토리위즈")</f>
        <v>스토리위즈</v>
      </c>
      <c r="I1396" t="str">
        <f>T("회귀의 전설")</f>
        <v>회귀의 전설</v>
      </c>
      <c r="J1396">
        <v>100</v>
      </c>
      <c r="K1396">
        <v>100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100</v>
      </c>
      <c r="AH1396">
        <v>1</v>
      </c>
      <c r="AI1396">
        <v>0</v>
      </c>
      <c r="AJ1396">
        <v>0</v>
      </c>
      <c r="AK1396">
        <v>100</v>
      </c>
      <c r="AL1396">
        <v>0</v>
      </c>
      <c r="AM1396">
        <v>0</v>
      </c>
      <c r="AN1396">
        <v>0</v>
      </c>
      <c r="AO1396">
        <v>0</v>
      </c>
      <c r="AQ1396">
        <v>0</v>
      </c>
      <c r="AR1396">
        <v>0</v>
      </c>
      <c r="AT1396">
        <v>0</v>
      </c>
      <c r="AU1396">
        <v>0</v>
      </c>
      <c r="AW1396">
        <v>0</v>
      </c>
      <c r="AX1396">
        <v>0</v>
      </c>
      <c r="AY1396">
        <v>70</v>
      </c>
      <c r="BC1396" t="str">
        <f>T("9791191102086")</f>
        <v>9791191102086</v>
      </c>
      <c r="BE1396" t="str">
        <f>T("판타지 웹소설 &gt; 현대 판타지")</f>
        <v>판타지 웹소설 &gt; 현대 판타지</v>
      </c>
    </row>
    <row r="1397" spans="1:57" x14ac:dyDescent="0.3">
      <c r="A1397">
        <v>1525011523</v>
      </c>
      <c r="B1397">
        <v>1525011340</v>
      </c>
      <c r="C1397" t="str">
        <f>T("남창목가 184화")</f>
        <v>남창목가 184화</v>
      </c>
      <c r="D1397" t="str">
        <f>T("184")</f>
        <v>184</v>
      </c>
      <c r="E1397" t="str">
        <f>T("최재봉")</f>
        <v>최재봉</v>
      </c>
      <c r="H1397" t="str">
        <f>T("에필로그")</f>
        <v>에필로그</v>
      </c>
      <c r="I1397" t="str">
        <f>T("남창목가")</f>
        <v>남창목가</v>
      </c>
      <c r="J1397">
        <v>100</v>
      </c>
      <c r="K1397">
        <v>100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100</v>
      </c>
      <c r="AH1397">
        <v>1</v>
      </c>
      <c r="AI1397">
        <v>0</v>
      </c>
      <c r="AJ1397">
        <v>0</v>
      </c>
      <c r="AK1397">
        <v>0</v>
      </c>
      <c r="AL1397">
        <v>0</v>
      </c>
      <c r="AM1397">
        <v>120</v>
      </c>
      <c r="AN1397">
        <v>-12</v>
      </c>
      <c r="AO1397">
        <v>0</v>
      </c>
      <c r="AQ1397">
        <v>0</v>
      </c>
      <c r="AR1397">
        <v>0</v>
      </c>
      <c r="AS1397">
        <v>120</v>
      </c>
      <c r="AT1397">
        <v>-12</v>
      </c>
      <c r="AU1397">
        <v>0</v>
      </c>
      <c r="AW1397">
        <v>0</v>
      </c>
      <c r="AX1397">
        <v>0</v>
      </c>
      <c r="AY1397">
        <v>75.599999999999994</v>
      </c>
      <c r="BC1397" t="str">
        <f>T("9791164482849")</f>
        <v>9791164482849</v>
      </c>
      <c r="BE1397" t="str">
        <f>T("판타지 웹소설 &gt; 무협 소설")</f>
        <v>판타지 웹소설 &gt; 무협 소설</v>
      </c>
    </row>
    <row r="1398" spans="1:57" x14ac:dyDescent="0.3">
      <c r="A1398">
        <v>1525002125</v>
      </c>
      <c r="B1398">
        <v>1525002374</v>
      </c>
      <c r="C1398" t="str">
        <f>T("신을 죽이러 갑니다 250화")</f>
        <v>신을 죽이러 갑니다 250화</v>
      </c>
      <c r="D1398" t="str">
        <f>T("250")</f>
        <v>250</v>
      </c>
      <c r="E1398" t="str">
        <f>T("독고진")</f>
        <v>독고진</v>
      </c>
      <c r="H1398" t="str">
        <f>T("스토리위즈")</f>
        <v>스토리위즈</v>
      </c>
      <c r="I1398" t="str">
        <f>T("신을 죽이러 갑니다")</f>
        <v>신을 죽이러 갑니다</v>
      </c>
      <c r="J1398">
        <v>100</v>
      </c>
      <c r="K1398">
        <v>100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100</v>
      </c>
      <c r="AH1398">
        <v>1</v>
      </c>
      <c r="AI1398">
        <v>0</v>
      </c>
      <c r="AJ1398">
        <v>0</v>
      </c>
      <c r="AK1398">
        <v>0</v>
      </c>
      <c r="AL1398">
        <v>0</v>
      </c>
      <c r="AM1398">
        <v>120</v>
      </c>
      <c r="AN1398">
        <v>-36</v>
      </c>
      <c r="AO1398">
        <v>0</v>
      </c>
      <c r="AQ1398">
        <v>0</v>
      </c>
      <c r="AR1398">
        <v>0</v>
      </c>
      <c r="AS1398">
        <v>120</v>
      </c>
      <c r="AT1398">
        <v>-36</v>
      </c>
      <c r="AU1398">
        <v>0</v>
      </c>
      <c r="AW1398">
        <v>0</v>
      </c>
      <c r="AX1398">
        <v>0</v>
      </c>
      <c r="AY1398">
        <v>58.8</v>
      </c>
      <c r="BC1398" t="str">
        <f>T("9791159285806")</f>
        <v>9791159285806</v>
      </c>
      <c r="BE1398" t="str">
        <f>T("판타지 웹소설 &gt; 퓨전 판타지")</f>
        <v>판타지 웹소설 &gt; 퓨전 판타지</v>
      </c>
    </row>
    <row r="1399" spans="1:57" x14ac:dyDescent="0.3">
      <c r="A1399">
        <v>1525012551</v>
      </c>
      <c r="B1399">
        <v>1525012709</v>
      </c>
      <c r="C1399" t="str">
        <f>T("개정판 | 바보가 만드는 멋진 세상 159화")</f>
        <v>개정판 | 바보가 만드는 멋진 세상 159화</v>
      </c>
      <c r="D1399" t="str">
        <f>T("159")</f>
        <v>159</v>
      </c>
      <c r="E1399" t="str">
        <f>T("백범(白帆)")</f>
        <v>백범(白帆)</v>
      </c>
      <c r="H1399" t="str">
        <f>T("에필로그")</f>
        <v>에필로그</v>
      </c>
      <c r="I1399" t="str">
        <f>T("개정판 | 바보가 만드는 멋진 세상")</f>
        <v>개정판 | 바보가 만드는 멋진 세상</v>
      </c>
      <c r="J1399">
        <v>100</v>
      </c>
      <c r="K1399">
        <v>100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100</v>
      </c>
      <c r="AH1399">
        <v>1</v>
      </c>
      <c r="AI1399">
        <v>0</v>
      </c>
      <c r="AJ1399">
        <v>0</v>
      </c>
      <c r="AK1399">
        <v>100</v>
      </c>
      <c r="AL1399">
        <v>0</v>
      </c>
      <c r="AM1399">
        <v>0</v>
      </c>
      <c r="AN1399">
        <v>0</v>
      </c>
      <c r="AO1399">
        <v>0</v>
      </c>
      <c r="AQ1399">
        <v>0</v>
      </c>
      <c r="AR1399">
        <v>0</v>
      </c>
      <c r="AT1399">
        <v>0</v>
      </c>
      <c r="AU1399">
        <v>0</v>
      </c>
      <c r="AW1399">
        <v>0</v>
      </c>
      <c r="AX1399">
        <v>0</v>
      </c>
      <c r="AY1399">
        <v>70</v>
      </c>
      <c r="BC1399" t="str">
        <f>T("9791166003493")</f>
        <v>9791166003493</v>
      </c>
      <c r="BE1399" t="str">
        <f>T("판타지 웹소설 &gt; 현대 판타지")</f>
        <v>판타지 웹소설 &gt; 현대 판타지</v>
      </c>
    </row>
    <row r="1400" spans="1:57" x14ac:dyDescent="0.3">
      <c r="A1400">
        <v>1525002864</v>
      </c>
      <c r="B1400">
        <v>1525002932</v>
      </c>
      <c r="C1400" t="str">
        <f>T("소드마스터의 환생 69화")</f>
        <v>소드마스터의 환생 69화</v>
      </c>
      <c r="D1400" t="str">
        <f>T("69")</f>
        <v>69</v>
      </c>
      <c r="E1400" t="str">
        <f>T("파란영")</f>
        <v>파란영</v>
      </c>
      <c r="H1400" t="str">
        <f>T("스토리위즈")</f>
        <v>스토리위즈</v>
      </c>
      <c r="I1400" t="str">
        <f>T("소드마스터의 환생")</f>
        <v>소드마스터의 환생</v>
      </c>
      <c r="J1400">
        <v>100</v>
      </c>
      <c r="K1400">
        <v>100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100</v>
      </c>
      <c r="AH1400">
        <v>1</v>
      </c>
      <c r="AI1400">
        <v>0</v>
      </c>
      <c r="AJ1400">
        <v>0</v>
      </c>
      <c r="AK1400">
        <v>100</v>
      </c>
      <c r="AL1400">
        <v>0</v>
      </c>
      <c r="AM1400">
        <v>0</v>
      </c>
      <c r="AN1400">
        <v>0</v>
      </c>
      <c r="AO1400">
        <v>0</v>
      </c>
      <c r="AQ1400">
        <v>0</v>
      </c>
      <c r="AR1400">
        <v>0</v>
      </c>
      <c r="AT1400">
        <v>0</v>
      </c>
      <c r="AU1400">
        <v>0</v>
      </c>
      <c r="AW1400">
        <v>0</v>
      </c>
      <c r="AX1400">
        <v>0</v>
      </c>
      <c r="AY1400">
        <v>70</v>
      </c>
      <c r="BC1400" t="str">
        <f>T("9791159287527")</f>
        <v>9791159287527</v>
      </c>
      <c r="BE1400" t="str">
        <f>T("판타지 웹소설 &gt; 정통 판타지")</f>
        <v>판타지 웹소설 &gt; 정통 판타지</v>
      </c>
    </row>
    <row r="1401" spans="1:57" x14ac:dyDescent="0.3">
      <c r="A1401">
        <v>1525008428</v>
      </c>
      <c r="B1401">
        <v>1525008471</v>
      </c>
      <c r="C1401" t="str">
        <f>T("무히비(Muhibbi) 59화")</f>
        <v>무히비(Muhibbi) 59화</v>
      </c>
      <c r="D1401" t="str">
        <f>T("59")</f>
        <v>59</v>
      </c>
      <c r="E1401" t="str">
        <f>T("jooki")</f>
        <v>jooki</v>
      </c>
      <c r="H1401" t="str">
        <f>T("블러쉬")</f>
        <v>블러쉬</v>
      </c>
      <c r="I1401" t="str">
        <f>T("무히비(Muhibbi)")</f>
        <v>무히비(Muhibbi)</v>
      </c>
      <c r="J1401">
        <v>100</v>
      </c>
      <c r="K1401">
        <v>100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100</v>
      </c>
      <c r="AH1401">
        <v>1</v>
      </c>
      <c r="AI1401">
        <v>0</v>
      </c>
      <c r="AJ1401">
        <v>0</v>
      </c>
      <c r="AK1401">
        <v>100</v>
      </c>
      <c r="AL1401">
        <v>0</v>
      </c>
      <c r="AM1401">
        <v>0</v>
      </c>
      <c r="AN1401">
        <v>0</v>
      </c>
      <c r="AO1401">
        <v>0</v>
      </c>
      <c r="AQ1401">
        <v>0</v>
      </c>
      <c r="AR1401">
        <v>0</v>
      </c>
      <c r="AT1401">
        <v>0</v>
      </c>
      <c r="AU1401">
        <v>0</v>
      </c>
      <c r="AW1401">
        <v>0</v>
      </c>
      <c r="AX1401">
        <v>0</v>
      </c>
      <c r="AY1401">
        <v>70</v>
      </c>
      <c r="BC1401" t="str">
        <f>T("9791164896622")</f>
        <v>9791164896622</v>
      </c>
      <c r="BE1401" t="str">
        <f>T("BL 웹소설 &gt; 역사/시대물")</f>
        <v>BL 웹소설 &gt; 역사/시대물</v>
      </c>
    </row>
    <row r="1402" spans="1:57" x14ac:dyDescent="0.3">
      <c r="A1402">
        <v>1525011523</v>
      </c>
      <c r="B1402">
        <v>1525011285</v>
      </c>
      <c r="C1402" t="str">
        <f>T("남창목가 239화")</f>
        <v>남창목가 239화</v>
      </c>
      <c r="D1402" t="str">
        <f>T("239")</f>
        <v>239</v>
      </c>
      <c r="E1402" t="str">
        <f>T("최재봉")</f>
        <v>최재봉</v>
      </c>
      <c r="H1402" t="str">
        <f>T("에필로그")</f>
        <v>에필로그</v>
      </c>
      <c r="I1402" t="str">
        <f>T("남창목가")</f>
        <v>남창목가</v>
      </c>
      <c r="J1402">
        <v>100</v>
      </c>
      <c r="K1402">
        <v>100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100</v>
      </c>
      <c r="AH1402">
        <v>1</v>
      </c>
      <c r="AI1402">
        <v>0</v>
      </c>
      <c r="AJ1402">
        <v>0</v>
      </c>
      <c r="AK1402">
        <v>0</v>
      </c>
      <c r="AL1402">
        <v>0</v>
      </c>
      <c r="AM1402">
        <v>120</v>
      </c>
      <c r="AN1402">
        <v>-12</v>
      </c>
      <c r="AO1402">
        <v>0</v>
      </c>
      <c r="AQ1402">
        <v>0</v>
      </c>
      <c r="AR1402">
        <v>0</v>
      </c>
      <c r="AS1402">
        <v>120</v>
      </c>
      <c r="AT1402">
        <v>-12</v>
      </c>
      <c r="AU1402">
        <v>0</v>
      </c>
      <c r="AW1402">
        <v>0</v>
      </c>
      <c r="AX1402">
        <v>0</v>
      </c>
      <c r="AY1402">
        <v>75.599999999999994</v>
      </c>
      <c r="BC1402" t="str">
        <f>T("9791164482849")</f>
        <v>9791164482849</v>
      </c>
      <c r="BE1402" t="str">
        <f>T("판타지 웹소설 &gt; 무협 소설")</f>
        <v>판타지 웹소설 &gt; 무협 소설</v>
      </c>
    </row>
    <row r="1403" spans="1:57" x14ac:dyDescent="0.3">
      <c r="A1403">
        <v>1525011523</v>
      </c>
      <c r="B1403">
        <v>1525011478</v>
      </c>
      <c r="C1403" t="str">
        <f>T("남창목가 46화")</f>
        <v>남창목가 46화</v>
      </c>
      <c r="D1403" t="str">
        <f>T("46")</f>
        <v>46</v>
      </c>
      <c r="E1403" t="str">
        <f>T("최재봉")</f>
        <v>최재봉</v>
      </c>
      <c r="H1403" t="str">
        <f>T("에필로그")</f>
        <v>에필로그</v>
      </c>
      <c r="I1403" t="str">
        <f>T("남창목가")</f>
        <v>남창목가</v>
      </c>
      <c r="J1403">
        <v>100</v>
      </c>
      <c r="K1403">
        <v>100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100</v>
      </c>
      <c r="AH1403">
        <v>1</v>
      </c>
      <c r="AI1403">
        <v>0</v>
      </c>
      <c r="AJ1403">
        <v>0</v>
      </c>
      <c r="AK1403">
        <v>100</v>
      </c>
      <c r="AL1403">
        <v>0</v>
      </c>
      <c r="AM1403">
        <v>0</v>
      </c>
      <c r="AN1403">
        <v>0</v>
      </c>
      <c r="AO1403">
        <v>0</v>
      </c>
      <c r="AQ1403">
        <v>0</v>
      </c>
      <c r="AR1403">
        <v>0</v>
      </c>
      <c r="AT1403">
        <v>0</v>
      </c>
      <c r="AU1403">
        <v>0</v>
      </c>
      <c r="AW1403">
        <v>0</v>
      </c>
      <c r="AX1403">
        <v>0</v>
      </c>
      <c r="AY1403">
        <v>70</v>
      </c>
      <c r="BC1403" t="str">
        <f>T("9791164482849")</f>
        <v>9791164482849</v>
      </c>
      <c r="BE1403" t="str">
        <f>T("판타지 웹소설 &gt; 무협 소설")</f>
        <v>판타지 웹소설 &gt; 무협 소설</v>
      </c>
    </row>
    <row r="1404" spans="1:57" x14ac:dyDescent="0.3">
      <c r="A1404">
        <v>1525012551</v>
      </c>
      <c r="B1404">
        <v>1525012587</v>
      </c>
      <c r="C1404" t="str">
        <f>T("개정판 | 바보가 만드는 멋진 세상 37화")</f>
        <v>개정판 | 바보가 만드는 멋진 세상 37화</v>
      </c>
      <c r="D1404" t="str">
        <f>T("37")</f>
        <v>37</v>
      </c>
      <c r="E1404" t="str">
        <f>T("백범(白帆)")</f>
        <v>백범(白帆)</v>
      </c>
      <c r="H1404" t="str">
        <f>T("에필로그")</f>
        <v>에필로그</v>
      </c>
      <c r="I1404" t="str">
        <f>T("개정판 | 바보가 만드는 멋진 세상")</f>
        <v>개정판 | 바보가 만드는 멋진 세상</v>
      </c>
      <c r="J1404">
        <v>100</v>
      </c>
      <c r="K1404">
        <v>100</v>
      </c>
      <c r="L1404">
        <v>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100</v>
      </c>
      <c r="AH1404">
        <v>1</v>
      </c>
      <c r="AI1404">
        <v>0</v>
      </c>
      <c r="AJ1404">
        <v>0</v>
      </c>
      <c r="AK1404">
        <v>100</v>
      </c>
      <c r="AL1404">
        <v>0</v>
      </c>
      <c r="AM1404">
        <v>0</v>
      </c>
      <c r="AN1404">
        <v>0</v>
      </c>
      <c r="AO1404">
        <v>0</v>
      </c>
      <c r="AQ1404">
        <v>0</v>
      </c>
      <c r="AR1404">
        <v>0</v>
      </c>
      <c r="AT1404">
        <v>0</v>
      </c>
      <c r="AU1404">
        <v>0</v>
      </c>
      <c r="AW1404">
        <v>0</v>
      </c>
      <c r="AX1404">
        <v>0</v>
      </c>
      <c r="AY1404">
        <v>70</v>
      </c>
      <c r="BC1404" t="str">
        <f>T("9791166003493")</f>
        <v>9791166003493</v>
      </c>
      <c r="BE1404" t="str">
        <f>T("판타지 웹소설 &gt; 현대 판타지")</f>
        <v>판타지 웹소설 &gt; 현대 판타지</v>
      </c>
    </row>
    <row r="1405" spans="1:57" x14ac:dyDescent="0.3">
      <c r="A1405">
        <v>1525004799</v>
      </c>
      <c r="B1405">
        <v>1525004937</v>
      </c>
      <c r="C1405" t="str">
        <f>T("검산도해 139화")</f>
        <v>검산도해 139화</v>
      </c>
      <c r="D1405" t="str">
        <f>T("139")</f>
        <v>139</v>
      </c>
      <c r="E1405" t="str">
        <f>T("권용찬")</f>
        <v>권용찬</v>
      </c>
      <c r="H1405" t="str">
        <f>T("스토리위즈")</f>
        <v>스토리위즈</v>
      </c>
      <c r="I1405" t="str">
        <f>T("검산도해")</f>
        <v>검산도해</v>
      </c>
      <c r="J1405">
        <v>100</v>
      </c>
      <c r="K1405">
        <v>100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100</v>
      </c>
      <c r="AH1405">
        <v>1</v>
      </c>
      <c r="AI1405">
        <v>0</v>
      </c>
      <c r="AJ1405">
        <v>0</v>
      </c>
      <c r="AK1405">
        <v>0</v>
      </c>
      <c r="AL1405">
        <v>0</v>
      </c>
      <c r="AM1405">
        <v>120</v>
      </c>
      <c r="AN1405">
        <v>-12</v>
      </c>
      <c r="AO1405">
        <v>0</v>
      </c>
      <c r="AQ1405">
        <v>0</v>
      </c>
      <c r="AR1405">
        <v>0</v>
      </c>
      <c r="AS1405">
        <v>120</v>
      </c>
      <c r="AT1405">
        <v>-12</v>
      </c>
      <c r="AU1405">
        <v>0</v>
      </c>
      <c r="AW1405">
        <v>0</v>
      </c>
      <c r="AX1405">
        <v>0</v>
      </c>
      <c r="AY1405">
        <v>75.599999999999994</v>
      </c>
      <c r="BC1405" t="str">
        <f>T("9791159285936")</f>
        <v>9791159285936</v>
      </c>
      <c r="BE1405" t="str">
        <f>T("판타지 웹소설 &gt; 무협 소설")</f>
        <v>판타지 웹소설 &gt; 무협 소설</v>
      </c>
    </row>
    <row r="1406" spans="1:57" x14ac:dyDescent="0.3">
      <c r="A1406">
        <v>1525004030</v>
      </c>
      <c r="B1406">
        <v>1525007026</v>
      </c>
      <c r="C1406" t="str">
        <f>T("회귀의 전설 2부 910화")</f>
        <v>회귀의 전설 2부 910화</v>
      </c>
      <c r="D1406" t="str">
        <f>T("910")</f>
        <v>910</v>
      </c>
      <c r="E1406" t="str">
        <f>T("김광수")</f>
        <v>김광수</v>
      </c>
      <c r="H1406" t="str">
        <f>T("스토리위즈")</f>
        <v>스토리위즈</v>
      </c>
      <c r="I1406" t="str">
        <f>T("회귀의 전설")</f>
        <v>회귀의 전설</v>
      </c>
      <c r="J1406">
        <v>100</v>
      </c>
      <c r="K1406">
        <v>100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100</v>
      </c>
      <c r="AH1406">
        <v>1</v>
      </c>
      <c r="AI1406">
        <v>0</v>
      </c>
      <c r="AJ1406">
        <v>0</v>
      </c>
      <c r="AK1406">
        <v>100</v>
      </c>
      <c r="AL1406">
        <v>0</v>
      </c>
      <c r="AM1406">
        <v>0</v>
      </c>
      <c r="AN1406">
        <v>0</v>
      </c>
      <c r="AO1406">
        <v>0</v>
      </c>
      <c r="AQ1406">
        <v>0</v>
      </c>
      <c r="AR1406">
        <v>0</v>
      </c>
      <c r="AT1406">
        <v>0</v>
      </c>
      <c r="AU1406">
        <v>0</v>
      </c>
      <c r="AW1406">
        <v>0</v>
      </c>
      <c r="AX1406">
        <v>0</v>
      </c>
      <c r="AY1406">
        <v>70</v>
      </c>
      <c r="BC1406" t="str">
        <f>T("9791191102086")</f>
        <v>9791191102086</v>
      </c>
      <c r="BE1406" t="str">
        <f>T("판타지 웹소설 &gt; 현대 판타지")</f>
        <v>판타지 웹소설 &gt; 현대 판타지</v>
      </c>
    </row>
    <row r="1407" spans="1:57" x14ac:dyDescent="0.3">
      <c r="A1407">
        <v>1525011523</v>
      </c>
      <c r="B1407">
        <v>1525011209</v>
      </c>
      <c r="C1407" t="str">
        <f>T("남창목가 315화")</f>
        <v>남창목가 315화</v>
      </c>
      <c r="D1407" t="str">
        <f>T("315")</f>
        <v>315</v>
      </c>
      <c r="E1407" t="str">
        <f>T("최재봉")</f>
        <v>최재봉</v>
      </c>
      <c r="H1407" t="str">
        <f>T("에필로그")</f>
        <v>에필로그</v>
      </c>
      <c r="I1407" t="str">
        <f>T("남창목가")</f>
        <v>남창목가</v>
      </c>
      <c r="J1407">
        <v>100</v>
      </c>
      <c r="K1407">
        <v>100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100</v>
      </c>
      <c r="AH1407">
        <v>1</v>
      </c>
      <c r="AI1407">
        <v>0</v>
      </c>
      <c r="AJ1407">
        <v>0</v>
      </c>
      <c r="AK1407">
        <v>50</v>
      </c>
      <c r="AL1407">
        <v>0</v>
      </c>
      <c r="AM1407">
        <v>60</v>
      </c>
      <c r="AN1407">
        <v>-6</v>
      </c>
      <c r="AO1407">
        <v>0</v>
      </c>
      <c r="AQ1407">
        <v>0</v>
      </c>
      <c r="AR1407">
        <v>0</v>
      </c>
      <c r="AS1407">
        <v>60</v>
      </c>
      <c r="AT1407">
        <v>-6</v>
      </c>
      <c r="AU1407">
        <v>0</v>
      </c>
      <c r="AW1407">
        <v>0</v>
      </c>
      <c r="AX1407">
        <v>0</v>
      </c>
      <c r="AY1407">
        <v>72.8</v>
      </c>
      <c r="BC1407" t="str">
        <f>T("9791164482849")</f>
        <v>9791164482849</v>
      </c>
      <c r="BE1407" t="str">
        <f>T("판타지 웹소설 &gt; 무협 소설")</f>
        <v>판타지 웹소설 &gt; 무협 소설</v>
      </c>
    </row>
    <row r="1408" spans="1:57" x14ac:dyDescent="0.3">
      <c r="A1408">
        <v>1525004030</v>
      </c>
      <c r="B1408">
        <v>1525006985</v>
      </c>
      <c r="C1408" t="str">
        <f>T("회귀의 전설 2부 869화")</f>
        <v>회귀의 전설 2부 869화</v>
      </c>
      <c r="D1408" t="str">
        <f>T("869")</f>
        <v>869</v>
      </c>
      <c r="E1408" t="str">
        <f>T("김광수")</f>
        <v>김광수</v>
      </c>
      <c r="H1408" t="str">
        <f>T("스토리위즈")</f>
        <v>스토리위즈</v>
      </c>
      <c r="I1408" t="str">
        <f>T("회귀의 전설")</f>
        <v>회귀의 전설</v>
      </c>
      <c r="J1408">
        <v>100</v>
      </c>
      <c r="K1408">
        <v>100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100</v>
      </c>
      <c r="AH1408">
        <v>1</v>
      </c>
      <c r="AI1408">
        <v>0</v>
      </c>
      <c r="AJ1408">
        <v>0</v>
      </c>
      <c r="AK1408">
        <v>100</v>
      </c>
      <c r="AL1408">
        <v>0</v>
      </c>
      <c r="AM1408">
        <v>0</v>
      </c>
      <c r="AN1408">
        <v>0</v>
      </c>
      <c r="AO1408">
        <v>0</v>
      </c>
      <c r="AQ1408">
        <v>0</v>
      </c>
      <c r="AR1408">
        <v>0</v>
      </c>
      <c r="AT1408">
        <v>0</v>
      </c>
      <c r="AU1408">
        <v>0</v>
      </c>
      <c r="AW1408">
        <v>0</v>
      </c>
      <c r="AX1408">
        <v>0</v>
      </c>
      <c r="AY1408">
        <v>70</v>
      </c>
      <c r="BC1408" t="str">
        <f>T("9791191102086")</f>
        <v>9791191102086</v>
      </c>
      <c r="BE1408" t="str">
        <f>T("판타지 웹소설 &gt; 현대 판타지")</f>
        <v>판타지 웹소설 &gt; 현대 판타지</v>
      </c>
    </row>
    <row r="1409" spans="1:57" x14ac:dyDescent="0.3">
      <c r="A1409">
        <v>1525011523</v>
      </c>
      <c r="B1409">
        <v>1525011381</v>
      </c>
      <c r="C1409" t="str">
        <f>T("남창목가 143화")</f>
        <v>남창목가 143화</v>
      </c>
      <c r="D1409" t="str">
        <f>T("143")</f>
        <v>143</v>
      </c>
      <c r="E1409" t="str">
        <f>T("최재봉")</f>
        <v>최재봉</v>
      </c>
      <c r="H1409" t="str">
        <f>T("에필로그")</f>
        <v>에필로그</v>
      </c>
      <c r="I1409" t="str">
        <f>T("남창목가")</f>
        <v>남창목가</v>
      </c>
      <c r="J1409">
        <v>100</v>
      </c>
      <c r="K1409">
        <v>100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100</v>
      </c>
      <c r="AH1409">
        <v>1</v>
      </c>
      <c r="AI1409">
        <v>0</v>
      </c>
      <c r="AJ1409">
        <v>0</v>
      </c>
      <c r="AK1409">
        <v>0</v>
      </c>
      <c r="AL1409">
        <v>0</v>
      </c>
      <c r="AM1409">
        <v>120</v>
      </c>
      <c r="AN1409">
        <v>-12</v>
      </c>
      <c r="AO1409">
        <v>0</v>
      </c>
      <c r="AQ1409">
        <v>0</v>
      </c>
      <c r="AR1409">
        <v>0</v>
      </c>
      <c r="AS1409">
        <v>120</v>
      </c>
      <c r="AT1409">
        <v>-12</v>
      </c>
      <c r="AU1409">
        <v>0</v>
      </c>
      <c r="AW1409">
        <v>0</v>
      </c>
      <c r="AX1409">
        <v>0</v>
      </c>
      <c r="AY1409">
        <v>75.599999999999994</v>
      </c>
      <c r="BC1409" t="str">
        <f>T("9791164482849")</f>
        <v>9791164482849</v>
      </c>
      <c r="BE1409" t="str">
        <f>T("판타지 웹소설 &gt; 무협 소설")</f>
        <v>판타지 웹소설 &gt; 무협 소설</v>
      </c>
    </row>
    <row r="1410" spans="1:57" x14ac:dyDescent="0.3">
      <c r="A1410">
        <v>1525013020</v>
      </c>
      <c r="B1410">
        <v>1525013067</v>
      </c>
      <c r="C1410" t="str">
        <f>T("악당의 리턴 48화")</f>
        <v>악당의 리턴 48화</v>
      </c>
      <c r="D1410" t="str">
        <f>T("48")</f>
        <v>48</v>
      </c>
      <c r="E1410" t="str">
        <f>T("백범(白帆)")</f>
        <v>백범(白帆)</v>
      </c>
      <c r="H1410" t="str">
        <f>T("에필로그")</f>
        <v>에필로그</v>
      </c>
      <c r="I1410" t="str">
        <f>T("악당의 리턴")</f>
        <v>악당의 리턴</v>
      </c>
      <c r="J1410">
        <v>100</v>
      </c>
      <c r="K1410">
        <v>100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100</v>
      </c>
      <c r="AH1410">
        <v>1</v>
      </c>
      <c r="AI1410">
        <v>0</v>
      </c>
      <c r="AJ1410">
        <v>0</v>
      </c>
      <c r="AK1410">
        <v>100</v>
      </c>
      <c r="AL1410">
        <v>0</v>
      </c>
      <c r="AM1410">
        <v>0</v>
      </c>
      <c r="AN1410">
        <v>0</v>
      </c>
      <c r="AO1410">
        <v>0</v>
      </c>
      <c r="AQ1410">
        <v>0</v>
      </c>
      <c r="AR1410">
        <v>0</v>
      </c>
      <c r="AT1410">
        <v>0</v>
      </c>
      <c r="AU1410">
        <v>0</v>
      </c>
      <c r="AW1410">
        <v>0</v>
      </c>
      <c r="AX1410">
        <v>0</v>
      </c>
      <c r="AY1410">
        <v>70</v>
      </c>
      <c r="BC1410" t="str">
        <f>T("9791196538927")</f>
        <v>9791196538927</v>
      </c>
      <c r="BE1410" t="str">
        <f>T("판타지 웹소설 &gt; 현대 판타지")</f>
        <v>판타지 웹소설 &gt; 현대 판타지</v>
      </c>
    </row>
    <row r="1411" spans="1:57" x14ac:dyDescent="0.3">
      <c r="A1411">
        <v>1525004030</v>
      </c>
      <c r="B1411">
        <v>1525007140</v>
      </c>
      <c r="C1411" t="str">
        <f>T("회귀의 전설 2부 1024화")</f>
        <v>회귀의 전설 2부 1024화</v>
      </c>
      <c r="D1411" t="str">
        <f>T("1024")</f>
        <v>1024</v>
      </c>
      <c r="E1411" t="str">
        <f>T("김광수")</f>
        <v>김광수</v>
      </c>
      <c r="H1411" t="str">
        <f>T("스토리위즈")</f>
        <v>스토리위즈</v>
      </c>
      <c r="I1411" t="str">
        <f>T("회귀의 전설")</f>
        <v>회귀의 전설</v>
      </c>
      <c r="J1411">
        <v>100</v>
      </c>
      <c r="K1411">
        <v>100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100</v>
      </c>
      <c r="AH1411">
        <v>1</v>
      </c>
      <c r="AI1411">
        <v>0</v>
      </c>
      <c r="AJ1411">
        <v>0</v>
      </c>
      <c r="AK1411">
        <v>100</v>
      </c>
      <c r="AL1411">
        <v>0</v>
      </c>
      <c r="AM1411">
        <v>0</v>
      </c>
      <c r="AN1411">
        <v>0</v>
      </c>
      <c r="AO1411">
        <v>0</v>
      </c>
      <c r="AQ1411">
        <v>0</v>
      </c>
      <c r="AR1411">
        <v>0</v>
      </c>
      <c r="AT1411">
        <v>0</v>
      </c>
      <c r="AU1411">
        <v>0</v>
      </c>
      <c r="AW1411">
        <v>0</v>
      </c>
      <c r="AX1411">
        <v>0</v>
      </c>
      <c r="AY1411">
        <v>70</v>
      </c>
      <c r="BC1411" t="str">
        <f>T("9791191102086")</f>
        <v>9791191102086</v>
      </c>
      <c r="BE1411" t="str">
        <f>T("판타지 웹소설 &gt; 현대 판타지")</f>
        <v>판타지 웹소설 &gt; 현대 판타지</v>
      </c>
    </row>
    <row r="1412" spans="1:57" x14ac:dyDescent="0.3">
      <c r="A1412">
        <v>1525012551</v>
      </c>
      <c r="B1412">
        <v>1525012741</v>
      </c>
      <c r="C1412" t="str">
        <f>T("개정판 | 바보가 만드는 멋진 세상 191화")</f>
        <v>개정판 | 바보가 만드는 멋진 세상 191화</v>
      </c>
      <c r="D1412" t="str">
        <f>T("191")</f>
        <v>191</v>
      </c>
      <c r="E1412" t="str">
        <f>T("백범(白帆)")</f>
        <v>백범(白帆)</v>
      </c>
      <c r="H1412" t="str">
        <f>T("에필로그")</f>
        <v>에필로그</v>
      </c>
      <c r="I1412" t="str">
        <f>T("개정판 | 바보가 만드는 멋진 세상")</f>
        <v>개정판 | 바보가 만드는 멋진 세상</v>
      </c>
      <c r="J1412">
        <v>100</v>
      </c>
      <c r="K1412">
        <v>100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100</v>
      </c>
      <c r="AH1412">
        <v>1</v>
      </c>
      <c r="AI1412">
        <v>0</v>
      </c>
      <c r="AJ1412">
        <v>0</v>
      </c>
      <c r="AK1412">
        <v>100</v>
      </c>
      <c r="AL1412">
        <v>0</v>
      </c>
      <c r="AM1412">
        <v>0</v>
      </c>
      <c r="AN1412">
        <v>0</v>
      </c>
      <c r="AO1412">
        <v>0</v>
      </c>
      <c r="AQ1412">
        <v>0</v>
      </c>
      <c r="AR1412">
        <v>0</v>
      </c>
      <c r="AT1412">
        <v>0</v>
      </c>
      <c r="AU1412">
        <v>0</v>
      </c>
      <c r="AW1412">
        <v>0</v>
      </c>
      <c r="AX1412">
        <v>0</v>
      </c>
      <c r="AY1412">
        <v>70</v>
      </c>
      <c r="BC1412" t="str">
        <f>T("9791166003493")</f>
        <v>9791166003493</v>
      </c>
      <c r="BE1412" t="str">
        <f>T("판타지 웹소설 &gt; 현대 판타지")</f>
        <v>판타지 웹소설 &gt; 현대 판타지</v>
      </c>
    </row>
    <row r="1413" spans="1:57" x14ac:dyDescent="0.3">
      <c r="A1413">
        <v>1525008545</v>
      </c>
      <c r="B1413">
        <v>1525008554</v>
      </c>
      <c r="C1413" t="str">
        <f>T("소년연애담 28화")</f>
        <v>소년연애담 28화</v>
      </c>
      <c r="D1413" t="str">
        <f>T("28")</f>
        <v>28</v>
      </c>
      <c r="E1413" t="str">
        <f>T("나나코")</f>
        <v>나나코</v>
      </c>
      <c r="H1413" t="str">
        <f>T("블러쉬")</f>
        <v>블러쉬</v>
      </c>
      <c r="I1413" t="str">
        <f>T("소년연애담")</f>
        <v>소년연애담</v>
      </c>
      <c r="J1413">
        <v>100</v>
      </c>
      <c r="K1413">
        <v>100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100</v>
      </c>
      <c r="AH1413">
        <v>1</v>
      </c>
      <c r="AI1413">
        <v>0</v>
      </c>
      <c r="AJ1413">
        <v>0</v>
      </c>
      <c r="AK1413">
        <v>100</v>
      </c>
      <c r="AL1413">
        <v>0</v>
      </c>
      <c r="AM1413">
        <v>0</v>
      </c>
      <c r="AN1413">
        <v>0</v>
      </c>
      <c r="AO1413">
        <v>0</v>
      </c>
      <c r="AQ1413">
        <v>0</v>
      </c>
      <c r="AR1413">
        <v>0</v>
      </c>
      <c r="AT1413">
        <v>0</v>
      </c>
      <c r="AU1413">
        <v>0</v>
      </c>
      <c r="AW1413">
        <v>0</v>
      </c>
      <c r="AX1413">
        <v>0</v>
      </c>
      <c r="AY1413">
        <v>70</v>
      </c>
      <c r="BA1413" t="str">
        <f>T("0000000000000")</f>
        <v>0000000000000</v>
      </c>
      <c r="BC1413" t="str">
        <f>T("9791164890729")</f>
        <v>9791164890729</v>
      </c>
      <c r="BD1413" t="str">
        <f>T("B12")</f>
        <v>B12</v>
      </c>
      <c r="BE1413" t="str">
        <f>T("BL 웹소설 &gt; 현대물")</f>
        <v>BL 웹소설 &gt; 현대물</v>
      </c>
    </row>
    <row r="1414" spans="1:57" x14ac:dyDescent="0.3">
      <c r="A1414">
        <v>1525008428</v>
      </c>
      <c r="B1414">
        <v>1525008506</v>
      </c>
      <c r="C1414" t="str">
        <f>T("무히비(Muhibbi) 90화")</f>
        <v>무히비(Muhibbi) 90화</v>
      </c>
      <c r="D1414" t="str">
        <f>T("90")</f>
        <v>90</v>
      </c>
      <c r="E1414" t="str">
        <f>T("jooki")</f>
        <v>jooki</v>
      </c>
      <c r="H1414" t="str">
        <f>T("블러쉬")</f>
        <v>블러쉬</v>
      </c>
      <c r="I1414" t="str">
        <f>T("무히비(Muhibbi)")</f>
        <v>무히비(Muhibbi)</v>
      </c>
      <c r="J1414">
        <v>100</v>
      </c>
      <c r="K1414">
        <v>100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100</v>
      </c>
      <c r="AH1414">
        <v>1</v>
      </c>
      <c r="AI1414">
        <v>0</v>
      </c>
      <c r="AJ1414">
        <v>0</v>
      </c>
      <c r="AK1414">
        <v>100</v>
      </c>
      <c r="AL1414">
        <v>0</v>
      </c>
      <c r="AM1414">
        <v>0</v>
      </c>
      <c r="AN1414">
        <v>0</v>
      </c>
      <c r="AO1414">
        <v>0</v>
      </c>
      <c r="AQ1414">
        <v>0</v>
      </c>
      <c r="AR1414">
        <v>0</v>
      </c>
      <c r="AT1414">
        <v>0</v>
      </c>
      <c r="AU1414">
        <v>0</v>
      </c>
      <c r="AW1414">
        <v>0</v>
      </c>
      <c r="AX1414">
        <v>0</v>
      </c>
      <c r="AY1414">
        <v>70</v>
      </c>
      <c r="BA1414" t="str">
        <f>T("0000000000000")</f>
        <v>0000000000000</v>
      </c>
      <c r="BC1414" t="str">
        <f>T("9791164896622")</f>
        <v>9791164896622</v>
      </c>
      <c r="BE1414" t="str">
        <f>T("BL 웹소설 &gt; 역사/시대물")</f>
        <v>BL 웹소설 &gt; 역사/시대물</v>
      </c>
    </row>
    <row r="1415" spans="1:57" x14ac:dyDescent="0.3">
      <c r="A1415">
        <v>1525012551</v>
      </c>
      <c r="B1415">
        <v>1525012619</v>
      </c>
      <c r="C1415" t="str">
        <f>T("개정판 | 바보가 만드는 멋진 세상 69화")</f>
        <v>개정판 | 바보가 만드는 멋진 세상 69화</v>
      </c>
      <c r="D1415" t="str">
        <f>T("69")</f>
        <v>69</v>
      </c>
      <c r="E1415" t="str">
        <f>T("백범(白帆)")</f>
        <v>백범(白帆)</v>
      </c>
      <c r="H1415" t="str">
        <f>T("에필로그")</f>
        <v>에필로그</v>
      </c>
      <c r="I1415" t="str">
        <f>T("개정판 | 바보가 만드는 멋진 세상")</f>
        <v>개정판 | 바보가 만드는 멋진 세상</v>
      </c>
      <c r="J1415">
        <v>100</v>
      </c>
      <c r="K1415">
        <v>100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100</v>
      </c>
      <c r="AH1415">
        <v>1</v>
      </c>
      <c r="AI1415">
        <v>0</v>
      </c>
      <c r="AJ1415">
        <v>0</v>
      </c>
      <c r="AK1415">
        <v>100</v>
      </c>
      <c r="AL1415">
        <v>0</v>
      </c>
      <c r="AM1415">
        <v>0</v>
      </c>
      <c r="AN1415">
        <v>0</v>
      </c>
      <c r="AO1415">
        <v>0</v>
      </c>
      <c r="AQ1415">
        <v>0</v>
      </c>
      <c r="AR1415">
        <v>0</v>
      </c>
      <c r="AT1415">
        <v>0</v>
      </c>
      <c r="AU1415">
        <v>0</v>
      </c>
      <c r="AW1415">
        <v>0</v>
      </c>
      <c r="AX1415">
        <v>0</v>
      </c>
      <c r="AY1415">
        <v>70</v>
      </c>
      <c r="BC1415" t="str">
        <f>T("9791166003493")</f>
        <v>9791166003493</v>
      </c>
      <c r="BE1415" t="str">
        <f>T("판타지 웹소설 &gt; 현대 판타지")</f>
        <v>판타지 웹소설 &gt; 현대 판타지</v>
      </c>
    </row>
    <row r="1416" spans="1:57" x14ac:dyDescent="0.3">
      <c r="A1416">
        <v>1525000924</v>
      </c>
      <c r="B1416">
        <v>1525000952</v>
      </c>
      <c r="C1416" t="str">
        <f>T("스피릿 소드 29화")</f>
        <v>스피릿 소드 29화</v>
      </c>
      <c r="D1416" t="str">
        <f>T("29")</f>
        <v>29</v>
      </c>
      <c r="E1416" t="str">
        <f>T("김정률")</f>
        <v>김정률</v>
      </c>
      <c r="H1416" t="str">
        <f>T("스토리위즈")</f>
        <v>스토리위즈</v>
      </c>
      <c r="I1416" t="str">
        <f>T("스피릿 소드")</f>
        <v>스피릿 소드</v>
      </c>
      <c r="J1416">
        <v>100</v>
      </c>
      <c r="K1416">
        <v>100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100</v>
      </c>
      <c r="AH1416">
        <v>1</v>
      </c>
      <c r="AI1416">
        <v>0</v>
      </c>
      <c r="AJ1416">
        <v>0</v>
      </c>
      <c r="AK1416">
        <v>100</v>
      </c>
      <c r="AL1416">
        <v>0</v>
      </c>
      <c r="AM1416">
        <v>0</v>
      </c>
      <c r="AN1416">
        <v>0</v>
      </c>
      <c r="AO1416">
        <v>0</v>
      </c>
      <c r="AQ1416">
        <v>0</v>
      </c>
      <c r="AR1416">
        <v>0</v>
      </c>
      <c r="AT1416">
        <v>0</v>
      </c>
      <c r="AU1416">
        <v>0</v>
      </c>
      <c r="AW1416">
        <v>0</v>
      </c>
      <c r="AX1416">
        <v>0</v>
      </c>
      <c r="AY1416">
        <v>70</v>
      </c>
      <c r="BA1416" t="str">
        <f>T("9791159282713")</f>
        <v>9791159282713</v>
      </c>
      <c r="BC1416" t="str">
        <f>T("9791159282713")</f>
        <v>9791159282713</v>
      </c>
      <c r="BE1416" t="str">
        <f>T("판타지 웹소설 &gt; 정통 판타지")</f>
        <v>판타지 웹소설 &gt; 정통 판타지</v>
      </c>
    </row>
    <row r="1417" spans="1:57" x14ac:dyDescent="0.3">
      <c r="A1417">
        <v>1525004030</v>
      </c>
      <c r="B1417">
        <v>1525007058</v>
      </c>
      <c r="C1417" t="str">
        <f>T("회귀의 전설 2부 942화")</f>
        <v>회귀의 전설 2부 942화</v>
      </c>
      <c r="D1417" t="str">
        <f>T("942")</f>
        <v>942</v>
      </c>
      <c r="E1417" t="str">
        <f>T("김광수")</f>
        <v>김광수</v>
      </c>
      <c r="H1417" t="str">
        <f>T("스토리위즈")</f>
        <v>스토리위즈</v>
      </c>
      <c r="I1417" t="str">
        <f>T("회귀의 전설")</f>
        <v>회귀의 전설</v>
      </c>
      <c r="J1417">
        <v>100</v>
      </c>
      <c r="K1417">
        <v>100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100</v>
      </c>
      <c r="AH1417">
        <v>1</v>
      </c>
      <c r="AI1417">
        <v>0</v>
      </c>
      <c r="AJ1417">
        <v>0</v>
      </c>
      <c r="AK1417">
        <v>100</v>
      </c>
      <c r="AL1417">
        <v>0</v>
      </c>
      <c r="AM1417">
        <v>0</v>
      </c>
      <c r="AN1417">
        <v>0</v>
      </c>
      <c r="AO1417">
        <v>0</v>
      </c>
      <c r="AQ1417">
        <v>0</v>
      </c>
      <c r="AR1417">
        <v>0</v>
      </c>
      <c r="AT1417">
        <v>0</v>
      </c>
      <c r="AU1417">
        <v>0</v>
      </c>
      <c r="AW1417">
        <v>0</v>
      </c>
      <c r="AX1417">
        <v>0</v>
      </c>
      <c r="AY1417">
        <v>70</v>
      </c>
      <c r="BC1417" t="str">
        <f>T("9791191102086")</f>
        <v>9791191102086</v>
      </c>
      <c r="BE1417" t="str">
        <f>T("판타지 웹소설 &gt; 현대 판타지")</f>
        <v>판타지 웹소설 &gt; 현대 판타지</v>
      </c>
    </row>
    <row r="1418" spans="1:57" x14ac:dyDescent="0.3">
      <c r="A1418">
        <v>1525004030</v>
      </c>
      <c r="B1418">
        <v>1525006686</v>
      </c>
      <c r="C1418" t="str">
        <f>T("회귀의 전설 2부 569화")</f>
        <v>회귀의 전설 2부 569화</v>
      </c>
      <c r="D1418" t="str">
        <f>T("569")</f>
        <v>569</v>
      </c>
      <c r="E1418" t="str">
        <f>T("김광수")</f>
        <v>김광수</v>
      </c>
      <c r="H1418" t="str">
        <f>T("스토리위즈")</f>
        <v>스토리위즈</v>
      </c>
      <c r="I1418" t="str">
        <f>T("회귀의 전설")</f>
        <v>회귀의 전설</v>
      </c>
      <c r="J1418">
        <v>100</v>
      </c>
      <c r="K1418">
        <v>100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100</v>
      </c>
      <c r="AH1418">
        <v>1</v>
      </c>
      <c r="AI1418">
        <v>0</v>
      </c>
      <c r="AJ1418">
        <v>0</v>
      </c>
      <c r="AK1418">
        <v>100</v>
      </c>
      <c r="AL1418">
        <v>0</v>
      </c>
      <c r="AM1418">
        <v>0</v>
      </c>
      <c r="AN1418">
        <v>0</v>
      </c>
      <c r="AO1418">
        <v>0</v>
      </c>
      <c r="AQ1418">
        <v>0</v>
      </c>
      <c r="AR1418">
        <v>0</v>
      </c>
      <c r="AT1418">
        <v>0</v>
      </c>
      <c r="AU1418">
        <v>0</v>
      </c>
      <c r="AW1418">
        <v>0</v>
      </c>
      <c r="AX1418">
        <v>0</v>
      </c>
      <c r="AY1418">
        <v>70</v>
      </c>
      <c r="BC1418" t="str">
        <f>T("9791191102086")</f>
        <v>9791191102086</v>
      </c>
      <c r="BE1418" t="str">
        <f>T("판타지 웹소설 &gt; 현대 판타지")</f>
        <v>판타지 웹소설 &gt; 현대 판타지</v>
      </c>
    </row>
    <row r="1419" spans="1:57" x14ac:dyDescent="0.3">
      <c r="A1419">
        <v>1525012551</v>
      </c>
      <c r="B1419">
        <v>1525012578</v>
      </c>
      <c r="C1419" t="str">
        <f>T("개정판 | 바보가 만드는 멋진 세상 28화")</f>
        <v>개정판 | 바보가 만드는 멋진 세상 28화</v>
      </c>
      <c r="D1419" t="str">
        <f>T("28")</f>
        <v>28</v>
      </c>
      <c r="E1419" t="str">
        <f>T("백범(白帆)")</f>
        <v>백범(白帆)</v>
      </c>
      <c r="H1419" t="str">
        <f>T("에필로그")</f>
        <v>에필로그</v>
      </c>
      <c r="I1419" t="str">
        <f>T("개정판 | 바보가 만드는 멋진 세상")</f>
        <v>개정판 | 바보가 만드는 멋진 세상</v>
      </c>
      <c r="J1419">
        <v>100</v>
      </c>
      <c r="K1419">
        <v>100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100</v>
      </c>
      <c r="AH1419">
        <v>1</v>
      </c>
      <c r="AI1419">
        <v>0</v>
      </c>
      <c r="AJ1419">
        <v>0</v>
      </c>
      <c r="AK1419">
        <v>100</v>
      </c>
      <c r="AL1419">
        <v>0</v>
      </c>
      <c r="AM1419">
        <v>0</v>
      </c>
      <c r="AN1419">
        <v>0</v>
      </c>
      <c r="AO1419">
        <v>0</v>
      </c>
      <c r="AQ1419">
        <v>0</v>
      </c>
      <c r="AR1419">
        <v>0</v>
      </c>
      <c r="AT1419">
        <v>0</v>
      </c>
      <c r="AU1419">
        <v>0</v>
      </c>
      <c r="AW1419">
        <v>0</v>
      </c>
      <c r="AX1419">
        <v>0</v>
      </c>
      <c r="AY1419">
        <v>70</v>
      </c>
      <c r="BC1419" t="str">
        <f>T("9791166003493")</f>
        <v>9791166003493</v>
      </c>
      <c r="BE1419" t="str">
        <f>T("판타지 웹소설 &gt; 현대 판타지")</f>
        <v>판타지 웹소설 &gt; 현대 판타지</v>
      </c>
    </row>
    <row r="1420" spans="1:57" x14ac:dyDescent="0.3">
      <c r="A1420">
        <v>1525013020</v>
      </c>
      <c r="B1420">
        <v>1525013099</v>
      </c>
      <c r="C1420" t="str">
        <f>T("악당의 리턴 80화")</f>
        <v>악당의 리턴 80화</v>
      </c>
      <c r="D1420" t="str">
        <f>T("80")</f>
        <v>80</v>
      </c>
      <c r="E1420" t="str">
        <f>T("백범(白帆)")</f>
        <v>백범(白帆)</v>
      </c>
      <c r="H1420" t="str">
        <f>T("에필로그")</f>
        <v>에필로그</v>
      </c>
      <c r="I1420" t="str">
        <f>T("악당의 리턴")</f>
        <v>악당의 리턴</v>
      </c>
      <c r="J1420">
        <v>100</v>
      </c>
      <c r="K1420">
        <v>100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100</v>
      </c>
      <c r="AH1420">
        <v>1</v>
      </c>
      <c r="AI1420">
        <v>0</v>
      </c>
      <c r="AJ1420">
        <v>0</v>
      </c>
      <c r="AK1420">
        <v>100</v>
      </c>
      <c r="AL1420">
        <v>0</v>
      </c>
      <c r="AM1420">
        <v>0</v>
      </c>
      <c r="AN1420">
        <v>0</v>
      </c>
      <c r="AO1420">
        <v>0</v>
      </c>
      <c r="AQ1420">
        <v>0</v>
      </c>
      <c r="AR1420">
        <v>0</v>
      </c>
      <c r="AT1420">
        <v>0</v>
      </c>
      <c r="AU1420">
        <v>0</v>
      </c>
      <c r="AW1420">
        <v>0</v>
      </c>
      <c r="AX1420">
        <v>0</v>
      </c>
      <c r="AY1420">
        <v>70</v>
      </c>
      <c r="BC1420" t="str">
        <f>T("9791196538927")</f>
        <v>9791196538927</v>
      </c>
      <c r="BE1420" t="str">
        <f>T("판타지 웹소설 &gt; 현대 판타지")</f>
        <v>판타지 웹소설 &gt; 현대 판타지</v>
      </c>
    </row>
    <row r="1421" spans="1:57" x14ac:dyDescent="0.3">
      <c r="A1421">
        <v>1525007923</v>
      </c>
      <c r="B1421">
        <v>1525007903</v>
      </c>
      <c r="C1421" t="str">
        <f>T("운상연담: 화불능귀일락 104화")</f>
        <v>운상연담: 화불능귀일락 104화</v>
      </c>
      <c r="D1421" t="str">
        <f>T("104")</f>
        <v>104</v>
      </c>
      <c r="E1421" t="str">
        <f>T("피모")</f>
        <v>피모</v>
      </c>
      <c r="H1421" t="str">
        <f>T("쉬라즈")</f>
        <v>쉬라즈</v>
      </c>
      <c r="I1421" t="str">
        <f>T("운상연담: 화불능귀일락")</f>
        <v>운상연담: 화불능귀일락</v>
      </c>
      <c r="J1421">
        <v>100</v>
      </c>
      <c r="K1421">
        <v>100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100</v>
      </c>
      <c r="AH1421">
        <v>1</v>
      </c>
      <c r="AI1421">
        <v>0</v>
      </c>
      <c r="AJ1421">
        <v>0</v>
      </c>
      <c r="AK1421">
        <v>100</v>
      </c>
      <c r="AL1421">
        <v>0</v>
      </c>
      <c r="AM1421">
        <v>0</v>
      </c>
      <c r="AN1421">
        <v>0</v>
      </c>
      <c r="AO1421">
        <v>0</v>
      </c>
      <c r="AQ1421">
        <v>0</v>
      </c>
      <c r="AR1421">
        <v>0</v>
      </c>
      <c r="AT1421">
        <v>0</v>
      </c>
      <c r="AU1421">
        <v>0</v>
      </c>
      <c r="AW1421">
        <v>0</v>
      </c>
      <c r="AX1421">
        <v>0</v>
      </c>
      <c r="AY1421">
        <v>70</v>
      </c>
      <c r="BC1421" t="str">
        <f>T("9791164896646")</f>
        <v>9791164896646</v>
      </c>
      <c r="BE1421" t="str">
        <f>T("로맨스 웹소설 &gt; 역사/시대물")</f>
        <v>로맨스 웹소설 &gt; 역사/시대물</v>
      </c>
    </row>
    <row r="1422" spans="1:57" x14ac:dyDescent="0.3">
      <c r="A1422">
        <v>1525012551</v>
      </c>
      <c r="B1422">
        <v>1525012660</v>
      </c>
      <c r="C1422" t="str">
        <f>T("개정판 | 바보가 만드는 멋진 세상 110화")</f>
        <v>개정판 | 바보가 만드는 멋진 세상 110화</v>
      </c>
      <c r="D1422" t="str">
        <f>T("110")</f>
        <v>110</v>
      </c>
      <c r="E1422" t="str">
        <f>T("백범(白帆)")</f>
        <v>백범(白帆)</v>
      </c>
      <c r="H1422" t="str">
        <f>T("에필로그")</f>
        <v>에필로그</v>
      </c>
      <c r="I1422" t="str">
        <f>T("개정판 | 바보가 만드는 멋진 세상")</f>
        <v>개정판 | 바보가 만드는 멋진 세상</v>
      </c>
      <c r="J1422">
        <v>100</v>
      </c>
      <c r="K1422">
        <v>100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100</v>
      </c>
      <c r="AH1422">
        <v>1</v>
      </c>
      <c r="AI1422">
        <v>0</v>
      </c>
      <c r="AJ1422">
        <v>0</v>
      </c>
      <c r="AK1422">
        <v>100</v>
      </c>
      <c r="AL1422">
        <v>0</v>
      </c>
      <c r="AM1422">
        <v>0</v>
      </c>
      <c r="AN1422">
        <v>0</v>
      </c>
      <c r="AO1422">
        <v>0</v>
      </c>
      <c r="AQ1422">
        <v>0</v>
      </c>
      <c r="AR1422">
        <v>0</v>
      </c>
      <c r="AT1422">
        <v>0</v>
      </c>
      <c r="AU1422">
        <v>0</v>
      </c>
      <c r="AW1422">
        <v>0</v>
      </c>
      <c r="AX1422">
        <v>0</v>
      </c>
      <c r="AY1422">
        <v>70</v>
      </c>
      <c r="BC1422" t="str">
        <f>T("9791166003493")</f>
        <v>9791166003493</v>
      </c>
      <c r="BE1422" t="str">
        <f>T("판타지 웹소설 &gt; 현대 판타지")</f>
        <v>판타지 웹소설 &gt; 현대 판타지</v>
      </c>
    </row>
    <row r="1423" spans="1:57" x14ac:dyDescent="0.3">
      <c r="A1423">
        <v>1525012551</v>
      </c>
      <c r="B1423">
        <v>1525012758</v>
      </c>
      <c r="C1423" t="str">
        <f>T("개정판 | 바보가 만드는 멋진 세상 208화")</f>
        <v>개정판 | 바보가 만드는 멋진 세상 208화</v>
      </c>
      <c r="D1423" t="str">
        <f>T("208")</f>
        <v>208</v>
      </c>
      <c r="E1423" t="str">
        <f>T("백범(白帆)")</f>
        <v>백범(白帆)</v>
      </c>
      <c r="H1423" t="str">
        <f>T("에필로그")</f>
        <v>에필로그</v>
      </c>
      <c r="I1423" t="str">
        <f>T("개정판 | 바보가 만드는 멋진 세상")</f>
        <v>개정판 | 바보가 만드는 멋진 세상</v>
      </c>
      <c r="J1423">
        <v>100</v>
      </c>
      <c r="K1423">
        <v>100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100</v>
      </c>
      <c r="AH1423">
        <v>1</v>
      </c>
      <c r="AI1423">
        <v>0</v>
      </c>
      <c r="AJ1423">
        <v>0</v>
      </c>
      <c r="AK1423">
        <v>100</v>
      </c>
      <c r="AL1423">
        <v>0</v>
      </c>
      <c r="AM1423">
        <v>0</v>
      </c>
      <c r="AN1423">
        <v>0</v>
      </c>
      <c r="AO1423">
        <v>0</v>
      </c>
      <c r="AQ1423">
        <v>0</v>
      </c>
      <c r="AR1423">
        <v>0</v>
      </c>
      <c r="AT1423">
        <v>0</v>
      </c>
      <c r="AU1423">
        <v>0</v>
      </c>
      <c r="AW1423">
        <v>0</v>
      </c>
      <c r="AX1423">
        <v>0</v>
      </c>
      <c r="AY1423">
        <v>70</v>
      </c>
      <c r="BC1423" t="str">
        <f>T("9791166003493")</f>
        <v>9791166003493</v>
      </c>
      <c r="BE1423" t="str">
        <f>T("판타지 웹소설 &gt; 현대 판타지")</f>
        <v>판타지 웹소설 &gt; 현대 판타지</v>
      </c>
    </row>
    <row r="1424" spans="1:57" x14ac:dyDescent="0.3">
      <c r="A1424">
        <v>1525004799</v>
      </c>
      <c r="B1424">
        <v>1525004831</v>
      </c>
      <c r="C1424" t="str">
        <f>T("검산도해 33화")</f>
        <v>검산도해 33화</v>
      </c>
      <c r="D1424" t="str">
        <f>T("33")</f>
        <v>33</v>
      </c>
      <c r="E1424" t="str">
        <f>T("권용찬")</f>
        <v>권용찬</v>
      </c>
      <c r="H1424" t="str">
        <f>T("스토리위즈")</f>
        <v>스토리위즈</v>
      </c>
      <c r="I1424" t="str">
        <f>T("검산도해")</f>
        <v>검산도해</v>
      </c>
      <c r="J1424">
        <v>100</v>
      </c>
      <c r="K1424">
        <v>100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100</v>
      </c>
      <c r="AH1424">
        <v>1</v>
      </c>
      <c r="AI1424">
        <v>0</v>
      </c>
      <c r="AJ1424">
        <v>0</v>
      </c>
      <c r="AK1424">
        <v>0</v>
      </c>
      <c r="AL1424">
        <v>0</v>
      </c>
      <c r="AM1424">
        <v>120</v>
      </c>
      <c r="AN1424">
        <v>-12</v>
      </c>
      <c r="AO1424">
        <v>0</v>
      </c>
      <c r="AQ1424">
        <v>0</v>
      </c>
      <c r="AR1424">
        <v>0</v>
      </c>
      <c r="AS1424">
        <v>120</v>
      </c>
      <c r="AT1424">
        <v>-12</v>
      </c>
      <c r="AU1424">
        <v>0</v>
      </c>
      <c r="AW1424">
        <v>0</v>
      </c>
      <c r="AX1424">
        <v>0</v>
      </c>
      <c r="AY1424">
        <v>75.599999999999994</v>
      </c>
      <c r="BC1424" t="str">
        <f>T("9791159285936")</f>
        <v>9791159285936</v>
      </c>
      <c r="BE1424" t="str">
        <f>T("판타지 웹소설 &gt; 무협 소설")</f>
        <v>판타지 웹소설 &gt; 무협 소설</v>
      </c>
    </row>
    <row r="1425" spans="1:57" x14ac:dyDescent="0.3">
      <c r="A1425">
        <v>1525004799</v>
      </c>
      <c r="B1425">
        <v>1525004888</v>
      </c>
      <c r="C1425" t="str">
        <f>T("검산도해 90화")</f>
        <v>검산도해 90화</v>
      </c>
      <c r="D1425" t="str">
        <f>T("90")</f>
        <v>90</v>
      </c>
      <c r="E1425" t="str">
        <f>T("권용찬")</f>
        <v>권용찬</v>
      </c>
      <c r="H1425" t="str">
        <f>T("스토리위즈")</f>
        <v>스토리위즈</v>
      </c>
      <c r="I1425" t="str">
        <f>T("검산도해")</f>
        <v>검산도해</v>
      </c>
      <c r="J1425">
        <v>100</v>
      </c>
      <c r="K1425">
        <v>100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100</v>
      </c>
      <c r="AH1425">
        <v>1</v>
      </c>
      <c r="AI1425">
        <v>0</v>
      </c>
      <c r="AJ1425">
        <v>0</v>
      </c>
      <c r="AK1425">
        <v>0</v>
      </c>
      <c r="AL1425">
        <v>0</v>
      </c>
      <c r="AM1425">
        <v>120</v>
      </c>
      <c r="AN1425">
        <v>-12</v>
      </c>
      <c r="AO1425">
        <v>0</v>
      </c>
      <c r="AQ1425">
        <v>0</v>
      </c>
      <c r="AR1425">
        <v>0</v>
      </c>
      <c r="AS1425">
        <v>120</v>
      </c>
      <c r="AT1425">
        <v>-12</v>
      </c>
      <c r="AU1425">
        <v>0</v>
      </c>
      <c r="AW1425">
        <v>0</v>
      </c>
      <c r="AX1425">
        <v>0</v>
      </c>
      <c r="AY1425">
        <v>75.599999999999994</v>
      </c>
      <c r="BC1425" t="str">
        <f>T("9791159285936")</f>
        <v>9791159285936</v>
      </c>
      <c r="BE1425" t="str">
        <f>T("판타지 웹소설 &gt; 무협 소설")</f>
        <v>판타지 웹소설 &gt; 무협 소설</v>
      </c>
    </row>
    <row r="1426" spans="1:57" x14ac:dyDescent="0.3">
      <c r="A1426">
        <v>1525004030</v>
      </c>
      <c r="B1426">
        <v>1525007075</v>
      </c>
      <c r="C1426" t="str">
        <f>T("회귀의 전설 2부 959화")</f>
        <v>회귀의 전설 2부 959화</v>
      </c>
      <c r="D1426" t="str">
        <f>T("959")</f>
        <v>959</v>
      </c>
      <c r="E1426" t="str">
        <f>T("김광수")</f>
        <v>김광수</v>
      </c>
      <c r="H1426" t="str">
        <f>T("스토리위즈")</f>
        <v>스토리위즈</v>
      </c>
      <c r="I1426" t="str">
        <f>T("회귀의 전설")</f>
        <v>회귀의 전설</v>
      </c>
      <c r="J1426">
        <v>100</v>
      </c>
      <c r="K1426">
        <v>100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100</v>
      </c>
      <c r="AH1426">
        <v>1</v>
      </c>
      <c r="AI1426">
        <v>0</v>
      </c>
      <c r="AJ1426">
        <v>0</v>
      </c>
      <c r="AK1426">
        <v>100</v>
      </c>
      <c r="AL1426">
        <v>0</v>
      </c>
      <c r="AM1426">
        <v>0</v>
      </c>
      <c r="AN1426">
        <v>0</v>
      </c>
      <c r="AO1426">
        <v>0</v>
      </c>
      <c r="AQ1426">
        <v>0</v>
      </c>
      <c r="AR1426">
        <v>0</v>
      </c>
      <c r="AT1426">
        <v>0</v>
      </c>
      <c r="AU1426">
        <v>0</v>
      </c>
      <c r="AW1426">
        <v>0</v>
      </c>
      <c r="AX1426">
        <v>0</v>
      </c>
      <c r="AY1426">
        <v>70</v>
      </c>
      <c r="BC1426" t="str">
        <f>T("9791191102086")</f>
        <v>9791191102086</v>
      </c>
      <c r="BE1426" t="str">
        <f>T("판타지 웹소설 &gt; 현대 판타지")</f>
        <v>판타지 웹소설 &gt; 현대 판타지</v>
      </c>
    </row>
    <row r="1427" spans="1:57" x14ac:dyDescent="0.3">
      <c r="A1427">
        <v>1525004030</v>
      </c>
      <c r="B1427">
        <v>1525004546</v>
      </c>
      <c r="C1427" t="str">
        <f>T("회귀의 전설 523화")</f>
        <v>회귀의 전설 523화</v>
      </c>
      <c r="D1427" t="str">
        <f>T("523")</f>
        <v>523</v>
      </c>
      <c r="E1427" t="str">
        <f>T("김광수")</f>
        <v>김광수</v>
      </c>
      <c r="H1427" t="str">
        <f>T("스토리위즈")</f>
        <v>스토리위즈</v>
      </c>
      <c r="I1427" t="str">
        <f>T("회귀의 전설")</f>
        <v>회귀의 전설</v>
      </c>
      <c r="J1427">
        <v>100</v>
      </c>
      <c r="K1427">
        <v>100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100</v>
      </c>
      <c r="AH1427">
        <v>1</v>
      </c>
      <c r="AI1427">
        <v>0</v>
      </c>
      <c r="AJ1427">
        <v>0</v>
      </c>
      <c r="AK1427">
        <v>100</v>
      </c>
      <c r="AL1427">
        <v>0</v>
      </c>
      <c r="AM1427">
        <v>0</v>
      </c>
      <c r="AN1427">
        <v>0</v>
      </c>
      <c r="AO1427">
        <v>0</v>
      </c>
      <c r="AQ1427">
        <v>0</v>
      </c>
      <c r="AR1427">
        <v>0</v>
      </c>
      <c r="AT1427">
        <v>0</v>
      </c>
      <c r="AU1427">
        <v>0</v>
      </c>
      <c r="AW1427">
        <v>0</v>
      </c>
      <c r="AX1427">
        <v>0</v>
      </c>
      <c r="AY1427">
        <v>70</v>
      </c>
      <c r="BC1427" t="str">
        <f>T("9788997946006")</f>
        <v>9788997946006</v>
      </c>
      <c r="BE1427" t="str">
        <f>T("판타지 웹소설 &gt; 현대 판타지")</f>
        <v>판타지 웹소설 &gt; 현대 판타지</v>
      </c>
    </row>
    <row r="1428" spans="1:57" x14ac:dyDescent="0.3">
      <c r="A1428">
        <v>1525004030</v>
      </c>
      <c r="B1428">
        <v>1525004261</v>
      </c>
      <c r="C1428" t="str">
        <f>T("회귀의 전설 232화")</f>
        <v>회귀의 전설 232화</v>
      </c>
      <c r="D1428" t="str">
        <f>T("232")</f>
        <v>232</v>
      </c>
      <c r="E1428" t="str">
        <f>T("김광수")</f>
        <v>김광수</v>
      </c>
      <c r="H1428" t="str">
        <f>T("스토리위즈")</f>
        <v>스토리위즈</v>
      </c>
      <c r="I1428" t="str">
        <f>T("회귀의 전설")</f>
        <v>회귀의 전설</v>
      </c>
      <c r="J1428">
        <v>100</v>
      </c>
      <c r="K1428">
        <v>100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100</v>
      </c>
      <c r="AH1428">
        <v>1</v>
      </c>
      <c r="AI1428">
        <v>0</v>
      </c>
      <c r="AJ1428">
        <v>0</v>
      </c>
      <c r="AK1428">
        <v>100</v>
      </c>
      <c r="AL1428">
        <v>0</v>
      </c>
      <c r="AM1428">
        <v>0</v>
      </c>
      <c r="AN1428">
        <v>0</v>
      </c>
      <c r="AO1428">
        <v>0</v>
      </c>
      <c r="AQ1428">
        <v>0</v>
      </c>
      <c r="AR1428">
        <v>0</v>
      </c>
      <c r="AT1428">
        <v>0</v>
      </c>
      <c r="AU1428">
        <v>0</v>
      </c>
      <c r="AW1428">
        <v>0</v>
      </c>
      <c r="AX1428">
        <v>0</v>
      </c>
      <c r="AY1428">
        <v>70</v>
      </c>
      <c r="BC1428" t="str">
        <f>T("9788997946006")</f>
        <v>9788997946006</v>
      </c>
      <c r="BE1428" t="str">
        <f>T("판타지 웹소설 &gt; 현대 판타지")</f>
        <v>판타지 웹소설 &gt; 현대 판타지</v>
      </c>
    </row>
    <row r="1429" spans="1:57" x14ac:dyDescent="0.3">
      <c r="A1429">
        <v>1525015018</v>
      </c>
      <c r="B1429">
        <v>1525015035</v>
      </c>
      <c r="C1429" t="str">
        <f>T("그녀들은 소꿉친구지, 그 이상은 곤란합니다 18화")</f>
        <v>그녀들은 소꿉친구지, 그 이상은 곤란합니다 18화</v>
      </c>
      <c r="D1429" t="str">
        <f>T("18")</f>
        <v>18</v>
      </c>
      <c r="E1429" t="str">
        <f>T("자이오")</f>
        <v>자이오</v>
      </c>
      <c r="H1429" t="str">
        <f>T("스토리아크")</f>
        <v>스토리아크</v>
      </c>
      <c r="I1429" t="str">
        <f>T("그녀들은 소꿉친구지, 그 이상은 곤란합니다")</f>
        <v>그녀들은 소꿉친구지, 그 이상은 곤란합니다</v>
      </c>
      <c r="J1429">
        <v>100</v>
      </c>
      <c r="K1429">
        <v>100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100</v>
      </c>
      <c r="AH1429">
        <v>1</v>
      </c>
      <c r="AI1429">
        <v>0</v>
      </c>
      <c r="AJ1429">
        <v>0</v>
      </c>
      <c r="AK1429">
        <v>100</v>
      </c>
      <c r="AL1429">
        <v>0</v>
      </c>
      <c r="AM1429">
        <v>0</v>
      </c>
      <c r="AN1429">
        <v>0</v>
      </c>
      <c r="AO1429">
        <v>0</v>
      </c>
      <c r="AQ1429">
        <v>0</v>
      </c>
      <c r="AR1429">
        <v>0</v>
      </c>
      <c r="AT1429">
        <v>0</v>
      </c>
      <c r="AU1429">
        <v>0</v>
      </c>
      <c r="AW1429">
        <v>0</v>
      </c>
      <c r="AX1429">
        <v>0</v>
      </c>
      <c r="AY1429">
        <v>70</v>
      </c>
      <c r="BC1429" t="str">
        <f>T("9791191039313")</f>
        <v>9791191039313</v>
      </c>
      <c r="BE1429" t="str">
        <f>T("판타지 웹소설 &gt; 퓨전 판타지")</f>
        <v>판타지 웹소설 &gt; 퓨전 판타지</v>
      </c>
    </row>
    <row r="1430" spans="1:57" x14ac:dyDescent="0.3">
      <c r="A1430">
        <v>1525002864</v>
      </c>
      <c r="B1430">
        <v>1525002898</v>
      </c>
      <c r="C1430" t="str">
        <f>T("소드마스터의 환생 35화")</f>
        <v>소드마스터의 환생 35화</v>
      </c>
      <c r="D1430" t="str">
        <f>T("35")</f>
        <v>35</v>
      </c>
      <c r="E1430" t="str">
        <f>T("파란영")</f>
        <v>파란영</v>
      </c>
      <c r="H1430" t="str">
        <f>T("스토리위즈")</f>
        <v>스토리위즈</v>
      </c>
      <c r="I1430" t="str">
        <f>T("소드마스터의 환생")</f>
        <v>소드마스터의 환생</v>
      </c>
      <c r="J1430">
        <v>100</v>
      </c>
      <c r="K1430">
        <v>100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100</v>
      </c>
      <c r="AH1430">
        <v>1</v>
      </c>
      <c r="AI1430">
        <v>0</v>
      </c>
      <c r="AJ1430">
        <v>0</v>
      </c>
      <c r="AK1430">
        <v>100</v>
      </c>
      <c r="AL1430">
        <v>0</v>
      </c>
      <c r="AM1430">
        <v>0</v>
      </c>
      <c r="AN1430">
        <v>0</v>
      </c>
      <c r="AO1430">
        <v>0</v>
      </c>
      <c r="AQ1430">
        <v>0</v>
      </c>
      <c r="AR1430">
        <v>0</v>
      </c>
      <c r="AT1430">
        <v>0</v>
      </c>
      <c r="AU1430">
        <v>0</v>
      </c>
      <c r="AW1430">
        <v>0</v>
      </c>
      <c r="AX1430">
        <v>0</v>
      </c>
      <c r="AY1430">
        <v>70</v>
      </c>
      <c r="BC1430" t="str">
        <f>T("9791159287527")</f>
        <v>9791159287527</v>
      </c>
      <c r="BE1430" t="str">
        <f>T("판타지 웹소설 &gt; 정통 판타지")</f>
        <v>판타지 웹소설 &gt; 정통 판타지</v>
      </c>
    </row>
    <row r="1431" spans="1:57" x14ac:dyDescent="0.3">
      <c r="A1431">
        <v>1525013020</v>
      </c>
      <c r="B1431">
        <v>1525013116</v>
      </c>
      <c r="C1431" t="str">
        <f>T("악당의 리턴 97화")</f>
        <v>악당의 리턴 97화</v>
      </c>
      <c r="D1431" t="str">
        <f>T("97")</f>
        <v>97</v>
      </c>
      <c r="E1431" t="str">
        <f>T("백범(白帆)")</f>
        <v>백범(白帆)</v>
      </c>
      <c r="H1431" t="str">
        <f>T("에필로그")</f>
        <v>에필로그</v>
      </c>
      <c r="I1431" t="str">
        <f>T("악당의 리턴")</f>
        <v>악당의 리턴</v>
      </c>
      <c r="J1431">
        <v>100</v>
      </c>
      <c r="K1431">
        <v>100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100</v>
      </c>
      <c r="AH1431">
        <v>1</v>
      </c>
      <c r="AI1431">
        <v>0</v>
      </c>
      <c r="AJ1431">
        <v>0</v>
      </c>
      <c r="AK1431">
        <v>100</v>
      </c>
      <c r="AL1431">
        <v>0</v>
      </c>
      <c r="AM1431">
        <v>0</v>
      </c>
      <c r="AN1431">
        <v>0</v>
      </c>
      <c r="AO1431">
        <v>0</v>
      </c>
      <c r="AQ1431">
        <v>0</v>
      </c>
      <c r="AR1431">
        <v>0</v>
      </c>
      <c r="AT1431">
        <v>0</v>
      </c>
      <c r="AU1431">
        <v>0</v>
      </c>
      <c r="AW1431">
        <v>0</v>
      </c>
      <c r="AX1431">
        <v>0</v>
      </c>
      <c r="AY1431">
        <v>70</v>
      </c>
      <c r="BC1431" t="str">
        <f>T("9791196538927")</f>
        <v>9791196538927</v>
      </c>
      <c r="BE1431" t="str">
        <f>T("판타지 웹소설 &gt; 현대 판타지")</f>
        <v>판타지 웹소설 &gt; 현대 판타지</v>
      </c>
    </row>
    <row r="1432" spans="1:57" x14ac:dyDescent="0.3">
      <c r="A1432">
        <v>1525008717</v>
      </c>
      <c r="B1432">
        <v>1525008701</v>
      </c>
      <c r="C1432" t="str">
        <f>T("음양상열지사 113화")</f>
        <v>음양상열지사 113화</v>
      </c>
      <c r="D1432" t="str">
        <f>T("113")</f>
        <v>113</v>
      </c>
      <c r="E1432" t="str">
        <f>T("이염")</f>
        <v>이염</v>
      </c>
      <c r="H1432" t="str">
        <f>T("블러쉬")</f>
        <v>블러쉬</v>
      </c>
      <c r="I1432" t="str">
        <f>T("음양상열지사")</f>
        <v>음양상열지사</v>
      </c>
      <c r="J1432">
        <v>100</v>
      </c>
      <c r="K1432">
        <v>100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100</v>
      </c>
      <c r="AH1432">
        <v>1</v>
      </c>
      <c r="AI1432">
        <v>0</v>
      </c>
      <c r="AJ1432">
        <v>0</v>
      </c>
      <c r="AK1432">
        <v>100</v>
      </c>
      <c r="AL1432">
        <v>0</v>
      </c>
      <c r="AM1432">
        <v>0</v>
      </c>
      <c r="AN1432">
        <v>0</v>
      </c>
      <c r="AO1432">
        <v>0</v>
      </c>
      <c r="AQ1432">
        <v>0</v>
      </c>
      <c r="AR1432">
        <v>0</v>
      </c>
      <c r="AT1432">
        <v>0</v>
      </c>
      <c r="AU1432">
        <v>0</v>
      </c>
      <c r="AW1432">
        <v>0</v>
      </c>
      <c r="AX1432">
        <v>0</v>
      </c>
      <c r="AY1432">
        <v>70</v>
      </c>
      <c r="BA1432" t="str">
        <f>T("0000000000000")</f>
        <v>0000000000000</v>
      </c>
      <c r="BC1432" t="str">
        <f>T("9791164896639")</f>
        <v>9791164896639</v>
      </c>
      <c r="BE1432" t="str">
        <f>T("BL 웹소설 &gt; 역사/시대물")</f>
        <v>BL 웹소설 &gt; 역사/시대물</v>
      </c>
    </row>
    <row r="1433" spans="1:57" x14ac:dyDescent="0.3">
      <c r="A1433">
        <v>1525012551</v>
      </c>
      <c r="B1433">
        <v>1525012692</v>
      </c>
      <c r="C1433" t="str">
        <f>T("개정판 | 바보가 만드는 멋진 세상 142화")</f>
        <v>개정판 | 바보가 만드는 멋진 세상 142화</v>
      </c>
      <c r="D1433" t="str">
        <f>T("142")</f>
        <v>142</v>
      </c>
      <c r="E1433" t="str">
        <f>T("백범(白帆)")</f>
        <v>백범(白帆)</v>
      </c>
      <c r="H1433" t="str">
        <f>T("에필로그")</f>
        <v>에필로그</v>
      </c>
      <c r="I1433" t="str">
        <f>T("개정판 | 바보가 만드는 멋진 세상")</f>
        <v>개정판 | 바보가 만드는 멋진 세상</v>
      </c>
      <c r="J1433">
        <v>100</v>
      </c>
      <c r="K1433">
        <v>100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100</v>
      </c>
      <c r="AH1433">
        <v>1</v>
      </c>
      <c r="AI1433">
        <v>0</v>
      </c>
      <c r="AJ1433">
        <v>0</v>
      </c>
      <c r="AK1433">
        <v>100</v>
      </c>
      <c r="AL1433">
        <v>0</v>
      </c>
      <c r="AM1433">
        <v>0</v>
      </c>
      <c r="AN1433">
        <v>0</v>
      </c>
      <c r="AO1433">
        <v>0</v>
      </c>
      <c r="AQ1433">
        <v>0</v>
      </c>
      <c r="AR1433">
        <v>0</v>
      </c>
      <c r="AT1433">
        <v>0</v>
      </c>
      <c r="AU1433">
        <v>0</v>
      </c>
      <c r="AW1433">
        <v>0</v>
      </c>
      <c r="AX1433">
        <v>0</v>
      </c>
      <c r="AY1433">
        <v>70</v>
      </c>
      <c r="BC1433" t="str">
        <f>T("9791166003493")</f>
        <v>9791166003493</v>
      </c>
      <c r="BE1433" t="str">
        <f>T("판타지 웹소설 &gt; 현대 판타지")</f>
        <v>판타지 웹소설 &gt; 현대 판타지</v>
      </c>
    </row>
    <row r="1434" spans="1:57" x14ac:dyDescent="0.3">
      <c r="A1434">
        <v>1525004799</v>
      </c>
      <c r="B1434">
        <v>1525004863</v>
      </c>
      <c r="C1434" t="str">
        <f>T("검산도해 65화")</f>
        <v>검산도해 65화</v>
      </c>
      <c r="D1434" t="str">
        <f>T("65")</f>
        <v>65</v>
      </c>
      <c r="E1434" t="str">
        <f>T("권용찬")</f>
        <v>권용찬</v>
      </c>
      <c r="H1434" t="str">
        <f>T("스토리위즈")</f>
        <v>스토리위즈</v>
      </c>
      <c r="I1434" t="str">
        <f>T("검산도해")</f>
        <v>검산도해</v>
      </c>
      <c r="J1434">
        <v>100</v>
      </c>
      <c r="K1434">
        <v>100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100</v>
      </c>
      <c r="AH1434">
        <v>1</v>
      </c>
      <c r="AI1434">
        <v>0</v>
      </c>
      <c r="AJ1434">
        <v>0</v>
      </c>
      <c r="AK1434">
        <v>0</v>
      </c>
      <c r="AL1434">
        <v>0</v>
      </c>
      <c r="AM1434">
        <v>120</v>
      </c>
      <c r="AN1434">
        <v>-12</v>
      </c>
      <c r="AO1434">
        <v>0</v>
      </c>
      <c r="AQ1434">
        <v>0</v>
      </c>
      <c r="AR1434">
        <v>0</v>
      </c>
      <c r="AS1434">
        <v>120</v>
      </c>
      <c r="AT1434">
        <v>-12</v>
      </c>
      <c r="AU1434">
        <v>0</v>
      </c>
      <c r="AW1434">
        <v>0</v>
      </c>
      <c r="AX1434">
        <v>0</v>
      </c>
      <c r="AY1434">
        <v>75.599999999999994</v>
      </c>
      <c r="BC1434" t="str">
        <f>T("9791159285936")</f>
        <v>9791159285936</v>
      </c>
      <c r="BE1434" t="str">
        <f>T("판타지 웹소설 &gt; 무협 소설")</f>
        <v>판타지 웹소설 &gt; 무협 소설</v>
      </c>
    </row>
    <row r="1435" spans="1:57" x14ac:dyDescent="0.3">
      <c r="A1435">
        <v>1525004799</v>
      </c>
      <c r="B1435">
        <v>1525004920</v>
      </c>
      <c r="C1435" t="str">
        <f>T("검산도해 122화")</f>
        <v>검산도해 122화</v>
      </c>
      <c r="D1435" t="str">
        <f>T("122")</f>
        <v>122</v>
      </c>
      <c r="E1435" t="str">
        <f>T("권용찬")</f>
        <v>권용찬</v>
      </c>
      <c r="H1435" t="str">
        <f>T("스토리위즈")</f>
        <v>스토리위즈</v>
      </c>
      <c r="I1435" t="str">
        <f>T("검산도해")</f>
        <v>검산도해</v>
      </c>
      <c r="J1435">
        <v>100</v>
      </c>
      <c r="K1435">
        <v>100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100</v>
      </c>
      <c r="AH1435">
        <v>1</v>
      </c>
      <c r="AI1435">
        <v>0</v>
      </c>
      <c r="AJ1435">
        <v>0</v>
      </c>
      <c r="AK1435">
        <v>0</v>
      </c>
      <c r="AL1435">
        <v>0</v>
      </c>
      <c r="AM1435">
        <v>120</v>
      </c>
      <c r="AN1435">
        <v>-12</v>
      </c>
      <c r="AO1435">
        <v>0</v>
      </c>
      <c r="AQ1435">
        <v>0</v>
      </c>
      <c r="AR1435">
        <v>0</v>
      </c>
      <c r="AS1435">
        <v>120</v>
      </c>
      <c r="AT1435">
        <v>-12</v>
      </c>
      <c r="AU1435">
        <v>0</v>
      </c>
      <c r="AW1435">
        <v>0</v>
      </c>
      <c r="AX1435">
        <v>0</v>
      </c>
      <c r="AY1435">
        <v>75.599999999999994</v>
      </c>
      <c r="BC1435" t="str">
        <f>T("9791159285936")</f>
        <v>9791159285936</v>
      </c>
      <c r="BE1435" t="str">
        <f>T("판타지 웹소설 &gt; 무협 소설")</f>
        <v>판타지 웹소설 &gt; 무협 소설</v>
      </c>
    </row>
    <row r="1436" spans="1:57" x14ac:dyDescent="0.3">
      <c r="A1436">
        <v>1525004030</v>
      </c>
      <c r="B1436">
        <v>1525007107</v>
      </c>
      <c r="C1436" t="str">
        <f>T("회귀의 전설 2부 991화")</f>
        <v>회귀의 전설 2부 991화</v>
      </c>
      <c r="D1436" t="str">
        <f>T("991")</f>
        <v>991</v>
      </c>
      <c r="E1436" t="str">
        <f>T("김광수")</f>
        <v>김광수</v>
      </c>
      <c r="H1436" t="str">
        <f>T("스토리위즈")</f>
        <v>스토리위즈</v>
      </c>
      <c r="I1436" t="str">
        <f>T("회귀의 전설")</f>
        <v>회귀의 전설</v>
      </c>
      <c r="J1436">
        <v>100</v>
      </c>
      <c r="K1436">
        <v>100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100</v>
      </c>
      <c r="AH1436">
        <v>1</v>
      </c>
      <c r="AI1436">
        <v>0</v>
      </c>
      <c r="AJ1436">
        <v>0</v>
      </c>
      <c r="AK1436">
        <v>100</v>
      </c>
      <c r="AL1436">
        <v>0</v>
      </c>
      <c r="AM1436">
        <v>0</v>
      </c>
      <c r="AN1436">
        <v>0</v>
      </c>
      <c r="AO1436">
        <v>0</v>
      </c>
      <c r="AQ1436">
        <v>0</v>
      </c>
      <c r="AR1436">
        <v>0</v>
      </c>
      <c r="AT1436">
        <v>0</v>
      </c>
      <c r="AU1436">
        <v>0</v>
      </c>
      <c r="AW1436">
        <v>0</v>
      </c>
      <c r="AX1436">
        <v>0</v>
      </c>
      <c r="AY1436">
        <v>70</v>
      </c>
      <c r="BC1436" t="str">
        <f>T("9791191102086")</f>
        <v>9791191102086</v>
      </c>
      <c r="BE1436" t="str">
        <f>T("판타지 웹소설 &gt; 현대 판타지")</f>
        <v>판타지 웹소설 &gt; 현대 판타지</v>
      </c>
    </row>
    <row r="1437" spans="1:57" x14ac:dyDescent="0.3">
      <c r="A1437">
        <v>1525011523</v>
      </c>
      <c r="B1437">
        <v>1525011224</v>
      </c>
      <c r="C1437" t="str">
        <f>T("남창목가 300화")</f>
        <v>남창목가 300화</v>
      </c>
      <c r="D1437" t="str">
        <f>T("300")</f>
        <v>300</v>
      </c>
      <c r="E1437" t="str">
        <f>T("최재봉")</f>
        <v>최재봉</v>
      </c>
      <c r="H1437" t="str">
        <f>T("에필로그")</f>
        <v>에필로그</v>
      </c>
      <c r="I1437" t="str">
        <f>T("남창목가")</f>
        <v>남창목가</v>
      </c>
      <c r="J1437">
        <v>100</v>
      </c>
      <c r="K1437">
        <v>100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100</v>
      </c>
      <c r="AH1437">
        <v>1</v>
      </c>
      <c r="AI1437">
        <v>0</v>
      </c>
      <c r="AJ1437">
        <v>0</v>
      </c>
      <c r="AK1437">
        <v>0</v>
      </c>
      <c r="AL1437">
        <v>0</v>
      </c>
      <c r="AM1437">
        <v>120</v>
      </c>
      <c r="AN1437">
        <v>-12</v>
      </c>
      <c r="AO1437">
        <v>0</v>
      </c>
      <c r="AQ1437">
        <v>0</v>
      </c>
      <c r="AR1437">
        <v>0</v>
      </c>
      <c r="AS1437">
        <v>120</v>
      </c>
      <c r="AT1437">
        <v>-12</v>
      </c>
      <c r="AU1437">
        <v>0</v>
      </c>
      <c r="AW1437">
        <v>0</v>
      </c>
      <c r="AX1437">
        <v>0</v>
      </c>
      <c r="AY1437">
        <v>75.599999999999994</v>
      </c>
      <c r="BC1437" t="str">
        <f>T("9791164482849")</f>
        <v>9791164482849</v>
      </c>
      <c r="BE1437" t="str">
        <f>T("판타지 웹소설 &gt; 무협 소설")</f>
        <v>판타지 웹소설 &gt; 무협 소설</v>
      </c>
    </row>
    <row r="1438" spans="1:57" x14ac:dyDescent="0.3">
      <c r="A1438">
        <v>1525000569</v>
      </c>
      <c r="B1438">
        <v>1525000609</v>
      </c>
      <c r="C1438" t="str">
        <f>T("스트라이커 41화")</f>
        <v>스트라이커 41화</v>
      </c>
      <c r="D1438" t="str">
        <f>T("41")</f>
        <v>41</v>
      </c>
      <c r="E1438" t="str">
        <f>T("독고진")</f>
        <v>독고진</v>
      </c>
      <c r="H1438" t="str">
        <f>T("스토리위즈")</f>
        <v>스토리위즈</v>
      </c>
      <c r="I1438" t="str">
        <f>T("스트라이커")</f>
        <v>스트라이커</v>
      </c>
      <c r="J1438">
        <v>100</v>
      </c>
      <c r="K1438">
        <v>100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100</v>
      </c>
      <c r="AH1438">
        <v>1</v>
      </c>
      <c r="AI1438">
        <v>0</v>
      </c>
      <c r="AJ1438">
        <v>0</v>
      </c>
      <c r="AK1438">
        <v>100</v>
      </c>
      <c r="AL1438">
        <v>0</v>
      </c>
      <c r="AM1438">
        <v>0</v>
      </c>
      <c r="AN1438">
        <v>0</v>
      </c>
      <c r="AO1438">
        <v>0</v>
      </c>
      <c r="AQ1438">
        <v>0</v>
      </c>
      <c r="AR1438">
        <v>0</v>
      </c>
      <c r="AT1438">
        <v>0</v>
      </c>
      <c r="AU1438">
        <v>0</v>
      </c>
      <c r="AW1438">
        <v>0</v>
      </c>
      <c r="AX1438">
        <v>0</v>
      </c>
      <c r="AY1438">
        <v>70</v>
      </c>
      <c r="BC1438" t="str">
        <f>T("9791170151678")</f>
        <v>9791170151678</v>
      </c>
      <c r="BE1438" t="str">
        <f>T("판타지 웹소설 &gt; 현대 판타지")</f>
        <v>판타지 웹소설 &gt; 현대 판타지</v>
      </c>
    </row>
    <row r="1439" spans="1:57" x14ac:dyDescent="0.3">
      <c r="A1439">
        <v>1525011523</v>
      </c>
      <c r="B1439">
        <v>1525011003</v>
      </c>
      <c r="C1439" t="str">
        <f>T("남창목가 외전 489화")</f>
        <v>남창목가 외전 489화</v>
      </c>
      <c r="D1439" t="str">
        <f>T("489")</f>
        <v>489</v>
      </c>
      <c r="E1439" t="str">
        <f>T("최재봉")</f>
        <v>최재봉</v>
      </c>
      <c r="H1439" t="str">
        <f>T("에필로그")</f>
        <v>에필로그</v>
      </c>
      <c r="I1439" t="str">
        <f>T("남창목가")</f>
        <v>남창목가</v>
      </c>
      <c r="J1439">
        <v>100</v>
      </c>
      <c r="K1439">
        <v>100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100</v>
      </c>
      <c r="AH1439">
        <v>1</v>
      </c>
      <c r="AI1439">
        <v>0</v>
      </c>
      <c r="AJ1439">
        <v>0</v>
      </c>
      <c r="AK1439">
        <v>0</v>
      </c>
      <c r="AL1439">
        <v>0</v>
      </c>
      <c r="AM1439">
        <v>120</v>
      </c>
      <c r="AN1439">
        <v>-12</v>
      </c>
      <c r="AO1439">
        <v>0</v>
      </c>
      <c r="AQ1439">
        <v>0</v>
      </c>
      <c r="AR1439">
        <v>0</v>
      </c>
      <c r="AS1439">
        <v>120</v>
      </c>
      <c r="AT1439">
        <v>-12</v>
      </c>
      <c r="AU1439">
        <v>0</v>
      </c>
      <c r="AW1439">
        <v>0</v>
      </c>
      <c r="AX1439">
        <v>0</v>
      </c>
      <c r="AY1439">
        <v>75.599999999999994</v>
      </c>
      <c r="BC1439" t="str">
        <f>T("9791164482849")</f>
        <v>9791164482849</v>
      </c>
      <c r="BE1439" t="str">
        <f>T("판타지 웹소설 &gt; 무협 소설")</f>
        <v>판타지 웹소설 &gt; 무협 소설</v>
      </c>
    </row>
    <row r="1440" spans="1:57" x14ac:dyDescent="0.3">
      <c r="A1440">
        <v>1525008545</v>
      </c>
      <c r="B1440">
        <v>1525008592</v>
      </c>
      <c r="C1440" t="str">
        <f>T("소년연애담 8화")</f>
        <v>소년연애담 8화</v>
      </c>
      <c r="D1440" t="str">
        <f>T("8")</f>
        <v>8</v>
      </c>
      <c r="E1440" t="str">
        <f>T("나나코")</f>
        <v>나나코</v>
      </c>
      <c r="H1440" t="str">
        <f>T("블러쉬")</f>
        <v>블러쉬</v>
      </c>
      <c r="I1440" t="str">
        <f>T("소년연애담")</f>
        <v>소년연애담</v>
      </c>
      <c r="J1440">
        <v>100</v>
      </c>
      <c r="K1440">
        <v>100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100</v>
      </c>
      <c r="AH1440">
        <v>1</v>
      </c>
      <c r="AI1440">
        <v>0</v>
      </c>
      <c r="AJ1440">
        <v>0</v>
      </c>
      <c r="AK1440">
        <v>100</v>
      </c>
      <c r="AL1440">
        <v>0</v>
      </c>
      <c r="AM1440">
        <v>0</v>
      </c>
      <c r="AN1440">
        <v>0</v>
      </c>
      <c r="AO1440">
        <v>0</v>
      </c>
      <c r="AQ1440">
        <v>0</v>
      </c>
      <c r="AR1440">
        <v>0</v>
      </c>
      <c r="AT1440">
        <v>0</v>
      </c>
      <c r="AU1440">
        <v>0</v>
      </c>
      <c r="AW1440">
        <v>0</v>
      </c>
      <c r="AX1440">
        <v>0</v>
      </c>
      <c r="AY1440">
        <v>70</v>
      </c>
      <c r="BA1440" t="str">
        <f>T("0000000000000")</f>
        <v>0000000000000</v>
      </c>
      <c r="BC1440" t="str">
        <f>T("9791164890729")</f>
        <v>9791164890729</v>
      </c>
      <c r="BD1440" t="str">
        <f>T("B12")</f>
        <v>B12</v>
      </c>
      <c r="BE1440" t="str">
        <f>T("BL 웹소설 &gt; 현대물")</f>
        <v>BL 웹소설 &gt; 현대물</v>
      </c>
    </row>
    <row r="1441" spans="1:57" x14ac:dyDescent="0.3">
      <c r="A1441">
        <v>1525012551</v>
      </c>
      <c r="B1441">
        <v>1525012681</v>
      </c>
      <c r="C1441" t="str">
        <f>T("개정판 | 바보가 만드는 멋진 세상 131화")</f>
        <v>개정판 | 바보가 만드는 멋진 세상 131화</v>
      </c>
      <c r="D1441" t="str">
        <f>T("131")</f>
        <v>131</v>
      </c>
      <c r="E1441" t="str">
        <f>T("백범(白帆)")</f>
        <v>백범(白帆)</v>
      </c>
      <c r="H1441" t="str">
        <f>T("에필로그")</f>
        <v>에필로그</v>
      </c>
      <c r="I1441" t="str">
        <f>T("개정판 | 바보가 만드는 멋진 세상")</f>
        <v>개정판 | 바보가 만드는 멋진 세상</v>
      </c>
      <c r="J1441">
        <v>100</v>
      </c>
      <c r="K1441">
        <v>100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100</v>
      </c>
      <c r="AH1441">
        <v>1</v>
      </c>
      <c r="AI1441">
        <v>0</v>
      </c>
      <c r="AJ1441">
        <v>0</v>
      </c>
      <c r="AK1441">
        <v>100</v>
      </c>
      <c r="AL1441">
        <v>0</v>
      </c>
      <c r="AM1441">
        <v>0</v>
      </c>
      <c r="AN1441">
        <v>0</v>
      </c>
      <c r="AO1441">
        <v>0</v>
      </c>
      <c r="AQ1441">
        <v>0</v>
      </c>
      <c r="AR1441">
        <v>0</v>
      </c>
      <c r="AT1441">
        <v>0</v>
      </c>
      <c r="AU1441">
        <v>0</v>
      </c>
      <c r="AW1441">
        <v>0</v>
      </c>
      <c r="AX1441">
        <v>0</v>
      </c>
      <c r="AY1441">
        <v>70</v>
      </c>
      <c r="BC1441" t="str">
        <f>T("9791166003493")</f>
        <v>9791166003493</v>
      </c>
      <c r="BE1441" t="str">
        <f>T("판타지 웹소설 &gt; 현대 판타지")</f>
        <v>판타지 웹소설 &gt; 현대 판타지</v>
      </c>
    </row>
    <row r="1442" spans="1:57" x14ac:dyDescent="0.3">
      <c r="A1442">
        <v>1525004799</v>
      </c>
      <c r="B1442">
        <v>1525004852</v>
      </c>
      <c r="C1442" t="str">
        <f>T("검산도해 54화")</f>
        <v>검산도해 54화</v>
      </c>
      <c r="D1442" t="str">
        <f>T("54")</f>
        <v>54</v>
      </c>
      <c r="E1442" t="str">
        <f>T("권용찬")</f>
        <v>권용찬</v>
      </c>
      <c r="H1442" t="str">
        <f>T("스토리위즈")</f>
        <v>스토리위즈</v>
      </c>
      <c r="I1442" t="str">
        <f>T("검산도해")</f>
        <v>검산도해</v>
      </c>
      <c r="J1442">
        <v>100</v>
      </c>
      <c r="K1442">
        <v>100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100</v>
      </c>
      <c r="AH1442">
        <v>1</v>
      </c>
      <c r="AI1442">
        <v>0</v>
      </c>
      <c r="AJ1442">
        <v>0</v>
      </c>
      <c r="AK1442">
        <v>0</v>
      </c>
      <c r="AL1442">
        <v>0</v>
      </c>
      <c r="AM1442">
        <v>120</v>
      </c>
      <c r="AN1442">
        <v>-12</v>
      </c>
      <c r="AO1442">
        <v>0</v>
      </c>
      <c r="AQ1442">
        <v>0</v>
      </c>
      <c r="AR1442">
        <v>0</v>
      </c>
      <c r="AS1442">
        <v>120</v>
      </c>
      <c r="AT1442">
        <v>-12</v>
      </c>
      <c r="AU1442">
        <v>0</v>
      </c>
      <c r="AW1442">
        <v>0</v>
      </c>
      <c r="AX1442">
        <v>0</v>
      </c>
      <c r="AY1442">
        <v>75.599999999999994</v>
      </c>
      <c r="BC1442" t="str">
        <f>T("9791159285936")</f>
        <v>9791159285936</v>
      </c>
      <c r="BE1442" t="str">
        <f>T("판타지 웹소설 &gt; 무협 소설")</f>
        <v>판타지 웹소설 &gt; 무협 소설</v>
      </c>
    </row>
    <row r="1443" spans="1:57" x14ac:dyDescent="0.3">
      <c r="A1443">
        <v>1525004799</v>
      </c>
      <c r="B1443">
        <v>1525004909</v>
      </c>
      <c r="C1443" t="str">
        <f>T("검산도해 111화")</f>
        <v>검산도해 111화</v>
      </c>
      <c r="D1443" t="str">
        <f>T("111")</f>
        <v>111</v>
      </c>
      <c r="E1443" t="str">
        <f>T("권용찬")</f>
        <v>권용찬</v>
      </c>
      <c r="H1443" t="str">
        <f>T("스토리위즈")</f>
        <v>스토리위즈</v>
      </c>
      <c r="I1443" t="str">
        <f>T("검산도해")</f>
        <v>검산도해</v>
      </c>
      <c r="J1443">
        <v>100</v>
      </c>
      <c r="K1443">
        <v>100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100</v>
      </c>
      <c r="AH1443">
        <v>1</v>
      </c>
      <c r="AI1443">
        <v>0</v>
      </c>
      <c r="AJ1443">
        <v>0</v>
      </c>
      <c r="AK1443">
        <v>0</v>
      </c>
      <c r="AL1443">
        <v>0</v>
      </c>
      <c r="AM1443">
        <v>120</v>
      </c>
      <c r="AN1443">
        <v>-12</v>
      </c>
      <c r="AO1443">
        <v>0</v>
      </c>
      <c r="AQ1443">
        <v>0</v>
      </c>
      <c r="AR1443">
        <v>0</v>
      </c>
      <c r="AS1443">
        <v>120</v>
      </c>
      <c r="AT1443">
        <v>-12</v>
      </c>
      <c r="AU1443">
        <v>0</v>
      </c>
      <c r="AW1443">
        <v>0</v>
      </c>
      <c r="AX1443">
        <v>0</v>
      </c>
      <c r="AY1443">
        <v>75.599999999999994</v>
      </c>
      <c r="BC1443" t="str">
        <f>T("9791159285936")</f>
        <v>9791159285936</v>
      </c>
      <c r="BE1443" t="str">
        <f>T("판타지 웹소설 &gt; 무협 소설")</f>
        <v>판타지 웹소설 &gt; 무협 소설</v>
      </c>
    </row>
    <row r="1444" spans="1:57" x14ac:dyDescent="0.3">
      <c r="A1444">
        <v>1525004030</v>
      </c>
      <c r="B1444">
        <v>1525007096</v>
      </c>
      <c r="C1444" t="str">
        <f>T("회귀의 전설 2부 980화")</f>
        <v>회귀의 전설 2부 980화</v>
      </c>
      <c r="D1444" t="str">
        <f>T("980")</f>
        <v>980</v>
      </c>
      <c r="E1444" t="str">
        <f>T("김광수")</f>
        <v>김광수</v>
      </c>
      <c r="H1444" t="str">
        <f>T("스토리위즈")</f>
        <v>스토리위즈</v>
      </c>
      <c r="I1444" t="str">
        <f>T("회귀의 전설")</f>
        <v>회귀의 전설</v>
      </c>
      <c r="J1444">
        <v>100</v>
      </c>
      <c r="K1444">
        <v>100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100</v>
      </c>
      <c r="AH1444">
        <v>1</v>
      </c>
      <c r="AI1444">
        <v>0</v>
      </c>
      <c r="AJ1444">
        <v>0</v>
      </c>
      <c r="AK1444">
        <v>100</v>
      </c>
      <c r="AL1444">
        <v>0</v>
      </c>
      <c r="AM1444">
        <v>0</v>
      </c>
      <c r="AN1444">
        <v>0</v>
      </c>
      <c r="AO1444">
        <v>0</v>
      </c>
      <c r="AQ1444">
        <v>0</v>
      </c>
      <c r="AR1444">
        <v>0</v>
      </c>
      <c r="AT1444">
        <v>0</v>
      </c>
      <c r="AU1444">
        <v>0</v>
      </c>
      <c r="AW1444">
        <v>0</v>
      </c>
      <c r="AX1444">
        <v>0</v>
      </c>
      <c r="AY1444">
        <v>70</v>
      </c>
      <c r="BC1444" t="str">
        <f>T("9791191102086")</f>
        <v>9791191102086</v>
      </c>
      <c r="BE1444" t="str">
        <f>T("판타지 웹소설 &gt; 현대 판타지")</f>
        <v>판타지 웹소설 &gt; 현대 판타지</v>
      </c>
    </row>
    <row r="1445" spans="1:57" x14ac:dyDescent="0.3">
      <c r="A1445">
        <v>1525000569</v>
      </c>
      <c r="B1445">
        <v>1525000598</v>
      </c>
      <c r="C1445" t="str">
        <f>T("스트라이커 30화")</f>
        <v>스트라이커 30화</v>
      </c>
      <c r="D1445" t="str">
        <f>T("30")</f>
        <v>30</v>
      </c>
      <c r="E1445" t="str">
        <f>T("독고진")</f>
        <v>독고진</v>
      </c>
      <c r="H1445" t="str">
        <f>T("스토리위즈")</f>
        <v>스토리위즈</v>
      </c>
      <c r="I1445" t="str">
        <f>T("스트라이커")</f>
        <v>스트라이커</v>
      </c>
      <c r="J1445">
        <v>100</v>
      </c>
      <c r="K1445">
        <v>100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100</v>
      </c>
      <c r="AH1445">
        <v>1</v>
      </c>
      <c r="AI1445">
        <v>0</v>
      </c>
      <c r="AJ1445">
        <v>0</v>
      </c>
      <c r="AK1445">
        <v>100</v>
      </c>
      <c r="AL1445">
        <v>0</v>
      </c>
      <c r="AM1445">
        <v>0</v>
      </c>
      <c r="AN1445">
        <v>0</v>
      </c>
      <c r="AO1445">
        <v>0</v>
      </c>
      <c r="AQ1445">
        <v>0</v>
      </c>
      <c r="AR1445">
        <v>0</v>
      </c>
      <c r="AT1445">
        <v>0</v>
      </c>
      <c r="AU1445">
        <v>0</v>
      </c>
      <c r="AW1445">
        <v>0</v>
      </c>
      <c r="AX1445">
        <v>0</v>
      </c>
      <c r="AY1445">
        <v>70</v>
      </c>
      <c r="BC1445" t="str">
        <f>T("9791170151678")</f>
        <v>9791170151678</v>
      </c>
      <c r="BE1445" t="str">
        <f>T("판타지 웹소설 &gt; 현대 판타지")</f>
        <v>판타지 웹소설 &gt; 현대 판타지</v>
      </c>
    </row>
    <row r="1446" spans="1:57" x14ac:dyDescent="0.3">
      <c r="A1446">
        <v>1525011523</v>
      </c>
      <c r="B1446">
        <v>1525010989</v>
      </c>
      <c r="C1446" t="str">
        <f>T("남창목가 외전 503화")</f>
        <v>남창목가 외전 503화</v>
      </c>
      <c r="D1446" t="str">
        <f>T("503")</f>
        <v>503</v>
      </c>
      <c r="E1446" t="str">
        <f>T("최재봉")</f>
        <v>최재봉</v>
      </c>
      <c r="H1446" t="str">
        <f>T("에필로그")</f>
        <v>에필로그</v>
      </c>
      <c r="I1446" t="str">
        <f>T("남창목가")</f>
        <v>남창목가</v>
      </c>
      <c r="J1446">
        <v>100</v>
      </c>
      <c r="K1446">
        <v>100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100</v>
      </c>
      <c r="AH1446">
        <v>1</v>
      </c>
      <c r="AI1446">
        <v>0</v>
      </c>
      <c r="AJ1446">
        <v>0</v>
      </c>
      <c r="AK1446">
        <v>0</v>
      </c>
      <c r="AL1446">
        <v>0</v>
      </c>
      <c r="AM1446">
        <v>120</v>
      </c>
      <c r="AN1446">
        <v>-12</v>
      </c>
      <c r="AO1446">
        <v>0</v>
      </c>
      <c r="AQ1446">
        <v>0</v>
      </c>
      <c r="AR1446">
        <v>0</v>
      </c>
      <c r="AS1446">
        <v>120</v>
      </c>
      <c r="AT1446">
        <v>-12</v>
      </c>
      <c r="AU1446">
        <v>0</v>
      </c>
      <c r="AW1446">
        <v>0</v>
      </c>
      <c r="AX1446">
        <v>0</v>
      </c>
      <c r="AY1446">
        <v>75.599999999999994</v>
      </c>
      <c r="BC1446" t="str">
        <f>T("9791164482849")</f>
        <v>9791164482849</v>
      </c>
      <c r="BE1446" t="str">
        <f>T("판타지 웹소설 &gt; 무협 소설")</f>
        <v>판타지 웹소설 &gt; 무협 소설</v>
      </c>
    </row>
    <row r="1447" spans="1:57" x14ac:dyDescent="0.3">
      <c r="A1447">
        <v>1525002125</v>
      </c>
      <c r="B1447">
        <v>1525002164</v>
      </c>
      <c r="C1447" t="str">
        <f>T("신을 죽이러 갑니다 40화")</f>
        <v>신을 죽이러 갑니다 40화</v>
      </c>
      <c r="D1447" t="str">
        <f>T("40")</f>
        <v>40</v>
      </c>
      <c r="E1447" t="str">
        <f>T("독고진")</f>
        <v>독고진</v>
      </c>
      <c r="H1447" t="str">
        <f>T("스토리위즈")</f>
        <v>스토리위즈</v>
      </c>
      <c r="I1447" t="str">
        <f>T("신을 죽이러 갑니다")</f>
        <v>신을 죽이러 갑니다</v>
      </c>
      <c r="J1447">
        <v>100</v>
      </c>
      <c r="K1447">
        <v>100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100</v>
      </c>
      <c r="AH1447">
        <v>1</v>
      </c>
      <c r="AI1447">
        <v>0</v>
      </c>
      <c r="AJ1447">
        <v>0</v>
      </c>
      <c r="AK1447">
        <v>0</v>
      </c>
      <c r="AL1447">
        <v>0</v>
      </c>
      <c r="AM1447">
        <v>120</v>
      </c>
      <c r="AN1447">
        <v>-36</v>
      </c>
      <c r="AO1447">
        <v>0</v>
      </c>
      <c r="AQ1447">
        <v>0</v>
      </c>
      <c r="AR1447">
        <v>0</v>
      </c>
      <c r="AS1447">
        <v>120</v>
      </c>
      <c r="AT1447">
        <v>-36</v>
      </c>
      <c r="AU1447">
        <v>0</v>
      </c>
      <c r="AW1447">
        <v>0</v>
      </c>
      <c r="AX1447">
        <v>0</v>
      </c>
      <c r="AY1447">
        <v>58.8</v>
      </c>
      <c r="BC1447" t="str">
        <f>T("9791159285806")</f>
        <v>9791159285806</v>
      </c>
      <c r="BE1447" t="str">
        <f>T("판타지 웹소설 &gt; 퓨전 판타지")</f>
        <v>판타지 웹소설 &gt; 퓨전 판타지</v>
      </c>
    </row>
    <row r="1448" spans="1:57" x14ac:dyDescent="0.3">
      <c r="A1448">
        <v>1525012551</v>
      </c>
      <c r="B1448">
        <v>1525012698</v>
      </c>
      <c r="C1448" t="str">
        <f>T("개정판 | 바보가 만드는 멋진 세상 148화")</f>
        <v>개정판 | 바보가 만드는 멋진 세상 148화</v>
      </c>
      <c r="D1448" t="str">
        <f>T("148")</f>
        <v>148</v>
      </c>
      <c r="E1448" t="str">
        <f>T("백범(白帆)")</f>
        <v>백범(白帆)</v>
      </c>
      <c r="H1448" t="str">
        <f>T("에필로그")</f>
        <v>에필로그</v>
      </c>
      <c r="I1448" t="str">
        <f>T("개정판 | 바보가 만드는 멋진 세상")</f>
        <v>개정판 | 바보가 만드는 멋진 세상</v>
      </c>
      <c r="J1448">
        <v>100</v>
      </c>
      <c r="K1448">
        <v>100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100</v>
      </c>
      <c r="AH1448">
        <v>1</v>
      </c>
      <c r="AI1448">
        <v>0</v>
      </c>
      <c r="AJ1448">
        <v>0</v>
      </c>
      <c r="AK1448">
        <v>100</v>
      </c>
      <c r="AL1448">
        <v>0</v>
      </c>
      <c r="AM1448">
        <v>0</v>
      </c>
      <c r="AN1448">
        <v>0</v>
      </c>
      <c r="AO1448">
        <v>0</v>
      </c>
      <c r="AQ1448">
        <v>0</v>
      </c>
      <c r="AR1448">
        <v>0</v>
      </c>
      <c r="AT1448">
        <v>0</v>
      </c>
      <c r="AU1448">
        <v>0</v>
      </c>
      <c r="AW1448">
        <v>0</v>
      </c>
      <c r="AX1448">
        <v>0</v>
      </c>
      <c r="AY1448">
        <v>70</v>
      </c>
      <c r="BC1448" t="str">
        <f>T("9791166003493")</f>
        <v>9791166003493</v>
      </c>
      <c r="BE1448" t="str">
        <f>T("판타지 웹소설 &gt; 현대 판타지")</f>
        <v>판타지 웹소설 &gt; 현대 판타지</v>
      </c>
    </row>
    <row r="1449" spans="1:57" x14ac:dyDescent="0.3">
      <c r="A1449">
        <v>1525002864</v>
      </c>
      <c r="B1449">
        <v>1525002921</v>
      </c>
      <c r="C1449" t="str">
        <f>T("소드마스터의 환생 58화")</f>
        <v>소드마스터의 환생 58화</v>
      </c>
      <c r="D1449" t="str">
        <f>T("58")</f>
        <v>58</v>
      </c>
      <c r="E1449" t="str">
        <f>T("파란영")</f>
        <v>파란영</v>
      </c>
      <c r="H1449" t="str">
        <f>T("스토리위즈")</f>
        <v>스토리위즈</v>
      </c>
      <c r="I1449" t="str">
        <f>T("소드마스터의 환생")</f>
        <v>소드마스터의 환생</v>
      </c>
      <c r="J1449">
        <v>100</v>
      </c>
      <c r="K1449">
        <v>100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100</v>
      </c>
      <c r="AH1449">
        <v>1</v>
      </c>
      <c r="AI1449">
        <v>0</v>
      </c>
      <c r="AJ1449">
        <v>0</v>
      </c>
      <c r="AK1449">
        <v>100</v>
      </c>
      <c r="AL1449">
        <v>0</v>
      </c>
      <c r="AM1449">
        <v>0</v>
      </c>
      <c r="AN1449">
        <v>0</v>
      </c>
      <c r="AO1449">
        <v>0</v>
      </c>
      <c r="AQ1449">
        <v>0</v>
      </c>
      <c r="AR1449">
        <v>0</v>
      </c>
      <c r="AT1449">
        <v>0</v>
      </c>
      <c r="AU1449">
        <v>0</v>
      </c>
      <c r="AW1449">
        <v>0</v>
      </c>
      <c r="AX1449">
        <v>0</v>
      </c>
      <c r="AY1449">
        <v>70</v>
      </c>
      <c r="BC1449" t="str">
        <f>T("9791159287527")</f>
        <v>9791159287527</v>
      </c>
      <c r="BE1449" t="str">
        <f>T("판타지 웹소설 &gt; 정통 판타지")</f>
        <v>판타지 웹소설 &gt; 정통 판타지</v>
      </c>
    </row>
    <row r="1450" spans="1:57" x14ac:dyDescent="0.3">
      <c r="A1450">
        <v>1525008428</v>
      </c>
      <c r="B1450">
        <v>1525008460</v>
      </c>
      <c r="C1450" t="str">
        <f>T("무히비(Muhibbi) 49화")</f>
        <v>무히비(Muhibbi) 49화</v>
      </c>
      <c r="D1450" t="str">
        <f>T("49")</f>
        <v>49</v>
      </c>
      <c r="E1450" t="str">
        <f>T("jooki")</f>
        <v>jooki</v>
      </c>
      <c r="H1450" t="str">
        <f>T("블러쉬")</f>
        <v>블러쉬</v>
      </c>
      <c r="I1450" t="str">
        <f>T("무히비(Muhibbi)")</f>
        <v>무히비(Muhibbi)</v>
      </c>
      <c r="J1450">
        <v>100</v>
      </c>
      <c r="K1450">
        <v>100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100</v>
      </c>
      <c r="AH1450">
        <v>1</v>
      </c>
      <c r="AI1450">
        <v>0</v>
      </c>
      <c r="AJ1450">
        <v>0</v>
      </c>
      <c r="AK1450">
        <v>100</v>
      </c>
      <c r="AL1450">
        <v>0</v>
      </c>
      <c r="AM1450">
        <v>0</v>
      </c>
      <c r="AN1450">
        <v>0</v>
      </c>
      <c r="AO1450">
        <v>0</v>
      </c>
      <c r="AQ1450">
        <v>0</v>
      </c>
      <c r="AR1450">
        <v>0</v>
      </c>
      <c r="AT1450">
        <v>0</v>
      </c>
      <c r="AU1450">
        <v>0</v>
      </c>
      <c r="AW1450">
        <v>0</v>
      </c>
      <c r="AX1450">
        <v>0</v>
      </c>
      <c r="AY1450">
        <v>70</v>
      </c>
      <c r="BC1450" t="str">
        <f>T("9791164896622")</f>
        <v>9791164896622</v>
      </c>
      <c r="BE1450" t="str">
        <f>T("BL 웹소설 &gt; 역사/시대물")</f>
        <v>BL 웹소설 &gt; 역사/시대물</v>
      </c>
    </row>
    <row r="1451" spans="1:57" x14ac:dyDescent="0.3">
      <c r="A1451">
        <v>1525011523</v>
      </c>
      <c r="B1451">
        <v>1525011254</v>
      </c>
      <c r="C1451" t="str">
        <f>T("남창목가 270화")</f>
        <v>남창목가 270화</v>
      </c>
      <c r="D1451" t="str">
        <f>T("270")</f>
        <v>270</v>
      </c>
      <c r="E1451" t="str">
        <f>T("최재봉")</f>
        <v>최재봉</v>
      </c>
      <c r="H1451" t="str">
        <f>T("에필로그")</f>
        <v>에필로그</v>
      </c>
      <c r="I1451" t="str">
        <f>T("남창목가")</f>
        <v>남창목가</v>
      </c>
      <c r="J1451">
        <v>100</v>
      </c>
      <c r="K1451">
        <v>100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100</v>
      </c>
      <c r="AH1451">
        <v>1</v>
      </c>
      <c r="AI1451">
        <v>0</v>
      </c>
      <c r="AJ1451">
        <v>0</v>
      </c>
      <c r="AK1451">
        <v>0</v>
      </c>
      <c r="AL1451">
        <v>0</v>
      </c>
      <c r="AM1451">
        <v>120</v>
      </c>
      <c r="AN1451">
        <v>-12</v>
      </c>
      <c r="AO1451">
        <v>0</v>
      </c>
      <c r="AQ1451">
        <v>0</v>
      </c>
      <c r="AR1451">
        <v>0</v>
      </c>
      <c r="AS1451">
        <v>120</v>
      </c>
      <c r="AT1451">
        <v>-12</v>
      </c>
      <c r="AU1451">
        <v>0</v>
      </c>
      <c r="AW1451">
        <v>0</v>
      </c>
      <c r="AX1451">
        <v>0</v>
      </c>
      <c r="AY1451">
        <v>75.599999999999994</v>
      </c>
      <c r="BC1451" t="str">
        <f>T("9791164482849")</f>
        <v>9791164482849</v>
      </c>
      <c r="BE1451" t="str">
        <f>T("판타지 웹소설 &gt; 무협 소설")</f>
        <v>판타지 웹소설 &gt; 무협 소설</v>
      </c>
    </row>
    <row r="1452" spans="1:57" x14ac:dyDescent="0.3">
      <c r="A1452">
        <v>1525011523</v>
      </c>
      <c r="B1452">
        <v>1525011440</v>
      </c>
      <c r="C1452" t="str">
        <f>T("남창목가 84화")</f>
        <v>남창목가 84화</v>
      </c>
      <c r="D1452" t="str">
        <f>T("84")</f>
        <v>84</v>
      </c>
      <c r="E1452" t="str">
        <f>T("최재봉")</f>
        <v>최재봉</v>
      </c>
      <c r="H1452" t="str">
        <f>T("에필로그")</f>
        <v>에필로그</v>
      </c>
      <c r="I1452" t="str">
        <f>T("남창목가")</f>
        <v>남창목가</v>
      </c>
      <c r="J1452">
        <v>100</v>
      </c>
      <c r="K1452">
        <v>100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100</v>
      </c>
      <c r="AH1452">
        <v>1</v>
      </c>
      <c r="AI1452">
        <v>0</v>
      </c>
      <c r="AJ1452">
        <v>0</v>
      </c>
      <c r="AK1452">
        <v>100</v>
      </c>
      <c r="AL1452">
        <v>0</v>
      </c>
      <c r="AM1452">
        <v>0</v>
      </c>
      <c r="AN1452">
        <v>0</v>
      </c>
      <c r="AO1452">
        <v>0</v>
      </c>
      <c r="AQ1452">
        <v>0</v>
      </c>
      <c r="AR1452">
        <v>0</v>
      </c>
      <c r="AT1452">
        <v>0</v>
      </c>
      <c r="AU1452">
        <v>0</v>
      </c>
      <c r="AW1452">
        <v>0</v>
      </c>
      <c r="AX1452">
        <v>0</v>
      </c>
      <c r="AY1452">
        <v>70</v>
      </c>
      <c r="BC1452" t="str">
        <f>T("9791164482849")</f>
        <v>9791164482849</v>
      </c>
      <c r="BE1452" t="str">
        <f>T("판타지 웹소설 &gt; 무협 소설")</f>
        <v>판타지 웹소설 &gt; 무협 소설</v>
      </c>
    </row>
    <row r="1453" spans="1:57" x14ac:dyDescent="0.3">
      <c r="A1453">
        <v>1525004799</v>
      </c>
      <c r="B1453">
        <v>1525004926</v>
      </c>
      <c r="C1453" t="str">
        <f>T("검산도해 128화")</f>
        <v>검산도해 128화</v>
      </c>
      <c r="D1453" t="str">
        <f>T("128")</f>
        <v>128</v>
      </c>
      <c r="E1453" t="str">
        <f>T("권용찬")</f>
        <v>권용찬</v>
      </c>
      <c r="H1453" t="str">
        <f>T("스토리위즈")</f>
        <v>스토리위즈</v>
      </c>
      <c r="I1453" t="str">
        <f>T("검산도해")</f>
        <v>검산도해</v>
      </c>
      <c r="J1453">
        <v>100</v>
      </c>
      <c r="K1453">
        <v>100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100</v>
      </c>
      <c r="AH1453">
        <v>1</v>
      </c>
      <c r="AI1453">
        <v>0</v>
      </c>
      <c r="AJ1453">
        <v>0</v>
      </c>
      <c r="AK1453">
        <v>0</v>
      </c>
      <c r="AL1453">
        <v>0</v>
      </c>
      <c r="AM1453">
        <v>120</v>
      </c>
      <c r="AN1453">
        <v>-12</v>
      </c>
      <c r="AO1453">
        <v>0</v>
      </c>
      <c r="AQ1453">
        <v>0</v>
      </c>
      <c r="AR1453">
        <v>0</v>
      </c>
      <c r="AS1453">
        <v>120</v>
      </c>
      <c r="AT1453">
        <v>-12</v>
      </c>
      <c r="AU1453">
        <v>0</v>
      </c>
      <c r="AW1453">
        <v>0</v>
      </c>
      <c r="AX1453">
        <v>0</v>
      </c>
      <c r="AY1453">
        <v>75.599999999999994</v>
      </c>
      <c r="BC1453" t="str">
        <f>T("9791159285936")</f>
        <v>9791159285936</v>
      </c>
      <c r="BE1453" t="str">
        <f>T("판타지 웹소설 &gt; 무협 소설")</f>
        <v>판타지 웹소설 &gt; 무협 소설</v>
      </c>
    </row>
    <row r="1454" spans="1:57" x14ac:dyDescent="0.3">
      <c r="A1454">
        <v>1525004030</v>
      </c>
      <c r="B1454">
        <v>1525007015</v>
      </c>
      <c r="C1454" t="str">
        <f>T("회귀의 전설 2부 899화")</f>
        <v>회귀의 전설 2부 899화</v>
      </c>
      <c r="D1454" t="str">
        <f>T("899")</f>
        <v>899</v>
      </c>
      <c r="E1454" t="str">
        <f>T("김광수")</f>
        <v>김광수</v>
      </c>
      <c r="H1454" t="str">
        <f>T("스토리위즈")</f>
        <v>스토리위즈</v>
      </c>
      <c r="I1454" t="str">
        <f>T("회귀의 전설")</f>
        <v>회귀의 전설</v>
      </c>
      <c r="J1454">
        <v>100</v>
      </c>
      <c r="K1454">
        <v>100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100</v>
      </c>
      <c r="AH1454">
        <v>1</v>
      </c>
      <c r="AI1454">
        <v>0</v>
      </c>
      <c r="AJ1454">
        <v>0</v>
      </c>
      <c r="AK1454">
        <v>100</v>
      </c>
      <c r="AL1454">
        <v>0</v>
      </c>
      <c r="AM1454">
        <v>0</v>
      </c>
      <c r="AN1454">
        <v>0</v>
      </c>
      <c r="AO1454">
        <v>0</v>
      </c>
      <c r="AQ1454">
        <v>0</v>
      </c>
      <c r="AR1454">
        <v>0</v>
      </c>
      <c r="AT1454">
        <v>0</v>
      </c>
      <c r="AU1454">
        <v>0</v>
      </c>
      <c r="AW1454">
        <v>0</v>
      </c>
      <c r="AX1454">
        <v>0</v>
      </c>
      <c r="AY1454">
        <v>70</v>
      </c>
      <c r="BC1454" t="str">
        <f>T("9791191102086")</f>
        <v>9791191102086</v>
      </c>
      <c r="BE1454" t="str">
        <f>T("판타지 웹소설 &gt; 현대 판타지")</f>
        <v>판타지 웹소설 &gt; 현대 판타지</v>
      </c>
    </row>
    <row r="1455" spans="1:57" x14ac:dyDescent="0.3">
      <c r="A1455">
        <v>1525011523</v>
      </c>
      <c r="B1455">
        <v>1525011170</v>
      </c>
      <c r="C1455" t="str">
        <f>T("남창목가 354화")</f>
        <v>남창목가 354화</v>
      </c>
      <c r="D1455" t="str">
        <f>T("354")</f>
        <v>354</v>
      </c>
      <c r="E1455" t="str">
        <f>T("최재봉")</f>
        <v>최재봉</v>
      </c>
      <c r="H1455" t="str">
        <f>T("에필로그")</f>
        <v>에필로그</v>
      </c>
      <c r="I1455" t="str">
        <f>T("남창목가")</f>
        <v>남창목가</v>
      </c>
      <c r="J1455">
        <v>100</v>
      </c>
      <c r="K1455">
        <v>100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100</v>
      </c>
      <c r="AH1455">
        <v>1</v>
      </c>
      <c r="AI1455">
        <v>0</v>
      </c>
      <c r="AJ1455">
        <v>0</v>
      </c>
      <c r="AK1455">
        <v>0</v>
      </c>
      <c r="AL1455">
        <v>0</v>
      </c>
      <c r="AM1455">
        <v>120</v>
      </c>
      <c r="AN1455">
        <v>-12</v>
      </c>
      <c r="AO1455">
        <v>0</v>
      </c>
      <c r="AQ1455">
        <v>0</v>
      </c>
      <c r="AR1455">
        <v>0</v>
      </c>
      <c r="AS1455">
        <v>120</v>
      </c>
      <c r="AT1455">
        <v>-12</v>
      </c>
      <c r="AU1455">
        <v>0</v>
      </c>
      <c r="AW1455">
        <v>0</v>
      </c>
      <c r="AX1455">
        <v>0</v>
      </c>
      <c r="AY1455">
        <v>75.599999999999994</v>
      </c>
      <c r="BC1455" t="str">
        <f>T("9791164482849")</f>
        <v>9791164482849</v>
      </c>
      <c r="BE1455" t="str">
        <f>T("판타지 웹소설 &gt; 무협 소설")</f>
        <v>판타지 웹소설 &gt; 무협 소설</v>
      </c>
    </row>
    <row r="1456" spans="1:57" x14ac:dyDescent="0.3">
      <c r="A1456">
        <v>1525008428</v>
      </c>
      <c r="B1456">
        <v>1525008416</v>
      </c>
      <c r="C1456" t="str">
        <f>T("무히비(Muhibbi) 112화")</f>
        <v>무히비(Muhibbi) 112화</v>
      </c>
      <c r="D1456" t="str">
        <f>T("112")</f>
        <v>112</v>
      </c>
      <c r="E1456" t="str">
        <f>T("jooki")</f>
        <v>jooki</v>
      </c>
      <c r="H1456" t="str">
        <f>T("블러쉬")</f>
        <v>블러쉬</v>
      </c>
      <c r="I1456" t="str">
        <f>T("무히비(Muhibbi)")</f>
        <v>무히비(Muhibbi)</v>
      </c>
      <c r="J1456">
        <v>100</v>
      </c>
      <c r="K1456">
        <v>100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100</v>
      </c>
      <c r="AH1456">
        <v>1</v>
      </c>
      <c r="AI1456">
        <v>0</v>
      </c>
      <c r="AJ1456">
        <v>0</v>
      </c>
      <c r="AK1456">
        <v>100</v>
      </c>
      <c r="AL1456">
        <v>0</v>
      </c>
      <c r="AM1456">
        <v>0</v>
      </c>
      <c r="AN1456">
        <v>0</v>
      </c>
      <c r="AO1456">
        <v>0</v>
      </c>
      <c r="AQ1456">
        <v>0</v>
      </c>
      <c r="AR1456">
        <v>0</v>
      </c>
      <c r="AT1456">
        <v>0</v>
      </c>
      <c r="AU1456">
        <v>0</v>
      </c>
      <c r="AW1456">
        <v>0</v>
      </c>
      <c r="AX1456">
        <v>0</v>
      </c>
      <c r="AY1456">
        <v>70</v>
      </c>
      <c r="BA1456" t="str">
        <f>T("0000000000000")</f>
        <v>0000000000000</v>
      </c>
      <c r="BC1456" t="str">
        <f>T("9791164896622")</f>
        <v>9791164896622</v>
      </c>
      <c r="BE1456" t="str">
        <f>T("BL 웹소설 &gt; 역사/시대물")</f>
        <v>BL 웹소설 &gt; 역사/시대물</v>
      </c>
    </row>
    <row r="1457" spans="1:57" x14ac:dyDescent="0.3">
      <c r="A1457">
        <v>1525004030</v>
      </c>
      <c r="B1457">
        <v>1525006974</v>
      </c>
      <c r="C1457" t="str">
        <f>T("회귀의 전설 2부 858화")</f>
        <v>회귀의 전설 2부 858화</v>
      </c>
      <c r="D1457" t="str">
        <f>T("858")</f>
        <v>858</v>
      </c>
      <c r="E1457" t="str">
        <f>T("김광수")</f>
        <v>김광수</v>
      </c>
      <c r="H1457" t="str">
        <f>T("스토리위즈")</f>
        <v>스토리위즈</v>
      </c>
      <c r="I1457" t="str">
        <f>T("회귀의 전설")</f>
        <v>회귀의 전설</v>
      </c>
      <c r="J1457">
        <v>100</v>
      </c>
      <c r="K1457">
        <v>100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100</v>
      </c>
      <c r="AH1457">
        <v>1</v>
      </c>
      <c r="AI1457">
        <v>0</v>
      </c>
      <c r="AJ1457">
        <v>0</v>
      </c>
      <c r="AK1457">
        <v>100</v>
      </c>
      <c r="AL1457">
        <v>0</v>
      </c>
      <c r="AM1457">
        <v>0</v>
      </c>
      <c r="AN1457">
        <v>0</v>
      </c>
      <c r="AO1457">
        <v>0</v>
      </c>
      <c r="AQ1457">
        <v>0</v>
      </c>
      <c r="AR1457">
        <v>0</v>
      </c>
      <c r="AT1457">
        <v>0</v>
      </c>
      <c r="AU1457">
        <v>0</v>
      </c>
      <c r="AW1457">
        <v>0</v>
      </c>
      <c r="AX1457">
        <v>0</v>
      </c>
      <c r="AY1457">
        <v>70</v>
      </c>
      <c r="BC1457" t="str">
        <f>T("9791191102086")</f>
        <v>9791191102086</v>
      </c>
      <c r="BE1457" t="str">
        <f>T("판타지 웹소설 &gt; 현대 판타지")</f>
        <v>판타지 웹소설 &gt; 현대 판타지</v>
      </c>
    </row>
    <row r="1458" spans="1:57" x14ac:dyDescent="0.3">
      <c r="A1458">
        <v>1525011523</v>
      </c>
      <c r="B1458">
        <v>1525011367</v>
      </c>
      <c r="C1458" t="str">
        <f>T("남창목가 157화")</f>
        <v>남창목가 157화</v>
      </c>
      <c r="D1458" t="str">
        <f>T("157")</f>
        <v>157</v>
      </c>
      <c r="E1458" t="str">
        <f>T("최재봉")</f>
        <v>최재봉</v>
      </c>
      <c r="H1458" t="str">
        <f>T("에필로그")</f>
        <v>에필로그</v>
      </c>
      <c r="I1458" t="str">
        <f>T("남창목가")</f>
        <v>남창목가</v>
      </c>
      <c r="J1458">
        <v>100</v>
      </c>
      <c r="K1458">
        <v>100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100</v>
      </c>
      <c r="AH1458">
        <v>1</v>
      </c>
      <c r="AI1458">
        <v>0</v>
      </c>
      <c r="AJ1458">
        <v>0</v>
      </c>
      <c r="AK1458">
        <v>0</v>
      </c>
      <c r="AL1458">
        <v>0</v>
      </c>
      <c r="AM1458">
        <v>120</v>
      </c>
      <c r="AN1458">
        <v>-12</v>
      </c>
      <c r="AO1458">
        <v>0</v>
      </c>
      <c r="AQ1458">
        <v>0</v>
      </c>
      <c r="AR1458">
        <v>0</v>
      </c>
      <c r="AS1458">
        <v>120</v>
      </c>
      <c r="AT1458">
        <v>-12</v>
      </c>
      <c r="AU1458">
        <v>0</v>
      </c>
      <c r="AW1458">
        <v>0</v>
      </c>
      <c r="AX1458">
        <v>0</v>
      </c>
      <c r="AY1458">
        <v>75.599999999999994</v>
      </c>
      <c r="BC1458" t="str">
        <f>T("9791164482849")</f>
        <v>9791164482849</v>
      </c>
      <c r="BE1458" t="str">
        <f>T("판타지 웹소설 &gt; 무협 소설")</f>
        <v>판타지 웹소설 &gt; 무협 소설</v>
      </c>
    </row>
    <row r="1459" spans="1:57" x14ac:dyDescent="0.3">
      <c r="A1459">
        <v>1525002125</v>
      </c>
      <c r="B1459">
        <v>1525002395</v>
      </c>
      <c r="C1459" t="str">
        <f>T("신을 죽이러 갑니다 271화")</f>
        <v>신을 죽이러 갑니다 271화</v>
      </c>
      <c r="D1459" t="str">
        <f>T("271")</f>
        <v>271</v>
      </c>
      <c r="E1459" t="str">
        <f>T("독고진")</f>
        <v>독고진</v>
      </c>
      <c r="H1459" t="str">
        <f>T("스토리위즈")</f>
        <v>스토리위즈</v>
      </c>
      <c r="I1459" t="str">
        <f>T("신을 죽이러 갑니다")</f>
        <v>신을 죽이러 갑니다</v>
      </c>
      <c r="J1459">
        <v>100</v>
      </c>
      <c r="K1459">
        <v>100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100</v>
      </c>
      <c r="AH1459">
        <v>1</v>
      </c>
      <c r="AI1459">
        <v>0</v>
      </c>
      <c r="AJ1459">
        <v>0</v>
      </c>
      <c r="AK1459">
        <v>0</v>
      </c>
      <c r="AL1459">
        <v>0</v>
      </c>
      <c r="AM1459">
        <v>120</v>
      </c>
      <c r="AN1459">
        <v>-12</v>
      </c>
      <c r="AO1459">
        <v>0</v>
      </c>
      <c r="AQ1459">
        <v>0</v>
      </c>
      <c r="AR1459">
        <v>0</v>
      </c>
      <c r="AS1459">
        <v>120</v>
      </c>
      <c r="AT1459">
        <v>-12</v>
      </c>
      <c r="AU1459">
        <v>0</v>
      </c>
      <c r="AW1459">
        <v>0</v>
      </c>
      <c r="AX1459">
        <v>0</v>
      </c>
      <c r="AY1459">
        <v>75.599999999999994</v>
      </c>
      <c r="BC1459" t="str">
        <f>T("9791159285806")</f>
        <v>9791159285806</v>
      </c>
      <c r="BE1459" t="str">
        <f>T("판타지 웹소설 &gt; 퓨전 판타지")</f>
        <v>판타지 웹소설 &gt; 퓨전 판타지</v>
      </c>
    </row>
    <row r="1460" spans="1:57" x14ac:dyDescent="0.3">
      <c r="A1460">
        <v>1525013020</v>
      </c>
      <c r="B1460">
        <v>1525013056</v>
      </c>
      <c r="C1460" t="str">
        <f>T("악당의 리턴 37화")</f>
        <v>악당의 리턴 37화</v>
      </c>
      <c r="D1460" t="str">
        <f>T("37")</f>
        <v>37</v>
      </c>
      <c r="E1460" t="str">
        <f>T("백범(白帆)")</f>
        <v>백범(白帆)</v>
      </c>
      <c r="H1460" t="str">
        <f>T("에필로그")</f>
        <v>에필로그</v>
      </c>
      <c r="I1460" t="str">
        <f>T("악당의 리턴")</f>
        <v>악당의 리턴</v>
      </c>
      <c r="J1460">
        <v>100</v>
      </c>
      <c r="K1460">
        <v>100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100</v>
      </c>
      <c r="AH1460">
        <v>1</v>
      </c>
      <c r="AI1460">
        <v>0</v>
      </c>
      <c r="AJ1460">
        <v>0</v>
      </c>
      <c r="AK1460">
        <v>100</v>
      </c>
      <c r="AL1460">
        <v>0</v>
      </c>
      <c r="AM1460">
        <v>0</v>
      </c>
      <c r="AN1460">
        <v>0</v>
      </c>
      <c r="AO1460">
        <v>0</v>
      </c>
      <c r="AQ1460">
        <v>0</v>
      </c>
      <c r="AR1460">
        <v>0</v>
      </c>
      <c r="AT1460">
        <v>0</v>
      </c>
      <c r="AU1460">
        <v>0</v>
      </c>
      <c r="AW1460">
        <v>0</v>
      </c>
      <c r="AX1460">
        <v>0</v>
      </c>
      <c r="AY1460">
        <v>70</v>
      </c>
      <c r="BC1460" t="str">
        <f>T("9791196538927")</f>
        <v>9791196538927</v>
      </c>
      <c r="BE1460" t="str">
        <f>T("판타지 웹소설 &gt; 현대 판타지")</f>
        <v>판타지 웹소설 &gt; 현대 판타지</v>
      </c>
    </row>
    <row r="1461" spans="1:57" x14ac:dyDescent="0.3">
      <c r="A1461">
        <v>1525004030</v>
      </c>
      <c r="B1461">
        <v>1525007129</v>
      </c>
      <c r="C1461" t="str">
        <f>T("회귀의 전설 2부 1013화")</f>
        <v>회귀의 전설 2부 1013화</v>
      </c>
      <c r="D1461" t="str">
        <f>T("1013")</f>
        <v>1013</v>
      </c>
      <c r="E1461" t="str">
        <f>T("김광수")</f>
        <v>김광수</v>
      </c>
      <c r="H1461" t="str">
        <f>T("스토리위즈")</f>
        <v>스토리위즈</v>
      </c>
      <c r="I1461" t="str">
        <f>T("회귀의 전설")</f>
        <v>회귀의 전설</v>
      </c>
      <c r="J1461">
        <v>100</v>
      </c>
      <c r="K1461">
        <v>100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100</v>
      </c>
      <c r="AH1461">
        <v>1</v>
      </c>
      <c r="AI1461">
        <v>0</v>
      </c>
      <c r="AJ1461">
        <v>0</v>
      </c>
      <c r="AK1461">
        <v>100</v>
      </c>
      <c r="AL1461">
        <v>0</v>
      </c>
      <c r="AM1461">
        <v>0</v>
      </c>
      <c r="AN1461">
        <v>0</v>
      </c>
      <c r="AO1461">
        <v>0</v>
      </c>
      <c r="AQ1461">
        <v>0</v>
      </c>
      <c r="AR1461">
        <v>0</v>
      </c>
      <c r="AT1461">
        <v>0</v>
      </c>
      <c r="AU1461">
        <v>0</v>
      </c>
      <c r="AW1461">
        <v>0</v>
      </c>
      <c r="AX1461">
        <v>0</v>
      </c>
      <c r="AY1461">
        <v>70</v>
      </c>
      <c r="BC1461" t="str">
        <f>T("9791191102086")</f>
        <v>9791191102086</v>
      </c>
      <c r="BE1461" t="str">
        <f>T("판타지 웹소설 &gt; 현대 판타지")</f>
        <v>판타지 웹소설 &gt; 현대 판타지</v>
      </c>
    </row>
    <row r="1462" spans="1:57" x14ac:dyDescent="0.3">
      <c r="A1462">
        <v>1525004030</v>
      </c>
      <c r="B1462">
        <v>1525004502</v>
      </c>
      <c r="C1462" t="str">
        <f>T("회귀의 전설 486화")</f>
        <v>회귀의 전설 486화</v>
      </c>
      <c r="D1462" t="str">
        <f>T("486")</f>
        <v>486</v>
      </c>
      <c r="E1462" t="str">
        <f>T("김광수")</f>
        <v>김광수</v>
      </c>
      <c r="H1462" t="str">
        <f>T("스토리위즈")</f>
        <v>스토리위즈</v>
      </c>
      <c r="I1462" t="str">
        <f>T("회귀의 전설")</f>
        <v>회귀의 전설</v>
      </c>
      <c r="J1462">
        <v>100</v>
      </c>
      <c r="K1462">
        <v>100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100</v>
      </c>
      <c r="AH1462">
        <v>1</v>
      </c>
      <c r="AI1462">
        <v>0</v>
      </c>
      <c r="AJ1462">
        <v>0</v>
      </c>
      <c r="AK1462">
        <v>100</v>
      </c>
      <c r="AL1462">
        <v>0</v>
      </c>
      <c r="AM1462">
        <v>0</v>
      </c>
      <c r="AN1462">
        <v>0</v>
      </c>
      <c r="AO1462">
        <v>0</v>
      </c>
      <c r="AQ1462">
        <v>0</v>
      </c>
      <c r="AR1462">
        <v>0</v>
      </c>
      <c r="AT1462">
        <v>0</v>
      </c>
      <c r="AU1462">
        <v>0</v>
      </c>
      <c r="AW1462">
        <v>0</v>
      </c>
      <c r="AX1462">
        <v>0</v>
      </c>
      <c r="AY1462">
        <v>70</v>
      </c>
      <c r="BC1462" t="str">
        <f>T("9788997946006")</f>
        <v>9788997946006</v>
      </c>
      <c r="BE1462" t="str">
        <f>T("판타지 웹소설 &gt; 현대 판타지")</f>
        <v>판타지 웹소설 &gt; 현대 판타지</v>
      </c>
    </row>
    <row r="1463" spans="1:57" x14ac:dyDescent="0.3">
      <c r="A1463">
        <v>1525012551</v>
      </c>
      <c r="B1463">
        <v>1525012730</v>
      </c>
      <c r="C1463" t="str">
        <f>T("개정판 | 바보가 만드는 멋진 세상 180화")</f>
        <v>개정판 | 바보가 만드는 멋진 세상 180화</v>
      </c>
      <c r="D1463" t="str">
        <f>T("180")</f>
        <v>180</v>
      </c>
      <c r="E1463" t="str">
        <f>T("백범(白帆)")</f>
        <v>백범(白帆)</v>
      </c>
      <c r="H1463" t="str">
        <f>T("에필로그")</f>
        <v>에필로그</v>
      </c>
      <c r="I1463" t="str">
        <f>T("개정판 | 바보가 만드는 멋진 세상")</f>
        <v>개정판 | 바보가 만드는 멋진 세상</v>
      </c>
      <c r="J1463">
        <v>100</v>
      </c>
      <c r="K1463">
        <v>100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100</v>
      </c>
      <c r="AH1463">
        <v>1</v>
      </c>
      <c r="AI1463">
        <v>0</v>
      </c>
      <c r="AJ1463">
        <v>0</v>
      </c>
      <c r="AK1463">
        <v>100</v>
      </c>
      <c r="AL1463">
        <v>0</v>
      </c>
      <c r="AM1463">
        <v>0</v>
      </c>
      <c r="AN1463">
        <v>0</v>
      </c>
      <c r="AO1463">
        <v>0</v>
      </c>
      <c r="AQ1463">
        <v>0</v>
      </c>
      <c r="AR1463">
        <v>0</v>
      </c>
      <c r="AT1463">
        <v>0</v>
      </c>
      <c r="AU1463">
        <v>0</v>
      </c>
      <c r="AW1463">
        <v>0</v>
      </c>
      <c r="AX1463">
        <v>0</v>
      </c>
      <c r="AY1463">
        <v>70</v>
      </c>
      <c r="BC1463" t="str">
        <f>T("9791166003493")</f>
        <v>9791166003493</v>
      </c>
      <c r="BE1463" t="str">
        <f>T("판타지 웹소설 &gt; 현대 판타지")</f>
        <v>판타지 웹소설 &gt; 현대 판타지</v>
      </c>
    </row>
    <row r="1464" spans="1:57" x14ac:dyDescent="0.3">
      <c r="A1464">
        <v>1525008545</v>
      </c>
      <c r="B1464">
        <v>1525008543</v>
      </c>
      <c r="C1464" t="str">
        <f>T("소년연애담 18화")</f>
        <v>소년연애담 18화</v>
      </c>
      <c r="D1464" t="str">
        <f>T("18")</f>
        <v>18</v>
      </c>
      <c r="E1464" t="str">
        <f>T("나나코")</f>
        <v>나나코</v>
      </c>
      <c r="H1464" t="str">
        <f>T("블러쉬")</f>
        <v>블러쉬</v>
      </c>
      <c r="I1464" t="str">
        <f>T("소년연애담")</f>
        <v>소년연애담</v>
      </c>
      <c r="J1464">
        <v>100</v>
      </c>
      <c r="K1464">
        <v>100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100</v>
      </c>
      <c r="AH1464">
        <v>1</v>
      </c>
      <c r="AI1464">
        <v>0</v>
      </c>
      <c r="AJ1464">
        <v>0</v>
      </c>
      <c r="AK1464">
        <v>100</v>
      </c>
      <c r="AL1464">
        <v>0</v>
      </c>
      <c r="AM1464">
        <v>0</v>
      </c>
      <c r="AN1464">
        <v>0</v>
      </c>
      <c r="AO1464">
        <v>0</v>
      </c>
      <c r="AQ1464">
        <v>0</v>
      </c>
      <c r="AR1464">
        <v>0</v>
      </c>
      <c r="AT1464">
        <v>0</v>
      </c>
      <c r="AU1464">
        <v>0</v>
      </c>
      <c r="AW1464">
        <v>0</v>
      </c>
      <c r="AX1464">
        <v>0</v>
      </c>
      <c r="AY1464">
        <v>70</v>
      </c>
      <c r="BA1464" t="str">
        <f>T("0000000000000")</f>
        <v>0000000000000</v>
      </c>
      <c r="BC1464" t="str">
        <f>T("9791164890729")</f>
        <v>9791164890729</v>
      </c>
      <c r="BD1464" t="str">
        <f>T("B12")</f>
        <v>B12</v>
      </c>
      <c r="BE1464" t="str">
        <f>T("BL 웹소설 &gt; 현대물")</f>
        <v>BL 웹소설 &gt; 현대물</v>
      </c>
    </row>
    <row r="1465" spans="1:57" x14ac:dyDescent="0.3">
      <c r="A1465">
        <v>1525008428</v>
      </c>
      <c r="B1465">
        <v>1525008493</v>
      </c>
      <c r="C1465" t="str">
        <f>T("무히비(Muhibbi) 79화")</f>
        <v>무히비(Muhibbi) 79화</v>
      </c>
      <c r="D1465" t="str">
        <f>T("79")</f>
        <v>79</v>
      </c>
      <c r="E1465" t="str">
        <f>T("jooki")</f>
        <v>jooki</v>
      </c>
      <c r="H1465" t="str">
        <f>T("블러쉬")</f>
        <v>블러쉬</v>
      </c>
      <c r="I1465" t="str">
        <f>T("무히비(Muhibbi)")</f>
        <v>무히비(Muhibbi)</v>
      </c>
      <c r="J1465">
        <v>100</v>
      </c>
      <c r="K1465">
        <v>100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100</v>
      </c>
      <c r="AH1465">
        <v>1</v>
      </c>
      <c r="AI1465">
        <v>0</v>
      </c>
      <c r="AJ1465">
        <v>0</v>
      </c>
      <c r="AK1465">
        <v>100</v>
      </c>
      <c r="AL1465">
        <v>0</v>
      </c>
      <c r="AM1465">
        <v>0</v>
      </c>
      <c r="AN1465">
        <v>0</v>
      </c>
      <c r="AO1465">
        <v>0</v>
      </c>
      <c r="AQ1465">
        <v>0</v>
      </c>
      <c r="AR1465">
        <v>0</v>
      </c>
      <c r="AT1465">
        <v>0</v>
      </c>
      <c r="AU1465">
        <v>0</v>
      </c>
      <c r="AW1465">
        <v>0</v>
      </c>
      <c r="AX1465">
        <v>0</v>
      </c>
      <c r="AY1465">
        <v>70</v>
      </c>
      <c r="BC1465" t="str">
        <f>T("9791164896622")</f>
        <v>9791164896622</v>
      </c>
      <c r="BE1465" t="str">
        <f>T("BL 웹소설 &gt; 역사/시대물")</f>
        <v>BL 웹소설 &gt; 역사/시대물</v>
      </c>
    </row>
    <row r="1466" spans="1:57" x14ac:dyDescent="0.3">
      <c r="A1466">
        <v>1525012551</v>
      </c>
      <c r="B1466">
        <v>1525012608</v>
      </c>
      <c r="C1466" t="str">
        <f>T("개정판 | 바보가 만드는 멋진 세상 58화")</f>
        <v>개정판 | 바보가 만드는 멋진 세상 58화</v>
      </c>
      <c r="D1466" t="str">
        <f>T("58")</f>
        <v>58</v>
      </c>
      <c r="E1466" t="str">
        <f>T("백범(白帆)")</f>
        <v>백범(白帆)</v>
      </c>
      <c r="H1466" t="str">
        <f>T("에필로그")</f>
        <v>에필로그</v>
      </c>
      <c r="I1466" t="str">
        <f>T("개정판 | 바보가 만드는 멋진 세상")</f>
        <v>개정판 | 바보가 만드는 멋진 세상</v>
      </c>
      <c r="J1466">
        <v>100</v>
      </c>
      <c r="K1466">
        <v>100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100</v>
      </c>
      <c r="AH1466">
        <v>1</v>
      </c>
      <c r="AI1466">
        <v>0</v>
      </c>
      <c r="AJ1466">
        <v>0</v>
      </c>
      <c r="AK1466">
        <v>100</v>
      </c>
      <c r="AL1466">
        <v>0</v>
      </c>
      <c r="AM1466">
        <v>0</v>
      </c>
      <c r="AN1466">
        <v>0</v>
      </c>
      <c r="AO1466">
        <v>0</v>
      </c>
      <c r="AQ1466">
        <v>0</v>
      </c>
      <c r="AR1466">
        <v>0</v>
      </c>
      <c r="AT1466">
        <v>0</v>
      </c>
      <c r="AU1466">
        <v>0</v>
      </c>
      <c r="AW1466">
        <v>0</v>
      </c>
      <c r="AX1466">
        <v>0</v>
      </c>
      <c r="AY1466">
        <v>70</v>
      </c>
      <c r="BC1466" t="str">
        <f>T("9791166003493")</f>
        <v>9791166003493</v>
      </c>
      <c r="BE1466" t="str">
        <f>T("판타지 웹소설 &gt; 현대 판타지")</f>
        <v>판타지 웹소설 &gt; 현대 판타지</v>
      </c>
    </row>
    <row r="1467" spans="1:57" x14ac:dyDescent="0.3">
      <c r="A1467">
        <v>1525004799</v>
      </c>
      <c r="B1467">
        <v>1525004958</v>
      </c>
      <c r="C1467" t="str">
        <f>T("검산도해 160화")</f>
        <v>검산도해 160화</v>
      </c>
      <c r="D1467" t="str">
        <f>T("160")</f>
        <v>160</v>
      </c>
      <c r="E1467" t="str">
        <f>T("권용찬")</f>
        <v>권용찬</v>
      </c>
      <c r="H1467" t="str">
        <f>T("스토리위즈")</f>
        <v>스토리위즈</v>
      </c>
      <c r="I1467" t="str">
        <f>T("검산도해")</f>
        <v>검산도해</v>
      </c>
      <c r="J1467">
        <v>100</v>
      </c>
      <c r="K1467">
        <v>100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100</v>
      </c>
      <c r="AH1467">
        <v>1</v>
      </c>
      <c r="AI1467">
        <v>0</v>
      </c>
      <c r="AJ1467">
        <v>0</v>
      </c>
      <c r="AK1467">
        <v>0</v>
      </c>
      <c r="AL1467">
        <v>0</v>
      </c>
      <c r="AM1467">
        <v>120</v>
      </c>
      <c r="AN1467">
        <v>-12</v>
      </c>
      <c r="AO1467">
        <v>0</v>
      </c>
      <c r="AQ1467">
        <v>0</v>
      </c>
      <c r="AR1467">
        <v>0</v>
      </c>
      <c r="AS1467">
        <v>120</v>
      </c>
      <c r="AT1467">
        <v>-12</v>
      </c>
      <c r="AU1467">
        <v>0</v>
      </c>
      <c r="AW1467">
        <v>0</v>
      </c>
      <c r="AX1467">
        <v>0</v>
      </c>
      <c r="AY1467">
        <v>75.599999999999994</v>
      </c>
      <c r="BC1467" t="str">
        <f>T("9791159285936")</f>
        <v>9791159285936</v>
      </c>
      <c r="BE1467" t="str">
        <f>T("판타지 웹소설 &gt; 무협 소설")</f>
        <v>판타지 웹소설 &gt; 무협 소설</v>
      </c>
    </row>
    <row r="1468" spans="1:57" x14ac:dyDescent="0.3">
      <c r="A1468">
        <v>1525004030</v>
      </c>
      <c r="B1468">
        <v>1525007047</v>
      </c>
      <c r="C1468" t="str">
        <f>T("회귀의 전설 2부 931화")</f>
        <v>회귀의 전설 2부 931화</v>
      </c>
      <c r="D1468" t="str">
        <f>T("931")</f>
        <v>931</v>
      </c>
      <c r="E1468" t="str">
        <f>T("김광수")</f>
        <v>김광수</v>
      </c>
      <c r="H1468" t="str">
        <f>T("스토리위즈")</f>
        <v>스토리위즈</v>
      </c>
      <c r="I1468" t="str">
        <f>T("회귀의 전설")</f>
        <v>회귀의 전설</v>
      </c>
      <c r="J1468">
        <v>100</v>
      </c>
      <c r="K1468">
        <v>100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100</v>
      </c>
      <c r="AH1468">
        <v>1</v>
      </c>
      <c r="AI1468">
        <v>0</v>
      </c>
      <c r="AJ1468">
        <v>0</v>
      </c>
      <c r="AK1468">
        <v>100</v>
      </c>
      <c r="AL1468">
        <v>0</v>
      </c>
      <c r="AM1468">
        <v>0</v>
      </c>
      <c r="AN1468">
        <v>0</v>
      </c>
      <c r="AO1468">
        <v>0</v>
      </c>
      <c r="AQ1468">
        <v>0</v>
      </c>
      <c r="AR1468">
        <v>0</v>
      </c>
      <c r="AT1468">
        <v>0</v>
      </c>
      <c r="AU1468">
        <v>0</v>
      </c>
      <c r="AW1468">
        <v>0</v>
      </c>
      <c r="AX1468">
        <v>0</v>
      </c>
      <c r="AY1468">
        <v>70</v>
      </c>
      <c r="BC1468" t="str">
        <f>T("9791191102086")</f>
        <v>9791191102086</v>
      </c>
      <c r="BE1468" t="str">
        <f>T("판타지 웹소설 &gt; 현대 판타지")</f>
        <v>판타지 웹소설 &gt; 현대 판타지</v>
      </c>
    </row>
    <row r="1469" spans="1:57" x14ac:dyDescent="0.3">
      <c r="A1469">
        <v>1525008428</v>
      </c>
      <c r="B1469">
        <v>1525008451</v>
      </c>
      <c r="C1469" t="str">
        <f>T("무히비(Muhibbi) 40화")</f>
        <v>무히비(Muhibbi) 40화</v>
      </c>
      <c r="D1469" t="str">
        <f>T("40")</f>
        <v>40</v>
      </c>
      <c r="E1469" t="str">
        <f>T("jooki")</f>
        <v>jooki</v>
      </c>
      <c r="H1469" t="str">
        <f>T("블러쉬")</f>
        <v>블러쉬</v>
      </c>
      <c r="I1469" t="str">
        <f>T("무히비(Muhibbi)")</f>
        <v>무히비(Muhibbi)</v>
      </c>
      <c r="J1469">
        <v>100</v>
      </c>
      <c r="K1469">
        <v>100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100</v>
      </c>
      <c r="AH1469">
        <v>1</v>
      </c>
      <c r="AI1469">
        <v>0</v>
      </c>
      <c r="AJ1469">
        <v>0</v>
      </c>
      <c r="AK1469">
        <v>100</v>
      </c>
      <c r="AL1469">
        <v>0</v>
      </c>
      <c r="AM1469">
        <v>0</v>
      </c>
      <c r="AN1469">
        <v>0</v>
      </c>
      <c r="AO1469">
        <v>0</v>
      </c>
      <c r="AQ1469">
        <v>0</v>
      </c>
      <c r="AR1469">
        <v>0</v>
      </c>
      <c r="AT1469">
        <v>0</v>
      </c>
      <c r="AU1469">
        <v>0</v>
      </c>
      <c r="AW1469">
        <v>0</v>
      </c>
      <c r="AX1469">
        <v>0</v>
      </c>
      <c r="AY1469">
        <v>70</v>
      </c>
      <c r="BC1469" t="str">
        <f>T("9791164896622")</f>
        <v>9791164896622</v>
      </c>
      <c r="BE1469" t="str">
        <f>T("BL 웹소설 &gt; 역사/시대물")</f>
        <v>BL 웹소설 &gt; 역사/시대물</v>
      </c>
    </row>
    <row r="1470" spans="1:57" x14ac:dyDescent="0.3">
      <c r="A1470">
        <v>1525013020</v>
      </c>
      <c r="B1470">
        <v>1525013088</v>
      </c>
      <c r="C1470" t="str">
        <f>T("악당의 리턴 69화")</f>
        <v>악당의 리턴 69화</v>
      </c>
      <c r="D1470" t="str">
        <f>T("69")</f>
        <v>69</v>
      </c>
      <c r="E1470" t="str">
        <f>T("백범(白帆)")</f>
        <v>백범(白帆)</v>
      </c>
      <c r="H1470" t="str">
        <f>T("에필로그")</f>
        <v>에필로그</v>
      </c>
      <c r="I1470" t="str">
        <f>T("악당의 리턴")</f>
        <v>악당의 리턴</v>
      </c>
      <c r="J1470">
        <v>100</v>
      </c>
      <c r="K1470">
        <v>100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100</v>
      </c>
      <c r="AH1470">
        <v>1</v>
      </c>
      <c r="AI1470">
        <v>0</v>
      </c>
      <c r="AJ1470">
        <v>0</v>
      </c>
      <c r="AK1470">
        <v>100</v>
      </c>
      <c r="AL1470">
        <v>0</v>
      </c>
      <c r="AM1470">
        <v>0</v>
      </c>
      <c r="AN1470">
        <v>0</v>
      </c>
      <c r="AO1470">
        <v>0</v>
      </c>
      <c r="AQ1470">
        <v>0</v>
      </c>
      <c r="AR1470">
        <v>0</v>
      </c>
      <c r="AT1470">
        <v>0</v>
      </c>
      <c r="AU1470">
        <v>0</v>
      </c>
      <c r="AW1470">
        <v>0</v>
      </c>
      <c r="AX1470">
        <v>0</v>
      </c>
      <c r="AY1470">
        <v>70</v>
      </c>
      <c r="BC1470" t="str">
        <f>T("9791196538927")</f>
        <v>9791196538927</v>
      </c>
      <c r="BE1470" t="str">
        <f>T("판타지 웹소설 &gt; 현대 판타지")</f>
        <v>판타지 웹소설 &gt; 현대 판타지</v>
      </c>
    </row>
    <row r="1471" spans="1:57" x14ac:dyDescent="0.3">
      <c r="A1471">
        <v>1525004030</v>
      </c>
      <c r="B1471">
        <v>1525007189</v>
      </c>
      <c r="C1471" t="str">
        <f>T("회귀의 전설 2부 1072화")</f>
        <v>회귀의 전설 2부 1072화</v>
      </c>
      <c r="D1471" t="str">
        <f>T("1072")</f>
        <v>1072</v>
      </c>
      <c r="E1471" t="str">
        <f>T("김광수")</f>
        <v>김광수</v>
      </c>
      <c r="H1471" t="str">
        <f>T("스토리위즈")</f>
        <v>스토리위즈</v>
      </c>
      <c r="I1471" t="str">
        <f>T("회귀의 전설")</f>
        <v>회귀의 전설</v>
      </c>
      <c r="J1471">
        <v>100</v>
      </c>
      <c r="K1471">
        <v>100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100</v>
      </c>
      <c r="AH1471">
        <v>1</v>
      </c>
      <c r="AI1471">
        <v>0</v>
      </c>
      <c r="AJ1471">
        <v>0</v>
      </c>
      <c r="AK1471">
        <v>100</v>
      </c>
      <c r="AL1471">
        <v>0</v>
      </c>
      <c r="AM1471">
        <v>0</v>
      </c>
      <c r="AN1471">
        <v>0</v>
      </c>
      <c r="AO1471">
        <v>0</v>
      </c>
      <c r="AQ1471">
        <v>0</v>
      </c>
      <c r="AR1471">
        <v>0</v>
      </c>
      <c r="AT1471">
        <v>0</v>
      </c>
      <c r="AU1471">
        <v>0</v>
      </c>
      <c r="AW1471">
        <v>0</v>
      </c>
      <c r="AX1471">
        <v>0</v>
      </c>
      <c r="AY1471">
        <v>70</v>
      </c>
      <c r="BC1471" t="str">
        <f>T("9791191102086")</f>
        <v>9791191102086</v>
      </c>
      <c r="BE1471" t="str">
        <f>T("판타지 웹소설 &gt; 현대 판타지")</f>
        <v>판타지 웹소설 &gt; 현대 판타지</v>
      </c>
    </row>
    <row r="1472" spans="1:57" x14ac:dyDescent="0.3">
      <c r="A1472">
        <v>1525008545</v>
      </c>
      <c r="B1472">
        <v>1525008575</v>
      </c>
      <c r="C1472" t="str">
        <f>T("소년연애담 47화")</f>
        <v>소년연애담 47화</v>
      </c>
      <c r="D1472" t="str">
        <f>T("47")</f>
        <v>47</v>
      </c>
      <c r="E1472" t="str">
        <f>T("나나코")</f>
        <v>나나코</v>
      </c>
      <c r="H1472" t="str">
        <f>T("블러쉬")</f>
        <v>블러쉬</v>
      </c>
      <c r="I1472" t="str">
        <f>T("소년연애담")</f>
        <v>소년연애담</v>
      </c>
      <c r="J1472">
        <v>100</v>
      </c>
      <c r="K1472">
        <v>100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100</v>
      </c>
      <c r="AH1472">
        <v>1</v>
      </c>
      <c r="AI1472">
        <v>0</v>
      </c>
      <c r="AJ1472">
        <v>0</v>
      </c>
      <c r="AK1472">
        <v>100</v>
      </c>
      <c r="AL1472">
        <v>0</v>
      </c>
      <c r="AM1472">
        <v>0</v>
      </c>
      <c r="AN1472">
        <v>0</v>
      </c>
      <c r="AO1472">
        <v>0</v>
      </c>
      <c r="AQ1472">
        <v>0</v>
      </c>
      <c r="AR1472">
        <v>0</v>
      </c>
      <c r="AT1472">
        <v>0</v>
      </c>
      <c r="AU1472">
        <v>0</v>
      </c>
      <c r="AW1472">
        <v>0</v>
      </c>
      <c r="AX1472">
        <v>0</v>
      </c>
      <c r="AY1472">
        <v>70</v>
      </c>
      <c r="BA1472" t="str">
        <f>T("0000000000000")</f>
        <v>0000000000000</v>
      </c>
      <c r="BC1472" t="str">
        <f>T("9791164890729")</f>
        <v>9791164890729</v>
      </c>
      <c r="BD1472" t="str">
        <f>T("B12")</f>
        <v>B12</v>
      </c>
      <c r="BE1472" t="str">
        <f>T("BL 웹소설 &gt; 현대물")</f>
        <v>BL 웹소설 &gt; 현대물</v>
      </c>
    </row>
    <row r="1473" spans="1:57" x14ac:dyDescent="0.3">
      <c r="A1473">
        <v>1525012551</v>
      </c>
      <c r="B1473">
        <v>1525012649</v>
      </c>
      <c r="C1473" t="str">
        <f>T("개정판 | 바보가 만드는 멋진 세상 99화")</f>
        <v>개정판 | 바보가 만드는 멋진 세상 99화</v>
      </c>
      <c r="D1473" t="str">
        <f>T("99")</f>
        <v>99</v>
      </c>
      <c r="E1473" t="str">
        <f>T("백범(白帆)")</f>
        <v>백범(白帆)</v>
      </c>
      <c r="H1473" t="str">
        <f>T("에필로그")</f>
        <v>에필로그</v>
      </c>
      <c r="I1473" t="str">
        <f>T("개정판 | 바보가 만드는 멋진 세상")</f>
        <v>개정판 | 바보가 만드는 멋진 세상</v>
      </c>
      <c r="J1473">
        <v>100</v>
      </c>
      <c r="K1473">
        <v>100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100</v>
      </c>
      <c r="AH1473">
        <v>1</v>
      </c>
      <c r="AI1473">
        <v>0</v>
      </c>
      <c r="AJ1473">
        <v>0</v>
      </c>
      <c r="AK1473">
        <v>100</v>
      </c>
      <c r="AL1473">
        <v>0</v>
      </c>
      <c r="AM1473">
        <v>0</v>
      </c>
      <c r="AN1473">
        <v>0</v>
      </c>
      <c r="AO1473">
        <v>0</v>
      </c>
      <c r="AQ1473">
        <v>0</v>
      </c>
      <c r="AR1473">
        <v>0</v>
      </c>
      <c r="AT1473">
        <v>0</v>
      </c>
      <c r="AU1473">
        <v>0</v>
      </c>
      <c r="AW1473">
        <v>0</v>
      </c>
      <c r="AX1473">
        <v>0</v>
      </c>
      <c r="AY1473">
        <v>70</v>
      </c>
      <c r="BC1473" t="str">
        <f>T("9791166003493")</f>
        <v>9791166003493</v>
      </c>
      <c r="BE1473" t="str">
        <f>T("판타지 웹소설 &gt; 현대 판타지")</f>
        <v>판타지 웹소설 &gt; 현대 판타지</v>
      </c>
    </row>
    <row r="1474" spans="1:57" x14ac:dyDescent="0.3">
      <c r="A1474">
        <v>1525004799</v>
      </c>
      <c r="B1474">
        <v>1525004877</v>
      </c>
      <c r="C1474" t="str">
        <f>T("검산도해 79화")</f>
        <v>검산도해 79화</v>
      </c>
      <c r="D1474" t="str">
        <f>T("79")</f>
        <v>79</v>
      </c>
      <c r="E1474" t="str">
        <f>T("권용찬")</f>
        <v>권용찬</v>
      </c>
      <c r="H1474" t="str">
        <f>T("스토리위즈")</f>
        <v>스토리위즈</v>
      </c>
      <c r="I1474" t="str">
        <f>T("검산도해")</f>
        <v>검산도해</v>
      </c>
      <c r="J1474">
        <v>100</v>
      </c>
      <c r="K1474">
        <v>100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100</v>
      </c>
      <c r="AH1474">
        <v>1</v>
      </c>
      <c r="AI1474">
        <v>0</v>
      </c>
      <c r="AJ1474">
        <v>0</v>
      </c>
      <c r="AK1474">
        <v>0</v>
      </c>
      <c r="AL1474">
        <v>0</v>
      </c>
      <c r="AM1474">
        <v>120</v>
      </c>
      <c r="AN1474">
        <v>-12</v>
      </c>
      <c r="AO1474">
        <v>0</v>
      </c>
      <c r="AQ1474">
        <v>0</v>
      </c>
      <c r="AR1474">
        <v>0</v>
      </c>
      <c r="AS1474">
        <v>120</v>
      </c>
      <c r="AT1474">
        <v>-12</v>
      </c>
      <c r="AU1474">
        <v>0</v>
      </c>
      <c r="AW1474">
        <v>0</v>
      </c>
      <c r="AX1474">
        <v>0</v>
      </c>
      <c r="AY1474">
        <v>75.599999999999994</v>
      </c>
      <c r="BC1474" t="str">
        <f>T("9791159285936")</f>
        <v>9791159285936</v>
      </c>
      <c r="BE1474" t="str">
        <f>T("판타지 웹소설 &gt; 무협 소설")</f>
        <v>판타지 웹소설 &gt; 무협 소설</v>
      </c>
    </row>
    <row r="1475" spans="1:57" x14ac:dyDescent="0.3">
      <c r="A1475">
        <v>1525000924</v>
      </c>
      <c r="B1475">
        <v>1525000973</v>
      </c>
      <c r="C1475" t="str">
        <f>T("스피릿 소드 50화")</f>
        <v>스피릿 소드 50화</v>
      </c>
      <c r="D1475" t="str">
        <f>T("50")</f>
        <v>50</v>
      </c>
      <c r="E1475" t="str">
        <f>T("김정률")</f>
        <v>김정률</v>
      </c>
      <c r="H1475" t="str">
        <f>T("스토리위즈")</f>
        <v>스토리위즈</v>
      </c>
      <c r="I1475" t="str">
        <f>T("스피릿 소드")</f>
        <v>스피릿 소드</v>
      </c>
      <c r="J1475">
        <v>100</v>
      </c>
      <c r="K1475">
        <v>100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100</v>
      </c>
      <c r="AH1475">
        <v>1</v>
      </c>
      <c r="AI1475">
        <v>0</v>
      </c>
      <c r="AJ1475">
        <v>0</v>
      </c>
      <c r="AK1475">
        <v>100</v>
      </c>
      <c r="AL1475">
        <v>0</v>
      </c>
      <c r="AM1475">
        <v>0</v>
      </c>
      <c r="AN1475">
        <v>0</v>
      </c>
      <c r="AO1475">
        <v>0</v>
      </c>
      <c r="AQ1475">
        <v>0</v>
      </c>
      <c r="AR1475">
        <v>0</v>
      </c>
      <c r="AT1475">
        <v>0</v>
      </c>
      <c r="AU1475">
        <v>0</v>
      </c>
      <c r="AW1475">
        <v>0</v>
      </c>
      <c r="AX1475">
        <v>0</v>
      </c>
      <c r="AY1475">
        <v>70</v>
      </c>
      <c r="BA1475" t="str">
        <f>T("9791159282713")</f>
        <v>9791159282713</v>
      </c>
      <c r="BC1475" t="str">
        <f>T("9791159282713")</f>
        <v>9791159282713</v>
      </c>
      <c r="BE1475" t="str">
        <f>T("판타지 웹소설 &gt; 정통 판타지")</f>
        <v>판타지 웹소설 &gt; 정통 판타지</v>
      </c>
    </row>
    <row r="1476" spans="1:57" x14ac:dyDescent="0.3">
      <c r="A1476">
        <v>1525004030</v>
      </c>
      <c r="B1476">
        <v>1525007064</v>
      </c>
      <c r="C1476" t="str">
        <f>T("회귀의 전설 2부 948화")</f>
        <v>회귀의 전설 2부 948화</v>
      </c>
      <c r="D1476" t="str">
        <f>T("948")</f>
        <v>948</v>
      </c>
      <c r="E1476" t="str">
        <f>T("김광수")</f>
        <v>김광수</v>
      </c>
      <c r="H1476" t="str">
        <f>T("스토리위즈")</f>
        <v>스토리위즈</v>
      </c>
      <c r="I1476" t="str">
        <f>T("회귀의 전설")</f>
        <v>회귀의 전설</v>
      </c>
      <c r="J1476">
        <v>100</v>
      </c>
      <c r="K1476">
        <v>100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100</v>
      </c>
      <c r="AH1476">
        <v>1</v>
      </c>
      <c r="AI1476">
        <v>0</v>
      </c>
      <c r="AJ1476">
        <v>0</v>
      </c>
      <c r="AK1476">
        <v>100</v>
      </c>
      <c r="AL1476">
        <v>0</v>
      </c>
      <c r="AM1476">
        <v>0</v>
      </c>
      <c r="AN1476">
        <v>0</v>
      </c>
      <c r="AO1476">
        <v>0</v>
      </c>
      <c r="AQ1476">
        <v>0</v>
      </c>
      <c r="AR1476">
        <v>0</v>
      </c>
      <c r="AT1476">
        <v>0</v>
      </c>
      <c r="AU1476">
        <v>0</v>
      </c>
      <c r="AW1476">
        <v>0</v>
      </c>
      <c r="AX1476">
        <v>0</v>
      </c>
      <c r="AY1476">
        <v>70</v>
      </c>
      <c r="BC1476" t="str">
        <f>T("9791191102086")</f>
        <v>9791191102086</v>
      </c>
      <c r="BE1476" t="str">
        <f>T("판타지 웹소설 &gt; 현대 판타지")</f>
        <v>판타지 웹소설 &gt; 현대 판타지</v>
      </c>
    </row>
    <row r="1477" spans="1:57" x14ac:dyDescent="0.3">
      <c r="A1477">
        <v>1525004030</v>
      </c>
      <c r="B1477">
        <v>1525004535</v>
      </c>
      <c r="C1477" t="str">
        <f>T("회귀의 전설 512화")</f>
        <v>회귀의 전설 512화</v>
      </c>
      <c r="D1477" t="str">
        <f>T("512")</f>
        <v>512</v>
      </c>
      <c r="E1477" t="str">
        <f>T("김광수")</f>
        <v>김광수</v>
      </c>
      <c r="H1477" t="str">
        <f>T("스토리위즈")</f>
        <v>스토리위즈</v>
      </c>
      <c r="I1477" t="str">
        <f>T("회귀의 전설")</f>
        <v>회귀의 전설</v>
      </c>
      <c r="J1477">
        <v>100</v>
      </c>
      <c r="K1477">
        <v>100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100</v>
      </c>
      <c r="AH1477">
        <v>1</v>
      </c>
      <c r="AI1477">
        <v>0</v>
      </c>
      <c r="AJ1477">
        <v>0</v>
      </c>
      <c r="AK1477">
        <v>100</v>
      </c>
      <c r="AL1477">
        <v>0</v>
      </c>
      <c r="AM1477">
        <v>0</v>
      </c>
      <c r="AN1477">
        <v>0</v>
      </c>
      <c r="AO1477">
        <v>0</v>
      </c>
      <c r="AQ1477">
        <v>0</v>
      </c>
      <c r="AR1477">
        <v>0</v>
      </c>
      <c r="AT1477">
        <v>0</v>
      </c>
      <c r="AU1477">
        <v>0</v>
      </c>
      <c r="AW1477">
        <v>0</v>
      </c>
      <c r="AX1477">
        <v>0</v>
      </c>
      <c r="AY1477">
        <v>70</v>
      </c>
      <c r="BC1477" t="str">
        <f>T("9788997946006")</f>
        <v>9788997946006</v>
      </c>
      <c r="BE1477" t="str">
        <f>T("판타지 웹소설 &gt; 현대 판타지")</f>
        <v>판타지 웹소설 &gt; 현대 판타지</v>
      </c>
    </row>
    <row r="1478" spans="1:57" x14ac:dyDescent="0.3">
      <c r="A1478">
        <v>1525014780</v>
      </c>
      <c r="B1478">
        <v>1525014935</v>
      </c>
      <c r="C1478" t="str">
        <f>T("크랭키 걸즈 156화")</f>
        <v>크랭키 걸즈 156화</v>
      </c>
      <c r="D1478" t="str">
        <f>T("156")</f>
        <v>156</v>
      </c>
      <c r="E1478" t="str">
        <f>T("곽도우")</f>
        <v>곽도우</v>
      </c>
      <c r="H1478" t="str">
        <f>T("스토리아크")</f>
        <v>스토리아크</v>
      </c>
      <c r="I1478" t="str">
        <f>T("크랭키 걸즈")</f>
        <v>크랭키 걸즈</v>
      </c>
      <c r="J1478">
        <v>100</v>
      </c>
      <c r="K1478">
        <v>100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100</v>
      </c>
      <c r="AH1478">
        <v>1</v>
      </c>
      <c r="AI1478">
        <v>0</v>
      </c>
      <c r="AJ1478">
        <v>0</v>
      </c>
      <c r="AK1478">
        <v>100</v>
      </c>
      <c r="AL1478">
        <v>0</v>
      </c>
      <c r="AM1478">
        <v>0</v>
      </c>
      <c r="AN1478">
        <v>0</v>
      </c>
      <c r="AO1478">
        <v>0</v>
      </c>
      <c r="AQ1478">
        <v>0</v>
      </c>
      <c r="AR1478">
        <v>0</v>
      </c>
      <c r="AT1478">
        <v>0</v>
      </c>
      <c r="AU1478">
        <v>0</v>
      </c>
      <c r="AW1478">
        <v>0</v>
      </c>
      <c r="AX1478">
        <v>0</v>
      </c>
      <c r="AY1478">
        <v>70</v>
      </c>
      <c r="BC1478" t="str">
        <f>T("9791191039276")</f>
        <v>9791191039276</v>
      </c>
      <c r="BE1478" t="str">
        <f>T("판타지 웹소설 &gt; 현대 판타지")</f>
        <v>판타지 웹소설 &gt; 현대 판타지</v>
      </c>
    </row>
    <row r="1479" spans="1:57" x14ac:dyDescent="0.3">
      <c r="A1479">
        <v>1525004030</v>
      </c>
      <c r="B1479">
        <v>1525007151</v>
      </c>
      <c r="C1479" t="str">
        <f>T("회귀의 전설 2부 1034화")</f>
        <v>회귀의 전설 2부 1034화</v>
      </c>
      <c r="D1479" t="str">
        <f>T("1034")</f>
        <v>1034</v>
      </c>
      <c r="E1479" t="str">
        <f>T("김광수")</f>
        <v>김광수</v>
      </c>
      <c r="H1479" t="str">
        <f>T("스토리위즈")</f>
        <v>스토리위즈</v>
      </c>
      <c r="I1479" t="str">
        <f>T("회귀의 전설")</f>
        <v>회귀의 전설</v>
      </c>
      <c r="J1479">
        <v>100</v>
      </c>
      <c r="K1479">
        <v>100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100</v>
      </c>
      <c r="AH1479">
        <v>1</v>
      </c>
      <c r="AI1479">
        <v>0</v>
      </c>
      <c r="AJ1479">
        <v>0</v>
      </c>
      <c r="AK1479">
        <v>100</v>
      </c>
      <c r="AL1479">
        <v>0</v>
      </c>
      <c r="AM1479">
        <v>0</v>
      </c>
      <c r="AN1479">
        <v>0</v>
      </c>
      <c r="AO1479">
        <v>0</v>
      </c>
      <c r="AQ1479">
        <v>0</v>
      </c>
      <c r="AR1479">
        <v>0</v>
      </c>
      <c r="AT1479">
        <v>0</v>
      </c>
      <c r="AU1479">
        <v>0</v>
      </c>
      <c r="AW1479">
        <v>0</v>
      </c>
      <c r="AX1479">
        <v>0</v>
      </c>
      <c r="AY1479">
        <v>70</v>
      </c>
      <c r="BC1479" t="str">
        <f>T("9791191102086")</f>
        <v>9791191102086</v>
      </c>
      <c r="BE1479" t="str">
        <f>T("판타지 웹소설 &gt; 현대 판타지")</f>
        <v>판타지 웹소설 &gt; 현대 판타지</v>
      </c>
    </row>
    <row r="1480" spans="1:57" x14ac:dyDescent="0.3">
      <c r="A1480">
        <v>1525008545</v>
      </c>
      <c r="B1480">
        <v>1525008564</v>
      </c>
      <c r="C1480" t="str">
        <f>T("소년연애담 37화")</f>
        <v>소년연애담 37화</v>
      </c>
      <c r="D1480" t="str">
        <f>T("37")</f>
        <v>37</v>
      </c>
      <c r="E1480" t="str">
        <f>T("나나코")</f>
        <v>나나코</v>
      </c>
      <c r="H1480" t="str">
        <f>T("블러쉬")</f>
        <v>블러쉬</v>
      </c>
      <c r="I1480" t="str">
        <f>T("소년연애담")</f>
        <v>소년연애담</v>
      </c>
      <c r="J1480">
        <v>100</v>
      </c>
      <c r="K1480">
        <v>100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100</v>
      </c>
      <c r="AH1480">
        <v>1</v>
      </c>
      <c r="AI1480">
        <v>0</v>
      </c>
      <c r="AJ1480">
        <v>0</v>
      </c>
      <c r="AK1480">
        <v>100</v>
      </c>
      <c r="AL1480">
        <v>0</v>
      </c>
      <c r="AM1480">
        <v>0</v>
      </c>
      <c r="AN1480">
        <v>0</v>
      </c>
      <c r="AO1480">
        <v>0</v>
      </c>
      <c r="AQ1480">
        <v>0</v>
      </c>
      <c r="AR1480">
        <v>0</v>
      </c>
      <c r="AT1480">
        <v>0</v>
      </c>
      <c r="AU1480">
        <v>0</v>
      </c>
      <c r="AW1480">
        <v>0</v>
      </c>
      <c r="AX1480">
        <v>0</v>
      </c>
      <c r="AY1480">
        <v>70</v>
      </c>
      <c r="BA1480" t="str">
        <f>T("0000000000000")</f>
        <v>0000000000000</v>
      </c>
      <c r="BC1480" t="str">
        <f>T("9791164890729")</f>
        <v>9791164890729</v>
      </c>
      <c r="BD1480" t="str">
        <f>T("B12")</f>
        <v>B12</v>
      </c>
      <c r="BE1480" t="str">
        <f>T("BL 웹소설 &gt; 현대물")</f>
        <v>BL 웹소설 &gt; 현대물</v>
      </c>
    </row>
    <row r="1481" spans="1:57" x14ac:dyDescent="0.3">
      <c r="A1481">
        <v>1525012551</v>
      </c>
      <c r="B1481">
        <v>1525012638</v>
      </c>
      <c r="C1481" t="str">
        <f>T("개정판 | 바보가 만드는 멋진 세상 88화")</f>
        <v>개정판 | 바보가 만드는 멋진 세상 88화</v>
      </c>
      <c r="D1481" t="str">
        <f>T("88")</f>
        <v>88</v>
      </c>
      <c r="E1481" t="str">
        <f>T("백범(白帆)")</f>
        <v>백범(白帆)</v>
      </c>
      <c r="H1481" t="str">
        <f>T("에필로그")</f>
        <v>에필로그</v>
      </c>
      <c r="I1481" t="str">
        <f>T("개정판 | 바보가 만드는 멋진 세상")</f>
        <v>개정판 | 바보가 만드는 멋진 세상</v>
      </c>
      <c r="J1481">
        <v>100</v>
      </c>
      <c r="K1481">
        <v>100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100</v>
      </c>
      <c r="AH1481">
        <v>1</v>
      </c>
      <c r="AI1481">
        <v>0</v>
      </c>
      <c r="AJ1481">
        <v>0</v>
      </c>
      <c r="AK1481">
        <v>100</v>
      </c>
      <c r="AL1481">
        <v>0</v>
      </c>
      <c r="AM1481">
        <v>0</v>
      </c>
      <c r="AN1481">
        <v>0</v>
      </c>
      <c r="AO1481">
        <v>0</v>
      </c>
      <c r="AQ1481">
        <v>0</v>
      </c>
      <c r="AR1481">
        <v>0</v>
      </c>
      <c r="AT1481">
        <v>0</v>
      </c>
      <c r="AU1481">
        <v>0</v>
      </c>
      <c r="AW1481">
        <v>0</v>
      </c>
      <c r="AX1481">
        <v>0</v>
      </c>
      <c r="AY1481">
        <v>70</v>
      </c>
      <c r="BC1481" t="str">
        <f>T("9791166003493")</f>
        <v>9791166003493</v>
      </c>
      <c r="BE1481" t="str">
        <f>T("판타지 웹소설 &gt; 현대 판타지")</f>
        <v>판타지 웹소설 &gt; 현대 판타지</v>
      </c>
    </row>
    <row r="1482" spans="1:57" x14ac:dyDescent="0.3">
      <c r="A1482">
        <v>1525012551</v>
      </c>
      <c r="B1482">
        <v>1525012629</v>
      </c>
      <c r="C1482" t="str">
        <f>T("개정판 | 바보가 만드는 멋진 세상 79화")</f>
        <v>개정판 | 바보가 만드는 멋진 세상 79화</v>
      </c>
      <c r="D1482" t="str">
        <f>T("79")</f>
        <v>79</v>
      </c>
      <c r="E1482" t="str">
        <f>T("백범(白帆)")</f>
        <v>백범(白帆)</v>
      </c>
      <c r="H1482" t="str">
        <f>T("에필로그")</f>
        <v>에필로그</v>
      </c>
      <c r="I1482" t="str">
        <f>T("개정판 | 바보가 만드는 멋진 세상")</f>
        <v>개정판 | 바보가 만드는 멋진 세상</v>
      </c>
      <c r="J1482">
        <v>100</v>
      </c>
      <c r="K1482">
        <v>100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100</v>
      </c>
      <c r="AH1482">
        <v>1</v>
      </c>
      <c r="AI1482">
        <v>0</v>
      </c>
      <c r="AJ1482">
        <v>0</v>
      </c>
      <c r="AK1482">
        <v>100</v>
      </c>
      <c r="AL1482">
        <v>0</v>
      </c>
      <c r="AM1482">
        <v>0</v>
      </c>
      <c r="AN1482">
        <v>0</v>
      </c>
      <c r="AO1482">
        <v>0</v>
      </c>
      <c r="AQ1482">
        <v>0</v>
      </c>
      <c r="AR1482">
        <v>0</v>
      </c>
      <c r="AT1482">
        <v>0</v>
      </c>
      <c r="AU1482">
        <v>0</v>
      </c>
      <c r="AW1482">
        <v>0</v>
      </c>
      <c r="AX1482">
        <v>0</v>
      </c>
      <c r="AY1482">
        <v>70</v>
      </c>
      <c r="BC1482" t="str">
        <f>T("9791166003493")</f>
        <v>9791166003493</v>
      </c>
      <c r="BE1482" t="str">
        <f>T("판타지 웹소설 &gt; 현대 판타지")</f>
        <v>판타지 웹소설 &gt; 현대 판타지</v>
      </c>
    </row>
    <row r="1483" spans="1:57" x14ac:dyDescent="0.3">
      <c r="A1483">
        <v>1525004799</v>
      </c>
      <c r="B1483">
        <v>1525004866</v>
      </c>
      <c r="C1483" t="str">
        <f>T("검산도해 68화")</f>
        <v>검산도해 68화</v>
      </c>
      <c r="D1483" t="str">
        <f>T("68")</f>
        <v>68</v>
      </c>
      <c r="E1483" t="str">
        <f>T("권용찬")</f>
        <v>권용찬</v>
      </c>
      <c r="H1483" t="str">
        <f>T("스토리위즈")</f>
        <v>스토리위즈</v>
      </c>
      <c r="I1483" t="str">
        <f>T("검산도해")</f>
        <v>검산도해</v>
      </c>
      <c r="J1483">
        <v>100</v>
      </c>
      <c r="K1483">
        <v>100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100</v>
      </c>
      <c r="AH1483">
        <v>1</v>
      </c>
      <c r="AI1483">
        <v>0</v>
      </c>
      <c r="AJ1483">
        <v>0</v>
      </c>
      <c r="AK1483">
        <v>0</v>
      </c>
      <c r="AL1483">
        <v>0</v>
      </c>
      <c r="AM1483">
        <v>120</v>
      </c>
      <c r="AN1483">
        <v>-12</v>
      </c>
      <c r="AO1483">
        <v>0</v>
      </c>
      <c r="AQ1483">
        <v>0</v>
      </c>
      <c r="AR1483">
        <v>0</v>
      </c>
      <c r="AS1483">
        <v>120</v>
      </c>
      <c r="AT1483">
        <v>-12</v>
      </c>
      <c r="AU1483">
        <v>0</v>
      </c>
      <c r="AW1483">
        <v>0</v>
      </c>
      <c r="AX1483">
        <v>0</v>
      </c>
      <c r="AY1483">
        <v>75.599999999999994</v>
      </c>
      <c r="BC1483" t="str">
        <f>T("9791159285936")</f>
        <v>9791159285936</v>
      </c>
      <c r="BE1483" t="str">
        <f>T("판타지 웹소설 &gt; 무협 소설")</f>
        <v>판타지 웹소설 &gt; 무협 소설</v>
      </c>
    </row>
    <row r="1484" spans="1:57" x14ac:dyDescent="0.3">
      <c r="A1484">
        <v>1525000924</v>
      </c>
      <c r="B1484">
        <v>1525000962</v>
      </c>
      <c r="C1484" t="str">
        <f>T("스피릿 소드 39화")</f>
        <v>스피릿 소드 39화</v>
      </c>
      <c r="D1484" t="str">
        <f>T("39")</f>
        <v>39</v>
      </c>
      <c r="E1484" t="str">
        <f>T("김정률")</f>
        <v>김정률</v>
      </c>
      <c r="H1484" t="str">
        <f>T("스토리위즈")</f>
        <v>스토리위즈</v>
      </c>
      <c r="I1484" t="str">
        <f>T("스피릿 소드")</f>
        <v>스피릿 소드</v>
      </c>
      <c r="J1484">
        <v>100</v>
      </c>
      <c r="K1484">
        <v>100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100</v>
      </c>
      <c r="AH1484">
        <v>1</v>
      </c>
      <c r="AI1484">
        <v>0</v>
      </c>
      <c r="AJ1484">
        <v>0</v>
      </c>
      <c r="AK1484">
        <v>100</v>
      </c>
      <c r="AL1484">
        <v>0</v>
      </c>
      <c r="AM1484">
        <v>0</v>
      </c>
      <c r="AN1484">
        <v>0</v>
      </c>
      <c r="AO1484">
        <v>0</v>
      </c>
      <c r="AQ1484">
        <v>0</v>
      </c>
      <c r="AR1484">
        <v>0</v>
      </c>
      <c r="AT1484">
        <v>0</v>
      </c>
      <c r="AU1484">
        <v>0</v>
      </c>
      <c r="AW1484">
        <v>0</v>
      </c>
      <c r="AX1484">
        <v>0</v>
      </c>
      <c r="AY1484">
        <v>70</v>
      </c>
      <c r="BA1484" t="str">
        <f>T("9791159282713")</f>
        <v>9791159282713</v>
      </c>
      <c r="BC1484" t="str">
        <f>T("9791159282713")</f>
        <v>9791159282713</v>
      </c>
      <c r="BE1484" t="str">
        <f>T("판타지 웹소설 &gt; 정통 판타지")</f>
        <v>판타지 웹소설 &gt; 정통 판타지</v>
      </c>
    </row>
    <row r="1485" spans="1:57" x14ac:dyDescent="0.3">
      <c r="A1485">
        <v>1525004030</v>
      </c>
      <c r="B1485">
        <v>1525004239</v>
      </c>
      <c r="C1485" t="str">
        <f>T("회귀의 전설 210화")</f>
        <v>회귀의 전설 210화</v>
      </c>
      <c r="D1485" t="str">
        <f>T("210")</f>
        <v>210</v>
      </c>
      <c r="E1485" t="str">
        <f>T("김광수")</f>
        <v>김광수</v>
      </c>
      <c r="H1485" t="str">
        <f>T("스토리위즈")</f>
        <v>스토리위즈</v>
      </c>
      <c r="I1485" t="str">
        <f>T("회귀의 전설")</f>
        <v>회귀의 전설</v>
      </c>
      <c r="J1485">
        <v>100</v>
      </c>
      <c r="K1485">
        <v>100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100</v>
      </c>
      <c r="AH1485">
        <v>1</v>
      </c>
      <c r="AI1485">
        <v>0</v>
      </c>
      <c r="AJ1485">
        <v>0</v>
      </c>
      <c r="AK1485">
        <v>100</v>
      </c>
      <c r="AL1485">
        <v>0</v>
      </c>
      <c r="AM1485">
        <v>0</v>
      </c>
      <c r="AN1485">
        <v>0</v>
      </c>
      <c r="AO1485">
        <v>0</v>
      </c>
      <c r="AQ1485">
        <v>0</v>
      </c>
      <c r="AR1485">
        <v>0</v>
      </c>
      <c r="AT1485">
        <v>0</v>
      </c>
      <c r="AU1485">
        <v>0</v>
      </c>
      <c r="AW1485">
        <v>0</v>
      </c>
      <c r="AX1485">
        <v>0</v>
      </c>
      <c r="AY1485">
        <v>70</v>
      </c>
      <c r="BC1485" t="str">
        <f>T("9788997946006")</f>
        <v>9788997946006</v>
      </c>
      <c r="BE1485" t="str">
        <f>T("판타지 웹소설 &gt; 현대 판타지")</f>
        <v>판타지 웹소설 &gt; 현대 판타지</v>
      </c>
    </row>
    <row r="1486" spans="1:57" x14ac:dyDescent="0.3">
      <c r="A1486">
        <v>1525008545</v>
      </c>
      <c r="B1486">
        <v>1525008581</v>
      </c>
      <c r="C1486" t="str">
        <f>T("소년연애담 52화")</f>
        <v>소년연애담 52화</v>
      </c>
      <c r="D1486" t="str">
        <f>T("52")</f>
        <v>52</v>
      </c>
      <c r="E1486" t="str">
        <f>T("나나코")</f>
        <v>나나코</v>
      </c>
      <c r="H1486" t="str">
        <f>T("블러쉬")</f>
        <v>블러쉬</v>
      </c>
      <c r="I1486" t="str">
        <f>T("소년연애담")</f>
        <v>소년연애담</v>
      </c>
      <c r="J1486">
        <v>100</v>
      </c>
      <c r="K1486">
        <v>100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100</v>
      </c>
      <c r="AH1486">
        <v>1</v>
      </c>
      <c r="AI1486">
        <v>0</v>
      </c>
      <c r="AJ1486">
        <v>0</v>
      </c>
      <c r="AK1486">
        <v>100</v>
      </c>
      <c r="AL1486">
        <v>0</v>
      </c>
      <c r="AM1486">
        <v>0</v>
      </c>
      <c r="AN1486">
        <v>0</v>
      </c>
      <c r="AO1486">
        <v>0</v>
      </c>
      <c r="AQ1486">
        <v>0</v>
      </c>
      <c r="AR1486">
        <v>0</v>
      </c>
      <c r="AT1486">
        <v>0</v>
      </c>
      <c r="AU1486">
        <v>0</v>
      </c>
      <c r="AW1486">
        <v>0</v>
      </c>
      <c r="AX1486">
        <v>0</v>
      </c>
      <c r="AY1486">
        <v>70</v>
      </c>
      <c r="BA1486" t="str">
        <f>T("0000000000000")</f>
        <v>0000000000000</v>
      </c>
      <c r="BC1486" t="str">
        <f>T("9791164890729")</f>
        <v>9791164890729</v>
      </c>
      <c r="BD1486" t="str">
        <f>T("B12")</f>
        <v>B12</v>
      </c>
      <c r="BE1486" t="str">
        <f>T("BL 웹소설 &gt; 현대물")</f>
        <v>BL 웹소설 &gt; 현대물</v>
      </c>
    </row>
    <row r="1487" spans="1:57" x14ac:dyDescent="0.3">
      <c r="A1487">
        <v>1525012551</v>
      </c>
      <c r="B1487">
        <v>1525012670</v>
      </c>
      <c r="C1487" t="str">
        <f>T("개정판 | 바보가 만드는 멋진 세상 120화")</f>
        <v>개정판 | 바보가 만드는 멋진 세상 120화</v>
      </c>
      <c r="D1487" t="str">
        <f>T("120")</f>
        <v>120</v>
      </c>
      <c r="E1487" t="str">
        <f>T("백범(白帆)")</f>
        <v>백범(白帆)</v>
      </c>
      <c r="H1487" t="str">
        <f>T("에필로그")</f>
        <v>에필로그</v>
      </c>
      <c r="I1487" t="str">
        <f>T("개정판 | 바보가 만드는 멋진 세상")</f>
        <v>개정판 | 바보가 만드는 멋진 세상</v>
      </c>
      <c r="J1487">
        <v>100</v>
      </c>
      <c r="K1487">
        <v>100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100</v>
      </c>
      <c r="AH1487">
        <v>1</v>
      </c>
      <c r="AI1487">
        <v>0</v>
      </c>
      <c r="AJ1487">
        <v>0</v>
      </c>
      <c r="AK1487">
        <v>100</v>
      </c>
      <c r="AL1487">
        <v>0</v>
      </c>
      <c r="AM1487">
        <v>0</v>
      </c>
      <c r="AN1487">
        <v>0</v>
      </c>
      <c r="AO1487">
        <v>0</v>
      </c>
      <c r="AQ1487">
        <v>0</v>
      </c>
      <c r="AR1487">
        <v>0</v>
      </c>
      <c r="AT1487">
        <v>0</v>
      </c>
      <c r="AU1487">
        <v>0</v>
      </c>
      <c r="AW1487">
        <v>0</v>
      </c>
      <c r="AX1487">
        <v>0</v>
      </c>
      <c r="AY1487">
        <v>70</v>
      </c>
      <c r="BC1487" t="str">
        <f>T("9791166003493")</f>
        <v>9791166003493</v>
      </c>
      <c r="BE1487" t="str">
        <f>T("판타지 웹소설 &gt; 현대 판타지")</f>
        <v>판타지 웹소설 &gt; 현대 판타지</v>
      </c>
    </row>
    <row r="1488" spans="1:57" x14ac:dyDescent="0.3">
      <c r="A1488">
        <v>1525004799</v>
      </c>
      <c r="B1488">
        <v>1525004841</v>
      </c>
      <c r="C1488" t="str">
        <f>T("검산도해 43화")</f>
        <v>검산도해 43화</v>
      </c>
      <c r="D1488" t="str">
        <f>T("43")</f>
        <v>43</v>
      </c>
      <c r="E1488" t="str">
        <f>T("권용찬")</f>
        <v>권용찬</v>
      </c>
      <c r="H1488" t="str">
        <f>T("스토리위즈")</f>
        <v>스토리위즈</v>
      </c>
      <c r="I1488" t="str">
        <f>T("검산도해")</f>
        <v>검산도해</v>
      </c>
      <c r="J1488">
        <v>100</v>
      </c>
      <c r="K1488">
        <v>100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100</v>
      </c>
      <c r="AH1488">
        <v>1</v>
      </c>
      <c r="AI1488">
        <v>0</v>
      </c>
      <c r="AJ1488">
        <v>0</v>
      </c>
      <c r="AK1488">
        <v>0</v>
      </c>
      <c r="AL1488">
        <v>0</v>
      </c>
      <c r="AM1488">
        <v>120</v>
      </c>
      <c r="AN1488">
        <v>-12</v>
      </c>
      <c r="AO1488">
        <v>0</v>
      </c>
      <c r="AQ1488">
        <v>0</v>
      </c>
      <c r="AR1488">
        <v>0</v>
      </c>
      <c r="AS1488">
        <v>120</v>
      </c>
      <c r="AT1488">
        <v>-12</v>
      </c>
      <c r="AU1488">
        <v>0</v>
      </c>
      <c r="AW1488">
        <v>0</v>
      </c>
      <c r="AX1488">
        <v>0</v>
      </c>
      <c r="AY1488">
        <v>75.599999999999994</v>
      </c>
      <c r="BC1488" t="str">
        <f>T("9791159285936")</f>
        <v>9791159285936</v>
      </c>
      <c r="BE1488" t="str">
        <f>T("판타지 웹소설 &gt; 무협 소설")</f>
        <v>판타지 웹소설 &gt; 무협 소설</v>
      </c>
    </row>
    <row r="1489" spans="1:57" x14ac:dyDescent="0.3">
      <c r="A1489">
        <v>1525004799</v>
      </c>
      <c r="B1489">
        <v>1525004898</v>
      </c>
      <c r="C1489" t="str">
        <f>T("검산도해 100화")</f>
        <v>검산도해 100화</v>
      </c>
      <c r="D1489" t="str">
        <f>T("100")</f>
        <v>100</v>
      </c>
      <c r="E1489" t="str">
        <f>T("권용찬")</f>
        <v>권용찬</v>
      </c>
      <c r="H1489" t="str">
        <f>T("스토리위즈")</f>
        <v>스토리위즈</v>
      </c>
      <c r="I1489" t="str">
        <f>T("검산도해")</f>
        <v>검산도해</v>
      </c>
      <c r="J1489">
        <v>100</v>
      </c>
      <c r="K1489">
        <v>100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100</v>
      </c>
      <c r="AH1489">
        <v>1</v>
      </c>
      <c r="AI1489">
        <v>0</v>
      </c>
      <c r="AJ1489">
        <v>0</v>
      </c>
      <c r="AK1489">
        <v>0</v>
      </c>
      <c r="AL1489">
        <v>0</v>
      </c>
      <c r="AM1489">
        <v>120</v>
      </c>
      <c r="AN1489">
        <v>-12</v>
      </c>
      <c r="AO1489">
        <v>0</v>
      </c>
      <c r="AQ1489">
        <v>0</v>
      </c>
      <c r="AR1489">
        <v>0</v>
      </c>
      <c r="AS1489">
        <v>120</v>
      </c>
      <c r="AT1489">
        <v>-12</v>
      </c>
      <c r="AU1489">
        <v>0</v>
      </c>
      <c r="AW1489">
        <v>0</v>
      </c>
      <c r="AX1489">
        <v>0</v>
      </c>
      <c r="AY1489">
        <v>75.599999999999994</v>
      </c>
      <c r="BC1489" t="str">
        <f>T("9791159285936")</f>
        <v>9791159285936</v>
      </c>
      <c r="BE1489" t="str">
        <f>T("판타지 웹소설 &gt; 무협 소설")</f>
        <v>판타지 웹소설 &gt; 무협 소설</v>
      </c>
    </row>
    <row r="1490" spans="1:57" x14ac:dyDescent="0.3">
      <c r="A1490">
        <v>1525004030</v>
      </c>
      <c r="B1490">
        <v>1525007085</v>
      </c>
      <c r="C1490" t="str">
        <f>T("회귀의 전설 2부 969화")</f>
        <v>회귀의 전설 2부 969화</v>
      </c>
      <c r="D1490" t="str">
        <f>T("969")</f>
        <v>969</v>
      </c>
      <c r="E1490" t="str">
        <f>T("김광수")</f>
        <v>김광수</v>
      </c>
      <c r="H1490" t="str">
        <f>T("스토리위즈")</f>
        <v>스토리위즈</v>
      </c>
      <c r="I1490" t="str">
        <f>T("회귀의 전설")</f>
        <v>회귀의 전설</v>
      </c>
      <c r="J1490">
        <v>100</v>
      </c>
      <c r="K1490">
        <v>100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100</v>
      </c>
      <c r="AH1490">
        <v>1</v>
      </c>
      <c r="AI1490">
        <v>0</v>
      </c>
      <c r="AJ1490">
        <v>0</v>
      </c>
      <c r="AK1490">
        <v>100</v>
      </c>
      <c r="AL1490">
        <v>0</v>
      </c>
      <c r="AM1490">
        <v>0</v>
      </c>
      <c r="AN1490">
        <v>0</v>
      </c>
      <c r="AO1490">
        <v>0</v>
      </c>
      <c r="AQ1490">
        <v>0</v>
      </c>
      <c r="AR1490">
        <v>0</v>
      </c>
      <c r="AT1490">
        <v>0</v>
      </c>
      <c r="AU1490">
        <v>0</v>
      </c>
      <c r="AW1490">
        <v>0</v>
      </c>
      <c r="AX1490">
        <v>0</v>
      </c>
      <c r="AY1490">
        <v>70</v>
      </c>
      <c r="BC1490" t="str">
        <f>T("9791191102086")</f>
        <v>9791191102086</v>
      </c>
      <c r="BE1490" t="str">
        <f>T("판타지 웹소설 &gt; 현대 판타지")</f>
        <v>판타지 웹소설 &gt; 현대 판타지</v>
      </c>
    </row>
    <row r="1491" spans="1:57" x14ac:dyDescent="0.3">
      <c r="A1491">
        <v>1525002125</v>
      </c>
      <c r="B1491">
        <v>1525002152</v>
      </c>
      <c r="C1491" t="str">
        <f>T("신을 죽이러 갑니다 28화")</f>
        <v>신을 죽이러 갑니다 28화</v>
      </c>
      <c r="D1491" t="str">
        <f>T("28")</f>
        <v>28</v>
      </c>
      <c r="E1491" t="str">
        <f>T("독고진")</f>
        <v>독고진</v>
      </c>
      <c r="H1491" t="str">
        <f>T("스토리위즈")</f>
        <v>스토리위즈</v>
      </c>
      <c r="I1491" t="str">
        <f>T("신을 죽이러 갑니다")</f>
        <v>신을 죽이러 갑니다</v>
      </c>
      <c r="J1491">
        <v>100</v>
      </c>
      <c r="K1491">
        <v>100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100</v>
      </c>
      <c r="AH1491">
        <v>1</v>
      </c>
      <c r="AI1491">
        <v>0</v>
      </c>
      <c r="AJ1491">
        <v>0</v>
      </c>
      <c r="AK1491">
        <v>0</v>
      </c>
      <c r="AL1491">
        <v>0</v>
      </c>
      <c r="AM1491">
        <v>120</v>
      </c>
      <c r="AN1491">
        <v>-36</v>
      </c>
      <c r="AO1491">
        <v>0</v>
      </c>
      <c r="AQ1491">
        <v>0</v>
      </c>
      <c r="AR1491">
        <v>0</v>
      </c>
      <c r="AS1491">
        <v>120</v>
      </c>
      <c r="AT1491">
        <v>-36</v>
      </c>
      <c r="AU1491">
        <v>0</v>
      </c>
      <c r="AW1491">
        <v>0</v>
      </c>
      <c r="AX1491">
        <v>0</v>
      </c>
      <c r="AY1491">
        <v>58.8</v>
      </c>
      <c r="BC1491" t="str">
        <f>T("9791159285806")</f>
        <v>9791159285806</v>
      </c>
      <c r="BE1491" t="str">
        <f>T("판타지 웹소설 &gt; 퓨전 판타지")</f>
        <v>판타지 웹소설 &gt; 퓨전 판타지</v>
      </c>
    </row>
    <row r="1492" spans="1:57" x14ac:dyDescent="0.3">
      <c r="A1492">
        <v>1525002864</v>
      </c>
      <c r="B1492">
        <v>1525002908</v>
      </c>
      <c r="C1492" t="str">
        <f>T("소드마스터의 환생 45화")</f>
        <v>소드마스터의 환생 45화</v>
      </c>
      <c r="D1492" t="str">
        <f>T("45")</f>
        <v>45</v>
      </c>
      <c r="E1492" t="str">
        <f>T("파란영")</f>
        <v>파란영</v>
      </c>
      <c r="H1492" t="str">
        <f>T("스토리위즈")</f>
        <v>스토리위즈</v>
      </c>
      <c r="I1492" t="str">
        <f>T("소드마스터의 환생")</f>
        <v>소드마스터의 환생</v>
      </c>
      <c r="J1492">
        <v>100</v>
      </c>
      <c r="K1492">
        <v>100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100</v>
      </c>
      <c r="AH1492">
        <v>1</v>
      </c>
      <c r="AI1492">
        <v>0</v>
      </c>
      <c r="AJ1492">
        <v>0</v>
      </c>
      <c r="AK1492">
        <v>100</v>
      </c>
      <c r="AL1492">
        <v>0</v>
      </c>
      <c r="AM1492">
        <v>0</v>
      </c>
      <c r="AN1492">
        <v>0</v>
      </c>
      <c r="AO1492">
        <v>0</v>
      </c>
      <c r="AQ1492">
        <v>0</v>
      </c>
      <c r="AR1492">
        <v>0</v>
      </c>
      <c r="AT1492">
        <v>0</v>
      </c>
      <c r="AU1492">
        <v>0</v>
      </c>
      <c r="AW1492">
        <v>0</v>
      </c>
      <c r="AX1492">
        <v>0</v>
      </c>
      <c r="AY1492">
        <v>70</v>
      </c>
      <c r="BC1492" t="str">
        <f>T("9791159287527")</f>
        <v>9791159287527</v>
      </c>
      <c r="BE1492" t="str">
        <f>T("판타지 웹소설 &gt; 정통 판타지")</f>
        <v>판타지 웹소설 &gt; 정통 판타지</v>
      </c>
    </row>
    <row r="1493" spans="1:57" x14ac:dyDescent="0.3">
      <c r="A1493">
        <v>1525013020</v>
      </c>
      <c r="B1493">
        <v>1525013126</v>
      </c>
      <c r="C1493" t="str">
        <f>T("악당의 리턴 107화")</f>
        <v>악당의 리턴 107화</v>
      </c>
      <c r="D1493" t="str">
        <f>T("107")</f>
        <v>107</v>
      </c>
      <c r="E1493" t="str">
        <f>T("백범(白帆)")</f>
        <v>백범(白帆)</v>
      </c>
      <c r="H1493" t="str">
        <f>T("에필로그")</f>
        <v>에필로그</v>
      </c>
      <c r="I1493" t="str">
        <f>T("악당의 리턴")</f>
        <v>악당의 리턴</v>
      </c>
      <c r="J1493">
        <v>100</v>
      </c>
      <c r="K1493">
        <v>100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100</v>
      </c>
      <c r="AH1493">
        <v>1</v>
      </c>
      <c r="AI1493">
        <v>0</v>
      </c>
      <c r="AJ1493">
        <v>0</v>
      </c>
      <c r="AK1493">
        <v>100</v>
      </c>
      <c r="AL1493">
        <v>0</v>
      </c>
      <c r="AM1493">
        <v>0</v>
      </c>
      <c r="AN1493">
        <v>0</v>
      </c>
      <c r="AO1493">
        <v>0</v>
      </c>
      <c r="AQ1493">
        <v>0</v>
      </c>
      <c r="AR1493">
        <v>0</v>
      </c>
      <c r="AT1493">
        <v>0</v>
      </c>
      <c r="AU1493">
        <v>0</v>
      </c>
      <c r="AW1493">
        <v>0</v>
      </c>
      <c r="AX1493">
        <v>0</v>
      </c>
      <c r="AY1493">
        <v>70</v>
      </c>
      <c r="BC1493" t="str">
        <f>T("9791196538927")</f>
        <v>9791196538927</v>
      </c>
      <c r="BE1493" t="str">
        <f>T("판타지 웹소설 &gt; 현대 판타지")</f>
        <v>판타지 웹소설 &gt; 현대 판타지</v>
      </c>
    </row>
    <row r="1494" spans="1:57" x14ac:dyDescent="0.3">
      <c r="A1494">
        <v>1525015018</v>
      </c>
      <c r="B1494">
        <v>1525015046</v>
      </c>
      <c r="C1494" t="str">
        <f>T("그녀들은 소꿉친구지, 그 이상은 곤란합니다 29화")</f>
        <v>그녀들은 소꿉친구지, 그 이상은 곤란합니다 29화</v>
      </c>
      <c r="D1494" t="str">
        <f>T("29")</f>
        <v>29</v>
      </c>
      <c r="E1494" t="str">
        <f>T("자이오")</f>
        <v>자이오</v>
      </c>
      <c r="H1494" t="str">
        <f>T("스토리아크")</f>
        <v>스토리아크</v>
      </c>
      <c r="I1494" t="str">
        <f>T("그녀들은 소꿉친구지, 그 이상은 곤란합니다")</f>
        <v>그녀들은 소꿉친구지, 그 이상은 곤란합니다</v>
      </c>
      <c r="J1494">
        <v>100</v>
      </c>
      <c r="K1494">
        <v>100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100</v>
      </c>
      <c r="AH1494">
        <v>1</v>
      </c>
      <c r="AI1494">
        <v>0</v>
      </c>
      <c r="AJ1494">
        <v>0</v>
      </c>
      <c r="AK1494">
        <v>100</v>
      </c>
      <c r="AL1494">
        <v>0</v>
      </c>
      <c r="AM1494">
        <v>0</v>
      </c>
      <c r="AN1494">
        <v>0</v>
      </c>
      <c r="AO1494">
        <v>0</v>
      </c>
      <c r="AQ1494">
        <v>0</v>
      </c>
      <c r="AR1494">
        <v>0</v>
      </c>
      <c r="AT1494">
        <v>0</v>
      </c>
      <c r="AU1494">
        <v>0</v>
      </c>
      <c r="AW1494">
        <v>0</v>
      </c>
      <c r="AX1494">
        <v>0</v>
      </c>
      <c r="AY1494">
        <v>70</v>
      </c>
      <c r="BC1494" t="str">
        <f>T("9791191039313")</f>
        <v>9791191039313</v>
      </c>
      <c r="BE1494" t="str">
        <f>T("판타지 웹소설 &gt; 퓨전 판타지")</f>
        <v>판타지 웹소설 &gt; 퓨전 판타지</v>
      </c>
    </row>
    <row r="1495" spans="1:57" x14ac:dyDescent="0.3">
      <c r="A1495">
        <v>1525008717</v>
      </c>
      <c r="B1495">
        <v>1525008749</v>
      </c>
      <c r="C1495" t="str">
        <f>T("음양상열지사 49화")</f>
        <v>음양상열지사 49화</v>
      </c>
      <c r="D1495" t="str">
        <f>T("49")</f>
        <v>49</v>
      </c>
      <c r="E1495" t="str">
        <f>T("이염")</f>
        <v>이염</v>
      </c>
      <c r="H1495" t="str">
        <f>T("블러쉬")</f>
        <v>블러쉬</v>
      </c>
      <c r="I1495" t="str">
        <f>T("음양상열지사")</f>
        <v>음양상열지사</v>
      </c>
      <c r="J1495">
        <v>100</v>
      </c>
      <c r="K1495">
        <v>100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100</v>
      </c>
      <c r="AH1495">
        <v>1</v>
      </c>
      <c r="AI1495">
        <v>0</v>
      </c>
      <c r="AJ1495">
        <v>0</v>
      </c>
      <c r="AK1495">
        <v>100</v>
      </c>
      <c r="AL1495">
        <v>0</v>
      </c>
      <c r="AM1495">
        <v>0</v>
      </c>
      <c r="AN1495">
        <v>0</v>
      </c>
      <c r="AO1495">
        <v>0</v>
      </c>
      <c r="AQ1495">
        <v>0</v>
      </c>
      <c r="AR1495">
        <v>0</v>
      </c>
      <c r="AT1495">
        <v>0</v>
      </c>
      <c r="AU1495">
        <v>0</v>
      </c>
      <c r="AW1495">
        <v>0</v>
      </c>
      <c r="AX1495">
        <v>0</v>
      </c>
      <c r="AY1495">
        <v>70</v>
      </c>
      <c r="BA1495" t="str">
        <f>T("0000000000000")</f>
        <v>0000000000000</v>
      </c>
      <c r="BC1495" t="str">
        <f>T("9791164896639")</f>
        <v>9791164896639</v>
      </c>
      <c r="BD1495" t="str">
        <f>T("B10")</f>
        <v>B10</v>
      </c>
      <c r="BE1495" t="str">
        <f>T("BL 웹소설 &gt; 역사/시대물")</f>
        <v>BL 웹소설 &gt; 역사/시대물</v>
      </c>
    </row>
    <row r="1496" spans="1:57" x14ac:dyDescent="0.3">
      <c r="A1496">
        <v>1525011523</v>
      </c>
      <c r="B1496">
        <v>1525011237</v>
      </c>
      <c r="C1496" t="str">
        <f>T("남창목가 287화")</f>
        <v>남창목가 287화</v>
      </c>
      <c r="D1496" t="str">
        <f>T("287")</f>
        <v>287</v>
      </c>
      <c r="E1496" t="str">
        <f>T("최재봉")</f>
        <v>최재봉</v>
      </c>
      <c r="H1496" t="str">
        <f>T("에필로그")</f>
        <v>에필로그</v>
      </c>
      <c r="I1496" t="str">
        <f>T("남창목가")</f>
        <v>남창목가</v>
      </c>
      <c r="J1496">
        <v>100</v>
      </c>
      <c r="K1496">
        <v>100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100</v>
      </c>
      <c r="AH1496">
        <v>1</v>
      </c>
      <c r="AI1496">
        <v>0</v>
      </c>
      <c r="AJ1496">
        <v>0</v>
      </c>
      <c r="AK1496">
        <v>0</v>
      </c>
      <c r="AL1496">
        <v>0</v>
      </c>
      <c r="AM1496">
        <v>120</v>
      </c>
      <c r="AN1496">
        <v>-12</v>
      </c>
      <c r="AO1496">
        <v>0</v>
      </c>
      <c r="AQ1496">
        <v>0</v>
      </c>
      <c r="AR1496">
        <v>0</v>
      </c>
      <c r="AS1496">
        <v>120</v>
      </c>
      <c r="AT1496">
        <v>-12</v>
      </c>
      <c r="AU1496">
        <v>0</v>
      </c>
      <c r="AW1496">
        <v>0</v>
      </c>
      <c r="AX1496">
        <v>0</v>
      </c>
      <c r="AY1496">
        <v>75.599999999999994</v>
      </c>
      <c r="BC1496" t="str">
        <f>T("9791164482849")</f>
        <v>9791164482849</v>
      </c>
      <c r="BE1496" t="str">
        <f>T("판타지 웹소설 &gt; 무협 소설")</f>
        <v>판타지 웹소설 &gt; 무협 소설</v>
      </c>
    </row>
    <row r="1497" spans="1:57" x14ac:dyDescent="0.3">
      <c r="A1497">
        <v>1525011523</v>
      </c>
      <c r="B1497">
        <v>1525011414</v>
      </c>
      <c r="C1497" t="str">
        <f>T("남창목가 110화")</f>
        <v>남창목가 110화</v>
      </c>
      <c r="D1497" t="str">
        <f>T("110")</f>
        <v>110</v>
      </c>
      <c r="E1497" t="str">
        <f>T("최재봉")</f>
        <v>최재봉</v>
      </c>
      <c r="H1497" t="str">
        <f>T("에필로그")</f>
        <v>에필로그</v>
      </c>
      <c r="I1497" t="str">
        <f>T("남창목가")</f>
        <v>남창목가</v>
      </c>
      <c r="J1497">
        <v>100</v>
      </c>
      <c r="K1497">
        <v>100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100</v>
      </c>
      <c r="AH1497">
        <v>1</v>
      </c>
      <c r="AI1497">
        <v>0</v>
      </c>
      <c r="AJ1497">
        <v>0</v>
      </c>
      <c r="AK1497">
        <v>100</v>
      </c>
      <c r="AL1497">
        <v>0</v>
      </c>
      <c r="AM1497">
        <v>0</v>
      </c>
      <c r="AN1497">
        <v>0</v>
      </c>
      <c r="AO1497">
        <v>0</v>
      </c>
      <c r="AQ1497">
        <v>0</v>
      </c>
      <c r="AR1497">
        <v>0</v>
      </c>
      <c r="AT1497">
        <v>0</v>
      </c>
      <c r="AU1497">
        <v>0</v>
      </c>
      <c r="AW1497">
        <v>0</v>
      </c>
      <c r="AX1497">
        <v>0</v>
      </c>
      <c r="AY1497">
        <v>70</v>
      </c>
      <c r="BC1497" t="str">
        <f>T("9791164482849")</f>
        <v>9791164482849</v>
      </c>
      <c r="BE1497" t="str">
        <f>T("판타지 웹소설 &gt; 무협 소설")</f>
        <v>판타지 웹소설 &gt; 무협 소설</v>
      </c>
    </row>
    <row r="1498" spans="1:57" x14ac:dyDescent="0.3">
      <c r="A1498">
        <v>1525004030</v>
      </c>
      <c r="B1498">
        <v>1525007004</v>
      </c>
      <c r="C1498" t="str">
        <f>T("회귀의 전설 2부 888화")</f>
        <v>회귀의 전설 2부 888화</v>
      </c>
      <c r="D1498" t="str">
        <f>T("888")</f>
        <v>888</v>
      </c>
      <c r="E1498" t="str">
        <f>T("김광수")</f>
        <v>김광수</v>
      </c>
      <c r="H1498" t="str">
        <f>T("스토리위즈")</f>
        <v>스토리위즈</v>
      </c>
      <c r="I1498" t="str">
        <f>T("회귀의 전설")</f>
        <v>회귀의 전설</v>
      </c>
      <c r="J1498">
        <v>100</v>
      </c>
      <c r="K1498">
        <v>100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100</v>
      </c>
      <c r="AH1498">
        <v>1</v>
      </c>
      <c r="AI1498">
        <v>0</v>
      </c>
      <c r="AJ1498">
        <v>0</v>
      </c>
      <c r="AK1498">
        <v>100</v>
      </c>
      <c r="AL1498">
        <v>0</v>
      </c>
      <c r="AM1498">
        <v>0</v>
      </c>
      <c r="AN1498">
        <v>0</v>
      </c>
      <c r="AO1498">
        <v>0</v>
      </c>
      <c r="AQ1498">
        <v>0</v>
      </c>
      <c r="AR1498">
        <v>0</v>
      </c>
      <c r="AT1498">
        <v>0</v>
      </c>
      <c r="AU1498">
        <v>0</v>
      </c>
      <c r="AW1498">
        <v>0</v>
      </c>
      <c r="AX1498">
        <v>0</v>
      </c>
      <c r="AY1498">
        <v>70</v>
      </c>
      <c r="BC1498" t="str">
        <f>T("9791191102086")</f>
        <v>9791191102086</v>
      </c>
      <c r="BE1498" t="str">
        <f>T("판타지 웹소설 &gt; 현대 판타지")</f>
        <v>판타지 웹소설 &gt; 현대 판타지</v>
      </c>
    </row>
    <row r="1499" spans="1:57" x14ac:dyDescent="0.3">
      <c r="A1499">
        <v>1525000569</v>
      </c>
      <c r="B1499">
        <v>1525000620</v>
      </c>
      <c r="C1499" t="str">
        <f>T("스트라이커 51화")</f>
        <v>스트라이커 51화</v>
      </c>
      <c r="D1499" t="str">
        <f>T("51")</f>
        <v>51</v>
      </c>
      <c r="E1499" t="str">
        <f>T("독고진")</f>
        <v>독고진</v>
      </c>
      <c r="H1499" t="str">
        <f>T("스토리위즈")</f>
        <v>스토리위즈</v>
      </c>
      <c r="I1499" t="str">
        <f>T("스트라이커")</f>
        <v>스트라이커</v>
      </c>
      <c r="J1499">
        <v>100</v>
      </c>
      <c r="K1499">
        <v>100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100</v>
      </c>
      <c r="AH1499">
        <v>1</v>
      </c>
      <c r="AI1499">
        <v>0</v>
      </c>
      <c r="AJ1499">
        <v>0</v>
      </c>
      <c r="AK1499">
        <v>100</v>
      </c>
      <c r="AL1499">
        <v>0</v>
      </c>
      <c r="AM1499">
        <v>0</v>
      </c>
      <c r="AN1499">
        <v>0</v>
      </c>
      <c r="AO1499">
        <v>0</v>
      </c>
      <c r="AQ1499">
        <v>0</v>
      </c>
      <c r="AR1499">
        <v>0</v>
      </c>
      <c r="AT1499">
        <v>0</v>
      </c>
      <c r="AU1499">
        <v>0</v>
      </c>
      <c r="AW1499">
        <v>0</v>
      </c>
      <c r="AX1499">
        <v>0</v>
      </c>
      <c r="AY1499">
        <v>70</v>
      </c>
      <c r="BC1499" t="str">
        <f>T("9791170151678")</f>
        <v>9791170151678</v>
      </c>
      <c r="BE1499" t="str">
        <f>T("판타지 웹소설 &gt; 현대 판타지")</f>
        <v>판타지 웹소설 &gt; 현대 판타지</v>
      </c>
    </row>
    <row r="1500" spans="1:57" x14ac:dyDescent="0.3">
      <c r="A1500">
        <v>1525008428</v>
      </c>
      <c r="B1500">
        <v>1525008403</v>
      </c>
      <c r="C1500" t="str">
        <f>T("무히비(Muhibbi) 100화")</f>
        <v>무히비(Muhibbi) 100화</v>
      </c>
      <c r="D1500" t="str">
        <f>T("100")</f>
        <v>100</v>
      </c>
      <c r="E1500" t="str">
        <f>T("jooki")</f>
        <v>jooki</v>
      </c>
      <c r="H1500" t="str">
        <f>T("블러쉬")</f>
        <v>블러쉬</v>
      </c>
      <c r="I1500" t="str">
        <f>T("무히비(Muhibbi)")</f>
        <v>무히비(Muhibbi)</v>
      </c>
      <c r="J1500">
        <v>100</v>
      </c>
      <c r="K1500">
        <v>100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100</v>
      </c>
      <c r="AH1500">
        <v>1</v>
      </c>
      <c r="AI1500">
        <v>0</v>
      </c>
      <c r="AJ1500">
        <v>0</v>
      </c>
      <c r="AK1500">
        <v>100</v>
      </c>
      <c r="AL1500">
        <v>0</v>
      </c>
      <c r="AM1500">
        <v>0</v>
      </c>
      <c r="AN1500">
        <v>0</v>
      </c>
      <c r="AO1500">
        <v>0</v>
      </c>
      <c r="AQ1500">
        <v>0</v>
      </c>
      <c r="AR1500">
        <v>0</v>
      </c>
      <c r="AT1500">
        <v>0</v>
      </c>
      <c r="AU1500">
        <v>0</v>
      </c>
      <c r="AW1500">
        <v>0</v>
      </c>
      <c r="AX1500">
        <v>0</v>
      </c>
      <c r="AY1500">
        <v>70</v>
      </c>
      <c r="BA1500" t="str">
        <f>T("0000000000000")</f>
        <v>0000000000000</v>
      </c>
      <c r="BC1500" t="str">
        <f>T("9791164896622")</f>
        <v>9791164896622</v>
      </c>
      <c r="BE1500" t="str">
        <f>T("BL 웹소설 &gt; 역사/시대물")</f>
        <v>BL 웹소설 &gt; 역사/시대물</v>
      </c>
    </row>
    <row r="1501" spans="1:57" x14ac:dyDescent="0.3">
      <c r="A1501">
        <v>1525004030</v>
      </c>
      <c r="B1501">
        <v>1525006900</v>
      </c>
      <c r="C1501" t="str">
        <f>T("회귀의 전설 2부 783화")</f>
        <v>회귀의 전설 2부 783화</v>
      </c>
      <c r="D1501" t="str">
        <f>T("783")</f>
        <v>783</v>
      </c>
      <c r="E1501" t="str">
        <f>T("김광수")</f>
        <v>김광수</v>
      </c>
      <c r="H1501" t="str">
        <f>T("스토리위즈")</f>
        <v>스토리위즈</v>
      </c>
      <c r="I1501" t="str">
        <f>T("회귀의 전설")</f>
        <v>회귀의 전설</v>
      </c>
      <c r="J1501">
        <v>100</v>
      </c>
      <c r="K1501">
        <v>100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100</v>
      </c>
      <c r="AH1501">
        <v>1</v>
      </c>
      <c r="AI1501">
        <v>0</v>
      </c>
      <c r="AJ1501">
        <v>0</v>
      </c>
      <c r="AK1501">
        <v>0</v>
      </c>
      <c r="AL1501">
        <v>0</v>
      </c>
      <c r="AM1501">
        <v>120</v>
      </c>
      <c r="AN1501">
        <v>-12</v>
      </c>
      <c r="AO1501">
        <v>0</v>
      </c>
      <c r="AQ1501">
        <v>0</v>
      </c>
      <c r="AR1501">
        <v>0</v>
      </c>
      <c r="AS1501">
        <v>120</v>
      </c>
      <c r="AT1501">
        <v>-12</v>
      </c>
      <c r="AU1501">
        <v>0</v>
      </c>
      <c r="AW1501">
        <v>0</v>
      </c>
      <c r="AX1501">
        <v>0</v>
      </c>
      <c r="AY1501">
        <v>75.599999999999994</v>
      </c>
      <c r="BC1501" t="str">
        <f>T("9791191102086")</f>
        <v>9791191102086</v>
      </c>
      <c r="BE1501" t="str">
        <f>T("판타지 웹소설 &gt; 현대 판타지")</f>
        <v>판타지 웹소설 &gt; 현대 판타지</v>
      </c>
    </row>
    <row r="1502" spans="1:57" x14ac:dyDescent="0.3">
      <c r="A1502">
        <v>1525011523</v>
      </c>
      <c r="B1502">
        <v>1525011356</v>
      </c>
      <c r="C1502" t="str">
        <f>T("남창목가 168화")</f>
        <v>남창목가 168화</v>
      </c>
      <c r="D1502" t="str">
        <f>T("168")</f>
        <v>168</v>
      </c>
      <c r="E1502" t="str">
        <f>T("최재봉")</f>
        <v>최재봉</v>
      </c>
      <c r="H1502" t="str">
        <f>T("에필로그")</f>
        <v>에필로그</v>
      </c>
      <c r="I1502" t="str">
        <f>T("남창목가")</f>
        <v>남창목가</v>
      </c>
      <c r="J1502">
        <v>100</v>
      </c>
      <c r="K1502">
        <v>100</v>
      </c>
      <c r="L1502">
        <v>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100</v>
      </c>
      <c r="AH1502">
        <v>1</v>
      </c>
      <c r="AI1502">
        <v>0</v>
      </c>
      <c r="AJ1502">
        <v>0</v>
      </c>
      <c r="AK1502">
        <v>0</v>
      </c>
      <c r="AL1502">
        <v>0</v>
      </c>
      <c r="AM1502">
        <v>120</v>
      </c>
      <c r="AN1502">
        <v>-12</v>
      </c>
      <c r="AO1502">
        <v>0</v>
      </c>
      <c r="AQ1502">
        <v>0</v>
      </c>
      <c r="AR1502">
        <v>0</v>
      </c>
      <c r="AS1502">
        <v>120</v>
      </c>
      <c r="AT1502">
        <v>-12</v>
      </c>
      <c r="AU1502">
        <v>0</v>
      </c>
      <c r="AW1502">
        <v>0</v>
      </c>
      <c r="AX1502">
        <v>0</v>
      </c>
      <c r="AY1502">
        <v>75.599999999999994</v>
      </c>
      <c r="BC1502" t="str">
        <f>T("9791164482849")</f>
        <v>9791164482849</v>
      </c>
      <c r="BE1502" t="str">
        <f>T("판타지 웹소설 &gt; 무협 소설")</f>
        <v>판타지 웹소설 &gt; 무협 소설</v>
      </c>
    </row>
    <row r="1503" spans="1:57" x14ac:dyDescent="0.3">
      <c r="A1503">
        <v>1525002125</v>
      </c>
      <c r="B1503">
        <v>1525002384</v>
      </c>
      <c r="C1503" t="str">
        <f>T("신을 죽이러 갑니다 260화")</f>
        <v>신을 죽이러 갑니다 260화</v>
      </c>
      <c r="D1503" t="str">
        <f>T("260")</f>
        <v>260</v>
      </c>
      <c r="E1503" t="str">
        <f>T("독고진")</f>
        <v>독고진</v>
      </c>
      <c r="H1503" t="str">
        <f>T("스토리위즈")</f>
        <v>스토리위즈</v>
      </c>
      <c r="I1503" t="str">
        <f>T("신을 죽이러 갑니다")</f>
        <v>신을 죽이러 갑니다</v>
      </c>
      <c r="J1503">
        <v>100</v>
      </c>
      <c r="K1503">
        <v>100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100</v>
      </c>
      <c r="AH1503">
        <v>1</v>
      </c>
      <c r="AI1503">
        <v>0</v>
      </c>
      <c r="AJ1503">
        <v>0</v>
      </c>
      <c r="AK1503">
        <v>0</v>
      </c>
      <c r="AL1503">
        <v>0</v>
      </c>
      <c r="AM1503">
        <v>120</v>
      </c>
      <c r="AN1503">
        <v>-12</v>
      </c>
      <c r="AO1503">
        <v>0</v>
      </c>
      <c r="AQ1503">
        <v>0</v>
      </c>
      <c r="AR1503">
        <v>0</v>
      </c>
      <c r="AS1503">
        <v>120</v>
      </c>
      <c r="AT1503">
        <v>-12</v>
      </c>
      <c r="AU1503">
        <v>0</v>
      </c>
      <c r="AW1503">
        <v>0</v>
      </c>
      <c r="AX1503">
        <v>0</v>
      </c>
      <c r="AY1503">
        <v>75.599999999999994</v>
      </c>
      <c r="BC1503" t="str">
        <f>T("9791159285806")</f>
        <v>9791159285806</v>
      </c>
      <c r="BE1503" t="str">
        <f>T("판타지 웹소설 &gt; 퓨전 판타지")</f>
        <v>판타지 웹소설 &gt; 퓨전 판타지</v>
      </c>
    </row>
    <row r="1504" spans="1:57" x14ac:dyDescent="0.3">
      <c r="A1504">
        <v>1525004030</v>
      </c>
      <c r="B1504">
        <v>1525007118</v>
      </c>
      <c r="C1504" t="str">
        <f>T("회귀의 전설 2부 1002화")</f>
        <v>회귀의 전설 2부 1002화</v>
      </c>
      <c r="D1504" t="str">
        <f>T("1002")</f>
        <v>1002</v>
      </c>
      <c r="E1504" t="str">
        <f>T("김광수")</f>
        <v>김광수</v>
      </c>
      <c r="H1504" t="str">
        <f>T("스토리위즈")</f>
        <v>스토리위즈</v>
      </c>
      <c r="I1504" t="str">
        <f>T("회귀의 전설")</f>
        <v>회귀의 전설</v>
      </c>
      <c r="J1504">
        <v>100</v>
      </c>
      <c r="K1504">
        <v>100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100</v>
      </c>
      <c r="AH1504">
        <v>1</v>
      </c>
      <c r="AI1504">
        <v>0</v>
      </c>
      <c r="AJ1504">
        <v>0</v>
      </c>
      <c r="AK1504">
        <v>100</v>
      </c>
      <c r="AL1504">
        <v>0</v>
      </c>
      <c r="AM1504">
        <v>0</v>
      </c>
      <c r="AN1504">
        <v>0</v>
      </c>
      <c r="AO1504">
        <v>0</v>
      </c>
      <c r="AQ1504">
        <v>0</v>
      </c>
      <c r="AR1504">
        <v>0</v>
      </c>
      <c r="AT1504">
        <v>0</v>
      </c>
      <c r="AU1504">
        <v>0</v>
      </c>
      <c r="AW1504">
        <v>0</v>
      </c>
      <c r="AX1504">
        <v>0</v>
      </c>
      <c r="AY1504">
        <v>70</v>
      </c>
      <c r="BC1504" t="str">
        <f>T("9791191102086")</f>
        <v>9791191102086</v>
      </c>
      <c r="BE1504" t="str">
        <f>T("판타지 웹소설 &gt; 현대 판타지")</f>
        <v>판타지 웹소설 &gt; 현대 판타지</v>
      </c>
    </row>
    <row r="1505" spans="1:57" x14ac:dyDescent="0.3">
      <c r="A1505">
        <v>1525012551</v>
      </c>
      <c r="B1505">
        <v>1525012719</v>
      </c>
      <c r="C1505" t="str">
        <f>T("개정판 | 바보가 만드는 멋진 세상 169화")</f>
        <v>개정판 | 바보가 만드는 멋진 세상 169화</v>
      </c>
      <c r="D1505" t="str">
        <f>T("169")</f>
        <v>169</v>
      </c>
      <c r="E1505" t="str">
        <f>T("백범(白帆)")</f>
        <v>백범(白帆)</v>
      </c>
      <c r="H1505" t="str">
        <f>T("에필로그")</f>
        <v>에필로그</v>
      </c>
      <c r="I1505" t="str">
        <f>T("개정판 | 바보가 만드는 멋진 세상")</f>
        <v>개정판 | 바보가 만드는 멋진 세상</v>
      </c>
      <c r="J1505">
        <v>100</v>
      </c>
      <c r="K1505">
        <v>100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100</v>
      </c>
      <c r="AH1505">
        <v>1</v>
      </c>
      <c r="AI1505">
        <v>0</v>
      </c>
      <c r="AJ1505">
        <v>0</v>
      </c>
      <c r="AK1505">
        <v>100</v>
      </c>
      <c r="AL1505">
        <v>0</v>
      </c>
      <c r="AM1505">
        <v>0</v>
      </c>
      <c r="AN1505">
        <v>0</v>
      </c>
      <c r="AO1505">
        <v>0</v>
      </c>
      <c r="AQ1505">
        <v>0</v>
      </c>
      <c r="AR1505">
        <v>0</v>
      </c>
      <c r="AT1505">
        <v>0</v>
      </c>
      <c r="AU1505">
        <v>0</v>
      </c>
      <c r="AW1505">
        <v>0</v>
      </c>
      <c r="AX1505">
        <v>0</v>
      </c>
      <c r="AY1505">
        <v>70</v>
      </c>
      <c r="BC1505" t="str">
        <f>T("9791166003493")</f>
        <v>9791166003493</v>
      </c>
      <c r="BE1505" t="str">
        <f>T("판타지 웹소설 &gt; 현대 판타지")</f>
        <v>판타지 웹소설 &gt; 현대 판타지</v>
      </c>
    </row>
    <row r="1506" spans="1:57" x14ac:dyDescent="0.3">
      <c r="A1506">
        <v>1525008428</v>
      </c>
      <c r="B1506">
        <v>1525008529</v>
      </c>
      <c r="C1506" t="str">
        <f>T("무히비(Muhibbi) 외전 127화")</f>
        <v>무히비(Muhibbi) 외전 127화</v>
      </c>
      <c r="D1506" t="str">
        <f>T("127")</f>
        <v>127</v>
      </c>
      <c r="E1506" t="str">
        <f>T("jooki")</f>
        <v>jooki</v>
      </c>
      <c r="H1506" t="str">
        <f>T("블러쉬")</f>
        <v>블러쉬</v>
      </c>
      <c r="I1506" t="str">
        <f>T("무히비(Muhibbi)")</f>
        <v>무히비(Muhibbi)</v>
      </c>
      <c r="J1506">
        <v>100</v>
      </c>
      <c r="K1506">
        <v>100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100</v>
      </c>
      <c r="AH1506">
        <v>1</v>
      </c>
      <c r="AI1506">
        <v>0</v>
      </c>
      <c r="AJ1506">
        <v>0</v>
      </c>
      <c r="AK1506">
        <v>100</v>
      </c>
      <c r="AL1506">
        <v>0</v>
      </c>
      <c r="AM1506">
        <v>0</v>
      </c>
      <c r="AN1506">
        <v>0</v>
      </c>
      <c r="AO1506">
        <v>0</v>
      </c>
      <c r="AQ1506">
        <v>0</v>
      </c>
      <c r="AR1506">
        <v>0</v>
      </c>
      <c r="AT1506">
        <v>0</v>
      </c>
      <c r="AU1506">
        <v>0</v>
      </c>
      <c r="AW1506">
        <v>0</v>
      </c>
      <c r="AX1506">
        <v>0</v>
      </c>
      <c r="AY1506">
        <v>70</v>
      </c>
      <c r="BA1506" t="str">
        <f>T("0000000000000")</f>
        <v>0000000000000</v>
      </c>
      <c r="BC1506" t="str">
        <f>T("9791164896622")</f>
        <v>9791164896622</v>
      </c>
      <c r="BE1506" t="str">
        <f>T("BL 웹소설 &gt; 역사/시대물")</f>
        <v>BL 웹소설 &gt; 역사/시대물</v>
      </c>
    </row>
    <row r="1507" spans="1:57" x14ac:dyDescent="0.3">
      <c r="A1507">
        <v>1525002864</v>
      </c>
      <c r="B1507">
        <v>1525003487</v>
      </c>
      <c r="C1507" t="str">
        <f>T("소드마스터의 환생 199화 (외전 5)")</f>
        <v>소드마스터의 환생 199화 (외전 5)</v>
      </c>
      <c r="D1507" t="str">
        <f>T("199")</f>
        <v>199</v>
      </c>
      <c r="E1507" t="str">
        <f>T("파란영")</f>
        <v>파란영</v>
      </c>
      <c r="H1507" t="str">
        <f>T("스토리위즈")</f>
        <v>스토리위즈</v>
      </c>
      <c r="I1507" t="str">
        <f>T("소드마스터의 환생")</f>
        <v>소드마스터의 환생</v>
      </c>
      <c r="J1507">
        <v>100</v>
      </c>
      <c r="K1507">
        <v>100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100</v>
      </c>
      <c r="AH1507">
        <v>1</v>
      </c>
      <c r="AI1507">
        <v>0</v>
      </c>
      <c r="AJ1507">
        <v>0</v>
      </c>
      <c r="AK1507">
        <v>100</v>
      </c>
      <c r="AL1507">
        <v>0</v>
      </c>
      <c r="AM1507">
        <v>0</v>
      </c>
      <c r="AN1507">
        <v>0</v>
      </c>
      <c r="AO1507">
        <v>0</v>
      </c>
      <c r="AQ1507">
        <v>0</v>
      </c>
      <c r="AR1507">
        <v>0</v>
      </c>
      <c r="AT1507">
        <v>0</v>
      </c>
      <c r="AU1507">
        <v>0</v>
      </c>
      <c r="AW1507">
        <v>0</v>
      </c>
      <c r="AX1507">
        <v>0</v>
      </c>
      <c r="AY1507">
        <v>70</v>
      </c>
      <c r="BC1507" t="str">
        <f>T("9791159287527")</f>
        <v>9791159287527</v>
      </c>
      <c r="BE1507" t="str">
        <f>T("판타지 웹소설 &gt; 정통 판타지")</f>
        <v>판타지 웹소설 &gt; 정통 판타지</v>
      </c>
    </row>
    <row r="1508" spans="1:57" x14ac:dyDescent="0.3">
      <c r="A1508">
        <v>1525008428</v>
      </c>
      <c r="B1508">
        <v>1525008482</v>
      </c>
      <c r="C1508" t="str">
        <f>T("무히비(Muhibbi) 69화")</f>
        <v>무히비(Muhibbi) 69화</v>
      </c>
      <c r="D1508" t="str">
        <f>T("69")</f>
        <v>69</v>
      </c>
      <c r="E1508" t="str">
        <f>T("jooki")</f>
        <v>jooki</v>
      </c>
      <c r="H1508" t="str">
        <f>T("블러쉬")</f>
        <v>블러쉬</v>
      </c>
      <c r="I1508" t="str">
        <f>T("무히비(Muhibbi)")</f>
        <v>무히비(Muhibbi)</v>
      </c>
      <c r="J1508">
        <v>100</v>
      </c>
      <c r="K1508">
        <v>100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100</v>
      </c>
      <c r="AH1508">
        <v>1</v>
      </c>
      <c r="AI1508">
        <v>0</v>
      </c>
      <c r="AJ1508">
        <v>0</v>
      </c>
      <c r="AK1508">
        <v>100</v>
      </c>
      <c r="AL1508">
        <v>0</v>
      </c>
      <c r="AM1508">
        <v>0</v>
      </c>
      <c r="AN1508">
        <v>0</v>
      </c>
      <c r="AO1508">
        <v>0</v>
      </c>
      <c r="AQ1508">
        <v>0</v>
      </c>
      <c r="AR1508">
        <v>0</v>
      </c>
      <c r="AT1508">
        <v>0</v>
      </c>
      <c r="AU1508">
        <v>0</v>
      </c>
      <c r="AW1508">
        <v>0</v>
      </c>
      <c r="AX1508">
        <v>0</v>
      </c>
      <c r="AY1508">
        <v>70</v>
      </c>
      <c r="BC1508" t="str">
        <f>T("9791164896622")</f>
        <v>9791164896622</v>
      </c>
      <c r="BE1508" t="str">
        <f>T("BL 웹소설 &gt; 역사/시대물")</f>
        <v>BL 웹소설 &gt; 역사/시대물</v>
      </c>
    </row>
    <row r="1509" spans="1:57" x14ac:dyDescent="0.3">
      <c r="A1509">
        <v>1525011523</v>
      </c>
      <c r="B1509">
        <v>1525011310</v>
      </c>
      <c r="C1509" t="str">
        <f>T("남창목가 214화")</f>
        <v>남창목가 214화</v>
      </c>
      <c r="D1509" t="str">
        <f>T("214")</f>
        <v>214</v>
      </c>
      <c r="E1509" t="str">
        <f>T("최재봉")</f>
        <v>최재봉</v>
      </c>
      <c r="H1509" t="str">
        <f>T("에필로그")</f>
        <v>에필로그</v>
      </c>
      <c r="I1509" t="str">
        <f>T("남창목가")</f>
        <v>남창목가</v>
      </c>
      <c r="J1509">
        <v>100</v>
      </c>
      <c r="K1509">
        <v>100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100</v>
      </c>
      <c r="AH1509">
        <v>1</v>
      </c>
      <c r="AI1509">
        <v>0</v>
      </c>
      <c r="AJ1509">
        <v>0</v>
      </c>
      <c r="AK1509">
        <v>50</v>
      </c>
      <c r="AL1509">
        <v>0</v>
      </c>
      <c r="AM1509">
        <v>60</v>
      </c>
      <c r="AN1509">
        <v>-6</v>
      </c>
      <c r="AO1509">
        <v>0</v>
      </c>
      <c r="AQ1509">
        <v>0</v>
      </c>
      <c r="AR1509">
        <v>0</v>
      </c>
      <c r="AS1509">
        <v>60</v>
      </c>
      <c r="AT1509">
        <v>-6</v>
      </c>
      <c r="AU1509">
        <v>0</v>
      </c>
      <c r="AW1509">
        <v>0</v>
      </c>
      <c r="AX1509">
        <v>0</v>
      </c>
      <c r="AY1509">
        <v>72.8</v>
      </c>
      <c r="BC1509" t="str">
        <f>T("9791164482849")</f>
        <v>9791164482849</v>
      </c>
      <c r="BE1509" t="str">
        <f>T("판타지 웹소설 &gt; 무협 소설")</f>
        <v>판타지 웹소설 &gt; 무협 소설</v>
      </c>
    </row>
    <row r="1510" spans="1:57" x14ac:dyDescent="0.3">
      <c r="A1510">
        <v>1525011523</v>
      </c>
      <c r="B1510">
        <v>1525011498</v>
      </c>
      <c r="C1510" t="str">
        <f>T("남창목가 26화")</f>
        <v>남창목가 26화</v>
      </c>
      <c r="D1510" t="str">
        <f>T("26")</f>
        <v>26</v>
      </c>
      <c r="E1510" t="str">
        <f>T("최재봉")</f>
        <v>최재봉</v>
      </c>
      <c r="H1510" t="str">
        <f>T("에필로그")</f>
        <v>에필로그</v>
      </c>
      <c r="I1510" t="str">
        <f>T("남창목가")</f>
        <v>남창목가</v>
      </c>
      <c r="J1510">
        <v>100</v>
      </c>
      <c r="K1510">
        <v>100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100</v>
      </c>
      <c r="AH1510">
        <v>1</v>
      </c>
      <c r="AI1510">
        <v>0</v>
      </c>
      <c r="AJ1510">
        <v>0</v>
      </c>
      <c r="AK1510">
        <v>100</v>
      </c>
      <c r="AL1510">
        <v>0</v>
      </c>
      <c r="AM1510">
        <v>0</v>
      </c>
      <c r="AN1510">
        <v>0</v>
      </c>
      <c r="AO1510">
        <v>0</v>
      </c>
      <c r="AQ1510">
        <v>0</v>
      </c>
      <c r="AR1510">
        <v>0</v>
      </c>
      <c r="AT1510">
        <v>0</v>
      </c>
      <c r="AU1510">
        <v>0</v>
      </c>
      <c r="AW1510">
        <v>0</v>
      </c>
      <c r="AX1510">
        <v>0</v>
      </c>
      <c r="AY1510">
        <v>70</v>
      </c>
      <c r="BC1510" t="str">
        <f>T("9791164482849")</f>
        <v>9791164482849</v>
      </c>
      <c r="BE1510" t="str">
        <f>T("판타지 웹소설 &gt; 무협 소설")</f>
        <v>판타지 웹소설 &gt; 무협 소설</v>
      </c>
    </row>
    <row r="1511" spans="1:57" x14ac:dyDescent="0.3">
      <c r="A1511">
        <v>1525012551</v>
      </c>
      <c r="B1511">
        <v>1525012597</v>
      </c>
      <c r="C1511" t="str">
        <f>T("개정판 | 바보가 만드는 멋진 세상 47화")</f>
        <v>개정판 | 바보가 만드는 멋진 세상 47화</v>
      </c>
      <c r="D1511" t="str">
        <f>T("47")</f>
        <v>47</v>
      </c>
      <c r="E1511" t="str">
        <f>T("백범(白帆)")</f>
        <v>백범(白帆)</v>
      </c>
      <c r="H1511" t="str">
        <f>T("에필로그")</f>
        <v>에필로그</v>
      </c>
      <c r="I1511" t="str">
        <f>T("개정판 | 바보가 만드는 멋진 세상")</f>
        <v>개정판 | 바보가 만드는 멋진 세상</v>
      </c>
      <c r="J1511">
        <v>100</v>
      </c>
      <c r="K1511">
        <v>100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100</v>
      </c>
      <c r="AH1511">
        <v>1</v>
      </c>
      <c r="AI1511">
        <v>0</v>
      </c>
      <c r="AJ1511">
        <v>0</v>
      </c>
      <c r="AK1511">
        <v>100</v>
      </c>
      <c r="AL1511">
        <v>0</v>
      </c>
      <c r="AM1511">
        <v>0</v>
      </c>
      <c r="AN1511">
        <v>0</v>
      </c>
      <c r="AO1511">
        <v>0</v>
      </c>
      <c r="AQ1511">
        <v>0</v>
      </c>
      <c r="AR1511">
        <v>0</v>
      </c>
      <c r="AT1511">
        <v>0</v>
      </c>
      <c r="AU1511">
        <v>0</v>
      </c>
      <c r="AW1511">
        <v>0</v>
      </c>
      <c r="AX1511">
        <v>0</v>
      </c>
      <c r="AY1511">
        <v>70</v>
      </c>
      <c r="BC1511" t="str">
        <f>T("9791166003493")</f>
        <v>9791166003493</v>
      </c>
      <c r="BE1511" t="str">
        <f>T("판타지 웹소설 &gt; 현대 판타지")</f>
        <v>판타지 웹소설 &gt; 현대 판타지</v>
      </c>
    </row>
    <row r="1512" spans="1:57" x14ac:dyDescent="0.3">
      <c r="A1512">
        <v>1525004799</v>
      </c>
      <c r="B1512">
        <v>1525004947</v>
      </c>
      <c r="C1512" t="str">
        <f>T("검산도해 149화")</f>
        <v>검산도해 149화</v>
      </c>
      <c r="D1512" t="str">
        <f>T("149")</f>
        <v>149</v>
      </c>
      <c r="E1512" t="str">
        <f>T("권용찬")</f>
        <v>권용찬</v>
      </c>
      <c r="H1512" t="str">
        <f>T("스토리위즈")</f>
        <v>스토리위즈</v>
      </c>
      <c r="I1512" t="str">
        <f>T("검산도해")</f>
        <v>검산도해</v>
      </c>
      <c r="J1512">
        <v>100</v>
      </c>
      <c r="K1512">
        <v>100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100</v>
      </c>
      <c r="AH1512">
        <v>1</v>
      </c>
      <c r="AI1512">
        <v>0</v>
      </c>
      <c r="AJ1512">
        <v>0</v>
      </c>
      <c r="AK1512">
        <v>0</v>
      </c>
      <c r="AL1512">
        <v>0</v>
      </c>
      <c r="AM1512">
        <v>120</v>
      </c>
      <c r="AN1512">
        <v>-12</v>
      </c>
      <c r="AO1512">
        <v>0</v>
      </c>
      <c r="AQ1512">
        <v>0</v>
      </c>
      <c r="AR1512">
        <v>0</v>
      </c>
      <c r="AS1512">
        <v>120</v>
      </c>
      <c r="AT1512">
        <v>-12</v>
      </c>
      <c r="AU1512">
        <v>0</v>
      </c>
      <c r="AW1512">
        <v>0</v>
      </c>
      <c r="AX1512">
        <v>0</v>
      </c>
      <c r="AY1512">
        <v>75.599999999999994</v>
      </c>
      <c r="BC1512" t="str">
        <f>T("9791159285936")</f>
        <v>9791159285936</v>
      </c>
      <c r="BE1512" t="str">
        <f>T("판타지 웹소설 &gt; 무협 소설")</f>
        <v>판타지 웹소설 &gt; 무협 소설</v>
      </c>
    </row>
    <row r="1513" spans="1:57" x14ac:dyDescent="0.3">
      <c r="A1513">
        <v>1525004030</v>
      </c>
      <c r="B1513">
        <v>1525007036</v>
      </c>
      <c r="C1513" t="str">
        <f>T("회귀의 전설 2부 920화")</f>
        <v>회귀의 전설 2부 920화</v>
      </c>
      <c r="D1513" t="str">
        <f>T("920")</f>
        <v>920</v>
      </c>
      <c r="E1513" t="str">
        <f>T("김광수")</f>
        <v>김광수</v>
      </c>
      <c r="H1513" t="str">
        <f>T("스토리위즈")</f>
        <v>스토리위즈</v>
      </c>
      <c r="I1513" t="str">
        <f>T("회귀의 전설")</f>
        <v>회귀의 전설</v>
      </c>
      <c r="J1513">
        <v>100</v>
      </c>
      <c r="K1513">
        <v>100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100</v>
      </c>
      <c r="AH1513">
        <v>1</v>
      </c>
      <c r="AI1513">
        <v>0</v>
      </c>
      <c r="AJ1513">
        <v>0</v>
      </c>
      <c r="AK1513">
        <v>100</v>
      </c>
      <c r="AL1513">
        <v>0</v>
      </c>
      <c r="AM1513">
        <v>0</v>
      </c>
      <c r="AN1513">
        <v>0</v>
      </c>
      <c r="AO1513">
        <v>0</v>
      </c>
      <c r="AQ1513">
        <v>0</v>
      </c>
      <c r="AR1513">
        <v>0</v>
      </c>
      <c r="AT1513">
        <v>0</v>
      </c>
      <c r="AU1513">
        <v>0</v>
      </c>
      <c r="AW1513">
        <v>0</v>
      </c>
      <c r="AX1513">
        <v>0</v>
      </c>
      <c r="AY1513">
        <v>70</v>
      </c>
      <c r="BC1513" t="str">
        <f>T("9791191102086")</f>
        <v>9791191102086</v>
      </c>
      <c r="BE1513" t="str">
        <f>T("판타지 웹소설 &gt; 현대 판타지")</f>
        <v>판타지 웹소설 &gt; 현대 판타지</v>
      </c>
    </row>
    <row r="1514" spans="1:57" x14ac:dyDescent="0.3">
      <c r="A1514">
        <v>1525004030</v>
      </c>
      <c r="B1514">
        <v>1525006995</v>
      </c>
      <c r="C1514" t="str">
        <f>T("회귀의 전설 2부 879화")</f>
        <v>회귀의 전설 2부 879화</v>
      </c>
      <c r="D1514" t="str">
        <f>T("879")</f>
        <v>879</v>
      </c>
      <c r="E1514" t="str">
        <f>T("김광수")</f>
        <v>김광수</v>
      </c>
      <c r="H1514" t="str">
        <f>T("스토리위즈")</f>
        <v>스토리위즈</v>
      </c>
      <c r="I1514" t="str">
        <f>T("회귀의 전설")</f>
        <v>회귀의 전설</v>
      </c>
      <c r="J1514">
        <v>100</v>
      </c>
      <c r="K1514">
        <v>100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100</v>
      </c>
      <c r="AH1514">
        <v>1</v>
      </c>
      <c r="AI1514">
        <v>0</v>
      </c>
      <c r="AJ1514">
        <v>0</v>
      </c>
      <c r="AK1514">
        <v>100</v>
      </c>
      <c r="AL1514">
        <v>0</v>
      </c>
      <c r="AM1514">
        <v>0</v>
      </c>
      <c r="AN1514">
        <v>0</v>
      </c>
      <c r="AO1514">
        <v>0</v>
      </c>
      <c r="AQ1514">
        <v>0</v>
      </c>
      <c r="AR1514">
        <v>0</v>
      </c>
      <c r="AT1514">
        <v>0</v>
      </c>
      <c r="AU1514">
        <v>0</v>
      </c>
      <c r="AW1514">
        <v>0</v>
      </c>
      <c r="AX1514">
        <v>0</v>
      </c>
      <c r="AY1514">
        <v>70</v>
      </c>
      <c r="BC1514" t="str">
        <f>T("9791191102086")</f>
        <v>9791191102086</v>
      </c>
      <c r="BE1514" t="str">
        <f>T("판타지 웹소설 &gt; 현대 판타지")</f>
        <v>판타지 웹소설 &gt; 현대 판타지</v>
      </c>
    </row>
    <row r="1515" spans="1:57" x14ac:dyDescent="0.3">
      <c r="A1515">
        <v>1525011523</v>
      </c>
      <c r="B1515">
        <v>1525011394</v>
      </c>
      <c r="C1515" t="str">
        <f>T("남창목가 130화")</f>
        <v>남창목가 130화</v>
      </c>
      <c r="D1515" t="str">
        <f>T("130")</f>
        <v>130</v>
      </c>
      <c r="E1515" t="str">
        <f>T("최재봉")</f>
        <v>최재봉</v>
      </c>
      <c r="H1515" t="str">
        <f>T("에필로그")</f>
        <v>에필로그</v>
      </c>
      <c r="I1515" t="str">
        <f>T("남창목가")</f>
        <v>남창목가</v>
      </c>
      <c r="J1515">
        <v>100</v>
      </c>
      <c r="K1515">
        <v>100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100</v>
      </c>
      <c r="AH1515">
        <v>1</v>
      </c>
      <c r="AI1515">
        <v>0</v>
      </c>
      <c r="AJ1515">
        <v>0</v>
      </c>
      <c r="AK1515">
        <v>100</v>
      </c>
      <c r="AL1515">
        <v>0</v>
      </c>
      <c r="AM1515">
        <v>0</v>
      </c>
      <c r="AN1515">
        <v>0</v>
      </c>
      <c r="AO1515">
        <v>0</v>
      </c>
      <c r="AQ1515">
        <v>0</v>
      </c>
      <c r="AR1515">
        <v>0</v>
      </c>
      <c r="AT1515">
        <v>0</v>
      </c>
      <c r="AU1515">
        <v>0</v>
      </c>
      <c r="AW1515">
        <v>0</v>
      </c>
      <c r="AX1515">
        <v>0</v>
      </c>
      <c r="AY1515">
        <v>70</v>
      </c>
      <c r="BC1515" t="str">
        <f>T("9791164482849")</f>
        <v>9791164482849</v>
      </c>
      <c r="BE1515" t="str">
        <f>T("판타지 웹소설 &gt; 무협 소설")</f>
        <v>판타지 웹소설 &gt; 무협 소설</v>
      </c>
    </row>
    <row r="1516" spans="1:57" x14ac:dyDescent="0.3">
      <c r="A1516">
        <v>1525013020</v>
      </c>
      <c r="B1516">
        <v>1525013077</v>
      </c>
      <c r="C1516" t="str">
        <f>T("악당의 리턴 58화")</f>
        <v>악당의 리턴 58화</v>
      </c>
      <c r="D1516" t="str">
        <f>T("58")</f>
        <v>58</v>
      </c>
      <c r="E1516" t="str">
        <f>T("백범(白帆)")</f>
        <v>백범(白帆)</v>
      </c>
      <c r="H1516" t="str">
        <f>T("에필로그")</f>
        <v>에필로그</v>
      </c>
      <c r="I1516" t="str">
        <f>T("악당의 리턴")</f>
        <v>악당의 리턴</v>
      </c>
      <c r="J1516">
        <v>100</v>
      </c>
      <c r="K1516">
        <v>100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100</v>
      </c>
      <c r="AH1516">
        <v>1</v>
      </c>
      <c r="AI1516">
        <v>0</v>
      </c>
      <c r="AJ1516">
        <v>0</v>
      </c>
      <c r="AK1516">
        <v>100</v>
      </c>
      <c r="AL1516">
        <v>0</v>
      </c>
      <c r="AM1516">
        <v>0</v>
      </c>
      <c r="AN1516">
        <v>0</v>
      </c>
      <c r="AO1516">
        <v>0</v>
      </c>
      <c r="AQ1516">
        <v>0</v>
      </c>
      <c r="AR1516">
        <v>0</v>
      </c>
      <c r="AT1516">
        <v>0</v>
      </c>
      <c r="AU1516">
        <v>0</v>
      </c>
      <c r="AW1516">
        <v>0</v>
      </c>
      <c r="AX1516">
        <v>0</v>
      </c>
      <c r="AY1516">
        <v>70</v>
      </c>
      <c r="BC1516" t="str">
        <f>T("9791196538927")</f>
        <v>9791196538927</v>
      </c>
      <c r="BE1516" t="str">
        <f>T("판타지 웹소설 &gt; 현대 판타지")</f>
        <v>판타지 웹소설 &gt; 현대 판타지</v>
      </c>
    </row>
    <row r="1517" spans="1:57" x14ac:dyDescent="0.3">
      <c r="A1517">
        <v>1525012551</v>
      </c>
      <c r="B1517">
        <v>1525012708</v>
      </c>
      <c r="C1517" t="str">
        <f>T("개정판 | 바보가 만드는 멋진 세상 158화")</f>
        <v>개정판 | 바보가 만드는 멋진 세상 158화</v>
      </c>
      <c r="D1517" t="str">
        <f>T("158")</f>
        <v>158</v>
      </c>
      <c r="E1517" t="str">
        <f>T("백범(白帆)")</f>
        <v>백범(白帆)</v>
      </c>
      <c r="H1517" t="str">
        <f>T("에필로그")</f>
        <v>에필로그</v>
      </c>
      <c r="I1517" t="str">
        <f>T("개정판 | 바보가 만드는 멋진 세상")</f>
        <v>개정판 | 바보가 만드는 멋진 세상</v>
      </c>
      <c r="J1517">
        <v>100</v>
      </c>
      <c r="K1517">
        <v>100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100</v>
      </c>
      <c r="AH1517">
        <v>1</v>
      </c>
      <c r="AI1517">
        <v>0</v>
      </c>
      <c r="AJ1517">
        <v>0</v>
      </c>
      <c r="AK1517">
        <v>100</v>
      </c>
      <c r="AL1517">
        <v>0</v>
      </c>
      <c r="AM1517">
        <v>0</v>
      </c>
      <c r="AN1517">
        <v>0</v>
      </c>
      <c r="AO1517">
        <v>0</v>
      </c>
      <c r="AQ1517">
        <v>0</v>
      </c>
      <c r="AR1517">
        <v>0</v>
      </c>
      <c r="AT1517">
        <v>0</v>
      </c>
      <c r="AU1517">
        <v>0</v>
      </c>
      <c r="AW1517">
        <v>0</v>
      </c>
      <c r="AX1517">
        <v>0</v>
      </c>
      <c r="AY1517">
        <v>70</v>
      </c>
      <c r="BC1517" t="str">
        <f>T("9791166003493")</f>
        <v>9791166003493</v>
      </c>
      <c r="BE1517" t="str">
        <f>T("판타지 웹소설 &gt; 현대 판타지")</f>
        <v>판타지 웹소설 &gt; 현대 판타지</v>
      </c>
    </row>
    <row r="1518" spans="1:57" x14ac:dyDescent="0.3">
      <c r="A1518">
        <v>1525002864</v>
      </c>
      <c r="B1518">
        <v>1525002931</v>
      </c>
      <c r="C1518" t="str">
        <f>T("소드마스터의 환생 68화")</f>
        <v>소드마스터의 환생 68화</v>
      </c>
      <c r="D1518" t="str">
        <f>T("68")</f>
        <v>68</v>
      </c>
      <c r="E1518" t="str">
        <f>T("파란영")</f>
        <v>파란영</v>
      </c>
      <c r="H1518" t="str">
        <f>T("스토리위즈")</f>
        <v>스토리위즈</v>
      </c>
      <c r="I1518" t="str">
        <f>T("소드마스터의 환생")</f>
        <v>소드마스터의 환생</v>
      </c>
      <c r="J1518">
        <v>100</v>
      </c>
      <c r="K1518">
        <v>100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100</v>
      </c>
      <c r="AH1518">
        <v>1</v>
      </c>
      <c r="AI1518">
        <v>0</v>
      </c>
      <c r="AJ1518">
        <v>0</v>
      </c>
      <c r="AK1518">
        <v>100</v>
      </c>
      <c r="AL1518">
        <v>0</v>
      </c>
      <c r="AM1518">
        <v>0</v>
      </c>
      <c r="AN1518">
        <v>0</v>
      </c>
      <c r="AO1518">
        <v>0</v>
      </c>
      <c r="AQ1518">
        <v>0</v>
      </c>
      <c r="AR1518">
        <v>0</v>
      </c>
      <c r="AT1518">
        <v>0</v>
      </c>
      <c r="AU1518">
        <v>0</v>
      </c>
      <c r="AW1518">
        <v>0</v>
      </c>
      <c r="AX1518">
        <v>0</v>
      </c>
      <c r="AY1518">
        <v>70</v>
      </c>
      <c r="BC1518" t="str">
        <f>T("9791159287527")</f>
        <v>9791159287527</v>
      </c>
      <c r="BE1518" t="str">
        <f>T("판타지 웹소설 &gt; 정통 판타지")</f>
        <v>판타지 웹소설 &gt; 정통 판타지</v>
      </c>
    </row>
    <row r="1519" spans="1:57" x14ac:dyDescent="0.3">
      <c r="A1519">
        <v>1525008428</v>
      </c>
      <c r="B1519">
        <v>1525008470</v>
      </c>
      <c r="C1519" t="str">
        <f>T("무히비(Muhibbi) 58화")</f>
        <v>무히비(Muhibbi) 58화</v>
      </c>
      <c r="D1519" t="str">
        <f>T("58")</f>
        <v>58</v>
      </c>
      <c r="E1519" t="str">
        <f>T("jooki")</f>
        <v>jooki</v>
      </c>
      <c r="H1519" t="str">
        <f>T("블러쉬")</f>
        <v>블러쉬</v>
      </c>
      <c r="I1519" t="str">
        <f>T("무히비(Muhibbi)")</f>
        <v>무히비(Muhibbi)</v>
      </c>
      <c r="J1519">
        <v>100</v>
      </c>
      <c r="K1519">
        <v>100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100</v>
      </c>
      <c r="AH1519">
        <v>1</v>
      </c>
      <c r="AI1519">
        <v>0</v>
      </c>
      <c r="AJ1519">
        <v>0</v>
      </c>
      <c r="AK1519">
        <v>100</v>
      </c>
      <c r="AL1519">
        <v>0</v>
      </c>
      <c r="AM1519">
        <v>0</v>
      </c>
      <c r="AN1519">
        <v>0</v>
      </c>
      <c r="AO1519">
        <v>0</v>
      </c>
      <c r="AQ1519">
        <v>0</v>
      </c>
      <c r="AR1519">
        <v>0</v>
      </c>
      <c r="AT1519">
        <v>0</v>
      </c>
      <c r="AU1519">
        <v>0</v>
      </c>
      <c r="AW1519">
        <v>0</v>
      </c>
      <c r="AX1519">
        <v>0</v>
      </c>
      <c r="AY1519">
        <v>70</v>
      </c>
      <c r="BC1519" t="str">
        <f>T("9791164896622")</f>
        <v>9791164896622</v>
      </c>
      <c r="BE1519" t="str">
        <f>T("BL 웹소설 &gt; 역사/시대물")</f>
        <v>BL 웹소설 &gt; 역사/시대물</v>
      </c>
    </row>
    <row r="1520" spans="1:57" x14ac:dyDescent="0.3">
      <c r="A1520">
        <v>1525011523</v>
      </c>
      <c r="B1520">
        <v>1525011284</v>
      </c>
      <c r="C1520" t="str">
        <f>T("남창목가 240화")</f>
        <v>남창목가 240화</v>
      </c>
      <c r="D1520" t="str">
        <f>T("240")</f>
        <v>240</v>
      </c>
      <c r="E1520" t="str">
        <f>T("최재봉")</f>
        <v>최재봉</v>
      </c>
      <c r="H1520" t="str">
        <f>T("에필로그")</f>
        <v>에필로그</v>
      </c>
      <c r="I1520" t="str">
        <f>T("남창목가")</f>
        <v>남창목가</v>
      </c>
      <c r="J1520">
        <v>100</v>
      </c>
      <c r="K1520">
        <v>100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100</v>
      </c>
      <c r="AH1520">
        <v>1</v>
      </c>
      <c r="AI1520">
        <v>0</v>
      </c>
      <c r="AJ1520">
        <v>0</v>
      </c>
      <c r="AK1520">
        <v>0</v>
      </c>
      <c r="AL1520">
        <v>0</v>
      </c>
      <c r="AM1520">
        <v>120</v>
      </c>
      <c r="AN1520">
        <v>-12</v>
      </c>
      <c r="AO1520">
        <v>0</v>
      </c>
      <c r="AQ1520">
        <v>0</v>
      </c>
      <c r="AR1520">
        <v>0</v>
      </c>
      <c r="AS1520">
        <v>120</v>
      </c>
      <c r="AT1520">
        <v>-12</v>
      </c>
      <c r="AU1520">
        <v>0</v>
      </c>
      <c r="AW1520">
        <v>0</v>
      </c>
      <c r="AX1520">
        <v>0</v>
      </c>
      <c r="AY1520">
        <v>75.599999999999994</v>
      </c>
      <c r="BC1520" t="str">
        <f>T("9791164482849")</f>
        <v>9791164482849</v>
      </c>
      <c r="BE1520" t="str">
        <f>T("판타지 웹소설 &gt; 무협 소설")</f>
        <v>판타지 웹소설 &gt; 무협 소설</v>
      </c>
    </row>
    <row r="1521" spans="1:57" x14ac:dyDescent="0.3">
      <c r="A1521">
        <v>1525011523</v>
      </c>
      <c r="B1521">
        <v>1525011477</v>
      </c>
      <c r="C1521" t="str">
        <f>T("남창목가 47화")</f>
        <v>남창목가 47화</v>
      </c>
      <c r="D1521" t="str">
        <f>T("47")</f>
        <v>47</v>
      </c>
      <c r="E1521" t="str">
        <f>T("최재봉")</f>
        <v>최재봉</v>
      </c>
      <c r="H1521" t="str">
        <f>T("에필로그")</f>
        <v>에필로그</v>
      </c>
      <c r="I1521" t="str">
        <f>T("남창목가")</f>
        <v>남창목가</v>
      </c>
      <c r="J1521">
        <v>100</v>
      </c>
      <c r="K1521">
        <v>100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100</v>
      </c>
      <c r="AH1521">
        <v>1</v>
      </c>
      <c r="AI1521">
        <v>0</v>
      </c>
      <c r="AJ1521">
        <v>0</v>
      </c>
      <c r="AK1521">
        <v>100</v>
      </c>
      <c r="AL1521">
        <v>0</v>
      </c>
      <c r="AM1521">
        <v>0</v>
      </c>
      <c r="AN1521">
        <v>0</v>
      </c>
      <c r="AO1521">
        <v>0</v>
      </c>
      <c r="AQ1521">
        <v>0</v>
      </c>
      <c r="AR1521">
        <v>0</v>
      </c>
      <c r="AT1521">
        <v>0</v>
      </c>
      <c r="AU1521">
        <v>0</v>
      </c>
      <c r="AW1521">
        <v>0</v>
      </c>
      <c r="AX1521">
        <v>0</v>
      </c>
      <c r="AY1521">
        <v>70</v>
      </c>
      <c r="BC1521" t="str">
        <f>T("9791164482849")</f>
        <v>9791164482849</v>
      </c>
      <c r="BE1521" t="str">
        <f>T("판타지 웹소설 &gt; 무협 소설")</f>
        <v>판타지 웹소설 &gt; 무협 소설</v>
      </c>
    </row>
    <row r="1522" spans="1:57" x14ac:dyDescent="0.3">
      <c r="A1522">
        <v>1525012551</v>
      </c>
      <c r="B1522">
        <v>1525012586</v>
      </c>
      <c r="C1522" t="str">
        <f>T("개정판 | 바보가 만드는 멋진 세상 36화")</f>
        <v>개정판 | 바보가 만드는 멋진 세상 36화</v>
      </c>
      <c r="D1522" t="str">
        <f>T("36")</f>
        <v>36</v>
      </c>
      <c r="E1522" t="str">
        <f>T("백범(白帆)")</f>
        <v>백범(白帆)</v>
      </c>
      <c r="H1522" t="str">
        <f>T("에필로그")</f>
        <v>에필로그</v>
      </c>
      <c r="I1522" t="str">
        <f>T("개정판 | 바보가 만드는 멋진 세상")</f>
        <v>개정판 | 바보가 만드는 멋진 세상</v>
      </c>
      <c r="J1522">
        <v>100</v>
      </c>
      <c r="K1522">
        <v>100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100</v>
      </c>
      <c r="AH1522">
        <v>1</v>
      </c>
      <c r="AI1522">
        <v>0</v>
      </c>
      <c r="AJ1522">
        <v>0</v>
      </c>
      <c r="AK1522">
        <v>100</v>
      </c>
      <c r="AL1522">
        <v>0</v>
      </c>
      <c r="AM1522">
        <v>0</v>
      </c>
      <c r="AN1522">
        <v>0</v>
      </c>
      <c r="AO1522">
        <v>0</v>
      </c>
      <c r="AQ1522">
        <v>0</v>
      </c>
      <c r="AR1522">
        <v>0</v>
      </c>
      <c r="AT1522">
        <v>0</v>
      </c>
      <c r="AU1522">
        <v>0</v>
      </c>
      <c r="AW1522">
        <v>0</v>
      </c>
      <c r="AX1522">
        <v>0</v>
      </c>
      <c r="AY1522">
        <v>70</v>
      </c>
      <c r="BC1522" t="str">
        <f>T("9791166003493")</f>
        <v>9791166003493</v>
      </c>
      <c r="BE1522" t="str">
        <f>T("판타지 웹소설 &gt; 현대 판타지")</f>
        <v>판타지 웹소설 &gt; 현대 판타지</v>
      </c>
    </row>
    <row r="1523" spans="1:57" x14ac:dyDescent="0.3">
      <c r="A1523">
        <v>1525004799</v>
      </c>
      <c r="B1523">
        <v>1525004936</v>
      </c>
      <c r="C1523" t="str">
        <f>T("검산도해 138화")</f>
        <v>검산도해 138화</v>
      </c>
      <c r="D1523" t="str">
        <f>T("138")</f>
        <v>138</v>
      </c>
      <c r="E1523" t="str">
        <f>T("권용찬")</f>
        <v>권용찬</v>
      </c>
      <c r="H1523" t="str">
        <f>T("스토리위즈")</f>
        <v>스토리위즈</v>
      </c>
      <c r="I1523" t="str">
        <f>T("검산도해")</f>
        <v>검산도해</v>
      </c>
      <c r="J1523">
        <v>100</v>
      </c>
      <c r="K1523">
        <v>100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100</v>
      </c>
      <c r="AH1523">
        <v>1</v>
      </c>
      <c r="AI1523">
        <v>0</v>
      </c>
      <c r="AJ1523">
        <v>0</v>
      </c>
      <c r="AK1523">
        <v>0</v>
      </c>
      <c r="AL1523">
        <v>0</v>
      </c>
      <c r="AM1523">
        <v>120</v>
      </c>
      <c r="AN1523">
        <v>-12</v>
      </c>
      <c r="AO1523">
        <v>0</v>
      </c>
      <c r="AQ1523">
        <v>0</v>
      </c>
      <c r="AR1523">
        <v>0</v>
      </c>
      <c r="AS1523">
        <v>120</v>
      </c>
      <c r="AT1523">
        <v>-12</v>
      </c>
      <c r="AU1523">
        <v>0</v>
      </c>
      <c r="AW1523">
        <v>0</v>
      </c>
      <c r="AX1523">
        <v>0</v>
      </c>
      <c r="AY1523">
        <v>75.599999999999994</v>
      </c>
      <c r="BC1523" t="str">
        <f>T("9791159285936")</f>
        <v>9791159285936</v>
      </c>
      <c r="BE1523" t="str">
        <f>T("판타지 웹소설 &gt; 무협 소설")</f>
        <v>판타지 웹소설 &gt; 무협 소설</v>
      </c>
    </row>
    <row r="1524" spans="1:57" x14ac:dyDescent="0.3">
      <c r="A1524">
        <v>1525004030</v>
      </c>
      <c r="B1524">
        <v>1525007025</v>
      </c>
      <c r="C1524" t="str">
        <f>T("회귀의 전설 2부 909화")</f>
        <v>회귀의 전설 2부 909화</v>
      </c>
      <c r="D1524" t="str">
        <f>T("909")</f>
        <v>909</v>
      </c>
      <c r="E1524" t="str">
        <f>T("김광수")</f>
        <v>김광수</v>
      </c>
      <c r="H1524" t="str">
        <f>T("스토리위즈")</f>
        <v>스토리위즈</v>
      </c>
      <c r="I1524" t="str">
        <f>T("회귀의 전설")</f>
        <v>회귀의 전설</v>
      </c>
      <c r="J1524">
        <v>100</v>
      </c>
      <c r="K1524">
        <v>100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100</v>
      </c>
      <c r="AH1524">
        <v>1</v>
      </c>
      <c r="AI1524">
        <v>0</v>
      </c>
      <c r="AJ1524">
        <v>0</v>
      </c>
      <c r="AK1524">
        <v>100</v>
      </c>
      <c r="AL1524">
        <v>0</v>
      </c>
      <c r="AM1524">
        <v>0</v>
      </c>
      <c r="AN1524">
        <v>0</v>
      </c>
      <c r="AO1524">
        <v>0</v>
      </c>
      <c r="AQ1524">
        <v>0</v>
      </c>
      <c r="AR1524">
        <v>0</v>
      </c>
      <c r="AT1524">
        <v>0</v>
      </c>
      <c r="AU1524">
        <v>0</v>
      </c>
      <c r="AW1524">
        <v>0</v>
      </c>
      <c r="AX1524">
        <v>0</v>
      </c>
      <c r="AY1524">
        <v>70</v>
      </c>
      <c r="BC1524" t="str">
        <f>T("9791191102086")</f>
        <v>9791191102086</v>
      </c>
      <c r="BE1524" t="str">
        <f>T("판타지 웹소설 &gt; 현대 판타지")</f>
        <v>판타지 웹소설 &gt; 현대 판타지</v>
      </c>
    </row>
    <row r="1525" spans="1:57" x14ac:dyDescent="0.3">
      <c r="A1525">
        <v>1525011523</v>
      </c>
      <c r="B1525">
        <v>1525011208</v>
      </c>
      <c r="C1525" t="str">
        <f>T("남창목가 316화")</f>
        <v>남창목가 316화</v>
      </c>
      <c r="D1525" t="str">
        <f>T("316")</f>
        <v>316</v>
      </c>
      <c r="E1525" t="str">
        <f>T("최재봉")</f>
        <v>최재봉</v>
      </c>
      <c r="H1525" t="str">
        <f>T("에필로그")</f>
        <v>에필로그</v>
      </c>
      <c r="I1525" t="str">
        <f>T("남창목가")</f>
        <v>남창목가</v>
      </c>
      <c r="J1525">
        <v>100</v>
      </c>
      <c r="K1525">
        <v>100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100</v>
      </c>
      <c r="AH1525">
        <v>1</v>
      </c>
      <c r="AI1525">
        <v>0</v>
      </c>
      <c r="AJ1525">
        <v>0</v>
      </c>
      <c r="AK1525">
        <v>0</v>
      </c>
      <c r="AL1525">
        <v>0</v>
      </c>
      <c r="AM1525">
        <v>120</v>
      </c>
      <c r="AN1525">
        <v>-12</v>
      </c>
      <c r="AO1525">
        <v>0</v>
      </c>
      <c r="AQ1525">
        <v>0</v>
      </c>
      <c r="AR1525">
        <v>0</v>
      </c>
      <c r="AS1525">
        <v>120</v>
      </c>
      <c r="AT1525">
        <v>-12</v>
      </c>
      <c r="AU1525">
        <v>0</v>
      </c>
      <c r="AW1525">
        <v>0</v>
      </c>
      <c r="AX1525">
        <v>0</v>
      </c>
      <c r="AY1525">
        <v>75.599999999999994</v>
      </c>
      <c r="BC1525" t="str">
        <f>T("9791164482849")</f>
        <v>9791164482849</v>
      </c>
      <c r="BE1525" t="str">
        <f>T("판타지 웹소설 &gt; 무협 소설")</f>
        <v>판타지 웹소설 &gt; 무협 소설</v>
      </c>
    </row>
    <row r="1526" spans="1:57" x14ac:dyDescent="0.3">
      <c r="A1526">
        <v>1525004030</v>
      </c>
      <c r="B1526">
        <v>1525006984</v>
      </c>
      <c r="C1526" t="str">
        <f>T("회귀의 전설 2부 868화")</f>
        <v>회귀의 전설 2부 868화</v>
      </c>
      <c r="D1526" t="str">
        <f>T("868")</f>
        <v>868</v>
      </c>
      <c r="E1526" t="str">
        <f>T("김광수")</f>
        <v>김광수</v>
      </c>
      <c r="H1526" t="str">
        <f>T("스토리위즈")</f>
        <v>스토리위즈</v>
      </c>
      <c r="I1526" t="str">
        <f>T("회귀의 전설")</f>
        <v>회귀의 전설</v>
      </c>
      <c r="J1526">
        <v>100</v>
      </c>
      <c r="K1526">
        <v>100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100</v>
      </c>
      <c r="AH1526">
        <v>1</v>
      </c>
      <c r="AI1526">
        <v>0</v>
      </c>
      <c r="AJ1526">
        <v>0</v>
      </c>
      <c r="AK1526">
        <v>100</v>
      </c>
      <c r="AL1526">
        <v>0</v>
      </c>
      <c r="AM1526">
        <v>0</v>
      </c>
      <c r="AN1526">
        <v>0</v>
      </c>
      <c r="AO1526">
        <v>0</v>
      </c>
      <c r="AQ1526">
        <v>0</v>
      </c>
      <c r="AR1526">
        <v>0</v>
      </c>
      <c r="AT1526">
        <v>0</v>
      </c>
      <c r="AU1526">
        <v>0</v>
      </c>
      <c r="AW1526">
        <v>0</v>
      </c>
      <c r="AX1526">
        <v>0</v>
      </c>
      <c r="AY1526">
        <v>70</v>
      </c>
      <c r="BC1526" t="str">
        <f>T("9791191102086")</f>
        <v>9791191102086</v>
      </c>
      <c r="BE1526" t="str">
        <f>T("판타지 웹소설 &gt; 현대 판타지")</f>
        <v>판타지 웹소설 &gt; 현대 판타지</v>
      </c>
    </row>
    <row r="1527" spans="1:57" x14ac:dyDescent="0.3">
      <c r="A1527">
        <v>1525011523</v>
      </c>
      <c r="B1527">
        <v>1525011380</v>
      </c>
      <c r="C1527" t="str">
        <f>T("남창목가 144화")</f>
        <v>남창목가 144화</v>
      </c>
      <c r="D1527" t="str">
        <f>T("144")</f>
        <v>144</v>
      </c>
      <c r="E1527" t="str">
        <f>T("최재봉")</f>
        <v>최재봉</v>
      </c>
      <c r="H1527" t="str">
        <f>T("에필로그")</f>
        <v>에필로그</v>
      </c>
      <c r="I1527" t="str">
        <f>T("남창목가")</f>
        <v>남창목가</v>
      </c>
      <c r="J1527">
        <v>100</v>
      </c>
      <c r="K1527">
        <v>100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100</v>
      </c>
      <c r="AH1527">
        <v>1</v>
      </c>
      <c r="AI1527">
        <v>0</v>
      </c>
      <c r="AJ1527">
        <v>0</v>
      </c>
      <c r="AK1527">
        <v>0</v>
      </c>
      <c r="AL1527">
        <v>0</v>
      </c>
      <c r="AM1527">
        <v>120</v>
      </c>
      <c r="AN1527">
        <v>-12</v>
      </c>
      <c r="AO1527">
        <v>0</v>
      </c>
      <c r="AQ1527">
        <v>0</v>
      </c>
      <c r="AR1527">
        <v>0</v>
      </c>
      <c r="AS1527">
        <v>120</v>
      </c>
      <c r="AT1527">
        <v>-12</v>
      </c>
      <c r="AU1527">
        <v>0</v>
      </c>
      <c r="AW1527">
        <v>0</v>
      </c>
      <c r="AX1527">
        <v>0</v>
      </c>
      <c r="AY1527">
        <v>75.599999999999994</v>
      </c>
      <c r="BC1527" t="str">
        <f>T("9791164482849")</f>
        <v>9791164482849</v>
      </c>
      <c r="BE1527" t="str">
        <f>T("판타지 웹소설 &gt; 무협 소설")</f>
        <v>판타지 웹소설 &gt; 무협 소설</v>
      </c>
    </row>
    <row r="1528" spans="1:57" x14ac:dyDescent="0.3">
      <c r="A1528">
        <v>1525013020</v>
      </c>
      <c r="B1528">
        <v>1525013066</v>
      </c>
      <c r="C1528" t="str">
        <f>T("악당의 리턴 47화")</f>
        <v>악당의 리턴 47화</v>
      </c>
      <c r="D1528" t="str">
        <f>T("47")</f>
        <v>47</v>
      </c>
      <c r="E1528" t="str">
        <f>T("백범(白帆)")</f>
        <v>백범(白帆)</v>
      </c>
      <c r="H1528" t="str">
        <f>T("에필로그")</f>
        <v>에필로그</v>
      </c>
      <c r="I1528" t="str">
        <f>T("악당의 리턴")</f>
        <v>악당의 리턴</v>
      </c>
      <c r="J1528">
        <v>100</v>
      </c>
      <c r="K1528">
        <v>100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100</v>
      </c>
      <c r="AH1528">
        <v>1</v>
      </c>
      <c r="AI1528">
        <v>0</v>
      </c>
      <c r="AJ1528">
        <v>0</v>
      </c>
      <c r="AK1528">
        <v>100</v>
      </c>
      <c r="AL1528">
        <v>0</v>
      </c>
      <c r="AM1528">
        <v>0</v>
      </c>
      <c r="AN1528">
        <v>0</v>
      </c>
      <c r="AO1528">
        <v>0</v>
      </c>
      <c r="AQ1528">
        <v>0</v>
      </c>
      <c r="AR1528">
        <v>0</v>
      </c>
      <c r="AT1528">
        <v>0</v>
      </c>
      <c r="AU1528">
        <v>0</v>
      </c>
      <c r="AW1528">
        <v>0</v>
      </c>
      <c r="AX1528">
        <v>0</v>
      </c>
      <c r="AY1528">
        <v>70</v>
      </c>
      <c r="BC1528" t="str">
        <f>T("9791196538927")</f>
        <v>9791196538927</v>
      </c>
      <c r="BE1528" t="str">
        <f>T("판타지 웹소설 &gt; 현대 판타지")</f>
        <v>판타지 웹소설 &gt; 현대 판타지</v>
      </c>
    </row>
    <row r="1529" spans="1:57" x14ac:dyDescent="0.3">
      <c r="A1529">
        <v>1525004030</v>
      </c>
      <c r="B1529">
        <v>1525007139</v>
      </c>
      <c r="C1529" t="str">
        <f>T("회귀의 전설 2부 1023화")</f>
        <v>회귀의 전설 2부 1023화</v>
      </c>
      <c r="D1529" t="str">
        <f>T("1023")</f>
        <v>1023</v>
      </c>
      <c r="E1529" t="str">
        <f>T("김광수")</f>
        <v>김광수</v>
      </c>
      <c r="H1529" t="str">
        <f>T("스토리위즈")</f>
        <v>스토리위즈</v>
      </c>
      <c r="I1529" t="str">
        <f>T("회귀의 전설")</f>
        <v>회귀의 전설</v>
      </c>
      <c r="J1529">
        <v>100</v>
      </c>
      <c r="K1529">
        <v>100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100</v>
      </c>
      <c r="AH1529">
        <v>1</v>
      </c>
      <c r="AI1529">
        <v>0</v>
      </c>
      <c r="AJ1529">
        <v>0</v>
      </c>
      <c r="AK1529">
        <v>100</v>
      </c>
      <c r="AL1529">
        <v>0</v>
      </c>
      <c r="AM1529">
        <v>0</v>
      </c>
      <c r="AN1529">
        <v>0</v>
      </c>
      <c r="AO1529">
        <v>0</v>
      </c>
      <c r="AQ1529">
        <v>0</v>
      </c>
      <c r="AR1529">
        <v>0</v>
      </c>
      <c r="AT1529">
        <v>0</v>
      </c>
      <c r="AU1529">
        <v>0</v>
      </c>
      <c r="AW1529">
        <v>0</v>
      </c>
      <c r="AX1529">
        <v>0</v>
      </c>
      <c r="AY1529">
        <v>70</v>
      </c>
      <c r="BC1529" t="str">
        <f>T("9791191102086")</f>
        <v>9791191102086</v>
      </c>
      <c r="BE1529" t="str">
        <f>T("판타지 웹소설 &gt; 현대 판타지")</f>
        <v>판타지 웹소설 &gt; 현대 판타지</v>
      </c>
    </row>
    <row r="1530" spans="1:57" x14ac:dyDescent="0.3">
      <c r="A1530">
        <v>1525012551</v>
      </c>
      <c r="B1530">
        <v>1525012740</v>
      </c>
      <c r="C1530" t="str">
        <f>T("개정판 | 바보가 만드는 멋진 세상 190화")</f>
        <v>개정판 | 바보가 만드는 멋진 세상 190화</v>
      </c>
      <c r="D1530" t="str">
        <f>T("190")</f>
        <v>190</v>
      </c>
      <c r="E1530" t="str">
        <f>T("백범(白帆)")</f>
        <v>백범(白帆)</v>
      </c>
      <c r="H1530" t="str">
        <f>T("에필로그")</f>
        <v>에필로그</v>
      </c>
      <c r="I1530" t="str">
        <f>T("개정판 | 바보가 만드는 멋진 세상")</f>
        <v>개정판 | 바보가 만드는 멋진 세상</v>
      </c>
      <c r="J1530">
        <v>100</v>
      </c>
      <c r="K1530">
        <v>100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100</v>
      </c>
      <c r="AH1530">
        <v>1</v>
      </c>
      <c r="AI1530">
        <v>0</v>
      </c>
      <c r="AJ1530">
        <v>0</v>
      </c>
      <c r="AK1530">
        <v>100</v>
      </c>
      <c r="AL1530">
        <v>0</v>
      </c>
      <c r="AM1530">
        <v>0</v>
      </c>
      <c r="AN1530">
        <v>0</v>
      </c>
      <c r="AO1530">
        <v>0</v>
      </c>
      <c r="AQ1530">
        <v>0</v>
      </c>
      <c r="AR1530">
        <v>0</v>
      </c>
      <c r="AT1530">
        <v>0</v>
      </c>
      <c r="AU1530">
        <v>0</v>
      </c>
      <c r="AW1530">
        <v>0</v>
      </c>
      <c r="AX1530">
        <v>0</v>
      </c>
      <c r="AY1530">
        <v>70</v>
      </c>
      <c r="BC1530" t="str">
        <f>T("9791166003493")</f>
        <v>9791166003493</v>
      </c>
      <c r="BE1530" t="str">
        <f>T("판타지 웹소설 &gt; 현대 판타지")</f>
        <v>판타지 웹소설 &gt; 현대 판타지</v>
      </c>
    </row>
    <row r="1531" spans="1:57" x14ac:dyDescent="0.3">
      <c r="A1531">
        <v>1525008545</v>
      </c>
      <c r="B1531">
        <v>1525008553</v>
      </c>
      <c r="C1531" t="str">
        <f>T("소년연애담 27화")</f>
        <v>소년연애담 27화</v>
      </c>
      <c r="D1531" t="str">
        <f>T("27")</f>
        <v>27</v>
      </c>
      <c r="E1531" t="str">
        <f>T("나나코")</f>
        <v>나나코</v>
      </c>
      <c r="H1531" t="str">
        <f>T("블러쉬")</f>
        <v>블러쉬</v>
      </c>
      <c r="I1531" t="str">
        <f>T("소년연애담")</f>
        <v>소년연애담</v>
      </c>
      <c r="J1531">
        <v>100</v>
      </c>
      <c r="K1531">
        <v>100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100</v>
      </c>
      <c r="AH1531">
        <v>1</v>
      </c>
      <c r="AI1531">
        <v>0</v>
      </c>
      <c r="AJ1531">
        <v>0</v>
      </c>
      <c r="AK1531">
        <v>100</v>
      </c>
      <c r="AL1531">
        <v>0</v>
      </c>
      <c r="AM1531">
        <v>0</v>
      </c>
      <c r="AN1531">
        <v>0</v>
      </c>
      <c r="AO1531">
        <v>0</v>
      </c>
      <c r="AQ1531">
        <v>0</v>
      </c>
      <c r="AR1531">
        <v>0</v>
      </c>
      <c r="AT1531">
        <v>0</v>
      </c>
      <c r="AU1531">
        <v>0</v>
      </c>
      <c r="AW1531">
        <v>0</v>
      </c>
      <c r="AX1531">
        <v>0</v>
      </c>
      <c r="AY1531">
        <v>70</v>
      </c>
      <c r="BA1531" t="str">
        <f>T("0000000000000")</f>
        <v>0000000000000</v>
      </c>
      <c r="BC1531" t="str">
        <f>T("9791164890729")</f>
        <v>9791164890729</v>
      </c>
      <c r="BD1531" t="str">
        <f>T("B12")</f>
        <v>B12</v>
      </c>
      <c r="BE1531" t="str">
        <f>T("BL 웹소설 &gt; 현대물")</f>
        <v>BL 웹소설 &gt; 현대물</v>
      </c>
    </row>
    <row r="1532" spans="1:57" x14ac:dyDescent="0.3">
      <c r="A1532">
        <v>1525008428</v>
      </c>
      <c r="B1532">
        <v>1525008505</v>
      </c>
      <c r="C1532" t="str">
        <f>T("무히비(Muhibbi) 8화")</f>
        <v>무히비(Muhibbi) 8화</v>
      </c>
      <c r="D1532" t="str">
        <f>T("8")</f>
        <v>8</v>
      </c>
      <c r="E1532" t="str">
        <f>T("jooki")</f>
        <v>jooki</v>
      </c>
      <c r="H1532" t="str">
        <f>T("블러쉬")</f>
        <v>블러쉬</v>
      </c>
      <c r="I1532" t="str">
        <f>T("무히비(Muhibbi)")</f>
        <v>무히비(Muhibbi)</v>
      </c>
      <c r="J1532">
        <v>100</v>
      </c>
      <c r="K1532">
        <v>100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100</v>
      </c>
      <c r="AH1532">
        <v>1</v>
      </c>
      <c r="AI1532">
        <v>0</v>
      </c>
      <c r="AJ1532">
        <v>0</v>
      </c>
      <c r="AK1532">
        <v>100</v>
      </c>
      <c r="AL1532">
        <v>0</v>
      </c>
      <c r="AM1532">
        <v>0</v>
      </c>
      <c r="AN1532">
        <v>0</v>
      </c>
      <c r="AO1532">
        <v>0</v>
      </c>
      <c r="AQ1532">
        <v>0</v>
      </c>
      <c r="AR1532">
        <v>0</v>
      </c>
      <c r="AT1532">
        <v>0</v>
      </c>
      <c r="AU1532">
        <v>0</v>
      </c>
      <c r="AW1532">
        <v>0</v>
      </c>
      <c r="AX1532">
        <v>0</v>
      </c>
      <c r="AY1532">
        <v>70</v>
      </c>
      <c r="BC1532" t="str">
        <f>T("9791164896622")</f>
        <v>9791164896622</v>
      </c>
      <c r="BE1532" t="str">
        <f>T("BL 웹소설 &gt; 역사/시대물")</f>
        <v>BL 웹소설 &gt; 역사/시대물</v>
      </c>
    </row>
    <row r="1533" spans="1:57" x14ac:dyDescent="0.3">
      <c r="A1533">
        <v>1525012551</v>
      </c>
      <c r="B1533">
        <v>1525012618</v>
      </c>
      <c r="C1533" t="str">
        <f>T("개정판 | 바보가 만드는 멋진 세상 68화")</f>
        <v>개정판 | 바보가 만드는 멋진 세상 68화</v>
      </c>
      <c r="D1533" t="str">
        <f>T("68")</f>
        <v>68</v>
      </c>
      <c r="E1533" t="str">
        <f>T("백범(白帆)")</f>
        <v>백범(白帆)</v>
      </c>
      <c r="H1533" t="str">
        <f>T("에필로그")</f>
        <v>에필로그</v>
      </c>
      <c r="I1533" t="str">
        <f>T("개정판 | 바보가 만드는 멋진 세상")</f>
        <v>개정판 | 바보가 만드는 멋진 세상</v>
      </c>
      <c r="J1533">
        <v>100</v>
      </c>
      <c r="K1533">
        <v>100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100</v>
      </c>
      <c r="AH1533">
        <v>1</v>
      </c>
      <c r="AI1533">
        <v>0</v>
      </c>
      <c r="AJ1533">
        <v>0</v>
      </c>
      <c r="AK1533">
        <v>100</v>
      </c>
      <c r="AL1533">
        <v>0</v>
      </c>
      <c r="AM1533">
        <v>0</v>
      </c>
      <c r="AN1533">
        <v>0</v>
      </c>
      <c r="AO1533">
        <v>0</v>
      </c>
      <c r="AQ1533">
        <v>0</v>
      </c>
      <c r="AR1533">
        <v>0</v>
      </c>
      <c r="AT1533">
        <v>0</v>
      </c>
      <c r="AU1533">
        <v>0</v>
      </c>
      <c r="AW1533">
        <v>0</v>
      </c>
      <c r="AX1533">
        <v>0</v>
      </c>
      <c r="AY1533">
        <v>70</v>
      </c>
      <c r="BC1533" t="str">
        <f>T("9791166003493")</f>
        <v>9791166003493</v>
      </c>
      <c r="BE1533" t="str">
        <f>T("판타지 웹소설 &gt; 현대 판타지")</f>
        <v>판타지 웹소설 &gt; 현대 판타지</v>
      </c>
    </row>
    <row r="1534" spans="1:57" x14ac:dyDescent="0.3">
      <c r="A1534">
        <v>1525000924</v>
      </c>
      <c r="B1534">
        <v>1525000951</v>
      </c>
      <c r="C1534" t="str">
        <f>T("스피릿 소드 28화")</f>
        <v>스피릿 소드 28화</v>
      </c>
      <c r="D1534" t="str">
        <f>T("28")</f>
        <v>28</v>
      </c>
      <c r="E1534" t="str">
        <f>T("김정률")</f>
        <v>김정률</v>
      </c>
      <c r="H1534" t="str">
        <f>T("스토리위즈")</f>
        <v>스토리위즈</v>
      </c>
      <c r="I1534" t="str">
        <f>T("스피릿 소드")</f>
        <v>스피릿 소드</v>
      </c>
      <c r="J1534">
        <v>100</v>
      </c>
      <c r="K1534">
        <v>100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100</v>
      </c>
      <c r="AH1534">
        <v>1</v>
      </c>
      <c r="AI1534">
        <v>0</v>
      </c>
      <c r="AJ1534">
        <v>0</v>
      </c>
      <c r="AK1534">
        <v>100</v>
      </c>
      <c r="AL1534">
        <v>0</v>
      </c>
      <c r="AM1534">
        <v>0</v>
      </c>
      <c r="AN1534">
        <v>0</v>
      </c>
      <c r="AO1534">
        <v>0</v>
      </c>
      <c r="AQ1534">
        <v>0</v>
      </c>
      <c r="AR1534">
        <v>0</v>
      </c>
      <c r="AT1534">
        <v>0</v>
      </c>
      <c r="AU1534">
        <v>0</v>
      </c>
      <c r="AW1534">
        <v>0</v>
      </c>
      <c r="AX1534">
        <v>0</v>
      </c>
      <c r="AY1534">
        <v>70</v>
      </c>
      <c r="BA1534" t="str">
        <f>T("9791159282713")</f>
        <v>9791159282713</v>
      </c>
      <c r="BC1534" t="str">
        <f>T("9791159282713")</f>
        <v>9791159282713</v>
      </c>
      <c r="BE1534" t="str">
        <f>T("판타지 웹소설 &gt; 정통 판타지")</f>
        <v>판타지 웹소설 &gt; 정통 판타지</v>
      </c>
    </row>
    <row r="1535" spans="1:57" x14ac:dyDescent="0.3">
      <c r="A1535">
        <v>1525004030</v>
      </c>
      <c r="B1535">
        <v>1525007057</v>
      </c>
      <c r="C1535" t="str">
        <f>T("회귀의 전설 2부 941화")</f>
        <v>회귀의 전설 2부 941화</v>
      </c>
      <c r="D1535" t="str">
        <f>T("941")</f>
        <v>941</v>
      </c>
      <c r="E1535" t="str">
        <f>T("김광수")</f>
        <v>김광수</v>
      </c>
      <c r="H1535" t="str">
        <f>T("스토리위즈")</f>
        <v>스토리위즈</v>
      </c>
      <c r="I1535" t="str">
        <f>T("회귀의 전설")</f>
        <v>회귀의 전설</v>
      </c>
      <c r="J1535">
        <v>100</v>
      </c>
      <c r="K1535">
        <v>100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100</v>
      </c>
      <c r="AH1535">
        <v>1</v>
      </c>
      <c r="AI1535">
        <v>0</v>
      </c>
      <c r="AJ1535">
        <v>0</v>
      </c>
      <c r="AK1535">
        <v>100</v>
      </c>
      <c r="AL1535">
        <v>0</v>
      </c>
      <c r="AM1535">
        <v>0</v>
      </c>
      <c r="AN1535">
        <v>0</v>
      </c>
      <c r="AO1535">
        <v>0</v>
      </c>
      <c r="AQ1535">
        <v>0</v>
      </c>
      <c r="AR1535">
        <v>0</v>
      </c>
      <c r="AT1535">
        <v>0</v>
      </c>
      <c r="AU1535">
        <v>0</v>
      </c>
      <c r="AW1535">
        <v>0</v>
      </c>
      <c r="AX1535">
        <v>0</v>
      </c>
      <c r="AY1535">
        <v>70</v>
      </c>
      <c r="BC1535" t="str">
        <f>T("9791191102086")</f>
        <v>9791191102086</v>
      </c>
      <c r="BE1535" t="str">
        <f>T("판타지 웹소설 &gt; 현대 판타지")</f>
        <v>판타지 웹소설 &gt; 현대 판타지</v>
      </c>
    </row>
    <row r="1536" spans="1:57" x14ac:dyDescent="0.3">
      <c r="A1536">
        <v>1525004030</v>
      </c>
      <c r="B1536">
        <v>1525006685</v>
      </c>
      <c r="C1536" t="str">
        <f>T("회귀의 전설 2부 568화")</f>
        <v>회귀의 전설 2부 568화</v>
      </c>
      <c r="D1536" t="str">
        <f>T("568")</f>
        <v>568</v>
      </c>
      <c r="E1536" t="str">
        <f>T("김광수")</f>
        <v>김광수</v>
      </c>
      <c r="H1536" t="str">
        <f>T("스토리위즈")</f>
        <v>스토리위즈</v>
      </c>
      <c r="I1536" t="str">
        <f>T("회귀의 전설")</f>
        <v>회귀의 전설</v>
      </c>
      <c r="J1536">
        <v>100</v>
      </c>
      <c r="K1536">
        <v>100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100</v>
      </c>
      <c r="AH1536">
        <v>1</v>
      </c>
      <c r="AI1536">
        <v>0</v>
      </c>
      <c r="AJ1536">
        <v>0</v>
      </c>
      <c r="AK1536">
        <v>100</v>
      </c>
      <c r="AL1536">
        <v>0</v>
      </c>
      <c r="AM1536">
        <v>0</v>
      </c>
      <c r="AN1536">
        <v>0</v>
      </c>
      <c r="AO1536">
        <v>0</v>
      </c>
      <c r="AQ1536">
        <v>0</v>
      </c>
      <c r="AR1536">
        <v>0</v>
      </c>
      <c r="AT1536">
        <v>0</v>
      </c>
      <c r="AU1536">
        <v>0</v>
      </c>
      <c r="AW1536">
        <v>0</v>
      </c>
      <c r="AX1536">
        <v>0</v>
      </c>
      <c r="AY1536">
        <v>70</v>
      </c>
      <c r="BC1536" t="str">
        <f>T("9791191102086")</f>
        <v>9791191102086</v>
      </c>
      <c r="BE1536" t="str">
        <f>T("판타지 웹소설 &gt; 현대 판타지")</f>
        <v>판타지 웹소설 &gt; 현대 판타지</v>
      </c>
    </row>
    <row r="1537" spans="1:57" x14ac:dyDescent="0.3">
      <c r="A1537">
        <v>1525012551</v>
      </c>
      <c r="B1537">
        <v>1525012577</v>
      </c>
      <c r="C1537" t="str">
        <f>T("개정판 | 바보가 만드는 멋진 세상 27화")</f>
        <v>개정판 | 바보가 만드는 멋진 세상 27화</v>
      </c>
      <c r="D1537" t="str">
        <f>T("27")</f>
        <v>27</v>
      </c>
      <c r="E1537" t="str">
        <f>T("백범(白帆)")</f>
        <v>백범(白帆)</v>
      </c>
      <c r="H1537" t="str">
        <f>T("에필로그")</f>
        <v>에필로그</v>
      </c>
      <c r="I1537" t="str">
        <f>T("개정판 | 바보가 만드는 멋진 세상")</f>
        <v>개정판 | 바보가 만드는 멋진 세상</v>
      </c>
      <c r="J1537">
        <v>100</v>
      </c>
      <c r="K1537">
        <v>100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100</v>
      </c>
      <c r="AH1537">
        <v>1</v>
      </c>
      <c r="AI1537">
        <v>0</v>
      </c>
      <c r="AJ1537">
        <v>0</v>
      </c>
      <c r="AK1537">
        <v>100</v>
      </c>
      <c r="AL1537">
        <v>0</v>
      </c>
      <c r="AM1537">
        <v>0</v>
      </c>
      <c r="AN1537">
        <v>0</v>
      </c>
      <c r="AO1537">
        <v>0</v>
      </c>
      <c r="AQ1537">
        <v>0</v>
      </c>
      <c r="AR1537">
        <v>0</v>
      </c>
      <c r="AT1537">
        <v>0</v>
      </c>
      <c r="AU1537">
        <v>0</v>
      </c>
      <c r="AW1537">
        <v>0</v>
      </c>
      <c r="AX1537">
        <v>0</v>
      </c>
      <c r="AY1537">
        <v>70</v>
      </c>
      <c r="BC1537" t="str">
        <f>T("9791166003493")</f>
        <v>9791166003493</v>
      </c>
      <c r="BE1537" t="str">
        <f>T("판타지 웹소설 &gt; 현대 판타지")</f>
        <v>판타지 웹소설 &gt; 현대 판타지</v>
      </c>
    </row>
    <row r="1538" spans="1:57" x14ac:dyDescent="0.3">
      <c r="A1538">
        <v>1525013020</v>
      </c>
      <c r="B1538">
        <v>1525013098</v>
      </c>
      <c r="C1538" t="str">
        <f>T("악당의 리턴 79화")</f>
        <v>악당의 리턴 79화</v>
      </c>
      <c r="D1538" t="str">
        <f>T("79")</f>
        <v>79</v>
      </c>
      <c r="E1538" t="str">
        <f>T("백범(白帆)")</f>
        <v>백범(白帆)</v>
      </c>
      <c r="H1538" t="str">
        <f>T("에필로그")</f>
        <v>에필로그</v>
      </c>
      <c r="I1538" t="str">
        <f>T("악당의 리턴")</f>
        <v>악당의 리턴</v>
      </c>
      <c r="J1538">
        <v>100</v>
      </c>
      <c r="K1538">
        <v>100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100</v>
      </c>
      <c r="AH1538">
        <v>1</v>
      </c>
      <c r="AI1538">
        <v>0</v>
      </c>
      <c r="AJ1538">
        <v>0</v>
      </c>
      <c r="AK1538">
        <v>100</v>
      </c>
      <c r="AL1538">
        <v>0</v>
      </c>
      <c r="AM1538">
        <v>0</v>
      </c>
      <c r="AN1538">
        <v>0</v>
      </c>
      <c r="AO1538">
        <v>0</v>
      </c>
      <c r="AQ1538">
        <v>0</v>
      </c>
      <c r="AR1538">
        <v>0</v>
      </c>
      <c r="AT1538">
        <v>0</v>
      </c>
      <c r="AU1538">
        <v>0</v>
      </c>
      <c r="AW1538">
        <v>0</v>
      </c>
      <c r="AX1538">
        <v>0</v>
      </c>
      <c r="AY1538">
        <v>70</v>
      </c>
      <c r="BC1538" t="str">
        <f>T("9791196538927")</f>
        <v>9791196538927</v>
      </c>
      <c r="BE1538" t="str">
        <f>T("판타지 웹소설 &gt; 현대 판타지")</f>
        <v>판타지 웹소설 &gt; 현대 판타지</v>
      </c>
    </row>
    <row r="1539" spans="1:57" x14ac:dyDescent="0.3">
      <c r="A1539">
        <v>1525007923</v>
      </c>
      <c r="B1539">
        <v>1525007902</v>
      </c>
      <c r="C1539" t="str">
        <f>T("운상연담: 화불능귀일락 103화")</f>
        <v>운상연담: 화불능귀일락 103화</v>
      </c>
      <c r="D1539" t="str">
        <f>T("103")</f>
        <v>103</v>
      </c>
      <c r="E1539" t="str">
        <f>T("피모")</f>
        <v>피모</v>
      </c>
      <c r="H1539" t="str">
        <f>T("쉬라즈")</f>
        <v>쉬라즈</v>
      </c>
      <c r="I1539" t="str">
        <f>T("운상연담: 화불능귀일락")</f>
        <v>운상연담: 화불능귀일락</v>
      </c>
      <c r="J1539">
        <v>100</v>
      </c>
      <c r="K1539">
        <v>100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100</v>
      </c>
      <c r="AH1539">
        <v>1</v>
      </c>
      <c r="AI1539">
        <v>0</v>
      </c>
      <c r="AJ1539">
        <v>0</v>
      </c>
      <c r="AK1539">
        <v>100</v>
      </c>
      <c r="AL1539">
        <v>0</v>
      </c>
      <c r="AM1539">
        <v>0</v>
      </c>
      <c r="AN1539">
        <v>0</v>
      </c>
      <c r="AO1539">
        <v>0</v>
      </c>
      <c r="AQ1539">
        <v>0</v>
      </c>
      <c r="AR1539">
        <v>0</v>
      </c>
      <c r="AT1539">
        <v>0</v>
      </c>
      <c r="AU1539">
        <v>0</v>
      </c>
      <c r="AW1539">
        <v>0</v>
      </c>
      <c r="AX1539">
        <v>0</v>
      </c>
      <c r="AY1539">
        <v>70</v>
      </c>
      <c r="BC1539" t="str">
        <f>T("9791164896646")</f>
        <v>9791164896646</v>
      </c>
      <c r="BE1539" t="str">
        <f>T("로맨스 웹소설 &gt; 역사/시대물")</f>
        <v>로맨스 웹소설 &gt; 역사/시대물</v>
      </c>
    </row>
    <row r="1540" spans="1:57" x14ac:dyDescent="0.3">
      <c r="A1540">
        <v>1525012551</v>
      </c>
      <c r="B1540">
        <v>1525012659</v>
      </c>
      <c r="C1540" t="str">
        <f>T("개정판 | 바보가 만드는 멋진 세상 109화")</f>
        <v>개정판 | 바보가 만드는 멋진 세상 109화</v>
      </c>
      <c r="D1540" t="str">
        <f>T("109")</f>
        <v>109</v>
      </c>
      <c r="E1540" t="str">
        <f>T("백범(白帆)")</f>
        <v>백범(白帆)</v>
      </c>
      <c r="H1540" t="str">
        <f>T("에필로그")</f>
        <v>에필로그</v>
      </c>
      <c r="I1540" t="str">
        <f>T("개정판 | 바보가 만드는 멋진 세상")</f>
        <v>개정판 | 바보가 만드는 멋진 세상</v>
      </c>
      <c r="J1540">
        <v>100</v>
      </c>
      <c r="K1540">
        <v>100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100</v>
      </c>
      <c r="AH1540">
        <v>1</v>
      </c>
      <c r="AI1540">
        <v>0</v>
      </c>
      <c r="AJ1540">
        <v>0</v>
      </c>
      <c r="AK1540">
        <v>100</v>
      </c>
      <c r="AL1540">
        <v>0</v>
      </c>
      <c r="AM1540">
        <v>0</v>
      </c>
      <c r="AN1540">
        <v>0</v>
      </c>
      <c r="AO1540">
        <v>0</v>
      </c>
      <c r="AQ1540">
        <v>0</v>
      </c>
      <c r="AR1540">
        <v>0</v>
      </c>
      <c r="AT1540">
        <v>0</v>
      </c>
      <c r="AU1540">
        <v>0</v>
      </c>
      <c r="AW1540">
        <v>0</v>
      </c>
      <c r="AX1540">
        <v>0</v>
      </c>
      <c r="AY1540">
        <v>70</v>
      </c>
      <c r="BC1540" t="str">
        <f>T("9791166003493")</f>
        <v>9791166003493</v>
      </c>
      <c r="BE1540" t="str">
        <f>T("판타지 웹소설 &gt; 현대 판타지")</f>
        <v>판타지 웹소설 &gt; 현대 판타지</v>
      </c>
    </row>
    <row r="1541" spans="1:57" x14ac:dyDescent="0.3">
      <c r="A1541">
        <v>1525012551</v>
      </c>
      <c r="B1541">
        <v>1525012757</v>
      </c>
      <c r="C1541" t="str">
        <f>T("개정판 | 바보가 만드는 멋진 세상 207화")</f>
        <v>개정판 | 바보가 만드는 멋진 세상 207화</v>
      </c>
      <c r="D1541" t="str">
        <f>T("207")</f>
        <v>207</v>
      </c>
      <c r="E1541" t="str">
        <f>T("백범(白帆)")</f>
        <v>백범(白帆)</v>
      </c>
      <c r="H1541" t="str">
        <f>T("에필로그")</f>
        <v>에필로그</v>
      </c>
      <c r="I1541" t="str">
        <f>T("개정판 | 바보가 만드는 멋진 세상")</f>
        <v>개정판 | 바보가 만드는 멋진 세상</v>
      </c>
      <c r="J1541">
        <v>100</v>
      </c>
      <c r="K1541">
        <v>100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100</v>
      </c>
      <c r="AH1541">
        <v>1</v>
      </c>
      <c r="AI1541">
        <v>0</v>
      </c>
      <c r="AJ1541">
        <v>0</v>
      </c>
      <c r="AK1541">
        <v>100</v>
      </c>
      <c r="AL1541">
        <v>0</v>
      </c>
      <c r="AM1541">
        <v>0</v>
      </c>
      <c r="AN1541">
        <v>0</v>
      </c>
      <c r="AO1541">
        <v>0</v>
      </c>
      <c r="AQ1541">
        <v>0</v>
      </c>
      <c r="AR1541">
        <v>0</v>
      </c>
      <c r="AT1541">
        <v>0</v>
      </c>
      <c r="AU1541">
        <v>0</v>
      </c>
      <c r="AW1541">
        <v>0</v>
      </c>
      <c r="AX1541">
        <v>0</v>
      </c>
      <c r="AY1541">
        <v>70</v>
      </c>
      <c r="BC1541" t="str">
        <f>T("9791166003493")</f>
        <v>9791166003493</v>
      </c>
      <c r="BE1541" t="str">
        <f>T("판타지 웹소설 &gt; 현대 판타지")</f>
        <v>판타지 웹소설 &gt; 현대 판타지</v>
      </c>
    </row>
    <row r="1542" spans="1:57" x14ac:dyDescent="0.3">
      <c r="A1542">
        <v>1525004799</v>
      </c>
      <c r="B1542">
        <v>1525004830</v>
      </c>
      <c r="C1542" t="str">
        <f>T("검산도해 32화")</f>
        <v>검산도해 32화</v>
      </c>
      <c r="D1542" t="str">
        <f>T("32")</f>
        <v>32</v>
      </c>
      <c r="E1542" t="str">
        <f>T("권용찬")</f>
        <v>권용찬</v>
      </c>
      <c r="H1542" t="str">
        <f>T("스토리위즈")</f>
        <v>스토리위즈</v>
      </c>
      <c r="I1542" t="str">
        <f>T("검산도해")</f>
        <v>검산도해</v>
      </c>
      <c r="J1542">
        <v>100</v>
      </c>
      <c r="K1542">
        <v>100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100</v>
      </c>
      <c r="AH1542">
        <v>1</v>
      </c>
      <c r="AI1542">
        <v>0</v>
      </c>
      <c r="AJ1542">
        <v>0</v>
      </c>
      <c r="AK1542">
        <v>0</v>
      </c>
      <c r="AL1542">
        <v>0</v>
      </c>
      <c r="AM1542">
        <v>120</v>
      </c>
      <c r="AN1542">
        <v>-12</v>
      </c>
      <c r="AO1542">
        <v>0</v>
      </c>
      <c r="AQ1542">
        <v>0</v>
      </c>
      <c r="AR1542">
        <v>0</v>
      </c>
      <c r="AS1542">
        <v>120</v>
      </c>
      <c r="AT1542">
        <v>-12</v>
      </c>
      <c r="AU1542">
        <v>0</v>
      </c>
      <c r="AW1542">
        <v>0</v>
      </c>
      <c r="AX1542">
        <v>0</v>
      </c>
      <c r="AY1542">
        <v>75.599999999999994</v>
      </c>
      <c r="BC1542" t="str">
        <f>T("9791159285936")</f>
        <v>9791159285936</v>
      </c>
      <c r="BE1542" t="str">
        <f>T("판타지 웹소설 &gt; 무협 소설")</f>
        <v>판타지 웹소설 &gt; 무협 소설</v>
      </c>
    </row>
    <row r="1543" spans="1:57" x14ac:dyDescent="0.3">
      <c r="A1543">
        <v>1525004799</v>
      </c>
      <c r="B1543">
        <v>1525004887</v>
      </c>
      <c r="C1543" t="str">
        <f>T("검산도해 89화")</f>
        <v>검산도해 89화</v>
      </c>
      <c r="D1543" t="str">
        <f>T("89")</f>
        <v>89</v>
      </c>
      <c r="E1543" t="str">
        <f>T("권용찬")</f>
        <v>권용찬</v>
      </c>
      <c r="H1543" t="str">
        <f>T("스토리위즈")</f>
        <v>스토리위즈</v>
      </c>
      <c r="I1543" t="str">
        <f>T("검산도해")</f>
        <v>검산도해</v>
      </c>
      <c r="J1543">
        <v>100</v>
      </c>
      <c r="K1543">
        <v>100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100</v>
      </c>
      <c r="AH1543">
        <v>1</v>
      </c>
      <c r="AI1543">
        <v>0</v>
      </c>
      <c r="AJ1543">
        <v>0</v>
      </c>
      <c r="AK1543">
        <v>0</v>
      </c>
      <c r="AL1543">
        <v>0</v>
      </c>
      <c r="AM1543">
        <v>120</v>
      </c>
      <c r="AN1543">
        <v>-12</v>
      </c>
      <c r="AO1543">
        <v>0</v>
      </c>
      <c r="AQ1543">
        <v>0</v>
      </c>
      <c r="AR1543">
        <v>0</v>
      </c>
      <c r="AS1543">
        <v>120</v>
      </c>
      <c r="AT1543">
        <v>-12</v>
      </c>
      <c r="AU1543">
        <v>0</v>
      </c>
      <c r="AW1543">
        <v>0</v>
      </c>
      <c r="AX1543">
        <v>0</v>
      </c>
      <c r="AY1543">
        <v>75.599999999999994</v>
      </c>
      <c r="BC1543" t="str">
        <f>T("9791159285936")</f>
        <v>9791159285936</v>
      </c>
      <c r="BE1543" t="str">
        <f>T("판타지 웹소설 &gt; 무협 소설")</f>
        <v>판타지 웹소설 &gt; 무협 소설</v>
      </c>
    </row>
    <row r="1544" spans="1:57" x14ac:dyDescent="0.3">
      <c r="A1544">
        <v>1525000924</v>
      </c>
      <c r="B1544">
        <v>1525000983</v>
      </c>
      <c r="C1544" t="str">
        <f>T("스피릿 소드 60화")</f>
        <v>스피릿 소드 60화</v>
      </c>
      <c r="D1544" t="str">
        <f>T("60")</f>
        <v>60</v>
      </c>
      <c r="E1544" t="str">
        <f>T("김정률")</f>
        <v>김정률</v>
      </c>
      <c r="H1544" t="str">
        <f>T("스토리위즈")</f>
        <v>스토리위즈</v>
      </c>
      <c r="I1544" t="str">
        <f>T("스피릿 소드")</f>
        <v>스피릿 소드</v>
      </c>
      <c r="J1544">
        <v>100</v>
      </c>
      <c r="K1544">
        <v>100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100</v>
      </c>
      <c r="AH1544">
        <v>1</v>
      </c>
      <c r="AI1544">
        <v>0</v>
      </c>
      <c r="AJ1544">
        <v>0</v>
      </c>
      <c r="AK1544">
        <v>100</v>
      </c>
      <c r="AL1544">
        <v>0</v>
      </c>
      <c r="AM1544">
        <v>0</v>
      </c>
      <c r="AN1544">
        <v>0</v>
      </c>
      <c r="AO1544">
        <v>0</v>
      </c>
      <c r="AQ1544">
        <v>0</v>
      </c>
      <c r="AR1544">
        <v>0</v>
      </c>
      <c r="AT1544">
        <v>0</v>
      </c>
      <c r="AU1544">
        <v>0</v>
      </c>
      <c r="AW1544">
        <v>0</v>
      </c>
      <c r="AX1544">
        <v>0</v>
      </c>
      <c r="AY1544">
        <v>70</v>
      </c>
      <c r="BA1544" t="str">
        <f>T("9791159282713")</f>
        <v>9791159282713</v>
      </c>
      <c r="BC1544" t="str">
        <f>T("9791159282713")</f>
        <v>9791159282713</v>
      </c>
      <c r="BE1544" t="str">
        <f>T("판타지 웹소설 &gt; 정통 판타지")</f>
        <v>판타지 웹소설 &gt; 정통 판타지</v>
      </c>
    </row>
    <row r="1545" spans="1:57" x14ac:dyDescent="0.3">
      <c r="A1545">
        <v>1525004030</v>
      </c>
      <c r="B1545">
        <v>1525007074</v>
      </c>
      <c r="C1545" t="str">
        <f>T("회귀의 전설 2부 958화")</f>
        <v>회귀의 전설 2부 958화</v>
      </c>
      <c r="D1545" t="str">
        <f>T("958")</f>
        <v>958</v>
      </c>
      <c r="E1545" t="str">
        <f>T("김광수")</f>
        <v>김광수</v>
      </c>
      <c r="H1545" t="str">
        <f>T("스토리위즈")</f>
        <v>스토리위즈</v>
      </c>
      <c r="I1545" t="str">
        <f>T("회귀의 전설")</f>
        <v>회귀의 전설</v>
      </c>
      <c r="J1545">
        <v>100</v>
      </c>
      <c r="K1545">
        <v>100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100</v>
      </c>
      <c r="AH1545">
        <v>1</v>
      </c>
      <c r="AI1545">
        <v>0</v>
      </c>
      <c r="AJ1545">
        <v>0</v>
      </c>
      <c r="AK1545">
        <v>100</v>
      </c>
      <c r="AL1545">
        <v>0</v>
      </c>
      <c r="AM1545">
        <v>0</v>
      </c>
      <c r="AN1545">
        <v>0</v>
      </c>
      <c r="AO1545">
        <v>0</v>
      </c>
      <c r="AQ1545">
        <v>0</v>
      </c>
      <c r="AR1545">
        <v>0</v>
      </c>
      <c r="AT1545">
        <v>0</v>
      </c>
      <c r="AU1545">
        <v>0</v>
      </c>
      <c r="AW1545">
        <v>0</v>
      </c>
      <c r="AX1545">
        <v>0</v>
      </c>
      <c r="AY1545">
        <v>70</v>
      </c>
      <c r="BC1545" t="str">
        <f>T("9791191102086")</f>
        <v>9791191102086</v>
      </c>
      <c r="BE1545" t="str">
        <f>T("판타지 웹소설 &gt; 현대 판타지")</f>
        <v>판타지 웹소설 &gt; 현대 판타지</v>
      </c>
    </row>
    <row r="1546" spans="1:57" x14ac:dyDescent="0.3">
      <c r="A1546">
        <v>1525004030</v>
      </c>
      <c r="B1546">
        <v>1525004545</v>
      </c>
      <c r="C1546" t="str">
        <f>T("회귀의 전설 522화")</f>
        <v>회귀의 전설 522화</v>
      </c>
      <c r="D1546" t="str">
        <f>T("522")</f>
        <v>522</v>
      </c>
      <c r="E1546" t="str">
        <f>T("김광수")</f>
        <v>김광수</v>
      </c>
      <c r="H1546" t="str">
        <f>T("스토리위즈")</f>
        <v>스토리위즈</v>
      </c>
      <c r="I1546" t="str">
        <f>T("회귀의 전설")</f>
        <v>회귀의 전설</v>
      </c>
      <c r="J1546">
        <v>100</v>
      </c>
      <c r="K1546">
        <v>100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100</v>
      </c>
      <c r="AH1546">
        <v>1</v>
      </c>
      <c r="AI1546">
        <v>0</v>
      </c>
      <c r="AJ1546">
        <v>0</v>
      </c>
      <c r="AK1546">
        <v>100</v>
      </c>
      <c r="AL1546">
        <v>0</v>
      </c>
      <c r="AM1546">
        <v>0</v>
      </c>
      <c r="AN1546">
        <v>0</v>
      </c>
      <c r="AO1546">
        <v>0</v>
      </c>
      <c r="AQ1546">
        <v>0</v>
      </c>
      <c r="AR1546">
        <v>0</v>
      </c>
      <c r="AT1546">
        <v>0</v>
      </c>
      <c r="AU1546">
        <v>0</v>
      </c>
      <c r="AW1546">
        <v>0</v>
      </c>
      <c r="AX1546">
        <v>0</v>
      </c>
      <c r="AY1546">
        <v>70</v>
      </c>
      <c r="BC1546" t="str">
        <f>T("9788997946006")</f>
        <v>9788997946006</v>
      </c>
      <c r="BE1546" t="str">
        <f>T("판타지 웹소설 &gt; 현대 판타지")</f>
        <v>판타지 웹소설 &gt; 현대 판타지</v>
      </c>
    </row>
    <row r="1547" spans="1:57" x14ac:dyDescent="0.3">
      <c r="A1547">
        <v>1525015018</v>
      </c>
      <c r="B1547">
        <v>1525015034</v>
      </c>
      <c r="C1547" t="str">
        <f>T("그녀들은 소꿉친구지, 그 이상은 곤란합니다 17화")</f>
        <v>그녀들은 소꿉친구지, 그 이상은 곤란합니다 17화</v>
      </c>
      <c r="D1547" t="str">
        <f>T("17")</f>
        <v>17</v>
      </c>
      <c r="E1547" t="str">
        <f>T("자이오")</f>
        <v>자이오</v>
      </c>
      <c r="H1547" t="str">
        <f>T("스토리아크")</f>
        <v>스토리아크</v>
      </c>
      <c r="I1547" t="str">
        <f>T("그녀들은 소꿉친구지, 그 이상은 곤란합니다")</f>
        <v>그녀들은 소꿉친구지, 그 이상은 곤란합니다</v>
      </c>
      <c r="J1547">
        <v>100</v>
      </c>
      <c r="K1547">
        <v>100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100</v>
      </c>
      <c r="AH1547">
        <v>1</v>
      </c>
      <c r="AI1547">
        <v>0</v>
      </c>
      <c r="AJ1547">
        <v>0</v>
      </c>
      <c r="AK1547">
        <v>100</v>
      </c>
      <c r="AL1547">
        <v>0</v>
      </c>
      <c r="AM1547">
        <v>0</v>
      </c>
      <c r="AN1547">
        <v>0</v>
      </c>
      <c r="AO1547">
        <v>0</v>
      </c>
      <c r="AQ1547">
        <v>0</v>
      </c>
      <c r="AR1547">
        <v>0</v>
      </c>
      <c r="AT1547">
        <v>0</v>
      </c>
      <c r="AU1547">
        <v>0</v>
      </c>
      <c r="AW1547">
        <v>0</v>
      </c>
      <c r="AX1547">
        <v>0</v>
      </c>
      <c r="AY1547">
        <v>70</v>
      </c>
      <c r="BC1547" t="str">
        <f>T("9791191039313")</f>
        <v>9791191039313</v>
      </c>
      <c r="BE1547" t="str">
        <f>T("판타지 웹소설 &gt; 퓨전 판타지")</f>
        <v>판타지 웹소설 &gt; 퓨전 판타지</v>
      </c>
    </row>
    <row r="1548" spans="1:57" x14ac:dyDescent="0.3">
      <c r="A1548">
        <v>1525002864</v>
      </c>
      <c r="B1548">
        <v>1525002897</v>
      </c>
      <c r="C1548" t="str">
        <f>T("소드마스터의 환생 34화")</f>
        <v>소드마스터의 환생 34화</v>
      </c>
      <c r="D1548" t="str">
        <f>T("34")</f>
        <v>34</v>
      </c>
      <c r="E1548" t="str">
        <f>T("파란영")</f>
        <v>파란영</v>
      </c>
      <c r="H1548" t="str">
        <f>T("스토리위즈")</f>
        <v>스토리위즈</v>
      </c>
      <c r="I1548" t="str">
        <f>T("소드마스터의 환생")</f>
        <v>소드마스터의 환생</v>
      </c>
      <c r="J1548">
        <v>100</v>
      </c>
      <c r="K1548">
        <v>100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100</v>
      </c>
      <c r="AH1548">
        <v>1</v>
      </c>
      <c r="AI1548">
        <v>0</v>
      </c>
      <c r="AJ1548">
        <v>0</v>
      </c>
      <c r="AK1548">
        <v>100</v>
      </c>
      <c r="AL1548">
        <v>0</v>
      </c>
      <c r="AM1548">
        <v>0</v>
      </c>
      <c r="AN1548">
        <v>0</v>
      </c>
      <c r="AO1548">
        <v>0</v>
      </c>
      <c r="AQ1548">
        <v>0</v>
      </c>
      <c r="AR1548">
        <v>0</v>
      </c>
      <c r="AT1548">
        <v>0</v>
      </c>
      <c r="AU1548">
        <v>0</v>
      </c>
      <c r="AW1548">
        <v>0</v>
      </c>
      <c r="AX1548">
        <v>0</v>
      </c>
      <c r="AY1548">
        <v>70</v>
      </c>
      <c r="BC1548" t="str">
        <f>T("9791159287527")</f>
        <v>9791159287527</v>
      </c>
      <c r="BE1548" t="str">
        <f>T("판타지 웹소설 &gt; 정통 판타지")</f>
        <v>판타지 웹소설 &gt; 정통 판타지</v>
      </c>
    </row>
    <row r="1549" spans="1:57" x14ac:dyDescent="0.3">
      <c r="A1549">
        <v>1525013020</v>
      </c>
      <c r="B1549">
        <v>1525013115</v>
      </c>
      <c r="C1549" t="str">
        <f>T("악당의 리턴 96화")</f>
        <v>악당의 리턴 96화</v>
      </c>
      <c r="D1549" t="str">
        <f>T("96")</f>
        <v>96</v>
      </c>
      <c r="E1549" t="str">
        <f>T("백범(白帆)")</f>
        <v>백범(白帆)</v>
      </c>
      <c r="H1549" t="str">
        <f>T("에필로그")</f>
        <v>에필로그</v>
      </c>
      <c r="I1549" t="str">
        <f>T("악당의 리턴")</f>
        <v>악당의 리턴</v>
      </c>
      <c r="J1549">
        <v>100</v>
      </c>
      <c r="K1549">
        <v>100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100</v>
      </c>
      <c r="AH1549">
        <v>1</v>
      </c>
      <c r="AI1549">
        <v>0</v>
      </c>
      <c r="AJ1549">
        <v>0</v>
      </c>
      <c r="AK1549">
        <v>100</v>
      </c>
      <c r="AL1549">
        <v>0</v>
      </c>
      <c r="AM1549">
        <v>0</v>
      </c>
      <c r="AN1549">
        <v>0</v>
      </c>
      <c r="AO1549">
        <v>0</v>
      </c>
      <c r="AQ1549">
        <v>0</v>
      </c>
      <c r="AR1549">
        <v>0</v>
      </c>
      <c r="AT1549">
        <v>0</v>
      </c>
      <c r="AU1549">
        <v>0</v>
      </c>
      <c r="AW1549">
        <v>0</v>
      </c>
      <c r="AX1549">
        <v>0</v>
      </c>
      <c r="AY1549">
        <v>70</v>
      </c>
      <c r="BC1549" t="str">
        <f>T("9791196538927")</f>
        <v>9791196538927</v>
      </c>
      <c r="BE1549" t="str">
        <f>T("판타지 웹소설 &gt; 현대 판타지")</f>
        <v>판타지 웹소설 &gt; 현대 판타지</v>
      </c>
    </row>
    <row r="1550" spans="1:57" x14ac:dyDescent="0.3">
      <c r="A1550">
        <v>1525008717</v>
      </c>
      <c r="B1550">
        <v>1525008700</v>
      </c>
      <c r="C1550" t="str">
        <f>T("음양상열지사 112화")</f>
        <v>음양상열지사 112화</v>
      </c>
      <c r="D1550" t="str">
        <f>T("112")</f>
        <v>112</v>
      </c>
      <c r="E1550" t="str">
        <f>T("이염")</f>
        <v>이염</v>
      </c>
      <c r="H1550" t="str">
        <f>T("블러쉬")</f>
        <v>블러쉬</v>
      </c>
      <c r="I1550" t="str">
        <f>T("음양상열지사")</f>
        <v>음양상열지사</v>
      </c>
      <c r="J1550">
        <v>100</v>
      </c>
      <c r="K1550">
        <v>100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100</v>
      </c>
      <c r="AH1550">
        <v>1</v>
      </c>
      <c r="AI1550">
        <v>0</v>
      </c>
      <c r="AJ1550">
        <v>0</v>
      </c>
      <c r="AK1550">
        <v>100</v>
      </c>
      <c r="AL1550">
        <v>0</v>
      </c>
      <c r="AM1550">
        <v>0</v>
      </c>
      <c r="AN1550">
        <v>0</v>
      </c>
      <c r="AO1550">
        <v>0</v>
      </c>
      <c r="AQ1550">
        <v>0</v>
      </c>
      <c r="AR1550">
        <v>0</v>
      </c>
      <c r="AT1550">
        <v>0</v>
      </c>
      <c r="AU1550">
        <v>0</v>
      </c>
      <c r="AW1550">
        <v>0</v>
      </c>
      <c r="AX1550">
        <v>0</v>
      </c>
      <c r="AY1550">
        <v>70</v>
      </c>
      <c r="BA1550" t="str">
        <f>T("0000000000000")</f>
        <v>0000000000000</v>
      </c>
      <c r="BC1550" t="str">
        <f>T("9791164896639")</f>
        <v>9791164896639</v>
      </c>
      <c r="BE1550" t="str">
        <f>T("BL 웹소설 &gt; 역사/시대물")</f>
        <v>BL 웹소설 &gt; 역사/시대물</v>
      </c>
    </row>
    <row r="1551" spans="1:57" x14ac:dyDescent="0.3">
      <c r="A1551">
        <v>1525012551</v>
      </c>
      <c r="B1551">
        <v>1525012691</v>
      </c>
      <c r="C1551" t="str">
        <f>T("개정판 | 바보가 만드는 멋진 세상 141화")</f>
        <v>개정판 | 바보가 만드는 멋진 세상 141화</v>
      </c>
      <c r="D1551" t="str">
        <f>T("141")</f>
        <v>141</v>
      </c>
      <c r="E1551" t="str">
        <f>T("백범(白帆)")</f>
        <v>백범(白帆)</v>
      </c>
      <c r="H1551" t="str">
        <f>T("에필로그")</f>
        <v>에필로그</v>
      </c>
      <c r="I1551" t="str">
        <f>T("개정판 | 바보가 만드는 멋진 세상")</f>
        <v>개정판 | 바보가 만드는 멋진 세상</v>
      </c>
      <c r="J1551">
        <v>100</v>
      </c>
      <c r="K1551">
        <v>100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100</v>
      </c>
      <c r="AH1551">
        <v>1</v>
      </c>
      <c r="AI1551">
        <v>0</v>
      </c>
      <c r="AJ1551">
        <v>0</v>
      </c>
      <c r="AK1551">
        <v>100</v>
      </c>
      <c r="AL1551">
        <v>0</v>
      </c>
      <c r="AM1551">
        <v>0</v>
      </c>
      <c r="AN1551">
        <v>0</v>
      </c>
      <c r="AO1551">
        <v>0</v>
      </c>
      <c r="AQ1551">
        <v>0</v>
      </c>
      <c r="AR1551">
        <v>0</v>
      </c>
      <c r="AT1551">
        <v>0</v>
      </c>
      <c r="AU1551">
        <v>0</v>
      </c>
      <c r="AW1551">
        <v>0</v>
      </c>
      <c r="AX1551">
        <v>0</v>
      </c>
      <c r="AY1551">
        <v>70</v>
      </c>
      <c r="BC1551" t="str">
        <f>T("9791166003493")</f>
        <v>9791166003493</v>
      </c>
      <c r="BE1551" t="str">
        <f>T("판타지 웹소설 &gt; 현대 판타지")</f>
        <v>판타지 웹소설 &gt; 현대 판타지</v>
      </c>
    </row>
    <row r="1552" spans="1:57" x14ac:dyDescent="0.3">
      <c r="A1552">
        <v>1525004799</v>
      </c>
      <c r="B1552">
        <v>1525004862</v>
      </c>
      <c r="C1552" t="str">
        <f>T("검산도해 64화")</f>
        <v>검산도해 64화</v>
      </c>
      <c r="D1552" t="str">
        <f>T("64")</f>
        <v>64</v>
      </c>
      <c r="E1552" t="str">
        <f>T("권용찬")</f>
        <v>권용찬</v>
      </c>
      <c r="H1552" t="str">
        <f>T("스토리위즈")</f>
        <v>스토리위즈</v>
      </c>
      <c r="I1552" t="str">
        <f>T("검산도해")</f>
        <v>검산도해</v>
      </c>
      <c r="J1552">
        <v>100</v>
      </c>
      <c r="K1552">
        <v>100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100</v>
      </c>
      <c r="AH1552">
        <v>1</v>
      </c>
      <c r="AI1552">
        <v>0</v>
      </c>
      <c r="AJ1552">
        <v>0</v>
      </c>
      <c r="AK1552">
        <v>0</v>
      </c>
      <c r="AL1552">
        <v>0</v>
      </c>
      <c r="AM1552">
        <v>120</v>
      </c>
      <c r="AN1552">
        <v>-12</v>
      </c>
      <c r="AO1552">
        <v>0</v>
      </c>
      <c r="AQ1552">
        <v>0</v>
      </c>
      <c r="AR1552">
        <v>0</v>
      </c>
      <c r="AS1552">
        <v>120</v>
      </c>
      <c r="AT1552">
        <v>-12</v>
      </c>
      <c r="AU1552">
        <v>0</v>
      </c>
      <c r="AW1552">
        <v>0</v>
      </c>
      <c r="AX1552">
        <v>0</v>
      </c>
      <c r="AY1552">
        <v>75.599999999999994</v>
      </c>
      <c r="BC1552" t="str">
        <f>T("9791159285936")</f>
        <v>9791159285936</v>
      </c>
      <c r="BE1552" t="str">
        <f>T("판타지 웹소설 &gt; 무협 소설")</f>
        <v>판타지 웹소설 &gt; 무협 소설</v>
      </c>
    </row>
    <row r="1553" spans="1:57" x14ac:dyDescent="0.3">
      <c r="A1553">
        <v>1525004799</v>
      </c>
      <c r="B1553">
        <v>1525004919</v>
      </c>
      <c r="C1553" t="str">
        <f>T("검산도해 121화")</f>
        <v>검산도해 121화</v>
      </c>
      <c r="D1553" t="str">
        <f>T("121")</f>
        <v>121</v>
      </c>
      <c r="E1553" t="str">
        <f>T("권용찬")</f>
        <v>권용찬</v>
      </c>
      <c r="H1553" t="str">
        <f>T("스토리위즈")</f>
        <v>스토리위즈</v>
      </c>
      <c r="I1553" t="str">
        <f>T("검산도해")</f>
        <v>검산도해</v>
      </c>
      <c r="J1553">
        <v>100</v>
      </c>
      <c r="K1553">
        <v>100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100</v>
      </c>
      <c r="AH1553">
        <v>1</v>
      </c>
      <c r="AI1553">
        <v>0</v>
      </c>
      <c r="AJ1553">
        <v>0</v>
      </c>
      <c r="AK1553">
        <v>0</v>
      </c>
      <c r="AL1553">
        <v>0</v>
      </c>
      <c r="AM1553">
        <v>120</v>
      </c>
      <c r="AN1553">
        <v>-12</v>
      </c>
      <c r="AO1553">
        <v>0</v>
      </c>
      <c r="AQ1553">
        <v>0</v>
      </c>
      <c r="AR1553">
        <v>0</v>
      </c>
      <c r="AS1553">
        <v>120</v>
      </c>
      <c r="AT1553">
        <v>-12</v>
      </c>
      <c r="AU1553">
        <v>0</v>
      </c>
      <c r="AW1553">
        <v>0</v>
      </c>
      <c r="AX1553">
        <v>0</v>
      </c>
      <c r="AY1553">
        <v>75.599999999999994</v>
      </c>
      <c r="BC1553" t="str">
        <f>T("9791159285936")</f>
        <v>9791159285936</v>
      </c>
      <c r="BE1553" t="str">
        <f>T("판타지 웹소설 &gt; 무협 소설")</f>
        <v>판타지 웹소설 &gt; 무협 소설</v>
      </c>
    </row>
    <row r="1554" spans="1:57" x14ac:dyDescent="0.3">
      <c r="A1554">
        <v>1525004030</v>
      </c>
      <c r="B1554">
        <v>1525007106</v>
      </c>
      <c r="C1554" t="str">
        <f>T("회귀의 전설 2부 990화")</f>
        <v>회귀의 전설 2부 990화</v>
      </c>
      <c r="D1554" t="str">
        <f>T("990")</f>
        <v>990</v>
      </c>
      <c r="E1554" t="str">
        <f>T("김광수")</f>
        <v>김광수</v>
      </c>
      <c r="H1554" t="str">
        <f>T("스토리위즈")</f>
        <v>스토리위즈</v>
      </c>
      <c r="I1554" t="str">
        <f>T("회귀의 전설")</f>
        <v>회귀의 전설</v>
      </c>
      <c r="J1554">
        <v>100</v>
      </c>
      <c r="K1554">
        <v>100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100</v>
      </c>
      <c r="AH1554">
        <v>1</v>
      </c>
      <c r="AI1554">
        <v>0</v>
      </c>
      <c r="AJ1554">
        <v>0</v>
      </c>
      <c r="AK1554">
        <v>100</v>
      </c>
      <c r="AL1554">
        <v>0</v>
      </c>
      <c r="AM1554">
        <v>0</v>
      </c>
      <c r="AN1554">
        <v>0</v>
      </c>
      <c r="AO1554">
        <v>0</v>
      </c>
      <c r="AQ1554">
        <v>0</v>
      </c>
      <c r="AR1554">
        <v>0</v>
      </c>
      <c r="AT1554">
        <v>0</v>
      </c>
      <c r="AU1554">
        <v>0</v>
      </c>
      <c r="AW1554">
        <v>0</v>
      </c>
      <c r="AX1554">
        <v>0</v>
      </c>
      <c r="AY1554">
        <v>70</v>
      </c>
      <c r="BC1554" t="str">
        <f>T("9791191102086")</f>
        <v>9791191102086</v>
      </c>
      <c r="BE1554" t="str">
        <f>T("판타지 웹소설 &gt; 현대 판타지")</f>
        <v>판타지 웹소설 &gt; 현대 판타지</v>
      </c>
    </row>
    <row r="1555" spans="1:57" x14ac:dyDescent="0.3">
      <c r="A1555">
        <v>1525011523</v>
      </c>
      <c r="B1555">
        <v>1525011221</v>
      </c>
      <c r="C1555" t="str">
        <f>T("남창목가 303화")</f>
        <v>남창목가 303화</v>
      </c>
      <c r="D1555" t="str">
        <f>T("303")</f>
        <v>303</v>
      </c>
      <c r="E1555" t="str">
        <f>T("최재봉")</f>
        <v>최재봉</v>
      </c>
      <c r="H1555" t="str">
        <f>T("에필로그")</f>
        <v>에필로그</v>
      </c>
      <c r="I1555" t="str">
        <f>T("남창목가")</f>
        <v>남창목가</v>
      </c>
      <c r="J1555">
        <v>100</v>
      </c>
      <c r="K1555">
        <v>100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100</v>
      </c>
      <c r="AH1555">
        <v>1</v>
      </c>
      <c r="AI1555">
        <v>0</v>
      </c>
      <c r="AJ1555">
        <v>0</v>
      </c>
      <c r="AK1555">
        <v>0</v>
      </c>
      <c r="AL1555">
        <v>0</v>
      </c>
      <c r="AM1555">
        <v>120</v>
      </c>
      <c r="AN1555">
        <v>-12</v>
      </c>
      <c r="AO1555">
        <v>0</v>
      </c>
      <c r="AQ1555">
        <v>0</v>
      </c>
      <c r="AR1555">
        <v>0</v>
      </c>
      <c r="AS1555">
        <v>120</v>
      </c>
      <c r="AT1555">
        <v>-12</v>
      </c>
      <c r="AU1555">
        <v>0</v>
      </c>
      <c r="AW1555">
        <v>0</v>
      </c>
      <c r="AX1555">
        <v>0</v>
      </c>
      <c r="AY1555">
        <v>75.599999999999994</v>
      </c>
      <c r="BC1555" t="str">
        <f>T("9791164482849")</f>
        <v>9791164482849</v>
      </c>
      <c r="BE1555" t="str">
        <f>T("판타지 웹소설 &gt; 무협 소설")</f>
        <v>판타지 웹소설 &gt; 무협 소설</v>
      </c>
    </row>
    <row r="1556" spans="1:57" x14ac:dyDescent="0.3">
      <c r="A1556">
        <v>1525000569</v>
      </c>
      <c r="B1556">
        <v>1525000608</v>
      </c>
      <c r="C1556" t="str">
        <f>T("스트라이커 40화")</f>
        <v>스트라이커 40화</v>
      </c>
      <c r="D1556" t="str">
        <f>T("40")</f>
        <v>40</v>
      </c>
      <c r="E1556" t="str">
        <f>T("독고진")</f>
        <v>독고진</v>
      </c>
      <c r="H1556" t="str">
        <f>T("스토리위즈")</f>
        <v>스토리위즈</v>
      </c>
      <c r="I1556" t="str">
        <f>T("스트라이커")</f>
        <v>스트라이커</v>
      </c>
      <c r="J1556">
        <v>100</v>
      </c>
      <c r="K1556">
        <v>100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100</v>
      </c>
      <c r="AH1556">
        <v>1</v>
      </c>
      <c r="AI1556">
        <v>0</v>
      </c>
      <c r="AJ1556">
        <v>0</v>
      </c>
      <c r="AK1556">
        <v>100</v>
      </c>
      <c r="AL1556">
        <v>0</v>
      </c>
      <c r="AM1556">
        <v>0</v>
      </c>
      <c r="AN1556">
        <v>0</v>
      </c>
      <c r="AO1556">
        <v>0</v>
      </c>
      <c r="AQ1556">
        <v>0</v>
      </c>
      <c r="AR1556">
        <v>0</v>
      </c>
      <c r="AT1556">
        <v>0</v>
      </c>
      <c r="AU1556">
        <v>0</v>
      </c>
      <c r="AW1556">
        <v>0</v>
      </c>
      <c r="AX1556">
        <v>0</v>
      </c>
      <c r="AY1556">
        <v>70</v>
      </c>
      <c r="BC1556" t="str">
        <f>T("9791170151678")</f>
        <v>9791170151678</v>
      </c>
      <c r="BE1556" t="str">
        <f>T("판타지 웹소설 &gt; 현대 판타지")</f>
        <v>판타지 웹소설 &gt; 현대 판타지</v>
      </c>
    </row>
    <row r="1557" spans="1:57" x14ac:dyDescent="0.3">
      <c r="A1557">
        <v>1525011523</v>
      </c>
      <c r="B1557">
        <v>1525011002</v>
      </c>
      <c r="C1557" t="str">
        <f>T("남창목가 외전 490화")</f>
        <v>남창목가 외전 490화</v>
      </c>
      <c r="D1557" t="str">
        <f>T("490")</f>
        <v>490</v>
      </c>
      <c r="E1557" t="str">
        <f>T("최재봉")</f>
        <v>최재봉</v>
      </c>
      <c r="H1557" t="str">
        <f>T("에필로그")</f>
        <v>에필로그</v>
      </c>
      <c r="I1557" t="str">
        <f>T("남창목가")</f>
        <v>남창목가</v>
      </c>
      <c r="J1557">
        <v>100</v>
      </c>
      <c r="K1557">
        <v>100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100</v>
      </c>
      <c r="AH1557">
        <v>1</v>
      </c>
      <c r="AI1557">
        <v>0</v>
      </c>
      <c r="AJ1557">
        <v>0</v>
      </c>
      <c r="AK1557">
        <v>0</v>
      </c>
      <c r="AL1557">
        <v>0</v>
      </c>
      <c r="AM1557">
        <v>120</v>
      </c>
      <c r="AN1557">
        <v>-12</v>
      </c>
      <c r="AO1557">
        <v>0</v>
      </c>
      <c r="AQ1557">
        <v>0</v>
      </c>
      <c r="AR1557">
        <v>0</v>
      </c>
      <c r="AS1557">
        <v>120</v>
      </c>
      <c r="AT1557">
        <v>-12</v>
      </c>
      <c r="AU1557">
        <v>0</v>
      </c>
      <c r="AW1557">
        <v>0</v>
      </c>
      <c r="AX1557">
        <v>0</v>
      </c>
      <c r="AY1557">
        <v>75.599999999999994</v>
      </c>
      <c r="BC1557" t="str">
        <f>T("9791164482849")</f>
        <v>9791164482849</v>
      </c>
      <c r="BE1557" t="str">
        <f>T("판타지 웹소설 &gt; 무협 소설")</f>
        <v>판타지 웹소설 &gt; 무협 소설</v>
      </c>
    </row>
    <row r="1558" spans="1:57" x14ac:dyDescent="0.3">
      <c r="A1558">
        <v>1525011523</v>
      </c>
      <c r="B1558">
        <v>1525011339</v>
      </c>
      <c r="C1558" t="str">
        <f>T("남창목가 185화")</f>
        <v>남창목가 185화</v>
      </c>
      <c r="D1558" t="str">
        <f>T("185")</f>
        <v>185</v>
      </c>
      <c r="E1558" t="str">
        <f>T("최재봉")</f>
        <v>최재봉</v>
      </c>
      <c r="H1558" t="str">
        <f>T("에필로그")</f>
        <v>에필로그</v>
      </c>
      <c r="I1558" t="str">
        <f>T("남창목가")</f>
        <v>남창목가</v>
      </c>
      <c r="J1558">
        <v>100</v>
      </c>
      <c r="K1558">
        <v>100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100</v>
      </c>
      <c r="AH1558">
        <v>1</v>
      </c>
      <c r="AI1558">
        <v>0</v>
      </c>
      <c r="AJ1558">
        <v>0</v>
      </c>
      <c r="AK1558">
        <v>0</v>
      </c>
      <c r="AL1558">
        <v>0</v>
      </c>
      <c r="AM1558">
        <v>120</v>
      </c>
      <c r="AN1558">
        <v>-12</v>
      </c>
      <c r="AO1558">
        <v>0</v>
      </c>
      <c r="AQ1558">
        <v>0</v>
      </c>
      <c r="AR1558">
        <v>0</v>
      </c>
      <c r="AS1558">
        <v>120</v>
      </c>
      <c r="AT1558">
        <v>-12</v>
      </c>
      <c r="AU1558">
        <v>0</v>
      </c>
      <c r="AW1558">
        <v>0</v>
      </c>
      <c r="AX1558">
        <v>0</v>
      </c>
      <c r="AY1558">
        <v>75.599999999999994</v>
      </c>
      <c r="BC1558" t="str">
        <f>T("9791164482849")</f>
        <v>9791164482849</v>
      </c>
      <c r="BE1558" t="str">
        <f>T("판타지 웹소설 &gt; 무협 소설")</f>
        <v>판타지 웹소설 &gt; 무협 소설</v>
      </c>
    </row>
    <row r="1559" spans="1:57" x14ac:dyDescent="0.3">
      <c r="A1559">
        <v>1525002125</v>
      </c>
      <c r="B1559">
        <v>1525002373</v>
      </c>
      <c r="C1559" t="str">
        <f>T("신을 죽이러 갑니다 249화")</f>
        <v>신을 죽이러 갑니다 249화</v>
      </c>
      <c r="D1559" t="str">
        <f>T("249")</f>
        <v>249</v>
      </c>
      <c r="E1559" t="str">
        <f>T("독고진")</f>
        <v>독고진</v>
      </c>
      <c r="H1559" t="str">
        <f>T("스토리위즈")</f>
        <v>스토리위즈</v>
      </c>
      <c r="I1559" t="str">
        <f>T("신을 죽이러 갑니다")</f>
        <v>신을 죽이러 갑니다</v>
      </c>
      <c r="J1559">
        <v>100</v>
      </c>
      <c r="K1559">
        <v>100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100</v>
      </c>
      <c r="AH1559">
        <v>1</v>
      </c>
      <c r="AI1559">
        <v>0</v>
      </c>
      <c r="AJ1559">
        <v>0</v>
      </c>
      <c r="AK1559">
        <v>0</v>
      </c>
      <c r="AL1559">
        <v>0</v>
      </c>
      <c r="AM1559">
        <v>120</v>
      </c>
      <c r="AN1559">
        <v>-36</v>
      </c>
      <c r="AO1559">
        <v>0</v>
      </c>
      <c r="AQ1559">
        <v>0</v>
      </c>
      <c r="AR1559">
        <v>0</v>
      </c>
      <c r="AS1559">
        <v>120</v>
      </c>
      <c r="AT1559">
        <v>-36</v>
      </c>
      <c r="AU1559">
        <v>0</v>
      </c>
      <c r="AW1559">
        <v>0</v>
      </c>
      <c r="AX1559">
        <v>0</v>
      </c>
      <c r="AY1559">
        <v>58.8</v>
      </c>
      <c r="BC1559" t="str">
        <f>T("9791159285806")</f>
        <v>9791159285806</v>
      </c>
      <c r="BE1559" t="str">
        <f>T("판타지 웹소설 &gt; 퓨전 판타지")</f>
        <v>판타지 웹소설 &gt; 퓨전 판타지</v>
      </c>
    </row>
    <row r="1560" spans="1:57" x14ac:dyDescent="0.3">
      <c r="A1560">
        <v>1525008545</v>
      </c>
      <c r="B1560">
        <v>1525008591</v>
      </c>
      <c r="C1560" t="str">
        <f>T("소년연애담 7화")</f>
        <v>소년연애담 7화</v>
      </c>
      <c r="D1560" t="str">
        <f>T("7")</f>
        <v>7</v>
      </c>
      <c r="E1560" t="str">
        <f>T("나나코")</f>
        <v>나나코</v>
      </c>
      <c r="H1560" t="str">
        <f>T("블러쉬")</f>
        <v>블러쉬</v>
      </c>
      <c r="I1560" t="str">
        <f>T("소년연애담")</f>
        <v>소년연애담</v>
      </c>
      <c r="J1560">
        <v>100</v>
      </c>
      <c r="K1560">
        <v>100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100</v>
      </c>
      <c r="AH1560">
        <v>1</v>
      </c>
      <c r="AI1560">
        <v>0</v>
      </c>
      <c r="AJ1560">
        <v>0</v>
      </c>
      <c r="AK1560">
        <v>100</v>
      </c>
      <c r="AL1560">
        <v>0</v>
      </c>
      <c r="AM1560">
        <v>0</v>
      </c>
      <c r="AN1560">
        <v>0</v>
      </c>
      <c r="AO1560">
        <v>0</v>
      </c>
      <c r="AQ1560">
        <v>0</v>
      </c>
      <c r="AR1560">
        <v>0</v>
      </c>
      <c r="AT1560">
        <v>0</v>
      </c>
      <c r="AU1560">
        <v>0</v>
      </c>
      <c r="AW1560">
        <v>0</v>
      </c>
      <c r="AX1560">
        <v>0</v>
      </c>
      <c r="AY1560">
        <v>70</v>
      </c>
      <c r="BA1560" t="str">
        <f>T("0000000000000")</f>
        <v>0000000000000</v>
      </c>
      <c r="BC1560" t="str">
        <f>T("9791164890729")</f>
        <v>9791164890729</v>
      </c>
      <c r="BD1560" t="str">
        <f>T("B12")</f>
        <v>B12</v>
      </c>
      <c r="BE1560" t="str">
        <f>T("BL 웹소설 &gt; 현대물")</f>
        <v>BL 웹소설 &gt; 현대물</v>
      </c>
    </row>
    <row r="1561" spans="1:57" x14ac:dyDescent="0.3">
      <c r="A1561">
        <v>1525012551</v>
      </c>
      <c r="B1561">
        <v>1525012680</v>
      </c>
      <c r="C1561" t="str">
        <f>T("개정판 | 바보가 만드는 멋진 세상 130화")</f>
        <v>개정판 | 바보가 만드는 멋진 세상 130화</v>
      </c>
      <c r="D1561" t="str">
        <f>T("130")</f>
        <v>130</v>
      </c>
      <c r="E1561" t="str">
        <f>T("백범(白帆)")</f>
        <v>백범(白帆)</v>
      </c>
      <c r="H1561" t="str">
        <f>T("에필로그")</f>
        <v>에필로그</v>
      </c>
      <c r="I1561" t="str">
        <f>T("개정판 | 바보가 만드는 멋진 세상")</f>
        <v>개정판 | 바보가 만드는 멋진 세상</v>
      </c>
      <c r="J1561">
        <v>100</v>
      </c>
      <c r="K1561">
        <v>100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100</v>
      </c>
      <c r="AH1561">
        <v>1</v>
      </c>
      <c r="AI1561">
        <v>0</v>
      </c>
      <c r="AJ1561">
        <v>0</v>
      </c>
      <c r="AK1561">
        <v>100</v>
      </c>
      <c r="AL1561">
        <v>0</v>
      </c>
      <c r="AM1561">
        <v>0</v>
      </c>
      <c r="AN1561">
        <v>0</v>
      </c>
      <c r="AO1561">
        <v>0</v>
      </c>
      <c r="AQ1561">
        <v>0</v>
      </c>
      <c r="AR1561">
        <v>0</v>
      </c>
      <c r="AT1561">
        <v>0</v>
      </c>
      <c r="AU1561">
        <v>0</v>
      </c>
      <c r="AW1561">
        <v>0</v>
      </c>
      <c r="AX1561">
        <v>0</v>
      </c>
      <c r="AY1561">
        <v>70</v>
      </c>
      <c r="BC1561" t="str">
        <f>T("9791166003493")</f>
        <v>9791166003493</v>
      </c>
      <c r="BE1561" t="str">
        <f>T("판타지 웹소설 &gt; 현대 판타지")</f>
        <v>판타지 웹소설 &gt; 현대 판타지</v>
      </c>
    </row>
    <row r="1562" spans="1:57" x14ac:dyDescent="0.3">
      <c r="A1562">
        <v>1525004799</v>
      </c>
      <c r="B1562">
        <v>1525004851</v>
      </c>
      <c r="C1562" t="str">
        <f>T("검산도해 53화")</f>
        <v>검산도해 53화</v>
      </c>
      <c r="D1562" t="str">
        <f>T("53")</f>
        <v>53</v>
      </c>
      <c r="E1562" t="str">
        <f>T("권용찬")</f>
        <v>권용찬</v>
      </c>
      <c r="H1562" t="str">
        <f>T("스토리위즈")</f>
        <v>스토리위즈</v>
      </c>
      <c r="I1562" t="str">
        <f>T("검산도해")</f>
        <v>검산도해</v>
      </c>
      <c r="J1562">
        <v>100</v>
      </c>
      <c r="K1562">
        <v>100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100</v>
      </c>
      <c r="AH1562">
        <v>1</v>
      </c>
      <c r="AI1562">
        <v>0</v>
      </c>
      <c r="AJ1562">
        <v>0</v>
      </c>
      <c r="AK1562">
        <v>0</v>
      </c>
      <c r="AL1562">
        <v>0</v>
      </c>
      <c r="AM1562">
        <v>120</v>
      </c>
      <c r="AN1562">
        <v>-12</v>
      </c>
      <c r="AO1562">
        <v>0</v>
      </c>
      <c r="AQ1562">
        <v>0</v>
      </c>
      <c r="AR1562">
        <v>0</v>
      </c>
      <c r="AS1562">
        <v>120</v>
      </c>
      <c r="AT1562">
        <v>-12</v>
      </c>
      <c r="AU1562">
        <v>0</v>
      </c>
      <c r="AW1562">
        <v>0</v>
      </c>
      <c r="AX1562">
        <v>0</v>
      </c>
      <c r="AY1562">
        <v>75.599999999999994</v>
      </c>
      <c r="BC1562" t="str">
        <f>T("9791159285936")</f>
        <v>9791159285936</v>
      </c>
      <c r="BE1562" t="str">
        <f>T("판타지 웹소설 &gt; 무협 소설")</f>
        <v>판타지 웹소설 &gt; 무협 소설</v>
      </c>
    </row>
    <row r="1563" spans="1:57" x14ac:dyDescent="0.3">
      <c r="A1563">
        <v>1525004799</v>
      </c>
      <c r="B1563">
        <v>1525004908</v>
      </c>
      <c r="C1563" t="str">
        <f>T("검산도해 110화")</f>
        <v>검산도해 110화</v>
      </c>
      <c r="D1563" t="str">
        <f>T("110")</f>
        <v>110</v>
      </c>
      <c r="E1563" t="str">
        <f>T("권용찬")</f>
        <v>권용찬</v>
      </c>
      <c r="H1563" t="str">
        <f>T("스토리위즈")</f>
        <v>스토리위즈</v>
      </c>
      <c r="I1563" t="str">
        <f>T("검산도해")</f>
        <v>검산도해</v>
      </c>
      <c r="J1563">
        <v>100</v>
      </c>
      <c r="K1563">
        <v>100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100</v>
      </c>
      <c r="AH1563">
        <v>1</v>
      </c>
      <c r="AI1563">
        <v>0</v>
      </c>
      <c r="AJ1563">
        <v>0</v>
      </c>
      <c r="AK1563">
        <v>0</v>
      </c>
      <c r="AL1563">
        <v>0</v>
      </c>
      <c r="AM1563">
        <v>120</v>
      </c>
      <c r="AN1563">
        <v>-12</v>
      </c>
      <c r="AO1563">
        <v>0</v>
      </c>
      <c r="AQ1563">
        <v>0</v>
      </c>
      <c r="AR1563">
        <v>0</v>
      </c>
      <c r="AS1563">
        <v>120</v>
      </c>
      <c r="AT1563">
        <v>-12</v>
      </c>
      <c r="AU1563">
        <v>0</v>
      </c>
      <c r="AW1563">
        <v>0</v>
      </c>
      <c r="AX1563">
        <v>0</v>
      </c>
      <c r="AY1563">
        <v>75.599999999999994</v>
      </c>
      <c r="BC1563" t="str">
        <f>T("9791159285936")</f>
        <v>9791159285936</v>
      </c>
      <c r="BE1563" t="str">
        <f>T("판타지 웹소설 &gt; 무협 소설")</f>
        <v>판타지 웹소설 &gt; 무협 소설</v>
      </c>
    </row>
    <row r="1564" spans="1:57" x14ac:dyDescent="0.3">
      <c r="A1564">
        <v>1525004030</v>
      </c>
      <c r="B1564">
        <v>1525007095</v>
      </c>
      <c r="C1564" t="str">
        <f>T("회귀의 전설 2부 979화")</f>
        <v>회귀의 전설 2부 979화</v>
      </c>
      <c r="D1564" t="str">
        <f>T("979")</f>
        <v>979</v>
      </c>
      <c r="E1564" t="str">
        <f>T("김광수")</f>
        <v>김광수</v>
      </c>
      <c r="H1564" t="str">
        <f>T("스토리위즈")</f>
        <v>스토리위즈</v>
      </c>
      <c r="I1564" t="str">
        <f>T("회귀의 전설")</f>
        <v>회귀의 전설</v>
      </c>
      <c r="J1564">
        <v>100</v>
      </c>
      <c r="K1564">
        <v>100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100</v>
      </c>
      <c r="AH1564">
        <v>1</v>
      </c>
      <c r="AI1564">
        <v>0</v>
      </c>
      <c r="AJ1564">
        <v>0</v>
      </c>
      <c r="AK1564">
        <v>100</v>
      </c>
      <c r="AL1564">
        <v>0</v>
      </c>
      <c r="AM1564">
        <v>0</v>
      </c>
      <c r="AN1564">
        <v>0</v>
      </c>
      <c r="AO1564">
        <v>0</v>
      </c>
      <c r="AQ1564">
        <v>0</v>
      </c>
      <c r="AR1564">
        <v>0</v>
      </c>
      <c r="AT1564">
        <v>0</v>
      </c>
      <c r="AU1564">
        <v>0</v>
      </c>
      <c r="AW1564">
        <v>0</v>
      </c>
      <c r="AX1564">
        <v>0</v>
      </c>
      <c r="AY1564">
        <v>70</v>
      </c>
      <c r="BC1564" t="str">
        <f>T("9791191102086")</f>
        <v>9791191102086</v>
      </c>
      <c r="BE1564" t="str">
        <f>T("판타지 웹소설 &gt; 현대 판타지")</f>
        <v>판타지 웹소설 &gt; 현대 판타지</v>
      </c>
    </row>
    <row r="1565" spans="1:57" x14ac:dyDescent="0.3">
      <c r="A1565">
        <v>1525000569</v>
      </c>
      <c r="B1565">
        <v>1525000597</v>
      </c>
      <c r="C1565" t="str">
        <f>T("스트라이커 29화")</f>
        <v>스트라이커 29화</v>
      </c>
      <c r="D1565" t="str">
        <f>T("29")</f>
        <v>29</v>
      </c>
      <c r="E1565" t="str">
        <f>T("독고진")</f>
        <v>독고진</v>
      </c>
      <c r="H1565" t="str">
        <f>T("스토리위즈")</f>
        <v>스토리위즈</v>
      </c>
      <c r="I1565" t="str">
        <f>T("스트라이커")</f>
        <v>스트라이커</v>
      </c>
      <c r="J1565">
        <v>100</v>
      </c>
      <c r="K1565">
        <v>100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100</v>
      </c>
      <c r="AH1565">
        <v>1</v>
      </c>
      <c r="AI1565">
        <v>0</v>
      </c>
      <c r="AJ1565">
        <v>0</v>
      </c>
      <c r="AK1565">
        <v>100</v>
      </c>
      <c r="AL1565">
        <v>0</v>
      </c>
      <c r="AM1565">
        <v>0</v>
      </c>
      <c r="AN1565">
        <v>0</v>
      </c>
      <c r="AO1565">
        <v>0</v>
      </c>
      <c r="AQ1565">
        <v>0</v>
      </c>
      <c r="AR1565">
        <v>0</v>
      </c>
      <c r="AT1565">
        <v>0</v>
      </c>
      <c r="AU1565">
        <v>0</v>
      </c>
      <c r="AW1565">
        <v>0</v>
      </c>
      <c r="AX1565">
        <v>0</v>
      </c>
      <c r="AY1565">
        <v>70</v>
      </c>
      <c r="BC1565" t="str">
        <f>T("9791170151678")</f>
        <v>9791170151678</v>
      </c>
      <c r="BE1565" t="str">
        <f>T("판타지 웹소설 &gt; 현대 판타지")</f>
        <v>판타지 웹소설 &gt; 현대 판타지</v>
      </c>
    </row>
    <row r="1566" spans="1:57" x14ac:dyDescent="0.3">
      <c r="A1566">
        <v>1525011523</v>
      </c>
      <c r="B1566">
        <v>1525010988</v>
      </c>
      <c r="C1566" t="str">
        <f>T("남창목가 외전 504화")</f>
        <v>남창목가 외전 504화</v>
      </c>
      <c r="D1566" t="str">
        <f>T("504")</f>
        <v>504</v>
      </c>
      <c r="E1566" t="str">
        <f>T("최재봉")</f>
        <v>최재봉</v>
      </c>
      <c r="H1566" t="str">
        <f>T("에필로그")</f>
        <v>에필로그</v>
      </c>
      <c r="I1566" t="str">
        <f>T("남창목가")</f>
        <v>남창목가</v>
      </c>
      <c r="J1566">
        <v>100</v>
      </c>
      <c r="K1566">
        <v>100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100</v>
      </c>
      <c r="AH1566">
        <v>1</v>
      </c>
      <c r="AI1566">
        <v>0</v>
      </c>
      <c r="AJ1566">
        <v>0</v>
      </c>
      <c r="AK1566">
        <v>0</v>
      </c>
      <c r="AL1566">
        <v>0</v>
      </c>
      <c r="AM1566">
        <v>120</v>
      </c>
      <c r="AN1566">
        <v>-12</v>
      </c>
      <c r="AO1566">
        <v>0</v>
      </c>
      <c r="AQ1566">
        <v>0</v>
      </c>
      <c r="AR1566">
        <v>0</v>
      </c>
      <c r="AS1566">
        <v>120</v>
      </c>
      <c r="AT1566">
        <v>-12</v>
      </c>
      <c r="AU1566">
        <v>0</v>
      </c>
      <c r="AW1566">
        <v>0</v>
      </c>
      <c r="AX1566">
        <v>0</v>
      </c>
      <c r="AY1566">
        <v>75.599999999999994</v>
      </c>
      <c r="BC1566" t="str">
        <f>T("9791164482849")</f>
        <v>9791164482849</v>
      </c>
      <c r="BE1566" t="str">
        <f>T("판타지 웹소설 &gt; 무협 소설")</f>
        <v>판타지 웹소설 &gt; 무협 소설</v>
      </c>
    </row>
    <row r="1567" spans="1:57" x14ac:dyDescent="0.3">
      <c r="A1567">
        <v>1525002125</v>
      </c>
      <c r="B1567">
        <v>1525002163</v>
      </c>
      <c r="C1567" t="str">
        <f>T("신을 죽이러 갑니다 39화")</f>
        <v>신을 죽이러 갑니다 39화</v>
      </c>
      <c r="D1567" t="str">
        <f>T("39")</f>
        <v>39</v>
      </c>
      <c r="E1567" t="str">
        <f>T("독고진")</f>
        <v>독고진</v>
      </c>
      <c r="H1567" t="str">
        <f>T("스토리위즈")</f>
        <v>스토리위즈</v>
      </c>
      <c r="I1567" t="str">
        <f>T("신을 죽이러 갑니다")</f>
        <v>신을 죽이러 갑니다</v>
      </c>
      <c r="J1567">
        <v>100</v>
      </c>
      <c r="K1567">
        <v>100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100</v>
      </c>
      <c r="AH1567">
        <v>1</v>
      </c>
      <c r="AI1567">
        <v>0</v>
      </c>
      <c r="AJ1567">
        <v>0</v>
      </c>
      <c r="AK1567">
        <v>0</v>
      </c>
      <c r="AL1567">
        <v>0</v>
      </c>
      <c r="AM1567">
        <v>120</v>
      </c>
      <c r="AN1567">
        <v>-36</v>
      </c>
      <c r="AO1567">
        <v>0</v>
      </c>
      <c r="AQ1567">
        <v>0</v>
      </c>
      <c r="AR1567">
        <v>0</v>
      </c>
      <c r="AS1567">
        <v>120</v>
      </c>
      <c r="AT1567">
        <v>-36</v>
      </c>
      <c r="AU1567">
        <v>0</v>
      </c>
      <c r="AW1567">
        <v>0</v>
      </c>
      <c r="AX1567">
        <v>0</v>
      </c>
      <c r="AY1567">
        <v>58.8</v>
      </c>
      <c r="BC1567" t="str">
        <f>T("9791159285806")</f>
        <v>9791159285806</v>
      </c>
      <c r="BE1567" t="str">
        <f>T("판타지 웹소설 &gt; 퓨전 판타지")</f>
        <v>판타지 웹소설 &gt; 퓨전 판타지</v>
      </c>
    </row>
    <row r="1568" spans="1:57" x14ac:dyDescent="0.3">
      <c r="A1568">
        <v>1525013020</v>
      </c>
      <c r="B1568">
        <v>1525013136</v>
      </c>
      <c r="C1568" t="str">
        <f>T("악당의 리턴 117화")</f>
        <v>악당의 리턴 117화</v>
      </c>
      <c r="D1568" t="str">
        <f>T("117")</f>
        <v>117</v>
      </c>
      <c r="E1568" t="str">
        <f>T("백범(白帆)")</f>
        <v>백범(白帆)</v>
      </c>
      <c r="H1568" t="str">
        <f>T("에필로그")</f>
        <v>에필로그</v>
      </c>
      <c r="I1568" t="str">
        <f>T("악당의 리턴")</f>
        <v>악당의 리턴</v>
      </c>
      <c r="J1568">
        <v>100</v>
      </c>
      <c r="K1568">
        <v>100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100</v>
      </c>
      <c r="AH1568">
        <v>1</v>
      </c>
      <c r="AI1568">
        <v>0</v>
      </c>
      <c r="AJ1568">
        <v>0</v>
      </c>
      <c r="AK1568">
        <v>100</v>
      </c>
      <c r="AL1568">
        <v>0</v>
      </c>
      <c r="AM1568">
        <v>0</v>
      </c>
      <c r="AN1568">
        <v>0</v>
      </c>
      <c r="AO1568">
        <v>0</v>
      </c>
      <c r="AQ1568">
        <v>0</v>
      </c>
      <c r="AR1568">
        <v>0</v>
      </c>
      <c r="AT1568">
        <v>0</v>
      </c>
      <c r="AU1568">
        <v>0</v>
      </c>
      <c r="AW1568">
        <v>0</v>
      </c>
      <c r="AX1568">
        <v>0</v>
      </c>
      <c r="AY1568">
        <v>70</v>
      </c>
      <c r="BC1568" t="str">
        <f>T("9791196538927")</f>
        <v>9791196538927</v>
      </c>
      <c r="BE1568" t="str">
        <f>T("판타지 웹소설 &gt; 현대 판타지")</f>
        <v>판타지 웹소설 &gt; 현대 판타지</v>
      </c>
    </row>
    <row r="1569" spans="1:57" x14ac:dyDescent="0.3">
      <c r="A1569">
        <v>1525012551</v>
      </c>
      <c r="B1569">
        <v>1525012697</v>
      </c>
      <c r="C1569" t="str">
        <f>T("개정판 | 바보가 만드는 멋진 세상 147화")</f>
        <v>개정판 | 바보가 만드는 멋진 세상 147화</v>
      </c>
      <c r="D1569" t="str">
        <f>T("147")</f>
        <v>147</v>
      </c>
      <c r="E1569" t="str">
        <f>T("백범(白帆)")</f>
        <v>백범(白帆)</v>
      </c>
      <c r="H1569" t="str">
        <f>T("에필로그")</f>
        <v>에필로그</v>
      </c>
      <c r="I1569" t="str">
        <f>T("개정판 | 바보가 만드는 멋진 세상")</f>
        <v>개정판 | 바보가 만드는 멋진 세상</v>
      </c>
      <c r="J1569">
        <v>100</v>
      </c>
      <c r="K1569">
        <v>100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100</v>
      </c>
      <c r="AH1569">
        <v>1</v>
      </c>
      <c r="AI1569">
        <v>0</v>
      </c>
      <c r="AJ1569">
        <v>0</v>
      </c>
      <c r="AK1569">
        <v>100</v>
      </c>
      <c r="AL1569">
        <v>0</v>
      </c>
      <c r="AM1569">
        <v>0</v>
      </c>
      <c r="AN1569">
        <v>0</v>
      </c>
      <c r="AO1569">
        <v>0</v>
      </c>
      <c r="AQ1569">
        <v>0</v>
      </c>
      <c r="AR1569">
        <v>0</v>
      </c>
      <c r="AT1569">
        <v>0</v>
      </c>
      <c r="AU1569">
        <v>0</v>
      </c>
      <c r="AW1569">
        <v>0</v>
      </c>
      <c r="AX1569">
        <v>0</v>
      </c>
      <c r="AY1569">
        <v>70</v>
      </c>
      <c r="BC1569" t="str">
        <f>T("9791166003493")</f>
        <v>9791166003493</v>
      </c>
      <c r="BE1569" t="str">
        <f>T("판타지 웹소설 &gt; 현대 판타지")</f>
        <v>판타지 웹소설 &gt; 현대 판타지</v>
      </c>
    </row>
    <row r="1570" spans="1:57" x14ac:dyDescent="0.3">
      <c r="A1570">
        <v>1525002864</v>
      </c>
      <c r="B1570">
        <v>1525002920</v>
      </c>
      <c r="C1570" t="str">
        <f>T("소드마스터의 환생 57화")</f>
        <v>소드마스터의 환생 57화</v>
      </c>
      <c r="D1570" t="str">
        <f>T("57")</f>
        <v>57</v>
      </c>
      <c r="E1570" t="str">
        <f>T("파란영")</f>
        <v>파란영</v>
      </c>
      <c r="H1570" t="str">
        <f>T("스토리위즈")</f>
        <v>스토리위즈</v>
      </c>
      <c r="I1570" t="str">
        <f>T("소드마스터의 환생")</f>
        <v>소드마스터의 환생</v>
      </c>
      <c r="J1570">
        <v>100</v>
      </c>
      <c r="K1570">
        <v>100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100</v>
      </c>
      <c r="AH1570">
        <v>1</v>
      </c>
      <c r="AI1570">
        <v>0</v>
      </c>
      <c r="AJ1570">
        <v>0</v>
      </c>
      <c r="AK1570">
        <v>100</v>
      </c>
      <c r="AL1570">
        <v>0</v>
      </c>
      <c r="AM1570">
        <v>0</v>
      </c>
      <c r="AN1570">
        <v>0</v>
      </c>
      <c r="AO1570">
        <v>0</v>
      </c>
      <c r="AQ1570">
        <v>0</v>
      </c>
      <c r="AR1570">
        <v>0</v>
      </c>
      <c r="AT1570">
        <v>0</v>
      </c>
      <c r="AU1570">
        <v>0</v>
      </c>
      <c r="AW1570">
        <v>0</v>
      </c>
      <c r="AX1570">
        <v>0</v>
      </c>
      <c r="AY1570">
        <v>70</v>
      </c>
      <c r="BC1570" t="str">
        <f>T("9791159287527")</f>
        <v>9791159287527</v>
      </c>
      <c r="BE1570" t="str">
        <f>T("판타지 웹소설 &gt; 정통 판타지")</f>
        <v>판타지 웹소설 &gt; 정통 판타지</v>
      </c>
    </row>
    <row r="1571" spans="1:57" x14ac:dyDescent="0.3">
      <c r="A1571">
        <v>1525008428</v>
      </c>
      <c r="B1571">
        <v>1525008459</v>
      </c>
      <c r="C1571" t="str">
        <f>T("무히비(Muhibbi) 48화")</f>
        <v>무히비(Muhibbi) 48화</v>
      </c>
      <c r="D1571" t="str">
        <f>T("48")</f>
        <v>48</v>
      </c>
      <c r="E1571" t="str">
        <f>T("jooki")</f>
        <v>jooki</v>
      </c>
      <c r="H1571" t="str">
        <f>T("블러쉬")</f>
        <v>블러쉬</v>
      </c>
      <c r="I1571" t="str">
        <f>T("무히비(Muhibbi)")</f>
        <v>무히비(Muhibbi)</v>
      </c>
      <c r="J1571">
        <v>100</v>
      </c>
      <c r="K1571">
        <v>100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100</v>
      </c>
      <c r="AH1571">
        <v>1</v>
      </c>
      <c r="AI1571">
        <v>0</v>
      </c>
      <c r="AJ1571">
        <v>0</v>
      </c>
      <c r="AK1571">
        <v>100</v>
      </c>
      <c r="AL1571">
        <v>0</v>
      </c>
      <c r="AM1571">
        <v>0</v>
      </c>
      <c r="AN1571">
        <v>0</v>
      </c>
      <c r="AO1571">
        <v>0</v>
      </c>
      <c r="AQ1571">
        <v>0</v>
      </c>
      <c r="AR1571">
        <v>0</v>
      </c>
      <c r="AT1571">
        <v>0</v>
      </c>
      <c r="AU1571">
        <v>0</v>
      </c>
      <c r="AW1571">
        <v>0</v>
      </c>
      <c r="AX1571">
        <v>0</v>
      </c>
      <c r="AY1571">
        <v>70</v>
      </c>
      <c r="BC1571" t="str">
        <f>T("9791164896622")</f>
        <v>9791164896622</v>
      </c>
      <c r="BE1571" t="str">
        <f>T("BL 웹소설 &gt; 역사/시대물")</f>
        <v>BL 웹소설 &gt; 역사/시대물</v>
      </c>
    </row>
    <row r="1572" spans="1:57" x14ac:dyDescent="0.3">
      <c r="A1572">
        <v>1525011523</v>
      </c>
      <c r="B1572">
        <v>1525011253</v>
      </c>
      <c r="C1572" t="str">
        <f>T("남창목가 271화")</f>
        <v>남창목가 271화</v>
      </c>
      <c r="D1572" t="str">
        <f>T("271")</f>
        <v>271</v>
      </c>
      <c r="E1572" t="str">
        <f>T("최재봉")</f>
        <v>최재봉</v>
      </c>
      <c r="H1572" t="str">
        <f>T("에필로그")</f>
        <v>에필로그</v>
      </c>
      <c r="I1572" t="str">
        <f>T("남창목가")</f>
        <v>남창목가</v>
      </c>
      <c r="J1572">
        <v>100</v>
      </c>
      <c r="K1572">
        <v>100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100</v>
      </c>
      <c r="AH1572">
        <v>1</v>
      </c>
      <c r="AI1572">
        <v>0</v>
      </c>
      <c r="AJ1572">
        <v>0</v>
      </c>
      <c r="AK1572">
        <v>0</v>
      </c>
      <c r="AL1572">
        <v>0</v>
      </c>
      <c r="AM1572">
        <v>120</v>
      </c>
      <c r="AN1572">
        <v>-12</v>
      </c>
      <c r="AO1572">
        <v>0</v>
      </c>
      <c r="AQ1572">
        <v>0</v>
      </c>
      <c r="AR1572">
        <v>0</v>
      </c>
      <c r="AS1572">
        <v>120</v>
      </c>
      <c r="AT1572">
        <v>-12</v>
      </c>
      <c r="AU1572">
        <v>0</v>
      </c>
      <c r="AW1572">
        <v>0</v>
      </c>
      <c r="AX1572">
        <v>0</v>
      </c>
      <c r="AY1572">
        <v>75.599999999999994</v>
      </c>
      <c r="BC1572" t="str">
        <f>T("9791164482849")</f>
        <v>9791164482849</v>
      </c>
      <c r="BE1572" t="str">
        <f>T("판타지 웹소설 &gt; 무협 소설")</f>
        <v>판타지 웹소설 &gt; 무협 소설</v>
      </c>
    </row>
    <row r="1573" spans="1:57" x14ac:dyDescent="0.3">
      <c r="A1573">
        <v>1525011523</v>
      </c>
      <c r="B1573">
        <v>1525011436</v>
      </c>
      <c r="C1573" t="str">
        <f>T("남창목가 88화")</f>
        <v>남창목가 88화</v>
      </c>
      <c r="D1573" t="str">
        <f>T("88")</f>
        <v>88</v>
      </c>
      <c r="E1573" t="str">
        <f>T("최재봉")</f>
        <v>최재봉</v>
      </c>
      <c r="H1573" t="str">
        <f>T("에필로그")</f>
        <v>에필로그</v>
      </c>
      <c r="I1573" t="str">
        <f>T("남창목가")</f>
        <v>남창목가</v>
      </c>
      <c r="J1573">
        <v>100</v>
      </c>
      <c r="K1573">
        <v>100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100</v>
      </c>
      <c r="AH1573">
        <v>1</v>
      </c>
      <c r="AI1573">
        <v>0</v>
      </c>
      <c r="AJ1573">
        <v>0</v>
      </c>
      <c r="AK1573">
        <v>100</v>
      </c>
      <c r="AL1573">
        <v>0</v>
      </c>
      <c r="AM1573">
        <v>0</v>
      </c>
      <c r="AN1573">
        <v>0</v>
      </c>
      <c r="AO1573">
        <v>0</v>
      </c>
      <c r="AQ1573">
        <v>0</v>
      </c>
      <c r="AR1573">
        <v>0</v>
      </c>
      <c r="AT1573">
        <v>0</v>
      </c>
      <c r="AU1573">
        <v>0</v>
      </c>
      <c r="AW1573">
        <v>0</v>
      </c>
      <c r="AX1573">
        <v>0</v>
      </c>
      <c r="AY1573">
        <v>70</v>
      </c>
      <c r="BC1573" t="str">
        <f>T("9791164482849")</f>
        <v>9791164482849</v>
      </c>
      <c r="BE1573" t="str">
        <f>T("판타지 웹소설 &gt; 무협 소설")</f>
        <v>판타지 웹소설 &gt; 무협 소설</v>
      </c>
    </row>
    <row r="1574" spans="1:57" x14ac:dyDescent="0.3">
      <c r="A1574">
        <v>1525004799</v>
      </c>
      <c r="B1574">
        <v>1525004925</v>
      </c>
      <c r="C1574" t="str">
        <f>T("검산도해 127화")</f>
        <v>검산도해 127화</v>
      </c>
      <c r="D1574" t="str">
        <f>T("127")</f>
        <v>127</v>
      </c>
      <c r="E1574" t="str">
        <f>T("권용찬")</f>
        <v>권용찬</v>
      </c>
      <c r="H1574" t="str">
        <f>T("스토리위즈")</f>
        <v>스토리위즈</v>
      </c>
      <c r="I1574" t="str">
        <f>T("검산도해")</f>
        <v>검산도해</v>
      </c>
      <c r="J1574">
        <v>100</v>
      </c>
      <c r="K1574">
        <v>100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100</v>
      </c>
      <c r="AH1574">
        <v>1</v>
      </c>
      <c r="AI1574">
        <v>0</v>
      </c>
      <c r="AJ1574">
        <v>0</v>
      </c>
      <c r="AK1574">
        <v>0</v>
      </c>
      <c r="AL1574">
        <v>0</v>
      </c>
      <c r="AM1574">
        <v>120</v>
      </c>
      <c r="AN1574">
        <v>-12</v>
      </c>
      <c r="AO1574">
        <v>0</v>
      </c>
      <c r="AQ1574">
        <v>0</v>
      </c>
      <c r="AR1574">
        <v>0</v>
      </c>
      <c r="AS1574">
        <v>120</v>
      </c>
      <c r="AT1574">
        <v>-12</v>
      </c>
      <c r="AU1574">
        <v>0</v>
      </c>
      <c r="AW1574">
        <v>0</v>
      </c>
      <c r="AX1574">
        <v>0</v>
      </c>
      <c r="AY1574">
        <v>75.599999999999994</v>
      </c>
      <c r="BC1574" t="str">
        <f>T("9791159285936")</f>
        <v>9791159285936</v>
      </c>
      <c r="BE1574" t="str">
        <f>T("판타지 웹소설 &gt; 무협 소설")</f>
        <v>판타지 웹소설 &gt; 무협 소설</v>
      </c>
    </row>
    <row r="1575" spans="1:57" x14ac:dyDescent="0.3">
      <c r="A1575">
        <v>1525004030</v>
      </c>
      <c r="B1575">
        <v>1525007014</v>
      </c>
      <c r="C1575" t="str">
        <f>T("회귀의 전설 2부 898화")</f>
        <v>회귀의 전설 2부 898화</v>
      </c>
      <c r="D1575" t="str">
        <f>T("898")</f>
        <v>898</v>
      </c>
      <c r="E1575" t="str">
        <f>T("김광수")</f>
        <v>김광수</v>
      </c>
      <c r="H1575" t="str">
        <f>T("스토리위즈")</f>
        <v>스토리위즈</v>
      </c>
      <c r="I1575" t="str">
        <f>T("회귀의 전설")</f>
        <v>회귀의 전설</v>
      </c>
      <c r="J1575">
        <v>100</v>
      </c>
      <c r="K1575">
        <v>100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100</v>
      </c>
      <c r="AH1575">
        <v>1</v>
      </c>
      <c r="AI1575">
        <v>0</v>
      </c>
      <c r="AJ1575">
        <v>0</v>
      </c>
      <c r="AK1575">
        <v>100</v>
      </c>
      <c r="AL1575">
        <v>0</v>
      </c>
      <c r="AM1575">
        <v>0</v>
      </c>
      <c r="AN1575">
        <v>0</v>
      </c>
      <c r="AO1575">
        <v>0</v>
      </c>
      <c r="AQ1575">
        <v>0</v>
      </c>
      <c r="AR1575">
        <v>0</v>
      </c>
      <c r="AT1575">
        <v>0</v>
      </c>
      <c r="AU1575">
        <v>0</v>
      </c>
      <c r="AW1575">
        <v>0</v>
      </c>
      <c r="AX1575">
        <v>0</v>
      </c>
      <c r="AY1575">
        <v>70</v>
      </c>
      <c r="BC1575" t="str">
        <f>T("9791191102086")</f>
        <v>9791191102086</v>
      </c>
      <c r="BE1575" t="str">
        <f>T("판타지 웹소설 &gt; 현대 판타지")</f>
        <v>판타지 웹소설 &gt; 현대 판타지</v>
      </c>
    </row>
    <row r="1576" spans="1:57" x14ac:dyDescent="0.3">
      <c r="A1576">
        <v>1525011523</v>
      </c>
      <c r="B1576">
        <v>1525011169</v>
      </c>
      <c r="C1576" t="str">
        <f>T("남창목가 355화")</f>
        <v>남창목가 355화</v>
      </c>
      <c r="D1576" t="str">
        <f>T("355")</f>
        <v>355</v>
      </c>
      <c r="E1576" t="str">
        <f>T("최재봉")</f>
        <v>최재봉</v>
      </c>
      <c r="H1576" t="str">
        <f>T("에필로그")</f>
        <v>에필로그</v>
      </c>
      <c r="I1576" t="str">
        <f>T("남창목가")</f>
        <v>남창목가</v>
      </c>
      <c r="J1576">
        <v>100</v>
      </c>
      <c r="K1576">
        <v>100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100</v>
      </c>
      <c r="AH1576">
        <v>1</v>
      </c>
      <c r="AI1576">
        <v>0</v>
      </c>
      <c r="AJ1576">
        <v>0</v>
      </c>
      <c r="AK1576">
        <v>0</v>
      </c>
      <c r="AL1576">
        <v>0</v>
      </c>
      <c r="AM1576">
        <v>120</v>
      </c>
      <c r="AN1576">
        <v>-12</v>
      </c>
      <c r="AO1576">
        <v>0</v>
      </c>
      <c r="AQ1576">
        <v>0</v>
      </c>
      <c r="AR1576">
        <v>0</v>
      </c>
      <c r="AS1576">
        <v>120</v>
      </c>
      <c r="AT1576">
        <v>-12</v>
      </c>
      <c r="AU1576">
        <v>0</v>
      </c>
      <c r="AW1576">
        <v>0</v>
      </c>
      <c r="AX1576">
        <v>0</v>
      </c>
      <c r="AY1576">
        <v>75.599999999999994</v>
      </c>
      <c r="BC1576" t="str">
        <f>T("9791164482849")</f>
        <v>9791164482849</v>
      </c>
      <c r="BE1576" t="str">
        <f>T("판타지 웹소설 &gt; 무협 소설")</f>
        <v>판타지 웹소설 &gt; 무협 소설</v>
      </c>
    </row>
    <row r="1577" spans="1:57" x14ac:dyDescent="0.3">
      <c r="A1577">
        <v>1525008428</v>
      </c>
      <c r="B1577">
        <v>1525008415</v>
      </c>
      <c r="C1577" t="str">
        <f>T("무히비(Muhibbi) 111화")</f>
        <v>무히비(Muhibbi) 111화</v>
      </c>
      <c r="D1577" t="str">
        <f>T("111")</f>
        <v>111</v>
      </c>
      <c r="E1577" t="str">
        <f>T("jooki")</f>
        <v>jooki</v>
      </c>
      <c r="H1577" t="str">
        <f>T("블러쉬")</f>
        <v>블러쉬</v>
      </c>
      <c r="I1577" t="str">
        <f>T("무히비(Muhibbi)")</f>
        <v>무히비(Muhibbi)</v>
      </c>
      <c r="J1577">
        <v>100</v>
      </c>
      <c r="K1577">
        <v>100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100</v>
      </c>
      <c r="AH1577">
        <v>1</v>
      </c>
      <c r="AI1577">
        <v>0</v>
      </c>
      <c r="AJ1577">
        <v>0</v>
      </c>
      <c r="AK1577">
        <v>100</v>
      </c>
      <c r="AL1577">
        <v>0</v>
      </c>
      <c r="AM1577">
        <v>0</v>
      </c>
      <c r="AN1577">
        <v>0</v>
      </c>
      <c r="AO1577">
        <v>0</v>
      </c>
      <c r="AQ1577">
        <v>0</v>
      </c>
      <c r="AR1577">
        <v>0</v>
      </c>
      <c r="AT1577">
        <v>0</v>
      </c>
      <c r="AU1577">
        <v>0</v>
      </c>
      <c r="AW1577">
        <v>0</v>
      </c>
      <c r="AX1577">
        <v>0</v>
      </c>
      <c r="AY1577">
        <v>70</v>
      </c>
      <c r="BA1577" t="str">
        <f>T("0000000000000")</f>
        <v>0000000000000</v>
      </c>
      <c r="BC1577" t="str">
        <f>T("9791164896622")</f>
        <v>9791164896622</v>
      </c>
      <c r="BE1577" t="str">
        <f>T("BL 웹소설 &gt; 역사/시대물")</f>
        <v>BL 웹소설 &gt; 역사/시대물</v>
      </c>
    </row>
    <row r="1578" spans="1:57" x14ac:dyDescent="0.3">
      <c r="A1578">
        <v>1525004030</v>
      </c>
      <c r="B1578">
        <v>1525006973</v>
      </c>
      <c r="C1578" t="str">
        <f>T("회귀의 전설 2부 857화")</f>
        <v>회귀의 전설 2부 857화</v>
      </c>
      <c r="D1578" t="str">
        <f>T("857")</f>
        <v>857</v>
      </c>
      <c r="E1578" t="str">
        <f>T("김광수")</f>
        <v>김광수</v>
      </c>
      <c r="H1578" t="str">
        <f>T("스토리위즈")</f>
        <v>스토리위즈</v>
      </c>
      <c r="I1578" t="str">
        <f>T("회귀의 전설")</f>
        <v>회귀의 전설</v>
      </c>
      <c r="J1578">
        <v>100</v>
      </c>
      <c r="K1578">
        <v>100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100</v>
      </c>
      <c r="AH1578">
        <v>1</v>
      </c>
      <c r="AI1578">
        <v>0</v>
      </c>
      <c r="AJ1578">
        <v>0</v>
      </c>
      <c r="AK1578">
        <v>100</v>
      </c>
      <c r="AL1578">
        <v>0</v>
      </c>
      <c r="AM1578">
        <v>0</v>
      </c>
      <c r="AN1578">
        <v>0</v>
      </c>
      <c r="AO1578">
        <v>0</v>
      </c>
      <c r="AQ1578">
        <v>0</v>
      </c>
      <c r="AR1578">
        <v>0</v>
      </c>
      <c r="AT1578">
        <v>0</v>
      </c>
      <c r="AU1578">
        <v>0</v>
      </c>
      <c r="AW1578">
        <v>0</v>
      </c>
      <c r="AX1578">
        <v>0</v>
      </c>
      <c r="AY1578">
        <v>70</v>
      </c>
      <c r="BC1578" t="str">
        <f>T("9791191102086")</f>
        <v>9791191102086</v>
      </c>
      <c r="BE1578" t="str">
        <f>T("판타지 웹소설 &gt; 현대 판타지")</f>
        <v>판타지 웹소설 &gt; 현대 판타지</v>
      </c>
    </row>
    <row r="1579" spans="1:57" x14ac:dyDescent="0.3">
      <c r="A1579">
        <v>1525011523</v>
      </c>
      <c r="B1579">
        <v>1525011366</v>
      </c>
      <c r="C1579" t="str">
        <f>T("남창목가 158화")</f>
        <v>남창목가 158화</v>
      </c>
      <c r="D1579" t="str">
        <f>T("158")</f>
        <v>158</v>
      </c>
      <c r="E1579" t="str">
        <f>T("최재봉")</f>
        <v>최재봉</v>
      </c>
      <c r="H1579" t="str">
        <f>T("에필로그")</f>
        <v>에필로그</v>
      </c>
      <c r="I1579" t="str">
        <f>T("남창목가")</f>
        <v>남창목가</v>
      </c>
      <c r="J1579">
        <v>100</v>
      </c>
      <c r="K1579">
        <v>100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100</v>
      </c>
      <c r="AH1579">
        <v>1</v>
      </c>
      <c r="AI1579">
        <v>0</v>
      </c>
      <c r="AJ1579">
        <v>0</v>
      </c>
      <c r="AK1579">
        <v>0</v>
      </c>
      <c r="AL1579">
        <v>0</v>
      </c>
      <c r="AM1579">
        <v>120</v>
      </c>
      <c r="AN1579">
        <v>-12</v>
      </c>
      <c r="AO1579">
        <v>0</v>
      </c>
      <c r="AQ1579">
        <v>0</v>
      </c>
      <c r="AR1579">
        <v>0</v>
      </c>
      <c r="AS1579">
        <v>120</v>
      </c>
      <c r="AT1579">
        <v>-12</v>
      </c>
      <c r="AU1579">
        <v>0</v>
      </c>
      <c r="AW1579">
        <v>0</v>
      </c>
      <c r="AX1579">
        <v>0</v>
      </c>
      <c r="AY1579">
        <v>75.599999999999994</v>
      </c>
      <c r="BC1579" t="str">
        <f>T("9791164482849")</f>
        <v>9791164482849</v>
      </c>
      <c r="BE1579" t="str">
        <f>T("판타지 웹소설 &gt; 무협 소설")</f>
        <v>판타지 웹소설 &gt; 무협 소설</v>
      </c>
    </row>
    <row r="1580" spans="1:57" x14ac:dyDescent="0.3">
      <c r="A1580">
        <v>1525002125</v>
      </c>
      <c r="B1580">
        <v>1525002394</v>
      </c>
      <c r="C1580" t="str">
        <f>T("신을 죽이러 갑니다 270화")</f>
        <v>신을 죽이러 갑니다 270화</v>
      </c>
      <c r="D1580" t="str">
        <f>T("270")</f>
        <v>270</v>
      </c>
      <c r="E1580" t="str">
        <f>T("독고진")</f>
        <v>독고진</v>
      </c>
      <c r="H1580" t="str">
        <f>T("스토리위즈")</f>
        <v>스토리위즈</v>
      </c>
      <c r="I1580" t="str">
        <f>T("신을 죽이러 갑니다")</f>
        <v>신을 죽이러 갑니다</v>
      </c>
      <c r="J1580">
        <v>100</v>
      </c>
      <c r="K1580">
        <v>100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100</v>
      </c>
      <c r="AH1580">
        <v>1</v>
      </c>
      <c r="AI1580">
        <v>0</v>
      </c>
      <c r="AJ1580">
        <v>0</v>
      </c>
      <c r="AK1580">
        <v>0</v>
      </c>
      <c r="AL1580">
        <v>0</v>
      </c>
      <c r="AM1580">
        <v>120</v>
      </c>
      <c r="AN1580">
        <v>-12</v>
      </c>
      <c r="AO1580">
        <v>0</v>
      </c>
      <c r="AQ1580">
        <v>0</v>
      </c>
      <c r="AR1580">
        <v>0</v>
      </c>
      <c r="AS1580">
        <v>120</v>
      </c>
      <c r="AT1580">
        <v>-12</v>
      </c>
      <c r="AU1580">
        <v>0</v>
      </c>
      <c r="AW1580">
        <v>0</v>
      </c>
      <c r="AX1580">
        <v>0</v>
      </c>
      <c r="AY1580">
        <v>75.599999999999994</v>
      </c>
      <c r="BC1580" t="str">
        <f>T("9791159285806")</f>
        <v>9791159285806</v>
      </c>
      <c r="BE1580" t="str">
        <f>T("판타지 웹소설 &gt; 퓨전 판타지")</f>
        <v>판타지 웹소설 &gt; 퓨전 판타지</v>
      </c>
    </row>
    <row r="1581" spans="1:57" x14ac:dyDescent="0.3">
      <c r="A1581">
        <v>1525013020</v>
      </c>
      <c r="B1581">
        <v>1525013055</v>
      </c>
      <c r="C1581" t="str">
        <f>T("악당의 리턴 36화")</f>
        <v>악당의 리턴 36화</v>
      </c>
      <c r="D1581" t="str">
        <f>T("36")</f>
        <v>36</v>
      </c>
      <c r="E1581" t="str">
        <f>T("백범(白帆)")</f>
        <v>백범(白帆)</v>
      </c>
      <c r="H1581" t="str">
        <f>T("에필로그")</f>
        <v>에필로그</v>
      </c>
      <c r="I1581" t="str">
        <f>T("악당의 리턴")</f>
        <v>악당의 리턴</v>
      </c>
      <c r="J1581">
        <v>100</v>
      </c>
      <c r="K1581">
        <v>100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100</v>
      </c>
      <c r="AH1581">
        <v>1</v>
      </c>
      <c r="AI1581">
        <v>0</v>
      </c>
      <c r="AJ1581">
        <v>0</v>
      </c>
      <c r="AK1581">
        <v>100</v>
      </c>
      <c r="AL1581">
        <v>0</v>
      </c>
      <c r="AM1581">
        <v>0</v>
      </c>
      <c r="AN1581">
        <v>0</v>
      </c>
      <c r="AO1581">
        <v>0</v>
      </c>
      <c r="AQ1581">
        <v>0</v>
      </c>
      <c r="AR1581">
        <v>0</v>
      </c>
      <c r="AT1581">
        <v>0</v>
      </c>
      <c r="AU1581">
        <v>0</v>
      </c>
      <c r="AW1581">
        <v>0</v>
      </c>
      <c r="AX1581">
        <v>0</v>
      </c>
      <c r="AY1581">
        <v>70</v>
      </c>
      <c r="BC1581" t="str">
        <f>T("9791196538927")</f>
        <v>9791196538927</v>
      </c>
      <c r="BE1581" t="str">
        <f>T("판타지 웹소설 &gt; 현대 판타지")</f>
        <v>판타지 웹소설 &gt; 현대 판타지</v>
      </c>
    </row>
    <row r="1582" spans="1:57" x14ac:dyDescent="0.3">
      <c r="A1582">
        <v>1525004030</v>
      </c>
      <c r="B1582">
        <v>1525007128</v>
      </c>
      <c r="C1582" t="str">
        <f>T("회귀의 전설 2부 1012화")</f>
        <v>회귀의 전설 2부 1012화</v>
      </c>
      <c r="D1582" t="str">
        <f>T("1012")</f>
        <v>1012</v>
      </c>
      <c r="E1582" t="str">
        <f>T("김광수")</f>
        <v>김광수</v>
      </c>
      <c r="H1582" t="str">
        <f>T("스토리위즈")</f>
        <v>스토리위즈</v>
      </c>
      <c r="I1582" t="str">
        <f>T("회귀의 전설")</f>
        <v>회귀의 전설</v>
      </c>
      <c r="J1582">
        <v>100</v>
      </c>
      <c r="K1582">
        <v>100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100</v>
      </c>
      <c r="AH1582">
        <v>1</v>
      </c>
      <c r="AI1582">
        <v>0</v>
      </c>
      <c r="AJ1582">
        <v>0</v>
      </c>
      <c r="AK1582">
        <v>100</v>
      </c>
      <c r="AL1582">
        <v>0</v>
      </c>
      <c r="AM1582">
        <v>0</v>
      </c>
      <c r="AN1582">
        <v>0</v>
      </c>
      <c r="AO1582">
        <v>0</v>
      </c>
      <c r="AQ1582">
        <v>0</v>
      </c>
      <c r="AR1582">
        <v>0</v>
      </c>
      <c r="AT1582">
        <v>0</v>
      </c>
      <c r="AU1582">
        <v>0</v>
      </c>
      <c r="AW1582">
        <v>0</v>
      </c>
      <c r="AX1582">
        <v>0</v>
      </c>
      <c r="AY1582">
        <v>70</v>
      </c>
      <c r="BC1582" t="str">
        <f>T("9791191102086")</f>
        <v>9791191102086</v>
      </c>
      <c r="BE1582" t="str">
        <f>T("판타지 웹소설 &gt; 현대 판타지")</f>
        <v>판타지 웹소설 &gt; 현대 판타지</v>
      </c>
    </row>
    <row r="1583" spans="1:57" x14ac:dyDescent="0.3">
      <c r="A1583">
        <v>1525004030</v>
      </c>
      <c r="B1583">
        <v>1525004501</v>
      </c>
      <c r="C1583" t="str">
        <f>T("회귀의 전설 485화")</f>
        <v>회귀의 전설 485화</v>
      </c>
      <c r="D1583" t="str">
        <f>T("485")</f>
        <v>485</v>
      </c>
      <c r="E1583" t="str">
        <f>T("김광수")</f>
        <v>김광수</v>
      </c>
      <c r="H1583" t="str">
        <f>T("스토리위즈")</f>
        <v>스토리위즈</v>
      </c>
      <c r="I1583" t="str">
        <f>T("회귀의 전설")</f>
        <v>회귀의 전설</v>
      </c>
      <c r="J1583">
        <v>100</v>
      </c>
      <c r="K1583">
        <v>100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100</v>
      </c>
      <c r="AH1583">
        <v>1</v>
      </c>
      <c r="AI1583">
        <v>0</v>
      </c>
      <c r="AJ1583">
        <v>0</v>
      </c>
      <c r="AK1583">
        <v>100</v>
      </c>
      <c r="AL1583">
        <v>0</v>
      </c>
      <c r="AM1583">
        <v>0</v>
      </c>
      <c r="AN1583">
        <v>0</v>
      </c>
      <c r="AO1583">
        <v>0</v>
      </c>
      <c r="AQ1583">
        <v>0</v>
      </c>
      <c r="AR1583">
        <v>0</v>
      </c>
      <c r="AT1583">
        <v>0</v>
      </c>
      <c r="AU1583">
        <v>0</v>
      </c>
      <c r="AW1583">
        <v>0</v>
      </c>
      <c r="AX1583">
        <v>0</v>
      </c>
      <c r="AY1583">
        <v>70</v>
      </c>
      <c r="BC1583" t="str">
        <f>T("9788997946006")</f>
        <v>9788997946006</v>
      </c>
      <c r="BE1583" t="str">
        <f>T("판타지 웹소설 &gt; 현대 판타지")</f>
        <v>판타지 웹소설 &gt; 현대 판타지</v>
      </c>
    </row>
    <row r="1584" spans="1:57" x14ac:dyDescent="0.3">
      <c r="A1584">
        <v>1525012551</v>
      </c>
      <c r="B1584">
        <v>1525012729</v>
      </c>
      <c r="C1584" t="str">
        <f>T("개정판 | 바보가 만드는 멋진 세상 179화")</f>
        <v>개정판 | 바보가 만드는 멋진 세상 179화</v>
      </c>
      <c r="D1584" t="str">
        <f>T("179")</f>
        <v>179</v>
      </c>
      <c r="E1584" t="str">
        <f>T("백범(白帆)")</f>
        <v>백범(白帆)</v>
      </c>
      <c r="H1584" t="str">
        <f>T("에필로그")</f>
        <v>에필로그</v>
      </c>
      <c r="I1584" t="str">
        <f>T("개정판 | 바보가 만드는 멋진 세상")</f>
        <v>개정판 | 바보가 만드는 멋진 세상</v>
      </c>
      <c r="J1584">
        <v>100</v>
      </c>
      <c r="K1584">
        <v>100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100</v>
      </c>
      <c r="AH1584">
        <v>1</v>
      </c>
      <c r="AI1584">
        <v>0</v>
      </c>
      <c r="AJ1584">
        <v>0</v>
      </c>
      <c r="AK1584">
        <v>100</v>
      </c>
      <c r="AL1584">
        <v>0</v>
      </c>
      <c r="AM1584">
        <v>0</v>
      </c>
      <c r="AN1584">
        <v>0</v>
      </c>
      <c r="AO1584">
        <v>0</v>
      </c>
      <c r="AQ1584">
        <v>0</v>
      </c>
      <c r="AR1584">
        <v>0</v>
      </c>
      <c r="AT1584">
        <v>0</v>
      </c>
      <c r="AU1584">
        <v>0</v>
      </c>
      <c r="AW1584">
        <v>0</v>
      </c>
      <c r="AX1584">
        <v>0</v>
      </c>
      <c r="AY1584">
        <v>70</v>
      </c>
      <c r="BC1584" t="str">
        <f>T("9791166003493")</f>
        <v>9791166003493</v>
      </c>
      <c r="BE1584" t="str">
        <f>T("판타지 웹소설 &gt; 현대 판타지")</f>
        <v>판타지 웹소설 &gt; 현대 판타지</v>
      </c>
    </row>
    <row r="1585" spans="1:57" x14ac:dyDescent="0.3">
      <c r="A1585">
        <v>1525008545</v>
      </c>
      <c r="B1585">
        <v>1525008542</v>
      </c>
      <c r="C1585" t="str">
        <f>T("소년연애담 17화")</f>
        <v>소년연애담 17화</v>
      </c>
      <c r="D1585" t="str">
        <f>T("17")</f>
        <v>17</v>
      </c>
      <c r="E1585" t="str">
        <f>T("나나코")</f>
        <v>나나코</v>
      </c>
      <c r="H1585" t="str">
        <f>T("블러쉬")</f>
        <v>블러쉬</v>
      </c>
      <c r="I1585" t="str">
        <f>T("소년연애담")</f>
        <v>소년연애담</v>
      </c>
      <c r="J1585">
        <v>100</v>
      </c>
      <c r="K1585">
        <v>100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100</v>
      </c>
      <c r="AH1585">
        <v>1</v>
      </c>
      <c r="AI1585">
        <v>0</v>
      </c>
      <c r="AJ1585">
        <v>0</v>
      </c>
      <c r="AK1585">
        <v>100</v>
      </c>
      <c r="AL1585">
        <v>0</v>
      </c>
      <c r="AM1585">
        <v>0</v>
      </c>
      <c r="AN1585">
        <v>0</v>
      </c>
      <c r="AO1585">
        <v>0</v>
      </c>
      <c r="AQ1585">
        <v>0</v>
      </c>
      <c r="AR1585">
        <v>0</v>
      </c>
      <c r="AT1585">
        <v>0</v>
      </c>
      <c r="AU1585">
        <v>0</v>
      </c>
      <c r="AW1585">
        <v>0</v>
      </c>
      <c r="AX1585">
        <v>0</v>
      </c>
      <c r="AY1585">
        <v>70</v>
      </c>
      <c r="BA1585" t="str">
        <f>T("0000000000000")</f>
        <v>0000000000000</v>
      </c>
      <c r="BC1585" t="str">
        <f>T("9791164890729")</f>
        <v>9791164890729</v>
      </c>
      <c r="BD1585" t="str">
        <f>T("B12")</f>
        <v>B12</v>
      </c>
      <c r="BE1585" t="str">
        <f>T("BL 웹소설 &gt; 현대물")</f>
        <v>BL 웹소설 &gt; 현대물</v>
      </c>
    </row>
    <row r="1586" spans="1:57" x14ac:dyDescent="0.3">
      <c r="A1586">
        <v>1525008428</v>
      </c>
      <c r="B1586">
        <v>1525008492</v>
      </c>
      <c r="C1586" t="str">
        <f>T("무히비(Muhibbi) 78화")</f>
        <v>무히비(Muhibbi) 78화</v>
      </c>
      <c r="D1586" t="str">
        <f>T("78")</f>
        <v>78</v>
      </c>
      <c r="E1586" t="str">
        <f>T("jooki")</f>
        <v>jooki</v>
      </c>
      <c r="H1586" t="str">
        <f>T("블러쉬")</f>
        <v>블러쉬</v>
      </c>
      <c r="I1586" t="str">
        <f>T("무히비(Muhibbi)")</f>
        <v>무히비(Muhibbi)</v>
      </c>
      <c r="J1586">
        <v>100</v>
      </c>
      <c r="K1586">
        <v>100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100</v>
      </c>
      <c r="AH1586">
        <v>1</v>
      </c>
      <c r="AI1586">
        <v>0</v>
      </c>
      <c r="AJ1586">
        <v>0</v>
      </c>
      <c r="AK1586">
        <v>100</v>
      </c>
      <c r="AL1586">
        <v>0</v>
      </c>
      <c r="AM1586">
        <v>0</v>
      </c>
      <c r="AN1586">
        <v>0</v>
      </c>
      <c r="AO1586">
        <v>0</v>
      </c>
      <c r="AQ1586">
        <v>0</v>
      </c>
      <c r="AR1586">
        <v>0</v>
      </c>
      <c r="AT1586">
        <v>0</v>
      </c>
      <c r="AU1586">
        <v>0</v>
      </c>
      <c r="AW1586">
        <v>0</v>
      </c>
      <c r="AX1586">
        <v>0</v>
      </c>
      <c r="AY1586">
        <v>70</v>
      </c>
      <c r="BC1586" t="str">
        <f>T("9791164896622")</f>
        <v>9791164896622</v>
      </c>
      <c r="BE1586" t="str">
        <f>T("BL 웹소설 &gt; 역사/시대물")</f>
        <v>BL 웹소설 &gt; 역사/시대물</v>
      </c>
    </row>
    <row r="1587" spans="1:57" x14ac:dyDescent="0.3">
      <c r="A1587">
        <v>1525012551</v>
      </c>
      <c r="B1587">
        <v>1525012607</v>
      </c>
      <c r="C1587" t="str">
        <f>T("개정판 | 바보가 만드는 멋진 세상 57화")</f>
        <v>개정판 | 바보가 만드는 멋진 세상 57화</v>
      </c>
      <c r="D1587" t="str">
        <f>T("57")</f>
        <v>57</v>
      </c>
      <c r="E1587" t="str">
        <f>T("백범(白帆)")</f>
        <v>백범(白帆)</v>
      </c>
      <c r="H1587" t="str">
        <f>T("에필로그")</f>
        <v>에필로그</v>
      </c>
      <c r="I1587" t="str">
        <f>T("개정판 | 바보가 만드는 멋진 세상")</f>
        <v>개정판 | 바보가 만드는 멋진 세상</v>
      </c>
      <c r="J1587">
        <v>100</v>
      </c>
      <c r="K1587">
        <v>100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100</v>
      </c>
      <c r="AH1587">
        <v>1</v>
      </c>
      <c r="AI1587">
        <v>0</v>
      </c>
      <c r="AJ1587">
        <v>0</v>
      </c>
      <c r="AK1587">
        <v>100</v>
      </c>
      <c r="AL1587">
        <v>0</v>
      </c>
      <c r="AM1587">
        <v>0</v>
      </c>
      <c r="AN1587">
        <v>0</v>
      </c>
      <c r="AO1587">
        <v>0</v>
      </c>
      <c r="AQ1587">
        <v>0</v>
      </c>
      <c r="AR1587">
        <v>0</v>
      </c>
      <c r="AT1587">
        <v>0</v>
      </c>
      <c r="AU1587">
        <v>0</v>
      </c>
      <c r="AW1587">
        <v>0</v>
      </c>
      <c r="AX1587">
        <v>0</v>
      </c>
      <c r="AY1587">
        <v>70</v>
      </c>
      <c r="BC1587" t="str">
        <f>T("9791166003493")</f>
        <v>9791166003493</v>
      </c>
      <c r="BE1587" t="str">
        <f>T("판타지 웹소설 &gt; 현대 판타지")</f>
        <v>판타지 웹소설 &gt; 현대 판타지</v>
      </c>
    </row>
    <row r="1588" spans="1:57" x14ac:dyDescent="0.3">
      <c r="A1588">
        <v>1525004799</v>
      </c>
      <c r="B1588">
        <v>1525004957</v>
      </c>
      <c r="C1588" t="str">
        <f>T("검산도해 159화")</f>
        <v>검산도해 159화</v>
      </c>
      <c r="D1588" t="str">
        <f>T("159")</f>
        <v>159</v>
      </c>
      <c r="E1588" t="str">
        <f>T("권용찬")</f>
        <v>권용찬</v>
      </c>
      <c r="H1588" t="str">
        <f>T("스토리위즈")</f>
        <v>스토리위즈</v>
      </c>
      <c r="I1588" t="str">
        <f>T("검산도해")</f>
        <v>검산도해</v>
      </c>
      <c r="J1588">
        <v>100</v>
      </c>
      <c r="K1588">
        <v>100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100</v>
      </c>
      <c r="AH1588">
        <v>1</v>
      </c>
      <c r="AI1588">
        <v>0</v>
      </c>
      <c r="AJ1588">
        <v>0</v>
      </c>
      <c r="AK1588">
        <v>0</v>
      </c>
      <c r="AL1588">
        <v>0</v>
      </c>
      <c r="AM1588">
        <v>120</v>
      </c>
      <c r="AN1588">
        <v>-12</v>
      </c>
      <c r="AO1588">
        <v>0</v>
      </c>
      <c r="AQ1588">
        <v>0</v>
      </c>
      <c r="AR1588">
        <v>0</v>
      </c>
      <c r="AS1588">
        <v>120</v>
      </c>
      <c r="AT1588">
        <v>-12</v>
      </c>
      <c r="AU1588">
        <v>0</v>
      </c>
      <c r="AW1588">
        <v>0</v>
      </c>
      <c r="AX1588">
        <v>0</v>
      </c>
      <c r="AY1588">
        <v>75.599999999999994</v>
      </c>
      <c r="BC1588" t="str">
        <f>T("9791159285936")</f>
        <v>9791159285936</v>
      </c>
      <c r="BE1588" t="str">
        <f>T("판타지 웹소설 &gt; 무협 소설")</f>
        <v>판타지 웹소설 &gt; 무협 소설</v>
      </c>
    </row>
    <row r="1589" spans="1:57" x14ac:dyDescent="0.3">
      <c r="A1589">
        <v>1525004030</v>
      </c>
      <c r="B1589">
        <v>1525007046</v>
      </c>
      <c r="C1589" t="str">
        <f>T("회귀의 전설 2부 930화")</f>
        <v>회귀의 전설 2부 930화</v>
      </c>
      <c r="D1589" t="str">
        <f>T("930")</f>
        <v>930</v>
      </c>
      <c r="E1589" t="str">
        <f>T("김광수")</f>
        <v>김광수</v>
      </c>
      <c r="H1589" t="str">
        <f>T("스토리위즈")</f>
        <v>스토리위즈</v>
      </c>
      <c r="I1589" t="str">
        <f>T("회귀의 전설")</f>
        <v>회귀의 전설</v>
      </c>
      <c r="J1589">
        <v>100</v>
      </c>
      <c r="K1589">
        <v>100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100</v>
      </c>
      <c r="AH1589">
        <v>1</v>
      </c>
      <c r="AI1589">
        <v>0</v>
      </c>
      <c r="AJ1589">
        <v>0</v>
      </c>
      <c r="AK1589">
        <v>100</v>
      </c>
      <c r="AL1589">
        <v>0</v>
      </c>
      <c r="AM1589">
        <v>0</v>
      </c>
      <c r="AN1589">
        <v>0</v>
      </c>
      <c r="AO1589">
        <v>0</v>
      </c>
      <c r="AQ1589">
        <v>0</v>
      </c>
      <c r="AR1589">
        <v>0</v>
      </c>
      <c r="AT1589">
        <v>0</v>
      </c>
      <c r="AU1589">
        <v>0</v>
      </c>
      <c r="AW1589">
        <v>0</v>
      </c>
      <c r="AX1589">
        <v>0</v>
      </c>
      <c r="AY1589">
        <v>70</v>
      </c>
      <c r="BC1589" t="str">
        <f>T("9791191102086")</f>
        <v>9791191102086</v>
      </c>
      <c r="BE1589" t="str">
        <f>T("판타지 웹소설 &gt; 현대 판타지")</f>
        <v>판타지 웹소설 &gt; 현대 판타지</v>
      </c>
    </row>
    <row r="1590" spans="1:57" x14ac:dyDescent="0.3">
      <c r="A1590">
        <v>1525013020</v>
      </c>
      <c r="B1590">
        <v>1525013087</v>
      </c>
      <c r="C1590" t="str">
        <f>T("악당의 리턴 68화")</f>
        <v>악당의 리턴 68화</v>
      </c>
      <c r="D1590" t="str">
        <f>T("68")</f>
        <v>68</v>
      </c>
      <c r="E1590" t="str">
        <f>T("백범(白帆)")</f>
        <v>백범(白帆)</v>
      </c>
      <c r="H1590" t="str">
        <f>T("에필로그")</f>
        <v>에필로그</v>
      </c>
      <c r="I1590" t="str">
        <f>T("악당의 리턴")</f>
        <v>악당의 리턴</v>
      </c>
      <c r="J1590">
        <v>100</v>
      </c>
      <c r="K1590">
        <v>100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100</v>
      </c>
      <c r="AH1590">
        <v>1</v>
      </c>
      <c r="AI1590">
        <v>0</v>
      </c>
      <c r="AJ1590">
        <v>0</v>
      </c>
      <c r="AK1590">
        <v>100</v>
      </c>
      <c r="AL1590">
        <v>0</v>
      </c>
      <c r="AM1590">
        <v>0</v>
      </c>
      <c r="AN1590">
        <v>0</v>
      </c>
      <c r="AO1590">
        <v>0</v>
      </c>
      <c r="AQ1590">
        <v>0</v>
      </c>
      <c r="AR1590">
        <v>0</v>
      </c>
      <c r="AT1590">
        <v>0</v>
      </c>
      <c r="AU1590">
        <v>0</v>
      </c>
      <c r="AW1590">
        <v>0</v>
      </c>
      <c r="AX1590">
        <v>0</v>
      </c>
      <c r="AY1590">
        <v>70</v>
      </c>
      <c r="BC1590" t="str">
        <f>T("9791196538927")</f>
        <v>9791196538927</v>
      </c>
      <c r="BE1590" t="str">
        <f>T("판타지 웹소설 &gt; 현대 판타지")</f>
        <v>판타지 웹소설 &gt; 현대 판타지</v>
      </c>
    </row>
    <row r="1591" spans="1:57" x14ac:dyDescent="0.3">
      <c r="A1591">
        <v>1525004030</v>
      </c>
      <c r="B1591">
        <v>1525007188</v>
      </c>
      <c r="C1591" t="str">
        <f>T("회귀의 전설 2부 1071화")</f>
        <v>회귀의 전설 2부 1071화</v>
      </c>
      <c r="D1591" t="str">
        <f>T("1071")</f>
        <v>1071</v>
      </c>
      <c r="E1591" t="str">
        <f>T("김광수")</f>
        <v>김광수</v>
      </c>
      <c r="H1591" t="str">
        <f>T("스토리위즈")</f>
        <v>스토리위즈</v>
      </c>
      <c r="I1591" t="str">
        <f>T("회귀의 전설")</f>
        <v>회귀의 전설</v>
      </c>
      <c r="J1591">
        <v>100</v>
      </c>
      <c r="K1591">
        <v>100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100</v>
      </c>
      <c r="AH1591">
        <v>1</v>
      </c>
      <c r="AI1591">
        <v>0</v>
      </c>
      <c r="AJ1591">
        <v>0</v>
      </c>
      <c r="AK1591">
        <v>100</v>
      </c>
      <c r="AL1591">
        <v>0</v>
      </c>
      <c r="AM1591">
        <v>0</v>
      </c>
      <c r="AN1591">
        <v>0</v>
      </c>
      <c r="AO1591">
        <v>0</v>
      </c>
      <c r="AQ1591">
        <v>0</v>
      </c>
      <c r="AR1591">
        <v>0</v>
      </c>
      <c r="AT1591">
        <v>0</v>
      </c>
      <c r="AU1591">
        <v>0</v>
      </c>
      <c r="AW1591">
        <v>0</v>
      </c>
      <c r="AX1591">
        <v>0</v>
      </c>
      <c r="AY1591">
        <v>70</v>
      </c>
      <c r="BC1591" t="str">
        <f>T("9791191102086")</f>
        <v>9791191102086</v>
      </c>
      <c r="BE1591" t="str">
        <f>T("판타지 웹소설 &gt; 현대 판타지")</f>
        <v>판타지 웹소설 &gt; 현대 판타지</v>
      </c>
    </row>
    <row r="1592" spans="1:57" x14ac:dyDescent="0.3">
      <c r="A1592">
        <v>1525008545</v>
      </c>
      <c r="B1592">
        <v>1525008574</v>
      </c>
      <c r="C1592" t="str">
        <f>T("소년연애담 46화")</f>
        <v>소년연애담 46화</v>
      </c>
      <c r="D1592" t="str">
        <f>T("46")</f>
        <v>46</v>
      </c>
      <c r="E1592" t="str">
        <f>T("나나코")</f>
        <v>나나코</v>
      </c>
      <c r="H1592" t="str">
        <f>T("블러쉬")</f>
        <v>블러쉬</v>
      </c>
      <c r="I1592" t="str">
        <f>T("소년연애담")</f>
        <v>소년연애담</v>
      </c>
      <c r="J1592">
        <v>100</v>
      </c>
      <c r="K1592">
        <v>100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100</v>
      </c>
      <c r="AH1592">
        <v>1</v>
      </c>
      <c r="AI1592">
        <v>0</v>
      </c>
      <c r="AJ1592">
        <v>0</v>
      </c>
      <c r="AK1592">
        <v>100</v>
      </c>
      <c r="AL1592">
        <v>0</v>
      </c>
      <c r="AM1592">
        <v>0</v>
      </c>
      <c r="AN1592">
        <v>0</v>
      </c>
      <c r="AO1592">
        <v>0</v>
      </c>
      <c r="AQ1592">
        <v>0</v>
      </c>
      <c r="AR1592">
        <v>0</v>
      </c>
      <c r="AT1592">
        <v>0</v>
      </c>
      <c r="AU1592">
        <v>0</v>
      </c>
      <c r="AW1592">
        <v>0</v>
      </c>
      <c r="AX1592">
        <v>0</v>
      </c>
      <c r="AY1592">
        <v>70</v>
      </c>
      <c r="BA1592" t="str">
        <f>T("0000000000000")</f>
        <v>0000000000000</v>
      </c>
      <c r="BC1592" t="str">
        <f>T("9791164890729")</f>
        <v>9791164890729</v>
      </c>
      <c r="BD1592" t="str">
        <f>T("B12")</f>
        <v>B12</v>
      </c>
      <c r="BE1592" t="str">
        <f>T("BL 웹소설 &gt; 현대물")</f>
        <v>BL 웹소설 &gt; 현대물</v>
      </c>
    </row>
    <row r="1593" spans="1:57" x14ac:dyDescent="0.3">
      <c r="A1593">
        <v>1525012551</v>
      </c>
      <c r="B1593">
        <v>1525012648</v>
      </c>
      <c r="C1593" t="str">
        <f>T("개정판 | 바보가 만드는 멋진 세상 98화")</f>
        <v>개정판 | 바보가 만드는 멋진 세상 98화</v>
      </c>
      <c r="D1593" t="str">
        <f>T("98")</f>
        <v>98</v>
      </c>
      <c r="E1593" t="str">
        <f>T("백범(白帆)")</f>
        <v>백범(白帆)</v>
      </c>
      <c r="H1593" t="str">
        <f>T("에필로그")</f>
        <v>에필로그</v>
      </c>
      <c r="I1593" t="str">
        <f>T("개정판 | 바보가 만드는 멋진 세상")</f>
        <v>개정판 | 바보가 만드는 멋진 세상</v>
      </c>
      <c r="J1593">
        <v>100</v>
      </c>
      <c r="K1593">
        <v>100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100</v>
      </c>
      <c r="AH1593">
        <v>1</v>
      </c>
      <c r="AI1593">
        <v>0</v>
      </c>
      <c r="AJ1593">
        <v>0</v>
      </c>
      <c r="AK1593">
        <v>100</v>
      </c>
      <c r="AL1593">
        <v>0</v>
      </c>
      <c r="AM1593">
        <v>0</v>
      </c>
      <c r="AN1593">
        <v>0</v>
      </c>
      <c r="AO1593">
        <v>0</v>
      </c>
      <c r="AQ1593">
        <v>0</v>
      </c>
      <c r="AR1593">
        <v>0</v>
      </c>
      <c r="AT1593">
        <v>0</v>
      </c>
      <c r="AU1593">
        <v>0</v>
      </c>
      <c r="AW1593">
        <v>0</v>
      </c>
      <c r="AX1593">
        <v>0</v>
      </c>
      <c r="AY1593">
        <v>70</v>
      </c>
      <c r="BC1593" t="str">
        <f>T("9791166003493")</f>
        <v>9791166003493</v>
      </c>
      <c r="BE1593" t="str">
        <f>T("판타지 웹소설 &gt; 현대 판타지")</f>
        <v>판타지 웹소설 &gt; 현대 판타지</v>
      </c>
    </row>
    <row r="1594" spans="1:57" x14ac:dyDescent="0.3">
      <c r="A1594">
        <v>1525004799</v>
      </c>
      <c r="B1594">
        <v>1525004876</v>
      </c>
      <c r="C1594" t="str">
        <f>T("검산도해 78화")</f>
        <v>검산도해 78화</v>
      </c>
      <c r="D1594" t="str">
        <f>T("78")</f>
        <v>78</v>
      </c>
      <c r="E1594" t="str">
        <f>T("권용찬")</f>
        <v>권용찬</v>
      </c>
      <c r="H1594" t="str">
        <f>T("스토리위즈")</f>
        <v>스토리위즈</v>
      </c>
      <c r="I1594" t="str">
        <f>T("검산도해")</f>
        <v>검산도해</v>
      </c>
      <c r="J1594">
        <v>100</v>
      </c>
      <c r="K1594">
        <v>100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100</v>
      </c>
      <c r="AH1594">
        <v>1</v>
      </c>
      <c r="AI1594">
        <v>0</v>
      </c>
      <c r="AJ1594">
        <v>0</v>
      </c>
      <c r="AK1594">
        <v>0</v>
      </c>
      <c r="AL1594">
        <v>0</v>
      </c>
      <c r="AM1594">
        <v>120</v>
      </c>
      <c r="AN1594">
        <v>-12</v>
      </c>
      <c r="AO1594">
        <v>0</v>
      </c>
      <c r="AQ1594">
        <v>0</v>
      </c>
      <c r="AR1594">
        <v>0</v>
      </c>
      <c r="AS1594">
        <v>120</v>
      </c>
      <c r="AT1594">
        <v>-12</v>
      </c>
      <c r="AU1594">
        <v>0</v>
      </c>
      <c r="AW1594">
        <v>0</v>
      </c>
      <c r="AX1594">
        <v>0</v>
      </c>
      <c r="AY1594">
        <v>75.599999999999994</v>
      </c>
      <c r="BC1594" t="str">
        <f>T("9791159285936")</f>
        <v>9791159285936</v>
      </c>
      <c r="BE1594" t="str">
        <f>T("판타지 웹소설 &gt; 무협 소설")</f>
        <v>판타지 웹소설 &gt; 무협 소설</v>
      </c>
    </row>
    <row r="1595" spans="1:57" x14ac:dyDescent="0.3">
      <c r="A1595">
        <v>1525000924</v>
      </c>
      <c r="B1595">
        <v>1525000972</v>
      </c>
      <c r="C1595" t="str">
        <f>T("스피릿 소드 49화")</f>
        <v>스피릿 소드 49화</v>
      </c>
      <c r="D1595" t="str">
        <f>T("49")</f>
        <v>49</v>
      </c>
      <c r="E1595" t="str">
        <f>T("김정률")</f>
        <v>김정률</v>
      </c>
      <c r="H1595" t="str">
        <f>T("스토리위즈")</f>
        <v>스토리위즈</v>
      </c>
      <c r="I1595" t="str">
        <f>T("스피릿 소드")</f>
        <v>스피릿 소드</v>
      </c>
      <c r="J1595">
        <v>100</v>
      </c>
      <c r="K1595">
        <v>100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100</v>
      </c>
      <c r="AH1595">
        <v>1</v>
      </c>
      <c r="AI1595">
        <v>0</v>
      </c>
      <c r="AJ1595">
        <v>0</v>
      </c>
      <c r="AK1595">
        <v>100</v>
      </c>
      <c r="AL1595">
        <v>0</v>
      </c>
      <c r="AM1595">
        <v>0</v>
      </c>
      <c r="AN1595">
        <v>0</v>
      </c>
      <c r="AO1595">
        <v>0</v>
      </c>
      <c r="AQ1595">
        <v>0</v>
      </c>
      <c r="AR1595">
        <v>0</v>
      </c>
      <c r="AT1595">
        <v>0</v>
      </c>
      <c r="AU1595">
        <v>0</v>
      </c>
      <c r="AW1595">
        <v>0</v>
      </c>
      <c r="AX1595">
        <v>0</v>
      </c>
      <c r="AY1595">
        <v>70</v>
      </c>
      <c r="BA1595" t="str">
        <f>T("9791159282713")</f>
        <v>9791159282713</v>
      </c>
      <c r="BC1595" t="str">
        <f>T("9791159282713")</f>
        <v>9791159282713</v>
      </c>
      <c r="BE1595" t="str">
        <f>T("판타지 웹소설 &gt; 정통 판타지")</f>
        <v>판타지 웹소설 &gt; 정통 판타지</v>
      </c>
    </row>
    <row r="1596" spans="1:57" x14ac:dyDescent="0.3">
      <c r="A1596">
        <v>1525004030</v>
      </c>
      <c r="B1596">
        <v>1525007063</v>
      </c>
      <c r="C1596" t="str">
        <f>T("회귀의 전설 2부 947화")</f>
        <v>회귀의 전설 2부 947화</v>
      </c>
      <c r="D1596" t="str">
        <f>T("947")</f>
        <v>947</v>
      </c>
      <c r="E1596" t="str">
        <f>T("김광수")</f>
        <v>김광수</v>
      </c>
      <c r="H1596" t="str">
        <f>T("스토리위즈")</f>
        <v>스토리위즈</v>
      </c>
      <c r="I1596" t="str">
        <f>T("회귀의 전설")</f>
        <v>회귀의 전설</v>
      </c>
      <c r="J1596">
        <v>100</v>
      </c>
      <c r="K1596">
        <v>100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100</v>
      </c>
      <c r="AH1596">
        <v>1</v>
      </c>
      <c r="AI1596">
        <v>0</v>
      </c>
      <c r="AJ1596">
        <v>0</v>
      </c>
      <c r="AK1596">
        <v>100</v>
      </c>
      <c r="AL1596">
        <v>0</v>
      </c>
      <c r="AM1596">
        <v>0</v>
      </c>
      <c r="AN1596">
        <v>0</v>
      </c>
      <c r="AO1596">
        <v>0</v>
      </c>
      <c r="AQ1596">
        <v>0</v>
      </c>
      <c r="AR1596">
        <v>0</v>
      </c>
      <c r="AT1596">
        <v>0</v>
      </c>
      <c r="AU1596">
        <v>0</v>
      </c>
      <c r="AW1596">
        <v>0</v>
      </c>
      <c r="AX1596">
        <v>0</v>
      </c>
      <c r="AY1596">
        <v>70</v>
      </c>
      <c r="BC1596" t="str">
        <f>T("9791191102086")</f>
        <v>9791191102086</v>
      </c>
      <c r="BE1596" t="str">
        <f>T("판타지 웹소설 &gt; 현대 판타지")</f>
        <v>판타지 웹소설 &gt; 현대 판타지</v>
      </c>
    </row>
    <row r="1597" spans="1:57" x14ac:dyDescent="0.3">
      <c r="A1597">
        <v>1525004030</v>
      </c>
      <c r="B1597">
        <v>1525004534</v>
      </c>
      <c r="C1597" t="str">
        <f>T("회귀의 전설 511화")</f>
        <v>회귀의 전설 511화</v>
      </c>
      <c r="D1597" t="str">
        <f>T("511")</f>
        <v>511</v>
      </c>
      <c r="E1597" t="str">
        <f>T("김광수")</f>
        <v>김광수</v>
      </c>
      <c r="H1597" t="str">
        <f>T("스토리위즈")</f>
        <v>스토리위즈</v>
      </c>
      <c r="I1597" t="str">
        <f>T("회귀의 전설")</f>
        <v>회귀의 전설</v>
      </c>
      <c r="J1597">
        <v>100</v>
      </c>
      <c r="K1597">
        <v>100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100</v>
      </c>
      <c r="AH1597">
        <v>1</v>
      </c>
      <c r="AI1597">
        <v>0</v>
      </c>
      <c r="AJ1597">
        <v>0</v>
      </c>
      <c r="AK1597">
        <v>100</v>
      </c>
      <c r="AL1597">
        <v>0</v>
      </c>
      <c r="AM1597">
        <v>0</v>
      </c>
      <c r="AN1597">
        <v>0</v>
      </c>
      <c r="AO1597">
        <v>0</v>
      </c>
      <c r="AQ1597">
        <v>0</v>
      </c>
      <c r="AR1597">
        <v>0</v>
      </c>
      <c r="AT1597">
        <v>0</v>
      </c>
      <c r="AU1597">
        <v>0</v>
      </c>
      <c r="AW1597">
        <v>0</v>
      </c>
      <c r="AX1597">
        <v>0</v>
      </c>
      <c r="AY1597">
        <v>70</v>
      </c>
      <c r="BC1597" t="str">
        <f>T("9788997946006")</f>
        <v>9788997946006</v>
      </c>
      <c r="BE1597" t="str">
        <f>T("판타지 웹소설 &gt; 현대 판타지")</f>
        <v>판타지 웹소설 &gt; 현대 판타지</v>
      </c>
    </row>
    <row r="1598" spans="1:57" x14ac:dyDescent="0.3">
      <c r="A1598">
        <v>1525004030</v>
      </c>
      <c r="B1598">
        <v>1525004249</v>
      </c>
      <c r="C1598" t="str">
        <f>T("회귀의 전설 220화")</f>
        <v>회귀의 전설 220화</v>
      </c>
      <c r="D1598" t="str">
        <f>T("220")</f>
        <v>220</v>
      </c>
      <c r="E1598" t="str">
        <f>T("김광수")</f>
        <v>김광수</v>
      </c>
      <c r="H1598" t="str">
        <f>T("스토리위즈")</f>
        <v>스토리위즈</v>
      </c>
      <c r="I1598" t="str">
        <f>T("회귀의 전설")</f>
        <v>회귀의 전설</v>
      </c>
      <c r="J1598">
        <v>100</v>
      </c>
      <c r="K1598">
        <v>100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100</v>
      </c>
      <c r="AH1598">
        <v>1</v>
      </c>
      <c r="AI1598">
        <v>0</v>
      </c>
      <c r="AJ1598">
        <v>0</v>
      </c>
      <c r="AK1598">
        <v>100</v>
      </c>
      <c r="AL1598">
        <v>0</v>
      </c>
      <c r="AM1598">
        <v>0</v>
      </c>
      <c r="AN1598">
        <v>0</v>
      </c>
      <c r="AO1598">
        <v>0</v>
      </c>
      <c r="AQ1598">
        <v>0</v>
      </c>
      <c r="AR1598">
        <v>0</v>
      </c>
      <c r="AT1598">
        <v>0</v>
      </c>
      <c r="AU1598">
        <v>0</v>
      </c>
      <c r="AW1598">
        <v>0</v>
      </c>
      <c r="AX1598">
        <v>0</v>
      </c>
      <c r="AY1598">
        <v>70</v>
      </c>
      <c r="BC1598" t="str">
        <f>T("9788997946006")</f>
        <v>9788997946006</v>
      </c>
      <c r="BE1598" t="str">
        <f>T("판타지 웹소설 &gt; 현대 판타지")</f>
        <v>판타지 웹소설 &gt; 현대 판타지</v>
      </c>
    </row>
    <row r="1599" spans="1:57" x14ac:dyDescent="0.3">
      <c r="A1599">
        <v>1525014780</v>
      </c>
      <c r="B1599">
        <v>1525014934</v>
      </c>
      <c r="C1599" t="str">
        <f>T("크랭키 걸즈 155화")</f>
        <v>크랭키 걸즈 155화</v>
      </c>
      <c r="D1599" t="str">
        <f>T("155")</f>
        <v>155</v>
      </c>
      <c r="E1599" t="str">
        <f>T("곽도우")</f>
        <v>곽도우</v>
      </c>
      <c r="H1599" t="str">
        <f>T("스토리아크")</f>
        <v>스토리아크</v>
      </c>
      <c r="I1599" t="str">
        <f>T("크랭키 걸즈")</f>
        <v>크랭키 걸즈</v>
      </c>
      <c r="J1599">
        <v>100</v>
      </c>
      <c r="K1599">
        <v>100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100</v>
      </c>
      <c r="AH1599">
        <v>1</v>
      </c>
      <c r="AI1599">
        <v>0</v>
      </c>
      <c r="AJ1599">
        <v>0</v>
      </c>
      <c r="AK1599">
        <v>100</v>
      </c>
      <c r="AL1599">
        <v>0</v>
      </c>
      <c r="AM1599">
        <v>0</v>
      </c>
      <c r="AN1599">
        <v>0</v>
      </c>
      <c r="AO1599">
        <v>0</v>
      </c>
      <c r="AQ1599">
        <v>0</v>
      </c>
      <c r="AR1599">
        <v>0</v>
      </c>
      <c r="AT1599">
        <v>0</v>
      </c>
      <c r="AU1599">
        <v>0</v>
      </c>
      <c r="AW1599">
        <v>0</v>
      </c>
      <c r="AX1599">
        <v>0</v>
      </c>
      <c r="AY1599">
        <v>70</v>
      </c>
      <c r="BC1599" t="str">
        <f>T("9791191039276")</f>
        <v>9791191039276</v>
      </c>
      <c r="BE1599" t="str">
        <f>T("판타지 웹소설 &gt; 현대 판타지")</f>
        <v>판타지 웹소설 &gt; 현대 판타지</v>
      </c>
    </row>
    <row r="1600" spans="1:57" x14ac:dyDescent="0.3">
      <c r="A1600">
        <v>1525008545</v>
      </c>
      <c r="B1600">
        <v>1525008563</v>
      </c>
      <c r="C1600" t="str">
        <f>T("소년연애담 36화")</f>
        <v>소년연애담 36화</v>
      </c>
      <c r="D1600" t="str">
        <f>T("36")</f>
        <v>36</v>
      </c>
      <c r="E1600" t="str">
        <f>T("나나코")</f>
        <v>나나코</v>
      </c>
      <c r="H1600" t="str">
        <f>T("블러쉬")</f>
        <v>블러쉬</v>
      </c>
      <c r="I1600" t="str">
        <f>T("소년연애담")</f>
        <v>소년연애담</v>
      </c>
      <c r="J1600">
        <v>100</v>
      </c>
      <c r="K1600">
        <v>100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100</v>
      </c>
      <c r="AH1600">
        <v>1</v>
      </c>
      <c r="AI1600">
        <v>0</v>
      </c>
      <c r="AJ1600">
        <v>0</v>
      </c>
      <c r="AK1600">
        <v>100</v>
      </c>
      <c r="AL1600">
        <v>0</v>
      </c>
      <c r="AM1600">
        <v>0</v>
      </c>
      <c r="AN1600">
        <v>0</v>
      </c>
      <c r="AO1600">
        <v>0</v>
      </c>
      <c r="AQ1600">
        <v>0</v>
      </c>
      <c r="AR1600">
        <v>0</v>
      </c>
      <c r="AT1600">
        <v>0</v>
      </c>
      <c r="AU1600">
        <v>0</v>
      </c>
      <c r="AW1600">
        <v>0</v>
      </c>
      <c r="AX1600">
        <v>0</v>
      </c>
      <c r="AY1600">
        <v>70</v>
      </c>
      <c r="BA1600" t="str">
        <f>T("0000000000000")</f>
        <v>0000000000000</v>
      </c>
      <c r="BC1600" t="str">
        <f>T("9791164890729")</f>
        <v>9791164890729</v>
      </c>
      <c r="BD1600" t="str">
        <f>T("B12")</f>
        <v>B12</v>
      </c>
      <c r="BE1600" t="str">
        <f>T("BL 웹소설 &gt; 현대물")</f>
        <v>BL 웹소설 &gt; 현대물</v>
      </c>
    </row>
    <row r="1601" spans="1:57" x14ac:dyDescent="0.3">
      <c r="A1601">
        <v>1525012551</v>
      </c>
      <c r="B1601">
        <v>1525012637</v>
      </c>
      <c r="C1601" t="str">
        <f>T("개정판 | 바보가 만드는 멋진 세상 87화")</f>
        <v>개정판 | 바보가 만드는 멋진 세상 87화</v>
      </c>
      <c r="D1601" t="str">
        <f>T("87")</f>
        <v>87</v>
      </c>
      <c r="E1601" t="str">
        <f>T("백범(白帆)")</f>
        <v>백범(白帆)</v>
      </c>
      <c r="H1601" t="str">
        <f>T("에필로그")</f>
        <v>에필로그</v>
      </c>
      <c r="I1601" t="str">
        <f>T("개정판 | 바보가 만드는 멋진 세상")</f>
        <v>개정판 | 바보가 만드는 멋진 세상</v>
      </c>
      <c r="J1601">
        <v>100</v>
      </c>
      <c r="K1601">
        <v>100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100</v>
      </c>
      <c r="AH1601">
        <v>1</v>
      </c>
      <c r="AI1601">
        <v>0</v>
      </c>
      <c r="AJ1601">
        <v>0</v>
      </c>
      <c r="AK1601">
        <v>100</v>
      </c>
      <c r="AL1601">
        <v>0</v>
      </c>
      <c r="AM1601">
        <v>0</v>
      </c>
      <c r="AN1601">
        <v>0</v>
      </c>
      <c r="AO1601">
        <v>0</v>
      </c>
      <c r="AQ1601">
        <v>0</v>
      </c>
      <c r="AR1601">
        <v>0</v>
      </c>
      <c r="AT1601">
        <v>0</v>
      </c>
      <c r="AU1601">
        <v>0</v>
      </c>
      <c r="AW1601">
        <v>0</v>
      </c>
      <c r="AX1601">
        <v>0</v>
      </c>
      <c r="AY1601">
        <v>70</v>
      </c>
      <c r="BC1601" t="str">
        <f>T("9791166003493")</f>
        <v>9791166003493</v>
      </c>
      <c r="BE1601" t="str">
        <f>T("판타지 웹소설 &gt; 현대 판타지")</f>
        <v>판타지 웹소설 &gt; 현대 판타지</v>
      </c>
    </row>
    <row r="1602" spans="1:57" x14ac:dyDescent="0.3">
      <c r="A1602">
        <v>1525008428</v>
      </c>
      <c r="B1602">
        <v>1525008515</v>
      </c>
      <c r="C1602" t="str">
        <f>T("무히비(Muhibbi) 99화")</f>
        <v>무히비(Muhibbi) 99화</v>
      </c>
      <c r="D1602" t="str">
        <f>T("99")</f>
        <v>99</v>
      </c>
      <c r="E1602" t="str">
        <f>T("jooki")</f>
        <v>jooki</v>
      </c>
      <c r="H1602" t="str">
        <f>T("블러쉬")</f>
        <v>블러쉬</v>
      </c>
      <c r="I1602" t="str">
        <f>T("무히비(Muhibbi)")</f>
        <v>무히비(Muhibbi)</v>
      </c>
      <c r="J1602">
        <v>100</v>
      </c>
      <c r="K1602">
        <v>100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100</v>
      </c>
      <c r="AH1602">
        <v>1</v>
      </c>
      <c r="AI1602">
        <v>0</v>
      </c>
      <c r="AJ1602">
        <v>0</v>
      </c>
      <c r="AK1602">
        <v>100</v>
      </c>
      <c r="AL1602">
        <v>0</v>
      </c>
      <c r="AM1602">
        <v>0</v>
      </c>
      <c r="AN1602">
        <v>0</v>
      </c>
      <c r="AO1602">
        <v>0</v>
      </c>
      <c r="AQ1602">
        <v>0</v>
      </c>
      <c r="AR1602">
        <v>0</v>
      </c>
      <c r="AT1602">
        <v>0</v>
      </c>
      <c r="AU1602">
        <v>0</v>
      </c>
      <c r="AW1602">
        <v>0</v>
      </c>
      <c r="AX1602">
        <v>0</v>
      </c>
      <c r="AY1602">
        <v>70</v>
      </c>
      <c r="BA1602" t="str">
        <f>T("0000000000000")</f>
        <v>0000000000000</v>
      </c>
      <c r="BC1602" t="str">
        <f>T("9791164896622")</f>
        <v>9791164896622</v>
      </c>
      <c r="BE1602" t="str">
        <f>T("BL 웹소설 &gt; 역사/시대물")</f>
        <v>BL 웹소설 &gt; 역사/시대물</v>
      </c>
    </row>
    <row r="1603" spans="1:57" x14ac:dyDescent="0.3">
      <c r="A1603">
        <v>1525012551</v>
      </c>
      <c r="B1603">
        <v>1525012628</v>
      </c>
      <c r="C1603" t="str">
        <f>T("개정판 | 바보가 만드는 멋진 세상 78화")</f>
        <v>개정판 | 바보가 만드는 멋진 세상 78화</v>
      </c>
      <c r="D1603" t="str">
        <f>T("78")</f>
        <v>78</v>
      </c>
      <c r="E1603" t="str">
        <f>T("백범(白帆)")</f>
        <v>백범(白帆)</v>
      </c>
      <c r="H1603" t="str">
        <f>T("에필로그")</f>
        <v>에필로그</v>
      </c>
      <c r="I1603" t="str">
        <f>T("개정판 | 바보가 만드는 멋진 세상")</f>
        <v>개정판 | 바보가 만드는 멋진 세상</v>
      </c>
      <c r="J1603">
        <v>100</v>
      </c>
      <c r="K1603">
        <v>100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100</v>
      </c>
      <c r="AH1603">
        <v>1</v>
      </c>
      <c r="AI1603">
        <v>0</v>
      </c>
      <c r="AJ1603">
        <v>0</v>
      </c>
      <c r="AK1603">
        <v>100</v>
      </c>
      <c r="AL1603">
        <v>0</v>
      </c>
      <c r="AM1603">
        <v>0</v>
      </c>
      <c r="AN1603">
        <v>0</v>
      </c>
      <c r="AO1603">
        <v>0</v>
      </c>
      <c r="AQ1603">
        <v>0</v>
      </c>
      <c r="AR1603">
        <v>0</v>
      </c>
      <c r="AT1603">
        <v>0</v>
      </c>
      <c r="AU1603">
        <v>0</v>
      </c>
      <c r="AW1603">
        <v>0</v>
      </c>
      <c r="AX1603">
        <v>0</v>
      </c>
      <c r="AY1603">
        <v>70</v>
      </c>
      <c r="BC1603" t="str">
        <f>T("9791166003493")</f>
        <v>9791166003493</v>
      </c>
      <c r="BE1603" t="str">
        <f>T("판타지 웹소설 &gt; 현대 판타지")</f>
        <v>판타지 웹소설 &gt; 현대 판타지</v>
      </c>
    </row>
    <row r="1604" spans="1:57" x14ac:dyDescent="0.3">
      <c r="A1604">
        <v>1525004799</v>
      </c>
      <c r="B1604">
        <v>1525004865</v>
      </c>
      <c r="C1604" t="str">
        <f>T("검산도해 67화")</f>
        <v>검산도해 67화</v>
      </c>
      <c r="D1604" t="str">
        <f>T("67")</f>
        <v>67</v>
      </c>
      <c r="E1604" t="str">
        <f>T("권용찬")</f>
        <v>권용찬</v>
      </c>
      <c r="H1604" t="str">
        <f>T("스토리위즈")</f>
        <v>스토리위즈</v>
      </c>
      <c r="I1604" t="str">
        <f>T("검산도해")</f>
        <v>검산도해</v>
      </c>
      <c r="J1604">
        <v>100</v>
      </c>
      <c r="K1604">
        <v>100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100</v>
      </c>
      <c r="AH1604">
        <v>1</v>
      </c>
      <c r="AI1604">
        <v>0</v>
      </c>
      <c r="AJ1604">
        <v>0</v>
      </c>
      <c r="AK1604">
        <v>0</v>
      </c>
      <c r="AL1604">
        <v>0</v>
      </c>
      <c r="AM1604">
        <v>120</v>
      </c>
      <c r="AN1604">
        <v>-12</v>
      </c>
      <c r="AO1604">
        <v>0</v>
      </c>
      <c r="AQ1604">
        <v>0</v>
      </c>
      <c r="AR1604">
        <v>0</v>
      </c>
      <c r="AS1604">
        <v>120</v>
      </c>
      <c r="AT1604">
        <v>-12</v>
      </c>
      <c r="AU1604">
        <v>0</v>
      </c>
      <c r="AW1604">
        <v>0</v>
      </c>
      <c r="AX1604">
        <v>0</v>
      </c>
      <c r="AY1604">
        <v>75.599999999999994</v>
      </c>
      <c r="BC1604" t="str">
        <f>T("9791159285936")</f>
        <v>9791159285936</v>
      </c>
      <c r="BE1604" t="str">
        <f>T("판타지 웹소설 &gt; 무협 소설")</f>
        <v>판타지 웹소설 &gt; 무협 소설</v>
      </c>
    </row>
    <row r="1605" spans="1:57" x14ac:dyDescent="0.3">
      <c r="A1605">
        <v>1525000924</v>
      </c>
      <c r="B1605">
        <v>1525000961</v>
      </c>
      <c r="C1605" t="str">
        <f>T("스피릿 소드 38화")</f>
        <v>스피릿 소드 38화</v>
      </c>
      <c r="D1605" t="str">
        <f>T("38")</f>
        <v>38</v>
      </c>
      <c r="E1605" t="str">
        <f>T("김정률")</f>
        <v>김정률</v>
      </c>
      <c r="H1605" t="str">
        <f>T("스토리위즈")</f>
        <v>스토리위즈</v>
      </c>
      <c r="I1605" t="str">
        <f>T("스피릿 소드")</f>
        <v>스피릿 소드</v>
      </c>
      <c r="J1605">
        <v>100</v>
      </c>
      <c r="K1605">
        <v>100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100</v>
      </c>
      <c r="AH1605">
        <v>1</v>
      </c>
      <c r="AI1605">
        <v>0</v>
      </c>
      <c r="AJ1605">
        <v>0</v>
      </c>
      <c r="AK1605">
        <v>100</v>
      </c>
      <c r="AL1605">
        <v>0</v>
      </c>
      <c r="AM1605">
        <v>0</v>
      </c>
      <c r="AN1605">
        <v>0</v>
      </c>
      <c r="AO1605">
        <v>0</v>
      </c>
      <c r="AQ1605">
        <v>0</v>
      </c>
      <c r="AR1605">
        <v>0</v>
      </c>
      <c r="AT1605">
        <v>0</v>
      </c>
      <c r="AU1605">
        <v>0</v>
      </c>
      <c r="AW1605">
        <v>0</v>
      </c>
      <c r="AX1605">
        <v>0</v>
      </c>
      <c r="AY1605">
        <v>70</v>
      </c>
      <c r="BA1605" t="str">
        <f>T("9791159282713")</f>
        <v>9791159282713</v>
      </c>
      <c r="BC1605" t="str">
        <f>T("9791159282713")</f>
        <v>9791159282713</v>
      </c>
      <c r="BE1605" t="str">
        <f>T("판타지 웹소설 &gt; 정통 판타지")</f>
        <v>판타지 웹소설 &gt; 정통 판타지</v>
      </c>
    </row>
    <row r="1606" spans="1:57" x14ac:dyDescent="0.3">
      <c r="A1606">
        <v>1525004030</v>
      </c>
      <c r="B1606">
        <v>1525006695</v>
      </c>
      <c r="C1606" t="str">
        <f>T("회귀의 전설 2부 578화")</f>
        <v>회귀의 전설 2부 578화</v>
      </c>
      <c r="D1606" t="str">
        <f>T("578")</f>
        <v>578</v>
      </c>
      <c r="E1606" t="str">
        <f>T("김광수")</f>
        <v>김광수</v>
      </c>
      <c r="H1606" t="str">
        <f>T("스토리위즈")</f>
        <v>스토리위즈</v>
      </c>
      <c r="I1606" t="str">
        <f>T("회귀의 전설")</f>
        <v>회귀의 전설</v>
      </c>
      <c r="J1606">
        <v>100</v>
      </c>
      <c r="K1606">
        <v>100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100</v>
      </c>
      <c r="AH1606">
        <v>1</v>
      </c>
      <c r="AI1606">
        <v>0</v>
      </c>
      <c r="AJ1606">
        <v>0</v>
      </c>
      <c r="AK1606">
        <v>100</v>
      </c>
      <c r="AL1606">
        <v>0</v>
      </c>
      <c r="AM1606">
        <v>0</v>
      </c>
      <c r="AN1606">
        <v>0</v>
      </c>
      <c r="AO1606">
        <v>0</v>
      </c>
      <c r="AQ1606">
        <v>0</v>
      </c>
      <c r="AR1606">
        <v>0</v>
      </c>
      <c r="AT1606">
        <v>0</v>
      </c>
      <c r="AU1606">
        <v>0</v>
      </c>
      <c r="AW1606">
        <v>0</v>
      </c>
      <c r="AX1606">
        <v>0</v>
      </c>
      <c r="AY1606">
        <v>70</v>
      </c>
      <c r="BC1606" t="str">
        <f>T("9791191102086")</f>
        <v>9791191102086</v>
      </c>
      <c r="BE1606" t="str">
        <f>T("판타지 웹소설 &gt; 현대 판타지")</f>
        <v>판타지 웹소설 &gt; 현대 판타지</v>
      </c>
    </row>
    <row r="1607" spans="1:57" x14ac:dyDescent="0.3">
      <c r="A1607">
        <v>1525013020</v>
      </c>
      <c r="B1607">
        <v>1525013108</v>
      </c>
      <c r="C1607" t="str">
        <f>T("악당의 리턴 89화")</f>
        <v>악당의 리턴 89화</v>
      </c>
      <c r="D1607" t="str">
        <f>T("89")</f>
        <v>89</v>
      </c>
      <c r="E1607" t="str">
        <f>T("백범(白帆)")</f>
        <v>백범(白帆)</v>
      </c>
      <c r="H1607" t="str">
        <f>T("에필로그")</f>
        <v>에필로그</v>
      </c>
      <c r="I1607" t="str">
        <f>T("악당의 리턴")</f>
        <v>악당의 리턴</v>
      </c>
      <c r="J1607">
        <v>100</v>
      </c>
      <c r="K1607">
        <v>100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100</v>
      </c>
      <c r="AH1607">
        <v>1</v>
      </c>
      <c r="AI1607">
        <v>0</v>
      </c>
      <c r="AJ1607">
        <v>0</v>
      </c>
      <c r="AK1607">
        <v>100</v>
      </c>
      <c r="AL1607">
        <v>0</v>
      </c>
      <c r="AM1607">
        <v>0</v>
      </c>
      <c r="AN1607">
        <v>0</v>
      </c>
      <c r="AO1607">
        <v>0</v>
      </c>
      <c r="AQ1607">
        <v>0</v>
      </c>
      <c r="AR1607">
        <v>0</v>
      </c>
      <c r="AT1607">
        <v>0</v>
      </c>
      <c r="AU1607">
        <v>0</v>
      </c>
      <c r="AW1607">
        <v>0</v>
      </c>
      <c r="AX1607">
        <v>0</v>
      </c>
      <c r="AY1607">
        <v>70</v>
      </c>
      <c r="BC1607" t="str">
        <f>T("9791196538927")</f>
        <v>9791196538927</v>
      </c>
      <c r="BE1607" t="str">
        <f>T("판타지 웹소설 &gt; 현대 판타지")</f>
        <v>판타지 웹소설 &gt; 현대 판타지</v>
      </c>
    </row>
    <row r="1608" spans="1:57" x14ac:dyDescent="0.3">
      <c r="A1608">
        <v>1525007923</v>
      </c>
      <c r="B1608">
        <v>1525008011</v>
      </c>
      <c r="C1608" t="str">
        <f>T("운상연담: 화불능귀일락 9화")</f>
        <v>운상연담: 화불능귀일락 9화</v>
      </c>
      <c r="D1608" t="str">
        <f>T("9")</f>
        <v>9</v>
      </c>
      <c r="E1608" t="str">
        <f>T("피모")</f>
        <v>피모</v>
      </c>
      <c r="H1608" t="str">
        <f>T("쉬라즈")</f>
        <v>쉬라즈</v>
      </c>
      <c r="I1608" t="str">
        <f>T("운상연담: 화불능귀일락")</f>
        <v>운상연담: 화불능귀일락</v>
      </c>
      <c r="J1608">
        <v>100</v>
      </c>
      <c r="K1608">
        <v>100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100</v>
      </c>
      <c r="AH1608">
        <v>1</v>
      </c>
      <c r="AI1608">
        <v>0</v>
      </c>
      <c r="AJ1608">
        <v>0</v>
      </c>
      <c r="AK1608">
        <v>100</v>
      </c>
      <c r="AL1608">
        <v>0</v>
      </c>
      <c r="AM1608">
        <v>0</v>
      </c>
      <c r="AN1608">
        <v>0</v>
      </c>
      <c r="AO1608">
        <v>0</v>
      </c>
      <c r="AQ1608">
        <v>0</v>
      </c>
      <c r="AR1608">
        <v>0</v>
      </c>
      <c r="AT1608">
        <v>0</v>
      </c>
      <c r="AU1608">
        <v>0</v>
      </c>
      <c r="AW1608">
        <v>0</v>
      </c>
      <c r="AX1608">
        <v>0</v>
      </c>
      <c r="AY1608">
        <v>70</v>
      </c>
      <c r="BC1608" t="str">
        <f>T("9791164896646")</f>
        <v>9791164896646</v>
      </c>
      <c r="BE1608" t="str">
        <f>T("로맨스 웹소설 &gt; 역사/시대물")</f>
        <v>로맨스 웹소설 &gt; 역사/시대물</v>
      </c>
    </row>
    <row r="1609" spans="1:57" x14ac:dyDescent="0.3">
      <c r="A1609">
        <v>1525008545</v>
      </c>
      <c r="B1609">
        <v>1525008580</v>
      </c>
      <c r="C1609" t="str">
        <f>T("소년연애담 51화")</f>
        <v>소년연애담 51화</v>
      </c>
      <c r="D1609" t="str">
        <f>T("51")</f>
        <v>51</v>
      </c>
      <c r="E1609" t="str">
        <f>T("나나코")</f>
        <v>나나코</v>
      </c>
      <c r="H1609" t="str">
        <f>T("블러쉬")</f>
        <v>블러쉬</v>
      </c>
      <c r="I1609" t="str">
        <f>T("소년연애담")</f>
        <v>소년연애담</v>
      </c>
      <c r="J1609">
        <v>100</v>
      </c>
      <c r="K1609">
        <v>100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100</v>
      </c>
      <c r="AH1609">
        <v>1</v>
      </c>
      <c r="AI1609">
        <v>0</v>
      </c>
      <c r="AJ1609">
        <v>0</v>
      </c>
      <c r="AK1609">
        <v>100</v>
      </c>
      <c r="AL1609">
        <v>0</v>
      </c>
      <c r="AM1609">
        <v>0</v>
      </c>
      <c r="AN1609">
        <v>0</v>
      </c>
      <c r="AO1609">
        <v>0</v>
      </c>
      <c r="AQ1609">
        <v>0</v>
      </c>
      <c r="AR1609">
        <v>0</v>
      </c>
      <c r="AT1609">
        <v>0</v>
      </c>
      <c r="AU1609">
        <v>0</v>
      </c>
      <c r="AW1609">
        <v>0</v>
      </c>
      <c r="AX1609">
        <v>0</v>
      </c>
      <c r="AY1609">
        <v>70</v>
      </c>
      <c r="BA1609" t="str">
        <f>T("0000000000000")</f>
        <v>0000000000000</v>
      </c>
      <c r="BC1609" t="str">
        <f>T("9791164890729")</f>
        <v>9791164890729</v>
      </c>
      <c r="BD1609" t="str">
        <f>T("B12")</f>
        <v>B12</v>
      </c>
      <c r="BE1609" t="str">
        <f>T("BL 웹소설 &gt; 현대물")</f>
        <v>BL 웹소설 &gt; 현대물</v>
      </c>
    </row>
    <row r="1610" spans="1:57" x14ac:dyDescent="0.3">
      <c r="A1610">
        <v>1525012551</v>
      </c>
      <c r="B1610">
        <v>1525012669</v>
      </c>
      <c r="C1610" t="str">
        <f>T("개정판 | 바보가 만드는 멋진 세상 119화")</f>
        <v>개정판 | 바보가 만드는 멋진 세상 119화</v>
      </c>
      <c r="D1610" t="str">
        <f>T("119")</f>
        <v>119</v>
      </c>
      <c r="E1610" t="str">
        <f>T("백범(白帆)")</f>
        <v>백범(白帆)</v>
      </c>
      <c r="H1610" t="str">
        <f>T("에필로그")</f>
        <v>에필로그</v>
      </c>
      <c r="I1610" t="str">
        <f>T("개정판 | 바보가 만드는 멋진 세상")</f>
        <v>개정판 | 바보가 만드는 멋진 세상</v>
      </c>
      <c r="J1610">
        <v>100</v>
      </c>
      <c r="K1610">
        <v>100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100</v>
      </c>
      <c r="AH1610">
        <v>1</v>
      </c>
      <c r="AI1610">
        <v>0</v>
      </c>
      <c r="AJ1610">
        <v>0</v>
      </c>
      <c r="AK1610">
        <v>100</v>
      </c>
      <c r="AL1610">
        <v>0</v>
      </c>
      <c r="AM1610">
        <v>0</v>
      </c>
      <c r="AN1610">
        <v>0</v>
      </c>
      <c r="AO1610">
        <v>0</v>
      </c>
      <c r="AQ1610">
        <v>0</v>
      </c>
      <c r="AR1610">
        <v>0</v>
      </c>
      <c r="AT1610">
        <v>0</v>
      </c>
      <c r="AU1610">
        <v>0</v>
      </c>
      <c r="AW1610">
        <v>0</v>
      </c>
      <c r="AX1610">
        <v>0</v>
      </c>
      <c r="AY1610">
        <v>70</v>
      </c>
      <c r="BC1610" t="str">
        <f>T("9791166003493")</f>
        <v>9791166003493</v>
      </c>
      <c r="BE1610" t="str">
        <f>T("판타지 웹소설 &gt; 현대 판타지")</f>
        <v>판타지 웹소설 &gt; 현대 판타지</v>
      </c>
    </row>
    <row r="1611" spans="1:57" x14ac:dyDescent="0.3">
      <c r="A1611">
        <v>1525004799</v>
      </c>
      <c r="B1611">
        <v>1525004840</v>
      </c>
      <c r="C1611" t="str">
        <f>T("검산도해 42화")</f>
        <v>검산도해 42화</v>
      </c>
      <c r="D1611" t="str">
        <f>T("42")</f>
        <v>42</v>
      </c>
      <c r="E1611" t="str">
        <f>T("권용찬")</f>
        <v>권용찬</v>
      </c>
      <c r="H1611" t="str">
        <f>T("스토리위즈")</f>
        <v>스토리위즈</v>
      </c>
      <c r="I1611" t="str">
        <f>T("검산도해")</f>
        <v>검산도해</v>
      </c>
      <c r="J1611">
        <v>100</v>
      </c>
      <c r="K1611">
        <v>100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100</v>
      </c>
      <c r="AH1611">
        <v>1</v>
      </c>
      <c r="AI1611">
        <v>0</v>
      </c>
      <c r="AJ1611">
        <v>0</v>
      </c>
      <c r="AK1611">
        <v>0</v>
      </c>
      <c r="AL1611">
        <v>0</v>
      </c>
      <c r="AM1611">
        <v>120</v>
      </c>
      <c r="AN1611">
        <v>-12</v>
      </c>
      <c r="AO1611">
        <v>0</v>
      </c>
      <c r="AQ1611">
        <v>0</v>
      </c>
      <c r="AR1611">
        <v>0</v>
      </c>
      <c r="AS1611">
        <v>120</v>
      </c>
      <c r="AT1611">
        <v>-12</v>
      </c>
      <c r="AU1611">
        <v>0</v>
      </c>
      <c r="AW1611">
        <v>0</v>
      </c>
      <c r="AX1611">
        <v>0</v>
      </c>
      <c r="AY1611">
        <v>75.599999999999994</v>
      </c>
      <c r="BC1611" t="str">
        <f>T("9791159285936")</f>
        <v>9791159285936</v>
      </c>
      <c r="BE1611" t="str">
        <f>T("판타지 웹소설 &gt; 무협 소설")</f>
        <v>판타지 웹소설 &gt; 무협 소설</v>
      </c>
    </row>
    <row r="1612" spans="1:57" x14ac:dyDescent="0.3">
      <c r="A1612">
        <v>1525004799</v>
      </c>
      <c r="B1612">
        <v>1525004897</v>
      </c>
      <c r="C1612" t="str">
        <f>T("검산도해 99화")</f>
        <v>검산도해 99화</v>
      </c>
      <c r="D1612" t="str">
        <f>T("99")</f>
        <v>99</v>
      </c>
      <c r="E1612" t="str">
        <f>T("권용찬")</f>
        <v>권용찬</v>
      </c>
      <c r="H1612" t="str">
        <f>T("스토리위즈")</f>
        <v>스토리위즈</v>
      </c>
      <c r="I1612" t="str">
        <f>T("검산도해")</f>
        <v>검산도해</v>
      </c>
      <c r="J1612">
        <v>100</v>
      </c>
      <c r="K1612">
        <v>100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100</v>
      </c>
      <c r="AH1612">
        <v>1</v>
      </c>
      <c r="AI1612">
        <v>0</v>
      </c>
      <c r="AJ1612">
        <v>0</v>
      </c>
      <c r="AK1612">
        <v>0</v>
      </c>
      <c r="AL1612">
        <v>0</v>
      </c>
      <c r="AM1612">
        <v>120</v>
      </c>
      <c r="AN1612">
        <v>-12</v>
      </c>
      <c r="AO1612">
        <v>0</v>
      </c>
      <c r="AQ1612">
        <v>0</v>
      </c>
      <c r="AR1612">
        <v>0</v>
      </c>
      <c r="AS1612">
        <v>120</v>
      </c>
      <c r="AT1612">
        <v>-12</v>
      </c>
      <c r="AU1612">
        <v>0</v>
      </c>
      <c r="AW1612">
        <v>0</v>
      </c>
      <c r="AX1612">
        <v>0</v>
      </c>
      <c r="AY1612">
        <v>75.599999999999994</v>
      </c>
      <c r="BC1612" t="str">
        <f>T("9791159285936")</f>
        <v>9791159285936</v>
      </c>
      <c r="BE1612" t="str">
        <f>T("판타지 웹소설 &gt; 무협 소설")</f>
        <v>판타지 웹소설 &gt; 무협 소설</v>
      </c>
    </row>
    <row r="1613" spans="1:57" x14ac:dyDescent="0.3">
      <c r="A1613">
        <v>1525004030</v>
      </c>
      <c r="B1613">
        <v>1525007084</v>
      </c>
      <c r="C1613" t="str">
        <f>T("회귀의 전설 2부 968화")</f>
        <v>회귀의 전설 2부 968화</v>
      </c>
      <c r="D1613" t="str">
        <f>T("968")</f>
        <v>968</v>
      </c>
      <c r="E1613" t="str">
        <f>T("김광수")</f>
        <v>김광수</v>
      </c>
      <c r="H1613" t="str">
        <f>T("스토리위즈")</f>
        <v>스토리위즈</v>
      </c>
      <c r="I1613" t="str">
        <f>T("회귀의 전설")</f>
        <v>회귀의 전설</v>
      </c>
      <c r="J1613">
        <v>100</v>
      </c>
      <c r="K1613">
        <v>100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100</v>
      </c>
      <c r="AH1613">
        <v>1</v>
      </c>
      <c r="AI1613">
        <v>0</v>
      </c>
      <c r="AJ1613">
        <v>0</v>
      </c>
      <c r="AK1613">
        <v>100</v>
      </c>
      <c r="AL1613">
        <v>0</v>
      </c>
      <c r="AM1613">
        <v>0</v>
      </c>
      <c r="AN1613">
        <v>0</v>
      </c>
      <c r="AO1613">
        <v>0</v>
      </c>
      <c r="AQ1613">
        <v>0</v>
      </c>
      <c r="AR1613">
        <v>0</v>
      </c>
      <c r="AT1613">
        <v>0</v>
      </c>
      <c r="AU1613">
        <v>0</v>
      </c>
      <c r="AW1613">
        <v>0</v>
      </c>
      <c r="AX1613">
        <v>0</v>
      </c>
      <c r="AY1613">
        <v>70</v>
      </c>
      <c r="BC1613" t="str">
        <f>T("9791191102086")</f>
        <v>9791191102086</v>
      </c>
      <c r="BE1613" t="str">
        <f>T("판타지 웹소설 &gt; 현대 판타지")</f>
        <v>판타지 웹소설 &gt; 현대 판타지</v>
      </c>
    </row>
    <row r="1614" spans="1:57" x14ac:dyDescent="0.3">
      <c r="A1614">
        <v>1525015018</v>
      </c>
      <c r="B1614">
        <v>1525015044</v>
      </c>
      <c r="C1614" t="str">
        <f>T("그녀들은 소꿉친구지, 그 이상은 곤란합니다 27화")</f>
        <v>그녀들은 소꿉친구지, 그 이상은 곤란합니다 27화</v>
      </c>
      <c r="D1614" t="str">
        <f>T("27")</f>
        <v>27</v>
      </c>
      <c r="E1614" t="str">
        <f>T("자이오")</f>
        <v>자이오</v>
      </c>
      <c r="H1614" t="str">
        <f>T("스토리아크")</f>
        <v>스토리아크</v>
      </c>
      <c r="I1614" t="str">
        <f>T("그녀들은 소꿉친구지, 그 이상은 곤란합니다")</f>
        <v>그녀들은 소꿉친구지, 그 이상은 곤란합니다</v>
      </c>
      <c r="J1614">
        <v>100</v>
      </c>
      <c r="K1614">
        <v>100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100</v>
      </c>
      <c r="AH1614">
        <v>1</v>
      </c>
      <c r="AI1614">
        <v>0</v>
      </c>
      <c r="AJ1614">
        <v>0</v>
      </c>
      <c r="AK1614">
        <v>100</v>
      </c>
      <c r="AL1614">
        <v>0</v>
      </c>
      <c r="AM1614">
        <v>0</v>
      </c>
      <c r="AN1614">
        <v>0</v>
      </c>
      <c r="AO1614">
        <v>0</v>
      </c>
      <c r="AQ1614">
        <v>0</v>
      </c>
      <c r="AR1614">
        <v>0</v>
      </c>
      <c r="AT1614">
        <v>0</v>
      </c>
      <c r="AU1614">
        <v>0</v>
      </c>
      <c r="AW1614">
        <v>0</v>
      </c>
      <c r="AX1614">
        <v>0</v>
      </c>
      <c r="AY1614">
        <v>70</v>
      </c>
      <c r="BC1614" t="str">
        <f>T("9791191039313")</f>
        <v>9791191039313</v>
      </c>
      <c r="BE1614" t="str">
        <f>T("판타지 웹소설 &gt; 퓨전 판타지")</f>
        <v>판타지 웹소설 &gt; 퓨전 판타지</v>
      </c>
    </row>
    <row r="1615" spans="1:57" x14ac:dyDescent="0.3">
      <c r="A1615">
        <v>1525002125</v>
      </c>
      <c r="B1615">
        <v>1525002151</v>
      </c>
      <c r="C1615" t="str">
        <f>T("신을 죽이러 갑니다 27화")</f>
        <v>신을 죽이러 갑니다 27화</v>
      </c>
      <c r="D1615" t="str">
        <f>T("27")</f>
        <v>27</v>
      </c>
      <c r="E1615" t="str">
        <f>T("독고진")</f>
        <v>독고진</v>
      </c>
      <c r="H1615" t="str">
        <f>T("스토리위즈")</f>
        <v>스토리위즈</v>
      </c>
      <c r="I1615" t="str">
        <f>T("신을 죽이러 갑니다")</f>
        <v>신을 죽이러 갑니다</v>
      </c>
      <c r="J1615">
        <v>100</v>
      </c>
      <c r="K1615">
        <v>100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100</v>
      </c>
      <c r="AH1615">
        <v>1</v>
      </c>
      <c r="AI1615">
        <v>0</v>
      </c>
      <c r="AJ1615">
        <v>0</v>
      </c>
      <c r="AK1615">
        <v>0</v>
      </c>
      <c r="AL1615">
        <v>0</v>
      </c>
      <c r="AM1615">
        <v>120</v>
      </c>
      <c r="AN1615">
        <v>-36</v>
      </c>
      <c r="AO1615">
        <v>0</v>
      </c>
      <c r="AQ1615">
        <v>0</v>
      </c>
      <c r="AR1615">
        <v>0</v>
      </c>
      <c r="AS1615">
        <v>120</v>
      </c>
      <c r="AT1615">
        <v>-36</v>
      </c>
      <c r="AU1615">
        <v>0</v>
      </c>
      <c r="AW1615">
        <v>0</v>
      </c>
      <c r="AX1615">
        <v>0</v>
      </c>
      <c r="AY1615">
        <v>58.8</v>
      </c>
      <c r="BC1615" t="str">
        <f>T("9791159285806")</f>
        <v>9791159285806</v>
      </c>
      <c r="BE1615" t="str">
        <f>T("판타지 웹소설 &gt; 퓨전 판타지")</f>
        <v>판타지 웹소설 &gt; 퓨전 판타지</v>
      </c>
    </row>
    <row r="1616" spans="1:57" x14ac:dyDescent="0.3">
      <c r="A1616">
        <v>1525002864</v>
      </c>
      <c r="B1616">
        <v>1525002907</v>
      </c>
      <c r="C1616" t="str">
        <f>T("소드마스터의 환생 44화")</f>
        <v>소드마스터의 환생 44화</v>
      </c>
      <c r="D1616" t="str">
        <f>T("44")</f>
        <v>44</v>
      </c>
      <c r="E1616" t="str">
        <f>T("파란영")</f>
        <v>파란영</v>
      </c>
      <c r="H1616" t="str">
        <f>T("스토리위즈")</f>
        <v>스토리위즈</v>
      </c>
      <c r="I1616" t="str">
        <f>T("소드마스터의 환생")</f>
        <v>소드마스터의 환생</v>
      </c>
      <c r="J1616">
        <v>100</v>
      </c>
      <c r="K1616">
        <v>100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100</v>
      </c>
      <c r="AH1616">
        <v>1</v>
      </c>
      <c r="AI1616">
        <v>0</v>
      </c>
      <c r="AJ1616">
        <v>0</v>
      </c>
      <c r="AK1616">
        <v>100</v>
      </c>
      <c r="AL1616">
        <v>0</v>
      </c>
      <c r="AM1616">
        <v>0</v>
      </c>
      <c r="AN1616">
        <v>0</v>
      </c>
      <c r="AO1616">
        <v>0</v>
      </c>
      <c r="AQ1616">
        <v>0</v>
      </c>
      <c r="AR1616">
        <v>0</v>
      </c>
      <c r="AT1616">
        <v>0</v>
      </c>
      <c r="AU1616">
        <v>0</v>
      </c>
      <c r="AW1616">
        <v>0</v>
      </c>
      <c r="AX1616">
        <v>0</v>
      </c>
      <c r="AY1616">
        <v>70</v>
      </c>
      <c r="BC1616" t="str">
        <f>T("9791159287527")</f>
        <v>9791159287527</v>
      </c>
      <c r="BE1616" t="str">
        <f>T("판타지 웹소설 &gt; 정통 판타지")</f>
        <v>판타지 웹소설 &gt; 정통 판타지</v>
      </c>
    </row>
    <row r="1617" spans="1:58" x14ac:dyDescent="0.3">
      <c r="A1617">
        <v>1525013020</v>
      </c>
      <c r="B1617">
        <v>1525013125</v>
      </c>
      <c r="C1617" t="str">
        <f>T("악당의 리턴 106화")</f>
        <v>악당의 리턴 106화</v>
      </c>
      <c r="D1617" t="str">
        <f>T("106")</f>
        <v>106</v>
      </c>
      <c r="E1617" t="str">
        <f>T("백범(白帆)")</f>
        <v>백범(白帆)</v>
      </c>
      <c r="H1617" t="str">
        <f>T("에필로그")</f>
        <v>에필로그</v>
      </c>
      <c r="I1617" t="str">
        <f>T("악당의 리턴")</f>
        <v>악당의 리턴</v>
      </c>
      <c r="J1617">
        <v>100</v>
      </c>
      <c r="K1617">
        <v>100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100</v>
      </c>
      <c r="AH1617">
        <v>1</v>
      </c>
      <c r="AI1617">
        <v>0</v>
      </c>
      <c r="AJ1617">
        <v>0</v>
      </c>
      <c r="AK1617">
        <v>100</v>
      </c>
      <c r="AL1617">
        <v>0</v>
      </c>
      <c r="AM1617">
        <v>0</v>
      </c>
      <c r="AN1617">
        <v>0</v>
      </c>
      <c r="AO1617">
        <v>0</v>
      </c>
      <c r="AQ1617">
        <v>0</v>
      </c>
      <c r="AR1617">
        <v>0</v>
      </c>
      <c r="AT1617">
        <v>0</v>
      </c>
      <c r="AU1617">
        <v>0</v>
      </c>
      <c r="AW1617">
        <v>0</v>
      </c>
      <c r="AX1617">
        <v>0</v>
      </c>
      <c r="AY1617">
        <v>70</v>
      </c>
      <c r="BC1617" t="str">
        <f>T("9791196538927")</f>
        <v>9791196538927</v>
      </c>
      <c r="BE1617" t="str">
        <f>T("판타지 웹소설 &gt; 현대 판타지")</f>
        <v>판타지 웹소설 &gt; 현대 판타지</v>
      </c>
    </row>
    <row r="1618" spans="1:58" x14ac:dyDescent="0.3">
      <c r="A1618">
        <v>1525015018</v>
      </c>
      <c r="B1618">
        <v>1525015045</v>
      </c>
      <c r="C1618" t="str">
        <f>T("그녀들은 소꿉친구지, 그 이상은 곤란합니다 28화")</f>
        <v>그녀들은 소꿉친구지, 그 이상은 곤란합니다 28화</v>
      </c>
      <c r="D1618" t="str">
        <f>T("28")</f>
        <v>28</v>
      </c>
      <c r="E1618" t="str">
        <f>T("자이오")</f>
        <v>자이오</v>
      </c>
      <c r="H1618" t="str">
        <f>T("스토리아크")</f>
        <v>스토리아크</v>
      </c>
      <c r="I1618" t="str">
        <f>T("그녀들은 소꿉친구지, 그 이상은 곤란합니다")</f>
        <v>그녀들은 소꿉친구지, 그 이상은 곤란합니다</v>
      </c>
      <c r="J1618">
        <v>100</v>
      </c>
      <c r="K1618">
        <v>100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100</v>
      </c>
      <c r="AH1618">
        <v>1</v>
      </c>
      <c r="AI1618">
        <v>0</v>
      </c>
      <c r="AJ1618">
        <v>0</v>
      </c>
      <c r="AK1618">
        <v>100</v>
      </c>
      <c r="AL1618">
        <v>0</v>
      </c>
      <c r="AM1618">
        <v>0</v>
      </c>
      <c r="AN1618">
        <v>0</v>
      </c>
      <c r="AO1618">
        <v>0</v>
      </c>
      <c r="AQ1618">
        <v>0</v>
      </c>
      <c r="AR1618">
        <v>0</v>
      </c>
      <c r="AT1618">
        <v>0</v>
      </c>
      <c r="AU1618">
        <v>0</v>
      </c>
      <c r="AW1618">
        <v>0</v>
      </c>
      <c r="AX1618">
        <v>0</v>
      </c>
      <c r="AY1618">
        <v>70</v>
      </c>
      <c r="BC1618" t="str">
        <f>T("9791191039313")</f>
        <v>9791191039313</v>
      </c>
      <c r="BE1618" t="str">
        <f>T("판타지 웹소설 &gt; 퓨전 판타지")</f>
        <v>판타지 웹소설 &gt; 퓨전 판타지</v>
      </c>
    </row>
    <row r="1619" spans="1:58" x14ac:dyDescent="0.3">
      <c r="A1619">
        <v>1525008717</v>
      </c>
      <c r="B1619">
        <v>1525008745</v>
      </c>
      <c r="C1619" t="str">
        <f>T("음양상열지사 45화")</f>
        <v>음양상열지사 45화</v>
      </c>
      <c r="D1619" t="str">
        <f>T("45")</f>
        <v>45</v>
      </c>
      <c r="E1619" t="str">
        <f>T("이염")</f>
        <v>이염</v>
      </c>
      <c r="H1619" t="str">
        <f>T("블러쉬")</f>
        <v>블러쉬</v>
      </c>
      <c r="I1619" t="str">
        <f>T("음양상열지사")</f>
        <v>음양상열지사</v>
      </c>
      <c r="J1619">
        <v>100</v>
      </c>
      <c r="K1619">
        <v>100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100</v>
      </c>
      <c r="AH1619">
        <v>1</v>
      </c>
      <c r="AI1619">
        <v>0</v>
      </c>
      <c r="AJ1619">
        <v>0</v>
      </c>
      <c r="AK1619">
        <v>100</v>
      </c>
      <c r="AL1619">
        <v>0</v>
      </c>
      <c r="AM1619">
        <v>0</v>
      </c>
      <c r="AN1619">
        <v>0</v>
      </c>
      <c r="AO1619">
        <v>0</v>
      </c>
      <c r="AQ1619">
        <v>0</v>
      </c>
      <c r="AR1619">
        <v>0</v>
      </c>
      <c r="AT1619">
        <v>0</v>
      </c>
      <c r="AU1619">
        <v>0</v>
      </c>
      <c r="AW1619">
        <v>0</v>
      </c>
      <c r="AX1619">
        <v>0</v>
      </c>
      <c r="AY1619">
        <v>70</v>
      </c>
      <c r="BA1619" t="str">
        <f>T("0000000000000")</f>
        <v>0000000000000</v>
      </c>
      <c r="BC1619" t="str">
        <f>T("9791164896639")</f>
        <v>9791164896639</v>
      </c>
      <c r="BD1619" t="str">
        <f>T("B12")</f>
        <v>B12</v>
      </c>
      <c r="BE1619" t="str">
        <f>T("BL 웹소설 &gt; 역사/시대물")</f>
        <v>BL 웹소설 &gt; 역사/시대물</v>
      </c>
    </row>
    <row r="1620" spans="1:58" x14ac:dyDescent="0.3">
      <c r="A1620">
        <v>1525004030</v>
      </c>
      <c r="B1620">
        <v>1525007116</v>
      </c>
      <c r="C1620" t="str">
        <f>T("회귀의 전설 2부 1000화")</f>
        <v>회귀의 전설 2부 1000화</v>
      </c>
      <c r="D1620" t="str">
        <f>T("1000")</f>
        <v>1000</v>
      </c>
      <c r="E1620" t="str">
        <f>T("김광수")</f>
        <v>김광수</v>
      </c>
      <c r="H1620" t="str">
        <f>T("스토리위즈")</f>
        <v>스토리위즈</v>
      </c>
      <c r="I1620" t="str">
        <f>T("회귀의 전설")</f>
        <v>회귀의 전설</v>
      </c>
      <c r="J1620">
        <v>100</v>
      </c>
      <c r="K1620">
        <v>100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100</v>
      </c>
      <c r="AH1620">
        <v>1</v>
      </c>
      <c r="AI1620">
        <v>0</v>
      </c>
      <c r="AJ1620">
        <v>0</v>
      </c>
      <c r="AK1620">
        <v>100</v>
      </c>
      <c r="AL1620">
        <v>0</v>
      </c>
      <c r="AM1620">
        <v>0</v>
      </c>
      <c r="AN1620">
        <v>0</v>
      </c>
      <c r="AO1620">
        <v>0</v>
      </c>
      <c r="AQ1620">
        <v>0</v>
      </c>
      <c r="AR1620">
        <v>0</v>
      </c>
      <c r="AT1620">
        <v>0</v>
      </c>
      <c r="AU1620">
        <v>0</v>
      </c>
      <c r="AW1620">
        <v>0</v>
      </c>
      <c r="AX1620">
        <v>0</v>
      </c>
      <c r="AY1620">
        <v>70</v>
      </c>
      <c r="BC1620" t="str">
        <f>T("9791191102086")</f>
        <v>9791191102086</v>
      </c>
      <c r="BE1620" t="str">
        <f>T("판타지 웹소설 &gt; 현대 판타지")</f>
        <v>판타지 웹소설 &gt; 현대 판타지</v>
      </c>
    </row>
    <row r="1621" spans="1:58" x14ac:dyDescent="0.3">
      <c r="A1621">
        <v>1525011523</v>
      </c>
      <c r="B1621">
        <v>1525011236</v>
      </c>
      <c r="C1621" t="str">
        <f>T("남창목가 288화")</f>
        <v>남창목가 288화</v>
      </c>
      <c r="D1621" t="str">
        <f>T("288")</f>
        <v>288</v>
      </c>
      <c r="E1621" t="str">
        <f>T("최재봉")</f>
        <v>최재봉</v>
      </c>
      <c r="H1621" t="str">
        <f>T("에필로그")</f>
        <v>에필로그</v>
      </c>
      <c r="I1621" t="str">
        <f>T("남창목가")</f>
        <v>남창목가</v>
      </c>
      <c r="J1621">
        <v>100</v>
      </c>
      <c r="K1621">
        <v>100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100</v>
      </c>
      <c r="AH1621">
        <v>1</v>
      </c>
      <c r="AI1621">
        <v>0</v>
      </c>
      <c r="AJ1621">
        <v>0</v>
      </c>
      <c r="AK1621">
        <v>0</v>
      </c>
      <c r="AL1621">
        <v>0</v>
      </c>
      <c r="AM1621">
        <v>120</v>
      </c>
      <c r="AN1621">
        <v>-12</v>
      </c>
      <c r="AO1621">
        <v>0</v>
      </c>
      <c r="AQ1621">
        <v>0</v>
      </c>
      <c r="AR1621">
        <v>0</v>
      </c>
      <c r="AS1621">
        <v>120</v>
      </c>
      <c r="AT1621">
        <v>-12</v>
      </c>
      <c r="AU1621">
        <v>0</v>
      </c>
      <c r="AW1621">
        <v>0</v>
      </c>
      <c r="AX1621">
        <v>0</v>
      </c>
      <c r="AY1621">
        <v>75.599999999999994</v>
      </c>
      <c r="BC1621" t="str">
        <f>T("9791164482849")</f>
        <v>9791164482849</v>
      </c>
      <c r="BE1621" t="str">
        <f>T("판타지 웹소설 &gt; 무협 소설")</f>
        <v>판타지 웹소설 &gt; 무협 소설</v>
      </c>
    </row>
    <row r="1622" spans="1:58" x14ac:dyDescent="0.3">
      <c r="A1622">
        <v>1525011523</v>
      </c>
      <c r="B1622">
        <v>1525011411</v>
      </c>
      <c r="C1622" t="str">
        <f>T("남창목가 113화")</f>
        <v>남창목가 113화</v>
      </c>
      <c r="D1622" t="str">
        <f>T("113")</f>
        <v>113</v>
      </c>
      <c r="E1622" t="str">
        <f>T("최재봉")</f>
        <v>최재봉</v>
      </c>
      <c r="H1622" t="str">
        <f>T("에필로그")</f>
        <v>에필로그</v>
      </c>
      <c r="I1622" t="str">
        <f>T("남창목가")</f>
        <v>남창목가</v>
      </c>
      <c r="J1622">
        <v>100</v>
      </c>
      <c r="K1622">
        <v>100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100</v>
      </c>
      <c r="AH1622">
        <v>1</v>
      </c>
      <c r="AI1622">
        <v>0</v>
      </c>
      <c r="AJ1622">
        <v>0</v>
      </c>
      <c r="AK1622">
        <v>100</v>
      </c>
      <c r="AL1622">
        <v>0</v>
      </c>
      <c r="AM1622">
        <v>0</v>
      </c>
      <c r="AN1622">
        <v>0</v>
      </c>
      <c r="AO1622">
        <v>0</v>
      </c>
      <c r="AQ1622">
        <v>0</v>
      </c>
      <c r="AR1622">
        <v>0</v>
      </c>
      <c r="AT1622">
        <v>0</v>
      </c>
      <c r="AU1622">
        <v>0</v>
      </c>
      <c r="AW1622">
        <v>0</v>
      </c>
      <c r="AX1622">
        <v>0</v>
      </c>
      <c r="AY1622">
        <v>70</v>
      </c>
      <c r="BC1622" t="str">
        <f>T("9791164482849")</f>
        <v>9791164482849</v>
      </c>
      <c r="BE1622" t="str">
        <f>T("판타지 웹소설 &gt; 무협 소설")</f>
        <v>판타지 웹소설 &gt; 무협 소설</v>
      </c>
    </row>
    <row r="1623" spans="1:58" x14ac:dyDescent="0.3">
      <c r="A1623">
        <v>1525004030</v>
      </c>
      <c r="B1623">
        <v>1525007003</v>
      </c>
      <c r="C1623" t="str">
        <f>T("회귀의 전설 2부 887화")</f>
        <v>회귀의 전설 2부 887화</v>
      </c>
      <c r="D1623" t="str">
        <f>T("887")</f>
        <v>887</v>
      </c>
      <c r="E1623" t="str">
        <f>T("김광수")</f>
        <v>김광수</v>
      </c>
      <c r="H1623" t="str">
        <f>T("스토리위즈")</f>
        <v>스토리위즈</v>
      </c>
      <c r="I1623" t="str">
        <f>T("회귀의 전설")</f>
        <v>회귀의 전설</v>
      </c>
      <c r="J1623">
        <v>100</v>
      </c>
      <c r="K1623">
        <v>100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100</v>
      </c>
      <c r="AH1623">
        <v>1</v>
      </c>
      <c r="AI1623">
        <v>0</v>
      </c>
      <c r="AJ1623">
        <v>0</v>
      </c>
      <c r="AK1623">
        <v>100</v>
      </c>
      <c r="AL1623">
        <v>0</v>
      </c>
      <c r="AM1623">
        <v>0</v>
      </c>
      <c r="AN1623">
        <v>0</v>
      </c>
      <c r="AO1623">
        <v>0</v>
      </c>
      <c r="AQ1623">
        <v>0</v>
      </c>
      <c r="AR1623">
        <v>0</v>
      </c>
      <c r="AT1623">
        <v>0</v>
      </c>
      <c r="AU1623">
        <v>0</v>
      </c>
      <c r="AW1623">
        <v>0</v>
      </c>
      <c r="AX1623">
        <v>0</v>
      </c>
      <c r="AY1623">
        <v>70</v>
      </c>
      <c r="BC1623" t="str">
        <f>T("9791191102086")</f>
        <v>9791191102086</v>
      </c>
      <c r="BE1623" t="str">
        <f>T("판타지 웹소설 &gt; 현대 판타지")</f>
        <v>판타지 웹소설 &gt; 현대 판타지</v>
      </c>
    </row>
    <row r="1624" spans="1:58" x14ac:dyDescent="0.3">
      <c r="A1624">
        <v>1525004030</v>
      </c>
      <c r="B1624">
        <v>1525004433</v>
      </c>
      <c r="C1624" t="str">
        <f>T("회귀의 전설 417화")</f>
        <v>회귀의 전설 417화</v>
      </c>
      <c r="D1624" t="str">
        <f>T("417")</f>
        <v>417</v>
      </c>
      <c r="E1624" t="str">
        <f>T("김광수")</f>
        <v>김광수</v>
      </c>
      <c r="H1624" t="str">
        <f>T("스토리위즈")</f>
        <v>스토리위즈</v>
      </c>
      <c r="I1624" t="str">
        <f>T("회귀의 전설")</f>
        <v>회귀의 전설</v>
      </c>
      <c r="J1624">
        <v>100</v>
      </c>
      <c r="K1624">
        <v>100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100</v>
      </c>
      <c r="AH1624">
        <v>1</v>
      </c>
      <c r="AI1624">
        <v>0</v>
      </c>
      <c r="AJ1624">
        <v>0</v>
      </c>
      <c r="AK1624">
        <v>100</v>
      </c>
      <c r="AL1624">
        <v>0</v>
      </c>
      <c r="AM1624">
        <v>0</v>
      </c>
      <c r="AN1624">
        <v>0</v>
      </c>
      <c r="AO1624">
        <v>0</v>
      </c>
      <c r="AQ1624">
        <v>0</v>
      </c>
      <c r="AR1624">
        <v>0</v>
      </c>
      <c r="AT1624">
        <v>0</v>
      </c>
      <c r="AU1624">
        <v>0</v>
      </c>
      <c r="AW1624">
        <v>0</v>
      </c>
      <c r="AX1624">
        <v>0</v>
      </c>
      <c r="AY1624">
        <v>70</v>
      </c>
      <c r="BC1624" t="str">
        <f>T("9788997946006")</f>
        <v>9788997946006</v>
      </c>
      <c r="BE1624" t="str">
        <f>T("판타지 웹소설 &gt; 현대 판타지")</f>
        <v>판타지 웹소설 &gt; 현대 판타지</v>
      </c>
    </row>
    <row r="1625" spans="1:58" x14ac:dyDescent="0.3">
      <c r="A1625">
        <v>1525000569</v>
      </c>
      <c r="B1625">
        <v>1525000618</v>
      </c>
      <c r="C1625" t="str">
        <f>T("스트라이커 50화")</f>
        <v>스트라이커 50화</v>
      </c>
      <c r="D1625" t="str">
        <f>T("50")</f>
        <v>50</v>
      </c>
      <c r="E1625" t="str">
        <f>T("독고진")</f>
        <v>독고진</v>
      </c>
      <c r="H1625" t="str">
        <f>T("스토리위즈")</f>
        <v>스토리위즈</v>
      </c>
      <c r="I1625" t="str">
        <f>T("스트라이커")</f>
        <v>스트라이커</v>
      </c>
      <c r="J1625">
        <v>100</v>
      </c>
      <c r="K1625">
        <v>100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100</v>
      </c>
      <c r="AH1625">
        <v>1</v>
      </c>
      <c r="AI1625">
        <v>0</v>
      </c>
      <c r="AJ1625">
        <v>0</v>
      </c>
      <c r="AK1625">
        <v>100</v>
      </c>
      <c r="AL1625">
        <v>0</v>
      </c>
      <c r="AM1625">
        <v>0</v>
      </c>
      <c r="AN1625">
        <v>0</v>
      </c>
      <c r="AO1625">
        <v>0</v>
      </c>
      <c r="AQ1625">
        <v>0</v>
      </c>
      <c r="AR1625">
        <v>0</v>
      </c>
      <c r="AT1625">
        <v>0</v>
      </c>
      <c r="AU1625">
        <v>0</v>
      </c>
      <c r="AW1625">
        <v>0</v>
      </c>
      <c r="AX1625">
        <v>0</v>
      </c>
      <c r="AY1625">
        <v>70</v>
      </c>
      <c r="BC1625" t="str">
        <f>T("9791170151678")</f>
        <v>9791170151678</v>
      </c>
      <c r="BE1625" t="str">
        <f>T("판타지 웹소설 &gt; 현대 판타지")</f>
        <v>판타지 웹소설 &gt; 현대 판타지</v>
      </c>
    </row>
    <row r="1626" spans="1:58" x14ac:dyDescent="0.3">
      <c r="A1626">
        <v>1525008353</v>
      </c>
      <c r="B1626">
        <v>1525008398</v>
      </c>
      <c r="C1626" t="str">
        <f>T("당신이 있는 풍경 60화 (완결)")</f>
        <v>당신이 있는 풍경 60화 (완결)</v>
      </c>
      <c r="D1626" t="str">
        <f>T("60")</f>
        <v>60</v>
      </c>
      <c r="E1626" t="str">
        <f>T("김귤")</f>
        <v>김귤</v>
      </c>
      <c r="H1626" t="str">
        <f>T("블러쉬")</f>
        <v>블러쉬</v>
      </c>
      <c r="I1626" t="str">
        <f>T("당신이 있는 풍경")</f>
        <v>당신이 있는 풍경</v>
      </c>
      <c r="J1626">
        <v>100</v>
      </c>
      <c r="K1626">
        <v>100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100</v>
      </c>
      <c r="AH1626">
        <v>1</v>
      </c>
      <c r="AI1626">
        <v>0</v>
      </c>
      <c r="AJ1626">
        <v>0</v>
      </c>
      <c r="AK1626">
        <v>100</v>
      </c>
      <c r="AL1626">
        <v>0</v>
      </c>
      <c r="AM1626">
        <v>0</v>
      </c>
      <c r="AN1626">
        <v>0</v>
      </c>
      <c r="AO1626">
        <v>0</v>
      </c>
      <c r="AQ1626">
        <v>0</v>
      </c>
      <c r="AR1626">
        <v>0</v>
      </c>
      <c r="AT1626">
        <v>0</v>
      </c>
      <c r="AU1626">
        <v>0</v>
      </c>
      <c r="AW1626">
        <v>0</v>
      </c>
      <c r="AX1626">
        <v>0</v>
      </c>
      <c r="AY1626">
        <v>70</v>
      </c>
      <c r="BA1626" t="str">
        <f>T("0000000000000")</f>
        <v>0000000000000</v>
      </c>
      <c r="BC1626" t="str">
        <f>T("9791164896660")</f>
        <v>9791164896660</v>
      </c>
      <c r="BD1626" t="str">
        <f>T("B9")</f>
        <v>B9</v>
      </c>
      <c r="BE1626" t="str">
        <f>T("BL 웹소설 &gt; 현대물")</f>
        <v>BL 웹소설 &gt; 현대물</v>
      </c>
      <c r="BF1626" t="str">
        <f>T("BL 웹소설 &gt; 판타지물")</f>
        <v>BL 웹소설 &gt; 판타지물</v>
      </c>
    </row>
    <row r="1627" spans="1:58" x14ac:dyDescent="0.3">
      <c r="A1627">
        <v>1525004030</v>
      </c>
      <c r="B1627">
        <v>1525006899</v>
      </c>
      <c r="C1627" t="str">
        <f>T("회귀의 전설 2부 782화")</f>
        <v>회귀의 전설 2부 782화</v>
      </c>
      <c r="D1627" t="str">
        <f>T("782")</f>
        <v>782</v>
      </c>
      <c r="E1627" t="str">
        <f>T("김광수")</f>
        <v>김광수</v>
      </c>
      <c r="H1627" t="str">
        <f>T("스토리위즈")</f>
        <v>스토리위즈</v>
      </c>
      <c r="I1627" t="str">
        <f>T("회귀의 전설")</f>
        <v>회귀의 전설</v>
      </c>
      <c r="J1627">
        <v>100</v>
      </c>
      <c r="K1627">
        <v>100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100</v>
      </c>
      <c r="AH1627">
        <v>1</v>
      </c>
      <c r="AI1627">
        <v>0</v>
      </c>
      <c r="AJ1627">
        <v>0</v>
      </c>
      <c r="AK1627">
        <v>0</v>
      </c>
      <c r="AL1627">
        <v>0</v>
      </c>
      <c r="AM1627">
        <v>120</v>
      </c>
      <c r="AN1627">
        <v>-12</v>
      </c>
      <c r="AO1627">
        <v>0</v>
      </c>
      <c r="AQ1627">
        <v>0</v>
      </c>
      <c r="AR1627">
        <v>0</v>
      </c>
      <c r="AS1627">
        <v>120</v>
      </c>
      <c r="AT1627">
        <v>-12</v>
      </c>
      <c r="AU1627">
        <v>0</v>
      </c>
      <c r="AW1627">
        <v>0</v>
      </c>
      <c r="AX1627">
        <v>0</v>
      </c>
      <c r="AY1627">
        <v>75.599999999999994</v>
      </c>
      <c r="BC1627" t="str">
        <f>T("9791191102086")</f>
        <v>9791191102086</v>
      </c>
      <c r="BE1627" t="str">
        <f>T("판타지 웹소설 &gt; 현대 판타지")</f>
        <v>판타지 웹소설 &gt; 현대 판타지</v>
      </c>
    </row>
    <row r="1628" spans="1:58" x14ac:dyDescent="0.3">
      <c r="A1628">
        <v>1525011523</v>
      </c>
      <c r="B1628">
        <v>1525011355</v>
      </c>
      <c r="C1628" t="str">
        <f>T("남창목가 169화")</f>
        <v>남창목가 169화</v>
      </c>
      <c r="D1628" t="str">
        <f>T("169")</f>
        <v>169</v>
      </c>
      <c r="E1628" t="str">
        <f>T("최재봉")</f>
        <v>최재봉</v>
      </c>
      <c r="H1628" t="str">
        <f>T("에필로그")</f>
        <v>에필로그</v>
      </c>
      <c r="I1628" t="str">
        <f>T("남창목가")</f>
        <v>남창목가</v>
      </c>
      <c r="J1628">
        <v>100</v>
      </c>
      <c r="K1628">
        <v>100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100</v>
      </c>
      <c r="AH1628">
        <v>1</v>
      </c>
      <c r="AI1628">
        <v>0</v>
      </c>
      <c r="AJ1628">
        <v>0</v>
      </c>
      <c r="AK1628">
        <v>0</v>
      </c>
      <c r="AL1628">
        <v>0</v>
      </c>
      <c r="AM1628">
        <v>120</v>
      </c>
      <c r="AN1628">
        <v>-12</v>
      </c>
      <c r="AO1628">
        <v>0</v>
      </c>
      <c r="AQ1628">
        <v>0</v>
      </c>
      <c r="AR1628">
        <v>0</v>
      </c>
      <c r="AS1628">
        <v>120</v>
      </c>
      <c r="AT1628">
        <v>-12</v>
      </c>
      <c r="AU1628">
        <v>0</v>
      </c>
      <c r="AW1628">
        <v>0</v>
      </c>
      <c r="AX1628">
        <v>0</v>
      </c>
      <c r="AY1628">
        <v>75.599999999999994</v>
      </c>
      <c r="BC1628" t="str">
        <f>T("9791164482849")</f>
        <v>9791164482849</v>
      </c>
      <c r="BE1628" t="str">
        <f>T("판타지 웹소설 &gt; 무협 소설")</f>
        <v>판타지 웹소설 &gt; 무협 소설</v>
      </c>
    </row>
    <row r="1629" spans="1:58" x14ac:dyDescent="0.3">
      <c r="A1629">
        <v>1525002125</v>
      </c>
      <c r="B1629">
        <v>1525002383</v>
      </c>
      <c r="C1629" t="str">
        <f>T("신을 죽이러 갑니다 259화")</f>
        <v>신을 죽이러 갑니다 259화</v>
      </c>
      <c r="D1629" t="str">
        <f>T("259")</f>
        <v>259</v>
      </c>
      <c r="E1629" t="str">
        <f>T("독고진")</f>
        <v>독고진</v>
      </c>
      <c r="H1629" t="str">
        <f>T("스토리위즈")</f>
        <v>스토리위즈</v>
      </c>
      <c r="I1629" t="str">
        <f>T("신을 죽이러 갑니다")</f>
        <v>신을 죽이러 갑니다</v>
      </c>
      <c r="J1629">
        <v>100</v>
      </c>
      <c r="K1629">
        <v>100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100</v>
      </c>
      <c r="AH1629">
        <v>1</v>
      </c>
      <c r="AI1629">
        <v>0</v>
      </c>
      <c r="AJ1629">
        <v>0</v>
      </c>
      <c r="AK1629">
        <v>0</v>
      </c>
      <c r="AL1629">
        <v>0</v>
      </c>
      <c r="AM1629">
        <v>120</v>
      </c>
      <c r="AN1629">
        <v>-12</v>
      </c>
      <c r="AO1629">
        <v>0</v>
      </c>
      <c r="AQ1629">
        <v>0</v>
      </c>
      <c r="AR1629">
        <v>0</v>
      </c>
      <c r="AS1629">
        <v>120</v>
      </c>
      <c r="AT1629">
        <v>-12</v>
      </c>
      <c r="AU1629">
        <v>0</v>
      </c>
      <c r="AW1629">
        <v>0</v>
      </c>
      <c r="AX1629">
        <v>0</v>
      </c>
      <c r="AY1629">
        <v>75.599999999999994</v>
      </c>
      <c r="BC1629" t="str">
        <f>T("9791159285806")</f>
        <v>9791159285806</v>
      </c>
      <c r="BE1629" t="str">
        <f>T("판타지 웹소설 &gt; 퓨전 판타지")</f>
        <v>판타지 웹소설 &gt; 퓨전 판타지</v>
      </c>
    </row>
    <row r="1630" spans="1:58" x14ac:dyDescent="0.3">
      <c r="A1630">
        <v>1525004030</v>
      </c>
      <c r="B1630">
        <v>1525007117</v>
      </c>
      <c r="C1630" t="str">
        <f>T("회귀의 전설 2부 1001화")</f>
        <v>회귀의 전설 2부 1001화</v>
      </c>
      <c r="D1630" t="str">
        <f>T("1001")</f>
        <v>1001</v>
      </c>
      <c r="E1630" t="str">
        <f>T("김광수")</f>
        <v>김광수</v>
      </c>
      <c r="H1630" t="str">
        <f>T("스토리위즈")</f>
        <v>스토리위즈</v>
      </c>
      <c r="I1630" t="str">
        <f>T("회귀의 전설")</f>
        <v>회귀의 전설</v>
      </c>
      <c r="J1630">
        <v>100</v>
      </c>
      <c r="K1630">
        <v>100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100</v>
      </c>
      <c r="AH1630">
        <v>1</v>
      </c>
      <c r="AI1630">
        <v>0</v>
      </c>
      <c r="AJ1630">
        <v>0</v>
      </c>
      <c r="AK1630">
        <v>100</v>
      </c>
      <c r="AL1630">
        <v>0</v>
      </c>
      <c r="AM1630">
        <v>0</v>
      </c>
      <c r="AN1630">
        <v>0</v>
      </c>
      <c r="AO1630">
        <v>0</v>
      </c>
      <c r="AQ1630">
        <v>0</v>
      </c>
      <c r="AR1630">
        <v>0</v>
      </c>
      <c r="AT1630">
        <v>0</v>
      </c>
      <c r="AU1630">
        <v>0</v>
      </c>
      <c r="AW1630">
        <v>0</v>
      </c>
      <c r="AX1630">
        <v>0</v>
      </c>
      <c r="AY1630">
        <v>70</v>
      </c>
      <c r="BC1630" t="str">
        <f>T("9791191102086")</f>
        <v>9791191102086</v>
      </c>
      <c r="BE1630" t="str">
        <f>T("판타지 웹소설 &gt; 현대 판타지")</f>
        <v>판타지 웹소설 &gt; 현대 판타지</v>
      </c>
    </row>
    <row r="1631" spans="1:58" x14ac:dyDescent="0.3">
      <c r="A1631">
        <v>1525012551</v>
      </c>
      <c r="B1631">
        <v>1525012718</v>
      </c>
      <c r="C1631" t="str">
        <f>T("개정판 | 바보가 만드는 멋진 세상 168화")</f>
        <v>개정판 | 바보가 만드는 멋진 세상 168화</v>
      </c>
      <c r="D1631" t="str">
        <f>T("168")</f>
        <v>168</v>
      </c>
      <c r="E1631" t="str">
        <f>T("백범(白帆)")</f>
        <v>백범(白帆)</v>
      </c>
      <c r="H1631" t="str">
        <f>T("에필로그")</f>
        <v>에필로그</v>
      </c>
      <c r="I1631" t="str">
        <f>T("개정판 | 바보가 만드는 멋진 세상")</f>
        <v>개정판 | 바보가 만드는 멋진 세상</v>
      </c>
      <c r="J1631">
        <v>100</v>
      </c>
      <c r="K1631">
        <v>100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100</v>
      </c>
      <c r="AH1631">
        <v>1</v>
      </c>
      <c r="AI1631">
        <v>0</v>
      </c>
      <c r="AJ1631">
        <v>0</v>
      </c>
      <c r="AK1631">
        <v>100</v>
      </c>
      <c r="AL1631">
        <v>0</v>
      </c>
      <c r="AM1631">
        <v>0</v>
      </c>
      <c r="AN1631">
        <v>0</v>
      </c>
      <c r="AO1631">
        <v>0</v>
      </c>
      <c r="AQ1631">
        <v>0</v>
      </c>
      <c r="AR1631">
        <v>0</v>
      </c>
      <c r="AT1631">
        <v>0</v>
      </c>
      <c r="AU1631">
        <v>0</v>
      </c>
      <c r="AW1631">
        <v>0</v>
      </c>
      <c r="AX1631">
        <v>0</v>
      </c>
      <c r="AY1631">
        <v>70</v>
      </c>
      <c r="BC1631" t="str">
        <f>T("9791166003493")</f>
        <v>9791166003493</v>
      </c>
      <c r="BE1631" t="str">
        <f>T("판타지 웹소설 &gt; 현대 판타지")</f>
        <v>판타지 웹소설 &gt; 현대 판타지</v>
      </c>
    </row>
    <row r="1632" spans="1:58" x14ac:dyDescent="0.3">
      <c r="A1632">
        <v>1525008428</v>
      </c>
      <c r="B1632">
        <v>1525008525</v>
      </c>
      <c r="C1632" t="str">
        <f>T("무히비(Muhibbi) 외전 123화")</f>
        <v>무히비(Muhibbi) 외전 123화</v>
      </c>
      <c r="D1632" t="str">
        <f>T("123")</f>
        <v>123</v>
      </c>
      <c r="E1632" t="str">
        <f>T("jooki")</f>
        <v>jooki</v>
      </c>
      <c r="H1632" t="str">
        <f>T("블러쉬")</f>
        <v>블러쉬</v>
      </c>
      <c r="I1632" t="str">
        <f>T("무히비(Muhibbi)")</f>
        <v>무히비(Muhibbi)</v>
      </c>
      <c r="J1632">
        <v>100</v>
      </c>
      <c r="K1632">
        <v>100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100</v>
      </c>
      <c r="AH1632">
        <v>1</v>
      </c>
      <c r="AI1632">
        <v>0</v>
      </c>
      <c r="AJ1632">
        <v>0</v>
      </c>
      <c r="AK1632">
        <v>100</v>
      </c>
      <c r="AL1632">
        <v>0</v>
      </c>
      <c r="AM1632">
        <v>0</v>
      </c>
      <c r="AN1632">
        <v>0</v>
      </c>
      <c r="AO1632">
        <v>0</v>
      </c>
      <c r="AQ1632">
        <v>0</v>
      </c>
      <c r="AR1632">
        <v>0</v>
      </c>
      <c r="AT1632">
        <v>0</v>
      </c>
      <c r="AU1632">
        <v>0</v>
      </c>
      <c r="AW1632">
        <v>0</v>
      </c>
      <c r="AX1632">
        <v>0</v>
      </c>
      <c r="AY1632">
        <v>70</v>
      </c>
      <c r="BA1632" t="str">
        <f>T("0000000000000")</f>
        <v>0000000000000</v>
      </c>
      <c r="BC1632" t="str">
        <f>T("9791164896622")</f>
        <v>9791164896622</v>
      </c>
      <c r="BE1632" t="str">
        <f>T("BL 웹소설 &gt; 역사/시대물")</f>
        <v>BL 웹소설 &gt; 역사/시대물</v>
      </c>
    </row>
    <row r="1633" spans="1:57" x14ac:dyDescent="0.3">
      <c r="A1633">
        <v>1525002864</v>
      </c>
      <c r="B1633">
        <v>1525003486</v>
      </c>
      <c r="C1633" t="str">
        <f>T("소드마스터의 환생 198화 (외전 4)")</f>
        <v>소드마스터의 환생 198화 (외전 4)</v>
      </c>
      <c r="D1633" t="str">
        <f>T("198")</f>
        <v>198</v>
      </c>
      <c r="E1633" t="str">
        <f>T("파란영")</f>
        <v>파란영</v>
      </c>
      <c r="H1633" t="str">
        <f>T("스토리위즈")</f>
        <v>스토리위즈</v>
      </c>
      <c r="I1633" t="str">
        <f>T("소드마스터의 환생")</f>
        <v>소드마스터의 환생</v>
      </c>
      <c r="J1633">
        <v>100</v>
      </c>
      <c r="K1633">
        <v>100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100</v>
      </c>
      <c r="AH1633">
        <v>1</v>
      </c>
      <c r="AI1633">
        <v>0</v>
      </c>
      <c r="AJ1633">
        <v>0</v>
      </c>
      <c r="AK1633">
        <v>100</v>
      </c>
      <c r="AL1633">
        <v>0</v>
      </c>
      <c r="AM1633">
        <v>0</v>
      </c>
      <c r="AN1633">
        <v>0</v>
      </c>
      <c r="AO1633">
        <v>0</v>
      </c>
      <c r="AQ1633">
        <v>0</v>
      </c>
      <c r="AR1633">
        <v>0</v>
      </c>
      <c r="AT1633">
        <v>0</v>
      </c>
      <c r="AU1633">
        <v>0</v>
      </c>
      <c r="AW1633">
        <v>0</v>
      </c>
      <c r="AX1633">
        <v>0</v>
      </c>
      <c r="AY1633">
        <v>70</v>
      </c>
      <c r="BC1633" t="str">
        <f>T("9791159287527")</f>
        <v>9791159287527</v>
      </c>
      <c r="BE1633" t="str">
        <f>T("판타지 웹소설 &gt; 정통 판타지")</f>
        <v>판타지 웹소설 &gt; 정통 판타지</v>
      </c>
    </row>
    <row r="1634" spans="1:57" x14ac:dyDescent="0.3">
      <c r="A1634">
        <v>1525008428</v>
      </c>
      <c r="B1634">
        <v>1525008481</v>
      </c>
      <c r="C1634" t="str">
        <f>T("무히비(Muhibbi) 68화")</f>
        <v>무히비(Muhibbi) 68화</v>
      </c>
      <c r="D1634" t="str">
        <f>T("68")</f>
        <v>68</v>
      </c>
      <c r="E1634" t="str">
        <f>T("jooki")</f>
        <v>jooki</v>
      </c>
      <c r="H1634" t="str">
        <f>T("블러쉬")</f>
        <v>블러쉬</v>
      </c>
      <c r="I1634" t="str">
        <f>T("무히비(Muhibbi)")</f>
        <v>무히비(Muhibbi)</v>
      </c>
      <c r="J1634">
        <v>100</v>
      </c>
      <c r="K1634">
        <v>100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100</v>
      </c>
      <c r="AH1634">
        <v>1</v>
      </c>
      <c r="AI1634">
        <v>0</v>
      </c>
      <c r="AJ1634">
        <v>0</v>
      </c>
      <c r="AK1634">
        <v>100</v>
      </c>
      <c r="AL1634">
        <v>0</v>
      </c>
      <c r="AM1634">
        <v>0</v>
      </c>
      <c r="AN1634">
        <v>0</v>
      </c>
      <c r="AO1634">
        <v>0</v>
      </c>
      <c r="AQ1634">
        <v>0</v>
      </c>
      <c r="AR1634">
        <v>0</v>
      </c>
      <c r="AT1634">
        <v>0</v>
      </c>
      <c r="AU1634">
        <v>0</v>
      </c>
      <c r="AW1634">
        <v>0</v>
      </c>
      <c r="AX1634">
        <v>0</v>
      </c>
      <c r="AY1634">
        <v>70</v>
      </c>
      <c r="BC1634" t="str">
        <f>T("9791164896622")</f>
        <v>9791164896622</v>
      </c>
      <c r="BE1634" t="str">
        <f>T("BL 웹소설 &gt; 역사/시대물")</f>
        <v>BL 웹소설 &gt; 역사/시대물</v>
      </c>
    </row>
    <row r="1635" spans="1:57" x14ac:dyDescent="0.3">
      <c r="A1635">
        <v>1525011523</v>
      </c>
      <c r="B1635">
        <v>1525011309</v>
      </c>
      <c r="C1635" t="str">
        <f>T("남창목가 215화")</f>
        <v>남창목가 215화</v>
      </c>
      <c r="D1635" t="str">
        <f>T("215")</f>
        <v>215</v>
      </c>
      <c r="E1635" t="str">
        <f>T("최재봉")</f>
        <v>최재봉</v>
      </c>
      <c r="H1635" t="str">
        <f>T("에필로그")</f>
        <v>에필로그</v>
      </c>
      <c r="I1635" t="str">
        <f>T("남창목가")</f>
        <v>남창목가</v>
      </c>
      <c r="J1635">
        <v>100</v>
      </c>
      <c r="K1635">
        <v>100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100</v>
      </c>
      <c r="AH1635">
        <v>1</v>
      </c>
      <c r="AI1635">
        <v>0</v>
      </c>
      <c r="AJ1635">
        <v>0</v>
      </c>
      <c r="AK1635">
        <v>0</v>
      </c>
      <c r="AL1635">
        <v>0</v>
      </c>
      <c r="AM1635">
        <v>120</v>
      </c>
      <c r="AN1635">
        <v>-12</v>
      </c>
      <c r="AO1635">
        <v>0</v>
      </c>
      <c r="AQ1635">
        <v>0</v>
      </c>
      <c r="AR1635">
        <v>0</v>
      </c>
      <c r="AS1635">
        <v>120</v>
      </c>
      <c r="AT1635">
        <v>-12</v>
      </c>
      <c r="AU1635">
        <v>0</v>
      </c>
      <c r="AW1635">
        <v>0</v>
      </c>
      <c r="AX1635">
        <v>0</v>
      </c>
      <c r="AY1635">
        <v>75.599999999999994</v>
      </c>
      <c r="BC1635" t="str">
        <f>T("9791164482849")</f>
        <v>9791164482849</v>
      </c>
      <c r="BE1635" t="str">
        <f>T("판타지 웹소설 &gt; 무협 소설")</f>
        <v>판타지 웹소설 &gt; 무협 소설</v>
      </c>
    </row>
    <row r="1636" spans="1:57" x14ac:dyDescent="0.3">
      <c r="A1636">
        <v>1525011523</v>
      </c>
      <c r="B1636">
        <v>1525011497</v>
      </c>
      <c r="C1636" t="str">
        <f>T("남창목가 27화")</f>
        <v>남창목가 27화</v>
      </c>
      <c r="D1636" t="str">
        <f>T("27")</f>
        <v>27</v>
      </c>
      <c r="E1636" t="str">
        <f>T("최재봉")</f>
        <v>최재봉</v>
      </c>
      <c r="H1636" t="str">
        <f>T("에필로그")</f>
        <v>에필로그</v>
      </c>
      <c r="I1636" t="str">
        <f>T("남창목가")</f>
        <v>남창목가</v>
      </c>
      <c r="J1636">
        <v>100</v>
      </c>
      <c r="K1636">
        <v>100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100</v>
      </c>
      <c r="AH1636">
        <v>1</v>
      </c>
      <c r="AI1636">
        <v>0</v>
      </c>
      <c r="AJ1636">
        <v>0</v>
      </c>
      <c r="AK1636">
        <v>100</v>
      </c>
      <c r="AL1636">
        <v>0</v>
      </c>
      <c r="AM1636">
        <v>0</v>
      </c>
      <c r="AN1636">
        <v>0</v>
      </c>
      <c r="AO1636">
        <v>0</v>
      </c>
      <c r="AQ1636">
        <v>0</v>
      </c>
      <c r="AR1636">
        <v>0</v>
      </c>
      <c r="AT1636">
        <v>0</v>
      </c>
      <c r="AU1636">
        <v>0</v>
      </c>
      <c r="AW1636">
        <v>0</v>
      </c>
      <c r="AX1636">
        <v>0</v>
      </c>
      <c r="AY1636">
        <v>70</v>
      </c>
      <c r="BC1636" t="str">
        <f>T("9791164482849")</f>
        <v>9791164482849</v>
      </c>
      <c r="BE1636" t="str">
        <f>T("판타지 웹소설 &gt; 무협 소설")</f>
        <v>판타지 웹소설 &gt; 무협 소설</v>
      </c>
    </row>
    <row r="1637" spans="1:57" x14ac:dyDescent="0.3">
      <c r="A1637">
        <v>1525012551</v>
      </c>
      <c r="B1637">
        <v>1525012596</v>
      </c>
      <c r="C1637" t="str">
        <f>T("개정판 | 바보가 만드는 멋진 세상 46화")</f>
        <v>개정판 | 바보가 만드는 멋진 세상 46화</v>
      </c>
      <c r="D1637" t="str">
        <f>T("46")</f>
        <v>46</v>
      </c>
      <c r="E1637" t="str">
        <f>T("백범(白帆)")</f>
        <v>백범(白帆)</v>
      </c>
      <c r="H1637" t="str">
        <f>T("에필로그")</f>
        <v>에필로그</v>
      </c>
      <c r="I1637" t="str">
        <f>T("개정판 | 바보가 만드는 멋진 세상")</f>
        <v>개정판 | 바보가 만드는 멋진 세상</v>
      </c>
      <c r="J1637">
        <v>100</v>
      </c>
      <c r="K1637">
        <v>100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100</v>
      </c>
      <c r="AH1637">
        <v>1</v>
      </c>
      <c r="AI1637">
        <v>0</v>
      </c>
      <c r="AJ1637">
        <v>0</v>
      </c>
      <c r="AK1637">
        <v>100</v>
      </c>
      <c r="AL1637">
        <v>0</v>
      </c>
      <c r="AM1637">
        <v>0</v>
      </c>
      <c r="AN1637">
        <v>0</v>
      </c>
      <c r="AO1637">
        <v>0</v>
      </c>
      <c r="AQ1637">
        <v>0</v>
      </c>
      <c r="AR1637">
        <v>0</v>
      </c>
      <c r="AT1637">
        <v>0</v>
      </c>
      <c r="AU1637">
        <v>0</v>
      </c>
      <c r="AW1637">
        <v>0</v>
      </c>
      <c r="AX1637">
        <v>0</v>
      </c>
      <c r="AY1637">
        <v>70</v>
      </c>
      <c r="BC1637" t="str">
        <f>T("9791166003493")</f>
        <v>9791166003493</v>
      </c>
      <c r="BE1637" t="str">
        <f>T("판타지 웹소설 &gt; 현대 판타지")</f>
        <v>판타지 웹소설 &gt; 현대 판타지</v>
      </c>
    </row>
    <row r="1638" spans="1:57" x14ac:dyDescent="0.3">
      <c r="A1638">
        <v>1525004799</v>
      </c>
      <c r="B1638">
        <v>1525004946</v>
      </c>
      <c r="C1638" t="str">
        <f>T("검산도해 148화")</f>
        <v>검산도해 148화</v>
      </c>
      <c r="D1638" t="str">
        <f>T("148")</f>
        <v>148</v>
      </c>
      <c r="E1638" t="str">
        <f>T("권용찬")</f>
        <v>권용찬</v>
      </c>
      <c r="H1638" t="str">
        <f>T("스토리위즈")</f>
        <v>스토리위즈</v>
      </c>
      <c r="I1638" t="str">
        <f>T("검산도해")</f>
        <v>검산도해</v>
      </c>
      <c r="J1638">
        <v>100</v>
      </c>
      <c r="K1638">
        <v>100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100</v>
      </c>
      <c r="AH1638">
        <v>1</v>
      </c>
      <c r="AI1638">
        <v>0</v>
      </c>
      <c r="AJ1638">
        <v>0</v>
      </c>
      <c r="AK1638">
        <v>0</v>
      </c>
      <c r="AL1638">
        <v>0</v>
      </c>
      <c r="AM1638">
        <v>120</v>
      </c>
      <c r="AN1638">
        <v>-12</v>
      </c>
      <c r="AO1638">
        <v>0</v>
      </c>
      <c r="AQ1638">
        <v>0</v>
      </c>
      <c r="AR1638">
        <v>0</v>
      </c>
      <c r="AS1638">
        <v>120</v>
      </c>
      <c r="AT1638">
        <v>-12</v>
      </c>
      <c r="AU1638">
        <v>0</v>
      </c>
      <c r="AW1638">
        <v>0</v>
      </c>
      <c r="AX1638">
        <v>0</v>
      </c>
      <c r="AY1638">
        <v>75.599999999999994</v>
      </c>
      <c r="BC1638" t="str">
        <f>T("9791159285936")</f>
        <v>9791159285936</v>
      </c>
      <c r="BE1638" t="str">
        <f>T("판타지 웹소설 &gt; 무협 소설")</f>
        <v>판타지 웹소설 &gt; 무협 소설</v>
      </c>
    </row>
    <row r="1639" spans="1:57" x14ac:dyDescent="0.3">
      <c r="A1639">
        <v>1525004030</v>
      </c>
      <c r="B1639">
        <v>1525007035</v>
      </c>
      <c r="C1639" t="str">
        <f>T("회귀의 전설 2부 919화")</f>
        <v>회귀의 전설 2부 919화</v>
      </c>
      <c r="D1639" t="str">
        <f>T("919")</f>
        <v>919</v>
      </c>
      <c r="E1639" t="str">
        <f>T("김광수")</f>
        <v>김광수</v>
      </c>
      <c r="H1639" t="str">
        <f>T("스토리위즈")</f>
        <v>스토리위즈</v>
      </c>
      <c r="I1639" t="str">
        <f>T("회귀의 전설")</f>
        <v>회귀의 전설</v>
      </c>
      <c r="J1639">
        <v>100</v>
      </c>
      <c r="K1639">
        <v>100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100</v>
      </c>
      <c r="AH1639">
        <v>1</v>
      </c>
      <c r="AI1639">
        <v>0</v>
      </c>
      <c r="AJ1639">
        <v>0</v>
      </c>
      <c r="AK1639">
        <v>100</v>
      </c>
      <c r="AL1639">
        <v>0</v>
      </c>
      <c r="AM1639">
        <v>0</v>
      </c>
      <c r="AN1639">
        <v>0</v>
      </c>
      <c r="AO1639">
        <v>0</v>
      </c>
      <c r="AQ1639">
        <v>0</v>
      </c>
      <c r="AR1639">
        <v>0</v>
      </c>
      <c r="AT1639">
        <v>0</v>
      </c>
      <c r="AU1639">
        <v>0</v>
      </c>
      <c r="AW1639">
        <v>0</v>
      </c>
      <c r="AX1639">
        <v>0</v>
      </c>
      <c r="AY1639">
        <v>70</v>
      </c>
      <c r="BC1639" t="str">
        <f>T("9791191102086")</f>
        <v>9791191102086</v>
      </c>
      <c r="BE1639" t="str">
        <f>T("판타지 웹소설 &gt; 현대 판타지")</f>
        <v>판타지 웹소설 &gt; 현대 판타지</v>
      </c>
    </row>
    <row r="1640" spans="1:57" x14ac:dyDescent="0.3">
      <c r="A1640">
        <v>1525004030</v>
      </c>
      <c r="B1640">
        <v>1525006994</v>
      </c>
      <c r="C1640" t="str">
        <f>T("회귀의 전설 2부 878화")</f>
        <v>회귀의 전설 2부 878화</v>
      </c>
      <c r="D1640" t="str">
        <f>T("878")</f>
        <v>878</v>
      </c>
      <c r="E1640" t="str">
        <f>T("김광수")</f>
        <v>김광수</v>
      </c>
      <c r="H1640" t="str">
        <f>T("스토리위즈")</f>
        <v>스토리위즈</v>
      </c>
      <c r="I1640" t="str">
        <f>T("회귀의 전설")</f>
        <v>회귀의 전설</v>
      </c>
      <c r="J1640">
        <v>100</v>
      </c>
      <c r="K1640">
        <v>100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100</v>
      </c>
      <c r="AH1640">
        <v>1</v>
      </c>
      <c r="AI1640">
        <v>0</v>
      </c>
      <c r="AJ1640">
        <v>0</v>
      </c>
      <c r="AK1640">
        <v>100</v>
      </c>
      <c r="AL1640">
        <v>0</v>
      </c>
      <c r="AM1640">
        <v>0</v>
      </c>
      <c r="AN1640">
        <v>0</v>
      </c>
      <c r="AO1640">
        <v>0</v>
      </c>
      <c r="AQ1640">
        <v>0</v>
      </c>
      <c r="AR1640">
        <v>0</v>
      </c>
      <c r="AT1640">
        <v>0</v>
      </c>
      <c r="AU1640">
        <v>0</v>
      </c>
      <c r="AW1640">
        <v>0</v>
      </c>
      <c r="AX1640">
        <v>0</v>
      </c>
      <c r="AY1640">
        <v>70</v>
      </c>
      <c r="BC1640" t="str">
        <f>T("9791191102086")</f>
        <v>9791191102086</v>
      </c>
      <c r="BE1640" t="str">
        <f>T("판타지 웹소설 &gt; 현대 판타지")</f>
        <v>판타지 웹소설 &gt; 현대 판타지</v>
      </c>
    </row>
    <row r="1641" spans="1:57" x14ac:dyDescent="0.3">
      <c r="A1641">
        <v>1525011523</v>
      </c>
      <c r="B1641">
        <v>1525011391</v>
      </c>
      <c r="C1641" t="str">
        <f>T("남창목가 133화")</f>
        <v>남창목가 133화</v>
      </c>
      <c r="D1641" t="str">
        <f>T("133")</f>
        <v>133</v>
      </c>
      <c r="E1641" t="str">
        <f>T("최재봉")</f>
        <v>최재봉</v>
      </c>
      <c r="H1641" t="str">
        <f>T("에필로그")</f>
        <v>에필로그</v>
      </c>
      <c r="I1641" t="str">
        <f>T("남창목가")</f>
        <v>남창목가</v>
      </c>
      <c r="J1641">
        <v>100</v>
      </c>
      <c r="K1641">
        <v>100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100</v>
      </c>
      <c r="AH1641">
        <v>1</v>
      </c>
      <c r="AI1641">
        <v>0</v>
      </c>
      <c r="AJ1641">
        <v>0</v>
      </c>
      <c r="AK1641">
        <v>100</v>
      </c>
      <c r="AL1641">
        <v>0</v>
      </c>
      <c r="AM1641">
        <v>0</v>
      </c>
      <c r="AN1641">
        <v>0</v>
      </c>
      <c r="AO1641">
        <v>0</v>
      </c>
      <c r="AQ1641">
        <v>0</v>
      </c>
      <c r="AR1641">
        <v>0</v>
      </c>
      <c r="AT1641">
        <v>0</v>
      </c>
      <c r="AU1641">
        <v>0</v>
      </c>
      <c r="AW1641">
        <v>0</v>
      </c>
      <c r="AX1641">
        <v>0</v>
      </c>
      <c r="AY1641">
        <v>70</v>
      </c>
      <c r="BC1641" t="str">
        <f>T("9791164482849")</f>
        <v>9791164482849</v>
      </c>
      <c r="BE1641" t="str">
        <f>T("판타지 웹소설 &gt; 무협 소설")</f>
        <v>판타지 웹소설 &gt; 무협 소설</v>
      </c>
    </row>
    <row r="1642" spans="1:57" x14ac:dyDescent="0.3">
      <c r="A1642">
        <v>1525013020</v>
      </c>
      <c r="B1642">
        <v>1525013076</v>
      </c>
      <c r="C1642" t="str">
        <f>T("악당의 리턴 57화")</f>
        <v>악당의 리턴 57화</v>
      </c>
      <c r="D1642" t="str">
        <f>T("57")</f>
        <v>57</v>
      </c>
      <c r="E1642" t="str">
        <f>T("백범(白帆)")</f>
        <v>백범(白帆)</v>
      </c>
      <c r="H1642" t="str">
        <f>T("에필로그")</f>
        <v>에필로그</v>
      </c>
      <c r="I1642" t="str">
        <f>T("악당의 리턴")</f>
        <v>악당의 리턴</v>
      </c>
      <c r="J1642">
        <v>100</v>
      </c>
      <c r="K1642">
        <v>100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100</v>
      </c>
      <c r="AH1642">
        <v>1</v>
      </c>
      <c r="AI1642">
        <v>0</v>
      </c>
      <c r="AJ1642">
        <v>0</v>
      </c>
      <c r="AK1642">
        <v>100</v>
      </c>
      <c r="AL1642">
        <v>0</v>
      </c>
      <c r="AM1642">
        <v>0</v>
      </c>
      <c r="AN1642">
        <v>0</v>
      </c>
      <c r="AO1642">
        <v>0</v>
      </c>
      <c r="AQ1642">
        <v>0</v>
      </c>
      <c r="AR1642">
        <v>0</v>
      </c>
      <c r="AT1642">
        <v>0</v>
      </c>
      <c r="AU1642">
        <v>0</v>
      </c>
      <c r="AW1642">
        <v>0</v>
      </c>
      <c r="AX1642">
        <v>0</v>
      </c>
      <c r="AY1642">
        <v>70</v>
      </c>
      <c r="BC1642" t="str">
        <f>T("9791196538927")</f>
        <v>9791196538927</v>
      </c>
      <c r="BE1642" t="str">
        <f>T("판타지 웹소설 &gt; 현대 판타지")</f>
        <v>판타지 웹소설 &gt; 현대 판타지</v>
      </c>
    </row>
    <row r="1643" spans="1:57" x14ac:dyDescent="0.3">
      <c r="A1643">
        <v>1525004030</v>
      </c>
      <c r="B1643">
        <v>1525007150</v>
      </c>
      <c r="C1643" t="str">
        <f>T("회귀의 전설 2부 1033화")</f>
        <v>회귀의 전설 2부 1033화</v>
      </c>
      <c r="D1643" t="str">
        <f>T("1033")</f>
        <v>1033</v>
      </c>
      <c r="E1643" t="str">
        <f>T("김광수")</f>
        <v>김광수</v>
      </c>
      <c r="H1643" t="str">
        <f>T("스토리위즈")</f>
        <v>스토리위즈</v>
      </c>
      <c r="I1643" t="str">
        <f>T("회귀의 전설")</f>
        <v>회귀의 전설</v>
      </c>
      <c r="J1643">
        <v>100</v>
      </c>
      <c r="K1643">
        <v>100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100</v>
      </c>
      <c r="AH1643">
        <v>1</v>
      </c>
      <c r="AI1643">
        <v>0</v>
      </c>
      <c r="AJ1643">
        <v>0</v>
      </c>
      <c r="AK1643">
        <v>100</v>
      </c>
      <c r="AL1643">
        <v>0</v>
      </c>
      <c r="AM1643">
        <v>0</v>
      </c>
      <c r="AN1643">
        <v>0</v>
      </c>
      <c r="AO1643">
        <v>0</v>
      </c>
      <c r="AQ1643">
        <v>0</v>
      </c>
      <c r="AR1643">
        <v>0</v>
      </c>
      <c r="AT1643">
        <v>0</v>
      </c>
      <c r="AU1643">
        <v>0</v>
      </c>
      <c r="AW1643">
        <v>0</v>
      </c>
      <c r="AX1643">
        <v>0</v>
      </c>
      <c r="AY1643">
        <v>70</v>
      </c>
      <c r="BC1643" t="str">
        <f>T("9791191102086")</f>
        <v>9791191102086</v>
      </c>
      <c r="BE1643" t="str">
        <f>T("판타지 웹소설 &gt; 현대 판타지")</f>
        <v>판타지 웹소설 &gt; 현대 판타지</v>
      </c>
    </row>
    <row r="1644" spans="1:57" x14ac:dyDescent="0.3">
      <c r="A1644">
        <v>1525012551</v>
      </c>
      <c r="B1644">
        <v>1525012750</v>
      </c>
      <c r="C1644" t="str">
        <f>T("개정판 | 바보가 만드는 멋진 세상 200화")</f>
        <v>개정판 | 바보가 만드는 멋진 세상 200화</v>
      </c>
      <c r="D1644" t="str">
        <f>T("200")</f>
        <v>200</v>
      </c>
      <c r="E1644" t="str">
        <f>T("백범(白帆)")</f>
        <v>백범(白帆)</v>
      </c>
      <c r="H1644" t="str">
        <f>T("에필로그")</f>
        <v>에필로그</v>
      </c>
      <c r="I1644" t="str">
        <f>T("개정판 | 바보가 만드는 멋진 세상")</f>
        <v>개정판 | 바보가 만드는 멋진 세상</v>
      </c>
      <c r="J1644">
        <v>100</v>
      </c>
      <c r="K1644">
        <v>100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100</v>
      </c>
      <c r="AH1644">
        <v>1</v>
      </c>
      <c r="AI1644">
        <v>0</v>
      </c>
      <c r="AJ1644">
        <v>0</v>
      </c>
      <c r="AK1644">
        <v>100</v>
      </c>
      <c r="AL1644">
        <v>0</v>
      </c>
      <c r="AM1644">
        <v>0</v>
      </c>
      <c r="AN1644">
        <v>0</v>
      </c>
      <c r="AO1644">
        <v>0</v>
      </c>
      <c r="AQ1644">
        <v>0</v>
      </c>
      <c r="AR1644">
        <v>0</v>
      </c>
      <c r="AT1644">
        <v>0</v>
      </c>
      <c r="AU1644">
        <v>0</v>
      </c>
      <c r="AW1644">
        <v>0</v>
      </c>
      <c r="AX1644">
        <v>0</v>
      </c>
      <c r="AY1644">
        <v>70</v>
      </c>
      <c r="BC1644" t="str">
        <f>T("9791166003493")</f>
        <v>9791166003493</v>
      </c>
      <c r="BE1644" t="str">
        <f>T("판타지 웹소설 &gt; 현대 판타지")</f>
        <v>판타지 웹소설 &gt; 현대 판타지</v>
      </c>
    </row>
    <row r="1645" spans="1:57" x14ac:dyDescent="0.3">
      <c r="A1645">
        <v>1525002864</v>
      </c>
      <c r="B1645">
        <v>1525002930</v>
      </c>
      <c r="C1645" t="str">
        <f>T("소드마스터의 환생 67화")</f>
        <v>소드마스터의 환생 67화</v>
      </c>
      <c r="D1645" t="str">
        <f>T("67")</f>
        <v>67</v>
      </c>
      <c r="E1645" t="str">
        <f>T("파란영")</f>
        <v>파란영</v>
      </c>
      <c r="H1645" t="str">
        <f>T("스토리위즈")</f>
        <v>스토리위즈</v>
      </c>
      <c r="I1645" t="str">
        <f>T("소드마스터의 환생")</f>
        <v>소드마스터의 환생</v>
      </c>
      <c r="J1645">
        <v>100</v>
      </c>
      <c r="K1645">
        <v>100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100</v>
      </c>
      <c r="AH1645">
        <v>1</v>
      </c>
      <c r="AI1645">
        <v>0</v>
      </c>
      <c r="AJ1645">
        <v>0</v>
      </c>
      <c r="AK1645">
        <v>100</v>
      </c>
      <c r="AL1645">
        <v>0</v>
      </c>
      <c r="AM1645">
        <v>0</v>
      </c>
      <c r="AN1645">
        <v>0</v>
      </c>
      <c r="AO1645">
        <v>0</v>
      </c>
      <c r="AQ1645">
        <v>0</v>
      </c>
      <c r="AR1645">
        <v>0</v>
      </c>
      <c r="AT1645">
        <v>0</v>
      </c>
      <c r="AU1645">
        <v>0</v>
      </c>
      <c r="AW1645">
        <v>0</v>
      </c>
      <c r="AX1645">
        <v>0</v>
      </c>
      <c r="AY1645">
        <v>70</v>
      </c>
      <c r="BC1645" t="str">
        <f>T("9791159287527")</f>
        <v>9791159287527</v>
      </c>
      <c r="BE1645" t="str">
        <f>T("판타지 웹소설 &gt; 정통 판타지")</f>
        <v>판타지 웹소설 &gt; 정통 판타지</v>
      </c>
    </row>
    <row r="1646" spans="1:57" x14ac:dyDescent="0.3">
      <c r="A1646">
        <v>1525008428</v>
      </c>
      <c r="B1646">
        <v>1525008469</v>
      </c>
      <c r="C1646" t="str">
        <f>T("무히비(Muhibbi) 57화")</f>
        <v>무히비(Muhibbi) 57화</v>
      </c>
      <c r="D1646" t="str">
        <f>T("57")</f>
        <v>57</v>
      </c>
      <c r="E1646" t="str">
        <f>T("jooki")</f>
        <v>jooki</v>
      </c>
      <c r="H1646" t="str">
        <f>T("블러쉬")</f>
        <v>블러쉬</v>
      </c>
      <c r="I1646" t="str">
        <f>T("무히비(Muhibbi)")</f>
        <v>무히비(Muhibbi)</v>
      </c>
      <c r="J1646">
        <v>100</v>
      </c>
      <c r="K1646">
        <v>100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100</v>
      </c>
      <c r="AH1646">
        <v>1</v>
      </c>
      <c r="AI1646">
        <v>0</v>
      </c>
      <c r="AJ1646">
        <v>0</v>
      </c>
      <c r="AK1646">
        <v>100</v>
      </c>
      <c r="AL1646">
        <v>0</v>
      </c>
      <c r="AM1646">
        <v>0</v>
      </c>
      <c r="AN1646">
        <v>0</v>
      </c>
      <c r="AO1646">
        <v>0</v>
      </c>
      <c r="AQ1646">
        <v>0</v>
      </c>
      <c r="AR1646">
        <v>0</v>
      </c>
      <c r="AT1646">
        <v>0</v>
      </c>
      <c r="AU1646">
        <v>0</v>
      </c>
      <c r="AW1646">
        <v>0</v>
      </c>
      <c r="AX1646">
        <v>0</v>
      </c>
      <c r="AY1646">
        <v>70</v>
      </c>
      <c r="BC1646" t="str">
        <f>T("9791164896622")</f>
        <v>9791164896622</v>
      </c>
      <c r="BE1646" t="str">
        <f>T("BL 웹소설 &gt; 역사/시대물")</f>
        <v>BL 웹소설 &gt; 역사/시대물</v>
      </c>
    </row>
    <row r="1647" spans="1:57" x14ac:dyDescent="0.3">
      <c r="A1647">
        <v>1525011523</v>
      </c>
      <c r="B1647">
        <v>1525011283</v>
      </c>
      <c r="C1647" t="str">
        <f>T("남창목가 241화")</f>
        <v>남창목가 241화</v>
      </c>
      <c r="D1647" t="str">
        <f>T("241")</f>
        <v>241</v>
      </c>
      <c r="E1647" t="str">
        <f>T("최재봉")</f>
        <v>최재봉</v>
      </c>
      <c r="H1647" t="str">
        <f>T("에필로그")</f>
        <v>에필로그</v>
      </c>
      <c r="I1647" t="str">
        <f>T("남창목가")</f>
        <v>남창목가</v>
      </c>
      <c r="J1647">
        <v>100</v>
      </c>
      <c r="K1647">
        <v>100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100</v>
      </c>
      <c r="AH1647">
        <v>1</v>
      </c>
      <c r="AI1647">
        <v>0</v>
      </c>
      <c r="AJ1647">
        <v>0</v>
      </c>
      <c r="AK1647">
        <v>0</v>
      </c>
      <c r="AL1647">
        <v>0</v>
      </c>
      <c r="AM1647">
        <v>120</v>
      </c>
      <c r="AN1647">
        <v>-12</v>
      </c>
      <c r="AO1647">
        <v>0</v>
      </c>
      <c r="AQ1647">
        <v>0</v>
      </c>
      <c r="AR1647">
        <v>0</v>
      </c>
      <c r="AS1647">
        <v>120</v>
      </c>
      <c r="AT1647">
        <v>-12</v>
      </c>
      <c r="AU1647">
        <v>0</v>
      </c>
      <c r="AW1647">
        <v>0</v>
      </c>
      <c r="AX1647">
        <v>0</v>
      </c>
      <c r="AY1647">
        <v>75.599999999999994</v>
      </c>
      <c r="BC1647" t="str">
        <f>T("9791164482849")</f>
        <v>9791164482849</v>
      </c>
      <c r="BE1647" t="str">
        <f>T("판타지 웹소설 &gt; 무협 소설")</f>
        <v>판타지 웹소설 &gt; 무협 소설</v>
      </c>
    </row>
    <row r="1648" spans="1:57" x14ac:dyDescent="0.3">
      <c r="A1648">
        <v>1525011523</v>
      </c>
      <c r="B1648">
        <v>1525011468</v>
      </c>
      <c r="C1648" t="str">
        <f>T("남창목가 56화")</f>
        <v>남창목가 56화</v>
      </c>
      <c r="D1648" t="str">
        <f>T("56")</f>
        <v>56</v>
      </c>
      <c r="E1648" t="str">
        <f>T("최재봉")</f>
        <v>최재봉</v>
      </c>
      <c r="H1648" t="str">
        <f>T("에필로그")</f>
        <v>에필로그</v>
      </c>
      <c r="I1648" t="str">
        <f>T("남창목가")</f>
        <v>남창목가</v>
      </c>
      <c r="J1648">
        <v>100</v>
      </c>
      <c r="K1648">
        <v>100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100</v>
      </c>
      <c r="AH1648">
        <v>1</v>
      </c>
      <c r="AI1648">
        <v>0</v>
      </c>
      <c r="AJ1648">
        <v>0</v>
      </c>
      <c r="AK1648">
        <v>100</v>
      </c>
      <c r="AL1648">
        <v>0</v>
      </c>
      <c r="AM1648">
        <v>0</v>
      </c>
      <c r="AN1648">
        <v>0</v>
      </c>
      <c r="AO1648">
        <v>0</v>
      </c>
      <c r="AQ1648">
        <v>0</v>
      </c>
      <c r="AR1648">
        <v>0</v>
      </c>
      <c r="AT1648">
        <v>0</v>
      </c>
      <c r="AU1648">
        <v>0</v>
      </c>
      <c r="AW1648">
        <v>0</v>
      </c>
      <c r="AX1648">
        <v>0</v>
      </c>
      <c r="AY1648">
        <v>70</v>
      </c>
      <c r="BC1648" t="str">
        <f>T("9791164482849")</f>
        <v>9791164482849</v>
      </c>
      <c r="BE1648" t="str">
        <f>T("판타지 웹소설 &gt; 무협 소설")</f>
        <v>판타지 웹소설 &gt; 무협 소설</v>
      </c>
    </row>
    <row r="1649" spans="1:57" x14ac:dyDescent="0.3">
      <c r="A1649">
        <v>1525012551</v>
      </c>
      <c r="B1649">
        <v>1525012585</v>
      </c>
      <c r="C1649" t="str">
        <f>T("개정판 | 바보가 만드는 멋진 세상 35화")</f>
        <v>개정판 | 바보가 만드는 멋진 세상 35화</v>
      </c>
      <c r="D1649" t="str">
        <f>T("35")</f>
        <v>35</v>
      </c>
      <c r="E1649" t="str">
        <f>T("백범(白帆)")</f>
        <v>백범(白帆)</v>
      </c>
      <c r="H1649" t="str">
        <f>T("에필로그")</f>
        <v>에필로그</v>
      </c>
      <c r="I1649" t="str">
        <f>T("개정판 | 바보가 만드는 멋진 세상")</f>
        <v>개정판 | 바보가 만드는 멋진 세상</v>
      </c>
      <c r="J1649">
        <v>100</v>
      </c>
      <c r="K1649">
        <v>100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100</v>
      </c>
      <c r="AH1649">
        <v>1</v>
      </c>
      <c r="AI1649">
        <v>0</v>
      </c>
      <c r="AJ1649">
        <v>0</v>
      </c>
      <c r="AK1649">
        <v>100</v>
      </c>
      <c r="AL1649">
        <v>0</v>
      </c>
      <c r="AM1649">
        <v>0</v>
      </c>
      <c r="AN1649">
        <v>0</v>
      </c>
      <c r="AO1649">
        <v>0</v>
      </c>
      <c r="AQ1649">
        <v>0</v>
      </c>
      <c r="AR1649">
        <v>0</v>
      </c>
      <c r="AT1649">
        <v>0</v>
      </c>
      <c r="AU1649">
        <v>0</v>
      </c>
      <c r="AW1649">
        <v>0</v>
      </c>
      <c r="AX1649">
        <v>0</v>
      </c>
      <c r="AY1649">
        <v>70</v>
      </c>
      <c r="BC1649" t="str">
        <f>T("9791166003493")</f>
        <v>9791166003493</v>
      </c>
      <c r="BE1649" t="str">
        <f>T("판타지 웹소설 &gt; 현대 판타지")</f>
        <v>판타지 웹소설 &gt; 현대 판타지</v>
      </c>
    </row>
    <row r="1650" spans="1:57" x14ac:dyDescent="0.3">
      <c r="A1650">
        <v>1525004799</v>
      </c>
      <c r="B1650">
        <v>1525004935</v>
      </c>
      <c r="C1650" t="str">
        <f>T("검산도해 137화")</f>
        <v>검산도해 137화</v>
      </c>
      <c r="D1650" t="str">
        <f>T("137")</f>
        <v>137</v>
      </c>
      <c r="E1650" t="str">
        <f>T("권용찬")</f>
        <v>권용찬</v>
      </c>
      <c r="H1650" t="str">
        <f>T("스토리위즈")</f>
        <v>스토리위즈</v>
      </c>
      <c r="I1650" t="str">
        <f>T("검산도해")</f>
        <v>검산도해</v>
      </c>
      <c r="J1650">
        <v>100</v>
      </c>
      <c r="K1650">
        <v>100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100</v>
      </c>
      <c r="AH1650">
        <v>1</v>
      </c>
      <c r="AI1650">
        <v>0</v>
      </c>
      <c r="AJ1650">
        <v>0</v>
      </c>
      <c r="AK1650">
        <v>0</v>
      </c>
      <c r="AL1650">
        <v>0</v>
      </c>
      <c r="AM1650">
        <v>120</v>
      </c>
      <c r="AN1650">
        <v>-12</v>
      </c>
      <c r="AO1650">
        <v>0</v>
      </c>
      <c r="AQ1650">
        <v>0</v>
      </c>
      <c r="AR1650">
        <v>0</v>
      </c>
      <c r="AS1650">
        <v>120</v>
      </c>
      <c r="AT1650">
        <v>-12</v>
      </c>
      <c r="AU1650">
        <v>0</v>
      </c>
      <c r="AW1650">
        <v>0</v>
      </c>
      <c r="AX1650">
        <v>0</v>
      </c>
      <c r="AY1650">
        <v>75.599999999999994</v>
      </c>
      <c r="BC1650" t="str">
        <f>T("9791159285936")</f>
        <v>9791159285936</v>
      </c>
      <c r="BE1650" t="str">
        <f>T("판타지 웹소설 &gt; 무협 소설")</f>
        <v>판타지 웹소설 &gt; 무협 소설</v>
      </c>
    </row>
    <row r="1651" spans="1:57" x14ac:dyDescent="0.3">
      <c r="A1651">
        <v>1525004030</v>
      </c>
      <c r="B1651">
        <v>1525007024</v>
      </c>
      <c r="C1651" t="str">
        <f>T("회귀의 전설 2부 908화")</f>
        <v>회귀의 전설 2부 908화</v>
      </c>
      <c r="D1651" t="str">
        <f>T("908")</f>
        <v>908</v>
      </c>
      <c r="E1651" t="str">
        <f>T("김광수")</f>
        <v>김광수</v>
      </c>
      <c r="H1651" t="str">
        <f>T("스토리위즈")</f>
        <v>스토리위즈</v>
      </c>
      <c r="I1651" t="str">
        <f>T("회귀의 전설")</f>
        <v>회귀의 전설</v>
      </c>
      <c r="J1651">
        <v>100</v>
      </c>
      <c r="K1651">
        <v>100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100</v>
      </c>
      <c r="AH1651">
        <v>1</v>
      </c>
      <c r="AI1651">
        <v>0</v>
      </c>
      <c r="AJ1651">
        <v>0</v>
      </c>
      <c r="AK1651">
        <v>100</v>
      </c>
      <c r="AL1651">
        <v>0</v>
      </c>
      <c r="AM1651">
        <v>0</v>
      </c>
      <c r="AN1651">
        <v>0</v>
      </c>
      <c r="AO1651">
        <v>0</v>
      </c>
      <c r="AQ1651">
        <v>0</v>
      </c>
      <c r="AR1651">
        <v>0</v>
      </c>
      <c r="AT1651">
        <v>0</v>
      </c>
      <c r="AU1651">
        <v>0</v>
      </c>
      <c r="AW1651">
        <v>0</v>
      </c>
      <c r="AX1651">
        <v>0</v>
      </c>
      <c r="AY1651">
        <v>70</v>
      </c>
      <c r="BC1651" t="str">
        <f>T("9791191102086")</f>
        <v>9791191102086</v>
      </c>
      <c r="BE1651" t="str">
        <f>T("판타지 웹소설 &gt; 현대 판타지")</f>
        <v>판타지 웹소설 &gt; 현대 판타지</v>
      </c>
    </row>
    <row r="1652" spans="1:57" x14ac:dyDescent="0.3">
      <c r="A1652">
        <v>1525011523</v>
      </c>
      <c r="B1652">
        <v>1525011204</v>
      </c>
      <c r="C1652" t="str">
        <f>T("남창목가 320화")</f>
        <v>남창목가 320화</v>
      </c>
      <c r="D1652" t="str">
        <f>T("320")</f>
        <v>320</v>
      </c>
      <c r="E1652" t="str">
        <f>T("최재봉")</f>
        <v>최재봉</v>
      </c>
      <c r="H1652" t="str">
        <f>T("에필로그")</f>
        <v>에필로그</v>
      </c>
      <c r="I1652" t="str">
        <f>T("남창목가")</f>
        <v>남창목가</v>
      </c>
      <c r="J1652">
        <v>100</v>
      </c>
      <c r="K1652">
        <v>100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100</v>
      </c>
      <c r="AH1652">
        <v>1</v>
      </c>
      <c r="AI1652">
        <v>0</v>
      </c>
      <c r="AJ1652">
        <v>0</v>
      </c>
      <c r="AK1652">
        <v>0</v>
      </c>
      <c r="AL1652">
        <v>0</v>
      </c>
      <c r="AM1652">
        <v>120</v>
      </c>
      <c r="AN1652">
        <v>-12</v>
      </c>
      <c r="AO1652">
        <v>0</v>
      </c>
      <c r="AQ1652">
        <v>0</v>
      </c>
      <c r="AR1652">
        <v>0</v>
      </c>
      <c r="AS1652">
        <v>120</v>
      </c>
      <c r="AT1652">
        <v>-12</v>
      </c>
      <c r="AU1652">
        <v>0</v>
      </c>
      <c r="AW1652">
        <v>0</v>
      </c>
      <c r="AX1652">
        <v>0</v>
      </c>
      <c r="AY1652">
        <v>75.599999999999994</v>
      </c>
      <c r="BC1652" t="str">
        <f>T("9791164482849")</f>
        <v>9791164482849</v>
      </c>
      <c r="BE1652" t="str">
        <f>T("판타지 웹소설 &gt; 무협 소설")</f>
        <v>판타지 웹소설 &gt; 무협 소설</v>
      </c>
    </row>
    <row r="1653" spans="1:57" x14ac:dyDescent="0.3">
      <c r="A1653">
        <v>1525004030</v>
      </c>
      <c r="B1653">
        <v>1525006983</v>
      </c>
      <c r="C1653" t="str">
        <f>T("회귀의 전설 2부 867화")</f>
        <v>회귀의 전설 2부 867화</v>
      </c>
      <c r="D1653" t="str">
        <f>T("867")</f>
        <v>867</v>
      </c>
      <c r="E1653" t="str">
        <f>T("김광수")</f>
        <v>김광수</v>
      </c>
      <c r="H1653" t="str">
        <f>T("스토리위즈")</f>
        <v>스토리위즈</v>
      </c>
      <c r="I1653" t="str">
        <f>T("회귀의 전설")</f>
        <v>회귀의 전설</v>
      </c>
      <c r="J1653">
        <v>100</v>
      </c>
      <c r="K1653">
        <v>100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100</v>
      </c>
      <c r="AH1653">
        <v>1</v>
      </c>
      <c r="AI1653">
        <v>0</v>
      </c>
      <c r="AJ1653">
        <v>0</v>
      </c>
      <c r="AK1653">
        <v>100</v>
      </c>
      <c r="AL1653">
        <v>0</v>
      </c>
      <c r="AM1653">
        <v>0</v>
      </c>
      <c r="AN1653">
        <v>0</v>
      </c>
      <c r="AO1653">
        <v>0</v>
      </c>
      <c r="AQ1653">
        <v>0</v>
      </c>
      <c r="AR1653">
        <v>0</v>
      </c>
      <c r="AT1653">
        <v>0</v>
      </c>
      <c r="AU1653">
        <v>0</v>
      </c>
      <c r="AW1653">
        <v>0</v>
      </c>
      <c r="AX1653">
        <v>0</v>
      </c>
      <c r="AY1653">
        <v>70</v>
      </c>
      <c r="BC1653" t="str">
        <f>T("9791191102086")</f>
        <v>9791191102086</v>
      </c>
      <c r="BE1653" t="str">
        <f>T("판타지 웹소설 &gt; 현대 판타지")</f>
        <v>판타지 웹소설 &gt; 현대 판타지</v>
      </c>
    </row>
    <row r="1654" spans="1:57" x14ac:dyDescent="0.3">
      <c r="A1654">
        <v>1525011523</v>
      </c>
      <c r="B1654">
        <v>1525011379</v>
      </c>
      <c r="C1654" t="str">
        <f>T("남창목가 145화")</f>
        <v>남창목가 145화</v>
      </c>
      <c r="D1654" t="str">
        <f>T("145")</f>
        <v>145</v>
      </c>
      <c r="E1654" t="str">
        <f>T("최재봉")</f>
        <v>최재봉</v>
      </c>
      <c r="H1654" t="str">
        <f>T("에필로그")</f>
        <v>에필로그</v>
      </c>
      <c r="I1654" t="str">
        <f>T("남창목가")</f>
        <v>남창목가</v>
      </c>
      <c r="J1654">
        <v>100</v>
      </c>
      <c r="K1654">
        <v>100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100</v>
      </c>
      <c r="AH1654">
        <v>1</v>
      </c>
      <c r="AI1654">
        <v>0</v>
      </c>
      <c r="AJ1654">
        <v>0</v>
      </c>
      <c r="AK1654">
        <v>0</v>
      </c>
      <c r="AL1654">
        <v>0</v>
      </c>
      <c r="AM1654">
        <v>120</v>
      </c>
      <c r="AN1654">
        <v>-12</v>
      </c>
      <c r="AO1654">
        <v>0</v>
      </c>
      <c r="AQ1654">
        <v>0</v>
      </c>
      <c r="AR1654">
        <v>0</v>
      </c>
      <c r="AS1654">
        <v>120</v>
      </c>
      <c r="AT1654">
        <v>-12</v>
      </c>
      <c r="AU1654">
        <v>0</v>
      </c>
      <c r="AW1654">
        <v>0</v>
      </c>
      <c r="AX1654">
        <v>0</v>
      </c>
      <c r="AY1654">
        <v>75.599999999999994</v>
      </c>
      <c r="BC1654" t="str">
        <f>T("9791164482849")</f>
        <v>9791164482849</v>
      </c>
      <c r="BE1654" t="str">
        <f>T("판타지 웹소설 &gt; 무협 소설")</f>
        <v>판타지 웹소설 &gt; 무협 소설</v>
      </c>
    </row>
    <row r="1655" spans="1:57" x14ac:dyDescent="0.3">
      <c r="A1655">
        <v>1525013020</v>
      </c>
      <c r="B1655">
        <v>1525013065</v>
      </c>
      <c r="C1655" t="str">
        <f>T("악당의 리턴 46화")</f>
        <v>악당의 리턴 46화</v>
      </c>
      <c r="D1655" t="str">
        <f>T("46")</f>
        <v>46</v>
      </c>
      <c r="E1655" t="str">
        <f>T("백범(白帆)")</f>
        <v>백범(白帆)</v>
      </c>
      <c r="H1655" t="str">
        <f>T("에필로그")</f>
        <v>에필로그</v>
      </c>
      <c r="I1655" t="str">
        <f>T("악당의 리턴")</f>
        <v>악당의 리턴</v>
      </c>
      <c r="J1655">
        <v>100</v>
      </c>
      <c r="K1655">
        <v>100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100</v>
      </c>
      <c r="AH1655">
        <v>1</v>
      </c>
      <c r="AI1655">
        <v>0</v>
      </c>
      <c r="AJ1655">
        <v>0</v>
      </c>
      <c r="AK1655">
        <v>100</v>
      </c>
      <c r="AL1655">
        <v>0</v>
      </c>
      <c r="AM1655">
        <v>0</v>
      </c>
      <c r="AN1655">
        <v>0</v>
      </c>
      <c r="AO1655">
        <v>0</v>
      </c>
      <c r="AQ1655">
        <v>0</v>
      </c>
      <c r="AR1655">
        <v>0</v>
      </c>
      <c r="AT1655">
        <v>0</v>
      </c>
      <c r="AU1655">
        <v>0</v>
      </c>
      <c r="AW1655">
        <v>0</v>
      </c>
      <c r="AX1655">
        <v>0</v>
      </c>
      <c r="AY1655">
        <v>70</v>
      </c>
      <c r="BC1655" t="str">
        <f>T("9791196538927")</f>
        <v>9791196538927</v>
      </c>
      <c r="BE1655" t="str">
        <f>T("판타지 웹소설 &gt; 현대 판타지")</f>
        <v>판타지 웹소설 &gt; 현대 판타지</v>
      </c>
    </row>
    <row r="1656" spans="1:57" x14ac:dyDescent="0.3">
      <c r="A1656">
        <v>1525004030</v>
      </c>
      <c r="B1656">
        <v>1525007138</v>
      </c>
      <c r="C1656" t="str">
        <f>T("회귀의 전설 2부 1022화")</f>
        <v>회귀의 전설 2부 1022화</v>
      </c>
      <c r="D1656" t="str">
        <f>T("1022")</f>
        <v>1022</v>
      </c>
      <c r="E1656" t="str">
        <f>T("김광수")</f>
        <v>김광수</v>
      </c>
      <c r="H1656" t="str">
        <f>T("스토리위즈")</f>
        <v>스토리위즈</v>
      </c>
      <c r="I1656" t="str">
        <f>T("회귀의 전설")</f>
        <v>회귀의 전설</v>
      </c>
      <c r="J1656">
        <v>100</v>
      </c>
      <c r="K1656">
        <v>100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100</v>
      </c>
      <c r="AH1656">
        <v>1</v>
      </c>
      <c r="AI1656">
        <v>0</v>
      </c>
      <c r="AJ1656">
        <v>0</v>
      </c>
      <c r="AK1656">
        <v>100</v>
      </c>
      <c r="AL1656">
        <v>0</v>
      </c>
      <c r="AM1656">
        <v>0</v>
      </c>
      <c r="AN1656">
        <v>0</v>
      </c>
      <c r="AO1656">
        <v>0</v>
      </c>
      <c r="AQ1656">
        <v>0</v>
      </c>
      <c r="AR1656">
        <v>0</v>
      </c>
      <c r="AT1656">
        <v>0</v>
      </c>
      <c r="AU1656">
        <v>0</v>
      </c>
      <c r="AW1656">
        <v>0</v>
      </c>
      <c r="AX1656">
        <v>0</v>
      </c>
      <c r="AY1656">
        <v>70</v>
      </c>
      <c r="BC1656" t="str">
        <f>T("9791191102086")</f>
        <v>9791191102086</v>
      </c>
      <c r="BE1656" t="str">
        <f>T("판타지 웹소설 &gt; 현대 판타지")</f>
        <v>판타지 웹소설 &gt; 현대 판타지</v>
      </c>
    </row>
    <row r="1657" spans="1:57" x14ac:dyDescent="0.3">
      <c r="A1657">
        <v>1525012551</v>
      </c>
      <c r="B1657">
        <v>1525012739</v>
      </c>
      <c r="C1657" t="str">
        <f>T("개정판 | 바보가 만드는 멋진 세상 189화")</f>
        <v>개정판 | 바보가 만드는 멋진 세상 189화</v>
      </c>
      <c r="D1657" t="str">
        <f>T("189")</f>
        <v>189</v>
      </c>
      <c r="E1657" t="str">
        <f>T("백범(白帆)")</f>
        <v>백범(白帆)</v>
      </c>
      <c r="H1657" t="str">
        <f>T("에필로그")</f>
        <v>에필로그</v>
      </c>
      <c r="I1657" t="str">
        <f>T("개정판 | 바보가 만드는 멋진 세상")</f>
        <v>개정판 | 바보가 만드는 멋진 세상</v>
      </c>
      <c r="J1657">
        <v>100</v>
      </c>
      <c r="K1657">
        <v>100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100</v>
      </c>
      <c r="AH1657">
        <v>1</v>
      </c>
      <c r="AI1657">
        <v>0</v>
      </c>
      <c r="AJ1657">
        <v>0</v>
      </c>
      <c r="AK1657">
        <v>100</v>
      </c>
      <c r="AL1657">
        <v>0</v>
      </c>
      <c r="AM1657">
        <v>0</v>
      </c>
      <c r="AN1657">
        <v>0</v>
      </c>
      <c r="AO1657">
        <v>0</v>
      </c>
      <c r="AQ1657">
        <v>0</v>
      </c>
      <c r="AR1657">
        <v>0</v>
      </c>
      <c r="AT1657">
        <v>0</v>
      </c>
      <c r="AU1657">
        <v>0</v>
      </c>
      <c r="AW1657">
        <v>0</v>
      </c>
      <c r="AX1657">
        <v>0</v>
      </c>
      <c r="AY1657">
        <v>70</v>
      </c>
      <c r="BC1657" t="str">
        <f>T("9791166003493")</f>
        <v>9791166003493</v>
      </c>
      <c r="BE1657" t="str">
        <f>T("판타지 웹소설 &gt; 현대 판타지")</f>
        <v>판타지 웹소설 &gt; 현대 판타지</v>
      </c>
    </row>
    <row r="1658" spans="1:57" x14ac:dyDescent="0.3">
      <c r="A1658">
        <v>1525008545</v>
      </c>
      <c r="B1658">
        <v>1525008552</v>
      </c>
      <c r="C1658" t="str">
        <f>T("소년연애담 26화")</f>
        <v>소년연애담 26화</v>
      </c>
      <c r="D1658" t="str">
        <f>T("26")</f>
        <v>26</v>
      </c>
      <c r="E1658" t="str">
        <f>T("나나코")</f>
        <v>나나코</v>
      </c>
      <c r="H1658" t="str">
        <f>T("블러쉬")</f>
        <v>블러쉬</v>
      </c>
      <c r="I1658" t="str">
        <f>T("소년연애담")</f>
        <v>소년연애담</v>
      </c>
      <c r="J1658">
        <v>100</v>
      </c>
      <c r="K1658">
        <v>100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100</v>
      </c>
      <c r="AH1658">
        <v>1</v>
      </c>
      <c r="AI1658">
        <v>0</v>
      </c>
      <c r="AJ1658">
        <v>0</v>
      </c>
      <c r="AK1658">
        <v>100</v>
      </c>
      <c r="AL1658">
        <v>0</v>
      </c>
      <c r="AM1658">
        <v>0</v>
      </c>
      <c r="AN1658">
        <v>0</v>
      </c>
      <c r="AO1658">
        <v>0</v>
      </c>
      <c r="AQ1658">
        <v>0</v>
      </c>
      <c r="AR1658">
        <v>0</v>
      </c>
      <c r="AT1658">
        <v>0</v>
      </c>
      <c r="AU1658">
        <v>0</v>
      </c>
      <c r="AW1658">
        <v>0</v>
      </c>
      <c r="AX1658">
        <v>0</v>
      </c>
      <c r="AY1658">
        <v>70</v>
      </c>
      <c r="BA1658" t="str">
        <f>T("0000000000000")</f>
        <v>0000000000000</v>
      </c>
      <c r="BC1658" t="str">
        <f>T("9791164890729")</f>
        <v>9791164890729</v>
      </c>
      <c r="BD1658" t="str">
        <f>T("B12")</f>
        <v>B12</v>
      </c>
      <c r="BE1658" t="str">
        <f>T("BL 웹소설 &gt; 현대물")</f>
        <v>BL 웹소설 &gt; 현대물</v>
      </c>
    </row>
    <row r="1659" spans="1:57" x14ac:dyDescent="0.3">
      <c r="A1659">
        <v>1525008428</v>
      </c>
      <c r="B1659">
        <v>1525008504</v>
      </c>
      <c r="C1659" t="str">
        <f>T("무히비(Muhibbi) 89화")</f>
        <v>무히비(Muhibbi) 89화</v>
      </c>
      <c r="D1659" t="str">
        <f>T("89")</f>
        <v>89</v>
      </c>
      <c r="E1659" t="str">
        <f>T("jooki")</f>
        <v>jooki</v>
      </c>
      <c r="H1659" t="str">
        <f>T("블러쉬")</f>
        <v>블러쉬</v>
      </c>
      <c r="I1659" t="str">
        <f>T("무히비(Muhibbi)")</f>
        <v>무히비(Muhibbi)</v>
      </c>
      <c r="J1659">
        <v>100</v>
      </c>
      <c r="K1659">
        <v>100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100</v>
      </c>
      <c r="AH1659">
        <v>1</v>
      </c>
      <c r="AI1659">
        <v>0</v>
      </c>
      <c r="AJ1659">
        <v>0</v>
      </c>
      <c r="AK1659">
        <v>100</v>
      </c>
      <c r="AL1659">
        <v>0</v>
      </c>
      <c r="AM1659">
        <v>0</v>
      </c>
      <c r="AN1659">
        <v>0</v>
      </c>
      <c r="AO1659">
        <v>0</v>
      </c>
      <c r="AQ1659">
        <v>0</v>
      </c>
      <c r="AR1659">
        <v>0</v>
      </c>
      <c r="AT1659">
        <v>0</v>
      </c>
      <c r="AU1659">
        <v>0</v>
      </c>
      <c r="AW1659">
        <v>0</v>
      </c>
      <c r="AX1659">
        <v>0</v>
      </c>
      <c r="AY1659">
        <v>70</v>
      </c>
      <c r="BA1659" t="str">
        <f>T("0000000000000")</f>
        <v>0000000000000</v>
      </c>
      <c r="BC1659" t="str">
        <f>T("9791164896622")</f>
        <v>9791164896622</v>
      </c>
      <c r="BE1659" t="str">
        <f>T("BL 웹소설 &gt; 역사/시대물")</f>
        <v>BL 웹소설 &gt; 역사/시대물</v>
      </c>
    </row>
    <row r="1660" spans="1:57" x14ac:dyDescent="0.3">
      <c r="A1660">
        <v>1525012551</v>
      </c>
      <c r="B1660">
        <v>1525012617</v>
      </c>
      <c r="C1660" t="str">
        <f>T("개정판 | 바보가 만드는 멋진 세상 67화")</f>
        <v>개정판 | 바보가 만드는 멋진 세상 67화</v>
      </c>
      <c r="D1660" t="str">
        <f>T("67")</f>
        <v>67</v>
      </c>
      <c r="E1660" t="str">
        <f>T("백범(白帆)")</f>
        <v>백범(白帆)</v>
      </c>
      <c r="H1660" t="str">
        <f>T("에필로그")</f>
        <v>에필로그</v>
      </c>
      <c r="I1660" t="str">
        <f>T("개정판 | 바보가 만드는 멋진 세상")</f>
        <v>개정판 | 바보가 만드는 멋진 세상</v>
      </c>
      <c r="J1660">
        <v>100</v>
      </c>
      <c r="K1660">
        <v>100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100</v>
      </c>
      <c r="AH1660">
        <v>1</v>
      </c>
      <c r="AI1660">
        <v>0</v>
      </c>
      <c r="AJ1660">
        <v>0</v>
      </c>
      <c r="AK1660">
        <v>100</v>
      </c>
      <c r="AL1660">
        <v>0</v>
      </c>
      <c r="AM1660">
        <v>0</v>
      </c>
      <c r="AN1660">
        <v>0</v>
      </c>
      <c r="AO1660">
        <v>0</v>
      </c>
      <c r="AQ1660">
        <v>0</v>
      </c>
      <c r="AR1660">
        <v>0</v>
      </c>
      <c r="AT1660">
        <v>0</v>
      </c>
      <c r="AU1660">
        <v>0</v>
      </c>
      <c r="AW1660">
        <v>0</v>
      </c>
      <c r="AX1660">
        <v>0</v>
      </c>
      <c r="AY1660">
        <v>70</v>
      </c>
      <c r="BC1660" t="str">
        <f>T("9791166003493")</f>
        <v>9791166003493</v>
      </c>
      <c r="BE1660" t="str">
        <f>T("판타지 웹소설 &gt; 현대 판타지")</f>
        <v>판타지 웹소설 &gt; 현대 판타지</v>
      </c>
    </row>
    <row r="1661" spans="1:57" x14ac:dyDescent="0.3">
      <c r="A1661">
        <v>1525004799</v>
      </c>
      <c r="B1661">
        <v>1525004967</v>
      </c>
      <c r="C1661" t="str">
        <f>T("검산도해 169화")</f>
        <v>검산도해 169화</v>
      </c>
      <c r="D1661" t="str">
        <f>T("169")</f>
        <v>169</v>
      </c>
      <c r="E1661" t="str">
        <f>T("권용찬")</f>
        <v>권용찬</v>
      </c>
      <c r="H1661" t="str">
        <f>T("스토리위즈")</f>
        <v>스토리위즈</v>
      </c>
      <c r="I1661" t="str">
        <f>T("검산도해")</f>
        <v>검산도해</v>
      </c>
      <c r="J1661">
        <v>100</v>
      </c>
      <c r="K1661">
        <v>100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100</v>
      </c>
      <c r="AH1661">
        <v>1</v>
      </c>
      <c r="AI1661">
        <v>0</v>
      </c>
      <c r="AJ1661">
        <v>0</v>
      </c>
      <c r="AK1661">
        <v>0</v>
      </c>
      <c r="AL1661">
        <v>0</v>
      </c>
      <c r="AM1661">
        <v>120</v>
      </c>
      <c r="AN1661">
        <v>-12</v>
      </c>
      <c r="AO1661">
        <v>0</v>
      </c>
      <c r="AQ1661">
        <v>0</v>
      </c>
      <c r="AR1661">
        <v>0</v>
      </c>
      <c r="AS1661">
        <v>120</v>
      </c>
      <c r="AT1661">
        <v>-12</v>
      </c>
      <c r="AU1661">
        <v>0</v>
      </c>
      <c r="AW1661">
        <v>0</v>
      </c>
      <c r="AX1661">
        <v>0</v>
      </c>
      <c r="AY1661">
        <v>75.599999999999994</v>
      </c>
      <c r="BC1661" t="str">
        <f>T("9791159285936")</f>
        <v>9791159285936</v>
      </c>
      <c r="BE1661" t="str">
        <f>T("판타지 웹소설 &gt; 무협 소설")</f>
        <v>판타지 웹소설 &gt; 무협 소설</v>
      </c>
    </row>
    <row r="1662" spans="1:57" x14ac:dyDescent="0.3">
      <c r="A1662">
        <v>1525000924</v>
      </c>
      <c r="B1662">
        <v>1525000950</v>
      </c>
      <c r="C1662" t="str">
        <f>T("스피릿 소드 27화")</f>
        <v>스피릿 소드 27화</v>
      </c>
      <c r="D1662" t="str">
        <f>T("27")</f>
        <v>27</v>
      </c>
      <c r="E1662" t="str">
        <f>T("김정률")</f>
        <v>김정률</v>
      </c>
      <c r="H1662" t="str">
        <f>T("스토리위즈")</f>
        <v>스토리위즈</v>
      </c>
      <c r="I1662" t="str">
        <f>T("스피릿 소드")</f>
        <v>스피릿 소드</v>
      </c>
      <c r="J1662">
        <v>100</v>
      </c>
      <c r="K1662">
        <v>100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100</v>
      </c>
      <c r="AH1662">
        <v>1</v>
      </c>
      <c r="AI1662">
        <v>0</v>
      </c>
      <c r="AJ1662">
        <v>0</v>
      </c>
      <c r="AK1662">
        <v>100</v>
      </c>
      <c r="AL1662">
        <v>0</v>
      </c>
      <c r="AM1662">
        <v>0</v>
      </c>
      <c r="AN1662">
        <v>0</v>
      </c>
      <c r="AO1662">
        <v>0</v>
      </c>
      <c r="AQ1662">
        <v>0</v>
      </c>
      <c r="AR1662">
        <v>0</v>
      </c>
      <c r="AT1662">
        <v>0</v>
      </c>
      <c r="AU1662">
        <v>0</v>
      </c>
      <c r="AW1662">
        <v>0</v>
      </c>
      <c r="AX1662">
        <v>0</v>
      </c>
      <c r="AY1662">
        <v>70</v>
      </c>
      <c r="BA1662" t="str">
        <f>T("9791159282713")</f>
        <v>9791159282713</v>
      </c>
      <c r="BC1662" t="str">
        <f>T("9791159282713")</f>
        <v>9791159282713</v>
      </c>
      <c r="BE1662" t="str">
        <f>T("판타지 웹소설 &gt; 정통 판타지")</f>
        <v>판타지 웹소설 &gt; 정통 판타지</v>
      </c>
    </row>
    <row r="1663" spans="1:57" x14ac:dyDescent="0.3">
      <c r="A1663">
        <v>1525004030</v>
      </c>
      <c r="B1663">
        <v>1525007056</v>
      </c>
      <c r="C1663" t="str">
        <f>T("회귀의 전설 2부 940화")</f>
        <v>회귀의 전설 2부 940화</v>
      </c>
      <c r="D1663" t="str">
        <f>T("940")</f>
        <v>940</v>
      </c>
      <c r="E1663" t="str">
        <f>T("김광수")</f>
        <v>김광수</v>
      </c>
      <c r="H1663" t="str">
        <f>T("스토리위즈")</f>
        <v>스토리위즈</v>
      </c>
      <c r="I1663" t="str">
        <f>T("회귀의 전설")</f>
        <v>회귀의 전설</v>
      </c>
      <c r="J1663">
        <v>100</v>
      </c>
      <c r="K1663">
        <v>100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100</v>
      </c>
      <c r="AH1663">
        <v>1</v>
      </c>
      <c r="AI1663">
        <v>0</v>
      </c>
      <c r="AJ1663">
        <v>0</v>
      </c>
      <c r="AK1663">
        <v>100</v>
      </c>
      <c r="AL1663">
        <v>0</v>
      </c>
      <c r="AM1663">
        <v>0</v>
      </c>
      <c r="AN1663">
        <v>0</v>
      </c>
      <c r="AO1663">
        <v>0</v>
      </c>
      <c r="AQ1663">
        <v>0</v>
      </c>
      <c r="AR1663">
        <v>0</v>
      </c>
      <c r="AT1663">
        <v>0</v>
      </c>
      <c r="AU1663">
        <v>0</v>
      </c>
      <c r="AW1663">
        <v>0</v>
      </c>
      <c r="AX1663">
        <v>0</v>
      </c>
      <c r="AY1663">
        <v>70</v>
      </c>
      <c r="BC1663" t="str">
        <f>T("9791191102086")</f>
        <v>9791191102086</v>
      </c>
      <c r="BE1663" t="str">
        <f>T("판타지 웹소설 &gt; 현대 판타지")</f>
        <v>판타지 웹소설 &gt; 현대 판타지</v>
      </c>
    </row>
    <row r="1664" spans="1:57" x14ac:dyDescent="0.3">
      <c r="A1664">
        <v>1525004030</v>
      </c>
      <c r="B1664">
        <v>1525006684</v>
      </c>
      <c r="C1664" t="str">
        <f>T("회귀의 전설 2부 567화")</f>
        <v>회귀의 전설 2부 567화</v>
      </c>
      <c r="D1664" t="str">
        <f>T("567")</f>
        <v>567</v>
      </c>
      <c r="E1664" t="str">
        <f>T("김광수")</f>
        <v>김광수</v>
      </c>
      <c r="H1664" t="str">
        <f>T("스토리위즈")</f>
        <v>스토리위즈</v>
      </c>
      <c r="I1664" t="str">
        <f>T("회귀의 전설")</f>
        <v>회귀의 전설</v>
      </c>
      <c r="J1664">
        <v>100</v>
      </c>
      <c r="K1664">
        <v>100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100</v>
      </c>
      <c r="AH1664">
        <v>1</v>
      </c>
      <c r="AI1664">
        <v>0</v>
      </c>
      <c r="AJ1664">
        <v>0</v>
      </c>
      <c r="AK1664">
        <v>100</v>
      </c>
      <c r="AL1664">
        <v>0</v>
      </c>
      <c r="AM1664">
        <v>0</v>
      </c>
      <c r="AN1664">
        <v>0</v>
      </c>
      <c r="AO1664">
        <v>0</v>
      </c>
      <c r="AQ1664">
        <v>0</v>
      </c>
      <c r="AR1664">
        <v>0</v>
      </c>
      <c r="AT1664">
        <v>0</v>
      </c>
      <c r="AU1664">
        <v>0</v>
      </c>
      <c r="AW1664">
        <v>0</v>
      </c>
      <c r="AX1664">
        <v>0</v>
      </c>
      <c r="AY1664">
        <v>70</v>
      </c>
      <c r="BC1664" t="str">
        <f>T("9791191102086")</f>
        <v>9791191102086</v>
      </c>
      <c r="BE1664" t="str">
        <f>T("판타지 웹소설 &gt; 현대 판타지")</f>
        <v>판타지 웹소설 &gt; 현대 판타지</v>
      </c>
    </row>
    <row r="1665" spans="1:57" x14ac:dyDescent="0.3">
      <c r="A1665">
        <v>1525012551</v>
      </c>
      <c r="B1665">
        <v>1525012576</v>
      </c>
      <c r="C1665" t="str">
        <f>T("개정판 | 바보가 만드는 멋진 세상 26화")</f>
        <v>개정판 | 바보가 만드는 멋진 세상 26화</v>
      </c>
      <c r="D1665" t="str">
        <f>T("26")</f>
        <v>26</v>
      </c>
      <c r="E1665" t="str">
        <f>T("백범(白帆)")</f>
        <v>백범(白帆)</v>
      </c>
      <c r="H1665" t="str">
        <f>T("에필로그")</f>
        <v>에필로그</v>
      </c>
      <c r="I1665" t="str">
        <f>T("개정판 | 바보가 만드는 멋진 세상")</f>
        <v>개정판 | 바보가 만드는 멋진 세상</v>
      </c>
      <c r="J1665">
        <v>100</v>
      </c>
      <c r="K1665">
        <v>100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100</v>
      </c>
      <c r="AH1665">
        <v>1</v>
      </c>
      <c r="AI1665">
        <v>0</v>
      </c>
      <c r="AJ1665">
        <v>0</v>
      </c>
      <c r="AK1665">
        <v>100</v>
      </c>
      <c r="AL1665">
        <v>0</v>
      </c>
      <c r="AM1665">
        <v>0</v>
      </c>
      <c r="AN1665">
        <v>0</v>
      </c>
      <c r="AO1665">
        <v>0</v>
      </c>
      <c r="AQ1665">
        <v>0</v>
      </c>
      <c r="AR1665">
        <v>0</v>
      </c>
      <c r="AT1665">
        <v>0</v>
      </c>
      <c r="AU1665">
        <v>0</v>
      </c>
      <c r="AW1665">
        <v>0</v>
      </c>
      <c r="AX1665">
        <v>0</v>
      </c>
      <c r="AY1665">
        <v>70</v>
      </c>
      <c r="BC1665" t="str">
        <f>T("9791166003493")</f>
        <v>9791166003493</v>
      </c>
      <c r="BE1665" t="str">
        <f>T("판타지 웹소설 &gt; 현대 판타지")</f>
        <v>판타지 웹소설 &gt; 현대 판타지</v>
      </c>
    </row>
    <row r="1666" spans="1:57" x14ac:dyDescent="0.3">
      <c r="A1666">
        <v>1525013020</v>
      </c>
      <c r="B1666">
        <v>1525013097</v>
      </c>
      <c r="C1666" t="str">
        <f>T("악당의 리턴 78화")</f>
        <v>악당의 리턴 78화</v>
      </c>
      <c r="D1666" t="str">
        <f>T("78")</f>
        <v>78</v>
      </c>
      <c r="E1666" t="str">
        <f>T("백범(白帆)")</f>
        <v>백범(白帆)</v>
      </c>
      <c r="H1666" t="str">
        <f>T("에필로그")</f>
        <v>에필로그</v>
      </c>
      <c r="I1666" t="str">
        <f>T("악당의 리턴")</f>
        <v>악당의 리턴</v>
      </c>
      <c r="J1666">
        <v>100</v>
      </c>
      <c r="K1666">
        <v>100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100</v>
      </c>
      <c r="AH1666">
        <v>1</v>
      </c>
      <c r="AI1666">
        <v>0</v>
      </c>
      <c r="AJ1666">
        <v>0</v>
      </c>
      <c r="AK1666">
        <v>100</v>
      </c>
      <c r="AL1666">
        <v>0</v>
      </c>
      <c r="AM1666">
        <v>0</v>
      </c>
      <c r="AN1666">
        <v>0</v>
      </c>
      <c r="AO1666">
        <v>0</v>
      </c>
      <c r="AQ1666">
        <v>0</v>
      </c>
      <c r="AR1666">
        <v>0</v>
      </c>
      <c r="AT1666">
        <v>0</v>
      </c>
      <c r="AU1666">
        <v>0</v>
      </c>
      <c r="AW1666">
        <v>0</v>
      </c>
      <c r="AX1666">
        <v>0</v>
      </c>
      <c r="AY1666">
        <v>70</v>
      </c>
      <c r="BC1666" t="str">
        <f>T("9791196538927")</f>
        <v>9791196538927</v>
      </c>
      <c r="BE1666" t="str">
        <f>T("판타지 웹소설 &gt; 현대 판타지")</f>
        <v>판타지 웹소설 &gt; 현대 판타지</v>
      </c>
    </row>
    <row r="1667" spans="1:57" x14ac:dyDescent="0.3">
      <c r="A1667">
        <v>1525007923</v>
      </c>
      <c r="B1667">
        <v>1525007901</v>
      </c>
      <c r="C1667" t="str">
        <f>T("운상연담: 화불능귀일락 102화")</f>
        <v>운상연담: 화불능귀일락 102화</v>
      </c>
      <c r="D1667" t="str">
        <f>T("102")</f>
        <v>102</v>
      </c>
      <c r="E1667" t="str">
        <f>T("피모")</f>
        <v>피모</v>
      </c>
      <c r="H1667" t="str">
        <f>T("쉬라즈")</f>
        <v>쉬라즈</v>
      </c>
      <c r="I1667" t="str">
        <f>T("운상연담: 화불능귀일락")</f>
        <v>운상연담: 화불능귀일락</v>
      </c>
      <c r="J1667">
        <v>100</v>
      </c>
      <c r="K1667">
        <v>100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100</v>
      </c>
      <c r="AH1667">
        <v>1</v>
      </c>
      <c r="AI1667">
        <v>0</v>
      </c>
      <c r="AJ1667">
        <v>0</v>
      </c>
      <c r="AK1667">
        <v>100</v>
      </c>
      <c r="AL1667">
        <v>0</v>
      </c>
      <c r="AM1667">
        <v>0</v>
      </c>
      <c r="AN1667">
        <v>0</v>
      </c>
      <c r="AO1667">
        <v>0</v>
      </c>
      <c r="AQ1667">
        <v>0</v>
      </c>
      <c r="AR1667">
        <v>0</v>
      </c>
      <c r="AT1667">
        <v>0</v>
      </c>
      <c r="AU1667">
        <v>0</v>
      </c>
      <c r="AW1667">
        <v>0</v>
      </c>
      <c r="AX1667">
        <v>0</v>
      </c>
      <c r="AY1667">
        <v>70</v>
      </c>
      <c r="BC1667" t="str">
        <f>T("9791164896646")</f>
        <v>9791164896646</v>
      </c>
      <c r="BE1667" t="str">
        <f>T("로맨스 웹소설 &gt; 역사/시대물")</f>
        <v>로맨스 웹소설 &gt; 역사/시대물</v>
      </c>
    </row>
    <row r="1668" spans="1:57" x14ac:dyDescent="0.3">
      <c r="A1668">
        <v>1525012551</v>
      </c>
      <c r="B1668">
        <v>1525012658</v>
      </c>
      <c r="C1668" t="str">
        <f>T("개정판 | 바보가 만드는 멋진 세상 108화")</f>
        <v>개정판 | 바보가 만드는 멋진 세상 108화</v>
      </c>
      <c r="D1668" t="str">
        <f>T("108")</f>
        <v>108</v>
      </c>
      <c r="E1668" t="str">
        <f>T("백범(白帆)")</f>
        <v>백범(白帆)</v>
      </c>
      <c r="H1668" t="str">
        <f>T("에필로그")</f>
        <v>에필로그</v>
      </c>
      <c r="I1668" t="str">
        <f>T("개정판 | 바보가 만드는 멋진 세상")</f>
        <v>개정판 | 바보가 만드는 멋진 세상</v>
      </c>
      <c r="J1668">
        <v>100</v>
      </c>
      <c r="K1668">
        <v>100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100</v>
      </c>
      <c r="AH1668">
        <v>1</v>
      </c>
      <c r="AI1668">
        <v>0</v>
      </c>
      <c r="AJ1668">
        <v>0</v>
      </c>
      <c r="AK1668">
        <v>100</v>
      </c>
      <c r="AL1668">
        <v>0</v>
      </c>
      <c r="AM1668">
        <v>0</v>
      </c>
      <c r="AN1668">
        <v>0</v>
      </c>
      <c r="AO1668">
        <v>0</v>
      </c>
      <c r="AQ1668">
        <v>0</v>
      </c>
      <c r="AR1668">
        <v>0</v>
      </c>
      <c r="AT1668">
        <v>0</v>
      </c>
      <c r="AU1668">
        <v>0</v>
      </c>
      <c r="AW1668">
        <v>0</v>
      </c>
      <c r="AX1668">
        <v>0</v>
      </c>
      <c r="AY1668">
        <v>70</v>
      </c>
      <c r="BC1668" t="str">
        <f>T("9791166003493")</f>
        <v>9791166003493</v>
      </c>
      <c r="BE1668" t="str">
        <f>T("판타지 웹소설 &gt; 현대 판타지")</f>
        <v>판타지 웹소설 &gt; 현대 판타지</v>
      </c>
    </row>
    <row r="1669" spans="1:57" x14ac:dyDescent="0.3">
      <c r="A1669">
        <v>1525012551</v>
      </c>
      <c r="B1669">
        <v>1525012756</v>
      </c>
      <c r="C1669" t="str">
        <f>T("개정판 | 바보가 만드는 멋진 세상 206화")</f>
        <v>개정판 | 바보가 만드는 멋진 세상 206화</v>
      </c>
      <c r="D1669" t="str">
        <f>T("206")</f>
        <v>206</v>
      </c>
      <c r="E1669" t="str">
        <f>T("백범(白帆)")</f>
        <v>백범(白帆)</v>
      </c>
      <c r="H1669" t="str">
        <f>T("에필로그")</f>
        <v>에필로그</v>
      </c>
      <c r="I1669" t="str">
        <f>T("개정판 | 바보가 만드는 멋진 세상")</f>
        <v>개정판 | 바보가 만드는 멋진 세상</v>
      </c>
      <c r="J1669">
        <v>100</v>
      </c>
      <c r="K1669">
        <v>100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100</v>
      </c>
      <c r="AH1669">
        <v>1</v>
      </c>
      <c r="AI1669">
        <v>0</v>
      </c>
      <c r="AJ1669">
        <v>0</v>
      </c>
      <c r="AK1669">
        <v>100</v>
      </c>
      <c r="AL1669">
        <v>0</v>
      </c>
      <c r="AM1669">
        <v>0</v>
      </c>
      <c r="AN1669">
        <v>0</v>
      </c>
      <c r="AO1669">
        <v>0</v>
      </c>
      <c r="AQ1669">
        <v>0</v>
      </c>
      <c r="AR1669">
        <v>0</v>
      </c>
      <c r="AT1669">
        <v>0</v>
      </c>
      <c r="AU1669">
        <v>0</v>
      </c>
      <c r="AW1669">
        <v>0</v>
      </c>
      <c r="AX1669">
        <v>0</v>
      </c>
      <c r="AY1669">
        <v>70</v>
      </c>
      <c r="BC1669" t="str">
        <f>T("9791166003493")</f>
        <v>9791166003493</v>
      </c>
      <c r="BE1669" t="str">
        <f>T("판타지 웹소설 &gt; 현대 판타지")</f>
        <v>판타지 웹소설 &gt; 현대 판타지</v>
      </c>
    </row>
    <row r="1670" spans="1:57" x14ac:dyDescent="0.3">
      <c r="A1670">
        <v>1525004799</v>
      </c>
      <c r="B1670">
        <v>1525004829</v>
      </c>
      <c r="C1670" t="str">
        <f>T("검산도해 31화")</f>
        <v>검산도해 31화</v>
      </c>
      <c r="D1670" t="str">
        <f>T("31")</f>
        <v>31</v>
      </c>
      <c r="E1670" t="str">
        <f>T("권용찬")</f>
        <v>권용찬</v>
      </c>
      <c r="H1670" t="str">
        <f>T("스토리위즈")</f>
        <v>스토리위즈</v>
      </c>
      <c r="I1670" t="str">
        <f>T("검산도해")</f>
        <v>검산도해</v>
      </c>
      <c r="J1670">
        <v>100</v>
      </c>
      <c r="K1670">
        <v>100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100</v>
      </c>
      <c r="AH1670">
        <v>1</v>
      </c>
      <c r="AI1670">
        <v>0</v>
      </c>
      <c r="AJ1670">
        <v>0</v>
      </c>
      <c r="AK1670">
        <v>0</v>
      </c>
      <c r="AL1670">
        <v>0</v>
      </c>
      <c r="AM1670">
        <v>120</v>
      </c>
      <c r="AN1670">
        <v>-12</v>
      </c>
      <c r="AO1670">
        <v>0</v>
      </c>
      <c r="AQ1670">
        <v>0</v>
      </c>
      <c r="AR1670">
        <v>0</v>
      </c>
      <c r="AS1670">
        <v>120</v>
      </c>
      <c r="AT1670">
        <v>-12</v>
      </c>
      <c r="AU1670">
        <v>0</v>
      </c>
      <c r="AW1670">
        <v>0</v>
      </c>
      <c r="AX1670">
        <v>0</v>
      </c>
      <c r="AY1670">
        <v>75.599999999999994</v>
      </c>
      <c r="BC1670" t="str">
        <f>T("9791159285936")</f>
        <v>9791159285936</v>
      </c>
      <c r="BE1670" t="str">
        <f>T("판타지 웹소설 &gt; 무협 소설")</f>
        <v>판타지 웹소설 &gt; 무협 소설</v>
      </c>
    </row>
    <row r="1671" spans="1:57" x14ac:dyDescent="0.3">
      <c r="A1671">
        <v>1525004799</v>
      </c>
      <c r="B1671">
        <v>1525004886</v>
      </c>
      <c r="C1671" t="str">
        <f>T("검산도해 88화")</f>
        <v>검산도해 88화</v>
      </c>
      <c r="D1671" t="str">
        <f>T("88")</f>
        <v>88</v>
      </c>
      <c r="E1671" t="str">
        <f>T("권용찬")</f>
        <v>권용찬</v>
      </c>
      <c r="H1671" t="str">
        <f>T("스토리위즈")</f>
        <v>스토리위즈</v>
      </c>
      <c r="I1671" t="str">
        <f>T("검산도해")</f>
        <v>검산도해</v>
      </c>
      <c r="J1671">
        <v>100</v>
      </c>
      <c r="K1671">
        <v>100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100</v>
      </c>
      <c r="AH1671">
        <v>1</v>
      </c>
      <c r="AI1671">
        <v>0</v>
      </c>
      <c r="AJ1671">
        <v>0</v>
      </c>
      <c r="AK1671">
        <v>0</v>
      </c>
      <c r="AL1671">
        <v>0</v>
      </c>
      <c r="AM1671">
        <v>120</v>
      </c>
      <c r="AN1671">
        <v>-12</v>
      </c>
      <c r="AO1671">
        <v>0</v>
      </c>
      <c r="AQ1671">
        <v>0</v>
      </c>
      <c r="AR1671">
        <v>0</v>
      </c>
      <c r="AS1671">
        <v>120</v>
      </c>
      <c r="AT1671">
        <v>-12</v>
      </c>
      <c r="AU1671">
        <v>0</v>
      </c>
      <c r="AW1671">
        <v>0</v>
      </c>
      <c r="AX1671">
        <v>0</v>
      </c>
      <c r="AY1671">
        <v>75.599999999999994</v>
      </c>
      <c r="BC1671" t="str">
        <f>T("9791159285936")</f>
        <v>9791159285936</v>
      </c>
      <c r="BE1671" t="str">
        <f>T("판타지 웹소설 &gt; 무협 소설")</f>
        <v>판타지 웹소설 &gt; 무협 소설</v>
      </c>
    </row>
    <row r="1672" spans="1:57" x14ac:dyDescent="0.3">
      <c r="A1672">
        <v>1525000924</v>
      </c>
      <c r="B1672">
        <v>1525000982</v>
      </c>
      <c r="C1672" t="str">
        <f>T("스피릿 소드 59화")</f>
        <v>스피릿 소드 59화</v>
      </c>
      <c r="D1672" t="str">
        <f>T("59")</f>
        <v>59</v>
      </c>
      <c r="E1672" t="str">
        <f>T("김정률")</f>
        <v>김정률</v>
      </c>
      <c r="H1672" t="str">
        <f>T("스토리위즈")</f>
        <v>스토리위즈</v>
      </c>
      <c r="I1672" t="str">
        <f>T("스피릿 소드")</f>
        <v>스피릿 소드</v>
      </c>
      <c r="J1672">
        <v>100</v>
      </c>
      <c r="K1672">
        <v>100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100</v>
      </c>
      <c r="AH1672">
        <v>1</v>
      </c>
      <c r="AI1672">
        <v>0</v>
      </c>
      <c r="AJ1672">
        <v>0</v>
      </c>
      <c r="AK1672">
        <v>100</v>
      </c>
      <c r="AL1672">
        <v>0</v>
      </c>
      <c r="AM1672">
        <v>0</v>
      </c>
      <c r="AN1672">
        <v>0</v>
      </c>
      <c r="AO1672">
        <v>0</v>
      </c>
      <c r="AQ1672">
        <v>0</v>
      </c>
      <c r="AR1672">
        <v>0</v>
      </c>
      <c r="AT1672">
        <v>0</v>
      </c>
      <c r="AU1672">
        <v>0</v>
      </c>
      <c r="AW1672">
        <v>0</v>
      </c>
      <c r="AX1672">
        <v>0</v>
      </c>
      <c r="AY1672">
        <v>70</v>
      </c>
      <c r="BA1672" t="str">
        <f>T("9791159282713")</f>
        <v>9791159282713</v>
      </c>
      <c r="BC1672" t="str">
        <f>T("9791159282713")</f>
        <v>9791159282713</v>
      </c>
      <c r="BE1672" t="str">
        <f>T("판타지 웹소설 &gt; 정통 판타지")</f>
        <v>판타지 웹소설 &gt; 정통 판타지</v>
      </c>
    </row>
    <row r="1673" spans="1:57" x14ac:dyDescent="0.3">
      <c r="A1673">
        <v>1525004030</v>
      </c>
      <c r="B1673">
        <v>1525007073</v>
      </c>
      <c r="C1673" t="str">
        <f>T("회귀의 전설 2부 957화")</f>
        <v>회귀의 전설 2부 957화</v>
      </c>
      <c r="D1673" t="str">
        <f>T("957")</f>
        <v>957</v>
      </c>
      <c r="E1673" t="str">
        <f>T("김광수")</f>
        <v>김광수</v>
      </c>
      <c r="H1673" t="str">
        <f>T("스토리위즈")</f>
        <v>스토리위즈</v>
      </c>
      <c r="I1673" t="str">
        <f>T("회귀의 전설")</f>
        <v>회귀의 전설</v>
      </c>
      <c r="J1673">
        <v>100</v>
      </c>
      <c r="K1673">
        <v>100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100</v>
      </c>
      <c r="AH1673">
        <v>1</v>
      </c>
      <c r="AI1673">
        <v>0</v>
      </c>
      <c r="AJ1673">
        <v>0</v>
      </c>
      <c r="AK1673">
        <v>100</v>
      </c>
      <c r="AL1673">
        <v>0</v>
      </c>
      <c r="AM1673">
        <v>0</v>
      </c>
      <c r="AN1673">
        <v>0</v>
      </c>
      <c r="AO1673">
        <v>0</v>
      </c>
      <c r="AQ1673">
        <v>0</v>
      </c>
      <c r="AR1673">
        <v>0</v>
      </c>
      <c r="AT1673">
        <v>0</v>
      </c>
      <c r="AU1673">
        <v>0</v>
      </c>
      <c r="AW1673">
        <v>0</v>
      </c>
      <c r="AX1673">
        <v>0</v>
      </c>
      <c r="AY1673">
        <v>70</v>
      </c>
      <c r="BC1673" t="str">
        <f>T("9791191102086")</f>
        <v>9791191102086</v>
      </c>
      <c r="BE1673" t="str">
        <f>T("판타지 웹소설 &gt; 현대 판타지")</f>
        <v>판타지 웹소설 &gt; 현대 판타지</v>
      </c>
    </row>
    <row r="1674" spans="1:57" x14ac:dyDescent="0.3">
      <c r="A1674">
        <v>1525004030</v>
      </c>
      <c r="B1674">
        <v>1525004544</v>
      </c>
      <c r="C1674" t="str">
        <f>T("회귀의 전설 521화")</f>
        <v>회귀의 전설 521화</v>
      </c>
      <c r="D1674" t="str">
        <f>T("521")</f>
        <v>521</v>
      </c>
      <c r="E1674" t="str">
        <f>T("김광수")</f>
        <v>김광수</v>
      </c>
      <c r="H1674" t="str">
        <f>T("스토리위즈")</f>
        <v>스토리위즈</v>
      </c>
      <c r="I1674" t="str">
        <f>T("회귀의 전설")</f>
        <v>회귀의 전설</v>
      </c>
      <c r="J1674">
        <v>100</v>
      </c>
      <c r="K1674">
        <v>100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100</v>
      </c>
      <c r="AH1674">
        <v>1</v>
      </c>
      <c r="AI1674">
        <v>0</v>
      </c>
      <c r="AJ1674">
        <v>0</v>
      </c>
      <c r="AK1674">
        <v>100</v>
      </c>
      <c r="AL1674">
        <v>0</v>
      </c>
      <c r="AM1674">
        <v>0</v>
      </c>
      <c r="AN1674">
        <v>0</v>
      </c>
      <c r="AO1674">
        <v>0</v>
      </c>
      <c r="AQ1674">
        <v>0</v>
      </c>
      <c r="AR1674">
        <v>0</v>
      </c>
      <c r="AT1674">
        <v>0</v>
      </c>
      <c r="AU1674">
        <v>0</v>
      </c>
      <c r="AW1674">
        <v>0</v>
      </c>
      <c r="AX1674">
        <v>0</v>
      </c>
      <c r="AY1674">
        <v>70</v>
      </c>
      <c r="BC1674" t="str">
        <f>T("9788997946006")</f>
        <v>9788997946006</v>
      </c>
      <c r="BE1674" t="str">
        <f>T("판타지 웹소설 &gt; 현대 판타지")</f>
        <v>판타지 웹소설 &gt; 현대 판타지</v>
      </c>
    </row>
    <row r="1675" spans="1:57" x14ac:dyDescent="0.3">
      <c r="A1675">
        <v>1525015018</v>
      </c>
      <c r="B1675">
        <v>1525015033</v>
      </c>
      <c r="C1675" t="str">
        <f>T("그녀들은 소꿉친구지, 그 이상은 곤란합니다 16화")</f>
        <v>그녀들은 소꿉친구지, 그 이상은 곤란합니다 16화</v>
      </c>
      <c r="D1675" t="str">
        <f>T("16")</f>
        <v>16</v>
      </c>
      <c r="E1675" t="str">
        <f>T("자이오")</f>
        <v>자이오</v>
      </c>
      <c r="H1675" t="str">
        <f>T("스토리아크")</f>
        <v>스토리아크</v>
      </c>
      <c r="I1675" t="str">
        <f>T("그녀들은 소꿉친구지, 그 이상은 곤란합니다")</f>
        <v>그녀들은 소꿉친구지, 그 이상은 곤란합니다</v>
      </c>
      <c r="J1675">
        <v>100</v>
      </c>
      <c r="K1675">
        <v>100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100</v>
      </c>
      <c r="AH1675">
        <v>1</v>
      </c>
      <c r="AI1675">
        <v>0</v>
      </c>
      <c r="AJ1675">
        <v>0</v>
      </c>
      <c r="AK1675">
        <v>100</v>
      </c>
      <c r="AL1675">
        <v>0</v>
      </c>
      <c r="AM1675">
        <v>0</v>
      </c>
      <c r="AN1675">
        <v>0</v>
      </c>
      <c r="AO1675">
        <v>0</v>
      </c>
      <c r="AQ1675">
        <v>0</v>
      </c>
      <c r="AR1675">
        <v>0</v>
      </c>
      <c r="AT1675">
        <v>0</v>
      </c>
      <c r="AU1675">
        <v>0</v>
      </c>
      <c r="AW1675">
        <v>0</v>
      </c>
      <c r="AX1675">
        <v>0</v>
      </c>
      <c r="AY1675">
        <v>70</v>
      </c>
      <c r="BC1675" t="str">
        <f>T("9791191039313")</f>
        <v>9791191039313</v>
      </c>
      <c r="BE1675" t="str">
        <f>T("판타지 웹소설 &gt; 퓨전 판타지")</f>
        <v>판타지 웹소설 &gt; 퓨전 판타지</v>
      </c>
    </row>
    <row r="1676" spans="1:57" x14ac:dyDescent="0.3">
      <c r="A1676">
        <v>1525002864</v>
      </c>
      <c r="B1676">
        <v>1525002896</v>
      </c>
      <c r="C1676" t="str">
        <f>T("소드마스터의 환생 33화")</f>
        <v>소드마스터의 환생 33화</v>
      </c>
      <c r="D1676" t="str">
        <f>T("33")</f>
        <v>33</v>
      </c>
      <c r="E1676" t="str">
        <f>T("파란영")</f>
        <v>파란영</v>
      </c>
      <c r="H1676" t="str">
        <f>T("스토리위즈")</f>
        <v>스토리위즈</v>
      </c>
      <c r="I1676" t="str">
        <f>T("소드마스터의 환생")</f>
        <v>소드마스터의 환생</v>
      </c>
      <c r="J1676">
        <v>100</v>
      </c>
      <c r="K1676">
        <v>100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100</v>
      </c>
      <c r="AH1676">
        <v>1</v>
      </c>
      <c r="AI1676">
        <v>0</v>
      </c>
      <c r="AJ1676">
        <v>0</v>
      </c>
      <c r="AK1676">
        <v>100</v>
      </c>
      <c r="AL1676">
        <v>0</v>
      </c>
      <c r="AM1676">
        <v>0</v>
      </c>
      <c r="AN1676">
        <v>0</v>
      </c>
      <c r="AO1676">
        <v>0</v>
      </c>
      <c r="AQ1676">
        <v>0</v>
      </c>
      <c r="AR1676">
        <v>0</v>
      </c>
      <c r="AT1676">
        <v>0</v>
      </c>
      <c r="AU1676">
        <v>0</v>
      </c>
      <c r="AW1676">
        <v>0</v>
      </c>
      <c r="AX1676">
        <v>0</v>
      </c>
      <c r="AY1676">
        <v>70</v>
      </c>
      <c r="BC1676" t="str">
        <f>T("9791159287527")</f>
        <v>9791159287527</v>
      </c>
      <c r="BE1676" t="str">
        <f>T("판타지 웹소설 &gt; 정통 판타지")</f>
        <v>판타지 웹소설 &gt; 정통 판타지</v>
      </c>
    </row>
    <row r="1677" spans="1:57" x14ac:dyDescent="0.3">
      <c r="A1677">
        <v>1525013020</v>
      </c>
      <c r="B1677">
        <v>1525013114</v>
      </c>
      <c r="C1677" t="str">
        <f>T("악당의 리턴 95화")</f>
        <v>악당의 리턴 95화</v>
      </c>
      <c r="D1677" t="str">
        <f>T("95")</f>
        <v>95</v>
      </c>
      <c r="E1677" t="str">
        <f>T("백범(白帆)")</f>
        <v>백범(白帆)</v>
      </c>
      <c r="H1677" t="str">
        <f>T("에필로그")</f>
        <v>에필로그</v>
      </c>
      <c r="I1677" t="str">
        <f>T("악당의 리턴")</f>
        <v>악당의 리턴</v>
      </c>
      <c r="J1677">
        <v>100</v>
      </c>
      <c r="K1677">
        <v>100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100</v>
      </c>
      <c r="AH1677">
        <v>1</v>
      </c>
      <c r="AI1677">
        <v>0</v>
      </c>
      <c r="AJ1677">
        <v>0</v>
      </c>
      <c r="AK1677">
        <v>100</v>
      </c>
      <c r="AL1677">
        <v>0</v>
      </c>
      <c r="AM1677">
        <v>0</v>
      </c>
      <c r="AN1677">
        <v>0</v>
      </c>
      <c r="AO1677">
        <v>0</v>
      </c>
      <c r="AQ1677">
        <v>0</v>
      </c>
      <c r="AR1677">
        <v>0</v>
      </c>
      <c r="AT1677">
        <v>0</v>
      </c>
      <c r="AU1677">
        <v>0</v>
      </c>
      <c r="AW1677">
        <v>0</v>
      </c>
      <c r="AX1677">
        <v>0</v>
      </c>
      <c r="AY1677">
        <v>70</v>
      </c>
      <c r="BC1677" t="str">
        <f>T("9791196538927")</f>
        <v>9791196538927</v>
      </c>
      <c r="BE1677" t="str">
        <f>T("판타지 웹소설 &gt; 현대 판타지")</f>
        <v>판타지 웹소설 &gt; 현대 판타지</v>
      </c>
    </row>
    <row r="1678" spans="1:57" x14ac:dyDescent="0.3">
      <c r="A1678">
        <v>1525008717</v>
      </c>
      <c r="B1678">
        <v>1525008699</v>
      </c>
      <c r="C1678" t="str">
        <f>T("음양상열지사 111화")</f>
        <v>음양상열지사 111화</v>
      </c>
      <c r="D1678" t="str">
        <f>T("111")</f>
        <v>111</v>
      </c>
      <c r="E1678" t="str">
        <f>T("이염")</f>
        <v>이염</v>
      </c>
      <c r="H1678" t="str">
        <f>T("블러쉬")</f>
        <v>블러쉬</v>
      </c>
      <c r="I1678" t="str">
        <f>T("음양상열지사")</f>
        <v>음양상열지사</v>
      </c>
      <c r="J1678">
        <v>100</v>
      </c>
      <c r="K1678">
        <v>100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100</v>
      </c>
      <c r="AH1678">
        <v>1</v>
      </c>
      <c r="AI1678">
        <v>0</v>
      </c>
      <c r="AJ1678">
        <v>0</v>
      </c>
      <c r="AK1678">
        <v>100</v>
      </c>
      <c r="AL1678">
        <v>0</v>
      </c>
      <c r="AM1678">
        <v>0</v>
      </c>
      <c r="AN1678">
        <v>0</v>
      </c>
      <c r="AO1678">
        <v>0</v>
      </c>
      <c r="AQ1678">
        <v>0</v>
      </c>
      <c r="AR1678">
        <v>0</v>
      </c>
      <c r="AT1678">
        <v>0</v>
      </c>
      <c r="AU1678">
        <v>0</v>
      </c>
      <c r="AW1678">
        <v>0</v>
      </c>
      <c r="AX1678">
        <v>0</v>
      </c>
      <c r="AY1678">
        <v>70</v>
      </c>
      <c r="BA1678" t="str">
        <f>T("0000000000000")</f>
        <v>0000000000000</v>
      </c>
      <c r="BC1678" t="str">
        <f>T("9791164896639")</f>
        <v>9791164896639</v>
      </c>
      <c r="BE1678" t="str">
        <f>T("BL 웹소설 &gt; 역사/시대물")</f>
        <v>BL 웹소설 &gt; 역사/시대물</v>
      </c>
    </row>
    <row r="1679" spans="1:57" x14ac:dyDescent="0.3">
      <c r="A1679">
        <v>1525012551</v>
      </c>
      <c r="B1679">
        <v>1525012690</v>
      </c>
      <c r="C1679" t="str">
        <f>T("개정판 | 바보가 만드는 멋진 세상 140화")</f>
        <v>개정판 | 바보가 만드는 멋진 세상 140화</v>
      </c>
      <c r="D1679" t="str">
        <f>T("140")</f>
        <v>140</v>
      </c>
      <c r="E1679" t="str">
        <f>T("백범(白帆)")</f>
        <v>백범(白帆)</v>
      </c>
      <c r="H1679" t="str">
        <f>T("에필로그")</f>
        <v>에필로그</v>
      </c>
      <c r="I1679" t="str">
        <f>T("개정판 | 바보가 만드는 멋진 세상")</f>
        <v>개정판 | 바보가 만드는 멋진 세상</v>
      </c>
      <c r="J1679">
        <v>100</v>
      </c>
      <c r="K1679">
        <v>100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100</v>
      </c>
      <c r="AH1679">
        <v>1</v>
      </c>
      <c r="AI1679">
        <v>0</v>
      </c>
      <c r="AJ1679">
        <v>0</v>
      </c>
      <c r="AK1679">
        <v>100</v>
      </c>
      <c r="AL1679">
        <v>0</v>
      </c>
      <c r="AM1679">
        <v>0</v>
      </c>
      <c r="AN1679">
        <v>0</v>
      </c>
      <c r="AO1679">
        <v>0</v>
      </c>
      <c r="AQ1679">
        <v>0</v>
      </c>
      <c r="AR1679">
        <v>0</v>
      </c>
      <c r="AT1679">
        <v>0</v>
      </c>
      <c r="AU1679">
        <v>0</v>
      </c>
      <c r="AW1679">
        <v>0</v>
      </c>
      <c r="AX1679">
        <v>0</v>
      </c>
      <c r="AY1679">
        <v>70</v>
      </c>
      <c r="BC1679" t="str">
        <f>T("9791166003493")</f>
        <v>9791166003493</v>
      </c>
      <c r="BE1679" t="str">
        <f>T("판타지 웹소설 &gt; 현대 판타지")</f>
        <v>판타지 웹소설 &gt; 현대 판타지</v>
      </c>
    </row>
    <row r="1680" spans="1:57" x14ac:dyDescent="0.3">
      <c r="A1680">
        <v>1525004799</v>
      </c>
      <c r="B1680">
        <v>1525004861</v>
      </c>
      <c r="C1680" t="str">
        <f>T("검산도해 63화")</f>
        <v>검산도해 63화</v>
      </c>
      <c r="D1680" t="str">
        <f>T("63")</f>
        <v>63</v>
      </c>
      <c r="E1680" t="str">
        <f>T("권용찬")</f>
        <v>권용찬</v>
      </c>
      <c r="H1680" t="str">
        <f>T("스토리위즈")</f>
        <v>스토리위즈</v>
      </c>
      <c r="I1680" t="str">
        <f>T("검산도해")</f>
        <v>검산도해</v>
      </c>
      <c r="J1680">
        <v>100</v>
      </c>
      <c r="K1680">
        <v>100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100</v>
      </c>
      <c r="AH1680">
        <v>1</v>
      </c>
      <c r="AI1680">
        <v>0</v>
      </c>
      <c r="AJ1680">
        <v>0</v>
      </c>
      <c r="AK1680">
        <v>0</v>
      </c>
      <c r="AL1680">
        <v>0</v>
      </c>
      <c r="AM1680">
        <v>120</v>
      </c>
      <c r="AN1680">
        <v>-12</v>
      </c>
      <c r="AO1680">
        <v>0</v>
      </c>
      <c r="AQ1680">
        <v>0</v>
      </c>
      <c r="AR1680">
        <v>0</v>
      </c>
      <c r="AS1680">
        <v>120</v>
      </c>
      <c r="AT1680">
        <v>-12</v>
      </c>
      <c r="AU1680">
        <v>0</v>
      </c>
      <c r="AW1680">
        <v>0</v>
      </c>
      <c r="AX1680">
        <v>0</v>
      </c>
      <c r="AY1680">
        <v>75.599999999999994</v>
      </c>
      <c r="BC1680" t="str">
        <f>T("9791159285936")</f>
        <v>9791159285936</v>
      </c>
      <c r="BE1680" t="str">
        <f>T("판타지 웹소설 &gt; 무협 소설")</f>
        <v>판타지 웹소설 &gt; 무협 소설</v>
      </c>
    </row>
    <row r="1681" spans="1:57" x14ac:dyDescent="0.3">
      <c r="A1681">
        <v>1525004799</v>
      </c>
      <c r="B1681">
        <v>1525004918</v>
      </c>
      <c r="C1681" t="str">
        <f>T("검산도해 120화")</f>
        <v>검산도해 120화</v>
      </c>
      <c r="D1681" t="str">
        <f>T("120")</f>
        <v>120</v>
      </c>
      <c r="E1681" t="str">
        <f>T("권용찬")</f>
        <v>권용찬</v>
      </c>
      <c r="H1681" t="str">
        <f>T("스토리위즈")</f>
        <v>스토리위즈</v>
      </c>
      <c r="I1681" t="str">
        <f>T("검산도해")</f>
        <v>검산도해</v>
      </c>
      <c r="J1681">
        <v>100</v>
      </c>
      <c r="K1681">
        <v>100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100</v>
      </c>
      <c r="AH1681">
        <v>1</v>
      </c>
      <c r="AI1681">
        <v>0</v>
      </c>
      <c r="AJ1681">
        <v>0</v>
      </c>
      <c r="AK1681">
        <v>14</v>
      </c>
      <c r="AL1681">
        <v>0</v>
      </c>
      <c r="AM1681">
        <v>103.2</v>
      </c>
      <c r="AN1681">
        <v>-10.32</v>
      </c>
      <c r="AO1681">
        <v>0</v>
      </c>
      <c r="AQ1681">
        <v>0</v>
      </c>
      <c r="AR1681">
        <v>0</v>
      </c>
      <c r="AS1681">
        <v>103.2</v>
      </c>
      <c r="AT1681">
        <v>-10.32</v>
      </c>
      <c r="AU1681">
        <v>0</v>
      </c>
      <c r="AW1681">
        <v>0</v>
      </c>
      <c r="AX1681">
        <v>0</v>
      </c>
      <c r="AY1681">
        <v>74.819999999999993</v>
      </c>
      <c r="BC1681" t="str">
        <f>T("9791159285936")</f>
        <v>9791159285936</v>
      </c>
      <c r="BE1681" t="str">
        <f>T("판타지 웹소설 &gt; 무협 소설")</f>
        <v>판타지 웹소설 &gt; 무협 소설</v>
      </c>
    </row>
    <row r="1682" spans="1:57" x14ac:dyDescent="0.3">
      <c r="A1682">
        <v>1525004030</v>
      </c>
      <c r="B1682">
        <v>1525007105</v>
      </c>
      <c r="C1682" t="str">
        <f>T("회귀의 전설 2부 989화")</f>
        <v>회귀의 전설 2부 989화</v>
      </c>
      <c r="D1682" t="str">
        <f>T("989")</f>
        <v>989</v>
      </c>
      <c r="E1682" t="str">
        <f>T("김광수")</f>
        <v>김광수</v>
      </c>
      <c r="H1682" t="str">
        <f>T("스토리위즈")</f>
        <v>스토리위즈</v>
      </c>
      <c r="I1682" t="str">
        <f>T("회귀의 전설")</f>
        <v>회귀의 전설</v>
      </c>
      <c r="J1682">
        <v>100</v>
      </c>
      <c r="K1682">
        <v>100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100</v>
      </c>
      <c r="AH1682">
        <v>1</v>
      </c>
      <c r="AI1682">
        <v>0</v>
      </c>
      <c r="AJ1682">
        <v>0</v>
      </c>
      <c r="AK1682">
        <v>100</v>
      </c>
      <c r="AL1682">
        <v>0</v>
      </c>
      <c r="AM1682">
        <v>0</v>
      </c>
      <c r="AN1682">
        <v>0</v>
      </c>
      <c r="AO1682">
        <v>0</v>
      </c>
      <c r="AQ1682">
        <v>0</v>
      </c>
      <c r="AR1682">
        <v>0</v>
      </c>
      <c r="AT1682">
        <v>0</v>
      </c>
      <c r="AU1682">
        <v>0</v>
      </c>
      <c r="AW1682">
        <v>0</v>
      </c>
      <c r="AX1682">
        <v>0</v>
      </c>
      <c r="AY1682">
        <v>70</v>
      </c>
      <c r="BC1682" t="str">
        <f>T("9791191102086")</f>
        <v>9791191102086</v>
      </c>
      <c r="BE1682" t="str">
        <f>T("판타지 웹소설 &gt; 현대 판타지")</f>
        <v>판타지 웹소설 &gt; 현대 판타지</v>
      </c>
    </row>
    <row r="1683" spans="1:57" x14ac:dyDescent="0.3">
      <c r="A1683">
        <v>1525011523</v>
      </c>
      <c r="B1683">
        <v>1525011219</v>
      </c>
      <c r="C1683" t="str">
        <f>T("남창목가 305화")</f>
        <v>남창목가 305화</v>
      </c>
      <c r="D1683" t="str">
        <f>T("305")</f>
        <v>305</v>
      </c>
      <c r="E1683" t="str">
        <f>T("최재봉")</f>
        <v>최재봉</v>
      </c>
      <c r="H1683" t="str">
        <f>T("에필로그")</f>
        <v>에필로그</v>
      </c>
      <c r="I1683" t="str">
        <f>T("남창목가")</f>
        <v>남창목가</v>
      </c>
      <c r="J1683">
        <v>100</v>
      </c>
      <c r="K1683">
        <v>100</v>
      </c>
      <c r="L1683">
        <v>1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100</v>
      </c>
      <c r="AH1683">
        <v>1</v>
      </c>
      <c r="AI1683">
        <v>0</v>
      </c>
      <c r="AJ1683">
        <v>0</v>
      </c>
      <c r="AK1683">
        <v>0</v>
      </c>
      <c r="AL1683">
        <v>0</v>
      </c>
      <c r="AM1683">
        <v>120</v>
      </c>
      <c r="AN1683">
        <v>-12</v>
      </c>
      <c r="AO1683">
        <v>0</v>
      </c>
      <c r="AQ1683">
        <v>0</v>
      </c>
      <c r="AR1683">
        <v>0</v>
      </c>
      <c r="AS1683">
        <v>120</v>
      </c>
      <c r="AT1683">
        <v>-12</v>
      </c>
      <c r="AU1683">
        <v>0</v>
      </c>
      <c r="AW1683">
        <v>0</v>
      </c>
      <c r="AX1683">
        <v>0</v>
      </c>
      <c r="AY1683">
        <v>75.599999999999994</v>
      </c>
      <c r="BC1683" t="str">
        <f>T("9791164482849")</f>
        <v>9791164482849</v>
      </c>
      <c r="BE1683" t="str">
        <f>T("판타지 웹소설 &gt; 무협 소설")</f>
        <v>판타지 웹소설 &gt; 무협 소설</v>
      </c>
    </row>
    <row r="1684" spans="1:57" x14ac:dyDescent="0.3">
      <c r="A1684">
        <v>1525000569</v>
      </c>
      <c r="B1684">
        <v>1525000607</v>
      </c>
      <c r="C1684" t="str">
        <f>T("스트라이커 39화")</f>
        <v>스트라이커 39화</v>
      </c>
      <c r="D1684" t="str">
        <f>T("39")</f>
        <v>39</v>
      </c>
      <c r="E1684" t="str">
        <f>T("독고진")</f>
        <v>독고진</v>
      </c>
      <c r="H1684" t="str">
        <f>T("스토리위즈")</f>
        <v>스토리위즈</v>
      </c>
      <c r="I1684" t="str">
        <f>T("스트라이커")</f>
        <v>스트라이커</v>
      </c>
      <c r="J1684">
        <v>100</v>
      </c>
      <c r="K1684">
        <v>100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100</v>
      </c>
      <c r="AH1684">
        <v>1</v>
      </c>
      <c r="AI1684">
        <v>0</v>
      </c>
      <c r="AJ1684">
        <v>0</v>
      </c>
      <c r="AK1684">
        <v>100</v>
      </c>
      <c r="AL1684">
        <v>0</v>
      </c>
      <c r="AM1684">
        <v>0</v>
      </c>
      <c r="AN1684">
        <v>0</v>
      </c>
      <c r="AO1684">
        <v>0</v>
      </c>
      <c r="AQ1684">
        <v>0</v>
      </c>
      <c r="AR1684">
        <v>0</v>
      </c>
      <c r="AT1684">
        <v>0</v>
      </c>
      <c r="AU1684">
        <v>0</v>
      </c>
      <c r="AW1684">
        <v>0</v>
      </c>
      <c r="AX1684">
        <v>0</v>
      </c>
      <c r="AY1684">
        <v>70</v>
      </c>
      <c r="BC1684" t="str">
        <f>T("9791170151678")</f>
        <v>9791170151678</v>
      </c>
      <c r="BE1684" t="str">
        <f>T("판타지 웹소설 &gt; 현대 판타지")</f>
        <v>판타지 웹소설 &gt; 현대 판타지</v>
      </c>
    </row>
    <row r="1685" spans="1:57" x14ac:dyDescent="0.3">
      <c r="A1685">
        <v>1525011523</v>
      </c>
      <c r="B1685">
        <v>1525010998</v>
      </c>
      <c r="C1685" t="str">
        <f>T("남창목가 외전 494화")</f>
        <v>남창목가 외전 494화</v>
      </c>
      <c r="D1685" t="str">
        <f>T("494")</f>
        <v>494</v>
      </c>
      <c r="E1685" t="str">
        <f>T("최재봉")</f>
        <v>최재봉</v>
      </c>
      <c r="H1685" t="str">
        <f>T("에필로그")</f>
        <v>에필로그</v>
      </c>
      <c r="I1685" t="str">
        <f>T("남창목가")</f>
        <v>남창목가</v>
      </c>
      <c r="J1685">
        <v>100</v>
      </c>
      <c r="K1685">
        <v>100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100</v>
      </c>
      <c r="AH1685">
        <v>1</v>
      </c>
      <c r="AI1685">
        <v>0</v>
      </c>
      <c r="AJ1685">
        <v>0</v>
      </c>
      <c r="AK1685">
        <v>0</v>
      </c>
      <c r="AL1685">
        <v>0</v>
      </c>
      <c r="AM1685">
        <v>120</v>
      </c>
      <c r="AN1685">
        <v>-12</v>
      </c>
      <c r="AO1685">
        <v>0</v>
      </c>
      <c r="AQ1685">
        <v>0</v>
      </c>
      <c r="AR1685">
        <v>0</v>
      </c>
      <c r="AS1685">
        <v>120</v>
      </c>
      <c r="AT1685">
        <v>-12</v>
      </c>
      <c r="AU1685">
        <v>0</v>
      </c>
      <c r="AW1685">
        <v>0</v>
      </c>
      <c r="AX1685">
        <v>0</v>
      </c>
      <c r="AY1685">
        <v>75.599999999999994</v>
      </c>
      <c r="BC1685" t="str">
        <f>T("9791164482849")</f>
        <v>9791164482849</v>
      </c>
      <c r="BE1685" t="str">
        <f>T("판타지 웹소설 &gt; 무협 소설")</f>
        <v>판타지 웹소설 &gt; 무협 소설</v>
      </c>
    </row>
    <row r="1686" spans="1:57" x14ac:dyDescent="0.3">
      <c r="A1686">
        <v>1525011523</v>
      </c>
      <c r="B1686">
        <v>1525011338</v>
      </c>
      <c r="C1686" t="str">
        <f>T("남창목가 186화")</f>
        <v>남창목가 186화</v>
      </c>
      <c r="D1686" t="str">
        <f>T("186")</f>
        <v>186</v>
      </c>
      <c r="E1686" t="str">
        <f>T("최재봉")</f>
        <v>최재봉</v>
      </c>
      <c r="H1686" t="str">
        <f>T("에필로그")</f>
        <v>에필로그</v>
      </c>
      <c r="I1686" t="str">
        <f>T("남창목가")</f>
        <v>남창목가</v>
      </c>
      <c r="J1686">
        <v>100</v>
      </c>
      <c r="K1686">
        <v>100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100</v>
      </c>
      <c r="AH1686">
        <v>1</v>
      </c>
      <c r="AI1686">
        <v>0</v>
      </c>
      <c r="AJ1686">
        <v>0</v>
      </c>
      <c r="AK1686">
        <v>0</v>
      </c>
      <c r="AL1686">
        <v>0</v>
      </c>
      <c r="AM1686">
        <v>120</v>
      </c>
      <c r="AN1686">
        <v>-12</v>
      </c>
      <c r="AO1686">
        <v>0</v>
      </c>
      <c r="AQ1686">
        <v>0</v>
      </c>
      <c r="AR1686">
        <v>0</v>
      </c>
      <c r="AS1686">
        <v>120</v>
      </c>
      <c r="AT1686">
        <v>-12</v>
      </c>
      <c r="AU1686">
        <v>0</v>
      </c>
      <c r="AW1686">
        <v>0</v>
      </c>
      <c r="AX1686">
        <v>0</v>
      </c>
      <c r="AY1686">
        <v>75.599999999999994</v>
      </c>
      <c r="BC1686" t="str">
        <f>T("9791164482849")</f>
        <v>9791164482849</v>
      </c>
      <c r="BE1686" t="str">
        <f>T("판타지 웹소설 &gt; 무협 소설")</f>
        <v>판타지 웹소설 &gt; 무협 소설</v>
      </c>
    </row>
    <row r="1687" spans="1:57" x14ac:dyDescent="0.3">
      <c r="A1687">
        <v>1525002125</v>
      </c>
      <c r="B1687">
        <v>1525002372</v>
      </c>
      <c r="C1687" t="str">
        <f>T("신을 죽이러 갑니다 248화")</f>
        <v>신을 죽이러 갑니다 248화</v>
      </c>
      <c r="D1687" t="str">
        <f>T("248")</f>
        <v>248</v>
      </c>
      <c r="E1687" t="str">
        <f>T("독고진")</f>
        <v>독고진</v>
      </c>
      <c r="H1687" t="str">
        <f>T("스토리위즈")</f>
        <v>스토리위즈</v>
      </c>
      <c r="I1687" t="str">
        <f>T("신을 죽이러 갑니다")</f>
        <v>신을 죽이러 갑니다</v>
      </c>
      <c r="J1687">
        <v>100</v>
      </c>
      <c r="K1687">
        <v>100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100</v>
      </c>
      <c r="AH1687">
        <v>1</v>
      </c>
      <c r="AI1687">
        <v>0</v>
      </c>
      <c r="AJ1687">
        <v>0</v>
      </c>
      <c r="AK1687">
        <v>0</v>
      </c>
      <c r="AL1687">
        <v>0</v>
      </c>
      <c r="AM1687">
        <v>120</v>
      </c>
      <c r="AN1687">
        <v>-36</v>
      </c>
      <c r="AO1687">
        <v>0</v>
      </c>
      <c r="AQ1687">
        <v>0</v>
      </c>
      <c r="AR1687">
        <v>0</v>
      </c>
      <c r="AS1687">
        <v>120</v>
      </c>
      <c r="AT1687">
        <v>-36</v>
      </c>
      <c r="AU1687">
        <v>0</v>
      </c>
      <c r="AW1687">
        <v>0</v>
      </c>
      <c r="AX1687">
        <v>0</v>
      </c>
      <c r="AY1687">
        <v>58.8</v>
      </c>
      <c r="BC1687" t="str">
        <f>T("9791159285806")</f>
        <v>9791159285806</v>
      </c>
      <c r="BE1687" t="str">
        <f>T("판타지 웹소설 &gt; 퓨전 판타지")</f>
        <v>판타지 웹소설 &gt; 퓨전 판타지</v>
      </c>
    </row>
    <row r="1688" spans="1:57" x14ac:dyDescent="0.3">
      <c r="A1688">
        <v>1525012551</v>
      </c>
      <c r="B1688">
        <v>1525012707</v>
      </c>
      <c r="C1688" t="str">
        <f>T("개정판 | 바보가 만드는 멋진 세상 157화")</f>
        <v>개정판 | 바보가 만드는 멋진 세상 157화</v>
      </c>
      <c r="D1688" t="str">
        <f>T("157")</f>
        <v>157</v>
      </c>
      <c r="E1688" t="str">
        <f>T("백범(白帆)")</f>
        <v>백범(白帆)</v>
      </c>
      <c r="H1688" t="str">
        <f>T("에필로그")</f>
        <v>에필로그</v>
      </c>
      <c r="I1688" t="str">
        <f>T("개정판 | 바보가 만드는 멋진 세상")</f>
        <v>개정판 | 바보가 만드는 멋진 세상</v>
      </c>
      <c r="J1688">
        <v>100</v>
      </c>
      <c r="K1688">
        <v>100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100</v>
      </c>
      <c r="AH1688">
        <v>1</v>
      </c>
      <c r="AI1688">
        <v>0</v>
      </c>
      <c r="AJ1688">
        <v>0</v>
      </c>
      <c r="AK1688">
        <v>100</v>
      </c>
      <c r="AL1688">
        <v>0</v>
      </c>
      <c r="AM1688">
        <v>0</v>
      </c>
      <c r="AN1688">
        <v>0</v>
      </c>
      <c r="AO1688">
        <v>0</v>
      </c>
      <c r="AQ1688">
        <v>0</v>
      </c>
      <c r="AR1688">
        <v>0</v>
      </c>
      <c r="AT1688">
        <v>0</v>
      </c>
      <c r="AU1688">
        <v>0</v>
      </c>
      <c r="AW1688">
        <v>0</v>
      </c>
      <c r="AX1688">
        <v>0</v>
      </c>
      <c r="AY1688">
        <v>70</v>
      </c>
      <c r="BC1688" t="str">
        <f>T("9791166003493")</f>
        <v>9791166003493</v>
      </c>
      <c r="BE1688" t="str">
        <f>T("판타지 웹소설 &gt; 현대 판타지")</f>
        <v>판타지 웹소설 &gt; 현대 판타지</v>
      </c>
    </row>
    <row r="1689" spans="1:57" x14ac:dyDescent="0.3">
      <c r="A1689">
        <v>1525004799</v>
      </c>
      <c r="B1689">
        <v>1525004907</v>
      </c>
      <c r="C1689" t="str">
        <f>T("검산도해 109화")</f>
        <v>검산도해 109화</v>
      </c>
      <c r="D1689" t="str">
        <f>T("109")</f>
        <v>109</v>
      </c>
      <c r="E1689" t="str">
        <f>T("권용찬")</f>
        <v>권용찬</v>
      </c>
      <c r="H1689" t="str">
        <f>T("스토리위즈")</f>
        <v>스토리위즈</v>
      </c>
      <c r="I1689" t="str">
        <f>T("검산도해")</f>
        <v>검산도해</v>
      </c>
      <c r="J1689">
        <v>100</v>
      </c>
      <c r="K1689">
        <v>100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100</v>
      </c>
      <c r="AH1689">
        <v>1</v>
      </c>
      <c r="AI1689">
        <v>0</v>
      </c>
      <c r="AJ1689">
        <v>0</v>
      </c>
      <c r="AK1689">
        <v>0</v>
      </c>
      <c r="AL1689">
        <v>0</v>
      </c>
      <c r="AM1689">
        <v>120</v>
      </c>
      <c r="AN1689">
        <v>-12</v>
      </c>
      <c r="AO1689">
        <v>0</v>
      </c>
      <c r="AQ1689">
        <v>0</v>
      </c>
      <c r="AR1689">
        <v>0</v>
      </c>
      <c r="AS1689">
        <v>120</v>
      </c>
      <c r="AT1689">
        <v>-12</v>
      </c>
      <c r="AU1689">
        <v>0</v>
      </c>
      <c r="AW1689">
        <v>0</v>
      </c>
      <c r="AX1689">
        <v>0</v>
      </c>
      <c r="AY1689">
        <v>75.599999999999994</v>
      </c>
      <c r="BC1689" t="str">
        <f>T("9791159285936")</f>
        <v>9791159285936</v>
      </c>
      <c r="BE1689" t="str">
        <f>T("판타지 웹소설 &gt; 무협 소설")</f>
        <v>판타지 웹소설 &gt; 무협 소설</v>
      </c>
    </row>
    <row r="1690" spans="1:57" x14ac:dyDescent="0.3">
      <c r="A1690">
        <v>1525004030</v>
      </c>
      <c r="B1690">
        <v>1525007094</v>
      </c>
      <c r="C1690" t="str">
        <f>T("회귀의 전설 2부 978화")</f>
        <v>회귀의 전설 2부 978화</v>
      </c>
      <c r="D1690" t="str">
        <f>T("978")</f>
        <v>978</v>
      </c>
      <c r="E1690" t="str">
        <f>T("김광수")</f>
        <v>김광수</v>
      </c>
      <c r="H1690" t="str">
        <f>T("스토리위즈")</f>
        <v>스토리위즈</v>
      </c>
      <c r="I1690" t="str">
        <f>T("회귀의 전설")</f>
        <v>회귀의 전설</v>
      </c>
      <c r="J1690">
        <v>100</v>
      </c>
      <c r="K1690">
        <v>100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100</v>
      </c>
      <c r="AH1690">
        <v>1</v>
      </c>
      <c r="AI1690">
        <v>0</v>
      </c>
      <c r="AJ1690">
        <v>0</v>
      </c>
      <c r="AK1690">
        <v>100</v>
      </c>
      <c r="AL1690">
        <v>0</v>
      </c>
      <c r="AM1690">
        <v>0</v>
      </c>
      <c r="AN1690">
        <v>0</v>
      </c>
      <c r="AO1690">
        <v>0</v>
      </c>
      <c r="AQ1690">
        <v>0</v>
      </c>
      <c r="AR1690">
        <v>0</v>
      </c>
      <c r="AT1690">
        <v>0</v>
      </c>
      <c r="AU1690">
        <v>0</v>
      </c>
      <c r="AW1690">
        <v>0</v>
      </c>
      <c r="AX1690">
        <v>0</v>
      </c>
      <c r="AY1690">
        <v>70</v>
      </c>
      <c r="BC1690" t="str">
        <f>T("9791191102086")</f>
        <v>9791191102086</v>
      </c>
      <c r="BE1690" t="str">
        <f>T("판타지 웹소설 &gt; 현대 판타지")</f>
        <v>판타지 웹소설 &gt; 현대 판타지</v>
      </c>
    </row>
    <row r="1691" spans="1:57" x14ac:dyDescent="0.3">
      <c r="A1691">
        <v>1525000569</v>
      </c>
      <c r="B1691">
        <v>1525000596</v>
      </c>
      <c r="C1691" t="str">
        <f>T("스트라이커 28화")</f>
        <v>스트라이커 28화</v>
      </c>
      <c r="D1691" t="str">
        <f>T("28")</f>
        <v>28</v>
      </c>
      <c r="E1691" t="str">
        <f>T("독고진")</f>
        <v>독고진</v>
      </c>
      <c r="H1691" t="str">
        <f>T("스토리위즈")</f>
        <v>스토리위즈</v>
      </c>
      <c r="I1691" t="str">
        <f>T("스트라이커")</f>
        <v>스트라이커</v>
      </c>
      <c r="J1691">
        <v>100</v>
      </c>
      <c r="K1691">
        <v>100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100</v>
      </c>
      <c r="AH1691">
        <v>1</v>
      </c>
      <c r="AI1691">
        <v>0</v>
      </c>
      <c r="AJ1691">
        <v>0</v>
      </c>
      <c r="AK1691">
        <v>100</v>
      </c>
      <c r="AL1691">
        <v>0</v>
      </c>
      <c r="AM1691">
        <v>0</v>
      </c>
      <c r="AN1691">
        <v>0</v>
      </c>
      <c r="AO1691">
        <v>0</v>
      </c>
      <c r="AQ1691">
        <v>0</v>
      </c>
      <c r="AR1691">
        <v>0</v>
      </c>
      <c r="AT1691">
        <v>0</v>
      </c>
      <c r="AU1691">
        <v>0</v>
      </c>
      <c r="AW1691">
        <v>0</v>
      </c>
      <c r="AX1691">
        <v>0</v>
      </c>
      <c r="AY1691">
        <v>70</v>
      </c>
      <c r="BC1691" t="str">
        <f>T("9791170151678")</f>
        <v>9791170151678</v>
      </c>
      <c r="BE1691" t="str">
        <f>T("판타지 웹소설 &gt; 현대 판타지")</f>
        <v>판타지 웹소설 &gt; 현대 판타지</v>
      </c>
    </row>
    <row r="1692" spans="1:57" x14ac:dyDescent="0.3">
      <c r="A1692">
        <v>1525011523</v>
      </c>
      <c r="B1692">
        <v>1525010987</v>
      </c>
      <c r="C1692" t="str">
        <f>T("남창목가 외전 505화")</f>
        <v>남창목가 외전 505화</v>
      </c>
      <c r="D1692" t="str">
        <f>T("505")</f>
        <v>505</v>
      </c>
      <c r="E1692" t="str">
        <f>T("최재봉")</f>
        <v>최재봉</v>
      </c>
      <c r="H1692" t="str">
        <f>T("에필로그")</f>
        <v>에필로그</v>
      </c>
      <c r="I1692" t="str">
        <f>T("남창목가")</f>
        <v>남창목가</v>
      </c>
      <c r="J1692">
        <v>100</v>
      </c>
      <c r="K1692">
        <v>100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100</v>
      </c>
      <c r="AH1692">
        <v>1</v>
      </c>
      <c r="AI1692">
        <v>0</v>
      </c>
      <c r="AJ1692">
        <v>0</v>
      </c>
      <c r="AK1692">
        <v>0</v>
      </c>
      <c r="AL1692">
        <v>0</v>
      </c>
      <c r="AM1692">
        <v>120</v>
      </c>
      <c r="AN1692">
        <v>-12</v>
      </c>
      <c r="AO1692">
        <v>0</v>
      </c>
      <c r="AQ1692">
        <v>0</v>
      </c>
      <c r="AR1692">
        <v>0</v>
      </c>
      <c r="AS1692">
        <v>120</v>
      </c>
      <c r="AT1692">
        <v>-12</v>
      </c>
      <c r="AU1692">
        <v>0</v>
      </c>
      <c r="AW1692">
        <v>0</v>
      </c>
      <c r="AX1692">
        <v>0</v>
      </c>
      <c r="AY1692">
        <v>75.599999999999994</v>
      </c>
      <c r="BC1692" t="str">
        <f>T("9791164482849")</f>
        <v>9791164482849</v>
      </c>
      <c r="BE1692" t="str">
        <f>T("판타지 웹소설 &gt; 무협 소설")</f>
        <v>판타지 웹소설 &gt; 무협 소설</v>
      </c>
    </row>
    <row r="1693" spans="1:57" x14ac:dyDescent="0.3">
      <c r="A1693">
        <v>1525002125</v>
      </c>
      <c r="B1693">
        <v>1525002162</v>
      </c>
      <c r="C1693" t="str">
        <f>T("신을 죽이러 갑니다 38화")</f>
        <v>신을 죽이러 갑니다 38화</v>
      </c>
      <c r="D1693" t="str">
        <f>T("38")</f>
        <v>38</v>
      </c>
      <c r="E1693" t="str">
        <f>T("독고진")</f>
        <v>독고진</v>
      </c>
      <c r="H1693" t="str">
        <f>T("스토리위즈")</f>
        <v>스토리위즈</v>
      </c>
      <c r="I1693" t="str">
        <f>T("신을 죽이러 갑니다")</f>
        <v>신을 죽이러 갑니다</v>
      </c>
      <c r="J1693">
        <v>100</v>
      </c>
      <c r="K1693">
        <v>100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100</v>
      </c>
      <c r="AH1693">
        <v>1</v>
      </c>
      <c r="AI1693">
        <v>0</v>
      </c>
      <c r="AJ1693">
        <v>0</v>
      </c>
      <c r="AK1693">
        <v>0</v>
      </c>
      <c r="AL1693">
        <v>0</v>
      </c>
      <c r="AM1693">
        <v>120</v>
      </c>
      <c r="AN1693">
        <v>-36</v>
      </c>
      <c r="AO1693">
        <v>0</v>
      </c>
      <c r="AQ1693">
        <v>0</v>
      </c>
      <c r="AR1693">
        <v>0</v>
      </c>
      <c r="AS1693">
        <v>120</v>
      </c>
      <c r="AT1693">
        <v>-36</v>
      </c>
      <c r="AU1693">
        <v>0</v>
      </c>
      <c r="AW1693">
        <v>0</v>
      </c>
      <c r="AX1693">
        <v>0</v>
      </c>
      <c r="AY1693">
        <v>58.8</v>
      </c>
      <c r="BC1693" t="str">
        <f>T("9791159285806")</f>
        <v>9791159285806</v>
      </c>
      <c r="BE1693" t="str">
        <f>T("판타지 웹소설 &gt; 퓨전 판타지")</f>
        <v>판타지 웹소설 &gt; 퓨전 판타지</v>
      </c>
    </row>
    <row r="1694" spans="1:57" x14ac:dyDescent="0.3">
      <c r="A1694">
        <v>1525013020</v>
      </c>
      <c r="B1694">
        <v>1525013135</v>
      </c>
      <c r="C1694" t="str">
        <f>T("악당의 리턴 116화")</f>
        <v>악당의 리턴 116화</v>
      </c>
      <c r="D1694" t="str">
        <f>T("116")</f>
        <v>116</v>
      </c>
      <c r="E1694" t="str">
        <f>T("백범(白帆)")</f>
        <v>백범(白帆)</v>
      </c>
      <c r="H1694" t="str">
        <f>T("에필로그")</f>
        <v>에필로그</v>
      </c>
      <c r="I1694" t="str">
        <f>T("악당의 리턴")</f>
        <v>악당의 리턴</v>
      </c>
      <c r="J1694">
        <v>100</v>
      </c>
      <c r="K1694">
        <v>100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100</v>
      </c>
      <c r="AH1694">
        <v>1</v>
      </c>
      <c r="AI1694">
        <v>0</v>
      </c>
      <c r="AJ1694">
        <v>0</v>
      </c>
      <c r="AK1694">
        <v>100</v>
      </c>
      <c r="AL1694">
        <v>0</v>
      </c>
      <c r="AM1694">
        <v>0</v>
      </c>
      <c r="AN1694">
        <v>0</v>
      </c>
      <c r="AO1694">
        <v>0</v>
      </c>
      <c r="AQ1694">
        <v>0</v>
      </c>
      <c r="AR1694">
        <v>0</v>
      </c>
      <c r="AT1694">
        <v>0</v>
      </c>
      <c r="AU1694">
        <v>0</v>
      </c>
      <c r="AW1694">
        <v>0</v>
      </c>
      <c r="AX1694">
        <v>0</v>
      </c>
      <c r="AY1694">
        <v>70</v>
      </c>
      <c r="BC1694" t="str">
        <f>T("9791196538927")</f>
        <v>9791196538927</v>
      </c>
      <c r="BE1694" t="str">
        <f>T("판타지 웹소설 &gt; 현대 판타지")</f>
        <v>판타지 웹소설 &gt; 현대 판타지</v>
      </c>
    </row>
    <row r="1695" spans="1:57" x14ac:dyDescent="0.3">
      <c r="A1695">
        <v>1525012551</v>
      </c>
      <c r="B1695">
        <v>1525012696</v>
      </c>
      <c r="C1695" t="str">
        <f>T("개정판 | 바보가 만드는 멋진 세상 146화")</f>
        <v>개정판 | 바보가 만드는 멋진 세상 146화</v>
      </c>
      <c r="D1695" t="str">
        <f>T("146")</f>
        <v>146</v>
      </c>
      <c r="E1695" t="str">
        <f>T("백범(白帆)")</f>
        <v>백범(白帆)</v>
      </c>
      <c r="H1695" t="str">
        <f>T("에필로그")</f>
        <v>에필로그</v>
      </c>
      <c r="I1695" t="str">
        <f>T("개정판 | 바보가 만드는 멋진 세상")</f>
        <v>개정판 | 바보가 만드는 멋진 세상</v>
      </c>
      <c r="J1695">
        <v>100</v>
      </c>
      <c r="K1695">
        <v>100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100</v>
      </c>
      <c r="AH1695">
        <v>1</v>
      </c>
      <c r="AI1695">
        <v>0</v>
      </c>
      <c r="AJ1695">
        <v>0</v>
      </c>
      <c r="AK1695">
        <v>100</v>
      </c>
      <c r="AL1695">
        <v>0</v>
      </c>
      <c r="AM1695">
        <v>0</v>
      </c>
      <c r="AN1695">
        <v>0</v>
      </c>
      <c r="AO1695">
        <v>0</v>
      </c>
      <c r="AQ1695">
        <v>0</v>
      </c>
      <c r="AR1695">
        <v>0</v>
      </c>
      <c r="AT1695">
        <v>0</v>
      </c>
      <c r="AU1695">
        <v>0</v>
      </c>
      <c r="AW1695">
        <v>0</v>
      </c>
      <c r="AX1695">
        <v>0</v>
      </c>
      <c r="AY1695">
        <v>70</v>
      </c>
      <c r="BC1695" t="str">
        <f>T("9791166003493")</f>
        <v>9791166003493</v>
      </c>
      <c r="BE1695" t="str">
        <f>T("판타지 웹소설 &gt; 현대 판타지")</f>
        <v>판타지 웹소설 &gt; 현대 판타지</v>
      </c>
    </row>
    <row r="1696" spans="1:57" x14ac:dyDescent="0.3">
      <c r="A1696">
        <v>1525002864</v>
      </c>
      <c r="B1696">
        <v>1525002919</v>
      </c>
      <c r="C1696" t="str">
        <f>T("소드마스터의 환생 56화")</f>
        <v>소드마스터의 환생 56화</v>
      </c>
      <c r="D1696" t="str">
        <f>T("56")</f>
        <v>56</v>
      </c>
      <c r="E1696" t="str">
        <f>T("파란영")</f>
        <v>파란영</v>
      </c>
      <c r="H1696" t="str">
        <f>T("스토리위즈")</f>
        <v>스토리위즈</v>
      </c>
      <c r="I1696" t="str">
        <f>T("소드마스터의 환생")</f>
        <v>소드마스터의 환생</v>
      </c>
      <c r="J1696">
        <v>100</v>
      </c>
      <c r="K1696">
        <v>100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100</v>
      </c>
      <c r="AH1696">
        <v>1</v>
      </c>
      <c r="AI1696">
        <v>0</v>
      </c>
      <c r="AJ1696">
        <v>0</v>
      </c>
      <c r="AK1696">
        <v>100</v>
      </c>
      <c r="AL1696">
        <v>0</v>
      </c>
      <c r="AM1696">
        <v>0</v>
      </c>
      <c r="AN1696">
        <v>0</v>
      </c>
      <c r="AO1696">
        <v>0</v>
      </c>
      <c r="AQ1696">
        <v>0</v>
      </c>
      <c r="AR1696">
        <v>0</v>
      </c>
      <c r="AT1696">
        <v>0</v>
      </c>
      <c r="AU1696">
        <v>0</v>
      </c>
      <c r="AW1696">
        <v>0</v>
      </c>
      <c r="AX1696">
        <v>0</v>
      </c>
      <c r="AY1696">
        <v>70</v>
      </c>
      <c r="BC1696" t="str">
        <f>T("9791159287527")</f>
        <v>9791159287527</v>
      </c>
      <c r="BE1696" t="str">
        <f>T("판타지 웹소설 &gt; 정통 판타지")</f>
        <v>판타지 웹소설 &gt; 정통 판타지</v>
      </c>
    </row>
    <row r="1697" spans="1:57" x14ac:dyDescent="0.3">
      <c r="A1697">
        <v>1525008428</v>
      </c>
      <c r="B1697">
        <v>1525008458</v>
      </c>
      <c r="C1697" t="str">
        <f>T("무히비(Muhibbi) 47화")</f>
        <v>무히비(Muhibbi) 47화</v>
      </c>
      <c r="D1697" t="str">
        <f>T("47")</f>
        <v>47</v>
      </c>
      <c r="E1697" t="str">
        <f>T("jooki")</f>
        <v>jooki</v>
      </c>
      <c r="H1697" t="str">
        <f>T("블러쉬")</f>
        <v>블러쉬</v>
      </c>
      <c r="I1697" t="str">
        <f>T("무히비(Muhibbi)")</f>
        <v>무히비(Muhibbi)</v>
      </c>
      <c r="J1697">
        <v>100</v>
      </c>
      <c r="K1697">
        <v>100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100</v>
      </c>
      <c r="AH1697">
        <v>1</v>
      </c>
      <c r="AI1697">
        <v>0</v>
      </c>
      <c r="AJ1697">
        <v>0</v>
      </c>
      <c r="AK1697">
        <v>100</v>
      </c>
      <c r="AL1697">
        <v>0</v>
      </c>
      <c r="AM1697">
        <v>0</v>
      </c>
      <c r="AN1697">
        <v>0</v>
      </c>
      <c r="AO1697">
        <v>0</v>
      </c>
      <c r="AQ1697">
        <v>0</v>
      </c>
      <c r="AR1697">
        <v>0</v>
      </c>
      <c r="AT1697">
        <v>0</v>
      </c>
      <c r="AU1697">
        <v>0</v>
      </c>
      <c r="AW1697">
        <v>0</v>
      </c>
      <c r="AX1697">
        <v>0</v>
      </c>
      <c r="AY1697">
        <v>70</v>
      </c>
      <c r="BC1697" t="str">
        <f>T("9791164896622")</f>
        <v>9791164896622</v>
      </c>
      <c r="BE1697" t="str">
        <f>T("BL 웹소설 &gt; 역사/시대물")</f>
        <v>BL 웹소설 &gt; 역사/시대물</v>
      </c>
    </row>
    <row r="1698" spans="1:57" x14ac:dyDescent="0.3">
      <c r="A1698">
        <v>1525011523</v>
      </c>
      <c r="B1698">
        <v>1525011248</v>
      </c>
      <c r="C1698" t="str">
        <f>T("남창목가 276화")</f>
        <v>남창목가 276화</v>
      </c>
      <c r="D1698" t="str">
        <f>T("276")</f>
        <v>276</v>
      </c>
      <c r="E1698" t="str">
        <f>T("최재봉")</f>
        <v>최재봉</v>
      </c>
      <c r="H1698" t="str">
        <f>T("에필로그")</f>
        <v>에필로그</v>
      </c>
      <c r="I1698" t="str">
        <f>T("남창목가")</f>
        <v>남창목가</v>
      </c>
      <c r="J1698">
        <v>100</v>
      </c>
      <c r="K1698">
        <v>100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100</v>
      </c>
      <c r="AH1698">
        <v>1</v>
      </c>
      <c r="AI1698">
        <v>0</v>
      </c>
      <c r="AJ1698">
        <v>0</v>
      </c>
      <c r="AK1698">
        <v>0</v>
      </c>
      <c r="AL1698">
        <v>0</v>
      </c>
      <c r="AM1698">
        <v>120</v>
      </c>
      <c r="AN1698">
        <v>-12</v>
      </c>
      <c r="AO1698">
        <v>0</v>
      </c>
      <c r="AQ1698">
        <v>0</v>
      </c>
      <c r="AR1698">
        <v>0</v>
      </c>
      <c r="AS1698">
        <v>120</v>
      </c>
      <c r="AT1698">
        <v>-12</v>
      </c>
      <c r="AU1698">
        <v>0</v>
      </c>
      <c r="AW1698">
        <v>0</v>
      </c>
      <c r="AX1698">
        <v>0</v>
      </c>
      <c r="AY1698">
        <v>75.599999999999994</v>
      </c>
      <c r="BC1698" t="str">
        <f>T("9791164482849")</f>
        <v>9791164482849</v>
      </c>
      <c r="BE1698" t="str">
        <f>T("판타지 웹소설 &gt; 무협 소설")</f>
        <v>판타지 웹소설 &gt; 무협 소설</v>
      </c>
    </row>
    <row r="1699" spans="1:57" x14ac:dyDescent="0.3">
      <c r="A1699">
        <v>1525011523</v>
      </c>
      <c r="B1699">
        <v>1525011429</v>
      </c>
      <c r="C1699" t="str">
        <f>T("남창목가 95화")</f>
        <v>남창목가 95화</v>
      </c>
      <c r="D1699" t="str">
        <f>T("95")</f>
        <v>95</v>
      </c>
      <c r="E1699" t="str">
        <f>T("최재봉")</f>
        <v>최재봉</v>
      </c>
      <c r="H1699" t="str">
        <f>T("에필로그")</f>
        <v>에필로그</v>
      </c>
      <c r="I1699" t="str">
        <f>T("남창목가")</f>
        <v>남창목가</v>
      </c>
      <c r="J1699">
        <v>100</v>
      </c>
      <c r="K1699">
        <v>100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100</v>
      </c>
      <c r="AH1699">
        <v>1</v>
      </c>
      <c r="AI1699">
        <v>0</v>
      </c>
      <c r="AJ1699">
        <v>0</v>
      </c>
      <c r="AK1699">
        <v>100</v>
      </c>
      <c r="AL1699">
        <v>0</v>
      </c>
      <c r="AM1699">
        <v>0</v>
      </c>
      <c r="AN1699">
        <v>0</v>
      </c>
      <c r="AO1699">
        <v>0</v>
      </c>
      <c r="AQ1699">
        <v>0</v>
      </c>
      <c r="AR1699">
        <v>0</v>
      </c>
      <c r="AT1699">
        <v>0</v>
      </c>
      <c r="AU1699">
        <v>0</v>
      </c>
      <c r="AW1699">
        <v>0</v>
      </c>
      <c r="AX1699">
        <v>0</v>
      </c>
      <c r="AY1699">
        <v>70</v>
      </c>
      <c r="BC1699" t="str">
        <f>T("9791164482849")</f>
        <v>9791164482849</v>
      </c>
      <c r="BE1699" t="str">
        <f>T("판타지 웹소설 &gt; 무협 소설")</f>
        <v>판타지 웹소설 &gt; 무협 소설</v>
      </c>
    </row>
    <row r="1700" spans="1:57" x14ac:dyDescent="0.3">
      <c r="A1700">
        <v>1525004799</v>
      </c>
      <c r="B1700">
        <v>1525004924</v>
      </c>
      <c r="C1700" t="str">
        <f>T("검산도해 126화")</f>
        <v>검산도해 126화</v>
      </c>
      <c r="D1700" t="str">
        <f>T("126")</f>
        <v>126</v>
      </c>
      <c r="E1700" t="str">
        <f>T("권용찬")</f>
        <v>권용찬</v>
      </c>
      <c r="H1700" t="str">
        <f>T("스토리위즈")</f>
        <v>스토리위즈</v>
      </c>
      <c r="I1700" t="str">
        <f>T("검산도해")</f>
        <v>검산도해</v>
      </c>
      <c r="J1700">
        <v>100</v>
      </c>
      <c r="K1700">
        <v>100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100</v>
      </c>
      <c r="AH1700">
        <v>1</v>
      </c>
      <c r="AI1700">
        <v>0</v>
      </c>
      <c r="AJ1700">
        <v>0</v>
      </c>
      <c r="AK1700">
        <v>0</v>
      </c>
      <c r="AL1700">
        <v>0</v>
      </c>
      <c r="AM1700">
        <v>120</v>
      </c>
      <c r="AN1700">
        <v>-12</v>
      </c>
      <c r="AO1700">
        <v>0</v>
      </c>
      <c r="AQ1700">
        <v>0</v>
      </c>
      <c r="AR1700">
        <v>0</v>
      </c>
      <c r="AS1700">
        <v>120</v>
      </c>
      <c r="AT1700">
        <v>-12</v>
      </c>
      <c r="AU1700">
        <v>0</v>
      </c>
      <c r="AW1700">
        <v>0</v>
      </c>
      <c r="AX1700">
        <v>0</v>
      </c>
      <c r="AY1700">
        <v>75.599999999999994</v>
      </c>
      <c r="BC1700" t="str">
        <f>T("9791159285936")</f>
        <v>9791159285936</v>
      </c>
      <c r="BE1700" t="str">
        <f>T("판타지 웹소설 &gt; 무협 소설")</f>
        <v>판타지 웹소설 &gt; 무협 소설</v>
      </c>
    </row>
    <row r="1701" spans="1:57" x14ac:dyDescent="0.3">
      <c r="A1701">
        <v>1525004030</v>
      </c>
      <c r="B1701">
        <v>1525007013</v>
      </c>
      <c r="C1701" t="str">
        <f>T("회귀의 전설 2부 897화")</f>
        <v>회귀의 전설 2부 897화</v>
      </c>
      <c r="D1701" t="str">
        <f>T("897")</f>
        <v>897</v>
      </c>
      <c r="E1701" t="str">
        <f>T("김광수")</f>
        <v>김광수</v>
      </c>
      <c r="H1701" t="str">
        <f>T("스토리위즈")</f>
        <v>스토리위즈</v>
      </c>
      <c r="I1701" t="str">
        <f>T("회귀의 전설")</f>
        <v>회귀의 전설</v>
      </c>
      <c r="J1701">
        <v>100</v>
      </c>
      <c r="K1701">
        <v>100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100</v>
      </c>
      <c r="AH1701">
        <v>1</v>
      </c>
      <c r="AI1701">
        <v>0</v>
      </c>
      <c r="AJ1701">
        <v>0</v>
      </c>
      <c r="AK1701">
        <v>100</v>
      </c>
      <c r="AL1701">
        <v>0</v>
      </c>
      <c r="AM1701">
        <v>0</v>
      </c>
      <c r="AN1701">
        <v>0</v>
      </c>
      <c r="AO1701">
        <v>0</v>
      </c>
      <c r="AQ1701">
        <v>0</v>
      </c>
      <c r="AR1701">
        <v>0</v>
      </c>
      <c r="AT1701">
        <v>0</v>
      </c>
      <c r="AU1701">
        <v>0</v>
      </c>
      <c r="AW1701">
        <v>0</v>
      </c>
      <c r="AX1701">
        <v>0</v>
      </c>
      <c r="AY1701">
        <v>70</v>
      </c>
      <c r="BC1701" t="str">
        <f>T("9791191102086")</f>
        <v>9791191102086</v>
      </c>
      <c r="BE1701" t="str">
        <f>T("판타지 웹소설 &gt; 현대 판타지")</f>
        <v>판타지 웹소설 &gt; 현대 판타지</v>
      </c>
    </row>
    <row r="1702" spans="1:57" x14ac:dyDescent="0.3">
      <c r="A1702">
        <v>1525011523</v>
      </c>
      <c r="B1702">
        <v>1525011165</v>
      </c>
      <c r="C1702" t="str">
        <f>T("남창목가 359화")</f>
        <v>남창목가 359화</v>
      </c>
      <c r="D1702" t="str">
        <f>T("359")</f>
        <v>359</v>
      </c>
      <c r="E1702" t="str">
        <f>T("최재봉")</f>
        <v>최재봉</v>
      </c>
      <c r="H1702" t="str">
        <f>T("에필로그")</f>
        <v>에필로그</v>
      </c>
      <c r="I1702" t="str">
        <f>T("남창목가")</f>
        <v>남창목가</v>
      </c>
      <c r="J1702">
        <v>100</v>
      </c>
      <c r="K1702">
        <v>100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100</v>
      </c>
      <c r="AH1702">
        <v>1</v>
      </c>
      <c r="AI1702">
        <v>0</v>
      </c>
      <c r="AJ1702">
        <v>0</v>
      </c>
      <c r="AK1702">
        <v>0</v>
      </c>
      <c r="AL1702">
        <v>0</v>
      </c>
      <c r="AM1702">
        <v>120</v>
      </c>
      <c r="AN1702">
        <v>-12</v>
      </c>
      <c r="AO1702">
        <v>0</v>
      </c>
      <c r="AQ1702">
        <v>0</v>
      </c>
      <c r="AR1702">
        <v>0</v>
      </c>
      <c r="AS1702">
        <v>120</v>
      </c>
      <c r="AT1702">
        <v>-12</v>
      </c>
      <c r="AU1702">
        <v>0</v>
      </c>
      <c r="AW1702">
        <v>0</v>
      </c>
      <c r="AX1702">
        <v>0</v>
      </c>
      <c r="AY1702">
        <v>75.599999999999994</v>
      </c>
      <c r="BC1702" t="str">
        <f>T("9791164482849")</f>
        <v>9791164482849</v>
      </c>
      <c r="BE1702" t="str">
        <f>T("판타지 웹소설 &gt; 무협 소설")</f>
        <v>판타지 웹소설 &gt; 무협 소설</v>
      </c>
    </row>
    <row r="1703" spans="1:57" x14ac:dyDescent="0.3">
      <c r="A1703">
        <v>1525008428</v>
      </c>
      <c r="B1703">
        <v>1525008414</v>
      </c>
      <c r="C1703" t="str">
        <f>T("무히비(Muhibbi) 110화")</f>
        <v>무히비(Muhibbi) 110화</v>
      </c>
      <c r="D1703" t="str">
        <f>T("110")</f>
        <v>110</v>
      </c>
      <c r="E1703" t="str">
        <f>T("jooki")</f>
        <v>jooki</v>
      </c>
      <c r="H1703" t="str">
        <f>T("블러쉬")</f>
        <v>블러쉬</v>
      </c>
      <c r="I1703" t="str">
        <f>T("무히비(Muhibbi)")</f>
        <v>무히비(Muhibbi)</v>
      </c>
      <c r="J1703">
        <v>100</v>
      </c>
      <c r="K1703">
        <v>100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100</v>
      </c>
      <c r="AH1703">
        <v>1</v>
      </c>
      <c r="AI1703">
        <v>0</v>
      </c>
      <c r="AJ1703">
        <v>0</v>
      </c>
      <c r="AK1703">
        <v>100</v>
      </c>
      <c r="AL1703">
        <v>0</v>
      </c>
      <c r="AM1703">
        <v>0</v>
      </c>
      <c r="AN1703">
        <v>0</v>
      </c>
      <c r="AO1703">
        <v>0</v>
      </c>
      <c r="AQ1703">
        <v>0</v>
      </c>
      <c r="AR1703">
        <v>0</v>
      </c>
      <c r="AT1703">
        <v>0</v>
      </c>
      <c r="AU1703">
        <v>0</v>
      </c>
      <c r="AW1703">
        <v>0</v>
      </c>
      <c r="AX1703">
        <v>0</v>
      </c>
      <c r="AY1703">
        <v>70</v>
      </c>
      <c r="BA1703" t="str">
        <f>T("0000000000000")</f>
        <v>0000000000000</v>
      </c>
      <c r="BC1703" t="str">
        <f>T("9791164896622")</f>
        <v>9791164896622</v>
      </c>
      <c r="BE1703" t="str">
        <f>T("BL 웹소설 &gt; 역사/시대물")</f>
        <v>BL 웹소설 &gt; 역사/시대물</v>
      </c>
    </row>
    <row r="1704" spans="1:57" x14ac:dyDescent="0.3">
      <c r="A1704">
        <v>1525004030</v>
      </c>
      <c r="B1704">
        <v>1525006972</v>
      </c>
      <c r="C1704" t="str">
        <f>T("회귀의 전설 2부 856화")</f>
        <v>회귀의 전설 2부 856화</v>
      </c>
      <c r="D1704" t="str">
        <f>T("856")</f>
        <v>856</v>
      </c>
      <c r="E1704" t="str">
        <f>T("김광수")</f>
        <v>김광수</v>
      </c>
      <c r="H1704" t="str">
        <f>T("스토리위즈")</f>
        <v>스토리위즈</v>
      </c>
      <c r="I1704" t="str">
        <f>T("회귀의 전설")</f>
        <v>회귀의 전설</v>
      </c>
      <c r="J1704">
        <v>100</v>
      </c>
      <c r="K1704">
        <v>100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100</v>
      </c>
      <c r="AH1704">
        <v>1</v>
      </c>
      <c r="AI1704">
        <v>0</v>
      </c>
      <c r="AJ1704">
        <v>0</v>
      </c>
      <c r="AK1704">
        <v>100</v>
      </c>
      <c r="AL1704">
        <v>0</v>
      </c>
      <c r="AM1704">
        <v>0</v>
      </c>
      <c r="AN1704">
        <v>0</v>
      </c>
      <c r="AO1704">
        <v>0</v>
      </c>
      <c r="AQ1704">
        <v>0</v>
      </c>
      <c r="AR1704">
        <v>0</v>
      </c>
      <c r="AT1704">
        <v>0</v>
      </c>
      <c r="AU1704">
        <v>0</v>
      </c>
      <c r="AW1704">
        <v>0</v>
      </c>
      <c r="AX1704">
        <v>0</v>
      </c>
      <c r="AY1704">
        <v>70</v>
      </c>
      <c r="BC1704" t="str">
        <f>T("9791191102086")</f>
        <v>9791191102086</v>
      </c>
      <c r="BE1704" t="str">
        <f>T("판타지 웹소설 &gt; 현대 판타지")</f>
        <v>판타지 웹소설 &gt; 현대 판타지</v>
      </c>
    </row>
    <row r="1705" spans="1:57" x14ac:dyDescent="0.3">
      <c r="A1705">
        <v>1525011523</v>
      </c>
      <c r="B1705">
        <v>1525011365</v>
      </c>
      <c r="C1705" t="str">
        <f>T("남창목가 159화")</f>
        <v>남창목가 159화</v>
      </c>
      <c r="D1705" t="str">
        <f>T("159")</f>
        <v>159</v>
      </c>
      <c r="E1705" t="str">
        <f>T("최재봉")</f>
        <v>최재봉</v>
      </c>
      <c r="H1705" t="str">
        <f>T("에필로그")</f>
        <v>에필로그</v>
      </c>
      <c r="I1705" t="str">
        <f>T("남창목가")</f>
        <v>남창목가</v>
      </c>
      <c r="J1705">
        <v>100</v>
      </c>
      <c r="K1705">
        <v>100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100</v>
      </c>
      <c r="AH1705">
        <v>1</v>
      </c>
      <c r="AI1705">
        <v>0</v>
      </c>
      <c r="AJ1705">
        <v>0</v>
      </c>
      <c r="AK1705">
        <v>0</v>
      </c>
      <c r="AL1705">
        <v>0</v>
      </c>
      <c r="AM1705">
        <v>120</v>
      </c>
      <c r="AN1705">
        <v>-12</v>
      </c>
      <c r="AO1705">
        <v>0</v>
      </c>
      <c r="AQ1705">
        <v>0</v>
      </c>
      <c r="AR1705">
        <v>0</v>
      </c>
      <c r="AS1705">
        <v>120</v>
      </c>
      <c r="AT1705">
        <v>-12</v>
      </c>
      <c r="AU1705">
        <v>0</v>
      </c>
      <c r="AW1705">
        <v>0</v>
      </c>
      <c r="AX1705">
        <v>0</v>
      </c>
      <c r="AY1705">
        <v>75.599999999999994</v>
      </c>
      <c r="BC1705" t="str">
        <f>T("9791164482849")</f>
        <v>9791164482849</v>
      </c>
      <c r="BE1705" t="str">
        <f>T("판타지 웹소설 &gt; 무협 소설")</f>
        <v>판타지 웹소설 &gt; 무협 소설</v>
      </c>
    </row>
    <row r="1706" spans="1:57" x14ac:dyDescent="0.3">
      <c r="A1706">
        <v>1525002125</v>
      </c>
      <c r="B1706">
        <v>1525002393</v>
      </c>
      <c r="C1706" t="str">
        <f>T("신을 죽이러 갑니다 269화")</f>
        <v>신을 죽이러 갑니다 269화</v>
      </c>
      <c r="D1706" t="str">
        <f>T("269")</f>
        <v>269</v>
      </c>
      <c r="E1706" t="str">
        <f>T("독고진")</f>
        <v>독고진</v>
      </c>
      <c r="H1706" t="str">
        <f>T("스토리위즈")</f>
        <v>스토리위즈</v>
      </c>
      <c r="I1706" t="str">
        <f>T("신을 죽이러 갑니다")</f>
        <v>신을 죽이러 갑니다</v>
      </c>
      <c r="J1706">
        <v>100</v>
      </c>
      <c r="K1706">
        <v>100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100</v>
      </c>
      <c r="AH1706">
        <v>1</v>
      </c>
      <c r="AI1706">
        <v>0</v>
      </c>
      <c r="AJ1706">
        <v>0</v>
      </c>
      <c r="AK1706">
        <v>0</v>
      </c>
      <c r="AL1706">
        <v>0</v>
      </c>
      <c r="AM1706">
        <v>120</v>
      </c>
      <c r="AN1706">
        <v>-12</v>
      </c>
      <c r="AO1706">
        <v>0</v>
      </c>
      <c r="AQ1706">
        <v>0</v>
      </c>
      <c r="AR1706">
        <v>0</v>
      </c>
      <c r="AS1706">
        <v>120</v>
      </c>
      <c r="AT1706">
        <v>-12</v>
      </c>
      <c r="AU1706">
        <v>0</v>
      </c>
      <c r="AW1706">
        <v>0</v>
      </c>
      <c r="AX1706">
        <v>0</v>
      </c>
      <c r="AY1706">
        <v>75.599999999999994</v>
      </c>
      <c r="BC1706" t="str">
        <f>T("9791159285806")</f>
        <v>9791159285806</v>
      </c>
      <c r="BE1706" t="str">
        <f>T("판타지 웹소설 &gt; 퓨전 판타지")</f>
        <v>판타지 웹소설 &gt; 퓨전 판타지</v>
      </c>
    </row>
    <row r="1707" spans="1:57" x14ac:dyDescent="0.3">
      <c r="A1707">
        <v>1525013020</v>
      </c>
      <c r="B1707">
        <v>1525013054</v>
      </c>
      <c r="C1707" t="str">
        <f>T("악당의 리턴 35화")</f>
        <v>악당의 리턴 35화</v>
      </c>
      <c r="D1707" t="str">
        <f>T("35")</f>
        <v>35</v>
      </c>
      <c r="E1707" t="str">
        <f>T("백범(白帆)")</f>
        <v>백범(白帆)</v>
      </c>
      <c r="H1707" t="str">
        <f>T("에필로그")</f>
        <v>에필로그</v>
      </c>
      <c r="I1707" t="str">
        <f>T("악당의 리턴")</f>
        <v>악당의 리턴</v>
      </c>
      <c r="J1707">
        <v>100</v>
      </c>
      <c r="K1707">
        <v>100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100</v>
      </c>
      <c r="AH1707">
        <v>1</v>
      </c>
      <c r="AI1707">
        <v>0</v>
      </c>
      <c r="AJ1707">
        <v>0</v>
      </c>
      <c r="AK1707">
        <v>100</v>
      </c>
      <c r="AL1707">
        <v>0</v>
      </c>
      <c r="AM1707">
        <v>0</v>
      </c>
      <c r="AN1707">
        <v>0</v>
      </c>
      <c r="AO1707">
        <v>0</v>
      </c>
      <c r="AQ1707">
        <v>0</v>
      </c>
      <c r="AR1707">
        <v>0</v>
      </c>
      <c r="AT1707">
        <v>0</v>
      </c>
      <c r="AU1707">
        <v>0</v>
      </c>
      <c r="AW1707">
        <v>0</v>
      </c>
      <c r="AX1707">
        <v>0</v>
      </c>
      <c r="AY1707">
        <v>70</v>
      </c>
      <c r="BC1707" t="str">
        <f>T("9791196538927")</f>
        <v>9791196538927</v>
      </c>
      <c r="BE1707" t="str">
        <f>T("판타지 웹소설 &gt; 현대 판타지")</f>
        <v>판타지 웹소설 &gt; 현대 판타지</v>
      </c>
    </row>
    <row r="1708" spans="1:57" x14ac:dyDescent="0.3">
      <c r="A1708">
        <v>1525004030</v>
      </c>
      <c r="B1708">
        <v>1525007127</v>
      </c>
      <c r="C1708" t="str">
        <f>T("회귀의 전설 2부 1011화")</f>
        <v>회귀의 전설 2부 1011화</v>
      </c>
      <c r="D1708" t="str">
        <f>T("1011")</f>
        <v>1011</v>
      </c>
      <c r="E1708" t="str">
        <f>T("김광수")</f>
        <v>김광수</v>
      </c>
      <c r="H1708" t="str">
        <f>T("스토리위즈")</f>
        <v>스토리위즈</v>
      </c>
      <c r="I1708" t="str">
        <f>T("회귀의 전설")</f>
        <v>회귀의 전설</v>
      </c>
      <c r="J1708">
        <v>100</v>
      </c>
      <c r="K1708">
        <v>100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100</v>
      </c>
      <c r="AH1708">
        <v>1</v>
      </c>
      <c r="AI1708">
        <v>0</v>
      </c>
      <c r="AJ1708">
        <v>0</v>
      </c>
      <c r="AK1708">
        <v>100</v>
      </c>
      <c r="AL1708">
        <v>0</v>
      </c>
      <c r="AM1708">
        <v>0</v>
      </c>
      <c r="AN1708">
        <v>0</v>
      </c>
      <c r="AO1708">
        <v>0</v>
      </c>
      <c r="AQ1708">
        <v>0</v>
      </c>
      <c r="AR1708">
        <v>0</v>
      </c>
      <c r="AT1708">
        <v>0</v>
      </c>
      <c r="AU1708">
        <v>0</v>
      </c>
      <c r="AW1708">
        <v>0</v>
      </c>
      <c r="AX1708">
        <v>0</v>
      </c>
      <c r="AY1708">
        <v>70</v>
      </c>
      <c r="BC1708" t="str">
        <f>T("9791191102086")</f>
        <v>9791191102086</v>
      </c>
      <c r="BE1708" t="str">
        <f>T("판타지 웹소설 &gt; 현대 판타지")</f>
        <v>판타지 웹소설 &gt; 현대 판타지</v>
      </c>
    </row>
    <row r="1709" spans="1:57" x14ac:dyDescent="0.3">
      <c r="A1709">
        <v>1525004030</v>
      </c>
      <c r="B1709">
        <v>1525004500</v>
      </c>
      <c r="C1709" t="str">
        <f>T("회귀의 전설 484화")</f>
        <v>회귀의 전설 484화</v>
      </c>
      <c r="D1709" t="str">
        <f>T("484")</f>
        <v>484</v>
      </c>
      <c r="E1709" t="str">
        <f>T("김광수")</f>
        <v>김광수</v>
      </c>
      <c r="H1709" t="str">
        <f>T("스토리위즈")</f>
        <v>스토리위즈</v>
      </c>
      <c r="I1709" t="str">
        <f>T("회귀의 전설")</f>
        <v>회귀의 전설</v>
      </c>
      <c r="J1709">
        <v>100</v>
      </c>
      <c r="K1709">
        <v>100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100</v>
      </c>
      <c r="AH1709">
        <v>1</v>
      </c>
      <c r="AI1709">
        <v>0</v>
      </c>
      <c r="AJ1709">
        <v>0</v>
      </c>
      <c r="AK1709">
        <v>100</v>
      </c>
      <c r="AL1709">
        <v>0</v>
      </c>
      <c r="AM1709">
        <v>0</v>
      </c>
      <c r="AN1709">
        <v>0</v>
      </c>
      <c r="AO1709">
        <v>0</v>
      </c>
      <c r="AQ1709">
        <v>0</v>
      </c>
      <c r="AR1709">
        <v>0</v>
      </c>
      <c r="AT1709">
        <v>0</v>
      </c>
      <c r="AU1709">
        <v>0</v>
      </c>
      <c r="AW1709">
        <v>0</v>
      </c>
      <c r="AX1709">
        <v>0</v>
      </c>
      <c r="AY1709">
        <v>70</v>
      </c>
      <c r="BC1709" t="str">
        <f>T("9788997946006")</f>
        <v>9788997946006</v>
      </c>
      <c r="BE1709" t="str">
        <f>T("판타지 웹소설 &gt; 현대 판타지")</f>
        <v>판타지 웹소설 &gt; 현대 판타지</v>
      </c>
    </row>
    <row r="1710" spans="1:57" x14ac:dyDescent="0.3">
      <c r="A1710">
        <v>1525012551</v>
      </c>
      <c r="B1710">
        <v>1525012728</v>
      </c>
      <c r="C1710" t="str">
        <f>T("개정판 | 바보가 만드는 멋진 세상 178화")</f>
        <v>개정판 | 바보가 만드는 멋진 세상 178화</v>
      </c>
      <c r="D1710" t="str">
        <f>T("178")</f>
        <v>178</v>
      </c>
      <c r="E1710" t="str">
        <f>T("백범(白帆)")</f>
        <v>백범(白帆)</v>
      </c>
      <c r="H1710" t="str">
        <f>T("에필로그")</f>
        <v>에필로그</v>
      </c>
      <c r="I1710" t="str">
        <f>T("개정판 | 바보가 만드는 멋진 세상")</f>
        <v>개정판 | 바보가 만드는 멋진 세상</v>
      </c>
      <c r="J1710">
        <v>100</v>
      </c>
      <c r="K1710">
        <v>100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100</v>
      </c>
      <c r="AH1710">
        <v>1</v>
      </c>
      <c r="AI1710">
        <v>0</v>
      </c>
      <c r="AJ1710">
        <v>0</v>
      </c>
      <c r="AK1710">
        <v>100</v>
      </c>
      <c r="AL1710">
        <v>0</v>
      </c>
      <c r="AM1710">
        <v>0</v>
      </c>
      <c r="AN1710">
        <v>0</v>
      </c>
      <c r="AO1710">
        <v>0</v>
      </c>
      <c r="AQ1710">
        <v>0</v>
      </c>
      <c r="AR1710">
        <v>0</v>
      </c>
      <c r="AT1710">
        <v>0</v>
      </c>
      <c r="AU1710">
        <v>0</v>
      </c>
      <c r="AW1710">
        <v>0</v>
      </c>
      <c r="AX1710">
        <v>0</v>
      </c>
      <c r="AY1710">
        <v>70</v>
      </c>
      <c r="BC1710" t="str">
        <f>T("9791166003493")</f>
        <v>9791166003493</v>
      </c>
      <c r="BE1710" t="str">
        <f>T("판타지 웹소설 &gt; 현대 판타지")</f>
        <v>판타지 웹소설 &gt; 현대 판타지</v>
      </c>
    </row>
    <row r="1711" spans="1:57" x14ac:dyDescent="0.3">
      <c r="A1711">
        <v>1525008545</v>
      </c>
      <c r="B1711">
        <v>1525008541</v>
      </c>
      <c r="C1711" t="str">
        <f>T("소년연애담 16화")</f>
        <v>소년연애담 16화</v>
      </c>
      <c r="D1711" t="str">
        <f>T("16")</f>
        <v>16</v>
      </c>
      <c r="E1711" t="str">
        <f>T("나나코")</f>
        <v>나나코</v>
      </c>
      <c r="H1711" t="str">
        <f>T("블러쉬")</f>
        <v>블러쉬</v>
      </c>
      <c r="I1711" t="str">
        <f>T("소년연애담")</f>
        <v>소년연애담</v>
      </c>
      <c r="J1711">
        <v>100</v>
      </c>
      <c r="K1711">
        <v>100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100</v>
      </c>
      <c r="AH1711">
        <v>1</v>
      </c>
      <c r="AI1711">
        <v>0</v>
      </c>
      <c r="AJ1711">
        <v>0</v>
      </c>
      <c r="AK1711">
        <v>100</v>
      </c>
      <c r="AL1711">
        <v>0</v>
      </c>
      <c r="AM1711">
        <v>0</v>
      </c>
      <c r="AN1711">
        <v>0</v>
      </c>
      <c r="AO1711">
        <v>0</v>
      </c>
      <c r="AQ1711">
        <v>0</v>
      </c>
      <c r="AR1711">
        <v>0</v>
      </c>
      <c r="AT1711">
        <v>0</v>
      </c>
      <c r="AU1711">
        <v>0</v>
      </c>
      <c r="AW1711">
        <v>0</v>
      </c>
      <c r="AX1711">
        <v>0</v>
      </c>
      <c r="AY1711">
        <v>70</v>
      </c>
      <c r="BA1711" t="str">
        <f>T("0000000000000")</f>
        <v>0000000000000</v>
      </c>
      <c r="BC1711" t="str">
        <f>T("9791164890729")</f>
        <v>9791164890729</v>
      </c>
      <c r="BD1711" t="str">
        <f>T("B12")</f>
        <v>B12</v>
      </c>
      <c r="BE1711" t="str">
        <f>T("BL 웹소설 &gt; 현대물")</f>
        <v>BL 웹소설 &gt; 현대물</v>
      </c>
    </row>
    <row r="1712" spans="1:57" x14ac:dyDescent="0.3">
      <c r="A1712">
        <v>1525008428</v>
      </c>
      <c r="B1712">
        <v>1525008491</v>
      </c>
      <c r="C1712" t="str">
        <f>T("무히비(Muhibbi) 77화")</f>
        <v>무히비(Muhibbi) 77화</v>
      </c>
      <c r="D1712" t="str">
        <f>T("77")</f>
        <v>77</v>
      </c>
      <c r="E1712" t="str">
        <f>T("jooki")</f>
        <v>jooki</v>
      </c>
      <c r="H1712" t="str">
        <f>T("블러쉬")</f>
        <v>블러쉬</v>
      </c>
      <c r="I1712" t="str">
        <f>T("무히비(Muhibbi)")</f>
        <v>무히비(Muhibbi)</v>
      </c>
      <c r="J1712">
        <v>100</v>
      </c>
      <c r="K1712">
        <v>100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100</v>
      </c>
      <c r="AH1712">
        <v>1</v>
      </c>
      <c r="AI1712">
        <v>0</v>
      </c>
      <c r="AJ1712">
        <v>0</v>
      </c>
      <c r="AK1712">
        <v>100</v>
      </c>
      <c r="AL1712">
        <v>0</v>
      </c>
      <c r="AM1712">
        <v>0</v>
      </c>
      <c r="AN1712">
        <v>0</v>
      </c>
      <c r="AO1712">
        <v>0</v>
      </c>
      <c r="AQ1712">
        <v>0</v>
      </c>
      <c r="AR1712">
        <v>0</v>
      </c>
      <c r="AT1712">
        <v>0</v>
      </c>
      <c r="AU1712">
        <v>0</v>
      </c>
      <c r="AW1712">
        <v>0</v>
      </c>
      <c r="AX1712">
        <v>0</v>
      </c>
      <c r="AY1712">
        <v>70</v>
      </c>
      <c r="BC1712" t="str">
        <f>T("9791164896622")</f>
        <v>9791164896622</v>
      </c>
      <c r="BE1712" t="str">
        <f>T("BL 웹소설 &gt; 역사/시대물")</f>
        <v>BL 웹소설 &gt; 역사/시대물</v>
      </c>
    </row>
    <row r="1713" spans="1:57" x14ac:dyDescent="0.3">
      <c r="A1713">
        <v>1525012551</v>
      </c>
      <c r="B1713">
        <v>1525012606</v>
      </c>
      <c r="C1713" t="str">
        <f>T("개정판 | 바보가 만드는 멋진 세상 56화")</f>
        <v>개정판 | 바보가 만드는 멋진 세상 56화</v>
      </c>
      <c r="D1713" t="str">
        <f>T("56")</f>
        <v>56</v>
      </c>
      <c r="E1713" t="str">
        <f>T("백범(白帆)")</f>
        <v>백범(白帆)</v>
      </c>
      <c r="H1713" t="str">
        <f>T("에필로그")</f>
        <v>에필로그</v>
      </c>
      <c r="I1713" t="str">
        <f>T("개정판 | 바보가 만드는 멋진 세상")</f>
        <v>개정판 | 바보가 만드는 멋진 세상</v>
      </c>
      <c r="J1713">
        <v>100</v>
      </c>
      <c r="K1713">
        <v>100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100</v>
      </c>
      <c r="AH1713">
        <v>1</v>
      </c>
      <c r="AI1713">
        <v>0</v>
      </c>
      <c r="AJ1713">
        <v>0</v>
      </c>
      <c r="AK1713">
        <v>100</v>
      </c>
      <c r="AL1713">
        <v>0</v>
      </c>
      <c r="AM1713">
        <v>0</v>
      </c>
      <c r="AN1713">
        <v>0</v>
      </c>
      <c r="AO1713">
        <v>0</v>
      </c>
      <c r="AQ1713">
        <v>0</v>
      </c>
      <c r="AR1713">
        <v>0</v>
      </c>
      <c r="AT1713">
        <v>0</v>
      </c>
      <c r="AU1713">
        <v>0</v>
      </c>
      <c r="AW1713">
        <v>0</v>
      </c>
      <c r="AX1713">
        <v>0</v>
      </c>
      <c r="AY1713">
        <v>70</v>
      </c>
      <c r="BC1713" t="str">
        <f>T("9791166003493")</f>
        <v>9791166003493</v>
      </c>
      <c r="BE1713" t="str">
        <f>T("판타지 웹소설 &gt; 현대 판타지")</f>
        <v>판타지 웹소설 &gt; 현대 판타지</v>
      </c>
    </row>
    <row r="1714" spans="1:57" x14ac:dyDescent="0.3">
      <c r="A1714">
        <v>1525004799</v>
      </c>
      <c r="B1714">
        <v>1525004956</v>
      </c>
      <c r="C1714" t="str">
        <f>T("검산도해 158화")</f>
        <v>검산도해 158화</v>
      </c>
      <c r="D1714" t="str">
        <f>T("158")</f>
        <v>158</v>
      </c>
      <c r="E1714" t="str">
        <f>T("권용찬")</f>
        <v>권용찬</v>
      </c>
      <c r="H1714" t="str">
        <f>T("스토리위즈")</f>
        <v>스토리위즈</v>
      </c>
      <c r="I1714" t="str">
        <f>T("검산도해")</f>
        <v>검산도해</v>
      </c>
      <c r="J1714">
        <v>100</v>
      </c>
      <c r="K1714">
        <v>100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100</v>
      </c>
      <c r="AH1714">
        <v>1</v>
      </c>
      <c r="AI1714">
        <v>0</v>
      </c>
      <c r="AJ1714">
        <v>0</v>
      </c>
      <c r="AK1714">
        <v>0</v>
      </c>
      <c r="AL1714">
        <v>0</v>
      </c>
      <c r="AM1714">
        <v>120</v>
      </c>
      <c r="AN1714">
        <v>-12</v>
      </c>
      <c r="AO1714">
        <v>0</v>
      </c>
      <c r="AQ1714">
        <v>0</v>
      </c>
      <c r="AR1714">
        <v>0</v>
      </c>
      <c r="AS1714">
        <v>120</v>
      </c>
      <c r="AT1714">
        <v>-12</v>
      </c>
      <c r="AU1714">
        <v>0</v>
      </c>
      <c r="AW1714">
        <v>0</v>
      </c>
      <c r="AX1714">
        <v>0</v>
      </c>
      <c r="AY1714">
        <v>75.599999999999994</v>
      </c>
      <c r="BC1714" t="str">
        <f>T("9791159285936")</f>
        <v>9791159285936</v>
      </c>
      <c r="BE1714" t="str">
        <f>T("판타지 웹소설 &gt; 무협 소설")</f>
        <v>판타지 웹소설 &gt; 무협 소설</v>
      </c>
    </row>
    <row r="1715" spans="1:57" x14ac:dyDescent="0.3">
      <c r="A1715">
        <v>1525004030</v>
      </c>
      <c r="B1715">
        <v>1525007045</v>
      </c>
      <c r="C1715" t="str">
        <f>T("회귀의 전설 2부 929화")</f>
        <v>회귀의 전설 2부 929화</v>
      </c>
      <c r="D1715" t="str">
        <f>T("929")</f>
        <v>929</v>
      </c>
      <c r="E1715" t="str">
        <f>T("김광수")</f>
        <v>김광수</v>
      </c>
      <c r="H1715" t="str">
        <f>T("스토리위즈")</f>
        <v>스토리위즈</v>
      </c>
      <c r="I1715" t="str">
        <f>T("회귀의 전설")</f>
        <v>회귀의 전설</v>
      </c>
      <c r="J1715">
        <v>100</v>
      </c>
      <c r="K1715">
        <v>100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100</v>
      </c>
      <c r="AH1715">
        <v>1</v>
      </c>
      <c r="AI1715">
        <v>0</v>
      </c>
      <c r="AJ1715">
        <v>0</v>
      </c>
      <c r="AK1715">
        <v>100</v>
      </c>
      <c r="AL1715">
        <v>0</v>
      </c>
      <c r="AM1715">
        <v>0</v>
      </c>
      <c r="AN1715">
        <v>0</v>
      </c>
      <c r="AO1715">
        <v>0</v>
      </c>
      <c r="AQ1715">
        <v>0</v>
      </c>
      <c r="AR1715">
        <v>0</v>
      </c>
      <c r="AT1715">
        <v>0</v>
      </c>
      <c r="AU1715">
        <v>0</v>
      </c>
      <c r="AW1715">
        <v>0</v>
      </c>
      <c r="AX1715">
        <v>0</v>
      </c>
      <c r="AY1715">
        <v>70</v>
      </c>
      <c r="BC1715" t="str">
        <f>T("9791191102086")</f>
        <v>9791191102086</v>
      </c>
      <c r="BE1715" t="str">
        <f>T("판타지 웹소설 &gt; 현대 판타지")</f>
        <v>판타지 웹소설 &gt; 현대 판타지</v>
      </c>
    </row>
    <row r="1716" spans="1:57" x14ac:dyDescent="0.3">
      <c r="A1716">
        <v>1525013020</v>
      </c>
      <c r="B1716">
        <v>1525013086</v>
      </c>
      <c r="C1716" t="str">
        <f>T("악당의 리턴 67화")</f>
        <v>악당의 리턴 67화</v>
      </c>
      <c r="D1716" t="str">
        <f>T("67")</f>
        <v>67</v>
      </c>
      <c r="E1716" t="str">
        <f>T("백범(白帆)")</f>
        <v>백범(白帆)</v>
      </c>
      <c r="H1716" t="str">
        <f>T("에필로그")</f>
        <v>에필로그</v>
      </c>
      <c r="I1716" t="str">
        <f>T("악당의 리턴")</f>
        <v>악당의 리턴</v>
      </c>
      <c r="J1716">
        <v>100</v>
      </c>
      <c r="K1716">
        <v>100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100</v>
      </c>
      <c r="AH1716">
        <v>1</v>
      </c>
      <c r="AI1716">
        <v>0</v>
      </c>
      <c r="AJ1716">
        <v>0</v>
      </c>
      <c r="AK1716">
        <v>100</v>
      </c>
      <c r="AL1716">
        <v>0</v>
      </c>
      <c r="AM1716">
        <v>0</v>
      </c>
      <c r="AN1716">
        <v>0</v>
      </c>
      <c r="AO1716">
        <v>0</v>
      </c>
      <c r="AQ1716">
        <v>0</v>
      </c>
      <c r="AR1716">
        <v>0</v>
      </c>
      <c r="AT1716">
        <v>0</v>
      </c>
      <c r="AU1716">
        <v>0</v>
      </c>
      <c r="AW1716">
        <v>0</v>
      </c>
      <c r="AX1716">
        <v>0</v>
      </c>
      <c r="AY1716">
        <v>70</v>
      </c>
      <c r="BC1716" t="str">
        <f>T("9791196538927")</f>
        <v>9791196538927</v>
      </c>
      <c r="BE1716" t="str">
        <f>T("판타지 웹소설 &gt; 현대 판타지")</f>
        <v>판타지 웹소설 &gt; 현대 판타지</v>
      </c>
    </row>
    <row r="1717" spans="1:57" x14ac:dyDescent="0.3">
      <c r="A1717">
        <v>1525004030</v>
      </c>
      <c r="B1717">
        <v>1525007187</v>
      </c>
      <c r="C1717" t="str">
        <f>T("회귀의 전설 2부 1070화")</f>
        <v>회귀의 전설 2부 1070화</v>
      </c>
      <c r="D1717" t="str">
        <f>T("1070")</f>
        <v>1070</v>
      </c>
      <c r="E1717" t="str">
        <f>T("김광수")</f>
        <v>김광수</v>
      </c>
      <c r="H1717" t="str">
        <f>T("스토리위즈")</f>
        <v>스토리위즈</v>
      </c>
      <c r="I1717" t="str">
        <f>T("회귀의 전설")</f>
        <v>회귀의 전설</v>
      </c>
      <c r="J1717">
        <v>100</v>
      </c>
      <c r="K1717">
        <v>100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100</v>
      </c>
      <c r="AH1717">
        <v>1</v>
      </c>
      <c r="AI1717">
        <v>0</v>
      </c>
      <c r="AJ1717">
        <v>0</v>
      </c>
      <c r="AK1717">
        <v>100</v>
      </c>
      <c r="AL1717">
        <v>0</v>
      </c>
      <c r="AM1717">
        <v>0</v>
      </c>
      <c r="AN1717">
        <v>0</v>
      </c>
      <c r="AO1717">
        <v>0</v>
      </c>
      <c r="AQ1717">
        <v>0</v>
      </c>
      <c r="AR1717">
        <v>0</v>
      </c>
      <c r="AT1717">
        <v>0</v>
      </c>
      <c r="AU1717">
        <v>0</v>
      </c>
      <c r="AW1717">
        <v>0</v>
      </c>
      <c r="AX1717">
        <v>0</v>
      </c>
      <c r="AY1717">
        <v>70</v>
      </c>
      <c r="BC1717" t="str">
        <f>T("9791191102086")</f>
        <v>9791191102086</v>
      </c>
      <c r="BE1717" t="str">
        <f>T("판타지 웹소설 &gt; 현대 판타지")</f>
        <v>판타지 웹소설 &gt; 현대 판타지</v>
      </c>
    </row>
    <row r="1718" spans="1:57" x14ac:dyDescent="0.3">
      <c r="A1718">
        <v>1525008545</v>
      </c>
      <c r="B1718">
        <v>1525008573</v>
      </c>
      <c r="C1718" t="str">
        <f>T("소년연애담 45화")</f>
        <v>소년연애담 45화</v>
      </c>
      <c r="D1718" t="str">
        <f>T("45")</f>
        <v>45</v>
      </c>
      <c r="E1718" t="str">
        <f>T("나나코")</f>
        <v>나나코</v>
      </c>
      <c r="H1718" t="str">
        <f>T("블러쉬")</f>
        <v>블러쉬</v>
      </c>
      <c r="I1718" t="str">
        <f>T("소년연애담")</f>
        <v>소년연애담</v>
      </c>
      <c r="J1718">
        <v>100</v>
      </c>
      <c r="K1718">
        <v>100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100</v>
      </c>
      <c r="AH1718">
        <v>1</v>
      </c>
      <c r="AI1718">
        <v>0</v>
      </c>
      <c r="AJ1718">
        <v>0</v>
      </c>
      <c r="AK1718">
        <v>100</v>
      </c>
      <c r="AL1718">
        <v>0</v>
      </c>
      <c r="AM1718">
        <v>0</v>
      </c>
      <c r="AN1718">
        <v>0</v>
      </c>
      <c r="AO1718">
        <v>0</v>
      </c>
      <c r="AQ1718">
        <v>0</v>
      </c>
      <c r="AR1718">
        <v>0</v>
      </c>
      <c r="AT1718">
        <v>0</v>
      </c>
      <c r="AU1718">
        <v>0</v>
      </c>
      <c r="AW1718">
        <v>0</v>
      </c>
      <c r="AX1718">
        <v>0</v>
      </c>
      <c r="AY1718">
        <v>70</v>
      </c>
      <c r="BA1718" t="str">
        <f>T("0000000000000")</f>
        <v>0000000000000</v>
      </c>
      <c r="BC1718" t="str">
        <f>T("9791164890729")</f>
        <v>9791164890729</v>
      </c>
      <c r="BD1718" t="str">
        <f>T("B12")</f>
        <v>B12</v>
      </c>
      <c r="BE1718" t="str">
        <f>T("BL 웹소설 &gt; 현대물")</f>
        <v>BL 웹소설 &gt; 현대물</v>
      </c>
    </row>
    <row r="1719" spans="1:57" x14ac:dyDescent="0.3">
      <c r="A1719">
        <v>1525012551</v>
      </c>
      <c r="B1719">
        <v>1525012647</v>
      </c>
      <c r="C1719" t="str">
        <f>T("개정판 | 바보가 만드는 멋진 세상 97화")</f>
        <v>개정판 | 바보가 만드는 멋진 세상 97화</v>
      </c>
      <c r="D1719" t="str">
        <f>T("97")</f>
        <v>97</v>
      </c>
      <c r="E1719" t="str">
        <f>T("백범(白帆)")</f>
        <v>백범(白帆)</v>
      </c>
      <c r="H1719" t="str">
        <f>T("에필로그")</f>
        <v>에필로그</v>
      </c>
      <c r="I1719" t="str">
        <f>T("개정판 | 바보가 만드는 멋진 세상")</f>
        <v>개정판 | 바보가 만드는 멋진 세상</v>
      </c>
      <c r="J1719">
        <v>100</v>
      </c>
      <c r="K1719">
        <v>100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100</v>
      </c>
      <c r="AH1719">
        <v>1</v>
      </c>
      <c r="AI1719">
        <v>0</v>
      </c>
      <c r="AJ1719">
        <v>0</v>
      </c>
      <c r="AK1719">
        <v>100</v>
      </c>
      <c r="AL1719">
        <v>0</v>
      </c>
      <c r="AM1719">
        <v>0</v>
      </c>
      <c r="AN1719">
        <v>0</v>
      </c>
      <c r="AO1719">
        <v>0</v>
      </c>
      <c r="AQ1719">
        <v>0</v>
      </c>
      <c r="AR1719">
        <v>0</v>
      </c>
      <c r="AT1719">
        <v>0</v>
      </c>
      <c r="AU1719">
        <v>0</v>
      </c>
      <c r="AW1719">
        <v>0</v>
      </c>
      <c r="AX1719">
        <v>0</v>
      </c>
      <c r="AY1719">
        <v>70</v>
      </c>
      <c r="BC1719" t="str">
        <f>T("9791166003493")</f>
        <v>9791166003493</v>
      </c>
      <c r="BE1719" t="str">
        <f>T("판타지 웹소설 &gt; 현대 판타지")</f>
        <v>판타지 웹소설 &gt; 현대 판타지</v>
      </c>
    </row>
    <row r="1720" spans="1:57" x14ac:dyDescent="0.3">
      <c r="A1720">
        <v>1525004799</v>
      </c>
      <c r="B1720">
        <v>1525004875</v>
      </c>
      <c r="C1720" t="str">
        <f>T("검산도해 77화")</f>
        <v>검산도해 77화</v>
      </c>
      <c r="D1720" t="str">
        <f>T("77")</f>
        <v>77</v>
      </c>
      <c r="E1720" t="str">
        <f>T("권용찬")</f>
        <v>권용찬</v>
      </c>
      <c r="H1720" t="str">
        <f>T("스토리위즈")</f>
        <v>스토리위즈</v>
      </c>
      <c r="I1720" t="str">
        <f>T("검산도해")</f>
        <v>검산도해</v>
      </c>
      <c r="J1720">
        <v>100</v>
      </c>
      <c r="K1720">
        <v>100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100</v>
      </c>
      <c r="AH1720">
        <v>1</v>
      </c>
      <c r="AI1720">
        <v>0</v>
      </c>
      <c r="AJ1720">
        <v>0</v>
      </c>
      <c r="AK1720">
        <v>0</v>
      </c>
      <c r="AL1720">
        <v>0</v>
      </c>
      <c r="AM1720">
        <v>120</v>
      </c>
      <c r="AN1720">
        <v>-12</v>
      </c>
      <c r="AO1720">
        <v>0</v>
      </c>
      <c r="AQ1720">
        <v>0</v>
      </c>
      <c r="AR1720">
        <v>0</v>
      </c>
      <c r="AS1720">
        <v>120</v>
      </c>
      <c r="AT1720">
        <v>-12</v>
      </c>
      <c r="AU1720">
        <v>0</v>
      </c>
      <c r="AW1720">
        <v>0</v>
      </c>
      <c r="AX1720">
        <v>0</v>
      </c>
      <c r="AY1720">
        <v>75.599999999999994</v>
      </c>
      <c r="BC1720" t="str">
        <f>T("9791159285936")</f>
        <v>9791159285936</v>
      </c>
      <c r="BE1720" t="str">
        <f>T("판타지 웹소설 &gt; 무협 소설")</f>
        <v>판타지 웹소설 &gt; 무협 소설</v>
      </c>
    </row>
    <row r="1721" spans="1:57" x14ac:dyDescent="0.3">
      <c r="A1721">
        <v>1525000924</v>
      </c>
      <c r="B1721">
        <v>1525000971</v>
      </c>
      <c r="C1721" t="str">
        <f>T("스피릿 소드 48화")</f>
        <v>스피릿 소드 48화</v>
      </c>
      <c r="D1721" t="str">
        <f>T("48")</f>
        <v>48</v>
      </c>
      <c r="E1721" t="str">
        <f>T("김정률")</f>
        <v>김정률</v>
      </c>
      <c r="H1721" t="str">
        <f>T("스토리위즈")</f>
        <v>스토리위즈</v>
      </c>
      <c r="I1721" t="str">
        <f>T("스피릿 소드")</f>
        <v>스피릿 소드</v>
      </c>
      <c r="J1721">
        <v>100</v>
      </c>
      <c r="K1721">
        <v>100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100</v>
      </c>
      <c r="AH1721">
        <v>1</v>
      </c>
      <c r="AI1721">
        <v>0</v>
      </c>
      <c r="AJ1721">
        <v>0</v>
      </c>
      <c r="AK1721">
        <v>100</v>
      </c>
      <c r="AL1721">
        <v>0</v>
      </c>
      <c r="AM1721">
        <v>0</v>
      </c>
      <c r="AN1721">
        <v>0</v>
      </c>
      <c r="AO1721">
        <v>0</v>
      </c>
      <c r="AQ1721">
        <v>0</v>
      </c>
      <c r="AR1721">
        <v>0</v>
      </c>
      <c r="AT1721">
        <v>0</v>
      </c>
      <c r="AU1721">
        <v>0</v>
      </c>
      <c r="AW1721">
        <v>0</v>
      </c>
      <c r="AX1721">
        <v>0</v>
      </c>
      <c r="AY1721">
        <v>70</v>
      </c>
      <c r="BA1721" t="str">
        <f>T("9791159282713")</f>
        <v>9791159282713</v>
      </c>
      <c r="BC1721" t="str">
        <f>T("9791159282713")</f>
        <v>9791159282713</v>
      </c>
      <c r="BE1721" t="str">
        <f>T("판타지 웹소설 &gt; 정통 판타지")</f>
        <v>판타지 웹소설 &gt; 정통 판타지</v>
      </c>
    </row>
    <row r="1722" spans="1:57" x14ac:dyDescent="0.3">
      <c r="A1722">
        <v>1525004030</v>
      </c>
      <c r="B1722">
        <v>1525007062</v>
      </c>
      <c r="C1722" t="str">
        <f>T("회귀의 전설 2부 946화")</f>
        <v>회귀의 전설 2부 946화</v>
      </c>
      <c r="D1722" t="str">
        <f>T("946")</f>
        <v>946</v>
      </c>
      <c r="E1722" t="str">
        <f>T("김광수")</f>
        <v>김광수</v>
      </c>
      <c r="H1722" t="str">
        <f>T("스토리위즈")</f>
        <v>스토리위즈</v>
      </c>
      <c r="I1722" t="str">
        <f>T("회귀의 전설")</f>
        <v>회귀의 전설</v>
      </c>
      <c r="J1722">
        <v>100</v>
      </c>
      <c r="K1722">
        <v>100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100</v>
      </c>
      <c r="AH1722">
        <v>1</v>
      </c>
      <c r="AI1722">
        <v>0</v>
      </c>
      <c r="AJ1722">
        <v>0</v>
      </c>
      <c r="AK1722">
        <v>100</v>
      </c>
      <c r="AL1722">
        <v>0</v>
      </c>
      <c r="AM1722">
        <v>0</v>
      </c>
      <c r="AN1722">
        <v>0</v>
      </c>
      <c r="AO1722">
        <v>0</v>
      </c>
      <c r="AQ1722">
        <v>0</v>
      </c>
      <c r="AR1722">
        <v>0</v>
      </c>
      <c r="AT1722">
        <v>0</v>
      </c>
      <c r="AU1722">
        <v>0</v>
      </c>
      <c r="AW1722">
        <v>0</v>
      </c>
      <c r="AX1722">
        <v>0</v>
      </c>
      <c r="AY1722">
        <v>70</v>
      </c>
      <c r="BC1722" t="str">
        <f>T("9791191102086")</f>
        <v>9791191102086</v>
      </c>
      <c r="BE1722" t="str">
        <f>T("판타지 웹소설 &gt; 현대 판타지")</f>
        <v>판타지 웹소설 &gt; 현대 판타지</v>
      </c>
    </row>
    <row r="1723" spans="1:57" x14ac:dyDescent="0.3">
      <c r="A1723">
        <v>1525004030</v>
      </c>
      <c r="B1723">
        <v>1525004533</v>
      </c>
      <c r="C1723" t="str">
        <f>T("회귀의 전설 510화")</f>
        <v>회귀의 전설 510화</v>
      </c>
      <c r="D1723" t="str">
        <f>T("510")</f>
        <v>510</v>
      </c>
      <c r="E1723" t="str">
        <f>T("김광수")</f>
        <v>김광수</v>
      </c>
      <c r="H1723" t="str">
        <f>T("스토리위즈")</f>
        <v>스토리위즈</v>
      </c>
      <c r="I1723" t="str">
        <f>T("회귀의 전설")</f>
        <v>회귀의 전설</v>
      </c>
      <c r="J1723">
        <v>100</v>
      </c>
      <c r="K1723">
        <v>100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100</v>
      </c>
      <c r="AH1723">
        <v>1</v>
      </c>
      <c r="AI1723">
        <v>0</v>
      </c>
      <c r="AJ1723">
        <v>0</v>
      </c>
      <c r="AK1723">
        <v>100</v>
      </c>
      <c r="AL1723">
        <v>0</v>
      </c>
      <c r="AM1723">
        <v>0</v>
      </c>
      <c r="AN1723">
        <v>0</v>
      </c>
      <c r="AO1723">
        <v>0</v>
      </c>
      <c r="AQ1723">
        <v>0</v>
      </c>
      <c r="AR1723">
        <v>0</v>
      </c>
      <c r="AT1723">
        <v>0</v>
      </c>
      <c r="AU1723">
        <v>0</v>
      </c>
      <c r="AW1723">
        <v>0</v>
      </c>
      <c r="AX1723">
        <v>0</v>
      </c>
      <c r="AY1723">
        <v>70</v>
      </c>
      <c r="BC1723" t="str">
        <f>T("9788997946006")</f>
        <v>9788997946006</v>
      </c>
      <c r="BE1723" t="str">
        <f>T("판타지 웹소설 &gt; 현대 판타지")</f>
        <v>판타지 웹소설 &gt; 현대 판타지</v>
      </c>
    </row>
    <row r="1724" spans="1:57" x14ac:dyDescent="0.3">
      <c r="A1724">
        <v>1525014780</v>
      </c>
      <c r="B1724">
        <v>1525014933</v>
      </c>
      <c r="C1724" t="str">
        <f>T("크랭키 걸즈 154화")</f>
        <v>크랭키 걸즈 154화</v>
      </c>
      <c r="D1724" t="str">
        <f>T("154")</f>
        <v>154</v>
      </c>
      <c r="E1724" t="str">
        <f>T("곽도우")</f>
        <v>곽도우</v>
      </c>
      <c r="H1724" t="str">
        <f>T("스토리아크")</f>
        <v>스토리아크</v>
      </c>
      <c r="I1724" t="str">
        <f>T("크랭키 걸즈")</f>
        <v>크랭키 걸즈</v>
      </c>
      <c r="J1724">
        <v>100</v>
      </c>
      <c r="K1724">
        <v>100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100</v>
      </c>
      <c r="AH1724">
        <v>1</v>
      </c>
      <c r="AI1724">
        <v>0</v>
      </c>
      <c r="AJ1724">
        <v>0</v>
      </c>
      <c r="AK1724">
        <v>100</v>
      </c>
      <c r="AL1724">
        <v>0</v>
      </c>
      <c r="AM1724">
        <v>0</v>
      </c>
      <c r="AN1724">
        <v>0</v>
      </c>
      <c r="AO1724">
        <v>0</v>
      </c>
      <c r="AQ1724">
        <v>0</v>
      </c>
      <c r="AR1724">
        <v>0</v>
      </c>
      <c r="AT1724">
        <v>0</v>
      </c>
      <c r="AU1724">
        <v>0</v>
      </c>
      <c r="AW1724">
        <v>0</v>
      </c>
      <c r="AX1724">
        <v>0</v>
      </c>
      <c r="AY1724">
        <v>70</v>
      </c>
      <c r="BC1724" t="str">
        <f>T("9791191039276")</f>
        <v>9791191039276</v>
      </c>
      <c r="BE1724" t="str">
        <f>T("판타지 웹소설 &gt; 현대 판타지")</f>
        <v>판타지 웹소설 &gt; 현대 판타지</v>
      </c>
    </row>
    <row r="1725" spans="1:57" x14ac:dyDescent="0.3">
      <c r="A1725">
        <v>1525008545</v>
      </c>
      <c r="B1725">
        <v>1525008590</v>
      </c>
      <c r="C1725" t="str">
        <f>T("소년연애담 6화")</f>
        <v>소년연애담 6화</v>
      </c>
      <c r="D1725" t="str">
        <f>T("6")</f>
        <v>6</v>
      </c>
      <c r="E1725" t="str">
        <f>T("나나코")</f>
        <v>나나코</v>
      </c>
      <c r="H1725" t="str">
        <f>T("블러쉬")</f>
        <v>블러쉬</v>
      </c>
      <c r="I1725" t="str">
        <f>T("소년연애담")</f>
        <v>소년연애담</v>
      </c>
      <c r="J1725">
        <v>100</v>
      </c>
      <c r="K1725">
        <v>100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100</v>
      </c>
      <c r="AH1725">
        <v>1</v>
      </c>
      <c r="AI1725">
        <v>0</v>
      </c>
      <c r="AJ1725">
        <v>0</v>
      </c>
      <c r="AK1725">
        <v>100</v>
      </c>
      <c r="AL1725">
        <v>0</v>
      </c>
      <c r="AM1725">
        <v>0</v>
      </c>
      <c r="AN1725">
        <v>0</v>
      </c>
      <c r="AO1725">
        <v>0</v>
      </c>
      <c r="AQ1725">
        <v>0</v>
      </c>
      <c r="AR1725">
        <v>0</v>
      </c>
      <c r="AT1725">
        <v>0</v>
      </c>
      <c r="AU1725">
        <v>0</v>
      </c>
      <c r="AW1725">
        <v>0</v>
      </c>
      <c r="AX1725">
        <v>0</v>
      </c>
      <c r="AY1725">
        <v>70</v>
      </c>
      <c r="BA1725" t="str">
        <f>T("0000000000000")</f>
        <v>0000000000000</v>
      </c>
      <c r="BC1725" t="str">
        <f>T("9791164890729")</f>
        <v>9791164890729</v>
      </c>
      <c r="BD1725" t="str">
        <f>T("B12")</f>
        <v>B12</v>
      </c>
      <c r="BE1725" t="str">
        <f>T("BL 웹소설 &gt; 현대물")</f>
        <v>BL 웹소설 &gt; 현대물</v>
      </c>
    </row>
    <row r="1726" spans="1:57" x14ac:dyDescent="0.3">
      <c r="A1726">
        <v>1525012551</v>
      </c>
      <c r="B1726">
        <v>1525012679</v>
      </c>
      <c r="C1726" t="str">
        <f>T("개정판 | 바보가 만드는 멋진 세상 129화")</f>
        <v>개정판 | 바보가 만드는 멋진 세상 129화</v>
      </c>
      <c r="D1726" t="str">
        <f>T("129")</f>
        <v>129</v>
      </c>
      <c r="E1726" t="str">
        <f>T("백범(白帆)")</f>
        <v>백범(白帆)</v>
      </c>
      <c r="H1726" t="str">
        <f>T("에필로그")</f>
        <v>에필로그</v>
      </c>
      <c r="I1726" t="str">
        <f>T("개정판 | 바보가 만드는 멋진 세상")</f>
        <v>개정판 | 바보가 만드는 멋진 세상</v>
      </c>
      <c r="J1726">
        <v>100</v>
      </c>
      <c r="K1726">
        <v>100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100</v>
      </c>
      <c r="AH1726">
        <v>1</v>
      </c>
      <c r="AI1726">
        <v>0</v>
      </c>
      <c r="AJ1726">
        <v>0</v>
      </c>
      <c r="AK1726">
        <v>100</v>
      </c>
      <c r="AL1726">
        <v>0</v>
      </c>
      <c r="AM1726">
        <v>0</v>
      </c>
      <c r="AN1726">
        <v>0</v>
      </c>
      <c r="AO1726">
        <v>0</v>
      </c>
      <c r="AQ1726">
        <v>0</v>
      </c>
      <c r="AR1726">
        <v>0</v>
      </c>
      <c r="AT1726">
        <v>0</v>
      </c>
      <c r="AU1726">
        <v>0</v>
      </c>
      <c r="AW1726">
        <v>0</v>
      </c>
      <c r="AX1726">
        <v>0</v>
      </c>
      <c r="AY1726">
        <v>70</v>
      </c>
      <c r="BC1726" t="str">
        <f>T("9791166003493")</f>
        <v>9791166003493</v>
      </c>
      <c r="BE1726" t="str">
        <f>T("판타지 웹소설 &gt; 현대 판타지")</f>
        <v>판타지 웹소설 &gt; 현대 판타지</v>
      </c>
    </row>
    <row r="1727" spans="1:57" x14ac:dyDescent="0.3">
      <c r="A1727">
        <v>1525004799</v>
      </c>
      <c r="B1727">
        <v>1525004850</v>
      </c>
      <c r="C1727" t="str">
        <f>T("검산도해 52화")</f>
        <v>검산도해 52화</v>
      </c>
      <c r="D1727" t="str">
        <f>T("52")</f>
        <v>52</v>
      </c>
      <c r="E1727" t="str">
        <f>T("권용찬")</f>
        <v>권용찬</v>
      </c>
      <c r="H1727" t="str">
        <f>T("스토리위즈")</f>
        <v>스토리위즈</v>
      </c>
      <c r="I1727" t="str">
        <f>T("검산도해")</f>
        <v>검산도해</v>
      </c>
      <c r="J1727">
        <v>100</v>
      </c>
      <c r="K1727">
        <v>100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100</v>
      </c>
      <c r="AH1727">
        <v>1</v>
      </c>
      <c r="AI1727">
        <v>0</v>
      </c>
      <c r="AJ1727">
        <v>0</v>
      </c>
      <c r="AK1727">
        <v>0</v>
      </c>
      <c r="AL1727">
        <v>0</v>
      </c>
      <c r="AM1727">
        <v>120</v>
      </c>
      <c r="AN1727">
        <v>-12</v>
      </c>
      <c r="AO1727">
        <v>0</v>
      </c>
      <c r="AQ1727">
        <v>0</v>
      </c>
      <c r="AR1727">
        <v>0</v>
      </c>
      <c r="AS1727">
        <v>120</v>
      </c>
      <c r="AT1727">
        <v>-12</v>
      </c>
      <c r="AU1727">
        <v>0</v>
      </c>
      <c r="AW1727">
        <v>0</v>
      </c>
      <c r="AX1727">
        <v>0</v>
      </c>
      <c r="AY1727">
        <v>75.599999999999994</v>
      </c>
      <c r="BC1727" t="str">
        <f>T("9791159285936")</f>
        <v>9791159285936</v>
      </c>
      <c r="BE1727" t="str">
        <f>T("판타지 웹소설 &gt; 무협 소설")</f>
        <v>판타지 웹소설 &gt; 무협 소설</v>
      </c>
    </row>
    <row r="1728" spans="1:57" x14ac:dyDescent="0.3">
      <c r="A1728">
        <v>1525004030</v>
      </c>
      <c r="B1728">
        <v>1525006694</v>
      </c>
      <c r="C1728" t="str">
        <f>T("회귀의 전설 2부 577화")</f>
        <v>회귀의 전설 2부 577화</v>
      </c>
      <c r="D1728" t="str">
        <f>T("577")</f>
        <v>577</v>
      </c>
      <c r="E1728" t="str">
        <f>T("김광수")</f>
        <v>김광수</v>
      </c>
      <c r="H1728" t="str">
        <f>T("스토리위즈")</f>
        <v>스토리위즈</v>
      </c>
      <c r="I1728" t="str">
        <f>T("회귀의 전설")</f>
        <v>회귀의 전설</v>
      </c>
      <c r="J1728">
        <v>100</v>
      </c>
      <c r="K1728">
        <v>100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100</v>
      </c>
      <c r="AH1728">
        <v>1</v>
      </c>
      <c r="AI1728">
        <v>0</v>
      </c>
      <c r="AJ1728">
        <v>0</v>
      </c>
      <c r="AK1728">
        <v>100</v>
      </c>
      <c r="AL1728">
        <v>0</v>
      </c>
      <c r="AM1728">
        <v>0</v>
      </c>
      <c r="AN1728">
        <v>0</v>
      </c>
      <c r="AO1728">
        <v>0</v>
      </c>
      <c r="AQ1728">
        <v>0</v>
      </c>
      <c r="AR1728">
        <v>0</v>
      </c>
      <c r="AT1728">
        <v>0</v>
      </c>
      <c r="AU1728">
        <v>0</v>
      </c>
      <c r="AW1728">
        <v>0</v>
      </c>
      <c r="AX1728">
        <v>0</v>
      </c>
      <c r="AY1728">
        <v>70</v>
      </c>
      <c r="BC1728" t="str">
        <f>T("9791191102086")</f>
        <v>9791191102086</v>
      </c>
      <c r="BE1728" t="str">
        <f>T("판타지 웹소설 &gt; 현대 판타지")</f>
        <v>판타지 웹소설 &gt; 현대 판타지</v>
      </c>
    </row>
    <row r="1729" spans="1:58" x14ac:dyDescent="0.3">
      <c r="A1729">
        <v>1525013020</v>
      </c>
      <c r="B1729">
        <v>1525013107</v>
      </c>
      <c r="C1729" t="str">
        <f>T("악당의 리턴 88화")</f>
        <v>악당의 리턴 88화</v>
      </c>
      <c r="D1729" t="str">
        <f>T("88")</f>
        <v>88</v>
      </c>
      <c r="E1729" t="str">
        <f>T("백범(白帆)")</f>
        <v>백범(白帆)</v>
      </c>
      <c r="H1729" t="str">
        <f>T("에필로그")</f>
        <v>에필로그</v>
      </c>
      <c r="I1729" t="str">
        <f>T("악당의 리턴")</f>
        <v>악당의 리턴</v>
      </c>
      <c r="J1729">
        <v>100</v>
      </c>
      <c r="K1729">
        <v>100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100</v>
      </c>
      <c r="AH1729">
        <v>1</v>
      </c>
      <c r="AI1729">
        <v>0</v>
      </c>
      <c r="AJ1729">
        <v>0</v>
      </c>
      <c r="AK1729">
        <v>100</v>
      </c>
      <c r="AL1729">
        <v>0</v>
      </c>
      <c r="AM1729">
        <v>0</v>
      </c>
      <c r="AN1729">
        <v>0</v>
      </c>
      <c r="AO1729">
        <v>0</v>
      </c>
      <c r="AQ1729">
        <v>0</v>
      </c>
      <c r="AR1729">
        <v>0</v>
      </c>
      <c r="AT1729">
        <v>0</v>
      </c>
      <c r="AU1729">
        <v>0</v>
      </c>
      <c r="AW1729">
        <v>0</v>
      </c>
      <c r="AX1729">
        <v>0</v>
      </c>
      <c r="AY1729">
        <v>70</v>
      </c>
      <c r="BC1729" t="str">
        <f>T("9791196538927")</f>
        <v>9791196538927</v>
      </c>
      <c r="BE1729" t="str">
        <f>T("판타지 웹소설 &gt; 현대 판타지")</f>
        <v>판타지 웹소설 &gt; 현대 판타지</v>
      </c>
    </row>
    <row r="1730" spans="1:58" x14ac:dyDescent="0.3">
      <c r="A1730">
        <v>1525007923</v>
      </c>
      <c r="B1730">
        <v>1525008000</v>
      </c>
      <c r="C1730" t="str">
        <f>T("운상연담: 화불능귀일락 8화")</f>
        <v>운상연담: 화불능귀일락 8화</v>
      </c>
      <c r="D1730" t="str">
        <f>T("8")</f>
        <v>8</v>
      </c>
      <c r="E1730" t="str">
        <f>T("피모")</f>
        <v>피모</v>
      </c>
      <c r="H1730" t="str">
        <f>T("쉬라즈")</f>
        <v>쉬라즈</v>
      </c>
      <c r="I1730" t="str">
        <f>T("운상연담: 화불능귀일락")</f>
        <v>운상연담: 화불능귀일락</v>
      </c>
      <c r="J1730">
        <v>100</v>
      </c>
      <c r="K1730">
        <v>100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100</v>
      </c>
      <c r="AH1730">
        <v>1</v>
      </c>
      <c r="AI1730">
        <v>0</v>
      </c>
      <c r="AJ1730">
        <v>0</v>
      </c>
      <c r="AK1730">
        <v>100</v>
      </c>
      <c r="AL1730">
        <v>0</v>
      </c>
      <c r="AM1730">
        <v>0</v>
      </c>
      <c r="AN1730">
        <v>0</v>
      </c>
      <c r="AO1730">
        <v>0</v>
      </c>
      <c r="AQ1730">
        <v>0</v>
      </c>
      <c r="AR1730">
        <v>0</v>
      </c>
      <c r="AT1730">
        <v>0</v>
      </c>
      <c r="AU1730">
        <v>0</v>
      </c>
      <c r="AW1730">
        <v>0</v>
      </c>
      <c r="AX1730">
        <v>0</v>
      </c>
      <c r="AY1730">
        <v>70</v>
      </c>
      <c r="BC1730" t="str">
        <f>T("9791164896646")</f>
        <v>9791164896646</v>
      </c>
      <c r="BE1730" t="str">
        <f>T("로맨스 웹소설 &gt; 역사/시대물")</f>
        <v>로맨스 웹소설 &gt; 역사/시대물</v>
      </c>
    </row>
    <row r="1731" spans="1:58" x14ac:dyDescent="0.3">
      <c r="A1731">
        <v>1525012551</v>
      </c>
      <c r="B1731">
        <v>1525012668</v>
      </c>
      <c r="C1731" t="str">
        <f>T("개정판 | 바보가 만드는 멋진 세상 118화")</f>
        <v>개정판 | 바보가 만드는 멋진 세상 118화</v>
      </c>
      <c r="D1731" t="str">
        <f>T("118")</f>
        <v>118</v>
      </c>
      <c r="E1731" t="str">
        <f>T("백범(白帆)")</f>
        <v>백범(白帆)</v>
      </c>
      <c r="H1731" t="str">
        <f>T("에필로그")</f>
        <v>에필로그</v>
      </c>
      <c r="I1731" t="str">
        <f>T("개정판 | 바보가 만드는 멋진 세상")</f>
        <v>개정판 | 바보가 만드는 멋진 세상</v>
      </c>
      <c r="J1731">
        <v>100</v>
      </c>
      <c r="K1731">
        <v>100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100</v>
      </c>
      <c r="AH1731">
        <v>1</v>
      </c>
      <c r="AI1731">
        <v>0</v>
      </c>
      <c r="AJ1731">
        <v>0</v>
      </c>
      <c r="AK1731">
        <v>100</v>
      </c>
      <c r="AL1731">
        <v>0</v>
      </c>
      <c r="AM1731">
        <v>0</v>
      </c>
      <c r="AN1731">
        <v>0</v>
      </c>
      <c r="AO1731">
        <v>0</v>
      </c>
      <c r="AQ1731">
        <v>0</v>
      </c>
      <c r="AR1731">
        <v>0</v>
      </c>
      <c r="AT1731">
        <v>0</v>
      </c>
      <c r="AU1731">
        <v>0</v>
      </c>
      <c r="AW1731">
        <v>0</v>
      </c>
      <c r="AX1731">
        <v>0</v>
      </c>
      <c r="AY1731">
        <v>70</v>
      </c>
      <c r="BC1731" t="str">
        <f>T("9791166003493")</f>
        <v>9791166003493</v>
      </c>
      <c r="BE1731" t="str">
        <f>T("판타지 웹소설 &gt; 현대 판타지")</f>
        <v>판타지 웹소설 &gt; 현대 판타지</v>
      </c>
    </row>
    <row r="1732" spans="1:58" x14ac:dyDescent="0.3">
      <c r="A1732">
        <v>1525004799</v>
      </c>
      <c r="B1732">
        <v>1525004839</v>
      </c>
      <c r="C1732" t="str">
        <f>T("검산도해 41화")</f>
        <v>검산도해 41화</v>
      </c>
      <c r="D1732" t="str">
        <f>T("41")</f>
        <v>41</v>
      </c>
      <c r="E1732" t="str">
        <f>T("권용찬")</f>
        <v>권용찬</v>
      </c>
      <c r="H1732" t="str">
        <f>T("스토리위즈")</f>
        <v>스토리위즈</v>
      </c>
      <c r="I1732" t="str">
        <f>T("검산도해")</f>
        <v>검산도해</v>
      </c>
      <c r="J1732">
        <v>100</v>
      </c>
      <c r="K1732">
        <v>100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100</v>
      </c>
      <c r="AH1732">
        <v>1</v>
      </c>
      <c r="AI1732">
        <v>0</v>
      </c>
      <c r="AJ1732">
        <v>0</v>
      </c>
      <c r="AK1732">
        <v>0</v>
      </c>
      <c r="AL1732">
        <v>0</v>
      </c>
      <c r="AM1732">
        <v>120</v>
      </c>
      <c r="AN1732">
        <v>-12</v>
      </c>
      <c r="AO1732">
        <v>0</v>
      </c>
      <c r="AQ1732">
        <v>0</v>
      </c>
      <c r="AR1732">
        <v>0</v>
      </c>
      <c r="AS1732">
        <v>120</v>
      </c>
      <c r="AT1732">
        <v>-12</v>
      </c>
      <c r="AU1732">
        <v>0</v>
      </c>
      <c r="AW1732">
        <v>0</v>
      </c>
      <c r="AX1732">
        <v>0</v>
      </c>
      <c r="AY1732">
        <v>75.599999999999994</v>
      </c>
      <c r="BC1732" t="str">
        <f>T("9791159285936")</f>
        <v>9791159285936</v>
      </c>
      <c r="BE1732" t="str">
        <f>T("판타지 웹소설 &gt; 무협 소설")</f>
        <v>판타지 웹소설 &gt; 무협 소설</v>
      </c>
    </row>
    <row r="1733" spans="1:58" x14ac:dyDescent="0.3">
      <c r="A1733">
        <v>1525004799</v>
      </c>
      <c r="B1733">
        <v>1525004896</v>
      </c>
      <c r="C1733" t="str">
        <f>T("검산도해 98화")</f>
        <v>검산도해 98화</v>
      </c>
      <c r="D1733" t="str">
        <f>T("98")</f>
        <v>98</v>
      </c>
      <c r="E1733" t="str">
        <f>T("권용찬")</f>
        <v>권용찬</v>
      </c>
      <c r="H1733" t="str">
        <f>T("스토리위즈")</f>
        <v>스토리위즈</v>
      </c>
      <c r="I1733" t="str">
        <f>T("검산도해")</f>
        <v>검산도해</v>
      </c>
      <c r="J1733">
        <v>100</v>
      </c>
      <c r="K1733">
        <v>100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100</v>
      </c>
      <c r="AH1733">
        <v>1</v>
      </c>
      <c r="AI1733">
        <v>0</v>
      </c>
      <c r="AJ1733">
        <v>0</v>
      </c>
      <c r="AK1733">
        <v>0</v>
      </c>
      <c r="AL1733">
        <v>0</v>
      </c>
      <c r="AM1733">
        <v>120</v>
      </c>
      <c r="AN1733">
        <v>-12</v>
      </c>
      <c r="AO1733">
        <v>0</v>
      </c>
      <c r="AQ1733">
        <v>0</v>
      </c>
      <c r="AR1733">
        <v>0</v>
      </c>
      <c r="AS1733">
        <v>120</v>
      </c>
      <c r="AT1733">
        <v>-12</v>
      </c>
      <c r="AU1733">
        <v>0</v>
      </c>
      <c r="AW1733">
        <v>0</v>
      </c>
      <c r="AX1733">
        <v>0</v>
      </c>
      <c r="AY1733">
        <v>75.599999999999994</v>
      </c>
      <c r="BC1733" t="str">
        <f>T("9791159285936")</f>
        <v>9791159285936</v>
      </c>
      <c r="BE1733" t="str">
        <f>T("판타지 웹소설 &gt; 무협 소설")</f>
        <v>판타지 웹소설 &gt; 무협 소설</v>
      </c>
    </row>
    <row r="1734" spans="1:58" x14ac:dyDescent="0.3">
      <c r="A1734">
        <v>1525004030</v>
      </c>
      <c r="B1734">
        <v>1525007083</v>
      </c>
      <c r="C1734" t="str">
        <f>T("회귀의 전설 2부 967화")</f>
        <v>회귀의 전설 2부 967화</v>
      </c>
      <c r="D1734" t="str">
        <f>T("967")</f>
        <v>967</v>
      </c>
      <c r="E1734" t="str">
        <f>T("김광수")</f>
        <v>김광수</v>
      </c>
      <c r="H1734" t="str">
        <f>T("스토리위즈")</f>
        <v>스토리위즈</v>
      </c>
      <c r="I1734" t="str">
        <f>T("회귀의 전설")</f>
        <v>회귀의 전설</v>
      </c>
      <c r="J1734">
        <v>100</v>
      </c>
      <c r="K1734">
        <v>100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100</v>
      </c>
      <c r="AH1734">
        <v>1</v>
      </c>
      <c r="AI1734">
        <v>0</v>
      </c>
      <c r="AJ1734">
        <v>0</v>
      </c>
      <c r="AK1734">
        <v>100</v>
      </c>
      <c r="AL1734">
        <v>0</v>
      </c>
      <c r="AM1734">
        <v>0</v>
      </c>
      <c r="AN1734">
        <v>0</v>
      </c>
      <c r="AO1734">
        <v>0</v>
      </c>
      <c r="AQ1734">
        <v>0</v>
      </c>
      <c r="AR1734">
        <v>0</v>
      </c>
      <c r="AT1734">
        <v>0</v>
      </c>
      <c r="AU1734">
        <v>0</v>
      </c>
      <c r="AW1734">
        <v>0</v>
      </c>
      <c r="AX1734">
        <v>0</v>
      </c>
      <c r="AY1734">
        <v>70</v>
      </c>
      <c r="BC1734" t="str">
        <f>T("9791191102086")</f>
        <v>9791191102086</v>
      </c>
      <c r="BE1734" t="str">
        <f>T("판타지 웹소설 &gt; 현대 판타지")</f>
        <v>판타지 웹소설 &gt; 현대 판타지</v>
      </c>
    </row>
    <row r="1735" spans="1:58" x14ac:dyDescent="0.3">
      <c r="A1735">
        <v>1525004030</v>
      </c>
      <c r="B1735">
        <v>1525004554</v>
      </c>
      <c r="C1735" t="str">
        <f>T("회귀의 전설 503화")</f>
        <v>회귀의 전설 503화</v>
      </c>
      <c r="D1735" t="str">
        <f>T("503")</f>
        <v>503</v>
      </c>
      <c r="E1735" t="str">
        <f>T("김광수")</f>
        <v>김광수</v>
      </c>
      <c r="H1735" t="str">
        <f>T("스토리위즈")</f>
        <v>스토리위즈</v>
      </c>
      <c r="I1735" t="str">
        <f>T("회귀의 전설")</f>
        <v>회귀의 전설</v>
      </c>
      <c r="J1735">
        <v>100</v>
      </c>
      <c r="K1735">
        <v>100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100</v>
      </c>
      <c r="AH1735">
        <v>1</v>
      </c>
      <c r="AI1735">
        <v>0</v>
      </c>
      <c r="AJ1735">
        <v>0</v>
      </c>
      <c r="AK1735">
        <v>100</v>
      </c>
      <c r="AL1735">
        <v>0</v>
      </c>
      <c r="AM1735">
        <v>0</v>
      </c>
      <c r="AN1735">
        <v>0</v>
      </c>
      <c r="AO1735">
        <v>0</v>
      </c>
      <c r="AQ1735">
        <v>0</v>
      </c>
      <c r="AR1735">
        <v>0</v>
      </c>
      <c r="AT1735">
        <v>0</v>
      </c>
      <c r="AU1735">
        <v>0</v>
      </c>
      <c r="AW1735">
        <v>0</v>
      </c>
      <c r="AX1735">
        <v>0</v>
      </c>
      <c r="AY1735">
        <v>70</v>
      </c>
      <c r="BC1735" t="str">
        <f>T("9788997946006")</f>
        <v>9788997946006</v>
      </c>
      <c r="BE1735" t="str">
        <f>T("판타지 웹소설 &gt; 현대 판타지")</f>
        <v>판타지 웹소설 &gt; 현대 판타지</v>
      </c>
    </row>
    <row r="1736" spans="1:58" x14ac:dyDescent="0.3">
      <c r="A1736">
        <v>1525015018</v>
      </c>
      <c r="B1736">
        <v>1525015043</v>
      </c>
      <c r="C1736" t="str">
        <f>T("그녀들은 소꿉친구지, 그 이상은 곤란합니다 26화")</f>
        <v>그녀들은 소꿉친구지, 그 이상은 곤란합니다 26화</v>
      </c>
      <c r="D1736" t="str">
        <f>T("26")</f>
        <v>26</v>
      </c>
      <c r="E1736" t="str">
        <f>T("자이오")</f>
        <v>자이오</v>
      </c>
      <c r="H1736" t="str">
        <f>T("스토리아크")</f>
        <v>스토리아크</v>
      </c>
      <c r="I1736" t="str">
        <f>T("그녀들은 소꿉친구지, 그 이상은 곤란합니다")</f>
        <v>그녀들은 소꿉친구지, 그 이상은 곤란합니다</v>
      </c>
      <c r="J1736">
        <v>100</v>
      </c>
      <c r="K1736">
        <v>100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100</v>
      </c>
      <c r="AH1736">
        <v>1</v>
      </c>
      <c r="AI1736">
        <v>0</v>
      </c>
      <c r="AJ1736">
        <v>0</v>
      </c>
      <c r="AK1736">
        <v>100</v>
      </c>
      <c r="AL1736">
        <v>0</v>
      </c>
      <c r="AM1736">
        <v>0</v>
      </c>
      <c r="AN1736">
        <v>0</v>
      </c>
      <c r="AO1736">
        <v>0</v>
      </c>
      <c r="AQ1736">
        <v>0</v>
      </c>
      <c r="AR1736">
        <v>0</v>
      </c>
      <c r="AT1736">
        <v>0</v>
      </c>
      <c r="AU1736">
        <v>0</v>
      </c>
      <c r="AW1736">
        <v>0</v>
      </c>
      <c r="AX1736">
        <v>0</v>
      </c>
      <c r="AY1736">
        <v>70</v>
      </c>
      <c r="BC1736" t="str">
        <f>T("9791191039313")</f>
        <v>9791191039313</v>
      </c>
      <c r="BE1736" t="str">
        <f>T("판타지 웹소설 &gt; 퓨전 판타지")</f>
        <v>판타지 웹소설 &gt; 퓨전 판타지</v>
      </c>
    </row>
    <row r="1737" spans="1:58" x14ac:dyDescent="0.3">
      <c r="A1737">
        <v>1525002125</v>
      </c>
      <c r="B1737">
        <v>1525002150</v>
      </c>
      <c r="C1737" t="str">
        <f>T("신을 죽이러 갑니다 26화")</f>
        <v>신을 죽이러 갑니다 26화</v>
      </c>
      <c r="D1737" t="str">
        <f>T("26")</f>
        <v>26</v>
      </c>
      <c r="E1737" t="str">
        <f>T("독고진")</f>
        <v>독고진</v>
      </c>
      <c r="H1737" t="str">
        <f>T("스토리위즈")</f>
        <v>스토리위즈</v>
      </c>
      <c r="I1737" t="str">
        <f>T("신을 죽이러 갑니다")</f>
        <v>신을 죽이러 갑니다</v>
      </c>
      <c r="J1737">
        <v>100</v>
      </c>
      <c r="K1737">
        <v>100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100</v>
      </c>
      <c r="AH1737">
        <v>1</v>
      </c>
      <c r="AI1737">
        <v>0</v>
      </c>
      <c r="AJ1737">
        <v>0</v>
      </c>
      <c r="AK1737">
        <v>0</v>
      </c>
      <c r="AL1737">
        <v>0</v>
      </c>
      <c r="AM1737">
        <v>120</v>
      </c>
      <c r="AN1737">
        <v>-36</v>
      </c>
      <c r="AO1737">
        <v>0</v>
      </c>
      <c r="AQ1737">
        <v>0</v>
      </c>
      <c r="AR1737">
        <v>0</v>
      </c>
      <c r="AS1737">
        <v>120</v>
      </c>
      <c r="AT1737">
        <v>-36</v>
      </c>
      <c r="AU1737">
        <v>0</v>
      </c>
      <c r="AW1737">
        <v>0</v>
      </c>
      <c r="AX1737">
        <v>0</v>
      </c>
      <c r="AY1737">
        <v>58.8</v>
      </c>
      <c r="BC1737" t="str">
        <f>T("9791159285806")</f>
        <v>9791159285806</v>
      </c>
      <c r="BE1737" t="str">
        <f>T("판타지 웹소설 &gt; 퓨전 판타지")</f>
        <v>판타지 웹소설 &gt; 퓨전 판타지</v>
      </c>
    </row>
    <row r="1738" spans="1:58" x14ac:dyDescent="0.3">
      <c r="A1738">
        <v>1525002864</v>
      </c>
      <c r="B1738">
        <v>1525002906</v>
      </c>
      <c r="C1738" t="str">
        <f>T("소드마스터의 환생 43화")</f>
        <v>소드마스터의 환생 43화</v>
      </c>
      <c r="D1738" t="str">
        <f>T("43")</f>
        <v>43</v>
      </c>
      <c r="E1738" t="str">
        <f>T("파란영")</f>
        <v>파란영</v>
      </c>
      <c r="H1738" t="str">
        <f>T("스토리위즈")</f>
        <v>스토리위즈</v>
      </c>
      <c r="I1738" t="str">
        <f>T("소드마스터의 환생")</f>
        <v>소드마스터의 환생</v>
      </c>
      <c r="J1738">
        <v>100</v>
      </c>
      <c r="K1738">
        <v>100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100</v>
      </c>
      <c r="AH1738">
        <v>1</v>
      </c>
      <c r="AI1738">
        <v>0</v>
      </c>
      <c r="AJ1738">
        <v>0</v>
      </c>
      <c r="AK1738">
        <v>100</v>
      </c>
      <c r="AL1738">
        <v>0</v>
      </c>
      <c r="AM1738">
        <v>0</v>
      </c>
      <c r="AN1738">
        <v>0</v>
      </c>
      <c r="AO1738">
        <v>0</v>
      </c>
      <c r="AQ1738">
        <v>0</v>
      </c>
      <c r="AR1738">
        <v>0</v>
      </c>
      <c r="AT1738">
        <v>0</v>
      </c>
      <c r="AU1738">
        <v>0</v>
      </c>
      <c r="AW1738">
        <v>0</v>
      </c>
      <c r="AX1738">
        <v>0</v>
      </c>
      <c r="AY1738">
        <v>70</v>
      </c>
      <c r="BC1738" t="str">
        <f>T("9791159287527")</f>
        <v>9791159287527</v>
      </c>
      <c r="BE1738" t="str">
        <f>T("판타지 웹소설 &gt; 정통 판타지")</f>
        <v>판타지 웹소설 &gt; 정통 판타지</v>
      </c>
    </row>
    <row r="1739" spans="1:58" x14ac:dyDescent="0.3">
      <c r="A1739">
        <v>1525013020</v>
      </c>
      <c r="B1739">
        <v>1525013124</v>
      </c>
      <c r="C1739" t="str">
        <f>T("악당의 리턴 105화")</f>
        <v>악당의 리턴 105화</v>
      </c>
      <c r="D1739" t="str">
        <f>T("105")</f>
        <v>105</v>
      </c>
      <c r="E1739" t="str">
        <f>T("백범(白帆)")</f>
        <v>백범(白帆)</v>
      </c>
      <c r="H1739" t="str">
        <f>T("에필로그")</f>
        <v>에필로그</v>
      </c>
      <c r="I1739" t="str">
        <f>T("악당의 리턴")</f>
        <v>악당의 리턴</v>
      </c>
      <c r="J1739">
        <v>100</v>
      </c>
      <c r="K1739">
        <v>100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100</v>
      </c>
      <c r="AH1739">
        <v>1</v>
      </c>
      <c r="AI1739">
        <v>0</v>
      </c>
      <c r="AJ1739">
        <v>0</v>
      </c>
      <c r="AK1739">
        <v>100</v>
      </c>
      <c r="AL1739">
        <v>0</v>
      </c>
      <c r="AM1739">
        <v>0</v>
      </c>
      <c r="AN1739">
        <v>0</v>
      </c>
      <c r="AO1739">
        <v>0</v>
      </c>
      <c r="AQ1739">
        <v>0</v>
      </c>
      <c r="AR1739">
        <v>0</v>
      </c>
      <c r="AT1739">
        <v>0</v>
      </c>
      <c r="AU1739">
        <v>0</v>
      </c>
      <c r="AW1739">
        <v>0</v>
      </c>
      <c r="AX1739">
        <v>0</v>
      </c>
      <c r="AY1739">
        <v>70</v>
      </c>
      <c r="BC1739" t="str">
        <f>T("9791196538927")</f>
        <v>9791196538927</v>
      </c>
      <c r="BE1739" t="str">
        <f>T("판타지 웹소설 &gt; 현대 판타지")</f>
        <v>판타지 웹소설 &gt; 현대 판타지</v>
      </c>
    </row>
    <row r="1740" spans="1:58" x14ac:dyDescent="0.3">
      <c r="A1740">
        <v>1525004030</v>
      </c>
      <c r="B1740">
        <v>1525007115</v>
      </c>
      <c r="C1740" t="str">
        <f>T("회귀의 전설 2부 999화")</f>
        <v>회귀의 전설 2부 999화</v>
      </c>
      <c r="D1740" t="str">
        <f>T("999")</f>
        <v>999</v>
      </c>
      <c r="E1740" t="str">
        <f>T("김광수")</f>
        <v>김광수</v>
      </c>
      <c r="H1740" t="str">
        <f>T("스토리위즈")</f>
        <v>스토리위즈</v>
      </c>
      <c r="I1740" t="str">
        <f>T("회귀의 전설")</f>
        <v>회귀의 전설</v>
      </c>
      <c r="J1740">
        <v>100</v>
      </c>
      <c r="K1740">
        <v>100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100</v>
      </c>
      <c r="AH1740">
        <v>1</v>
      </c>
      <c r="AI1740">
        <v>0</v>
      </c>
      <c r="AJ1740">
        <v>0</v>
      </c>
      <c r="AK1740">
        <v>100</v>
      </c>
      <c r="AL1740">
        <v>0</v>
      </c>
      <c r="AM1740">
        <v>0</v>
      </c>
      <c r="AN1740">
        <v>0</v>
      </c>
      <c r="AO1740">
        <v>0</v>
      </c>
      <c r="AQ1740">
        <v>0</v>
      </c>
      <c r="AR1740">
        <v>0</v>
      </c>
      <c r="AT1740">
        <v>0</v>
      </c>
      <c r="AU1740">
        <v>0</v>
      </c>
      <c r="AW1740">
        <v>0</v>
      </c>
      <c r="AX1740">
        <v>0</v>
      </c>
      <c r="AY1740">
        <v>70</v>
      </c>
      <c r="BC1740" t="str">
        <f>T("9791191102086")</f>
        <v>9791191102086</v>
      </c>
      <c r="BE1740" t="str">
        <f>T("판타지 웹소설 &gt; 현대 판타지")</f>
        <v>판타지 웹소설 &gt; 현대 판타지</v>
      </c>
    </row>
    <row r="1741" spans="1:58" x14ac:dyDescent="0.3">
      <c r="A1741">
        <v>1525011523</v>
      </c>
      <c r="B1741">
        <v>1525011235</v>
      </c>
      <c r="C1741" t="str">
        <f>T("남창목가 289화")</f>
        <v>남창목가 289화</v>
      </c>
      <c r="D1741" t="str">
        <f>T("289")</f>
        <v>289</v>
      </c>
      <c r="E1741" t="str">
        <f>T("최재봉")</f>
        <v>최재봉</v>
      </c>
      <c r="H1741" t="str">
        <f>T("에필로그")</f>
        <v>에필로그</v>
      </c>
      <c r="I1741" t="str">
        <f>T("남창목가")</f>
        <v>남창목가</v>
      </c>
      <c r="J1741">
        <v>100</v>
      </c>
      <c r="K1741">
        <v>100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100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120</v>
      </c>
      <c r="AN1741">
        <v>-12</v>
      </c>
      <c r="AO1741">
        <v>0</v>
      </c>
      <c r="AQ1741">
        <v>0</v>
      </c>
      <c r="AR1741">
        <v>0</v>
      </c>
      <c r="AS1741">
        <v>120</v>
      </c>
      <c r="AT1741">
        <v>-12</v>
      </c>
      <c r="AU1741">
        <v>0</v>
      </c>
      <c r="AW1741">
        <v>0</v>
      </c>
      <c r="AX1741">
        <v>0</v>
      </c>
      <c r="AY1741">
        <v>75.599999999999994</v>
      </c>
      <c r="BC1741" t="str">
        <f>T("9791164482849")</f>
        <v>9791164482849</v>
      </c>
      <c r="BE1741" t="str">
        <f>T("판타지 웹소설 &gt; 무협 소설")</f>
        <v>판타지 웹소설 &gt; 무협 소설</v>
      </c>
    </row>
    <row r="1742" spans="1:58" x14ac:dyDescent="0.3">
      <c r="A1742">
        <v>1525000569</v>
      </c>
      <c r="B1742">
        <v>1525000617</v>
      </c>
      <c r="C1742" t="str">
        <f>T("스트라이커 49화")</f>
        <v>스트라이커 49화</v>
      </c>
      <c r="D1742" t="str">
        <f>T("49")</f>
        <v>49</v>
      </c>
      <c r="E1742" t="str">
        <f>T("독고진")</f>
        <v>독고진</v>
      </c>
      <c r="H1742" t="str">
        <f>T("스토리위즈")</f>
        <v>스토리위즈</v>
      </c>
      <c r="I1742" t="str">
        <f>T("스트라이커")</f>
        <v>스트라이커</v>
      </c>
      <c r="J1742">
        <v>100</v>
      </c>
      <c r="K1742">
        <v>100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100</v>
      </c>
      <c r="AH1742">
        <v>1</v>
      </c>
      <c r="AI1742">
        <v>0</v>
      </c>
      <c r="AJ1742">
        <v>0</v>
      </c>
      <c r="AK1742">
        <v>100</v>
      </c>
      <c r="AL1742">
        <v>0</v>
      </c>
      <c r="AM1742">
        <v>0</v>
      </c>
      <c r="AN1742">
        <v>0</v>
      </c>
      <c r="AO1742">
        <v>0</v>
      </c>
      <c r="AQ1742">
        <v>0</v>
      </c>
      <c r="AR1742">
        <v>0</v>
      </c>
      <c r="AT1742">
        <v>0</v>
      </c>
      <c r="AU1742">
        <v>0</v>
      </c>
      <c r="AW1742">
        <v>0</v>
      </c>
      <c r="AX1742">
        <v>0</v>
      </c>
      <c r="AY1742">
        <v>70</v>
      </c>
      <c r="BC1742" t="str">
        <f>T("9791170151678")</f>
        <v>9791170151678</v>
      </c>
      <c r="BE1742" t="str">
        <f>T("판타지 웹소설 &gt; 현대 판타지")</f>
        <v>판타지 웹소설 &gt; 현대 판타지</v>
      </c>
    </row>
    <row r="1743" spans="1:58" x14ac:dyDescent="0.3">
      <c r="A1743">
        <v>1525011523</v>
      </c>
      <c r="B1743">
        <v>1525011031</v>
      </c>
      <c r="C1743" t="str">
        <f>T("남창목가 외전 461화")</f>
        <v>남창목가 외전 461화</v>
      </c>
      <c r="D1743" t="str">
        <f>T("461")</f>
        <v>461</v>
      </c>
      <c r="E1743" t="str">
        <f>T("최재봉")</f>
        <v>최재봉</v>
      </c>
      <c r="H1743" t="str">
        <f>T("에필로그")</f>
        <v>에필로그</v>
      </c>
      <c r="I1743" t="str">
        <f>T("남창목가")</f>
        <v>남창목가</v>
      </c>
      <c r="J1743">
        <v>100</v>
      </c>
      <c r="K1743">
        <v>100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100</v>
      </c>
      <c r="AH1743">
        <v>1</v>
      </c>
      <c r="AI1743">
        <v>0</v>
      </c>
      <c r="AJ1743">
        <v>0</v>
      </c>
      <c r="AK1743">
        <v>0</v>
      </c>
      <c r="AL1743">
        <v>0</v>
      </c>
      <c r="AM1743">
        <v>120</v>
      </c>
      <c r="AN1743">
        <v>-12</v>
      </c>
      <c r="AO1743">
        <v>0</v>
      </c>
      <c r="AQ1743">
        <v>0</v>
      </c>
      <c r="AR1743">
        <v>0</v>
      </c>
      <c r="AS1743">
        <v>120</v>
      </c>
      <c r="AT1743">
        <v>-12</v>
      </c>
      <c r="AU1743">
        <v>0</v>
      </c>
      <c r="AW1743">
        <v>0</v>
      </c>
      <c r="AX1743">
        <v>0</v>
      </c>
      <c r="AY1743">
        <v>75.599999999999994</v>
      </c>
      <c r="BC1743" t="str">
        <f>T("9791164482849")</f>
        <v>9791164482849</v>
      </c>
      <c r="BE1743" t="str">
        <f>T("판타지 웹소설 &gt; 무협 소설")</f>
        <v>판타지 웹소설 &gt; 무협 소설</v>
      </c>
    </row>
    <row r="1744" spans="1:58" x14ac:dyDescent="0.3">
      <c r="A1744">
        <v>1525008353</v>
      </c>
      <c r="B1744">
        <v>1525008396</v>
      </c>
      <c r="C1744" t="str">
        <f>T("당신이 있는 풍경 59화")</f>
        <v>당신이 있는 풍경 59화</v>
      </c>
      <c r="D1744" t="str">
        <f>T("59")</f>
        <v>59</v>
      </c>
      <c r="E1744" t="str">
        <f>T("김귤")</f>
        <v>김귤</v>
      </c>
      <c r="H1744" t="str">
        <f>T("블러쉬")</f>
        <v>블러쉬</v>
      </c>
      <c r="I1744" t="str">
        <f>T("당신이 있는 풍경")</f>
        <v>당신이 있는 풍경</v>
      </c>
      <c r="J1744">
        <v>100</v>
      </c>
      <c r="K1744">
        <v>100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100</v>
      </c>
      <c r="AH1744">
        <v>1</v>
      </c>
      <c r="AI1744">
        <v>0</v>
      </c>
      <c r="AJ1744">
        <v>0</v>
      </c>
      <c r="AK1744">
        <v>100</v>
      </c>
      <c r="AL1744">
        <v>0</v>
      </c>
      <c r="AM1744">
        <v>0</v>
      </c>
      <c r="AN1744">
        <v>0</v>
      </c>
      <c r="AO1744">
        <v>0</v>
      </c>
      <c r="AQ1744">
        <v>0</v>
      </c>
      <c r="AR1744">
        <v>0</v>
      </c>
      <c r="AT1744">
        <v>0</v>
      </c>
      <c r="AU1744">
        <v>0</v>
      </c>
      <c r="AW1744">
        <v>0</v>
      </c>
      <c r="AX1744">
        <v>0</v>
      </c>
      <c r="AY1744">
        <v>70</v>
      </c>
      <c r="BA1744" t="str">
        <f>T("0000000000000")</f>
        <v>0000000000000</v>
      </c>
      <c r="BC1744" t="str">
        <f>T("9791164896660")</f>
        <v>9791164896660</v>
      </c>
      <c r="BD1744" t="str">
        <f>T("B9")</f>
        <v>B9</v>
      </c>
      <c r="BE1744" t="str">
        <f>T("BL 웹소설 &gt; 현대물")</f>
        <v>BL 웹소설 &gt; 현대물</v>
      </c>
      <c r="BF1744" t="str">
        <f>T("BL 웹소설 &gt; 판타지물")</f>
        <v>BL 웹소설 &gt; 판타지물</v>
      </c>
    </row>
    <row r="1745" spans="1:57" x14ac:dyDescent="0.3">
      <c r="A1745">
        <v>1525004030</v>
      </c>
      <c r="B1745">
        <v>1525006898</v>
      </c>
      <c r="C1745" t="str">
        <f>T("회귀의 전설 2부 781화")</f>
        <v>회귀의 전설 2부 781화</v>
      </c>
      <c r="D1745" t="str">
        <f>T("781")</f>
        <v>781</v>
      </c>
      <c r="E1745" t="str">
        <f>T("김광수")</f>
        <v>김광수</v>
      </c>
      <c r="H1745" t="str">
        <f>T("스토리위즈")</f>
        <v>스토리위즈</v>
      </c>
      <c r="I1745" t="str">
        <f>T("회귀의 전설")</f>
        <v>회귀의 전설</v>
      </c>
      <c r="J1745">
        <v>100</v>
      </c>
      <c r="K1745">
        <v>100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100</v>
      </c>
      <c r="AH1745">
        <v>1</v>
      </c>
      <c r="AI1745">
        <v>0</v>
      </c>
      <c r="AJ1745">
        <v>0</v>
      </c>
      <c r="AK1745">
        <v>0</v>
      </c>
      <c r="AL1745">
        <v>0</v>
      </c>
      <c r="AM1745">
        <v>120</v>
      </c>
      <c r="AN1745">
        <v>-12</v>
      </c>
      <c r="AO1745">
        <v>0</v>
      </c>
      <c r="AQ1745">
        <v>0</v>
      </c>
      <c r="AR1745">
        <v>0</v>
      </c>
      <c r="AS1745">
        <v>120</v>
      </c>
      <c r="AT1745">
        <v>-12</v>
      </c>
      <c r="AU1745">
        <v>0</v>
      </c>
      <c r="AW1745">
        <v>0</v>
      </c>
      <c r="AX1745">
        <v>0</v>
      </c>
      <c r="AY1745">
        <v>75.599999999999994</v>
      </c>
      <c r="BC1745" t="str">
        <f>T("9791191102086")</f>
        <v>9791191102086</v>
      </c>
      <c r="BE1745" t="str">
        <f>T("판타지 웹소설 &gt; 현대 판타지")</f>
        <v>판타지 웹소설 &gt; 현대 판타지</v>
      </c>
    </row>
    <row r="1746" spans="1:57" x14ac:dyDescent="0.3">
      <c r="A1746">
        <v>1525011523</v>
      </c>
      <c r="B1746">
        <v>1525011351</v>
      </c>
      <c r="C1746" t="str">
        <f>T("남창목가 173화")</f>
        <v>남창목가 173화</v>
      </c>
      <c r="D1746" t="str">
        <f>T("173")</f>
        <v>173</v>
      </c>
      <c r="E1746" t="str">
        <f>T("최재봉")</f>
        <v>최재봉</v>
      </c>
      <c r="H1746" t="str">
        <f>T("에필로그")</f>
        <v>에필로그</v>
      </c>
      <c r="I1746" t="str">
        <f>T("남창목가")</f>
        <v>남창목가</v>
      </c>
      <c r="J1746">
        <v>100</v>
      </c>
      <c r="K1746">
        <v>100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100</v>
      </c>
      <c r="AH1746">
        <v>1</v>
      </c>
      <c r="AI1746">
        <v>0</v>
      </c>
      <c r="AJ1746">
        <v>0</v>
      </c>
      <c r="AK1746">
        <v>0</v>
      </c>
      <c r="AL1746">
        <v>0</v>
      </c>
      <c r="AM1746">
        <v>120</v>
      </c>
      <c r="AN1746">
        <v>-12</v>
      </c>
      <c r="AO1746">
        <v>0</v>
      </c>
      <c r="AQ1746">
        <v>0</v>
      </c>
      <c r="AR1746">
        <v>0</v>
      </c>
      <c r="AS1746">
        <v>120</v>
      </c>
      <c r="AT1746">
        <v>-12</v>
      </c>
      <c r="AU1746">
        <v>0</v>
      </c>
      <c r="AW1746">
        <v>0</v>
      </c>
      <c r="AX1746">
        <v>0</v>
      </c>
      <c r="AY1746">
        <v>75.599999999999994</v>
      </c>
      <c r="BC1746" t="str">
        <f>T("9791164482849")</f>
        <v>9791164482849</v>
      </c>
      <c r="BE1746" t="str">
        <f>T("판타지 웹소설 &gt; 무협 소설")</f>
        <v>판타지 웹소설 &gt; 무협 소설</v>
      </c>
    </row>
    <row r="1747" spans="1:57" x14ac:dyDescent="0.3">
      <c r="A1747">
        <v>1525002125</v>
      </c>
      <c r="B1747">
        <v>1525002382</v>
      </c>
      <c r="C1747" t="str">
        <f>T("신을 죽이러 갑니다 258화")</f>
        <v>신을 죽이러 갑니다 258화</v>
      </c>
      <c r="D1747" t="str">
        <f>T("258")</f>
        <v>258</v>
      </c>
      <c r="E1747" t="str">
        <f>T("독고진")</f>
        <v>독고진</v>
      </c>
      <c r="H1747" t="str">
        <f>T("스토리위즈")</f>
        <v>스토리위즈</v>
      </c>
      <c r="I1747" t="str">
        <f>T("신을 죽이러 갑니다")</f>
        <v>신을 죽이러 갑니다</v>
      </c>
      <c r="J1747">
        <v>100</v>
      </c>
      <c r="K1747">
        <v>100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100</v>
      </c>
      <c r="AH1747">
        <v>1</v>
      </c>
      <c r="AI1747">
        <v>0</v>
      </c>
      <c r="AJ1747">
        <v>0</v>
      </c>
      <c r="AK1747">
        <v>0</v>
      </c>
      <c r="AL1747">
        <v>0</v>
      </c>
      <c r="AM1747">
        <v>120</v>
      </c>
      <c r="AN1747">
        <v>-12</v>
      </c>
      <c r="AO1747">
        <v>0</v>
      </c>
      <c r="AQ1747">
        <v>0</v>
      </c>
      <c r="AR1747">
        <v>0</v>
      </c>
      <c r="AS1747">
        <v>120</v>
      </c>
      <c r="AT1747">
        <v>-12</v>
      </c>
      <c r="AU1747">
        <v>0</v>
      </c>
      <c r="AW1747">
        <v>0</v>
      </c>
      <c r="AX1747">
        <v>0</v>
      </c>
      <c r="AY1747">
        <v>75.599999999999994</v>
      </c>
      <c r="BC1747" t="str">
        <f>T("9791159285806")</f>
        <v>9791159285806</v>
      </c>
      <c r="BE1747" t="str">
        <f>T("판타지 웹소설 &gt; 퓨전 판타지")</f>
        <v>판타지 웹소설 &gt; 퓨전 판타지</v>
      </c>
    </row>
    <row r="1748" spans="1:57" x14ac:dyDescent="0.3">
      <c r="A1748">
        <v>1525012551</v>
      </c>
      <c r="B1748">
        <v>1525012717</v>
      </c>
      <c r="C1748" t="str">
        <f>T("개정판 | 바보가 만드는 멋진 세상 167화")</f>
        <v>개정판 | 바보가 만드는 멋진 세상 167화</v>
      </c>
      <c r="D1748" t="str">
        <f>T("167")</f>
        <v>167</v>
      </c>
      <c r="E1748" t="str">
        <f>T("백범(白帆)")</f>
        <v>백범(白帆)</v>
      </c>
      <c r="H1748" t="str">
        <f>T("에필로그")</f>
        <v>에필로그</v>
      </c>
      <c r="I1748" t="str">
        <f>T("개정판 | 바보가 만드는 멋진 세상")</f>
        <v>개정판 | 바보가 만드는 멋진 세상</v>
      </c>
      <c r="J1748">
        <v>100</v>
      </c>
      <c r="K1748">
        <v>100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100</v>
      </c>
      <c r="AH1748">
        <v>1</v>
      </c>
      <c r="AI1748">
        <v>0</v>
      </c>
      <c r="AJ1748">
        <v>0</v>
      </c>
      <c r="AK1748">
        <v>100</v>
      </c>
      <c r="AL1748">
        <v>0</v>
      </c>
      <c r="AM1748">
        <v>0</v>
      </c>
      <c r="AN1748">
        <v>0</v>
      </c>
      <c r="AO1748">
        <v>0</v>
      </c>
      <c r="AQ1748">
        <v>0</v>
      </c>
      <c r="AR1748">
        <v>0</v>
      </c>
      <c r="AT1748">
        <v>0</v>
      </c>
      <c r="AU1748">
        <v>0</v>
      </c>
      <c r="AW1748">
        <v>0</v>
      </c>
      <c r="AX1748">
        <v>0</v>
      </c>
      <c r="AY1748">
        <v>70</v>
      </c>
      <c r="BC1748" t="str">
        <f>T("9791166003493")</f>
        <v>9791166003493</v>
      </c>
      <c r="BE1748" t="str">
        <f>T("판타지 웹소설 &gt; 현대 판타지")</f>
        <v>판타지 웹소설 &gt; 현대 판타지</v>
      </c>
    </row>
    <row r="1749" spans="1:57" x14ac:dyDescent="0.3">
      <c r="A1749">
        <v>1525008428</v>
      </c>
      <c r="B1749">
        <v>1525008524</v>
      </c>
      <c r="C1749" t="str">
        <f>T("무히비(Muhibbi) 외전 122화")</f>
        <v>무히비(Muhibbi) 외전 122화</v>
      </c>
      <c r="D1749" t="str">
        <f>T("122")</f>
        <v>122</v>
      </c>
      <c r="E1749" t="str">
        <f>T("jooki")</f>
        <v>jooki</v>
      </c>
      <c r="H1749" t="str">
        <f>T("블러쉬")</f>
        <v>블러쉬</v>
      </c>
      <c r="I1749" t="str">
        <f>T("무히비(Muhibbi)")</f>
        <v>무히비(Muhibbi)</v>
      </c>
      <c r="J1749">
        <v>100</v>
      </c>
      <c r="K1749">
        <v>100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100</v>
      </c>
      <c r="AH1749">
        <v>1</v>
      </c>
      <c r="AI1749">
        <v>0</v>
      </c>
      <c r="AJ1749">
        <v>0</v>
      </c>
      <c r="AK1749">
        <v>100</v>
      </c>
      <c r="AL1749">
        <v>0</v>
      </c>
      <c r="AM1749">
        <v>0</v>
      </c>
      <c r="AN1749">
        <v>0</v>
      </c>
      <c r="AO1749">
        <v>0</v>
      </c>
      <c r="AQ1749">
        <v>0</v>
      </c>
      <c r="AR1749">
        <v>0</v>
      </c>
      <c r="AT1749">
        <v>0</v>
      </c>
      <c r="AU1749">
        <v>0</v>
      </c>
      <c r="AW1749">
        <v>0</v>
      </c>
      <c r="AX1749">
        <v>0</v>
      </c>
      <c r="AY1749">
        <v>70</v>
      </c>
      <c r="BA1749" t="str">
        <f>T("0000000000000")</f>
        <v>0000000000000</v>
      </c>
      <c r="BC1749" t="str">
        <f>T("9791164896622")</f>
        <v>9791164896622</v>
      </c>
      <c r="BE1749" t="str">
        <f>T("BL 웹소설 &gt; 역사/시대물")</f>
        <v>BL 웹소설 &gt; 역사/시대물</v>
      </c>
    </row>
    <row r="1750" spans="1:57" x14ac:dyDescent="0.3">
      <c r="A1750">
        <v>1525002864</v>
      </c>
      <c r="B1750">
        <v>1525003485</v>
      </c>
      <c r="C1750" t="str">
        <f>T("소드마스터의 환생 197화 (외전 3)")</f>
        <v>소드마스터의 환생 197화 (외전 3)</v>
      </c>
      <c r="D1750" t="str">
        <f>T("197")</f>
        <v>197</v>
      </c>
      <c r="E1750" t="str">
        <f>T("파란영")</f>
        <v>파란영</v>
      </c>
      <c r="H1750" t="str">
        <f>T("스토리위즈")</f>
        <v>스토리위즈</v>
      </c>
      <c r="I1750" t="str">
        <f>T("소드마스터의 환생")</f>
        <v>소드마스터의 환생</v>
      </c>
      <c r="J1750">
        <v>100</v>
      </c>
      <c r="K1750">
        <v>100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100</v>
      </c>
      <c r="AH1750">
        <v>1</v>
      </c>
      <c r="AI1750">
        <v>0</v>
      </c>
      <c r="AJ1750">
        <v>0</v>
      </c>
      <c r="AK1750">
        <v>100</v>
      </c>
      <c r="AL1750">
        <v>0</v>
      </c>
      <c r="AM1750">
        <v>0</v>
      </c>
      <c r="AN1750">
        <v>0</v>
      </c>
      <c r="AO1750">
        <v>0</v>
      </c>
      <c r="AQ1750">
        <v>0</v>
      </c>
      <c r="AR1750">
        <v>0</v>
      </c>
      <c r="AT1750">
        <v>0</v>
      </c>
      <c r="AU1750">
        <v>0</v>
      </c>
      <c r="AW1750">
        <v>0</v>
      </c>
      <c r="AX1750">
        <v>0</v>
      </c>
      <c r="AY1750">
        <v>70</v>
      </c>
      <c r="BC1750" t="str">
        <f>T("9791159287527")</f>
        <v>9791159287527</v>
      </c>
      <c r="BE1750" t="str">
        <f>T("판타지 웹소설 &gt; 정통 판타지")</f>
        <v>판타지 웹소설 &gt; 정통 판타지</v>
      </c>
    </row>
    <row r="1751" spans="1:57" x14ac:dyDescent="0.3">
      <c r="A1751">
        <v>1525008428</v>
      </c>
      <c r="B1751">
        <v>1525008480</v>
      </c>
      <c r="C1751" t="str">
        <f>T("무히비(Muhibbi) 67화")</f>
        <v>무히비(Muhibbi) 67화</v>
      </c>
      <c r="D1751" t="str">
        <f>T("67")</f>
        <v>67</v>
      </c>
      <c r="E1751" t="str">
        <f>T("jooki")</f>
        <v>jooki</v>
      </c>
      <c r="H1751" t="str">
        <f>T("블러쉬")</f>
        <v>블러쉬</v>
      </c>
      <c r="I1751" t="str">
        <f>T("무히비(Muhibbi)")</f>
        <v>무히비(Muhibbi)</v>
      </c>
      <c r="J1751">
        <v>100</v>
      </c>
      <c r="K1751">
        <v>100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100</v>
      </c>
      <c r="AH1751">
        <v>1</v>
      </c>
      <c r="AI1751">
        <v>0</v>
      </c>
      <c r="AJ1751">
        <v>0</v>
      </c>
      <c r="AK1751">
        <v>100</v>
      </c>
      <c r="AL1751">
        <v>0</v>
      </c>
      <c r="AM1751">
        <v>0</v>
      </c>
      <c r="AN1751">
        <v>0</v>
      </c>
      <c r="AO1751">
        <v>0</v>
      </c>
      <c r="AQ1751">
        <v>0</v>
      </c>
      <c r="AR1751">
        <v>0</v>
      </c>
      <c r="AT1751">
        <v>0</v>
      </c>
      <c r="AU1751">
        <v>0</v>
      </c>
      <c r="AW1751">
        <v>0</v>
      </c>
      <c r="AX1751">
        <v>0</v>
      </c>
      <c r="AY1751">
        <v>70</v>
      </c>
      <c r="BC1751" t="str">
        <f>T("9791164896622")</f>
        <v>9791164896622</v>
      </c>
      <c r="BE1751" t="str">
        <f>T("BL 웹소설 &gt; 역사/시대물")</f>
        <v>BL 웹소설 &gt; 역사/시대물</v>
      </c>
    </row>
    <row r="1752" spans="1:57" x14ac:dyDescent="0.3">
      <c r="A1752">
        <v>1525011523</v>
      </c>
      <c r="B1752">
        <v>1525011304</v>
      </c>
      <c r="C1752" t="str">
        <f>T("남창목가 220화")</f>
        <v>남창목가 220화</v>
      </c>
      <c r="D1752" t="str">
        <f>T("220")</f>
        <v>220</v>
      </c>
      <c r="E1752" t="str">
        <f>T("최재봉")</f>
        <v>최재봉</v>
      </c>
      <c r="H1752" t="str">
        <f>T("에필로그")</f>
        <v>에필로그</v>
      </c>
      <c r="I1752" t="str">
        <f>T("남창목가")</f>
        <v>남창목가</v>
      </c>
      <c r="J1752">
        <v>100</v>
      </c>
      <c r="K1752">
        <v>100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100</v>
      </c>
      <c r="AH1752">
        <v>1</v>
      </c>
      <c r="AI1752">
        <v>0</v>
      </c>
      <c r="AJ1752">
        <v>0</v>
      </c>
      <c r="AK1752">
        <v>0</v>
      </c>
      <c r="AL1752">
        <v>0</v>
      </c>
      <c r="AM1752">
        <v>120</v>
      </c>
      <c r="AN1752">
        <v>-12</v>
      </c>
      <c r="AO1752">
        <v>0</v>
      </c>
      <c r="AQ1752">
        <v>0</v>
      </c>
      <c r="AR1752">
        <v>0</v>
      </c>
      <c r="AS1752">
        <v>120</v>
      </c>
      <c r="AT1752">
        <v>-12</v>
      </c>
      <c r="AU1752">
        <v>0</v>
      </c>
      <c r="AW1752">
        <v>0</v>
      </c>
      <c r="AX1752">
        <v>0</v>
      </c>
      <c r="AY1752">
        <v>75.599999999999994</v>
      </c>
      <c r="BC1752" t="str">
        <f>T("9791164482849")</f>
        <v>9791164482849</v>
      </c>
      <c r="BE1752" t="str">
        <f>T("판타지 웹소설 &gt; 무협 소설")</f>
        <v>판타지 웹소설 &gt; 무협 소설</v>
      </c>
    </row>
    <row r="1753" spans="1:57" x14ac:dyDescent="0.3">
      <c r="A1753">
        <v>1525011523</v>
      </c>
      <c r="B1753">
        <v>1525011494</v>
      </c>
      <c r="C1753" t="str">
        <f>T("남창목가 30화")</f>
        <v>남창목가 30화</v>
      </c>
      <c r="D1753" t="str">
        <f>T("30")</f>
        <v>30</v>
      </c>
      <c r="E1753" t="str">
        <f>T("최재봉")</f>
        <v>최재봉</v>
      </c>
      <c r="H1753" t="str">
        <f>T("에필로그")</f>
        <v>에필로그</v>
      </c>
      <c r="I1753" t="str">
        <f>T("남창목가")</f>
        <v>남창목가</v>
      </c>
      <c r="J1753">
        <v>100</v>
      </c>
      <c r="K1753">
        <v>100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100</v>
      </c>
      <c r="AH1753">
        <v>1</v>
      </c>
      <c r="AI1753">
        <v>0</v>
      </c>
      <c r="AJ1753">
        <v>0</v>
      </c>
      <c r="AK1753">
        <v>100</v>
      </c>
      <c r="AL1753">
        <v>0</v>
      </c>
      <c r="AM1753">
        <v>0</v>
      </c>
      <c r="AN1753">
        <v>0</v>
      </c>
      <c r="AO1753">
        <v>0</v>
      </c>
      <c r="AQ1753">
        <v>0</v>
      </c>
      <c r="AR1753">
        <v>0</v>
      </c>
      <c r="AT1753">
        <v>0</v>
      </c>
      <c r="AU1753">
        <v>0</v>
      </c>
      <c r="AW1753">
        <v>0</v>
      </c>
      <c r="AX1753">
        <v>0</v>
      </c>
      <c r="AY1753">
        <v>70</v>
      </c>
      <c r="BC1753" t="str">
        <f>T("9791164482849")</f>
        <v>9791164482849</v>
      </c>
      <c r="BE1753" t="str">
        <f>T("판타지 웹소설 &gt; 무협 소설")</f>
        <v>판타지 웹소설 &gt; 무협 소설</v>
      </c>
    </row>
    <row r="1754" spans="1:57" x14ac:dyDescent="0.3">
      <c r="A1754">
        <v>1525012551</v>
      </c>
      <c r="B1754">
        <v>1525012595</v>
      </c>
      <c r="C1754" t="str">
        <f>T("개정판 | 바보가 만드는 멋진 세상 45화")</f>
        <v>개정판 | 바보가 만드는 멋진 세상 45화</v>
      </c>
      <c r="D1754" t="str">
        <f>T("45")</f>
        <v>45</v>
      </c>
      <c r="E1754" t="str">
        <f>T("백범(白帆)")</f>
        <v>백범(白帆)</v>
      </c>
      <c r="H1754" t="str">
        <f>T("에필로그")</f>
        <v>에필로그</v>
      </c>
      <c r="I1754" t="str">
        <f>T("개정판 | 바보가 만드는 멋진 세상")</f>
        <v>개정판 | 바보가 만드는 멋진 세상</v>
      </c>
      <c r="J1754">
        <v>100</v>
      </c>
      <c r="K1754">
        <v>100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100</v>
      </c>
      <c r="AH1754">
        <v>1</v>
      </c>
      <c r="AI1754">
        <v>0</v>
      </c>
      <c r="AJ1754">
        <v>0</v>
      </c>
      <c r="AK1754">
        <v>100</v>
      </c>
      <c r="AL1754">
        <v>0</v>
      </c>
      <c r="AM1754">
        <v>0</v>
      </c>
      <c r="AN1754">
        <v>0</v>
      </c>
      <c r="AO1754">
        <v>0</v>
      </c>
      <c r="AQ1754">
        <v>0</v>
      </c>
      <c r="AR1754">
        <v>0</v>
      </c>
      <c r="AT1754">
        <v>0</v>
      </c>
      <c r="AU1754">
        <v>0</v>
      </c>
      <c r="AW1754">
        <v>0</v>
      </c>
      <c r="AX1754">
        <v>0</v>
      </c>
      <c r="AY1754">
        <v>70</v>
      </c>
      <c r="BC1754" t="str">
        <f>T("9791166003493")</f>
        <v>9791166003493</v>
      </c>
      <c r="BE1754" t="str">
        <f>T("판타지 웹소설 &gt; 현대 판타지")</f>
        <v>판타지 웹소설 &gt; 현대 판타지</v>
      </c>
    </row>
    <row r="1755" spans="1:57" x14ac:dyDescent="0.3">
      <c r="A1755">
        <v>1525004799</v>
      </c>
      <c r="B1755">
        <v>1525004945</v>
      </c>
      <c r="C1755" t="str">
        <f>T("검산도해 147화")</f>
        <v>검산도해 147화</v>
      </c>
      <c r="D1755" t="str">
        <f>T("147")</f>
        <v>147</v>
      </c>
      <c r="E1755" t="str">
        <f>T("권용찬")</f>
        <v>권용찬</v>
      </c>
      <c r="H1755" t="str">
        <f>T("스토리위즈")</f>
        <v>스토리위즈</v>
      </c>
      <c r="I1755" t="str">
        <f>T("검산도해")</f>
        <v>검산도해</v>
      </c>
      <c r="J1755">
        <v>100</v>
      </c>
      <c r="K1755">
        <v>100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100</v>
      </c>
      <c r="AH1755">
        <v>1</v>
      </c>
      <c r="AI1755">
        <v>0</v>
      </c>
      <c r="AJ1755">
        <v>0</v>
      </c>
      <c r="AK1755">
        <v>0</v>
      </c>
      <c r="AL1755">
        <v>0</v>
      </c>
      <c r="AM1755">
        <v>120</v>
      </c>
      <c r="AN1755">
        <v>-12</v>
      </c>
      <c r="AO1755">
        <v>0</v>
      </c>
      <c r="AQ1755">
        <v>0</v>
      </c>
      <c r="AR1755">
        <v>0</v>
      </c>
      <c r="AS1755">
        <v>120</v>
      </c>
      <c r="AT1755">
        <v>-12</v>
      </c>
      <c r="AU1755">
        <v>0</v>
      </c>
      <c r="AW1755">
        <v>0</v>
      </c>
      <c r="AX1755">
        <v>0</v>
      </c>
      <c r="AY1755">
        <v>75.599999999999994</v>
      </c>
      <c r="BC1755" t="str">
        <f>T("9791159285936")</f>
        <v>9791159285936</v>
      </c>
      <c r="BE1755" t="str">
        <f>T("판타지 웹소설 &gt; 무협 소설")</f>
        <v>판타지 웹소설 &gt; 무협 소설</v>
      </c>
    </row>
    <row r="1756" spans="1:57" x14ac:dyDescent="0.3">
      <c r="A1756">
        <v>1525004030</v>
      </c>
      <c r="B1756">
        <v>1525007034</v>
      </c>
      <c r="C1756" t="str">
        <f>T("회귀의 전설 2부 918화")</f>
        <v>회귀의 전설 2부 918화</v>
      </c>
      <c r="D1756" t="str">
        <f>T("918")</f>
        <v>918</v>
      </c>
      <c r="E1756" t="str">
        <f>T("김광수")</f>
        <v>김광수</v>
      </c>
      <c r="H1756" t="str">
        <f>T("스토리위즈")</f>
        <v>스토리위즈</v>
      </c>
      <c r="I1756" t="str">
        <f>T("회귀의 전설")</f>
        <v>회귀의 전설</v>
      </c>
      <c r="J1756">
        <v>100</v>
      </c>
      <c r="K1756">
        <v>100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100</v>
      </c>
      <c r="AH1756">
        <v>1</v>
      </c>
      <c r="AI1756">
        <v>0</v>
      </c>
      <c r="AJ1756">
        <v>0</v>
      </c>
      <c r="AK1756">
        <v>100</v>
      </c>
      <c r="AL1756">
        <v>0</v>
      </c>
      <c r="AM1756">
        <v>0</v>
      </c>
      <c r="AN1756">
        <v>0</v>
      </c>
      <c r="AO1756">
        <v>0</v>
      </c>
      <c r="AQ1756">
        <v>0</v>
      </c>
      <c r="AR1756">
        <v>0</v>
      </c>
      <c r="AT1756">
        <v>0</v>
      </c>
      <c r="AU1756">
        <v>0</v>
      </c>
      <c r="AW1756">
        <v>0</v>
      </c>
      <c r="AX1756">
        <v>0</v>
      </c>
      <c r="AY1756">
        <v>70</v>
      </c>
      <c r="BC1756" t="str">
        <f>T("9791191102086")</f>
        <v>9791191102086</v>
      </c>
      <c r="BE1756" t="str">
        <f>T("판타지 웹소설 &gt; 현대 판타지")</f>
        <v>판타지 웹소설 &gt; 현대 판타지</v>
      </c>
    </row>
    <row r="1757" spans="1:57" x14ac:dyDescent="0.3">
      <c r="A1757">
        <v>1525004030</v>
      </c>
      <c r="B1757">
        <v>1525006993</v>
      </c>
      <c r="C1757" t="str">
        <f>T("회귀의 전설 2부 877화")</f>
        <v>회귀의 전설 2부 877화</v>
      </c>
      <c r="D1757" t="str">
        <f>T("877")</f>
        <v>877</v>
      </c>
      <c r="E1757" t="str">
        <f>T("김광수")</f>
        <v>김광수</v>
      </c>
      <c r="H1757" t="str">
        <f>T("스토리위즈")</f>
        <v>스토리위즈</v>
      </c>
      <c r="I1757" t="str">
        <f>T("회귀의 전설")</f>
        <v>회귀의 전설</v>
      </c>
      <c r="J1757">
        <v>100</v>
      </c>
      <c r="K1757">
        <v>100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100</v>
      </c>
      <c r="AH1757">
        <v>1</v>
      </c>
      <c r="AI1757">
        <v>0</v>
      </c>
      <c r="AJ1757">
        <v>0</v>
      </c>
      <c r="AK1757">
        <v>100</v>
      </c>
      <c r="AL1757">
        <v>0</v>
      </c>
      <c r="AM1757">
        <v>0</v>
      </c>
      <c r="AN1757">
        <v>0</v>
      </c>
      <c r="AO1757">
        <v>0</v>
      </c>
      <c r="AQ1757">
        <v>0</v>
      </c>
      <c r="AR1757">
        <v>0</v>
      </c>
      <c r="AT1757">
        <v>0</v>
      </c>
      <c r="AU1757">
        <v>0</v>
      </c>
      <c r="AW1757">
        <v>0</v>
      </c>
      <c r="AX1757">
        <v>0</v>
      </c>
      <c r="AY1757">
        <v>70</v>
      </c>
      <c r="BC1757" t="str">
        <f>T("9791191102086")</f>
        <v>9791191102086</v>
      </c>
      <c r="BE1757" t="str">
        <f>T("판타지 웹소설 &gt; 현대 판타지")</f>
        <v>판타지 웹소설 &gt; 현대 판타지</v>
      </c>
    </row>
    <row r="1758" spans="1:57" x14ac:dyDescent="0.3">
      <c r="A1758">
        <v>1525011523</v>
      </c>
      <c r="B1758">
        <v>1525011389</v>
      </c>
      <c r="C1758" t="str">
        <f>T("남창목가 135화")</f>
        <v>남창목가 135화</v>
      </c>
      <c r="D1758" t="str">
        <f>T("135")</f>
        <v>135</v>
      </c>
      <c r="E1758" t="str">
        <f>T("최재봉")</f>
        <v>최재봉</v>
      </c>
      <c r="H1758" t="str">
        <f>T("에필로그")</f>
        <v>에필로그</v>
      </c>
      <c r="I1758" t="str">
        <f>T("남창목가")</f>
        <v>남창목가</v>
      </c>
      <c r="J1758">
        <v>100</v>
      </c>
      <c r="K1758">
        <v>100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100</v>
      </c>
      <c r="AH1758">
        <v>1</v>
      </c>
      <c r="AI1758">
        <v>0</v>
      </c>
      <c r="AJ1758">
        <v>0</v>
      </c>
      <c r="AK1758">
        <v>100</v>
      </c>
      <c r="AL1758">
        <v>0</v>
      </c>
      <c r="AM1758">
        <v>0</v>
      </c>
      <c r="AN1758">
        <v>0</v>
      </c>
      <c r="AO1758">
        <v>0</v>
      </c>
      <c r="AQ1758">
        <v>0</v>
      </c>
      <c r="AR1758">
        <v>0</v>
      </c>
      <c r="AT1758">
        <v>0</v>
      </c>
      <c r="AU1758">
        <v>0</v>
      </c>
      <c r="AW1758">
        <v>0</v>
      </c>
      <c r="AX1758">
        <v>0</v>
      </c>
      <c r="AY1758">
        <v>70</v>
      </c>
      <c r="BC1758" t="str">
        <f>T("9791164482849")</f>
        <v>9791164482849</v>
      </c>
      <c r="BE1758" t="str">
        <f>T("판타지 웹소설 &gt; 무협 소설")</f>
        <v>판타지 웹소설 &gt; 무협 소설</v>
      </c>
    </row>
    <row r="1759" spans="1:57" x14ac:dyDescent="0.3">
      <c r="A1759">
        <v>1525013020</v>
      </c>
      <c r="B1759">
        <v>1525013075</v>
      </c>
      <c r="C1759" t="str">
        <f>T("악당의 리턴 56화")</f>
        <v>악당의 리턴 56화</v>
      </c>
      <c r="D1759" t="str">
        <f>T("56")</f>
        <v>56</v>
      </c>
      <c r="E1759" t="str">
        <f>T("백범(白帆)")</f>
        <v>백범(白帆)</v>
      </c>
      <c r="H1759" t="str">
        <f>T("에필로그")</f>
        <v>에필로그</v>
      </c>
      <c r="I1759" t="str">
        <f>T("악당의 리턴")</f>
        <v>악당의 리턴</v>
      </c>
      <c r="J1759">
        <v>100</v>
      </c>
      <c r="K1759">
        <v>100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100</v>
      </c>
      <c r="AH1759">
        <v>1</v>
      </c>
      <c r="AI1759">
        <v>0</v>
      </c>
      <c r="AJ1759">
        <v>0</v>
      </c>
      <c r="AK1759">
        <v>100</v>
      </c>
      <c r="AL1759">
        <v>0</v>
      </c>
      <c r="AM1759">
        <v>0</v>
      </c>
      <c r="AN1759">
        <v>0</v>
      </c>
      <c r="AO1759">
        <v>0</v>
      </c>
      <c r="AQ1759">
        <v>0</v>
      </c>
      <c r="AR1759">
        <v>0</v>
      </c>
      <c r="AT1759">
        <v>0</v>
      </c>
      <c r="AU1759">
        <v>0</v>
      </c>
      <c r="AW1759">
        <v>0</v>
      </c>
      <c r="AX1759">
        <v>0</v>
      </c>
      <c r="AY1759">
        <v>70</v>
      </c>
      <c r="BC1759" t="str">
        <f>T("9791196538927")</f>
        <v>9791196538927</v>
      </c>
      <c r="BE1759" t="str">
        <f>T("판타지 웹소설 &gt; 현대 판타지")</f>
        <v>판타지 웹소설 &gt; 현대 판타지</v>
      </c>
    </row>
    <row r="1760" spans="1:57" x14ac:dyDescent="0.3">
      <c r="A1760">
        <v>1525004030</v>
      </c>
      <c r="B1760">
        <v>1525007149</v>
      </c>
      <c r="C1760" t="str">
        <f>T("회귀의 전설 2부 1032화")</f>
        <v>회귀의 전설 2부 1032화</v>
      </c>
      <c r="D1760" t="str">
        <f>T("1032")</f>
        <v>1032</v>
      </c>
      <c r="E1760" t="str">
        <f>T("김광수")</f>
        <v>김광수</v>
      </c>
      <c r="H1760" t="str">
        <f>T("스토리위즈")</f>
        <v>스토리위즈</v>
      </c>
      <c r="I1760" t="str">
        <f>T("회귀의 전설")</f>
        <v>회귀의 전설</v>
      </c>
      <c r="J1760">
        <v>100</v>
      </c>
      <c r="K1760">
        <v>100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100</v>
      </c>
      <c r="AH1760">
        <v>1</v>
      </c>
      <c r="AI1760">
        <v>0</v>
      </c>
      <c r="AJ1760">
        <v>0</v>
      </c>
      <c r="AK1760">
        <v>100</v>
      </c>
      <c r="AL1760">
        <v>0</v>
      </c>
      <c r="AM1760">
        <v>0</v>
      </c>
      <c r="AN1760">
        <v>0</v>
      </c>
      <c r="AO1760">
        <v>0</v>
      </c>
      <c r="AQ1760">
        <v>0</v>
      </c>
      <c r="AR1760">
        <v>0</v>
      </c>
      <c r="AT1760">
        <v>0</v>
      </c>
      <c r="AU1760">
        <v>0</v>
      </c>
      <c r="AW1760">
        <v>0</v>
      </c>
      <c r="AX1760">
        <v>0</v>
      </c>
      <c r="AY1760">
        <v>70</v>
      </c>
      <c r="BC1760" t="str">
        <f>T("9791191102086")</f>
        <v>9791191102086</v>
      </c>
      <c r="BE1760" t="str">
        <f>T("판타지 웹소설 &gt; 현대 판타지")</f>
        <v>판타지 웹소설 &gt; 현대 판타지</v>
      </c>
    </row>
    <row r="1761" spans="1:57" x14ac:dyDescent="0.3">
      <c r="A1761">
        <v>1525012551</v>
      </c>
      <c r="B1761">
        <v>1525012749</v>
      </c>
      <c r="C1761" t="str">
        <f>T("개정판 | 바보가 만드는 멋진 세상 199화")</f>
        <v>개정판 | 바보가 만드는 멋진 세상 199화</v>
      </c>
      <c r="D1761" t="str">
        <f>T("199")</f>
        <v>199</v>
      </c>
      <c r="E1761" t="str">
        <f>T("백범(白帆)")</f>
        <v>백범(白帆)</v>
      </c>
      <c r="H1761" t="str">
        <f>T("에필로그")</f>
        <v>에필로그</v>
      </c>
      <c r="I1761" t="str">
        <f>T("개정판 | 바보가 만드는 멋진 세상")</f>
        <v>개정판 | 바보가 만드는 멋진 세상</v>
      </c>
      <c r="J1761">
        <v>100</v>
      </c>
      <c r="K1761">
        <v>100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100</v>
      </c>
      <c r="AH1761">
        <v>1</v>
      </c>
      <c r="AI1761">
        <v>0</v>
      </c>
      <c r="AJ1761">
        <v>0</v>
      </c>
      <c r="AK1761">
        <v>100</v>
      </c>
      <c r="AL1761">
        <v>0</v>
      </c>
      <c r="AM1761">
        <v>0</v>
      </c>
      <c r="AN1761">
        <v>0</v>
      </c>
      <c r="AO1761">
        <v>0</v>
      </c>
      <c r="AQ1761">
        <v>0</v>
      </c>
      <c r="AR1761">
        <v>0</v>
      </c>
      <c r="AT1761">
        <v>0</v>
      </c>
      <c r="AU1761">
        <v>0</v>
      </c>
      <c r="AW1761">
        <v>0</v>
      </c>
      <c r="AX1761">
        <v>0</v>
      </c>
      <c r="AY1761">
        <v>70</v>
      </c>
      <c r="BC1761" t="str">
        <f>T("9791166003493")</f>
        <v>9791166003493</v>
      </c>
      <c r="BE1761" t="str">
        <f>T("판타지 웹소설 &gt; 현대 판타지")</f>
        <v>판타지 웹소설 &gt; 현대 판타지</v>
      </c>
    </row>
    <row r="1762" spans="1:57" x14ac:dyDescent="0.3">
      <c r="A1762">
        <v>1525008545</v>
      </c>
      <c r="B1762">
        <v>1525008562</v>
      </c>
      <c r="C1762" t="str">
        <f>T("소년연애담 35화")</f>
        <v>소년연애담 35화</v>
      </c>
      <c r="D1762" t="str">
        <f>T("35")</f>
        <v>35</v>
      </c>
      <c r="E1762" t="str">
        <f>T("나나코")</f>
        <v>나나코</v>
      </c>
      <c r="H1762" t="str">
        <f>T("블러쉬")</f>
        <v>블러쉬</v>
      </c>
      <c r="I1762" t="str">
        <f>T("소년연애담")</f>
        <v>소년연애담</v>
      </c>
      <c r="J1762">
        <v>100</v>
      </c>
      <c r="K1762">
        <v>100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100</v>
      </c>
      <c r="AH1762">
        <v>1</v>
      </c>
      <c r="AI1762">
        <v>0</v>
      </c>
      <c r="AJ1762">
        <v>0</v>
      </c>
      <c r="AK1762">
        <v>100</v>
      </c>
      <c r="AL1762">
        <v>0</v>
      </c>
      <c r="AM1762">
        <v>0</v>
      </c>
      <c r="AN1762">
        <v>0</v>
      </c>
      <c r="AO1762">
        <v>0</v>
      </c>
      <c r="AQ1762">
        <v>0</v>
      </c>
      <c r="AR1762">
        <v>0</v>
      </c>
      <c r="AT1762">
        <v>0</v>
      </c>
      <c r="AU1762">
        <v>0</v>
      </c>
      <c r="AW1762">
        <v>0</v>
      </c>
      <c r="AX1762">
        <v>0</v>
      </c>
      <c r="AY1762">
        <v>70</v>
      </c>
      <c r="BA1762" t="str">
        <f>T("0000000000000")</f>
        <v>0000000000000</v>
      </c>
      <c r="BC1762" t="str">
        <f>T("9791164890729")</f>
        <v>9791164890729</v>
      </c>
      <c r="BD1762" t="str">
        <f>T("B12")</f>
        <v>B12</v>
      </c>
      <c r="BE1762" t="str">
        <f>T("BL 웹소설 &gt; 현대물")</f>
        <v>BL 웹소설 &gt; 현대물</v>
      </c>
    </row>
    <row r="1763" spans="1:57" x14ac:dyDescent="0.3">
      <c r="A1763">
        <v>1525008428</v>
      </c>
      <c r="B1763">
        <v>1525008514</v>
      </c>
      <c r="C1763" t="str">
        <f>T("무히비(Muhibbi) 98화")</f>
        <v>무히비(Muhibbi) 98화</v>
      </c>
      <c r="D1763" t="str">
        <f>T("98")</f>
        <v>98</v>
      </c>
      <c r="E1763" t="str">
        <f>T("jooki")</f>
        <v>jooki</v>
      </c>
      <c r="H1763" t="str">
        <f>T("블러쉬")</f>
        <v>블러쉬</v>
      </c>
      <c r="I1763" t="str">
        <f>T("무히비(Muhibbi)")</f>
        <v>무히비(Muhibbi)</v>
      </c>
      <c r="J1763">
        <v>100</v>
      </c>
      <c r="K1763">
        <v>100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100</v>
      </c>
      <c r="AH1763">
        <v>1</v>
      </c>
      <c r="AI1763">
        <v>0</v>
      </c>
      <c r="AJ1763">
        <v>0</v>
      </c>
      <c r="AK1763">
        <v>100</v>
      </c>
      <c r="AL1763">
        <v>0</v>
      </c>
      <c r="AM1763">
        <v>0</v>
      </c>
      <c r="AN1763">
        <v>0</v>
      </c>
      <c r="AO1763">
        <v>0</v>
      </c>
      <c r="AQ1763">
        <v>0</v>
      </c>
      <c r="AR1763">
        <v>0</v>
      </c>
      <c r="AT1763">
        <v>0</v>
      </c>
      <c r="AU1763">
        <v>0</v>
      </c>
      <c r="AW1763">
        <v>0</v>
      </c>
      <c r="AX1763">
        <v>0</v>
      </c>
      <c r="AY1763">
        <v>70</v>
      </c>
      <c r="BA1763" t="str">
        <f>T("0000000000000")</f>
        <v>0000000000000</v>
      </c>
      <c r="BC1763" t="str">
        <f>T("9791164896622")</f>
        <v>9791164896622</v>
      </c>
      <c r="BE1763" t="str">
        <f>T("BL 웹소설 &gt; 역사/시대물")</f>
        <v>BL 웹소설 &gt; 역사/시대물</v>
      </c>
    </row>
    <row r="1764" spans="1:57" x14ac:dyDescent="0.3">
      <c r="A1764">
        <v>1525012551</v>
      </c>
      <c r="B1764">
        <v>1525012627</v>
      </c>
      <c r="C1764" t="str">
        <f>T("개정판 | 바보가 만드는 멋진 세상 77화")</f>
        <v>개정판 | 바보가 만드는 멋진 세상 77화</v>
      </c>
      <c r="D1764" t="str">
        <f>T("77")</f>
        <v>77</v>
      </c>
      <c r="E1764" t="str">
        <f>T("백범(白帆)")</f>
        <v>백범(白帆)</v>
      </c>
      <c r="H1764" t="str">
        <f>T("에필로그")</f>
        <v>에필로그</v>
      </c>
      <c r="I1764" t="str">
        <f>T("개정판 | 바보가 만드는 멋진 세상")</f>
        <v>개정판 | 바보가 만드는 멋진 세상</v>
      </c>
      <c r="J1764">
        <v>100</v>
      </c>
      <c r="K1764">
        <v>100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100</v>
      </c>
      <c r="AH1764">
        <v>1</v>
      </c>
      <c r="AI1764">
        <v>0</v>
      </c>
      <c r="AJ1764">
        <v>0</v>
      </c>
      <c r="AK1764">
        <v>100</v>
      </c>
      <c r="AL1764">
        <v>0</v>
      </c>
      <c r="AM1764">
        <v>0</v>
      </c>
      <c r="AN1764">
        <v>0</v>
      </c>
      <c r="AO1764">
        <v>0</v>
      </c>
      <c r="AQ1764">
        <v>0</v>
      </c>
      <c r="AR1764">
        <v>0</v>
      </c>
      <c r="AT1764">
        <v>0</v>
      </c>
      <c r="AU1764">
        <v>0</v>
      </c>
      <c r="AW1764">
        <v>0</v>
      </c>
      <c r="AX1764">
        <v>0</v>
      </c>
      <c r="AY1764">
        <v>70</v>
      </c>
      <c r="BC1764" t="str">
        <f>T("9791166003493")</f>
        <v>9791166003493</v>
      </c>
      <c r="BE1764" t="str">
        <f>T("판타지 웹소설 &gt; 현대 판타지")</f>
        <v>판타지 웹소설 &gt; 현대 판타지</v>
      </c>
    </row>
    <row r="1765" spans="1:57" x14ac:dyDescent="0.3">
      <c r="A1765">
        <v>1525000924</v>
      </c>
      <c r="B1765">
        <v>1525000960</v>
      </c>
      <c r="C1765" t="str">
        <f>T("스피릿 소드 37화")</f>
        <v>스피릿 소드 37화</v>
      </c>
      <c r="D1765" t="str">
        <f>T("37")</f>
        <v>37</v>
      </c>
      <c r="E1765" t="str">
        <f>T("김정률")</f>
        <v>김정률</v>
      </c>
      <c r="H1765" t="str">
        <f>T("스토리위즈")</f>
        <v>스토리위즈</v>
      </c>
      <c r="I1765" t="str">
        <f>T("스피릿 소드")</f>
        <v>스피릿 소드</v>
      </c>
      <c r="J1765">
        <v>100</v>
      </c>
      <c r="K1765">
        <v>100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100</v>
      </c>
      <c r="AH1765">
        <v>1</v>
      </c>
      <c r="AI1765">
        <v>0</v>
      </c>
      <c r="AJ1765">
        <v>0</v>
      </c>
      <c r="AK1765">
        <v>100</v>
      </c>
      <c r="AL1765">
        <v>0</v>
      </c>
      <c r="AM1765">
        <v>0</v>
      </c>
      <c r="AN1765">
        <v>0</v>
      </c>
      <c r="AO1765">
        <v>0</v>
      </c>
      <c r="AQ1765">
        <v>0</v>
      </c>
      <c r="AR1765">
        <v>0</v>
      </c>
      <c r="AT1765">
        <v>0</v>
      </c>
      <c r="AU1765">
        <v>0</v>
      </c>
      <c r="AW1765">
        <v>0</v>
      </c>
      <c r="AX1765">
        <v>0</v>
      </c>
      <c r="AY1765">
        <v>70</v>
      </c>
      <c r="BA1765" t="str">
        <f>T("9791159282713")</f>
        <v>9791159282713</v>
      </c>
      <c r="BC1765" t="str">
        <f>T("9791159282713")</f>
        <v>9791159282713</v>
      </c>
      <c r="BE1765" t="str">
        <f>T("판타지 웹소설 &gt; 정통 판타지")</f>
        <v>판타지 웹소설 &gt; 정통 판타지</v>
      </c>
    </row>
    <row r="1766" spans="1:57" x14ac:dyDescent="0.3">
      <c r="A1766">
        <v>1525004030</v>
      </c>
      <c r="B1766">
        <v>1525007023</v>
      </c>
      <c r="C1766" t="str">
        <f>T("회귀의 전설 2부 907화")</f>
        <v>회귀의 전설 2부 907화</v>
      </c>
      <c r="D1766" t="str">
        <f>T("907")</f>
        <v>907</v>
      </c>
      <c r="E1766" t="str">
        <f>T("김광수")</f>
        <v>김광수</v>
      </c>
      <c r="H1766" t="str">
        <f>T("스토리위즈")</f>
        <v>스토리위즈</v>
      </c>
      <c r="I1766" t="str">
        <f>T("회귀의 전설")</f>
        <v>회귀의 전설</v>
      </c>
      <c r="J1766">
        <v>100</v>
      </c>
      <c r="K1766">
        <v>100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100</v>
      </c>
      <c r="AH1766">
        <v>1</v>
      </c>
      <c r="AI1766">
        <v>0</v>
      </c>
      <c r="AJ1766">
        <v>0</v>
      </c>
      <c r="AK1766">
        <v>100</v>
      </c>
      <c r="AL1766">
        <v>0</v>
      </c>
      <c r="AM1766">
        <v>0</v>
      </c>
      <c r="AN1766">
        <v>0</v>
      </c>
      <c r="AO1766">
        <v>0</v>
      </c>
      <c r="AQ1766">
        <v>0</v>
      </c>
      <c r="AR1766">
        <v>0</v>
      </c>
      <c r="AT1766">
        <v>0</v>
      </c>
      <c r="AU1766">
        <v>0</v>
      </c>
      <c r="AW1766">
        <v>0</v>
      </c>
      <c r="AX1766">
        <v>0</v>
      </c>
      <c r="AY1766">
        <v>70</v>
      </c>
      <c r="BC1766" t="str">
        <f>T("9791191102086")</f>
        <v>9791191102086</v>
      </c>
      <c r="BE1766" t="str">
        <f>T("판타지 웹소설 &gt; 현대 판타지")</f>
        <v>판타지 웹소설 &gt; 현대 판타지</v>
      </c>
    </row>
    <row r="1767" spans="1:57" x14ac:dyDescent="0.3">
      <c r="A1767">
        <v>1525011523</v>
      </c>
      <c r="B1767">
        <v>1525011197</v>
      </c>
      <c r="C1767" t="str">
        <f>T("남창목가 327화")</f>
        <v>남창목가 327화</v>
      </c>
      <c r="D1767" t="str">
        <f>T("327")</f>
        <v>327</v>
      </c>
      <c r="E1767" t="str">
        <f>T("최재봉")</f>
        <v>최재봉</v>
      </c>
      <c r="H1767" t="str">
        <f>T("에필로그")</f>
        <v>에필로그</v>
      </c>
      <c r="I1767" t="str">
        <f>T("남창목가")</f>
        <v>남창목가</v>
      </c>
      <c r="J1767">
        <v>100</v>
      </c>
      <c r="K1767">
        <v>100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100</v>
      </c>
      <c r="AH1767">
        <v>1</v>
      </c>
      <c r="AI1767">
        <v>0</v>
      </c>
      <c r="AJ1767">
        <v>0</v>
      </c>
      <c r="AK1767">
        <v>0</v>
      </c>
      <c r="AL1767">
        <v>0</v>
      </c>
      <c r="AM1767">
        <v>120</v>
      </c>
      <c r="AN1767">
        <v>-12</v>
      </c>
      <c r="AO1767">
        <v>0</v>
      </c>
      <c r="AQ1767">
        <v>0</v>
      </c>
      <c r="AR1767">
        <v>0</v>
      </c>
      <c r="AS1767">
        <v>120</v>
      </c>
      <c r="AT1767">
        <v>-12</v>
      </c>
      <c r="AU1767">
        <v>0</v>
      </c>
      <c r="AW1767">
        <v>0</v>
      </c>
      <c r="AX1767">
        <v>0</v>
      </c>
      <c r="AY1767">
        <v>75.599999999999994</v>
      </c>
      <c r="BC1767" t="str">
        <f>T("9791164482849")</f>
        <v>9791164482849</v>
      </c>
      <c r="BE1767" t="str">
        <f>T("판타지 웹소설 &gt; 무협 소설")</f>
        <v>판타지 웹소설 &gt; 무협 소설</v>
      </c>
    </row>
    <row r="1768" spans="1:57" x14ac:dyDescent="0.3">
      <c r="A1768">
        <v>1525008428</v>
      </c>
      <c r="B1768">
        <v>1525008424</v>
      </c>
      <c r="C1768" t="str">
        <f>T("무히비(Muhibbi) 16화")</f>
        <v>무히비(Muhibbi) 16화</v>
      </c>
      <c r="D1768" t="str">
        <f>T("16")</f>
        <v>16</v>
      </c>
      <c r="E1768" t="str">
        <f>T("jooki")</f>
        <v>jooki</v>
      </c>
      <c r="H1768" t="str">
        <f>T("블러쉬")</f>
        <v>블러쉬</v>
      </c>
      <c r="I1768" t="str">
        <f>T("무히비(Muhibbi)")</f>
        <v>무히비(Muhibbi)</v>
      </c>
      <c r="J1768">
        <v>100</v>
      </c>
      <c r="K1768">
        <v>100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100</v>
      </c>
      <c r="AH1768">
        <v>1</v>
      </c>
      <c r="AI1768">
        <v>0</v>
      </c>
      <c r="AJ1768">
        <v>0</v>
      </c>
      <c r="AK1768">
        <v>100</v>
      </c>
      <c r="AL1768">
        <v>0</v>
      </c>
      <c r="AM1768">
        <v>0</v>
      </c>
      <c r="AN1768">
        <v>0</v>
      </c>
      <c r="AO1768">
        <v>0</v>
      </c>
      <c r="AQ1768">
        <v>0</v>
      </c>
      <c r="AR1768">
        <v>0</v>
      </c>
      <c r="AT1768">
        <v>0</v>
      </c>
      <c r="AU1768">
        <v>0</v>
      </c>
      <c r="AW1768">
        <v>0</v>
      </c>
      <c r="AX1768">
        <v>0</v>
      </c>
      <c r="AY1768">
        <v>70</v>
      </c>
      <c r="BC1768" t="str">
        <f>T("9791164896622")</f>
        <v>9791164896622</v>
      </c>
      <c r="BE1768" t="str">
        <f>T("BL 웹소설 &gt; 역사/시대물")</f>
        <v>BL 웹소설 &gt; 역사/시대물</v>
      </c>
    </row>
    <row r="1769" spans="1:57" x14ac:dyDescent="0.3">
      <c r="A1769">
        <v>1525004030</v>
      </c>
      <c r="B1769">
        <v>1525006982</v>
      </c>
      <c r="C1769" t="str">
        <f>T("회귀의 전설 2부 866화")</f>
        <v>회귀의 전설 2부 866화</v>
      </c>
      <c r="D1769" t="str">
        <f>T("866")</f>
        <v>866</v>
      </c>
      <c r="E1769" t="str">
        <f>T("김광수")</f>
        <v>김광수</v>
      </c>
      <c r="H1769" t="str">
        <f>T("스토리위즈")</f>
        <v>스토리위즈</v>
      </c>
      <c r="I1769" t="str">
        <f>T("회귀의 전설")</f>
        <v>회귀의 전설</v>
      </c>
      <c r="J1769">
        <v>100</v>
      </c>
      <c r="K1769">
        <v>100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100</v>
      </c>
      <c r="AH1769">
        <v>1</v>
      </c>
      <c r="AI1769">
        <v>0</v>
      </c>
      <c r="AJ1769">
        <v>0</v>
      </c>
      <c r="AK1769">
        <v>100</v>
      </c>
      <c r="AL1769">
        <v>0</v>
      </c>
      <c r="AM1769">
        <v>0</v>
      </c>
      <c r="AN1769">
        <v>0</v>
      </c>
      <c r="AO1769">
        <v>0</v>
      </c>
      <c r="AQ1769">
        <v>0</v>
      </c>
      <c r="AR1769">
        <v>0</v>
      </c>
      <c r="AT1769">
        <v>0</v>
      </c>
      <c r="AU1769">
        <v>0</v>
      </c>
      <c r="AW1769">
        <v>0</v>
      </c>
      <c r="AX1769">
        <v>0</v>
      </c>
      <c r="AY1769">
        <v>70</v>
      </c>
      <c r="BC1769" t="str">
        <f>T("9791191102086")</f>
        <v>9791191102086</v>
      </c>
      <c r="BE1769" t="str">
        <f>T("판타지 웹소설 &gt; 현대 판타지")</f>
        <v>판타지 웹소설 &gt; 현대 판타지</v>
      </c>
    </row>
    <row r="1770" spans="1:57" x14ac:dyDescent="0.3">
      <c r="A1770">
        <v>1525011523</v>
      </c>
      <c r="B1770">
        <v>1525011378</v>
      </c>
      <c r="C1770" t="str">
        <f>T("남창목가 146화")</f>
        <v>남창목가 146화</v>
      </c>
      <c r="D1770" t="str">
        <f>T("146")</f>
        <v>146</v>
      </c>
      <c r="E1770" t="str">
        <f>T("최재봉")</f>
        <v>최재봉</v>
      </c>
      <c r="H1770" t="str">
        <f>T("에필로그")</f>
        <v>에필로그</v>
      </c>
      <c r="I1770" t="str">
        <f>T("남창목가")</f>
        <v>남창목가</v>
      </c>
      <c r="J1770">
        <v>100</v>
      </c>
      <c r="K1770">
        <v>100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100</v>
      </c>
      <c r="AH1770">
        <v>1</v>
      </c>
      <c r="AI1770">
        <v>0</v>
      </c>
      <c r="AJ1770">
        <v>0</v>
      </c>
      <c r="AK1770">
        <v>0</v>
      </c>
      <c r="AL1770">
        <v>0</v>
      </c>
      <c r="AM1770">
        <v>120</v>
      </c>
      <c r="AN1770">
        <v>-12</v>
      </c>
      <c r="AO1770">
        <v>0</v>
      </c>
      <c r="AQ1770">
        <v>0</v>
      </c>
      <c r="AR1770">
        <v>0</v>
      </c>
      <c r="AS1770">
        <v>120</v>
      </c>
      <c r="AT1770">
        <v>-12</v>
      </c>
      <c r="AU1770">
        <v>0</v>
      </c>
      <c r="AW1770">
        <v>0</v>
      </c>
      <c r="AX1770">
        <v>0</v>
      </c>
      <c r="AY1770">
        <v>75.599999999999994</v>
      </c>
      <c r="BC1770" t="str">
        <f>T("9791164482849")</f>
        <v>9791164482849</v>
      </c>
      <c r="BE1770" t="str">
        <f>T("판타지 웹소설 &gt; 무협 소설")</f>
        <v>판타지 웹소설 &gt; 무협 소설</v>
      </c>
    </row>
    <row r="1771" spans="1:57" x14ac:dyDescent="0.3">
      <c r="A1771">
        <v>1525013020</v>
      </c>
      <c r="B1771">
        <v>1525013064</v>
      </c>
      <c r="C1771" t="str">
        <f>T("악당의 리턴 45화")</f>
        <v>악당의 리턴 45화</v>
      </c>
      <c r="D1771" t="str">
        <f>T("45")</f>
        <v>45</v>
      </c>
      <c r="E1771" t="str">
        <f>T("백범(白帆)")</f>
        <v>백범(白帆)</v>
      </c>
      <c r="H1771" t="str">
        <f>T("에필로그")</f>
        <v>에필로그</v>
      </c>
      <c r="I1771" t="str">
        <f>T("악당의 리턴")</f>
        <v>악당의 리턴</v>
      </c>
      <c r="J1771">
        <v>100</v>
      </c>
      <c r="K1771">
        <v>100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100</v>
      </c>
      <c r="AH1771">
        <v>1</v>
      </c>
      <c r="AI1771">
        <v>0</v>
      </c>
      <c r="AJ1771">
        <v>0</v>
      </c>
      <c r="AK1771">
        <v>100</v>
      </c>
      <c r="AL1771">
        <v>0</v>
      </c>
      <c r="AM1771">
        <v>0</v>
      </c>
      <c r="AN1771">
        <v>0</v>
      </c>
      <c r="AO1771">
        <v>0</v>
      </c>
      <c r="AQ1771">
        <v>0</v>
      </c>
      <c r="AR1771">
        <v>0</v>
      </c>
      <c r="AT1771">
        <v>0</v>
      </c>
      <c r="AU1771">
        <v>0</v>
      </c>
      <c r="AW1771">
        <v>0</v>
      </c>
      <c r="AX1771">
        <v>0</v>
      </c>
      <c r="AY1771">
        <v>70</v>
      </c>
      <c r="BC1771" t="str">
        <f>T("9791196538927")</f>
        <v>9791196538927</v>
      </c>
      <c r="BE1771" t="str">
        <f>T("판타지 웹소설 &gt; 현대 판타지")</f>
        <v>판타지 웹소설 &gt; 현대 판타지</v>
      </c>
    </row>
    <row r="1772" spans="1:57" x14ac:dyDescent="0.3">
      <c r="A1772">
        <v>1525004030</v>
      </c>
      <c r="B1772">
        <v>1525007137</v>
      </c>
      <c r="C1772" t="str">
        <f>T("회귀의 전설 2부 1021화")</f>
        <v>회귀의 전설 2부 1021화</v>
      </c>
      <c r="D1772" t="str">
        <f>T("1021")</f>
        <v>1021</v>
      </c>
      <c r="E1772" t="str">
        <f>T("김광수")</f>
        <v>김광수</v>
      </c>
      <c r="H1772" t="str">
        <f>T("스토리위즈")</f>
        <v>스토리위즈</v>
      </c>
      <c r="I1772" t="str">
        <f>T("회귀의 전설")</f>
        <v>회귀의 전설</v>
      </c>
      <c r="J1772">
        <v>100</v>
      </c>
      <c r="K1772">
        <v>100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100</v>
      </c>
      <c r="AH1772">
        <v>1</v>
      </c>
      <c r="AI1772">
        <v>0</v>
      </c>
      <c r="AJ1772">
        <v>0</v>
      </c>
      <c r="AK1772">
        <v>100</v>
      </c>
      <c r="AL1772">
        <v>0</v>
      </c>
      <c r="AM1772">
        <v>0</v>
      </c>
      <c r="AN1772">
        <v>0</v>
      </c>
      <c r="AO1772">
        <v>0</v>
      </c>
      <c r="AQ1772">
        <v>0</v>
      </c>
      <c r="AR1772">
        <v>0</v>
      </c>
      <c r="AT1772">
        <v>0</v>
      </c>
      <c r="AU1772">
        <v>0</v>
      </c>
      <c r="AW1772">
        <v>0</v>
      </c>
      <c r="AX1772">
        <v>0</v>
      </c>
      <c r="AY1772">
        <v>70</v>
      </c>
      <c r="BC1772" t="str">
        <f>T("9791191102086")</f>
        <v>9791191102086</v>
      </c>
      <c r="BE1772" t="str">
        <f>T("판타지 웹소설 &gt; 현대 판타지")</f>
        <v>판타지 웹소설 &gt; 현대 판타지</v>
      </c>
    </row>
    <row r="1773" spans="1:57" x14ac:dyDescent="0.3">
      <c r="A1773">
        <v>1525012551</v>
      </c>
      <c r="B1773">
        <v>1525012738</v>
      </c>
      <c r="C1773" t="str">
        <f>T("개정판 | 바보가 만드는 멋진 세상 188화")</f>
        <v>개정판 | 바보가 만드는 멋진 세상 188화</v>
      </c>
      <c r="D1773" t="str">
        <f>T("188")</f>
        <v>188</v>
      </c>
      <c r="E1773" t="str">
        <f>T("백범(白帆)")</f>
        <v>백범(白帆)</v>
      </c>
      <c r="H1773" t="str">
        <f>T("에필로그")</f>
        <v>에필로그</v>
      </c>
      <c r="I1773" t="str">
        <f>T("개정판 | 바보가 만드는 멋진 세상")</f>
        <v>개정판 | 바보가 만드는 멋진 세상</v>
      </c>
      <c r="J1773">
        <v>100</v>
      </c>
      <c r="K1773">
        <v>100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100</v>
      </c>
      <c r="AH1773">
        <v>1</v>
      </c>
      <c r="AI1773">
        <v>0</v>
      </c>
      <c r="AJ1773">
        <v>0</v>
      </c>
      <c r="AK1773">
        <v>100</v>
      </c>
      <c r="AL1773">
        <v>0</v>
      </c>
      <c r="AM1773">
        <v>0</v>
      </c>
      <c r="AN1773">
        <v>0</v>
      </c>
      <c r="AO1773">
        <v>0</v>
      </c>
      <c r="AQ1773">
        <v>0</v>
      </c>
      <c r="AR1773">
        <v>0</v>
      </c>
      <c r="AT1773">
        <v>0</v>
      </c>
      <c r="AU1773">
        <v>0</v>
      </c>
      <c r="AW1773">
        <v>0</v>
      </c>
      <c r="AX1773">
        <v>0</v>
      </c>
      <c r="AY1773">
        <v>70</v>
      </c>
      <c r="BC1773" t="str">
        <f>T("9791166003493")</f>
        <v>9791166003493</v>
      </c>
      <c r="BE1773" t="str">
        <f>T("판타지 웹소설 &gt; 현대 판타지")</f>
        <v>판타지 웹소설 &gt; 현대 판타지</v>
      </c>
    </row>
    <row r="1774" spans="1:57" x14ac:dyDescent="0.3">
      <c r="A1774">
        <v>1525008545</v>
      </c>
      <c r="B1774">
        <v>1525008551</v>
      </c>
      <c r="C1774" t="str">
        <f>T("소년연애담 25화")</f>
        <v>소년연애담 25화</v>
      </c>
      <c r="D1774" t="str">
        <f>T("25")</f>
        <v>25</v>
      </c>
      <c r="E1774" t="str">
        <f>T("나나코")</f>
        <v>나나코</v>
      </c>
      <c r="H1774" t="str">
        <f>T("블러쉬")</f>
        <v>블러쉬</v>
      </c>
      <c r="I1774" t="str">
        <f>T("소년연애담")</f>
        <v>소년연애담</v>
      </c>
      <c r="J1774">
        <v>100</v>
      </c>
      <c r="K1774">
        <v>100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100</v>
      </c>
      <c r="AH1774">
        <v>1</v>
      </c>
      <c r="AI1774">
        <v>0</v>
      </c>
      <c r="AJ1774">
        <v>0</v>
      </c>
      <c r="AK1774">
        <v>100</v>
      </c>
      <c r="AL1774">
        <v>0</v>
      </c>
      <c r="AM1774">
        <v>0</v>
      </c>
      <c r="AN1774">
        <v>0</v>
      </c>
      <c r="AO1774">
        <v>0</v>
      </c>
      <c r="AQ1774">
        <v>0</v>
      </c>
      <c r="AR1774">
        <v>0</v>
      </c>
      <c r="AT1774">
        <v>0</v>
      </c>
      <c r="AU1774">
        <v>0</v>
      </c>
      <c r="AW1774">
        <v>0</v>
      </c>
      <c r="AX1774">
        <v>0</v>
      </c>
      <c r="AY1774">
        <v>70</v>
      </c>
      <c r="BA1774" t="str">
        <f>T("0000000000000")</f>
        <v>0000000000000</v>
      </c>
      <c r="BC1774" t="str">
        <f>T("9791164890729")</f>
        <v>9791164890729</v>
      </c>
      <c r="BD1774" t="str">
        <f>T("B12")</f>
        <v>B12</v>
      </c>
      <c r="BE1774" t="str">
        <f>T("BL 웹소설 &gt; 현대물")</f>
        <v>BL 웹소설 &gt; 현대물</v>
      </c>
    </row>
    <row r="1775" spans="1:57" x14ac:dyDescent="0.3">
      <c r="A1775">
        <v>1525008428</v>
      </c>
      <c r="B1775">
        <v>1525008503</v>
      </c>
      <c r="C1775" t="str">
        <f>T("무히비(Muhibbi) 88화")</f>
        <v>무히비(Muhibbi) 88화</v>
      </c>
      <c r="D1775" t="str">
        <f>T("88")</f>
        <v>88</v>
      </c>
      <c r="E1775" t="str">
        <f>T("jooki")</f>
        <v>jooki</v>
      </c>
      <c r="H1775" t="str">
        <f>T("블러쉬")</f>
        <v>블러쉬</v>
      </c>
      <c r="I1775" t="str">
        <f>T("무히비(Muhibbi)")</f>
        <v>무히비(Muhibbi)</v>
      </c>
      <c r="J1775">
        <v>100</v>
      </c>
      <c r="K1775">
        <v>100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100</v>
      </c>
      <c r="AH1775">
        <v>1</v>
      </c>
      <c r="AI1775">
        <v>0</v>
      </c>
      <c r="AJ1775">
        <v>0</v>
      </c>
      <c r="AK1775">
        <v>100</v>
      </c>
      <c r="AL1775">
        <v>0</v>
      </c>
      <c r="AM1775">
        <v>0</v>
      </c>
      <c r="AN1775">
        <v>0</v>
      </c>
      <c r="AO1775">
        <v>0</v>
      </c>
      <c r="AQ1775">
        <v>0</v>
      </c>
      <c r="AR1775">
        <v>0</v>
      </c>
      <c r="AT1775">
        <v>0</v>
      </c>
      <c r="AU1775">
        <v>0</v>
      </c>
      <c r="AW1775">
        <v>0</v>
      </c>
      <c r="AX1775">
        <v>0</v>
      </c>
      <c r="AY1775">
        <v>70</v>
      </c>
      <c r="BA1775" t="str">
        <f>T("0000000000000")</f>
        <v>0000000000000</v>
      </c>
      <c r="BC1775" t="str">
        <f>T("9791164896622")</f>
        <v>9791164896622</v>
      </c>
      <c r="BE1775" t="str">
        <f>T("BL 웹소설 &gt; 역사/시대물")</f>
        <v>BL 웹소설 &gt; 역사/시대물</v>
      </c>
    </row>
    <row r="1776" spans="1:57" x14ac:dyDescent="0.3">
      <c r="A1776">
        <v>1525012551</v>
      </c>
      <c r="B1776">
        <v>1525012616</v>
      </c>
      <c r="C1776" t="str">
        <f>T("개정판 | 바보가 만드는 멋진 세상 66화")</f>
        <v>개정판 | 바보가 만드는 멋진 세상 66화</v>
      </c>
      <c r="D1776" t="str">
        <f>T("66")</f>
        <v>66</v>
      </c>
      <c r="E1776" t="str">
        <f>T("백범(白帆)")</f>
        <v>백범(白帆)</v>
      </c>
      <c r="H1776" t="str">
        <f>T("에필로그")</f>
        <v>에필로그</v>
      </c>
      <c r="I1776" t="str">
        <f>T("개정판 | 바보가 만드는 멋진 세상")</f>
        <v>개정판 | 바보가 만드는 멋진 세상</v>
      </c>
      <c r="J1776">
        <v>100</v>
      </c>
      <c r="K1776">
        <v>100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100</v>
      </c>
      <c r="AH1776">
        <v>1</v>
      </c>
      <c r="AI1776">
        <v>0</v>
      </c>
      <c r="AJ1776">
        <v>0</v>
      </c>
      <c r="AK1776">
        <v>100</v>
      </c>
      <c r="AL1776">
        <v>0</v>
      </c>
      <c r="AM1776">
        <v>0</v>
      </c>
      <c r="AN1776">
        <v>0</v>
      </c>
      <c r="AO1776">
        <v>0</v>
      </c>
      <c r="AQ1776">
        <v>0</v>
      </c>
      <c r="AR1776">
        <v>0</v>
      </c>
      <c r="AT1776">
        <v>0</v>
      </c>
      <c r="AU1776">
        <v>0</v>
      </c>
      <c r="AW1776">
        <v>0</v>
      </c>
      <c r="AX1776">
        <v>0</v>
      </c>
      <c r="AY1776">
        <v>70</v>
      </c>
      <c r="BC1776" t="str">
        <f>T("9791166003493")</f>
        <v>9791166003493</v>
      </c>
      <c r="BE1776" t="str">
        <f>T("판타지 웹소설 &gt; 현대 판타지")</f>
        <v>판타지 웹소설 &gt; 현대 판타지</v>
      </c>
    </row>
    <row r="1777" spans="1:57" x14ac:dyDescent="0.3">
      <c r="A1777">
        <v>1525004799</v>
      </c>
      <c r="B1777">
        <v>1525004966</v>
      </c>
      <c r="C1777" t="str">
        <f>T("검산도해 168화")</f>
        <v>검산도해 168화</v>
      </c>
      <c r="D1777" t="str">
        <f>T("168")</f>
        <v>168</v>
      </c>
      <c r="E1777" t="str">
        <f>T("권용찬")</f>
        <v>권용찬</v>
      </c>
      <c r="H1777" t="str">
        <f>T("스토리위즈")</f>
        <v>스토리위즈</v>
      </c>
      <c r="I1777" t="str">
        <f>T("검산도해")</f>
        <v>검산도해</v>
      </c>
      <c r="J1777">
        <v>100</v>
      </c>
      <c r="K1777">
        <v>100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100</v>
      </c>
      <c r="AH1777">
        <v>1</v>
      </c>
      <c r="AI1777">
        <v>0</v>
      </c>
      <c r="AJ1777">
        <v>0</v>
      </c>
      <c r="AK1777">
        <v>0</v>
      </c>
      <c r="AL1777">
        <v>0</v>
      </c>
      <c r="AM1777">
        <v>120</v>
      </c>
      <c r="AN1777">
        <v>-12</v>
      </c>
      <c r="AO1777">
        <v>0</v>
      </c>
      <c r="AQ1777">
        <v>0</v>
      </c>
      <c r="AR1777">
        <v>0</v>
      </c>
      <c r="AS1777">
        <v>120</v>
      </c>
      <c r="AT1777">
        <v>-12</v>
      </c>
      <c r="AU1777">
        <v>0</v>
      </c>
      <c r="AW1777">
        <v>0</v>
      </c>
      <c r="AX1777">
        <v>0</v>
      </c>
      <c r="AY1777">
        <v>75.599999999999994</v>
      </c>
      <c r="BC1777" t="str">
        <f>T("9791159285936")</f>
        <v>9791159285936</v>
      </c>
      <c r="BE1777" t="str">
        <f>T("판타지 웹소설 &gt; 무협 소설")</f>
        <v>판타지 웹소설 &gt; 무협 소설</v>
      </c>
    </row>
    <row r="1778" spans="1:57" x14ac:dyDescent="0.3">
      <c r="A1778">
        <v>1525000924</v>
      </c>
      <c r="B1778">
        <v>1525000949</v>
      </c>
      <c r="C1778" t="str">
        <f>T("스피릿 소드 26화")</f>
        <v>스피릿 소드 26화</v>
      </c>
      <c r="D1778" t="str">
        <f>T("26")</f>
        <v>26</v>
      </c>
      <c r="E1778" t="str">
        <f>T("김정률")</f>
        <v>김정률</v>
      </c>
      <c r="H1778" t="str">
        <f>T("스토리위즈")</f>
        <v>스토리위즈</v>
      </c>
      <c r="I1778" t="str">
        <f>T("스피릿 소드")</f>
        <v>스피릿 소드</v>
      </c>
      <c r="J1778">
        <v>100</v>
      </c>
      <c r="K1778">
        <v>100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100</v>
      </c>
      <c r="AH1778">
        <v>1</v>
      </c>
      <c r="AI1778">
        <v>0</v>
      </c>
      <c r="AJ1778">
        <v>0</v>
      </c>
      <c r="AK1778">
        <v>100</v>
      </c>
      <c r="AL1778">
        <v>0</v>
      </c>
      <c r="AM1778">
        <v>0</v>
      </c>
      <c r="AN1778">
        <v>0</v>
      </c>
      <c r="AO1778">
        <v>0</v>
      </c>
      <c r="AQ1778">
        <v>0</v>
      </c>
      <c r="AR1778">
        <v>0</v>
      </c>
      <c r="AT1778">
        <v>0</v>
      </c>
      <c r="AU1778">
        <v>0</v>
      </c>
      <c r="AW1778">
        <v>0</v>
      </c>
      <c r="AX1778">
        <v>0</v>
      </c>
      <c r="AY1778">
        <v>70</v>
      </c>
      <c r="BA1778" t="str">
        <f>T("9791159282713")</f>
        <v>9791159282713</v>
      </c>
      <c r="BC1778" t="str">
        <f>T("9791159282713")</f>
        <v>9791159282713</v>
      </c>
      <c r="BE1778" t="str">
        <f>T("판타지 웹소설 &gt; 정통 판타지")</f>
        <v>판타지 웹소설 &gt; 정통 판타지</v>
      </c>
    </row>
    <row r="1779" spans="1:57" x14ac:dyDescent="0.3">
      <c r="A1779">
        <v>1525004030</v>
      </c>
      <c r="B1779">
        <v>1525007055</v>
      </c>
      <c r="C1779" t="str">
        <f>T("회귀의 전설 2부 939화")</f>
        <v>회귀의 전설 2부 939화</v>
      </c>
      <c r="D1779" t="str">
        <f>T("939")</f>
        <v>939</v>
      </c>
      <c r="E1779" t="str">
        <f>T("김광수")</f>
        <v>김광수</v>
      </c>
      <c r="H1779" t="str">
        <f>T("스토리위즈")</f>
        <v>스토리위즈</v>
      </c>
      <c r="I1779" t="str">
        <f>T("회귀의 전설")</f>
        <v>회귀의 전설</v>
      </c>
      <c r="J1779">
        <v>100</v>
      </c>
      <c r="K1779">
        <v>100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100</v>
      </c>
      <c r="AH1779">
        <v>1</v>
      </c>
      <c r="AI1779">
        <v>0</v>
      </c>
      <c r="AJ1779">
        <v>0</v>
      </c>
      <c r="AK1779">
        <v>100</v>
      </c>
      <c r="AL1779">
        <v>0</v>
      </c>
      <c r="AM1779">
        <v>0</v>
      </c>
      <c r="AN1779">
        <v>0</v>
      </c>
      <c r="AO1779">
        <v>0</v>
      </c>
      <c r="AQ1779">
        <v>0</v>
      </c>
      <c r="AR1779">
        <v>0</v>
      </c>
      <c r="AT1779">
        <v>0</v>
      </c>
      <c r="AU1779">
        <v>0</v>
      </c>
      <c r="AW1779">
        <v>0</v>
      </c>
      <c r="AX1779">
        <v>0</v>
      </c>
      <c r="AY1779">
        <v>70</v>
      </c>
      <c r="BC1779" t="str">
        <f>T("9791191102086")</f>
        <v>9791191102086</v>
      </c>
      <c r="BE1779" t="str">
        <f>T("판타지 웹소설 &gt; 현대 판타지")</f>
        <v>판타지 웹소설 &gt; 현대 판타지</v>
      </c>
    </row>
    <row r="1780" spans="1:57" x14ac:dyDescent="0.3">
      <c r="A1780">
        <v>1525004030</v>
      </c>
      <c r="B1780">
        <v>1525004511</v>
      </c>
      <c r="C1780" t="str">
        <f>T("회귀의 전설 500화")</f>
        <v>회귀의 전설 500화</v>
      </c>
      <c r="D1780" t="str">
        <f>T("500")</f>
        <v>500</v>
      </c>
      <c r="E1780" t="str">
        <f>T("김광수")</f>
        <v>김광수</v>
      </c>
      <c r="H1780" t="str">
        <f>T("스토리위즈")</f>
        <v>스토리위즈</v>
      </c>
      <c r="I1780" t="str">
        <f>T("회귀의 전설")</f>
        <v>회귀의 전설</v>
      </c>
      <c r="J1780">
        <v>100</v>
      </c>
      <c r="K1780">
        <v>100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100</v>
      </c>
      <c r="AH1780">
        <v>1</v>
      </c>
      <c r="AI1780">
        <v>0</v>
      </c>
      <c r="AJ1780">
        <v>0</v>
      </c>
      <c r="AK1780">
        <v>100</v>
      </c>
      <c r="AL1780">
        <v>0</v>
      </c>
      <c r="AM1780">
        <v>0</v>
      </c>
      <c r="AN1780">
        <v>0</v>
      </c>
      <c r="AO1780">
        <v>0</v>
      </c>
      <c r="AQ1780">
        <v>0</v>
      </c>
      <c r="AR1780">
        <v>0</v>
      </c>
      <c r="AT1780">
        <v>0</v>
      </c>
      <c r="AU1780">
        <v>0</v>
      </c>
      <c r="AW1780">
        <v>0</v>
      </c>
      <c r="AX1780">
        <v>0</v>
      </c>
      <c r="AY1780">
        <v>70</v>
      </c>
      <c r="BC1780" t="str">
        <f>T("9788997946006")</f>
        <v>9788997946006</v>
      </c>
      <c r="BE1780" t="str">
        <f>T("판타지 웹소설 &gt; 현대 판타지")</f>
        <v>판타지 웹소설 &gt; 현대 판타지</v>
      </c>
    </row>
    <row r="1781" spans="1:57" x14ac:dyDescent="0.3">
      <c r="A1781">
        <v>1525004030</v>
      </c>
      <c r="B1781">
        <v>1525006683</v>
      </c>
      <c r="C1781" t="str">
        <f>T("회귀의 전설 2부 566화")</f>
        <v>회귀의 전설 2부 566화</v>
      </c>
      <c r="D1781" t="str">
        <f>T("566")</f>
        <v>566</v>
      </c>
      <c r="E1781" t="str">
        <f>T("김광수")</f>
        <v>김광수</v>
      </c>
      <c r="H1781" t="str">
        <f>T("스토리위즈")</f>
        <v>스토리위즈</v>
      </c>
      <c r="I1781" t="str">
        <f>T("회귀의 전설")</f>
        <v>회귀의 전설</v>
      </c>
      <c r="J1781">
        <v>100</v>
      </c>
      <c r="K1781">
        <v>100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100</v>
      </c>
      <c r="AH1781">
        <v>1</v>
      </c>
      <c r="AI1781">
        <v>0</v>
      </c>
      <c r="AJ1781">
        <v>0</v>
      </c>
      <c r="AK1781">
        <v>100</v>
      </c>
      <c r="AL1781">
        <v>0</v>
      </c>
      <c r="AM1781">
        <v>0</v>
      </c>
      <c r="AN1781">
        <v>0</v>
      </c>
      <c r="AO1781">
        <v>0</v>
      </c>
      <c r="AQ1781">
        <v>0</v>
      </c>
      <c r="AR1781">
        <v>0</v>
      </c>
      <c r="AT1781">
        <v>0</v>
      </c>
      <c r="AU1781">
        <v>0</v>
      </c>
      <c r="AW1781">
        <v>0</v>
      </c>
      <c r="AX1781">
        <v>0</v>
      </c>
      <c r="AY1781">
        <v>70</v>
      </c>
      <c r="BC1781" t="str">
        <f>T("9791191102086")</f>
        <v>9791191102086</v>
      </c>
      <c r="BE1781" t="str">
        <f>T("판타지 웹소설 &gt; 현대 판타지")</f>
        <v>판타지 웹소설 &gt; 현대 판타지</v>
      </c>
    </row>
    <row r="1782" spans="1:57" x14ac:dyDescent="0.3">
      <c r="A1782">
        <v>1525013020</v>
      </c>
      <c r="B1782">
        <v>1525013096</v>
      </c>
      <c r="C1782" t="str">
        <f>T("악당의 리턴 77화")</f>
        <v>악당의 리턴 77화</v>
      </c>
      <c r="D1782" t="str">
        <f>T("77")</f>
        <v>77</v>
      </c>
      <c r="E1782" t="str">
        <f>T("백범(白帆)")</f>
        <v>백범(白帆)</v>
      </c>
      <c r="H1782" t="str">
        <f>T("에필로그")</f>
        <v>에필로그</v>
      </c>
      <c r="I1782" t="str">
        <f>T("악당의 리턴")</f>
        <v>악당의 리턴</v>
      </c>
      <c r="J1782">
        <v>100</v>
      </c>
      <c r="K1782">
        <v>100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100</v>
      </c>
      <c r="AH1782">
        <v>1</v>
      </c>
      <c r="AI1782">
        <v>0</v>
      </c>
      <c r="AJ1782">
        <v>0</v>
      </c>
      <c r="AK1782">
        <v>100</v>
      </c>
      <c r="AL1782">
        <v>0</v>
      </c>
      <c r="AM1782">
        <v>0</v>
      </c>
      <c r="AN1782">
        <v>0</v>
      </c>
      <c r="AO1782">
        <v>0</v>
      </c>
      <c r="AQ1782">
        <v>0</v>
      </c>
      <c r="AR1782">
        <v>0</v>
      </c>
      <c r="AT1782">
        <v>0</v>
      </c>
      <c r="AU1782">
        <v>0</v>
      </c>
      <c r="AW1782">
        <v>0</v>
      </c>
      <c r="AX1782">
        <v>0</v>
      </c>
      <c r="AY1782">
        <v>70</v>
      </c>
      <c r="BC1782" t="str">
        <f>T("9791196538927")</f>
        <v>9791196538927</v>
      </c>
      <c r="BE1782" t="str">
        <f>T("판타지 웹소설 &gt; 현대 판타지")</f>
        <v>판타지 웹소설 &gt; 현대 판타지</v>
      </c>
    </row>
    <row r="1783" spans="1:57" x14ac:dyDescent="0.3">
      <c r="A1783">
        <v>1525007923</v>
      </c>
      <c r="B1783">
        <v>1525007900</v>
      </c>
      <c r="C1783" t="str">
        <f>T("운상연담: 화불능귀일락 101화")</f>
        <v>운상연담: 화불능귀일락 101화</v>
      </c>
      <c r="D1783" t="str">
        <f>T("101")</f>
        <v>101</v>
      </c>
      <c r="E1783" t="str">
        <f>T("피모")</f>
        <v>피모</v>
      </c>
      <c r="H1783" t="str">
        <f>T("쉬라즈")</f>
        <v>쉬라즈</v>
      </c>
      <c r="I1783" t="str">
        <f>T("운상연담: 화불능귀일락")</f>
        <v>운상연담: 화불능귀일락</v>
      </c>
      <c r="J1783">
        <v>100</v>
      </c>
      <c r="K1783">
        <v>100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100</v>
      </c>
      <c r="AH1783">
        <v>1</v>
      </c>
      <c r="AI1783">
        <v>0</v>
      </c>
      <c r="AJ1783">
        <v>0</v>
      </c>
      <c r="AK1783">
        <v>100</v>
      </c>
      <c r="AL1783">
        <v>0</v>
      </c>
      <c r="AM1783">
        <v>0</v>
      </c>
      <c r="AN1783">
        <v>0</v>
      </c>
      <c r="AO1783">
        <v>0</v>
      </c>
      <c r="AQ1783">
        <v>0</v>
      </c>
      <c r="AR1783">
        <v>0</v>
      </c>
      <c r="AT1783">
        <v>0</v>
      </c>
      <c r="AU1783">
        <v>0</v>
      </c>
      <c r="AW1783">
        <v>0</v>
      </c>
      <c r="AX1783">
        <v>0</v>
      </c>
      <c r="AY1783">
        <v>70</v>
      </c>
      <c r="BC1783" t="str">
        <f>T("9791164896646")</f>
        <v>9791164896646</v>
      </c>
      <c r="BE1783" t="str">
        <f>T("로맨스 웹소설 &gt; 역사/시대물")</f>
        <v>로맨스 웹소설 &gt; 역사/시대물</v>
      </c>
    </row>
    <row r="1784" spans="1:57" x14ac:dyDescent="0.3">
      <c r="A1784">
        <v>1525012551</v>
      </c>
      <c r="B1784">
        <v>1525012657</v>
      </c>
      <c r="C1784" t="str">
        <f>T("개정판 | 바보가 만드는 멋진 세상 107화")</f>
        <v>개정판 | 바보가 만드는 멋진 세상 107화</v>
      </c>
      <c r="D1784" t="str">
        <f>T("107")</f>
        <v>107</v>
      </c>
      <c r="E1784" t="str">
        <f>T("백범(白帆)")</f>
        <v>백범(白帆)</v>
      </c>
      <c r="H1784" t="str">
        <f>T("에필로그")</f>
        <v>에필로그</v>
      </c>
      <c r="I1784" t="str">
        <f>T("개정판 | 바보가 만드는 멋진 세상")</f>
        <v>개정판 | 바보가 만드는 멋진 세상</v>
      </c>
      <c r="J1784">
        <v>100</v>
      </c>
      <c r="K1784">
        <v>100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100</v>
      </c>
      <c r="AH1784">
        <v>1</v>
      </c>
      <c r="AI1784">
        <v>0</v>
      </c>
      <c r="AJ1784">
        <v>0</v>
      </c>
      <c r="AK1784">
        <v>100</v>
      </c>
      <c r="AL1784">
        <v>0</v>
      </c>
      <c r="AM1784">
        <v>0</v>
      </c>
      <c r="AN1784">
        <v>0</v>
      </c>
      <c r="AO1784">
        <v>0</v>
      </c>
      <c r="AQ1784">
        <v>0</v>
      </c>
      <c r="AR1784">
        <v>0</v>
      </c>
      <c r="AT1784">
        <v>0</v>
      </c>
      <c r="AU1784">
        <v>0</v>
      </c>
      <c r="AW1784">
        <v>0</v>
      </c>
      <c r="AX1784">
        <v>0</v>
      </c>
      <c r="AY1784">
        <v>70</v>
      </c>
      <c r="BC1784" t="str">
        <f>T("9791166003493")</f>
        <v>9791166003493</v>
      </c>
      <c r="BE1784" t="str">
        <f>T("판타지 웹소설 &gt; 현대 판타지")</f>
        <v>판타지 웹소설 &gt; 현대 판타지</v>
      </c>
    </row>
    <row r="1785" spans="1:57" x14ac:dyDescent="0.3">
      <c r="A1785">
        <v>1525012551</v>
      </c>
      <c r="B1785">
        <v>1525012755</v>
      </c>
      <c r="C1785" t="str">
        <f>T("개정판 | 바보가 만드는 멋진 세상 205화")</f>
        <v>개정판 | 바보가 만드는 멋진 세상 205화</v>
      </c>
      <c r="D1785" t="str">
        <f>T("205")</f>
        <v>205</v>
      </c>
      <c r="E1785" t="str">
        <f>T("백범(白帆)")</f>
        <v>백범(白帆)</v>
      </c>
      <c r="H1785" t="str">
        <f>T("에필로그")</f>
        <v>에필로그</v>
      </c>
      <c r="I1785" t="str">
        <f>T("개정판 | 바보가 만드는 멋진 세상")</f>
        <v>개정판 | 바보가 만드는 멋진 세상</v>
      </c>
      <c r="J1785">
        <v>100</v>
      </c>
      <c r="K1785">
        <v>100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100</v>
      </c>
      <c r="AH1785">
        <v>1</v>
      </c>
      <c r="AI1785">
        <v>0</v>
      </c>
      <c r="AJ1785">
        <v>0</v>
      </c>
      <c r="AK1785">
        <v>100</v>
      </c>
      <c r="AL1785">
        <v>0</v>
      </c>
      <c r="AM1785">
        <v>0</v>
      </c>
      <c r="AN1785">
        <v>0</v>
      </c>
      <c r="AO1785">
        <v>0</v>
      </c>
      <c r="AQ1785">
        <v>0</v>
      </c>
      <c r="AR1785">
        <v>0</v>
      </c>
      <c r="AT1785">
        <v>0</v>
      </c>
      <c r="AU1785">
        <v>0</v>
      </c>
      <c r="AW1785">
        <v>0</v>
      </c>
      <c r="AX1785">
        <v>0</v>
      </c>
      <c r="AY1785">
        <v>70</v>
      </c>
      <c r="BC1785" t="str">
        <f>T("9791166003493")</f>
        <v>9791166003493</v>
      </c>
      <c r="BE1785" t="str">
        <f>T("판타지 웹소설 &gt; 현대 판타지")</f>
        <v>판타지 웹소설 &gt; 현대 판타지</v>
      </c>
    </row>
    <row r="1786" spans="1:57" x14ac:dyDescent="0.3">
      <c r="A1786">
        <v>1525004799</v>
      </c>
      <c r="B1786">
        <v>1525004828</v>
      </c>
      <c r="C1786" t="str">
        <f>T("검산도해 30화")</f>
        <v>검산도해 30화</v>
      </c>
      <c r="D1786" t="str">
        <f>T("30")</f>
        <v>30</v>
      </c>
      <c r="E1786" t="str">
        <f>T("권용찬")</f>
        <v>권용찬</v>
      </c>
      <c r="H1786" t="str">
        <f t="shared" ref="H1786:H1791" si="181">T("스토리위즈")</f>
        <v>스토리위즈</v>
      </c>
      <c r="I1786" t="str">
        <f>T("검산도해")</f>
        <v>검산도해</v>
      </c>
      <c r="J1786">
        <v>100</v>
      </c>
      <c r="K1786">
        <v>100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100</v>
      </c>
      <c r="AH1786">
        <v>1</v>
      </c>
      <c r="AI1786">
        <v>0</v>
      </c>
      <c r="AJ1786">
        <v>0</v>
      </c>
      <c r="AK1786">
        <v>0</v>
      </c>
      <c r="AL1786">
        <v>0</v>
      </c>
      <c r="AM1786">
        <v>120</v>
      </c>
      <c r="AN1786">
        <v>-12</v>
      </c>
      <c r="AO1786">
        <v>0</v>
      </c>
      <c r="AQ1786">
        <v>0</v>
      </c>
      <c r="AR1786">
        <v>0</v>
      </c>
      <c r="AS1786">
        <v>120</v>
      </c>
      <c r="AT1786">
        <v>-12</v>
      </c>
      <c r="AU1786">
        <v>0</v>
      </c>
      <c r="AW1786">
        <v>0</v>
      </c>
      <c r="AX1786">
        <v>0</v>
      </c>
      <c r="AY1786">
        <v>75.599999999999994</v>
      </c>
      <c r="BC1786" t="str">
        <f>T("9791159285936")</f>
        <v>9791159285936</v>
      </c>
      <c r="BE1786" t="str">
        <f>T("판타지 웹소설 &gt; 무협 소설")</f>
        <v>판타지 웹소설 &gt; 무협 소설</v>
      </c>
    </row>
    <row r="1787" spans="1:57" x14ac:dyDescent="0.3">
      <c r="A1787">
        <v>1525004799</v>
      </c>
      <c r="B1787">
        <v>1525004885</v>
      </c>
      <c r="C1787" t="str">
        <f>T("검산도해 87화")</f>
        <v>검산도해 87화</v>
      </c>
      <c r="D1787" t="str">
        <f>T("87")</f>
        <v>87</v>
      </c>
      <c r="E1787" t="str">
        <f>T("권용찬")</f>
        <v>권용찬</v>
      </c>
      <c r="H1787" t="str">
        <f t="shared" si="181"/>
        <v>스토리위즈</v>
      </c>
      <c r="I1787" t="str">
        <f>T("검산도해")</f>
        <v>검산도해</v>
      </c>
      <c r="J1787">
        <v>100</v>
      </c>
      <c r="K1787">
        <v>100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100</v>
      </c>
      <c r="AH1787">
        <v>1</v>
      </c>
      <c r="AI1787">
        <v>0</v>
      </c>
      <c r="AJ1787">
        <v>0</v>
      </c>
      <c r="AK1787">
        <v>0</v>
      </c>
      <c r="AL1787">
        <v>0</v>
      </c>
      <c r="AM1787">
        <v>120</v>
      </c>
      <c r="AN1787">
        <v>-12</v>
      </c>
      <c r="AO1787">
        <v>0</v>
      </c>
      <c r="AQ1787">
        <v>0</v>
      </c>
      <c r="AR1787">
        <v>0</v>
      </c>
      <c r="AS1787">
        <v>120</v>
      </c>
      <c r="AT1787">
        <v>-12</v>
      </c>
      <c r="AU1787">
        <v>0</v>
      </c>
      <c r="AW1787">
        <v>0</v>
      </c>
      <c r="AX1787">
        <v>0</v>
      </c>
      <c r="AY1787">
        <v>75.599999999999994</v>
      </c>
      <c r="BC1787" t="str">
        <f>T("9791159285936")</f>
        <v>9791159285936</v>
      </c>
      <c r="BE1787" t="str">
        <f>T("판타지 웹소설 &gt; 무협 소설")</f>
        <v>판타지 웹소설 &gt; 무협 소설</v>
      </c>
    </row>
    <row r="1788" spans="1:57" x14ac:dyDescent="0.3">
      <c r="A1788">
        <v>1525000924</v>
      </c>
      <c r="B1788">
        <v>1525000981</v>
      </c>
      <c r="C1788" t="str">
        <f>T("스피릿 소드 58화")</f>
        <v>스피릿 소드 58화</v>
      </c>
      <c r="D1788" t="str">
        <f>T("58")</f>
        <v>58</v>
      </c>
      <c r="E1788" t="str">
        <f>T("김정률")</f>
        <v>김정률</v>
      </c>
      <c r="H1788" t="str">
        <f t="shared" si="181"/>
        <v>스토리위즈</v>
      </c>
      <c r="I1788" t="str">
        <f>T("스피릿 소드")</f>
        <v>스피릿 소드</v>
      </c>
      <c r="J1788">
        <v>100</v>
      </c>
      <c r="K1788">
        <v>100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100</v>
      </c>
      <c r="AH1788">
        <v>1</v>
      </c>
      <c r="AI1788">
        <v>0</v>
      </c>
      <c r="AJ1788">
        <v>0</v>
      </c>
      <c r="AK1788">
        <v>100</v>
      </c>
      <c r="AL1788">
        <v>0</v>
      </c>
      <c r="AM1788">
        <v>0</v>
      </c>
      <c r="AN1788">
        <v>0</v>
      </c>
      <c r="AO1788">
        <v>0</v>
      </c>
      <c r="AQ1788">
        <v>0</v>
      </c>
      <c r="AR1788">
        <v>0</v>
      </c>
      <c r="AT1788">
        <v>0</v>
      </c>
      <c r="AU1788">
        <v>0</v>
      </c>
      <c r="AW1788">
        <v>0</v>
      </c>
      <c r="AX1788">
        <v>0</v>
      </c>
      <c r="AY1788">
        <v>70</v>
      </c>
      <c r="BA1788" t="str">
        <f>T("9791159282713")</f>
        <v>9791159282713</v>
      </c>
      <c r="BC1788" t="str">
        <f>T("9791159282713")</f>
        <v>9791159282713</v>
      </c>
      <c r="BE1788" t="str">
        <f>T("판타지 웹소설 &gt; 정통 판타지")</f>
        <v>판타지 웹소설 &gt; 정통 판타지</v>
      </c>
    </row>
    <row r="1789" spans="1:57" x14ac:dyDescent="0.3">
      <c r="A1789">
        <v>1525004030</v>
      </c>
      <c r="B1789">
        <v>1525007072</v>
      </c>
      <c r="C1789" t="str">
        <f>T("회귀의 전설 2부 956화")</f>
        <v>회귀의 전설 2부 956화</v>
      </c>
      <c r="D1789" t="str">
        <f>T("956")</f>
        <v>956</v>
      </c>
      <c r="E1789" t="str">
        <f>T("김광수")</f>
        <v>김광수</v>
      </c>
      <c r="H1789" t="str">
        <f t="shared" si="181"/>
        <v>스토리위즈</v>
      </c>
      <c r="I1789" t="str">
        <f>T("회귀의 전설")</f>
        <v>회귀의 전설</v>
      </c>
      <c r="J1789">
        <v>100</v>
      </c>
      <c r="K1789">
        <v>100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100</v>
      </c>
      <c r="AH1789">
        <v>1</v>
      </c>
      <c r="AI1789">
        <v>0</v>
      </c>
      <c r="AJ1789">
        <v>0</v>
      </c>
      <c r="AK1789">
        <v>100</v>
      </c>
      <c r="AL1789">
        <v>0</v>
      </c>
      <c r="AM1789">
        <v>0</v>
      </c>
      <c r="AN1789">
        <v>0</v>
      </c>
      <c r="AO1789">
        <v>0</v>
      </c>
      <c r="AQ1789">
        <v>0</v>
      </c>
      <c r="AR1789">
        <v>0</v>
      </c>
      <c r="AT1789">
        <v>0</v>
      </c>
      <c r="AU1789">
        <v>0</v>
      </c>
      <c r="AW1789">
        <v>0</v>
      </c>
      <c r="AX1789">
        <v>0</v>
      </c>
      <c r="AY1789">
        <v>70</v>
      </c>
      <c r="BC1789" t="str">
        <f>T("9791191102086")</f>
        <v>9791191102086</v>
      </c>
      <c r="BE1789" t="str">
        <f>T("판타지 웹소설 &gt; 현대 판타지")</f>
        <v>판타지 웹소설 &gt; 현대 판타지</v>
      </c>
    </row>
    <row r="1790" spans="1:57" x14ac:dyDescent="0.3">
      <c r="A1790">
        <v>1525004030</v>
      </c>
      <c r="B1790">
        <v>1525004543</v>
      </c>
      <c r="C1790" t="str">
        <f>T("회귀의 전설 520화")</f>
        <v>회귀의 전설 520화</v>
      </c>
      <c r="D1790" t="str">
        <f>T("520")</f>
        <v>520</v>
      </c>
      <c r="E1790" t="str">
        <f>T("김광수")</f>
        <v>김광수</v>
      </c>
      <c r="H1790" t="str">
        <f t="shared" si="181"/>
        <v>스토리위즈</v>
      </c>
      <c r="I1790" t="str">
        <f>T("회귀의 전설")</f>
        <v>회귀의 전설</v>
      </c>
      <c r="J1790">
        <v>100</v>
      </c>
      <c r="K1790">
        <v>100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100</v>
      </c>
      <c r="AH1790">
        <v>1</v>
      </c>
      <c r="AI1790">
        <v>0</v>
      </c>
      <c r="AJ1790">
        <v>0</v>
      </c>
      <c r="AK1790">
        <v>100</v>
      </c>
      <c r="AL1790">
        <v>0</v>
      </c>
      <c r="AM1790">
        <v>0</v>
      </c>
      <c r="AN1790">
        <v>0</v>
      </c>
      <c r="AO1790">
        <v>0</v>
      </c>
      <c r="AQ1790">
        <v>0</v>
      </c>
      <c r="AR1790">
        <v>0</v>
      </c>
      <c r="AT1790">
        <v>0</v>
      </c>
      <c r="AU1790">
        <v>0</v>
      </c>
      <c r="AW1790">
        <v>0</v>
      </c>
      <c r="AX1790">
        <v>0</v>
      </c>
      <c r="AY1790">
        <v>70</v>
      </c>
      <c r="BC1790" t="str">
        <f>T("9788997946006")</f>
        <v>9788997946006</v>
      </c>
      <c r="BE1790" t="str">
        <f>T("판타지 웹소설 &gt; 현대 판타지")</f>
        <v>판타지 웹소설 &gt; 현대 판타지</v>
      </c>
    </row>
    <row r="1791" spans="1:57" x14ac:dyDescent="0.3">
      <c r="A1791">
        <v>1525002864</v>
      </c>
      <c r="B1791">
        <v>1525002895</v>
      </c>
      <c r="C1791" t="str">
        <f>T("소드마스터의 환생 32화")</f>
        <v>소드마스터의 환생 32화</v>
      </c>
      <c r="D1791" t="str">
        <f>T("32")</f>
        <v>32</v>
      </c>
      <c r="E1791" t="str">
        <f>T("파란영")</f>
        <v>파란영</v>
      </c>
      <c r="H1791" t="str">
        <f t="shared" si="181"/>
        <v>스토리위즈</v>
      </c>
      <c r="I1791" t="str">
        <f>T("소드마스터의 환생")</f>
        <v>소드마스터의 환생</v>
      </c>
      <c r="J1791">
        <v>100</v>
      </c>
      <c r="K1791">
        <v>100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100</v>
      </c>
      <c r="AH1791">
        <v>1</v>
      </c>
      <c r="AI1791">
        <v>0</v>
      </c>
      <c r="AJ1791">
        <v>0</v>
      </c>
      <c r="AK1791">
        <v>100</v>
      </c>
      <c r="AL1791">
        <v>0</v>
      </c>
      <c r="AM1791">
        <v>0</v>
      </c>
      <c r="AN1791">
        <v>0</v>
      </c>
      <c r="AO1791">
        <v>0</v>
      </c>
      <c r="AQ1791">
        <v>0</v>
      </c>
      <c r="AR1791">
        <v>0</v>
      </c>
      <c r="AT1791">
        <v>0</v>
      </c>
      <c r="AU1791">
        <v>0</v>
      </c>
      <c r="AW1791">
        <v>0</v>
      </c>
      <c r="AX1791">
        <v>0</v>
      </c>
      <c r="AY1791">
        <v>70</v>
      </c>
      <c r="BC1791" t="str">
        <f>T("9791159287527")</f>
        <v>9791159287527</v>
      </c>
      <c r="BE1791" t="str">
        <f>T("판타지 웹소설 &gt; 정통 판타지")</f>
        <v>판타지 웹소설 &gt; 정통 판타지</v>
      </c>
    </row>
    <row r="1792" spans="1:57" x14ac:dyDescent="0.3">
      <c r="A1792">
        <v>1525013020</v>
      </c>
      <c r="B1792">
        <v>1525013113</v>
      </c>
      <c r="C1792" t="str">
        <f>T("악당의 리턴 94화")</f>
        <v>악당의 리턴 94화</v>
      </c>
      <c r="D1792" t="str">
        <f>T("94")</f>
        <v>94</v>
      </c>
      <c r="E1792" t="str">
        <f>T("백범(白帆)")</f>
        <v>백범(白帆)</v>
      </c>
      <c r="H1792" t="str">
        <f>T("에필로그")</f>
        <v>에필로그</v>
      </c>
      <c r="I1792" t="str">
        <f>T("악당의 리턴")</f>
        <v>악당의 리턴</v>
      </c>
      <c r="J1792">
        <v>100</v>
      </c>
      <c r="K1792">
        <v>100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100</v>
      </c>
      <c r="AH1792">
        <v>1</v>
      </c>
      <c r="AI1792">
        <v>0</v>
      </c>
      <c r="AJ1792">
        <v>0</v>
      </c>
      <c r="AK1792">
        <v>100</v>
      </c>
      <c r="AL1792">
        <v>0</v>
      </c>
      <c r="AM1792">
        <v>0</v>
      </c>
      <c r="AN1792">
        <v>0</v>
      </c>
      <c r="AO1792">
        <v>0</v>
      </c>
      <c r="AQ1792">
        <v>0</v>
      </c>
      <c r="AR1792">
        <v>0</v>
      </c>
      <c r="AT1792">
        <v>0</v>
      </c>
      <c r="AU1792">
        <v>0</v>
      </c>
      <c r="AW1792">
        <v>0</v>
      </c>
      <c r="AX1792">
        <v>0</v>
      </c>
      <c r="AY1792">
        <v>70</v>
      </c>
      <c r="BC1792" t="str">
        <f>T("9791196538927")</f>
        <v>9791196538927</v>
      </c>
      <c r="BE1792" t="str">
        <f>T("판타지 웹소설 &gt; 현대 판타지")</f>
        <v>판타지 웹소설 &gt; 현대 판타지</v>
      </c>
    </row>
    <row r="1793" spans="1:57" x14ac:dyDescent="0.3">
      <c r="A1793">
        <v>1525008717</v>
      </c>
      <c r="B1793">
        <v>1525008698</v>
      </c>
      <c r="C1793" t="str">
        <f>T("음양상열지사 110화")</f>
        <v>음양상열지사 110화</v>
      </c>
      <c r="D1793" t="str">
        <f>T("110")</f>
        <v>110</v>
      </c>
      <c r="E1793" t="str">
        <f>T("이염")</f>
        <v>이염</v>
      </c>
      <c r="H1793" t="str">
        <f>T("블러쉬")</f>
        <v>블러쉬</v>
      </c>
      <c r="I1793" t="str">
        <f>T("음양상열지사")</f>
        <v>음양상열지사</v>
      </c>
      <c r="J1793">
        <v>100</v>
      </c>
      <c r="K1793">
        <v>100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100</v>
      </c>
      <c r="AH1793">
        <v>1</v>
      </c>
      <c r="AI1793">
        <v>0</v>
      </c>
      <c r="AJ1793">
        <v>0</v>
      </c>
      <c r="AK1793">
        <v>100</v>
      </c>
      <c r="AL1793">
        <v>0</v>
      </c>
      <c r="AM1793">
        <v>0</v>
      </c>
      <c r="AN1793">
        <v>0</v>
      </c>
      <c r="AO1793">
        <v>0</v>
      </c>
      <c r="AQ1793">
        <v>0</v>
      </c>
      <c r="AR1793">
        <v>0</v>
      </c>
      <c r="AT1793">
        <v>0</v>
      </c>
      <c r="AU1793">
        <v>0</v>
      </c>
      <c r="AW1793">
        <v>0</v>
      </c>
      <c r="AX1793">
        <v>0</v>
      </c>
      <c r="AY1793">
        <v>70</v>
      </c>
      <c r="BA1793" t="str">
        <f>T("0000000000000")</f>
        <v>0000000000000</v>
      </c>
      <c r="BC1793" t="str">
        <f>T("9791164896639")</f>
        <v>9791164896639</v>
      </c>
      <c r="BE1793" t="str">
        <f>T("BL 웹소설 &gt; 역사/시대물")</f>
        <v>BL 웹소설 &gt; 역사/시대물</v>
      </c>
    </row>
    <row r="1794" spans="1:57" x14ac:dyDescent="0.3">
      <c r="A1794">
        <v>1525012551</v>
      </c>
      <c r="B1794">
        <v>1525012689</v>
      </c>
      <c r="C1794" t="str">
        <f>T("개정판 | 바보가 만드는 멋진 세상 139화")</f>
        <v>개정판 | 바보가 만드는 멋진 세상 139화</v>
      </c>
      <c r="D1794" t="str">
        <f>T("139")</f>
        <v>139</v>
      </c>
      <c r="E1794" t="str">
        <f>T("백범(白帆)")</f>
        <v>백범(白帆)</v>
      </c>
      <c r="H1794" t="str">
        <f>T("에필로그")</f>
        <v>에필로그</v>
      </c>
      <c r="I1794" t="str">
        <f>T("개정판 | 바보가 만드는 멋진 세상")</f>
        <v>개정판 | 바보가 만드는 멋진 세상</v>
      </c>
      <c r="J1794">
        <v>100</v>
      </c>
      <c r="K1794">
        <v>100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100</v>
      </c>
      <c r="AH1794">
        <v>1</v>
      </c>
      <c r="AI1794">
        <v>0</v>
      </c>
      <c r="AJ1794">
        <v>0</v>
      </c>
      <c r="AK1794">
        <v>100</v>
      </c>
      <c r="AL1794">
        <v>0</v>
      </c>
      <c r="AM1794">
        <v>0</v>
      </c>
      <c r="AN1794">
        <v>0</v>
      </c>
      <c r="AO1794">
        <v>0</v>
      </c>
      <c r="AQ1794">
        <v>0</v>
      </c>
      <c r="AR1794">
        <v>0</v>
      </c>
      <c r="AT1794">
        <v>0</v>
      </c>
      <c r="AU1794">
        <v>0</v>
      </c>
      <c r="AW1794">
        <v>0</v>
      </c>
      <c r="AX1794">
        <v>0</v>
      </c>
      <c r="AY1794">
        <v>70</v>
      </c>
      <c r="BC1794" t="str">
        <f>T("9791166003493")</f>
        <v>9791166003493</v>
      </c>
      <c r="BE1794" t="str">
        <f>T("판타지 웹소설 &gt; 현대 판타지")</f>
        <v>판타지 웹소설 &gt; 현대 판타지</v>
      </c>
    </row>
    <row r="1795" spans="1:57" x14ac:dyDescent="0.3">
      <c r="A1795">
        <v>1525004799</v>
      </c>
      <c r="B1795">
        <v>1525004860</v>
      </c>
      <c r="C1795" t="str">
        <f>T("검산도해 62화")</f>
        <v>검산도해 62화</v>
      </c>
      <c r="D1795" t="str">
        <f>T("62")</f>
        <v>62</v>
      </c>
      <c r="E1795" t="str">
        <f>T("권용찬")</f>
        <v>권용찬</v>
      </c>
      <c r="H1795" t="str">
        <f>T("스토리위즈")</f>
        <v>스토리위즈</v>
      </c>
      <c r="I1795" t="str">
        <f>T("검산도해")</f>
        <v>검산도해</v>
      </c>
      <c r="J1795">
        <v>100</v>
      </c>
      <c r="K1795">
        <v>100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100</v>
      </c>
      <c r="AH1795">
        <v>1</v>
      </c>
      <c r="AI1795">
        <v>0</v>
      </c>
      <c r="AJ1795">
        <v>0</v>
      </c>
      <c r="AK1795">
        <v>0</v>
      </c>
      <c r="AL1795">
        <v>0</v>
      </c>
      <c r="AM1795">
        <v>120</v>
      </c>
      <c r="AN1795">
        <v>-12</v>
      </c>
      <c r="AO1795">
        <v>0</v>
      </c>
      <c r="AQ1795">
        <v>0</v>
      </c>
      <c r="AR1795">
        <v>0</v>
      </c>
      <c r="AS1795">
        <v>120</v>
      </c>
      <c r="AT1795">
        <v>-12</v>
      </c>
      <c r="AU1795">
        <v>0</v>
      </c>
      <c r="AW1795">
        <v>0</v>
      </c>
      <c r="AX1795">
        <v>0</v>
      </c>
      <c r="AY1795">
        <v>75.599999999999994</v>
      </c>
      <c r="BC1795" t="str">
        <f>T("9791159285936")</f>
        <v>9791159285936</v>
      </c>
      <c r="BE1795" t="str">
        <f>T("판타지 웹소설 &gt; 무협 소설")</f>
        <v>판타지 웹소설 &gt; 무협 소설</v>
      </c>
    </row>
    <row r="1796" spans="1:57" x14ac:dyDescent="0.3">
      <c r="A1796">
        <v>1525004799</v>
      </c>
      <c r="B1796">
        <v>1525004917</v>
      </c>
      <c r="C1796" t="str">
        <f>T("검산도해 119화")</f>
        <v>검산도해 119화</v>
      </c>
      <c r="D1796" t="str">
        <f>T("119")</f>
        <v>119</v>
      </c>
      <c r="E1796" t="str">
        <f>T("권용찬")</f>
        <v>권용찬</v>
      </c>
      <c r="H1796" t="str">
        <f>T("스토리위즈")</f>
        <v>스토리위즈</v>
      </c>
      <c r="I1796" t="str">
        <f>T("검산도해")</f>
        <v>검산도해</v>
      </c>
      <c r="J1796">
        <v>100</v>
      </c>
      <c r="K1796">
        <v>100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100</v>
      </c>
      <c r="AH1796">
        <v>1</v>
      </c>
      <c r="AI1796">
        <v>0</v>
      </c>
      <c r="AJ1796">
        <v>0</v>
      </c>
      <c r="AK1796">
        <v>0</v>
      </c>
      <c r="AL1796">
        <v>0</v>
      </c>
      <c r="AM1796">
        <v>120</v>
      </c>
      <c r="AN1796">
        <v>-12</v>
      </c>
      <c r="AO1796">
        <v>0</v>
      </c>
      <c r="AQ1796">
        <v>0</v>
      </c>
      <c r="AR1796">
        <v>0</v>
      </c>
      <c r="AS1796">
        <v>120</v>
      </c>
      <c r="AT1796">
        <v>-12</v>
      </c>
      <c r="AU1796">
        <v>0</v>
      </c>
      <c r="AW1796">
        <v>0</v>
      </c>
      <c r="AX1796">
        <v>0</v>
      </c>
      <c r="AY1796">
        <v>75.599999999999994</v>
      </c>
      <c r="BC1796" t="str">
        <f>T("9791159285936")</f>
        <v>9791159285936</v>
      </c>
      <c r="BE1796" t="str">
        <f>T("판타지 웹소설 &gt; 무협 소설")</f>
        <v>판타지 웹소설 &gt; 무협 소설</v>
      </c>
    </row>
    <row r="1797" spans="1:57" x14ac:dyDescent="0.3">
      <c r="A1797">
        <v>1525004030</v>
      </c>
      <c r="B1797">
        <v>1525007104</v>
      </c>
      <c r="C1797" t="str">
        <f>T("회귀의 전설 2부 988화")</f>
        <v>회귀의 전설 2부 988화</v>
      </c>
      <c r="D1797" t="str">
        <f>T("988")</f>
        <v>988</v>
      </c>
      <c r="E1797" t="str">
        <f>T("김광수")</f>
        <v>김광수</v>
      </c>
      <c r="H1797" t="str">
        <f>T("스토리위즈")</f>
        <v>스토리위즈</v>
      </c>
      <c r="I1797" t="str">
        <f>T("회귀의 전설")</f>
        <v>회귀의 전설</v>
      </c>
      <c r="J1797">
        <v>100</v>
      </c>
      <c r="K1797">
        <v>100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100</v>
      </c>
      <c r="AH1797">
        <v>1</v>
      </c>
      <c r="AI1797">
        <v>0</v>
      </c>
      <c r="AJ1797">
        <v>0</v>
      </c>
      <c r="AK1797">
        <v>100</v>
      </c>
      <c r="AL1797">
        <v>0</v>
      </c>
      <c r="AM1797">
        <v>0</v>
      </c>
      <c r="AN1797">
        <v>0</v>
      </c>
      <c r="AO1797">
        <v>0</v>
      </c>
      <c r="AQ1797">
        <v>0</v>
      </c>
      <c r="AR1797">
        <v>0</v>
      </c>
      <c r="AT1797">
        <v>0</v>
      </c>
      <c r="AU1797">
        <v>0</v>
      </c>
      <c r="AW1797">
        <v>0</v>
      </c>
      <c r="AX1797">
        <v>0</v>
      </c>
      <c r="AY1797">
        <v>70</v>
      </c>
      <c r="BC1797" t="str">
        <f>T("9791191102086")</f>
        <v>9791191102086</v>
      </c>
      <c r="BE1797" t="str">
        <f>T("판타지 웹소설 &gt; 현대 판타지")</f>
        <v>판타지 웹소설 &gt; 현대 판타지</v>
      </c>
    </row>
    <row r="1798" spans="1:57" x14ac:dyDescent="0.3">
      <c r="A1798">
        <v>1525011523</v>
      </c>
      <c r="B1798">
        <v>1525011218</v>
      </c>
      <c r="C1798" t="str">
        <f>T("남창목가 306화")</f>
        <v>남창목가 306화</v>
      </c>
      <c r="D1798" t="str">
        <f>T("306")</f>
        <v>306</v>
      </c>
      <c r="E1798" t="str">
        <f>T("최재봉")</f>
        <v>최재봉</v>
      </c>
      <c r="H1798" t="str">
        <f>T("에필로그")</f>
        <v>에필로그</v>
      </c>
      <c r="I1798" t="str">
        <f>T("남창목가")</f>
        <v>남창목가</v>
      </c>
      <c r="J1798">
        <v>100</v>
      </c>
      <c r="K1798">
        <v>100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100</v>
      </c>
      <c r="AH1798">
        <v>1</v>
      </c>
      <c r="AI1798">
        <v>0</v>
      </c>
      <c r="AJ1798">
        <v>0</v>
      </c>
      <c r="AK1798">
        <v>0</v>
      </c>
      <c r="AL1798">
        <v>0</v>
      </c>
      <c r="AM1798">
        <v>120</v>
      </c>
      <c r="AN1798">
        <v>-12</v>
      </c>
      <c r="AO1798">
        <v>0</v>
      </c>
      <c r="AQ1798">
        <v>0</v>
      </c>
      <c r="AR1798">
        <v>0</v>
      </c>
      <c r="AS1798">
        <v>120</v>
      </c>
      <c r="AT1798">
        <v>-12</v>
      </c>
      <c r="AU1798">
        <v>0</v>
      </c>
      <c r="AW1798">
        <v>0</v>
      </c>
      <c r="AX1798">
        <v>0</v>
      </c>
      <c r="AY1798">
        <v>75.599999999999994</v>
      </c>
      <c r="BC1798" t="str">
        <f>T("9791164482849")</f>
        <v>9791164482849</v>
      </c>
      <c r="BE1798" t="str">
        <f>T("판타지 웹소설 &gt; 무협 소설")</f>
        <v>판타지 웹소설 &gt; 무협 소설</v>
      </c>
    </row>
    <row r="1799" spans="1:57" x14ac:dyDescent="0.3">
      <c r="A1799">
        <v>1525000569</v>
      </c>
      <c r="B1799">
        <v>1525000606</v>
      </c>
      <c r="C1799" t="str">
        <f>T("스트라이커 38화")</f>
        <v>스트라이커 38화</v>
      </c>
      <c r="D1799" t="str">
        <f>T("38")</f>
        <v>38</v>
      </c>
      <c r="E1799" t="str">
        <f>T("독고진")</f>
        <v>독고진</v>
      </c>
      <c r="H1799" t="str">
        <f>T("스토리위즈")</f>
        <v>스토리위즈</v>
      </c>
      <c r="I1799" t="str">
        <f>T("스트라이커")</f>
        <v>스트라이커</v>
      </c>
      <c r="J1799">
        <v>100</v>
      </c>
      <c r="K1799">
        <v>100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100</v>
      </c>
      <c r="AH1799">
        <v>1</v>
      </c>
      <c r="AI1799">
        <v>0</v>
      </c>
      <c r="AJ1799">
        <v>0</v>
      </c>
      <c r="AK1799">
        <v>100</v>
      </c>
      <c r="AL1799">
        <v>0</v>
      </c>
      <c r="AM1799">
        <v>0</v>
      </c>
      <c r="AN1799">
        <v>0</v>
      </c>
      <c r="AO1799">
        <v>0</v>
      </c>
      <c r="AQ1799">
        <v>0</v>
      </c>
      <c r="AR1799">
        <v>0</v>
      </c>
      <c r="AT1799">
        <v>0</v>
      </c>
      <c r="AU1799">
        <v>0</v>
      </c>
      <c r="AW1799">
        <v>0</v>
      </c>
      <c r="AX1799">
        <v>0</v>
      </c>
      <c r="AY1799">
        <v>70</v>
      </c>
      <c r="BC1799" t="str">
        <f>T("9791170151678")</f>
        <v>9791170151678</v>
      </c>
      <c r="BE1799" t="str">
        <f>T("판타지 웹소설 &gt; 현대 판타지")</f>
        <v>판타지 웹소설 &gt; 현대 판타지</v>
      </c>
    </row>
    <row r="1800" spans="1:57" x14ac:dyDescent="0.3">
      <c r="A1800">
        <v>1525011523</v>
      </c>
      <c r="B1800">
        <v>1525010997</v>
      </c>
      <c r="C1800" t="str">
        <f>T("남창목가 외전 495화")</f>
        <v>남창목가 외전 495화</v>
      </c>
      <c r="D1800" t="str">
        <f>T("495")</f>
        <v>495</v>
      </c>
      <c r="E1800" t="str">
        <f>T("최재봉")</f>
        <v>최재봉</v>
      </c>
      <c r="H1800" t="str">
        <f>T("에필로그")</f>
        <v>에필로그</v>
      </c>
      <c r="I1800" t="str">
        <f>T("남창목가")</f>
        <v>남창목가</v>
      </c>
      <c r="J1800">
        <v>100</v>
      </c>
      <c r="K1800">
        <v>100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100</v>
      </c>
      <c r="AH1800">
        <v>1</v>
      </c>
      <c r="AI1800">
        <v>0</v>
      </c>
      <c r="AJ1800">
        <v>0</v>
      </c>
      <c r="AK1800">
        <v>0</v>
      </c>
      <c r="AL1800">
        <v>0</v>
      </c>
      <c r="AM1800">
        <v>120</v>
      </c>
      <c r="AN1800">
        <v>-12</v>
      </c>
      <c r="AO1800">
        <v>0</v>
      </c>
      <c r="AQ1800">
        <v>0</v>
      </c>
      <c r="AR1800">
        <v>0</v>
      </c>
      <c r="AS1800">
        <v>120</v>
      </c>
      <c r="AT1800">
        <v>-12</v>
      </c>
      <c r="AU1800">
        <v>0</v>
      </c>
      <c r="AW1800">
        <v>0</v>
      </c>
      <c r="AX1800">
        <v>0</v>
      </c>
      <c r="AY1800">
        <v>75.599999999999994</v>
      </c>
      <c r="BC1800" t="str">
        <f>T("9791164482849")</f>
        <v>9791164482849</v>
      </c>
      <c r="BE1800" t="str">
        <f>T("판타지 웹소설 &gt; 무협 소설")</f>
        <v>판타지 웹소설 &gt; 무협 소설</v>
      </c>
    </row>
    <row r="1801" spans="1:57" x14ac:dyDescent="0.3">
      <c r="A1801">
        <v>1525011523</v>
      </c>
      <c r="B1801">
        <v>1525011334</v>
      </c>
      <c r="C1801" t="str">
        <f>T("남창목가 190화")</f>
        <v>남창목가 190화</v>
      </c>
      <c r="D1801" t="str">
        <f>T("190")</f>
        <v>190</v>
      </c>
      <c r="E1801" t="str">
        <f>T("최재봉")</f>
        <v>최재봉</v>
      </c>
      <c r="H1801" t="str">
        <f>T("에필로그")</f>
        <v>에필로그</v>
      </c>
      <c r="I1801" t="str">
        <f>T("남창목가")</f>
        <v>남창목가</v>
      </c>
      <c r="J1801">
        <v>100</v>
      </c>
      <c r="K1801">
        <v>100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100</v>
      </c>
      <c r="AH1801">
        <v>1</v>
      </c>
      <c r="AI1801">
        <v>0</v>
      </c>
      <c r="AJ1801">
        <v>0</v>
      </c>
      <c r="AK1801">
        <v>0</v>
      </c>
      <c r="AL1801">
        <v>0</v>
      </c>
      <c r="AM1801">
        <v>120</v>
      </c>
      <c r="AN1801">
        <v>-12</v>
      </c>
      <c r="AO1801">
        <v>0</v>
      </c>
      <c r="AQ1801">
        <v>0</v>
      </c>
      <c r="AR1801">
        <v>0</v>
      </c>
      <c r="AS1801">
        <v>120</v>
      </c>
      <c r="AT1801">
        <v>-12</v>
      </c>
      <c r="AU1801">
        <v>0</v>
      </c>
      <c r="AW1801">
        <v>0</v>
      </c>
      <c r="AX1801">
        <v>0</v>
      </c>
      <c r="AY1801">
        <v>75.599999999999994</v>
      </c>
      <c r="BC1801" t="str">
        <f>T("9791164482849")</f>
        <v>9791164482849</v>
      </c>
      <c r="BE1801" t="str">
        <f>T("판타지 웹소설 &gt; 무협 소설")</f>
        <v>판타지 웹소설 &gt; 무협 소설</v>
      </c>
    </row>
    <row r="1802" spans="1:57" x14ac:dyDescent="0.3">
      <c r="A1802">
        <v>1525002125</v>
      </c>
      <c r="B1802">
        <v>1525002371</v>
      </c>
      <c r="C1802" t="str">
        <f>T("신을 죽이러 갑니다 247화")</f>
        <v>신을 죽이러 갑니다 247화</v>
      </c>
      <c r="D1802" t="str">
        <f>T("247")</f>
        <v>247</v>
      </c>
      <c r="E1802" t="str">
        <f>T("독고진")</f>
        <v>독고진</v>
      </c>
      <c r="H1802" t="str">
        <f>T("스토리위즈")</f>
        <v>스토리위즈</v>
      </c>
      <c r="I1802" t="str">
        <f>T("신을 죽이러 갑니다")</f>
        <v>신을 죽이러 갑니다</v>
      </c>
      <c r="J1802">
        <v>100</v>
      </c>
      <c r="K1802">
        <v>100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100</v>
      </c>
      <c r="AH1802">
        <v>1</v>
      </c>
      <c r="AI1802">
        <v>0</v>
      </c>
      <c r="AJ1802">
        <v>0</v>
      </c>
      <c r="AK1802">
        <v>0</v>
      </c>
      <c r="AL1802">
        <v>0</v>
      </c>
      <c r="AM1802">
        <v>120</v>
      </c>
      <c r="AN1802">
        <v>-36</v>
      </c>
      <c r="AO1802">
        <v>0</v>
      </c>
      <c r="AQ1802">
        <v>0</v>
      </c>
      <c r="AR1802">
        <v>0</v>
      </c>
      <c r="AS1802">
        <v>120</v>
      </c>
      <c r="AT1802">
        <v>-36</v>
      </c>
      <c r="AU1802">
        <v>0</v>
      </c>
      <c r="AW1802">
        <v>0</v>
      </c>
      <c r="AX1802">
        <v>0</v>
      </c>
      <c r="AY1802">
        <v>58.8</v>
      </c>
      <c r="BC1802" t="str">
        <f>T("9791159285806")</f>
        <v>9791159285806</v>
      </c>
      <c r="BE1802" t="str">
        <f>T("판타지 웹소설 &gt; 퓨전 판타지")</f>
        <v>판타지 웹소설 &gt; 퓨전 판타지</v>
      </c>
    </row>
    <row r="1803" spans="1:57" x14ac:dyDescent="0.3">
      <c r="A1803">
        <v>1525012551</v>
      </c>
      <c r="B1803">
        <v>1525012706</v>
      </c>
      <c r="C1803" t="str">
        <f>T("개정판 | 바보가 만드는 멋진 세상 156화")</f>
        <v>개정판 | 바보가 만드는 멋진 세상 156화</v>
      </c>
      <c r="D1803" t="str">
        <f>T("156")</f>
        <v>156</v>
      </c>
      <c r="E1803" t="str">
        <f>T("백범(白帆)")</f>
        <v>백범(白帆)</v>
      </c>
      <c r="H1803" t="str">
        <f>T("에필로그")</f>
        <v>에필로그</v>
      </c>
      <c r="I1803" t="str">
        <f>T("개정판 | 바보가 만드는 멋진 세상")</f>
        <v>개정판 | 바보가 만드는 멋진 세상</v>
      </c>
      <c r="J1803">
        <v>100</v>
      </c>
      <c r="K1803">
        <v>100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100</v>
      </c>
      <c r="AH1803">
        <v>1</v>
      </c>
      <c r="AI1803">
        <v>0</v>
      </c>
      <c r="AJ1803">
        <v>0</v>
      </c>
      <c r="AK1803">
        <v>100</v>
      </c>
      <c r="AL1803">
        <v>0</v>
      </c>
      <c r="AM1803">
        <v>0</v>
      </c>
      <c r="AN1803">
        <v>0</v>
      </c>
      <c r="AO1803">
        <v>0</v>
      </c>
      <c r="AQ1803">
        <v>0</v>
      </c>
      <c r="AR1803">
        <v>0</v>
      </c>
      <c r="AT1803">
        <v>0</v>
      </c>
      <c r="AU1803">
        <v>0</v>
      </c>
      <c r="AW1803">
        <v>0</v>
      </c>
      <c r="AX1803">
        <v>0</v>
      </c>
      <c r="AY1803">
        <v>70</v>
      </c>
      <c r="BC1803" t="str">
        <f>T("9791166003493")</f>
        <v>9791166003493</v>
      </c>
      <c r="BE1803" t="str">
        <f>T("판타지 웹소설 &gt; 현대 판타지")</f>
        <v>판타지 웹소설 &gt; 현대 판타지</v>
      </c>
    </row>
    <row r="1804" spans="1:57" x14ac:dyDescent="0.3">
      <c r="A1804">
        <v>1525002864</v>
      </c>
      <c r="B1804">
        <v>1525002929</v>
      </c>
      <c r="C1804" t="str">
        <f>T("소드마스터의 환생 66화")</f>
        <v>소드마스터의 환생 66화</v>
      </c>
      <c r="D1804" t="str">
        <f>T("66")</f>
        <v>66</v>
      </c>
      <c r="E1804" t="str">
        <f>T("파란영")</f>
        <v>파란영</v>
      </c>
      <c r="H1804" t="str">
        <f>T("스토리위즈")</f>
        <v>스토리위즈</v>
      </c>
      <c r="I1804" t="str">
        <f>T("소드마스터의 환생")</f>
        <v>소드마스터의 환생</v>
      </c>
      <c r="J1804">
        <v>100</v>
      </c>
      <c r="K1804">
        <v>100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100</v>
      </c>
      <c r="AH1804">
        <v>1</v>
      </c>
      <c r="AI1804">
        <v>0</v>
      </c>
      <c r="AJ1804">
        <v>0</v>
      </c>
      <c r="AK1804">
        <v>100</v>
      </c>
      <c r="AL1804">
        <v>0</v>
      </c>
      <c r="AM1804">
        <v>0</v>
      </c>
      <c r="AN1804">
        <v>0</v>
      </c>
      <c r="AO1804">
        <v>0</v>
      </c>
      <c r="AQ1804">
        <v>0</v>
      </c>
      <c r="AR1804">
        <v>0</v>
      </c>
      <c r="AT1804">
        <v>0</v>
      </c>
      <c r="AU1804">
        <v>0</v>
      </c>
      <c r="AW1804">
        <v>0</v>
      </c>
      <c r="AX1804">
        <v>0</v>
      </c>
      <c r="AY1804">
        <v>70</v>
      </c>
      <c r="BC1804" t="str">
        <f>T("9791159287527")</f>
        <v>9791159287527</v>
      </c>
      <c r="BE1804" t="str">
        <f>T("판타지 웹소설 &gt; 정통 판타지")</f>
        <v>판타지 웹소설 &gt; 정통 판타지</v>
      </c>
    </row>
    <row r="1805" spans="1:57" x14ac:dyDescent="0.3">
      <c r="A1805">
        <v>1525008428</v>
      </c>
      <c r="B1805">
        <v>1525008468</v>
      </c>
      <c r="C1805" t="str">
        <f>T("무히비(Muhibbi) 56화")</f>
        <v>무히비(Muhibbi) 56화</v>
      </c>
      <c r="D1805" t="str">
        <f>T("56")</f>
        <v>56</v>
      </c>
      <c r="E1805" t="str">
        <f>T("jooki")</f>
        <v>jooki</v>
      </c>
      <c r="H1805" t="str">
        <f>T("블러쉬")</f>
        <v>블러쉬</v>
      </c>
      <c r="I1805" t="str">
        <f>T("무히비(Muhibbi)")</f>
        <v>무히비(Muhibbi)</v>
      </c>
      <c r="J1805">
        <v>100</v>
      </c>
      <c r="K1805">
        <v>100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100</v>
      </c>
      <c r="AH1805">
        <v>1</v>
      </c>
      <c r="AI1805">
        <v>0</v>
      </c>
      <c r="AJ1805">
        <v>0</v>
      </c>
      <c r="AK1805">
        <v>100</v>
      </c>
      <c r="AL1805">
        <v>0</v>
      </c>
      <c r="AM1805">
        <v>0</v>
      </c>
      <c r="AN1805">
        <v>0</v>
      </c>
      <c r="AO1805">
        <v>0</v>
      </c>
      <c r="AQ1805">
        <v>0</v>
      </c>
      <c r="AR1805">
        <v>0</v>
      </c>
      <c r="AT1805">
        <v>0</v>
      </c>
      <c r="AU1805">
        <v>0</v>
      </c>
      <c r="AW1805">
        <v>0</v>
      </c>
      <c r="AX1805">
        <v>0</v>
      </c>
      <c r="AY1805">
        <v>70</v>
      </c>
      <c r="BC1805" t="str">
        <f>T("9791164896622")</f>
        <v>9791164896622</v>
      </c>
      <c r="BE1805" t="str">
        <f>T("BL 웹소설 &gt; 역사/시대물")</f>
        <v>BL 웹소설 &gt; 역사/시대물</v>
      </c>
    </row>
    <row r="1806" spans="1:57" x14ac:dyDescent="0.3">
      <c r="A1806">
        <v>1525011523</v>
      </c>
      <c r="B1806">
        <v>1525011282</v>
      </c>
      <c r="C1806" t="str">
        <f>T("남창목가 242화")</f>
        <v>남창목가 242화</v>
      </c>
      <c r="D1806" t="str">
        <f>T("242")</f>
        <v>242</v>
      </c>
      <c r="E1806" t="str">
        <f>T("최재봉")</f>
        <v>최재봉</v>
      </c>
      <c r="H1806" t="str">
        <f>T("에필로그")</f>
        <v>에필로그</v>
      </c>
      <c r="I1806" t="str">
        <f>T("남창목가")</f>
        <v>남창목가</v>
      </c>
      <c r="J1806">
        <v>100</v>
      </c>
      <c r="K1806">
        <v>100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100</v>
      </c>
      <c r="AH1806">
        <v>1</v>
      </c>
      <c r="AI1806">
        <v>0</v>
      </c>
      <c r="AJ1806">
        <v>0</v>
      </c>
      <c r="AK1806">
        <v>0</v>
      </c>
      <c r="AL1806">
        <v>0</v>
      </c>
      <c r="AM1806">
        <v>120</v>
      </c>
      <c r="AN1806">
        <v>-12</v>
      </c>
      <c r="AO1806">
        <v>0</v>
      </c>
      <c r="AQ1806">
        <v>0</v>
      </c>
      <c r="AR1806">
        <v>0</v>
      </c>
      <c r="AS1806">
        <v>120</v>
      </c>
      <c r="AT1806">
        <v>-12</v>
      </c>
      <c r="AU1806">
        <v>0</v>
      </c>
      <c r="AW1806">
        <v>0</v>
      </c>
      <c r="AX1806">
        <v>0</v>
      </c>
      <c r="AY1806">
        <v>75.599999999999994</v>
      </c>
      <c r="BC1806" t="str">
        <f>T("9791164482849")</f>
        <v>9791164482849</v>
      </c>
      <c r="BE1806" t="str">
        <f>T("판타지 웹소설 &gt; 무협 소설")</f>
        <v>판타지 웹소설 &gt; 무협 소설</v>
      </c>
    </row>
    <row r="1807" spans="1:57" x14ac:dyDescent="0.3">
      <c r="A1807">
        <v>1525011523</v>
      </c>
      <c r="B1807">
        <v>1525011466</v>
      </c>
      <c r="C1807" t="str">
        <f>T("남창목가 58화")</f>
        <v>남창목가 58화</v>
      </c>
      <c r="D1807" t="str">
        <f>T("58")</f>
        <v>58</v>
      </c>
      <c r="E1807" t="str">
        <f>T("최재봉")</f>
        <v>최재봉</v>
      </c>
      <c r="H1807" t="str">
        <f>T("에필로그")</f>
        <v>에필로그</v>
      </c>
      <c r="I1807" t="str">
        <f>T("남창목가")</f>
        <v>남창목가</v>
      </c>
      <c r="J1807">
        <v>100</v>
      </c>
      <c r="K1807">
        <v>100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100</v>
      </c>
      <c r="AH1807">
        <v>1</v>
      </c>
      <c r="AI1807">
        <v>0</v>
      </c>
      <c r="AJ1807">
        <v>0</v>
      </c>
      <c r="AK1807">
        <v>100</v>
      </c>
      <c r="AL1807">
        <v>0</v>
      </c>
      <c r="AM1807">
        <v>0</v>
      </c>
      <c r="AN1807">
        <v>0</v>
      </c>
      <c r="AO1807">
        <v>0</v>
      </c>
      <c r="AQ1807">
        <v>0</v>
      </c>
      <c r="AR1807">
        <v>0</v>
      </c>
      <c r="AT1807">
        <v>0</v>
      </c>
      <c r="AU1807">
        <v>0</v>
      </c>
      <c r="AW1807">
        <v>0</v>
      </c>
      <c r="AX1807">
        <v>0</v>
      </c>
      <c r="AY1807">
        <v>70</v>
      </c>
      <c r="BC1807" t="str">
        <f>T("9791164482849")</f>
        <v>9791164482849</v>
      </c>
      <c r="BE1807" t="str">
        <f>T("판타지 웹소설 &gt; 무협 소설")</f>
        <v>판타지 웹소설 &gt; 무협 소설</v>
      </c>
    </row>
    <row r="1808" spans="1:57" x14ac:dyDescent="0.3">
      <c r="A1808">
        <v>1525012551</v>
      </c>
      <c r="B1808">
        <v>1525012584</v>
      </c>
      <c r="C1808" t="str">
        <f>T("개정판 | 바보가 만드는 멋진 세상 34화")</f>
        <v>개정판 | 바보가 만드는 멋진 세상 34화</v>
      </c>
      <c r="D1808" t="str">
        <f>T("34")</f>
        <v>34</v>
      </c>
      <c r="E1808" t="str">
        <f>T("백범(白帆)")</f>
        <v>백범(白帆)</v>
      </c>
      <c r="H1808" t="str">
        <f>T("에필로그")</f>
        <v>에필로그</v>
      </c>
      <c r="I1808" t="str">
        <f>T("개정판 | 바보가 만드는 멋진 세상")</f>
        <v>개정판 | 바보가 만드는 멋진 세상</v>
      </c>
      <c r="J1808">
        <v>100</v>
      </c>
      <c r="K1808">
        <v>100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100</v>
      </c>
      <c r="AH1808">
        <v>1</v>
      </c>
      <c r="AI1808">
        <v>0</v>
      </c>
      <c r="AJ1808">
        <v>0</v>
      </c>
      <c r="AK1808">
        <v>100</v>
      </c>
      <c r="AL1808">
        <v>0</v>
      </c>
      <c r="AM1808">
        <v>0</v>
      </c>
      <c r="AN1808">
        <v>0</v>
      </c>
      <c r="AO1808">
        <v>0</v>
      </c>
      <c r="AQ1808">
        <v>0</v>
      </c>
      <c r="AR1808">
        <v>0</v>
      </c>
      <c r="AT1808">
        <v>0</v>
      </c>
      <c r="AU1808">
        <v>0</v>
      </c>
      <c r="AW1808">
        <v>0</v>
      </c>
      <c r="AX1808">
        <v>0</v>
      </c>
      <c r="AY1808">
        <v>70</v>
      </c>
      <c r="BC1808" t="str">
        <f>T("9791166003493")</f>
        <v>9791166003493</v>
      </c>
      <c r="BE1808" t="str">
        <f>T("판타지 웹소설 &gt; 현대 판타지")</f>
        <v>판타지 웹소설 &gt; 현대 판타지</v>
      </c>
    </row>
    <row r="1809" spans="1:57" x14ac:dyDescent="0.3">
      <c r="A1809">
        <v>1525004799</v>
      </c>
      <c r="B1809">
        <v>1525004934</v>
      </c>
      <c r="C1809" t="str">
        <f>T("검산도해 136화")</f>
        <v>검산도해 136화</v>
      </c>
      <c r="D1809" t="str">
        <f>T("136")</f>
        <v>136</v>
      </c>
      <c r="E1809" t="str">
        <f>T("권용찬")</f>
        <v>권용찬</v>
      </c>
      <c r="H1809" t="str">
        <f>T("스토리위즈")</f>
        <v>스토리위즈</v>
      </c>
      <c r="I1809" t="str">
        <f>T("검산도해")</f>
        <v>검산도해</v>
      </c>
      <c r="J1809">
        <v>100</v>
      </c>
      <c r="K1809">
        <v>100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100</v>
      </c>
      <c r="AH1809">
        <v>1</v>
      </c>
      <c r="AI1809">
        <v>0</v>
      </c>
      <c r="AJ1809">
        <v>0</v>
      </c>
      <c r="AK1809">
        <v>0</v>
      </c>
      <c r="AL1809">
        <v>0</v>
      </c>
      <c r="AM1809">
        <v>120</v>
      </c>
      <c r="AN1809">
        <v>-12</v>
      </c>
      <c r="AO1809">
        <v>0</v>
      </c>
      <c r="AQ1809">
        <v>0</v>
      </c>
      <c r="AR1809">
        <v>0</v>
      </c>
      <c r="AS1809">
        <v>120</v>
      </c>
      <c r="AT1809">
        <v>-12</v>
      </c>
      <c r="AU1809">
        <v>0</v>
      </c>
      <c r="AW1809">
        <v>0</v>
      </c>
      <c r="AX1809">
        <v>0</v>
      </c>
      <c r="AY1809">
        <v>75.599999999999994</v>
      </c>
      <c r="BC1809" t="str">
        <f>T("9791159285936")</f>
        <v>9791159285936</v>
      </c>
      <c r="BE1809" t="str">
        <f>T("판타지 웹소설 &gt; 무협 소설")</f>
        <v>판타지 웹소설 &gt; 무협 소설</v>
      </c>
    </row>
    <row r="1810" spans="1:57" x14ac:dyDescent="0.3">
      <c r="A1810">
        <v>1525000569</v>
      </c>
      <c r="B1810">
        <v>1525000595</v>
      </c>
      <c r="C1810" t="str">
        <f>T("스트라이커 27화")</f>
        <v>스트라이커 27화</v>
      </c>
      <c r="D1810" t="str">
        <f>T("27")</f>
        <v>27</v>
      </c>
      <c r="E1810" t="str">
        <f>T("독고진")</f>
        <v>독고진</v>
      </c>
      <c r="H1810" t="str">
        <f>T("스토리위즈")</f>
        <v>스토리위즈</v>
      </c>
      <c r="I1810" t="str">
        <f>T("스트라이커")</f>
        <v>스트라이커</v>
      </c>
      <c r="J1810">
        <v>100</v>
      </c>
      <c r="K1810">
        <v>100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100</v>
      </c>
      <c r="AH1810">
        <v>1</v>
      </c>
      <c r="AI1810">
        <v>0</v>
      </c>
      <c r="AJ1810">
        <v>0</v>
      </c>
      <c r="AK1810">
        <v>100</v>
      </c>
      <c r="AL1810">
        <v>0</v>
      </c>
      <c r="AM1810">
        <v>0</v>
      </c>
      <c r="AN1810">
        <v>0</v>
      </c>
      <c r="AO1810">
        <v>0</v>
      </c>
      <c r="AQ1810">
        <v>0</v>
      </c>
      <c r="AR1810">
        <v>0</v>
      </c>
      <c r="AT1810">
        <v>0</v>
      </c>
      <c r="AU1810">
        <v>0</v>
      </c>
      <c r="AW1810">
        <v>0</v>
      </c>
      <c r="AX1810">
        <v>0</v>
      </c>
      <c r="AY1810">
        <v>70</v>
      </c>
      <c r="BC1810" t="str">
        <f>T("9791170151678")</f>
        <v>9791170151678</v>
      </c>
      <c r="BE1810" t="str">
        <f>T("판타지 웹소설 &gt; 현대 판타지")</f>
        <v>판타지 웹소설 &gt; 현대 판타지</v>
      </c>
    </row>
    <row r="1811" spans="1:57" x14ac:dyDescent="0.3">
      <c r="A1811">
        <v>1525011523</v>
      </c>
      <c r="B1811">
        <v>1525010986</v>
      </c>
      <c r="C1811" t="str">
        <f>T("남창목가 외전 506화 (완결)")</f>
        <v>남창목가 외전 506화 (완결)</v>
      </c>
      <c r="D1811" t="str">
        <f>T("506")</f>
        <v>506</v>
      </c>
      <c r="E1811" t="str">
        <f>T("최재봉")</f>
        <v>최재봉</v>
      </c>
      <c r="H1811" t="str">
        <f>T("에필로그")</f>
        <v>에필로그</v>
      </c>
      <c r="I1811" t="str">
        <f>T("남창목가")</f>
        <v>남창목가</v>
      </c>
      <c r="J1811">
        <v>100</v>
      </c>
      <c r="K1811">
        <v>100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100</v>
      </c>
      <c r="AH1811">
        <v>1</v>
      </c>
      <c r="AI1811">
        <v>0</v>
      </c>
      <c r="AJ1811">
        <v>0</v>
      </c>
      <c r="AK1811">
        <v>0</v>
      </c>
      <c r="AL1811">
        <v>0</v>
      </c>
      <c r="AM1811">
        <v>120</v>
      </c>
      <c r="AN1811">
        <v>-12</v>
      </c>
      <c r="AO1811">
        <v>0</v>
      </c>
      <c r="AQ1811">
        <v>0</v>
      </c>
      <c r="AR1811">
        <v>0</v>
      </c>
      <c r="AS1811">
        <v>120</v>
      </c>
      <c r="AT1811">
        <v>-12</v>
      </c>
      <c r="AU1811">
        <v>0</v>
      </c>
      <c r="AW1811">
        <v>0</v>
      </c>
      <c r="AX1811">
        <v>0</v>
      </c>
      <c r="AY1811">
        <v>75.599999999999994</v>
      </c>
      <c r="BC1811" t="str">
        <f>T("9791164482849")</f>
        <v>9791164482849</v>
      </c>
      <c r="BE1811" t="str">
        <f>T("판타지 웹소설 &gt; 무협 소설")</f>
        <v>판타지 웹소설 &gt; 무협 소설</v>
      </c>
    </row>
    <row r="1812" spans="1:57" x14ac:dyDescent="0.3">
      <c r="A1812">
        <v>1525002125</v>
      </c>
      <c r="B1812">
        <v>1525002161</v>
      </c>
      <c r="C1812" t="str">
        <f>T("신을 죽이러 갑니다 37화")</f>
        <v>신을 죽이러 갑니다 37화</v>
      </c>
      <c r="D1812" t="str">
        <f>T("37")</f>
        <v>37</v>
      </c>
      <c r="E1812" t="str">
        <f>T("독고진")</f>
        <v>독고진</v>
      </c>
      <c r="H1812" t="str">
        <f>T("스토리위즈")</f>
        <v>스토리위즈</v>
      </c>
      <c r="I1812" t="str">
        <f>T("신을 죽이러 갑니다")</f>
        <v>신을 죽이러 갑니다</v>
      </c>
      <c r="J1812">
        <v>100</v>
      </c>
      <c r="K1812">
        <v>100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100</v>
      </c>
      <c r="AH1812">
        <v>1</v>
      </c>
      <c r="AI1812">
        <v>0</v>
      </c>
      <c r="AJ1812">
        <v>0</v>
      </c>
      <c r="AK1812">
        <v>0</v>
      </c>
      <c r="AL1812">
        <v>0</v>
      </c>
      <c r="AM1812">
        <v>120</v>
      </c>
      <c r="AN1812">
        <v>-36</v>
      </c>
      <c r="AO1812">
        <v>0</v>
      </c>
      <c r="AQ1812">
        <v>0</v>
      </c>
      <c r="AR1812">
        <v>0</v>
      </c>
      <c r="AS1812">
        <v>120</v>
      </c>
      <c r="AT1812">
        <v>-36</v>
      </c>
      <c r="AU1812">
        <v>0</v>
      </c>
      <c r="AW1812">
        <v>0</v>
      </c>
      <c r="AX1812">
        <v>0</v>
      </c>
      <c r="AY1812">
        <v>58.8</v>
      </c>
      <c r="BC1812" t="str">
        <f>T("9791159285806")</f>
        <v>9791159285806</v>
      </c>
      <c r="BE1812" t="str">
        <f>T("판타지 웹소설 &gt; 퓨전 판타지")</f>
        <v>판타지 웹소설 &gt; 퓨전 판타지</v>
      </c>
    </row>
    <row r="1813" spans="1:57" x14ac:dyDescent="0.3">
      <c r="A1813">
        <v>1525013020</v>
      </c>
      <c r="B1813">
        <v>1525013134</v>
      </c>
      <c r="C1813" t="str">
        <f>T("악당의 리턴 115화")</f>
        <v>악당의 리턴 115화</v>
      </c>
      <c r="D1813" t="str">
        <f>T("115")</f>
        <v>115</v>
      </c>
      <c r="E1813" t="str">
        <f>T("백범(白帆)")</f>
        <v>백범(白帆)</v>
      </c>
      <c r="H1813" t="str">
        <f>T("에필로그")</f>
        <v>에필로그</v>
      </c>
      <c r="I1813" t="str">
        <f>T("악당의 리턴")</f>
        <v>악당의 리턴</v>
      </c>
      <c r="J1813">
        <v>100</v>
      </c>
      <c r="K1813">
        <v>100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100</v>
      </c>
      <c r="AH1813">
        <v>1</v>
      </c>
      <c r="AI1813">
        <v>0</v>
      </c>
      <c r="AJ1813">
        <v>0</v>
      </c>
      <c r="AK1813">
        <v>100</v>
      </c>
      <c r="AL1813">
        <v>0</v>
      </c>
      <c r="AM1813">
        <v>0</v>
      </c>
      <c r="AN1813">
        <v>0</v>
      </c>
      <c r="AO1813">
        <v>0</v>
      </c>
      <c r="AQ1813">
        <v>0</v>
      </c>
      <c r="AR1813">
        <v>0</v>
      </c>
      <c r="AT1813">
        <v>0</v>
      </c>
      <c r="AU1813">
        <v>0</v>
      </c>
      <c r="AW1813">
        <v>0</v>
      </c>
      <c r="AX1813">
        <v>0</v>
      </c>
      <c r="AY1813">
        <v>70</v>
      </c>
      <c r="BC1813" t="str">
        <f>T("9791196538927")</f>
        <v>9791196538927</v>
      </c>
      <c r="BE1813" t="str">
        <f>T("판타지 웹소설 &gt; 현대 판타지")</f>
        <v>판타지 웹소설 &gt; 현대 판타지</v>
      </c>
    </row>
    <row r="1814" spans="1:57" x14ac:dyDescent="0.3">
      <c r="A1814">
        <v>1525008717</v>
      </c>
      <c r="B1814">
        <v>1525008773</v>
      </c>
      <c r="C1814" t="str">
        <f>T("음양상열지사 70화")</f>
        <v>음양상열지사 70화</v>
      </c>
      <c r="D1814" t="str">
        <f>T("70")</f>
        <v>70</v>
      </c>
      <c r="E1814" t="str">
        <f>T("이염")</f>
        <v>이염</v>
      </c>
      <c r="H1814" t="str">
        <f>T("블러쉬")</f>
        <v>블러쉬</v>
      </c>
      <c r="I1814" t="str">
        <f>T("음양상열지사")</f>
        <v>음양상열지사</v>
      </c>
      <c r="J1814">
        <v>100</v>
      </c>
      <c r="K1814">
        <v>100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100</v>
      </c>
      <c r="AH1814">
        <v>1</v>
      </c>
      <c r="AI1814">
        <v>0</v>
      </c>
      <c r="AJ1814">
        <v>0</v>
      </c>
      <c r="AK1814">
        <v>100</v>
      </c>
      <c r="AL1814">
        <v>0</v>
      </c>
      <c r="AM1814">
        <v>0</v>
      </c>
      <c r="AN1814">
        <v>0</v>
      </c>
      <c r="AO1814">
        <v>0</v>
      </c>
      <c r="AQ1814">
        <v>0</v>
      </c>
      <c r="AR1814">
        <v>0</v>
      </c>
      <c r="AT1814">
        <v>0</v>
      </c>
      <c r="AU1814">
        <v>0</v>
      </c>
      <c r="AW1814">
        <v>0</v>
      </c>
      <c r="AX1814">
        <v>0</v>
      </c>
      <c r="AY1814">
        <v>70</v>
      </c>
      <c r="BA1814" t="str">
        <f>T("0000000000000")</f>
        <v>0000000000000</v>
      </c>
      <c r="BC1814" t="str">
        <f>T("9791164896639")</f>
        <v>9791164896639</v>
      </c>
      <c r="BE1814" t="str">
        <f>T("BL 웹소설 &gt; 역사/시대물")</f>
        <v>BL 웹소설 &gt; 역사/시대물</v>
      </c>
    </row>
    <row r="1815" spans="1:57" x14ac:dyDescent="0.3">
      <c r="A1815">
        <v>1525012551</v>
      </c>
      <c r="B1815">
        <v>1525012695</v>
      </c>
      <c r="C1815" t="str">
        <f>T("개정판 | 바보가 만드는 멋진 세상 145화")</f>
        <v>개정판 | 바보가 만드는 멋진 세상 145화</v>
      </c>
      <c r="D1815" t="str">
        <f>T("145")</f>
        <v>145</v>
      </c>
      <c r="E1815" t="str">
        <f>T("백범(白帆)")</f>
        <v>백범(白帆)</v>
      </c>
      <c r="H1815" t="str">
        <f>T("에필로그")</f>
        <v>에필로그</v>
      </c>
      <c r="I1815" t="str">
        <f>T("개정판 | 바보가 만드는 멋진 세상")</f>
        <v>개정판 | 바보가 만드는 멋진 세상</v>
      </c>
      <c r="J1815">
        <v>100</v>
      </c>
      <c r="K1815">
        <v>100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100</v>
      </c>
      <c r="AH1815">
        <v>1</v>
      </c>
      <c r="AI1815">
        <v>0</v>
      </c>
      <c r="AJ1815">
        <v>0</v>
      </c>
      <c r="AK1815">
        <v>100</v>
      </c>
      <c r="AL1815">
        <v>0</v>
      </c>
      <c r="AM1815">
        <v>0</v>
      </c>
      <c r="AN1815">
        <v>0</v>
      </c>
      <c r="AO1815">
        <v>0</v>
      </c>
      <c r="AQ1815">
        <v>0</v>
      </c>
      <c r="AR1815">
        <v>0</v>
      </c>
      <c r="AT1815">
        <v>0</v>
      </c>
      <c r="AU1815">
        <v>0</v>
      </c>
      <c r="AW1815">
        <v>0</v>
      </c>
      <c r="AX1815">
        <v>0</v>
      </c>
      <c r="AY1815">
        <v>70</v>
      </c>
      <c r="BC1815" t="str">
        <f>T("9791166003493")</f>
        <v>9791166003493</v>
      </c>
      <c r="BE1815" t="str">
        <f>T("판타지 웹소설 &gt; 현대 판타지")</f>
        <v>판타지 웹소설 &gt; 현대 판타지</v>
      </c>
    </row>
    <row r="1816" spans="1:57" x14ac:dyDescent="0.3">
      <c r="A1816">
        <v>1525002864</v>
      </c>
      <c r="B1816">
        <v>1525002918</v>
      </c>
      <c r="C1816" t="str">
        <f>T("소드마스터의 환생 55화")</f>
        <v>소드마스터의 환생 55화</v>
      </c>
      <c r="D1816" t="str">
        <f>T("55")</f>
        <v>55</v>
      </c>
      <c r="E1816" t="str">
        <f>T("파란영")</f>
        <v>파란영</v>
      </c>
      <c r="H1816" t="str">
        <f>T("스토리위즈")</f>
        <v>스토리위즈</v>
      </c>
      <c r="I1816" t="str">
        <f>T("소드마스터의 환생")</f>
        <v>소드마스터의 환생</v>
      </c>
      <c r="J1816">
        <v>100</v>
      </c>
      <c r="K1816">
        <v>100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100</v>
      </c>
      <c r="AH1816">
        <v>1</v>
      </c>
      <c r="AI1816">
        <v>0</v>
      </c>
      <c r="AJ1816">
        <v>0</v>
      </c>
      <c r="AK1816">
        <v>100</v>
      </c>
      <c r="AL1816">
        <v>0</v>
      </c>
      <c r="AM1816">
        <v>0</v>
      </c>
      <c r="AN1816">
        <v>0</v>
      </c>
      <c r="AO1816">
        <v>0</v>
      </c>
      <c r="AQ1816">
        <v>0</v>
      </c>
      <c r="AR1816">
        <v>0</v>
      </c>
      <c r="AT1816">
        <v>0</v>
      </c>
      <c r="AU1816">
        <v>0</v>
      </c>
      <c r="AW1816">
        <v>0</v>
      </c>
      <c r="AX1816">
        <v>0</v>
      </c>
      <c r="AY1816">
        <v>70</v>
      </c>
      <c r="BC1816" t="str">
        <f>T("9791159287527")</f>
        <v>9791159287527</v>
      </c>
      <c r="BE1816" t="str">
        <f>T("판타지 웹소설 &gt; 정통 판타지")</f>
        <v>판타지 웹소설 &gt; 정통 판타지</v>
      </c>
    </row>
    <row r="1817" spans="1:57" x14ac:dyDescent="0.3">
      <c r="A1817">
        <v>1525008428</v>
      </c>
      <c r="B1817">
        <v>1525008457</v>
      </c>
      <c r="C1817" t="str">
        <f>T("무히비(Muhibbi) 46화")</f>
        <v>무히비(Muhibbi) 46화</v>
      </c>
      <c r="D1817" t="str">
        <f>T("46")</f>
        <v>46</v>
      </c>
      <c r="E1817" t="str">
        <f>T("jooki")</f>
        <v>jooki</v>
      </c>
      <c r="H1817" t="str">
        <f>T("블러쉬")</f>
        <v>블러쉬</v>
      </c>
      <c r="I1817" t="str">
        <f>T("무히비(Muhibbi)")</f>
        <v>무히비(Muhibbi)</v>
      </c>
      <c r="J1817">
        <v>100</v>
      </c>
      <c r="K1817">
        <v>100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100</v>
      </c>
      <c r="AH1817">
        <v>1</v>
      </c>
      <c r="AI1817">
        <v>0</v>
      </c>
      <c r="AJ1817">
        <v>0</v>
      </c>
      <c r="AK1817">
        <v>100</v>
      </c>
      <c r="AL1817">
        <v>0</v>
      </c>
      <c r="AM1817">
        <v>0</v>
      </c>
      <c r="AN1817">
        <v>0</v>
      </c>
      <c r="AO1817">
        <v>0</v>
      </c>
      <c r="AQ1817">
        <v>0</v>
      </c>
      <c r="AR1817">
        <v>0</v>
      </c>
      <c r="AT1817">
        <v>0</v>
      </c>
      <c r="AU1817">
        <v>0</v>
      </c>
      <c r="AW1817">
        <v>0</v>
      </c>
      <c r="AX1817">
        <v>0</v>
      </c>
      <c r="AY1817">
        <v>70</v>
      </c>
      <c r="BC1817" t="str">
        <f>T("9791164896622")</f>
        <v>9791164896622</v>
      </c>
      <c r="BE1817" t="str">
        <f>T("BL 웹소설 &gt; 역사/시대물")</f>
        <v>BL 웹소설 &gt; 역사/시대물</v>
      </c>
    </row>
    <row r="1818" spans="1:57" x14ac:dyDescent="0.3">
      <c r="A1818">
        <v>1525011523</v>
      </c>
      <c r="B1818">
        <v>1525011247</v>
      </c>
      <c r="C1818" t="str">
        <f>T("남창목가 277화")</f>
        <v>남창목가 277화</v>
      </c>
      <c r="D1818" t="str">
        <f>T("277")</f>
        <v>277</v>
      </c>
      <c r="E1818" t="str">
        <f>T("최재봉")</f>
        <v>최재봉</v>
      </c>
      <c r="H1818" t="str">
        <f>T("에필로그")</f>
        <v>에필로그</v>
      </c>
      <c r="I1818" t="str">
        <f>T("남창목가")</f>
        <v>남창목가</v>
      </c>
      <c r="J1818">
        <v>100</v>
      </c>
      <c r="K1818">
        <v>100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100</v>
      </c>
      <c r="AH1818">
        <v>1</v>
      </c>
      <c r="AI1818">
        <v>0</v>
      </c>
      <c r="AJ1818">
        <v>0</v>
      </c>
      <c r="AK1818">
        <v>0</v>
      </c>
      <c r="AL1818">
        <v>0</v>
      </c>
      <c r="AM1818">
        <v>120</v>
      </c>
      <c r="AN1818">
        <v>-12</v>
      </c>
      <c r="AO1818">
        <v>0</v>
      </c>
      <c r="AQ1818">
        <v>0</v>
      </c>
      <c r="AR1818">
        <v>0</v>
      </c>
      <c r="AS1818">
        <v>120</v>
      </c>
      <c r="AT1818">
        <v>-12</v>
      </c>
      <c r="AU1818">
        <v>0</v>
      </c>
      <c r="AW1818">
        <v>0</v>
      </c>
      <c r="AX1818">
        <v>0</v>
      </c>
      <c r="AY1818">
        <v>75.599999999999994</v>
      </c>
      <c r="BC1818" t="str">
        <f>T("9791164482849")</f>
        <v>9791164482849</v>
      </c>
      <c r="BE1818" t="str">
        <f>T("판타지 웹소설 &gt; 무협 소설")</f>
        <v>판타지 웹소설 &gt; 무협 소설</v>
      </c>
    </row>
    <row r="1819" spans="1:57" x14ac:dyDescent="0.3">
      <c r="A1819">
        <v>1525011523</v>
      </c>
      <c r="B1819">
        <v>1525011426</v>
      </c>
      <c r="C1819" t="str">
        <f>T("남창목가 98화")</f>
        <v>남창목가 98화</v>
      </c>
      <c r="D1819" t="str">
        <f>T("98")</f>
        <v>98</v>
      </c>
      <c r="E1819" t="str">
        <f>T("최재봉")</f>
        <v>최재봉</v>
      </c>
      <c r="H1819" t="str">
        <f>T("에필로그")</f>
        <v>에필로그</v>
      </c>
      <c r="I1819" t="str">
        <f>T("남창목가")</f>
        <v>남창목가</v>
      </c>
      <c r="J1819">
        <v>100</v>
      </c>
      <c r="K1819">
        <v>100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100</v>
      </c>
      <c r="AH1819">
        <v>1</v>
      </c>
      <c r="AI1819">
        <v>0</v>
      </c>
      <c r="AJ1819">
        <v>0</v>
      </c>
      <c r="AK1819">
        <v>100</v>
      </c>
      <c r="AL1819">
        <v>0</v>
      </c>
      <c r="AM1819">
        <v>0</v>
      </c>
      <c r="AN1819">
        <v>0</v>
      </c>
      <c r="AO1819">
        <v>0</v>
      </c>
      <c r="AQ1819">
        <v>0</v>
      </c>
      <c r="AR1819">
        <v>0</v>
      </c>
      <c r="AT1819">
        <v>0</v>
      </c>
      <c r="AU1819">
        <v>0</v>
      </c>
      <c r="AW1819">
        <v>0</v>
      </c>
      <c r="AX1819">
        <v>0</v>
      </c>
      <c r="AY1819">
        <v>70</v>
      </c>
      <c r="BC1819" t="str">
        <f>T("9791164482849")</f>
        <v>9791164482849</v>
      </c>
      <c r="BE1819" t="str">
        <f>T("판타지 웹소설 &gt; 무협 소설")</f>
        <v>판타지 웹소설 &gt; 무협 소설</v>
      </c>
    </row>
    <row r="1820" spans="1:57" x14ac:dyDescent="0.3">
      <c r="A1820">
        <v>1525004799</v>
      </c>
      <c r="B1820">
        <v>1525004923</v>
      </c>
      <c r="C1820" t="str">
        <f>T("검산도해 125화")</f>
        <v>검산도해 125화</v>
      </c>
      <c r="D1820" t="str">
        <f>T("125")</f>
        <v>125</v>
      </c>
      <c r="E1820" t="str">
        <f>T("권용찬")</f>
        <v>권용찬</v>
      </c>
      <c r="H1820" t="str">
        <f>T("스토리위즈")</f>
        <v>스토리위즈</v>
      </c>
      <c r="I1820" t="str">
        <f>T("검산도해")</f>
        <v>검산도해</v>
      </c>
      <c r="J1820">
        <v>100</v>
      </c>
      <c r="K1820">
        <v>100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100</v>
      </c>
      <c r="AH1820">
        <v>1</v>
      </c>
      <c r="AI1820">
        <v>0</v>
      </c>
      <c r="AJ1820">
        <v>0</v>
      </c>
      <c r="AK1820">
        <v>0</v>
      </c>
      <c r="AL1820">
        <v>0</v>
      </c>
      <c r="AM1820">
        <v>120</v>
      </c>
      <c r="AN1820">
        <v>-12</v>
      </c>
      <c r="AO1820">
        <v>0</v>
      </c>
      <c r="AQ1820">
        <v>0</v>
      </c>
      <c r="AR1820">
        <v>0</v>
      </c>
      <c r="AS1820">
        <v>120</v>
      </c>
      <c r="AT1820">
        <v>-12</v>
      </c>
      <c r="AU1820">
        <v>0</v>
      </c>
      <c r="AW1820">
        <v>0</v>
      </c>
      <c r="AX1820">
        <v>0</v>
      </c>
      <c r="AY1820">
        <v>75.599999999999994</v>
      </c>
      <c r="BC1820" t="str">
        <f>T("9791159285936")</f>
        <v>9791159285936</v>
      </c>
      <c r="BE1820" t="str">
        <f>T("판타지 웹소설 &gt; 무협 소설")</f>
        <v>판타지 웹소설 &gt; 무협 소설</v>
      </c>
    </row>
    <row r="1821" spans="1:57" x14ac:dyDescent="0.3">
      <c r="A1821">
        <v>1525004030</v>
      </c>
      <c r="B1821">
        <v>1525007012</v>
      </c>
      <c r="C1821" t="str">
        <f>T("회귀의 전설 2부 896화")</f>
        <v>회귀의 전설 2부 896화</v>
      </c>
      <c r="D1821" t="str">
        <f>T("896")</f>
        <v>896</v>
      </c>
      <c r="E1821" t="str">
        <f>T("김광수")</f>
        <v>김광수</v>
      </c>
      <c r="H1821" t="str">
        <f>T("스토리위즈")</f>
        <v>스토리위즈</v>
      </c>
      <c r="I1821" t="str">
        <f>T("회귀의 전설")</f>
        <v>회귀의 전설</v>
      </c>
      <c r="J1821">
        <v>100</v>
      </c>
      <c r="K1821">
        <v>100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100</v>
      </c>
      <c r="AH1821">
        <v>1</v>
      </c>
      <c r="AI1821">
        <v>0</v>
      </c>
      <c r="AJ1821">
        <v>0</v>
      </c>
      <c r="AK1821">
        <v>100</v>
      </c>
      <c r="AL1821">
        <v>0</v>
      </c>
      <c r="AM1821">
        <v>0</v>
      </c>
      <c r="AN1821">
        <v>0</v>
      </c>
      <c r="AO1821">
        <v>0</v>
      </c>
      <c r="AQ1821">
        <v>0</v>
      </c>
      <c r="AR1821">
        <v>0</v>
      </c>
      <c r="AT1821">
        <v>0</v>
      </c>
      <c r="AU1821">
        <v>0</v>
      </c>
      <c r="AW1821">
        <v>0</v>
      </c>
      <c r="AX1821">
        <v>0</v>
      </c>
      <c r="AY1821">
        <v>70</v>
      </c>
      <c r="BC1821" t="str">
        <f>T("9791191102086")</f>
        <v>9791191102086</v>
      </c>
      <c r="BE1821" t="str">
        <f>T("판타지 웹소설 &gt; 현대 판타지")</f>
        <v>판타지 웹소설 &gt; 현대 판타지</v>
      </c>
    </row>
    <row r="1822" spans="1:57" x14ac:dyDescent="0.3">
      <c r="A1822">
        <v>1525011523</v>
      </c>
      <c r="B1822">
        <v>1525011110</v>
      </c>
      <c r="C1822" t="str">
        <f>T("남창목가 414화")</f>
        <v>남창목가 414화</v>
      </c>
      <c r="D1822" t="str">
        <f>T("414")</f>
        <v>414</v>
      </c>
      <c r="E1822" t="str">
        <f>T("최재봉")</f>
        <v>최재봉</v>
      </c>
      <c r="H1822" t="str">
        <f>T("에필로그")</f>
        <v>에필로그</v>
      </c>
      <c r="I1822" t="str">
        <f>T("남창목가")</f>
        <v>남창목가</v>
      </c>
      <c r="J1822">
        <v>100</v>
      </c>
      <c r="K1822">
        <v>100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100</v>
      </c>
      <c r="AH1822">
        <v>1</v>
      </c>
      <c r="AI1822">
        <v>0</v>
      </c>
      <c r="AJ1822">
        <v>0</v>
      </c>
      <c r="AK1822">
        <v>0</v>
      </c>
      <c r="AL1822">
        <v>0</v>
      </c>
      <c r="AM1822">
        <v>120</v>
      </c>
      <c r="AN1822">
        <v>-12</v>
      </c>
      <c r="AO1822">
        <v>0</v>
      </c>
      <c r="AQ1822">
        <v>0</v>
      </c>
      <c r="AR1822">
        <v>0</v>
      </c>
      <c r="AS1822">
        <v>120</v>
      </c>
      <c r="AT1822">
        <v>-12</v>
      </c>
      <c r="AU1822">
        <v>0</v>
      </c>
      <c r="AW1822">
        <v>0</v>
      </c>
      <c r="AX1822">
        <v>0</v>
      </c>
      <c r="AY1822">
        <v>75.599999999999994</v>
      </c>
      <c r="BC1822" t="str">
        <f>T("9791164482849")</f>
        <v>9791164482849</v>
      </c>
      <c r="BE1822" t="str">
        <f>T("판타지 웹소설 &gt; 무협 소설")</f>
        <v>판타지 웹소설 &gt; 무협 소설</v>
      </c>
    </row>
    <row r="1823" spans="1:57" x14ac:dyDescent="0.3">
      <c r="A1823">
        <v>1525008428</v>
      </c>
      <c r="B1823">
        <v>1525008413</v>
      </c>
      <c r="C1823" t="str">
        <f>T("무히비(Muhibbi) 10화")</f>
        <v>무히비(Muhibbi) 10화</v>
      </c>
      <c r="D1823" t="str">
        <f>T("10")</f>
        <v>10</v>
      </c>
      <c r="E1823" t="str">
        <f>T("jooki")</f>
        <v>jooki</v>
      </c>
      <c r="H1823" t="str">
        <f>T("블러쉬")</f>
        <v>블러쉬</v>
      </c>
      <c r="I1823" t="str">
        <f>T("무히비(Muhibbi)")</f>
        <v>무히비(Muhibbi)</v>
      </c>
      <c r="J1823">
        <v>100</v>
      </c>
      <c r="K1823">
        <v>100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100</v>
      </c>
      <c r="AH1823">
        <v>1</v>
      </c>
      <c r="AI1823">
        <v>0</v>
      </c>
      <c r="AJ1823">
        <v>0</v>
      </c>
      <c r="AK1823">
        <v>100</v>
      </c>
      <c r="AL1823">
        <v>0</v>
      </c>
      <c r="AM1823">
        <v>0</v>
      </c>
      <c r="AN1823">
        <v>0</v>
      </c>
      <c r="AO1823">
        <v>0</v>
      </c>
      <c r="AQ1823">
        <v>0</v>
      </c>
      <c r="AR1823">
        <v>0</v>
      </c>
      <c r="AT1823">
        <v>0</v>
      </c>
      <c r="AU1823">
        <v>0</v>
      </c>
      <c r="AW1823">
        <v>0</v>
      </c>
      <c r="AX1823">
        <v>0</v>
      </c>
      <c r="AY1823">
        <v>70</v>
      </c>
      <c r="BC1823" t="str">
        <f>T("9791164896622")</f>
        <v>9791164896622</v>
      </c>
      <c r="BE1823" t="str">
        <f>T("BL 웹소설 &gt; 역사/시대물")</f>
        <v>BL 웹소설 &gt; 역사/시대물</v>
      </c>
    </row>
    <row r="1824" spans="1:57" x14ac:dyDescent="0.3">
      <c r="A1824">
        <v>1525004030</v>
      </c>
      <c r="B1824">
        <v>1525006971</v>
      </c>
      <c r="C1824" t="str">
        <f>T("회귀의 전설 2부 855화")</f>
        <v>회귀의 전설 2부 855화</v>
      </c>
      <c r="D1824" t="str">
        <f>T("855")</f>
        <v>855</v>
      </c>
      <c r="E1824" t="str">
        <f>T("김광수")</f>
        <v>김광수</v>
      </c>
      <c r="H1824" t="str">
        <f>T("스토리위즈")</f>
        <v>스토리위즈</v>
      </c>
      <c r="I1824" t="str">
        <f>T("회귀의 전설")</f>
        <v>회귀의 전설</v>
      </c>
      <c r="J1824">
        <v>100</v>
      </c>
      <c r="K1824">
        <v>100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100</v>
      </c>
      <c r="AH1824">
        <v>1</v>
      </c>
      <c r="AI1824">
        <v>0</v>
      </c>
      <c r="AJ1824">
        <v>0</v>
      </c>
      <c r="AK1824">
        <v>100</v>
      </c>
      <c r="AL1824">
        <v>0</v>
      </c>
      <c r="AM1824">
        <v>0</v>
      </c>
      <c r="AN1824">
        <v>0</v>
      </c>
      <c r="AO1824">
        <v>0</v>
      </c>
      <c r="AQ1824">
        <v>0</v>
      </c>
      <c r="AR1824">
        <v>0</v>
      </c>
      <c r="AT1824">
        <v>0</v>
      </c>
      <c r="AU1824">
        <v>0</v>
      </c>
      <c r="AW1824">
        <v>0</v>
      </c>
      <c r="AX1824">
        <v>0</v>
      </c>
      <c r="AY1824">
        <v>70</v>
      </c>
      <c r="BC1824" t="str">
        <f>T("9791191102086")</f>
        <v>9791191102086</v>
      </c>
      <c r="BE1824" t="str">
        <f>T("판타지 웹소설 &gt; 현대 판타지")</f>
        <v>판타지 웹소설 &gt; 현대 판타지</v>
      </c>
    </row>
    <row r="1825" spans="1:57" x14ac:dyDescent="0.3">
      <c r="A1825">
        <v>1525011523</v>
      </c>
      <c r="B1825">
        <v>1525011364</v>
      </c>
      <c r="C1825" t="str">
        <f>T("남창목가 160화")</f>
        <v>남창목가 160화</v>
      </c>
      <c r="D1825" t="str">
        <f>T("160")</f>
        <v>160</v>
      </c>
      <c r="E1825" t="str">
        <f>T("최재봉")</f>
        <v>최재봉</v>
      </c>
      <c r="H1825" t="str">
        <f>T("에필로그")</f>
        <v>에필로그</v>
      </c>
      <c r="I1825" t="str">
        <f>T("남창목가")</f>
        <v>남창목가</v>
      </c>
      <c r="J1825">
        <v>100</v>
      </c>
      <c r="K1825">
        <v>100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100</v>
      </c>
      <c r="AH1825">
        <v>1</v>
      </c>
      <c r="AI1825">
        <v>0</v>
      </c>
      <c r="AJ1825">
        <v>0</v>
      </c>
      <c r="AK1825">
        <v>0</v>
      </c>
      <c r="AL1825">
        <v>0</v>
      </c>
      <c r="AM1825">
        <v>120</v>
      </c>
      <c r="AN1825">
        <v>-12</v>
      </c>
      <c r="AO1825">
        <v>0</v>
      </c>
      <c r="AQ1825">
        <v>0</v>
      </c>
      <c r="AR1825">
        <v>0</v>
      </c>
      <c r="AS1825">
        <v>120</v>
      </c>
      <c r="AT1825">
        <v>-12</v>
      </c>
      <c r="AU1825">
        <v>0</v>
      </c>
      <c r="AW1825">
        <v>0</v>
      </c>
      <c r="AX1825">
        <v>0</v>
      </c>
      <c r="AY1825">
        <v>75.599999999999994</v>
      </c>
      <c r="BC1825" t="str">
        <f>T("9791164482849")</f>
        <v>9791164482849</v>
      </c>
      <c r="BE1825" t="str">
        <f>T("판타지 웹소설 &gt; 무협 소설")</f>
        <v>판타지 웹소설 &gt; 무협 소설</v>
      </c>
    </row>
    <row r="1826" spans="1:57" x14ac:dyDescent="0.3">
      <c r="A1826">
        <v>1525002125</v>
      </c>
      <c r="B1826">
        <v>1525002392</v>
      </c>
      <c r="C1826" t="str">
        <f>T("신을 죽이러 갑니다 268화")</f>
        <v>신을 죽이러 갑니다 268화</v>
      </c>
      <c r="D1826" t="str">
        <f>T("268")</f>
        <v>268</v>
      </c>
      <c r="E1826" t="str">
        <f>T("독고진")</f>
        <v>독고진</v>
      </c>
      <c r="H1826" t="str">
        <f>T("스토리위즈")</f>
        <v>스토리위즈</v>
      </c>
      <c r="I1826" t="str">
        <f>T("신을 죽이러 갑니다")</f>
        <v>신을 죽이러 갑니다</v>
      </c>
      <c r="J1826">
        <v>100</v>
      </c>
      <c r="K1826">
        <v>100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100</v>
      </c>
      <c r="AH1826">
        <v>1</v>
      </c>
      <c r="AI1826">
        <v>0</v>
      </c>
      <c r="AJ1826">
        <v>0</v>
      </c>
      <c r="AK1826">
        <v>0</v>
      </c>
      <c r="AL1826">
        <v>0</v>
      </c>
      <c r="AM1826">
        <v>120</v>
      </c>
      <c r="AN1826">
        <v>-12</v>
      </c>
      <c r="AO1826">
        <v>0</v>
      </c>
      <c r="AQ1826">
        <v>0</v>
      </c>
      <c r="AR1826">
        <v>0</v>
      </c>
      <c r="AS1826">
        <v>120</v>
      </c>
      <c r="AT1826">
        <v>-12</v>
      </c>
      <c r="AU1826">
        <v>0</v>
      </c>
      <c r="AW1826">
        <v>0</v>
      </c>
      <c r="AX1826">
        <v>0</v>
      </c>
      <c r="AY1826">
        <v>75.599999999999994</v>
      </c>
      <c r="BC1826" t="str">
        <f>T("9791159285806")</f>
        <v>9791159285806</v>
      </c>
      <c r="BE1826" t="str">
        <f>T("판타지 웹소설 &gt; 퓨전 판타지")</f>
        <v>판타지 웹소설 &gt; 퓨전 판타지</v>
      </c>
    </row>
    <row r="1827" spans="1:57" x14ac:dyDescent="0.3">
      <c r="A1827">
        <v>1525013020</v>
      </c>
      <c r="B1827">
        <v>1525013053</v>
      </c>
      <c r="C1827" t="str">
        <f>T("악당의 리턴 34화")</f>
        <v>악당의 리턴 34화</v>
      </c>
      <c r="D1827" t="str">
        <f>T("34")</f>
        <v>34</v>
      </c>
      <c r="E1827" t="str">
        <f>T("백범(白帆)")</f>
        <v>백범(白帆)</v>
      </c>
      <c r="H1827" t="str">
        <f>T("에필로그")</f>
        <v>에필로그</v>
      </c>
      <c r="I1827" t="str">
        <f>T("악당의 리턴")</f>
        <v>악당의 리턴</v>
      </c>
      <c r="J1827">
        <v>100</v>
      </c>
      <c r="K1827">
        <v>100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100</v>
      </c>
      <c r="AH1827">
        <v>1</v>
      </c>
      <c r="AI1827">
        <v>0</v>
      </c>
      <c r="AJ1827">
        <v>0</v>
      </c>
      <c r="AK1827">
        <v>100</v>
      </c>
      <c r="AL1827">
        <v>0</v>
      </c>
      <c r="AM1827">
        <v>0</v>
      </c>
      <c r="AN1827">
        <v>0</v>
      </c>
      <c r="AO1827">
        <v>0</v>
      </c>
      <c r="AQ1827">
        <v>0</v>
      </c>
      <c r="AR1827">
        <v>0</v>
      </c>
      <c r="AT1827">
        <v>0</v>
      </c>
      <c r="AU1827">
        <v>0</v>
      </c>
      <c r="AW1827">
        <v>0</v>
      </c>
      <c r="AX1827">
        <v>0</v>
      </c>
      <c r="AY1827">
        <v>70</v>
      </c>
      <c r="BC1827" t="str">
        <f>T("9791196538927")</f>
        <v>9791196538927</v>
      </c>
      <c r="BE1827" t="str">
        <f>T("판타지 웹소설 &gt; 현대 판타지")</f>
        <v>판타지 웹소설 &gt; 현대 판타지</v>
      </c>
    </row>
    <row r="1828" spans="1:57" x14ac:dyDescent="0.3">
      <c r="A1828">
        <v>1525004030</v>
      </c>
      <c r="B1828">
        <v>1525007126</v>
      </c>
      <c r="C1828" t="str">
        <f>T("회귀의 전설 2부 1010화")</f>
        <v>회귀의 전설 2부 1010화</v>
      </c>
      <c r="D1828" t="str">
        <f>T("1010")</f>
        <v>1010</v>
      </c>
      <c r="E1828" t="str">
        <f>T("김광수")</f>
        <v>김광수</v>
      </c>
      <c r="H1828" t="str">
        <f>T("스토리위즈")</f>
        <v>스토리위즈</v>
      </c>
      <c r="I1828" t="str">
        <f>T("회귀의 전설")</f>
        <v>회귀의 전설</v>
      </c>
      <c r="J1828">
        <v>100</v>
      </c>
      <c r="K1828">
        <v>100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100</v>
      </c>
      <c r="AH1828">
        <v>1</v>
      </c>
      <c r="AI1828">
        <v>0</v>
      </c>
      <c r="AJ1828">
        <v>0</v>
      </c>
      <c r="AK1828">
        <v>100</v>
      </c>
      <c r="AL1828">
        <v>0</v>
      </c>
      <c r="AM1828">
        <v>0</v>
      </c>
      <c r="AN1828">
        <v>0</v>
      </c>
      <c r="AO1828">
        <v>0</v>
      </c>
      <c r="AQ1828">
        <v>0</v>
      </c>
      <c r="AR1828">
        <v>0</v>
      </c>
      <c r="AT1828">
        <v>0</v>
      </c>
      <c r="AU1828">
        <v>0</v>
      </c>
      <c r="AW1828">
        <v>0</v>
      </c>
      <c r="AX1828">
        <v>0</v>
      </c>
      <c r="AY1828">
        <v>70</v>
      </c>
      <c r="BC1828" t="str">
        <f>T("9791191102086")</f>
        <v>9791191102086</v>
      </c>
      <c r="BE1828" t="str">
        <f>T("판타지 웹소설 &gt; 현대 판타지")</f>
        <v>판타지 웹소설 &gt; 현대 판타지</v>
      </c>
    </row>
    <row r="1829" spans="1:57" x14ac:dyDescent="0.3">
      <c r="A1829">
        <v>1525004030</v>
      </c>
      <c r="B1829">
        <v>1525004499</v>
      </c>
      <c r="C1829" t="str">
        <f>T("회귀의 전설 483화")</f>
        <v>회귀의 전설 483화</v>
      </c>
      <c r="D1829" t="str">
        <f>T("483")</f>
        <v>483</v>
      </c>
      <c r="E1829" t="str">
        <f>T("김광수")</f>
        <v>김광수</v>
      </c>
      <c r="H1829" t="str">
        <f>T("스토리위즈")</f>
        <v>스토리위즈</v>
      </c>
      <c r="I1829" t="str">
        <f>T("회귀의 전설")</f>
        <v>회귀의 전설</v>
      </c>
      <c r="J1829">
        <v>100</v>
      </c>
      <c r="K1829">
        <v>100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100</v>
      </c>
      <c r="AH1829">
        <v>1</v>
      </c>
      <c r="AI1829">
        <v>0</v>
      </c>
      <c r="AJ1829">
        <v>0</v>
      </c>
      <c r="AK1829">
        <v>100</v>
      </c>
      <c r="AL1829">
        <v>0</v>
      </c>
      <c r="AM1829">
        <v>0</v>
      </c>
      <c r="AN1829">
        <v>0</v>
      </c>
      <c r="AO1829">
        <v>0</v>
      </c>
      <c r="AQ1829">
        <v>0</v>
      </c>
      <c r="AR1829">
        <v>0</v>
      </c>
      <c r="AT1829">
        <v>0</v>
      </c>
      <c r="AU1829">
        <v>0</v>
      </c>
      <c r="AW1829">
        <v>0</v>
      </c>
      <c r="AX1829">
        <v>0</v>
      </c>
      <c r="AY1829">
        <v>70</v>
      </c>
      <c r="BC1829" t="str">
        <f>T("9788997946006")</f>
        <v>9788997946006</v>
      </c>
      <c r="BE1829" t="str">
        <f>T("판타지 웹소설 &gt; 현대 판타지")</f>
        <v>판타지 웹소설 &gt; 현대 판타지</v>
      </c>
    </row>
    <row r="1830" spans="1:57" x14ac:dyDescent="0.3">
      <c r="A1830">
        <v>1525012551</v>
      </c>
      <c r="B1830">
        <v>1525012727</v>
      </c>
      <c r="C1830" t="str">
        <f>T("개정판 | 바보가 만드는 멋진 세상 177화")</f>
        <v>개정판 | 바보가 만드는 멋진 세상 177화</v>
      </c>
      <c r="D1830" t="str">
        <f>T("177")</f>
        <v>177</v>
      </c>
      <c r="E1830" t="str">
        <f>T("백범(白帆)")</f>
        <v>백범(白帆)</v>
      </c>
      <c r="H1830" t="str">
        <f>T("에필로그")</f>
        <v>에필로그</v>
      </c>
      <c r="I1830" t="str">
        <f>T("개정판 | 바보가 만드는 멋진 세상")</f>
        <v>개정판 | 바보가 만드는 멋진 세상</v>
      </c>
      <c r="J1830">
        <v>100</v>
      </c>
      <c r="K1830">
        <v>100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100</v>
      </c>
      <c r="AH1830">
        <v>1</v>
      </c>
      <c r="AI1830">
        <v>0</v>
      </c>
      <c r="AJ1830">
        <v>0</v>
      </c>
      <c r="AK1830">
        <v>100</v>
      </c>
      <c r="AL1830">
        <v>0</v>
      </c>
      <c r="AM1830">
        <v>0</v>
      </c>
      <c r="AN1830">
        <v>0</v>
      </c>
      <c r="AO1830">
        <v>0</v>
      </c>
      <c r="AQ1830">
        <v>0</v>
      </c>
      <c r="AR1830">
        <v>0</v>
      </c>
      <c r="AT1830">
        <v>0</v>
      </c>
      <c r="AU1830">
        <v>0</v>
      </c>
      <c r="AW1830">
        <v>0</v>
      </c>
      <c r="AX1830">
        <v>0</v>
      </c>
      <c r="AY1830">
        <v>70</v>
      </c>
      <c r="BC1830" t="str">
        <f>T("9791166003493")</f>
        <v>9791166003493</v>
      </c>
      <c r="BE1830" t="str">
        <f>T("판타지 웹소설 &gt; 현대 판타지")</f>
        <v>판타지 웹소설 &gt; 현대 판타지</v>
      </c>
    </row>
    <row r="1831" spans="1:57" x14ac:dyDescent="0.3">
      <c r="A1831">
        <v>1525008545</v>
      </c>
      <c r="B1831">
        <v>1525008540</v>
      </c>
      <c r="C1831" t="str">
        <f>T("소년연애담 15화")</f>
        <v>소년연애담 15화</v>
      </c>
      <c r="D1831" t="str">
        <f>T("15")</f>
        <v>15</v>
      </c>
      <c r="E1831" t="str">
        <f>T("나나코")</f>
        <v>나나코</v>
      </c>
      <c r="H1831" t="str">
        <f>T("블러쉬")</f>
        <v>블러쉬</v>
      </c>
      <c r="I1831" t="str">
        <f>T("소년연애담")</f>
        <v>소년연애담</v>
      </c>
      <c r="J1831">
        <v>100</v>
      </c>
      <c r="K1831">
        <v>100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100</v>
      </c>
      <c r="AH1831">
        <v>1</v>
      </c>
      <c r="AI1831">
        <v>0</v>
      </c>
      <c r="AJ1831">
        <v>0</v>
      </c>
      <c r="AK1831">
        <v>100</v>
      </c>
      <c r="AL1831">
        <v>0</v>
      </c>
      <c r="AM1831">
        <v>0</v>
      </c>
      <c r="AN1831">
        <v>0</v>
      </c>
      <c r="AO1831">
        <v>0</v>
      </c>
      <c r="AQ1831">
        <v>0</v>
      </c>
      <c r="AR1831">
        <v>0</v>
      </c>
      <c r="AT1831">
        <v>0</v>
      </c>
      <c r="AU1831">
        <v>0</v>
      </c>
      <c r="AW1831">
        <v>0</v>
      </c>
      <c r="AX1831">
        <v>0</v>
      </c>
      <c r="AY1831">
        <v>70</v>
      </c>
      <c r="BA1831" t="str">
        <f>T("0000000000000")</f>
        <v>0000000000000</v>
      </c>
      <c r="BC1831" t="str">
        <f>T("9791164890729")</f>
        <v>9791164890729</v>
      </c>
      <c r="BD1831" t="str">
        <f>T("B12")</f>
        <v>B12</v>
      </c>
      <c r="BE1831" t="str">
        <f>T("BL 웹소설 &gt; 현대물")</f>
        <v>BL 웹소설 &gt; 현대물</v>
      </c>
    </row>
    <row r="1832" spans="1:57" x14ac:dyDescent="0.3">
      <c r="A1832">
        <v>1525008428</v>
      </c>
      <c r="B1832">
        <v>1525008490</v>
      </c>
      <c r="C1832" t="str">
        <f>T("무히비(Muhibbi) 76화")</f>
        <v>무히비(Muhibbi) 76화</v>
      </c>
      <c r="D1832" t="str">
        <f>T("76")</f>
        <v>76</v>
      </c>
      <c r="E1832" t="str">
        <f>T("jooki")</f>
        <v>jooki</v>
      </c>
      <c r="H1832" t="str">
        <f>T("블러쉬")</f>
        <v>블러쉬</v>
      </c>
      <c r="I1832" t="str">
        <f>T("무히비(Muhibbi)")</f>
        <v>무히비(Muhibbi)</v>
      </c>
      <c r="J1832">
        <v>100</v>
      </c>
      <c r="K1832">
        <v>100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100</v>
      </c>
      <c r="AH1832">
        <v>1</v>
      </c>
      <c r="AI1832">
        <v>0</v>
      </c>
      <c r="AJ1832">
        <v>0</v>
      </c>
      <c r="AK1832">
        <v>100</v>
      </c>
      <c r="AL1832">
        <v>0</v>
      </c>
      <c r="AM1832">
        <v>0</v>
      </c>
      <c r="AN1832">
        <v>0</v>
      </c>
      <c r="AO1832">
        <v>0</v>
      </c>
      <c r="AQ1832">
        <v>0</v>
      </c>
      <c r="AR1832">
        <v>0</v>
      </c>
      <c r="AT1832">
        <v>0</v>
      </c>
      <c r="AU1832">
        <v>0</v>
      </c>
      <c r="AW1832">
        <v>0</v>
      </c>
      <c r="AX1832">
        <v>0</v>
      </c>
      <c r="AY1832">
        <v>70</v>
      </c>
      <c r="BC1832" t="str">
        <f>T("9791164896622")</f>
        <v>9791164896622</v>
      </c>
      <c r="BE1832" t="str">
        <f>T("BL 웹소설 &gt; 역사/시대물")</f>
        <v>BL 웹소설 &gt; 역사/시대물</v>
      </c>
    </row>
    <row r="1833" spans="1:57" x14ac:dyDescent="0.3">
      <c r="A1833">
        <v>1525012551</v>
      </c>
      <c r="B1833">
        <v>1525012605</v>
      </c>
      <c r="C1833" t="str">
        <f>T("개정판 | 바보가 만드는 멋진 세상 55화")</f>
        <v>개정판 | 바보가 만드는 멋진 세상 55화</v>
      </c>
      <c r="D1833" t="str">
        <f>T("55")</f>
        <v>55</v>
      </c>
      <c r="E1833" t="str">
        <f>T("백범(白帆)")</f>
        <v>백범(白帆)</v>
      </c>
      <c r="H1833" t="str">
        <f>T("에필로그")</f>
        <v>에필로그</v>
      </c>
      <c r="I1833" t="str">
        <f>T("개정판 | 바보가 만드는 멋진 세상")</f>
        <v>개정판 | 바보가 만드는 멋진 세상</v>
      </c>
      <c r="J1833">
        <v>100</v>
      </c>
      <c r="K1833">
        <v>100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100</v>
      </c>
      <c r="AH1833">
        <v>1</v>
      </c>
      <c r="AI1833">
        <v>0</v>
      </c>
      <c r="AJ1833">
        <v>0</v>
      </c>
      <c r="AK1833">
        <v>100</v>
      </c>
      <c r="AL1833">
        <v>0</v>
      </c>
      <c r="AM1833">
        <v>0</v>
      </c>
      <c r="AN1833">
        <v>0</v>
      </c>
      <c r="AO1833">
        <v>0</v>
      </c>
      <c r="AQ1833">
        <v>0</v>
      </c>
      <c r="AR1833">
        <v>0</v>
      </c>
      <c r="AT1833">
        <v>0</v>
      </c>
      <c r="AU1833">
        <v>0</v>
      </c>
      <c r="AW1833">
        <v>0</v>
      </c>
      <c r="AX1833">
        <v>0</v>
      </c>
      <c r="AY1833">
        <v>70</v>
      </c>
      <c r="BC1833" t="str">
        <f>T("9791166003493")</f>
        <v>9791166003493</v>
      </c>
      <c r="BE1833" t="str">
        <f>T("판타지 웹소설 &gt; 현대 판타지")</f>
        <v>판타지 웹소설 &gt; 현대 판타지</v>
      </c>
    </row>
    <row r="1834" spans="1:57" x14ac:dyDescent="0.3">
      <c r="A1834">
        <v>1525004799</v>
      </c>
      <c r="B1834">
        <v>1525004955</v>
      </c>
      <c r="C1834" t="str">
        <f>T("검산도해 157화")</f>
        <v>검산도해 157화</v>
      </c>
      <c r="D1834" t="str">
        <f>T("157")</f>
        <v>157</v>
      </c>
      <c r="E1834" t="str">
        <f>T("권용찬")</f>
        <v>권용찬</v>
      </c>
      <c r="H1834" t="str">
        <f>T("스토리위즈")</f>
        <v>스토리위즈</v>
      </c>
      <c r="I1834" t="str">
        <f>T("검산도해")</f>
        <v>검산도해</v>
      </c>
      <c r="J1834">
        <v>100</v>
      </c>
      <c r="K1834">
        <v>100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100</v>
      </c>
      <c r="AH1834">
        <v>1</v>
      </c>
      <c r="AI1834">
        <v>0</v>
      </c>
      <c r="AJ1834">
        <v>0</v>
      </c>
      <c r="AK1834">
        <v>0</v>
      </c>
      <c r="AL1834">
        <v>0</v>
      </c>
      <c r="AM1834">
        <v>120</v>
      </c>
      <c r="AN1834">
        <v>-12</v>
      </c>
      <c r="AO1834">
        <v>0</v>
      </c>
      <c r="AQ1834">
        <v>0</v>
      </c>
      <c r="AR1834">
        <v>0</v>
      </c>
      <c r="AS1834">
        <v>120</v>
      </c>
      <c r="AT1834">
        <v>-12</v>
      </c>
      <c r="AU1834">
        <v>0</v>
      </c>
      <c r="AW1834">
        <v>0</v>
      </c>
      <c r="AX1834">
        <v>0</v>
      </c>
      <c r="AY1834">
        <v>75.599999999999994</v>
      </c>
      <c r="BC1834" t="str">
        <f>T("9791159285936")</f>
        <v>9791159285936</v>
      </c>
      <c r="BE1834" t="str">
        <f>T("판타지 웹소설 &gt; 무협 소설")</f>
        <v>판타지 웹소설 &gt; 무협 소설</v>
      </c>
    </row>
    <row r="1835" spans="1:57" x14ac:dyDescent="0.3">
      <c r="A1835">
        <v>1525004030</v>
      </c>
      <c r="B1835">
        <v>1525007044</v>
      </c>
      <c r="C1835" t="str">
        <f>T("회귀의 전설 2부 928화")</f>
        <v>회귀의 전설 2부 928화</v>
      </c>
      <c r="D1835" t="str">
        <f>T("928")</f>
        <v>928</v>
      </c>
      <c r="E1835" t="str">
        <f>T("김광수")</f>
        <v>김광수</v>
      </c>
      <c r="H1835" t="str">
        <f>T("스토리위즈")</f>
        <v>스토리위즈</v>
      </c>
      <c r="I1835" t="str">
        <f>T("회귀의 전설")</f>
        <v>회귀의 전설</v>
      </c>
      <c r="J1835">
        <v>100</v>
      </c>
      <c r="K1835">
        <v>100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100</v>
      </c>
      <c r="AH1835">
        <v>1</v>
      </c>
      <c r="AI1835">
        <v>0</v>
      </c>
      <c r="AJ1835">
        <v>0</v>
      </c>
      <c r="AK1835">
        <v>100</v>
      </c>
      <c r="AL1835">
        <v>0</v>
      </c>
      <c r="AM1835">
        <v>0</v>
      </c>
      <c r="AN1835">
        <v>0</v>
      </c>
      <c r="AO1835">
        <v>0</v>
      </c>
      <c r="AQ1835">
        <v>0</v>
      </c>
      <c r="AR1835">
        <v>0</v>
      </c>
      <c r="AT1835">
        <v>0</v>
      </c>
      <c r="AU1835">
        <v>0</v>
      </c>
      <c r="AW1835">
        <v>0</v>
      </c>
      <c r="AX1835">
        <v>0</v>
      </c>
      <c r="AY1835">
        <v>70</v>
      </c>
      <c r="BC1835" t="str">
        <f>T("9791191102086")</f>
        <v>9791191102086</v>
      </c>
      <c r="BE1835" t="str">
        <f>T("판타지 웹소설 &gt; 현대 판타지")</f>
        <v>판타지 웹소설 &gt; 현대 판타지</v>
      </c>
    </row>
    <row r="1836" spans="1:57" x14ac:dyDescent="0.3">
      <c r="A1836">
        <v>1525013020</v>
      </c>
      <c r="B1836">
        <v>1525013085</v>
      </c>
      <c r="C1836" t="str">
        <f>T("악당의 리턴 66화")</f>
        <v>악당의 리턴 66화</v>
      </c>
      <c r="D1836" t="str">
        <f>T("66")</f>
        <v>66</v>
      </c>
      <c r="E1836" t="str">
        <f>T("백범(白帆)")</f>
        <v>백범(白帆)</v>
      </c>
      <c r="H1836" t="str">
        <f>T("에필로그")</f>
        <v>에필로그</v>
      </c>
      <c r="I1836" t="str">
        <f>T("악당의 리턴")</f>
        <v>악당의 리턴</v>
      </c>
      <c r="J1836">
        <v>100</v>
      </c>
      <c r="K1836">
        <v>100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100</v>
      </c>
      <c r="AH1836">
        <v>1</v>
      </c>
      <c r="AI1836">
        <v>0</v>
      </c>
      <c r="AJ1836">
        <v>0</v>
      </c>
      <c r="AK1836">
        <v>100</v>
      </c>
      <c r="AL1836">
        <v>0</v>
      </c>
      <c r="AM1836">
        <v>0</v>
      </c>
      <c r="AN1836">
        <v>0</v>
      </c>
      <c r="AO1836">
        <v>0</v>
      </c>
      <c r="AQ1836">
        <v>0</v>
      </c>
      <c r="AR1836">
        <v>0</v>
      </c>
      <c r="AT1836">
        <v>0</v>
      </c>
      <c r="AU1836">
        <v>0</v>
      </c>
      <c r="AW1836">
        <v>0</v>
      </c>
      <c r="AX1836">
        <v>0</v>
      </c>
      <c r="AY1836">
        <v>70</v>
      </c>
      <c r="BC1836" t="str">
        <f>T("9791196538927")</f>
        <v>9791196538927</v>
      </c>
      <c r="BE1836" t="str">
        <f>T("판타지 웹소설 &gt; 현대 판타지")</f>
        <v>판타지 웹소설 &gt; 현대 판타지</v>
      </c>
    </row>
    <row r="1837" spans="1:57" x14ac:dyDescent="0.3">
      <c r="A1837">
        <v>1525004030</v>
      </c>
      <c r="B1837">
        <v>1525007186</v>
      </c>
      <c r="C1837" t="str">
        <f>T("회귀의 전설 2부 1069화")</f>
        <v>회귀의 전설 2부 1069화</v>
      </c>
      <c r="D1837" t="str">
        <f>T("1069")</f>
        <v>1069</v>
      </c>
      <c r="E1837" t="str">
        <f>T("김광수")</f>
        <v>김광수</v>
      </c>
      <c r="H1837" t="str">
        <f>T("스토리위즈")</f>
        <v>스토리위즈</v>
      </c>
      <c r="I1837" t="str">
        <f>T("회귀의 전설")</f>
        <v>회귀의 전설</v>
      </c>
      <c r="J1837">
        <v>100</v>
      </c>
      <c r="K1837">
        <v>100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100</v>
      </c>
      <c r="AH1837">
        <v>1</v>
      </c>
      <c r="AI1837">
        <v>0</v>
      </c>
      <c r="AJ1837">
        <v>0</v>
      </c>
      <c r="AK1837">
        <v>100</v>
      </c>
      <c r="AL1837">
        <v>0</v>
      </c>
      <c r="AM1837">
        <v>0</v>
      </c>
      <c r="AN1837">
        <v>0</v>
      </c>
      <c r="AO1837">
        <v>0</v>
      </c>
      <c r="AQ1837">
        <v>0</v>
      </c>
      <c r="AR1837">
        <v>0</v>
      </c>
      <c r="AT1837">
        <v>0</v>
      </c>
      <c r="AU1837">
        <v>0</v>
      </c>
      <c r="AW1837">
        <v>0</v>
      </c>
      <c r="AX1837">
        <v>0</v>
      </c>
      <c r="AY1837">
        <v>70</v>
      </c>
      <c r="BC1837" t="str">
        <f>T("9791191102086")</f>
        <v>9791191102086</v>
      </c>
      <c r="BE1837" t="str">
        <f>T("판타지 웹소설 &gt; 현대 판타지")</f>
        <v>판타지 웹소설 &gt; 현대 판타지</v>
      </c>
    </row>
    <row r="1838" spans="1:57" x14ac:dyDescent="0.3">
      <c r="A1838">
        <v>1525008545</v>
      </c>
      <c r="B1838">
        <v>1525008572</v>
      </c>
      <c r="C1838" t="str">
        <f>T("소년연애담 44화")</f>
        <v>소년연애담 44화</v>
      </c>
      <c r="D1838" t="str">
        <f>T("44")</f>
        <v>44</v>
      </c>
      <c r="E1838" t="str">
        <f>T("나나코")</f>
        <v>나나코</v>
      </c>
      <c r="H1838" t="str">
        <f>T("블러쉬")</f>
        <v>블러쉬</v>
      </c>
      <c r="I1838" t="str">
        <f>T("소년연애담")</f>
        <v>소년연애담</v>
      </c>
      <c r="J1838">
        <v>100</v>
      </c>
      <c r="K1838">
        <v>100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100</v>
      </c>
      <c r="AH1838">
        <v>1</v>
      </c>
      <c r="AI1838">
        <v>0</v>
      </c>
      <c r="AJ1838">
        <v>0</v>
      </c>
      <c r="AK1838">
        <v>100</v>
      </c>
      <c r="AL1838">
        <v>0</v>
      </c>
      <c r="AM1838">
        <v>0</v>
      </c>
      <c r="AN1838">
        <v>0</v>
      </c>
      <c r="AO1838">
        <v>0</v>
      </c>
      <c r="AQ1838">
        <v>0</v>
      </c>
      <c r="AR1838">
        <v>0</v>
      </c>
      <c r="AT1838">
        <v>0</v>
      </c>
      <c r="AU1838">
        <v>0</v>
      </c>
      <c r="AW1838">
        <v>0</v>
      </c>
      <c r="AX1838">
        <v>0</v>
      </c>
      <c r="AY1838">
        <v>70</v>
      </c>
      <c r="BA1838" t="str">
        <f>T("0000000000000")</f>
        <v>0000000000000</v>
      </c>
      <c r="BC1838" t="str">
        <f>T("9791164890729")</f>
        <v>9791164890729</v>
      </c>
      <c r="BD1838" t="str">
        <f>T("B12")</f>
        <v>B12</v>
      </c>
      <c r="BE1838" t="str">
        <f>T("BL 웹소설 &gt; 현대물")</f>
        <v>BL 웹소설 &gt; 현대물</v>
      </c>
    </row>
    <row r="1839" spans="1:57" x14ac:dyDescent="0.3">
      <c r="A1839">
        <v>1525012551</v>
      </c>
      <c r="B1839">
        <v>1525012646</v>
      </c>
      <c r="C1839" t="str">
        <f>T("개정판 | 바보가 만드는 멋진 세상 96화")</f>
        <v>개정판 | 바보가 만드는 멋진 세상 96화</v>
      </c>
      <c r="D1839" t="str">
        <f>T("96")</f>
        <v>96</v>
      </c>
      <c r="E1839" t="str">
        <f>T("백범(白帆)")</f>
        <v>백범(白帆)</v>
      </c>
      <c r="H1839" t="str">
        <f>T("에필로그")</f>
        <v>에필로그</v>
      </c>
      <c r="I1839" t="str">
        <f>T("개정판 | 바보가 만드는 멋진 세상")</f>
        <v>개정판 | 바보가 만드는 멋진 세상</v>
      </c>
      <c r="J1839">
        <v>100</v>
      </c>
      <c r="K1839">
        <v>100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100</v>
      </c>
      <c r="AH1839">
        <v>1</v>
      </c>
      <c r="AI1839">
        <v>0</v>
      </c>
      <c r="AJ1839">
        <v>0</v>
      </c>
      <c r="AK1839">
        <v>100</v>
      </c>
      <c r="AL1839">
        <v>0</v>
      </c>
      <c r="AM1839">
        <v>0</v>
      </c>
      <c r="AN1839">
        <v>0</v>
      </c>
      <c r="AO1839">
        <v>0</v>
      </c>
      <c r="AQ1839">
        <v>0</v>
      </c>
      <c r="AR1839">
        <v>0</v>
      </c>
      <c r="AT1839">
        <v>0</v>
      </c>
      <c r="AU1839">
        <v>0</v>
      </c>
      <c r="AW1839">
        <v>0</v>
      </c>
      <c r="AX1839">
        <v>0</v>
      </c>
      <c r="AY1839">
        <v>70</v>
      </c>
      <c r="BC1839" t="str">
        <f>T("9791166003493")</f>
        <v>9791166003493</v>
      </c>
      <c r="BE1839" t="str">
        <f>T("판타지 웹소설 &gt; 현대 판타지")</f>
        <v>판타지 웹소설 &gt; 현대 판타지</v>
      </c>
    </row>
    <row r="1840" spans="1:57" x14ac:dyDescent="0.3">
      <c r="A1840">
        <v>1525004799</v>
      </c>
      <c r="B1840">
        <v>1525004874</v>
      </c>
      <c r="C1840" t="str">
        <f>T("검산도해 76화")</f>
        <v>검산도해 76화</v>
      </c>
      <c r="D1840" t="str">
        <f>T("76")</f>
        <v>76</v>
      </c>
      <c r="E1840" t="str">
        <f>T("권용찬")</f>
        <v>권용찬</v>
      </c>
      <c r="H1840" t="str">
        <f>T("스토리위즈")</f>
        <v>스토리위즈</v>
      </c>
      <c r="I1840" t="str">
        <f>T("검산도해")</f>
        <v>검산도해</v>
      </c>
      <c r="J1840">
        <v>100</v>
      </c>
      <c r="K1840">
        <v>100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100</v>
      </c>
      <c r="AH1840">
        <v>1</v>
      </c>
      <c r="AI1840">
        <v>0</v>
      </c>
      <c r="AJ1840">
        <v>0</v>
      </c>
      <c r="AK1840">
        <v>0</v>
      </c>
      <c r="AL1840">
        <v>0</v>
      </c>
      <c r="AM1840">
        <v>120</v>
      </c>
      <c r="AN1840">
        <v>-12</v>
      </c>
      <c r="AO1840">
        <v>0</v>
      </c>
      <c r="AQ1840">
        <v>0</v>
      </c>
      <c r="AR1840">
        <v>0</v>
      </c>
      <c r="AS1840">
        <v>120</v>
      </c>
      <c r="AT1840">
        <v>-12</v>
      </c>
      <c r="AU1840">
        <v>0</v>
      </c>
      <c r="AW1840">
        <v>0</v>
      </c>
      <c r="AX1840">
        <v>0</v>
      </c>
      <c r="AY1840">
        <v>75.599999999999994</v>
      </c>
      <c r="BC1840" t="str">
        <f>T("9791159285936")</f>
        <v>9791159285936</v>
      </c>
      <c r="BE1840" t="str">
        <f>T("판타지 웹소설 &gt; 무협 소설")</f>
        <v>판타지 웹소설 &gt; 무협 소설</v>
      </c>
    </row>
    <row r="1841" spans="1:57" x14ac:dyDescent="0.3">
      <c r="A1841">
        <v>1525000924</v>
      </c>
      <c r="B1841">
        <v>1525000970</v>
      </c>
      <c r="C1841" t="str">
        <f>T("스피릿 소드 47화")</f>
        <v>스피릿 소드 47화</v>
      </c>
      <c r="D1841" t="str">
        <f>T("47")</f>
        <v>47</v>
      </c>
      <c r="E1841" t="str">
        <f>T("김정률")</f>
        <v>김정률</v>
      </c>
      <c r="H1841" t="str">
        <f>T("스토리위즈")</f>
        <v>스토리위즈</v>
      </c>
      <c r="I1841" t="str">
        <f>T("스피릿 소드")</f>
        <v>스피릿 소드</v>
      </c>
      <c r="J1841">
        <v>100</v>
      </c>
      <c r="K1841">
        <v>100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100</v>
      </c>
      <c r="AH1841">
        <v>1</v>
      </c>
      <c r="AI1841">
        <v>0</v>
      </c>
      <c r="AJ1841">
        <v>0</v>
      </c>
      <c r="AK1841">
        <v>100</v>
      </c>
      <c r="AL1841">
        <v>0</v>
      </c>
      <c r="AM1841">
        <v>0</v>
      </c>
      <c r="AN1841">
        <v>0</v>
      </c>
      <c r="AO1841">
        <v>0</v>
      </c>
      <c r="AQ1841">
        <v>0</v>
      </c>
      <c r="AR1841">
        <v>0</v>
      </c>
      <c r="AT1841">
        <v>0</v>
      </c>
      <c r="AU1841">
        <v>0</v>
      </c>
      <c r="AW1841">
        <v>0</v>
      </c>
      <c r="AX1841">
        <v>0</v>
      </c>
      <c r="AY1841">
        <v>70</v>
      </c>
      <c r="BA1841" t="str">
        <f>T("9791159282713")</f>
        <v>9791159282713</v>
      </c>
      <c r="BC1841" t="str">
        <f>T("9791159282713")</f>
        <v>9791159282713</v>
      </c>
      <c r="BE1841" t="str">
        <f>T("판타지 웹소설 &gt; 정통 판타지")</f>
        <v>판타지 웹소설 &gt; 정통 판타지</v>
      </c>
    </row>
    <row r="1842" spans="1:57" x14ac:dyDescent="0.3">
      <c r="A1842">
        <v>1525004030</v>
      </c>
      <c r="B1842">
        <v>1525007061</v>
      </c>
      <c r="C1842" t="str">
        <f>T("회귀의 전설 2부 945화")</f>
        <v>회귀의 전설 2부 945화</v>
      </c>
      <c r="D1842" t="str">
        <f>T("945")</f>
        <v>945</v>
      </c>
      <c r="E1842" t="str">
        <f>T("김광수")</f>
        <v>김광수</v>
      </c>
      <c r="H1842" t="str">
        <f>T("스토리위즈")</f>
        <v>스토리위즈</v>
      </c>
      <c r="I1842" t="str">
        <f>T("회귀의 전설")</f>
        <v>회귀의 전설</v>
      </c>
      <c r="J1842">
        <v>100</v>
      </c>
      <c r="K1842">
        <v>100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100</v>
      </c>
      <c r="AH1842">
        <v>1</v>
      </c>
      <c r="AI1842">
        <v>0</v>
      </c>
      <c r="AJ1842">
        <v>0</v>
      </c>
      <c r="AK1842">
        <v>100</v>
      </c>
      <c r="AL1842">
        <v>0</v>
      </c>
      <c r="AM1842">
        <v>0</v>
      </c>
      <c r="AN1842">
        <v>0</v>
      </c>
      <c r="AO1842">
        <v>0</v>
      </c>
      <c r="AQ1842">
        <v>0</v>
      </c>
      <c r="AR1842">
        <v>0</v>
      </c>
      <c r="AT1842">
        <v>0</v>
      </c>
      <c r="AU1842">
        <v>0</v>
      </c>
      <c r="AW1842">
        <v>0</v>
      </c>
      <c r="AX1842">
        <v>0</v>
      </c>
      <c r="AY1842">
        <v>70</v>
      </c>
      <c r="BC1842" t="str">
        <f>T("9791191102086")</f>
        <v>9791191102086</v>
      </c>
      <c r="BE1842" t="str">
        <f>T("판타지 웹소설 &gt; 현대 판타지")</f>
        <v>판타지 웹소설 &gt; 현대 판타지</v>
      </c>
    </row>
    <row r="1843" spans="1:57" x14ac:dyDescent="0.3">
      <c r="A1843">
        <v>1525004030</v>
      </c>
      <c r="B1843">
        <v>1525004532</v>
      </c>
      <c r="C1843" t="str">
        <f>T("회귀의 전설 509화")</f>
        <v>회귀의 전설 509화</v>
      </c>
      <c r="D1843" t="str">
        <f>T("509")</f>
        <v>509</v>
      </c>
      <c r="E1843" t="str">
        <f>T("김광수")</f>
        <v>김광수</v>
      </c>
      <c r="H1843" t="str">
        <f>T("스토리위즈")</f>
        <v>스토리위즈</v>
      </c>
      <c r="I1843" t="str">
        <f>T("회귀의 전설")</f>
        <v>회귀의 전설</v>
      </c>
      <c r="J1843">
        <v>100</v>
      </c>
      <c r="K1843">
        <v>100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100</v>
      </c>
      <c r="AH1843">
        <v>1</v>
      </c>
      <c r="AI1843">
        <v>0</v>
      </c>
      <c r="AJ1843">
        <v>0</v>
      </c>
      <c r="AK1843">
        <v>100</v>
      </c>
      <c r="AL1843">
        <v>0</v>
      </c>
      <c r="AM1843">
        <v>0</v>
      </c>
      <c r="AN1843">
        <v>0</v>
      </c>
      <c r="AO1843">
        <v>0</v>
      </c>
      <c r="AQ1843">
        <v>0</v>
      </c>
      <c r="AR1843">
        <v>0</v>
      </c>
      <c r="AT1843">
        <v>0</v>
      </c>
      <c r="AU1843">
        <v>0</v>
      </c>
      <c r="AW1843">
        <v>0</v>
      </c>
      <c r="AX1843">
        <v>0</v>
      </c>
      <c r="AY1843">
        <v>70</v>
      </c>
      <c r="BC1843" t="str">
        <f>T("9788997946006")</f>
        <v>9788997946006</v>
      </c>
      <c r="BE1843" t="str">
        <f>T("판타지 웹소설 &gt; 현대 판타지")</f>
        <v>판타지 웹소설 &gt; 현대 판타지</v>
      </c>
    </row>
    <row r="1844" spans="1:57" x14ac:dyDescent="0.3">
      <c r="A1844">
        <v>1525014780</v>
      </c>
      <c r="B1844">
        <v>1525014932</v>
      </c>
      <c r="C1844" t="str">
        <f>T("크랭키 걸즈 153화")</f>
        <v>크랭키 걸즈 153화</v>
      </c>
      <c r="D1844" t="str">
        <f>T("153")</f>
        <v>153</v>
      </c>
      <c r="E1844" t="str">
        <f>T("곽도우")</f>
        <v>곽도우</v>
      </c>
      <c r="H1844" t="str">
        <f>T("스토리아크")</f>
        <v>스토리아크</v>
      </c>
      <c r="I1844" t="str">
        <f>T("크랭키 걸즈")</f>
        <v>크랭키 걸즈</v>
      </c>
      <c r="J1844">
        <v>100</v>
      </c>
      <c r="K1844">
        <v>100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100</v>
      </c>
      <c r="AH1844">
        <v>1</v>
      </c>
      <c r="AI1844">
        <v>0</v>
      </c>
      <c r="AJ1844">
        <v>0</v>
      </c>
      <c r="AK1844">
        <v>100</v>
      </c>
      <c r="AL1844">
        <v>0</v>
      </c>
      <c r="AM1844">
        <v>0</v>
      </c>
      <c r="AN1844">
        <v>0</v>
      </c>
      <c r="AO1844">
        <v>0</v>
      </c>
      <c r="AQ1844">
        <v>0</v>
      </c>
      <c r="AR1844">
        <v>0</v>
      </c>
      <c r="AT1844">
        <v>0</v>
      </c>
      <c r="AU1844">
        <v>0</v>
      </c>
      <c r="AW1844">
        <v>0</v>
      </c>
      <c r="AX1844">
        <v>0</v>
      </c>
      <c r="AY1844">
        <v>70</v>
      </c>
      <c r="BC1844" t="str">
        <f>T("9791191039276")</f>
        <v>9791191039276</v>
      </c>
      <c r="BE1844" t="str">
        <f>T("판타지 웹소설 &gt; 현대 판타지")</f>
        <v>판타지 웹소설 &gt; 현대 판타지</v>
      </c>
    </row>
    <row r="1845" spans="1:57" x14ac:dyDescent="0.3">
      <c r="A1845">
        <v>1525008545</v>
      </c>
      <c r="B1845">
        <v>1525008589</v>
      </c>
      <c r="C1845" t="str">
        <f>T("소년연애담 5화")</f>
        <v>소년연애담 5화</v>
      </c>
      <c r="D1845" t="str">
        <f>T("5")</f>
        <v>5</v>
      </c>
      <c r="E1845" t="str">
        <f>T("나나코")</f>
        <v>나나코</v>
      </c>
      <c r="H1845" t="str">
        <f>T("블러쉬")</f>
        <v>블러쉬</v>
      </c>
      <c r="I1845" t="str">
        <f>T("소년연애담")</f>
        <v>소년연애담</v>
      </c>
      <c r="J1845">
        <v>100</v>
      </c>
      <c r="K1845">
        <v>100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100</v>
      </c>
      <c r="AH1845">
        <v>1</v>
      </c>
      <c r="AI1845">
        <v>0</v>
      </c>
      <c r="AJ1845">
        <v>0</v>
      </c>
      <c r="AK1845">
        <v>100</v>
      </c>
      <c r="AL1845">
        <v>0</v>
      </c>
      <c r="AM1845">
        <v>0</v>
      </c>
      <c r="AN1845">
        <v>0</v>
      </c>
      <c r="AO1845">
        <v>0</v>
      </c>
      <c r="AQ1845">
        <v>0</v>
      </c>
      <c r="AR1845">
        <v>0</v>
      </c>
      <c r="AT1845">
        <v>0</v>
      </c>
      <c r="AU1845">
        <v>0</v>
      </c>
      <c r="AW1845">
        <v>0</v>
      </c>
      <c r="AX1845">
        <v>0</v>
      </c>
      <c r="AY1845">
        <v>70</v>
      </c>
      <c r="BA1845" t="str">
        <f>T("0000000000000")</f>
        <v>0000000000000</v>
      </c>
      <c r="BC1845" t="str">
        <f>T("9791164890729")</f>
        <v>9791164890729</v>
      </c>
      <c r="BD1845" t="str">
        <f>T("B12")</f>
        <v>B12</v>
      </c>
      <c r="BE1845" t="str">
        <f>T("BL 웹소설 &gt; 현대물")</f>
        <v>BL 웹소설 &gt; 현대물</v>
      </c>
    </row>
    <row r="1846" spans="1:57" x14ac:dyDescent="0.3">
      <c r="A1846">
        <v>1525012551</v>
      </c>
      <c r="B1846">
        <v>1525012678</v>
      </c>
      <c r="C1846" t="str">
        <f>T("개정판 | 바보가 만드는 멋진 세상 128화")</f>
        <v>개정판 | 바보가 만드는 멋진 세상 128화</v>
      </c>
      <c r="D1846" t="str">
        <f>T("128")</f>
        <v>128</v>
      </c>
      <c r="E1846" t="str">
        <f>T("백범(白帆)")</f>
        <v>백범(白帆)</v>
      </c>
      <c r="H1846" t="str">
        <f>T("에필로그")</f>
        <v>에필로그</v>
      </c>
      <c r="I1846" t="str">
        <f>T("개정판 | 바보가 만드는 멋진 세상")</f>
        <v>개정판 | 바보가 만드는 멋진 세상</v>
      </c>
      <c r="J1846">
        <v>100</v>
      </c>
      <c r="K1846">
        <v>100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100</v>
      </c>
      <c r="AH1846">
        <v>1</v>
      </c>
      <c r="AI1846">
        <v>0</v>
      </c>
      <c r="AJ1846">
        <v>0</v>
      </c>
      <c r="AK1846">
        <v>100</v>
      </c>
      <c r="AL1846">
        <v>0</v>
      </c>
      <c r="AM1846">
        <v>0</v>
      </c>
      <c r="AN1846">
        <v>0</v>
      </c>
      <c r="AO1846">
        <v>0</v>
      </c>
      <c r="AQ1846">
        <v>0</v>
      </c>
      <c r="AR1846">
        <v>0</v>
      </c>
      <c r="AT1846">
        <v>0</v>
      </c>
      <c r="AU1846">
        <v>0</v>
      </c>
      <c r="AW1846">
        <v>0</v>
      </c>
      <c r="AX1846">
        <v>0</v>
      </c>
      <c r="AY1846">
        <v>70</v>
      </c>
      <c r="BC1846" t="str">
        <f>T("9791166003493")</f>
        <v>9791166003493</v>
      </c>
      <c r="BE1846" t="str">
        <f>T("판타지 웹소설 &gt; 현대 판타지")</f>
        <v>판타지 웹소설 &gt; 현대 판타지</v>
      </c>
    </row>
    <row r="1847" spans="1:57" x14ac:dyDescent="0.3">
      <c r="A1847">
        <v>1525004799</v>
      </c>
      <c r="B1847">
        <v>1525004849</v>
      </c>
      <c r="C1847" t="str">
        <f>T("검산도해 51화")</f>
        <v>검산도해 51화</v>
      </c>
      <c r="D1847" t="str">
        <f>T("51")</f>
        <v>51</v>
      </c>
      <c r="E1847" t="str">
        <f>T("권용찬")</f>
        <v>권용찬</v>
      </c>
      <c r="H1847" t="str">
        <f>T("스토리위즈")</f>
        <v>스토리위즈</v>
      </c>
      <c r="I1847" t="str">
        <f>T("검산도해")</f>
        <v>검산도해</v>
      </c>
      <c r="J1847">
        <v>100</v>
      </c>
      <c r="K1847">
        <v>100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100</v>
      </c>
      <c r="AH1847">
        <v>1</v>
      </c>
      <c r="AI1847">
        <v>0</v>
      </c>
      <c r="AJ1847">
        <v>0</v>
      </c>
      <c r="AK1847">
        <v>0</v>
      </c>
      <c r="AL1847">
        <v>0</v>
      </c>
      <c r="AM1847">
        <v>120</v>
      </c>
      <c r="AN1847">
        <v>-12</v>
      </c>
      <c r="AO1847">
        <v>0</v>
      </c>
      <c r="AQ1847">
        <v>0</v>
      </c>
      <c r="AR1847">
        <v>0</v>
      </c>
      <c r="AS1847">
        <v>120</v>
      </c>
      <c r="AT1847">
        <v>-12</v>
      </c>
      <c r="AU1847">
        <v>0</v>
      </c>
      <c r="AW1847">
        <v>0</v>
      </c>
      <c r="AX1847">
        <v>0</v>
      </c>
      <c r="AY1847">
        <v>75.599999999999994</v>
      </c>
      <c r="BC1847" t="str">
        <f>T("9791159285936")</f>
        <v>9791159285936</v>
      </c>
      <c r="BE1847" t="str">
        <f>T("판타지 웹소설 &gt; 무협 소설")</f>
        <v>판타지 웹소설 &gt; 무협 소설</v>
      </c>
    </row>
    <row r="1848" spans="1:57" x14ac:dyDescent="0.3">
      <c r="A1848">
        <v>1525004799</v>
      </c>
      <c r="B1848">
        <v>1525004906</v>
      </c>
      <c r="C1848" t="str">
        <f>T("검산도해 108화")</f>
        <v>검산도해 108화</v>
      </c>
      <c r="D1848" t="str">
        <f>T("108")</f>
        <v>108</v>
      </c>
      <c r="E1848" t="str">
        <f>T("권용찬")</f>
        <v>권용찬</v>
      </c>
      <c r="H1848" t="str">
        <f>T("스토리위즈")</f>
        <v>스토리위즈</v>
      </c>
      <c r="I1848" t="str">
        <f>T("검산도해")</f>
        <v>검산도해</v>
      </c>
      <c r="J1848">
        <v>100</v>
      </c>
      <c r="K1848">
        <v>100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100</v>
      </c>
      <c r="AH1848">
        <v>1</v>
      </c>
      <c r="AI1848">
        <v>0</v>
      </c>
      <c r="AJ1848">
        <v>0</v>
      </c>
      <c r="AK1848">
        <v>0</v>
      </c>
      <c r="AL1848">
        <v>0</v>
      </c>
      <c r="AM1848">
        <v>120</v>
      </c>
      <c r="AN1848">
        <v>-12</v>
      </c>
      <c r="AO1848">
        <v>0</v>
      </c>
      <c r="AQ1848">
        <v>0</v>
      </c>
      <c r="AR1848">
        <v>0</v>
      </c>
      <c r="AS1848">
        <v>120</v>
      </c>
      <c r="AT1848">
        <v>-12</v>
      </c>
      <c r="AU1848">
        <v>0</v>
      </c>
      <c r="AW1848">
        <v>0</v>
      </c>
      <c r="AX1848">
        <v>0</v>
      </c>
      <c r="AY1848">
        <v>75.599999999999994</v>
      </c>
      <c r="BC1848" t="str">
        <f>T("9791159285936")</f>
        <v>9791159285936</v>
      </c>
      <c r="BE1848" t="str">
        <f>T("판타지 웹소설 &gt; 무협 소설")</f>
        <v>판타지 웹소설 &gt; 무협 소설</v>
      </c>
    </row>
    <row r="1849" spans="1:57" x14ac:dyDescent="0.3">
      <c r="A1849">
        <v>1525004030</v>
      </c>
      <c r="B1849">
        <v>1525007093</v>
      </c>
      <c r="C1849" t="str">
        <f>T("회귀의 전설 2부 977화")</f>
        <v>회귀의 전설 2부 977화</v>
      </c>
      <c r="D1849" t="str">
        <f>T("977")</f>
        <v>977</v>
      </c>
      <c r="E1849" t="str">
        <f>T("김광수")</f>
        <v>김광수</v>
      </c>
      <c r="H1849" t="str">
        <f>T("스토리위즈")</f>
        <v>스토리위즈</v>
      </c>
      <c r="I1849" t="str">
        <f>T("회귀의 전설")</f>
        <v>회귀의 전설</v>
      </c>
      <c r="J1849">
        <v>100</v>
      </c>
      <c r="K1849">
        <v>100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100</v>
      </c>
      <c r="AH1849">
        <v>1</v>
      </c>
      <c r="AI1849">
        <v>0</v>
      </c>
      <c r="AJ1849">
        <v>0</v>
      </c>
      <c r="AK1849">
        <v>100</v>
      </c>
      <c r="AL1849">
        <v>0</v>
      </c>
      <c r="AM1849">
        <v>0</v>
      </c>
      <c r="AN1849">
        <v>0</v>
      </c>
      <c r="AO1849">
        <v>0</v>
      </c>
      <c r="AQ1849">
        <v>0</v>
      </c>
      <c r="AR1849">
        <v>0</v>
      </c>
      <c r="AT1849">
        <v>0</v>
      </c>
      <c r="AU1849">
        <v>0</v>
      </c>
      <c r="AW1849">
        <v>0</v>
      </c>
      <c r="AX1849">
        <v>0</v>
      </c>
      <c r="AY1849">
        <v>70</v>
      </c>
      <c r="BC1849" t="str">
        <f>T("9791191102086")</f>
        <v>9791191102086</v>
      </c>
      <c r="BE1849" t="str">
        <f>T("판타지 웹소설 &gt; 현대 판타지")</f>
        <v>판타지 웹소설 &gt; 현대 판타지</v>
      </c>
    </row>
    <row r="1850" spans="1:57" x14ac:dyDescent="0.3">
      <c r="A1850">
        <v>1525013020</v>
      </c>
      <c r="B1850">
        <v>1525013106</v>
      </c>
      <c r="C1850" t="str">
        <f>T("악당의 리턴 87화")</f>
        <v>악당의 리턴 87화</v>
      </c>
      <c r="D1850" t="str">
        <f>T("87")</f>
        <v>87</v>
      </c>
      <c r="E1850" t="str">
        <f>T("백범(白帆)")</f>
        <v>백범(白帆)</v>
      </c>
      <c r="H1850" t="str">
        <f>T("에필로그")</f>
        <v>에필로그</v>
      </c>
      <c r="I1850" t="str">
        <f>T("악당의 리턴")</f>
        <v>악당의 리턴</v>
      </c>
      <c r="J1850">
        <v>100</v>
      </c>
      <c r="K1850">
        <v>100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100</v>
      </c>
      <c r="AH1850">
        <v>1</v>
      </c>
      <c r="AI1850">
        <v>0</v>
      </c>
      <c r="AJ1850">
        <v>0</v>
      </c>
      <c r="AK1850">
        <v>100</v>
      </c>
      <c r="AL1850">
        <v>0</v>
      </c>
      <c r="AM1850">
        <v>0</v>
      </c>
      <c r="AN1850">
        <v>0</v>
      </c>
      <c r="AO1850">
        <v>0</v>
      </c>
      <c r="AQ1850">
        <v>0</v>
      </c>
      <c r="AR1850">
        <v>0</v>
      </c>
      <c r="AT1850">
        <v>0</v>
      </c>
      <c r="AU1850">
        <v>0</v>
      </c>
      <c r="AW1850">
        <v>0</v>
      </c>
      <c r="AX1850">
        <v>0</v>
      </c>
      <c r="AY1850">
        <v>70</v>
      </c>
      <c r="BC1850" t="str">
        <f>T("9791196538927")</f>
        <v>9791196538927</v>
      </c>
      <c r="BE1850" t="str">
        <f>T("판타지 웹소설 &gt; 현대 판타지")</f>
        <v>판타지 웹소설 &gt; 현대 판타지</v>
      </c>
    </row>
    <row r="1851" spans="1:57" x14ac:dyDescent="0.3">
      <c r="A1851">
        <v>1525007923</v>
      </c>
      <c r="B1851">
        <v>1525007989</v>
      </c>
      <c r="C1851" t="str">
        <f>T("운상연담: 화불능귀일락 7화")</f>
        <v>운상연담: 화불능귀일락 7화</v>
      </c>
      <c r="D1851" t="str">
        <f>T("7")</f>
        <v>7</v>
      </c>
      <c r="E1851" t="str">
        <f>T("피모")</f>
        <v>피모</v>
      </c>
      <c r="H1851" t="str">
        <f>T("쉬라즈")</f>
        <v>쉬라즈</v>
      </c>
      <c r="I1851" t="str">
        <f>T("운상연담: 화불능귀일락")</f>
        <v>운상연담: 화불능귀일락</v>
      </c>
      <c r="J1851">
        <v>100</v>
      </c>
      <c r="K1851">
        <v>100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100</v>
      </c>
      <c r="AH1851">
        <v>1</v>
      </c>
      <c r="AI1851">
        <v>0</v>
      </c>
      <c r="AJ1851">
        <v>0</v>
      </c>
      <c r="AK1851">
        <v>100</v>
      </c>
      <c r="AL1851">
        <v>0</v>
      </c>
      <c r="AM1851">
        <v>0</v>
      </c>
      <c r="AN1851">
        <v>0</v>
      </c>
      <c r="AO1851">
        <v>0</v>
      </c>
      <c r="AQ1851">
        <v>0</v>
      </c>
      <c r="AR1851">
        <v>0</v>
      </c>
      <c r="AT1851">
        <v>0</v>
      </c>
      <c r="AU1851">
        <v>0</v>
      </c>
      <c r="AW1851">
        <v>0</v>
      </c>
      <c r="AX1851">
        <v>0</v>
      </c>
      <c r="AY1851">
        <v>70</v>
      </c>
      <c r="BC1851" t="str">
        <f>T("9791164896646")</f>
        <v>9791164896646</v>
      </c>
      <c r="BE1851" t="str">
        <f>T("로맨스 웹소설 &gt; 역사/시대물")</f>
        <v>로맨스 웹소설 &gt; 역사/시대물</v>
      </c>
    </row>
    <row r="1852" spans="1:57" x14ac:dyDescent="0.3">
      <c r="A1852">
        <v>1525012551</v>
      </c>
      <c r="B1852">
        <v>1525012667</v>
      </c>
      <c r="C1852" t="str">
        <f>T("개정판 | 바보가 만드는 멋진 세상 117화")</f>
        <v>개정판 | 바보가 만드는 멋진 세상 117화</v>
      </c>
      <c r="D1852" t="str">
        <f>T("117")</f>
        <v>117</v>
      </c>
      <c r="E1852" t="str">
        <f>T("백범(白帆)")</f>
        <v>백범(白帆)</v>
      </c>
      <c r="H1852" t="str">
        <f>T("에필로그")</f>
        <v>에필로그</v>
      </c>
      <c r="I1852" t="str">
        <f>T("개정판 | 바보가 만드는 멋진 세상")</f>
        <v>개정판 | 바보가 만드는 멋진 세상</v>
      </c>
      <c r="J1852">
        <v>100</v>
      </c>
      <c r="K1852">
        <v>100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100</v>
      </c>
      <c r="AH1852">
        <v>1</v>
      </c>
      <c r="AI1852">
        <v>0</v>
      </c>
      <c r="AJ1852">
        <v>0</v>
      </c>
      <c r="AK1852">
        <v>100</v>
      </c>
      <c r="AL1852">
        <v>0</v>
      </c>
      <c r="AM1852">
        <v>0</v>
      </c>
      <c r="AN1852">
        <v>0</v>
      </c>
      <c r="AO1852">
        <v>0</v>
      </c>
      <c r="AQ1852">
        <v>0</v>
      </c>
      <c r="AR1852">
        <v>0</v>
      </c>
      <c r="AT1852">
        <v>0</v>
      </c>
      <c r="AU1852">
        <v>0</v>
      </c>
      <c r="AW1852">
        <v>0</v>
      </c>
      <c r="AX1852">
        <v>0</v>
      </c>
      <c r="AY1852">
        <v>70</v>
      </c>
      <c r="BC1852" t="str">
        <f>T("9791166003493")</f>
        <v>9791166003493</v>
      </c>
      <c r="BE1852" t="str">
        <f>T("판타지 웹소설 &gt; 현대 판타지")</f>
        <v>판타지 웹소설 &gt; 현대 판타지</v>
      </c>
    </row>
    <row r="1853" spans="1:57" x14ac:dyDescent="0.3">
      <c r="A1853">
        <v>1525012551</v>
      </c>
      <c r="B1853">
        <v>1525012765</v>
      </c>
      <c r="C1853" t="str">
        <f>T("개정판 | 바보가 만드는 멋진 세상 215화 (완결)")</f>
        <v>개정판 | 바보가 만드는 멋진 세상 215화 (완결)</v>
      </c>
      <c r="D1853" t="str">
        <f>T("215")</f>
        <v>215</v>
      </c>
      <c r="E1853" t="str">
        <f>T("백범(白帆)")</f>
        <v>백범(白帆)</v>
      </c>
      <c r="H1853" t="str">
        <f>T("에필로그")</f>
        <v>에필로그</v>
      </c>
      <c r="I1853" t="str">
        <f>T("개정판 | 바보가 만드는 멋진 세상")</f>
        <v>개정판 | 바보가 만드는 멋진 세상</v>
      </c>
      <c r="J1853">
        <v>100</v>
      </c>
      <c r="K1853">
        <v>100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100</v>
      </c>
      <c r="AH1853">
        <v>1</v>
      </c>
      <c r="AI1853">
        <v>0</v>
      </c>
      <c r="AJ1853">
        <v>0</v>
      </c>
      <c r="AK1853">
        <v>100</v>
      </c>
      <c r="AL1853">
        <v>0</v>
      </c>
      <c r="AM1853">
        <v>0</v>
      </c>
      <c r="AN1853">
        <v>0</v>
      </c>
      <c r="AO1853">
        <v>0</v>
      </c>
      <c r="AQ1853">
        <v>0</v>
      </c>
      <c r="AR1853">
        <v>0</v>
      </c>
      <c r="AT1853">
        <v>0</v>
      </c>
      <c r="AU1853">
        <v>0</v>
      </c>
      <c r="AW1853">
        <v>0</v>
      </c>
      <c r="AX1853">
        <v>0</v>
      </c>
      <c r="AY1853">
        <v>70</v>
      </c>
      <c r="BC1853" t="str">
        <f>T("9791166003493")</f>
        <v>9791166003493</v>
      </c>
      <c r="BE1853" t="str">
        <f>T("판타지 웹소설 &gt; 현대 판타지")</f>
        <v>판타지 웹소설 &gt; 현대 판타지</v>
      </c>
    </row>
    <row r="1854" spans="1:57" x14ac:dyDescent="0.3">
      <c r="A1854">
        <v>1525004799</v>
      </c>
      <c r="B1854">
        <v>1525004838</v>
      </c>
      <c r="C1854" t="str">
        <f>T("검산도해 40화")</f>
        <v>검산도해 40화</v>
      </c>
      <c r="D1854" t="str">
        <f>T("40")</f>
        <v>40</v>
      </c>
      <c r="E1854" t="str">
        <f>T("권용찬")</f>
        <v>권용찬</v>
      </c>
      <c r="H1854" t="str">
        <f>T("스토리위즈")</f>
        <v>스토리위즈</v>
      </c>
      <c r="I1854" t="str">
        <f>T("검산도해")</f>
        <v>검산도해</v>
      </c>
      <c r="J1854">
        <v>100</v>
      </c>
      <c r="K1854">
        <v>100</v>
      </c>
      <c r="L1854">
        <v>1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100</v>
      </c>
      <c r="AH1854">
        <v>1</v>
      </c>
      <c r="AI1854">
        <v>0</v>
      </c>
      <c r="AJ1854">
        <v>0</v>
      </c>
      <c r="AK1854">
        <v>0</v>
      </c>
      <c r="AL1854">
        <v>0</v>
      </c>
      <c r="AM1854">
        <v>120</v>
      </c>
      <c r="AN1854">
        <v>-12</v>
      </c>
      <c r="AO1854">
        <v>0</v>
      </c>
      <c r="AQ1854">
        <v>0</v>
      </c>
      <c r="AR1854">
        <v>0</v>
      </c>
      <c r="AS1854">
        <v>120</v>
      </c>
      <c r="AT1854">
        <v>-12</v>
      </c>
      <c r="AU1854">
        <v>0</v>
      </c>
      <c r="AW1854">
        <v>0</v>
      </c>
      <c r="AX1854">
        <v>0</v>
      </c>
      <c r="AY1854">
        <v>75.599999999999994</v>
      </c>
      <c r="BC1854" t="str">
        <f>T("9791159285936")</f>
        <v>9791159285936</v>
      </c>
      <c r="BE1854" t="str">
        <f>T("판타지 웹소설 &gt; 무협 소설")</f>
        <v>판타지 웹소설 &gt; 무협 소설</v>
      </c>
    </row>
    <row r="1855" spans="1:57" x14ac:dyDescent="0.3">
      <c r="A1855">
        <v>1525004799</v>
      </c>
      <c r="B1855">
        <v>1525004895</v>
      </c>
      <c r="C1855" t="str">
        <f>T("검산도해 97화")</f>
        <v>검산도해 97화</v>
      </c>
      <c r="D1855" t="str">
        <f>T("97")</f>
        <v>97</v>
      </c>
      <c r="E1855" t="str">
        <f>T("권용찬")</f>
        <v>권용찬</v>
      </c>
      <c r="H1855" t="str">
        <f>T("스토리위즈")</f>
        <v>스토리위즈</v>
      </c>
      <c r="I1855" t="str">
        <f>T("검산도해")</f>
        <v>검산도해</v>
      </c>
      <c r="J1855">
        <v>100</v>
      </c>
      <c r="K1855">
        <v>100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100</v>
      </c>
      <c r="AH1855">
        <v>1</v>
      </c>
      <c r="AI1855">
        <v>0</v>
      </c>
      <c r="AJ1855">
        <v>0</v>
      </c>
      <c r="AK1855">
        <v>0</v>
      </c>
      <c r="AL1855">
        <v>0</v>
      </c>
      <c r="AM1855">
        <v>120</v>
      </c>
      <c r="AN1855">
        <v>-12</v>
      </c>
      <c r="AO1855">
        <v>0</v>
      </c>
      <c r="AQ1855">
        <v>0</v>
      </c>
      <c r="AR1855">
        <v>0</v>
      </c>
      <c r="AS1855">
        <v>120</v>
      </c>
      <c r="AT1855">
        <v>-12</v>
      </c>
      <c r="AU1855">
        <v>0</v>
      </c>
      <c r="AW1855">
        <v>0</v>
      </c>
      <c r="AX1855">
        <v>0</v>
      </c>
      <c r="AY1855">
        <v>75.599999999999994</v>
      </c>
      <c r="BC1855" t="str">
        <f>T("9791159285936")</f>
        <v>9791159285936</v>
      </c>
      <c r="BE1855" t="str">
        <f>T("판타지 웹소설 &gt; 무협 소설")</f>
        <v>판타지 웹소설 &gt; 무협 소설</v>
      </c>
    </row>
    <row r="1856" spans="1:57" x14ac:dyDescent="0.3">
      <c r="A1856">
        <v>1525004030</v>
      </c>
      <c r="B1856">
        <v>1525007082</v>
      </c>
      <c r="C1856" t="str">
        <f>T("회귀의 전설 2부 966화")</f>
        <v>회귀의 전설 2부 966화</v>
      </c>
      <c r="D1856" t="str">
        <f>T("966")</f>
        <v>966</v>
      </c>
      <c r="E1856" t="str">
        <f>T("김광수")</f>
        <v>김광수</v>
      </c>
      <c r="H1856" t="str">
        <f>T("스토리위즈")</f>
        <v>스토리위즈</v>
      </c>
      <c r="I1856" t="str">
        <f>T("회귀의 전설")</f>
        <v>회귀의 전설</v>
      </c>
      <c r="J1856">
        <v>100</v>
      </c>
      <c r="K1856">
        <v>100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100</v>
      </c>
      <c r="AH1856">
        <v>1</v>
      </c>
      <c r="AI1856">
        <v>0</v>
      </c>
      <c r="AJ1856">
        <v>0</v>
      </c>
      <c r="AK1856">
        <v>100</v>
      </c>
      <c r="AL1856">
        <v>0</v>
      </c>
      <c r="AM1856">
        <v>0</v>
      </c>
      <c r="AN1856">
        <v>0</v>
      </c>
      <c r="AO1856">
        <v>0</v>
      </c>
      <c r="AQ1856">
        <v>0</v>
      </c>
      <c r="AR1856">
        <v>0</v>
      </c>
      <c r="AT1856">
        <v>0</v>
      </c>
      <c r="AU1856">
        <v>0</v>
      </c>
      <c r="AW1856">
        <v>0</v>
      </c>
      <c r="AX1856">
        <v>0</v>
      </c>
      <c r="AY1856">
        <v>70</v>
      </c>
      <c r="BC1856" t="str">
        <f>T("9791191102086")</f>
        <v>9791191102086</v>
      </c>
      <c r="BE1856" t="str">
        <f>T("판타지 웹소설 &gt; 현대 판타지")</f>
        <v>판타지 웹소설 &gt; 현대 판타지</v>
      </c>
    </row>
    <row r="1857" spans="1:58" x14ac:dyDescent="0.3">
      <c r="A1857">
        <v>1525004030</v>
      </c>
      <c r="B1857">
        <v>1525004553</v>
      </c>
      <c r="C1857" t="str">
        <f>T("회귀의 전설 502화")</f>
        <v>회귀의 전설 502화</v>
      </c>
      <c r="D1857" t="str">
        <f>T("502")</f>
        <v>502</v>
      </c>
      <c r="E1857" t="str">
        <f>T("김광수")</f>
        <v>김광수</v>
      </c>
      <c r="H1857" t="str">
        <f>T("스토리위즈")</f>
        <v>스토리위즈</v>
      </c>
      <c r="I1857" t="str">
        <f>T("회귀의 전설")</f>
        <v>회귀의 전설</v>
      </c>
      <c r="J1857">
        <v>100</v>
      </c>
      <c r="K1857">
        <v>100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100</v>
      </c>
      <c r="AH1857">
        <v>1</v>
      </c>
      <c r="AI1857">
        <v>0</v>
      </c>
      <c r="AJ1857">
        <v>0</v>
      </c>
      <c r="AK1857">
        <v>100</v>
      </c>
      <c r="AL1857">
        <v>0</v>
      </c>
      <c r="AM1857">
        <v>0</v>
      </c>
      <c r="AN1857">
        <v>0</v>
      </c>
      <c r="AO1857">
        <v>0</v>
      </c>
      <c r="AQ1857">
        <v>0</v>
      </c>
      <c r="AR1857">
        <v>0</v>
      </c>
      <c r="AT1857">
        <v>0</v>
      </c>
      <c r="AU1857">
        <v>0</v>
      </c>
      <c r="AW1857">
        <v>0</v>
      </c>
      <c r="AX1857">
        <v>0</v>
      </c>
      <c r="AY1857">
        <v>70</v>
      </c>
      <c r="BC1857" t="str">
        <f>T("9788997946006")</f>
        <v>9788997946006</v>
      </c>
      <c r="BE1857" t="str">
        <f>T("판타지 웹소설 &gt; 현대 판타지")</f>
        <v>판타지 웹소설 &gt; 현대 판타지</v>
      </c>
    </row>
    <row r="1858" spans="1:58" x14ac:dyDescent="0.3">
      <c r="A1858">
        <v>1525015018</v>
      </c>
      <c r="B1858">
        <v>1525015042</v>
      </c>
      <c r="C1858" t="str">
        <f>T("그녀들은 소꿉친구지, 그 이상은 곤란합니다 25화")</f>
        <v>그녀들은 소꿉친구지, 그 이상은 곤란합니다 25화</v>
      </c>
      <c r="D1858" t="str">
        <f>T("25")</f>
        <v>25</v>
      </c>
      <c r="E1858" t="str">
        <f>T("자이오")</f>
        <v>자이오</v>
      </c>
      <c r="H1858" t="str">
        <f>T("스토리아크")</f>
        <v>스토리아크</v>
      </c>
      <c r="I1858" t="str">
        <f>T("그녀들은 소꿉친구지, 그 이상은 곤란합니다")</f>
        <v>그녀들은 소꿉친구지, 그 이상은 곤란합니다</v>
      </c>
      <c r="J1858">
        <v>100</v>
      </c>
      <c r="K1858">
        <v>100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100</v>
      </c>
      <c r="AH1858">
        <v>1</v>
      </c>
      <c r="AI1858">
        <v>0</v>
      </c>
      <c r="AJ1858">
        <v>0</v>
      </c>
      <c r="AK1858">
        <v>100</v>
      </c>
      <c r="AL1858">
        <v>0</v>
      </c>
      <c r="AM1858">
        <v>0</v>
      </c>
      <c r="AN1858">
        <v>0</v>
      </c>
      <c r="AO1858">
        <v>0</v>
      </c>
      <c r="AQ1858">
        <v>0</v>
      </c>
      <c r="AR1858">
        <v>0</v>
      </c>
      <c r="AT1858">
        <v>0</v>
      </c>
      <c r="AU1858">
        <v>0</v>
      </c>
      <c r="AW1858">
        <v>0</v>
      </c>
      <c r="AX1858">
        <v>0</v>
      </c>
      <c r="AY1858">
        <v>70</v>
      </c>
      <c r="BC1858" t="str">
        <f>T("9791191039313")</f>
        <v>9791191039313</v>
      </c>
      <c r="BE1858" t="str">
        <f>T("판타지 웹소설 &gt; 퓨전 판타지")</f>
        <v>판타지 웹소설 &gt; 퓨전 판타지</v>
      </c>
    </row>
    <row r="1859" spans="1:58" x14ac:dyDescent="0.3">
      <c r="A1859">
        <v>1525002864</v>
      </c>
      <c r="B1859">
        <v>1525002905</v>
      </c>
      <c r="C1859" t="str">
        <f>T("소드마스터의 환생 42화")</f>
        <v>소드마스터의 환생 42화</v>
      </c>
      <c r="D1859" t="str">
        <f>T("42")</f>
        <v>42</v>
      </c>
      <c r="E1859" t="str">
        <f>T("파란영")</f>
        <v>파란영</v>
      </c>
      <c r="H1859" t="str">
        <f>T("스토리위즈")</f>
        <v>스토리위즈</v>
      </c>
      <c r="I1859" t="str">
        <f>T("소드마스터의 환생")</f>
        <v>소드마스터의 환생</v>
      </c>
      <c r="J1859">
        <v>100</v>
      </c>
      <c r="K1859">
        <v>100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100</v>
      </c>
      <c r="AH1859">
        <v>1</v>
      </c>
      <c r="AI1859">
        <v>0</v>
      </c>
      <c r="AJ1859">
        <v>0</v>
      </c>
      <c r="AK1859">
        <v>100</v>
      </c>
      <c r="AL1859">
        <v>0</v>
      </c>
      <c r="AM1859">
        <v>0</v>
      </c>
      <c r="AN1859">
        <v>0</v>
      </c>
      <c r="AO1859">
        <v>0</v>
      </c>
      <c r="AQ1859">
        <v>0</v>
      </c>
      <c r="AR1859">
        <v>0</v>
      </c>
      <c r="AT1859">
        <v>0</v>
      </c>
      <c r="AU1859">
        <v>0</v>
      </c>
      <c r="AW1859">
        <v>0</v>
      </c>
      <c r="AX1859">
        <v>0</v>
      </c>
      <c r="AY1859">
        <v>70</v>
      </c>
      <c r="BC1859" t="str">
        <f>T("9791159287527")</f>
        <v>9791159287527</v>
      </c>
      <c r="BE1859" t="str">
        <f>T("판타지 웹소설 &gt; 정통 판타지")</f>
        <v>판타지 웹소설 &gt; 정통 판타지</v>
      </c>
    </row>
    <row r="1860" spans="1:58" x14ac:dyDescent="0.3">
      <c r="A1860">
        <v>1525013020</v>
      </c>
      <c r="B1860">
        <v>1525013123</v>
      </c>
      <c r="C1860" t="str">
        <f>T("악당의 리턴 104화")</f>
        <v>악당의 리턴 104화</v>
      </c>
      <c r="D1860" t="str">
        <f>T("104")</f>
        <v>104</v>
      </c>
      <c r="E1860" t="str">
        <f>T("백범(白帆)")</f>
        <v>백범(白帆)</v>
      </c>
      <c r="H1860" t="str">
        <f>T("에필로그")</f>
        <v>에필로그</v>
      </c>
      <c r="I1860" t="str">
        <f>T("악당의 리턴")</f>
        <v>악당의 리턴</v>
      </c>
      <c r="J1860">
        <v>100</v>
      </c>
      <c r="K1860">
        <v>100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100</v>
      </c>
      <c r="AH1860">
        <v>1</v>
      </c>
      <c r="AI1860">
        <v>0</v>
      </c>
      <c r="AJ1860">
        <v>0</v>
      </c>
      <c r="AK1860">
        <v>100</v>
      </c>
      <c r="AL1860">
        <v>0</v>
      </c>
      <c r="AM1860">
        <v>0</v>
      </c>
      <c r="AN1860">
        <v>0</v>
      </c>
      <c r="AO1860">
        <v>0</v>
      </c>
      <c r="AQ1860">
        <v>0</v>
      </c>
      <c r="AR1860">
        <v>0</v>
      </c>
      <c r="AT1860">
        <v>0</v>
      </c>
      <c r="AU1860">
        <v>0</v>
      </c>
      <c r="AW1860">
        <v>0</v>
      </c>
      <c r="AX1860">
        <v>0</v>
      </c>
      <c r="AY1860">
        <v>70</v>
      </c>
      <c r="BC1860" t="str">
        <f>T("9791196538927")</f>
        <v>9791196538927</v>
      </c>
      <c r="BE1860" t="str">
        <f>T("판타지 웹소설 &gt; 현대 판타지")</f>
        <v>판타지 웹소설 &gt; 현대 판타지</v>
      </c>
    </row>
    <row r="1861" spans="1:58" x14ac:dyDescent="0.3">
      <c r="A1861">
        <v>1525004030</v>
      </c>
      <c r="B1861">
        <v>1525007114</v>
      </c>
      <c r="C1861" t="str">
        <f>T("회귀의 전설 2부 998화")</f>
        <v>회귀의 전설 2부 998화</v>
      </c>
      <c r="D1861" t="str">
        <f>T("998")</f>
        <v>998</v>
      </c>
      <c r="E1861" t="str">
        <f>T("김광수")</f>
        <v>김광수</v>
      </c>
      <c r="H1861" t="str">
        <f>T("스토리위즈")</f>
        <v>스토리위즈</v>
      </c>
      <c r="I1861" t="str">
        <f>T("회귀의 전설")</f>
        <v>회귀의 전설</v>
      </c>
      <c r="J1861">
        <v>100</v>
      </c>
      <c r="K1861">
        <v>100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100</v>
      </c>
      <c r="AH1861">
        <v>1</v>
      </c>
      <c r="AI1861">
        <v>0</v>
      </c>
      <c r="AJ1861">
        <v>0</v>
      </c>
      <c r="AK1861">
        <v>100</v>
      </c>
      <c r="AL1861">
        <v>0</v>
      </c>
      <c r="AM1861">
        <v>0</v>
      </c>
      <c r="AN1861">
        <v>0</v>
      </c>
      <c r="AO1861">
        <v>0</v>
      </c>
      <c r="AQ1861">
        <v>0</v>
      </c>
      <c r="AR1861">
        <v>0</v>
      </c>
      <c r="AT1861">
        <v>0</v>
      </c>
      <c r="AU1861">
        <v>0</v>
      </c>
      <c r="AW1861">
        <v>0</v>
      </c>
      <c r="AX1861">
        <v>0</v>
      </c>
      <c r="AY1861">
        <v>70</v>
      </c>
      <c r="BC1861" t="str">
        <f>T("9791191102086")</f>
        <v>9791191102086</v>
      </c>
      <c r="BE1861" t="str">
        <f>T("판타지 웹소설 &gt; 현대 판타지")</f>
        <v>판타지 웹소설 &gt; 현대 판타지</v>
      </c>
    </row>
    <row r="1862" spans="1:58" x14ac:dyDescent="0.3">
      <c r="A1862">
        <v>1525011523</v>
      </c>
      <c r="B1862">
        <v>1525011234</v>
      </c>
      <c r="C1862" t="str">
        <f>T("남창목가 290화")</f>
        <v>남창목가 290화</v>
      </c>
      <c r="D1862" t="str">
        <f>T("290")</f>
        <v>290</v>
      </c>
      <c r="E1862" t="str">
        <f>T("최재봉")</f>
        <v>최재봉</v>
      </c>
      <c r="H1862" t="str">
        <f>T("에필로그")</f>
        <v>에필로그</v>
      </c>
      <c r="I1862" t="str">
        <f>T("남창목가")</f>
        <v>남창목가</v>
      </c>
      <c r="J1862">
        <v>100</v>
      </c>
      <c r="K1862">
        <v>100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100</v>
      </c>
      <c r="AH1862">
        <v>1</v>
      </c>
      <c r="AI1862">
        <v>0</v>
      </c>
      <c r="AJ1862">
        <v>0</v>
      </c>
      <c r="AK1862">
        <v>0</v>
      </c>
      <c r="AL1862">
        <v>0</v>
      </c>
      <c r="AM1862">
        <v>120</v>
      </c>
      <c r="AN1862">
        <v>-12</v>
      </c>
      <c r="AO1862">
        <v>0</v>
      </c>
      <c r="AQ1862">
        <v>0</v>
      </c>
      <c r="AR1862">
        <v>0</v>
      </c>
      <c r="AS1862">
        <v>120</v>
      </c>
      <c r="AT1862">
        <v>-12</v>
      </c>
      <c r="AU1862">
        <v>0</v>
      </c>
      <c r="AW1862">
        <v>0</v>
      </c>
      <c r="AX1862">
        <v>0</v>
      </c>
      <c r="AY1862">
        <v>75.599999999999994</v>
      </c>
      <c r="BC1862" t="str">
        <f>T("9791164482849")</f>
        <v>9791164482849</v>
      </c>
      <c r="BE1862" t="str">
        <f>T("판타지 웹소설 &gt; 무협 소설")</f>
        <v>판타지 웹소설 &gt; 무협 소설</v>
      </c>
    </row>
    <row r="1863" spans="1:58" x14ac:dyDescent="0.3">
      <c r="A1863">
        <v>1525000569</v>
      </c>
      <c r="B1863">
        <v>1525000616</v>
      </c>
      <c r="C1863" t="str">
        <f>T("스트라이커 48화")</f>
        <v>스트라이커 48화</v>
      </c>
      <c r="D1863" t="str">
        <f>T("48")</f>
        <v>48</v>
      </c>
      <c r="E1863" t="str">
        <f>T("독고진")</f>
        <v>독고진</v>
      </c>
      <c r="H1863" t="str">
        <f>T("스토리위즈")</f>
        <v>스토리위즈</v>
      </c>
      <c r="I1863" t="str">
        <f>T("스트라이커")</f>
        <v>스트라이커</v>
      </c>
      <c r="J1863">
        <v>100</v>
      </c>
      <c r="K1863">
        <v>100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100</v>
      </c>
      <c r="AH1863">
        <v>1</v>
      </c>
      <c r="AI1863">
        <v>0</v>
      </c>
      <c r="AJ1863">
        <v>0</v>
      </c>
      <c r="AK1863">
        <v>100</v>
      </c>
      <c r="AL1863">
        <v>0</v>
      </c>
      <c r="AM1863">
        <v>0</v>
      </c>
      <c r="AN1863">
        <v>0</v>
      </c>
      <c r="AO1863">
        <v>0</v>
      </c>
      <c r="AQ1863">
        <v>0</v>
      </c>
      <c r="AR1863">
        <v>0</v>
      </c>
      <c r="AT1863">
        <v>0</v>
      </c>
      <c r="AU1863">
        <v>0</v>
      </c>
      <c r="AW1863">
        <v>0</v>
      </c>
      <c r="AX1863">
        <v>0</v>
      </c>
      <c r="AY1863">
        <v>70</v>
      </c>
      <c r="BC1863" t="str">
        <f>T("9791170151678")</f>
        <v>9791170151678</v>
      </c>
      <c r="BE1863" t="str">
        <f>T("판타지 웹소설 &gt; 현대 판타지")</f>
        <v>판타지 웹소설 &gt; 현대 판타지</v>
      </c>
    </row>
    <row r="1864" spans="1:58" x14ac:dyDescent="0.3">
      <c r="A1864">
        <v>1525011523</v>
      </c>
      <c r="B1864">
        <v>1525011020</v>
      </c>
      <c r="C1864" t="str">
        <f>T("남창목가 외전 472화")</f>
        <v>남창목가 외전 472화</v>
      </c>
      <c r="D1864" t="str">
        <f>T("472")</f>
        <v>472</v>
      </c>
      <c r="E1864" t="str">
        <f>T("최재봉")</f>
        <v>최재봉</v>
      </c>
      <c r="H1864" t="str">
        <f>T("에필로그")</f>
        <v>에필로그</v>
      </c>
      <c r="I1864" t="str">
        <f>T("남창목가")</f>
        <v>남창목가</v>
      </c>
      <c r="J1864">
        <v>100</v>
      </c>
      <c r="K1864">
        <v>100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100</v>
      </c>
      <c r="AH1864">
        <v>1</v>
      </c>
      <c r="AI1864">
        <v>0</v>
      </c>
      <c r="AJ1864">
        <v>0</v>
      </c>
      <c r="AK1864">
        <v>0</v>
      </c>
      <c r="AL1864">
        <v>0</v>
      </c>
      <c r="AM1864">
        <v>120</v>
      </c>
      <c r="AN1864">
        <v>-12</v>
      </c>
      <c r="AO1864">
        <v>0</v>
      </c>
      <c r="AQ1864">
        <v>0</v>
      </c>
      <c r="AR1864">
        <v>0</v>
      </c>
      <c r="AS1864">
        <v>120</v>
      </c>
      <c r="AT1864">
        <v>-12</v>
      </c>
      <c r="AU1864">
        <v>0</v>
      </c>
      <c r="AW1864">
        <v>0</v>
      </c>
      <c r="AX1864">
        <v>0</v>
      </c>
      <c r="AY1864">
        <v>75.599999999999994</v>
      </c>
      <c r="BC1864" t="str">
        <f>T("9791164482849")</f>
        <v>9791164482849</v>
      </c>
      <c r="BE1864" t="str">
        <f>T("판타지 웹소설 &gt; 무협 소설")</f>
        <v>판타지 웹소설 &gt; 무협 소설</v>
      </c>
    </row>
    <row r="1865" spans="1:58" x14ac:dyDescent="0.3">
      <c r="A1865">
        <v>1525008353</v>
      </c>
      <c r="B1865">
        <v>1525008395</v>
      </c>
      <c r="C1865" t="str">
        <f>T("당신이 있는 풍경 58화")</f>
        <v>당신이 있는 풍경 58화</v>
      </c>
      <c r="D1865" t="str">
        <f>T("58")</f>
        <v>58</v>
      </c>
      <c r="E1865" t="str">
        <f>T("김귤")</f>
        <v>김귤</v>
      </c>
      <c r="H1865" t="str">
        <f>T("블러쉬")</f>
        <v>블러쉬</v>
      </c>
      <c r="I1865" t="str">
        <f>T("당신이 있는 풍경")</f>
        <v>당신이 있는 풍경</v>
      </c>
      <c r="J1865">
        <v>100</v>
      </c>
      <c r="K1865">
        <v>100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100</v>
      </c>
      <c r="AH1865">
        <v>1</v>
      </c>
      <c r="AI1865">
        <v>0</v>
      </c>
      <c r="AJ1865">
        <v>0</v>
      </c>
      <c r="AK1865">
        <v>100</v>
      </c>
      <c r="AL1865">
        <v>0</v>
      </c>
      <c r="AM1865">
        <v>0</v>
      </c>
      <c r="AN1865">
        <v>0</v>
      </c>
      <c r="AO1865">
        <v>0</v>
      </c>
      <c r="AQ1865">
        <v>0</v>
      </c>
      <c r="AR1865">
        <v>0</v>
      </c>
      <c r="AT1865">
        <v>0</v>
      </c>
      <c r="AU1865">
        <v>0</v>
      </c>
      <c r="AW1865">
        <v>0</v>
      </c>
      <c r="AX1865">
        <v>0</v>
      </c>
      <c r="AY1865">
        <v>70</v>
      </c>
      <c r="BA1865" t="str">
        <f>T("0000000000000")</f>
        <v>0000000000000</v>
      </c>
      <c r="BC1865" t="str">
        <f>T("9791164896660")</f>
        <v>9791164896660</v>
      </c>
      <c r="BD1865" t="str">
        <f>T("B9")</f>
        <v>B9</v>
      </c>
      <c r="BE1865" t="str">
        <f>T("BL 웹소설 &gt; 현대물")</f>
        <v>BL 웹소설 &gt; 현대물</v>
      </c>
      <c r="BF1865" t="str">
        <f>T("BL 웹소설 &gt; 판타지물")</f>
        <v>BL 웹소설 &gt; 판타지물</v>
      </c>
    </row>
    <row r="1866" spans="1:58" x14ac:dyDescent="0.3">
      <c r="A1866">
        <v>1525004030</v>
      </c>
      <c r="B1866">
        <v>1525006897</v>
      </c>
      <c r="C1866" t="str">
        <f>T("회귀의 전설 2부 780화")</f>
        <v>회귀의 전설 2부 780화</v>
      </c>
      <c r="D1866" t="str">
        <f>T("780")</f>
        <v>780</v>
      </c>
      <c r="E1866" t="str">
        <f>T("김광수")</f>
        <v>김광수</v>
      </c>
      <c r="H1866" t="str">
        <f>T("스토리위즈")</f>
        <v>스토리위즈</v>
      </c>
      <c r="I1866" t="str">
        <f>T("회귀의 전설")</f>
        <v>회귀의 전설</v>
      </c>
      <c r="J1866">
        <v>100</v>
      </c>
      <c r="K1866">
        <v>100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100</v>
      </c>
      <c r="AH1866">
        <v>1</v>
      </c>
      <c r="AI1866">
        <v>0</v>
      </c>
      <c r="AJ1866">
        <v>0</v>
      </c>
      <c r="AK1866">
        <v>0</v>
      </c>
      <c r="AL1866">
        <v>0</v>
      </c>
      <c r="AM1866">
        <v>120</v>
      </c>
      <c r="AN1866">
        <v>-12</v>
      </c>
      <c r="AO1866">
        <v>0</v>
      </c>
      <c r="AQ1866">
        <v>0</v>
      </c>
      <c r="AR1866">
        <v>0</v>
      </c>
      <c r="AS1866">
        <v>120</v>
      </c>
      <c r="AT1866">
        <v>-12</v>
      </c>
      <c r="AU1866">
        <v>0</v>
      </c>
      <c r="AW1866">
        <v>0</v>
      </c>
      <c r="AX1866">
        <v>0</v>
      </c>
      <c r="AY1866">
        <v>75.599999999999994</v>
      </c>
      <c r="BC1866" t="str">
        <f>T("9791191102086")</f>
        <v>9791191102086</v>
      </c>
      <c r="BE1866" t="str">
        <f>T("판타지 웹소설 &gt; 현대 판타지")</f>
        <v>판타지 웹소설 &gt; 현대 판타지</v>
      </c>
    </row>
    <row r="1867" spans="1:58" x14ac:dyDescent="0.3">
      <c r="A1867">
        <v>1525011523</v>
      </c>
      <c r="B1867">
        <v>1525011350</v>
      </c>
      <c r="C1867" t="str">
        <f>T("남창목가 174화")</f>
        <v>남창목가 174화</v>
      </c>
      <c r="D1867" t="str">
        <f>T("174")</f>
        <v>174</v>
      </c>
      <c r="E1867" t="str">
        <f>T("최재봉")</f>
        <v>최재봉</v>
      </c>
      <c r="H1867" t="str">
        <f>T("에필로그")</f>
        <v>에필로그</v>
      </c>
      <c r="I1867" t="str">
        <f>T("남창목가")</f>
        <v>남창목가</v>
      </c>
      <c r="J1867">
        <v>100</v>
      </c>
      <c r="K1867">
        <v>100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100</v>
      </c>
      <c r="AH1867">
        <v>1</v>
      </c>
      <c r="AI1867">
        <v>0</v>
      </c>
      <c r="AJ1867">
        <v>0</v>
      </c>
      <c r="AK1867">
        <v>0</v>
      </c>
      <c r="AL1867">
        <v>0</v>
      </c>
      <c r="AM1867">
        <v>120</v>
      </c>
      <c r="AN1867">
        <v>-12</v>
      </c>
      <c r="AO1867">
        <v>0</v>
      </c>
      <c r="AQ1867">
        <v>0</v>
      </c>
      <c r="AR1867">
        <v>0</v>
      </c>
      <c r="AS1867">
        <v>120</v>
      </c>
      <c r="AT1867">
        <v>-12</v>
      </c>
      <c r="AU1867">
        <v>0</v>
      </c>
      <c r="AW1867">
        <v>0</v>
      </c>
      <c r="AX1867">
        <v>0</v>
      </c>
      <c r="AY1867">
        <v>75.599999999999994</v>
      </c>
      <c r="BC1867" t="str">
        <f>T("9791164482849")</f>
        <v>9791164482849</v>
      </c>
      <c r="BE1867" t="str">
        <f>T("판타지 웹소설 &gt; 무협 소설")</f>
        <v>판타지 웹소설 &gt; 무협 소설</v>
      </c>
    </row>
    <row r="1868" spans="1:58" x14ac:dyDescent="0.3">
      <c r="A1868">
        <v>1525002125</v>
      </c>
      <c r="B1868">
        <v>1525002381</v>
      </c>
      <c r="C1868" t="str">
        <f>T("신을 죽이러 갑니다 257화")</f>
        <v>신을 죽이러 갑니다 257화</v>
      </c>
      <c r="D1868" t="str">
        <f>T("257")</f>
        <v>257</v>
      </c>
      <c r="E1868" t="str">
        <f>T("독고진")</f>
        <v>독고진</v>
      </c>
      <c r="H1868" t="str">
        <f>T("스토리위즈")</f>
        <v>스토리위즈</v>
      </c>
      <c r="I1868" t="str">
        <f>T("신을 죽이러 갑니다")</f>
        <v>신을 죽이러 갑니다</v>
      </c>
      <c r="J1868">
        <v>100</v>
      </c>
      <c r="K1868">
        <v>100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100</v>
      </c>
      <c r="AH1868">
        <v>1</v>
      </c>
      <c r="AI1868">
        <v>0</v>
      </c>
      <c r="AJ1868">
        <v>0</v>
      </c>
      <c r="AK1868">
        <v>0</v>
      </c>
      <c r="AL1868">
        <v>0</v>
      </c>
      <c r="AM1868">
        <v>120</v>
      </c>
      <c r="AN1868">
        <v>-12</v>
      </c>
      <c r="AO1868">
        <v>0</v>
      </c>
      <c r="AQ1868">
        <v>0</v>
      </c>
      <c r="AR1868">
        <v>0</v>
      </c>
      <c r="AS1868">
        <v>120</v>
      </c>
      <c r="AT1868">
        <v>-12</v>
      </c>
      <c r="AU1868">
        <v>0</v>
      </c>
      <c r="AW1868">
        <v>0</v>
      </c>
      <c r="AX1868">
        <v>0</v>
      </c>
      <c r="AY1868">
        <v>75.599999999999994</v>
      </c>
      <c r="BC1868" t="str">
        <f>T("9791159285806")</f>
        <v>9791159285806</v>
      </c>
      <c r="BE1868" t="str">
        <f>T("판타지 웹소설 &gt; 퓨전 판타지")</f>
        <v>판타지 웹소설 &gt; 퓨전 판타지</v>
      </c>
    </row>
    <row r="1869" spans="1:58" x14ac:dyDescent="0.3">
      <c r="A1869">
        <v>1525012551</v>
      </c>
      <c r="B1869">
        <v>1525012716</v>
      </c>
      <c r="C1869" t="str">
        <f>T("개정판 | 바보가 만드는 멋진 세상 166화")</f>
        <v>개정판 | 바보가 만드는 멋진 세상 166화</v>
      </c>
      <c r="D1869" t="str">
        <f>T("166")</f>
        <v>166</v>
      </c>
      <c r="E1869" t="str">
        <f>T("백범(白帆)")</f>
        <v>백범(白帆)</v>
      </c>
      <c r="H1869" t="str">
        <f>T("에필로그")</f>
        <v>에필로그</v>
      </c>
      <c r="I1869" t="str">
        <f>T("개정판 | 바보가 만드는 멋진 세상")</f>
        <v>개정판 | 바보가 만드는 멋진 세상</v>
      </c>
      <c r="J1869">
        <v>100</v>
      </c>
      <c r="K1869">
        <v>100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100</v>
      </c>
      <c r="AH1869">
        <v>1</v>
      </c>
      <c r="AI1869">
        <v>0</v>
      </c>
      <c r="AJ1869">
        <v>0</v>
      </c>
      <c r="AK1869">
        <v>100</v>
      </c>
      <c r="AL1869">
        <v>0</v>
      </c>
      <c r="AM1869">
        <v>0</v>
      </c>
      <c r="AN1869">
        <v>0</v>
      </c>
      <c r="AO1869">
        <v>0</v>
      </c>
      <c r="AQ1869">
        <v>0</v>
      </c>
      <c r="AR1869">
        <v>0</v>
      </c>
      <c r="AT1869">
        <v>0</v>
      </c>
      <c r="AU1869">
        <v>0</v>
      </c>
      <c r="AW1869">
        <v>0</v>
      </c>
      <c r="AX1869">
        <v>0</v>
      </c>
      <c r="AY1869">
        <v>70</v>
      </c>
      <c r="BC1869" t="str">
        <f>T("9791166003493")</f>
        <v>9791166003493</v>
      </c>
      <c r="BE1869" t="str">
        <f>T("판타지 웹소설 &gt; 현대 판타지")</f>
        <v>판타지 웹소설 &gt; 현대 판타지</v>
      </c>
    </row>
    <row r="1870" spans="1:58" x14ac:dyDescent="0.3">
      <c r="A1870">
        <v>1525008428</v>
      </c>
      <c r="B1870">
        <v>1525008523</v>
      </c>
      <c r="C1870" t="str">
        <f>T("무히비(Muhibbi) 외전 121화")</f>
        <v>무히비(Muhibbi) 외전 121화</v>
      </c>
      <c r="D1870" t="str">
        <f>T("121")</f>
        <v>121</v>
      </c>
      <c r="E1870" t="str">
        <f>T("jooki")</f>
        <v>jooki</v>
      </c>
      <c r="H1870" t="str">
        <f>T("블러쉬")</f>
        <v>블러쉬</v>
      </c>
      <c r="I1870" t="str">
        <f>T("무히비(Muhibbi)")</f>
        <v>무히비(Muhibbi)</v>
      </c>
      <c r="J1870">
        <v>100</v>
      </c>
      <c r="K1870">
        <v>100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100</v>
      </c>
      <c r="AH1870">
        <v>1</v>
      </c>
      <c r="AI1870">
        <v>0</v>
      </c>
      <c r="AJ1870">
        <v>0</v>
      </c>
      <c r="AK1870">
        <v>100</v>
      </c>
      <c r="AL1870">
        <v>0</v>
      </c>
      <c r="AM1870">
        <v>0</v>
      </c>
      <c r="AN1870">
        <v>0</v>
      </c>
      <c r="AO1870">
        <v>0</v>
      </c>
      <c r="AQ1870">
        <v>0</v>
      </c>
      <c r="AR1870">
        <v>0</v>
      </c>
      <c r="AT1870">
        <v>0</v>
      </c>
      <c r="AU1870">
        <v>0</v>
      </c>
      <c r="AW1870">
        <v>0</v>
      </c>
      <c r="AX1870">
        <v>0</v>
      </c>
      <c r="AY1870">
        <v>70</v>
      </c>
      <c r="BA1870" t="str">
        <f>T("0000000000000")</f>
        <v>0000000000000</v>
      </c>
      <c r="BC1870" t="str">
        <f>T("9791164896622")</f>
        <v>9791164896622</v>
      </c>
      <c r="BE1870" t="str">
        <f>T("BL 웹소설 &gt; 역사/시대물")</f>
        <v>BL 웹소설 &gt; 역사/시대물</v>
      </c>
    </row>
    <row r="1871" spans="1:58" x14ac:dyDescent="0.3">
      <c r="A1871">
        <v>1525002864</v>
      </c>
      <c r="B1871">
        <v>1525003484</v>
      </c>
      <c r="C1871" t="str">
        <f>T("소드마스터의 환생 196화 (외전 2)")</f>
        <v>소드마스터의 환생 196화 (외전 2)</v>
      </c>
      <c r="D1871" t="str">
        <f>T("196")</f>
        <v>196</v>
      </c>
      <c r="E1871" t="str">
        <f>T("파란영")</f>
        <v>파란영</v>
      </c>
      <c r="H1871" t="str">
        <f>T("스토리위즈")</f>
        <v>스토리위즈</v>
      </c>
      <c r="I1871" t="str">
        <f>T("소드마스터의 환생")</f>
        <v>소드마스터의 환생</v>
      </c>
      <c r="J1871">
        <v>100</v>
      </c>
      <c r="K1871">
        <v>100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100</v>
      </c>
      <c r="AH1871">
        <v>1</v>
      </c>
      <c r="AI1871">
        <v>0</v>
      </c>
      <c r="AJ1871">
        <v>0</v>
      </c>
      <c r="AK1871">
        <v>100</v>
      </c>
      <c r="AL1871">
        <v>0</v>
      </c>
      <c r="AM1871">
        <v>0</v>
      </c>
      <c r="AN1871">
        <v>0</v>
      </c>
      <c r="AO1871">
        <v>0</v>
      </c>
      <c r="AQ1871">
        <v>0</v>
      </c>
      <c r="AR1871">
        <v>0</v>
      </c>
      <c r="AT1871">
        <v>0</v>
      </c>
      <c r="AU1871">
        <v>0</v>
      </c>
      <c r="AW1871">
        <v>0</v>
      </c>
      <c r="AX1871">
        <v>0</v>
      </c>
      <c r="AY1871">
        <v>70</v>
      </c>
      <c r="BC1871" t="str">
        <f>T("9791159287527")</f>
        <v>9791159287527</v>
      </c>
      <c r="BE1871" t="str">
        <f>T("판타지 웹소설 &gt; 정통 판타지")</f>
        <v>판타지 웹소설 &gt; 정통 판타지</v>
      </c>
    </row>
    <row r="1872" spans="1:58" x14ac:dyDescent="0.3">
      <c r="A1872">
        <v>1525008428</v>
      </c>
      <c r="B1872">
        <v>1525008479</v>
      </c>
      <c r="C1872" t="str">
        <f>T("무히비(Muhibbi) 66화")</f>
        <v>무히비(Muhibbi) 66화</v>
      </c>
      <c r="D1872" t="str">
        <f>T("66")</f>
        <v>66</v>
      </c>
      <c r="E1872" t="str">
        <f>T("jooki")</f>
        <v>jooki</v>
      </c>
      <c r="H1872" t="str">
        <f>T("블러쉬")</f>
        <v>블러쉬</v>
      </c>
      <c r="I1872" t="str">
        <f>T("무히비(Muhibbi)")</f>
        <v>무히비(Muhibbi)</v>
      </c>
      <c r="J1872">
        <v>100</v>
      </c>
      <c r="K1872">
        <v>100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100</v>
      </c>
      <c r="AH1872">
        <v>1</v>
      </c>
      <c r="AI1872">
        <v>0</v>
      </c>
      <c r="AJ1872">
        <v>0</v>
      </c>
      <c r="AK1872">
        <v>100</v>
      </c>
      <c r="AL1872">
        <v>0</v>
      </c>
      <c r="AM1872">
        <v>0</v>
      </c>
      <c r="AN1872">
        <v>0</v>
      </c>
      <c r="AO1872">
        <v>0</v>
      </c>
      <c r="AQ1872">
        <v>0</v>
      </c>
      <c r="AR1872">
        <v>0</v>
      </c>
      <c r="AT1872">
        <v>0</v>
      </c>
      <c r="AU1872">
        <v>0</v>
      </c>
      <c r="AW1872">
        <v>0</v>
      </c>
      <c r="AX1872">
        <v>0</v>
      </c>
      <c r="AY1872">
        <v>70</v>
      </c>
      <c r="BC1872" t="str">
        <f>T("9791164896622")</f>
        <v>9791164896622</v>
      </c>
      <c r="BE1872" t="str">
        <f>T("BL 웹소설 &gt; 역사/시대물")</f>
        <v>BL 웹소설 &gt; 역사/시대물</v>
      </c>
    </row>
    <row r="1873" spans="1:57" x14ac:dyDescent="0.3">
      <c r="A1873">
        <v>1525011523</v>
      </c>
      <c r="B1873">
        <v>1525011300</v>
      </c>
      <c r="C1873" t="str">
        <f>T("남창목가 224화")</f>
        <v>남창목가 224화</v>
      </c>
      <c r="D1873" t="str">
        <f>T("224")</f>
        <v>224</v>
      </c>
      <c r="E1873" t="str">
        <f>T("최재봉")</f>
        <v>최재봉</v>
      </c>
      <c r="H1873" t="str">
        <f>T("에필로그")</f>
        <v>에필로그</v>
      </c>
      <c r="I1873" t="str">
        <f>T("남창목가")</f>
        <v>남창목가</v>
      </c>
      <c r="J1873">
        <v>100</v>
      </c>
      <c r="K1873">
        <v>100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100</v>
      </c>
      <c r="AH1873">
        <v>1</v>
      </c>
      <c r="AI1873">
        <v>0</v>
      </c>
      <c r="AJ1873">
        <v>0</v>
      </c>
      <c r="AK1873">
        <v>0</v>
      </c>
      <c r="AL1873">
        <v>0</v>
      </c>
      <c r="AM1873">
        <v>120</v>
      </c>
      <c r="AN1873">
        <v>-12</v>
      </c>
      <c r="AO1873">
        <v>0</v>
      </c>
      <c r="AQ1873">
        <v>0</v>
      </c>
      <c r="AR1873">
        <v>0</v>
      </c>
      <c r="AS1873">
        <v>120</v>
      </c>
      <c r="AT1873">
        <v>-12</v>
      </c>
      <c r="AU1873">
        <v>0</v>
      </c>
      <c r="AW1873">
        <v>0</v>
      </c>
      <c r="AX1873">
        <v>0</v>
      </c>
      <c r="AY1873">
        <v>75.599999999999994</v>
      </c>
      <c r="BC1873" t="str">
        <f>T("9791164482849")</f>
        <v>9791164482849</v>
      </c>
      <c r="BE1873" t="str">
        <f>T("판타지 웹소설 &gt; 무협 소설")</f>
        <v>판타지 웹소설 &gt; 무협 소설</v>
      </c>
    </row>
    <row r="1874" spans="1:57" x14ac:dyDescent="0.3">
      <c r="A1874">
        <v>1525011523</v>
      </c>
      <c r="B1874">
        <v>1525011493</v>
      </c>
      <c r="C1874" t="str">
        <f>T("남창목가 31화")</f>
        <v>남창목가 31화</v>
      </c>
      <c r="D1874" t="str">
        <f>T("31")</f>
        <v>31</v>
      </c>
      <c r="E1874" t="str">
        <f>T("최재봉")</f>
        <v>최재봉</v>
      </c>
      <c r="H1874" t="str">
        <f>T("에필로그")</f>
        <v>에필로그</v>
      </c>
      <c r="I1874" t="str">
        <f>T("남창목가")</f>
        <v>남창목가</v>
      </c>
      <c r="J1874">
        <v>100</v>
      </c>
      <c r="K1874">
        <v>100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100</v>
      </c>
      <c r="AH1874">
        <v>1</v>
      </c>
      <c r="AI1874">
        <v>0</v>
      </c>
      <c r="AJ1874">
        <v>0</v>
      </c>
      <c r="AK1874">
        <v>100</v>
      </c>
      <c r="AL1874">
        <v>0</v>
      </c>
      <c r="AM1874">
        <v>0</v>
      </c>
      <c r="AN1874">
        <v>0</v>
      </c>
      <c r="AO1874">
        <v>0</v>
      </c>
      <c r="AQ1874">
        <v>0</v>
      </c>
      <c r="AR1874">
        <v>0</v>
      </c>
      <c r="AT1874">
        <v>0</v>
      </c>
      <c r="AU1874">
        <v>0</v>
      </c>
      <c r="AW1874">
        <v>0</v>
      </c>
      <c r="AX1874">
        <v>0</v>
      </c>
      <c r="AY1874">
        <v>70</v>
      </c>
      <c r="BC1874" t="str">
        <f>T("9791164482849")</f>
        <v>9791164482849</v>
      </c>
      <c r="BE1874" t="str">
        <f>T("판타지 웹소설 &gt; 무협 소설")</f>
        <v>판타지 웹소설 &gt; 무협 소설</v>
      </c>
    </row>
    <row r="1875" spans="1:57" x14ac:dyDescent="0.3">
      <c r="A1875">
        <v>1525012551</v>
      </c>
      <c r="B1875">
        <v>1525012594</v>
      </c>
      <c r="C1875" t="str">
        <f>T("개정판 | 바보가 만드는 멋진 세상 44화")</f>
        <v>개정판 | 바보가 만드는 멋진 세상 44화</v>
      </c>
      <c r="D1875" t="str">
        <f>T("44")</f>
        <v>44</v>
      </c>
      <c r="E1875" t="str">
        <f>T("백범(白帆)")</f>
        <v>백범(白帆)</v>
      </c>
      <c r="H1875" t="str">
        <f>T("에필로그")</f>
        <v>에필로그</v>
      </c>
      <c r="I1875" t="str">
        <f>T("개정판 | 바보가 만드는 멋진 세상")</f>
        <v>개정판 | 바보가 만드는 멋진 세상</v>
      </c>
      <c r="J1875">
        <v>100</v>
      </c>
      <c r="K1875">
        <v>100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100</v>
      </c>
      <c r="AH1875">
        <v>1</v>
      </c>
      <c r="AI1875">
        <v>0</v>
      </c>
      <c r="AJ1875">
        <v>0</v>
      </c>
      <c r="AK1875">
        <v>100</v>
      </c>
      <c r="AL1875">
        <v>0</v>
      </c>
      <c r="AM1875">
        <v>0</v>
      </c>
      <c r="AN1875">
        <v>0</v>
      </c>
      <c r="AO1875">
        <v>0</v>
      </c>
      <c r="AQ1875">
        <v>0</v>
      </c>
      <c r="AR1875">
        <v>0</v>
      </c>
      <c r="AT1875">
        <v>0</v>
      </c>
      <c r="AU1875">
        <v>0</v>
      </c>
      <c r="AW1875">
        <v>0</v>
      </c>
      <c r="AX1875">
        <v>0</v>
      </c>
      <c r="AY1875">
        <v>70</v>
      </c>
      <c r="BC1875" t="str">
        <f>T("9791166003493")</f>
        <v>9791166003493</v>
      </c>
      <c r="BE1875" t="str">
        <f>T("판타지 웹소설 &gt; 현대 판타지")</f>
        <v>판타지 웹소설 &gt; 현대 판타지</v>
      </c>
    </row>
    <row r="1876" spans="1:57" x14ac:dyDescent="0.3">
      <c r="A1876">
        <v>1525004799</v>
      </c>
      <c r="B1876">
        <v>1525004944</v>
      </c>
      <c r="C1876" t="str">
        <f>T("검산도해 146화")</f>
        <v>검산도해 146화</v>
      </c>
      <c r="D1876" t="str">
        <f>T("146")</f>
        <v>146</v>
      </c>
      <c r="E1876" t="str">
        <f>T("권용찬")</f>
        <v>권용찬</v>
      </c>
      <c r="H1876" t="str">
        <f>T("스토리위즈")</f>
        <v>스토리위즈</v>
      </c>
      <c r="I1876" t="str">
        <f>T("검산도해")</f>
        <v>검산도해</v>
      </c>
      <c r="J1876">
        <v>100</v>
      </c>
      <c r="K1876">
        <v>100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100</v>
      </c>
      <c r="AH1876">
        <v>1</v>
      </c>
      <c r="AI1876">
        <v>0</v>
      </c>
      <c r="AJ1876">
        <v>0</v>
      </c>
      <c r="AK1876">
        <v>0</v>
      </c>
      <c r="AL1876">
        <v>0</v>
      </c>
      <c r="AM1876">
        <v>120</v>
      </c>
      <c r="AN1876">
        <v>-12</v>
      </c>
      <c r="AO1876">
        <v>0</v>
      </c>
      <c r="AQ1876">
        <v>0</v>
      </c>
      <c r="AR1876">
        <v>0</v>
      </c>
      <c r="AS1876">
        <v>120</v>
      </c>
      <c r="AT1876">
        <v>-12</v>
      </c>
      <c r="AU1876">
        <v>0</v>
      </c>
      <c r="AW1876">
        <v>0</v>
      </c>
      <c r="AX1876">
        <v>0</v>
      </c>
      <c r="AY1876">
        <v>75.599999999999994</v>
      </c>
      <c r="BC1876" t="str">
        <f>T("9791159285936")</f>
        <v>9791159285936</v>
      </c>
      <c r="BE1876" t="str">
        <f>T("판타지 웹소설 &gt; 무협 소설")</f>
        <v>판타지 웹소설 &gt; 무협 소설</v>
      </c>
    </row>
    <row r="1877" spans="1:57" x14ac:dyDescent="0.3">
      <c r="A1877">
        <v>1525004030</v>
      </c>
      <c r="B1877">
        <v>1525007033</v>
      </c>
      <c r="C1877" t="str">
        <f>T("회귀의 전설 2부 917화")</f>
        <v>회귀의 전설 2부 917화</v>
      </c>
      <c r="D1877" t="str">
        <f>T("917")</f>
        <v>917</v>
      </c>
      <c r="E1877" t="str">
        <f>T("김광수")</f>
        <v>김광수</v>
      </c>
      <c r="H1877" t="str">
        <f>T("스토리위즈")</f>
        <v>스토리위즈</v>
      </c>
      <c r="I1877" t="str">
        <f>T("회귀의 전설")</f>
        <v>회귀의 전설</v>
      </c>
      <c r="J1877">
        <v>100</v>
      </c>
      <c r="K1877">
        <v>100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100</v>
      </c>
      <c r="AH1877">
        <v>1</v>
      </c>
      <c r="AI1877">
        <v>0</v>
      </c>
      <c r="AJ1877">
        <v>0</v>
      </c>
      <c r="AK1877">
        <v>100</v>
      </c>
      <c r="AL1877">
        <v>0</v>
      </c>
      <c r="AM1877">
        <v>0</v>
      </c>
      <c r="AN1877">
        <v>0</v>
      </c>
      <c r="AO1877">
        <v>0</v>
      </c>
      <c r="AQ1877">
        <v>0</v>
      </c>
      <c r="AR1877">
        <v>0</v>
      </c>
      <c r="AT1877">
        <v>0</v>
      </c>
      <c r="AU1877">
        <v>0</v>
      </c>
      <c r="AW1877">
        <v>0</v>
      </c>
      <c r="AX1877">
        <v>0</v>
      </c>
      <c r="AY1877">
        <v>70</v>
      </c>
      <c r="BC1877" t="str">
        <f>T("9791191102086")</f>
        <v>9791191102086</v>
      </c>
      <c r="BE1877" t="str">
        <f>T("판타지 웹소설 &gt; 현대 판타지")</f>
        <v>판타지 웹소설 &gt; 현대 판타지</v>
      </c>
    </row>
    <row r="1878" spans="1:57" x14ac:dyDescent="0.3">
      <c r="A1878">
        <v>1525004030</v>
      </c>
      <c r="B1878">
        <v>1525006992</v>
      </c>
      <c r="C1878" t="str">
        <f>T("회귀의 전설 2부 876화")</f>
        <v>회귀의 전설 2부 876화</v>
      </c>
      <c r="D1878" t="str">
        <f>T("876")</f>
        <v>876</v>
      </c>
      <c r="E1878" t="str">
        <f>T("김광수")</f>
        <v>김광수</v>
      </c>
      <c r="H1878" t="str">
        <f>T("스토리위즈")</f>
        <v>스토리위즈</v>
      </c>
      <c r="I1878" t="str">
        <f>T("회귀의 전설")</f>
        <v>회귀의 전설</v>
      </c>
      <c r="J1878">
        <v>100</v>
      </c>
      <c r="K1878">
        <v>100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100</v>
      </c>
      <c r="AH1878">
        <v>1</v>
      </c>
      <c r="AI1878">
        <v>0</v>
      </c>
      <c r="AJ1878">
        <v>0</v>
      </c>
      <c r="AK1878">
        <v>100</v>
      </c>
      <c r="AL1878">
        <v>0</v>
      </c>
      <c r="AM1878">
        <v>0</v>
      </c>
      <c r="AN1878">
        <v>0</v>
      </c>
      <c r="AO1878">
        <v>0</v>
      </c>
      <c r="AQ1878">
        <v>0</v>
      </c>
      <c r="AR1878">
        <v>0</v>
      </c>
      <c r="AT1878">
        <v>0</v>
      </c>
      <c r="AU1878">
        <v>0</v>
      </c>
      <c r="AW1878">
        <v>0</v>
      </c>
      <c r="AX1878">
        <v>0</v>
      </c>
      <c r="AY1878">
        <v>70</v>
      </c>
      <c r="BC1878" t="str">
        <f>T("9791191102086")</f>
        <v>9791191102086</v>
      </c>
      <c r="BE1878" t="str">
        <f>T("판타지 웹소설 &gt; 현대 판타지")</f>
        <v>판타지 웹소설 &gt; 현대 판타지</v>
      </c>
    </row>
    <row r="1879" spans="1:57" x14ac:dyDescent="0.3">
      <c r="A1879">
        <v>1525011523</v>
      </c>
      <c r="B1879">
        <v>1525011388</v>
      </c>
      <c r="C1879" t="str">
        <f>T("남창목가 136화")</f>
        <v>남창목가 136화</v>
      </c>
      <c r="D1879" t="str">
        <f>T("136")</f>
        <v>136</v>
      </c>
      <c r="E1879" t="str">
        <f>T("최재봉")</f>
        <v>최재봉</v>
      </c>
      <c r="H1879" t="str">
        <f>T("에필로그")</f>
        <v>에필로그</v>
      </c>
      <c r="I1879" t="str">
        <f>T("남창목가")</f>
        <v>남창목가</v>
      </c>
      <c r="J1879">
        <v>100</v>
      </c>
      <c r="K1879">
        <v>100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100</v>
      </c>
      <c r="AH1879">
        <v>1</v>
      </c>
      <c r="AI1879">
        <v>0</v>
      </c>
      <c r="AJ1879">
        <v>0</v>
      </c>
      <c r="AK1879">
        <v>100</v>
      </c>
      <c r="AL1879">
        <v>0</v>
      </c>
      <c r="AM1879">
        <v>0</v>
      </c>
      <c r="AN1879">
        <v>0</v>
      </c>
      <c r="AO1879">
        <v>0</v>
      </c>
      <c r="AQ1879">
        <v>0</v>
      </c>
      <c r="AR1879">
        <v>0</v>
      </c>
      <c r="AT1879">
        <v>0</v>
      </c>
      <c r="AU1879">
        <v>0</v>
      </c>
      <c r="AW1879">
        <v>0</v>
      </c>
      <c r="AX1879">
        <v>0</v>
      </c>
      <c r="AY1879">
        <v>70</v>
      </c>
      <c r="BC1879" t="str">
        <f>T("9791164482849")</f>
        <v>9791164482849</v>
      </c>
      <c r="BE1879" t="str">
        <f>T("판타지 웹소설 &gt; 무협 소설")</f>
        <v>판타지 웹소설 &gt; 무협 소설</v>
      </c>
    </row>
    <row r="1880" spans="1:57" x14ac:dyDescent="0.3">
      <c r="A1880">
        <v>1525013020</v>
      </c>
      <c r="B1880">
        <v>1525013074</v>
      </c>
      <c r="C1880" t="str">
        <f>T("악당의 리턴 55화")</f>
        <v>악당의 리턴 55화</v>
      </c>
      <c r="D1880" t="str">
        <f>T("55")</f>
        <v>55</v>
      </c>
      <c r="E1880" t="str">
        <f>T("백범(白帆)")</f>
        <v>백범(白帆)</v>
      </c>
      <c r="H1880" t="str">
        <f>T("에필로그")</f>
        <v>에필로그</v>
      </c>
      <c r="I1880" t="str">
        <f>T("악당의 리턴")</f>
        <v>악당의 리턴</v>
      </c>
      <c r="J1880">
        <v>100</v>
      </c>
      <c r="K1880">
        <v>100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100</v>
      </c>
      <c r="AH1880">
        <v>1</v>
      </c>
      <c r="AI1880">
        <v>0</v>
      </c>
      <c r="AJ1880">
        <v>0</v>
      </c>
      <c r="AK1880">
        <v>100</v>
      </c>
      <c r="AL1880">
        <v>0</v>
      </c>
      <c r="AM1880">
        <v>0</v>
      </c>
      <c r="AN1880">
        <v>0</v>
      </c>
      <c r="AO1880">
        <v>0</v>
      </c>
      <c r="AQ1880">
        <v>0</v>
      </c>
      <c r="AR1880">
        <v>0</v>
      </c>
      <c r="AT1880">
        <v>0</v>
      </c>
      <c r="AU1880">
        <v>0</v>
      </c>
      <c r="AW1880">
        <v>0</v>
      </c>
      <c r="AX1880">
        <v>0</v>
      </c>
      <c r="AY1880">
        <v>70</v>
      </c>
      <c r="BC1880" t="str">
        <f>T("9791196538927")</f>
        <v>9791196538927</v>
      </c>
      <c r="BE1880" t="str">
        <f>T("판타지 웹소설 &gt; 현대 판타지")</f>
        <v>판타지 웹소설 &gt; 현대 판타지</v>
      </c>
    </row>
    <row r="1881" spans="1:57" x14ac:dyDescent="0.3">
      <c r="A1881">
        <v>1525004030</v>
      </c>
      <c r="B1881">
        <v>1525007148</v>
      </c>
      <c r="C1881" t="str">
        <f>T("회귀의 전설 2부 1031화")</f>
        <v>회귀의 전설 2부 1031화</v>
      </c>
      <c r="D1881" t="str">
        <f>T("1031")</f>
        <v>1031</v>
      </c>
      <c r="E1881" t="str">
        <f>T("김광수")</f>
        <v>김광수</v>
      </c>
      <c r="H1881" t="str">
        <f>T("스토리위즈")</f>
        <v>스토리위즈</v>
      </c>
      <c r="I1881" t="str">
        <f>T("회귀의 전설")</f>
        <v>회귀의 전설</v>
      </c>
      <c r="J1881">
        <v>100</v>
      </c>
      <c r="K1881">
        <v>100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100</v>
      </c>
      <c r="AH1881">
        <v>1</v>
      </c>
      <c r="AI1881">
        <v>0</v>
      </c>
      <c r="AJ1881">
        <v>0</v>
      </c>
      <c r="AK1881">
        <v>100</v>
      </c>
      <c r="AL1881">
        <v>0</v>
      </c>
      <c r="AM1881">
        <v>0</v>
      </c>
      <c r="AN1881">
        <v>0</v>
      </c>
      <c r="AO1881">
        <v>0</v>
      </c>
      <c r="AQ1881">
        <v>0</v>
      </c>
      <c r="AR1881">
        <v>0</v>
      </c>
      <c r="AT1881">
        <v>0</v>
      </c>
      <c r="AU1881">
        <v>0</v>
      </c>
      <c r="AW1881">
        <v>0</v>
      </c>
      <c r="AX1881">
        <v>0</v>
      </c>
      <c r="AY1881">
        <v>70</v>
      </c>
      <c r="BC1881" t="str">
        <f>T("9791191102086")</f>
        <v>9791191102086</v>
      </c>
      <c r="BE1881" t="str">
        <f>T("판타지 웹소설 &gt; 현대 판타지")</f>
        <v>판타지 웹소설 &gt; 현대 판타지</v>
      </c>
    </row>
    <row r="1882" spans="1:57" x14ac:dyDescent="0.3">
      <c r="A1882">
        <v>1525012551</v>
      </c>
      <c r="B1882">
        <v>1525012748</v>
      </c>
      <c r="C1882" t="str">
        <f>T("개정판 | 바보가 만드는 멋진 세상 198화")</f>
        <v>개정판 | 바보가 만드는 멋진 세상 198화</v>
      </c>
      <c r="D1882" t="str">
        <f>T("198")</f>
        <v>198</v>
      </c>
      <c r="E1882" t="str">
        <f>T("백범(白帆)")</f>
        <v>백범(白帆)</v>
      </c>
      <c r="H1882" t="str">
        <f>T("에필로그")</f>
        <v>에필로그</v>
      </c>
      <c r="I1882" t="str">
        <f>T("개정판 | 바보가 만드는 멋진 세상")</f>
        <v>개정판 | 바보가 만드는 멋진 세상</v>
      </c>
      <c r="J1882">
        <v>100</v>
      </c>
      <c r="K1882">
        <v>100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100</v>
      </c>
      <c r="AH1882">
        <v>1</v>
      </c>
      <c r="AI1882">
        <v>0</v>
      </c>
      <c r="AJ1882">
        <v>0</v>
      </c>
      <c r="AK1882">
        <v>100</v>
      </c>
      <c r="AL1882">
        <v>0</v>
      </c>
      <c r="AM1882">
        <v>0</v>
      </c>
      <c r="AN1882">
        <v>0</v>
      </c>
      <c r="AO1882">
        <v>0</v>
      </c>
      <c r="AQ1882">
        <v>0</v>
      </c>
      <c r="AR1882">
        <v>0</v>
      </c>
      <c r="AT1882">
        <v>0</v>
      </c>
      <c r="AU1882">
        <v>0</v>
      </c>
      <c r="AW1882">
        <v>0</v>
      </c>
      <c r="AX1882">
        <v>0</v>
      </c>
      <c r="AY1882">
        <v>70</v>
      </c>
      <c r="BC1882" t="str">
        <f>T("9791166003493")</f>
        <v>9791166003493</v>
      </c>
      <c r="BE1882" t="str">
        <f>T("판타지 웹소설 &gt; 현대 판타지")</f>
        <v>판타지 웹소설 &gt; 현대 판타지</v>
      </c>
    </row>
    <row r="1883" spans="1:57" x14ac:dyDescent="0.3">
      <c r="A1883">
        <v>1525008545</v>
      </c>
      <c r="B1883">
        <v>1525008561</v>
      </c>
      <c r="C1883" t="str">
        <f>T("소년연애담 34화")</f>
        <v>소년연애담 34화</v>
      </c>
      <c r="D1883" t="str">
        <f>T("34")</f>
        <v>34</v>
      </c>
      <c r="E1883" t="str">
        <f>T("나나코")</f>
        <v>나나코</v>
      </c>
      <c r="H1883" t="str">
        <f>T("블러쉬")</f>
        <v>블러쉬</v>
      </c>
      <c r="I1883" t="str">
        <f>T("소년연애담")</f>
        <v>소년연애담</v>
      </c>
      <c r="J1883">
        <v>100</v>
      </c>
      <c r="K1883">
        <v>100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100</v>
      </c>
      <c r="AH1883">
        <v>1</v>
      </c>
      <c r="AI1883">
        <v>0</v>
      </c>
      <c r="AJ1883">
        <v>0</v>
      </c>
      <c r="AK1883">
        <v>100</v>
      </c>
      <c r="AL1883">
        <v>0</v>
      </c>
      <c r="AM1883">
        <v>0</v>
      </c>
      <c r="AN1883">
        <v>0</v>
      </c>
      <c r="AO1883">
        <v>0</v>
      </c>
      <c r="AQ1883">
        <v>0</v>
      </c>
      <c r="AR1883">
        <v>0</v>
      </c>
      <c r="AT1883">
        <v>0</v>
      </c>
      <c r="AU1883">
        <v>0</v>
      </c>
      <c r="AW1883">
        <v>0</v>
      </c>
      <c r="AX1883">
        <v>0</v>
      </c>
      <c r="AY1883">
        <v>70</v>
      </c>
      <c r="BA1883" t="str">
        <f>T("0000000000000")</f>
        <v>0000000000000</v>
      </c>
      <c r="BC1883" t="str">
        <f>T("9791164890729")</f>
        <v>9791164890729</v>
      </c>
      <c r="BD1883" t="str">
        <f>T("B12")</f>
        <v>B12</v>
      </c>
      <c r="BE1883" t="str">
        <f>T("BL 웹소설 &gt; 현대물")</f>
        <v>BL 웹소설 &gt; 현대물</v>
      </c>
    </row>
    <row r="1884" spans="1:57" x14ac:dyDescent="0.3">
      <c r="A1884">
        <v>1525008428</v>
      </c>
      <c r="B1884">
        <v>1525008513</v>
      </c>
      <c r="C1884" t="str">
        <f>T("무히비(Muhibbi) 97화")</f>
        <v>무히비(Muhibbi) 97화</v>
      </c>
      <c r="D1884" t="str">
        <f>T("97")</f>
        <v>97</v>
      </c>
      <c r="E1884" t="str">
        <f>T("jooki")</f>
        <v>jooki</v>
      </c>
      <c r="H1884" t="str">
        <f>T("블러쉬")</f>
        <v>블러쉬</v>
      </c>
      <c r="I1884" t="str">
        <f>T("무히비(Muhibbi)")</f>
        <v>무히비(Muhibbi)</v>
      </c>
      <c r="J1884">
        <v>100</v>
      </c>
      <c r="K1884">
        <v>100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100</v>
      </c>
      <c r="AH1884">
        <v>1</v>
      </c>
      <c r="AI1884">
        <v>0</v>
      </c>
      <c r="AJ1884">
        <v>0</v>
      </c>
      <c r="AK1884">
        <v>100</v>
      </c>
      <c r="AL1884">
        <v>0</v>
      </c>
      <c r="AM1884">
        <v>0</v>
      </c>
      <c r="AN1884">
        <v>0</v>
      </c>
      <c r="AO1884">
        <v>0</v>
      </c>
      <c r="AQ1884">
        <v>0</v>
      </c>
      <c r="AR1884">
        <v>0</v>
      </c>
      <c r="AT1884">
        <v>0</v>
      </c>
      <c r="AU1884">
        <v>0</v>
      </c>
      <c r="AW1884">
        <v>0</v>
      </c>
      <c r="AX1884">
        <v>0</v>
      </c>
      <c r="AY1884">
        <v>70</v>
      </c>
      <c r="BA1884" t="str">
        <f>T("0000000000000")</f>
        <v>0000000000000</v>
      </c>
      <c r="BC1884" t="str">
        <f>T("9791164896622")</f>
        <v>9791164896622</v>
      </c>
      <c r="BE1884" t="str">
        <f>T("BL 웹소설 &gt; 역사/시대물")</f>
        <v>BL 웹소설 &gt; 역사/시대물</v>
      </c>
    </row>
    <row r="1885" spans="1:57" x14ac:dyDescent="0.3">
      <c r="A1885">
        <v>1525012551</v>
      </c>
      <c r="B1885">
        <v>1525012626</v>
      </c>
      <c r="C1885" t="str">
        <f>T("개정판 | 바보가 만드는 멋진 세상 76화")</f>
        <v>개정판 | 바보가 만드는 멋진 세상 76화</v>
      </c>
      <c r="D1885" t="str">
        <f>T("76")</f>
        <v>76</v>
      </c>
      <c r="E1885" t="str">
        <f>T("백범(白帆)")</f>
        <v>백범(白帆)</v>
      </c>
      <c r="H1885" t="str">
        <f>T("에필로그")</f>
        <v>에필로그</v>
      </c>
      <c r="I1885" t="str">
        <f>T("개정판 | 바보가 만드는 멋진 세상")</f>
        <v>개정판 | 바보가 만드는 멋진 세상</v>
      </c>
      <c r="J1885">
        <v>100</v>
      </c>
      <c r="K1885">
        <v>100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100</v>
      </c>
      <c r="AH1885">
        <v>1</v>
      </c>
      <c r="AI1885">
        <v>0</v>
      </c>
      <c r="AJ1885">
        <v>0</v>
      </c>
      <c r="AK1885">
        <v>100</v>
      </c>
      <c r="AL1885">
        <v>0</v>
      </c>
      <c r="AM1885">
        <v>0</v>
      </c>
      <c r="AN1885">
        <v>0</v>
      </c>
      <c r="AO1885">
        <v>0</v>
      </c>
      <c r="AQ1885">
        <v>0</v>
      </c>
      <c r="AR1885">
        <v>0</v>
      </c>
      <c r="AT1885">
        <v>0</v>
      </c>
      <c r="AU1885">
        <v>0</v>
      </c>
      <c r="AW1885">
        <v>0</v>
      </c>
      <c r="AX1885">
        <v>0</v>
      </c>
      <c r="AY1885">
        <v>70</v>
      </c>
      <c r="BC1885" t="str">
        <f>T("9791166003493")</f>
        <v>9791166003493</v>
      </c>
      <c r="BE1885" t="str">
        <f>T("판타지 웹소설 &gt; 현대 판타지")</f>
        <v>판타지 웹소설 &gt; 현대 판타지</v>
      </c>
    </row>
    <row r="1886" spans="1:57" x14ac:dyDescent="0.3">
      <c r="A1886">
        <v>1525000924</v>
      </c>
      <c r="B1886">
        <v>1525000959</v>
      </c>
      <c r="C1886" t="str">
        <f>T("스피릿 소드 36화")</f>
        <v>스피릿 소드 36화</v>
      </c>
      <c r="D1886" t="str">
        <f>T("36")</f>
        <v>36</v>
      </c>
      <c r="E1886" t="str">
        <f>T("김정률")</f>
        <v>김정률</v>
      </c>
      <c r="H1886" t="str">
        <f>T("스토리위즈")</f>
        <v>스토리위즈</v>
      </c>
      <c r="I1886" t="str">
        <f>T("스피릿 소드")</f>
        <v>스피릿 소드</v>
      </c>
      <c r="J1886">
        <v>100</v>
      </c>
      <c r="K1886">
        <v>100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100</v>
      </c>
      <c r="AH1886">
        <v>1</v>
      </c>
      <c r="AI1886">
        <v>0</v>
      </c>
      <c r="AJ1886">
        <v>0</v>
      </c>
      <c r="AK1886">
        <v>100</v>
      </c>
      <c r="AL1886">
        <v>0</v>
      </c>
      <c r="AM1886">
        <v>0</v>
      </c>
      <c r="AN1886">
        <v>0</v>
      </c>
      <c r="AO1886">
        <v>0</v>
      </c>
      <c r="AQ1886">
        <v>0</v>
      </c>
      <c r="AR1886">
        <v>0</v>
      </c>
      <c r="AT1886">
        <v>0</v>
      </c>
      <c r="AU1886">
        <v>0</v>
      </c>
      <c r="AW1886">
        <v>0</v>
      </c>
      <c r="AX1886">
        <v>0</v>
      </c>
      <c r="AY1886">
        <v>70</v>
      </c>
      <c r="BA1886" t="str">
        <f>T("9791159282713")</f>
        <v>9791159282713</v>
      </c>
      <c r="BC1886" t="str">
        <f>T("9791159282713")</f>
        <v>9791159282713</v>
      </c>
      <c r="BE1886" t="str">
        <f>T("판타지 웹소설 &gt; 정통 판타지")</f>
        <v>판타지 웹소설 &gt; 정통 판타지</v>
      </c>
    </row>
    <row r="1887" spans="1:57" x14ac:dyDescent="0.3">
      <c r="A1887">
        <v>1525004030</v>
      </c>
      <c r="B1887">
        <v>1525006693</v>
      </c>
      <c r="C1887" t="str">
        <f>T("회귀의 전설 2부 576화")</f>
        <v>회귀의 전설 2부 576화</v>
      </c>
      <c r="D1887" t="str">
        <f>T("576")</f>
        <v>576</v>
      </c>
      <c r="E1887" t="str">
        <f>T("김광수")</f>
        <v>김광수</v>
      </c>
      <c r="H1887" t="str">
        <f>T("스토리위즈")</f>
        <v>스토리위즈</v>
      </c>
      <c r="I1887" t="str">
        <f>T("회귀의 전설")</f>
        <v>회귀의 전설</v>
      </c>
      <c r="J1887">
        <v>100</v>
      </c>
      <c r="K1887">
        <v>100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100</v>
      </c>
      <c r="AH1887">
        <v>1</v>
      </c>
      <c r="AI1887">
        <v>0</v>
      </c>
      <c r="AJ1887">
        <v>0</v>
      </c>
      <c r="AK1887">
        <v>100</v>
      </c>
      <c r="AL1887">
        <v>0</v>
      </c>
      <c r="AM1887">
        <v>0</v>
      </c>
      <c r="AN1887">
        <v>0</v>
      </c>
      <c r="AO1887">
        <v>0</v>
      </c>
      <c r="AQ1887">
        <v>0</v>
      </c>
      <c r="AR1887">
        <v>0</v>
      </c>
      <c r="AT1887">
        <v>0</v>
      </c>
      <c r="AU1887">
        <v>0</v>
      </c>
      <c r="AW1887">
        <v>0</v>
      </c>
      <c r="AX1887">
        <v>0</v>
      </c>
      <c r="AY1887">
        <v>70</v>
      </c>
      <c r="BC1887" t="str">
        <f>T("9791191102086")</f>
        <v>9791191102086</v>
      </c>
      <c r="BE1887" t="str">
        <f>T("판타지 웹소설 &gt; 현대 판타지")</f>
        <v>판타지 웹소설 &gt; 현대 판타지</v>
      </c>
    </row>
    <row r="1888" spans="1:57" x14ac:dyDescent="0.3">
      <c r="A1888">
        <v>1525013020</v>
      </c>
      <c r="B1888">
        <v>1525013063</v>
      </c>
      <c r="C1888" t="str">
        <f>T("악당의 리턴 44화")</f>
        <v>악당의 리턴 44화</v>
      </c>
      <c r="D1888" t="str">
        <f>T("44")</f>
        <v>44</v>
      </c>
      <c r="E1888" t="str">
        <f>T("백범(白帆)")</f>
        <v>백범(白帆)</v>
      </c>
      <c r="H1888" t="str">
        <f>T("에필로그")</f>
        <v>에필로그</v>
      </c>
      <c r="I1888" t="str">
        <f>T("악당의 리턴")</f>
        <v>악당의 리턴</v>
      </c>
      <c r="J1888">
        <v>100</v>
      </c>
      <c r="K1888">
        <v>100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100</v>
      </c>
      <c r="AH1888">
        <v>1</v>
      </c>
      <c r="AI1888">
        <v>0</v>
      </c>
      <c r="AJ1888">
        <v>0</v>
      </c>
      <c r="AK1888">
        <v>100</v>
      </c>
      <c r="AL1888">
        <v>0</v>
      </c>
      <c r="AM1888">
        <v>0</v>
      </c>
      <c r="AN1888">
        <v>0</v>
      </c>
      <c r="AO1888">
        <v>0</v>
      </c>
      <c r="AQ1888">
        <v>0</v>
      </c>
      <c r="AR1888">
        <v>0</v>
      </c>
      <c r="AT1888">
        <v>0</v>
      </c>
      <c r="AU1888">
        <v>0</v>
      </c>
      <c r="AW1888">
        <v>0</v>
      </c>
      <c r="AX1888">
        <v>0</v>
      </c>
      <c r="AY1888">
        <v>70</v>
      </c>
      <c r="BC1888" t="str">
        <f>T("9791196538927")</f>
        <v>9791196538927</v>
      </c>
      <c r="BE1888" t="str">
        <f>T("판타지 웹소설 &gt; 현대 판타지")</f>
        <v>판타지 웹소설 &gt; 현대 판타지</v>
      </c>
    </row>
    <row r="1889" spans="1:57" x14ac:dyDescent="0.3">
      <c r="A1889">
        <v>1525004030</v>
      </c>
      <c r="B1889">
        <v>1525007136</v>
      </c>
      <c r="C1889" t="str">
        <f>T("회귀의 전설 2부 1020화")</f>
        <v>회귀의 전설 2부 1020화</v>
      </c>
      <c r="D1889" t="str">
        <f>T("1020")</f>
        <v>1020</v>
      </c>
      <c r="E1889" t="str">
        <f>T("김광수")</f>
        <v>김광수</v>
      </c>
      <c r="H1889" t="str">
        <f>T("스토리위즈")</f>
        <v>스토리위즈</v>
      </c>
      <c r="I1889" t="str">
        <f>T("회귀의 전설")</f>
        <v>회귀의 전설</v>
      </c>
      <c r="J1889">
        <v>100</v>
      </c>
      <c r="K1889">
        <v>100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100</v>
      </c>
      <c r="AH1889">
        <v>1</v>
      </c>
      <c r="AI1889">
        <v>0</v>
      </c>
      <c r="AJ1889">
        <v>0</v>
      </c>
      <c r="AK1889">
        <v>100</v>
      </c>
      <c r="AL1889">
        <v>0</v>
      </c>
      <c r="AM1889">
        <v>0</v>
      </c>
      <c r="AN1889">
        <v>0</v>
      </c>
      <c r="AO1889">
        <v>0</v>
      </c>
      <c r="AQ1889">
        <v>0</v>
      </c>
      <c r="AR1889">
        <v>0</v>
      </c>
      <c r="AT1889">
        <v>0</v>
      </c>
      <c r="AU1889">
        <v>0</v>
      </c>
      <c r="AW1889">
        <v>0</v>
      </c>
      <c r="AX1889">
        <v>0</v>
      </c>
      <c r="AY1889">
        <v>70</v>
      </c>
      <c r="BC1889" t="str">
        <f>T("9791191102086")</f>
        <v>9791191102086</v>
      </c>
      <c r="BE1889" t="str">
        <f>T("판타지 웹소설 &gt; 현대 판타지")</f>
        <v>판타지 웹소설 &gt; 현대 판타지</v>
      </c>
    </row>
    <row r="1890" spans="1:57" x14ac:dyDescent="0.3">
      <c r="A1890">
        <v>1525012551</v>
      </c>
      <c r="B1890">
        <v>1525012737</v>
      </c>
      <c r="C1890" t="str">
        <f>T("개정판 | 바보가 만드는 멋진 세상 187화")</f>
        <v>개정판 | 바보가 만드는 멋진 세상 187화</v>
      </c>
      <c r="D1890" t="str">
        <f>T("187")</f>
        <v>187</v>
      </c>
      <c r="E1890" t="str">
        <f>T("백범(白帆)")</f>
        <v>백범(白帆)</v>
      </c>
      <c r="H1890" t="str">
        <f>T("에필로그")</f>
        <v>에필로그</v>
      </c>
      <c r="I1890" t="str">
        <f>T("개정판 | 바보가 만드는 멋진 세상")</f>
        <v>개정판 | 바보가 만드는 멋진 세상</v>
      </c>
      <c r="J1890">
        <v>100</v>
      </c>
      <c r="K1890">
        <v>100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100</v>
      </c>
      <c r="AH1890">
        <v>1</v>
      </c>
      <c r="AI1890">
        <v>0</v>
      </c>
      <c r="AJ1890">
        <v>0</v>
      </c>
      <c r="AK1890">
        <v>100</v>
      </c>
      <c r="AL1890">
        <v>0</v>
      </c>
      <c r="AM1890">
        <v>0</v>
      </c>
      <c r="AN1890">
        <v>0</v>
      </c>
      <c r="AO1890">
        <v>0</v>
      </c>
      <c r="AQ1890">
        <v>0</v>
      </c>
      <c r="AR1890">
        <v>0</v>
      </c>
      <c r="AT1890">
        <v>0</v>
      </c>
      <c r="AU1890">
        <v>0</v>
      </c>
      <c r="AW1890">
        <v>0</v>
      </c>
      <c r="AX1890">
        <v>0</v>
      </c>
      <c r="AY1890">
        <v>70</v>
      </c>
      <c r="BC1890" t="str">
        <f>T("9791166003493")</f>
        <v>9791166003493</v>
      </c>
      <c r="BE1890" t="str">
        <f>T("판타지 웹소설 &gt; 현대 판타지")</f>
        <v>판타지 웹소설 &gt; 현대 판타지</v>
      </c>
    </row>
    <row r="1891" spans="1:57" x14ac:dyDescent="0.3">
      <c r="A1891">
        <v>1525008545</v>
      </c>
      <c r="B1891">
        <v>1525008550</v>
      </c>
      <c r="C1891" t="str">
        <f>T("소년연애담 24화")</f>
        <v>소년연애담 24화</v>
      </c>
      <c r="D1891" t="str">
        <f>T("24")</f>
        <v>24</v>
      </c>
      <c r="E1891" t="str">
        <f>T("나나코")</f>
        <v>나나코</v>
      </c>
      <c r="H1891" t="str">
        <f>T("블러쉬")</f>
        <v>블러쉬</v>
      </c>
      <c r="I1891" t="str">
        <f>T("소년연애담")</f>
        <v>소년연애담</v>
      </c>
      <c r="J1891">
        <v>100</v>
      </c>
      <c r="K1891">
        <v>100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100</v>
      </c>
      <c r="AH1891">
        <v>1</v>
      </c>
      <c r="AI1891">
        <v>0</v>
      </c>
      <c r="AJ1891">
        <v>0</v>
      </c>
      <c r="AK1891">
        <v>100</v>
      </c>
      <c r="AL1891">
        <v>0</v>
      </c>
      <c r="AM1891">
        <v>0</v>
      </c>
      <c r="AN1891">
        <v>0</v>
      </c>
      <c r="AO1891">
        <v>0</v>
      </c>
      <c r="AQ1891">
        <v>0</v>
      </c>
      <c r="AR1891">
        <v>0</v>
      </c>
      <c r="AT1891">
        <v>0</v>
      </c>
      <c r="AU1891">
        <v>0</v>
      </c>
      <c r="AW1891">
        <v>0</v>
      </c>
      <c r="AX1891">
        <v>0</v>
      </c>
      <c r="AY1891">
        <v>70</v>
      </c>
      <c r="BA1891" t="str">
        <f>T("0000000000000")</f>
        <v>0000000000000</v>
      </c>
      <c r="BC1891" t="str">
        <f>T("9791164890729")</f>
        <v>9791164890729</v>
      </c>
      <c r="BD1891" t="str">
        <f>T("B12")</f>
        <v>B12</v>
      </c>
      <c r="BE1891" t="str">
        <f>T("BL 웹소설 &gt; 현대물")</f>
        <v>BL 웹소설 &gt; 현대물</v>
      </c>
    </row>
    <row r="1892" spans="1:57" x14ac:dyDescent="0.3">
      <c r="A1892">
        <v>1525008428</v>
      </c>
      <c r="B1892">
        <v>1525008502</v>
      </c>
      <c r="C1892" t="str">
        <f>T("무히비(Muhibbi) 87화")</f>
        <v>무히비(Muhibbi) 87화</v>
      </c>
      <c r="D1892" t="str">
        <f>T("87")</f>
        <v>87</v>
      </c>
      <c r="E1892" t="str">
        <f>T("jooki")</f>
        <v>jooki</v>
      </c>
      <c r="H1892" t="str">
        <f>T("블러쉬")</f>
        <v>블러쉬</v>
      </c>
      <c r="I1892" t="str">
        <f>T("무히비(Muhibbi)")</f>
        <v>무히비(Muhibbi)</v>
      </c>
      <c r="J1892">
        <v>100</v>
      </c>
      <c r="K1892">
        <v>100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100</v>
      </c>
      <c r="AH1892">
        <v>1</v>
      </c>
      <c r="AI1892">
        <v>0</v>
      </c>
      <c r="AJ1892">
        <v>0</v>
      </c>
      <c r="AK1892">
        <v>100</v>
      </c>
      <c r="AL1892">
        <v>0</v>
      </c>
      <c r="AM1892">
        <v>0</v>
      </c>
      <c r="AN1892">
        <v>0</v>
      </c>
      <c r="AO1892">
        <v>0</v>
      </c>
      <c r="AQ1892">
        <v>0</v>
      </c>
      <c r="AR1892">
        <v>0</v>
      </c>
      <c r="AT1892">
        <v>0</v>
      </c>
      <c r="AU1892">
        <v>0</v>
      </c>
      <c r="AW1892">
        <v>0</v>
      </c>
      <c r="AX1892">
        <v>0</v>
      </c>
      <c r="AY1892">
        <v>70</v>
      </c>
      <c r="BA1892" t="str">
        <f>T("0000000000000")</f>
        <v>0000000000000</v>
      </c>
      <c r="BC1892" t="str">
        <f>T("9791164896622")</f>
        <v>9791164896622</v>
      </c>
      <c r="BE1892" t="str">
        <f>T("BL 웹소설 &gt; 역사/시대물")</f>
        <v>BL 웹소설 &gt; 역사/시대물</v>
      </c>
    </row>
    <row r="1893" spans="1:57" x14ac:dyDescent="0.3">
      <c r="A1893">
        <v>1525012551</v>
      </c>
      <c r="B1893">
        <v>1525012615</v>
      </c>
      <c r="C1893" t="str">
        <f>T("개정판 | 바보가 만드는 멋진 세상 65화")</f>
        <v>개정판 | 바보가 만드는 멋진 세상 65화</v>
      </c>
      <c r="D1893" t="str">
        <f>T("65")</f>
        <v>65</v>
      </c>
      <c r="E1893" t="str">
        <f>T("백범(白帆)")</f>
        <v>백범(白帆)</v>
      </c>
      <c r="H1893" t="str">
        <f>T("에필로그")</f>
        <v>에필로그</v>
      </c>
      <c r="I1893" t="str">
        <f>T("개정판 | 바보가 만드는 멋진 세상")</f>
        <v>개정판 | 바보가 만드는 멋진 세상</v>
      </c>
      <c r="J1893">
        <v>100</v>
      </c>
      <c r="K1893">
        <v>100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100</v>
      </c>
      <c r="AH1893">
        <v>1</v>
      </c>
      <c r="AI1893">
        <v>0</v>
      </c>
      <c r="AJ1893">
        <v>0</v>
      </c>
      <c r="AK1893">
        <v>100</v>
      </c>
      <c r="AL1893">
        <v>0</v>
      </c>
      <c r="AM1893">
        <v>0</v>
      </c>
      <c r="AN1893">
        <v>0</v>
      </c>
      <c r="AO1893">
        <v>0</v>
      </c>
      <c r="AQ1893">
        <v>0</v>
      </c>
      <c r="AR1893">
        <v>0</v>
      </c>
      <c r="AT1893">
        <v>0</v>
      </c>
      <c r="AU1893">
        <v>0</v>
      </c>
      <c r="AW1893">
        <v>0</v>
      </c>
      <c r="AX1893">
        <v>0</v>
      </c>
      <c r="AY1893">
        <v>70</v>
      </c>
      <c r="BC1893" t="str">
        <f>T("9791166003493")</f>
        <v>9791166003493</v>
      </c>
      <c r="BE1893" t="str">
        <f>T("판타지 웹소설 &gt; 현대 판타지")</f>
        <v>판타지 웹소설 &gt; 현대 판타지</v>
      </c>
    </row>
    <row r="1894" spans="1:57" x14ac:dyDescent="0.3">
      <c r="A1894">
        <v>1525004799</v>
      </c>
      <c r="B1894">
        <v>1525004965</v>
      </c>
      <c r="C1894" t="str">
        <f>T("검산도해 167화")</f>
        <v>검산도해 167화</v>
      </c>
      <c r="D1894" t="str">
        <f>T("167")</f>
        <v>167</v>
      </c>
      <c r="E1894" t="str">
        <f>T("권용찬")</f>
        <v>권용찬</v>
      </c>
      <c r="H1894" t="str">
        <f>T("스토리위즈")</f>
        <v>스토리위즈</v>
      </c>
      <c r="I1894" t="str">
        <f>T("검산도해")</f>
        <v>검산도해</v>
      </c>
      <c r="J1894">
        <v>100</v>
      </c>
      <c r="K1894">
        <v>100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100</v>
      </c>
      <c r="AH1894">
        <v>1</v>
      </c>
      <c r="AI1894">
        <v>0</v>
      </c>
      <c r="AJ1894">
        <v>0</v>
      </c>
      <c r="AK1894">
        <v>0</v>
      </c>
      <c r="AL1894">
        <v>0</v>
      </c>
      <c r="AM1894">
        <v>120</v>
      </c>
      <c r="AN1894">
        <v>-12</v>
      </c>
      <c r="AO1894">
        <v>0</v>
      </c>
      <c r="AQ1894">
        <v>0</v>
      </c>
      <c r="AR1894">
        <v>0</v>
      </c>
      <c r="AS1894">
        <v>120</v>
      </c>
      <c r="AT1894">
        <v>-12</v>
      </c>
      <c r="AU1894">
        <v>0</v>
      </c>
      <c r="AW1894">
        <v>0</v>
      </c>
      <c r="AX1894">
        <v>0</v>
      </c>
      <c r="AY1894">
        <v>75.599999999999994</v>
      </c>
      <c r="BC1894" t="str">
        <f>T("9791159285936")</f>
        <v>9791159285936</v>
      </c>
      <c r="BE1894" t="str">
        <f>T("판타지 웹소설 &gt; 무협 소설")</f>
        <v>판타지 웹소설 &gt; 무협 소설</v>
      </c>
    </row>
    <row r="1895" spans="1:57" x14ac:dyDescent="0.3">
      <c r="A1895">
        <v>1525004030</v>
      </c>
      <c r="B1895">
        <v>1525007054</v>
      </c>
      <c r="C1895" t="str">
        <f>T("회귀의 전설 2부 938화")</f>
        <v>회귀의 전설 2부 938화</v>
      </c>
      <c r="D1895" t="str">
        <f>T("938")</f>
        <v>938</v>
      </c>
      <c r="E1895" t="str">
        <f>T("김광수")</f>
        <v>김광수</v>
      </c>
      <c r="H1895" t="str">
        <f>T("스토리위즈")</f>
        <v>스토리위즈</v>
      </c>
      <c r="I1895" t="str">
        <f>T("회귀의 전설")</f>
        <v>회귀의 전설</v>
      </c>
      <c r="J1895">
        <v>100</v>
      </c>
      <c r="K1895">
        <v>100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100</v>
      </c>
      <c r="AH1895">
        <v>1</v>
      </c>
      <c r="AI1895">
        <v>0</v>
      </c>
      <c r="AJ1895">
        <v>0</v>
      </c>
      <c r="AK1895">
        <v>100</v>
      </c>
      <c r="AL1895">
        <v>0</v>
      </c>
      <c r="AM1895">
        <v>0</v>
      </c>
      <c r="AN1895">
        <v>0</v>
      </c>
      <c r="AO1895">
        <v>0</v>
      </c>
      <c r="AQ1895">
        <v>0</v>
      </c>
      <c r="AR1895">
        <v>0</v>
      </c>
      <c r="AT1895">
        <v>0</v>
      </c>
      <c r="AU1895">
        <v>0</v>
      </c>
      <c r="AW1895">
        <v>0</v>
      </c>
      <c r="AX1895">
        <v>0</v>
      </c>
      <c r="AY1895">
        <v>70</v>
      </c>
      <c r="BC1895" t="str">
        <f>T("9791191102086")</f>
        <v>9791191102086</v>
      </c>
      <c r="BE1895" t="str">
        <f>T("판타지 웹소설 &gt; 현대 판타지")</f>
        <v>판타지 웹소설 &gt; 현대 판타지</v>
      </c>
    </row>
    <row r="1896" spans="1:57" x14ac:dyDescent="0.3">
      <c r="A1896">
        <v>1525004030</v>
      </c>
      <c r="B1896">
        <v>1525004510</v>
      </c>
      <c r="C1896" t="str">
        <f>T("회귀의 전설 499화")</f>
        <v>회귀의 전설 499화</v>
      </c>
      <c r="D1896" t="str">
        <f>T("499")</f>
        <v>499</v>
      </c>
      <c r="E1896" t="str">
        <f>T("김광수")</f>
        <v>김광수</v>
      </c>
      <c r="H1896" t="str">
        <f>T("스토리위즈")</f>
        <v>스토리위즈</v>
      </c>
      <c r="I1896" t="str">
        <f>T("회귀의 전설")</f>
        <v>회귀의 전설</v>
      </c>
      <c r="J1896">
        <v>100</v>
      </c>
      <c r="K1896">
        <v>100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100</v>
      </c>
      <c r="AH1896">
        <v>1</v>
      </c>
      <c r="AI1896">
        <v>0</v>
      </c>
      <c r="AJ1896">
        <v>0</v>
      </c>
      <c r="AK1896">
        <v>100</v>
      </c>
      <c r="AL1896">
        <v>0</v>
      </c>
      <c r="AM1896">
        <v>0</v>
      </c>
      <c r="AN1896">
        <v>0</v>
      </c>
      <c r="AO1896">
        <v>0</v>
      </c>
      <c r="AQ1896">
        <v>0</v>
      </c>
      <c r="AR1896">
        <v>0</v>
      </c>
      <c r="AT1896">
        <v>0</v>
      </c>
      <c r="AU1896">
        <v>0</v>
      </c>
      <c r="AW1896">
        <v>0</v>
      </c>
      <c r="AX1896">
        <v>0</v>
      </c>
      <c r="AY1896">
        <v>70</v>
      </c>
      <c r="BC1896" t="str">
        <f>T("9788997946006")</f>
        <v>9788997946006</v>
      </c>
      <c r="BE1896" t="str">
        <f>T("판타지 웹소설 &gt; 현대 판타지")</f>
        <v>판타지 웹소설 &gt; 현대 판타지</v>
      </c>
    </row>
    <row r="1897" spans="1:57" x14ac:dyDescent="0.3">
      <c r="A1897">
        <v>1525013020</v>
      </c>
      <c r="B1897">
        <v>1525013095</v>
      </c>
      <c r="C1897" t="str">
        <f>T("악당의 리턴 76화")</f>
        <v>악당의 리턴 76화</v>
      </c>
      <c r="D1897" t="str">
        <f>T("76")</f>
        <v>76</v>
      </c>
      <c r="E1897" t="str">
        <f>T("백범(白帆)")</f>
        <v>백범(白帆)</v>
      </c>
      <c r="H1897" t="str">
        <f>T("에필로그")</f>
        <v>에필로그</v>
      </c>
      <c r="I1897" t="str">
        <f>T("악당의 리턴")</f>
        <v>악당의 리턴</v>
      </c>
      <c r="J1897">
        <v>100</v>
      </c>
      <c r="K1897">
        <v>100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100</v>
      </c>
      <c r="AH1897">
        <v>1</v>
      </c>
      <c r="AI1897">
        <v>0</v>
      </c>
      <c r="AJ1897">
        <v>0</v>
      </c>
      <c r="AK1897">
        <v>100</v>
      </c>
      <c r="AL1897">
        <v>0</v>
      </c>
      <c r="AM1897">
        <v>0</v>
      </c>
      <c r="AN1897">
        <v>0</v>
      </c>
      <c r="AO1897">
        <v>0</v>
      </c>
      <c r="AQ1897">
        <v>0</v>
      </c>
      <c r="AR1897">
        <v>0</v>
      </c>
      <c r="AT1897">
        <v>0</v>
      </c>
      <c r="AU1897">
        <v>0</v>
      </c>
      <c r="AW1897">
        <v>0</v>
      </c>
      <c r="AX1897">
        <v>0</v>
      </c>
      <c r="AY1897">
        <v>70</v>
      </c>
      <c r="BC1897" t="str">
        <f>T("9791196538927")</f>
        <v>9791196538927</v>
      </c>
      <c r="BE1897" t="str">
        <f>T("판타지 웹소설 &gt; 현대 판타지")</f>
        <v>판타지 웹소설 &gt; 현대 판타지</v>
      </c>
    </row>
    <row r="1898" spans="1:57" x14ac:dyDescent="0.3">
      <c r="A1898">
        <v>1525007923</v>
      </c>
      <c r="B1898">
        <v>1525007899</v>
      </c>
      <c r="C1898" t="str">
        <f>T("운상연담: 화불능귀일락 100화")</f>
        <v>운상연담: 화불능귀일락 100화</v>
      </c>
      <c r="D1898" t="str">
        <f>T("100")</f>
        <v>100</v>
      </c>
      <c r="E1898" t="str">
        <f>T("피모")</f>
        <v>피모</v>
      </c>
      <c r="H1898" t="str">
        <f>T("쉬라즈")</f>
        <v>쉬라즈</v>
      </c>
      <c r="I1898" t="str">
        <f>T("운상연담: 화불능귀일락")</f>
        <v>운상연담: 화불능귀일락</v>
      </c>
      <c r="J1898">
        <v>100</v>
      </c>
      <c r="K1898">
        <v>100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100</v>
      </c>
      <c r="AH1898">
        <v>1</v>
      </c>
      <c r="AI1898">
        <v>0</v>
      </c>
      <c r="AJ1898">
        <v>0</v>
      </c>
      <c r="AK1898">
        <v>100</v>
      </c>
      <c r="AL1898">
        <v>0</v>
      </c>
      <c r="AM1898">
        <v>0</v>
      </c>
      <c r="AN1898">
        <v>0</v>
      </c>
      <c r="AO1898">
        <v>0</v>
      </c>
      <c r="AQ1898">
        <v>0</v>
      </c>
      <c r="AR1898">
        <v>0</v>
      </c>
      <c r="AT1898">
        <v>0</v>
      </c>
      <c r="AU1898">
        <v>0</v>
      </c>
      <c r="AW1898">
        <v>0</v>
      </c>
      <c r="AX1898">
        <v>0</v>
      </c>
      <c r="AY1898">
        <v>70</v>
      </c>
      <c r="BC1898" t="str">
        <f>T("9791164896646")</f>
        <v>9791164896646</v>
      </c>
      <c r="BE1898" t="str">
        <f>T("로맨스 웹소설 &gt; 역사/시대물")</f>
        <v>로맨스 웹소설 &gt; 역사/시대물</v>
      </c>
    </row>
    <row r="1899" spans="1:57" x14ac:dyDescent="0.3">
      <c r="A1899">
        <v>1525012551</v>
      </c>
      <c r="B1899">
        <v>1525012656</v>
      </c>
      <c r="C1899" t="str">
        <f>T("개정판 | 바보가 만드는 멋진 세상 106화")</f>
        <v>개정판 | 바보가 만드는 멋진 세상 106화</v>
      </c>
      <c r="D1899" t="str">
        <f>T("106")</f>
        <v>106</v>
      </c>
      <c r="E1899" t="str">
        <f>T("백범(白帆)")</f>
        <v>백범(白帆)</v>
      </c>
      <c r="H1899" t="str">
        <f>T("에필로그")</f>
        <v>에필로그</v>
      </c>
      <c r="I1899" t="str">
        <f>T("개정판 | 바보가 만드는 멋진 세상")</f>
        <v>개정판 | 바보가 만드는 멋진 세상</v>
      </c>
      <c r="J1899">
        <v>100</v>
      </c>
      <c r="K1899">
        <v>100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100</v>
      </c>
      <c r="AH1899">
        <v>1</v>
      </c>
      <c r="AI1899">
        <v>0</v>
      </c>
      <c r="AJ1899">
        <v>0</v>
      </c>
      <c r="AK1899">
        <v>100</v>
      </c>
      <c r="AL1899">
        <v>0</v>
      </c>
      <c r="AM1899">
        <v>0</v>
      </c>
      <c r="AN1899">
        <v>0</v>
      </c>
      <c r="AO1899">
        <v>0</v>
      </c>
      <c r="AQ1899">
        <v>0</v>
      </c>
      <c r="AR1899">
        <v>0</v>
      </c>
      <c r="AT1899">
        <v>0</v>
      </c>
      <c r="AU1899">
        <v>0</v>
      </c>
      <c r="AW1899">
        <v>0</v>
      </c>
      <c r="AX1899">
        <v>0</v>
      </c>
      <c r="AY1899">
        <v>70</v>
      </c>
      <c r="BC1899" t="str">
        <f>T("9791166003493")</f>
        <v>9791166003493</v>
      </c>
      <c r="BE1899" t="str">
        <f>T("판타지 웹소설 &gt; 현대 판타지")</f>
        <v>판타지 웹소설 &gt; 현대 판타지</v>
      </c>
    </row>
    <row r="1900" spans="1:57" x14ac:dyDescent="0.3">
      <c r="A1900">
        <v>1525012551</v>
      </c>
      <c r="B1900">
        <v>1525012754</v>
      </c>
      <c r="C1900" t="str">
        <f>T("개정판 | 바보가 만드는 멋진 세상 204화")</f>
        <v>개정판 | 바보가 만드는 멋진 세상 204화</v>
      </c>
      <c r="D1900" t="str">
        <f>T("204")</f>
        <v>204</v>
      </c>
      <c r="E1900" t="str">
        <f>T("백범(白帆)")</f>
        <v>백범(白帆)</v>
      </c>
      <c r="H1900" t="str">
        <f>T("에필로그")</f>
        <v>에필로그</v>
      </c>
      <c r="I1900" t="str">
        <f>T("개정판 | 바보가 만드는 멋진 세상")</f>
        <v>개정판 | 바보가 만드는 멋진 세상</v>
      </c>
      <c r="J1900">
        <v>100</v>
      </c>
      <c r="K1900">
        <v>100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100</v>
      </c>
      <c r="AH1900">
        <v>1</v>
      </c>
      <c r="AI1900">
        <v>0</v>
      </c>
      <c r="AJ1900">
        <v>0</v>
      </c>
      <c r="AK1900">
        <v>100</v>
      </c>
      <c r="AL1900">
        <v>0</v>
      </c>
      <c r="AM1900">
        <v>0</v>
      </c>
      <c r="AN1900">
        <v>0</v>
      </c>
      <c r="AO1900">
        <v>0</v>
      </c>
      <c r="AQ1900">
        <v>0</v>
      </c>
      <c r="AR1900">
        <v>0</v>
      </c>
      <c r="AT1900">
        <v>0</v>
      </c>
      <c r="AU1900">
        <v>0</v>
      </c>
      <c r="AW1900">
        <v>0</v>
      </c>
      <c r="AX1900">
        <v>0</v>
      </c>
      <c r="AY1900">
        <v>70</v>
      </c>
      <c r="BC1900" t="str">
        <f>T("9791166003493")</f>
        <v>9791166003493</v>
      </c>
      <c r="BE1900" t="str">
        <f>T("판타지 웹소설 &gt; 현대 판타지")</f>
        <v>판타지 웹소설 &gt; 현대 판타지</v>
      </c>
    </row>
    <row r="1901" spans="1:57" x14ac:dyDescent="0.3">
      <c r="A1901">
        <v>1525004799</v>
      </c>
      <c r="B1901">
        <v>1525004827</v>
      </c>
      <c r="C1901" t="str">
        <f>T("검산도해 29화")</f>
        <v>검산도해 29화</v>
      </c>
      <c r="D1901" t="str">
        <f>T("29")</f>
        <v>29</v>
      </c>
      <c r="E1901" t="str">
        <f>T("권용찬")</f>
        <v>권용찬</v>
      </c>
      <c r="H1901" t="str">
        <f t="shared" ref="H1901:H1906" si="182">T("스토리위즈")</f>
        <v>스토리위즈</v>
      </c>
      <c r="I1901" t="str">
        <f>T("검산도해")</f>
        <v>검산도해</v>
      </c>
      <c r="J1901">
        <v>100</v>
      </c>
      <c r="K1901">
        <v>100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100</v>
      </c>
      <c r="AH1901">
        <v>1</v>
      </c>
      <c r="AI1901">
        <v>0</v>
      </c>
      <c r="AJ1901">
        <v>0</v>
      </c>
      <c r="AK1901">
        <v>0</v>
      </c>
      <c r="AL1901">
        <v>0</v>
      </c>
      <c r="AM1901">
        <v>120</v>
      </c>
      <c r="AN1901">
        <v>-12</v>
      </c>
      <c r="AO1901">
        <v>0</v>
      </c>
      <c r="AQ1901">
        <v>0</v>
      </c>
      <c r="AR1901">
        <v>0</v>
      </c>
      <c r="AS1901">
        <v>120</v>
      </c>
      <c r="AT1901">
        <v>-12</v>
      </c>
      <c r="AU1901">
        <v>0</v>
      </c>
      <c r="AW1901">
        <v>0</v>
      </c>
      <c r="AX1901">
        <v>0</v>
      </c>
      <c r="AY1901">
        <v>75.599999999999994</v>
      </c>
      <c r="BC1901" t="str">
        <f>T("9791159285936")</f>
        <v>9791159285936</v>
      </c>
      <c r="BE1901" t="str">
        <f>T("판타지 웹소설 &gt; 무협 소설")</f>
        <v>판타지 웹소설 &gt; 무협 소설</v>
      </c>
    </row>
    <row r="1902" spans="1:57" x14ac:dyDescent="0.3">
      <c r="A1902">
        <v>1525004799</v>
      </c>
      <c r="B1902">
        <v>1525004884</v>
      </c>
      <c r="C1902" t="str">
        <f>T("검산도해 86화")</f>
        <v>검산도해 86화</v>
      </c>
      <c r="D1902" t="str">
        <f>T("86")</f>
        <v>86</v>
      </c>
      <c r="E1902" t="str">
        <f>T("권용찬")</f>
        <v>권용찬</v>
      </c>
      <c r="H1902" t="str">
        <f t="shared" si="182"/>
        <v>스토리위즈</v>
      </c>
      <c r="I1902" t="str">
        <f>T("검산도해")</f>
        <v>검산도해</v>
      </c>
      <c r="J1902">
        <v>100</v>
      </c>
      <c r="K1902">
        <v>100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100</v>
      </c>
      <c r="AH1902">
        <v>1</v>
      </c>
      <c r="AI1902">
        <v>0</v>
      </c>
      <c r="AJ1902">
        <v>0</v>
      </c>
      <c r="AK1902">
        <v>0</v>
      </c>
      <c r="AL1902">
        <v>0</v>
      </c>
      <c r="AM1902">
        <v>120</v>
      </c>
      <c r="AN1902">
        <v>-12</v>
      </c>
      <c r="AO1902">
        <v>0</v>
      </c>
      <c r="AQ1902">
        <v>0</v>
      </c>
      <c r="AR1902">
        <v>0</v>
      </c>
      <c r="AS1902">
        <v>120</v>
      </c>
      <c r="AT1902">
        <v>-12</v>
      </c>
      <c r="AU1902">
        <v>0</v>
      </c>
      <c r="AW1902">
        <v>0</v>
      </c>
      <c r="AX1902">
        <v>0</v>
      </c>
      <c r="AY1902">
        <v>75.599999999999994</v>
      </c>
      <c r="BC1902" t="str">
        <f>T("9791159285936")</f>
        <v>9791159285936</v>
      </c>
      <c r="BE1902" t="str">
        <f>T("판타지 웹소설 &gt; 무협 소설")</f>
        <v>판타지 웹소설 &gt; 무협 소설</v>
      </c>
    </row>
    <row r="1903" spans="1:57" x14ac:dyDescent="0.3">
      <c r="A1903">
        <v>1525000924</v>
      </c>
      <c r="B1903">
        <v>1525000980</v>
      </c>
      <c r="C1903" t="str">
        <f>T("스피릿 소드 57화")</f>
        <v>스피릿 소드 57화</v>
      </c>
      <c r="D1903" t="str">
        <f>T("57")</f>
        <v>57</v>
      </c>
      <c r="E1903" t="str">
        <f>T("김정률")</f>
        <v>김정률</v>
      </c>
      <c r="H1903" t="str">
        <f t="shared" si="182"/>
        <v>스토리위즈</v>
      </c>
      <c r="I1903" t="str">
        <f>T("스피릿 소드")</f>
        <v>스피릿 소드</v>
      </c>
      <c r="J1903">
        <v>100</v>
      </c>
      <c r="K1903">
        <v>100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100</v>
      </c>
      <c r="AH1903">
        <v>1</v>
      </c>
      <c r="AI1903">
        <v>0</v>
      </c>
      <c r="AJ1903">
        <v>0</v>
      </c>
      <c r="AK1903">
        <v>100</v>
      </c>
      <c r="AL1903">
        <v>0</v>
      </c>
      <c r="AM1903">
        <v>0</v>
      </c>
      <c r="AN1903">
        <v>0</v>
      </c>
      <c r="AO1903">
        <v>0</v>
      </c>
      <c r="AQ1903">
        <v>0</v>
      </c>
      <c r="AR1903">
        <v>0</v>
      </c>
      <c r="AT1903">
        <v>0</v>
      </c>
      <c r="AU1903">
        <v>0</v>
      </c>
      <c r="AW1903">
        <v>0</v>
      </c>
      <c r="AX1903">
        <v>0</v>
      </c>
      <c r="AY1903">
        <v>70</v>
      </c>
      <c r="BA1903" t="str">
        <f>T("9791159282713")</f>
        <v>9791159282713</v>
      </c>
      <c r="BC1903" t="str">
        <f>T("9791159282713")</f>
        <v>9791159282713</v>
      </c>
      <c r="BE1903" t="str">
        <f>T("판타지 웹소설 &gt; 정통 판타지")</f>
        <v>판타지 웹소설 &gt; 정통 판타지</v>
      </c>
    </row>
    <row r="1904" spans="1:57" x14ac:dyDescent="0.3">
      <c r="A1904">
        <v>1525004030</v>
      </c>
      <c r="B1904">
        <v>1525007071</v>
      </c>
      <c r="C1904" t="str">
        <f>T("회귀의 전설 2부 955화")</f>
        <v>회귀의 전설 2부 955화</v>
      </c>
      <c r="D1904" t="str">
        <f>T("955")</f>
        <v>955</v>
      </c>
      <c r="E1904" t="str">
        <f>T("김광수")</f>
        <v>김광수</v>
      </c>
      <c r="H1904" t="str">
        <f t="shared" si="182"/>
        <v>스토리위즈</v>
      </c>
      <c r="I1904" t="str">
        <f>T("회귀의 전설")</f>
        <v>회귀의 전설</v>
      </c>
      <c r="J1904">
        <v>100</v>
      </c>
      <c r="K1904">
        <v>100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100</v>
      </c>
      <c r="AH1904">
        <v>1</v>
      </c>
      <c r="AI1904">
        <v>0</v>
      </c>
      <c r="AJ1904">
        <v>0</v>
      </c>
      <c r="AK1904">
        <v>100</v>
      </c>
      <c r="AL1904">
        <v>0</v>
      </c>
      <c r="AM1904">
        <v>0</v>
      </c>
      <c r="AN1904">
        <v>0</v>
      </c>
      <c r="AO1904">
        <v>0</v>
      </c>
      <c r="AQ1904">
        <v>0</v>
      </c>
      <c r="AR1904">
        <v>0</v>
      </c>
      <c r="AT1904">
        <v>0</v>
      </c>
      <c r="AU1904">
        <v>0</v>
      </c>
      <c r="AW1904">
        <v>0</v>
      </c>
      <c r="AX1904">
        <v>0</v>
      </c>
      <c r="AY1904">
        <v>70</v>
      </c>
      <c r="BC1904" t="str">
        <f>T("9791191102086")</f>
        <v>9791191102086</v>
      </c>
      <c r="BE1904" t="str">
        <f>T("판타지 웹소설 &gt; 현대 판타지")</f>
        <v>판타지 웹소설 &gt; 현대 판타지</v>
      </c>
    </row>
    <row r="1905" spans="1:57" x14ac:dyDescent="0.3">
      <c r="A1905">
        <v>1525004030</v>
      </c>
      <c r="B1905">
        <v>1525004542</v>
      </c>
      <c r="C1905" t="str">
        <f>T("회귀의 전설 519화")</f>
        <v>회귀의 전설 519화</v>
      </c>
      <c r="D1905" t="str">
        <f>T("519")</f>
        <v>519</v>
      </c>
      <c r="E1905" t="str">
        <f>T("김광수")</f>
        <v>김광수</v>
      </c>
      <c r="H1905" t="str">
        <f t="shared" si="182"/>
        <v>스토리위즈</v>
      </c>
      <c r="I1905" t="str">
        <f>T("회귀의 전설")</f>
        <v>회귀의 전설</v>
      </c>
      <c r="J1905">
        <v>100</v>
      </c>
      <c r="K1905">
        <v>100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100</v>
      </c>
      <c r="AH1905">
        <v>1</v>
      </c>
      <c r="AI1905">
        <v>0</v>
      </c>
      <c r="AJ1905">
        <v>0</v>
      </c>
      <c r="AK1905">
        <v>100</v>
      </c>
      <c r="AL1905">
        <v>0</v>
      </c>
      <c r="AM1905">
        <v>0</v>
      </c>
      <c r="AN1905">
        <v>0</v>
      </c>
      <c r="AO1905">
        <v>0</v>
      </c>
      <c r="AQ1905">
        <v>0</v>
      </c>
      <c r="AR1905">
        <v>0</v>
      </c>
      <c r="AT1905">
        <v>0</v>
      </c>
      <c r="AU1905">
        <v>0</v>
      </c>
      <c r="AW1905">
        <v>0</v>
      </c>
      <c r="AX1905">
        <v>0</v>
      </c>
      <c r="AY1905">
        <v>70</v>
      </c>
      <c r="BC1905" t="str">
        <f>T("9788997946006")</f>
        <v>9788997946006</v>
      </c>
      <c r="BE1905" t="str">
        <f>T("판타지 웹소설 &gt; 현대 판타지")</f>
        <v>판타지 웹소설 &gt; 현대 판타지</v>
      </c>
    </row>
    <row r="1906" spans="1:57" x14ac:dyDescent="0.3">
      <c r="A1906">
        <v>1525002864</v>
      </c>
      <c r="B1906">
        <v>1525002894</v>
      </c>
      <c r="C1906" t="str">
        <f>T("소드마스터의 환생 31화")</f>
        <v>소드마스터의 환생 31화</v>
      </c>
      <c r="D1906" t="str">
        <f>T("31")</f>
        <v>31</v>
      </c>
      <c r="E1906" t="str">
        <f>T("파란영")</f>
        <v>파란영</v>
      </c>
      <c r="H1906" t="str">
        <f t="shared" si="182"/>
        <v>스토리위즈</v>
      </c>
      <c r="I1906" t="str">
        <f>T("소드마스터의 환생")</f>
        <v>소드마스터의 환생</v>
      </c>
      <c r="J1906">
        <v>100</v>
      </c>
      <c r="K1906">
        <v>100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100</v>
      </c>
      <c r="AH1906">
        <v>1</v>
      </c>
      <c r="AI1906">
        <v>0</v>
      </c>
      <c r="AJ1906">
        <v>0</v>
      </c>
      <c r="AK1906">
        <v>100</v>
      </c>
      <c r="AL1906">
        <v>0</v>
      </c>
      <c r="AM1906">
        <v>0</v>
      </c>
      <c r="AN1906">
        <v>0</v>
      </c>
      <c r="AO1906">
        <v>0</v>
      </c>
      <c r="AQ1906">
        <v>0</v>
      </c>
      <c r="AR1906">
        <v>0</v>
      </c>
      <c r="AT1906">
        <v>0</v>
      </c>
      <c r="AU1906">
        <v>0</v>
      </c>
      <c r="AW1906">
        <v>0</v>
      </c>
      <c r="AX1906">
        <v>0</v>
      </c>
      <c r="AY1906">
        <v>70</v>
      </c>
      <c r="BC1906" t="str">
        <f>T("9791159287527")</f>
        <v>9791159287527</v>
      </c>
      <c r="BE1906" t="str">
        <f>T("판타지 웹소설 &gt; 정통 판타지")</f>
        <v>판타지 웹소설 &gt; 정통 판타지</v>
      </c>
    </row>
    <row r="1907" spans="1:57" x14ac:dyDescent="0.3">
      <c r="A1907">
        <v>1525013020</v>
      </c>
      <c r="B1907">
        <v>1525013112</v>
      </c>
      <c r="C1907" t="str">
        <f>T("악당의 리턴 93화")</f>
        <v>악당의 리턴 93화</v>
      </c>
      <c r="D1907" t="str">
        <f>T("93")</f>
        <v>93</v>
      </c>
      <c r="E1907" t="str">
        <f>T("백범(白帆)")</f>
        <v>백범(白帆)</v>
      </c>
      <c r="H1907" t="str">
        <f>T("에필로그")</f>
        <v>에필로그</v>
      </c>
      <c r="I1907" t="str">
        <f>T("악당의 리턴")</f>
        <v>악당의 리턴</v>
      </c>
      <c r="J1907">
        <v>100</v>
      </c>
      <c r="K1907">
        <v>100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100</v>
      </c>
      <c r="AH1907">
        <v>1</v>
      </c>
      <c r="AI1907">
        <v>0</v>
      </c>
      <c r="AJ1907">
        <v>0</v>
      </c>
      <c r="AK1907">
        <v>100</v>
      </c>
      <c r="AL1907">
        <v>0</v>
      </c>
      <c r="AM1907">
        <v>0</v>
      </c>
      <c r="AN1907">
        <v>0</v>
      </c>
      <c r="AO1907">
        <v>0</v>
      </c>
      <c r="AQ1907">
        <v>0</v>
      </c>
      <c r="AR1907">
        <v>0</v>
      </c>
      <c r="AT1907">
        <v>0</v>
      </c>
      <c r="AU1907">
        <v>0</v>
      </c>
      <c r="AW1907">
        <v>0</v>
      </c>
      <c r="AX1907">
        <v>0</v>
      </c>
      <c r="AY1907">
        <v>70</v>
      </c>
      <c r="BC1907" t="str">
        <f>T("9791196538927")</f>
        <v>9791196538927</v>
      </c>
      <c r="BE1907" t="str">
        <f>T("판타지 웹소설 &gt; 현대 판타지")</f>
        <v>판타지 웹소설 &gt; 현대 판타지</v>
      </c>
    </row>
    <row r="1908" spans="1:57" x14ac:dyDescent="0.3">
      <c r="A1908">
        <v>1525008717</v>
      </c>
      <c r="B1908">
        <v>1525008696</v>
      </c>
      <c r="C1908" t="str">
        <f>T("음양상열지사 109화")</f>
        <v>음양상열지사 109화</v>
      </c>
      <c r="D1908" t="str">
        <f>T("109")</f>
        <v>109</v>
      </c>
      <c r="E1908" t="str">
        <f>T("이염")</f>
        <v>이염</v>
      </c>
      <c r="H1908" t="str">
        <f>T("블러쉬")</f>
        <v>블러쉬</v>
      </c>
      <c r="I1908" t="str">
        <f>T("음양상열지사")</f>
        <v>음양상열지사</v>
      </c>
      <c r="J1908">
        <v>100</v>
      </c>
      <c r="K1908">
        <v>100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100</v>
      </c>
      <c r="AH1908">
        <v>1</v>
      </c>
      <c r="AI1908">
        <v>0</v>
      </c>
      <c r="AJ1908">
        <v>0</v>
      </c>
      <c r="AK1908">
        <v>100</v>
      </c>
      <c r="AL1908">
        <v>0</v>
      </c>
      <c r="AM1908">
        <v>0</v>
      </c>
      <c r="AN1908">
        <v>0</v>
      </c>
      <c r="AO1908">
        <v>0</v>
      </c>
      <c r="AQ1908">
        <v>0</v>
      </c>
      <c r="AR1908">
        <v>0</v>
      </c>
      <c r="AT1908">
        <v>0</v>
      </c>
      <c r="AU1908">
        <v>0</v>
      </c>
      <c r="AW1908">
        <v>0</v>
      </c>
      <c r="AX1908">
        <v>0</v>
      </c>
      <c r="AY1908">
        <v>70</v>
      </c>
      <c r="BA1908" t="str">
        <f>T("0000000000000")</f>
        <v>0000000000000</v>
      </c>
      <c r="BC1908" t="str">
        <f>T("9791164896639")</f>
        <v>9791164896639</v>
      </c>
      <c r="BE1908" t="str">
        <f>T("BL 웹소설 &gt; 역사/시대물")</f>
        <v>BL 웹소설 &gt; 역사/시대물</v>
      </c>
    </row>
    <row r="1909" spans="1:57" x14ac:dyDescent="0.3">
      <c r="A1909">
        <v>1525012551</v>
      </c>
      <c r="B1909">
        <v>1525012688</v>
      </c>
      <c r="C1909" t="str">
        <f>T("개정판 | 바보가 만드는 멋진 세상 138화")</f>
        <v>개정판 | 바보가 만드는 멋진 세상 138화</v>
      </c>
      <c r="D1909" t="str">
        <f>T("138")</f>
        <v>138</v>
      </c>
      <c r="E1909" t="str">
        <f>T("백범(白帆)")</f>
        <v>백범(白帆)</v>
      </c>
      <c r="H1909" t="str">
        <f>T("에필로그")</f>
        <v>에필로그</v>
      </c>
      <c r="I1909" t="str">
        <f>T("개정판 | 바보가 만드는 멋진 세상")</f>
        <v>개정판 | 바보가 만드는 멋진 세상</v>
      </c>
      <c r="J1909">
        <v>100</v>
      </c>
      <c r="K1909">
        <v>100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100</v>
      </c>
      <c r="AH1909">
        <v>1</v>
      </c>
      <c r="AI1909">
        <v>0</v>
      </c>
      <c r="AJ1909">
        <v>0</v>
      </c>
      <c r="AK1909">
        <v>100</v>
      </c>
      <c r="AL1909">
        <v>0</v>
      </c>
      <c r="AM1909">
        <v>0</v>
      </c>
      <c r="AN1909">
        <v>0</v>
      </c>
      <c r="AO1909">
        <v>0</v>
      </c>
      <c r="AQ1909">
        <v>0</v>
      </c>
      <c r="AR1909">
        <v>0</v>
      </c>
      <c r="AT1909">
        <v>0</v>
      </c>
      <c r="AU1909">
        <v>0</v>
      </c>
      <c r="AW1909">
        <v>0</v>
      </c>
      <c r="AX1909">
        <v>0</v>
      </c>
      <c r="AY1909">
        <v>70</v>
      </c>
      <c r="BC1909" t="str">
        <f>T("9791166003493")</f>
        <v>9791166003493</v>
      </c>
      <c r="BE1909" t="str">
        <f>T("판타지 웹소설 &gt; 현대 판타지")</f>
        <v>판타지 웹소설 &gt; 현대 판타지</v>
      </c>
    </row>
    <row r="1910" spans="1:57" x14ac:dyDescent="0.3">
      <c r="A1910">
        <v>1525004799</v>
      </c>
      <c r="B1910">
        <v>1525004859</v>
      </c>
      <c r="C1910" t="str">
        <f>T("검산도해 61화")</f>
        <v>검산도해 61화</v>
      </c>
      <c r="D1910" t="str">
        <f>T("61")</f>
        <v>61</v>
      </c>
      <c r="E1910" t="str">
        <f>T("권용찬")</f>
        <v>권용찬</v>
      </c>
      <c r="H1910" t="str">
        <f>T("스토리위즈")</f>
        <v>스토리위즈</v>
      </c>
      <c r="I1910" t="str">
        <f>T("검산도해")</f>
        <v>검산도해</v>
      </c>
      <c r="J1910">
        <v>100</v>
      </c>
      <c r="K1910">
        <v>100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100</v>
      </c>
      <c r="AH1910">
        <v>1</v>
      </c>
      <c r="AI1910">
        <v>0</v>
      </c>
      <c r="AJ1910">
        <v>0</v>
      </c>
      <c r="AK1910">
        <v>0</v>
      </c>
      <c r="AL1910">
        <v>0</v>
      </c>
      <c r="AM1910">
        <v>120</v>
      </c>
      <c r="AN1910">
        <v>-12</v>
      </c>
      <c r="AO1910">
        <v>0</v>
      </c>
      <c r="AQ1910">
        <v>0</v>
      </c>
      <c r="AR1910">
        <v>0</v>
      </c>
      <c r="AS1910">
        <v>120</v>
      </c>
      <c r="AT1910">
        <v>-12</v>
      </c>
      <c r="AU1910">
        <v>0</v>
      </c>
      <c r="AW1910">
        <v>0</v>
      </c>
      <c r="AX1910">
        <v>0</v>
      </c>
      <c r="AY1910">
        <v>75.599999999999994</v>
      </c>
      <c r="BC1910" t="str">
        <f>T("9791159285936")</f>
        <v>9791159285936</v>
      </c>
      <c r="BE1910" t="str">
        <f>T("판타지 웹소설 &gt; 무협 소설")</f>
        <v>판타지 웹소설 &gt; 무협 소설</v>
      </c>
    </row>
    <row r="1911" spans="1:57" x14ac:dyDescent="0.3">
      <c r="A1911">
        <v>1525004799</v>
      </c>
      <c r="B1911">
        <v>1525004916</v>
      </c>
      <c r="C1911" t="str">
        <f>T("검산도해 118화")</f>
        <v>검산도해 118화</v>
      </c>
      <c r="D1911" t="str">
        <f>T("118")</f>
        <v>118</v>
      </c>
      <c r="E1911" t="str">
        <f>T("권용찬")</f>
        <v>권용찬</v>
      </c>
      <c r="H1911" t="str">
        <f>T("스토리위즈")</f>
        <v>스토리위즈</v>
      </c>
      <c r="I1911" t="str">
        <f>T("검산도해")</f>
        <v>검산도해</v>
      </c>
      <c r="J1911">
        <v>100</v>
      </c>
      <c r="K1911">
        <v>100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100</v>
      </c>
      <c r="AH1911">
        <v>1</v>
      </c>
      <c r="AI1911">
        <v>0</v>
      </c>
      <c r="AJ1911">
        <v>0</v>
      </c>
      <c r="AK1911">
        <v>0</v>
      </c>
      <c r="AL1911">
        <v>0</v>
      </c>
      <c r="AM1911">
        <v>120</v>
      </c>
      <c r="AN1911">
        <v>-12</v>
      </c>
      <c r="AO1911">
        <v>0</v>
      </c>
      <c r="AQ1911">
        <v>0</v>
      </c>
      <c r="AR1911">
        <v>0</v>
      </c>
      <c r="AS1911">
        <v>120</v>
      </c>
      <c r="AT1911">
        <v>-12</v>
      </c>
      <c r="AU1911">
        <v>0</v>
      </c>
      <c r="AW1911">
        <v>0</v>
      </c>
      <c r="AX1911">
        <v>0</v>
      </c>
      <c r="AY1911">
        <v>75.599999999999994</v>
      </c>
      <c r="BC1911" t="str">
        <f>T("9791159285936")</f>
        <v>9791159285936</v>
      </c>
      <c r="BE1911" t="str">
        <f>T("판타지 웹소설 &gt; 무협 소설")</f>
        <v>판타지 웹소설 &gt; 무협 소설</v>
      </c>
    </row>
    <row r="1912" spans="1:57" x14ac:dyDescent="0.3">
      <c r="A1912">
        <v>1525004030</v>
      </c>
      <c r="B1912">
        <v>1525007103</v>
      </c>
      <c r="C1912" t="str">
        <f>T("회귀의 전설 2부 987화")</f>
        <v>회귀의 전설 2부 987화</v>
      </c>
      <c r="D1912" t="str">
        <f>T("987")</f>
        <v>987</v>
      </c>
      <c r="E1912" t="str">
        <f>T("김광수")</f>
        <v>김광수</v>
      </c>
      <c r="H1912" t="str">
        <f>T("스토리위즈")</f>
        <v>스토리위즈</v>
      </c>
      <c r="I1912" t="str">
        <f>T("회귀의 전설")</f>
        <v>회귀의 전설</v>
      </c>
      <c r="J1912">
        <v>100</v>
      </c>
      <c r="K1912">
        <v>100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100</v>
      </c>
      <c r="AH1912">
        <v>1</v>
      </c>
      <c r="AI1912">
        <v>0</v>
      </c>
      <c r="AJ1912">
        <v>0</v>
      </c>
      <c r="AK1912">
        <v>100</v>
      </c>
      <c r="AL1912">
        <v>0</v>
      </c>
      <c r="AM1912">
        <v>0</v>
      </c>
      <c r="AN1912">
        <v>0</v>
      </c>
      <c r="AO1912">
        <v>0</v>
      </c>
      <c r="AQ1912">
        <v>0</v>
      </c>
      <c r="AR1912">
        <v>0</v>
      </c>
      <c r="AT1912">
        <v>0</v>
      </c>
      <c r="AU1912">
        <v>0</v>
      </c>
      <c r="AW1912">
        <v>0</v>
      </c>
      <c r="AX1912">
        <v>0</v>
      </c>
      <c r="AY1912">
        <v>70</v>
      </c>
      <c r="BC1912" t="str">
        <f>T("9791191102086")</f>
        <v>9791191102086</v>
      </c>
      <c r="BE1912" t="str">
        <f>T("판타지 웹소설 &gt; 현대 판타지")</f>
        <v>판타지 웹소설 &gt; 현대 판타지</v>
      </c>
    </row>
    <row r="1913" spans="1:57" x14ac:dyDescent="0.3">
      <c r="A1913">
        <v>1525011523</v>
      </c>
      <c r="B1913">
        <v>1525011217</v>
      </c>
      <c r="C1913" t="str">
        <f>T("남창목가 307화")</f>
        <v>남창목가 307화</v>
      </c>
      <c r="D1913" t="str">
        <f>T("307")</f>
        <v>307</v>
      </c>
      <c r="E1913" t="str">
        <f>T("최재봉")</f>
        <v>최재봉</v>
      </c>
      <c r="H1913" t="str">
        <f>T("에필로그")</f>
        <v>에필로그</v>
      </c>
      <c r="I1913" t="str">
        <f>T("남창목가")</f>
        <v>남창목가</v>
      </c>
      <c r="J1913">
        <v>100</v>
      </c>
      <c r="K1913">
        <v>100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100</v>
      </c>
      <c r="AH1913">
        <v>1</v>
      </c>
      <c r="AI1913">
        <v>0</v>
      </c>
      <c r="AJ1913">
        <v>0</v>
      </c>
      <c r="AK1913">
        <v>0</v>
      </c>
      <c r="AL1913">
        <v>0</v>
      </c>
      <c r="AM1913">
        <v>120</v>
      </c>
      <c r="AN1913">
        <v>-12</v>
      </c>
      <c r="AO1913">
        <v>0</v>
      </c>
      <c r="AQ1913">
        <v>0</v>
      </c>
      <c r="AR1913">
        <v>0</v>
      </c>
      <c r="AS1913">
        <v>120</v>
      </c>
      <c r="AT1913">
        <v>-12</v>
      </c>
      <c r="AU1913">
        <v>0</v>
      </c>
      <c r="AW1913">
        <v>0</v>
      </c>
      <c r="AX1913">
        <v>0</v>
      </c>
      <c r="AY1913">
        <v>75.599999999999994</v>
      </c>
      <c r="BC1913" t="str">
        <f>T("9791164482849")</f>
        <v>9791164482849</v>
      </c>
      <c r="BE1913" t="str">
        <f>T("판타지 웹소설 &gt; 무협 소설")</f>
        <v>판타지 웹소설 &gt; 무협 소설</v>
      </c>
    </row>
    <row r="1914" spans="1:57" x14ac:dyDescent="0.3">
      <c r="A1914">
        <v>1525000569</v>
      </c>
      <c r="B1914">
        <v>1525000605</v>
      </c>
      <c r="C1914" t="str">
        <f>T("스트라이커 37화")</f>
        <v>스트라이커 37화</v>
      </c>
      <c r="D1914" t="str">
        <f>T("37")</f>
        <v>37</v>
      </c>
      <c r="E1914" t="str">
        <f>T("독고진")</f>
        <v>독고진</v>
      </c>
      <c r="H1914" t="str">
        <f>T("스토리위즈")</f>
        <v>스토리위즈</v>
      </c>
      <c r="I1914" t="str">
        <f>T("스트라이커")</f>
        <v>스트라이커</v>
      </c>
      <c r="J1914">
        <v>100</v>
      </c>
      <c r="K1914">
        <v>100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100</v>
      </c>
      <c r="AH1914">
        <v>1</v>
      </c>
      <c r="AI1914">
        <v>0</v>
      </c>
      <c r="AJ1914">
        <v>0</v>
      </c>
      <c r="AK1914">
        <v>100</v>
      </c>
      <c r="AL1914">
        <v>0</v>
      </c>
      <c r="AM1914">
        <v>0</v>
      </c>
      <c r="AN1914">
        <v>0</v>
      </c>
      <c r="AO1914">
        <v>0</v>
      </c>
      <c r="AQ1914">
        <v>0</v>
      </c>
      <c r="AR1914">
        <v>0</v>
      </c>
      <c r="AT1914">
        <v>0</v>
      </c>
      <c r="AU1914">
        <v>0</v>
      </c>
      <c r="AW1914">
        <v>0</v>
      </c>
      <c r="AX1914">
        <v>0</v>
      </c>
      <c r="AY1914">
        <v>70</v>
      </c>
      <c r="BC1914" t="str">
        <f>T("9791170151678")</f>
        <v>9791170151678</v>
      </c>
      <c r="BE1914" t="str">
        <f>T("판타지 웹소설 &gt; 현대 판타지")</f>
        <v>판타지 웹소설 &gt; 현대 판타지</v>
      </c>
    </row>
    <row r="1915" spans="1:57" x14ac:dyDescent="0.3">
      <c r="A1915">
        <v>1525011523</v>
      </c>
      <c r="B1915">
        <v>1525010996</v>
      </c>
      <c r="C1915" t="str">
        <f>T("남창목가 외전 496화")</f>
        <v>남창목가 외전 496화</v>
      </c>
      <c r="D1915" t="str">
        <f>T("496")</f>
        <v>496</v>
      </c>
      <c r="E1915" t="str">
        <f>T("최재봉")</f>
        <v>최재봉</v>
      </c>
      <c r="H1915" t="str">
        <f>T("에필로그")</f>
        <v>에필로그</v>
      </c>
      <c r="I1915" t="str">
        <f>T("남창목가")</f>
        <v>남창목가</v>
      </c>
      <c r="J1915">
        <v>100</v>
      </c>
      <c r="K1915">
        <v>100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100</v>
      </c>
      <c r="AH1915">
        <v>1</v>
      </c>
      <c r="AI1915">
        <v>0</v>
      </c>
      <c r="AJ1915">
        <v>0</v>
      </c>
      <c r="AK1915">
        <v>0</v>
      </c>
      <c r="AL1915">
        <v>0</v>
      </c>
      <c r="AM1915">
        <v>120</v>
      </c>
      <c r="AN1915">
        <v>-12</v>
      </c>
      <c r="AO1915">
        <v>0</v>
      </c>
      <c r="AQ1915">
        <v>0</v>
      </c>
      <c r="AR1915">
        <v>0</v>
      </c>
      <c r="AS1915">
        <v>120</v>
      </c>
      <c r="AT1915">
        <v>-12</v>
      </c>
      <c r="AU1915">
        <v>0</v>
      </c>
      <c r="AW1915">
        <v>0</v>
      </c>
      <c r="AX1915">
        <v>0</v>
      </c>
      <c r="AY1915">
        <v>75.599999999999994</v>
      </c>
      <c r="BC1915" t="str">
        <f>T("9791164482849")</f>
        <v>9791164482849</v>
      </c>
      <c r="BE1915" t="str">
        <f>T("판타지 웹소설 &gt; 무협 소설")</f>
        <v>판타지 웹소설 &gt; 무협 소설</v>
      </c>
    </row>
    <row r="1916" spans="1:57" x14ac:dyDescent="0.3">
      <c r="A1916">
        <v>1525011523</v>
      </c>
      <c r="B1916">
        <v>1525011333</v>
      </c>
      <c r="C1916" t="str">
        <f>T("남창목가 191화")</f>
        <v>남창목가 191화</v>
      </c>
      <c r="D1916" t="str">
        <f>T("191")</f>
        <v>191</v>
      </c>
      <c r="E1916" t="str">
        <f>T("최재봉")</f>
        <v>최재봉</v>
      </c>
      <c r="H1916" t="str">
        <f>T("에필로그")</f>
        <v>에필로그</v>
      </c>
      <c r="I1916" t="str">
        <f>T("남창목가")</f>
        <v>남창목가</v>
      </c>
      <c r="J1916">
        <v>100</v>
      </c>
      <c r="K1916">
        <v>100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100</v>
      </c>
      <c r="AH1916">
        <v>1</v>
      </c>
      <c r="AI1916">
        <v>0</v>
      </c>
      <c r="AJ1916">
        <v>0</v>
      </c>
      <c r="AK1916">
        <v>0</v>
      </c>
      <c r="AL1916">
        <v>0</v>
      </c>
      <c r="AM1916">
        <v>120</v>
      </c>
      <c r="AN1916">
        <v>-12</v>
      </c>
      <c r="AO1916">
        <v>0</v>
      </c>
      <c r="AQ1916">
        <v>0</v>
      </c>
      <c r="AR1916">
        <v>0</v>
      </c>
      <c r="AS1916">
        <v>120</v>
      </c>
      <c r="AT1916">
        <v>-12</v>
      </c>
      <c r="AU1916">
        <v>0</v>
      </c>
      <c r="AW1916">
        <v>0</v>
      </c>
      <c r="AX1916">
        <v>0</v>
      </c>
      <c r="AY1916">
        <v>75.599999999999994</v>
      </c>
      <c r="BC1916" t="str">
        <f>T("9791164482849")</f>
        <v>9791164482849</v>
      </c>
      <c r="BE1916" t="str">
        <f>T("판타지 웹소설 &gt; 무협 소설")</f>
        <v>판타지 웹소설 &gt; 무협 소설</v>
      </c>
    </row>
    <row r="1917" spans="1:57" x14ac:dyDescent="0.3">
      <c r="A1917">
        <v>1525002125</v>
      </c>
      <c r="B1917">
        <v>1525002370</v>
      </c>
      <c r="C1917" t="str">
        <f>T("신을 죽이러 갑니다 246화")</f>
        <v>신을 죽이러 갑니다 246화</v>
      </c>
      <c r="D1917" t="str">
        <f>T("246")</f>
        <v>246</v>
      </c>
      <c r="E1917" t="str">
        <f>T("독고진")</f>
        <v>독고진</v>
      </c>
      <c r="H1917" t="str">
        <f>T("스토리위즈")</f>
        <v>스토리위즈</v>
      </c>
      <c r="I1917" t="str">
        <f>T("신을 죽이러 갑니다")</f>
        <v>신을 죽이러 갑니다</v>
      </c>
      <c r="J1917">
        <v>100</v>
      </c>
      <c r="K1917">
        <v>100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100</v>
      </c>
      <c r="AH1917">
        <v>1</v>
      </c>
      <c r="AI1917">
        <v>0</v>
      </c>
      <c r="AJ1917">
        <v>0</v>
      </c>
      <c r="AK1917">
        <v>0</v>
      </c>
      <c r="AL1917">
        <v>0</v>
      </c>
      <c r="AM1917">
        <v>120</v>
      </c>
      <c r="AN1917">
        <v>-36</v>
      </c>
      <c r="AO1917">
        <v>0</v>
      </c>
      <c r="AQ1917">
        <v>0</v>
      </c>
      <c r="AR1917">
        <v>0</v>
      </c>
      <c r="AS1917">
        <v>120</v>
      </c>
      <c r="AT1917">
        <v>-36</v>
      </c>
      <c r="AU1917">
        <v>0</v>
      </c>
      <c r="AW1917">
        <v>0</v>
      </c>
      <c r="AX1917">
        <v>0</v>
      </c>
      <c r="AY1917">
        <v>58.8</v>
      </c>
      <c r="BC1917" t="str">
        <f>T("9791159285806")</f>
        <v>9791159285806</v>
      </c>
      <c r="BE1917" t="str">
        <f>T("판타지 웹소설 &gt; 퓨전 판타지")</f>
        <v>판타지 웹소설 &gt; 퓨전 판타지</v>
      </c>
    </row>
    <row r="1918" spans="1:57" x14ac:dyDescent="0.3">
      <c r="A1918">
        <v>1525012551</v>
      </c>
      <c r="B1918">
        <v>1525012705</v>
      </c>
      <c r="C1918" t="str">
        <f>T("개정판 | 바보가 만드는 멋진 세상 155화")</f>
        <v>개정판 | 바보가 만드는 멋진 세상 155화</v>
      </c>
      <c r="D1918" t="str">
        <f>T("155")</f>
        <v>155</v>
      </c>
      <c r="E1918" t="str">
        <f>T("백범(白帆)")</f>
        <v>백범(白帆)</v>
      </c>
      <c r="H1918" t="str">
        <f>T("에필로그")</f>
        <v>에필로그</v>
      </c>
      <c r="I1918" t="str">
        <f>T("개정판 | 바보가 만드는 멋진 세상")</f>
        <v>개정판 | 바보가 만드는 멋진 세상</v>
      </c>
      <c r="J1918">
        <v>100</v>
      </c>
      <c r="K1918">
        <v>100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100</v>
      </c>
      <c r="AH1918">
        <v>1</v>
      </c>
      <c r="AI1918">
        <v>0</v>
      </c>
      <c r="AJ1918">
        <v>0</v>
      </c>
      <c r="AK1918">
        <v>100</v>
      </c>
      <c r="AL1918">
        <v>0</v>
      </c>
      <c r="AM1918">
        <v>0</v>
      </c>
      <c r="AN1918">
        <v>0</v>
      </c>
      <c r="AO1918">
        <v>0</v>
      </c>
      <c r="AQ1918">
        <v>0</v>
      </c>
      <c r="AR1918">
        <v>0</v>
      </c>
      <c r="AT1918">
        <v>0</v>
      </c>
      <c r="AU1918">
        <v>0</v>
      </c>
      <c r="AW1918">
        <v>0</v>
      </c>
      <c r="AX1918">
        <v>0</v>
      </c>
      <c r="AY1918">
        <v>70</v>
      </c>
      <c r="BC1918" t="str">
        <f>T("9791166003493")</f>
        <v>9791166003493</v>
      </c>
      <c r="BE1918" t="str">
        <f>T("판타지 웹소설 &gt; 현대 판타지")</f>
        <v>판타지 웹소설 &gt; 현대 판타지</v>
      </c>
    </row>
    <row r="1919" spans="1:57" x14ac:dyDescent="0.3">
      <c r="A1919">
        <v>1525002864</v>
      </c>
      <c r="B1919">
        <v>1525002928</v>
      </c>
      <c r="C1919" t="str">
        <f>T("소드마스터의 환생 65화")</f>
        <v>소드마스터의 환생 65화</v>
      </c>
      <c r="D1919" t="str">
        <f>T("65")</f>
        <v>65</v>
      </c>
      <c r="E1919" t="str">
        <f>T("파란영")</f>
        <v>파란영</v>
      </c>
      <c r="H1919" t="str">
        <f>T("스토리위즈")</f>
        <v>스토리위즈</v>
      </c>
      <c r="I1919" t="str">
        <f>T("소드마스터의 환생")</f>
        <v>소드마스터의 환생</v>
      </c>
      <c r="J1919">
        <v>100</v>
      </c>
      <c r="K1919">
        <v>100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100</v>
      </c>
      <c r="AH1919">
        <v>1</v>
      </c>
      <c r="AI1919">
        <v>0</v>
      </c>
      <c r="AJ1919">
        <v>0</v>
      </c>
      <c r="AK1919">
        <v>100</v>
      </c>
      <c r="AL1919">
        <v>0</v>
      </c>
      <c r="AM1919">
        <v>0</v>
      </c>
      <c r="AN1919">
        <v>0</v>
      </c>
      <c r="AO1919">
        <v>0</v>
      </c>
      <c r="AQ1919">
        <v>0</v>
      </c>
      <c r="AR1919">
        <v>0</v>
      </c>
      <c r="AT1919">
        <v>0</v>
      </c>
      <c r="AU1919">
        <v>0</v>
      </c>
      <c r="AW1919">
        <v>0</v>
      </c>
      <c r="AX1919">
        <v>0</v>
      </c>
      <c r="AY1919">
        <v>70</v>
      </c>
      <c r="BC1919" t="str">
        <f>T("9791159287527")</f>
        <v>9791159287527</v>
      </c>
      <c r="BE1919" t="str">
        <f>T("판타지 웹소설 &gt; 정통 판타지")</f>
        <v>판타지 웹소설 &gt; 정통 판타지</v>
      </c>
    </row>
    <row r="1920" spans="1:57" x14ac:dyDescent="0.3">
      <c r="A1920">
        <v>1525008428</v>
      </c>
      <c r="B1920">
        <v>1525008467</v>
      </c>
      <c r="C1920" t="str">
        <f>T("무히비(Muhibbi) 55화")</f>
        <v>무히비(Muhibbi) 55화</v>
      </c>
      <c r="D1920" t="str">
        <f>T("55")</f>
        <v>55</v>
      </c>
      <c r="E1920" t="str">
        <f>T("jooki")</f>
        <v>jooki</v>
      </c>
      <c r="H1920" t="str">
        <f>T("블러쉬")</f>
        <v>블러쉬</v>
      </c>
      <c r="I1920" t="str">
        <f>T("무히비(Muhibbi)")</f>
        <v>무히비(Muhibbi)</v>
      </c>
      <c r="J1920">
        <v>100</v>
      </c>
      <c r="K1920">
        <v>100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100</v>
      </c>
      <c r="AH1920">
        <v>1</v>
      </c>
      <c r="AI1920">
        <v>0</v>
      </c>
      <c r="AJ1920">
        <v>0</v>
      </c>
      <c r="AK1920">
        <v>100</v>
      </c>
      <c r="AL1920">
        <v>0</v>
      </c>
      <c r="AM1920">
        <v>0</v>
      </c>
      <c r="AN1920">
        <v>0</v>
      </c>
      <c r="AO1920">
        <v>0</v>
      </c>
      <c r="AQ1920">
        <v>0</v>
      </c>
      <c r="AR1920">
        <v>0</v>
      </c>
      <c r="AT1920">
        <v>0</v>
      </c>
      <c r="AU1920">
        <v>0</v>
      </c>
      <c r="AW1920">
        <v>0</v>
      </c>
      <c r="AX1920">
        <v>0</v>
      </c>
      <c r="AY1920">
        <v>70</v>
      </c>
      <c r="BC1920" t="str">
        <f>T("9791164896622")</f>
        <v>9791164896622</v>
      </c>
      <c r="BE1920" t="str">
        <f>T("BL 웹소설 &gt; 역사/시대물")</f>
        <v>BL 웹소설 &gt; 역사/시대물</v>
      </c>
    </row>
    <row r="1921" spans="1:57" x14ac:dyDescent="0.3">
      <c r="A1921">
        <v>1525011523</v>
      </c>
      <c r="B1921">
        <v>1525011274</v>
      </c>
      <c r="C1921" t="str">
        <f>T("남창목가 250화")</f>
        <v>남창목가 250화</v>
      </c>
      <c r="D1921" t="str">
        <f>T("250")</f>
        <v>250</v>
      </c>
      <c r="E1921" t="str">
        <f>T("최재봉")</f>
        <v>최재봉</v>
      </c>
      <c r="H1921" t="str">
        <f>T("에필로그")</f>
        <v>에필로그</v>
      </c>
      <c r="I1921" t="str">
        <f>T("남창목가")</f>
        <v>남창목가</v>
      </c>
      <c r="J1921">
        <v>100</v>
      </c>
      <c r="K1921">
        <v>100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100</v>
      </c>
      <c r="AH1921">
        <v>1</v>
      </c>
      <c r="AI1921">
        <v>0</v>
      </c>
      <c r="AJ1921">
        <v>0</v>
      </c>
      <c r="AK1921">
        <v>0</v>
      </c>
      <c r="AL1921">
        <v>0</v>
      </c>
      <c r="AM1921">
        <v>120</v>
      </c>
      <c r="AN1921">
        <v>-12</v>
      </c>
      <c r="AO1921">
        <v>0</v>
      </c>
      <c r="AQ1921">
        <v>0</v>
      </c>
      <c r="AR1921">
        <v>0</v>
      </c>
      <c r="AS1921">
        <v>120</v>
      </c>
      <c r="AT1921">
        <v>-12</v>
      </c>
      <c r="AU1921">
        <v>0</v>
      </c>
      <c r="AW1921">
        <v>0</v>
      </c>
      <c r="AX1921">
        <v>0</v>
      </c>
      <c r="AY1921">
        <v>75.599999999999994</v>
      </c>
      <c r="BC1921" t="str">
        <f>T("9791164482849")</f>
        <v>9791164482849</v>
      </c>
      <c r="BE1921" t="str">
        <f>T("판타지 웹소설 &gt; 무협 소설")</f>
        <v>판타지 웹소설 &gt; 무협 소설</v>
      </c>
    </row>
    <row r="1922" spans="1:57" x14ac:dyDescent="0.3">
      <c r="A1922">
        <v>1525011523</v>
      </c>
      <c r="B1922">
        <v>1525011465</v>
      </c>
      <c r="C1922" t="str">
        <f>T("남창목가 59화")</f>
        <v>남창목가 59화</v>
      </c>
      <c r="D1922" t="str">
        <f>T("59")</f>
        <v>59</v>
      </c>
      <c r="E1922" t="str">
        <f>T("최재봉")</f>
        <v>최재봉</v>
      </c>
      <c r="H1922" t="str">
        <f>T("에필로그")</f>
        <v>에필로그</v>
      </c>
      <c r="I1922" t="str">
        <f>T("남창목가")</f>
        <v>남창목가</v>
      </c>
      <c r="J1922">
        <v>100</v>
      </c>
      <c r="K1922">
        <v>100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100</v>
      </c>
      <c r="AH1922">
        <v>1</v>
      </c>
      <c r="AI1922">
        <v>0</v>
      </c>
      <c r="AJ1922">
        <v>0</v>
      </c>
      <c r="AK1922">
        <v>100</v>
      </c>
      <c r="AL1922">
        <v>0</v>
      </c>
      <c r="AM1922">
        <v>0</v>
      </c>
      <c r="AN1922">
        <v>0</v>
      </c>
      <c r="AO1922">
        <v>0</v>
      </c>
      <c r="AQ1922">
        <v>0</v>
      </c>
      <c r="AR1922">
        <v>0</v>
      </c>
      <c r="AT1922">
        <v>0</v>
      </c>
      <c r="AU1922">
        <v>0</v>
      </c>
      <c r="AW1922">
        <v>0</v>
      </c>
      <c r="AX1922">
        <v>0</v>
      </c>
      <c r="AY1922">
        <v>70</v>
      </c>
      <c r="BC1922" t="str">
        <f>T("9791164482849")</f>
        <v>9791164482849</v>
      </c>
      <c r="BE1922" t="str">
        <f>T("판타지 웹소설 &gt; 무협 소설")</f>
        <v>판타지 웹소설 &gt; 무협 소설</v>
      </c>
    </row>
    <row r="1923" spans="1:57" x14ac:dyDescent="0.3">
      <c r="A1923">
        <v>1525012551</v>
      </c>
      <c r="B1923">
        <v>1525012583</v>
      </c>
      <c r="C1923" t="str">
        <f>T("개정판 | 바보가 만드는 멋진 세상 33화")</f>
        <v>개정판 | 바보가 만드는 멋진 세상 33화</v>
      </c>
      <c r="D1923" t="str">
        <f>T("33")</f>
        <v>33</v>
      </c>
      <c r="E1923" t="str">
        <f>T("백범(白帆)")</f>
        <v>백범(白帆)</v>
      </c>
      <c r="H1923" t="str">
        <f>T("에필로그")</f>
        <v>에필로그</v>
      </c>
      <c r="I1923" t="str">
        <f>T("개정판 | 바보가 만드는 멋진 세상")</f>
        <v>개정판 | 바보가 만드는 멋진 세상</v>
      </c>
      <c r="J1923">
        <v>100</v>
      </c>
      <c r="K1923">
        <v>100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100</v>
      </c>
      <c r="AH1923">
        <v>1</v>
      </c>
      <c r="AI1923">
        <v>0</v>
      </c>
      <c r="AJ1923">
        <v>0</v>
      </c>
      <c r="AK1923">
        <v>100</v>
      </c>
      <c r="AL1923">
        <v>0</v>
      </c>
      <c r="AM1923">
        <v>0</v>
      </c>
      <c r="AN1923">
        <v>0</v>
      </c>
      <c r="AO1923">
        <v>0</v>
      </c>
      <c r="AQ1923">
        <v>0</v>
      </c>
      <c r="AR1923">
        <v>0</v>
      </c>
      <c r="AT1923">
        <v>0</v>
      </c>
      <c r="AU1923">
        <v>0</v>
      </c>
      <c r="AW1923">
        <v>0</v>
      </c>
      <c r="AX1923">
        <v>0</v>
      </c>
      <c r="AY1923">
        <v>70</v>
      </c>
      <c r="BC1923" t="str">
        <f>T("9791166003493")</f>
        <v>9791166003493</v>
      </c>
      <c r="BE1923" t="str">
        <f>T("판타지 웹소설 &gt; 현대 판타지")</f>
        <v>판타지 웹소설 &gt; 현대 판타지</v>
      </c>
    </row>
    <row r="1924" spans="1:57" x14ac:dyDescent="0.3">
      <c r="A1924">
        <v>1525004799</v>
      </c>
      <c r="B1924">
        <v>1525004933</v>
      </c>
      <c r="C1924" t="str">
        <f>T("검산도해 135화")</f>
        <v>검산도해 135화</v>
      </c>
      <c r="D1924" t="str">
        <f>T("135")</f>
        <v>135</v>
      </c>
      <c r="E1924" t="str">
        <f>T("권용찬")</f>
        <v>권용찬</v>
      </c>
      <c r="H1924" t="str">
        <f>T("스토리위즈")</f>
        <v>스토리위즈</v>
      </c>
      <c r="I1924" t="str">
        <f>T("검산도해")</f>
        <v>검산도해</v>
      </c>
      <c r="J1924">
        <v>100</v>
      </c>
      <c r="K1924">
        <v>100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100</v>
      </c>
      <c r="AH1924">
        <v>1</v>
      </c>
      <c r="AI1924">
        <v>0</v>
      </c>
      <c r="AJ1924">
        <v>0</v>
      </c>
      <c r="AK1924">
        <v>0</v>
      </c>
      <c r="AL1924">
        <v>0</v>
      </c>
      <c r="AM1924">
        <v>120</v>
      </c>
      <c r="AN1924">
        <v>-12</v>
      </c>
      <c r="AO1924">
        <v>0</v>
      </c>
      <c r="AQ1924">
        <v>0</v>
      </c>
      <c r="AR1924">
        <v>0</v>
      </c>
      <c r="AS1924">
        <v>120</v>
      </c>
      <c r="AT1924">
        <v>-12</v>
      </c>
      <c r="AU1924">
        <v>0</v>
      </c>
      <c r="AW1924">
        <v>0</v>
      </c>
      <c r="AX1924">
        <v>0</v>
      </c>
      <c r="AY1924">
        <v>75.599999999999994</v>
      </c>
      <c r="BC1924" t="str">
        <f>T("9791159285936")</f>
        <v>9791159285936</v>
      </c>
      <c r="BE1924" t="str">
        <f>T("판타지 웹소설 &gt; 무협 소설")</f>
        <v>판타지 웹소설 &gt; 무협 소설</v>
      </c>
    </row>
    <row r="1925" spans="1:57" x14ac:dyDescent="0.3">
      <c r="A1925">
        <v>1525004030</v>
      </c>
      <c r="B1925">
        <v>1525007022</v>
      </c>
      <c r="C1925" t="str">
        <f>T("회귀의 전설 2부 906화")</f>
        <v>회귀의 전설 2부 906화</v>
      </c>
      <c r="D1925" t="str">
        <f>T("906")</f>
        <v>906</v>
      </c>
      <c r="E1925" t="str">
        <f>T("김광수")</f>
        <v>김광수</v>
      </c>
      <c r="H1925" t="str">
        <f>T("스토리위즈")</f>
        <v>스토리위즈</v>
      </c>
      <c r="I1925" t="str">
        <f>T("회귀의 전설")</f>
        <v>회귀의 전설</v>
      </c>
      <c r="J1925">
        <v>100</v>
      </c>
      <c r="K1925">
        <v>100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100</v>
      </c>
      <c r="AH1925">
        <v>1</v>
      </c>
      <c r="AI1925">
        <v>0</v>
      </c>
      <c r="AJ1925">
        <v>0</v>
      </c>
      <c r="AK1925">
        <v>100</v>
      </c>
      <c r="AL1925">
        <v>0</v>
      </c>
      <c r="AM1925">
        <v>0</v>
      </c>
      <c r="AN1925">
        <v>0</v>
      </c>
      <c r="AO1925">
        <v>0</v>
      </c>
      <c r="AQ1925">
        <v>0</v>
      </c>
      <c r="AR1925">
        <v>0</v>
      </c>
      <c r="AT1925">
        <v>0</v>
      </c>
      <c r="AU1925">
        <v>0</v>
      </c>
      <c r="AW1925">
        <v>0</v>
      </c>
      <c r="AX1925">
        <v>0</v>
      </c>
      <c r="AY1925">
        <v>70</v>
      </c>
      <c r="BC1925" t="str">
        <f>T("9791191102086")</f>
        <v>9791191102086</v>
      </c>
      <c r="BE1925" t="str">
        <f>T("판타지 웹소설 &gt; 현대 판타지")</f>
        <v>판타지 웹소설 &gt; 현대 판타지</v>
      </c>
    </row>
    <row r="1926" spans="1:57" x14ac:dyDescent="0.3">
      <c r="A1926">
        <v>1525011523</v>
      </c>
      <c r="B1926">
        <v>1525011185</v>
      </c>
      <c r="C1926" t="str">
        <f>T("남창목가 339화")</f>
        <v>남창목가 339화</v>
      </c>
      <c r="D1926" t="str">
        <f>T("339")</f>
        <v>339</v>
      </c>
      <c r="E1926" t="str">
        <f>T("최재봉")</f>
        <v>최재봉</v>
      </c>
      <c r="H1926" t="str">
        <f>T("에필로그")</f>
        <v>에필로그</v>
      </c>
      <c r="I1926" t="str">
        <f>T("남창목가")</f>
        <v>남창목가</v>
      </c>
      <c r="J1926">
        <v>100</v>
      </c>
      <c r="K1926">
        <v>100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100</v>
      </c>
      <c r="AH1926">
        <v>1</v>
      </c>
      <c r="AI1926">
        <v>0</v>
      </c>
      <c r="AJ1926">
        <v>0</v>
      </c>
      <c r="AK1926">
        <v>0</v>
      </c>
      <c r="AL1926">
        <v>0</v>
      </c>
      <c r="AM1926">
        <v>120</v>
      </c>
      <c r="AN1926">
        <v>-12</v>
      </c>
      <c r="AO1926">
        <v>0</v>
      </c>
      <c r="AQ1926">
        <v>0</v>
      </c>
      <c r="AR1926">
        <v>0</v>
      </c>
      <c r="AS1926">
        <v>120</v>
      </c>
      <c r="AT1926">
        <v>-12</v>
      </c>
      <c r="AU1926">
        <v>0</v>
      </c>
      <c r="AW1926">
        <v>0</v>
      </c>
      <c r="AX1926">
        <v>0</v>
      </c>
      <c r="AY1926">
        <v>75.599999999999994</v>
      </c>
      <c r="BC1926" t="str">
        <f>T("9791164482849")</f>
        <v>9791164482849</v>
      </c>
      <c r="BE1926" t="str">
        <f>T("판타지 웹소설 &gt; 무협 소설")</f>
        <v>판타지 웹소설 &gt; 무협 소설</v>
      </c>
    </row>
    <row r="1927" spans="1:57" x14ac:dyDescent="0.3">
      <c r="A1927">
        <v>1525008428</v>
      </c>
      <c r="B1927">
        <v>1525008423</v>
      </c>
      <c r="C1927" t="str">
        <f>T("무히비(Muhibbi) 15화")</f>
        <v>무히비(Muhibbi) 15화</v>
      </c>
      <c r="D1927" t="str">
        <f>T("15")</f>
        <v>15</v>
      </c>
      <c r="E1927" t="str">
        <f>T("jooki")</f>
        <v>jooki</v>
      </c>
      <c r="H1927" t="str">
        <f>T("블러쉬")</f>
        <v>블러쉬</v>
      </c>
      <c r="I1927" t="str">
        <f>T("무히비(Muhibbi)")</f>
        <v>무히비(Muhibbi)</v>
      </c>
      <c r="J1927">
        <v>100</v>
      </c>
      <c r="K1927">
        <v>100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100</v>
      </c>
      <c r="AH1927">
        <v>1</v>
      </c>
      <c r="AI1927">
        <v>0</v>
      </c>
      <c r="AJ1927">
        <v>0</v>
      </c>
      <c r="AK1927">
        <v>100</v>
      </c>
      <c r="AL1927">
        <v>0</v>
      </c>
      <c r="AM1927">
        <v>0</v>
      </c>
      <c r="AN1927">
        <v>0</v>
      </c>
      <c r="AO1927">
        <v>0</v>
      </c>
      <c r="AQ1927">
        <v>0</v>
      </c>
      <c r="AR1927">
        <v>0</v>
      </c>
      <c r="AT1927">
        <v>0</v>
      </c>
      <c r="AU1927">
        <v>0</v>
      </c>
      <c r="AW1927">
        <v>0</v>
      </c>
      <c r="AX1927">
        <v>0</v>
      </c>
      <c r="AY1927">
        <v>70</v>
      </c>
      <c r="BC1927" t="str">
        <f>T("9791164896622")</f>
        <v>9791164896622</v>
      </c>
      <c r="BE1927" t="str">
        <f>T("BL 웹소설 &gt; 역사/시대물")</f>
        <v>BL 웹소설 &gt; 역사/시대물</v>
      </c>
    </row>
    <row r="1928" spans="1:57" x14ac:dyDescent="0.3">
      <c r="A1928">
        <v>1525004030</v>
      </c>
      <c r="B1928">
        <v>1525006981</v>
      </c>
      <c r="C1928" t="str">
        <f>T("회귀의 전설 2부 865화")</f>
        <v>회귀의 전설 2부 865화</v>
      </c>
      <c r="D1928" t="str">
        <f>T("865")</f>
        <v>865</v>
      </c>
      <c r="E1928" t="str">
        <f>T("김광수")</f>
        <v>김광수</v>
      </c>
      <c r="H1928" t="str">
        <f>T("스토리위즈")</f>
        <v>스토리위즈</v>
      </c>
      <c r="I1928" t="str">
        <f>T("회귀의 전설")</f>
        <v>회귀의 전설</v>
      </c>
      <c r="J1928">
        <v>100</v>
      </c>
      <c r="K1928">
        <v>100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100</v>
      </c>
      <c r="AH1928">
        <v>1</v>
      </c>
      <c r="AI1928">
        <v>0</v>
      </c>
      <c r="AJ1928">
        <v>0</v>
      </c>
      <c r="AK1928">
        <v>100</v>
      </c>
      <c r="AL1928">
        <v>0</v>
      </c>
      <c r="AM1928">
        <v>0</v>
      </c>
      <c r="AN1928">
        <v>0</v>
      </c>
      <c r="AO1928">
        <v>0</v>
      </c>
      <c r="AQ1928">
        <v>0</v>
      </c>
      <c r="AR1928">
        <v>0</v>
      </c>
      <c r="AT1928">
        <v>0</v>
      </c>
      <c r="AU1928">
        <v>0</v>
      </c>
      <c r="AW1928">
        <v>0</v>
      </c>
      <c r="AX1928">
        <v>0</v>
      </c>
      <c r="AY1928">
        <v>70</v>
      </c>
      <c r="BC1928" t="str">
        <f>T("9791191102086")</f>
        <v>9791191102086</v>
      </c>
      <c r="BE1928" t="str">
        <f>T("판타지 웹소설 &gt; 현대 판타지")</f>
        <v>판타지 웹소설 &gt; 현대 판타지</v>
      </c>
    </row>
    <row r="1929" spans="1:57" x14ac:dyDescent="0.3">
      <c r="A1929">
        <v>1525011523</v>
      </c>
      <c r="B1929">
        <v>1525011377</v>
      </c>
      <c r="C1929" t="str">
        <f>T("남창목가 147화")</f>
        <v>남창목가 147화</v>
      </c>
      <c r="D1929" t="str">
        <f>T("147")</f>
        <v>147</v>
      </c>
      <c r="E1929" t="str">
        <f>T("최재봉")</f>
        <v>최재봉</v>
      </c>
      <c r="H1929" t="str">
        <f>T("에필로그")</f>
        <v>에필로그</v>
      </c>
      <c r="I1929" t="str">
        <f>T("남창목가")</f>
        <v>남창목가</v>
      </c>
      <c r="J1929">
        <v>100</v>
      </c>
      <c r="K1929">
        <v>100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100</v>
      </c>
      <c r="AH1929">
        <v>1</v>
      </c>
      <c r="AI1929">
        <v>0</v>
      </c>
      <c r="AJ1929">
        <v>0</v>
      </c>
      <c r="AK1929">
        <v>0</v>
      </c>
      <c r="AL1929">
        <v>0</v>
      </c>
      <c r="AM1929">
        <v>120</v>
      </c>
      <c r="AN1929">
        <v>-12</v>
      </c>
      <c r="AO1929">
        <v>0</v>
      </c>
      <c r="AQ1929">
        <v>0</v>
      </c>
      <c r="AR1929">
        <v>0</v>
      </c>
      <c r="AS1929">
        <v>120</v>
      </c>
      <c r="AT1929">
        <v>-12</v>
      </c>
      <c r="AU1929">
        <v>0</v>
      </c>
      <c r="AW1929">
        <v>0</v>
      </c>
      <c r="AX1929">
        <v>0</v>
      </c>
      <c r="AY1929">
        <v>75.599999999999994</v>
      </c>
      <c r="BC1929" t="str">
        <f>T("9791164482849")</f>
        <v>9791164482849</v>
      </c>
      <c r="BE1929" t="str">
        <f>T("판타지 웹소설 &gt; 무협 소설")</f>
        <v>판타지 웹소설 &gt; 무협 소설</v>
      </c>
    </row>
    <row r="1930" spans="1:57" x14ac:dyDescent="0.3">
      <c r="A1930">
        <v>1525008717</v>
      </c>
      <c r="B1930">
        <v>1525008767</v>
      </c>
      <c r="C1930" t="str">
        <f>T("음양상열지사 65화")</f>
        <v>음양상열지사 65화</v>
      </c>
      <c r="D1930" t="str">
        <f>T("65")</f>
        <v>65</v>
      </c>
      <c r="E1930" t="str">
        <f>T("이염")</f>
        <v>이염</v>
      </c>
      <c r="H1930" t="str">
        <f>T("블러쉬")</f>
        <v>블러쉬</v>
      </c>
      <c r="I1930" t="str">
        <f>T("음양상열지사")</f>
        <v>음양상열지사</v>
      </c>
      <c r="J1930">
        <v>100</v>
      </c>
      <c r="K1930">
        <v>100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100</v>
      </c>
      <c r="AH1930">
        <v>1</v>
      </c>
      <c r="AI1930">
        <v>0</v>
      </c>
      <c r="AJ1930">
        <v>0</v>
      </c>
      <c r="AK1930">
        <v>100</v>
      </c>
      <c r="AL1930">
        <v>0</v>
      </c>
      <c r="AM1930">
        <v>0</v>
      </c>
      <c r="AN1930">
        <v>0</v>
      </c>
      <c r="AO1930">
        <v>0</v>
      </c>
      <c r="AQ1930">
        <v>0</v>
      </c>
      <c r="AR1930">
        <v>0</v>
      </c>
      <c r="AT1930">
        <v>0</v>
      </c>
      <c r="AU1930">
        <v>0</v>
      </c>
      <c r="AW1930">
        <v>0</v>
      </c>
      <c r="AX1930">
        <v>0</v>
      </c>
      <c r="AY1930">
        <v>70</v>
      </c>
      <c r="BA1930" t="str">
        <f>T("0000000000000")</f>
        <v>0000000000000</v>
      </c>
      <c r="BC1930" t="str">
        <f>T("9791164896639")</f>
        <v>9791164896639</v>
      </c>
      <c r="BE1930" t="str">
        <f>T("BL 웹소설 &gt; 역사/시대물")</f>
        <v>BL 웹소설 &gt; 역사/시대물</v>
      </c>
    </row>
    <row r="1931" spans="1:57" x14ac:dyDescent="0.3">
      <c r="A1931">
        <v>1525012551</v>
      </c>
      <c r="B1931">
        <v>1525012694</v>
      </c>
      <c r="C1931" t="str">
        <f>T("개정판 | 바보가 만드는 멋진 세상 144화")</f>
        <v>개정판 | 바보가 만드는 멋진 세상 144화</v>
      </c>
      <c r="D1931" t="str">
        <f>T("144")</f>
        <v>144</v>
      </c>
      <c r="E1931" t="str">
        <f>T("백범(白帆)")</f>
        <v>백범(白帆)</v>
      </c>
      <c r="H1931" t="str">
        <f>T("에필로그")</f>
        <v>에필로그</v>
      </c>
      <c r="I1931" t="str">
        <f>T("개정판 | 바보가 만드는 멋진 세상")</f>
        <v>개정판 | 바보가 만드는 멋진 세상</v>
      </c>
      <c r="J1931">
        <v>100</v>
      </c>
      <c r="K1931">
        <v>100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100</v>
      </c>
      <c r="AH1931">
        <v>1</v>
      </c>
      <c r="AI1931">
        <v>0</v>
      </c>
      <c r="AJ1931">
        <v>0</v>
      </c>
      <c r="AK1931">
        <v>100</v>
      </c>
      <c r="AL1931">
        <v>0</v>
      </c>
      <c r="AM1931">
        <v>0</v>
      </c>
      <c r="AN1931">
        <v>0</v>
      </c>
      <c r="AO1931">
        <v>0</v>
      </c>
      <c r="AQ1931">
        <v>0</v>
      </c>
      <c r="AR1931">
        <v>0</v>
      </c>
      <c r="AT1931">
        <v>0</v>
      </c>
      <c r="AU1931">
        <v>0</v>
      </c>
      <c r="AW1931">
        <v>0</v>
      </c>
      <c r="AX1931">
        <v>0</v>
      </c>
      <c r="AY1931">
        <v>70</v>
      </c>
      <c r="BC1931" t="str">
        <f>T("9791166003493")</f>
        <v>9791166003493</v>
      </c>
      <c r="BE1931" t="str">
        <f>T("판타지 웹소설 &gt; 현대 판타지")</f>
        <v>판타지 웹소설 &gt; 현대 판타지</v>
      </c>
    </row>
    <row r="1932" spans="1:57" x14ac:dyDescent="0.3">
      <c r="A1932">
        <v>1525013020</v>
      </c>
      <c r="B1932">
        <v>1525013051</v>
      </c>
      <c r="C1932" t="str">
        <f>T("악당의 리턴 32화")</f>
        <v>악당의 리턴 32화</v>
      </c>
      <c r="D1932" t="str">
        <f>T("32")</f>
        <v>32</v>
      </c>
      <c r="E1932" t="str">
        <f>T("백범(白帆)")</f>
        <v>백범(白帆)</v>
      </c>
      <c r="H1932" t="str">
        <f>T("에필로그")</f>
        <v>에필로그</v>
      </c>
      <c r="I1932" t="str">
        <f>T("악당의 리턴")</f>
        <v>악당의 리턴</v>
      </c>
      <c r="J1932">
        <v>100</v>
      </c>
      <c r="K1932">
        <v>100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100</v>
      </c>
      <c r="AH1932">
        <v>1</v>
      </c>
      <c r="AI1932">
        <v>0</v>
      </c>
      <c r="AJ1932">
        <v>0</v>
      </c>
      <c r="AK1932">
        <v>100</v>
      </c>
      <c r="AL1932">
        <v>0</v>
      </c>
      <c r="AM1932">
        <v>0</v>
      </c>
      <c r="AN1932">
        <v>0</v>
      </c>
      <c r="AO1932">
        <v>0</v>
      </c>
      <c r="AQ1932">
        <v>0</v>
      </c>
      <c r="AR1932">
        <v>0</v>
      </c>
      <c r="AT1932">
        <v>0</v>
      </c>
      <c r="AU1932">
        <v>0</v>
      </c>
      <c r="AW1932">
        <v>0</v>
      </c>
      <c r="AX1932">
        <v>0</v>
      </c>
      <c r="AY1932">
        <v>70</v>
      </c>
      <c r="BC1932" t="str">
        <f>T("9791196538927")</f>
        <v>9791196538927</v>
      </c>
      <c r="BE1932" t="str">
        <f>T("판타지 웹소설 &gt; 현대 판타지")</f>
        <v>판타지 웹소설 &gt; 현대 판타지</v>
      </c>
    </row>
    <row r="1933" spans="1:57" x14ac:dyDescent="0.3">
      <c r="A1933">
        <v>1525002864</v>
      </c>
      <c r="B1933">
        <v>1525002917</v>
      </c>
      <c r="C1933" t="str">
        <f>T("소드마스터의 환생 54화")</f>
        <v>소드마스터의 환생 54화</v>
      </c>
      <c r="D1933" t="str">
        <f>T("54")</f>
        <v>54</v>
      </c>
      <c r="E1933" t="str">
        <f>T("파란영")</f>
        <v>파란영</v>
      </c>
      <c r="H1933" t="str">
        <f>T("스토리위즈")</f>
        <v>스토리위즈</v>
      </c>
      <c r="I1933" t="str">
        <f>T("소드마스터의 환생")</f>
        <v>소드마스터의 환생</v>
      </c>
      <c r="J1933">
        <v>100</v>
      </c>
      <c r="K1933">
        <v>100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100</v>
      </c>
      <c r="AH1933">
        <v>1</v>
      </c>
      <c r="AI1933">
        <v>0</v>
      </c>
      <c r="AJ1933">
        <v>0</v>
      </c>
      <c r="AK1933">
        <v>100</v>
      </c>
      <c r="AL1933">
        <v>0</v>
      </c>
      <c r="AM1933">
        <v>0</v>
      </c>
      <c r="AN1933">
        <v>0</v>
      </c>
      <c r="AO1933">
        <v>0</v>
      </c>
      <c r="AQ1933">
        <v>0</v>
      </c>
      <c r="AR1933">
        <v>0</v>
      </c>
      <c r="AT1933">
        <v>0</v>
      </c>
      <c r="AU1933">
        <v>0</v>
      </c>
      <c r="AW1933">
        <v>0</v>
      </c>
      <c r="AX1933">
        <v>0</v>
      </c>
      <c r="AY1933">
        <v>70</v>
      </c>
      <c r="BC1933" t="str">
        <f>T("9791159287527")</f>
        <v>9791159287527</v>
      </c>
      <c r="BE1933" t="str">
        <f>T("판타지 웹소설 &gt; 정통 판타지")</f>
        <v>판타지 웹소설 &gt; 정통 판타지</v>
      </c>
    </row>
    <row r="1934" spans="1:57" x14ac:dyDescent="0.3">
      <c r="A1934">
        <v>1525008428</v>
      </c>
      <c r="B1934">
        <v>1525008456</v>
      </c>
      <c r="C1934" t="str">
        <f>T("무히비(Muhibbi) 45화")</f>
        <v>무히비(Muhibbi) 45화</v>
      </c>
      <c r="D1934" t="str">
        <f>T("45")</f>
        <v>45</v>
      </c>
      <c r="E1934" t="str">
        <f>T("jooki")</f>
        <v>jooki</v>
      </c>
      <c r="H1934" t="str">
        <f>T("블러쉬")</f>
        <v>블러쉬</v>
      </c>
      <c r="I1934" t="str">
        <f>T("무히비(Muhibbi)")</f>
        <v>무히비(Muhibbi)</v>
      </c>
      <c r="J1934">
        <v>100</v>
      </c>
      <c r="K1934">
        <v>100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100</v>
      </c>
      <c r="AH1934">
        <v>1</v>
      </c>
      <c r="AI1934">
        <v>0</v>
      </c>
      <c r="AJ1934">
        <v>0</v>
      </c>
      <c r="AK1934">
        <v>100</v>
      </c>
      <c r="AL1934">
        <v>0</v>
      </c>
      <c r="AM1934">
        <v>0</v>
      </c>
      <c r="AN1934">
        <v>0</v>
      </c>
      <c r="AO1934">
        <v>0</v>
      </c>
      <c r="AQ1934">
        <v>0</v>
      </c>
      <c r="AR1934">
        <v>0</v>
      </c>
      <c r="AT1934">
        <v>0</v>
      </c>
      <c r="AU1934">
        <v>0</v>
      </c>
      <c r="AW1934">
        <v>0</v>
      </c>
      <c r="AX1934">
        <v>0</v>
      </c>
      <c r="AY1934">
        <v>70</v>
      </c>
      <c r="BC1934" t="str">
        <f>T("9791164896622")</f>
        <v>9791164896622</v>
      </c>
      <c r="BE1934" t="str">
        <f>T("BL 웹소설 &gt; 역사/시대물")</f>
        <v>BL 웹소설 &gt; 역사/시대물</v>
      </c>
    </row>
    <row r="1935" spans="1:57" x14ac:dyDescent="0.3">
      <c r="A1935">
        <v>1525011523</v>
      </c>
      <c r="B1935">
        <v>1525011246</v>
      </c>
      <c r="C1935" t="str">
        <f>T("남창목가 278화")</f>
        <v>남창목가 278화</v>
      </c>
      <c r="D1935" t="str">
        <f>T("278")</f>
        <v>278</v>
      </c>
      <c r="E1935" t="str">
        <f>T("최재봉")</f>
        <v>최재봉</v>
      </c>
      <c r="H1935" t="str">
        <f>T("에필로그")</f>
        <v>에필로그</v>
      </c>
      <c r="I1935" t="str">
        <f>T("남창목가")</f>
        <v>남창목가</v>
      </c>
      <c r="J1935">
        <v>100</v>
      </c>
      <c r="K1935">
        <v>100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100</v>
      </c>
      <c r="AH1935">
        <v>1</v>
      </c>
      <c r="AI1935">
        <v>0</v>
      </c>
      <c r="AJ1935">
        <v>0</v>
      </c>
      <c r="AK1935">
        <v>0</v>
      </c>
      <c r="AL1935">
        <v>0</v>
      </c>
      <c r="AM1935">
        <v>120</v>
      </c>
      <c r="AN1935">
        <v>-12</v>
      </c>
      <c r="AO1935">
        <v>0</v>
      </c>
      <c r="AQ1935">
        <v>0</v>
      </c>
      <c r="AR1935">
        <v>0</v>
      </c>
      <c r="AS1935">
        <v>120</v>
      </c>
      <c r="AT1935">
        <v>-12</v>
      </c>
      <c r="AU1935">
        <v>0</v>
      </c>
      <c r="AW1935">
        <v>0</v>
      </c>
      <c r="AX1935">
        <v>0</v>
      </c>
      <c r="AY1935">
        <v>75.599999999999994</v>
      </c>
      <c r="BC1935" t="str">
        <f>T("9791164482849")</f>
        <v>9791164482849</v>
      </c>
      <c r="BE1935" t="str">
        <f>T("판타지 웹소설 &gt; 무협 소설")</f>
        <v>판타지 웹소설 &gt; 무협 소설</v>
      </c>
    </row>
    <row r="1936" spans="1:57" x14ac:dyDescent="0.3">
      <c r="A1936">
        <v>1525011523</v>
      </c>
      <c r="B1936">
        <v>1525011425</v>
      </c>
      <c r="C1936" t="str">
        <f>T("남창목가 99화")</f>
        <v>남창목가 99화</v>
      </c>
      <c r="D1936" t="str">
        <f>T("99")</f>
        <v>99</v>
      </c>
      <c r="E1936" t="str">
        <f>T("최재봉")</f>
        <v>최재봉</v>
      </c>
      <c r="H1936" t="str">
        <f>T("에필로그")</f>
        <v>에필로그</v>
      </c>
      <c r="I1936" t="str">
        <f>T("남창목가")</f>
        <v>남창목가</v>
      </c>
      <c r="J1936">
        <v>100</v>
      </c>
      <c r="K1936">
        <v>100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100</v>
      </c>
      <c r="AH1936">
        <v>1</v>
      </c>
      <c r="AI1936">
        <v>0</v>
      </c>
      <c r="AJ1936">
        <v>0</v>
      </c>
      <c r="AK1936">
        <v>100</v>
      </c>
      <c r="AL1936">
        <v>0</v>
      </c>
      <c r="AM1936">
        <v>0</v>
      </c>
      <c r="AN1936">
        <v>0</v>
      </c>
      <c r="AO1936">
        <v>0</v>
      </c>
      <c r="AQ1936">
        <v>0</v>
      </c>
      <c r="AR1936">
        <v>0</v>
      </c>
      <c r="AT1936">
        <v>0</v>
      </c>
      <c r="AU1936">
        <v>0</v>
      </c>
      <c r="AW1936">
        <v>0</v>
      </c>
      <c r="AX1936">
        <v>0</v>
      </c>
      <c r="AY1936">
        <v>70</v>
      </c>
      <c r="BC1936" t="str">
        <f>T("9791164482849")</f>
        <v>9791164482849</v>
      </c>
      <c r="BE1936" t="str">
        <f>T("판타지 웹소설 &gt; 무협 소설")</f>
        <v>판타지 웹소설 &gt; 무협 소설</v>
      </c>
    </row>
    <row r="1937" spans="1:57" x14ac:dyDescent="0.3">
      <c r="A1937">
        <v>1525004799</v>
      </c>
      <c r="B1937">
        <v>1525004922</v>
      </c>
      <c r="C1937" t="str">
        <f>T("검산도해 124화")</f>
        <v>검산도해 124화</v>
      </c>
      <c r="D1937" t="str">
        <f>T("124")</f>
        <v>124</v>
      </c>
      <c r="E1937" t="str">
        <f>T("권용찬")</f>
        <v>권용찬</v>
      </c>
      <c r="H1937" t="str">
        <f>T("스토리위즈")</f>
        <v>스토리위즈</v>
      </c>
      <c r="I1937" t="str">
        <f>T("검산도해")</f>
        <v>검산도해</v>
      </c>
      <c r="J1937">
        <v>100</v>
      </c>
      <c r="K1937">
        <v>100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100</v>
      </c>
      <c r="AH1937">
        <v>1</v>
      </c>
      <c r="AI1937">
        <v>0</v>
      </c>
      <c r="AJ1937">
        <v>0</v>
      </c>
      <c r="AK1937">
        <v>0</v>
      </c>
      <c r="AL1937">
        <v>0</v>
      </c>
      <c r="AM1937">
        <v>120</v>
      </c>
      <c r="AN1937">
        <v>-12</v>
      </c>
      <c r="AO1937">
        <v>0</v>
      </c>
      <c r="AQ1937">
        <v>0</v>
      </c>
      <c r="AR1937">
        <v>0</v>
      </c>
      <c r="AS1937">
        <v>120</v>
      </c>
      <c r="AT1937">
        <v>-12</v>
      </c>
      <c r="AU1937">
        <v>0</v>
      </c>
      <c r="AW1937">
        <v>0</v>
      </c>
      <c r="AX1937">
        <v>0</v>
      </c>
      <c r="AY1937">
        <v>75.599999999999994</v>
      </c>
      <c r="BC1937" t="str">
        <f>T("9791159285936")</f>
        <v>9791159285936</v>
      </c>
      <c r="BE1937" t="str">
        <f>T("판타지 웹소설 &gt; 무협 소설")</f>
        <v>판타지 웹소설 &gt; 무협 소설</v>
      </c>
    </row>
    <row r="1938" spans="1:57" x14ac:dyDescent="0.3">
      <c r="A1938">
        <v>1525004030</v>
      </c>
      <c r="B1938">
        <v>1525007011</v>
      </c>
      <c r="C1938" t="str">
        <f>T("회귀의 전설 2부 895화")</f>
        <v>회귀의 전설 2부 895화</v>
      </c>
      <c r="D1938" t="str">
        <f>T("895")</f>
        <v>895</v>
      </c>
      <c r="E1938" t="str">
        <f>T("김광수")</f>
        <v>김광수</v>
      </c>
      <c r="H1938" t="str">
        <f>T("스토리위즈")</f>
        <v>스토리위즈</v>
      </c>
      <c r="I1938" t="str">
        <f>T("회귀의 전설")</f>
        <v>회귀의 전설</v>
      </c>
      <c r="J1938">
        <v>100</v>
      </c>
      <c r="K1938">
        <v>100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100</v>
      </c>
      <c r="AH1938">
        <v>1</v>
      </c>
      <c r="AI1938">
        <v>0</v>
      </c>
      <c r="AJ1938">
        <v>0</v>
      </c>
      <c r="AK1938">
        <v>100</v>
      </c>
      <c r="AL1938">
        <v>0</v>
      </c>
      <c r="AM1938">
        <v>0</v>
      </c>
      <c r="AN1938">
        <v>0</v>
      </c>
      <c r="AO1938">
        <v>0</v>
      </c>
      <c r="AQ1938">
        <v>0</v>
      </c>
      <c r="AR1938">
        <v>0</v>
      </c>
      <c r="AT1938">
        <v>0</v>
      </c>
      <c r="AU1938">
        <v>0</v>
      </c>
      <c r="AW1938">
        <v>0</v>
      </c>
      <c r="AX1938">
        <v>0</v>
      </c>
      <c r="AY1938">
        <v>70</v>
      </c>
      <c r="BC1938" t="str">
        <f>T("9791191102086")</f>
        <v>9791191102086</v>
      </c>
      <c r="BE1938" t="str">
        <f>T("판타지 웹소설 &gt; 현대 판타지")</f>
        <v>판타지 웹소설 &gt; 현대 판타지</v>
      </c>
    </row>
    <row r="1939" spans="1:57" x14ac:dyDescent="0.3">
      <c r="A1939">
        <v>1525011523</v>
      </c>
      <c r="B1939">
        <v>1525011109</v>
      </c>
      <c r="C1939" t="str">
        <f>T("남창목가 415화")</f>
        <v>남창목가 415화</v>
      </c>
      <c r="D1939" t="str">
        <f>T("415")</f>
        <v>415</v>
      </c>
      <c r="E1939" t="str">
        <f>T("최재봉")</f>
        <v>최재봉</v>
      </c>
      <c r="H1939" t="str">
        <f>T("에필로그")</f>
        <v>에필로그</v>
      </c>
      <c r="I1939" t="str">
        <f>T("남창목가")</f>
        <v>남창목가</v>
      </c>
      <c r="J1939">
        <v>100</v>
      </c>
      <c r="K1939">
        <v>100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100</v>
      </c>
      <c r="AH1939">
        <v>1</v>
      </c>
      <c r="AI1939">
        <v>0</v>
      </c>
      <c r="AJ1939">
        <v>0</v>
      </c>
      <c r="AK1939">
        <v>0</v>
      </c>
      <c r="AL1939">
        <v>0</v>
      </c>
      <c r="AM1939">
        <v>120</v>
      </c>
      <c r="AN1939">
        <v>-12</v>
      </c>
      <c r="AO1939">
        <v>0</v>
      </c>
      <c r="AQ1939">
        <v>0</v>
      </c>
      <c r="AR1939">
        <v>0</v>
      </c>
      <c r="AS1939">
        <v>120</v>
      </c>
      <c r="AT1939">
        <v>-12</v>
      </c>
      <c r="AU1939">
        <v>0</v>
      </c>
      <c r="AW1939">
        <v>0</v>
      </c>
      <c r="AX1939">
        <v>0</v>
      </c>
      <c r="AY1939">
        <v>75.599999999999994</v>
      </c>
      <c r="BC1939" t="str">
        <f>T("9791164482849")</f>
        <v>9791164482849</v>
      </c>
      <c r="BE1939" t="str">
        <f>T("판타지 웹소설 &gt; 무협 소설")</f>
        <v>판타지 웹소설 &gt; 무협 소설</v>
      </c>
    </row>
    <row r="1940" spans="1:57" x14ac:dyDescent="0.3">
      <c r="A1940">
        <v>1525008428</v>
      </c>
      <c r="B1940">
        <v>1525008412</v>
      </c>
      <c r="C1940" t="str">
        <f>T("무히비(Muhibbi) 109화")</f>
        <v>무히비(Muhibbi) 109화</v>
      </c>
      <c r="D1940" t="str">
        <f>T("109")</f>
        <v>109</v>
      </c>
      <c r="E1940" t="str">
        <f>T("jooki")</f>
        <v>jooki</v>
      </c>
      <c r="H1940" t="str">
        <f>T("블러쉬")</f>
        <v>블러쉬</v>
      </c>
      <c r="I1940" t="str">
        <f>T("무히비(Muhibbi)")</f>
        <v>무히비(Muhibbi)</v>
      </c>
      <c r="J1940">
        <v>100</v>
      </c>
      <c r="K1940">
        <v>100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100</v>
      </c>
      <c r="AH1940">
        <v>1</v>
      </c>
      <c r="AI1940">
        <v>0</v>
      </c>
      <c r="AJ1940">
        <v>0</v>
      </c>
      <c r="AK1940">
        <v>100</v>
      </c>
      <c r="AL1940">
        <v>0</v>
      </c>
      <c r="AM1940">
        <v>0</v>
      </c>
      <c r="AN1940">
        <v>0</v>
      </c>
      <c r="AO1940">
        <v>0</v>
      </c>
      <c r="AQ1940">
        <v>0</v>
      </c>
      <c r="AR1940">
        <v>0</v>
      </c>
      <c r="AT1940">
        <v>0</v>
      </c>
      <c r="AU1940">
        <v>0</v>
      </c>
      <c r="AW1940">
        <v>0</v>
      </c>
      <c r="AX1940">
        <v>0</v>
      </c>
      <c r="AY1940">
        <v>70</v>
      </c>
      <c r="BA1940" t="str">
        <f>T("0000000000000")</f>
        <v>0000000000000</v>
      </c>
      <c r="BC1940" t="str">
        <f>T("9791164896622")</f>
        <v>9791164896622</v>
      </c>
      <c r="BE1940" t="str">
        <f>T("BL 웹소설 &gt; 역사/시대물")</f>
        <v>BL 웹소설 &gt; 역사/시대물</v>
      </c>
    </row>
    <row r="1941" spans="1:57" x14ac:dyDescent="0.3">
      <c r="A1941">
        <v>1525004030</v>
      </c>
      <c r="B1941">
        <v>1525006970</v>
      </c>
      <c r="C1941" t="str">
        <f>T("회귀의 전설 2부 854화")</f>
        <v>회귀의 전설 2부 854화</v>
      </c>
      <c r="D1941" t="str">
        <f>T("854")</f>
        <v>854</v>
      </c>
      <c r="E1941" t="str">
        <f>T("김광수")</f>
        <v>김광수</v>
      </c>
      <c r="H1941" t="str">
        <f>T("스토리위즈")</f>
        <v>스토리위즈</v>
      </c>
      <c r="I1941" t="str">
        <f>T("회귀의 전설")</f>
        <v>회귀의 전설</v>
      </c>
      <c r="J1941">
        <v>100</v>
      </c>
      <c r="K1941">
        <v>100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100</v>
      </c>
      <c r="AH1941">
        <v>1</v>
      </c>
      <c r="AI1941">
        <v>0</v>
      </c>
      <c r="AJ1941">
        <v>0</v>
      </c>
      <c r="AK1941">
        <v>100</v>
      </c>
      <c r="AL1941">
        <v>0</v>
      </c>
      <c r="AM1941">
        <v>0</v>
      </c>
      <c r="AN1941">
        <v>0</v>
      </c>
      <c r="AO1941">
        <v>0</v>
      </c>
      <c r="AQ1941">
        <v>0</v>
      </c>
      <c r="AR1941">
        <v>0</v>
      </c>
      <c r="AT1941">
        <v>0</v>
      </c>
      <c r="AU1941">
        <v>0</v>
      </c>
      <c r="AW1941">
        <v>0</v>
      </c>
      <c r="AX1941">
        <v>0</v>
      </c>
      <c r="AY1941">
        <v>70</v>
      </c>
      <c r="BC1941" t="str">
        <f>T("9791191102086")</f>
        <v>9791191102086</v>
      </c>
      <c r="BE1941" t="str">
        <f>T("판타지 웹소설 &gt; 현대 판타지")</f>
        <v>판타지 웹소설 &gt; 현대 판타지</v>
      </c>
    </row>
    <row r="1942" spans="1:57" x14ac:dyDescent="0.3">
      <c r="A1942">
        <v>1525011523</v>
      </c>
      <c r="B1942">
        <v>1525011363</v>
      </c>
      <c r="C1942" t="str">
        <f>T("남창목가 161화")</f>
        <v>남창목가 161화</v>
      </c>
      <c r="D1942" t="str">
        <f>T("161")</f>
        <v>161</v>
      </c>
      <c r="E1942" t="str">
        <f>T("최재봉")</f>
        <v>최재봉</v>
      </c>
      <c r="H1942" t="str">
        <f>T("에필로그")</f>
        <v>에필로그</v>
      </c>
      <c r="I1942" t="str">
        <f>T("남창목가")</f>
        <v>남창목가</v>
      </c>
      <c r="J1942">
        <v>100</v>
      </c>
      <c r="K1942">
        <v>100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100</v>
      </c>
      <c r="AH1942">
        <v>1</v>
      </c>
      <c r="AI1942">
        <v>0</v>
      </c>
      <c r="AJ1942">
        <v>0</v>
      </c>
      <c r="AK1942">
        <v>0</v>
      </c>
      <c r="AL1942">
        <v>0</v>
      </c>
      <c r="AM1942">
        <v>120</v>
      </c>
      <c r="AN1942">
        <v>-12</v>
      </c>
      <c r="AO1942">
        <v>0</v>
      </c>
      <c r="AQ1942">
        <v>0</v>
      </c>
      <c r="AR1942">
        <v>0</v>
      </c>
      <c r="AS1942">
        <v>120</v>
      </c>
      <c r="AT1942">
        <v>-12</v>
      </c>
      <c r="AU1942">
        <v>0</v>
      </c>
      <c r="AW1942">
        <v>0</v>
      </c>
      <c r="AX1942">
        <v>0</v>
      </c>
      <c r="AY1942">
        <v>75.599999999999994</v>
      </c>
      <c r="BC1942" t="str">
        <f>T("9791164482849")</f>
        <v>9791164482849</v>
      </c>
      <c r="BE1942" t="str">
        <f>T("판타지 웹소설 &gt; 무협 소설")</f>
        <v>판타지 웹소설 &gt; 무협 소설</v>
      </c>
    </row>
    <row r="1943" spans="1:57" x14ac:dyDescent="0.3">
      <c r="A1943">
        <v>1525002125</v>
      </c>
      <c r="B1943">
        <v>1525002391</v>
      </c>
      <c r="C1943" t="str">
        <f>T("신을 죽이러 갑니다 267화")</f>
        <v>신을 죽이러 갑니다 267화</v>
      </c>
      <c r="D1943" t="str">
        <f>T("267")</f>
        <v>267</v>
      </c>
      <c r="E1943" t="str">
        <f>T("독고진")</f>
        <v>독고진</v>
      </c>
      <c r="H1943" t="str">
        <f>T("스토리위즈")</f>
        <v>스토리위즈</v>
      </c>
      <c r="I1943" t="str">
        <f>T("신을 죽이러 갑니다")</f>
        <v>신을 죽이러 갑니다</v>
      </c>
      <c r="J1943">
        <v>100</v>
      </c>
      <c r="K1943">
        <v>100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100</v>
      </c>
      <c r="AH1943">
        <v>1</v>
      </c>
      <c r="AI1943">
        <v>0</v>
      </c>
      <c r="AJ1943">
        <v>0</v>
      </c>
      <c r="AK1943">
        <v>0</v>
      </c>
      <c r="AL1943">
        <v>0</v>
      </c>
      <c r="AM1943">
        <v>120</v>
      </c>
      <c r="AN1943">
        <v>-12</v>
      </c>
      <c r="AO1943">
        <v>0</v>
      </c>
      <c r="AQ1943">
        <v>0</v>
      </c>
      <c r="AR1943">
        <v>0</v>
      </c>
      <c r="AS1943">
        <v>120</v>
      </c>
      <c r="AT1943">
        <v>-12</v>
      </c>
      <c r="AU1943">
        <v>0</v>
      </c>
      <c r="AW1943">
        <v>0</v>
      </c>
      <c r="AX1943">
        <v>0</v>
      </c>
      <c r="AY1943">
        <v>75.599999999999994</v>
      </c>
      <c r="BC1943" t="str">
        <f>T("9791159285806")</f>
        <v>9791159285806</v>
      </c>
      <c r="BE1943" t="str">
        <f>T("판타지 웹소설 &gt; 퓨전 판타지")</f>
        <v>판타지 웹소설 &gt; 퓨전 판타지</v>
      </c>
    </row>
    <row r="1944" spans="1:57" x14ac:dyDescent="0.3">
      <c r="A1944">
        <v>1525013020</v>
      </c>
      <c r="B1944">
        <v>1525013052</v>
      </c>
      <c r="C1944" t="str">
        <f>T("악당의 리턴 33화")</f>
        <v>악당의 리턴 33화</v>
      </c>
      <c r="D1944" t="str">
        <f>T("33")</f>
        <v>33</v>
      </c>
      <c r="E1944" t="str">
        <f>T("백범(白帆)")</f>
        <v>백범(白帆)</v>
      </c>
      <c r="H1944" t="str">
        <f>T("에필로그")</f>
        <v>에필로그</v>
      </c>
      <c r="I1944" t="str">
        <f>T("악당의 리턴")</f>
        <v>악당의 리턴</v>
      </c>
      <c r="J1944">
        <v>100</v>
      </c>
      <c r="K1944">
        <v>100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100</v>
      </c>
      <c r="AH1944">
        <v>1</v>
      </c>
      <c r="AI1944">
        <v>0</v>
      </c>
      <c r="AJ1944">
        <v>0</v>
      </c>
      <c r="AK1944">
        <v>100</v>
      </c>
      <c r="AL1944">
        <v>0</v>
      </c>
      <c r="AM1944">
        <v>0</v>
      </c>
      <c r="AN1944">
        <v>0</v>
      </c>
      <c r="AO1944">
        <v>0</v>
      </c>
      <c r="AQ1944">
        <v>0</v>
      </c>
      <c r="AR1944">
        <v>0</v>
      </c>
      <c r="AT1944">
        <v>0</v>
      </c>
      <c r="AU1944">
        <v>0</v>
      </c>
      <c r="AW1944">
        <v>0</v>
      </c>
      <c r="AX1944">
        <v>0</v>
      </c>
      <c r="AY1944">
        <v>70</v>
      </c>
      <c r="BC1944" t="str">
        <f>T("9791196538927")</f>
        <v>9791196538927</v>
      </c>
      <c r="BE1944" t="str">
        <f>T("판타지 웹소설 &gt; 현대 판타지")</f>
        <v>판타지 웹소설 &gt; 현대 판타지</v>
      </c>
    </row>
    <row r="1945" spans="1:57" x14ac:dyDescent="0.3">
      <c r="A1945">
        <v>1525004030</v>
      </c>
      <c r="B1945">
        <v>1525007125</v>
      </c>
      <c r="C1945" t="str">
        <f>T("회귀의 전설 2부 1009화")</f>
        <v>회귀의 전설 2부 1009화</v>
      </c>
      <c r="D1945" t="str">
        <f>T("1009")</f>
        <v>1009</v>
      </c>
      <c r="E1945" t="str">
        <f>T("김광수")</f>
        <v>김광수</v>
      </c>
      <c r="H1945" t="str">
        <f>T("스토리위즈")</f>
        <v>스토리위즈</v>
      </c>
      <c r="I1945" t="str">
        <f>T("회귀의 전설")</f>
        <v>회귀의 전설</v>
      </c>
      <c r="J1945">
        <v>100</v>
      </c>
      <c r="K1945">
        <v>100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100</v>
      </c>
      <c r="AH1945">
        <v>1</v>
      </c>
      <c r="AI1945">
        <v>0</v>
      </c>
      <c r="AJ1945">
        <v>0</v>
      </c>
      <c r="AK1945">
        <v>100</v>
      </c>
      <c r="AL1945">
        <v>0</v>
      </c>
      <c r="AM1945">
        <v>0</v>
      </c>
      <c r="AN1945">
        <v>0</v>
      </c>
      <c r="AO1945">
        <v>0</v>
      </c>
      <c r="AQ1945">
        <v>0</v>
      </c>
      <c r="AR1945">
        <v>0</v>
      </c>
      <c r="AT1945">
        <v>0</v>
      </c>
      <c r="AU1945">
        <v>0</v>
      </c>
      <c r="AW1945">
        <v>0</v>
      </c>
      <c r="AX1945">
        <v>0</v>
      </c>
      <c r="AY1945">
        <v>70</v>
      </c>
      <c r="BC1945" t="str">
        <f>T("9791191102086")</f>
        <v>9791191102086</v>
      </c>
      <c r="BE1945" t="str">
        <f>T("판타지 웹소설 &gt; 현대 판타지")</f>
        <v>판타지 웹소설 &gt; 현대 판타지</v>
      </c>
    </row>
    <row r="1946" spans="1:57" x14ac:dyDescent="0.3">
      <c r="A1946">
        <v>1525004030</v>
      </c>
      <c r="B1946">
        <v>1525004498</v>
      </c>
      <c r="C1946" t="str">
        <f>T("회귀의 전설 482화")</f>
        <v>회귀의 전설 482화</v>
      </c>
      <c r="D1946" t="str">
        <f>T("482")</f>
        <v>482</v>
      </c>
      <c r="E1946" t="str">
        <f>T("김광수")</f>
        <v>김광수</v>
      </c>
      <c r="H1946" t="str">
        <f>T("스토리위즈")</f>
        <v>스토리위즈</v>
      </c>
      <c r="I1946" t="str">
        <f>T("회귀의 전설")</f>
        <v>회귀의 전설</v>
      </c>
      <c r="J1946">
        <v>100</v>
      </c>
      <c r="K1946">
        <v>100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100</v>
      </c>
      <c r="AH1946">
        <v>1</v>
      </c>
      <c r="AI1946">
        <v>0</v>
      </c>
      <c r="AJ1946">
        <v>0</v>
      </c>
      <c r="AK1946">
        <v>100</v>
      </c>
      <c r="AL1946">
        <v>0</v>
      </c>
      <c r="AM1946">
        <v>0</v>
      </c>
      <c r="AN1946">
        <v>0</v>
      </c>
      <c r="AO1946">
        <v>0</v>
      </c>
      <c r="AQ1946">
        <v>0</v>
      </c>
      <c r="AR1946">
        <v>0</v>
      </c>
      <c r="AT1946">
        <v>0</v>
      </c>
      <c r="AU1946">
        <v>0</v>
      </c>
      <c r="AW1946">
        <v>0</v>
      </c>
      <c r="AX1946">
        <v>0</v>
      </c>
      <c r="AY1946">
        <v>70</v>
      </c>
      <c r="BC1946" t="str">
        <f>T("9788997946006")</f>
        <v>9788997946006</v>
      </c>
      <c r="BE1946" t="str">
        <f>T("판타지 웹소설 &gt; 현대 판타지")</f>
        <v>판타지 웹소설 &gt; 현대 판타지</v>
      </c>
    </row>
    <row r="1947" spans="1:57" x14ac:dyDescent="0.3">
      <c r="A1947">
        <v>1525012551</v>
      </c>
      <c r="B1947">
        <v>1525012726</v>
      </c>
      <c r="C1947" t="str">
        <f>T("개정판 | 바보가 만드는 멋진 세상 176화")</f>
        <v>개정판 | 바보가 만드는 멋진 세상 176화</v>
      </c>
      <c r="D1947" t="str">
        <f>T("176")</f>
        <v>176</v>
      </c>
      <c r="E1947" t="str">
        <f>T("백범(白帆)")</f>
        <v>백범(白帆)</v>
      </c>
      <c r="H1947" t="str">
        <f>T("에필로그")</f>
        <v>에필로그</v>
      </c>
      <c r="I1947" t="str">
        <f>T("개정판 | 바보가 만드는 멋진 세상")</f>
        <v>개정판 | 바보가 만드는 멋진 세상</v>
      </c>
      <c r="J1947">
        <v>100</v>
      </c>
      <c r="K1947">
        <v>100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100</v>
      </c>
      <c r="AH1947">
        <v>1</v>
      </c>
      <c r="AI1947">
        <v>0</v>
      </c>
      <c r="AJ1947">
        <v>0</v>
      </c>
      <c r="AK1947">
        <v>100</v>
      </c>
      <c r="AL1947">
        <v>0</v>
      </c>
      <c r="AM1947">
        <v>0</v>
      </c>
      <c r="AN1947">
        <v>0</v>
      </c>
      <c r="AO1947">
        <v>0</v>
      </c>
      <c r="AQ1947">
        <v>0</v>
      </c>
      <c r="AR1947">
        <v>0</v>
      </c>
      <c r="AT1947">
        <v>0</v>
      </c>
      <c r="AU1947">
        <v>0</v>
      </c>
      <c r="AW1947">
        <v>0</v>
      </c>
      <c r="AX1947">
        <v>0</v>
      </c>
      <c r="AY1947">
        <v>70</v>
      </c>
      <c r="BC1947" t="str">
        <f>T("9791166003493")</f>
        <v>9791166003493</v>
      </c>
      <c r="BE1947" t="str">
        <f>T("판타지 웹소설 &gt; 현대 판타지")</f>
        <v>판타지 웹소설 &gt; 현대 판타지</v>
      </c>
    </row>
    <row r="1948" spans="1:57" x14ac:dyDescent="0.3">
      <c r="A1948">
        <v>1525008545</v>
      </c>
      <c r="B1948">
        <v>1525008539</v>
      </c>
      <c r="C1948" t="str">
        <f>T("소년연애담 14화")</f>
        <v>소년연애담 14화</v>
      </c>
      <c r="D1948" t="str">
        <f>T("14")</f>
        <v>14</v>
      </c>
      <c r="E1948" t="str">
        <f>T("나나코")</f>
        <v>나나코</v>
      </c>
      <c r="H1948" t="str">
        <f>T("블러쉬")</f>
        <v>블러쉬</v>
      </c>
      <c r="I1948" t="str">
        <f>T("소년연애담")</f>
        <v>소년연애담</v>
      </c>
      <c r="J1948">
        <v>100</v>
      </c>
      <c r="K1948">
        <v>100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100</v>
      </c>
      <c r="AH1948">
        <v>1</v>
      </c>
      <c r="AI1948">
        <v>0</v>
      </c>
      <c r="AJ1948">
        <v>0</v>
      </c>
      <c r="AK1948">
        <v>100</v>
      </c>
      <c r="AL1948">
        <v>0</v>
      </c>
      <c r="AM1948">
        <v>0</v>
      </c>
      <c r="AN1948">
        <v>0</v>
      </c>
      <c r="AO1948">
        <v>0</v>
      </c>
      <c r="AQ1948">
        <v>0</v>
      </c>
      <c r="AR1948">
        <v>0</v>
      </c>
      <c r="AT1948">
        <v>0</v>
      </c>
      <c r="AU1948">
        <v>0</v>
      </c>
      <c r="AW1948">
        <v>0</v>
      </c>
      <c r="AX1948">
        <v>0</v>
      </c>
      <c r="AY1948">
        <v>70</v>
      </c>
      <c r="BA1948" t="str">
        <f>T("0000000000000")</f>
        <v>0000000000000</v>
      </c>
      <c r="BC1948" t="str">
        <f>T("9791164890729")</f>
        <v>9791164890729</v>
      </c>
      <c r="BD1948" t="str">
        <f>T("B12")</f>
        <v>B12</v>
      </c>
      <c r="BE1948" t="str">
        <f>T("BL 웹소설 &gt; 현대물")</f>
        <v>BL 웹소설 &gt; 현대물</v>
      </c>
    </row>
    <row r="1949" spans="1:57" x14ac:dyDescent="0.3">
      <c r="A1949">
        <v>1525002864</v>
      </c>
      <c r="B1949">
        <v>1525003494</v>
      </c>
      <c r="C1949" t="str">
        <f>T("소드마스터의 환생 206화 (외전 12) (완결)")</f>
        <v>소드마스터의 환생 206화 (외전 12) (완결)</v>
      </c>
      <c r="D1949" t="str">
        <f>T("206")</f>
        <v>206</v>
      </c>
      <c r="E1949" t="str">
        <f>T("파란영")</f>
        <v>파란영</v>
      </c>
      <c r="H1949" t="str">
        <f>T("스토리위즈")</f>
        <v>스토리위즈</v>
      </c>
      <c r="I1949" t="str">
        <f>T("소드마스터의 환생")</f>
        <v>소드마스터의 환생</v>
      </c>
      <c r="J1949">
        <v>100</v>
      </c>
      <c r="K1949">
        <v>100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100</v>
      </c>
      <c r="AH1949">
        <v>1</v>
      </c>
      <c r="AI1949">
        <v>0</v>
      </c>
      <c r="AJ1949">
        <v>0</v>
      </c>
      <c r="AK1949">
        <v>100</v>
      </c>
      <c r="AL1949">
        <v>0</v>
      </c>
      <c r="AM1949">
        <v>0</v>
      </c>
      <c r="AN1949">
        <v>0</v>
      </c>
      <c r="AO1949">
        <v>0</v>
      </c>
      <c r="AQ1949">
        <v>0</v>
      </c>
      <c r="AR1949">
        <v>0</v>
      </c>
      <c r="AT1949">
        <v>0</v>
      </c>
      <c r="AU1949">
        <v>0</v>
      </c>
      <c r="AW1949">
        <v>0</v>
      </c>
      <c r="AX1949">
        <v>0</v>
      </c>
      <c r="AY1949">
        <v>70</v>
      </c>
      <c r="BC1949" t="str">
        <f>T("9791159287527")</f>
        <v>9791159287527</v>
      </c>
      <c r="BE1949" t="str">
        <f>T("판타지 웹소설 &gt; 정통 판타지")</f>
        <v>판타지 웹소설 &gt; 정통 판타지</v>
      </c>
    </row>
    <row r="1950" spans="1:57" x14ac:dyDescent="0.3">
      <c r="A1950">
        <v>1525008428</v>
      </c>
      <c r="B1950">
        <v>1525008489</v>
      </c>
      <c r="C1950" t="str">
        <f>T("무히비(Muhibbi) 75화")</f>
        <v>무히비(Muhibbi) 75화</v>
      </c>
      <c r="D1950" t="str">
        <f>T("75")</f>
        <v>75</v>
      </c>
      <c r="E1950" t="str">
        <f>T("jooki")</f>
        <v>jooki</v>
      </c>
      <c r="H1950" t="str">
        <f>T("블러쉬")</f>
        <v>블러쉬</v>
      </c>
      <c r="I1950" t="str">
        <f>T("무히비(Muhibbi)")</f>
        <v>무히비(Muhibbi)</v>
      </c>
      <c r="J1950">
        <v>100</v>
      </c>
      <c r="K1950">
        <v>100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100</v>
      </c>
      <c r="AH1950">
        <v>1</v>
      </c>
      <c r="AI1950">
        <v>0</v>
      </c>
      <c r="AJ1950">
        <v>0</v>
      </c>
      <c r="AK1950">
        <v>100</v>
      </c>
      <c r="AL1950">
        <v>0</v>
      </c>
      <c r="AM1950">
        <v>0</v>
      </c>
      <c r="AN1950">
        <v>0</v>
      </c>
      <c r="AO1950">
        <v>0</v>
      </c>
      <c r="AQ1950">
        <v>0</v>
      </c>
      <c r="AR1950">
        <v>0</v>
      </c>
      <c r="AT1950">
        <v>0</v>
      </c>
      <c r="AU1950">
        <v>0</v>
      </c>
      <c r="AW1950">
        <v>0</v>
      </c>
      <c r="AX1950">
        <v>0</v>
      </c>
      <c r="AY1950">
        <v>70</v>
      </c>
      <c r="BC1950" t="str">
        <f>T("9791164896622")</f>
        <v>9791164896622</v>
      </c>
      <c r="BE1950" t="str">
        <f>T("BL 웹소설 &gt; 역사/시대물")</f>
        <v>BL 웹소설 &gt; 역사/시대물</v>
      </c>
    </row>
    <row r="1951" spans="1:57" x14ac:dyDescent="0.3">
      <c r="A1951">
        <v>1525011523</v>
      </c>
      <c r="B1951">
        <v>1525011323</v>
      </c>
      <c r="C1951" t="str">
        <f>T("남창목가 201화")</f>
        <v>남창목가 201화</v>
      </c>
      <c r="D1951" t="str">
        <f>T("201")</f>
        <v>201</v>
      </c>
      <c r="E1951" t="str">
        <f>T("최재봉")</f>
        <v>최재봉</v>
      </c>
      <c r="H1951" t="str">
        <f>T("에필로그")</f>
        <v>에필로그</v>
      </c>
      <c r="I1951" t="str">
        <f>T("남창목가")</f>
        <v>남창목가</v>
      </c>
      <c r="J1951">
        <v>100</v>
      </c>
      <c r="K1951">
        <v>100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100</v>
      </c>
      <c r="AH1951">
        <v>1</v>
      </c>
      <c r="AI1951">
        <v>0</v>
      </c>
      <c r="AJ1951">
        <v>0</v>
      </c>
      <c r="AK1951">
        <v>0</v>
      </c>
      <c r="AL1951">
        <v>0</v>
      </c>
      <c r="AM1951">
        <v>120</v>
      </c>
      <c r="AN1951">
        <v>-12</v>
      </c>
      <c r="AO1951">
        <v>0</v>
      </c>
      <c r="AQ1951">
        <v>0</v>
      </c>
      <c r="AR1951">
        <v>0</v>
      </c>
      <c r="AS1951">
        <v>120</v>
      </c>
      <c r="AT1951">
        <v>-12</v>
      </c>
      <c r="AU1951">
        <v>0</v>
      </c>
      <c r="AW1951">
        <v>0</v>
      </c>
      <c r="AX1951">
        <v>0</v>
      </c>
      <c r="AY1951">
        <v>75.599999999999994</v>
      </c>
      <c r="BC1951" t="str">
        <f>T("9791164482849")</f>
        <v>9791164482849</v>
      </c>
      <c r="BE1951" t="str">
        <f>T("판타지 웹소설 &gt; 무협 소설")</f>
        <v>판타지 웹소설 &gt; 무협 소설</v>
      </c>
    </row>
    <row r="1952" spans="1:57" x14ac:dyDescent="0.3">
      <c r="A1952">
        <v>1525012551</v>
      </c>
      <c r="B1952">
        <v>1525012604</v>
      </c>
      <c r="C1952" t="str">
        <f>T("개정판 | 바보가 만드는 멋진 세상 54화")</f>
        <v>개정판 | 바보가 만드는 멋진 세상 54화</v>
      </c>
      <c r="D1952" t="str">
        <f>T("54")</f>
        <v>54</v>
      </c>
      <c r="E1952" t="str">
        <f>T("백범(白帆)")</f>
        <v>백범(白帆)</v>
      </c>
      <c r="H1952" t="str">
        <f>T("에필로그")</f>
        <v>에필로그</v>
      </c>
      <c r="I1952" t="str">
        <f>T("개정판 | 바보가 만드는 멋진 세상")</f>
        <v>개정판 | 바보가 만드는 멋진 세상</v>
      </c>
      <c r="J1952">
        <v>100</v>
      </c>
      <c r="K1952">
        <v>100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100</v>
      </c>
      <c r="AH1952">
        <v>1</v>
      </c>
      <c r="AI1952">
        <v>0</v>
      </c>
      <c r="AJ1952">
        <v>0</v>
      </c>
      <c r="AK1952">
        <v>100</v>
      </c>
      <c r="AL1952">
        <v>0</v>
      </c>
      <c r="AM1952">
        <v>0</v>
      </c>
      <c r="AN1952">
        <v>0</v>
      </c>
      <c r="AO1952">
        <v>0</v>
      </c>
      <c r="AQ1952">
        <v>0</v>
      </c>
      <c r="AR1952">
        <v>0</v>
      </c>
      <c r="AT1952">
        <v>0</v>
      </c>
      <c r="AU1952">
        <v>0</v>
      </c>
      <c r="AW1952">
        <v>0</v>
      </c>
      <c r="AX1952">
        <v>0</v>
      </c>
      <c r="AY1952">
        <v>70</v>
      </c>
      <c r="BC1952" t="str">
        <f>T("9791166003493")</f>
        <v>9791166003493</v>
      </c>
      <c r="BE1952" t="str">
        <f>T("판타지 웹소설 &gt; 현대 판타지")</f>
        <v>판타지 웹소설 &gt; 현대 판타지</v>
      </c>
    </row>
    <row r="1953" spans="1:57" x14ac:dyDescent="0.3">
      <c r="A1953">
        <v>1525004799</v>
      </c>
      <c r="B1953">
        <v>1525004954</v>
      </c>
      <c r="C1953" t="str">
        <f>T("검산도해 156화")</f>
        <v>검산도해 156화</v>
      </c>
      <c r="D1953" t="str">
        <f>T("156")</f>
        <v>156</v>
      </c>
      <c r="E1953" t="str">
        <f>T("권용찬")</f>
        <v>권용찬</v>
      </c>
      <c r="H1953" t="str">
        <f>T("스토리위즈")</f>
        <v>스토리위즈</v>
      </c>
      <c r="I1953" t="str">
        <f>T("검산도해")</f>
        <v>검산도해</v>
      </c>
      <c r="J1953">
        <v>100</v>
      </c>
      <c r="K1953">
        <v>100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100</v>
      </c>
      <c r="AH1953">
        <v>1</v>
      </c>
      <c r="AI1953">
        <v>0</v>
      </c>
      <c r="AJ1953">
        <v>0</v>
      </c>
      <c r="AK1953">
        <v>0</v>
      </c>
      <c r="AL1953">
        <v>0</v>
      </c>
      <c r="AM1953">
        <v>120</v>
      </c>
      <c r="AN1953">
        <v>-12</v>
      </c>
      <c r="AO1953">
        <v>0</v>
      </c>
      <c r="AQ1953">
        <v>0</v>
      </c>
      <c r="AR1953">
        <v>0</v>
      </c>
      <c r="AS1953">
        <v>120</v>
      </c>
      <c r="AT1953">
        <v>-12</v>
      </c>
      <c r="AU1953">
        <v>0</v>
      </c>
      <c r="AW1953">
        <v>0</v>
      </c>
      <c r="AX1953">
        <v>0</v>
      </c>
      <c r="AY1953">
        <v>75.599999999999994</v>
      </c>
      <c r="BC1953" t="str">
        <f>T("9791159285936")</f>
        <v>9791159285936</v>
      </c>
      <c r="BE1953" t="str">
        <f>T("판타지 웹소설 &gt; 무협 소설")</f>
        <v>판타지 웹소설 &gt; 무협 소설</v>
      </c>
    </row>
    <row r="1954" spans="1:57" x14ac:dyDescent="0.3">
      <c r="A1954">
        <v>1525004030</v>
      </c>
      <c r="B1954">
        <v>1525007043</v>
      </c>
      <c r="C1954" t="str">
        <f>T("회귀의 전설 2부 927화")</f>
        <v>회귀의 전설 2부 927화</v>
      </c>
      <c r="D1954" t="str">
        <f>T("927")</f>
        <v>927</v>
      </c>
      <c r="E1954" t="str">
        <f>T("김광수")</f>
        <v>김광수</v>
      </c>
      <c r="H1954" t="str">
        <f>T("스토리위즈")</f>
        <v>스토리위즈</v>
      </c>
      <c r="I1954" t="str">
        <f>T("회귀의 전설")</f>
        <v>회귀의 전설</v>
      </c>
      <c r="J1954">
        <v>100</v>
      </c>
      <c r="K1954">
        <v>100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100</v>
      </c>
      <c r="AH1954">
        <v>1</v>
      </c>
      <c r="AI1954">
        <v>0</v>
      </c>
      <c r="AJ1954">
        <v>0</v>
      </c>
      <c r="AK1954">
        <v>100</v>
      </c>
      <c r="AL1954">
        <v>0</v>
      </c>
      <c r="AM1954">
        <v>0</v>
      </c>
      <c r="AN1954">
        <v>0</v>
      </c>
      <c r="AO1954">
        <v>0</v>
      </c>
      <c r="AQ1954">
        <v>0</v>
      </c>
      <c r="AR1954">
        <v>0</v>
      </c>
      <c r="AT1954">
        <v>0</v>
      </c>
      <c r="AU1954">
        <v>0</v>
      </c>
      <c r="AW1954">
        <v>0</v>
      </c>
      <c r="AX1954">
        <v>0</v>
      </c>
      <c r="AY1954">
        <v>70</v>
      </c>
      <c r="BC1954" t="str">
        <f>T("9791191102086")</f>
        <v>9791191102086</v>
      </c>
      <c r="BE1954" t="str">
        <f>T("판타지 웹소설 &gt; 현대 판타지")</f>
        <v>판타지 웹소설 &gt; 현대 판타지</v>
      </c>
    </row>
    <row r="1955" spans="1:57" x14ac:dyDescent="0.3">
      <c r="A1955">
        <v>1525004030</v>
      </c>
      <c r="B1955">
        <v>1525007002</v>
      </c>
      <c r="C1955" t="str">
        <f>T("회귀의 전설 2부 886화")</f>
        <v>회귀의 전설 2부 886화</v>
      </c>
      <c r="D1955" t="str">
        <f>T("886")</f>
        <v>886</v>
      </c>
      <c r="E1955" t="str">
        <f>T("김광수")</f>
        <v>김광수</v>
      </c>
      <c r="H1955" t="str">
        <f>T("스토리위즈")</f>
        <v>스토리위즈</v>
      </c>
      <c r="I1955" t="str">
        <f>T("회귀의 전설")</f>
        <v>회귀의 전설</v>
      </c>
      <c r="J1955">
        <v>100</v>
      </c>
      <c r="K1955">
        <v>100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100</v>
      </c>
      <c r="AH1955">
        <v>1</v>
      </c>
      <c r="AI1955">
        <v>0</v>
      </c>
      <c r="AJ1955">
        <v>0</v>
      </c>
      <c r="AK1955">
        <v>100</v>
      </c>
      <c r="AL1955">
        <v>0</v>
      </c>
      <c r="AM1955">
        <v>0</v>
      </c>
      <c r="AN1955">
        <v>0</v>
      </c>
      <c r="AO1955">
        <v>0</v>
      </c>
      <c r="AQ1955">
        <v>0</v>
      </c>
      <c r="AR1955">
        <v>0</v>
      </c>
      <c r="AT1955">
        <v>0</v>
      </c>
      <c r="AU1955">
        <v>0</v>
      </c>
      <c r="AW1955">
        <v>0</v>
      </c>
      <c r="AX1955">
        <v>0</v>
      </c>
      <c r="AY1955">
        <v>70</v>
      </c>
      <c r="BC1955" t="str">
        <f>T("9791191102086")</f>
        <v>9791191102086</v>
      </c>
      <c r="BE1955" t="str">
        <f>T("판타지 웹소설 &gt; 현대 판타지")</f>
        <v>판타지 웹소설 &gt; 현대 판타지</v>
      </c>
    </row>
    <row r="1956" spans="1:57" x14ac:dyDescent="0.3">
      <c r="A1956">
        <v>1525011523</v>
      </c>
      <c r="B1956">
        <v>1525011405</v>
      </c>
      <c r="C1956" t="str">
        <f>T("남창목가 119화")</f>
        <v>남창목가 119화</v>
      </c>
      <c r="D1956" t="str">
        <f>T("119")</f>
        <v>119</v>
      </c>
      <c r="E1956" t="str">
        <f>T("최재봉")</f>
        <v>최재봉</v>
      </c>
      <c r="H1956" t="str">
        <f>T("에필로그")</f>
        <v>에필로그</v>
      </c>
      <c r="I1956" t="str">
        <f>T("남창목가")</f>
        <v>남창목가</v>
      </c>
      <c r="J1956">
        <v>100</v>
      </c>
      <c r="K1956">
        <v>100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100</v>
      </c>
      <c r="AH1956">
        <v>1</v>
      </c>
      <c r="AI1956">
        <v>0</v>
      </c>
      <c r="AJ1956">
        <v>0</v>
      </c>
      <c r="AK1956">
        <v>100</v>
      </c>
      <c r="AL1956">
        <v>0</v>
      </c>
      <c r="AM1956">
        <v>0</v>
      </c>
      <c r="AN1956">
        <v>0</v>
      </c>
      <c r="AO1956">
        <v>0</v>
      </c>
      <c r="AQ1956">
        <v>0</v>
      </c>
      <c r="AR1956">
        <v>0</v>
      </c>
      <c r="AT1956">
        <v>0</v>
      </c>
      <c r="AU1956">
        <v>0</v>
      </c>
      <c r="AW1956">
        <v>0</v>
      </c>
      <c r="AX1956">
        <v>0</v>
      </c>
      <c r="AY1956">
        <v>70</v>
      </c>
      <c r="BC1956" t="str">
        <f>T("9791164482849")</f>
        <v>9791164482849</v>
      </c>
      <c r="BE1956" t="str">
        <f>T("판타지 웹소설 &gt; 무협 소설")</f>
        <v>판타지 웹소설 &gt; 무협 소설</v>
      </c>
    </row>
    <row r="1957" spans="1:57" x14ac:dyDescent="0.3">
      <c r="A1957">
        <v>1525013020</v>
      </c>
      <c r="B1957">
        <v>1525013084</v>
      </c>
      <c r="C1957" t="str">
        <f>T("악당의 리턴 65화")</f>
        <v>악당의 리턴 65화</v>
      </c>
      <c r="D1957" t="str">
        <f>T("65")</f>
        <v>65</v>
      </c>
      <c r="E1957" t="str">
        <f>T("백범(白帆)")</f>
        <v>백범(白帆)</v>
      </c>
      <c r="H1957" t="str">
        <f>T("에필로그")</f>
        <v>에필로그</v>
      </c>
      <c r="I1957" t="str">
        <f>T("악당의 리턴")</f>
        <v>악당의 리턴</v>
      </c>
      <c r="J1957">
        <v>100</v>
      </c>
      <c r="K1957">
        <v>100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100</v>
      </c>
      <c r="AH1957">
        <v>1</v>
      </c>
      <c r="AI1957">
        <v>0</v>
      </c>
      <c r="AJ1957">
        <v>0</v>
      </c>
      <c r="AK1957">
        <v>100</v>
      </c>
      <c r="AL1957">
        <v>0</v>
      </c>
      <c r="AM1957">
        <v>0</v>
      </c>
      <c r="AN1957">
        <v>0</v>
      </c>
      <c r="AO1957">
        <v>0</v>
      </c>
      <c r="AQ1957">
        <v>0</v>
      </c>
      <c r="AR1957">
        <v>0</v>
      </c>
      <c r="AT1957">
        <v>0</v>
      </c>
      <c r="AU1957">
        <v>0</v>
      </c>
      <c r="AW1957">
        <v>0</v>
      </c>
      <c r="AX1957">
        <v>0</v>
      </c>
      <c r="AY1957">
        <v>70</v>
      </c>
      <c r="BC1957" t="str">
        <f>T("9791196538927")</f>
        <v>9791196538927</v>
      </c>
      <c r="BE1957" t="str">
        <f>T("판타지 웹소설 &gt; 현대 판타지")</f>
        <v>판타지 웹소설 &gt; 현대 판타지</v>
      </c>
    </row>
    <row r="1958" spans="1:57" x14ac:dyDescent="0.3">
      <c r="A1958">
        <v>1525004030</v>
      </c>
      <c r="B1958">
        <v>1525007185</v>
      </c>
      <c r="C1958" t="str">
        <f>T("회귀의 전설 2부 1068화")</f>
        <v>회귀의 전설 2부 1068화</v>
      </c>
      <c r="D1958" t="str">
        <f>T("1068")</f>
        <v>1068</v>
      </c>
      <c r="E1958" t="str">
        <f>T("김광수")</f>
        <v>김광수</v>
      </c>
      <c r="H1958" t="str">
        <f>T("스토리위즈")</f>
        <v>스토리위즈</v>
      </c>
      <c r="I1958" t="str">
        <f>T("회귀의 전설")</f>
        <v>회귀의 전설</v>
      </c>
      <c r="J1958">
        <v>100</v>
      </c>
      <c r="K1958">
        <v>100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100</v>
      </c>
      <c r="AH1958">
        <v>1</v>
      </c>
      <c r="AI1958">
        <v>0</v>
      </c>
      <c r="AJ1958">
        <v>0</v>
      </c>
      <c r="AK1958">
        <v>100</v>
      </c>
      <c r="AL1958">
        <v>0</v>
      </c>
      <c r="AM1958">
        <v>0</v>
      </c>
      <c r="AN1958">
        <v>0</v>
      </c>
      <c r="AO1958">
        <v>0</v>
      </c>
      <c r="AQ1958">
        <v>0</v>
      </c>
      <c r="AR1958">
        <v>0</v>
      </c>
      <c r="AT1958">
        <v>0</v>
      </c>
      <c r="AU1958">
        <v>0</v>
      </c>
      <c r="AW1958">
        <v>0</v>
      </c>
      <c r="AX1958">
        <v>0</v>
      </c>
      <c r="AY1958">
        <v>70</v>
      </c>
      <c r="BC1958" t="str">
        <f>T("9791191102086")</f>
        <v>9791191102086</v>
      </c>
      <c r="BE1958" t="str">
        <f>T("판타지 웹소설 &gt; 현대 판타지")</f>
        <v>판타지 웹소설 &gt; 현대 판타지</v>
      </c>
    </row>
    <row r="1959" spans="1:57" x14ac:dyDescent="0.3">
      <c r="A1959">
        <v>1525008545</v>
      </c>
      <c r="B1959">
        <v>1525008571</v>
      </c>
      <c r="C1959" t="str">
        <f>T("소년연애담 43화")</f>
        <v>소년연애담 43화</v>
      </c>
      <c r="D1959" t="str">
        <f>T("43")</f>
        <v>43</v>
      </c>
      <c r="E1959" t="str">
        <f>T("나나코")</f>
        <v>나나코</v>
      </c>
      <c r="H1959" t="str">
        <f>T("블러쉬")</f>
        <v>블러쉬</v>
      </c>
      <c r="I1959" t="str">
        <f>T("소년연애담")</f>
        <v>소년연애담</v>
      </c>
      <c r="J1959">
        <v>100</v>
      </c>
      <c r="K1959">
        <v>100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100</v>
      </c>
      <c r="AH1959">
        <v>1</v>
      </c>
      <c r="AI1959">
        <v>0</v>
      </c>
      <c r="AJ1959">
        <v>0</v>
      </c>
      <c r="AK1959">
        <v>100</v>
      </c>
      <c r="AL1959">
        <v>0</v>
      </c>
      <c r="AM1959">
        <v>0</v>
      </c>
      <c r="AN1959">
        <v>0</v>
      </c>
      <c r="AO1959">
        <v>0</v>
      </c>
      <c r="AQ1959">
        <v>0</v>
      </c>
      <c r="AR1959">
        <v>0</v>
      </c>
      <c r="AT1959">
        <v>0</v>
      </c>
      <c r="AU1959">
        <v>0</v>
      </c>
      <c r="AW1959">
        <v>0</v>
      </c>
      <c r="AX1959">
        <v>0</v>
      </c>
      <c r="AY1959">
        <v>70</v>
      </c>
      <c r="BA1959" t="str">
        <f>T("0000000000000")</f>
        <v>0000000000000</v>
      </c>
      <c r="BC1959" t="str">
        <f>T("9791164890729")</f>
        <v>9791164890729</v>
      </c>
      <c r="BD1959" t="str">
        <f>T("B12")</f>
        <v>B12</v>
      </c>
      <c r="BE1959" t="str">
        <f>T("BL 웹소설 &gt; 현대물")</f>
        <v>BL 웹소설 &gt; 현대물</v>
      </c>
    </row>
    <row r="1960" spans="1:57" x14ac:dyDescent="0.3">
      <c r="A1960">
        <v>1525012551</v>
      </c>
      <c r="B1960">
        <v>1525012645</v>
      </c>
      <c r="C1960" t="str">
        <f>T("개정판 | 바보가 만드는 멋진 세상 95화")</f>
        <v>개정판 | 바보가 만드는 멋진 세상 95화</v>
      </c>
      <c r="D1960" t="str">
        <f>T("95")</f>
        <v>95</v>
      </c>
      <c r="E1960" t="str">
        <f>T("백범(白帆)")</f>
        <v>백범(白帆)</v>
      </c>
      <c r="H1960" t="str">
        <f>T("에필로그")</f>
        <v>에필로그</v>
      </c>
      <c r="I1960" t="str">
        <f>T("개정판 | 바보가 만드는 멋진 세상")</f>
        <v>개정판 | 바보가 만드는 멋진 세상</v>
      </c>
      <c r="J1960">
        <v>100</v>
      </c>
      <c r="K1960">
        <v>100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100</v>
      </c>
      <c r="AH1960">
        <v>1</v>
      </c>
      <c r="AI1960">
        <v>0</v>
      </c>
      <c r="AJ1960">
        <v>0</v>
      </c>
      <c r="AK1960">
        <v>100</v>
      </c>
      <c r="AL1960">
        <v>0</v>
      </c>
      <c r="AM1960">
        <v>0</v>
      </c>
      <c r="AN1960">
        <v>0</v>
      </c>
      <c r="AO1960">
        <v>0</v>
      </c>
      <c r="AQ1960">
        <v>0</v>
      </c>
      <c r="AR1960">
        <v>0</v>
      </c>
      <c r="AT1960">
        <v>0</v>
      </c>
      <c r="AU1960">
        <v>0</v>
      </c>
      <c r="AW1960">
        <v>0</v>
      </c>
      <c r="AX1960">
        <v>0</v>
      </c>
      <c r="AY1960">
        <v>70</v>
      </c>
      <c r="BC1960" t="str">
        <f>T("9791166003493")</f>
        <v>9791166003493</v>
      </c>
      <c r="BE1960" t="str">
        <f>T("판타지 웹소설 &gt; 현대 판타지")</f>
        <v>판타지 웹소설 &gt; 현대 판타지</v>
      </c>
    </row>
    <row r="1961" spans="1:57" x14ac:dyDescent="0.3">
      <c r="A1961">
        <v>1525012551</v>
      </c>
      <c r="B1961">
        <v>1525012636</v>
      </c>
      <c r="C1961" t="str">
        <f>T("개정판 | 바보가 만드는 멋진 세상 86화")</f>
        <v>개정판 | 바보가 만드는 멋진 세상 86화</v>
      </c>
      <c r="D1961" t="str">
        <f>T("86")</f>
        <v>86</v>
      </c>
      <c r="E1961" t="str">
        <f>T("백범(白帆)")</f>
        <v>백범(白帆)</v>
      </c>
      <c r="H1961" t="str">
        <f>T("에필로그")</f>
        <v>에필로그</v>
      </c>
      <c r="I1961" t="str">
        <f>T("개정판 | 바보가 만드는 멋진 세상")</f>
        <v>개정판 | 바보가 만드는 멋진 세상</v>
      </c>
      <c r="J1961">
        <v>100</v>
      </c>
      <c r="K1961">
        <v>100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100</v>
      </c>
      <c r="AH1961">
        <v>1</v>
      </c>
      <c r="AI1961">
        <v>0</v>
      </c>
      <c r="AJ1961">
        <v>0</v>
      </c>
      <c r="AK1961">
        <v>100</v>
      </c>
      <c r="AL1961">
        <v>0</v>
      </c>
      <c r="AM1961">
        <v>0</v>
      </c>
      <c r="AN1961">
        <v>0</v>
      </c>
      <c r="AO1961">
        <v>0</v>
      </c>
      <c r="AQ1961">
        <v>0</v>
      </c>
      <c r="AR1961">
        <v>0</v>
      </c>
      <c r="AT1961">
        <v>0</v>
      </c>
      <c r="AU1961">
        <v>0</v>
      </c>
      <c r="AW1961">
        <v>0</v>
      </c>
      <c r="AX1961">
        <v>0</v>
      </c>
      <c r="AY1961">
        <v>70</v>
      </c>
      <c r="BC1961" t="str">
        <f>T("9791166003493")</f>
        <v>9791166003493</v>
      </c>
      <c r="BE1961" t="str">
        <f>T("판타지 웹소설 &gt; 현대 판타지")</f>
        <v>판타지 웹소설 &gt; 현대 판타지</v>
      </c>
    </row>
    <row r="1962" spans="1:57" x14ac:dyDescent="0.3">
      <c r="A1962">
        <v>1525004799</v>
      </c>
      <c r="B1962">
        <v>1525004873</v>
      </c>
      <c r="C1962" t="str">
        <f>T("검산도해 75화")</f>
        <v>검산도해 75화</v>
      </c>
      <c r="D1962" t="str">
        <f>T("75")</f>
        <v>75</v>
      </c>
      <c r="E1962" t="str">
        <f>T("권용찬")</f>
        <v>권용찬</v>
      </c>
      <c r="H1962" t="str">
        <f>T("스토리위즈")</f>
        <v>스토리위즈</v>
      </c>
      <c r="I1962" t="str">
        <f>T("검산도해")</f>
        <v>검산도해</v>
      </c>
      <c r="J1962">
        <v>100</v>
      </c>
      <c r="K1962">
        <v>100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100</v>
      </c>
      <c r="AH1962">
        <v>1</v>
      </c>
      <c r="AI1962">
        <v>0</v>
      </c>
      <c r="AJ1962">
        <v>0</v>
      </c>
      <c r="AK1962">
        <v>0</v>
      </c>
      <c r="AL1962">
        <v>0</v>
      </c>
      <c r="AM1962">
        <v>120</v>
      </c>
      <c r="AN1962">
        <v>-12</v>
      </c>
      <c r="AO1962">
        <v>0</v>
      </c>
      <c r="AQ1962">
        <v>0</v>
      </c>
      <c r="AR1962">
        <v>0</v>
      </c>
      <c r="AS1962">
        <v>120</v>
      </c>
      <c r="AT1962">
        <v>-12</v>
      </c>
      <c r="AU1962">
        <v>0</v>
      </c>
      <c r="AW1962">
        <v>0</v>
      </c>
      <c r="AX1962">
        <v>0</v>
      </c>
      <c r="AY1962">
        <v>75.599999999999994</v>
      </c>
      <c r="BC1962" t="str">
        <f>T("9791159285936")</f>
        <v>9791159285936</v>
      </c>
      <c r="BE1962" t="str">
        <f>T("판타지 웹소설 &gt; 무협 소설")</f>
        <v>판타지 웹소설 &gt; 무협 소설</v>
      </c>
    </row>
    <row r="1963" spans="1:57" x14ac:dyDescent="0.3">
      <c r="A1963">
        <v>1525000924</v>
      </c>
      <c r="B1963">
        <v>1525000969</v>
      </c>
      <c r="C1963" t="str">
        <f>T("스피릿 소드 46화")</f>
        <v>스피릿 소드 46화</v>
      </c>
      <c r="D1963" t="str">
        <f>T("46")</f>
        <v>46</v>
      </c>
      <c r="E1963" t="str">
        <f>T("김정률")</f>
        <v>김정률</v>
      </c>
      <c r="H1963" t="str">
        <f>T("스토리위즈")</f>
        <v>스토리위즈</v>
      </c>
      <c r="I1963" t="str">
        <f>T("스피릿 소드")</f>
        <v>스피릿 소드</v>
      </c>
      <c r="J1963">
        <v>100</v>
      </c>
      <c r="K1963">
        <v>100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100</v>
      </c>
      <c r="AH1963">
        <v>1</v>
      </c>
      <c r="AI1963">
        <v>0</v>
      </c>
      <c r="AJ1963">
        <v>0</v>
      </c>
      <c r="AK1963">
        <v>100</v>
      </c>
      <c r="AL1963">
        <v>0</v>
      </c>
      <c r="AM1963">
        <v>0</v>
      </c>
      <c r="AN1963">
        <v>0</v>
      </c>
      <c r="AO1963">
        <v>0</v>
      </c>
      <c r="AQ1963">
        <v>0</v>
      </c>
      <c r="AR1963">
        <v>0</v>
      </c>
      <c r="AT1963">
        <v>0</v>
      </c>
      <c r="AU1963">
        <v>0</v>
      </c>
      <c r="AW1963">
        <v>0</v>
      </c>
      <c r="AX1963">
        <v>0</v>
      </c>
      <c r="AY1963">
        <v>70</v>
      </c>
      <c r="BA1963" t="str">
        <f>T("9791159282713")</f>
        <v>9791159282713</v>
      </c>
      <c r="BC1963" t="str">
        <f>T("9791159282713")</f>
        <v>9791159282713</v>
      </c>
      <c r="BE1963" t="str">
        <f>T("판타지 웹소설 &gt; 정통 판타지")</f>
        <v>판타지 웹소설 &gt; 정통 판타지</v>
      </c>
    </row>
    <row r="1964" spans="1:57" x14ac:dyDescent="0.3">
      <c r="A1964">
        <v>1525004030</v>
      </c>
      <c r="B1964">
        <v>1525007060</v>
      </c>
      <c r="C1964" t="str">
        <f>T("회귀의 전설 2부 944화")</f>
        <v>회귀의 전설 2부 944화</v>
      </c>
      <c r="D1964" t="str">
        <f>T("944")</f>
        <v>944</v>
      </c>
      <c r="E1964" t="str">
        <f>T("김광수")</f>
        <v>김광수</v>
      </c>
      <c r="H1964" t="str">
        <f>T("스토리위즈")</f>
        <v>스토리위즈</v>
      </c>
      <c r="I1964" t="str">
        <f>T("회귀의 전설")</f>
        <v>회귀의 전설</v>
      </c>
      <c r="J1964">
        <v>100</v>
      </c>
      <c r="K1964">
        <v>100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100</v>
      </c>
      <c r="AH1964">
        <v>1</v>
      </c>
      <c r="AI1964">
        <v>0</v>
      </c>
      <c r="AJ1964">
        <v>0</v>
      </c>
      <c r="AK1964">
        <v>100</v>
      </c>
      <c r="AL1964">
        <v>0</v>
      </c>
      <c r="AM1964">
        <v>0</v>
      </c>
      <c r="AN1964">
        <v>0</v>
      </c>
      <c r="AO1964">
        <v>0</v>
      </c>
      <c r="AQ1964">
        <v>0</v>
      </c>
      <c r="AR1964">
        <v>0</v>
      </c>
      <c r="AT1964">
        <v>0</v>
      </c>
      <c r="AU1964">
        <v>0</v>
      </c>
      <c r="AW1964">
        <v>0</v>
      </c>
      <c r="AX1964">
        <v>0</v>
      </c>
      <c r="AY1964">
        <v>70</v>
      </c>
      <c r="BC1964" t="str">
        <f>T("9791191102086")</f>
        <v>9791191102086</v>
      </c>
      <c r="BE1964" t="str">
        <f>T("판타지 웹소설 &gt; 현대 판타지")</f>
        <v>판타지 웹소설 &gt; 현대 판타지</v>
      </c>
    </row>
    <row r="1965" spans="1:57" x14ac:dyDescent="0.3">
      <c r="A1965">
        <v>1525004030</v>
      </c>
      <c r="B1965">
        <v>1525004531</v>
      </c>
      <c r="C1965" t="str">
        <f>T("회귀의 전설 508화")</f>
        <v>회귀의 전설 508화</v>
      </c>
      <c r="D1965" t="str">
        <f>T("508")</f>
        <v>508</v>
      </c>
      <c r="E1965" t="str">
        <f>T("김광수")</f>
        <v>김광수</v>
      </c>
      <c r="H1965" t="str">
        <f>T("스토리위즈")</f>
        <v>스토리위즈</v>
      </c>
      <c r="I1965" t="str">
        <f>T("회귀의 전설")</f>
        <v>회귀의 전설</v>
      </c>
      <c r="J1965">
        <v>100</v>
      </c>
      <c r="K1965">
        <v>100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100</v>
      </c>
      <c r="AH1965">
        <v>1</v>
      </c>
      <c r="AI1965">
        <v>0</v>
      </c>
      <c r="AJ1965">
        <v>0</v>
      </c>
      <c r="AK1965">
        <v>100</v>
      </c>
      <c r="AL1965">
        <v>0</v>
      </c>
      <c r="AM1965">
        <v>0</v>
      </c>
      <c r="AN1965">
        <v>0</v>
      </c>
      <c r="AO1965">
        <v>0</v>
      </c>
      <c r="AQ1965">
        <v>0</v>
      </c>
      <c r="AR1965">
        <v>0</v>
      </c>
      <c r="AT1965">
        <v>0</v>
      </c>
      <c r="AU1965">
        <v>0</v>
      </c>
      <c r="AW1965">
        <v>0</v>
      </c>
      <c r="AX1965">
        <v>0</v>
      </c>
      <c r="AY1965">
        <v>70</v>
      </c>
      <c r="BC1965" t="str">
        <f>T("9788997946006")</f>
        <v>9788997946006</v>
      </c>
      <c r="BE1965" t="str">
        <f>T("판타지 웹소설 &gt; 현대 판타지")</f>
        <v>판타지 웹소설 &gt; 현대 판타지</v>
      </c>
    </row>
    <row r="1966" spans="1:57" x14ac:dyDescent="0.3">
      <c r="A1966">
        <v>1525014780</v>
      </c>
      <c r="B1966">
        <v>1525014931</v>
      </c>
      <c r="C1966" t="str">
        <f>T("크랭키 걸즈 152화")</f>
        <v>크랭키 걸즈 152화</v>
      </c>
      <c r="D1966" t="str">
        <f>T("152")</f>
        <v>152</v>
      </c>
      <c r="E1966" t="str">
        <f>T("곽도우")</f>
        <v>곽도우</v>
      </c>
      <c r="H1966" t="str">
        <f>T("스토리아크")</f>
        <v>스토리아크</v>
      </c>
      <c r="I1966" t="str">
        <f>T("크랭키 걸즈")</f>
        <v>크랭키 걸즈</v>
      </c>
      <c r="J1966">
        <v>100</v>
      </c>
      <c r="K1966">
        <v>100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100</v>
      </c>
      <c r="AH1966">
        <v>1</v>
      </c>
      <c r="AI1966">
        <v>0</v>
      </c>
      <c r="AJ1966">
        <v>0</v>
      </c>
      <c r="AK1966">
        <v>100</v>
      </c>
      <c r="AL1966">
        <v>0</v>
      </c>
      <c r="AM1966">
        <v>0</v>
      </c>
      <c r="AN1966">
        <v>0</v>
      </c>
      <c r="AO1966">
        <v>0</v>
      </c>
      <c r="AQ1966">
        <v>0</v>
      </c>
      <c r="AR1966">
        <v>0</v>
      </c>
      <c r="AT1966">
        <v>0</v>
      </c>
      <c r="AU1966">
        <v>0</v>
      </c>
      <c r="AW1966">
        <v>0</v>
      </c>
      <c r="AX1966">
        <v>0</v>
      </c>
      <c r="AY1966">
        <v>70</v>
      </c>
      <c r="BC1966" t="str">
        <f>T("9791191039276")</f>
        <v>9791191039276</v>
      </c>
      <c r="BE1966" t="str">
        <f>T("판타지 웹소설 &gt; 현대 판타지")</f>
        <v>판타지 웹소설 &gt; 현대 판타지</v>
      </c>
    </row>
    <row r="1967" spans="1:57" x14ac:dyDescent="0.3">
      <c r="A1967">
        <v>1525008545</v>
      </c>
      <c r="B1967">
        <v>1525008588</v>
      </c>
      <c r="C1967" t="str">
        <f>T("소년연애담 59화 (완결)")</f>
        <v>소년연애담 59화 (완결)</v>
      </c>
      <c r="D1967" t="str">
        <f>T("59")</f>
        <v>59</v>
      </c>
      <c r="E1967" t="str">
        <f>T("나나코")</f>
        <v>나나코</v>
      </c>
      <c r="H1967" t="str">
        <f>T("블러쉬")</f>
        <v>블러쉬</v>
      </c>
      <c r="I1967" t="str">
        <f>T("소년연애담")</f>
        <v>소년연애담</v>
      </c>
      <c r="J1967">
        <v>100</v>
      </c>
      <c r="K1967">
        <v>100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100</v>
      </c>
      <c r="AH1967">
        <v>1</v>
      </c>
      <c r="AI1967">
        <v>0</v>
      </c>
      <c r="AJ1967">
        <v>0</v>
      </c>
      <c r="AK1967">
        <v>100</v>
      </c>
      <c r="AL1967">
        <v>0</v>
      </c>
      <c r="AM1967">
        <v>0</v>
      </c>
      <c r="AN1967">
        <v>0</v>
      </c>
      <c r="AO1967">
        <v>0</v>
      </c>
      <c r="AQ1967">
        <v>0</v>
      </c>
      <c r="AR1967">
        <v>0</v>
      </c>
      <c r="AT1967">
        <v>0</v>
      </c>
      <c r="AU1967">
        <v>0</v>
      </c>
      <c r="AW1967">
        <v>0</v>
      </c>
      <c r="AX1967">
        <v>0</v>
      </c>
      <c r="AY1967">
        <v>70</v>
      </c>
      <c r="BA1967" t="str">
        <f>T("0000000000000")</f>
        <v>0000000000000</v>
      </c>
      <c r="BC1967" t="str">
        <f>T("9791164890729")</f>
        <v>9791164890729</v>
      </c>
      <c r="BE1967" t="str">
        <f>T("BL 웹소설 &gt; 현대물")</f>
        <v>BL 웹소설 &gt; 현대물</v>
      </c>
    </row>
    <row r="1968" spans="1:57" x14ac:dyDescent="0.3">
      <c r="A1968">
        <v>1525012551</v>
      </c>
      <c r="B1968">
        <v>1525012677</v>
      </c>
      <c r="C1968" t="str">
        <f>T("개정판 | 바보가 만드는 멋진 세상 127화")</f>
        <v>개정판 | 바보가 만드는 멋진 세상 127화</v>
      </c>
      <c r="D1968" t="str">
        <f>T("127")</f>
        <v>127</v>
      </c>
      <c r="E1968" t="str">
        <f>T("백범(白帆)")</f>
        <v>백범(白帆)</v>
      </c>
      <c r="H1968" t="str">
        <f>T("에필로그")</f>
        <v>에필로그</v>
      </c>
      <c r="I1968" t="str">
        <f>T("개정판 | 바보가 만드는 멋진 세상")</f>
        <v>개정판 | 바보가 만드는 멋진 세상</v>
      </c>
      <c r="J1968">
        <v>100</v>
      </c>
      <c r="K1968">
        <v>100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100</v>
      </c>
      <c r="AH1968">
        <v>1</v>
      </c>
      <c r="AI1968">
        <v>0</v>
      </c>
      <c r="AJ1968">
        <v>0</v>
      </c>
      <c r="AK1968">
        <v>100</v>
      </c>
      <c r="AL1968">
        <v>0</v>
      </c>
      <c r="AM1968">
        <v>0</v>
      </c>
      <c r="AN1968">
        <v>0</v>
      </c>
      <c r="AO1968">
        <v>0</v>
      </c>
      <c r="AQ1968">
        <v>0</v>
      </c>
      <c r="AR1968">
        <v>0</v>
      </c>
      <c r="AT1968">
        <v>0</v>
      </c>
      <c r="AU1968">
        <v>0</v>
      </c>
      <c r="AW1968">
        <v>0</v>
      </c>
      <c r="AX1968">
        <v>0</v>
      </c>
      <c r="AY1968">
        <v>70</v>
      </c>
      <c r="BC1968" t="str">
        <f>T("9791166003493")</f>
        <v>9791166003493</v>
      </c>
      <c r="BE1968" t="str">
        <f>T("판타지 웹소설 &gt; 현대 판타지")</f>
        <v>판타지 웹소설 &gt; 현대 판타지</v>
      </c>
    </row>
    <row r="1969" spans="1:57" x14ac:dyDescent="0.3">
      <c r="A1969">
        <v>1525004799</v>
      </c>
      <c r="B1969">
        <v>1525004848</v>
      </c>
      <c r="C1969" t="str">
        <f>T("검산도해 50화")</f>
        <v>검산도해 50화</v>
      </c>
      <c r="D1969" t="str">
        <f>T("50")</f>
        <v>50</v>
      </c>
      <c r="E1969" t="str">
        <f>T("권용찬")</f>
        <v>권용찬</v>
      </c>
      <c r="H1969" t="str">
        <f t="shared" ref="H1969:H1975" si="183">T("스토리위즈")</f>
        <v>스토리위즈</v>
      </c>
      <c r="I1969" t="str">
        <f>T("검산도해")</f>
        <v>검산도해</v>
      </c>
      <c r="J1969">
        <v>100</v>
      </c>
      <c r="K1969">
        <v>100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100</v>
      </c>
      <c r="AH1969">
        <v>1</v>
      </c>
      <c r="AI1969">
        <v>0</v>
      </c>
      <c r="AJ1969">
        <v>0</v>
      </c>
      <c r="AK1969">
        <v>0</v>
      </c>
      <c r="AL1969">
        <v>0</v>
      </c>
      <c r="AM1969">
        <v>120</v>
      </c>
      <c r="AN1969">
        <v>-12</v>
      </c>
      <c r="AO1969">
        <v>0</v>
      </c>
      <c r="AQ1969">
        <v>0</v>
      </c>
      <c r="AR1969">
        <v>0</v>
      </c>
      <c r="AS1969">
        <v>120</v>
      </c>
      <c r="AT1969">
        <v>-12</v>
      </c>
      <c r="AU1969">
        <v>0</v>
      </c>
      <c r="AW1969">
        <v>0</v>
      </c>
      <c r="AX1969">
        <v>0</v>
      </c>
      <c r="AY1969">
        <v>75.599999999999994</v>
      </c>
      <c r="BC1969" t="str">
        <f>T("9791159285936")</f>
        <v>9791159285936</v>
      </c>
      <c r="BE1969" t="str">
        <f>T("판타지 웹소설 &gt; 무협 소설")</f>
        <v>판타지 웹소설 &gt; 무협 소설</v>
      </c>
    </row>
    <row r="1970" spans="1:57" x14ac:dyDescent="0.3">
      <c r="A1970">
        <v>1525004799</v>
      </c>
      <c r="B1970">
        <v>1525004905</v>
      </c>
      <c r="C1970" t="str">
        <f>T("검산도해 107화")</f>
        <v>검산도해 107화</v>
      </c>
      <c r="D1970" t="str">
        <f>T("107")</f>
        <v>107</v>
      </c>
      <c r="E1970" t="str">
        <f>T("권용찬")</f>
        <v>권용찬</v>
      </c>
      <c r="H1970" t="str">
        <f t="shared" si="183"/>
        <v>스토리위즈</v>
      </c>
      <c r="I1970" t="str">
        <f>T("검산도해")</f>
        <v>검산도해</v>
      </c>
      <c r="J1970">
        <v>100</v>
      </c>
      <c r="K1970">
        <v>100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100</v>
      </c>
      <c r="AH1970">
        <v>1</v>
      </c>
      <c r="AI1970">
        <v>0</v>
      </c>
      <c r="AJ1970">
        <v>0</v>
      </c>
      <c r="AK1970">
        <v>0</v>
      </c>
      <c r="AL1970">
        <v>0</v>
      </c>
      <c r="AM1970">
        <v>120</v>
      </c>
      <c r="AN1970">
        <v>-12</v>
      </c>
      <c r="AO1970">
        <v>0</v>
      </c>
      <c r="AQ1970">
        <v>0</v>
      </c>
      <c r="AR1970">
        <v>0</v>
      </c>
      <c r="AS1970">
        <v>120</v>
      </c>
      <c r="AT1970">
        <v>-12</v>
      </c>
      <c r="AU1970">
        <v>0</v>
      </c>
      <c r="AW1970">
        <v>0</v>
      </c>
      <c r="AX1970">
        <v>0</v>
      </c>
      <c r="AY1970">
        <v>75.599999999999994</v>
      </c>
      <c r="BC1970" t="str">
        <f>T("9791159285936")</f>
        <v>9791159285936</v>
      </c>
      <c r="BE1970" t="str">
        <f>T("판타지 웹소설 &gt; 무협 소설")</f>
        <v>판타지 웹소설 &gt; 무협 소설</v>
      </c>
    </row>
    <row r="1971" spans="1:57" x14ac:dyDescent="0.3">
      <c r="A1971">
        <v>1525004030</v>
      </c>
      <c r="B1971">
        <v>1525007092</v>
      </c>
      <c r="C1971" t="str">
        <f>T("회귀의 전설 2부 976화")</f>
        <v>회귀의 전설 2부 976화</v>
      </c>
      <c r="D1971" t="str">
        <f>T("976")</f>
        <v>976</v>
      </c>
      <c r="E1971" t="str">
        <f>T("김광수")</f>
        <v>김광수</v>
      </c>
      <c r="H1971" t="str">
        <f t="shared" si="183"/>
        <v>스토리위즈</v>
      </c>
      <c r="I1971" t="str">
        <f>T("회귀의 전설")</f>
        <v>회귀의 전설</v>
      </c>
      <c r="J1971">
        <v>100</v>
      </c>
      <c r="K1971">
        <v>100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100</v>
      </c>
      <c r="AH1971">
        <v>1</v>
      </c>
      <c r="AI1971">
        <v>0</v>
      </c>
      <c r="AJ1971">
        <v>0</v>
      </c>
      <c r="AK1971">
        <v>100</v>
      </c>
      <c r="AL1971">
        <v>0</v>
      </c>
      <c r="AM1971">
        <v>0</v>
      </c>
      <c r="AN1971">
        <v>0</v>
      </c>
      <c r="AO1971">
        <v>0</v>
      </c>
      <c r="AQ1971">
        <v>0</v>
      </c>
      <c r="AR1971">
        <v>0</v>
      </c>
      <c r="AT1971">
        <v>0</v>
      </c>
      <c r="AU1971">
        <v>0</v>
      </c>
      <c r="AW1971">
        <v>0</v>
      </c>
      <c r="AX1971">
        <v>0</v>
      </c>
      <c r="AY1971">
        <v>70</v>
      </c>
      <c r="BC1971" t="str">
        <f>T("9791191102086")</f>
        <v>9791191102086</v>
      </c>
      <c r="BE1971" t="str">
        <f>T("판타지 웹소설 &gt; 현대 판타지")</f>
        <v>판타지 웹소설 &gt; 현대 판타지</v>
      </c>
    </row>
    <row r="1972" spans="1:57" x14ac:dyDescent="0.3">
      <c r="A1972">
        <v>1525002125</v>
      </c>
      <c r="B1972">
        <v>1525002159</v>
      </c>
      <c r="C1972" t="str">
        <f>T("신을 죽이러 갑니다 35화")</f>
        <v>신을 죽이러 갑니다 35화</v>
      </c>
      <c r="D1972" t="str">
        <f>T("35")</f>
        <v>35</v>
      </c>
      <c r="E1972" t="str">
        <f>T("독고진")</f>
        <v>독고진</v>
      </c>
      <c r="H1972" t="str">
        <f t="shared" si="183"/>
        <v>스토리위즈</v>
      </c>
      <c r="I1972" t="str">
        <f>T("신을 죽이러 갑니다")</f>
        <v>신을 죽이러 갑니다</v>
      </c>
      <c r="J1972">
        <v>100</v>
      </c>
      <c r="K1972">
        <v>100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100</v>
      </c>
      <c r="AH1972">
        <v>1</v>
      </c>
      <c r="AI1972">
        <v>0</v>
      </c>
      <c r="AJ1972">
        <v>0</v>
      </c>
      <c r="AK1972">
        <v>0</v>
      </c>
      <c r="AL1972">
        <v>0</v>
      </c>
      <c r="AM1972">
        <v>120</v>
      </c>
      <c r="AN1972">
        <v>-36</v>
      </c>
      <c r="AO1972">
        <v>0</v>
      </c>
      <c r="AQ1972">
        <v>0</v>
      </c>
      <c r="AR1972">
        <v>0</v>
      </c>
      <c r="AS1972">
        <v>120</v>
      </c>
      <c r="AT1972">
        <v>-36</v>
      </c>
      <c r="AU1972">
        <v>0</v>
      </c>
      <c r="AW1972">
        <v>0</v>
      </c>
      <c r="AX1972">
        <v>0</v>
      </c>
      <c r="AY1972">
        <v>58.8</v>
      </c>
      <c r="BC1972" t="str">
        <f>T("9791159285806")</f>
        <v>9791159285806</v>
      </c>
      <c r="BE1972" t="str">
        <f>T("판타지 웹소설 &gt; 퓨전 판타지")</f>
        <v>판타지 웹소설 &gt; 퓨전 판타지</v>
      </c>
    </row>
    <row r="1973" spans="1:57" x14ac:dyDescent="0.3">
      <c r="A1973">
        <v>1525002864</v>
      </c>
      <c r="B1973">
        <v>1525002916</v>
      </c>
      <c r="C1973" t="str">
        <f>T("소드마스터의 환생 53화")</f>
        <v>소드마스터의 환생 53화</v>
      </c>
      <c r="D1973" t="str">
        <f>T("53")</f>
        <v>53</v>
      </c>
      <c r="E1973" t="str">
        <f>T("파란영")</f>
        <v>파란영</v>
      </c>
      <c r="H1973" t="str">
        <f t="shared" si="183"/>
        <v>스토리위즈</v>
      </c>
      <c r="I1973" t="str">
        <f>T("소드마스터의 환생")</f>
        <v>소드마스터의 환생</v>
      </c>
      <c r="J1973">
        <v>100</v>
      </c>
      <c r="K1973">
        <v>100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100</v>
      </c>
      <c r="AH1973">
        <v>1</v>
      </c>
      <c r="AI1973">
        <v>0</v>
      </c>
      <c r="AJ1973">
        <v>0</v>
      </c>
      <c r="AK1973">
        <v>100</v>
      </c>
      <c r="AL1973">
        <v>0</v>
      </c>
      <c r="AM1973">
        <v>0</v>
      </c>
      <c r="AN1973">
        <v>0</v>
      </c>
      <c r="AO1973">
        <v>0</v>
      </c>
      <c r="AQ1973">
        <v>0</v>
      </c>
      <c r="AR1973">
        <v>0</v>
      </c>
      <c r="AT1973">
        <v>0</v>
      </c>
      <c r="AU1973">
        <v>0</v>
      </c>
      <c r="AW1973">
        <v>0</v>
      </c>
      <c r="AX1973">
        <v>0</v>
      </c>
      <c r="AY1973">
        <v>70</v>
      </c>
      <c r="BC1973" t="str">
        <f>T("9791159287527")</f>
        <v>9791159287527</v>
      </c>
      <c r="BE1973" t="str">
        <f>T("판타지 웹소설 &gt; 정통 판타지")</f>
        <v>판타지 웹소설 &gt; 정통 판타지</v>
      </c>
    </row>
    <row r="1974" spans="1:57" x14ac:dyDescent="0.3">
      <c r="A1974">
        <v>1525000569</v>
      </c>
      <c r="B1974">
        <v>1525000594</v>
      </c>
      <c r="C1974" t="str">
        <f>T("스트라이커 26화")</f>
        <v>스트라이커 26화</v>
      </c>
      <c r="D1974" t="str">
        <f>T("26")</f>
        <v>26</v>
      </c>
      <c r="E1974" t="str">
        <f>T("독고진")</f>
        <v>독고진</v>
      </c>
      <c r="H1974" t="str">
        <f t="shared" si="183"/>
        <v>스토리위즈</v>
      </c>
      <c r="I1974" t="str">
        <f>T("스트라이커")</f>
        <v>스트라이커</v>
      </c>
      <c r="J1974">
        <v>100</v>
      </c>
      <c r="K1974">
        <v>100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100</v>
      </c>
      <c r="AH1974">
        <v>1</v>
      </c>
      <c r="AI1974">
        <v>0</v>
      </c>
      <c r="AJ1974">
        <v>0</v>
      </c>
      <c r="AK1974">
        <v>100</v>
      </c>
      <c r="AL1974">
        <v>0</v>
      </c>
      <c r="AM1974">
        <v>0</v>
      </c>
      <c r="AN1974">
        <v>0</v>
      </c>
      <c r="AO1974">
        <v>0</v>
      </c>
      <c r="AQ1974">
        <v>0</v>
      </c>
      <c r="AR1974">
        <v>0</v>
      </c>
      <c r="AT1974">
        <v>0</v>
      </c>
      <c r="AU1974">
        <v>0</v>
      </c>
      <c r="AW1974">
        <v>0</v>
      </c>
      <c r="AX1974">
        <v>0</v>
      </c>
      <c r="AY1974">
        <v>70</v>
      </c>
      <c r="BC1974" t="str">
        <f>T("9791170151678")</f>
        <v>9791170151678</v>
      </c>
      <c r="BE1974" t="str">
        <f>T("판타지 웹소설 &gt; 현대 판타지")</f>
        <v>판타지 웹소설 &gt; 현대 판타지</v>
      </c>
    </row>
    <row r="1975" spans="1:57" x14ac:dyDescent="0.3">
      <c r="A1975">
        <v>1525002125</v>
      </c>
      <c r="B1975">
        <v>1525002160</v>
      </c>
      <c r="C1975" t="str">
        <f>T("신을 죽이러 갑니다 36화")</f>
        <v>신을 죽이러 갑니다 36화</v>
      </c>
      <c r="D1975" t="str">
        <f>T("36")</f>
        <v>36</v>
      </c>
      <c r="E1975" t="str">
        <f>T("독고진")</f>
        <v>독고진</v>
      </c>
      <c r="H1975" t="str">
        <f t="shared" si="183"/>
        <v>스토리위즈</v>
      </c>
      <c r="I1975" t="str">
        <f>T("신을 죽이러 갑니다")</f>
        <v>신을 죽이러 갑니다</v>
      </c>
      <c r="J1975">
        <v>100</v>
      </c>
      <c r="K1975">
        <v>100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100</v>
      </c>
      <c r="AH1975">
        <v>1</v>
      </c>
      <c r="AI1975">
        <v>0</v>
      </c>
      <c r="AJ1975">
        <v>0</v>
      </c>
      <c r="AK1975">
        <v>0</v>
      </c>
      <c r="AL1975">
        <v>0</v>
      </c>
      <c r="AM1975">
        <v>120</v>
      </c>
      <c r="AN1975">
        <v>-36</v>
      </c>
      <c r="AO1975">
        <v>0</v>
      </c>
      <c r="AQ1975">
        <v>0</v>
      </c>
      <c r="AR1975">
        <v>0</v>
      </c>
      <c r="AS1975">
        <v>120</v>
      </c>
      <c r="AT1975">
        <v>-36</v>
      </c>
      <c r="AU1975">
        <v>0</v>
      </c>
      <c r="AW1975">
        <v>0</v>
      </c>
      <c r="AX1975">
        <v>0</v>
      </c>
      <c r="AY1975">
        <v>58.8</v>
      </c>
      <c r="BC1975" t="str">
        <f>T("9791159285806")</f>
        <v>9791159285806</v>
      </c>
      <c r="BE1975" t="str">
        <f>T("판타지 웹소설 &gt; 퓨전 판타지")</f>
        <v>판타지 웹소설 &gt; 퓨전 판타지</v>
      </c>
    </row>
    <row r="1976" spans="1:57" x14ac:dyDescent="0.3">
      <c r="A1976">
        <v>1525013020</v>
      </c>
      <c r="B1976">
        <v>1525013133</v>
      </c>
      <c r="C1976" t="str">
        <f>T("악당의 리턴 114화")</f>
        <v>악당의 리턴 114화</v>
      </c>
      <c r="D1976" t="str">
        <f>T("114")</f>
        <v>114</v>
      </c>
      <c r="E1976" t="str">
        <f>T("백범(白帆)")</f>
        <v>백범(白帆)</v>
      </c>
      <c r="H1976" t="str">
        <f>T("에필로그")</f>
        <v>에필로그</v>
      </c>
      <c r="I1976" t="str">
        <f>T("악당의 리턴")</f>
        <v>악당의 리턴</v>
      </c>
      <c r="J1976">
        <v>100</v>
      </c>
      <c r="K1976">
        <v>100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100</v>
      </c>
      <c r="AH1976">
        <v>1</v>
      </c>
      <c r="AI1976">
        <v>0</v>
      </c>
      <c r="AJ1976">
        <v>0</v>
      </c>
      <c r="AK1976">
        <v>100</v>
      </c>
      <c r="AL1976">
        <v>0</v>
      </c>
      <c r="AM1976">
        <v>0</v>
      </c>
      <c r="AN1976">
        <v>0</v>
      </c>
      <c r="AO1976">
        <v>0</v>
      </c>
      <c r="AQ1976">
        <v>0</v>
      </c>
      <c r="AR1976">
        <v>0</v>
      </c>
      <c r="AT1976">
        <v>0</v>
      </c>
      <c r="AU1976">
        <v>0</v>
      </c>
      <c r="AW1976">
        <v>0</v>
      </c>
      <c r="AX1976">
        <v>0</v>
      </c>
      <c r="AY1976">
        <v>70</v>
      </c>
      <c r="BC1976" t="str">
        <f>T("9791196538927")</f>
        <v>9791196538927</v>
      </c>
      <c r="BE1976" t="str">
        <f>T("판타지 웹소설 &gt; 현대 판타지")</f>
        <v>판타지 웹소설 &gt; 현대 판타지</v>
      </c>
    </row>
    <row r="1977" spans="1:57" x14ac:dyDescent="0.3">
      <c r="A1977">
        <v>1525007923</v>
      </c>
      <c r="B1977">
        <v>1525007978</v>
      </c>
      <c r="C1977" t="str">
        <f>T("운상연담: 화불능귀일락 6화")</f>
        <v>운상연담: 화불능귀일락 6화</v>
      </c>
      <c r="D1977" t="str">
        <f>T("6")</f>
        <v>6</v>
      </c>
      <c r="E1977" t="str">
        <f>T("피모")</f>
        <v>피모</v>
      </c>
      <c r="H1977" t="str">
        <f>T("쉬라즈")</f>
        <v>쉬라즈</v>
      </c>
      <c r="I1977" t="str">
        <f>T("운상연담: 화불능귀일락")</f>
        <v>운상연담: 화불능귀일락</v>
      </c>
      <c r="J1977">
        <v>100</v>
      </c>
      <c r="K1977">
        <v>100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100</v>
      </c>
      <c r="AH1977">
        <v>1</v>
      </c>
      <c r="AI1977">
        <v>0</v>
      </c>
      <c r="AJ1977">
        <v>0</v>
      </c>
      <c r="AK1977">
        <v>100</v>
      </c>
      <c r="AL1977">
        <v>0</v>
      </c>
      <c r="AM1977">
        <v>0</v>
      </c>
      <c r="AN1977">
        <v>0</v>
      </c>
      <c r="AO1977">
        <v>0</v>
      </c>
      <c r="AQ1977">
        <v>0</v>
      </c>
      <c r="AR1977">
        <v>0</v>
      </c>
      <c r="AT1977">
        <v>0</v>
      </c>
      <c r="AU1977">
        <v>0</v>
      </c>
      <c r="AW1977">
        <v>0</v>
      </c>
      <c r="AX1977">
        <v>0</v>
      </c>
      <c r="AY1977">
        <v>70</v>
      </c>
      <c r="BC1977" t="str">
        <f>T("9791164896646")</f>
        <v>9791164896646</v>
      </c>
      <c r="BE1977" t="str">
        <f>T("로맨스 웹소설 &gt; 역사/시대물")</f>
        <v>로맨스 웹소설 &gt; 역사/시대물</v>
      </c>
    </row>
    <row r="1978" spans="1:57" x14ac:dyDescent="0.3">
      <c r="A1978">
        <v>1525012551</v>
      </c>
      <c r="B1978">
        <v>1525012666</v>
      </c>
      <c r="C1978" t="str">
        <f>T("개정판 | 바보가 만드는 멋진 세상 116화")</f>
        <v>개정판 | 바보가 만드는 멋진 세상 116화</v>
      </c>
      <c r="D1978" t="str">
        <f>T("116")</f>
        <v>116</v>
      </c>
      <c r="E1978" t="str">
        <f>T("백범(白帆)")</f>
        <v>백범(白帆)</v>
      </c>
      <c r="H1978" t="str">
        <f>T("에필로그")</f>
        <v>에필로그</v>
      </c>
      <c r="I1978" t="str">
        <f>T("개정판 | 바보가 만드는 멋진 세상")</f>
        <v>개정판 | 바보가 만드는 멋진 세상</v>
      </c>
      <c r="J1978">
        <v>100</v>
      </c>
      <c r="K1978">
        <v>100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100</v>
      </c>
      <c r="AH1978">
        <v>1</v>
      </c>
      <c r="AI1978">
        <v>0</v>
      </c>
      <c r="AJ1978">
        <v>0</v>
      </c>
      <c r="AK1978">
        <v>100</v>
      </c>
      <c r="AL1978">
        <v>0</v>
      </c>
      <c r="AM1978">
        <v>0</v>
      </c>
      <c r="AN1978">
        <v>0</v>
      </c>
      <c r="AO1978">
        <v>0</v>
      </c>
      <c r="AQ1978">
        <v>0</v>
      </c>
      <c r="AR1978">
        <v>0</v>
      </c>
      <c r="AT1978">
        <v>0</v>
      </c>
      <c r="AU1978">
        <v>0</v>
      </c>
      <c r="AW1978">
        <v>0</v>
      </c>
      <c r="AX1978">
        <v>0</v>
      </c>
      <c r="AY1978">
        <v>70</v>
      </c>
      <c r="BC1978" t="str">
        <f>T("9791166003493")</f>
        <v>9791166003493</v>
      </c>
      <c r="BE1978" t="str">
        <f>T("판타지 웹소설 &gt; 현대 판타지")</f>
        <v>판타지 웹소설 &gt; 현대 판타지</v>
      </c>
    </row>
    <row r="1979" spans="1:57" x14ac:dyDescent="0.3">
      <c r="A1979">
        <v>1525012551</v>
      </c>
      <c r="B1979">
        <v>1525012764</v>
      </c>
      <c r="C1979" t="str">
        <f>T("개정판 | 바보가 만드는 멋진 세상 214화")</f>
        <v>개정판 | 바보가 만드는 멋진 세상 214화</v>
      </c>
      <c r="D1979" t="str">
        <f>T("214")</f>
        <v>214</v>
      </c>
      <c r="E1979" t="str">
        <f>T("백범(白帆)")</f>
        <v>백범(白帆)</v>
      </c>
      <c r="H1979" t="str">
        <f>T("에필로그")</f>
        <v>에필로그</v>
      </c>
      <c r="I1979" t="str">
        <f>T("개정판 | 바보가 만드는 멋진 세상")</f>
        <v>개정판 | 바보가 만드는 멋진 세상</v>
      </c>
      <c r="J1979">
        <v>100</v>
      </c>
      <c r="K1979">
        <v>100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100</v>
      </c>
      <c r="AH1979">
        <v>1</v>
      </c>
      <c r="AI1979">
        <v>0</v>
      </c>
      <c r="AJ1979">
        <v>0</v>
      </c>
      <c r="AK1979">
        <v>100</v>
      </c>
      <c r="AL1979">
        <v>0</v>
      </c>
      <c r="AM1979">
        <v>0</v>
      </c>
      <c r="AN1979">
        <v>0</v>
      </c>
      <c r="AO1979">
        <v>0</v>
      </c>
      <c r="AQ1979">
        <v>0</v>
      </c>
      <c r="AR1979">
        <v>0</v>
      </c>
      <c r="AT1979">
        <v>0</v>
      </c>
      <c r="AU1979">
        <v>0</v>
      </c>
      <c r="AW1979">
        <v>0</v>
      </c>
      <c r="AX1979">
        <v>0</v>
      </c>
      <c r="AY1979">
        <v>70</v>
      </c>
      <c r="BC1979" t="str">
        <f>T("9791166003493")</f>
        <v>9791166003493</v>
      </c>
      <c r="BE1979" t="str">
        <f>T("판타지 웹소설 &gt; 현대 판타지")</f>
        <v>판타지 웹소설 &gt; 현대 판타지</v>
      </c>
    </row>
    <row r="1980" spans="1:57" x14ac:dyDescent="0.3">
      <c r="A1980">
        <v>1525004799</v>
      </c>
      <c r="B1980">
        <v>1525004837</v>
      </c>
      <c r="C1980" t="str">
        <f>T("검산도해 39화")</f>
        <v>검산도해 39화</v>
      </c>
      <c r="D1980" t="str">
        <f>T("39")</f>
        <v>39</v>
      </c>
      <c r="E1980" t="str">
        <f>T("권용찬")</f>
        <v>권용찬</v>
      </c>
      <c r="H1980" t="str">
        <f>T("스토리위즈")</f>
        <v>스토리위즈</v>
      </c>
      <c r="I1980" t="str">
        <f>T("검산도해")</f>
        <v>검산도해</v>
      </c>
      <c r="J1980">
        <v>100</v>
      </c>
      <c r="K1980">
        <v>100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100</v>
      </c>
      <c r="AH1980">
        <v>1</v>
      </c>
      <c r="AI1980">
        <v>0</v>
      </c>
      <c r="AJ1980">
        <v>0</v>
      </c>
      <c r="AK1980">
        <v>0</v>
      </c>
      <c r="AL1980">
        <v>0</v>
      </c>
      <c r="AM1980">
        <v>120</v>
      </c>
      <c r="AN1980">
        <v>-12</v>
      </c>
      <c r="AO1980">
        <v>0</v>
      </c>
      <c r="AQ1980">
        <v>0</v>
      </c>
      <c r="AR1980">
        <v>0</v>
      </c>
      <c r="AS1980">
        <v>120</v>
      </c>
      <c r="AT1980">
        <v>-12</v>
      </c>
      <c r="AU1980">
        <v>0</v>
      </c>
      <c r="AW1980">
        <v>0</v>
      </c>
      <c r="AX1980">
        <v>0</v>
      </c>
      <c r="AY1980">
        <v>75.599999999999994</v>
      </c>
      <c r="BC1980" t="str">
        <f>T("9791159285936")</f>
        <v>9791159285936</v>
      </c>
      <c r="BE1980" t="str">
        <f>T("판타지 웹소설 &gt; 무협 소설")</f>
        <v>판타지 웹소설 &gt; 무협 소설</v>
      </c>
    </row>
    <row r="1981" spans="1:57" x14ac:dyDescent="0.3">
      <c r="A1981">
        <v>1525004799</v>
      </c>
      <c r="B1981">
        <v>1525004894</v>
      </c>
      <c r="C1981" t="str">
        <f>T("검산도해 96화")</f>
        <v>검산도해 96화</v>
      </c>
      <c r="D1981" t="str">
        <f>T("96")</f>
        <v>96</v>
      </c>
      <c r="E1981" t="str">
        <f>T("권용찬")</f>
        <v>권용찬</v>
      </c>
      <c r="H1981" t="str">
        <f>T("스토리위즈")</f>
        <v>스토리위즈</v>
      </c>
      <c r="I1981" t="str">
        <f>T("검산도해")</f>
        <v>검산도해</v>
      </c>
      <c r="J1981">
        <v>100</v>
      </c>
      <c r="K1981">
        <v>100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100</v>
      </c>
      <c r="AH1981">
        <v>1</v>
      </c>
      <c r="AI1981">
        <v>0</v>
      </c>
      <c r="AJ1981">
        <v>0</v>
      </c>
      <c r="AK1981">
        <v>0</v>
      </c>
      <c r="AL1981">
        <v>0</v>
      </c>
      <c r="AM1981">
        <v>120</v>
      </c>
      <c r="AN1981">
        <v>-12</v>
      </c>
      <c r="AO1981">
        <v>0</v>
      </c>
      <c r="AQ1981">
        <v>0</v>
      </c>
      <c r="AR1981">
        <v>0</v>
      </c>
      <c r="AS1981">
        <v>120</v>
      </c>
      <c r="AT1981">
        <v>-12</v>
      </c>
      <c r="AU1981">
        <v>0</v>
      </c>
      <c r="AW1981">
        <v>0</v>
      </c>
      <c r="AX1981">
        <v>0</v>
      </c>
      <c r="AY1981">
        <v>75.599999999999994</v>
      </c>
      <c r="BC1981" t="str">
        <f>T("9791159285936")</f>
        <v>9791159285936</v>
      </c>
      <c r="BE1981" t="str">
        <f>T("판타지 웹소설 &gt; 무협 소설")</f>
        <v>판타지 웹소설 &gt; 무협 소설</v>
      </c>
    </row>
    <row r="1982" spans="1:57" x14ac:dyDescent="0.3">
      <c r="A1982">
        <v>1525004030</v>
      </c>
      <c r="B1982">
        <v>1525007081</v>
      </c>
      <c r="C1982" t="str">
        <f>T("회귀의 전설 2부 965화")</f>
        <v>회귀의 전설 2부 965화</v>
      </c>
      <c r="D1982" t="str">
        <f>T("965")</f>
        <v>965</v>
      </c>
      <c r="E1982" t="str">
        <f>T("김광수")</f>
        <v>김광수</v>
      </c>
      <c r="H1982" t="str">
        <f>T("스토리위즈")</f>
        <v>스토리위즈</v>
      </c>
      <c r="I1982" t="str">
        <f>T("회귀의 전설")</f>
        <v>회귀의 전설</v>
      </c>
      <c r="J1982">
        <v>100</v>
      </c>
      <c r="K1982">
        <v>100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100</v>
      </c>
      <c r="AH1982">
        <v>1</v>
      </c>
      <c r="AI1982">
        <v>0</v>
      </c>
      <c r="AJ1982">
        <v>0</v>
      </c>
      <c r="AK1982">
        <v>100</v>
      </c>
      <c r="AL1982">
        <v>0</v>
      </c>
      <c r="AM1982">
        <v>0</v>
      </c>
      <c r="AN1982">
        <v>0</v>
      </c>
      <c r="AO1982">
        <v>0</v>
      </c>
      <c r="AQ1982">
        <v>0</v>
      </c>
      <c r="AR1982">
        <v>0</v>
      </c>
      <c r="AT1982">
        <v>0</v>
      </c>
      <c r="AU1982">
        <v>0</v>
      </c>
      <c r="AW1982">
        <v>0</v>
      </c>
      <c r="AX1982">
        <v>0</v>
      </c>
      <c r="AY1982">
        <v>70</v>
      </c>
      <c r="BC1982" t="str">
        <f>T("9791191102086")</f>
        <v>9791191102086</v>
      </c>
      <c r="BE1982" t="str">
        <f>T("판타지 웹소설 &gt; 현대 판타지")</f>
        <v>판타지 웹소설 &gt; 현대 판타지</v>
      </c>
    </row>
    <row r="1983" spans="1:57" x14ac:dyDescent="0.3">
      <c r="A1983">
        <v>1525004030</v>
      </c>
      <c r="B1983">
        <v>1525004552</v>
      </c>
      <c r="C1983" t="str">
        <f>T("회귀의 전설 501화")</f>
        <v>회귀의 전설 501화</v>
      </c>
      <c r="D1983" t="str">
        <f>T("501")</f>
        <v>501</v>
      </c>
      <c r="E1983" t="str">
        <f>T("김광수")</f>
        <v>김광수</v>
      </c>
      <c r="H1983" t="str">
        <f>T("스토리위즈")</f>
        <v>스토리위즈</v>
      </c>
      <c r="I1983" t="str">
        <f>T("회귀의 전설")</f>
        <v>회귀의 전설</v>
      </c>
      <c r="J1983">
        <v>100</v>
      </c>
      <c r="K1983">
        <v>100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100</v>
      </c>
      <c r="AH1983">
        <v>1</v>
      </c>
      <c r="AI1983">
        <v>0</v>
      </c>
      <c r="AJ1983">
        <v>0</v>
      </c>
      <c r="AK1983">
        <v>100</v>
      </c>
      <c r="AL1983">
        <v>0</v>
      </c>
      <c r="AM1983">
        <v>0</v>
      </c>
      <c r="AN1983">
        <v>0</v>
      </c>
      <c r="AO1983">
        <v>0</v>
      </c>
      <c r="AQ1983">
        <v>0</v>
      </c>
      <c r="AR1983">
        <v>0</v>
      </c>
      <c r="AT1983">
        <v>0</v>
      </c>
      <c r="AU1983">
        <v>0</v>
      </c>
      <c r="AW1983">
        <v>0</v>
      </c>
      <c r="AX1983">
        <v>0</v>
      </c>
      <c r="AY1983">
        <v>70</v>
      </c>
      <c r="BC1983" t="str">
        <f>T("9788997946006")</f>
        <v>9788997946006</v>
      </c>
      <c r="BE1983" t="str">
        <f>T("판타지 웹소설 &gt; 현대 판타지")</f>
        <v>판타지 웹소설 &gt; 현대 판타지</v>
      </c>
    </row>
    <row r="1984" spans="1:57" x14ac:dyDescent="0.3">
      <c r="A1984">
        <v>1525015018</v>
      </c>
      <c r="B1984">
        <v>1525015041</v>
      </c>
      <c r="C1984" t="str">
        <f>T("그녀들은 소꿉친구지, 그 이상은 곤란합니다 24화")</f>
        <v>그녀들은 소꿉친구지, 그 이상은 곤란합니다 24화</v>
      </c>
      <c r="D1984" t="str">
        <f>T("24")</f>
        <v>24</v>
      </c>
      <c r="E1984" t="str">
        <f>T("자이오")</f>
        <v>자이오</v>
      </c>
      <c r="H1984" t="str">
        <f>T("스토리아크")</f>
        <v>스토리아크</v>
      </c>
      <c r="I1984" t="str">
        <f>T("그녀들은 소꿉친구지, 그 이상은 곤란합니다")</f>
        <v>그녀들은 소꿉친구지, 그 이상은 곤란합니다</v>
      </c>
      <c r="J1984">
        <v>100</v>
      </c>
      <c r="K1984">
        <v>100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100</v>
      </c>
      <c r="AH1984">
        <v>1</v>
      </c>
      <c r="AI1984">
        <v>0</v>
      </c>
      <c r="AJ1984">
        <v>0</v>
      </c>
      <c r="AK1984">
        <v>100</v>
      </c>
      <c r="AL1984">
        <v>0</v>
      </c>
      <c r="AM1984">
        <v>0</v>
      </c>
      <c r="AN1984">
        <v>0</v>
      </c>
      <c r="AO1984">
        <v>0</v>
      </c>
      <c r="AQ1984">
        <v>0</v>
      </c>
      <c r="AR1984">
        <v>0</v>
      </c>
      <c r="AT1984">
        <v>0</v>
      </c>
      <c r="AU1984">
        <v>0</v>
      </c>
      <c r="AW1984">
        <v>0</v>
      </c>
      <c r="AX1984">
        <v>0</v>
      </c>
      <c r="AY1984">
        <v>70</v>
      </c>
      <c r="BC1984" t="str">
        <f>T("9791191039313")</f>
        <v>9791191039313</v>
      </c>
      <c r="BE1984" t="str">
        <f>T("판타지 웹소설 &gt; 퓨전 판타지")</f>
        <v>판타지 웹소설 &gt; 퓨전 판타지</v>
      </c>
    </row>
    <row r="1985" spans="1:57" x14ac:dyDescent="0.3">
      <c r="A1985">
        <v>1525002864</v>
      </c>
      <c r="B1985">
        <v>1525002904</v>
      </c>
      <c r="C1985" t="str">
        <f>T("소드마스터의 환생 41화")</f>
        <v>소드마스터의 환생 41화</v>
      </c>
      <c r="D1985" t="str">
        <f>T("41")</f>
        <v>41</v>
      </c>
      <c r="E1985" t="str">
        <f>T("파란영")</f>
        <v>파란영</v>
      </c>
      <c r="H1985" t="str">
        <f>T("스토리위즈")</f>
        <v>스토리위즈</v>
      </c>
      <c r="I1985" t="str">
        <f>T("소드마스터의 환생")</f>
        <v>소드마스터의 환생</v>
      </c>
      <c r="J1985">
        <v>100</v>
      </c>
      <c r="K1985">
        <v>100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100</v>
      </c>
      <c r="AH1985">
        <v>1</v>
      </c>
      <c r="AI1985">
        <v>0</v>
      </c>
      <c r="AJ1985">
        <v>0</v>
      </c>
      <c r="AK1985">
        <v>100</v>
      </c>
      <c r="AL1985">
        <v>0</v>
      </c>
      <c r="AM1985">
        <v>0</v>
      </c>
      <c r="AN1985">
        <v>0</v>
      </c>
      <c r="AO1985">
        <v>0</v>
      </c>
      <c r="AQ1985">
        <v>0</v>
      </c>
      <c r="AR1985">
        <v>0</v>
      </c>
      <c r="AT1985">
        <v>0</v>
      </c>
      <c r="AU1985">
        <v>0</v>
      </c>
      <c r="AW1985">
        <v>0</v>
      </c>
      <c r="AX1985">
        <v>0</v>
      </c>
      <c r="AY1985">
        <v>70</v>
      </c>
      <c r="BC1985" t="str">
        <f>T("9791159287527")</f>
        <v>9791159287527</v>
      </c>
      <c r="BE1985" t="str">
        <f>T("판타지 웹소설 &gt; 정통 판타지")</f>
        <v>판타지 웹소설 &gt; 정통 판타지</v>
      </c>
    </row>
    <row r="1986" spans="1:57" x14ac:dyDescent="0.3">
      <c r="A1986">
        <v>1525013020</v>
      </c>
      <c r="B1986">
        <v>1525013122</v>
      </c>
      <c r="C1986" t="str">
        <f>T("악당의 리턴 103화")</f>
        <v>악당의 리턴 103화</v>
      </c>
      <c r="D1986" t="str">
        <f>T("103")</f>
        <v>103</v>
      </c>
      <c r="E1986" t="str">
        <f>T("백범(白帆)")</f>
        <v>백범(白帆)</v>
      </c>
      <c r="H1986" t="str">
        <f>T("에필로그")</f>
        <v>에필로그</v>
      </c>
      <c r="I1986" t="str">
        <f>T("악당의 리턴")</f>
        <v>악당의 리턴</v>
      </c>
      <c r="J1986">
        <v>100</v>
      </c>
      <c r="K1986">
        <v>100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100</v>
      </c>
      <c r="AH1986">
        <v>1</v>
      </c>
      <c r="AI1986">
        <v>0</v>
      </c>
      <c r="AJ1986">
        <v>0</v>
      </c>
      <c r="AK1986">
        <v>100</v>
      </c>
      <c r="AL1986">
        <v>0</v>
      </c>
      <c r="AM1986">
        <v>0</v>
      </c>
      <c r="AN1986">
        <v>0</v>
      </c>
      <c r="AO1986">
        <v>0</v>
      </c>
      <c r="AQ1986">
        <v>0</v>
      </c>
      <c r="AR1986">
        <v>0</v>
      </c>
      <c r="AT1986">
        <v>0</v>
      </c>
      <c r="AU1986">
        <v>0</v>
      </c>
      <c r="AW1986">
        <v>0</v>
      </c>
      <c r="AX1986">
        <v>0</v>
      </c>
      <c r="AY1986">
        <v>70</v>
      </c>
      <c r="BC1986" t="str">
        <f>T("9791196538927")</f>
        <v>9791196538927</v>
      </c>
      <c r="BE1986" t="str">
        <f>T("판타지 웹소설 &gt; 현대 판타지")</f>
        <v>판타지 웹소설 &gt; 현대 판타지</v>
      </c>
    </row>
    <row r="1987" spans="1:57" x14ac:dyDescent="0.3">
      <c r="A1987">
        <v>1525008717</v>
      </c>
      <c r="B1987">
        <v>1525008707</v>
      </c>
      <c r="C1987" t="str">
        <f>T("음양상열지사 119화 (완결)")</f>
        <v>음양상열지사 119화 (완결)</v>
      </c>
      <c r="D1987" t="str">
        <f>T("119")</f>
        <v>119</v>
      </c>
      <c r="E1987" t="str">
        <f>T("이염")</f>
        <v>이염</v>
      </c>
      <c r="H1987" t="str">
        <f>T("블러쉬")</f>
        <v>블러쉬</v>
      </c>
      <c r="I1987" t="str">
        <f>T("음양상열지사")</f>
        <v>음양상열지사</v>
      </c>
      <c r="J1987">
        <v>100</v>
      </c>
      <c r="K1987">
        <v>100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100</v>
      </c>
      <c r="AH1987">
        <v>1</v>
      </c>
      <c r="AI1987">
        <v>0</v>
      </c>
      <c r="AJ1987">
        <v>0</v>
      </c>
      <c r="AK1987">
        <v>100</v>
      </c>
      <c r="AL1987">
        <v>0</v>
      </c>
      <c r="AM1987">
        <v>0</v>
      </c>
      <c r="AN1987">
        <v>0</v>
      </c>
      <c r="AO1987">
        <v>0</v>
      </c>
      <c r="AQ1987">
        <v>0</v>
      </c>
      <c r="AR1987">
        <v>0</v>
      </c>
      <c r="AT1987">
        <v>0</v>
      </c>
      <c r="AU1987">
        <v>0</v>
      </c>
      <c r="AW1987">
        <v>0</v>
      </c>
      <c r="AX1987">
        <v>0</v>
      </c>
      <c r="AY1987">
        <v>70</v>
      </c>
      <c r="BA1987" t="str">
        <f>T("0000000000000")</f>
        <v>0000000000000</v>
      </c>
      <c r="BC1987" t="str">
        <f>T("9791164896639")</f>
        <v>9791164896639</v>
      </c>
      <c r="BE1987" t="str">
        <f>T("BL 웹소설 &gt; 역사/시대물")</f>
        <v>BL 웹소설 &gt; 역사/시대물</v>
      </c>
    </row>
    <row r="1988" spans="1:57" x14ac:dyDescent="0.3">
      <c r="A1988">
        <v>1525004030</v>
      </c>
      <c r="B1988">
        <v>1525007113</v>
      </c>
      <c r="C1988" t="str">
        <f>T("회귀의 전설 2부 997화")</f>
        <v>회귀의 전설 2부 997화</v>
      </c>
      <c r="D1988" t="str">
        <f>T("997")</f>
        <v>997</v>
      </c>
      <c r="E1988" t="str">
        <f>T("김광수")</f>
        <v>김광수</v>
      </c>
      <c r="H1988" t="str">
        <f>T("스토리위즈")</f>
        <v>스토리위즈</v>
      </c>
      <c r="I1988" t="str">
        <f>T("회귀의 전설")</f>
        <v>회귀의 전설</v>
      </c>
      <c r="J1988">
        <v>100</v>
      </c>
      <c r="K1988">
        <v>100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100</v>
      </c>
      <c r="AH1988">
        <v>1</v>
      </c>
      <c r="AI1988">
        <v>0</v>
      </c>
      <c r="AJ1988">
        <v>0</v>
      </c>
      <c r="AK1988">
        <v>100</v>
      </c>
      <c r="AL1988">
        <v>0</v>
      </c>
      <c r="AM1988">
        <v>0</v>
      </c>
      <c r="AN1988">
        <v>0</v>
      </c>
      <c r="AO1988">
        <v>0</v>
      </c>
      <c r="AQ1988">
        <v>0</v>
      </c>
      <c r="AR1988">
        <v>0</v>
      </c>
      <c r="AT1988">
        <v>0</v>
      </c>
      <c r="AU1988">
        <v>0</v>
      </c>
      <c r="AW1988">
        <v>0</v>
      </c>
      <c r="AX1988">
        <v>0</v>
      </c>
      <c r="AY1988">
        <v>70</v>
      </c>
      <c r="BC1988" t="str">
        <f>T("9791191102086")</f>
        <v>9791191102086</v>
      </c>
      <c r="BE1988" t="str">
        <f>T("판타지 웹소설 &gt; 현대 판타지")</f>
        <v>판타지 웹소설 &gt; 현대 판타지</v>
      </c>
    </row>
    <row r="1989" spans="1:57" x14ac:dyDescent="0.3">
      <c r="A1989">
        <v>1525011523</v>
      </c>
      <c r="B1989">
        <v>1525011233</v>
      </c>
      <c r="C1989" t="str">
        <f>T("남창목가 291화")</f>
        <v>남창목가 291화</v>
      </c>
      <c r="D1989" t="str">
        <f>T("291")</f>
        <v>291</v>
      </c>
      <c r="E1989" t="str">
        <f>T("최재봉")</f>
        <v>최재봉</v>
      </c>
      <c r="H1989" t="str">
        <f>T("에필로그")</f>
        <v>에필로그</v>
      </c>
      <c r="I1989" t="str">
        <f>T("남창목가")</f>
        <v>남창목가</v>
      </c>
      <c r="J1989">
        <v>100</v>
      </c>
      <c r="K1989">
        <v>100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100</v>
      </c>
      <c r="AH1989">
        <v>1</v>
      </c>
      <c r="AI1989">
        <v>0</v>
      </c>
      <c r="AJ1989">
        <v>0</v>
      </c>
      <c r="AK1989">
        <v>0</v>
      </c>
      <c r="AL1989">
        <v>0</v>
      </c>
      <c r="AM1989">
        <v>120</v>
      </c>
      <c r="AN1989">
        <v>-12</v>
      </c>
      <c r="AO1989">
        <v>0</v>
      </c>
      <c r="AQ1989">
        <v>0</v>
      </c>
      <c r="AR1989">
        <v>0</v>
      </c>
      <c r="AS1989">
        <v>120</v>
      </c>
      <c r="AT1989">
        <v>-12</v>
      </c>
      <c r="AU1989">
        <v>0</v>
      </c>
      <c r="AW1989">
        <v>0</v>
      </c>
      <c r="AX1989">
        <v>0</v>
      </c>
      <c r="AY1989">
        <v>75.599999999999994</v>
      </c>
      <c r="BC1989" t="str">
        <f>T("9791164482849")</f>
        <v>9791164482849</v>
      </c>
      <c r="BE1989" t="str">
        <f>T("판타지 웹소설 &gt; 무협 소설")</f>
        <v>판타지 웹소설 &gt; 무협 소설</v>
      </c>
    </row>
    <row r="1990" spans="1:57" x14ac:dyDescent="0.3">
      <c r="A1990">
        <v>1525000569</v>
      </c>
      <c r="B1990">
        <v>1525000615</v>
      </c>
      <c r="C1990" t="str">
        <f>T("스트라이커 47화")</f>
        <v>스트라이커 47화</v>
      </c>
      <c r="D1990" t="str">
        <f>T("47")</f>
        <v>47</v>
      </c>
      <c r="E1990" t="str">
        <f>T("독고진")</f>
        <v>독고진</v>
      </c>
      <c r="H1990" t="str">
        <f>T("스토리위즈")</f>
        <v>스토리위즈</v>
      </c>
      <c r="I1990" t="str">
        <f>T("스트라이커")</f>
        <v>스트라이커</v>
      </c>
      <c r="J1990">
        <v>100</v>
      </c>
      <c r="K1990">
        <v>100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100</v>
      </c>
      <c r="AH1990">
        <v>1</v>
      </c>
      <c r="AI1990">
        <v>0</v>
      </c>
      <c r="AJ1990">
        <v>0</v>
      </c>
      <c r="AK1990">
        <v>100</v>
      </c>
      <c r="AL1990">
        <v>0</v>
      </c>
      <c r="AM1990">
        <v>0</v>
      </c>
      <c r="AN1990">
        <v>0</v>
      </c>
      <c r="AO1990">
        <v>0</v>
      </c>
      <c r="AQ1990">
        <v>0</v>
      </c>
      <c r="AR1990">
        <v>0</v>
      </c>
      <c r="AT1990">
        <v>0</v>
      </c>
      <c r="AU1990">
        <v>0</v>
      </c>
      <c r="AW1990">
        <v>0</v>
      </c>
      <c r="AX1990">
        <v>0</v>
      </c>
      <c r="AY1990">
        <v>70</v>
      </c>
      <c r="BC1990" t="str">
        <f>T("9791170151678")</f>
        <v>9791170151678</v>
      </c>
      <c r="BE1990" t="str">
        <f>T("판타지 웹소설 &gt; 현대 판타지")</f>
        <v>판타지 웹소설 &gt; 현대 판타지</v>
      </c>
    </row>
    <row r="1991" spans="1:57" x14ac:dyDescent="0.3">
      <c r="A1991">
        <v>1525011523</v>
      </c>
      <c r="B1991">
        <v>1525011013</v>
      </c>
      <c r="C1991" t="str">
        <f>T("남창목가 외전 479화")</f>
        <v>남창목가 외전 479화</v>
      </c>
      <c r="D1991" t="str">
        <f>T("479")</f>
        <v>479</v>
      </c>
      <c r="E1991" t="str">
        <f>T("최재봉")</f>
        <v>최재봉</v>
      </c>
      <c r="H1991" t="str">
        <f>T("에필로그")</f>
        <v>에필로그</v>
      </c>
      <c r="I1991" t="str">
        <f>T("남창목가")</f>
        <v>남창목가</v>
      </c>
      <c r="J1991">
        <v>100</v>
      </c>
      <c r="K1991">
        <v>100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100</v>
      </c>
      <c r="AH1991">
        <v>1</v>
      </c>
      <c r="AI1991">
        <v>0</v>
      </c>
      <c r="AJ1991">
        <v>0</v>
      </c>
      <c r="AK1991">
        <v>0</v>
      </c>
      <c r="AL1991">
        <v>0</v>
      </c>
      <c r="AM1991">
        <v>120</v>
      </c>
      <c r="AN1991">
        <v>-12</v>
      </c>
      <c r="AO1991">
        <v>0</v>
      </c>
      <c r="AQ1991">
        <v>0</v>
      </c>
      <c r="AR1991">
        <v>0</v>
      </c>
      <c r="AS1991">
        <v>120</v>
      </c>
      <c r="AT1991">
        <v>-12</v>
      </c>
      <c r="AU1991">
        <v>0</v>
      </c>
      <c r="AW1991">
        <v>0</v>
      </c>
      <c r="AX1991">
        <v>0</v>
      </c>
      <c r="AY1991">
        <v>75.599999999999994</v>
      </c>
      <c r="BC1991" t="str">
        <f>T("9791164482849")</f>
        <v>9791164482849</v>
      </c>
      <c r="BE1991" t="str">
        <f>T("판타지 웹소설 &gt; 무협 소설")</f>
        <v>판타지 웹소설 &gt; 무협 소설</v>
      </c>
    </row>
    <row r="1992" spans="1:57" x14ac:dyDescent="0.3">
      <c r="A1992">
        <v>1525004030</v>
      </c>
      <c r="B1992">
        <v>1525006896</v>
      </c>
      <c r="C1992" t="str">
        <f>T("회귀의 전설 2부 779화")</f>
        <v>회귀의 전설 2부 779화</v>
      </c>
      <c r="D1992" t="str">
        <f>T("779")</f>
        <v>779</v>
      </c>
      <c r="E1992" t="str">
        <f>T("김광수")</f>
        <v>김광수</v>
      </c>
      <c r="H1992" t="str">
        <f>T("스토리위즈")</f>
        <v>스토리위즈</v>
      </c>
      <c r="I1992" t="str">
        <f>T("회귀의 전설")</f>
        <v>회귀의 전설</v>
      </c>
      <c r="J1992">
        <v>100</v>
      </c>
      <c r="K1992">
        <v>100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100</v>
      </c>
      <c r="AH1992">
        <v>1</v>
      </c>
      <c r="AI1992">
        <v>0</v>
      </c>
      <c r="AJ1992">
        <v>0</v>
      </c>
      <c r="AK1992">
        <v>0</v>
      </c>
      <c r="AL1992">
        <v>0</v>
      </c>
      <c r="AM1992">
        <v>120</v>
      </c>
      <c r="AN1992">
        <v>-12</v>
      </c>
      <c r="AO1992">
        <v>0</v>
      </c>
      <c r="AQ1992">
        <v>0</v>
      </c>
      <c r="AR1992">
        <v>0</v>
      </c>
      <c r="AS1992">
        <v>120</v>
      </c>
      <c r="AT1992">
        <v>-12</v>
      </c>
      <c r="AU1992">
        <v>0</v>
      </c>
      <c r="AW1992">
        <v>0</v>
      </c>
      <c r="AX1992">
        <v>0</v>
      </c>
      <c r="AY1992">
        <v>75.599999999999994</v>
      </c>
      <c r="BC1992" t="str">
        <f>T("9791191102086")</f>
        <v>9791191102086</v>
      </c>
      <c r="BE1992" t="str">
        <f>T("판타지 웹소설 &gt; 현대 판타지")</f>
        <v>판타지 웹소설 &gt; 현대 판타지</v>
      </c>
    </row>
    <row r="1993" spans="1:57" x14ac:dyDescent="0.3">
      <c r="A1993">
        <v>1525011523</v>
      </c>
      <c r="B1993">
        <v>1525011349</v>
      </c>
      <c r="C1993" t="str">
        <f>T("남창목가 175화")</f>
        <v>남창목가 175화</v>
      </c>
      <c r="D1993" t="str">
        <f>T("175")</f>
        <v>175</v>
      </c>
      <c r="E1993" t="str">
        <f>T("최재봉")</f>
        <v>최재봉</v>
      </c>
      <c r="H1993" t="str">
        <f>T("에필로그")</f>
        <v>에필로그</v>
      </c>
      <c r="I1993" t="str">
        <f>T("남창목가")</f>
        <v>남창목가</v>
      </c>
      <c r="J1993">
        <v>100</v>
      </c>
      <c r="K1993">
        <v>100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100</v>
      </c>
      <c r="AH1993">
        <v>1</v>
      </c>
      <c r="AI1993">
        <v>0</v>
      </c>
      <c r="AJ1993">
        <v>0</v>
      </c>
      <c r="AK1993">
        <v>0</v>
      </c>
      <c r="AL1993">
        <v>0</v>
      </c>
      <c r="AM1993">
        <v>120</v>
      </c>
      <c r="AN1993">
        <v>-12</v>
      </c>
      <c r="AO1993">
        <v>0</v>
      </c>
      <c r="AQ1993">
        <v>0</v>
      </c>
      <c r="AR1993">
        <v>0</v>
      </c>
      <c r="AS1993">
        <v>120</v>
      </c>
      <c r="AT1993">
        <v>-12</v>
      </c>
      <c r="AU1993">
        <v>0</v>
      </c>
      <c r="AW1993">
        <v>0</v>
      </c>
      <c r="AX1993">
        <v>0</v>
      </c>
      <c r="AY1993">
        <v>75.599999999999994</v>
      </c>
      <c r="BC1993" t="str">
        <f>T("9791164482849")</f>
        <v>9791164482849</v>
      </c>
      <c r="BE1993" t="str">
        <f>T("판타지 웹소설 &gt; 무협 소설")</f>
        <v>판타지 웹소설 &gt; 무협 소설</v>
      </c>
    </row>
    <row r="1994" spans="1:57" x14ac:dyDescent="0.3">
      <c r="A1994">
        <v>1525002125</v>
      </c>
      <c r="B1994">
        <v>1525002380</v>
      </c>
      <c r="C1994" t="str">
        <f>T("신을 죽이러 갑니다 256화")</f>
        <v>신을 죽이러 갑니다 256화</v>
      </c>
      <c r="D1994" t="str">
        <f>T("256")</f>
        <v>256</v>
      </c>
      <c r="E1994" t="str">
        <f>T("독고진")</f>
        <v>독고진</v>
      </c>
      <c r="H1994" t="str">
        <f>T("스토리위즈")</f>
        <v>스토리위즈</v>
      </c>
      <c r="I1994" t="str">
        <f>T("신을 죽이러 갑니다")</f>
        <v>신을 죽이러 갑니다</v>
      </c>
      <c r="J1994">
        <v>100</v>
      </c>
      <c r="K1994">
        <v>100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100</v>
      </c>
      <c r="AH1994">
        <v>1</v>
      </c>
      <c r="AI1994">
        <v>0</v>
      </c>
      <c r="AJ1994">
        <v>0</v>
      </c>
      <c r="AK1994">
        <v>0</v>
      </c>
      <c r="AL1994">
        <v>0</v>
      </c>
      <c r="AM1994">
        <v>120</v>
      </c>
      <c r="AN1994">
        <v>-12</v>
      </c>
      <c r="AO1994">
        <v>0</v>
      </c>
      <c r="AQ1994">
        <v>0</v>
      </c>
      <c r="AR1994">
        <v>0</v>
      </c>
      <c r="AS1994">
        <v>120</v>
      </c>
      <c r="AT1994">
        <v>-12</v>
      </c>
      <c r="AU1994">
        <v>0</v>
      </c>
      <c r="AW1994">
        <v>0</v>
      </c>
      <c r="AX1994">
        <v>0</v>
      </c>
      <c r="AY1994">
        <v>75.599999999999994</v>
      </c>
      <c r="BC1994" t="str">
        <f>T("9791159285806")</f>
        <v>9791159285806</v>
      </c>
      <c r="BE1994" t="str">
        <f>T("판타지 웹소설 &gt; 퓨전 판타지")</f>
        <v>판타지 웹소설 &gt; 퓨전 판타지</v>
      </c>
    </row>
    <row r="1995" spans="1:57" x14ac:dyDescent="0.3">
      <c r="A1995">
        <v>1525012551</v>
      </c>
      <c r="B1995">
        <v>1525012715</v>
      </c>
      <c r="C1995" t="str">
        <f>T("개정판 | 바보가 만드는 멋진 세상 165화")</f>
        <v>개정판 | 바보가 만드는 멋진 세상 165화</v>
      </c>
      <c r="D1995" t="str">
        <f>T("165")</f>
        <v>165</v>
      </c>
      <c r="E1995" t="str">
        <f>T("백범(白帆)")</f>
        <v>백범(白帆)</v>
      </c>
      <c r="H1995" t="str">
        <f>T("에필로그")</f>
        <v>에필로그</v>
      </c>
      <c r="I1995" t="str">
        <f>T("개정판 | 바보가 만드는 멋진 세상")</f>
        <v>개정판 | 바보가 만드는 멋진 세상</v>
      </c>
      <c r="J1995">
        <v>100</v>
      </c>
      <c r="K1995">
        <v>100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100</v>
      </c>
      <c r="AH1995">
        <v>1</v>
      </c>
      <c r="AI1995">
        <v>0</v>
      </c>
      <c r="AJ1995">
        <v>0</v>
      </c>
      <c r="AK1995">
        <v>100</v>
      </c>
      <c r="AL1995">
        <v>0</v>
      </c>
      <c r="AM1995">
        <v>0</v>
      </c>
      <c r="AN1995">
        <v>0</v>
      </c>
      <c r="AO1995">
        <v>0</v>
      </c>
      <c r="AQ1995">
        <v>0</v>
      </c>
      <c r="AR1995">
        <v>0</v>
      </c>
      <c r="AT1995">
        <v>0</v>
      </c>
      <c r="AU1995">
        <v>0</v>
      </c>
      <c r="AW1995">
        <v>0</v>
      </c>
      <c r="AX1995">
        <v>0</v>
      </c>
      <c r="AY1995">
        <v>70</v>
      </c>
      <c r="BC1995" t="str">
        <f>T("9791166003493")</f>
        <v>9791166003493</v>
      </c>
      <c r="BE1995" t="str">
        <f>T("판타지 웹소설 &gt; 현대 판타지")</f>
        <v>판타지 웹소설 &gt; 현대 판타지</v>
      </c>
    </row>
    <row r="1996" spans="1:57" x14ac:dyDescent="0.3">
      <c r="A1996">
        <v>1525008428</v>
      </c>
      <c r="B1996">
        <v>1525008522</v>
      </c>
      <c r="C1996" t="str">
        <f>T("무히비(Muhibbi) 외전 120화")</f>
        <v>무히비(Muhibbi) 외전 120화</v>
      </c>
      <c r="D1996" t="str">
        <f>T("120")</f>
        <v>120</v>
      </c>
      <c r="E1996" t="str">
        <f>T("jooki")</f>
        <v>jooki</v>
      </c>
      <c r="H1996" t="str">
        <f>T("블러쉬")</f>
        <v>블러쉬</v>
      </c>
      <c r="I1996" t="str">
        <f>T("무히비(Muhibbi)")</f>
        <v>무히비(Muhibbi)</v>
      </c>
      <c r="J1996">
        <v>100</v>
      </c>
      <c r="K1996">
        <v>100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100</v>
      </c>
      <c r="AH1996">
        <v>1</v>
      </c>
      <c r="AI1996">
        <v>0</v>
      </c>
      <c r="AJ1996">
        <v>0</v>
      </c>
      <c r="AK1996">
        <v>100</v>
      </c>
      <c r="AL1996">
        <v>0</v>
      </c>
      <c r="AM1996">
        <v>0</v>
      </c>
      <c r="AN1996">
        <v>0</v>
      </c>
      <c r="AO1996">
        <v>0</v>
      </c>
      <c r="AQ1996">
        <v>0</v>
      </c>
      <c r="AR1996">
        <v>0</v>
      </c>
      <c r="AT1996">
        <v>0</v>
      </c>
      <c r="AU1996">
        <v>0</v>
      </c>
      <c r="AW1996">
        <v>0</v>
      </c>
      <c r="AX1996">
        <v>0</v>
      </c>
      <c r="AY1996">
        <v>70</v>
      </c>
      <c r="BA1996" t="str">
        <f>T("0000000000000")</f>
        <v>0000000000000</v>
      </c>
      <c r="BC1996" t="str">
        <f>T("9791164896622")</f>
        <v>9791164896622</v>
      </c>
      <c r="BE1996" t="str">
        <f>T("BL 웹소설 &gt; 역사/시대물")</f>
        <v>BL 웹소설 &gt; 역사/시대물</v>
      </c>
    </row>
    <row r="1997" spans="1:57" x14ac:dyDescent="0.3">
      <c r="A1997">
        <v>1525002864</v>
      </c>
      <c r="B1997">
        <v>1525003483</v>
      </c>
      <c r="C1997" t="str">
        <f>T("소드마스터의 환생 195화 (외전 1)")</f>
        <v>소드마스터의 환생 195화 (외전 1)</v>
      </c>
      <c r="D1997" t="str">
        <f>T("195")</f>
        <v>195</v>
      </c>
      <c r="E1997" t="str">
        <f>T("파란영")</f>
        <v>파란영</v>
      </c>
      <c r="H1997" t="str">
        <f>T("스토리위즈")</f>
        <v>스토리위즈</v>
      </c>
      <c r="I1997" t="str">
        <f>T("소드마스터의 환생")</f>
        <v>소드마스터의 환생</v>
      </c>
      <c r="J1997">
        <v>100</v>
      </c>
      <c r="K1997">
        <v>100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100</v>
      </c>
      <c r="AH1997">
        <v>1</v>
      </c>
      <c r="AI1997">
        <v>0</v>
      </c>
      <c r="AJ1997">
        <v>0</v>
      </c>
      <c r="AK1997">
        <v>100</v>
      </c>
      <c r="AL1997">
        <v>0</v>
      </c>
      <c r="AM1997">
        <v>0</v>
      </c>
      <c r="AN1997">
        <v>0</v>
      </c>
      <c r="AO1997">
        <v>0</v>
      </c>
      <c r="AQ1997">
        <v>0</v>
      </c>
      <c r="AR1997">
        <v>0</v>
      </c>
      <c r="AT1997">
        <v>0</v>
      </c>
      <c r="AU1997">
        <v>0</v>
      </c>
      <c r="AW1997">
        <v>0</v>
      </c>
      <c r="AX1997">
        <v>0</v>
      </c>
      <c r="AY1997">
        <v>70</v>
      </c>
      <c r="BC1997" t="str">
        <f>T("9791159287527")</f>
        <v>9791159287527</v>
      </c>
      <c r="BE1997" t="str">
        <f>T("판타지 웹소설 &gt; 정통 판타지")</f>
        <v>판타지 웹소설 &gt; 정통 판타지</v>
      </c>
    </row>
    <row r="1998" spans="1:57" x14ac:dyDescent="0.3">
      <c r="A1998">
        <v>1525008428</v>
      </c>
      <c r="B1998">
        <v>1525008478</v>
      </c>
      <c r="C1998" t="str">
        <f>T("무히비(Muhibbi) 65화")</f>
        <v>무히비(Muhibbi) 65화</v>
      </c>
      <c r="D1998" t="str">
        <f>T("65")</f>
        <v>65</v>
      </c>
      <c r="E1998" t="str">
        <f>T("jooki")</f>
        <v>jooki</v>
      </c>
      <c r="H1998" t="str">
        <f>T("블러쉬")</f>
        <v>블러쉬</v>
      </c>
      <c r="I1998" t="str">
        <f>T("무히비(Muhibbi)")</f>
        <v>무히비(Muhibbi)</v>
      </c>
      <c r="J1998">
        <v>100</v>
      </c>
      <c r="K1998">
        <v>100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100</v>
      </c>
      <c r="AH1998">
        <v>1</v>
      </c>
      <c r="AI1998">
        <v>0</v>
      </c>
      <c r="AJ1998">
        <v>0</v>
      </c>
      <c r="AK1998">
        <v>100</v>
      </c>
      <c r="AL1998">
        <v>0</v>
      </c>
      <c r="AM1998">
        <v>0</v>
      </c>
      <c r="AN1998">
        <v>0</v>
      </c>
      <c r="AO1998">
        <v>0</v>
      </c>
      <c r="AQ1998">
        <v>0</v>
      </c>
      <c r="AR1998">
        <v>0</v>
      </c>
      <c r="AT1998">
        <v>0</v>
      </c>
      <c r="AU1998">
        <v>0</v>
      </c>
      <c r="AW1998">
        <v>0</v>
      </c>
      <c r="AX1998">
        <v>0</v>
      </c>
      <c r="AY1998">
        <v>70</v>
      </c>
      <c r="BC1998" t="str">
        <f>T("9791164896622")</f>
        <v>9791164896622</v>
      </c>
      <c r="BE1998" t="str">
        <f>T("BL 웹소설 &gt; 역사/시대물")</f>
        <v>BL 웹소설 &gt; 역사/시대물</v>
      </c>
    </row>
    <row r="1999" spans="1:57" x14ac:dyDescent="0.3">
      <c r="A1999">
        <v>1525011523</v>
      </c>
      <c r="B1999">
        <v>1525011295</v>
      </c>
      <c r="C1999" t="str">
        <f>T("남창목가 229화")</f>
        <v>남창목가 229화</v>
      </c>
      <c r="D1999" t="str">
        <f>T("229")</f>
        <v>229</v>
      </c>
      <c r="E1999" t="str">
        <f>T("최재봉")</f>
        <v>최재봉</v>
      </c>
      <c r="H1999" t="str">
        <f>T("에필로그")</f>
        <v>에필로그</v>
      </c>
      <c r="I1999" t="str">
        <f>T("남창목가")</f>
        <v>남창목가</v>
      </c>
      <c r="J1999">
        <v>100</v>
      </c>
      <c r="K1999">
        <v>100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100</v>
      </c>
      <c r="AH1999">
        <v>1</v>
      </c>
      <c r="AI1999">
        <v>0</v>
      </c>
      <c r="AJ1999">
        <v>0</v>
      </c>
      <c r="AK1999">
        <v>0</v>
      </c>
      <c r="AL1999">
        <v>0</v>
      </c>
      <c r="AM1999">
        <v>120</v>
      </c>
      <c r="AN1999">
        <v>-12</v>
      </c>
      <c r="AO1999">
        <v>0</v>
      </c>
      <c r="AQ1999">
        <v>0</v>
      </c>
      <c r="AR1999">
        <v>0</v>
      </c>
      <c r="AS1999">
        <v>120</v>
      </c>
      <c r="AT1999">
        <v>-12</v>
      </c>
      <c r="AU1999">
        <v>0</v>
      </c>
      <c r="AW1999">
        <v>0</v>
      </c>
      <c r="AX1999">
        <v>0</v>
      </c>
      <c r="AY1999">
        <v>75.599999999999994</v>
      </c>
      <c r="BC1999" t="str">
        <f>T("9791164482849")</f>
        <v>9791164482849</v>
      </c>
      <c r="BE1999" t="str">
        <f>T("판타지 웹소설 &gt; 무협 소설")</f>
        <v>판타지 웹소설 &gt; 무협 소설</v>
      </c>
    </row>
    <row r="2000" spans="1:57" x14ac:dyDescent="0.3">
      <c r="A2000">
        <v>1525011523</v>
      </c>
      <c r="B2000">
        <v>1525011492</v>
      </c>
      <c r="C2000" t="str">
        <f>T("남창목가 32화")</f>
        <v>남창목가 32화</v>
      </c>
      <c r="D2000" t="str">
        <f>T("32")</f>
        <v>32</v>
      </c>
      <c r="E2000" t="str">
        <f>T("최재봉")</f>
        <v>최재봉</v>
      </c>
      <c r="H2000" t="str">
        <f>T("에필로그")</f>
        <v>에필로그</v>
      </c>
      <c r="I2000" t="str">
        <f>T("남창목가")</f>
        <v>남창목가</v>
      </c>
      <c r="J2000">
        <v>100</v>
      </c>
      <c r="K2000">
        <v>100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100</v>
      </c>
      <c r="AH2000">
        <v>1</v>
      </c>
      <c r="AI2000">
        <v>0</v>
      </c>
      <c r="AJ2000">
        <v>0</v>
      </c>
      <c r="AK2000">
        <v>100</v>
      </c>
      <c r="AL2000">
        <v>0</v>
      </c>
      <c r="AM2000">
        <v>0</v>
      </c>
      <c r="AN2000">
        <v>0</v>
      </c>
      <c r="AO2000">
        <v>0</v>
      </c>
      <c r="AQ2000">
        <v>0</v>
      </c>
      <c r="AR2000">
        <v>0</v>
      </c>
      <c r="AT2000">
        <v>0</v>
      </c>
      <c r="AU2000">
        <v>0</v>
      </c>
      <c r="AW2000">
        <v>0</v>
      </c>
      <c r="AX2000">
        <v>0</v>
      </c>
      <c r="AY2000">
        <v>70</v>
      </c>
      <c r="BC2000" t="str">
        <f>T("9791164482849")</f>
        <v>9791164482849</v>
      </c>
      <c r="BE2000" t="str">
        <f>T("판타지 웹소설 &gt; 무협 소설")</f>
        <v>판타지 웹소설 &gt; 무협 소설</v>
      </c>
    </row>
    <row r="2001" spans="1:57" x14ac:dyDescent="0.3">
      <c r="A2001">
        <v>1525012551</v>
      </c>
      <c r="B2001">
        <v>1525012593</v>
      </c>
      <c r="C2001" t="str">
        <f>T("개정판 | 바보가 만드는 멋진 세상 43화")</f>
        <v>개정판 | 바보가 만드는 멋진 세상 43화</v>
      </c>
      <c r="D2001" t="str">
        <f>T("43")</f>
        <v>43</v>
      </c>
      <c r="E2001" t="str">
        <f>T("백범(白帆)")</f>
        <v>백범(白帆)</v>
      </c>
      <c r="H2001" t="str">
        <f>T("에필로그")</f>
        <v>에필로그</v>
      </c>
      <c r="I2001" t="str">
        <f>T("개정판 | 바보가 만드는 멋진 세상")</f>
        <v>개정판 | 바보가 만드는 멋진 세상</v>
      </c>
      <c r="J2001">
        <v>100</v>
      </c>
      <c r="K2001">
        <v>100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100</v>
      </c>
      <c r="AH2001">
        <v>1</v>
      </c>
      <c r="AI2001">
        <v>0</v>
      </c>
      <c r="AJ2001">
        <v>0</v>
      </c>
      <c r="AK2001">
        <v>100</v>
      </c>
      <c r="AL2001">
        <v>0</v>
      </c>
      <c r="AM2001">
        <v>0</v>
      </c>
      <c r="AN2001">
        <v>0</v>
      </c>
      <c r="AO2001">
        <v>0</v>
      </c>
      <c r="AQ2001">
        <v>0</v>
      </c>
      <c r="AR2001">
        <v>0</v>
      </c>
      <c r="AT2001">
        <v>0</v>
      </c>
      <c r="AU2001">
        <v>0</v>
      </c>
      <c r="AW2001">
        <v>0</v>
      </c>
      <c r="AX2001">
        <v>0</v>
      </c>
      <c r="AY2001">
        <v>70</v>
      </c>
      <c r="BC2001" t="str">
        <f>T("9791166003493")</f>
        <v>9791166003493</v>
      </c>
      <c r="BE2001" t="str">
        <f>T("판타지 웹소설 &gt; 현대 판타지")</f>
        <v>판타지 웹소설 &gt; 현대 판타지</v>
      </c>
    </row>
    <row r="2002" spans="1:57" x14ac:dyDescent="0.3">
      <c r="A2002">
        <v>1525004799</v>
      </c>
      <c r="B2002">
        <v>1525004943</v>
      </c>
      <c r="C2002" t="str">
        <f>T("검산도해 145화")</f>
        <v>검산도해 145화</v>
      </c>
      <c r="D2002" t="str">
        <f>T("145")</f>
        <v>145</v>
      </c>
      <c r="E2002" t="str">
        <f>T("권용찬")</f>
        <v>권용찬</v>
      </c>
      <c r="H2002" t="str">
        <f>T("스토리위즈")</f>
        <v>스토리위즈</v>
      </c>
      <c r="I2002" t="str">
        <f>T("검산도해")</f>
        <v>검산도해</v>
      </c>
      <c r="J2002">
        <v>100</v>
      </c>
      <c r="K2002">
        <v>100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100</v>
      </c>
      <c r="AH2002">
        <v>1</v>
      </c>
      <c r="AI2002">
        <v>0</v>
      </c>
      <c r="AJ2002">
        <v>0</v>
      </c>
      <c r="AK2002">
        <v>0</v>
      </c>
      <c r="AL2002">
        <v>0</v>
      </c>
      <c r="AM2002">
        <v>120</v>
      </c>
      <c r="AN2002">
        <v>-12</v>
      </c>
      <c r="AO2002">
        <v>0</v>
      </c>
      <c r="AQ2002">
        <v>0</v>
      </c>
      <c r="AR2002">
        <v>0</v>
      </c>
      <c r="AS2002">
        <v>120</v>
      </c>
      <c r="AT2002">
        <v>-12</v>
      </c>
      <c r="AU2002">
        <v>0</v>
      </c>
      <c r="AW2002">
        <v>0</v>
      </c>
      <c r="AX2002">
        <v>0</v>
      </c>
      <c r="AY2002">
        <v>75.599999999999994</v>
      </c>
      <c r="BC2002" t="str">
        <f>T("9791159285936")</f>
        <v>9791159285936</v>
      </c>
      <c r="BE2002" t="str">
        <f>T("판타지 웹소설 &gt; 무협 소설")</f>
        <v>판타지 웹소설 &gt; 무협 소설</v>
      </c>
    </row>
    <row r="2003" spans="1:57" x14ac:dyDescent="0.3">
      <c r="A2003">
        <v>1525004030</v>
      </c>
      <c r="B2003">
        <v>1525007032</v>
      </c>
      <c r="C2003" t="str">
        <f>T("회귀의 전설 2부 916화")</f>
        <v>회귀의 전설 2부 916화</v>
      </c>
      <c r="D2003" t="str">
        <f>T("916")</f>
        <v>916</v>
      </c>
      <c r="E2003" t="str">
        <f>T("김광수")</f>
        <v>김광수</v>
      </c>
      <c r="H2003" t="str">
        <f>T("스토리위즈")</f>
        <v>스토리위즈</v>
      </c>
      <c r="I2003" t="str">
        <f>T("회귀의 전설")</f>
        <v>회귀의 전설</v>
      </c>
      <c r="J2003">
        <v>100</v>
      </c>
      <c r="K2003">
        <v>100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100</v>
      </c>
      <c r="AH2003">
        <v>1</v>
      </c>
      <c r="AI2003">
        <v>0</v>
      </c>
      <c r="AJ2003">
        <v>0</v>
      </c>
      <c r="AK2003">
        <v>100</v>
      </c>
      <c r="AL2003">
        <v>0</v>
      </c>
      <c r="AM2003">
        <v>0</v>
      </c>
      <c r="AN2003">
        <v>0</v>
      </c>
      <c r="AO2003">
        <v>0</v>
      </c>
      <c r="AQ2003">
        <v>0</v>
      </c>
      <c r="AR2003">
        <v>0</v>
      </c>
      <c r="AT2003">
        <v>0</v>
      </c>
      <c r="AU2003">
        <v>0</v>
      </c>
      <c r="AW2003">
        <v>0</v>
      </c>
      <c r="AX2003">
        <v>0</v>
      </c>
      <c r="AY2003">
        <v>70</v>
      </c>
      <c r="BC2003" t="str">
        <f>T("9791191102086")</f>
        <v>9791191102086</v>
      </c>
      <c r="BE2003" t="str">
        <f>T("판타지 웹소설 &gt; 현대 판타지")</f>
        <v>판타지 웹소설 &gt; 현대 판타지</v>
      </c>
    </row>
    <row r="2004" spans="1:57" x14ac:dyDescent="0.3">
      <c r="A2004">
        <v>1525004030</v>
      </c>
      <c r="B2004">
        <v>1525006991</v>
      </c>
      <c r="C2004" t="str">
        <f>T("회귀의 전설 2부 875화")</f>
        <v>회귀의 전설 2부 875화</v>
      </c>
      <c r="D2004" t="str">
        <f>T("875")</f>
        <v>875</v>
      </c>
      <c r="E2004" t="str">
        <f>T("김광수")</f>
        <v>김광수</v>
      </c>
      <c r="H2004" t="str">
        <f>T("스토리위즈")</f>
        <v>스토리위즈</v>
      </c>
      <c r="I2004" t="str">
        <f>T("회귀의 전설")</f>
        <v>회귀의 전설</v>
      </c>
      <c r="J2004">
        <v>100</v>
      </c>
      <c r="K2004">
        <v>100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100</v>
      </c>
      <c r="AH2004">
        <v>1</v>
      </c>
      <c r="AI2004">
        <v>0</v>
      </c>
      <c r="AJ2004">
        <v>0</v>
      </c>
      <c r="AK2004">
        <v>100</v>
      </c>
      <c r="AL2004">
        <v>0</v>
      </c>
      <c r="AM2004">
        <v>0</v>
      </c>
      <c r="AN2004">
        <v>0</v>
      </c>
      <c r="AO2004">
        <v>0</v>
      </c>
      <c r="AQ2004">
        <v>0</v>
      </c>
      <c r="AR2004">
        <v>0</v>
      </c>
      <c r="AT2004">
        <v>0</v>
      </c>
      <c r="AU2004">
        <v>0</v>
      </c>
      <c r="AW2004">
        <v>0</v>
      </c>
      <c r="AX2004">
        <v>0</v>
      </c>
      <c r="AY2004">
        <v>70</v>
      </c>
      <c r="BC2004" t="str">
        <f>T("9791191102086")</f>
        <v>9791191102086</v>
      </c>
      <c r="BE2004" t="str">
        <f>T("판타지 웹소설 &gt; 현대 판타지")</f>
        <v>판타지 웹소설 &gt; 현대 판타지</v>
      </c>
    </row>
    <row r="2005" spans="1:57" x14ac:dyDescent="0.3">
      <c r="A2005">
        <v>1525011523</v>
      </c>
      <c r="B2005">
        <v>1525011387</v>
      </c>
      <c r="C2005" t="str">
        <f>T("남창목가 137화")</f>
        <v>남창목가 137화</v>
      </c>
      <c r="D2005" t="str">
        <f>T("137")</f>
        <v>137</v>
      </c>
      <c r="E2005" t="str">
        <f>T("최재봉")</f>
        <v>최재봉</v>
      </c>
      <c r="H2005" t="str">
        <f>T("에필로그")</f>
        <v>에필로그</v>
      </c>
      <c r="I2005" t="str">
        <f>T("남창목가")</f>
        <v>남창목가</v>
      </c>
      <c r="J2005">
        <v>100</v>
      </c>
      <c r="K2005">
        <v>100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100</v>
      </c>
      <c r="AH2005">
        <v>1</v>
      </c>
      <c r="AI2005">
        <v>0</v>
      </c>
      <c r="AJ2005">
        <v>0</v>
      </c>
      <c r="AK2005">
        <v>100</v>
      </c>
      <c r="AL2005">
        <v>0</v>
      </c>
      <c r="AM2005">
        <v>0</v>
      </c>
      <c r="AN2005">
        <v>0</v>
      </c>
      <c r="AO2005">
        <v>0</v>
      </c>
      <c r="AQ2005">
        <v>0</v>
      </c>
      <c r="AR2005">
        <v>0</v>
      </c>
      <c r="AT2005">
        <v>0</v>
      </c>
      <c r="AU2005">
        <v>0</v>
      </c>
      <c r="AW2005">
        <v>0</v>
      </c>
      <c r="AX2005">
        <v>0</v>
      </c>
      <c r="AY2005">
        <v>70</v>
      </c>
      <c r="BC2005" t="str">
        <f>T("9791164482849")</f>
        <v>9791164482849</v>
      </c>
      <c r="BE2005" t="str">
        <f>T("판타지 웹소설 &gt; 무협 소설")</f>
        <v>판타지 웹소설 &gt; 무협 소설</v>
      </c>
    </row>
    <row r="2006" spans="1:57" x14ac:dyDescent="0.3">
      <c r="A2006">
        <v>1525013020</v>
      </c>
      <c r="B2006">
        <v>1525013073</v>
      </c>
      <c r="C2006" t="str">
        <f>T("악당의 리턴 54화")</f>
        <v>악당의 리턴 54화</v>
      </c>
      <c r="D2006" t="str">
        <f>T("54")</f>
        <v>54</v>
      </c>
      <c r="E2006" t="str">
        <f>T("백범(白帆)")</f>
        <v>백범(白帆)</v>
      </c>
      <c r="H2006" t="str">
        <f>T("에필로그")</f>
        <v>에필로그</v>
      </c>
      <c r="I2006" t="str">
        <f>T("악당의 리턴")</f>
        <v>악당의 리턴</v>
      </c>
      <c r="J2006">
        <v>100</v>
      </c>
      <c r="K2006">
        <v>100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100</v>
      </c>
      <c r="AH2006">
        <v>1</v>
      </c>
      <c r="AI2006">
        <v>0</v>
      </c>
      <c r="AJ2006">
        <v>0</v>
      </c>
      <c r="AK2006">
        <v>100</v>
      </c>
      <c r="AL2006">
        <v>0</v>
      </c>
      <c r="AM2006">
        <v>0</v>
      </c>
      <c r="AN2006">
        <v>0</v>
      </c>
      <c r="AO2006">
        <v>0</v>
      </c>
      <c r="AQ2006">
        <v>0</v>
      </c>
      <c r="AR2006">
        <v>0</v>
      </c>
      <c r="AT2006">
        <v>0</v>
      </c>
      <c r="AU2006">
        <v>0</v>
      </c>
      <c r="AW2006">
        <v>0</v>
      </c>
      <c r="AX2006">
        <v>0</v>
      </c>
      <c r="AY2006">
        <v>70</v>
      </c>
      <c r="BC2006" t="str">
        <f>T("9791196538927")</f>
        <v>9791196538927</v>
      </c>
      <c r="BE2006" t="str">
        <f>T("판타지 웹소설 &gt; 현대 판타지")</f>
        <v>판타지 웹소설 &gt; 현대 판타지</v>
      </c>
    </row>
    <row r="2007" spans="1:57" x14ac:dyDescent="0.3">
      <c r="A2007">
        <v>1525004030</v>
      </c>
      <c r="B2007">
        <v>1525007147</v>
      </c>
      <c r="C2007" t="str">
        <f>T("회귀의 전설 2부 1030화")</f>
        <v>회귀의 전설 2부 1030화</v>
      </c>
      <c r="D2007" t="str">
        <f>T("1030")</f>
        <v>1030</v>
      </c>
      <c r="E2007" t="str">
        <f>T("김광수")</f>
        <v>김광수</v>
      </c>
      <c r="H2007" t="str">
        <f>T("스토리위즈")</f>
        <v>스토리위즈</v>
      </c>
      <c r="I2007" t="str">
        <f>T("회귀의 전설")</f>
        <v>회귀의 전설</v>
      </c>
      <c r="J2007">
        <v>100</v>
      </c>
      <c r="K2007">
        <v>100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100</v>
      </c>
      <c r="AH2007">
        <v>1</v>
      </c>
      <c r="AI2007">
        <v>0</v>
      </c>
      <c r="AJ2007">
        <v>0</v>
      </c>
      <c r="AK2007">
        <v>100</v>
      </c>
      <c r="AL2007">
        <v>0</v>
      </c>
      <c r="AM2007">
        <v>0</v>
      </c>
      <c r="AN2007">
        <v>0</v>
      </c>
      <c r="AO2007">
        <v>0</v>
      </c>
      <c r="AQ2007">
        <v>0</v>
      </c>
      <c r="AR2007">
        <v>0</v>
      </c>
      <c r="AT2007">
        <v>0</v>
      </c>
      <c r="AU2007">
        <v>0</v>
      </c>
      <c r="AW2007">
        <v>0</v>
      </c>
      <c r="AX2007">
        <v>0</v>
      </c>
      <c r="AY2007">
        <v>70</v>
      </c>
      <c r="BC2007" t="str">
        <f>T("9791191102086")</f>
        <v>9791191102086</v>
      </c>
      <c r="BE2007" t="str">
        <f>T("판타지 웹소설 &gt; 현대 판타지")</f>
        <v>판타지 웹소설 &gt; 현대 판타지</v>
      </c>
    </row>
    <row r="2008" spans="1:57" x14ac:dyDescent="0.3">
      <c r="A2008">
        <v>1525012551</v>
      </c>
      <c r="B2008">
        <v>1525012747</v>
      </c>
      <c r="C2008" t="str">
        <f>T("개정판 | 바보가 만드는 멋진 세상 197화")</f>
        <v>개정판 | 바보가 만드는 멋진 세상 197화</v>
      </c>
      <c r="D2008" t="str">
        <f>T("197")</f>
        <v>197</v>
      </c>
      <c r="E2008" t="str">
        <f>T("백범(白帆)")</f>
        <v>백범(白帆)</v>
      </c>
      <c r="H2008" t="str">
        <f>T("에필로그")</f>
        <v>에필로그</v>
      </c>
      <c r="I2008" t="str">
        <f>T("개정판 | 바보가 만드는 멋진 세상")</f>
        <v>개정판 | 바보가 만드는 멋진 세상</v>
      </c>
      <c r="J2008">
        <v>100</v>
      </c>
      <c r="K2008">
        <v>100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100</v>
      </c>
      <c r="AH2008">
        <v>1</v>
      </c>
      <c r="AI2008">
        <v>0</v>
      </c>
      <c r="AJ2008">
        <v>0</v>
      </c>
      <c r="AK2008">
        <v>100</v>
      </c>
      <c r="AL2008">
        <v>0</v>
      </c>
      <c r="AM2008">
        <v>0</v>
      </c>
      <c r="AN2008">
        <v>0</v>
      </c>
      <c r="AO2008">
        <v>0</v>
      </c>
      <c r="AQ2008">
        <v>0</v>
      </c>
      <c r="AR2008">
        <v>0</v>
      </c>
      <c r="AT2008">
        <v>0</v>
      </c>
      <c r="AU2008">
        <v>0</v>
      </c>
      <c r="AW2008">
        <v>0</v>
      </c>
      <c r="AX2008">
        <v>0</v>
      </c>
      <c r="AY2008">
        <v>70</v>
      </c>
      <c r="BC2008" t="str">
        <f>T("9791166003493")</f>
        <v>9791166003493</v>
      </c>
      <c r="BE2008" t="str">
        <f>T("판타지 웹소설 &gt; 현대 판타지")</f>
        <v>판타지 웹소설 &gt; 현대 판타지</v>
      </c>
    </row>
    <row r="2009" spans="1:57" x14ac:dyDescent="0.3">
      <c r="A2009">
        <v>1525008545</v>
      </c>
      <c r="B2009">
        <v>1525008560</v>
      </c>
      <c r="C2009" t="str">
        <f>T("소년연애담 33화")</f>
        <v>소년연애담 33화</v>
      </c>
      <c r="D2009" t="str">
        <f>T("33")</f>
        <v>33</v>
      </c>
      <c r="E2009" t="str">
        <f>T("나나코")</f>
        <v>나나코</v>
      </c>
      <c r="H2009" t="str">
        <f>T("블러쉬")</f>
        <v>블러쉬</v>
      </c>
      <c r="I2009" t="str">
        <f>T("소년연애담")</f>
        <v>소년연애담</v>
      </c>
      <c r="J2009">
        <v>100</v>
      </c>
      <c r="K2009">
        <v>100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100</v>
      </c>
      <c r="AH2009">
        <v>1</v>
      </c>
      <c r="AI2009">
        <v>0</v>
      </c>
      <c r="AJ2009">
        <v>0</v>
      </c>
      <c r="AK2009">
        <v>100</v>
      </c>
      <c r="AL2009">
        <v>0</v>
      </c>
      <c r="AM2009">
        <v>0</v>
      </c>
      <c r="AN2009">
        <v>0</v>
      </c>
      <c r="AO2009">
        <v>0</v>
      </c>
      <c r="AQ2009">
        <v>0</v>
      </c>
      <c r="AR2009">
        <v>0</v>
      </c>
      <c r="AT2009">
        <v>0</v>
      </c>
      <c r="AU2009">
        <v>0</v>
      </c>
      <c r="AW2009">
        <v>0</v>
      </c>
      <c r="AX2009">
        <v>0</v>
      </c>
      <c r="AY2009">
        <v>70</v>
      </c>
      <c r="BA2009" t="str">
        <f>T("0000000000000")</f>
        <v>0000000000000</v>
      </c>
      <c r="BC2009" t="str">
        <f>T("9791164890729")</f>
        <v>9791164890729</v>
      </c>
      <c r="BD2009" t="str">
        <f>T("B12")</f>
        <v>B12</v>
      </c>
      <c r="BE2009" t="str">
        <f>T("BL 웹소설 &gt; 현대물")</f>
        <v>BL 웹소설 &gt; 현대물</v>
      </c>
    </row>
    <row r="2010" spans="1:57" x14ac:dyDescent="0.3">
      <c r="A2010">
        <v>1525008428</v>
      </c>
      <c r="B2010">
        <v>1525008512</v>
      </c>
      <c r="C2010" t="str">
        <f>T("무히비(Muhibbi) 96화")</f>
        <v>무히비(Muhibbi) 96화</v>
      </c>
      <c r="D2010" t="str">
        <f>T("96")</f>
        <v>96</v>
      </c>
      <c r="E2010" t="str">
        <f>T("jooki")</f>
        <v>jooki</v>
      </c>
      <c r="H2010" t="str">
        <f>T("블러쉬")</f>
        <v>블러쉬</v>
      </c>
      <c r="I2010" t="str">
        <f>T("무히비(Muhibbi)")</f>
        <v>무히비(Muhibbi)</v>
      </c>
      <c r="J2010">
        <v>100</v>
      </c>
      <c r="K2010">
        <v>100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100</v>
      </c>
      <c r="AH2010">
        <v>1</v>
      </c>
      <c r="AI2010">
        <v>0</v>
      </c>
      <c r="AJ2010">
        <v>0</v>
      </c>
      <c r="AK2010">
        <v>100</v>
      </c>
      <c r="AL2010">
        <v>0</v>
      </c>
      <c r="AM2010">
        <v>0</v>
      </c>
      <c r="AN2010">
        <v>0</v>
      </c>
      <c r="AO2010">
        <v>0</v>
      </c>
      <c r="AQ2010">
        <v>0</v>
      </c>
      <c r="AR2010">
        <v>0</v>
      </c>
      <c r="AT2010">
        <v>0</v>
      </c>
      <c r="AU2010">
        <v>0</v>
      </c>
      <c r="AW2010">
        <v>0</v>
      </c>
      <c r="AX2010">
        <v>0</v>
      </c>
      <c r="AY2010">
        <v>70</v>
      </c>
      <c r="BA2010" t="str">
        <f>T("0000000000000")</f>
        <v>0000000000000</v>
      </c>
      <c r="BC2010" t="str">
        <f>T("9791164896622")</f>
        <v>9791164896622</v>
      </c>
      <c r="BE2010" t="str">
        <f>T("BL 웹소설 &gt; 역사/시대물")</f>
        <v>BL 웹소설 &gt; 역사/시대물</v>
      </c>
    </row>
    <row r="2011" spans="1:57" x14ac:dyDescent="0.3">
      <c r="A2011">
        <v>1525012551</v>
      </c>
      <c r="B2011">
        <v>1525012625</v>
      </c>
      <c r="C2011" t="str">
        <f>T("개정판 | 바보가 만드는 멋진 세상 75화")</f>
        <v>개정판 | 바보가 만드는 멋진 세상 75화</v>
      </c>
      <c r="D2011" t="str">
        <f>T("75")</f>
        <v>75</v>
      </c>
      <c r="E2011" t="str">
        <f>T("백범(白帆)")</f>
        <v>백범(白帆)</v>
      </c>
      <c r="H2011" t="str">
        <f>T("에필로그")</f>
        <v>에필로그</v>
      </c>
      <c r="I2011" t="str">
        <f>T("개정판 | 바보가 만드는 멋진 세상")</f>
        <v>개정판 | 바보가 만드는 멋진 세상</v>
      </c>
      <c r="J2011">
        <v>100</v>
      </c>
      <c r="K2011">
        <v>100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100</v>
      </c>
      <c r="AH2011">
        <v>1</v>
      </c>
      <c r="AI2011">
        <v>0</v>
      </c>
      <c r="AJ2011">
        <v>0</v>
      </c>
      <c r="AK2011">
        <v>100</v>
      </c>
      <c r="AL2011">
        <v>0</v>
      </c>
      <c r="AM2011">
        <v>0</v>
      </c>
      <c r="AN2011">
        <v>0</v>
      </c>
      <c r="AO2011">
        <v>0</v>
      </c>
      <c r="AQ2011">
        <v>0</v>
      </c>
      <c r="AR2011">
        <v>0</v>
      </c>
      <c r="AT2011">
        <v>0</v>
      </c>
      <c r="AU2011">
        <v>0</v>
      </c>
      <c r="AW2011">
        <v>0</v>
      </c>
      <c r="AX2011">
        <v>0</v>
      </c>
      <c r="AY2011">
        <v>70</v>
      </c>
      <c r="BC2011" t="str">
        <f>T("9791166003493")</f>
        <v>9791166003493</v>
      </c>
      <c r="BE2011" t="str">
        <f>T("판타지 웹소설 &gt; 현대 판타지")</f>
        <v>판타지 웹소설 &gt; 현대 판타지</v>
      </c>
    </row>
    <row r="2012" spans="1:57" x14ac:dyDescent="0.3">
      <c r="A2012">
        <v>1525000924</v>
      </c>
      <c r="B2012">
        <v>1525000958</v>
      </c>
      <c r="C2012" t="str">
        <f>T("스피릿 소드 35화")</f>
        <v>스피릿 소드 35화</v>
      </c>
      <c r="D2012" t="str">
        <f>T("35")</f>
        <v>35</v>
      </c>
      <c r="E2012" t="str">
        <f>T("김정률")</f>
        <v>김정률</v>
      </c>
      <c r="H2012" t="str">
        <f>T("스토리위즈")</f>
        <v>스토리위즈</v>
      </c>
      <c r="I2012" t="str">
        <f>T("스피릿 소드")</f>
        <v>스피릿 소드</v>
      </c>
      <c r="J2012">
        <v>100</v>
      </c>
      <c r="K2012">
        <v>100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100</v>
      </c>
      <c r="AH2012">
        <v>1</v>
      </c>
      <c r="AI2012">
        <v>0</v>
      </c>
      <c r="AJ2012">
        <v>0</v>
      </c>
      <c r="AK2012">
        <v>100</v>
      </c>
      <c r="AL2012">
        <v>0</v>
      </c>
      <c r="AM2012">
        <v>0</v>
      </c>
      <c r="AN2012">
        <v>0</v>
      </c>
      <c r="AO2012">
        <v>0</v>
      </c>
      <c r="AQ2012">
        <v>0</v>
      </c>
      <c r="AR2012">
        <v>0</v>
      </c>
      <c r="AT2012">
        <v>0</v>
      </c>
      <c r="AU2012">
        <v>0</v>
      </c>
      <c r="AW2012">
        <v>0</v>
      </c>
      <c r="AX2012">
        <v>0</v>
      </c>
      <c r="AY2012">
        <v>70</v>
      </c>
      <c r="BA2012" t="str">
        <f>T("9791159282713")</f>
        <v>9791159282713</v>
      </c>
      <c r="BC2012" t="str">
        <f>T("9791159282713")</f>
        <v>9791159282713</v>
      </c>
      <c r="BE2012" t="str">
        <f>T("판타지 웹소설 &gt; 정통 판타지")</f>
        <v>판타지 웹소설 &gt; 정통 판타지</v>
      </c>
    </row>
    <row r="2013" spans="1:57" x14ac:dyDescent="0.3">
      <c r="A2013">
        <v>1525013020</v>
      </c>
      <c r="B2013">
        <v>1525013105</v>
      </c>
      <c r="C2013" t="str">
        <f>T("악당의 리턴 86화")</f>
        <v>악당의 리턴 86화</v>
      </c>
      <c r="D2013" t="str">
        <f>T("86")</f>
        <v>86</v>
      </c>
      <c r="E2013" t="str">
        <f>T("백범(白帆)")</f>
        <v>백범(白帆)</v>
      </c>
      <c r="H2013" t="str">
        <f>T("에필로그")</f>
        <v>에필로그</v>
      </c>
      <c r="I2013" t="str">
        <f>T("악당의 리턴")</f>
        <v>악당의 리턴</v>
      </c>
      <c r="J2013">
        <v>100</v>
      </c>
      <c r="K2013">
        <v>100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100</v>
      </c>
      <c r="AH2013">
        <v>1</v>
      </c>
      <c r="AI2013">
        <v>0</v>
      </c>
      <c r="AJ2013">
        <v>0</v>
      </c>
      <c r="AK2013">
        <v>100</v>
      </c>
      <c r="AL2013">
        <v>0</v>
      </c>
      <c r="AM2013">
        <v>0</v>
      </c>
      <c r="AN2013">
        <v>0</v>
      </c>
      <c r="AO2013">
        <v>0</v>
      </c>
      <c r="AQ2013">
        <v>0</v>
      </c>
      <c r="AR2013">
        <v>0</v>
      </c>
      <c r="AT2013">
        <v>0</v>
      </c>
      <c r="AU2013">
        <v>0</v>
      </c>
      <c r="AW2013">
        <v>0</v>
      </c>
      <c r="AX2013">
        <v>0</v>
      </c>
      <c r="AY2013">
        <v>70</v>
      </c>
      <c r="BC2013" t="str">
        <f>T("9791196538927")</f>
        <v>9791196538927</v>
      </c>
      <c r="BE2013" t="str">
        <f>T("판타지 웹소설 &gt; 현대 판타지")</f>
        <v>판타지 웹소설 &gt; 현대 판타지</v>
      </c>
    </row>
    <row r="2014" spans="1:57" x14ac:dyDescent="0.3">
      <c r="A2014">
        <v>1525012551</v>
      </c>
      <c r="B2014">
        <v>1525012736</v>
      </c>
      <c r="C2014" t="str">
        <f>T("개정판 | 바보가 만드는 멋진 세상 186화")</f>
        <v>개정판 | 바보가 만드는 멋진 세상 186화</v>
      </c>
      <c r="D2014" t="str">
        <f>T("186")</f>
        <v>186</v>
      </c>
      <c r="E2014" t="str">
        <f>T("백범(白帆)")</f>
        <v>백범(白帆)</v>
      </c>
      <c r="H2014" t="str">
        <f>T("에필로그")</f>
        <v>에필로그</v>
      </c>
      <c r="I2014" t="str">
        <f>T("개정판 | 바보가 만드는 멋진 세상")</f>
        <v>개정판 | 바보가 만드는 멋진 세상</v>
      </c>
      <c r="J2014">
        <v>100</v>
      </c>
      <c r="K2014">
        <v>100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100</v>
      </c>
      <c r="AH2014">
        <v>1</v>
      </c>
      <c r="AI2014">
        <v>0</v>
      </c>
      <c r="AJ2014">
        <v>0</v>
      </c>
      <c r="AK2014">
        <v>100</v>
      </c>
      <c r="AL2014">
        <v>0</v>
      </c>
      <c r="AM2014">
        <v>0</v>
      </c>
      <c r="AN2014">
        <v>0</v>
      </c>
      <c r="AO2014">
        <v>0</v>
      </c>
      <c r="AQ2014">
        <v>0</v>
      </c>
      <c r="AR2014">
        <v>0</v>
      </c>
      <c r="AT2014">
        <v>0</v>
      </c>
      <c r="AU2014">
        <v>0</v>
      </c>
      <c r="AW2014">
        <v>0</v>
      </c>
      <c r="AX2014">
        <v>0</v>
      </c>
      <c r="AY2014">
        <v>70</v>
      </c>
      <c r="BC2014" t="str">
        <f>T("9791166003493")</f>
        <v>9791166003493</v>
      </c>
      <c r="BE2014" t="str">
        <f>T("판타지 웹소설 &gt; 현대 판타지")</f>
        <v>판타지 웹소설 &gt; 현대 판타지</v>
      </c>
    </row>
    <row r="2015" spans="1:57" x14ac:dyDescent="0.3">
      <c r="A2015">
        <v>1525008545</v>
      </c>
      <c r="B2015">
        <v>1525008549</v>
      </c>
      <c r="C2015" t="str">
        <f>T("소년연애담 23화")</f>
        <v>소년연애담 23화</v>
      </c>
      <c r="D2015" t="str">
        <f>T("23")</f>
        <v>23</v>
      </c>
      <c r="E2015" t="str">
        <f>T("나나코")</f>
        <v>나나코</v>
      </c>
      <c r="H2015" t="str">
        <f>T("블러쉬")</f>
        <v>블러쉬</v>
      </c>
      <c r="I2015" t="str">
        <f>T("소년연애담")</f>
        <v>소년연애담</v>
      </c>
      <c r="J2015">
        <v>100</v>
      </c>
      <c r="K2015">
        <v>100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100</v>
      </c>
      <c r="AH2015">
        <v>1</v>
      </c>
      <c r="AI2015">
        <v>0</v>
      </c>
      <c r="AJ2015">
        <v>0</v>
      </c>
      <c r="AK2015">
        <v>100</v>
      </c>
      <c r="AL2015">
        <v>0</v>
      </c>
      <c r="AM2015">
        <v>0</v>
      </c>
      <c r="AN2015">
        <v>0</v>
      </c>
      <c r="AO2015">
        <v>0</v>
      </c>
      <c r="AQ2015">
        <v>0</v>
      </c>
      <c r="AR2015">
        <v>0</v>
      </c>
      <c r="AT2015">
        <v>0</v>
      </c>
      <c r="AU2015">
        <v>0</v>
      </c>
      <c r="AW2015">
        <v>0</v>
      </c>
      <c r="AX2015">
        <v>0</v>
      </c>
      <c r="AY2015">
        <v>70</v>
      </c>
      <c r="BA2015" t="str">
        <f>T("0000000000000")</f>
        <v>0000000000000</v>
      </c>
      <c r="BC2015" t="str">
        <f>T("9791164890729")</f>
        <v>9791164890729</v>
      </c>
      <c r="BD2015" t="str">
        <f>T("B12")</f>
        <v>B12</v>
      </c>
      <c r="BE2015" t="str">
        <f>T("BL 웹소설 &gt; 현대물")</f>
        <v>BL 웹소설 &gt; 현대물</v>
      </c>
    </row>
    <row r="2016" spans="1:57" x14ac:dyDescent="0.3">
      <c r="A2016">
        <v>1525008428</v>
      </c>
      <c r="B2016">
        <v>1525008501</v>
      </c>
      <c r="C2016" t="str">
        <f>T("무히비(Muhibbi) 86화")</f>
        <v>무히비(Muhibbi) 86화</v>
      </c>
      <c r="D2016" t="str">
        <f>T("86")</f>
        <v>86</v>
      </c>
      <c r="E2016" t="str">
        <f>T("jooki")</f>
        <v>jooki</v>
      </c>
      <c r="H2016" t="str">
        <f>T("블러쉬")</f>
        <v>블러쉬</v>
      </c>
      <c r="I2016" t="str">
        <f>T("무히비(Muhibbi)")</f>
        <v>무히비(Muhibbi)</v>
      </c>
      <c r="J2016">
        <v>100</v>
      </c>
      <c r="K2016">
        <v>100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100</v>
      </c>
      <c r="AH2016">
        <v>1</v>
      </c>
      <c r="AI2016">
        <v>0</v>
      </c>
      <c r="AJ2016">
        <v>0</v>
      </c>
      <c r="AK2016">
        <v>100</v>
      </c>
      <c r="AL2016">
        <v>0</v>
      </c>
      <c r="AM2016">
        <v>0</v>
      </c>
      <c r="AN2016">
        <v>0</v>
      </c>
      <c r="AO2016">
        <v>0</v>
      </c>
      <c r="AQ2016">
        <v>0</v>
      </c>
      <c r="AR2016">
        <v>0</v>
      </c>
      <c r="AT2016">
        <v>0</v>
      </c>
      <c r="AU2016">
        <v>0</v>
      </c>
      <c r="AW2016">
        <v>0</v>
      </c>
      <c r="AX2016">
        <v>0</v>
      </c>
      <c r="AY2016">
        <v>70</v>
      </c>
      <c r="BA2016" t="str">
        <f>T("0000000000000")</f>
        <v>0000000000000</v>
      </c>
      <c r="BC2016" t="str">
        <f>T("9791164896622")</f>
        <v>9791164896622</v>
      </c>
      <c r="BE2016" t="str">
        <f>T("BL 웹소설 &gt; 역사/시대물")</f>
        <v>BL 웹소설 &gt; 역사/시대물</v>
      </c>
    </row>
    <row r="2017" spans="1:57" x14ac:dyDescent="0.3">
      <c r="A2017">
        <v>1525012551</v>
      </c>
      <c r="B2017">
        <v>1525012614</v>
      </c>
      <c r="C2017" t="str">
        <f>T("개정판 | 바보가 만드는 멋진 세상 64화")</f>
        <v>개정판 | 바보가 만드는 멋진 세상 64화</v>
      </c>
      <c r="D2017" t="str">
        <f>T("64")</f>
        <v>64</v>
      </c>
      <c r="E2017" t="str">
        <f>T("백범(白帆)")</f>
        <v>백범(白帆)</v>
      </c>
      <c r="H2017" t="str">
        <f>T("에필로그")</f>
        <v>에필로그</v>
      </c>
      <c r="I2017" t="str">
        <f>T("개정판 | 바보가 만드는 멋진 세상")</f>
        <v>개정판 | 바보가 만드는 멋진 세상</v>
      </c>
      <c r="J2017">
        <v>100</v>
      </c>
      <c r="K2017">
        <v>100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100</v>
      </c>
      <c r="AH2017">
        <v>1</v>
      </c>
      <c r="AI2017">
        <v>0</v>
      </c>
      <c r="AJ2017">
        <v>0</v>
      </c>
      <c r="AK2017">
        <v>100</v>
      </c>
      <c r="AL2017">
        <v>0</v>
      </c>
      <c r="AM2017">
        <v>0</v>
      </c>
      <c r="AN2017">
        <v>0</v>
      </c>
      <c r="AO2017">
        <v>0</v>
      </c>
      <c r="AQ2017">
        <v>0</v>
      </c>
      <c r="AR2017">
        <v>0</v>
      </c>
      <c r="AT2017">
        <v>0</v>
      </c>
      <c r="AU2017">
        <v>0</v>
      </c>
      <c r="AW2017">
        <v>0</v>
      </c>
      <c r="AX2017">
        <v>0</v>
      </c>
      <c r="AY2017">
        <v>70</v>
      </c>
      <c r="BC2017" t="str">
        <f>T("9791166003493")</f>
        <v>9791166003493</v>
      </c>
      <c r="BE2017" t="str">
        <f>T("판타지 웹소설 &gt; 현대 판타지")</f>
        <v>판타지 웹소설 &gt; 현대 판타지</v>
      </c>
    </row>
    <row r="2018" spans="1:57" x14ac:dyDescent="0.3">
      <c r="A2018">
        <v>1525004799</v>
      </c>
      <c r="B2018">
        <v>1525004964</v>
      </c>
      <c r="C2018" t="str">
        <f>T("검산도해 166화")</f>
        <v>검산도해 166화</v>
      </c>
      <c r="D2018" t="str">
        <f>T("166")</f>
        <v>166</v>
      </c>
      <c r="E2018" t="str">
        <f>T("권용찬")</f>
        <v>권용찬</v>
      </c>
      <c r="H2018" t="str">
        <f>T("스토리위즈")</f>
        <v>스토리위즈</v>
      </c>
      <c r="I2018" t="str">
        <f>T("검산도해")</f>
        <v>검산도해</v>
      </c>
      <c r="J2018">
        <v>100</v>
      </c>
      <c r="K2018">
        <v>100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100</v>
      </c>
      <c r="AH2018">
        <v>1</v>
      </c>
      <c r="AI2018">
        <v>0</v>
      </c>
      <c r="AJ2018">
        <v>0</v>
      </c>
      <c r="AK2018">
        <v>0</v>
      </c>
      <c r="AL2018">
        <v>0</v>
      </c>
      <c r="AM2018">
        <v>120</v>
      </c>
      <c r="AN2018">
        <v>-12</v>
      </c>
      <c r="AO2018">
        <v>0</v>
      </c>
      <c r="AQ2018">
        <v>0</v>
      </c>
      <c r="AR2018">
        <v>0</v>
      </c>
      <c r="AS2018">
        <v>120</v>
      </c>
      <c r="AT2018">
        <v>-12</v>
      </c>
      <c r="AU2018">
        <v>0</v>
      </c>
      <c r="AW2018">
        <v>0</v>
      </c>
      <c r="AX2018">
        <v>0</v>
      </c>
      <c r="AY2018">
        <v>75.599999999999994</v>
      </c>
      <c r="BC2018" t="str">
        <f>T("9791159285936")</f>
        <v>9791159285936</v>
      </c>
      <c r="BE2018" t="str">
        <f>T("판타지 웹소설 &gt; 무협 소설")</f>
        <v>판타지 웹소설 &gt; 무협 소설</v>
      </c>
    </row>
    <row r="2019" spans="1:57" x14ac:dyDescent="0.3">
      <c r="A2019">
        <v>1525004030</v>
      </c>
      <c r="B2019">
        <v>1525007053</v>
      </c>
      <c r="C2019" t="str">
        <f>T("회귀의 전설 2부 937화")</f>
        <v>회귀의 전설 2부 937화</v>
      </c>
      <c r="D2019" t="str">
        <f>T("937")</f>
        <v>937</v>
      </c>
      <c r="E2019" t="str">
        <f>T("김광수")</f>
        <v>김광수</v>
      </c>
      <c r="H2019" t="str">
        <f>T("스토리위즈")</f>
        <v>스토리위즈</v>
      </c>
      <c r="I2019" t="str">
        <f>T("회귀의 전설")</f>
        <v>회귀의 전설</v>
      </c>
      <c r="J2019">
        <v>100</v>
      </c>
      <c r="K2019">
        <v>100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100</v>
      </c>
      <c r="AH2019">
        <v>1</v>
      </c>
      <c r="AI2019">
        <v>0</v>
      </c>
      <c r="AJ2019">
        <v>0</v>
      </c>
      <c r="AK2019">
        <v>100</v>
      </c>
      <c r="AL2019">
        <v>0</v>
      </c>
      <c r="AM2019">
        <v>0</v>
      </c>
      <c r="AN2019">
        <v>0</v>
      </c>
      <c r="AO2019">
        <v>0</v>
      </c>
      <c r="AQ2019">
        <v>0</v>
      </c>
      <c r="AR2019">
        <v>0</v>
      </c>
      <c r="AT2019">
        <v>0</v>
      </c>
      <c r="AU2019">
        <v>0</v>
      </c>
      <c r="AW2019">
        <v>0</v>
      </c>
      <c r="AX2019">
        <v>0</v>
      </c>
      <c r="AY2019">
        <v>70</v>
      </c>
      <c r="BC2019" t="str">
        <f>T("9791191102086")</f>
        <v>9791191102086</v>
      </c>
      <c r="BE2019" t="str">
        <f>T("판타지 웹소설 &gt; 현대 판타지")</f>
        <v>판타지 웹소설 &gt; 현대 판타지</v>
      </c>
    </row>
    <row r="2020" spans="1:57" x14ac:dyDescent="0.3">
      <c r="A2020">
        <v>1525004030</v>
      </c>
      <c r="B2020">
        <v>1525004509</v>
      </c>
      <c r="C2020" t="str">
        <f>T("회귀의 전설 498화")</f>
        <v>회귀의 전설 498화</v>
      </c>
      <c r="D2020" t="str">
        <f>T("498")</f>
        <v>498</v>
      </c>
      <c r="E2020" t="str">
        <f>T("김광수")</f>
        <v>김광수</v>
      </c>
      <c r="H2020" t="str">
        <f>T("스토리위즈")</f>
        <v>스토리위즈</v>
      </c>
      <c r="I2020" t="str">
        <f>T("회귀의 전설")</f>
        <v>회귀의 전설</v>
      </c>
      <c r="J2020">
        <v>100</v>
      </c>
      <c r="K2020">
        <v>100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100</v>
      </c>
      <c r="AH2020">
        <v>1</v>
      </c>
      <c r="AI2020">
        <v>0</v>
      </c>
      <c r="AJ2020">
        <v>0</v>
      </c>
      <c r="AK2020">
        <v>100</v>
      </c>
      <c r="AL2020">
        <v>0</v>
      </c>
      <c r="AM2020">
        <v>0</v>
      </c>
      <c r="AN2020">
        <v>0</v>
      </c>
      <c r="AO2020">
        <v>0</v>
      </c>
      <c r="AQ2020">
        <v>0</v>
      </c>
      <c r="AR2020">
        <v>0</v>
      </c>
      <c r="AT2020">
        <v>0</v>
      </c>
      <c r="AU2020">
        <v>0</v>
      </c>
      <c r="AW2020">
        <v>0</v>
      </c>
      <c r="AX2020">
        <v>0</v>
      </c>
      <c r="AY2020">
        <v>70</v>
      </c>
      <c r="BC2020" t="str">
        <f>T("9788997946006")</f>
        <v>9788997946006</v>
      </c>
      <c r="BE2020" t="str">
        <f>T("판타지 웹소설 &gt; 현대 판타지")</f>
        <v>판타지 웹소설 &gt; 현대 판타지</v>
      </c>
    </row>
    <row r="2021" spans="1:57" x14ac:dyDescent="0.3">
      <c r="A2021">
        <v>1525013020</v>
      </c>
      <c r="B2021">
        <v>1525013094</v>
      </c>
      <c r="C2021" t="str">
        <f>T("악당의 리턴 75화")</f>
        <v>악당의 리턴 75화</v>
      </c>
      <c r="D2021" t="str">
        <f>T("75")</f>
        <v>75</v>
      </c>
      <c r="E2021" t="str">
        <f>T("백범(白帆)")</f>
        <v>백범(白帆)</v>
      </c>
      <c r="H2021" t="str">
        <f>T("에필로그")</f>
        <v>에필로그</v>
      </c>
      <c r="I2021" t="str">
        <f>T("악당의 리턴")</f>
        <v>악당의 리턴</v>
      </c>
      <c r="J2021">
        <v>100</v>
      </c>
      <c r="K2021">
        <v>100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100</v>
      </c>
      <c r="AH2021">
        <v>1</v>
      </c>
      <c r="AI2021">
        <v>0</v>
      </c>
      <c r="AJ2021">
        <v>0</v>
      </c>
      <c r="AK2021">
        <v>100</v>
      </c>
      <c r="AL2021">
        <v>0</v>
      </c>
      <c r="AM2021">
        <v>0</v>
      </c>
      <c r="AN2021">
        <v>0</v>
      </c>
      <c r="AO2021">
        <v>0</v>
      </c>
      <c r="AQ2021">
        <v>0</v>
      </c>
      <c r="AR2021">
        <v>0</v>
      </c>
      <c r="AT2021">
        <v>0</v>
      </c>
      <c r="AU2021">
        <v>0</v>
      </c>
      <c r="AW2021">
        <v>0</v>
      </c>
      <c r="AX2021">
        <v>0</v>
      </c>
      <c r="AY2021">
        <v>70</v>
      </c>
      <c r="BC2021" t="str">
        <f>T("9791196538927")</f>
        <v>9791196538927</v>
      </c>
      <c r="BE2021" t="str">
        <f>T("판타지 웹소설 &gt; 현대 판타지")</f>
        <v>판타지 웹소설 &gt; 현대 판타지</v>
      </c>
    </row>
    <row r="2022" spans="1:57" x14ac:dyDescent="0.3">
      <c r="A2022">
        <v>1525012551</v>
      </c>
      <c r="B2022">
        <v>1525012655</v>
      </c>
      <c r="C2022" t="str">
        <f>T("개정판 | 바보가 만드는 멋진 세상 105화")</f>
        <v>개정판 | 바보가 만드는 멋진 세상 105화</v>
      </c>
      <c r="D2022" t="str">
        <f>T("105")</f>
        <v>105</v>
      </c>
      <c r="E2022" t="str">
        <f>T("백범(白帆)")</f>
        <v>백범(白帆)</v>
      </c>
      <c r="H2022" t="str">
        <f>T("에필로그")</f>
        <v>에필로그</v>
      </c>
      <c r="I2022" t="str">
        <f>T("개정판 | 바보가 만드는 멋진 세상")</f>
        <v>개정판 | 바보가 만드는 멋진 세상</v>
      </c>
      <c r="J2022">
        <v>100</v>
      </c>
      <c r="K2022">
        <v>100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100</v>
      </c>
      <c r="AH2022">
        <v>1</v>
      </c>
      <c r="AI2022">
        <v>0</v>
      </c>
      <c r="AJ2022">
        <v>0</v>
      </c>
      <c r="AK2022">
        <v>100</v>
      </c>
      <c r="AL2022">
        <v>0</v>
      </c>
      <c r="AM2022">
        <v>0</v>
      </c>
      <c r="AN2022">
        <v>0</v>
      </c>
      <c r="AO2022">
        <v>0</v>
      </c>
      <c r="AQ2022">
        <v>0</v>
      </c>
      <c r="AR2022">
        <v>0</v>
      </c>
      <c r="AT2022">
        <v>0</v>
      </c>
      <c r="AU2022">
        <v>0</v>
      </c>
      <c r="AW2022">
        <v>0</v>
      </c>
      <c r="AX2022">
        <v>0</v>
      </c>
      <c r="AY2022">
        <v>70</v>
      </c>
      <c r="BC2022" t="str">
        <f>T("9791166003493")</f>
        <v>9791166003493</v>
      </c>
      <c r="BE2022" t="str">
        <f>T("판타지 웹소설 &gt; 현대 판타지")</f>
        <v>판타지 웹소설 &gt; 현대 판타지</v>
      </c>
    </row>
    <row r="2023" spans="1:57" x14ac:dyDescent="0.3">
      <c r="A2023">
        <v>1525012551</v>
      </c>
      <c r="B2023">
        <v>1525012753</v>
      </c>
      <c r="C2023" t="str">
        <f>T("개정판 | 바보가 만드는 멋진 세상 203화")</f>
        <v>개정판 | 바보가 만드는 멋진 세상 203화</v>
      </c>
      <c r="D2023" t="str">
        <f>T("203")</f>
        <v>203</v>
      </c>
      <c r="E2023" t="str">
        <f>T("백범(白帆)")</f>
        <v>백범(白帆)</v>
      </c>
      <c r="H2023" t="str">
        <f>T("에필로그")</f>
        <v>에필로그</v>
      </c>
      <c r="I2023" t="str">
        <f>T("개정판 | 바보가 만드는 멋진 세상")</f>
        <v>개정판 | 바보가 만드는 멋진 세상</v>
      </c>
      <c r="J2023">
        <v>100</v>
      </c>
      <c r="K2023">
        <v>100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100</v>
      </c>
      <c r="AH2023">
        <v>1</v>
      </c>
      <c r="AI2023">
        <v>0</v>
      </c>
      <c r="AJ2023">
        <v>0</v>
      </c>
      <c r="AK2023">
        <v>100</v>
      </c>
      <c r="AL2023">
        <v>0</v>
      </c>
      <c r="AM2023">
        <v>0</v>
      </c>
      <c r="AN2023">
        <v>0</v>
      </c>
      <c r="AO2023">
        <v>0</v>
      </c>
      <c r="AQ2023">
        <v>0</v>
      </c>
      <c r="AR2023">
        <v>0</v>
      </c>
      <c r="AT2023">
        <v>0</v>
      </c>
      <c r="AU2023">
        <v>0</v>
      </c>
      <c r="AW2023">
        <v>0</v>
      </c>
      <c r="AX2023">
        <v>0</v>
      </c>
      <c r="AY2023">
        <v>70</v>
      </c>
      <c r="BC2023" t="str">
        <f>T("9791166003493")</f>
        <v>9791166003493</v>
      </c>
      <c r="BE2023" t="str">
        <f>T("판타지 웹소설 &gt; 현대 판타지")</f>
        <v>판타지 웹소설 &gt; 현대 판타지</v>
      </c>
    </row>
    <row r="2024" spans="1:57" x14ac:dyDescent="0.3">
      <c r="A2024">
        <v>1525004799</v>
      </c>
      <c r="B2024">
        <v>1525004826</v>
      </c>
      <c r="C2024" t="str">
        <f>T("검산도해 28화")</f>
        <v>검산도해 28화</v>
      </c>
      <c r="D2024" t="str">
        <f>T("28")</f>
        <v>28</v>
      </c>
      <c r="E2024" t="str">
        <f>T("권용찬")</f>
        <v>권용찬</v>
      </c>
      <c r="H2024" t="str">
        <f t="shared" ref="H2024:H2029" si="184">T("스토리위즈")</f>
        <v>스토리위즈</v>
      </c>
      <c r="I2024" t="str">
        <f>T("검산도해")</f>
        <v>검산도해</v>
      </c>
      <c r="J2024">
        <v>100</v>
      </c>
      <c r="K2024">
        <v>100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100</v>
      </c>
      <c r="AH2024">
        <v>1</v>
      </c>
      <c r="AI2024">
        <v>0</v>
      </c>
      <c r="AJ2024">
        <v>0</v>
      </c>
      <c r="AK2024">
        <v>0</v>
      </c>
      <c r="AL2024">
        <v>0</v>
      </c>
      <c r="AM2024">
        <v>120</v>
      </c>
      <c r="AN2024">
        <v>-12</v>
      </c>
      <c r="AO2024">
        <v>0</v>
      </c>
      <c r="AQ2024">
        <v>0</v>
      </c>
      <c r="AR2024">
        <v>0</v>
      </c>
      <c r="AS2024">
        <v>120</v>
      </c>
      <c r="AT2024">
        <v>-12</v>
      </c>
      <c r="AU2024">
        <v>0</v>
      </c>
      <c r="AW2024">
        <v>0</v>
      </c>
      <c r="AX2024">
        <v>0</v>
      </c>
      <c r="AY2024">
        <v>75.599999999999994</v>
      </c>
      <c r="BC2024" t="str">
        <f>T("9791159285936")</f>
        <v>9791159285936</v>
      </c>
      <c r="BE2024" t="str">
        <f>T("판타지 웹소설 &gt; 무협 소설")</f>
        <v>판타지 웹소설 &gt; 무협 소설</v>
      </c>
    </row>
    <row r="2025" spans="1:57" x14ac:dyDescent="0.3">
      <c r="A2025">
        <v>1525004799</v>
      </c>
      <c r="B2025">
        <v>1525004883</v>
      </c>
      <c r="C2025" t="str">
        <f>T("검산도해 85화")</f>
        <v>검산도해 85화</v>
      </c>
      <c r="D2025" t="str">
        <f>T("85")</f>
        <v>85</v>
      </c>
      <c r="E2025" t="str">
        <f>T("권용찬")</f>
        <v>권용찬</v>
      </c>
      <c r="H2025" t="str">
        <f t="shared" si="184"/>
        <v>스토리위즈</v>
      </c>
      <c r="I2025" t="str">
        <f>T("검산도해")</f>
        <v>검산도해</v>
      </c>
      <c r="J2025">
        <v>100</v>
      </c>
      <c r="K2025">
        <v>100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100</v>
      </c>
      <c r="AH2025">
        <v>1</v>
      </c>
      <c r="AI2025">
        <v>0</v>
      </c>
      <c r="AJ2025">
        <v>0</v>
      </c>
      <c r="AK2025">
        <v>0</v>
      </c>
      <c r="AL2025">
        <v>0</v>
      </c>
      <c r="AM2025">
        <v>120</v>
      </c>
      <c r="AN2025">
        <v>-12</v>
      </c>
      <c r="AO2025">
        <v>0</v>
      </c>
      <c r="AQ2025">
        <v>0</v>
      </c>
      <c r="AR2025">
        <v>0</v>
      </c>
      <c r="AS2025">
        <v>120</v>
      </c>
      <c r="AT2025">
        <v>-12</v>
      </c>
      <c r="AU2025">
        <v>0</v>
      </c>
      <c r="AW2025">
        <v>0</v>
      </c>
      <c r="AX2025">
        <v>0</v>
      </c>
      <c r="AY2025">
        <v>75.599999999999994</v>
      </c>
      <c r="BC2025" t="str">
        <f>T("9791159285936")</f>
        <v>9791159285936</v>
      </c>
      <c r="BE2025" t="str">
        <f>T("판타지 웹소설 &gt; 무협 소설")</f>
        <v>판타지 웹소설 &gt; 무협 소설</v>
      </c>
    </row>
    <row r="2026" spans="1:57" x14ac:dyDescent="0.3">
      <c r="A2026">
        <v>1525000924</v>
      </c>
      <c r="B2026">
        <v>1525000979</v>
      </c>
      <c r="C2026" t="str">
        <f>T("스피릿 소드 56화")</f>
        <v>스피릿 소드 56화</v>
      </c>
      <c r="D2026" t="str">
        <f>T("56")</f>
        <v>56</v>
      </c>
      <c r="E2026" t="str">
        <f>T("김정률")</f>
        <v>김정률</v>
      </c>
      <c r="H2026" t="str">
        <f t="shared" si="184"/>
        <v>스토리위즈</v>
      </c>
      <c r="I2026" t="str">
        <f>T("스피릿 소드")</f>
        <v>스피릿 소드</v>
      </c>
      <c r="J2026">
        <v>100</v>
      </c>
      <c r="K2026">
        <v>100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100</v>
      </c>
      <c r="AH2026">
        <v>1</v>
      </c>
      <c r="AI2026">
        <v>0</v>
      </c>
      <c r="AJ2026">
        <v>0</v>
      </c>
      <c r="AK2026">
        <v>100</v>
      </c>
      <c r="AL2026">
        <v>0</v>
      </c>
      <c r="AM2026">
        <v>0</v>
      </c>
      <c r="AN2026">
        <v>0</v>
      </c>
      <c r="AO2026">
        <v>0</v>
      </c>
      <c r="AQ2026">
        <v>0</v>
      </c>
      <c r="AR2026">
        <v>0</v>
      </c>
      <c r="AT2026">
        <v>0</v>
      </c>
      <c r="AU2026">
        <v>0</v>
      </c>
      <c r="AW2026">
        <v>0</v>
      </c>
      <c r="AX2026">
        <v>0</v>
      </c>
      <c r="AY2026">
        <v>70</v>
      </c>
      <c r="BA2026" t="str">
        <f>T("9791159282713")</f>
        <v>9791159282713</v>
      </c>
      <c r="BC2026" t="str">
        <f>T("9791159282713")</f>
        <v>9791159282713</v>
      </c>
      <c r="BE2026" t="str">
        <f>T("판타지 웹소설 &gt; 정통 판타지")</f>
        <v>판타지 웹소설 &gt; 정통 판타지</v>
      </c>
    </row>
    <row r="2027" spans="1:57" x14ac:dyDescent="0.3">
      <c r="A2027">
        <v>1525004030</v>
      </c>
      <c r="B2027">
        <v>1525007070</v>
      </c>
      <c r="C2027" t="str">
        <f>T("회귀의 전설 2부 954화")</f>
        <v>회귀의 전설 2부 954화</v>
      </c>
      <c r="D2027" t="str">
        <f>T("954")</f>
        <v>954</v>
      </c>
      <c r="E2027" t="str">
        <f>T("김광수")</f>
        <v>김광수</v>
      </c>
      <c r="H2027" t="str">
        <f t="shared" si="184"/>
        <v>스토리위즈</v>
      </c>
      <c r="I2027" t="str">
        <f>T("회귀의 전설")</f>
        <v>회귀의 전설</v>
      </c>
      <c r="J2027">
        <v>100</v>
      </c>
      <c r="K2027">
        <v>100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100</v>
      </c>
      <c r="AH2027">
        <v>1</v>
      </c>
      <c r="AI2027">
        <v>0</v>
      </c>
      <c r="AJ2027">
        <v>0</v>
      </c>
      <c r="AK2027">
        <v>100</v>
      </c>
      <c r="AL2027">
        <v>0</v>
      </c>
      <c r="AM2027">
        <v>0</v>
      </c>
      <c r="AN2027">
        <v>0</v>
      </c>
      <c r="AO2027">
        <v>0</v>
      </c>
      <c r="AQ2027">
        <v>0</v>
      </c>
      <c r="AR2027">
        <v>0</v>
      </c>
      <c r="AT2027">
        <v>0</v>
      </c>
      <c r="AU2027">
        <v>0</v>
      </c>
      <c r="AW2027">
        <v>0</v>
      </c>
      <c r="AX2027">
        <v>0</v>
      </c>
      <c r="AY2027">
        <v>70</v>
      </c>
      <c r="BC2027" t="str">
        <f>T("9791191102086")</f>
        <v>9791191102086</v>
      </c>
      <c r="BE2027" t="str">
        <f>T("판타지 웹소설 &gt; 현대 판타지")</f>
        <v>판타지 웹소설 &gt; 현대 판타지</v>
      </c>
    </row>
    <row r="2028" spans="1:57" x14ac:dyDescent="0.3">
      <c r="A2028">
        <v>1525004030</v>
      </c>
      <c r="B2028">
        <v>1525004541</v>
      </c>
      <c r="C2028" t="str">
        <f>T("회귀의 전설 518화")</f>
        <v>회귀의 전설 518화</v>
      </c>
      <c r="D2028" t="str">
        <f>T("518")</f>
        <v>518</v>
      </c>
      <c r="E2028" t="str">
        <f>T("김광수")</f>
        <v>김광수</v>
      </c>
      <c r="H2028" t="str">
        <f t="shared" si="184"/>
        <v>스토리위즈</v>
      </c>
      <c r="I2028" t="str">
        <f>T("회귀의 전설")</f>
        <v>회귀의 전설</v>
      </c>
      <c r="J2028">
        <v>100</v>
      </c>
      <c r="K2028">
        <v>100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100</v>
      </c>
      <c r="AH2028">
        <v>1</v>
      </c>
      <c r="AI2028">
        <v>0</v>
      </c>
      <c r="AJ2028">
        <v>0</v>
      </c>
      <c r="AK2028">
        <v>100</v>
      </c>
      <c r="AL2028">
        <v>0</v>
      </c>
      <c r="AM2028">
        <v>0</v>
      </c>
      <c r="AN2028">
        <v>0</v>
      </c>
      <c r="AO2028">
        <v>0</v>
      </c>
      <c r="AQ2028">
        <v>0</v>
      </c>
      <c r="AR2028">
        <v>0</v>
      </c>
      <c r="AT2028">
        <v>0</v>
      </c>
      <c r="AU2028">
        <v>0</v>
      </c>
      <c r="AW2028">
        <v>0</v>
      </c>
      <c r="AX2028">
        <v>0</v>
      </c>
      <c r="AY2028">
        <v>70</v>
      </c>
      <c r="BC2028" t="str">
        <f>T("9788997946006")</f>
        <v>9788997946006</v>
      </c>
      <c r="BE2028" t="str">
        <f>T("판타지 웹소설 &gt; 현대 판타지")</f>
        <v>판타지 웹소설 &gt; 현대 판타지</v>
      </c>
    </row>
    <row r="2029" spans="1:57" x14ac:dyDescent="0.3">
      <c r="A2029">
        <v>1525002864</v>
      </c>
      <c r="B2029">
        <v>1525002893</v>
      </c>
      <c r="C2029" t="str">
        <f>T("소드마스터의 환생 30화")</f>
        <v>소드마스터의 환생 30화</v>
      </c>
      <c r="D2029" t="str">
        <f>T("30")</f>
        <v>30</v>
      </c>
      <c r="E2029" t="str">
        <f>T("파란영")</f>
        <v>파란영</v>
      </c>
      <c r="H2029" t="str">
        <f t="shared" si="184"/>
        <v>스토리위즈</v>
      </c>
      <c r="I2029" t="str">
        <f>T("소드마스터의 환생")</f>
        <v>소드마스터의 환생</v>
      </c>
      <c r="J2029">
        <v>100</v>
      </c>
      <c r="K2029">
        <v>100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100</v>
      </c>
      <c r="AH2029">
        <v>1</v>
      </c>
      <c r="AI2029">
        <v>0</v>
      </c>
      <c r="AJ2029">
        <v>0</v>
      </c>
      <c r="AK2029">
        <v>100</v>
      </c>
      <c r="AL2029">
        <v>0</v>
      </c>
      <c r="AM2029">
        <v>0</v>
      </c>
      <c r="AN2029">
        <v>0</v>
      </c>
      <c r="AO2029">
        <v>0</v>
      </c>
      <c r="AQ2029">
        <v>0</v>
      </c>
      <c r="AR2029">
        <v>0</v>
      </c>
      <c r="AT2029">
        <v>0</v>
      </c>
      <c r="AU2029">
        <v>0</v>
      </c>
      <c r="AW2029">
        <v>0</v>
      </c>
      <c r="AX2029">
        <v>0</v>
      </c>
      <c r="AY2029">
        <v>70</v>
      </c>
      <c r="BC2029" t="str">
        <f>T("9791159287527")</f>
        <v>9791159287527</v>
      </c>
      <c r="BE2029" t="str">
        <f>T("판타지 웹소설 &gt; 정통 판타지")</f>
        <v>판타지 웹소설 &gt; 정통 판타지</v>
      </c>
    </row>
    <row r="2030" spans="1:57" x14ac:dyDescent="0.3">
      <c r="A2030">
        <v>1525013020</v>
      </c>
      <c r="B2030">
        <v>1525013111</v>
      </c>
      <c r="C2030" t="str">
        <f>T("악당의 리턴 92화")</f>
        <v>악당의 리턴 92화</v>
      </c>
      <c r="D2030" t="str">
        <f>T("92")</f>
        <v>92</v>
      </c>
      <c r="E2030" t="str">
        <f>T("백범(白帆)")</f>
        <v>백범(白帆)</v>
      </c>
      <c r="H2030" t="str">
        <f>T("에필로그")</f>
        <v>에필로그</v>
      </c>
      <c r="I2030" t="str">
        <f>T("악당의 리턴")</f>
        <v>악당의 리턴</v>
      </c>
      <c r="J2030">
        <v>100</v>
      </c>
      <c r="K2030">
        <v>100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100</v>
      </c>
      <c r="AH2030">
        <v>1</v>
      </c>
      <c r="AI2030">
        <v>0</v>
      </c>
      <c r="AJ2030">
        <v>0</v>
      </c>
      <c r="AK2030">
        <v>100</v>
      </c>
      <c r="AL2030">
        <v>0</v>
      </c>
      <c r="AM2030">
        <v>0</v>
      </c>
      <c r="AN2030">
        <v>0</v>
      </c>
      <c r="AO2030">
        <v>0</v>
      </c>
      <c r="AQ2030">
        <v>0</v>
      </c>
      <c r="AR2030">
        <v>0</v>
      </c>
      <c r="AT2030">
        <v>0</v>
      </c>
      <c r="AU2030">
        <v>0</v>
      </c>
      <c r="AW2030">
        <v>0</v>
      </c>
      <c r="AX2030">
        <v>0</v>
      </c>
      <c r="AY2030">
        <v>70</v>
      </c>
      <c r="BC2030" t="str">
        <f>T("9791196538927")</f>
        <v>9791196538927</v>
      </c>
      <c r="BE2030" t="str">
        <f>T("판타지 웹소설 &gt; 현대 판타지")</f>
        <v>판타지 웹소설 &gt; 현대 판타지</v>
      </c>
    </row>
    <row r="2031" spans="1:57" x14ac:dyDescent="0.3">
      <c r="A2031">
        <v>1525008717</v>
      </c>
      <c r="B2031">
        <v>1525008695</v>
      </c>
      <c r="C2031" t="str">
        <f>T("음양상열지사 108화")</f>
        <v>음양상열지사 108화</v>
      </c>
      <c r="D2031" t="str">
        <f>T("108")</f>
        <v>108</v>
      </c>
      <c r="E2031" t="str">
        <f>T("이염")</f>
        <v>이염</v>
      </c>
      <c r="H2031" t="str">
        <f>T("블러쉬")</f>
        <v>블러쉬</v>
      </c>
      <c r="I2031" t="str">
        <f>T("음양상열지사")</f>
        <v>음양상열지사</v>
      </c>
      <c r="J2031">
        <v>100</v>
      </c>
      <c r="K2031">
        <v>100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100</v>
      </c>
      <c r="AH2031">
        <v>1</v>
      </c>
      <c r="AI2031">
        <v>0</v>
      </c>
      <c r="AJ2031">
        <v>0</v>
      </c>
      <c r="AK2031">
        <v>100</v>
      </c>
      <c r="AL2031">
        <v>0</v>
      </c>
      <c r="AM2031">
        <v>0</v>
      </c>
      <c r="AN2031">
        <v>0</v>
      </c>
      <c r="AO2031">
        <v>0</v>
      </c>
      <c r="AQ2031">
        <v>0</v>
      </c>
      <c r="AR2031">
        <v>0</v>
      </c>
      <c r="AT2031">
        <v>0</v>
      </c>
      <c r="AU2031">
        <v>0</v>
      </c>
      <c r="AW2031">
        <v>0</v>
      </c>
      <c r="AX2031">
        <v>0</v>
      </c>
      <c r="AY2031">
        <v>70</v>
      </c>
      <c r="BA2031" t="str">
        <f>T("0000000000000")</f>
        <v>0000000000000</v>
      </c>
      <c r="BC2031" t="str">
        <f>T("9791164896639")</f>
        <v>9791164896639</v>
      </c>
      <c r="BE2031" t="str">
        <f>T("BL 웹소설 &gt; 역사/시대물")</f>
        <v>BL 웹소설 &gt; 역사/시대물</v>
      </c>
    </row>
    <row r="2032" spans="1:57" x14ac:dyDescent="0.3">
      <c r="A2032">
        <v>1525012551</v>
      </c>
      <c r="B2032">
        <v>1525012687</v>
      </c>
      <c r="C2032" t="str">
        <f>T("개정판 | 바보가 만드는 멋진 세상 137화")</f>
        <v>개정판 | 바보가 만드는 멋진 세상 137화</v>
      </c>
      <c r="D2032" t="str">
        <f>T("137")</f>
        <v>137</v>
      </c>
      <c r="E2032" t="str">
        <f>T("백범(白帆)")</f>
        <v>백범(白帆)</v>
      </c>
      <c r="H2032" t="str">
        <f>T("에필로그")</f>
        <v>에필로그</v>
      </c>
      <c r="I2032" t="str">
        <f>T("개정판 | 바보가 만드는 멋진 세상")</f>
        <v>개정판 | 바보가 만드는 멋진 세상</v>
      </c>
      <c r="J2032">
        <v>100</v>
      </c>
      <c r="K2032">
        <v>100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100</v>
      </c>
      <c r="AH2032">
        <v>1</v>
      </c>
      <c r="AI2032">
        <v>0</v>
      </c>
      <c r="AJ2032">
        <v>0</v>
      </c>
      <c r="AK2032">
        <v>100</v>
      </c>
      <c r="AL2032">
        <v>0</v>
      </c>
      <c r="AM2032">
        <v>0</v>
      </c>
      <c r="AN2032">
        <v>0</v>
      </c>
      <c r="AO2032">
        <v>0</v>
      </c>
      <c r="AQ2032">
        <v>0</v>
      </c>
      <c r="AR2032">
        <v>0</v>
      </c>
      <c r="AT2032">
        <v>0</v>
      </c>
      <c r="AU2032">
        <v>0</v>
      </c>
      <c r="AW2032">
        <v>0</v>
      </c>
      <c r="AX2032">
        <v>0</v>
      </c>
      <c r="AY2032">
        <v>70</v>
      </c>
      <c r="BC2032" t="str">
        <f>T("9791166003493")</f>
        <v>9791166003493</v>
      </c>
      <c r="BE2032" t="str">
        <f>T("판타지 웹소설 &gt; 현대 판타지")</f>
        <v>판타지 웹소설 &gt; 현대 판타지</v>
      </c>
    </row>
    <row r="2033" spans="1:57" x14ac:dyDescent="0.3">
      <c r="A2033">
        <v>1525004799</v>
      </c>
      <c r="B2033">
        <v>1525004858</v>
      </c>
      <c r="C2033" t="str">
        <f>T("검산도해 60화")</f>
        <v>검산도해 60화</v>
      </c>
      <c r="D2033" t="str">
        <f>T("60")</f>
        <v>60</v>
      </c>
      <c r="E2033" t="str">
        <f>T("권용찬")</f>
        <v>권용찬</v>
      </c>
      <c r="H2033" t="str">
        <f>T("스토리위즈")</f>
        <v>스토리위즈</v>
      </c>
      <c r="I2033" t="str">
        <f>T("검산도해")</f>
        <v>검산도해</v>
      </c>
      <c r="J2033">
        <v>100</v>
      </c>
      <c r="K2033">
        <v>100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100</v>
      </c>
      <c r="AH2033">
        <v>1</v>
      </c>
      <c r="AI2033">
        <v>0</v>
      </c>
      <c r="AJ2033">
        <v>0</v>
      </c>
      <c r="AK2033">
        <v>0</v>
      </c>
      <c r="AL2033">
        <v>0</v>
      </c>
      <c r="AM2033">
        <v>120</v>
      </c>
      <c r="AN2033">
        <v>-12</v>
      </c>
      <c r="AO2033">
        <v>0</v>
      </c>
      <c r="AQ2033">
        <v>0</v>
      </c>
      <c r="AR2033">
        <v>0</v>
      </c>
      <c r="AS2033">
        <v>120</v>
      </c>
      <c r="AT2033">
        <v>-12</v>
      </c>
      <c r="AU2033">
        <v>0</v>
      </c>
      <c r="AW2033">
        <v>0</v>
      </c>
      <c r="AX2033">
        <v>0</v>
      </c>
      <c r="AY2033">
        <v>75.599999999999994</v>
      </c>
      <c r="BC2033" t="str">
        <f>T("9791159285936")</f>
        <v>9791159285936</v>
      </c>
      <c r="BE2033" t="str">
        <f>T("판타지 웹소설 &gt; 무협 소설")</f>
        <v>판타지 웹소설 &gt; 무협 소설</v>
      </c>
    </row>
    <row r="2034" spans="1:57" x14ac:dyDescent="0.3">
      <c r="A2034">
        <v>1525004799</v>
      </c>
      <c r="B2034">
        <v>1525004915</v>
      </c>
      <c r="C2034" t="str">
        <f>T("검산도해 117화")</f>
        <v>검산도해 117화</v>
      </c>
      <c r="D2034" t="str">
        <f>T("117")</f>
        <v>117</v>
      </c>
      <c r="E2034" t="str">
        <f>T("권용찬")</f>
        <v>권용찬</v>
      </c>
      <c r="H2034" t="str">
        <f>T("스토리위즈")</f>
        <v>스토리위즈</v>
      </c>
      <c r="I2034" t="str">
        <f>T("검산도해")</f>
        <v>검산도해</v>
      </c>
      <c r="J2034">
        <v>100</v>
      </c>
      <c r="K2034">
        <v>100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100</v>
      </c>
      <c r="AH2034">
        <v>1</v>
      </c>
      <c r="AI2034">
        <v>0</v>
      </c>
      <c r="AJ2034">
        <v>0</v>
      </c>
      <c r="AK2034">
        <v>0</v>
      </c>
      <c r="AL2034">
        <v>0</v>
      </c>
      <c r="AM2034">
        <v>120</v>
      </c>
      <c r="AN2034">
        <v>-12</v>
      </c>
      <c r="AO2034">
        <v>0</v>
      </c>
      <c r="AQ2034">
        <v>0</v>
      </c>
      <c r="AR2034">
        <v>0</v>
      </c>
      <c r="AS2034">
        <v>120</v>
      </c>
      <c r="AT2034">
        <v>-12</v>
      </c>
      <c r="AU2034">
        <v>0</v>
      </c>
      <c r="AW2034">
        <v>0</v>
      </c>
      <c r="AX2034">
        <v>0</v>
      </c>
      <c r="AY2034">
        <v>75.599999999999994</v>
      </c>
      <c r="BC2034" t="str">
        <f>T("9791159285936")</f>
        <v>9791159285936</v>
      </c>
      <c r="BE2034" t="str">
        <f>T("판타지 웹소설 &gt; 무협 소설")</f>
        <v>판타지 웹소설 &gt; 무협 소설</v>
      </c>
    </row>
    <row r="2035" spans="1:57" x14ac:dyDescent="0.3">
      <c r="A2035">
        <v>1525004030</v>
      </c>
      <c r="B2035">
        <v>1525007102</v>
      </c>
      <c r="C2035" t="str">
        <f>T("회귀의 전설 2부 986화")</f>
        <v>회귀의 전설 2부 986화</v>
      </c>
      <c r="D2035" t="str">
        <f>T("986")</f>
        <v>986</v>
      </c>
      <c r="E2035" t="str">
        <f>T("김광수")</f>
        <v>김광수</v>
      </c>
      <c r="H2035" t="str">
        <f>T("스토리위즈")</f>
        <v>스토리위즈</v>
      </c>
      <c r="I2035" t="str">
        <f>T("회귀의 전설")</f>
        <v>회귀의 전설</v>
      </c>
      <c r="J2035">
        <v>100</v>
      </c>
      <c r="K2035">
        <v>100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100</v>
      </c>
      <c r="AH2035">
        <v>1</v>
      </c>
      <c r="AI2035">
        <v>0</v>
      </c>
      <c r="AJ2035">
        <v>0</v>
      </c>
      <c r="AK2035">
        <v>100</v>
      </c>
      <c r="AL2035">
        <v>0</v>
      </c>
      <c r="AM2035">
        <v>0</v>
      </c>
      <c r="AN2035">
        <v>0</v>
      </c>
      <c r="AO2035">
        <v>0</v>
      </c>
      <c r="AQ2035">
        <v>0</v>
      </c>
      <c r="AR2035">
        <v>0</v>
      </c>
      <c r="AT2035">
        <v>0</v>
      </c>
      <c r="AU2035">
        <v>0</v>
      </c>
      <c r="AW2035">
        <v>0</v>
      </c>
      <c r="AX2035">
        <v>0</v>
      </c>
      <c r="AY2035">
        <v>70</v>
      </c>
      <c r="BC2035" t="str">
        <f>T("9791191102086")</f>
        <v>9791191102086</v>
      </c>
      <c r="BE2035" t="str">
        <f>T("판타지 웹소설 &gt; 현대 판타지")</f>
        <v>판타지 웹소설 &gt; 현대 판타지</v>
      </c>
    </row>
    <row r="2036" spans="1:57" x14ac:dyDescent="0.3">
      <c r="A2036">
        <v>1525011523</v>
      </c>
      <c r="B2036">
        <v>1525011216</v>
      </c>
      <c r="C2036" t="str">
        <f>T("남창목가 308화")</f>
        <v>남창목가 308화</v>
      </c>
      <c r="D2036" t="str">
        <f>T("308")</f>
        <v>308</v>
      </c>
      <c r="E2036" t="str">
        <f>T("최재봉")</f>
        <v>최재봉</v>
      </c>
      <c r="H2036" t="str">
        <f>T("에필로그")</f>
        <v>에필로그</v>
      </c>
      <c r="I2036" t="str">
        <f>T("남창목가")</f>
        <v>남창목가</v>
      </c>
      <c r="J2036">
        <v>100</v>
      </c>
      <c r="K2036">
        <v>100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100</v>
      </c>
      <c r="AH2036">
        <v>1</v>
      </c>
      <c r="AI2036">
        <v>0</v>
      </c>
      <c r="AJ2036">
        <v>0</v>
      </c>
      <c r="AK2036">
        <v>0</v>
      </c>
      <c r="AL2036">
        <v>0</v>
      </c>
      <c r="AM2036">
        <v>120</v>
      </c>
      <c r="AN2036">
        <v>-12</v>
      </c>
      <c r="AO2036">
        <v>0</v>
      </c>
      <c r="AQ2036">
        <v>0</v>
      </c>
      <c r="AR2036">
        <v>0</v>
      </c>
      <c r="AS2036">
        <v>120</v>
      </c>
      <c r="AT2036">
        <v>-12</v>
      </c>
      <c r="AU2036">
        <v>0</v>
      </c>
      <c r="AW2036">
        <v>0</v>
      </c>
      <c r="AX2036">
        <v>0</v>
      </c>
      <c r="AY2036">
        <v>75.599999999999994</v>
      </c>
      <c r="BC2036" t="str">
        <f>T("9791164482849")</f>
        <v>9791164482849</v>
      </c>
      <c r="BE2036" t="str">
        <f>T("판타지 웹소설 &gt; 무협 소설")</f>
        <v>판타지 웹소설 &gt; 무협 소설</v>
      </c>
    </row>
    <row r="2037" spans="1:57" x14ac:dyDescent="0.3">
      <c r="A2037">
        <v>1525000569</v>
      </c>
      <c r="B2037">
        <v>1525000604</v>
      </c>
      <c r="C2037" t="str">
        <f>T("스트라이커 36화")</f>
        <v>스트라이커 36화</v>
      </c>
      <c r="D2037" t="str">
        <f>T("36")</f>
        <v>36</v>
      </c>
      <c r="E2037" t="str">
        <f>T("독고진")</f>
        <v>독고진</v>
      </c>
      <c r="H2037" t="str">
        <f>T("스토리위즈")</f>
        <v>스토리위즈</v>
      </c>
      <c r="I2037" t="str">
        <f>T("스트라이커")</f>
        <v>스트라이커</v>
      </c>
      <c r="J2037">
        <v>100</v>
      </c>
      <c r="K2037">
        <v>100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100</v>
      </c>
      <c r="AH2037">
        <v>1</v>
      </c>
      <c r="AI2037">
        <v>0</v>
      </c>
      <c r="AJ2037">
        <v>0</v>
      </c>
      <c r="AK2037">
        <v>100</v>
      </c>
      <c r="AL2037">
        <v>0</v>
      </c>
      <c r="AM2037">
        <v>0</v>
      </c>
      <c r="AN2037">
        <v>0</v>
      </c>
      <c r="AO2037">
        <v>0</v>
      </c>
      <c r="AQ2037">
        <v>0</v>
      </c>
      <c r="AR2037">
        <v>0</v>
      </c>
      <c r="AT2037">
        <v>0</v>
      </c>
      <c r="AU2037">
        <v>0</v>
      </c>
      <c r="AW2037">
        <v>0</v>
      </c>
      <c r="AX2037">
        <v>0</v>
      </c>
      <c r="AY2037">
        <v>70</v>
      </c>
      <c r="BC2037" t="str">
        <f>T("9791170151678")</f>
        <v>9791170151678</v>
      </c>
      <c r="BE2037" t="str">
        <f>T("판타지 웹소설 &gt; 현대 판타지")</f>
        <v>판타지 웹소설 &gt; 현대 판타지</v>
      </c>
    </row>
    <row r="2038" spans="1:57" x14ac:dyDescent="0.3">
      <c r="A2038">
        <v>1525011523</v>
      </c>
      <c r="B2038">
        <v>1525010995</v>
      </c>
      <c r="C2038" t="str">
        <f>T("남창목가 외전 497화")</f>
        <v>남창목가 외전 497화</v>
      </c>
      <c r="D2038" t="str">
        <f>T("497")</f>
        <v>497</v>
      </c>
      <c r="E2038" t="str">
        <f>T("최재봉")</f>
        <v>최재봉</v>
      </c>
      <c r="H2038" t="str">
        <f>T("에필로그")</f>
        <v>에필로그</v>
      </c>
      <c r="I2038" t="str">
        <f>T("남창목가")</f>
        <v>남창목가</v>
      </c>
      <c r="J2038">
        <v>100</v>
      </c>
      <c r="K2038">
        <v>100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100</v>
      </c>
      <c r="AH2038">
        <v>1</v>
      </c>
      <c r="AI2038">
        <v>0</v>
      </c>
      <c r="AJ2038">
        <v>0</v>
      </c>
      <c r="AK2038">
        <v>0</v>
      </c>
      <c r="AL2038">
        <v>0</v>
      </c>
      <c r="AM2038">
        <v>120</v>
      </c>
      <c r="AN2038">
        <v>-12</v>
      </c>
      <c r="AO2038">
        <v>0</v>
      </c>
      <c r="AQ2038">
        <v>0</v>
      </c>
      <c r="AR2038">
        <v>0</v>
      </c>
      <c r="AS2038">
        <v>120</v>
      </c>
      <c r="AT2038">
        <v>-12</v>
      </c>
      <c r="AU2038">
        <v>0</v>
      </c>
      <c r="AW2038">
        <v>0</v>
      </c>
      <c r="AX2038">
        <v>0</v>
      </c>
      <c r="AY2038">
        <v>75.599999999999994</v>
      </c>
      <c r="BC2038" t="str">
        <f>T("9791164482849")</f>
        <v>9791164482849</v>
      </c>
      <c r="BE2038" t="str">
        <f>T("판타지 웹소설 &gt; 무협 소설")</f>
        <v>판타지 웹소설 &gt; 무협 소설</v>
      </c>
    </row>
    <row r="2039" spans="1:57" x14ac:dyDescent="0.3">
      <c r="A2039">
        <v>1525011523</v>
      </c>
      <c r="B2039">
        <v>1525011329</v>
      </c>
      <c r="C2039" t="str">
        <f>T("남창목가 195화")</f>
        <v>남창목가 195화</v>
      </c>
      <c r="D2039" t="str">
        <f>T("195")</f>
        <v>195</v>
      </c>
      <c r="E2039" t="str">
        <f>T("최재봉")</f>
        <v>최재봉</v>
      </c>
      <c r="H2039" t="str">
        <f>T("에필로그")</f>
        <v>에필로그</v>
      </c>
      <c r="I2039" t="str">
        <f>T("남창목가")</f>
        <v>남창목가</v>
      </c>
      <c r="J2039">
        <v>100</v>
      </c>
      <c r="K2039">
        <v>100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100</v>
      </c>
      <c r="AH2039">
        <v>1</v>
      </c>
      <c r="AI2039">
        <v>0</v>
      </c>
      <c r="AJ2039">
        <v>0</v>
      </c>
      <c r="AK2039">
        <v>0</v>
      </c>
      <c r="AL2039">
        <v>0</v>
      </c>
      <c r="AM2039">
        <v>120</v>
      </c>
      <c r="AN2039">
        <v>-12</v>
      </c>
      <c r="AO2039">
        <v>0</v>
      </c>
      <c r="AQ2039">
        <v>0</v>
      </c>
      <c r="AR2039">
        <v>0</v>
      </c>
      <c r="AS2039">
        <v>120</v>
      </c>
      <c r="AT2039">
        <v>-12</v>
      </c>
      <c r="AU2039">
        <v>0</v>
      </c>
      <c r="AW2039">
        <v>0</v>
      </c>
      <c r="AX2039">
        <v>0</v>
      </c>
      <c r="AY2039">
        <v>75.599999999999994</v>
      </c>
      <c r="BC2039" t="str">
        <f>T("9791164482849")</f>
        <v>9791164482849</v>
      </c>
      <c r="BE2039" t="str">
        <f>T("판타지 웹소설 &gt; 무협 소설")</f>
        <v>판타지 웹소설 &gt; 무협 소설</v>
      </c>
    </row>
    <row r="2040" spans="1:57" x14ac:dyDescent="0.3">
      <c r="A2040">
        <v>1525002125</v>
      </c>
      <c r="B2040">
        <v>1525002286</v>
      </c>
      <c r="C2040" t="str">
        <f>T("신을 죽이러 갑니다 162화")</f>
        <v>신을 죽이러 갑니다 162화</v>
      </c>
      <c r="D2040" t="str">
        <f>T("162")</f>
        <v>162</v>
      </c>
      <c r="E2040" t="str">
        <f>T("독고진")</f>
        <v>독고진</v>
      </c>
      <c r="H2040" t="str">
        <f>T("스토리위즈")</f>
        <v>스토리위즈</v>
      </c>
      <c r="I2040" t="str">
        <f>T("신을 죽이러 갑니다")</f>
        <v>신을 죽이러 갑니다</v>
      </c>
      <c r="J2040">
        <v>100</v>
      </c>
      <c r="K2040">
        <v>100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100</v>
      </c>
      <c r="AH2040">
        <v>1</v>
      </c>
      <c r="AI2040">
        <v>0</v>
      </c>
      <c r="AJ2040">
        <v>0</v>
      </c>
      <c r="AK2040">
        <v>100</v>
      </c>
      <c r="AL2040">
        <v>0</v>
      </c>
      <c r="AM2040">
        <v>0</v>
      </c>
      <c r="AN2040">
        <v>0</v>
      </c>
      <c r="AO2040">
        <v>0</v>
      </c>
      <c r="AQ2040">
        <v>0</v>
      </c>
      <c r="AR2040">
        <v>0</v>
      </c>
      <c r="AT2040">
        <v>0</v>
      </c>
      <c r="AU2040">
        <v>0</v>
      </c>
      <c r="AW2040">
        <v>0</v>
      </c>
      <c r="AX2040">
        <v>0</v>
      </c>
      <c r="AY2040">
        <v>70</v>
      </c>
      <c r="BC2040" t="str">
        <f>T("9791159285806")</f>
        <v>9791159285806</v>
      </c>
      <c r="BE2040" t="str">
        <f>T("판타지 웹소설 &gt; 퓨전 판타지")</f>
        <v>판타지 웹소설 &gt; 퓨전 판타지</v>
      </c>
    </row>
    <row r="2041" spans="1:57" x14ac:dyDescent="0.3">
      <c r="A2041">
        <v>1525012551</v>
      </c>
      <c r="B2041">
        <v>1525012704</v>
      </c>
      <c r="C2041" t="str">
        <f>T("개정판 | 바보가 만드는 멋진 세상 154화")</f>
        <v>개정판 | 바보가 만드는 멋진 세상 154화</v>
      </c>
      <c r="D2041" t="str">
        <f>T("154")</f>
        <v>154</v>
      </c>
      <c r="E2041" t="str">
        <f>T("백범(白帆)")</f>
        <v>백범(白帆)</v>
      </c>
      <c r="H2041" t="str">
        <f>T("에필로그")</f>
        <v>에필로그</v>
      </c>
      <c r="I2041" t="str">
        <f>T("개정판 | 바보가 만드는 멋진 세상")</f>
        <v>개정판 | 바보가 만드는 멋진 세상</v>
      </c>
      <c r="J2041">
        <v>100</v>
      </c>
      <c r="K2041">
        <v>100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100</v>
      </c>
      <c r="AH2041">
        <v>1</v>
      </c>
      <c r="AI2041">
        <v>0</v>
      </c>
      <c r="AJ2041">
        <v>0</v>
      </c>
      <c r="AK2041">
        <v>100</v>
      </c>
      <c r="AL2041">
        <v>0</v>
      </c>
      <c r="AM2041">
        <v>0</v>
      </c>
      <c r="AN2041">
        <v>0</v>
      </c>
      <c r="AO2041">
        <v>0</v>
      </c>
      <c r="AQ2041">
        <v>0</v>
      </c>
      <c r="AR2041">
        <v>0</v>
      </c>
      <c r="AT2041">
        <v>0</v>
      </c>
      <c r="AU2041">
        <v>0</v>
      </c>
      <c r="AW2041">
        <v>0</v>
      </c>
      <c r="AX2041">
        <v>0</v>
      </c>
      <c r="AY2041">
        <v>70</v>
      </c>
      <c r="BC2041" t="str">
        <f>T("9791166003493")</f>
        <v>9791166003493</v>
      </c>
      <c r="BE2041" t="str">
        <f>T("판타지 웹소설 &gt; 현대 판타지")</f>
        <v>판타지 웹소설 &gt; 현대 판타지</v>
      </c>
    </row>
    <row r="2042" spans="1:57" x14ac:dyDescent="0.3">
      <c r="A2042">
        <v>1525002864</v>
      </c>
      <c r="B2042">
        <v>1525002927</v>
      </c>
      <c r="C2042" t="str">
        <f>T("소드마스터의 환생 64화")</f>
        <v>소드마스터의 환생 64화</v>
      </c>
      <c r="D2042" t="str">
        <f>T("64")</f>
        <v>64</v>
      </c>
      <c r="E2042" t="str">
        <f>T("파란영")</f>
        <v>파란영</v>
      </c>
      <c r="H2042" t="str">
        <f>T("스토리위즈")</f>
        <v>스토리위즈</v>
      </c>
      <c r="I2042" t="str">
        <f>T("소드마스터의 환생")</f>
        <v>소드마스터의 환생</v>
      </c>
      <c r="J2042">
        <v>100</v>
      </c>
      <c r="K2042">
        <v>100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100</v>
      </c>
      <c r="AH2042">
        <v>1</v>
      </c>
      <c r="AI2042">
        <v>0</v>
      </c>
      <c r="AJ2042">
        <v>0</v>
      </c>
      <c r="AK2042">
        <v>100</v>
      </c>
      <c r="AL2042">
        <v>0</v>
      </c>
      <c r="AM2042">
        <v>0</v>
      </c>
      <c r="AN2042">
        <v>0</v>
      </c>
      <c r="AO2042">
        <v>0</v>
      </c>
      <c r="AQ2042">
        <v>0</v>
      </c>
      <c r="AR2042">
        <v>0</v>
      </c>
      <c r="AT2042">
        <v>0</v>
      </c>
      <c r="AU2042">
        <v>0</v>
      </c>
      <c r="AW2042">
        <v>0</v>
      </c>
      <c r="AX2042">
        <v>0</v>
      </c>
      <c r="AY2042">
        <v>70</v>
      </c>
      <c r="BC2042" t="str">
        <f>T("9791159287527")</f>
        <v>9791159287527</v>
      </c>
      <c r="BE2042" t="str">
        <f>T("판타지 웹소설 &gt; 정통 판타지")</f>
        <v>판타지 웹소설 &gt; 정통 판타지</v>
      </c>
    </row>
    <row r="2043" spans="1:57" x14ac:dyDescent="0.3">
      <c r="A2043">
        <v>1525008428</v>
      </c>
      <c r="B2043">
        <v>1525008466</v>
      </c>
      <c r="C2043" t="str">
        <f>T("무히비(Muhibbi) 54화")</f>
        <v>무히비(Muhibbi) 54화</v>
      </c>
      <c r="D2043" t="str">
        <f>T("54")</f>
        <v>54</v>
      </c>
      <c r="E2043" t="str">
        <f>T("jooki")</f>
        <v>jooki</v>
      </c>
      <c r="H2043" t="str">
        <f>T("블러쉬")</f>
        <v>블러쉬</v>
      </c>
      <c r="I2043" t="str">
        <f>T("무히비(Muhibbi)")</f>
        <v>무히비(Muhibbi)</v>
      </c>
      <c r="J2043">
        <v>100</v>
      </c>
      <c r="K2043">
        <v>100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100</v>
      </c>
      <c r="AH2043">
        <v>1</v>
      </c>
      <c r="AI2043">
        <v>0</v>
      </c>
      <c r="AJ2043">
        <v>0</v>
      </c>
      <c r="AK2043">
        <v>100</v>
      </c>
      <c r="AL2043">
        <v>0</v>
      </c>
      <c r="AM2043">
        <v>0</v>
      </c>
      <c r="AN2043">
        <v>0</v>
      </c>
      <c r="AO2043">
        <v>0</v>
      </c>
      <c r="AQ2043">
        <v>0</v>
      </c>
      <c r="AR2043">
        <v>0</v>
      </c>
      <c r="AT2043">
        <v>0</v>
      </c>
      <c r="AU2043">
        <v>0</v>
      </c>
      <c r="AW2043">
        <v>0</v>
      </c>
      <c r="AX2043">
        <v>0</v>
      </c>
      <c r="AY2043">
        <v>70</v>
      </c>
      <c r="BC2043" t="str">
        <f>T("9791164896622")</f>
        <v>9791164896622</v>
      </c>
      <c r="BE2043" t="str">
        <f>T("BL 웹소설 &gt; 역사/시대물")</f>
        <v>BL 웹소설 &gt; 역사/시대물</v>
      </c>
    </row>
    <row r="2044" spans="1:57" x14ac:dyDescent="0.3">
      <c r="A2044">
        <v>1525011523</v>
      </c>
      <c r="B2044">
        <v>1525011273</v>
      </c>
      <c r="C2044" t="str">
        <f>T("남창목가 251화")</f>
        <v>남창목가 251화</v>
      </c>
      <c r="D2044" t="str">
        <f>T("251")</f>
        <v>251</v>
      </c>
      <c r="E2044" t="str">
        <f>T("최재봉")</f>
        <v>최재봉</v>
      </c>
      <c r="H2044" t="str">
        <f>T("에필로그")</f>
        <v>에필로그</v>
      </c>
      <c r="I2044" t="str">
        <f>T("남창목가")</f>
        <v>남창목가</v>
      </c>
      <c r="J2044">
        <v>100</v>
      </c>
      <c r="K2044">
        <v>100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100</v>
      </c>
      <c r="AH2044">
        <v>1</v>
      </c>
      <c r="AI2044">
        <v>0</v>
      </c>
      <c r="AJ2044">
        <v>0</v>
      </c>
      <c r="AK2044">
        <v>0</v>
      </c>
      <c r="AL2044">
        <v>0</v>
      </c>
      <c r="AM2044">
        <v>120</v>
      </c>
      <c r="AN2044">
        <v>-12</v>
      </c>
      <c r="AO2044">
        <v>0</v>
      </c>
      <c r="AQ2044">
        <v>0</v>
      </c>
      <c r="AR2044">
        <v>0</v>
      </c>
      <c r="AS2044">
        <v>120</v>
      </c>
      <c r="AT2044">
        <v>-12</v>
      </c>
      <c r="AU2044">
        <v>0</v>
      </c>
      <c r="AW2044">
        <v>0</v>
      </c>
      <c r="AX2044">
        <v>0</v>
      </c>
      <c r="AY2044">
        <v>75.599999999999994</v>
      </c>
      <c r="BC2044" t="str">
        <f>T("9791164482849")</f>
        <v>9791164482849</v>
      </c>
      <c r="BE2044" t="str">
        <f>T("판타지 웹소설 &gt; 무협 소설")</f>
        <v>판타지 웹소설 &gt; 무협 소설</v>
      </c>
    </row>
    <row r="2045" spans="1:57" x14ac:dyDescent="0.3">
      <c r="A2045">
        <v>1525011523</v>
      </c>
      <c r="B2045">
        <v>1525011463</v>
      </c>
      <c r="C2045" t="str">
        <f>T("남창목가 61화")</f>
        <v>남창목가 61화</v>
      </c>
      <c r="D2045" t="str">
        <f>T("61")</f>
        <v>61</v>
      </c>
      <c r="E2045" t="str">
        <f>T("최재봉")</f>
        <v>최재봉</v>
      </c>
      <c r="H2045" t="str">
        <f>T("에필로그")</f>
        <v>에필로그</v>
      </c>
      <c r="I2045" t="str">
        <f>T("남창목가")</f>
        <v>남창목가</v>
      </c>
      <c r="J2045">
        <v>100</v>
      </c>
      <c r="K2045">
        <v>100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100</v>
      </c>
      <c r="AH2045">
        <v>1</v>
      </c>
      <c r="AI2045">
        <v>0</v>
      </c>
      <c r="AJ2045">
        <v>0</v>
      </c>
      <c r="AK2045">
        <v>100</v>
      </c>
      <c r="AL2045">
        <v>0</v>
      </c>
      <c r="AM2045">
        <v>0</v>
      </c>
      <c r="AN2045">
        <v>0</v>
      </c>
      <c r="AO2045">
        <v>0</v>
      </c>
      <c r="AQ2045">
        <v>0</v>
      </c>
      <c r="AR2045">
        <v>0</v>
      </c>
      <c r="AT2045">
        <v>0</v>
      </c>
      <c r="AU2045">
        <v>0</v>
      </c>
      <c r="AW2045">
        <v>0</v>
      </c>
      <c r="AX2045">
        <v>0</v>
      </c>
      <c r="AY2045">
        <v>70</v>
      </c>
      <c r="BC2045" t="str">
        <f>T("9791164482849")</f>
        <v>9791164482849</v>
      </c>
      <c r="BE2045" t="str">
        <f>T("판타지 웹소설 &gt; 무협 소설")</f>
        <v>판타지 웹소설 &gt; 무협 소설</v>
      </c>
    </row>
    <row r="2046" spans="1:57" x14ac:dyDescent="0.3">
      <c r="A2046">
        <v>1525012551</v>
      </c>
      <c r="B2046">
        <v>1525012582</v>
      </c>
      <c r="C2046" t="str">
        <f>T("개정판 | 바보가 만드는 멋진 세상 32화")</f>
        <v>개정판 | 바보가 만드는 멋진 세상 32화</v>
      </c>
      <c r="D2046" t="str">
        <f>T("32")</f>
        <v>32</v>
      </c>
      <c r="E2046" t="str">
        <f>T("백범(白帆)")</f>
        <v>백범(白帆)</v>
      </c>
      <c r="H2046" t="str">
        <f>T("에필로그")</f>
        <v>에필로그</v>
      </c>
      <c r="I2046" t="str">
        <f>T("개정판 | 바보가 만드는 멋진 세상")</f>
        <v>개정판 | 바보가 만드는 멋진 세상</v>
      </c>
      <c r="J2046">
        <v>100</v>
      </c>
      <c r="K2046">
        <v>100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100</v>
      </c>
      <c r="AH2046">
        <v>1</v>
      </c>
      <c r="AI2046">
        <v>0</v>
      </c>
      <c r="AJ2046">
        <v>0</v>
      </c>
      <c r="AK2046">
        <v>100</v>
      </c>
      <c r="AL2046">
        <v>0</v>
      </c>
      <c r="AM2046">
        <v>0</v>
      </c>
      <c r="AN2046">
        <v>0</v>
      </c>
      <c r="AO2046">
        <v>0</v>
      </c>
      <c r="AQ2046">
        <v>0</v>
      </c>
      <c r="AR2046">
        <v>0</v>
      </c>
      <c r="AT2046">
        <v>0</v>
      </c>
      <c r="AU2046">
        <v>0</v>
      </c>
      <c r="AW2046">
        <v>0</v>
      </c>
      <c r="AX2046">
        <v>0</v>
      </c>
      <c r="AY2046">
        <v>70</v>
      </c>
      <c r="BC2046" t="str">
        <f>T("9791166003493")</f>
        <v>9791166003493</v>
      </c>
      <c r="BE2046" t="str">
        <f>T("판타지 웹소설 &gt; 현대 판타지")</f>
        <v>판타지 웹소설 &gt; 현대 판타지</v>
      </c>
    </row>
    <row r="2047" spans="1:57" x14ac:dyDescent="0.3">
      <c r="A2047">
        <v>1525004799</v>
      </c>
      <c r="B2047">
        <v>1525004932</v>
      </c>
      <c r="C2047" t="str">
        <f>T("검산도해 134화")</f>
        <v>검산도해 134화</v>
      </c>
      <c r="D2047" t="str">
        <f>T("134")</f>
        <v>134</v>
      </c>
      <c r="E2047" t="str">
        <f>T("권용찬")</f>
        <v>권용찬</v>
      </c>
      <c r="H2047" t="str">
        <f>T("스토리위즈")</f>
        <v>스토리위즈</v>
      </c>
      <c r="I2047" t="str">
        <f>T("검산도해")</f>
        <v>검산도해</v>
      </c>
      <c r="J2047">
        <v>100</v>
      </c>
      <c r="K2047">
        <v>100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100</v>
      </c>
      <c r="AH2047">
        <v>1</v>
      </c>
      <c r="AI2047">
        <v>0</v>
      </c>
      <c r="AJ2047">
        <v>0</v>
      </c>
      <c r="AK2047">
        <v>0</v>
      </c>
      <c r="AL2047">
        <v>0</v>
      </c>
      <c r="AM2047">
        <v>120</v>
      </c>
      <c r="AN2047">
        <v>-12</v>
      </c>
      <c r="AO2047">
        <v>0</v>
      </c>
      <c r="AQ2047">
        <v>0</v>
      </c>
      <c r="AR2047">
        <v>0</v>
      </c>
      <c r="AS2047">
        <v>120</v>
      </c>
      <c r="AT2047">
        <v>-12</v>
      </c>
      <c r="AU2047">
        <v>0</v>
      </c>
      <c r="AW2047">
        <v>0</v>
      </c>
      <c r="AX2047">
        <v>0</v>
      </c>
      <c r="AY2047">
        <v>75.599999999999994</v>
      </c>
      <c r="BC2047" t="str">
        <f>T("9791159285936")</f>
        <v>9791159285936</v>
      </c>
      <c r="BE2047" t="str">
        <f>T("판타지 웹소설 &gt; 무협 소설")</f>
        <v>판타지 웹소설 &gt; 무협 소설</v>
      </c>
    </row>
    <row r="2048" spans="1:57" x14ac:dyDescent="0.3">
      <c r="A2048">
        <v>1525004030</v>
      </c>
      <c r="B2048">
        <v>1525007021</v>
      </c>
      <c r="C2048" t="str">
        <f>T("회귀의 전설 2부 905화")</f>
        <v>회귀의 전설 2부 905화</v>
      </c>
      <c r="D2048" t="str">
        <f>T("905")</f>
        <v>905</v>
      </c>
      <c r="E2048" t="str">
        <f>T("김광수")</f>
        <v>김광수</v>
      </c>
      <c r="H2048" t="str">
        <f>T("스토리위즈")</f>
        <v>스토리위즈</v>
      </c>
      <c r="I2048" t="str">
        <f>T("회귀의 전설")</f>
        <v>회귀의 전설</v>
      </c>
      <c r="J2048">
        <v>100</v>
      </c>
      <c r="K2048">
        <v>100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100</v>
      </c>
      <c r="AH2048">
        <v>1</v>
      </c>
      <c r="AI2048">
        <v>0</v>
      </c>
      <c r="AJ2048">
        <v>0</v>
      </c>
      <c r="AK2048">
        <v>100</v>
      </c>
      <c r="AL2048">
        <v>0</v>
      </c>
      <c r="AM2048">
        <v>0</v>
      </c>
      <c r="AN2048">
        <v>0</v>
      </c>
      <c r="AO2048">
        <v>0</v>
      </c>
      <c r="AQ2048">
        <v>0</v>
      </c>
      <c r="AR2048">
        <v>0</v>
      </c>
      <c r="AT2048">
        <v>0</v>
      </c>
      <c r="AU2048">
        <v>0</v>
      </c>
      <c r="AW2048">
        <v>0</v>
      </c>
      <c r="AX2048">
        <v>0</v>
      </c>
      <c r="AY2048">
        <v>70</v>
      </c>
      <c r="BC2048" t="str">
        <f>T("9791191102086")</f>
        <v>9791191102086</v>
      </c>
      <c r="BE2048" t="str">
        <f>T("판타지 웹소설 &gt; 현대 판타지")</f>
        <v>판타지 웹소설 &gt; 현대 판타지</v>
      </c>
    </row>
    <row r="2049" spans="1:57" x14ac:dyDescent="0.3">
      <c r="A2049">
        <v>1525011523</v>
      </c>
      <c r="B2049">
        <v>1525011184</v>
      </c>
      <c r="C2049" t="str">
        <f>T("남창목가 340화")</f>
        <v>남창목가 340화</v>
      </c>
      <c r="D2049" t="str">
        <f>T("340")</f>
        <v>340</v>
      </c>
      <c r="E2049" t="str">
        <f>T("최재봉")</f>
        <v>최재봉</v>
      </c>
      <c r="H2049" t="str">
        <f>T("에필로그")</f>
        <v>에필로그</v>
      </c>
      <c r="I2049" t="str">
        <f>T("남창목가")</f>
        <v>남창목가</v>
      </c>
      <c r="J2049">
        <v>100</v>
      </c>
      <c r="K2049">
        <v>100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100</v>
      </c>
      <c r="AH2049">
        <v>1</v>
      </c>
      <c r="AI2049">
        <v>0</v>
      </c>
      <c r="AJ2049">
        <v>0</v>
      </c>
      <c r="AK2049">
        <v>0</v>
      </c>
      <c r="AL2049">
        <v>0</v>
      </c>
      <c r="AM2049">
        <v>120</v>
      </c>
      <c r="AN2049">
        <v>-12</v>
      </c>
      <c r="AO2049">
        <v>0</v>
      </c>
      <c r="AQ2049">
        <v>0</v>
      </c>
      <c r="AR2049">
        <v>0</v>
      </c>
      <c r="AS2049">
        <v>120</v>
      </c>
      <c r="AT2049">
        <v>-12</v>
      </c>
      <c r="AU2049">
        <v>0</v>
      </c>
      <c r="AW2049">
        <v>0</v>
      </c>
      <c r="AX2049">
        <v>0</v>
      </c>
      <c r="AY2049">
        <v>75.599999999999994</v>
      </c>
      <c r="BC2049" t="str">
        <f>T("9791164482849")</f>
        <v>9791164482849</v>
      </c>
      <c r="BE2049" t="str">
        <f>T("판타지 웹소설 &gt; 무협 소설")</f>
        <v>판타지 웹소설 &gt; 무협 소설</v>
      </c>
    </row>
    <row r="2050" spans="1:57" x14ac:dyDescent="0.3">
      <c r="A2050">
        <v>1525008428</v>
      </c>
      <c r="B2050">
        <v>1525008422</v>
      </c>
      <c r="C2050" t="str">
        <f>T("무히비(Muhibbi) 14화")</f>
        <v>무히비(Muhibbi) 14화</v>
      </c>
      <c r="D2050" t="str">
        <f>T("14")</f>
        <v>14</v>
      </c>
      <c r="E2050" t="str">
        <f>T("jooki")</f>
        <v>jooki</v>
      </c>
      <c r="H2050" t="str">
        <f>T("블러쉬")</f>
        <v>블러쉬</v>
      </c>
      <c r="I2050" t="str">
        <f>T("무히비(Muhibbi)")</f>
        <v>무히비(Muhibbi)</v>
      </c>
      <c r="J2050">
        <v>100</v>
      </c>
      <c r="K2050">
        <v>100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100</v>
      </c>
      <c r="AH2050">
        <v>1</v>
      </c>
      <c r="AI2050">
        <v>0</v>
      </c>
      <c r="AJ2050">
        <v>0</v>
      </c>
      <c r="AK2050">
        <v>100</v>
      </c>
      <c r="AL2050">
        <v>0</v>
      </c>
      <c r="AM2050">
        <v>0</v>
      </c>
      <c r="AN2050">
        <v>0</v>
      </c>
      <c r="AO2050">
        <v>0</v>
      </c>
      <c r="AQ2050">
        <v>0</v>
      </c>
      <c r="AR2050">
        <v>0</v>
      </c>
      <c r="AT2050">
        <v>0</v>
      </c>
      <c r="AU2050">
        <v>0</v>
      </c>
      <c r="AW2050">
        <v>0</v>
      </c>
      <c r="AX2050">
        <v>0</v>
      </c>
      <c r="AY2050">
        <v>70</v>
      </c>
      <c r="BC2050" t="str">
        <f>T("9791164896622")</f>
        <v>9791164896622</v>
      </c>
      <c r="BE2050" t="str">
        <f>T("BL 웹소설 &gt; 역사/시대물")</f>
        <v>BL 웹소설 &gt; 역사/시대물</v>
      </c>
    </row>
    <row r="2051" spans="1:57" x14ac:dyDescent="0.3">
      <c r="A2051">
        <v>1525004030</v>
      </c>
      <c r="B2051">
        <v>1525006980</v>
      </c>
      <c r="C2051" t="str">
        <f>T("회귀의 전설 2부 864화")</f>
        <v>회귀의 전설 2부 864화</v>
      </c>
      <c r="D2051" t="str">
        <f>T("864")</f>
        <v>864</v>
      </c>
      <c r="E2051" t="str">
        <f>T("김광수")</f>
        <v>김광수</v>
      </c>
      <c r="H2051" t="str">
        <f>T("스토리위즈")</f>
        <v>스토리위즈</v>
      </c>
      <c r="I2051" t="str">
        <f>T("회귀의 전설")</f>
        <v>회귀의 전설</v>
      </c>
      <c r="J2051">
        <v>100</v>
      </c>
      <c r="K2051">
        <v>100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100</v>
      </c>
      <c r="AH2051">
        <v>1</v>
      </c>
      <c r="AI2051">
        <v>0</v>
      </c>
      <c r="AJ2051">
        <v>0</v>
      </c>
      <c r="AK2051">
        <v>100</v>
      </c>
      <c r="AL2051">
        <v>0</v>
      </c>
      <c r="AM2051">
        <v>0</v>
      </c>
      <c r="AN2051">
        <v>0</v>
      </c>
      <c r="AO2051">
        <v>0</v>
      </c>
      <c r="AQ2051">
        <v>0</v>
      </c>
      <c r="AR2051">
        <v>0</v>
      </c>
      <c r="AT2051">
        <v>0</v>
      </c>
      <c r="AU2051">
        <v>0</v>
      </c>
      <c r="AW2051">
        <v>0</v>
      </c>
      <c r="AX2051">
        <v>0</v>
      </c>
      <c r="AY2051">
        <v>70</v>
      </c>
      <c r="BC2051" t="str">
        <f>T("9791191102086")</f>
        <v>9791191102086</v>
      </c>
      <c r="BE2051" t="str">
        <f>T("판타지 웹소설 &gt; 현대 판타지")</f>
        <v>판타지 웹소설 &gt; 현대 판타지</v>
      </c>
    </row>
    <row r="2052" spans="1:57" x14ac:dyDescent="0.3">
      <c r="A2052">
        <v>1525011523</v>
      </c>
      <c r="B2052">
        <v>1525011376</v>
      </c>
      <c r="C2052" t="str">
        <f>T("남창목가 148화")</f>
        <v>남창목가 148화</v>
      </c>
      <c r="D2052" t="str">
        <f>T("148")</f>
        <v>148</v>
      </c>
      <c r="E2052" t="str">
        <f>T("최재봉")</f>
        <v>최재봉</v>
      </c>
      <c r="H2052" t="str">
        <f>T("에필로그")</f>
        <v>에필로그</v>
      </c>
      <c r="I2052" t="str">
        <f>T("남창목가")</f>
        <v>남창목가</v>
      </c>
      <c r="J2052">
        <v>100</v>
      </c>
      <c r="K2052">
        <v>100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100</v>
      </c>
      <c r="AH2052">
        <v>1</v>
      </c>
      <c r="AI2052">
        <v>0</v>
      </c>
      <c r="AJ2052">
        <v>0</v>
      </c>
      <c r="AK2052">
        <v>0</v>
      </c>
      <c r="AL2052">
        <v>0</v>
      </c>
      <c r="AM2052">
        <v>120</v>
      </c>
      <c r="AN2052">
        <v>-12</v>
      </c>
      <c r="AO2052">
        <v>0</v>
      </c>
      <c r="AQ2052">
        <v>0</v>
      </c>
      <c r="AR2052">
        <v>0</v>
      </c>
      <c r="AS2052">
        <v>120</v>
      </c>
      <c r="AT2052">
        <v>-12</v>
      </c>
      <c r="AU2052">
        <v>0</v>
      </c>
      <c r="AW2052">
        <v>0</v>
      </c>
      <c r="AX2052">
        <v>0</v>
      </c>
      <c r="AY2052">
        <v>75.599999999999994</v>
      </c>
      <c r="BC2052" t="str">
        <f>T("9791164482849")</f>
        <v>9791164482849</v>
      </c>
      <c r="BE2052" t="str">
        <f>T("판타지 웹소설 &gt; 무협 소설")</f>
        <v>판타지 웹소설 &gt; 무협 소설</v>
      </c>
    </row>
    <row r="2053" spans="1:57" x14ac:dyDescent="0.3">
      <c r="A2053">
        <v>1525013020</v>
      </c>
      <c r="B2053">
        <v>1525013062</v>
      </c>
      <c r="C2053" t="str">
        <f>T("악당의 리턴 43화")</f>
        <v>악당의 리턴 43화</v>
      </c>
      <c r="D2053" t="str">
        <f>T("43")</f>
        <v>43</v>
      </c>
      <c r="E2053" t="str">
        <f>T("백범(白帆)")</f>
        <v>백범(白帆)</v>
      </c>
      <c r="H2053" t="str">
        <f>T("에필로그")</f>
        <v>에필로그</v>
      </c>
      <c r="I2053" t="str">
        <f>T("악당의 리턴")</f>
        <v>악당의 리턴</v>
      </c>
      <c r="J2053">
        <v>100</v>
      </c>
      <c r="K2053">
        <v>100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100</v>
      </c>
      <c r="AH2053">
        <v>1</v>
      </c>
      <c r="AI2053">
        <v>0</v>
      </c>
      <c r="AJ2053">
        <v>0</v>
      </c>
      <c r="AK2053">
        <v>100</v>
      </c>
      <c r="AL2053">
        <v>0</v>
      </c>
      <c r="AM2053">
        <v>0</v>
      </c>
      <c r="AN2053">
        <v>0</v>
      </c>
      <c r="AO2053">
        <v>0</v>
      </c>
      <c r="AQ2053">
        <v>0</v>
      </c>
      <c r="AR2053">
        <v>0</v>
      </c>
      <c r="AT2053">
        <v>0</v>
      </c>
      <c r="AU2053">
        <v>0</v>
      </c>
      <c r="AW2053">
        <v>0</v>
      </c>
      <c r="AX2053">
        <v>0</v>
      </c>
      <c r="AY2053">
        <v>70</v>
      </c>
      <c r="BC2053" t="str">
        <f>T("9791196538927")</f>
        <v>9791196538927</v>
      </c>
      <c r="BE2053" t="str">
        <f>T("판타지 웹소설 &gt; 현대 판타지")</f>
        <v>판타지 웹소설 &gt; 현대 판타지</v>
      </c>
    </row>
    <row r="2054" spans="1:57" x14ac:dyDescent="0.3">
      <c r="A2054">
        <v>1525004030</v>
      </c>
      <c r="B2054">
        <v>1525007135</v>
      </c>
      <c r="C2054" t="str">
        <f>T("회귀의 전설 2부 1019화")</f>
        <v>회귀의 전설 2부 1019화</v>
      </c>
      <c r="D2054" t="str">
        <f>T("1019")</f>
        <v>1019</v>
      </c>
      <c r="E2054" t="str">
        <f>T("김광수")</f>
        <v>김광수</v>
      </c>
      <c r="H2054" t="str">
        <f>T("스토리위즈")</f>
        <v>스토리위즈</v>
      </c>
      <c r="I2054" t="str">
        <f>T("회귀의 전설")</f>
        <v>회귀의 전설</v>
      </c>
      <c r="J2054">
        <v>100</v>
      </c>
      <c r="K2054">
        <v>100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100</v>
      </c>
      <c r="AH2054">
        <v>1</v>
      </c>
      <c r="AI2054">
        <v>0</v>
      </c>
      <c r="AJ2054">
        <v>0</v>
      </c>
      <c r="AK2054">
        <v>100</v>
      </c>
      <c r="AL2054">
        <v>0</v>
      </c>
      <c r="AM2054">
        <v>0</v>
      </c>
      <c r="AN2054">
        <v>0</v>
      </c>
      <c r="AO2054">
        <v>0</v>
      </c>
      <c r="AQ2054">
        <v>0</v>
      </c>
      <c r="AR2054">
        <v>0</v>
      </c>
      <c r="AT2054">
        <v>0</v>
      </c>
      <c r="AU2054">
        <v>0</v>
      </c>
      <c r="AW2054">
        <v>0</v>
      </c>
      <c r="AX2054">
        <v>0</v>
      </c>
      <c r="AY2054">
        <v>70</v>
      </c>
      <c r="BC2054" t="str">
        <f>T("9791191102086")</f>
        <v>9791191102086</v>
      </c>
      <c r="BE2054" t="str">
        <f>T("판타지 웹소설 &gt; 현대 판타지")</f>
        <v>판타지 웹소설 &gt; 현대 판타지</v>
      </c>
    </row>
    <row r="2055" spans="1:57" x14ac:dyDescent="0.3">
      <c r="A2055">
        <v>1525011523</v>
      </c>
      <c r="B2055">
        <v>1525011245</v>
      </c>
      <c r="C2055" t="str">
        <f>T("남창목가 279화")</f>
        <v>남창목가 279화</v>
      </c>
      <c r="D2055" t="str">
        <f>T("279")</f>
        <v>279</v>
      </c>
      <c r="E2055" t="str">
        <f>T("최재봉")</f>
        <v>최재봉</v>
      </c>
      <c r="H2055" t="str">
        <f>T("에필로그")</f>
        <v>에필로그</v>
      </c>
      <c r="I2055" t="str">
        <f>T("남창목가")</f>
        <v>남창목가</v>
      </c>
      <c r="J2055">
        <v>100</v>
      </c>
      <c r="K2055">
        <v>100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100</v>
      </c>
      <c r="AH2055">
        <v>1</v>
      </c>
      <c r="AI2055">
        <v>0</v>
      </c>
      <c r="AJ2055">
        <v>0</v>
      </c>
      <c r="AK2055">
        <v>0</v>
      </c>
      <c r="AL2055">
        <v>0</v>
      </c>
      <c r="AM2055">
        <v>120</v>
      </c>
      <c r="AN2055">
        <v>-12</v>
      </c>
      <c r="AO2055">
        <v>0</v>
      </c>
      <c r="AQ2055">
        <v>0</v>
      </c>
      <c r="AR2055">
        <v>0</v>
      </c>
      <c r="AS2055">
        <v>120</v>
      </c>
      <c r="AT2055">
        <v>-12</v>
      </c>
      <c r="AU2055">
        <v>0</v>
      </c>
      <c r="AW2055">
        <v>0</v>
      </c>
      <c r="AX2055">
        <v>0</v>
      </c>
      <c r="AY2055">
        <v>75.599999999999994</v>
      </c>
      <c r="BC2055" t="str">
        <f>T("9791164482849")</f>
        <v>9791164482849</v>
      </c>
      <c r="BE2055" t="str">
        <f>T("판타지 웹소설 &gt; 무협 소설")</f>
        <v>판타지 웹소설 &gt; 무협 소설</v>
      </c>
    </row>
    <row r="2056" spans="1:57" x14ac:dyDescent="0.3">
      <c r="A2056">
        <v>1525011523</v>
      </c>
      <c r="B2056">
        <v>1525011422</v>
      </c>
      <c r="C2056" t="str">
        <f>T("남창목가 102화")</f>
        <v>남창목가 102화</v>
      </c>
      <c r="D2056" t="str">
        <f>T("102")</f>
        <v>102</v>
      </c>
      <c r="E2056" t="str">
        <f>T("최재봉")</f>
        <v>최재봉</v>
      </c>
      <c r="H2056" t="str">
        <f>T("에필로그")</f>
        <v>에필로그</v>
      </c>
      <c r="I2056" t="str">
        <f>T("남창목가")</f>
        <v>남창목가</v>
      </c>
      <c r="J2056">
        <v>100</v>
      </c>
      <c r="K2056">
        <v>100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100</v>
      </c>
      <c r="AH2056">
        <v>1</v>
      </c>
      <c r="AI2056">
        <v>0</v>
      </c>
      <c r="AJ2056">
        <v>0</v>
      </c>
      <c r="AK2056">
        <v>100</v>
      </c>
      <c r="AL2056">
        <v>0</v>
      </c>
      <c r="AM2056">
        <v>0</v>
      </c>
      <c r="AN2056">
        <v>0</v>
      </c>
      <c r="AO2056">
        <v>0</v>
      </c>
      <c r="AQ2056">
        <v>0</v>
      </c>
      <c r="AR2056">
        <v>0</v>
      </c>
      <c r="AT2056">
        <v>0</v>
      </c>
      <c r="AU2056">
        <v>0</v>
      </c>
      <c r="AW2056">
        <v>0</v>
      </c>
      <c r="AX2056">
        <v>0</v>
      </c>
      <c r="AY2056">
        <v>70</v>
      </c>
      <c r="BC2056" t="str">
        <f>T("9791164482849")</f>
        <v>9791164482849</v>
      </c>
      <c r="BE2056" t="str">
        <f>T("판타지 웹소설 &gt; 무협 소설")</f>
        <v>판타지 웹소설 &gt; 무협 소설</v>
      </c>
    </row>
    <row r="2057" spans="1:57" x14ac:dyDescent="0.3">
      <c r="A2057">
        <v>1525004030</v>
      </c>
      <c r="B2057">
        <v>1525007010</v>
      </c>
      <c r="C2057" t="str">
        <f>T("회귀의 전설 2부 894화")</f>
        <v>회귀의 전설 2부 894화</v>
      </c>
      <c r="D2057" t="str">
        <f>T("894")</f>
        <v>894</v>
      </c>
      <c r="E2057" t="str">
        <f>T("김광수")</f>
        <v>김광수</v>
      </c>
      <c r="H2057" t="str">
        <f>T("스토리위즈")</f>
        <v>스토리위즈</v>
      </c>
      <c r="I2057" t="str">
        <f>T("회귀의 전설")</f>
        <v>회귀의 전설</v>
      </c>
      <c r="J2057">
        <v>100</v>
      </c>
      <c r="K2057">
        <v>100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100</v>
      </c>
      <c r="AH2057">
        <v>1</v>
      </c>
      <c r="AI2057">
        <v>0</v>
      </c>
      <c r="AJ2057">
        <v>0</v>
      </c>
      <c r="AK2057">
        <v>100</v>
      </c>
      <c r="AL2057">
        <v>0</v>
      </c>
      <c r="AM2057">
        <v>0</v>
      </c>
      <c r="AN2057">
        <v>0</v>
      </c>
      <c r="AO2057">
        <v>0</v>
      </c>
      <c r="AQ2057">
        <v>0</v>
      </c>
      <c r="AR2057">
        <v>0</v>
      </c>
      <c r="AT2057">
        <v>0</v>
      </c>
      <c r="AU2057">
        <v>0</v>
      </c>
      <c r="AW2057">
        <v>0</v>
      </c>
      <c r="AX2057">
        <v>0</v>
      </c>
      <c r="AY2057">
        <v>70</v>
      </c>
      <c r="BC2057" t="str">
        <f>T("9791191102086")</f>
        <v>9791191102086</v>
      </c>
      <c r="BE2057" t="str">
        <f>T("판타지 웹소설 &gt; 현대 판타지")</f>
        <v>판타지 웹소설 &gt; 현대 판타지</v>
      </c>
    </row>
    <row r="2058" spans="1:57" x14ac:dyDescent="0.3">
      <c r="A2058">
        <v>1525011523</v>
      </c>
      <c r="B2058">
        <v>1525011108</v>
      </c>
      <c r="C2058" t="str">
        <f>T("남창목가 416화")</f>
        <v>남창목가 416화</v>
      </c>
      <c r="D2058" t="str">
        <f>T("416")</f>
        <v>416</v>
      </c>
      <c r="E2058" t="str">
        <f>T("최재봉")</f>
        <v>최재봉</v>
      </c>
      <c r="H2058" t="str">
        <f>T("에필로그")</f>
        <v>에필로그</v>
      </c>
      <c r="I2058" t="str">
        <f>T("남창목가")</f>
        <v>남창목가</v>
      </c>
      <c r="J2058">
        <v>100</v>
      </c>
      <c r="K2058">
        <v>100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100</v>
      </c>
      <c r="AH2058">
        <v>1</v>
      </c>
      <c r="AI2058">
        <v>0</v>
      </c>
      <c r="AJ2058">
        <v>0</v>
      </c>
      <c r="AK2058">
        <v>0</v>
      </c>
      <c r="AL2058">
        <v>0</v>
      </c>
      <c r="AM2058">
        <v>120</v>
      </c>
      <c r="AN2058">
        <v>-12</v>
      </c>
      <c r="AO2058">
        <v>0</v>
      </c>
      <c r="AQ2058">
        <v>0</v>
      </c>
      <c r="AR2058">
        <v>0</v>
      </c>
      <c r="AS2058">
        <v>120</v>
      </c>
      <c r="AT2058">
        <v>-12</v>
      </c>
      <c r="AU2058">
        <v>0</v>
      </c>
      <c r="AW2058">
        <v>0</v>
      </c>
      <c r="AX2058">
        <v>0</v>
      </c>
      <c r="AY2058">
        <v>75.599999999999994</v>
      </c>
      <c r="BC2058" t="str">
        <f>T("9791164482849")</f>
        <v>9791164482849</v>
      </c>
      <c r="BE2058" t="str">
        <f>T("판타지 웹소설 &gt; 무협 소설")</f>
        <v>판타지 웹소설 &gt; 무협 소설</v>
      </c>
    </row>
    <row r="2059" spans="1:57" x14ac:dyDescent="0.3">
      <c r="A2059">
        <v>1525008428</v>
      </c>
      <c r="B2059">
        <v>1525008411</v>
      </c>
      <c r="C2059" t="str">
        <f>T("무히비(Muhibbi) 108화")</f>
        <v>무히비(Muhibbi) 108화</v>
      </c>
      <c r="D2059" t="str">
        <f>T("108")</f>
        <v>108</v>
      </c>
      <c r="E2059" t="str">
        <f>T("jooki")</f>
        <v>jooki</v>
      </c>
      <c r="H2059" t="str">
        <f>T("블러쉬")</f>
        <v>블러쉬</v>
      </c>
      <c r="I2059" t="str">
        <f>T("무히비(Muhibbi)")</f>
        <v>무히비(Muhibbi)</v>
      </c>
      <c r="J2059">
        <v>100</v>
      </c>
      <c r="K2059">
        <v>100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100</v>
      </c>
      <c r="AH2059">
        <v>1</v>
      </c>
      <c r="AI2059">
        <v>0</v>
      </c>
      <c r="AJ2059">
        <v>0</v>
      </c>
      <c r="AK2059">
        <v>100</v>
      </c>
      <c r="AL2059">
        <v>0</v>
      </c>
      <c r="AM2059">
        <v>0</v>
      </c>
      <c r="AN2059">
        <v>0</v>
      </c>
      <c r="AO2059">
        <v>0</v>
      </c>
      <c r="AQ2059">
        <v>0</v>
      </c>
      <c r="AR2059">
        <v>0</v>
      </c>
      <c r="AT2059">
        <v>0</v>
      </c>
      <c r="AU2059">
        <v>0</v>
      </c>
      <c r="AW2059">
        <v>0</v>
      </c>
      <c r="AX2059">
        <v>0</v>
      </c>
      <c r="AY2059">
        <v>70</v>
      </c>
      <c r="BA2059" t="str">
        <f>T("0000000000000")</f>
        <v>0000000000000</v>
      </c>
      <c r="BC2059" t="str">
        <f>T("9791164896622")</f>
        <v>9791164896622</v>
      </c>
      <c r="BE2059" t="str">
        <f>T("BL 웹소설 &gt; 역사/시대물")</f>
        <v>BL 웹소설 &gt; 역사/시대물</v>
      </c>
    </row>
    <row r="2060" spans="1:57" x14ac:dyDescent="0.3">
      <c r="A2060">
        <v>1525004030</v>
      </c>
      <c r="B2060">
        <v>1525006969</v>
      </c>
      <c r="C2060" t="str">
        <f>T("회귀의 전설 2부 853화")</f>
        <v>회귀의 전설 2부 853화</v>
      </c>
      <c r="D2060" t="str">
        <f>T("853")</f>
        <v>853</v>
      </c>
      <c r="E2060" t="str">
        <f>T("김광수")</f>
        <v>김광수</v>
      </c>
      <c r="H2060" t="str">
        <f>T("스토리위즈")</f>
        <v>스토리위즈</v>
      </c>
      <c r="I2060" t="str">
        <f>T("회귀의 전설")</f>
        <v>회귀의 전설</v>
      </c>
      <c r="J2060">
        <v>100</v>
      </c>
      <c r="K2060">
        <v>100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100</v>
      </c>
      <c r="AH2060">
        <v>1</v>
      </c>
      <c r="AI2060">
        <v>0</v>
      </c>
      <c r="AJ2060">
        <v>0</v>
      </c>
      <c r="AK2060">
        <v>100</v>
      </c>
      <c r="AL2060">
        <v>0</v>
      </c>
      <c r="AM2060">
        <v>0</v>
      </c>
      <c r="AN2060">
        <v>0</v>
      </c>
      <c r="AO2060">
        <v>0</v>
      </c>
      <c r="AQ2060">
        <v>0</v>
      </c>
      <c r="AR2060">
        <v>0</v>
      </c>
      <c r="AT2060">
        <v>0</v>
      </c>
      <c r="AU2060">
        <v>0</v>
      </c>
      <c r="AW2060">
        <v>0</v>
      </c>
      <c r="AX2060">
        <v>0</v>
      </c>
      <c r="AY2060">
        <v>70</v>
      </c>
      <c r="BC2060" t="str">
        <f>T("9791191102086")</f>
        <v>9791191102086</v>
      </c>
      <c r="BE2060" t="str">
        <f>T("판타지 웹소설 &gt; 현대 판타지")</f>
        <v>판타지 웹소설 &gt; 현대 판타지</v>
      </c>
    </row>
    <row r="2061" spans="1:57" x14ac:dyDescent="0.3">
      <c r="A2061">
        <v>1525011523</v>
      </c>
      <c r="B2061">
        <v>1525011362</v>
      </c>
      <c r="C2061" t="str">
        <f>T("남창목가 162화")</f>
        <v>남창목가 162화</v>
      </c>
      <c r="D2061" t="str">
        <f>T("162")</f>
        <v>162</v>
      </c>
      <c r="E2061" t="str">
        <f>T("최재봉")</f>
        <v>최재봉</v>
      </c>
      <c r="H2061" t="str">
        <f>T("에필로그")</f>
        <v>에필로그</v>
      </c>
      <c r="I2061" t="str">
        <f>T("남창목가")</f>
        <v>남창목가</v>
      </c>
      <c r="J2061">
        <v>100</v>
      </c>
      <c r="K2061">
        <v>100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100</v>
      </c>
      <c r="AH2061">
        <v>1</v>
      </c>
      <c r="AI2061">
        <v>0</v>
      </c>
      <c r="AJ2061">
        <v>0</v>
      </c>
      <c r="AK2061">
        <v>0</v>
      </c>
      <c r="AL2061">
        <v>0</v>
      </c>
      <c r="AM2061">
        <v>120</v>
      </c>
      <c r="AN2061">
        <v>-12</v>
      </c>
      <c r="AO2061">
        <v>0</v>
      </c>
      <c r="AQ2061">
        <v>0</v>
      </c>
      <c r="AR2061">
        <v>0</v>
      </c>
      <c r="AS2061">
        <v>120</v>
      </c>
      <c r="AT2061">
        <v>-12</v>
      </c>
      <c r="AU2061">
        <v>0</v>
      </c>
      <c r="AW2061">
        <v>0</v>
      </c>
      <c r="AX2061">
        <v>0</v>
      </c>
      <c r="AY2061">
        <v>75.599999999999994</v>
      </c>
      <c r="BC2061" t="str">
        <f>T("9791164482849")</f>
        <v>9791164482849</v>
      </c>
      <c r="BE2061" t="str">
        <f>T("판타지 웹소설 &gt; 무협 소설")</f>
        <v>판타지 웹소설 &gt; 무협 소설</v>
      </c>
    </row>
    <row r="2062" spans="1:57" x14ac:dyDescent="0.3">
      <c r="A2062">
        <v>1525002125</v>
      </c>
      <c r="B2062">
        <v>1525002390</v>
      </c>
      <c r="C2062" t="str">
        <f>T("신을 죽이러 갑니다 266화")</f>
        <v>신을 죽이러 갑니다 266화</v>
      </c>
      <c r="D2062" t="str">
        <f>T("266")</f>
        <v>266</v>
      </c>
      <c r="E2062" t="str">
        <f>T("독고진")</f>
        <v>독고진</v>
      </c>
      <c r="H2062" t="str">
        <f>T("스토리위즈")</f>
        <v>스토리위즈</v>
      </c>
      <c r="I2062" t="str">
        <f>T("신을 죽이러 갑니다")</f>
        <v>신을 죽이러 갑니다</v>
      </c>
      <c r="J2062">
        <v>100</v>
      </c>
      <c r="K2062">
        <v>100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100</v>
      </c>
      <c r="AH2062">
        <v>1</v>
      </c>
      <c r="AI2062">
        <v>0</v>
      </c>
      <c r="AJ2062">
        <v>0</v>
      </c>
      <c r="AK2062">
        <v>0</v>
      </c>
      <c r="AL2062">
        <v>0</v>
      </c>
      <c r="AM2062">
        <v>120</v>
      </c>
      <c r="AN2062">
        <v>-12</v>
      </c>
      <c r="AO2062">
        <v>0</v>
      </c>
      <c r="AQ2062">
        <v>0</v>
      </c>
      <c r="AR2062">
        <v>0</v>
      </c>
      <c r="AS2062">
        <v>120</v>
      </c>
      <c r="AT2062">
        <v>-12</v>
      </c>
      <c r="AU2062">
        <v>0</v>
      </c>
      <c r="AW2062">
        <v>0</v>
      </c>
      <c r="AX2062">
        <v>0</v>
      </c>
      <c r="AY2062">
        <v>75.599999999999994</v>
      </c>
      <c r="BC2062" t="str">
        <f>T("9791159285806")</f>
        <v>9791159285806</v>
      </c>
      <c r="BE2062" t="str">
        <f>T("판타지 웹소설 &gt; 퓨전 판타지")</f>
        <v>판타지 웹소설 &gt; 퓨전 판타지</v>
      </c>
    </row>
    <row r="2063" spans="1:57" x14ac:dyDescent="0.3">
      <c r="A2063">
        <v>1525004030</v>
      </c>
      <c r="B2063">
        <v>1525007124</v>
      </c>
      <c r="C2063" t="str">
        <f>T("회귀의 전설 2부 1008화")</f>
        <v>회귀의 전설 2부 1008화</v>
      </c>
      <c r="D2063" t="str">
        <f>T("1008")</f>
        <v>1008</v>
      </c>
      <c r="E2063" t="str">
        <f>T("김광수")</f>
        <v>김광수</v>
      </c>
      <c r="H2063" t="str">
        <f>T("스토리위즈")</f>
        <v>스토리위즈</v>
      </c>
      <c r="I2063" t="str">
        <f>T("회귀의 전설")</f>
        <v>회귀의 전설</v>
      </c>
      <c r="J2063">
        <v>100</v>
      </c>
      <c r="K2063">
        <v>100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100</v>
      </c>
      <c r="AH2063">
        <v>1</v>
      </c>
      <c r="AI2063">
        <v>0</v>
      </c>
      <c r="AJ2063">
        <v>0</v>
      </c>
      <c r="AK2063">
        <v>100</v>
      </c>
      <c r="AL2063">
        <v>0</v>
      </c>
      <c r="AM2063">
        <v>0</v>
      </c>
      <c r="AN2063">
        <v>0</v>
      </c>
      <c r="AO2063">
        <v>0</v>
      </c>
      <c r="AQ2063">
        <v>0</v>
      </c>
      <c r="AR2063">
        <v>0</v>
      </c>
      <c r="AT2063">
        <v>0</v>
      </c>
      <c r="AU2063">
        <v>0</v>
      </c>
      <c r="AW2063">
        <v>0</v>
      </c>
      <c r="AX2063">
        <v>0</v>
      </c>
      <c r="AY2063">
        <v>70</v>
      </c>
      <c r="BC2063" t="str">
        <f>T("9791191102086")</f>
        <v>9791191102086</v>
      </c>
      <c r="BE2063" t="str">
        <f>T("판타지 웹소설 &gt; 현대 판타지")</f>
        <v>판타지 웹소설 &gt; 현대 판타지</v>
      </c>
    </row>
    <row r="2064" spans="1:57" x14ac:dyDescent="0.3">
      <c r="A2064">
        <v>1525004030</v>
      </c>
      <c r="B2064">
        <v>1525004497</v>
      </c>
      <c r="C2064" t="str">
        <f>T("회귀의 전설 481화")</f>
        <v>회귀의 전설 481화</v>
      </c>
      <c r="D2064" t="str">
        <f>T("481")</f>
        <v>481</v>
      </c>
      <c r="E2064" t="str">
        <f>T("김광수")</f>
        <v>김광수</v>
      </c>
      <c r="H2064" t="str">
        <f>T("스토리위즈")</f>
        <v>스토리위즈</v>
      </c>
      <c r="I2064" t="str">
        <f>T("회귀의 전설")</f>
        <v>회귀의 전설</v>
      </c>
      <c r="J2064">
        <v>100</v>
      </c>
      <c r="K2064">
        <v>100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100</v>
      </c>
      <c r="AH2064">
        <v>1</v>
      </c>
      <c r="AI2064">
        <v>0</v>
      </c>
      <c r="AJ2064">
        <v>0</v>
      </c>
      <c r="AK2064">
        <v>100</v>
      </c>
      <c r="AL2064">
        <v>0</v>
      </c>
      <c r="AM2064">
        <v>0</v>
      </c>
      <c r="AN2064">
        <v>0</v>
      </c>
      <c r="AO2064">
        <v>0</v>
      </c>
      <c r="AQ2064">
        <v>0</v>
      </c>
      <c r="AR2064">
        <v>0</v>
      </c>
      <c r="AT2064">
        <v>0</v>
      </c>
      <c r="AU2064">
        <v>0</v>
      </c>
      <c r="AW2064">
        <v>0</v>
      </c>
      <c r="AX2064">
        <v>0</v>
      </c>
      <c r="AY2064">
        <v>70</v>
      </c>
      <c r="BC2064" t="str">
        <f>T("9788997946006")</f>
        <v>9788997946006</v>
      </c>
      <c r="BE2064" t="str">
        <f>T("판타지 웹소설 &gt; 현대 판타지")</f>
        <v>판타지 웹소설 &gt; 현대 판타지</v>
      </c>
    </row>
    <row r="2065" spans="1:57" x14ac:dyDescent="0.3">
      <c r="A2065">
        <v>1525012551</v>
      </c>
      <c r="B2065">
        <v>1525012725</v>
      </c>
      <c r="C2065" t="str">
        <f>T("개정판 | 바보가 만드는 멋진 세상 175화")</f>
        <v>개정판 | 바보가 만드는 멋진 세상 175화</v>
      </c>
      <c r="D2065" t="str">
        <f>T("175")</f>
        <v>175</v>
      </c>
      <c r="E2065" t="str">
        <f>T("백범(白帆)")</f>
        <v>백범(白帆)</v>
      </c>
      <c r="H2065" t="str">
        <f>T("에필로그")</f>
        <v>에필로그</v>
      </c>
      <c r="I2065" t="str">
        <f>T("개정판 | 바보가 만드는 멋진 세상")</f>
        <v>개정판 | 바보가 만드는 멋진 세상</v>
      </c>
      <c r="J2065">
        <v>100</v>
      </c>
      <c r="K2065">
        <v>100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100</v>
      </c>
      <c r="AH2065">
        <v>1</v>
      </c>
      <c r="AI2065">
        <v>0</v>
      </c>
      <c r="AJ2065">
        <v>0</v>
      </c>
      <c r="AK2065">
        <v>100</v>
      </c>
      <c r="AL2065">
        <v>0</v>
      </c>
      <c r="AM2065">
        <v>0</v>
      </c>
      <c r="AN2065">
        <v>0</v>
      </c>
      <c r="AO2065">
        <v>0</v>
      </c>
      <c r="AQ2065">
        <v>0</v>
      </c>
      <c r="AR2065">
        <v>0</v>
      </c>
      <c r="AT2065">
        <v>0</v>
      </c>
      <c r="AU2065">
        <v>0</v>
      </c>
      <c r="AW2065">
        <v>0</v>
      </c>
      <c r="AX2065">
        <v>0</v>
      </c>
      <c r="AY2065">
        <v>70</v>
      </c>
      <c r="BC2065" t="str">
        <f>T("9791166003493")</f>
        <v>9791166003493</v>
      </c>
      <c r="BE2065" t="str">
        <f>T("판타지 웹소설 &gt; 현대 판타지")</f>
        <v>판타지 웹소설 &gt; 현대 판타지</v>
      </c>
    </row>
    <row r="2066" spans="1:57" x14ac:dyDescent="0.3">
      <c r="A2066">
        <v>1525008545</v>
      </c>
      <c r="B2066">
        <v>1525008538</v>
      </c>
      <c r="C2066" t="str">
        <f>T("소년연애담 13화")</f>
        <v>소년연애담 13화</v>
      </c>
      <c r="D2066" t="str">
        <f>T("13")</f>
        <v>13</v>
      </c>
      <c r="E2066" t="str">
        <f>T("나나코")</f>
        <v>나나코</v>
      </c>
      <c r="H2066" t="str">
        <f>T("블러쉬")</f>
        <v>블러쉬</v>
      </c>
      <c r="I2066" t="str">
        <f>T("소년연애담")</f>
        <v>소년연애담</v>
      </c>
      <c r="J2066">
        <v>100</v>
      </c>
      <c r="K2066">
        <v>100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100</v>
      </c>
      <c r="AH2066">
        <v>1</v>
      </c>
      <c r="AI2066">
        <v>0</v>
      </c>
      <c r="AJ2066">
        <v>0</v>
      </c>
      <c r="AK2066">
        <v>100</v>
      </c>
      <c r="AL2066">
        <v>0</v>
      </c>
      <c r="AM2066">
        <v>0</v>
      </c>
      <c r="AN2066">
        <v>0</v>
      </c>
      <c r="AO2066">
        <v>0</v>
      </c>
      <c r="AQ2066">
        <v>0</v>
      </c>
      <c r="AR2066">
        <v>0</v>
      </c>
      <c r="AT2066">
        <v>0</v>
      </c>
      <c r="AU2066">
        <v>0</v>
      </c>
      <c r="AW2066">
        <v>0</v>
      </c>
      <c r="AX2066">
        <v>0</v>
      </c>
      <c r="AY2066">
        <v>70</v>
      </c>
      <c r="BA2066" t="str">
        <f>T("0000000000000")</f>
        <v>0000000000000</v>
      </c>
      <c r="BC2066" t="str">
        <f>T("9791164890729")</f>
        <v>9791164890729</v>
      </c>
      <c r="BD2066" t="str">
        <f>T("B12")</f>
        <v>B12</v>
      </c>
      <c r="BE2066" t="str">
        <f>T("BL 웹소설 &gt; 현대물")</f>
        <v>BL 웹소설 &gt; 현대물</v>
      </c>
    </row>
    <row r="2067" spans="1:57" x14ac:dyDescent="0.3">
      <c r="A2067">
        <v>1525002864</v>
      </c>
      <c r="B2067">
        <v>1525003493</v>
      </c>
      <c r="C2067" t="str">
        <f>T("소드마스터의 환생 205화 (외전 11)")</f>
        <v>소드마스터의 환생 205화 (외전 11)</v>
      </c>
      <c r="D2067" t="str">
        <f>T("205")</f>
        <v>205</v>
      </c>
      <c r="E2067" t="str">
        <f>T("파란영")</f>
        <v>파란영</v>
      </c>
      <c r="H2067" t="str">
        <f>T("스토리위즈")</f>
        <v>스토리위즈</v>
      </c>
      <c r="I2067" t="str">
        <f>T("소드마스터의 환생")</f>
        <v>소드마스터의 환생</v>
      </c>
      <c r="J2067">
        <v>100</v>
      </c>
      <c r="K2067">
        <v>100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100</v>
      </c>
      <c r="AH2067">
        <v>1</v>
      </c>
      <c r="AI2067">
        <v>0</v>
      </c>
      <c r="AJ2067">
        <v>0</v>
      </c>
      <c r="AK2067">
        <v>100</v>
      </c>
      <c r="AL2067">
        <v>0</v>
      </c>
      <c r="AM2067">
        <v>0</v>
      </c>
      <c r="AN2067">
        <v>0</v>
      </c>
      <c r="AO2067">
        <v>0</v>
      </c>
      <c r="AQ2067">
        <v>0</v>
      </c>
      <c r="AR2067">
        <v>0</v>
      </c>
      <c r="AT2067">
        <v>0</v>
      </c>
      <c r="AU2067">
        <v>0</v>
      </c>
      <c r="AW2067">
        <v>0</v>
      </c>
      <c r="AX2067">
        <v>0</v>
      </c>
      <c r="AY2067">
        <v>70</v>
      </c>
      <c r="BC2067" t="str">
        <f>T("9791159287527")</f>
        <v>9791159287527</v>
      </c>
      <c r="BE2067" t="str">
        <f>T("판타지 웹소설 &gt; 정통 판타지")</f>
        <v>판타지 웹소설 &gt; 정통 판타지</v>
      </c>
    </row>
    <row r="2068" spans="1:57" x14ac:dyDescent="0.3">
      <c r="A2068">
        <v>1525008428</v>
      </c>
      <c r="B2068">
        <v>1525008488</v>
      </c>
      <c r="C2068" t="str">
        <f>T("무히비(Muhibbi) 74화")</f>
        <v>무히비(Muhibbi) 74화</v>
      </c>
      <c r="D2068" t="str">
        <f>T("74")</f>
        <v>74</v>
      </c>
      <c r="E2068" t="str">
        <f>T("jooki")</f>
        <v>jooki</v>
      </c>
      <c r="H2068" t="str">
        <f>T("블러쉬")</f>
        <v>블러쉬</v>
      </c>
      <c r="I2068" t="str">
        <f>T("무히비(Muhibbi)")</f>
        <v>무히비(Muhibbi)</v>
      </c>
      <c r="J2068">
        <v>100</v>
      </c>
      <c r="K2068">
        <v>100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100</v>
      </c>
      <c r="AH2068">
        <v>1</v>
      </c>
      <c r="AI2068">
        <v>0</v>
      </c>
      <c r="AJ2068">
        <v>0</v>
      </c>
      <c r="AK2068">
        <v>100</v>
      </c>
      <c r="AL2068">
        <v>0</v>
      </c>
      <c r="AM2068">
        <v>0</v>
      </c>
      <c r="AN2068">
        <v>0</v>
      </c>
      <c r="AO2068">
        <v>0</v>
      </c>
      <c r="AQ2068">
        <v>0</v>
      </c>
      <c r="AR2068">
        <v>0</v>
      </c>
      <c r="AT2068">
        <v>0</v>
      </c>
      <c r="AU2068">
        <v>0</v>
      </c>
      <c r="AW2068">
        <v>0</v>
      </c>
      <c r="AX2068">
        <v>0</v>
      </c>
      <c r="AY2068">
        <v>70</v>
      </c>
      <c r="BC2068" t="str">
        <f>T("9791164896622")</f>
        <v>9791164896622</v>
      </c>
      <c r="BE2068" t="str">
        <f>T("BL 웹소설 &gt; 역사/시대물")</f>
        <v>BL 웹소설 &gt; 역사/시대물</v>
      </c>
    </row>
    <row r="2069" spans="1:57" x14ac:dyDescent="0.3">
      <c r="A2069">
        <v>1525011523</v>
      </c>
      <c r="B2069">
        <v>1525011322</v>
      </c>
      <c r="C2069" t="str">
        <f>T("남창목가 202화")</f>
        <v>남창목가 202화</v>
      </c>
      <c r="D2069" t="str">
        <f>T("202")</f>
        <v>202</v>
      </c>
      <c r="E2069" t="str">
        <f>T("최재봉")</f>
        <v>최재봉</v>
      </c>
      <c r="H2069" t="str">
        <f>T("에필로그")</f>
        <v>에필로그</v>
      </c>
      <c r="I2069" t="str">
        <f>T("남창목가")</f>
        <v>남창목가</v>
      </c>
      <c r="J2069">
        <v>100</v>
      </c>
      <c r="K2069">
        <v>100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100</v>
      </c>
      <c r="AH2069">
        <v>1</v>
      </c>
      <c r="AI2069">
        <v>0</v>
      </c>
      <c r="AJ2069">
        <v>0</v>
      </c>
      <c r="AK2069">
        <v>0</v>
      </c>
      <c r="AL2069">
        <v>0</v>
      </c>
      <c r="AM2069">
        <v>120</v>
      </c>
      <c r="AN2069">
        <v>-12</v>
      </c>
      <c r="AO2069">
        <v>0</v>
      </c>
      <c r="AQ2069">
        <v>0</v>
      </c>
      <c r="AR2069">
        <v>0</v>
      </c>
      <c r="AS2069">
        <v>120</v>
      </c>
      <c r="AT2069">
        <v>-12</v>
      </c>
      <c r="AU2069">
        <v>0</v>
      </c>
      <c r="AW2069">
        <v>0</v>
      </c>
      <c r="AX2069">
        <v>0</v>
      </c>
      <c r="AY2069">
        <v>75.599999999999994</v>
      </c>
      <c r="BC2069" t="str">
        <f>T("9791164482849")</f>
        <v>9791164482849</v>
      </c>
      <c r="BE2069" t="str">
        <f>T("판타지 웹소설 &gt; 무협 소설")</f>
        <v>판타지 웹소설 &gt; 무협 소설</v>
      </c>
    </row>
    <row r="2070" spans="1:57" x14ac:dyDescent="0.3">
      <c r="A2070">
        <v>1525012551</v>
      </c>
      <c r="B2070">
        <v>1525012603</v>
      </c>
      <c r="C2070" t="str">
        <f>T("개정판 | 바보가 만드는 멋진 세상 53화")</f>
        <v>개정판 | 바보가 만드는 멋진 세상 53화</v>
      </c>
      <c r="D2070" t="str">
        <f>T("53")</f>
        <v>53</v>
      </c>
      <c r="E2070" t="str">
        <f>T("백범(白帆)")</f>
        <v>백범(白帆)</v>
      </c>
      <c r="H2070" t="str">
        <f>T("에필로그")</f>
        <v>에필로그</v>
      </c>
      <c r="I2070" t="str">
        <f>T("개정판 | 바보가 만드는 멋진 세상")</f>
        <v>개정판 | 바보가 만드는 멋진 세상</v>
      </c>
      <c r="J2070">
        <v>100</v>
      </c>
      <c r="K2070">
        <v>100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100</v>
      </c>
      <c r="AH2070">
        <v>1</v>
      </c>
      <c r="AI2070">
        <v>0</v>
      </c>
      <c r="AJ2070">
        <v>0</v>
      </c>
      <c r="AK2070">
        <v>100</v>
      </c>
      <c r="AL2070">
        <v>0</v>
      </c>
      <c r="AM2070">
        <v>0</v>
      </c>
      <c r="AN2070">
        <v>0</v>
      </c>
      <c r="AO2070">
        <v>0</v>
      </c>
      <c r="AQ2070">
        <v>0</v>
      </c>
      <c r="AR2070">
        <v>0</v>
      </c>
      <c r="AT2070">
        <v>0</v>
      </c>
      <c r="AU2070">
        <v>0</v>
      </c>
      <c r="AW2070">
        <v>0</v>
      </c>
      <c r="AX2070">
        <v>0</v>
      </c>
      <c r="AY2070">
        <v>70</v>
      </c>
      <c r="BC2070" t="str">
        <f>T("9791166003493")</f>
        <v>9791166003493</v>
      </c>
      <c r="BE2070" t="str">
        <f>T("판타지 웹소설 &gt; 현대 판타지")</f>
        <v>판타지 웹소설 &gt; 현대 판타지</v>
      </c>
    </row>
    <row r="2071" spans="1:57" x14ac:dyDescent="0.3">
      <c r="A2071">
        <v>1525004799</v>
      </c>
      <c r="B2071">
        <v>1525004953</v>
      </c>
      <c r="C2071" t="str">
        <f>T("검산도해 155화")</f>
        <v>검산도해 155화</v>
      </c>
      <c r="D2071" t="str">
        <f>T("155")</f>
        <v>155</v>
      </c>
      <c r="E2071" t="str">
        <f>T("권용찬")</f>
        <v>권용찬</v>
      </c>
      <c r="H2071" t="str">
        <f>T("스토리위즈")</f>
        <v>스토리위즈</v>
      </c>
      <c r="I2071" t="str">
        <f>T("검산도해")</f>
        <v>검산도해</v>
      </c>
      <c r="J2071">
        <v>100</v>
      </c>
      <c r="K2071">
        <v>100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100</v>
      </c>
      <c r="AH2071">
        <v>1</v>
      </c>
      <c r="AI2071">
        <v>0</v>
      </c>
      <c r="AJ2071">
        <v>0</v>
      </c>
      <c r="AK2071">
        <v>0</v>
      </c>
      <c r="AL2071">
        <v>0</v>
      </c>
      <c r="AM2071">
        <v>120</v>
      </c>
      <c r="AN2071">
        <v>-12</v>
      </c>
      <c r="AO2071">
        <v>0</v>
      </c>
      <c r="AQ2071">
        <v>0</v>
      </c>
      <c r="AR2071">
        <v>0</v>
      </c>
      <c r="AS2071">
        <v>120</v>
      </c>
      <c r="AT2071">
        <v>-12</v>
      </c>
      <c r="AU2071">
        <v>0</v>
      </c>
      <c r="AW2071">
        <v>0</v>
      </c>
      <c r="AX2071">
        <v>0</v>
      </c>
      <c r="AY2071">
        <v>75.599999999999994</v>
      </c>
      <c r="BC2071" t="str">
        <f>T("9791159285936")</f>
        <v>9791159285936</v>
      </c>
      <c r="BE2071" t="str">
        <f>T("판타지 웹소설 &gt; 무협 소설")</f>
        <v>판타지 웹소설 &gt; 무협 소설</v>
      </c>
    </row>
    <row r="2072" spans="1:57" x14ac:dyDescent="0.3">
      <c r="A2072">
        <v>1525004030</v>
      </c>
      <c r="B2072">
        <v>1525007042</v>
      </c>
      <c r="C2072" t="str">
        <f>T("회귀의 전설 2부 926화")</f>
        <v>회귀의 전설 2부 926화</v>
      </c>
      <c r="D2072" t="str">
        <f>T("926")</f>
        <v>926</v>
      </c>
      <c r="E2072" t="str">
        <f>T("김광수")</f>
        <v>김광수</v>
      </c>
      <c r="H2072" t="str">
        <f>T("스토리위즈")</f>
        <v>스토리위즈</v>
      </c>
      <c r="I2072" t="str">
        <f>T("회귀의 전설")</f>
        <v>회귀의 전설</v>
      </c>
      <c r="J2072">
        <v>100</v>
      </c>
      <c r="K2072">
        <v>100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100</v>
      </c>
      <c r="AH2072">
        <v>1</v>
      </c>
      <c r="AI2072">
        <v>0</v>
      </c>
      <c r="AJ2072">
        <v>0</v>
      </c>
      <c r="AK2072">
        <v>100</v>
      </c>
      <c r="AL2072">
        <v>0</v>
      </c>
      <c r="AM2072">
        <v>0</v>
      </c>
      <c r="AN2072">
        <v>0</v>
      </c>
      <c r="AO2072">
        <v>0</v>
      </c>
      <c r="AQ2072">
        <v>0</v>
      </c>
      <c r="AR2072">
        <v>0</v>
      </c>
      <c r="AT2072">
        <v>0</v>
      </c>
      <c r="AU2072">
        <v>0</v>
      </c>
      <c r="AW2072">
        <v>0</v>
      </c>
      <c r="AX2072">
        <v>0</v>
      </c>
      <c r="AY2072">
        <v>70</v>
      </c>
      <c r="BC2072" t="str">
        <f>T("9791191102086")</f>
        <v>9791191102086</v>
      </c>
      <c r="BE2072" t="str">
        <f>T("판타지 웹소설 &gt; 현대 판타지")</f>
        <v>판타지 웹소설 &gt; 현대 판타지</v>
      </c>
    </row>
    <row r="2073" spans="1:57" x14ac:dyDescent="0.3">
      <c r="A2073">
        <v>1525008428</v>
      </c>
      <c r="B2073">
        <v>1525008445</v>
      </c>
      <c r="C2073" t="str">
        <f>T("무히비(Muhibbi) 35화")</f>
        <v>무히비(Muhibbi) 35화</v>
      </c>
      <c r="D2073" t="str">
        <f>T("35")</f>
        <v>35</v>
      </c>
      <c r="E2073" t="str">
        <f>T("jooki")</f>
        <v>jooki</v>
      </c>
      <c r="H2073" t="str">
        <f>T("블러쉬")</f>
        <v>블러쉬</v>
      </c>
      <c r="I2073" t="str">
        <f>T("무히비(Muhibbi)")</f>
        <v>무히비(Muhibbi)</v>
      </c>
      <c r="J2073">
        <v>100</v>
      </c>
      <c r="K2073">
        <v>100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100</v>
      </c>
      <c r="AH2073">
        <v>1</v>
      </c>
      <c r="AI2073">
        <v>0</v>
      </c>
      <c r="AJ2073">
        <v>0</v>
      </c>
      <c r="AK2073">
        <v>100</v>
      </c>
      <c r="AL2073">
        <v>0</v>
      </c>
      <c r="AM2073">
        <v>0</v>
      </c>
      <c r="AN2073">
        <v>0</v>
      </c>
      <c r="AO2073">
        <v>0</v>
      </c>
      <c r="AQ2073">
        <v>0</v>
      </c>
      <c r="AR2073">
        <v>0</v>
      </c>
      <c r="AT2073">
        <v>0</v>
      </c>
      <c r="AU2073">
        <v>0</v>
      </c>
      <c r="AW2073">
        <v>0</v>
      </c>
      <c r="AX2073">
        <v>0</v>
      </c>
      <c r="AY2073">
        <v>70</v>
      </c>
      <c r="BC2073" t="str">
        <f>T("9791164896622")</f>
        <v>9791164896622</v>
      </c>
      <c r="BE2073" t="str">
        <f>T("BL 웹소설 &gt; 역사/시대물")</f>
        <v>BL 웹소설 &gt; 역사/시대물</v>
      </c>
    </row>
    <row r="2074" spans="1:57" x14ac:dyDescent="0.3">
      <c r="A2074">
        <v>1525004030</v>
      </c>
      <c r="B2074">
        <v>1525007001</v>
      </c>
      <c r="C2074" t="str">
        <f>T("회귀의 전설 2부 885화")</f>
        <v>회귀의 전설 2부 885화</v>
      </c>
      <c r="D2074" t="str">
        <f>T("885")</f>
        <v>885</v>
      </c>
      <c r="E2074" t="str">
        <f>T("김광수")</f>
        <v>김광수</v>
      </c>
      <c r="H2074" t="str">
        <f>T("스토리위즈")</f>
        <v>스토리위즈</v>
      </c>
      <c r="I2074" t="str">
        <f>T("회귀의 전설")</f>
        <v>회귀의 전설</v>
      </c>
      <c r="J2074">
        <v>100</v>
      </c>
      <c r="K2074">
        <v>100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100</v>
      </c>
      <c r="AH2074">
        <v>1</v>
      </c>
      <c r="AI2074">
        <v>0</v>
      </c>
      <c r="AJ2074">
        <v>0</v>
      </c>
      <c r="AK2074">
        <v>100</v>
      </c>
      <c r="AL2074">
        <v>0</v>
      </c>
      <c r="AM2074">
        <v>0</v>
      </c>
      <c r="AN2074">
        <v>0</v>
      </c>
      <c r="AO2074">
        <v>0</v>
      </c>
      <c r="AQ2074">
        <v>0</v>
      </c>
      <c r="AR2074">
        <v>0</v>
      </c>
      <c r="AT2074">
        <v>0</v>
      </c>
      <c r="AU2074">
        <v>0</v>
      </c>
      <c r="AW2074">
        <v>0</v>
      </c>
      <c r="AX2074">
        <v>0</v>
      </c>
      <c r="AY2074">
        <v>70</v>
      </c>
      <c r="BC2074" t="str">
        <f>T("9791191102086")</f>
        <v>9791191102086</v>
      </c>
      <c r="BE2074" t="str">
        <f>T("판타지 웹소설 &gt; 현대 판타지")</f>
        <v>판타지 웹소설 &gt; 현대 판타지</v>
      </c>
    </row>
    <row r="2075" spans="1:57" x14ac:dyDescent="0.3">
      <c r="A2075">
        <v>1525011523</v>
      </c>
      <c r="B2075">
        <v>1525011404</v>
      </c>
      <c r="C2075" t="str">
        <f>T("남창목가 120화")</f>
        <v>남창목가 120화</v>
      </c>
      <c r="D2075" t="str">
        <f>T("120")</f>
        <v>120</v>
      </c>
      <c r="E2075" t="str">
        <f>T("최재봉")</f>
        <v>최재봉</v>
      </c>
      <c r="H2075" t="str">
        <f>T("에필로그")</f>
        <v>에필로그</v>
      </c>
      <c r="I2075" t="str">
        <f>T("남창목가")</f>
        <v>남창목가</v>
      </c>
      <c r="J2075">
        <v>100</v>
      </c>
      <c r="K2075">
        <v>100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100</v>
      </c>
      <c r="AH2075">
        <v>1</v>
      </c>
      <c r="AI2075">
        <v>0</v>
      </c>
      <c r="AJ2075">
        <v>0</v>
      </c>
      <c r="AK2075">
        <v>100</v>
      </c>
      <c r="AL2075">
        <v>0</v>
      </c>
      <c r="AM2075">
        <v>0</v>
      </c>
      <c r="AN2075">
        <v>0</v>
      </c>
      <c r="AO2075">
        <v>0</v>
      </c>
      <c r="AQ2075">
        <v>0</v>
      </c>
      <c r="AR2075">
        <v>0</v>
      </c>
      <c r="AT2075">
        <v>0</v>
      </c>
      <c r="AU2075">
        <v>0</v>
      </c>
      <c r="AW2075">
        <v>0</v>
      </c>
      <c r="AX2075">
        <v>0</v>
      </c>
      <c r="AY2075">
        <v>70</v>
      </c>
      <c r="BC2075" t="str">
        <f>T("9791164482849")</f>
        <v>9791164482849</v>
      </c>
      <c r="BE2075" t="str">
        <f>T("판타지 웹소설 &gt; 무협 소설")</f>
        <v>판타지 웹소설 &gt; 무협 소설</v>
      </c>
    </row>
    <row r="2076" spans="1:57" x14ac:dyDescent="0.3">
      <c r="A2076">
        <v>1525013020</v>
      </c>
      <c r="B2076">
        <v>1525013083</v>
      </c>
      <c r="C2076" t="str">
        <f>T("악당의 리턴 64화")</f>
        <v>악당의 리턴 64화</v>
      </c>
      <c r="D2076" t="str">
        <f>T("64")</f>
        <v>64</v>
      </c>
      <c r="E2076" t="str">
        <f>T("백범(白帆)")</f>
        <v>백범(白帆)</v>
      </c>
      <c r="H2076" t="str">
        <f>T("에필로그")</f>
        <v>에필로그</v>
      </c>
      <c r="I2076" t="str">
        <f>T("악당의 리턴")</f>
        <v>악당의 리턴</v>
      </c>
      <c r="J2076">
        <v>100</v>
      </c>
      <c r="K2076">
        <v>100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100</v>
      </c>
      <c r="AH2076">
        <v>1</v>
      </c>
      <c r="AI2076">
        <v>0</v>
      </c>
      <c r="AJ2076">
        <v>0</v>
      </c>
      <c r="AK2076">
        <v>100</v>
      </c>
      <c r="AL2076">
        <v>0</v>
      </c>
      <c r="AM2076">
        <v>0</v>
      </c>
      <c r="AN2076">
        <v>0</v>
      </c>
      <c r="AO2076">
        <v>0</v>
      </c>
      <c r="AQ2076">
        <v>0</v>
      </c>
      <c r="AR2076">
        <v>0</v>
      </c>
      <c r="AT2076">
        <v>0</v>
      </c>
      <c r="AU2076">
        <v>0</v>
      </c>
      <c r="AW2076">
        <v>0</v>
      </c>
      <c r="AX2076">
        <v>0</v>
      </c>
      <c r="AY2076">
        <v>70</v>
      </c>
      <c r="BC2076" t="str">
        <f>T("9791196538927")</f>
        <v>9791196538927</v>
      </c>
      <c r="BE2076" t="str">
        <f>T("판타지 웹소설 &gt; 현대 판타지")</f>
        <v>판타지 웹소설 &gt; 현대 판타지</v>
      </c>
    </row>
    <row r="2077" spans="1:57" x14ac:dyDescent="0.3">
      <c r="A2077">
        <v>1525004030</v>
      </c>
      <c r="B2077">
        <v>1525007184</v>
      </c>
      <c r="C2077" t="str">
        <f>T("회귀의 전설 2부 1067화")</f>
        <v>회귀의 전설 2부 1067화</v>
      </c>
      <c r="D2077" t="str">
        <f>T("1067")</f>
        <v>1067</v>
      </c>
      <c r="E2077" t="str">
        <f>T("김광수")</f>
        <v>김광수</v>
      </c>
      <c r="H2077" t="str">
        <f>T("스토리위즈")</f>
        <v>스토리위즈</v>
      </c>
      <c r="I2077" t="str">
        <f>T("회귀의 전설")</f>
        <v>회귀의 전설</v>
      </c>
      <c r="J2077">
        <v>100</v>
      </c>
      <c r="K2077">
        <v>100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100</v>
      </c>
      <c r="AH2077">
        <v>1</v>
      </c>
      <c r="AI2077">
        <v>0</v>
      </c>
      <c r="AJ2077">
        <v>0</v>
      </c>
      <c r="AK2077">
        <v>100</v>
      </c>
      <c r="AL2077">
        <v>0</v>
      </c>
      <c r="AM2077">
        <v>0</v>
      </c>
      <c r="AN2077">
        <v>0</v>
      </c>
      <c r="AO2077">
        <v>0</v>
      </c>
      <c r="AQ2077">
        <v>0</v>
      </c>
      <c r="AR2077">
        <v>0</v>
      </c>
      <c r="AT2077">
        <v>0</v>
      </c>
      <c r="AU2077">
        <v>0</v>
      </c>
      <c r="AW2077">
        <v>0</v>
      </c>
      <c r="AX2077">
        <v>0</v>
      </c>
      <c r="AY2077">
        <v>70</v>
      </c>
      <c r="BC2077" t="str">
        <f>T("9791191102086")</f>
        <v>9791191102086</v>
      </c>
      <c r="BE2077" t="str">
        <f>T("판타지 웹소설 &gt; 현대 판타지")</f>
        <v>판타지 웹소설 &gt; 현대 판타지</v>
      </c>
    </row>
    <row r="2078" spans="1:57" x14ac:dyDescent="0.3">
      <c r="A2078">
        <v>1525008545</v>
      </c>
      <c r="B2078">
        <v>1525008570</v>
      </c>
      <c r="C2078" t="str">
        <f>T("소년연애담 42화")</f>
        <v>소년연애담 42화</v>
      </c>
      <c r="D2078" t="str">
        <f>T("42")</f>
        <v>42</v>
      </c>
      <c r="E2078" t="str">
        <f>T("나나코")</f>
        <v>나나코</v>
      </c>
      <c r="H2078" t="str">
        <f>T("블러쉬")</f>
        <v>블러쉬</v>
      </c>
      <c r="I2078" t="str">
        <f>T("소년연애담")</f>
        <v>소년연애담</v>
      </c>
      <c r="J2078">
        <v>100</v>
      </c>
      <c r="K2078">
        <v>100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100</v>
      </c>
      <c r="AH2078">
        <v>1</v>
      </c>
      <c r="AI2078">
        <v>0</v>
      </c>
      <c r="AJ2078">
        <v>0</v>
      </c>
      <c r="AK2078">
        <v>100</v>
      </c>
      <c r="AL2078">
        <v>0</v>
      </c>
      <c r="AM2078">
        <v>0</v>
      </c>
      <c r="AN2078">
        <v>0</v>
      </c>
      <c r="AO2078">
        <v>0</v>
      </c>
      <c r="AQ2078">
        <v>0</v>
      </c>
      <c r="AR2078">
        <v>0</v>
      </c>
      <c r="AT2078">
        <v>0</v>
      </c>
      <c r="AU2078">
        <v>0</v>
      </c>
      <c r="AW2078">
        <v>0</v>
      </c>
      <c r="AX2078">
        <v>0</v>
      </c>
      <c r="AY2078">
        <v>70</v>
      </c>
      <c r="BA2078" t="str">
        <f>T("0000000000000")</f>
        <v>0000000000000</v>
      </c>
      <c r="BC2078" t="str">
        <f>T("9791164890729")</f>
        <v>9791164890729</v>
      </c>
      <c r="BD2078" t="str">
        <f>T("B12")</f>
        <v>B12</v>
      </c>
      <c r="BE2078" t="str">
        <f>T("BL 웹소설 &gt; 현대물")</f>
        <v>BL 웹소설 &gt; 현대물</v>
      </c>
    </row>
    <row r="2079" spans="1:57" x14ac:dyDescent="0.3">
      <c r="A2079">
        <v>1525012551</v>
      </c>
      <c r="B2079">
        <v>1525012644</v>
      </c>
      <c r="C2079" t="str">
        <f>T("개정판 | 바보가 만드는 멋진 세상 94화")</f>
        <v>개정판 | 바보가 만드는 멋진 세상 94화</v>
      </c>
      <c r="D2079" t="str">
        <f>T("94")</f>
        <v>94</v>
      </c>
      <c r="E2079" t="str">
        <f>T("백범(白帆)")</f>
        <v>백범(白帆)</v>
      </c>
      <c r="H2079" t="str">
        <f>T("에필로그")</f>
        <v>에필로그</v>
      </c>
      <c r="I2079" t="str">
        <f>T("개정판 | 바보가 만드는 멋진 세상")</f>
        <v>개정판 | 바보가 만드는 멋진 세상</v>
      </c>
      <c r="J2079">
        <v>100</v>
      </c>
      <c r="K2079">
        <v>100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100</v>
      </c>
      <c r="AH2079">
        <v>1</v>
      </c>
      <c r="AI2079">
        <v>0</v>
      </c>
      <c r="AJ2079">
        <v>0</v>
      </c>
      <c r="AK2079">
        <v>100</v>
      </c>
      <c r="AL2079">
        <v>0</v>
      </c>
      <c r="AM2079">
        <v>0</v>
      </c>
      <c r="AN2079">
        <v>0</v>
      </c>
      <c r="AO2079">
        <v>0</v>
      </c>
      <c r="AQ2079">
        <v>0</v>
      </c>
      <c r="AR2079">
        <v>0</v>
      </c>
      <c r="AT2079">
        <v>0</v>
      </c>
      <c r="AU2079">
        <v>0</v>
      </c>
      <c r="AW2079">
        <v>0</v>
      </c>
      <c r="AX2079">
        <v>0</v>
      </c>
      <c r="AY2079">
        <v>70</v>
      </c>
      <c r="BC2079" t="str">
        <f>T("9791166003493")</f>
        <v>9791166003493</v>
      </c>
      <c r="BE2079" t="str">
        <f>T("판타지 웹소설 &gt; 현대 판타지")</f>
        <v>판타지 웹소설 &gt; 현대 판타지</v>
      </c>
    </row>
    <row r="2080" spans="1:57" x14ac:dyDescent="0.3">
      <c r="A2080">
        <v>1525012551</v>
      </c>
      <c r="B2080">
        <v>1525012635</v>
      </c>
      <c r="C2080" t="str">
        <f>T("개정판 | 바보가 만드는 멋진 세상 85화")</f>
        <v>개정판 | 바보가 만드는 멋진 세상 85화</v>
      </c>
      <c r="D2080" t="str">
        <f>T("85")</f>
        <v>85</v>
      </c>
      <c r="E2080" t="str">
        <f>T("백범(白帆)")</f>
        <v>백범(白帆)</v>
      </c>
      <c r="H2080" t="str">
        <f>T("에필로그")</f>
        <v>에필로그</v>
      </c>
      <c r="I2080" t="str">
        <f>T("개정판 | 바보가 만드는 멋진 세상")</f>
        <v>개정판 | 바보가 만드는 멋진 세상</v>
      </c>
      <c r="J2080">
        <v>100</v>
      </c>
      <c r="K2080">
        <v>100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100</v>
      </c>
      <c r="AH2080">
        <v>1</v>
      </c>
      <c r="AI2080">
        <v>0</v>
      </c>
      <c r="AJ2080">
        <v>0</v>
      </c>
      <c r="AK2080">
        <v>100</v>
      </c>
      <c r="AL2080">
        <v>0</v>
      </c>
      <c r="AM2080">
        <v>0</v>
      </c>
      <c r="AN2080">
        <v>0</v>
      </c>
      <c r="AO2080">
        <v>0</v>
      </c>
      <c r="AQ2080">
        <v>0</v>
      </c>
      <c r="AR2080">
        <v>0</v>
      </c>
      <c r="AT2080">
        <v>0</v>
      </c>
      <c r="AU2080">
        <v>0</v>
      </c>
      <c r="AW2080">
        <v>0</v>
      </c>
      <c r="AX2080">
        <v>0</v>
      </c>
      <c r="AY2080">
        <v>70</v>
      </c>
      <c r="BC2080" t="str">
        <f>T("9791166003493")</f>
        <v>9791166003493</v>
      </c>
      <c r="BE2080" t="str">
        <f>T("판타지 웹소설 &gt; 현대 판타지")</f>
        <v>판타지 웹소설 &gt; 현대 판타지</v>
      </c>
    </row>
    <row r="2081" spans="1:57" x14ac:dyDescent="0.3">
      <c r="A2081">
        <v>1525004799</v>
      </c>
      <c r="B2081">
        <v>1525004872</v>
      </c>
      <c r="C2081" t="str">
        <f>T("검산도해 74화")</f>
        <v>검산도해 74화</v>
      </c>
      <c r="D2081" t="str">
        <f>T("74")</f>
        <v>74</v>
      </c>
      <c r="E2081" t="str">
        <f>T("권용찬")</f>
        <v>권용찬</v>
      </c>
      <c r="H2081" t="str">
        <f>T("스토리위즈")</f>
        <v>스토리위즈</v>
      </c>
      <c r="I2081" t="str">
        <f>T("검산도해")</f>
        <v>검산도해</v>
      </c>
      <c r="J2081">
        <v>100</v>
      </c>
      <c r="K2081">
        <v>100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100</v>
      </c>
      <c r="AH2081">
        <v>1</v>
      </c>
      <c r="AI2081">
        <v>0</v>
      </c>
      <c r="AJ2081">
        <v>0</v>
      </c>
      <c r="AK2081">
        <v>0</v>
      </c>
      <c r="AL2081">
        <v>0</v>
      </c>
      <c r="AM2081">
        <v>120</v>
      </c>
      <c r="AN2081">
        <v>-12</v>
      </c>
      <c r="AO2081">
        <v>0</v>
      </c>
      <c r="AQ2081">
        <v>0</v>
      </c>
      <c r="AR2081">
        <v>0</v>
      </c>
      <c r="AS2081">
        <v>120</v>
      </c>
      <c r="AT2081">
        <v>-12</v>
      </c>
      <c r="AU2081">
        <v>0</v>
      </c>
      <c r="AW2081">
        <v>0</v>
      </c>
      <c r="AX2081">
        <v>0</v>
      </c>
      <c r="AY2081">
        <v>75.599999999999994</v>
      </c>
      <c r="BC2081" t="str">
        <f>T("9791159285936")</f>
        <v>9791159285936</v>
      </c>
      <c r="BE2081" t="str">
        <f>T("판타지 웹소설 &gt; 무협 소설")</f>
        <v>판타지 웹소설 &gt; 무협 소설</v>
      </c>
    </row>
    <row r="2082" spans="1:57" x14ac:dyDescent="0.3">
      <c r="A2082">
        <v>1525000924</v>
      </c>
      <c r="B2082">
        <v>1525000968</v>
      </c>
      <c r="C2082" t="str">
        <f>T("스피릿 소드 45화")</f>
        <v>스피릿 소드 45화</v>
      </c>
      <c r="D2082" t="str">
        <f>T("45")</f>
        <v>45</v>
      </c>
      <c r="E2082" t="str">
        <f>T("김정률")</f>
        <v>김정률</v>
      </c>
      <c r="H2082" t="str">
        <f>T("스토리위즈")</f>
        <v>스토리위즈</v>
      </c>
      <c r="I2082" t="str">
        <f>T("스피릿 소드")</f>
        <v>스피릿 소드</v>
      </c>
      <c r="J2082">
        <v>100</v>
      </c>
      <c r="K2082">
        <v>100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100</v>
      </c>
      <c r="AH2082">
        <v>1</v>
      </c>
      <c r="AI2082">
        <v>0</v>
      </c>
      <c r="AJ2082">
        <v>0</v>
      </c>
      <c r="AK2082">
        <v>100</v>
      </c>
      <c r="AL2082">
        <v>0</v>
      </c>
      <c r="AM2082">
        <v>0</v>
      </c>
      <c r="AN2082">
        <v>0</v>
      </c>
      <c r="AO2082">
        <v>0</v>
      </c>
      <c r="AQ2082">
        <v>0</v>
      </c>
      <c r="AR2082">
        <v>0</v>
      </c>
      <c r="AT2082">
        <v>0</v>
      </c>
      <c r="AU2082">
        <v>0</v>
      </c>
      <c r="AW2082">
        <v>0</v>
      </c>
      <c r="AX2082">
        <v>0</v>
      </c>
      <c r="AY2082">
        <v>70</v>
      </c>
      <c r="BA2082" t="str">
        <f>T("9791159282713")</f>
        <v>9791159282713</v>
      </c>
      <c r="BC2082" t="str">
        <f>T("9791159282713")</f>
        <v>9791159282713</v>
      </c>
      <c r="BE2082" t="str">
        <f>T("판타지 웹소설 &gt; 정통 판타지")</f>
        <v>판타지 웹소설 &gt; 정통 판타지</v>
      </c>
    </row>
    <row r="2083" spans="1:57" x14ac:dyDescent="0.3">
      <c r="A2083">
        <v>1525004030</v>
      </c>
      <c r="B2083">
        <v>1525004530</v>
      </c>
      <c r="C2083" t="str">
        <f>T("회귀의 전설 507화")</f>
        <v>회귀의 전설 507화</v>
      </c>
      <c r="D2083" t="str">
        <f>T("507")</f>
        <v>507</v>
      </c>
      <c r="E2083" t="str">
        <f>T("김광수")</f>
        <v>김광수</v>
      </c>
      <c r="H2083" t="str">
        <f>T("스토리위즈")</f>
        <v>스토리위즈</v>
      </c>
      <c r="I2083" t="str">
        <f>T("회귀의 전설")</f>
        <v>회귀의 전설</v>
      </c>
      <c r="J2083">
        <v>100</v>
      </c>
      <c r="K2083">
        <v>100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100</v>
      </c>
      <c r="AH2083">
        <v>1</v>
      </c>
      <c r="AI2083">
        <v>0</v>
      </c>
      <c r="AJ2083">
        <v>0</v>
      </c>
      <c r="AK2083">
        <v>100</v>
      </c>
      <c r="AL2083">
        <v>0</v>
      </c>
      <c r="AM2083">
        <v>0</v>
      </c>
      <c r="AN2083">
        <v>0</v>
      </c>
      <c r="AO2083">
        <v>0</v>
      </c>
      <c r="AQ2083">
        <v>0</v>
      </c>
      <c r="AR2083">
        <v>0</v>
      </c>
      <c r="AT2083">
        <v>0</v>
      </c>
      <c r="AU2083">
        <v>0</v>
      </c>
      <c r="AW2083">
        <v>0</v>
      </c>
      <c r="AX2083">
        <v>0</v>
      </c>
      <c r="AY2083">
        <v>70</v>
      </c>
      <c r="BC2083" t="str">
        <f>T("9788997946006")</f>
        <v>9788997946006</v>
      </c>
      <c r="BE2083" t="str">
        <f>T("판타지 웹소설 &gt; 현대 판타지")</f>
        <v>판타지 웹소설 &gt; 현대 판타지</v>
      </c>
    </row>
    <row r="2084" spans="1:57" x14ac:dyDescent="0.3">
      <c r="A2084">
        <v>1525014780</v>
      </c>
      <c r="B2084">
        <v>1525014930</v>
      </c>
      <c r="C2084" t="str">
        <f>T("크랭키 걸즈 151화")</f>
        <v>크랭키 걸즈 151화</v>
      </c>
      <c r="D2084" t="str">
        <f>T("151")</f>
        <v>151</v>
      </c>
      <c r="E2084" t="str">
        <f>T("곽도우")</f>
        <v>곽도우</v>
      </c>
      <c r="H2084" t="str">
        <f>T("스토리아크")</f>
        <v>스토리아크</v>
      </c>
      <c r="I2084" t="str">
        <f>T("크랭키 걸즈")</f>
        <v>크랭키 걸즈</v>
      </c>
      <c r="J2084">
        <v>100</v>
      </c>
      <c r="K2084">
        <v>100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100</v>
      </c>
      <c r="AH2084">
        <v>1</v>
      </c>
      <c r="AI2084">
        <v>0</v>
      </c>
      <c r="AJ2084">
        <v>0</v>
      </c>
      <c r="AK2084">
        <v>100</v>
      </c>
      <c r="AL2084">
        <v>0</v>
      </c>
      <c r="AM2084">
        <v>0</v>
      </c>
      <c r="AN2084">
        <v>0</v>
      </c>
      <c r="AO2084">
        <v>0</v>
      </c>
      <c r="AQ2084">
        <v>0</v>
      </c>
      <c r="AR2084">
        <v>0</v>
      </c>
      <c r="AT2084">
        <v>0</v>
      </c>
      <c r="AU2084">
        <v>0</v>
      </c>
      <c r="AW2084">
        <v>0</v>
      </c>
      <c r="AX2084">
        <v>0</v>
      </c>
      <c r="AY2084">
        <v>70</v>
      </c>
      <c r="BC2084" t="str">
        <f>T("9791191039276")</f>
        <v>9791191039276</v>
      </c>
      <c r="BE2084" t="str">
        <f>T("판타지 웹소설 &gt; 현대 판타지")</f>
        <v>판타지 웹소설 &gt; 현대 판타지</v>
      </c>
    </row>
    <row r="2085" spans="1:57" x14ac:dyDescent="0.3">
      <c r="A2085">
        <v>1525008545</v>
      </c>
      <c r="B2085">
        <v>1525008587</v>
      </c>
      <c r="C2085" t="str">
        <f>T("소년연애담 58화")</f>
        <v>소년연애담 58화</v>
      </c>
      <c r="D2085" t="str">
        <f>T("58")</f>
        <v>58</v>
      </c>
      <c r="E2085" t="str">
        <f>T("나나코")</f>
        <v>나나코</v>
      </c>
      <c r="H2085" t="str">
        <f>T("블러쉬")</f>
        <v>블러쉬</v>
      </c>
      <c r="I2085" t="str">
        <f>T("소년연애담")</f>
        <v>소년연애담</v>
      </c>
      <c r="J2085">
        <v>100</v>
      </c>
      <c r="K2085">
        <v>100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100</v>
      </c>
      <c r="AH2085">
        <v>1</v>
      </c>
      <c r="AI2085">
        <v>0</v>
      </c>
      <c r="AJ2085">
        <v>0</v>
      </c>
      <c r="AK2085">
        <v>100</v>
      </c>
      <c r="AL2085">
        <v>0</v>
      </c>
      <c r="AM2085">
        <v>0</v>
      </c>
      <c r="AN2085">
        <v>0</v>
      </c>
      <c r="AO2085">
        <v>0</v>
      </c>
      <c r="AQ2085">
        <v>0</v>
      </c>
      <c r="AR2085">
        <v>0</v>
      </c>
      <c r="AT2085">
        <v>0</v>
      </c>
      <c r="AU2085">
        <v>0</v>
      </c>
      <c r="AW2085">
        <v>0</v>
      </c>
      <c r="AX2085">
        <v>0</v>
      </c>
      <c r="AY2085">
        <v>70</v>
      </c>
      <c r="BA2085" t="str">
        <f>T("0000000000000")</f>
        <v>0000000000000</v>
      </c>
      <c r="BC2085" t="str">
        <f>T("9791164890729")</f>
        <v>9791164890729</v>
      </c>
      <c r="BE2085" t="str">
        <f>T("BL 웹소설 &gt; 현대물")</f>
        <v>BL 웹소설 &gt; 현대물</v>
      </c>
    </row>
    <row r="2086" spans="1:57" x14ac:dyDescent="0.3">
      <c r="A2086">
        <v>1525012551</v>
      </c>
      <c r="B2086">
        <v>1525012676</v>
      </c>
      <c r="C2086" t="str">
        <f>T("개정판 | 바보가 만드는 멋진 세상 126화")</f>
        <v>개정판 | 바보가 만드는 멋진 세상 126화</v>
      </c>
      <c r="D2086" t="str">
        <f>T("126")</f>
        <v>126</v>
      </c>
      <c r="E2086" t="str">
        <f>T("백범(白帆)")</f>
        <v>백범(白帆)</v>
      </c>
      <c r="H2086" t="str">
        <f>T("에필로그")</f>
        <v>에필로그</v>
      </c>
      <c r="I2086" t="str">
        <f>T("개정판 | 바보가 만드는 멋진 세상")</f>
        <v>개정판 | 바보가 만드는 멋진 세상</v>
      </c>
      <c r="J2086">
        <v>100</v>
      </c>
      <c r="K2086">
        <v>100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100</v>
      </c>
      <c r="AH2086">
        <v>1</v>
      </c>
      <c r="AI2086">
        <v>0</v>
      </c>
      <c r="AJ2086">
        <v>0</v>
      </c>
      <c r="AK2086">
        <v>100</v>
      </c>
      <c r="AL2086">
        <v>0</v>
      </c>
      <c r="AM2086">
        <v>0</v>
      </c>
      <c r="AN2086">
        <v>0</v>
      </c>
      <c r="AO2086">
        <v>0</v>
      </c>
      <c r="AQ2086">
        <v>0</v>
      </c>
      <c r="AR2086">
        <v>0</v>
      </c>
      <c r="AT2086">
        <v>0</v>
      </c>
      <c r="AU2086">
        <v>0</v>
      </c>
      <c r="AW2086">
        <v>0</v>
      </c>
      <c r="AX2086">
        <v>0</v>
      </c>
      <c r="AY2086">
        <v>70</v>
      </c>
      <c r="BC2086" t="str">
        <f>T("9791166003493")</f>
        <v>9791166003493</v>
      </c>
      <c r="BE2086" t="str">
        <f>T("판타지 웹소설 &gt; 현대 판타지")</f>
        <v>판타지 웹소설 &gt; 현대 판타지</v>
      </c>
    </row>
    <row r="2087" spans="1:57" x14ac:dyDescent="0.3">
      <c r="A2087">
        <v>1525004799</v>
      </c>
      <c r="B2087">
        <v>1525004847</v>
      </c>
      <c r="C2087" t="str">
        <f>T("검산도해 49화")</f>
        <v>검산도해 49화</v>
      </c>
      <c r="D2087" t="str">
        <f>T("49")</f>
        <v>49</v>
      </c>
      <c r="E2087" t="str">
        <f>T("권용찬")</f>
        <v>권용찬</v>
      </c>
      <c r="H2087" t="str">
        <f>T("스토리위즈")</f>
        <v>스토리위즈</v>
      </c>
      <c r="I2087" t="str">
        <f>T("검산도해")</f>
        <v>검산도해</v>
      </c>
      <c r="J2087">
        <v>100</v>
      </c>
      <c r="K2087">
        <v>100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100</v>
      </c>
      <c r="AH2087">
        <v>1</v>
      </c>
      <c r="AI2087">
        <v>0</v>
      </c>
      <c r="AJ2087">
        <v>0</v>
      </c>
      <c r="AK2087">
        <v>0</v>
      </c>
      <c r="AL2087">
        <v>0</v>
      </c>
      <c r="AM2087">
        <v>120</v>
      </c>
      <c r="AN2087">
        <v>-12</v>
      </c>
      <c r="AO2087">
        <v>0</v>
      </c>
      <c r="AQ2087">
        <v>0</v>
      </c>
      <c r="AR2087">
        <v>0</v>
      </c>
      <c r="AS2087">
        <v>120</v>
      </c>
      <c r="AT2087">
        <v>-12</v>
      </c>
      <c r="AU2087">
        <v>0</v>
      </c>
      <c r="AW2087">
        <v>0</v>
      </c>
      <c r="AX2087">
        <v>0</v>
      </c>
      <c r="AY2087">
        <v>75.599999999999994</v>
      </c>
      <c r="BC2087" t="str">
        <f>T("9791159285936")</f>
        <v>9791159285936</v>
      </c>
      <c r="BE2087" t="str">
        <f>T("판타지 웹소설 &gt; 무협 소설")</f>
        <v>판타지 웹소설 &gt; 무협 소설</v>
      </c>
    </row>
    <row r="2088" spans="1:57" x14ac:dyDescent="0.3">
      <c r="A2088">
        <v>1525004799</v>
      </c>
      <c r="B2088">
        <v>1525004904</v>
      </c>
      <c r="C2088" t="str">
        <f>T("검산도해 106화")</f>
        <v>검산도해 106화</v>
      </c>
      <c r="D2088" t="str">
        <f>T("106")</f>
        <v>106</v>
      </c>
      <c r="E2088" t="str">
        <f>T("권용찬")</f>
        <v>권용찬</v>
      </c>
      <c r="H2088" t="str">
        <f>T("스토리위즈")</f>
        <v>스토리위즈</v>
      </c>
      <c r="I2088" t="str">
        <f>T("검산도해")</f>
        <v>검산도해</v>
      </c>
      <c r="J2088">
        <v>100</v>
      </c>
      <c r="K2088">
        <v>100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100</v>
      </c>
      <c r="AH2088">
        <v>1</v>
      </c>
      <c r="AI2088">
        <v>0</v>
      </c>
      <c r="AJ2088">
        <v>0</v>
      </c>
      <c r="AK2088">
        <v>0</v>
      </c>
      <c r="AL2088">
        <v>0</v>
      </c>
      <c r="AM2088">
        <v>120</v>
      </c>
      <c r="AN2088">
        <v>-12</v>
      </c>
      <c r="AO2088">
        <v>0</v>
      </c>
      <c r="AQ2088">
        <v>0</v>
      </c>
      <c r="AR2088">
        <v>0</v>
      </c>
      <c r="AS2088">
        <v>120</v>
      </c>
      <c r="AT2088">
        <v>-12</v>
      </c>
      <c r="AU2088">
        <v>0</v>
      </c>
      <c r="AW2088">
        <v>0</v>
      </c>
      <c r="AX2088">
        <v>0</v>
      </c>
      <c r="AY2088">
        <v>75.599999999999994</v>
      </c>
      <c r="BC2088" t="str">
        <f>T("9791159285936")</f>
        <v>9791159285936</v>
      </c>
      <c r="BE2088" t="str">
        <f>T("판타지 웹소설 &gt; 무협 소설")</f>
        <v>판타지 웹소설 &gt; 무협 소설</v>
      </c>
    </row>
    <row r="2089" spans="1:57" x14ac:dyDescent="0.3">
      <c r="A2089">
        <v>1525004030</v>
      </c>
      <c r="B2089">
        <v>1525007091</v>
      </c>
      <c r="C2089" t="str">
        <f>T("회귀의 전설 2부 975화")</f>
        <v>회귀의 전설 2부 975화</v>
      </c>
      <c r="D2089" t="str">
        <f>T("975")</f>
        <v>975</v>
      </c>
      <c r="E2089" t="str">
        <f>T("김광수")</f>
        <v>김광수</v>
      </c>
      <c r="H2089" t="str">
        <f>T("스토리위즈")</f>
        <v>스토리위즈</v>
      </c>
      <c r="I2089" t="str">
        <f>T("회귀의 전설")</f>
        <v>회귀의 전설</v>
      </c>
      <c r="J2089">
        <v>100</v>
      </c>
      <c r="K2089">
        <v>100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100</v>
      </c>
      <c r="AH2089">
        <v>1</v>
      </c>
      <c r="AI2089">
        <v>0</v>
      </c>
      <c r="AJ2089">
        <v>0</v>
      </c>
      <c r="AK2089">
        <v>100</v>
      </c>
      <c r="AL2089">
        <v>0</v>
      </c>
      <c r="AM2089">
        <v>0</v>
      </c>
      <c r="AN2089">
        <v>0</v>
      </c>
      <c r="AO2089">
        <v>0</v>
      </c>
      <c r="AQ2089">
        <v>0</v>
      </c>
      <c r="AR2089">
        <v>0</v>
      </c>
      <c r="AT2089">
        <v>0</v>
      </c>
      <c r="AU2089">
        <v>0</v>
      </c>
      <c r="AW2089">
        <v>0</v>
      </c>
      <c r="AX2089">
        <v>0</v>
      </c>
      <c r="AY2089">
        <v>70</v>
      </c>
      <c r="BC2089" t="str">
        <f>T("9791191102086")</f>
        <v>9791191102086</v>
      </c>
      <c r="BE2089" t="str">
        <f>T("판타지 웹소설 &gt; 현대 판타지")</f>
        <v>판타지 웹소설 &gt; 현대 판타지</v>
      </c>
    </row>
    <row r="2090" spans="1:57" x14ac:dyDescent="0.3">
      <c r="A2090">
        <v>1525002125</v>
      </c>
      <c r="B2090">
        <v>1525002158</v>
      </c>
      <c r="C2090" t="str">
        <f>T("신을 죽이러 갑니다 34화")</f>
        <v>신을 죽이러 갑니다 34화</v>
      </c>
      <c r="D2090" t="str">
        <f>T("34")</f>
        <v>34</v>
      </c>
      <c r="E2090" t="str">
        <f>T("독고진")</f>
        <v>독고진</v>
      </c>
      <c r="H2090" t="str">
        <f>T("스토리위즈")</f>
        <v>스토리위즈</v>
      </c>
      <c r="I2090" t="str">
        <f>T("신을 죽이러 갑니다")</f>
        <v>신을 죽이러 갑니다</v>
      </c>
      <c r="J2090">
        <v>100</v>
      </c>
      <c r="K2090">
        <v>100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100</v>
      </c>
      <c r="AH2090">
        <v>1</v>
      </c>
      <c r="AI2090">
        <v>0</v>
      </c>
      <c r="AJ2090">
        <v>0</v>
      </c>
      <c r="AK2090">
        <v>0</v>
      </c>
      <c r="AL2090">
        <v>0</v>
      </c>
      <c r="AM2090">
        <v>120</v>
      </c>
      <c r="AN2090">
        <v>-36</v>
      </c>
      <c r="AO2090">
        <v>0</v>
      </c>
      <c r="AQ2090">
        <v>0</v>
      </c>
      <c r="AR2090">
        <v>0</v>
      </c>
      <c r="AS2090">
        <v>120</v>
      </c>
      <c r="AT2090">
        <v>-36</v>
      </c>
      <c r="AU2090">
        <v>0</v>
      </c>
      <c r="AW2090">
        <v>0</v>
      </c>
      <c r="AX2090">
        <v>0</v>
      </c>
      <c r="AY2090">
        <v>58.8</v>
      </c>
      <c r="BC2090" t="str">
        <f>T("9791159285806")</f>
        <v>9791159285806</v>
      </c>
      <c r="BE2090" t="str">
        <f>T("판타지 웹소설 &gt; 퓨전 판타지")</f>
        <v>판타지 웹소설 &gt; 퓨전 판타지</v>
      </c>
    </row>
    <row r="2091" spans="1:57" x14ac:dyDescent="0.3">
      <c r="A2091">
        <v>1525002864</v>
      </c>
      <c r="B2091">
        <v>1525002914</v>
      </c>
      <c r="C2091" t="str">
        <f>T("소드마스터의 환생 51화")</f>
        <v>소드마스터의 환생 51화</v>
      </c>
      <c r="D2091" t="str">
        <f>T("51")</f>
        <v>51</v>
      </c>
      <c r="E2091" t="str">
        <f>T("파란영")</f>
        <v>파란영</v>
      </c>
      <c r="H2091" t="str">
        <f>T("스토리위즈")</f>
        <v>스토리위즈</v>
      </c>
      <c r="I2091" t="str">
        <f>T("소드마스터의 환생")</f>
        <v>소드마스터의 환생</v>
      </c>
      <c r="J2091">
        <v>100</v>
      </c>
      <c r="K2091">
        <v>100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100</v>
      </c>
      <c r="AH2091">
        <v>1</v>
      </c>
      <c r="AI2091">
        <v>0</v>
      </c>
      <c r="AJ2091">
        <v>0</v>
      </c>
      <c r="AK2091">
        <v>100</v>
      </c>
      <c r="AL2091">
        <v>0</v>
      </c>
      <c r="AM2091">
        <v>0</v>
      </c>
      <c r="AN2091">
        <v>0</v>
      </c>
      <c r="AO2091">
        <v>0</v>
      </c>
      <c r="AQ2091">
        <v>0</v>
      </c>
      <c r="AR2091">
        <v>0</v>
      </c>
      <c r="AT2091">
        <v>0</v>
      </c>
      <c r="AU2091">
        <v>0</v>
      </c>
      <c r="AW2091">
        <v>0</v>
      </c>
      <c r="AX2091">
        <v>0</v>
      </c>
      <c r="AY2091">
        <v>70</v>
      </c>
      <c r="BC2091" t="str">
        <f>T("9791159287527")</f>
        <v>9791159287527</v>
      </c>
      <c r="BE2091" t="str">
        <f>T("판타지 웹소설 &gt; 정통 판타지")</f>
        <v>판타지 웹소설 &gt; 정통 판타지</v>
      </c>
    </row>
    <row r="2092" spans="1:57" x14ac:dyDescent="0.3">
      <c r="A2092">
        <v>1525013020</v>
      </c>
      <c r="B2092">
        <v>1525013132</v>
      </c>
      <c r="C2092" t="str">
        <f>T("악당의 리턴 113화")</f>
        <v>악당의 리턴 113화</v>
      </c>
      <c r="D2092" t="str">
        <f>T("113")</f>
        <v>113</v>
      </c>
      <c r="E2092" t="str">
        <f>T("백범(白帆)")</f>
        <v>백범(白帆)</v>
      </c>
      <c r="H2092" t="str">
        <f>T("에필로그")</f>
        <v>에필로그</v>
      </c>
      <c r="I2092" t="str">
        <f>T("악당의 리턴")</f>
        <v>악당의 리턴</v>
      </c>
      <c r="J2092">
        <v>100</v>
      </c>
      <c r="K2092">
        <v>100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100</v>
      </c>
      <c r="AH2092">
        <v>1</v>
      </c>
      <c r="AI2092">
        <v>0</v>
      </c>
      <c r="AJ2092">
        <v>0</v>
      </c>
      <c r="AK2092">
        <v>100</v>
      </c>
      <c r="AL2092">
        <v>0</v>
      </c>
      <c r="AM2092">
        <v>0</v>
      </c>
      <c r="AN2092">
        <v>0</v>
      </c>
      <c r="AO2092">
        <v>0</v>
      </c>
      <c r="AQ2092">
        <v>0</v>
      </c>
      <c r="AR2092">
        <v>0</v>
      </c>
      <c r="AT2092">
        <v>0</v>
      </c>
      <c r="AU2092">
        <v>0</v>
      </c>
      <c r="AW2092">
        <v>0</v>
      </c>
      <c r="AX2092">
        <v>0</v>
      </c>
      <c r="AY2092">
        <v>70</v>
      </c>
      <c r="BC2092" t="str">
        <f>T("9791196538927")</f>
        <v>9791196538927</v>
      </c>
      <c r="BE2092" t="str">
        <f>T("판타지 웹소설 &gt; 현대 판타지")</f>
        <v>판타지 웹소설 &gt; 현대 판타지</v>
      </c>
    </row>
    <row r="2093" spans="1:57" x14ac:dyDescent="0.3">
      <c r="A2093">
        <v>1525008717</v>
      </c>
      <c r="B2093">
        <v>1525008762</v>
      </c>
      <c r="C2093" t="str">
        <f>T("음양상열지사 60화")</f>
        <v>음양상열지사 60화</v>
      </c>
      <c r="D2093" t="str">
        <f>T("60")</f>
        <v>60</v>
      </c>
      <c r="E2093" t="str">
        <f>T("이염")</f>
        <v>이염</v>
      </c>
      <c r="H2093" t="str">
        <f>T("블러쉬")</f>
        <v>블러쉬</v>
      </c>
      <c r="I2093" t="str">
        <f>T("음양상열지사")</f>
        <v>음양상열지사</v>
      </c>
      <c r="J2093">
        <v>100</v>
      </c>
      <c r="K2093">
        <v>100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100</v>
      </c>
      <c r="AH2093">
        <v>1</v>
      </c>
      <c r="AI2093">
        <v>0</v>
      </c>
      <c r="AJ2093">
        <v>0</v>
      </c>
      <c r="AK2093">
        <v>100</v>
      </c>
      <c r="AL2093">
        <v>0</v>
      </c>
      <c r="AM2093">
        <v>0</v>
      </c>
      <c r="AN2093">
        <v>0</v>
      </c>
      <c r="AO2093">
        <v>0</v>
      </c>
      <c r="AQ2093">
        <v>0</v>
      </c>
      <c r="AR2093">
        <v>0</v>
      </c>
      <c r="AT2093">
        <v>0</v>
      </c>
      <c r="AU2093">
        <v>0</v>
      </c>
      <c r="AW2093">
        <v>0</v>
      </c>
      <c r="AX2093">
        <v>0</v>
      </c>
      <c r="AY2093">
        <v>70</v>
      </c>
      <c r="BA2093" t="str">
        <f>T("0000000000000")</f>
        <v>0000000000000</v>
      </c>
      <c r="BC2093" t="str">
        <f>T("9791164896639")</f>
        <v>9791164896639</v>
      </c>
      <c r="BD2093" t="str">
        <f>T("B10")</f>
        <v>B10</v>
      </c>
      <c r="BE2093" t="str">
        <f>T("BL 웹소설 &gt; 역사/시대물")</f>
        <v>BL 웹소설 &gt; 역사/시대물</v>
      </c>
    </row>
    <row r="2094" spans="1:57" x14ac:dyDescent="0.3">
      <c r="A2094">
        <v>1525013020</v>
      </c>
      <c r="B2094">
        <v>1525013050</v>
      </c>
      <c r="C2094" t="str">
        <f>T("악당의 리턴 31화")</f>
        <v>악당의 리턴 31화</v>
      </c>
      <c r="D2094" t="str">
        <f>T("31")</f>
        <v>31</v>
      </c>
      <c r="E2094" t="str">
        <f>T("백범(白帆)")</f>
        <v>백범(白帆)</v>
      </c>
      <c r="H2094" t="str">
        <f>T("에필로그")</f>
        <v>에필로그</v>
      </c>
      <c r="I2094" t="str">
        <f>T("악당의 리턴")</f>
        <v>악당의 리턴</v>
      </c>
      <c r="J2094">
        <v>100</v>
      </c>
      <c r="K2094">
        <v>100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100</v>
      </c>
      <c r="AH2094">
        <v>1</v>
      </c>
      <c r="AI2094">
        <v>0</v>
      </c>
      <c r="AJ2094">
        <v>0</v>
      </c>
      <c r="AK2094">
        <v>100</v>
      </c>
      <c r="AL2094">
        <v>0</v>
      </c>
      <c r="AM2094">
        <v>0</v>
      </c>
      <c r="AN2094">
        <v>0</v>
      </c>
      <c r="AO2094">
        <v>0</v>
      </c>
      <c r="AQ2094">
        <v>0</v>
      </c>
      <c r="AR2094">
        <v>0</v>
      </c>
      <c r="AT2094">
        <v>0</v>
      </c>
      <c r="AU2094">
        <v>0</v>
      </c>
      <c r="AW2094">
        <v>0</v>
      </c>
      <c r="AX2094">
        <v>0</v>
      </c>
      <c r="AY2094">
        <v>70</v>
      </c>
      <c r="BC2094" t="str">
        <f>T("9791196538927")</f>
        <v>9791196538927</v>
      </c>
      <c r="BE2094" t="str">
        <f>T("판타지 웹소설 &gt; 현대 판타지")</f>
        <v>판타지 웹소설 &gt; 현대 판타지</v>
      </c>
    </row>
    <row r="2095" spans="1:57" x14ac:dyDescent="0.3">
      <c r="A2095">
        <v>1525004799</v>
      </c>
      <c r="B2095">
        <v>1525004836</v>
      </c>
      <c r="C2095" t="str">
        <f>T("검산도해 38화")</f>
        <v>검산도해 38화</v>
      </c>
      <c r="D2095" t="str">
        <f>T("38")</f>
        <v>38</v>
      </c>
      <c r="E2095" t="str">
        <f>T("권용찬")</f>
        <v>권용찬</v>
      </c>
      <c r="H2095" t="str">
        <f>T("스토리위즈")</f>
        <v>스토리위즈</v>
      </c>
      <c r="I2095" t="str">
        <f>T("검산도해")</f>
        <v>검산도해</v>
      </c>
      <c r="J2095">
        <v>100</v>
      </c>
      <c r="K2095">
        <v>100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100</v>
      </c>
      <c r="AH2095">
        <v>1</v>
      </c>
      <c r="AI2095">
        <v>0</v>
      </c>
      <c r="AJ2095">
        <v>0</v>
      </c>
      <c r="AK2095">
        <v>0</v>
      </c>
      <c r="AL2095">
        <v>0</v>
      </c>
      <c r="AM2095">
        <v>120</v>
      </c>
      <c r="AN2095">
        <v>-12</v>
      </c>
      <c r="AO2095">
        <v>0</v>
      </c>
      <c r="AQ2095">
        <v>0</v>
      </c>
      <c r="AR2095">
        <v>0</v>
      </c>
      <c r="AS2095">
        <v>120</v>
      </c>
      <c r="AT2095">
        <v>-12</v>
      </c>
      <c r="AU2095">
        <v>0</v>
      </c>
      <c r="AW2095">
        <v>0</v>
      </c>
      <c r="AX2095">
        <v>0</v>
      </c>
      <c r="AY2095">
        <v>75.599999999999994</v>
      </c>
      <c r="BC2095" t="str">
        <f>T("9791159285936")</f>
        <v>9791159285936</v>
      </c>
      <c r="BE2095" t="str">
        <f>T("판타지 웹소설 &gt; 무협 소설")</f>
        <v>판타지 웹소설 &gt; 무협 소설</v>
      </c>
    </row>
    <row r="2096" spans="1:57" x14ac:dyDescent="0.3">
      <c r="A2096">
        <v>1525004799</v>
      </c>
      <c r="B2096">
        <v>1525004893</v>
      </c>
      <c r="C2096" t="str">
        <f>T("검산도해 95화")</f>
        <v>검산도해 95화</v>
      </c>
      <c r="D2096" t="str">
        <f>T("95")</f>
        <v>95</v>
      </c>
      <c r="E2096" t="str">
        <f>T("권용찬")</f>
        <v>권용찬</v>
      </c>
      <c r="H2096" t="str">
        <f>T("스토리위즈")</f>
        <v>스토리위즈</v>
      </c>
      <c r="I2096" t="str">
        <f>T("검산도해")</f>
        <v>검산도해</v>
      </c>
      <c r="J2096">
        <v>100</v>
      </c>
      <c r="K2096">
        <v>100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100</v>
      </c>
      <c r="AH2096">
        <v>1</v>
      </c>
      <c r="AI2096">
        <v>0</v>
      </c>
      <c r="AJ2096">
        <v>0</v>
      </c>
      <c r="AK2096">
        <v>0</v>
      </c>
      <c r="AL2096">
        <v>0</v>
      </c>
      <c r="AM2096">
        <v>120</v>
      </c>
      <c r="AN2096">
        <v>-12</v>
      </c>
      <c r="AO2096">
        <v>0</v>
      </c>
      <c r="AQ2096">
        <v>0</v>
      </c>
      <c r="AR2096">
        <v>0</v>
      </c>
      <c r="AS2096">
        <v>120</v>
      </c>
      <c r="AT2096">
        <v>-12</v>
      </c>
      <c r="AU2096">
        <v>0</v>
      </c>
      <c r="AW2096">
        <v>0</v>
      </c>
      <c r="AX2096">
        <v>0</v>
      </c>
      <c r="AY2096">
        <v>75.599999999999994</v>
      </c>
      <c r="BC2096" t="str">
        <f>T("9791159285936")</f>
        <v>9791159285936</v>
      </c>
      <c r="BE2096" t="str">
        <f>T("판타지 웹소설 &gt; 무협 소설")</f>
        <v>판타지 웹소설 &gt; 무협 소설</v>
      </c>
    </row>
    <row r="2097" spans="1:57" x14ac:dyDescent="0.3">
      <c r="A2097">
        <v>1525004030</v>
      </c>
      <c r="B2097">
        <v>1525007080</v>
      </c>
      <c r="C2097" t="str">
        <f>T("회귀의 전설 2부 964화")</f>
        <v>회귀의 전설 2부 964화</v>
      </c>
      <c r="D2097" t="str">
        <f>T("964")</f>
        <v>964</v>
      </c>
      <c r="E2097" t="str">
        <f>T("김광수")</f>
        <v>김광수</v>
      </c>
      <c r="H2097" t="str">
        <f>T("스토리위즈")</f>
        <v>스토리위즈</v>
      </c>
      <c r="I2097" t="str">
        <f>T("회귀의 전설")</f>
        <v>회귀의 전설</v>
      </c>
      <c r="J2097">
        <v>100</v>
      </c>
      <c r="K2097">
        <v>100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100</v>
      </c>
      <c r="AH2097">
        <v>1</v>
      </c>
      <c r="AI2097">
        <v>0</v>
      </c>
      <c r="AJ2097">
        <v>0</v>
      </c>
      <c r="AK2097">
        <v>100</v>
      </c>
      <c r="AL2097">
        <v>0</v>
      </c>
      <c r="AM2097">
        <v>0</v>
      </c>
      <c r="AN2097">
        <v>0</v>
      </c>
      <c r="AO2097">
        <v>0</v>
      </c>
      <c r="AQ2097">
        <v>0</v>
      </c>
      <c r="AR2097">
        <v>0</v>
      </c>
      <c r="AT2097">
        <v>0</v>
      </c>
      <c r="AU2097">
        <v>0</v>
      </c>
      <c r="AW2097">
        <v>0</v>
      </c>
      <c r="AX2097">
        <v>0</v>
      </c>
      <c r="AY2097">
        <v>70</v>
      </c>
      <c r="BC2097" t="str">
        <f>T("9791191102086")</f>
        <v>9791191102086</v>
      </c>
      <c r="BE2097" t="str">
        <f>T("판타지 웹소설 &gt; 현대 판타지")</f>
        <v>판타지 웹소설 &gt; 현대 판타지</v>
      </c>
    </row>
    <row r="2098" spans="1:57" x14ac:dyDescent="0.3">
      <c r="A2098">
        <v>1525004030</v>
      </c>
      <c r="B2098">
        <v>1525004551</v>
      </c>
      <c r="C2098" t="str">
        <f>T("회귀의 전설 495화")</f>
        <v>회귀의 전설 495화</v>
      </c>
      <c r="D2098" t="str">
        <f>T("495")</f>
        <v>495</v>
      </c>
      <c r="E2098" t="str">
        <f>T("김광수")</f>
        <v>김광수</v>
      </c>
      <c r="H2098" t="str">
        <f>T("스토리위즈")</f>
        <v>스토리위즈</v>
      </c>
      <c r="I2098" t="str">
        <f>T("회귀의 전설")</f>
        <v>회귀의 전설</v>
      </c>
      <c r="J2098">
        <v>100</v>
      </c>
      <c r="K2098">
        <v>100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100</v>
      </c>
      <c r="AH2098">
        <v>1</v>
      </c>
      <c r="AI2098">
        <v>0</v>
      </c>
      <c r="AJ2098">
        <v>0</v>
      </c>
      <c r="AK2098">
        <v>100</v>
      </c>
      <c r="AL2098">
        <v>0</v>
      </c>
      <c r="AM2098">
        <v>0</v>
      </c>
      <c r="AN2098">
        <v>0</v>
      </c>
      <c r="AO2098">
        <v>0</v>
      </c>
      <c r="AQ2098">
        <v>0</v>
      </c>
      <c r="AR2098">
        <v>0</v>
      </c>
      <c r="AT2098">
        <v>0</v>
      </c>
      <c r="AU2098">
        <v>0</v>
      </c>
      <c r="AW2098">
        <v>0</v>
      </c>
      <c r="AX2098">
        <v>0</v>
      </c>
      <c r="AY2098">
        <v>70</v>
      </c>
      <c r="BC2098" t="str">
        <f>T("9788997946006")</f>
        <v>9788997946006</v>
      </c>
      <c r="BE2098" t="str">
        <f>T("판타지 웹소설 &gt; 현대 판타지")</f>
        <v>판타지 웹소설 &gt; 현대 판타지</v>
      </c>
    </row>
    <row r="2099" spans="1:57" x14ac:dyDescent="0.3">
      <c r="A2099">
        <v>1525015018</v>
      </c>
      <c r="B2099">
        <v>1525015040</v>
      </c>
      <c r="C2099" t="str">
        <f>T("그녀들은 소꿉친구지, 그 이상은 곤란합니다 23화")</f>
        <v>그녀들은 소꿉친구지, 그 이상은 곤란합니다 23화</v>
      </c>
      <c r="D2099" t="str">
        <f>T("23")</f>
        <v>23</v>
      </c>
      <c r="E2099" t="str">
        <f>T("자이오")</f>
        <v>자이오</v>
      </c>
      <c r="H2099" t="str">
        <f>T("스토리아크")</f>
        <v>스토리아크</v>
      </c>
      <c r="I2099" t="str">
        <f>T("그녀들은 소꿉친구지, 그 이상은 곤란합니다")</f>
        <v>그녀들은 소꿉친구지, 그 이상은 곤란합니다</v>
      </c>
      <c r="J2099">
        <v>100</v>
      </c>
      <c r="K2099">
        <v>100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100</v>
      </c>
      <c r="AH2099">
        <v>1</v>
      </c>
      <c r="AI2099">
        <v>0</v>
      </c>
      <c r="AJ2099">
        <v>0</v>
      </c>
      <c r="AK2099">
        <v>100</v>
      </c>
      <c r="AL2099">
        <v>0</v>
      </c>
      <c r="AM2099">
        <v>0</v>
      </c>
      <c r="AN2099">
        <v>0</v>
      </c>
      <c r="AO2099">
        <v>0</v>
      </c>
      <c r="AQ2099">
        <v>0</v>
      </c>
      <c r="AR2099">
        <v>0</v>
      </c>
      <c r="AT2099">
        <v>0</v>
      </c>
      <c r="AU2099">
        <v>0</v>
      </c>
      <c r="AW2099">
        <v>0</v>
      </c>
      <c r="AX2099">
        <v>0</v>
      </c>
      <c r="AY2099">
        <v>70</v>
      </c>
      <c r="BC2099" t="str">
        <f>T("9791191039313")</f>
        <v>9791191039313</v>
      </c>
      <c r="BE2099" t="str">
        <f>T("판타지 웹소설 &gt; 퓨전 판타지")</f>
        <v>판타지 웹소설 &gt; 퓨전 판타지</v>
      </c>
    </row>
    <row r="2100" spans="1:57" x14ac:dyDescent="0.3">
      <c r="A2100">
        <v>1525002864</v>
      </c>
      <c r="B2100">
        <v>1525002903</v>
      </c>
      <c r="C2100" t="str">
        <f>T("소드마스터의 환생 40화")</f>
        <v>소드마스터의 환생 40화</v>
      </c>
      <c r="D2100" t="str">
        <f>T("40")</f>
        <v>40</v>
      </c>
      <c r="E2100" t="str">
        <f>T("파란영")</f>
        <v>파란영</v>
      </c>
      <c r="H2100" t="str">
        <f>T("스토리위즈")</f>
        <v>스토리위즈</v>
      </c>
      <c r="I2100" t="str">
        <f>T("소드마스터의 환생")</f>
        <v>소드마스터의 환생</v>
      </c>
      <c r="J2100">
        <v>100</v>
      </c>
      <c r="K2100">
        <v>100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100</v>
      </c>
      <c r="AH2100">
        <v>1</v>
      </c>
      <c r="AI2100">
        <v>0</v>
      </c>
      <c r="AJ2100">
        <v>0</v>
      </c>
      <c r="AK2100">
        <v>100</v>
      </c>
      <c r="AL2100">
        <v>0</v>
      </c>
      <c r="AM2100">
        <v>0</v>
      </c>
      <c r="AN2100">
        <v>0</v>
      </c>
      <c r="AO2100">
        <v>0</v>
      </c>
      <c r="AQ2100">
        <v>0</v>
      </c>
      <c r="AR2100">
        <v>0</v>
      </c>
      <c r="AT2100">
        <v>0</v>
      </c>
      <c r="AU2100">
        <v>0</v>
      </c>
      <c r="AW2100">
        <v>0</v>
      </c>
      <c r="AX2100">
        <v>0</v>
      </c>
      <c r="AY2100">
        <v>70</v>
      </c>
      <c r="BC2100" t="str">
        <f>T("9791159287527")</f>
        <v>9791159287527</v>
      </c>
      <c r="BE2100" t="str">
        <f>T("판타지 웹소설 &gt; 정통 판타지")</f>
        <v>판타지 웹소설 &gt; 정통 판타지</v>
      </c>
    </row>
    <row r="2101" spans="1:57" x14ac:dyDescent="0.3">
      <c r="A2101">
        <v>1525013020</v>
      </c>
      <c r="B2101">
        <v>1525013121</v>
      </c>
      <c r="C2101" t="str">
        <f>T("악당의 리턴 102화")</f>
        <v>악당의 리턴 102화</v>
      </c>
      <c r="D2101" t="str">
        <f>T("102")</f>
        <v>102</v>
      </c>
      <c r="E2101" t="str">
        <f>T("백범(白帆)")</f>
        <v>백범(白帆)</v>
      </c>
      <c r="H2101" t="str">
        <f>T("에필로그")</f>
        <v>에필로그</v>
      </c>
      <c r="I2101" t="str">
        <f>T("악당의 리턴")</f>
        <v>악당의 리턴</v>
      </c>
      <c r="J2101">
        <v>100</v>
      </c>
      <c r="K2101">
        <v>100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100</v>
      </c>
      <c r="AH2101">
        <v>1</v>
      </c>
      <c r="AI2101">
        <v>0</v>
      </c>
      <c r="AJ2101">
        <v>0</v>
      </c>
      <c r="AK2101">
        <v>100</v>
      </c>
      <c r="AL2101">
        <v>0</v>
      </c>
      <c r="AM2101">
        <v>0</v>
      </c>
      <c r="AN2101">
        <v>0</v>
      </c>
      <c r="AO2101">
        <v>0</v>
      </c>
      <c r="AQ2101">
        <v>0</v>
      </c>
      <c r="AR2101">
        <v>0</v>
      </c>
      <c r="AT2101">
        <v>0</v>
      </c>
      <c r="AU2101">
        <v>0</v>
      </c>
      <c r="AW2101">
        <v>0</v>
      </c>
      <c r="AX2101">
        <v>0</v>
      </c>
      <c r="AY2101">
        <v>70</v>
      </c>
      <c r="BC2101" t="str">
        <f>T("9791196538927")</f>
        <v>9791196538927</v>
      </c>
      <c r="BE2101" t="str">
        <f>T("판타지 웹소설 &gt; 현대 판타지")</f>
        <v>판타지 웹소설 &gt; 현대 판타지</v>
      </c>
    </row>
    <row r="2102" spans="1:57" x14ac:dyDescent="0.3">
      <c r="A2102">
        <v>1525008717</v>
      </c>
      <c r="B2102">
        <v>1525008706</v>
      </c>
      <c r="C2102" t="str">
        <f>T("음양상열지사 118화")</f>
        <v>음양상열지사 118화</v>
      </c>
      <c r="D2102" t="str">
        <f>T("118")</f>
        <v>118</v>
      </c>
      <c r="E2102" t="str">
        <f>T("이염")</f>
        <v>이염</v>
      </c>
      <c r="H2102" t="str">
        <f>T("블러쉬")</f>
        <v>블러쉬</v>
      </c>
      <c r="I2102" t="str">
        <f>T("음양상열지사")</f>
        <v>음양상열지사</v>
      </c>
      <c r="J2102">
        <v>100</v>
      </c>
      <c r="K2102">
        <v>100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100</v>
      </c>
      <c r="AH2102">
        <v>1</v>
      </c>
      <c r="AI2102">
        <v>0</v>
      </c>
      <c r="AJ2102">
        <v>0</v>
      </c>
      <c r="AK2102">
        <v>100</v>
      </c>
      <c r="AL2102">
        <v>0</v>
      </c>
      <c r="AM2102">
        <v>0</v>
      </c>
      <c r="AN2102">
        <v>0</v>
      </c>
      <c r="AO2102">
        <v>0</v>
      </c>
      <c r="AQ2102">
        <v>0</v>
      </c>
      <c r="AR2102">
        <v>0</v>
      </c>
      <c r="AT2102">
        <v>0</v>
      </c>
      <c r="AU2102">
        <v>0</v>
      </c>
      <c r="AW2102">
        <v>0</v>
      </c>
      <c r="AX2102">
        <v>0</v>
      </c>
      <c r="AY2102">
        <v>70</v>
      </c>
      <c r="BA2102" t="str">
        <f>T("0000000000000")</f>
        <v>0000000000000</v>
      </c>
      <c r="BC2102" t="str">
        <f>T("9791164896639")</f>
        <v>9791164896639</v>
      </c>
      <c r="BE2102" t="str">
        <f>T("BL 웹소설 &gt; 역사/시대물")</f>
        <v>BL 웹소설 &gt; 역사/시대물</v>
      </c>
    </row>
    <row r="2103" spans="1:57" x14ac:dyDescent="0.3">
      <c r="A2103">
        <v>1525004030</v>
      </c>
      <c r="B2103">
        <v>1525007112</v>
      </c>
      <c r="C2103" t="str">
        <f>T("회귀의 전설 2부 996화")</f>
        <v>회귀의 전설 2부 996화</v>
      </c>
      <c r="D2103" t="str">
        <f>T("996")</f>
        <v>996</v>
      </c>
      <c r="E2103" t="str">
        <f>T("김광수")</f>
        <v>김광수</v>
      </c>
      <c r="H2103" t="str">
        <f>T("스토리위즈")</f>
        <v>스토리위즈</v>
      </c>
      <c r="I2103" t="str">
        <f>T("회귀의 전설")</f>
        <v>회귀의 전설</v>
      </c>
      <c r="J2103">
        <v>100</v>
      </c>
      <c r="K2103">
        <v>100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100</v>
      </c>
      <c r="AH2103">
        <v>1</v>
      </c>
      <c r="AI2103">
        <v>0</v>
      </c>
      <c r="AJ2103">
        <v>0</v>
      </c>
      <c r="AK2103">
        <v>100</v>
      </c>
      <c r="AL2103">
        <v>0</v>
      </c>
      <c r="AM2103">
        <v>0</v>
      </c>
      <c r="AN2103">
        <v>0</v>
      </c>
      <c r="AO2103">
        <v>0</v>
      </c>
      <c r="AQ2103">
        <v>0</v>
      </c>
      <c r="AR2103">
        <v>0</v>
      </c>
      <c r="AT2103">
        <v>0</v>
      </c>
      <c r="AU2103">
        <v>0</v>
      </c>
      <c r="AW2103">
        <v>0</v>
      </c>
      <c r="AX2103">
        <v>0</v>
      </c>
      <c r="AY2103">
        <v>70</v>
      </c>
      <c r="BC2103" t="str">
        <f>T("9791191102086")</f>
        <v>9791191102086</v>
      </c>
      <c r="BE2103" t="str">
        <f>T("판타지 웹소설 &gt; 현대 판타지")</f>
        <v>판타지 웹소설 &gt; 현대 판타지</v>
      </c>
    </row>
    <row r="2104" spans="1:57" x14ac:dyDescent="0.3">
      <c r="A2104">
        <v>1525011523</v>
      </c>
      <c r="B2104">
        <v>1525011232</v>
      </c>
      <c r="C2104" t="str">
        <f>T("남창목가 292화")</f>
        <v>남창목가 292화</v>
      </c>
      <c r="D2104" t="str">
        <f>T("292")</f>
        <v>292</v>
      </c>
      <c r="E2104" t="str">
        <f>T("최재봉")</f>
        <v>최재봉</v>
      </c>
      <c r="H2104" t="str">
        <f>T("에필로그")</f>
        <v>에필로그</v>
      </c>
      <c r="I2104" t="str">
        <f>T("남창목가")</f>
        <v>남창목가</v>
      </c>
      <c r="J2104">
        <v>100</v>
      </c>
      <c r="K2104">
        <v>100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100</v>
      </c>
      <c r="AH2104">
        <v>1</v>
      </c>
      <c r="AI2104">
        <v>0</v>
      </c>
      <c r="AJ2104">
        <v>0</v>
      </c>
      <c r="AK2104">
        <v>0</v>
      </c>
      <c r="AL2104">
        <v>0</v>
      </c>
      <c r="AM2104">
        <v>120</v>
      </c>
      <c r="AN2104">
        <v>-12</v>
      </c>
      <c r="AO2104">
        <v>0</v>
      </c>
      <c r="AQ2104">
        <v>0</v>
      </c>
      <c r="AR2104">
        <v>0</v>
      </c>
      <c r="AS2104">
        <v>120</v>
      </c>
      <c r="AT2104">
        <v>-12</v>
      </c>
      <c r="AU2104">
        <v>0</v>
      </c>
      <c r="AW2104">
        <v>0</v>
      </c>
      <c r="AX2104">
        <v>0</v>
      </c>
      <c r="AY2104">
        <v>75.599999999999994</v>
      </c>
      <c r="BC2104" t="str">
        <f>T("9791164482849")</f>
        <v>9791164482849</v>
      </c>
      <c r="BE2104" t="str">
        <f>T("판타지 웹소설 &gt; 무협 소설")</f>
        <v>판타지 웹소설 &gt; 무협 소설</v>
      </c>
    </row>
    <row r="2105" spans="1:57" x14ac:dyDescent="0.3">
      <c r="A2105">
        <v>1525000569</v>
      </c>
      <c r="B2105">
        <v>1525000614</v>
      </c>
      <c r="C2105" t="str">
        <f>T("스트라이커 46화")</f>
        <v>스트라이커 46화</v>
      </c>
      <c r="D2105" t="str">
        <f>T("46")</f>
        <v>46</v>
      </c>
      <c r="E2105" t="str">
        <f>T("독고진")</f>
        <v>독고진</v>
      </c>
      <c r="H2105" t="str">
        <f>T("스토리위즈")</f>
        <v>스토리위즈</v>
      </c>
      <c r="I2105" t="str">
        <f>T("스트라이커")</f>
        <v>스트라이커</v>
      </c>
      <c r="J2105">
        <v>100</v>
      </c>
      <c r="K2105">
        <v>100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100</v>
      </c>
      <c r="AH2105">
        <v>1</v>
      </c>
      <c r="AI2105">
        <v>0</v>
      </c>
      <c r="AJ2105">
        <v>0</v>
      </c>
      <c r="AK2105">
        <v>100</v>
      </c>
      <c r="AL2105">
        <v>0</v>
      </c>
      <c r="AM2105">
        <v>0</v>
      </c>
      <c r="AN2105">
        <v>0</v>
      </c>
      <c r="AO2105">
        <v>0</v>
      </c>
      <c r="AQ2105">
        <v>0</v>
      </c>
      <c r="AR2105">
        <v>0</v>
      </c>
      <c r="AT2105">
        <v>0</v>
      </c>
      <c r="AU2105">
        <v>0</v>
      </c>
      <c r="AW2105">
        <v>0</v>
      </c>
      <c r="AX2105">
        <v>0</v>
      </c>
      <c r="AY2105">
        <v>70</v>
      </c>
      <c r="BC2105" t="str">
        <f>T("9791170151678")</f>
        <v>9791170151678</v>
      </c>
      <c r="BE2105" t="str">
        <f>T("판타지 웹소설 &gt; 현대 판타지")</f>
        <v>판타지 웹소설 &gt; 현대 판타지</v>
      </c>
    </row>
    <row r="2106" spans="1:57" x14ac:dyDescent="0.3">
      <c r="A2106">
        <v>1525011523</v>
      </c>
      <c r="B2106">
        <v>1525011012</v>
      </c>
      <c r="C2106" t="str">
        <f>T("남창목가 외전 480화")</f>
        <v>남창목가 외전 480화</v>
      </c>
      <c r="D2106" t="str">
        <f>T("480")</f>
        <v>480</v>
      </c>
      <c r="E2106" t="str">
        <f>T("최재봉")</f>
        <v>최재봉</v>
      </c>
      <c r="H2106" t="str">
        <f>T("에필로그")</f>
        <v>에필로그</v>
      </c>
      <c r="I2106" t="str">
        <f>T("남창목가")</f>
        <v>남창목가</v>
      </c>
      <c r="J2106">
        <v>100</v>
      </c>
      <c r="K2106">
        <v>100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100</v>
      </c>
      <c r="AH2106">
        <v>1</v>
      </c>
      <c r="AI2106">
        <v>0</v>
      </c>
      <c r="AJ2106">
        <v>0</v>
      </c>
      <c r="AK2106">
        <v>0</v>
      </c>
      <c r="AL2106">
        <v>0</v>
      </c>
      <c r="AM2106">
        <v>120</v>
      </c>
      <c r="AN2106">
        <v>-12</v>
      </c>
      <c r="AO2106">
        <v>0</v>
      </c>
      <c r="AQ2106">
        <v>0</v>
      </c>
      <c r="AR2106">
        <v>0</v>
      </c>
      <c r="AS2106">
        <v>120</v>
      </c>
      <c r="AT2106">
        <v>-12</v>
      </c>
      <c r="AU2106">
        <v>0</v>
      </c>
      <c r="AW2106">
        <v>0</v>
      </c>
      <c r="AX2106">
        <v>0</v>
      </c>
      <c r="AY2106">
        <v>75.599999999999994</v>
      </c>
      <c r="BC2106" t="str">
        <f>T("9791164482849")</f>
        <v>9791164482849</v>
      </c>
      <c r="BE2106" t="str">
        <f>T("판타지 웹소설 &gt; 무협 소설")</f>
        <v>판타지 웹소설 &gt; 무협 소설</v>
      </c>
    </row>
    <row r="2107" spans="1:57" x14ac:dyDescent="0.3">
      <c r="A2107">
        <v>1525004030</v>
      </c>
      <c r="B2107">
        <v>1525006895</v>
      </c>
      <c r="C2107" t="str">
        <f>T("회귀의 전설 2부 778화")</f>
        <v>회귀의 전설 2부 778화</v>
      </c>
      <c r="D2107" t="str">
        <f>T("778")</f>
        <v>778</v>
      </c>
      <c r="E2107" t="str">
        <f>T("김광수")</f>
        <v>김광수</v>
      </c>
      <c r="H2107" t="str">
        <f>T("스토리위즈")</f>
        <v>스토리위즈</v>
      </c>
      <c r="I2107" t="str">
        <f>T("회귀의 전설")</f>
        <v>회귀의 전설</v>
      </c>
      <c r="J2107">
        <v>100</v>
      </c>
      <c r="K2107">
        <v>100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100</v>
      </c>
      <c r="AH2107">
        <v>1</v>
      </c>
      <c r="AI2107">
        <v>0</v>
      </c>
      <c r="AJ2107">
        <v>0</v>
      </c>
      <c r="AK2107">
        <v>0</v>
      </c>
      <c r="AL2107">
        <v>0</v>
      </c>
      <c r="AM2107">
        <v>120</v>
      </c>
      <c r="AN2107">
        <v>-12</v>
      </c>
      <c r="AO2107">
        <v>0</v>
      </c>
      <c r="AQ2107">
        <v>0</v>
      </c>
      <c r="AR2107">
        <v>0</v>
      </c>
      <c r="AS2107">
        <v>120</v>
      </c>
      <c r="AT2107">
        <v>-12</v>
      </c>
      <c r="AU2107">
        <v>0</v>
      </c>
      <c r="AW2107">
        <v>0</v>
      </c>
      <c r="AX2107">
        <v>0</v>
      </c>
      <c r="AY2107">
        <v>75.599999999999994</v>
      </c>
      <c r="BC2107" t="str">
        <f>T("9791191102086")</f>
        <v>9791191102086</v>
      </c>
      <c r="BE2107" t="str">
        <f>T("판타지 웹소설 &gt; 현대 판타지")</f>
        <v>판타지 웹소설 &gt; 현대 판타지</v>
      </c>
    </row>
    <row r="2108" spans="1:57" x14ac:dyDescent="0.3">
      <c r="A2108">
        <v>1525011523</v>
      </c>
      <c r="B2108">
        <v>1525011348</v>
      </c>
      <c r="C2108" t="str">
        <f>T("남창목가 176화")</f>
        <v>남창목가 176화</v>
      </c>
      <c r="D2108" t="str">
        <f>T("176")</f>
        <v>176</v>
      </c>
      <c r="E2108" t="str">
        <f>T("최재봉")</f>
        <v>최재봉</v>
      </c>
      <c r="H2108" t="str">
        <f>T("에필로그")</f>
        <v>에필로그</v>
      </c>
      <c r="I2108" t="str">
        <f>T("남창목가")</f>
        <v>남창목가</v>
      </c>
      <c r="J2108">
        <v>100</v>
      </c>
      <c r="K2108">
        <v>100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100</v>
      </c>
      <c r="AH2108">
        <v>1</v>
      </c>
      <c r="AI2108">
        <v>0</v>
      </c>
      <c r="AJ2108">
        <v>0</v>
      </c>
      <c r="AK2108">
        <v>0</v>
      </c>
      <c r="AL2108">
        <v>0</v>
      </c>
      <c r="AM2108">
        <v>120</v>
      </c>
      <c r="AN2108">
        <v>-12</v>
      </c>
      <c r="AO2108">
        <v>0</v>
      </c>
      <c r="AQ2108">
        <v>0</v>
      </c>
      <c r="AR2108">
        <v>0</v>
      </c>
      <c r="AS2108">
        <v>120</v>
      </c>
      <c r="AT2108">
        <v>-12</v>
      </c>
      <c r="AU2108">
        <v>0</v>
      </c>
      <c r="AW2108">
        <v>0</v>
      </c>
      <c r="AX2108">
        <v>0</v>
      </c>
      <c r="AY2108">
        <v>75.599999999999994</v>
      </c>
      <c r="BC2108" t="str">
        <f>T("9791164482849")</f>
        <v>9791164482849</v>
      </c>
      <c r="BE2108" t="str">
        <f>T("판타지 웹소설 &gt; 무협 소설")</f>
        <v>판타지 웹소설 &gt; 무협 소설</v>
      </c>
    </row>
    <row r="2109" spans="1:57" x14ac:dyDescent="0.3">
      <c r="A2109">
        <v>1525002125</v>
      </c>
      <c r="B2109">
        <v>1525002379</v>
      </c>
      <c r="C2109" t="str">
        <f>T("신을 죽이러 갑니다 255화")</f>
        <v>신을 죽이러 갑니다 255화</v>
      </c>
      <c r="D2109" t="str">
        <f>T("255")</f>
        <v>255</v>
      </c>
      <c r="E2109" t="str">
        <f>T("독고진")</f>
        <v>독고진</v>
      </c>
      <c r="H2109" t="str">
        <f>T("스토리위즈")</f>
        <v>스토리위즈</v>
      </c>
      <c r="I2109" t="str">
        <f>T("신을 죽이러 갑니다")</f>
        <v>신을 죽이러 갑니다</v>
      </c>
      <c r="J2109">
        <v>100</v>
      </c>
      <c r="K2109">
        <v>100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100</v>
      </c>
      <c r="AH2109">
        <v>1</v>
      </c>
      <c r="AI2109">
        <v>0</v>
      </c>
      <c r="AJ2109">
        <v>0</v>
      </c>
      <c r="AK2109">
        <v>0</v>
      </c>
      <c r="AL2109">
        <v>0</v>
      </c>
      <c r="AM2109">
        <v>120</v>
      </c>
      <c r="AN2109">
        <v>-12</v>
      </c>
      <c r="AO2109">
        <v>0</v>
      </c>
      <c r="AQ2109">
        <v>0</v>
      </c>
      <c r="AR2109">
        <v>0</v>
      </c>
      <c r="AS2109">
        <v>120</v>
      </c>
      <c r="AT2109">
        <v>-12</v>
      </c>
      <c r="AU2109">
        <v>0</v>
      </c>
      <c r="AW2109">
        <v>0</v>
      </c>
      <c r="AX2109">
        <v>0</v>
      </c>
      <c r="AY2109">
        <v>75.599999999999994</v>
      </c>
      <c r="BC2109" t="str">
        <f>T("9791159285806")</f>
        <v>9791159285806</v>
      </c>
      <c r="BE2109" t="str">
        <f>T("판타지 웹소설 &gt; 퓨전 판타지")</f>
        <v>판타지 웹소설 &gt; 퓨전 판타지</v>
      </c>
    </row>
    <row r="2110" spans="1:57" x14ac:dyDescent="0.3">
      <c r="A2110">
        <v>1525012551</v>
      </c>
      <c r="B2110">
        <v>1525012714</v>
      </c>
      <c r="C2110" t="str">
        <f>T("개정판 | 바보가 만드는 멋진 세상 164화")</f>
        <v>개정판 | 바보가 만드는 멋진 세상 164화</v>
      </c>
      <c r="D2110" t="str">
        <f>T("164")</f>
        <v>164</v>
      </c>
      <c r="E2110" t="str">
        <f>T("백범(白帆)")</f>
        <v>백범(白帆)</v>
      </c>
      <c r="H2110" t="str">
        <f>T("에필로그")</f>
        <v>에필로그</v>
      </c>
      <c r="I2110" t="str">
        <f>T("개정판 | 바보가 만드는 멋진 세상")</f>
        <v>개정판 | 바보가 만드는 멋진 세상</v>
      </c>
      <c r="J2110">
        <v>100</v>
      </c>
      <c r="K2110">
        <v>100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100</v>
      </c>
      <c r="AH2110">
        <v>1</v>
      </c>
      <c r="AI2110">
        <v>0</v>
      </c>
      <c r="AJ2110">
        <v>0</v>
      </c>
      <c r="AK2110">
        <v>100</v>
      </c>
      <c r="AL2110">
        <v>0</v>
      </c>
      <c r="AM2110">
        <v>0</v>
      </c>
      <c r="AN2110">
        <v>0</v>
      </c>
      <c r="AO2110">
        <v>0</v>
      </c>
      <c r="AQ2110">
        <v>0</v>
      </c>
      <c r="AR2110">
        <v>0</v>
      </c>
      <c r="AT2110">
        <v>0</v>
      </c>
      <c r="AU2110">
        <v>0</v>
      </c>
      <c r="AW2110">
        <v>0</v>
      </c>
      <c r="AX2110">
        <v>0</v>
      </c>
      <c r="AY2110">
        <v>70</v>
      </c>
      <c r="BC2110" t="str">
        <f>T("9791166003493")</f>
        <v>9791166003493</v>
      </c>
      <c r="BE2110" t="str">
        <f>T("판타지 웹소설 &gt; 현대 판타지")</f>
        <v>판타지 웹소설 &gt; 현대 판타지</v>
      </c>
    </row>
    <row r="2111" spans="1:57" x14ac:dyDescent="0.3">
      <c r="A2111">
        <v>1525008428</v>
      </c>
      <c r="B2111">
        <v>1525008521</v>
      </c>
      <c r="C2111" t="str">
        <f>T("무히비(Muhibbi) 외전 119화")</f>
        <v>무히비(Muhibbi) 외전 119화</v>
      </c>
      <c r="D2111" t="str">
        <f>T("119")</f>
        <v>119</v>
      </c>
      <c r="E2111" t="str">
        <f>T("jooki")</f>
        <v>jooki</v>
      </c>
      <c r="H2111" t="str">
        <f>T("블러쉬")</f>
        <v>블러쉬</v>
      </c>
      <c r="I2111" t="str">
        <f>T("무히비(Muhibbi)")</f>
        <v>무히비(Muhibbi)</v>
      </c>
      <c r="J2111">
        <v>100</v>
      </c>
      <c r="K2111">
        <v>100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100</v>
      </c>
      <c r="AH2111">
        <v>1</v>
      </c>
      <c r="AI2111">
        <v>0</v>
      </c>
      <c r="AJ2111">
        <v>0</v>
      </c>
      <c r="AK2111">
        <v>100</v>
      </c>
      <c r="AL2111">
        <v>0</v>
      </c>
      <c r="AM2111">
        <v>0</v>
      </c>
      <c r="AN2111">
        <v>0</v>
      </c>
      <c r="AO2111">
        <v>0</v>
      </c>
      <c r="AQ2111">
        <v>0</v>
      </c>
      <c r="AR2111">
        <v>0</v>
      </c>
      <c r="AT2111">
        <v>0</v>
      </c>
      <c r="AU2111">
        <v>0</v>
      </c>
      <c r="AW2111">
        <v>0</v>
      </c>
      <c r="AX2111">
        <v>0</v>
      </c>
      <c r="AY2111">
        <v>70</v>
      </c>
      <c r="BA2111" t="str">
        <f>T("0000000000000")</f>
        <v>0000000000000</v>
      </c>
      <c r="BC2111" t="str">
        <f>T("9791164896622")</f>
        <v>9791164896622</v>
      </c>
      <c r="BE2111" t="str">
        <f>T("BL 웹소설 &gt; 역사/시대물")</f>
        <v>BL 웹소설 &gt; 역사/시대물</v>
      </c>
    </row>
    <row r="2112" spans="1:57" x14ac:dyDescent="0.3">
      <c r="A2112">
        <v>1525008428</v>
      </c>
      <c r="B2112">
        <v>1525008476</v>
      </c>
      <c r="C2112" t="str">
        <f>T("무히비(Muhibbi) 63화")</f>
        <v>무히비(Muhibbi) 63화</v>
      </c>
      <c r="D2112" t="str">
        <f>T("63")</f>
        <v>63</v>
      </c>
      <c r="E2112" t="str">
        <f>T("jooki")</f>
        <v>jooki</v>
      </c>
      <c r="H2112" t="str">
        <f>T("블러쉬")</f>
        <v>블러쉬</v>
      </c>
      <c r="I2112" t="str">
        <f>T("무히비(Muhibbi)")</f>
        <v>무히비(Muhibbi)</v>
      </c>
      <c r="J2112">
        <v>100</v>
      </c>
      <c r="K2112">
        <v>100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100</v>
      </c>
      <c r="AH2112">
        <v>1</v>
      </c>
      <c r="AI2112">
        <v>0</v>
      </c>
      <c r="AJ2112">
        <v>0</v>
      </c>
      <c r="AK2112">
        <v>100</v>
      </c>
      <c r="AL2112">
        <v>0</v>
      </c>
      <c r="AM2112">
        <v>0</v>
      </c>
      <c r="AN2112">
        <v>0</v>
      </c>
      <c r="AO2112">
        <v>0</v>
      </c>
      <c r="AQ2112">
        <v>0</v>
      </c>
      <c r="AR2112">
        <v>0</v>
      </c>
      <c r="AT2112">
        <v>0</v>
      </c>
      <c r="AU2112">
        <v>0</v>
      </c>
      <c r="AW2112">
        <v>0</v>
      </c>
      <c r="AX2112">
        <v>0</v>
      </c>
      <c r="AY2112">
        <v>70</v>
      </c>
      <c r="BC2112" t="str">
        <f>T("9791164896622")</f>
        <v>9791164896622</v>
      </c>
      <c r="BE2112" t="str">
        <f>T("BL 웹소설 &gt; 역사/시대물")</f>
        <v>BL 웹소설 &gt; 역사/시대물</v>
      </c>
    </row>
    <row r="2113" spans="1:57" x14ac:dyDescent="0.3">
      <c r="A2113">
        <v>1525011523</v>
      </c>
      <c r="B2113">
        <v>1525011294</v>
      </c>
      <c r="C2113" t="str">
        <f>T("남창목가 230화")</f>
        <v>남창목가 230화</v>
      </c>
      <c r="D2113" t="str">
        <f>T("230")</f>
        <v>230</v>
      </c>
      <c r="E2113" t="str">
        <f>T("최재봉")</f>
        <v>최재봉</v>
      </c>
      <c r="H2113" t="str">
        <f>T("에필로그")</f>
        <v>에필로그</v>
      </c>
      <c r="I2113" t="str">
        <f>T("남창목가")</f>
        <v>남창목가</v>
      </c>
      <c r="J2113">
        <v>100</v>
      </c>
      <c r="K2113">
        <v>100</v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100</v>
      </c>
      <c r="AH2113">
        <v>1</v>
      </c>
      <c r="AI2113">
        <v>0</v>
      </c>
      <c r="AJ2113">
        <v>0</v>
      </c>
      <c r="AK2113">
        <v>0</v>
      </c>
      <c r="AL2113">
        <v>0</v>
      </c>
      <c r="AM2113">
        <v>120</v>
      </c>
      <c r="AN2113">
        <v>-12</v>
      </c>
      <c r="AO2113">
        <v>0</v>
      </c>
      <c r="AQ2113">
        <v>0</v>
      </c>
      <c r="AR2113">
        <v>0</v>
      </c>
      <c r="AS2113">
        <v>120</v>
      </c>
      <c r="AT2113">
        <v>-12</v>
      </c>
      <c r="AU2113">
        <v>0</v>
      </c>
      <c r="AW2113">
        <v>0</v>
      </c>
      <c r="AX2113">
        <v>0</v>
      </c>
      <c r="AY2113">
        <v>75.599999999999994</v>
      </c>
      <c r="BC2113" t="str">
        <f>T("9791164482849")</f>
        <v>9791164482849</v>
      </c>
      <c r="BE2113" t="str">
        <f>T("판타지 웹소설 &gt; 무협 소설")</f>
        <v>판타지 웹소설 &gt; 무협 소설</v>
      </c>
    </row>
    <row r="2114" spans="1:57" x14ac:dyDescent="0.3">
      <c r="A2114">
        <v>1525011523</v>
      </c>
      <c r="B2114">
        <v>1525011489</v>
      </c>
      <c r="C2114" t="str">
        <f>T("남창목가 35화")</f>
        <v>남창목가 35화</v>
      </c>
      <c r="D2114" t="str">
        <f>T("35")</f>
        <v>35</v>
      </c>
      <c r="E2114" t="str">
        <f>T("최재봉")</f>
        <v>최재봉</v>
      </c>
      <c r="H2114" t="str">
        <f>T("에필로그")</f>
        <v>에필로그</v>
      </c>
      <c r="I2114" t="str">
        <f>T("남창목가")</f>
        <v>남창목가</v>
      </c>
      <c r="J2114">
        <v>100</v>
      </c>
      <c r="K2114">
        <v>100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100</v>
      </c>
      <c r="AH2114">
        <v>1</v>
      </c>
      <c r="AI2114">
        <v>0</v>
      </c>
      <c r="AJ2114">
        <v>0</v>
      </c>
      <c r="AK2114">
        <v>100</v>
      </c>
      <c r="AL2114">
        <v>0</v>
      </c>
      <c r="AM2114">
        <v>0</v>
      </c>
      <c r="AN2114">
        <v>0</v>
      </c>
      <c r="AO2114">
        <v>0</v>
      </c>
      <c r="AQ2114">
        <v>0</v>
      </c>
      <c r="AR2114">
        <v>0</v>
      </c>
      <c r="AT2114">
        <v>0</v>
      </c>
      <c r="AU2114">
        <v>0</v>
      </c>
      <c r="AW2114">
        <v>0</v>
      </c>
      <c r="AX2114">
        <v>0</v>
      </c>
      <c r="AY2114">
        <v>70</v>
      </c>
      <c r="BC2114" t="str">
        <f>T("9791164482849")</f>
        <v>9791164482849</v>
      </c>
      <c r="BE2114" t="str">
        <f>T("판타지 웹소설 &gt; 무협 소설")</f>
        <v>판타지 웹소설 &gt; 무협 소설</v>
      </c>
    </row>
    <row r="2115" spans="1:57" x14ac:dyDescent="0.3">
      <c r="A2115">
        <v>1525012551</v>
      </c>
      <c r="B2115">
        <v>1525012592</v>
      </c>
      <c r="C2115" t="str">
        <f>T("개정판 | 바보가 만드는 멋진 세상 42화")</f>
        <v>개정판 | 바보가 만드는 멋진 세상 42화</v>
      </c>
      <c r="D2115" t="str">
        <f>T("42")</f>
        <v>42</v>
      </c>
      <c r="E2115" t="str">
        <f>T("백범(白帆)")</f>
        <v>백범(白帆)</v>
      </c>
      <c r="H2115" t="str">
        <f>T("에필로그")</f>
        <v>에필로그</v>
      </c>
      <c r="I2115" t="str">
        <f>T("개정판 | 바보가 만드는 멋진 세상")</f>
        <v>개정판 | 바보가 만드는 멋진 세상</v>
      </c>
      <c r="J2115">
        <v>100</v>
      </c>
      <c r="K2115">
        <v>100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100</v>
      </c>
      <c r="AH2115">
        <v>1</v>
      </c>
      <c r="AI2115">
        <v>0</v>
      </c>
      <c r="AJ2115">
        <v>0</v>
      </c>
      <c r="AK2115">
        <v>100</v>
      </c>
      <c r="AL2115">
        <v>0</v>
      </c>
      <c r="AM2115">
        <v>0</v>
      </c>
      <c r="AN2115">
        <v>0</v>
      </c>
      <c r="AO2115">
        <v>0</v>
      </c>
      <c r="AQ2115">
        <v>0</v>
      </c>
      <c r="AR2115">
        <v>0</v>
      </c>
      <c r="AT2115">
        <v>0</v>
      </c>
      <c r="AU2115">
        <v>0</v>
      </c>
      <c r="AW2115">
        <v>0</v>
      </c>
      <c r="AX2115">
        <v>0</v>
      </c>
      <c r="AY2115">
        <v>70</v>
      </c>
      <c r="BC2115" t="str">
        <f>T("9791166003493")</f>
        <v>9791166003493</v>
      </c>
      <c r="BE2115" t="str">
        <f>T("판타지 웹소설 &gt; 현대 판타지")</f>
        <v>판타지 웹소설 &gt; 현대 판타지</v>
      </c>
    </row>
    <row r="2116" spans="1:57" x14ac:dyDescent="0.3">
      <c r="A2116">
        <v>1525004799</v>
      </c>
      <c r="B2116">
        <v>1525004942</v>
      </c>
      <c r="C2116" t="str">
        <f>T("검산도해 144화")</f>
        <v>검산도해 144화</v>
      </c>
      <c r="D2116" t="str">
        <f>T("144")</f>
        <v>144</v>
      </c>
      <c r="E2116" t="str">
        <f>T("권용찬")</f>
        <v>권용찬</v>
      </c>
      <c r="H2116" t="str">
        <f>T("스토리위즈")</f>
        <v>스토리위즈</v>
      </c>
      <c r="I2116" t="str">
        <f>T("검산도해")</f>
        <v>검산도해</v>
      </c>
      <c r="J2116">
        <v>100</v>
      </c>
      <c r="K2116">
        <v>100</v>
      </c>
      <c r="L2116">
        <v>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100</v>
      </c>
      <c r="AH2116">
        <v>1</v>
      </c>
      <c r="AI2116">
        <v>0</v>
      </c>
      <c r="AJ2116">
        <v>0</v>
      </c>
      <c r="AK2116">
        <v>0</v>
      </c>
      <c r="AL2116">
        <v>0</v>
      </c>
      <c r="AM2116">
        <v>120</v>
      </c>
      <c r="AN2116">
        <v>-12</v>
      </c>
      <c r="AO2116">
        <v>0</v>
      </c>
      <c r="AQ2116">
        <v>0</v>
      </c>
      <c r="AR2116">
        <v>0</v>
      </c>
      <c r="AS2116">
        <v>120</v>
      </c>
      <c r="AT2116">
        <v>-12</v>
      </c>
      <c r="AU2116">
        <v>0</v>
      </c>
      <c r="AW2116">
        <v>0</v>
      </c>
      <c r="AX2116">
        <v>0</v>
      </c>
      <c r="AY2116">
        <v>75.599999999999994</v>
      </c>
      <c r="BC2116" t="str">
        <f>T("9791159285936")</f>
        <v>9791159285936</v>
      </c>
      <c r="BE2116" t="str">
        <f>T("판타지 웹소설 &gt; 무협 소설")</f>
        <v>판타지 웹소설 &gt; 무협 소설</v>
      </c>
    </row>
    <row r="2117" spans="1:57" x14ac:dyDescent="0.3">
      <c r="A2117">
        <v>1525004030</v>
      </c>
      <c r="B2117">
        <v>1525007031</v>
      </c>
      <c r="C2117" t="str">
        <f>T("회귀의 전설 2부 915화")</f>
        <v>회귀의 전설 2부 915화</v>
      </c>
      <c r="D2117" t="str">
        <f>T("915")</f>
        <v>915</v>
      </c>
      <c r="E2117" t="str">
        <f>T("김광수")</f>
        <v>김광수</v>
      </c>
      <c r="H2117" t="str">
        <f>T("스토리위즈")</f>
        <v>스토리위즈</v>
      </c>
      <c r="I2117" t="str">
        <f>T("회귀의 전설")</f>
        <v>회귀의 전설</v>
      </c>
      <c r="J2117">
        <v>100</v>
      </c>
      <c r="K2117">
        <v>100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100</v>
      </c>
      <c r="AH2117">
        <v>1</v>
      </c>
      <c r="AI2117">
        <v>0</v>
      </c>
      <c r="AJ2117">
        <v>0</v>
      </c>
      <c r="AK2117">
        <v>100</v>
      </c>
      <c r="AL2117">
        <v>0</v>
      </c>
      <c r="AM2117">
        <v>0</v>
      </c>
      <c r="AN2117">
        <v>0</v>
      </c>
      <c r="AO2117">
        <v>0</v>
      </c>
      <c r="AQ2117">
        <v>0</v>
      </c>
      <c r="AR2117">
        <v>0</v>
      </c>
      <c r="AT2117">
        <v>0</v>
      </c>
      <c r="AU2117">
        <v>0</v>
      </c>
      <c r="AW2117">
        <v>0</v>
      </c>
      <c r="AX2117">
        <v>0</v>
      </c>
      <c r="AY2117">
        <v>70</v>
      </c>
      <c r="BC2117" t="str">
        <f>T("9791191102086")</f>
        <v>9791191102086</v>
      </c>
      <c r="BE2117" t="str">
        <f>T("판타지 웹소설 &gt; 현대 판타지")</f>
        <v>판타지 웹소설 &gt; 현대 판타지</v>
      </c>
    </row>
    <row r="2118" spans="1:57" x14ac:dyDescent="0.3">
      <c r="A2118">
        <v>1525004030</v>
      </c>
      <c r="B2118">
        <v>1525006990</v>
      </c>
      <c r="C2118" t="str">
        <f>T("회귀의 전설 2부 874화")</f>
        <v>회귀의 전설 2부 874화</v>
      </c>
      <c r="D2118" t="str">
        <f>T("874")</f>
        <v>874</v>
      </c>
      <c r="E2118" t="str">
        <f>T("김광수")</f>
        <v>김광수</v>
      </c>
      <c r="H2118" t="str">
        <f>T("스토리위즈")</f>
        <v>스토리위즈</v>
      </c>
      <c r="I2118" t="str">
        <f>T("회귀의 전설")</f>
        <v>회귀의 전설</v>
      </c>
      <c r="J2118">
        <v>100</v>
      </c>
      <c r="K2118">
        <v>100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100</v>
      </c>
      <c r="AH2118">
        <v>1</v>
      </c>
      <c r="AI2118">
        <v>0</v>
      </c>
      <c r="AJ2118">
        <v>0</v>
      </c>
      <c r="AK2118">
        <v>100</v>
      </c>
      <c r="AL2118">
        <v>0</v>
      </c>
      <c r="AM2118">
        <v>0</v>
      </c>
      <c r="AN2118">
        <v>0</v>
      </c>
      <c r="AO2118">
        <v>0</v>
      </c>
      <c r="AQ2118">
        <v>0</v>
      </c>
      <c r="AR2118">
        <v>0</v>
      </c>
      <c r="AT2118">
        <v>0</v>
      </c>
      <c r="AU2118">
        <v>0</v>
      </c>
      <c r="AW2118">
        <v>0</v>
      </c>
      <c r="AX2118">
        <v>0</v>
      </c>
      <c r="AY2118">
        <v>70</v>
      </c>
      <c r="BC2118" t="str">
        <f>T("9791191102086")</f>
        <v>9791191102086</v>
      </c>
      <c r="BE2118" t="str">
        <f>T("판타지 웹소설 &gt; 현대 판타지")</f>
        <v>판타지 웹소설 &gt; 현대 판타지</v>
      </c>
    </row>
    <row r="2119" spans="1:57" x14ac:dyDescent="0.3">
      <c r="A2119">
        <v>1525011523</v>
      </c>
      <c r="B2119">
        <v>1525011386</v>
      </c>
      <c r="C2119" t="str">
        <f>T("남창목가 138화")</f>
        <v>남창목가 138화</v>
      </c>
      <c r="D2119" t="str">
        <f>T("138")</f>
        <v>138</v>
      </c>
      <c r="E2119" t="str">
        <f>T("최재봉")</f>
        <v>최재봉</v>
      </c>
      <c r="H2119" t="str">
        <f>T("에필로그")</f>
        <v>에필로그</v>
      </c>
      <c r="I2119" t="str">
        <f>T("남창목가")</f>
        <v>남창목가</v>
      </c>
      <c r="J2119">
        <v>100</v>
      </c>
      <c r="K2119">
        <v>100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100</v>
      </c>
      <c r="AH2119">
        <v>1</v>
      </c>
      <c r="AI2119">
        <v>0</v>
      </c>
      <c r="AJ2119">
        <v>0</v>
      </c>
      <c r="AK2119">
        <v>100</v>
      </c>
      <c r="AL2119">
        <v>0</v>
      </c>
      <c r="AM2119">
        <v>0</v>
      </c>
      <c r="AN2119">
        <v>0</v>
      </c>
      <c r="AO2119">
        <v>0</v>
      </c>
      <c r="AQ2119">
        <v>0</v>
      </c>
      <c r="AR2119">
        <v>0</v>
      </c>
      <c r="AT2119">
        <v>0</v>
      </c>
      <c r="AU2119">
        <v>0</v>
      </c>
      <c r="AW2119">
        <v>0</v>
      </c>
      <c r="AX2119">
        <v>0</v>
      </c>
      <c r="AY2119">
        <v>70</v>
      </c>
      <c r="BC2119" t="str">
        <f>T("9791164482849")</f>
        <v>9791164482849</v>
      </c>
      <c r="BE2119" t="str">
        <f>T("판타지 웹소설 &gt; 무협 소설")</f>
        <v>판타지 웹소설 &gt; 무협 소설</v>
      </c>
    </row>
    <row r="2120" spans="1:57" x14ac:dyDescent="0.3">
      <c r="A2120">
        <v>1525013020</v>
      </c>
      <c r="B2120">
        <v>1525013072</v>
      </c>
      <c r="C2120" t="str">
        <f>T("악당의 리턴 53화")</f>
        <v>악당의 리턴 53화</v>
      </c>
      <c r="D2120" t="str">
        <f>T("53")</f>
        <v>53</v>
      </c>
      <c r="E2120" t="str">
        <f>T("백범(白帆)")</f>
        <v>백범(白帆)</v>
      </c>
      <c r="H2120" t="str">
        <f>T("에필로그")</f>
        <v>에필로그</v>
      </c>
      <c r="I2120" t="str">
        <f>T("악당의 리턴")</f>
        <v>악당의 리턴</v>
      </c>
      <c r="J2120">
        <v>100</v>
      </c>
      <c r="K2120">
        <v>100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100</v>
      </c>
      <c r="AH2120">
        <v>1</v>
      </c>
      <c r="AI2120">
        <v>0</v>
      </c>
      <c r="AJ2120">
        <v>0</v>
      </c>
      <c r="AK2120">
        <v>100</v>
      </c>
      <c r="AL2120">
        <v>0</v>
      </c>
      <c r="AM2120">
        <v>0</v>
      </c>
      <c r="AN2120">
        <v>0</v>
      </c>
      <c r="AO2120">
        <v>0</v>
      </c>
      <c r="AQ2120">
        <v>0</v>
      </c>
      <c r="AR2120">
        <v>0</v>
      </c>
      <c r="AT2120">
        <v>0</v>
      </c>
      <c r="AU2120">
        <v>0</v>
      </c>
      <c r="AW2120">
        <v>0</v>
      </c>
      <c r="AX2120">
        <v>0</v>
      </c>
      <c r="AY2120">
        <v>70</v>
      </c>
      <c r="BC2120" t="str">
        <f>T("9791196538927")</f>
        <v>9791196538927</v>
      </c>
      <c r="BE2120" t="str">
        <f>T("판타지 웹소설 &gt; 현대 판타지")</f>
        <v>판타지 웹소설 &gt; 현대 판타지</v>
      </c>
    </row>
    <row r="2121" spans="1:57" x14ac:dyDescent="0.3">
      <c r="A2121">
        <v>1525004030</v>
      </c>
      <c r="B2121">
        <v>1525007146</v>
      </c>
      <c r="C2121" t="str">
        <f>T("회귀의 전설 2부 1029화")</f>
        <v>회귀의 전설 2부 1029화</v>
      </c>
      <c r="D2121" t="str">
        <f>T("1029")</f>
        <v>1029</v>
      </c>
      <c r="E2121" t="str">
        <f>T("김광수")</f>
        <v>김광수</v>
      </c>
      <c r="H2121" t="str">
        <f>T("스토리위즈")</f>
        <v>스토리위즈</v>
      </c>
      <c r="I2121" t="str">
        <f>T("회귀의 전설")</f>
        <v>회귀의 전설</v>
      </c>
      <c r="J2121">
        <v>100</v>
      </c>
      <c r="K2121">
        <v>100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100</v>
      </c>
      <c r="AH2121">
        <v>1</v>
      </c>
      <c r="AI2121">
        <v>0</v>
      </c>
      <c r="AJ2121">
        <v>0</v>
      </c>
      <c r="AK2121">
        <v>100</v>
      </c>
      <c r="AL2121">
        <v>0</v>
      </c>
      <c r="AM2121">
        <v>0</v>
      </c>
      <c r="AN2121">
        <v>0</v>
      </c>
      <c r="AO2121">
        <v>0</v>
      </c>
      <c r="AQ2121">
        <v>0</v>
      </c>
      <c r="AR2121">
        <v>0</v>
      </c>
      <c r="AT2121">
        <v>0</v>
      </c>
      <c r="AU2121">
        <v>0</v>
      </c>
      <c r="AW2121">
        <v>0</v>
      </c>
      <c r="AX2121">
        <v>0</v>
      </c>
      <c r="AY2121">
        <v>70</v>
      </c>
      <c r="BC2121" t="str">
        <f>T("9791191102086")</f>
        <v>9791191102086</v>
      </c>
      <c r="BE2121" t="str">
        <f>T("판타지 웹소설 &gt; 현대 판타지")</f>
        <v>판타지 웹소설 &gt; 현대 판타지</v>
      </c>
    </row>
    <row r="2122" spans="1:57" x14ac:dyDescent="0.3">
      <c r="A2122">
        <v>1525012551</v>
      </c>
      <c r="B2122">
        <v>1525012746</v>
      </c>
      <c r="C2122" t="str">
        <f>T("개정판 | 바보가 만드는 멋진 세상 196화")</f>
        <v>개정판 | 바보가 만드는 멋진 세상 196화</v>
      </c>
      <c r="D2122" t="str">
        <f>T("196")</f>
        <v>196</v>
      </c>
      <c r="E2122" t="str">
        <f>T("백범(白帆)")</f>
        <v>백범(白帆)</v>
      </c>
      <c r="H2122" t="str">
        <f>T("에필로그")</f>
        <v>에필로그</v>
      </c>
      <c r="I2122" t="str">
        <f>T("개정판 | 바보가 만드는 멋진 세상")</f>
        <v>개정판 | 바보가 만드는 멋진 세상</v>
      </c>
      <c r="J2122">
        <v>100</v>
      </c>
      <c r="K2122">
        <v>100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100</v>
      </c>
      <c r="AH2122">
        <v>1</v>
      </c>
      <c r="AI2122">
        <v>0</v>
      </c>
      <c r="AJ2122">
        <v>0</v>
      </c>
      <c r="AK2122">
        <v>100</v>
      </c>
      <c r="AL2122">
        <v>0</v>
      </c>
      <c r="AM2122">
        <v>0</v>
      </c>
      <c r="AN2122">
        <v>0</v>
      </c>
      <c r="AO2122">
        <v>0</v>
      </c>
      <c r="AQ2122">
        <v>0</v>
      </c>
      <c r="AR2122">
        <v>0</v>
      </c>
      <c r="AT2122">
        <v>0</v>
      </c>
      <c r="AU2122">
        <v>0</v>
      </c>
      <c r="AW2122">
        <v>0</v>
      </c>
      <c r="AX2122">
        <v>0</v>
      </c>
      <c r="AY2122">
        <v>70</v>
      </c>
      <c r="BC2122" t="str">
        <f>T("9791166003493")</f>
        <v>9791166003493</v>
      </c>
      <c r="BE2122" t="str">
        <f>T("판타지 웹소설 &gt; 현대 판타지")</f>
        <v>판타지 웹소설 &gt; 현대 판타지</v>
      </c>
    </row>
    <row r="2123" spans="1:57" x14ac:dyDescent="0.3">
      <c r="A2123">
        <v>1525008545</v>
      </c>
      <c r="B2123">
        <v>1525008559</v>
      </c>
      <c r="C2123" t="str">
        <f>T("소년연애담 32화")</f>
        <v>소년연애담 32화</v>
      </c>
      <c r="D2123" t="str">
        <f>T("32")</f>
        <v>32</v>
      </c>
      <c r="E2123" t="str">
        <f>T("나나코")</f>
        <v>나나코</v>
      </c>
      <c r="H2123" t="str">
        <f>T("블러쉬")</f>
        <v>블러쉬</v>
      </c>
      <c r="I2123" t="str">
        <f>T("소년연애담")</f>
        <v>소년연애담</v>
      </c>
      <c r="J2123">
        <v>100</v>
      </c>
      <c r="K2123">
        <v>100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100</v>
      </c>
      <c r="AH2123">
        <v>1</v>
      </c>
      <c r="AI2123">
        <v>0</v>
      </c>
      <c r="AJ2123">
        <v>0</v>
      </c>
      <c r="AK2123">
        <v>100</v>
      </c>
      <c r="AL2123">
        <v>0</v>
      </c>
      <c r="AM2123">
        <v>0</v>
      </c>
      <c r="AN2123">
        <v>0</v>
      </c>
      <c r="AO2123">
        <v>0</v>
      </c>
      <c r="AQ2123">
        <v>0</v>
      </c>
      <c r="AR2123">
        <v>0</v>
      </c>
      <c r="AT2123">
        <v>0</v>
      </c>
      <c r="AU2123">
        <v>0</v>
      </c>
      <c r="AW2123">
        <v>0</v>
      </c>
      <c r="AX2123">
        <v>0</v>
      </c>
      <c r="AY2123">
        <v>70</v>
      </c>
      <c r="BA2123" t="str">
        <f>T("0000000000000")</f>
        <v>0000000000000</v>
      </c>
      <c r="BC2123" t="str">
        <f>T("9791164890729")</f>
        <v>9791164890729</v>
      </c>
      <c r="BD2123" t="str">
        <f>T("B12")</f>
        <v>B12</v>
      </c>
      <c r="BE2123" t="str">
        <f>T("BL 웹소설 &gt; 현대물")</f>
        <v>BL 웹소설 &gt; 현대물</v>
      </c>
    </row>
    <row r="2124" spans="1:57" x14ac:dyDescent="0.3">
      <c r="A2124">
        <v>1525008428</v>
      </c>
      <c r="B2124">
        <v>1525008511</v>
      </c>
      <c r="C2124" t="str">
        <f>T("무히비(Muhibbi) 95화")</f>
        <v>무히비(Muhibbi) 95화</v>
      </c>
      <c r="D2124" t="str">
        <f>T("95")</f>
        <v>95</v>
      </c>
      <c r="E2124" t="str">
        <f>T("jooki")</f>
        <v>jooki</v>
      </c>
      <c r="H2124" t="str">
        <f>T("블러쉬")</f>
        <v>블러쉬</v>
      </c>
      <c r="I2124" t="str">
        <f>T("무히비(Muhibbi)")</f>
        <v>무히비(Muhibbi)</v>
      </c>
      <c r="J2124">
        <v>100</v>
      </c>
      <c r="K2124">
        <v>100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100</v>
      </c>
      <c r="AH2124">
        <v>1</v>
      </c>
      <c r="AI2124">
        <v>0</v>
      </c>
      <c r="AJ2124">
        <v>0</v>
      </c>
      <c r="AK2124">
        <v>100</v>
      </c>
      <c r="AL2124">
        <v>0</v>
      </c>
      <c r="AM2124">
        <v>0</v>
      </c>
      <c r="AN2124">
        <v>0</v>
      </c>
      <c r="AO2124">
        <v>0</v>
      </c>
      <c r="AQ2124">
        <v>0</v>
      </c>
      <c r="AR2124">
        <v>0</v>
      </c>
      <c r="AT2124">
        <v>0</v>
      </c>
      <c r="AU2124">
        <v>0</v>
      </c>
      <c r="AW2124">
        <v>0</v>
      </c>
      <c r="AX2124">
        <v>0</v>
      </c>
      <c r="AY2124">
        <v>70</v>
      </c>
      <c r="BA2124" t="str">
        <f>T("0000000000000")</f>
        <v>0000000000000</v>
      </c>
      <c r="BC2124" t="str">
        <f>T("9791164896622")</f>
        <v>9791164896622</v>
      </c>
      <c r="BE2124" t="str">
        <f>T("BL 웹소설 &gt; 역사/시대물")</f>
        <v>BL 웹소설 &gt; 역사/시대물</v>
      </c>
    </row>
    <row r="2125" spans="1:57" x14ac:dyDescent="0.3">
      <c r="A2125">
        <v>1525012551</v>
      </c>
      <c r="B2125">
        <v>1525012624</v>
      </c>
      <c r="C2125" t="str">
        <f>T("개정판 | 바보가 만드는 멋진 세상 74화")</f>
        <v>개정판 | 바보가 만드는 멋진 세상 74화</v>
      </c>
      <c r="D2125" t="str">
        <f>T("74")</f>
        <v>74</v>
      </c>
      <c r="E2125" t="str">
        <f>T("백범(白帆)")</f>
        <v>백범(白帆)</v>
      </c>
      <c r="H2125" t="str">
        <f>T("에필로그")</f>
        <v>에필로그</v>
      </c>
      <c r="I2125" t="str">
        <f>T("개정판 | 바보가 만드는 멋진 세상")</f>
        <v>개정판 | 바보가 만드는 멋진 세상</v>
      </c>
      <c r="J2125">
        <v>100</v>
      </c>
      <c r="K2125">
        <v>100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100</v>
      </c>
      <c r="AH2125">
        <v>1</v>
      </c>
      <c r="AI2125">
        <v>0</v>
      </c>
      <c r="AJ2125">
        <v>0</v>
      </c>
      <c r="AK2125">
        <v>100</v>
      </c>
      <c r="AL2125">
        <v>0</v>
      </c>
      <c r="AM2125">
        <v>0</v>
      </c>
      <c r="AN2125">
        <v>0</v>
      </c>
      <c r="AO2125">
        <v>0</v>
      </c>
      <c r="AQ2125">
        <v>0</v>
      </c>
      <c r="AR2125">
        <v>0</v>
      </c>
      <c r="AT2125">
        <v>0</v>
      </c>
      <c r="AU2125">
        <v>0</v>
      </c>
      <c r="AW2125">
        <v>0</v>
      </c>
      <c r="AX2125">
        <v>0</v>
      </c>
      <c r="AY2125">
        <v>70</v>
      </c>
      <c r="BC2125" t="str">
        <f>T("9791166003493")</f>
        <v>9791166003493</v>
      </c>
      <c r="BE2125" t="str">
        <f>T("판타지 웹소설 &gt; 현대 판타지")</f>
        <v>판타지 웹소설 &gt; 현대 판타지</v>
      </c>
    </row>
    <row r="2126" spans="1:57" x14ac:dyDescent="0.3">
      <c r="A2126">
        <v>1525000924</v>
      </c>
      <c r="B2126">
        <v>1525000957</v>
      </c>
      <c r="C2126" t="str">
        <f>T("스피릿 소드 34화")</f>
        <v>스피릿 소드 34화</v>
      </c>
      <c r="D2126" t="str">
        <f>T("34")</f>
        <v>34</v>
      </c>
      <c r="E2126" t="str">
        <f>T("김정률")</f>
        <v>김정률</v>
      </c>
      <c r="H2126" t="str">
        <f>T("스토리위즈")</f>
        <v>스토리위즈</v>
      </c>
      <c r="I2126" t="str">
        <f>T("스피릿 소드")</f>
        <v>스피릿 소드</v>
      </c>
      <c r="J2126">
        <v>100</v>
      </c>
      <c r="K2126">
        <v>100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100</v>
      </c>
      <c r="AH2126">
        <v>1</v>
      </c>
      <c r="AI2126">
        <v>0</v>
      </c>
      <c r="AJ2126">
        <v>0</v>
      </c>
      <c r="AK2126">
        <v>100</v>
      </c>
      <c r="AL2126">
        <v>0</v>
      </c>
      <c r="AM2126">
        <v>0</v>
      </c>
      <c r="AN2126">
        <v>0</v>
      </c>
      <c r="AO2126">
        <v>0</v>
      </c>
      <c r="AQ2126">
        <v>0</v>
      </c>
      <c r="AR2126">
        <v>0</v>
      </c>
      <c r="AT2126">
        <v>0</v>
      </c>
      <c r="AU2126">
        <v>0</v>
      </c>
      <c r="AW2126">
        <v>0</v>
      </c>
      <c r="AX2126">
        <v>0</v>
      </c>
      <c r="AY2126">
        <v>70</v>
      </c>
      <c r="BA2126" t="str">
        <f>T("9791159282713")</f>
        <v>9791159282713</v>
      </c>
      <c r="BC2126" t="str">
        <f>T("9791159282713")</f>
        <v>9791159282713</v>
      </c>
      <c r="BE2126" t="str">
        <f>T("판타지 웹소설 &gt; 정통 판타지")</f>
        <v>판타지 웹소설 &gt; 정통 판타지</v>
      </c>
    </row>
    <row r="2127" spans="1:57" x14ac:dyDescent="0.3">
      <c r="A2127">
        <v>1525013020</v>
      </c>
      <c r="B2127">
        <v>1525013104</v>
      </c>
      <c r="C2127" t="str">
        <f>T("악당의 리턴 85화")</f>
        <v>악당의 리턴 85화</v>
      </c>
      <c r="D2127" t="str">
        <f>T("85")</f>
        <v>85</v>
      </c>
      <c r="E2127" t="str">
        <f>T("백범(白帆)")</f>
        <v>백범(白帆)</v>
      </c>
      <c r="H2127" t="str">
        <f>T("에필로그")</f>
        <v>에필로그</v>
      </c>
      <c r="I2127" t="str">
        <f>T("악당의 리턴")</f>
        <v>악당의 리턴</v>
      </c>
      <c r="J2127">
        <v>100</v>
      </c>
      <c r="K2127">
        <v>100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100</v>
      </c>
      <c r="AH2127">
        <v>1</v>
      </c>
      <c r="AI2127">
        <v>0</v>
      </c>
      <c r="AJ2127">
        <v>0</v>
      </c>
      <c r="AK2127">
        <v>100</v>
      </c>
      <c r="AL2127">
        <v>0</v>
      </c>
      <c r="AM2127">
        <v>0</v>
      </c>
      <c r="AN2127">
        <v>0</v>
      </c>
      <c r="AO2127">
        <v>0</v>
      </c>
      <c r="AQ2127">
        <v>0</v>
      </c>
      <c r="AR2127">
        <v>0</v>
      </c>
      <c r="AT2127">
        <v>0</v>
      </c>
      <c r="AU2127">
        <v>0</v>
      </c>
      <c r="AW2127">
        <v>0</v>
      </c>
      <c r="AX2127">
        <v>0</v>
      </c>
      <c r="AY2127">
        <v>70</v>
      </c>
      <c r="BC2127" t="str">
        <f>T("9791196538927")</f>
        <v>9791196538927</v>
      </c>
      <c r="BE2127" t="str">
        <f>T("판타지 웹소설 &gt; 현대 판타지")</f>
        <v>판타지 웹소설 &gt; 현대 판타지</v>
      </c>
    </row>
    <row r="2128" spans="1:57" x14ac:dyDescent="0.3">
      <c r="A2128">
        <v>1525012551</v>
      </c>
      <c r="B2128">
        <v>1525012665</v>
      </c>
      <c r="C2128" t="str">
        <f>T("개정판 | 바보가 만드는 멋진 세상 115화")</f>
        <v>개정판 | 바보가 만드는 멋진 세상 115화</v>
      </c>
      <c r="D2128" t="str">
        <f>T("115")</f>
        <v>115</v>
      </c>
      <c r="E2128" t="str">
        <f>T("백범(白帆)")</f>
        <v>백범(白帆)</v>
      </c>
      <c r="H2128" t="str">
        <f>T("에필로그")</f>
        <v>에필로그</v>
      </c>
      <c r="I2128" t="str">
        <f>T("개정판 | 바보가 만드는 멋진 세상")</f>
        <v>개정판 | 바보가 만드는 멋진 세상</v>
      </c>
      <c r="J2128">
        <v>100</v>
      </c>
      <c r="K2128">
        <v>100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100</v>
      </c>
      <c r="AH2128">
        <v>1</v>
      </c>
      <c r="AI2128">
        <v>0</v>
      </c>
      <c r="AJ2128">
        <v>0</v>
      </c>
      <c r="AK2128">
        <v>100</v>
      </c>
      <c r="AL2128">
        <v>0</v>
      </c>
      <c r="AM2128">
        <v>0</v>
      </c>
      <c r="AN2128">
        <v>0</v>
      </c>
      <c r="AO2128">
        <v>0</v>
      </c>
      <c r="AQ2128">
        <v>0</v>
      </c>
      <c r="AR2128">
        <v>0</v>
      </c>
      <c r="AT2128">
        <v>0</v>
      </c>
      <c r="AU2128">
        <v>0</v>
      </c>
      <c r="AW2128">
        <v>0</v>
      </c>
      <c r="AX2128">
        <v>0</v>
      </c>
      <c r="AY2128">
        <v>70</v>
      </c>
      <c r="BC2128" t="str">
        <f>T("9791166003493")</f>
        <v>9791166003493</v>
      </c>
      <c r="BE2128" t="str">
        <f>T("판타지 웹소설 &gt; 현대 판타지")</f>
        <v>판타지 웹소설 &gt; 현대 판타지</v>
      </c>
    </row>
    <row r="2129" spans="1:57" x14ac:dyDescent="0.3">
      <c r="A2129">
        <v>1525012551</v>
      </c>
      <c r="B2129">
        <v>1525012763</v>
      </c>
      <c r="C2129" t="str">
        <f>T("개정판 | 바보가 만드는 멋진 세상 213화")</f>
        <v>개정판 | 바보가 만드는 멋진 세상 213화</v>
      </c>
      <c r="D2129" t="str">
        <f>T("213")</f>
        <v>213</v>
      </c>
      <c r="E2129" t="str">
        <f>T("백범(白帆)")</f>
        <v>백범(白帆)</v>
      </c>
      <c r="H2129" t="str">
        <f>T("에필로그")</f>
        <v>에필로그</v>
      </c>
      <c r="I2129" t="str">
        <f>T("개정판 | 바보가 만드는 멋진 세상")</f>
        <v>개정판 | 바보가 만드는 멋진 세상</v>
      </c>
      <c r="J2129">
        <v>100</v>
      </c>
      <c r="K2129">
        <v>100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100</v>
      </c>
      <c r="AH2129">
        <v>1</v>
      </c>
      <c r="AI2129">
        <v>0</v>
      </c>
      <c r="AJ2129">
        <v>0</v>
      </c>
      <c r="AK2129">
        <v>100</v>
      </c>
      <c r="AL2129">
        <v>0</v>
      </c>
      <c r="AM2129">
        <v>0</v>
      </c>
      <c r="AN2129">
        <v>0</v>
      </c>
      <c r="AO2129">
        <v>0</v>
      </c>
      <c r="AQ2129">
        <v>0</v>
      </c>
      <c r="AR2129">
        <v>0</v>
      </c>
      <c r="AT2129">
        <v>0</v>
      </c>
      <c r="AU2129">
        <v>0</v>
      </c>
      <c r="AW2129">
        <v>0</v>
      </c>
      <c r="AX2129">
        <v>0</v>
      </c>
      <c r="AY2129">
        <v>70</v>
      </c>
      <c r="BC2129" t="str">
        <f>T("9791166003493")</f>
        <v>9791166003493</v>
      </c>
      <c r="BE2129" t="str">
        <f>T("판타지 웹소설 &gt; 현대 판타지")</f>
        <v>판타지 웹소설 &gt; 현대 판타지</v>
      </c>
    </row>
    <row r="2130" spans="1:57" x14ac:dyDescent="0.3">
      <c r="A2130">
        <v>1525008428</v>
      </c>
      <c r="B2130">
        <v>1525008498</v>
      </c>
      <c r="C2130" t="str">
        <f>T("무히비(Muhibbi) 83화")</f>
        <v>무히비(Muhibbi) 83화</v>
      </c>
      <c r="D2130" t="str">
        <f>T("83")</f>
        <v>83</v>
      </c>
      <c r="E2130" t="str">
        <f>T("jooki")</f>
        <v>jooki</v>
      </c>
      <c r="H2130" t="str">
        <f>T("블러쉬")</f>
        <v>블러쉬</v>
      </c>
      <c r="I2130" t="str">
        <f>T("무히비(Muhibbi)")</f>
        <v>무히비(Muhibbi)</v>
      </c>
      <c r="J2130">
        <v>100</v>
      </c>
      <c r="K2130">
        <v>100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100</v>
      </c>
      <c r="AH2130">
        <v>1</v>
      </c>
      <c r="AI2130">
        <v>0</v>
      </c>
      <c r="AJ2130">
        <v>0</v>
      </c>
      <c r="AK2130">
        <v>100</v>
      </c>
      <c r="AL2130">
        <v>0</v>
      </c>
      <c r="AM2130">
        <v>0</v>
      </c>
      <c r="AN2130">
        <v>0</v>
      </c>
      <c r="AO2130">
        <v>0</v>
      </c>
      <c r="AQ2130">
        <v>0</v>
      </c>
      <c r="AR2130">
        <v>0</v>
      </c>
      <c r="AT2130">
        <v>0</v>
      </c>
      <c r="AU2130">
        <v>0</v>
      </c>
      <c r="AW2130">
        <v>0</v>
      </c>
      <c r="AX2130">
        <v>0</v>
      </c>
      <c r="AY2130">
        <v>70</v>
      </c>
      <c r="BC2130" t="str">
        <f>T("9791164896622")</f>
        <v>9791164896622</v>
      </c>
      <c r="BE2130" t="str">
        <f>T("BL 웹소설 &gt; 역사/시대물")</f>
        <v>BL 웹소설 &gt; 역사/시대물</v>
      </c>
    </row>
    <row r="2131" spans="1:57" x14ac:dyDescent="0.3">
      <c r="A2131">
        <v>1525012551</v>
      </c>
      <c r="B2131">
        <v>1525012613</v>
      </c>
      <c r="C2131" t="str">
        <f>T("개정판 | 바보가 만드는 멋진 세상 63화")</f>
        <v>개정판 | 바보가 만드는 멋진 세상 63화</v>
      </c>
      <c r="D2131" t="str">
        <f>T("63")</f>
        <v>63</v>
      </c>
      <c r="E2131" t="str">
        <f>T("백범(白帆)")</f>
        <v>백범(白帆)</v>
      </c>
      <c r="H2131" t="str">
        <f>T("에필로그")</f>
        <v>에필로그</v>
      </c>
      <c r="I2131" t="str">
        <f>T("개정판 | 바보가 만드는 멋진 세상")</f>
        <v>개정판 | 바보가 만드는 멋진 세상</v>
      </c>
      <c r="J2131">
        <v>100</v>
      </c>
      <c r="K2131">
        <v>100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100</v>
      </c>
      <c r="AH2131">
        <v>1</v>
      </c>
      <c r="AI2131">
        <v>0</v>
      </c>
      <c r="AJ2131">
        <v>0</v>
      </c>
      <c r="AK2131">
        <v>100</v>
      </c>
      <c r="AL2131">
        <v>0</v>
      </c>
      <c r="AM2131">
        <v>0</v>
      </c>
      <c r="AN2131">
        <v>0</v>
      </c>
      <c r="AO2131">
        <v>0</v>
      </c>
      <c r="AQ2131">
        <v>0</v>
      </c>
      <c r="AR2131">
        <v>0</v>
      </c>
      <c r="AT2131">
        <v>0</v>
      </c>
      <c r="AU2131">
        <v>0</v>
      </c>
      <c r="AW2131">
        <v>0</v>
      </c>
      <c r="AX2131">
        <v>0</v>
      </c>
      <c r="AY2131">
        <v>70</v>
      </c>
      <c r="BC2131" t="str">
        <f>T("9791166003493")</f>
        <v>9791166003493</v>
      </c>
      <c r="BE2131" t="str">
        <f>T("판타지 웹소설 &gt; 현대 판타지")</f>
        <v>판타지 웹소설 &gt; 현대 판타지</v>
      </c>
    </row>
    <row r="2132" spans="1:57" x14ac:dyDescent="0.3">
      <c r="A2132">
        <v>1525004799</v>
      </c>
      <c r="B2132">
        <v>1525004963</v>
      </c>
      <c r="C2132" t="str">
        <f>T("검산도해 165화")</f>
        <v>검산도해 165화</v>
      </c>
      <c r="D2132" t="str">
        <f>T("165")</f>
        <v>165</v>
      </c>
      <c r="E2132" t="str">
        <f>T("권용찬")</f>
        <v>권용찬</v>
      </c>
      <c r="H2132" t="str">
        <f>T("스토리위즈")</f>
        <v>스토리위즈</v>
      </c>
      <c r="I2132" t="str">
        <f>T("검산도해")</f>
        <v>검산도해</v>
      </c>
      <c r="J2132">
        <v>100</v>
      </c>
      <c r="K2132">
        <v>100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100</v>
      </c>
      <c r="AH2132">
        <v>1</v>
      </c>
      <c r="AI2132">
        <v>0</v>
      </c>
      <c r="AJ2132">
        <v>0</v>
      </c>
      <c r="AK2132">
        <v>0</v>
      </c>
      <c r="AL2132">
        <v>0</v>
      </c>
      <c r="AM2132">
        <v>120</v>
      </c>
      <c r="AN2132">
        <v>-12</v>
      </c>
      <c r="AO2132">
        <v>0</v>
      </c>
      <c r="AQ2132">
        <v>0</v>
      </c>
      <c r="AR2132">
        <v>0</v>
      </c>
      <c r="AS2132">
        <v>120</v>
      </c>
      <c r="AT2132">
        <v>-12</v>
      </c>
      <c r="AU2132">
        <v>0</v>
      </c>
      <c r="AW2132">
        <v>0</v>
      </c>
      <c r="AX2132">
        <v>0</v>
      </c>
      <c r="AY2132">
        <v>75.599999999999994</v>
      </c>
      <c r="BC2132" t="str">
        <f>T("9791159285936")</f>
        <v>9791159285936</v>
      </c>
      <c r="BE2132" t="str">
        <f>T("판타지 웹소설 &gt; 무협 소설")</f>
        <v>판타지 웹소설 &gt; 무협 소설</v>
      </c>
    </row>
    <row r="2133" spans="1:57" x14ac:dyDescent="0.3">
      <c r="A2133">
        <v>1525004030</v>
      </c>
      <c r="B2133">
        <v>1525007052</v>
      </c>
      <c r="C2133" t="str">
        <f>T("회귀의 전설 2부 936화")</f>
        <v>회귀의 전설 2부 936화</v>
      </c>
      <c r="D2133" t="str">
        <f>T("936")</f>
        <v>936</v>
      </c>
      <c r="E2133" t="str">
        <f>T("김광수")</f>
        <v>김광수</v>
      </c>
      <c r="H2133" t="str">
        <f>T("스토리위즈")</f>
        <v>스토리위즈</v>
      </c>
      <c r="I2133" t="str">
        <f>T("회귀의 전설")</f>
        <v>회귀의 전설</v>
      </c>
      <c r="J2133">
        <v>100</v>
      </c>
      <c r="K2133">
        <v>100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100</v>
      </c>
      <c r="AH2133">
        <v>1</v>
      </c>
      <c r="AI2133">
        <v>0</v>
      </c>
      <c r="AJ2133">
        <v>0</v>
      </c>
      <c r="AK2133">
        <v>100</v>
      </c>
      <c r="AL2133">
        <v>0</v>
      </c>
      <c r="AM2133">
        <v>0</v>
      </c>
      <c r="AN2133">
        <v>0</v>
      </c>
      <c r="AO2133">
        <v>0</v>
      </c>
      <c r="AQ2133">
        <v>0</v>
      </c>
      <c r="AR2133">
        <v>0</v>
      </c>
      <c r="AT2133">
        <v>0</v>
      </c>
      <c r="AU2133">
        <v>0</v>
      </c>
      <c r="AW2133">
        <v>0</v>
      </c>
      <c r="AX2133">
        <v>0</v>
      </c>
      <c r="AY2133">
        <v>70</v>
      </c>
      <c r="BC2133" t="str">
        <f>T("9791191102086")</f>
        <v>9791191102086</v>
      </c>
      <c r="BE2133" t="str">
        <f>T("판타지 웹소설 &gt; 현대 판타지")</f>
        <v>판타지 웹소설 &gt; 현대 판타지</v>
      </c>
    </row>
    <row r="2134" spans="1:57" x14ac:dyDescent="0.3">
      <c r="A2134">
        <v>1525004030</v>
      </c>
      <c r="B2134">
        <v>1525004508</v>
      </c>
      <c r="C2134" t="str">
        <f>T("회귀의 전설 497화")</f>
        <v>회귀의 전설 497화</v>
      </c>
      <c r="D2134" t="str">
        <f>T("497")</f>
        <v>497</v>
      </c>
      <c r="E2134" t="str">
        <f>T("김광수")</f>
        <v>김광수</v>
      </c>
      <c r="H2134" t="str">
        <f>T("스토리위즈")</f>
        <v>스토리위즈</v>
      </c>
      <c r="I2134" t="str">
        <f>T("회귀의 전설")</f>
        <v>회귀의 전설</v>
      </c>
      <c r="J2134">
        <v>100</v>
      </c>
      <c r="K2134">
        <v>100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100</v>
      </c>
      <c r="AH2134">
        <v>1</v>
      </c>
      <c r="AI2134">
        <v>0</v>
      </c>
      <c r="AJ2134">
        <v>0</v>
      </c>
      <c r="AK2134">
        <v>100</v>
      </c>
      <c r="AL2134">
        <v>0</v>
      </c>
      <c r="AM2134">
        <v>0</v>
      </c>
      <c r="AN2134">
        <v>0</v>
      </c>
      <c r="AO2134">
        <v>0</v>
      </c>
      <c r="AQ2134">
        <v>0</v>
      </c>
      <c r="AR2134">
        <v>0</v>
      </c>
      <c r="AT2134">
        <v>0</v>
      </c>
      <c r="AU2134">
        <v>0</v>
      </c>
      <c r="AW2134">
        <v>0</v>
      </c>
      <c r="AX2134">
        <v>0</v>
      </c>
      <c r="AY2134">
        <v>70</v>
      </c>
      <c r="BC2134" t="str">
        <f>T("9788997946006")</f>
        <v>9788997946006</v>
      </c>
      <c r="BE2134" t="str">
        <f>T("판타지 웹소설 &gt; 현대 판타지")</f>
        <v>판타지 웹소설 &gt; 현대 판타지</v>
      </c>
    </row>
    <row r="2135" spans="1:57" x14ac:dyDescent="0.3">
      <c r="A2135">
        <v>1525013020</v>
      </c>
      <c r="B2135">
        <v>1525013093</v>
      </c>
      <c r="C2135" t="str">
        <f>T("악당의 리턴 74화")</f>
        <v>악당의 리턴 74화</v>
      </c>
      <c r="D2135" t="str">
        <f>T("74")</f>
        <v>74</v>
      </c>
      <c r="E2135" t="str">
        <f>T("백범(白帆)")</f>
        <v>백범(白帆)</v>
      </c>
      <c r="H2135" t="str">
        <f>T("에필로그")</f>
        <v>에필로그</v>
      </c>
      <c r="I2135" t="str">
        <f>T("악당의 리턴")</f>
        <v>악당의 리턴</v>
      </c>
      <c r="J2135">
        <v>100</v>
      </c>
      <c r="K2135">
        <v>100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100</v>
      </c>
      <c r="AH2135">
        <v>1</v>
      </c>
      <c r="AI2135">
        <v>0</v>
      </c>
      <c r="AJ2135">
        <v>0</v>
      </c>
      <c r="AK2135">
        <v>100</v>
      </c>
      <c r="AL2135">
        <v>0</v>
      </c>
      <c r="AM2135">
        <v>0</v>
      </c>
      <c r="AN2135">
        <v>0</v>
      </c>
      <c r="AO2135">
        <v>0</v>
      </c>
      <c r="AQ2135">
        <v>0</v>
      </c>
      <c r="AR2135">
        <v>0</v>
      </c>
      <c r="AT2135">
        <v>0</v>
      </c>
      <c r="AU2135">
        <v>0</v>
      </c>
      <c r="AW2135">
        <v>0</v>
      </c>
      <c r="AX2135">
        <v>0</v>
      </c>
      <c r="AY2135">
        <v>70</v>
      </c>
      <c r="BC2135" t="str">
        <f>T("9791196538927")</f>
        <v>9791196538927</v>
      </c>
      <c r="BE2135" t="str">
        <f>T("판타지 웹소설 &gt; 현대 판타지")</f>
        <v>판타지 웹소설 &gt; 현대 판타지</v>
      </c>
    </row>
    <row r="2136" spans="1:57" x14ac:dyDescent="0.3">
      <c r="A2136">
        <v>1525012551</v>
      </c>
      <c r="B2136">
        <v>1525012654</v>
      </c>
      <c r="C2136" t="str">
        <f>T("개정판 | 바보가 만드는 멋진 세상 104화")</f>
        <v>개정판 | 바보가 만드는 멋진 세상 104화</v>
      </c>
      <c r="D2136" t="str">
        <f>T("104")</f>
        <v>104</v>
      </c>
      <c r="E2136" t="str">
        <f>T("백범(白帆)")</f>
        <v>백범(白帆)</v>
      </c>
      <c r="H2136" t="str">
        <f>T("에필로그")</f>
        <v>에필로그</v>
      </c>
      <c r="I2136" t="str">
        <f>T("개정판 | 바보가 만드는 멋진 세상")</f>
        <v>개정판 | 바보가 만드는 멋진 세상</v>
      </c>
      <c r="J2136">
        <v>100</v>
      </c>
      <c r="K2136">
        <v>100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100</v>
      </c>
      <c r="AH2136">
        <v>1</v>
      </c>
      <c r="AI2136">
        <v>0</v>
      </c>
      <c r="AJ2136">
        <v>0</v>
      </c>
      <c r="AK2136">
        <v>100</v>
      </c>
      <c r="AL2136">
        <v>0</v>
      </c>
      <c r="AM2136">
        <v>0</v>
      </c>
      <c r="AN2136">
        <v>0</v>
      </c>
      <c r="AO2136">
        <v>0</v>
      </c>
      <c r="AQ2136">
        <v>0</v>
      </c>
      <c r="AR2136">
        <v>0</v>
      </c>
      <c r="AT2136">
        <v>0</v>
      </c>
      <c r="AU2136">
        <v>0</v>
      </c>
      <c r="AW2136">
        <v>0</v>
      </c>
      <c r="AX2136">
        <v>0</v>
      </c>
      <c r="AY2136">
        <v>70</v>
      </c>
      <c r="BC2136" t="str">
        <f>T("9791166003493")</f>
        <v>9791166003493</v>
      </c>
      <c r="BE2136" t="str">
        <f>T("판타지 웹소설 &gt; 현대 판타지")</f>
        <v>판타지 웹소설 &gt; 현대 판타지</v>
      </c>
    </row>
    <row r="2137" spans="1:57" x14ac:dyDescent="0.3">
      <c r="A2137">
        <v>1525012551</v>
      </c>
      <c r="B2137">
        <v>1525012752</v>
      </c>
      <c r="C2137" t="str">
        <f>T("개정판 | 바보가 만드는 멋진 세상 202화")</f>
        <v>개정판 | 바보가 만드는 멋진 세상 202화</v>
      </c>
      <c r="D2137" t="str">
        <f>T("202")</f>
        <v>202</v>
      </c>
      <c r="E2137" t="str">
        <f>T("백범(白帆)")</f>
        <v>백범(白帆)</v>
      </c>
      <c r="H2137" t="str">
        <f>T("에필로그")</f>
        <v>에필로그</v>
      </c>
      <c r="I2137" t="str">
        <f>T("개정판 | 바보가 만드는 멋진 세상")</f>
        <v>개정판 | 바보가 만드는 멋진 세상</v>
      </c>
      <c r="J2137">
        <v>100</v>
      </c>
      <c r="K2137">
        <v>100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100</v>
      </c>
      <c r="AH2137">
        <v>1</v>
      </c>
      <c r="AI2137">
        <v>0</v>
      </c>
      <c r="AJ2137">
        <v>0</v>
      </c>
      <c r="AK2137">
        <v>100</v>
      </c>
      <c r="AL2137">
        <v>0</v>
      </c>
      <c r="AM2137">
        <v>0</v>
      </c>
      <c r="AN2137">
        <v>0</v>
      </c>
      <c r="AO2137">
        <v>0</v>
      </c>
      <c r="AQ2137">
        <v>0</v>
      </c>
      <c r="AR2137">
        <v>0</v>
      </c>
      <c r="AT2137">
        <v>0</v>
      </c>
      <c r="AU2137">
        <v>0</v>
      </c>
      <c r="AW2137">
        <v>0</v>
      </c>
      <c r="AX2137">
        <v>0</v>
      </c>
      <c r="AY2137">
        <v>70</v>
      </c>
      <c r="BC2137" t="str">
        <f>T("9791166003493")</f>
        <v>9791166003493</v>
      </c>
      <c r="BE2137" t="str">
        <f>T("판타지 웹소설 &gt; 현대 판타지")</f>
        <v>판타지 웹소설 &gt; 현대 판타지</v>
      </c>
    </row>
    <row r="2138" spans="1:57" x14ac:dyDescent="0.3">
      <c r="A2138">
        <v>1525004799</v>
      </c>
      <c r="B2138">
        <v>1525004825</v>
      </c>
      <c r="C2138" t="str">
        <f>T("검산도해 27화")</f>
        <v>검산도해 27화</v>
      </c>
      <c r="D2138" t="str">
        <f>T("27")</f>
        <v>27</v>
      </c>
      <c r="E2138" t="str">
        <f>T("권용찬")</f>
        <v>권용찬</v>
      </c>
      <c r="H2138" t="str">
        <f>T("스토리위즈")</f>
        <v>스토리위즈</v>
      </c>
      <c r="I2138" t="str">
        <f>T("검산도해")</f>
        <v>검산도해</v>
      </c>
      <c r="J2138">
        <v>100</v>
      </c>
      <c r="K2138">
        <v>100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100</v>
      </c>
      <c r="AH2138">
        <v>1</v>
      </c>
      <c r="AI2138">
        <v>0</v>
      </c>
      <c r="AJ2138">
        <v>0</v>
      </c>
      <c r="AK2138">
        <v>0</v>
      </c>
      <c r="AL2138">
        <v>0</v>
      </c>
      <c r="AM2138">
        <v>120</v>
      </c>
      <c r="AN2138">
        <v>-12</v>
      </c>
      <c r="AO2138">
        <v>0</v>
      </c>
      <c r="AQ2138">
        <v>0</v>
      </c>
      <c r="AR2138">
        <v>0</v>
      </c>
      <c r="AS2138">
        <v>120</v>
      </c>
      <c r="AT2138">
        <v>-12</v>
      </c>
      <c r="AU2138">
        <v>0</v>
      </c>
      <c r="AW2138">
        <v>0</v>
      </c>
      <c r="AX2138">
        <v>0</v>
      </c>
      <c r="AY2138">
        <v>75.599999999999994</v>
      </c>
      <c r="BC2138" t="str">
        <f>T("9791159285936")</f>
        <v>9791159285936</v>
      </c>
      <c r="BE2138" t="str">
        <f>T("판타지 웹소설 &gt; 무협 소설")</f>
        <v>판타지 웹소설 &gt; 무협 소설</v>
      </c>
    </row>
    <row r="2139" spans="1:57" x14ac:dyDescent="0.3">
      <c r="A2139">
        <v>1525004799</v>
      </c>
      <c r="B2139">
        <v>1525004882</v>
      </c>
      <c r="C2139" t="str">
        <f>T("검산도해 84화")</f>
        <v>검산도해 84화</v>
      </c>
      <c r="D2139" t="str">
        <f>T("84")</f>
        <v>84</v>
      </c>
      <c r="E2139" t="str">
        <f>T("권용찬")</f>
        <v>권용찬</v>
      </c>
      <c r="H2139" t="str">
        <f>T("스토리위즈")</f>
        <v>스토리위즈</v>
      </c>
      <c r="I2139" t="str">
        <f>T("검산도해")</f>
        <v>검산도해</v>
      </c>
      <c r="J2139">
        <v>100</v>
      </c>
      <c r="K2139">
        <v>100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100</v>
      </c>
      <c r="AH2139">
        <v>1</v>
      </c>
      <c r="AI2139">
        <v>0</v>
      </c>
      <c r="AJ2139">
        <v>0</v>
      </c>
      <c r="AK2139">
        <v>0</v>
      </c>
      <c r="AL2139">
        <v>0</v>
      </c>
      <c r="AM2139">
        <v>120</v>
      </c>
      <c r="AN2139">
        <v>-12</v>
      </c>
      <c r="AO2139">
        <v>0</v>
      </c>
      <c r="AQ2139">
        <v>0</v>
      </c>
      <c r="AR2139">
        <v>0</v>
      </c>
      <c r="AS2139">
        <v>120</v>
      </c>
      <c r="AT2139">
        <v>-12</v>
      </c>
      <c r="AU2139">
        <v>0</v>
      </c>
      <c r="AW2139">
        <v>0</v>
      </c>
      <c r="AX2139">
        <v>0</v>
      </c>
      <c r="AY2139">
        <v>75.599999999999994</v>
      </c>
      <c r="BC2139" t="str">
        <f>T("9791159285936")</f>
        <v>9791159285936</v>
      </c>
      <c r="BE2139" t="str">
        <f>T("판타지 웹소설 &gt; 무협 소설")</f>
        <v>판타지 웹소설 &gt; 무협 소설</v>
      </c>
    </row>
    <row r="2140" spans="1:57" x14ac:dyDescent="0.3">
      <c r="A2140">
        <v>1525000924</v>
      </c>
      <c r="B2140">
        <v>1525000978</v>
      </c>
      <c r="C2140" t="str">
        <f>T("스피릿 소드 55화")</f>
        <v>스피릿 소드 55화</v>
      </c>
      <c r="D2140" t="str">
        <f>T("55")</f>
        <v>55</v>
      </c>
      <c r="E2140" t="str">
        <f>T("김정률")</f>
        <v>김정률</v>
      </c>
      <c r="H2140" t="str">
        <f>T("스토리위즈")</f>
        <v>스토리위즈</v>
      </c>
      <c r="I2140" t="str">
        <f>T("스피릿 소드")</f>
        <v>스피릿 소드</v>
      </c>
      <c r="J2140">
        <v>100</v>
      </c>
      <c r="K2140">
        <v>100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100</v>
      </c>
      <c r="AH2140">
        <v>1</v>
      </c>
      <c r="AI2140">
        <v>0</v>
      </c>
      <c r="AJ2140">
        <v>0</v>
      </c>
      <c r="AK2140">
        <v>100</v>
      </c>
      <c r="AL2140">
        <v>0</v>
      </c>
      <c r="AM2140">
        <v>0</v>
      </c>
      <c r="AN2140">
        <v>0</v>
      </c>
      <c r="AO2140">
        <v>0</v>
      </c>
      <c r="AQ2140">
        <v>0</v>
      </c>
      <c r="AR2140">
        <v>0</v>
      </c>
      <c r="AT2140">
        <v>0</v>
      </c>
      <c r="AU2140">
        <v>0</v>
      </c>
      <c r="AW2140">
        <v>0</v>
      </c>
      <c r="AX2140">
        <v>0</v>
      </c>
      <c r="AY2140">
        <v>70</v>
      </c>
      <c r="BA2140" t="str">
        <f>T("9791159282713")</f>
        <v>9791159282713</v>
      </c>
      <c r="BC2140" t="str">
        <f>T("9791159282713")</f>
        <v>9791159282713</v>
      </c>
      <c r="BE2140" t="str">
        <f>T("판타지 웹소설 &gt; 정통 판타지")</f>
        <v>판타지 웹소설 &gt; 정통 판타지</v>
      </c>
    </row>
    <row r="2141" spans="1:57" x14ac:dyDescent="0.3">
      <c r="A2141">
        <v>1525004030</v>
      </c>
      <c r="B2141">
        <v>1525007069</v>
      </c>
      <c r="C2141" t="str">
        <f>T("회귀의 전설 2부 953화")</f>
        <v>회귀의 전설 2부 953화</v>
      </c>
      <c r="D2141" t="str">
        <f>T("953")</f>
        <v>953</v>
      </c>
      <c r="E2141" t="str">
        <f>T("김광수")</f>
        <v>김광수</v>
      </c>
      <c r="H2141" t="str">
        <f>T("스토리위즈")</f>
        <v>스토리위즈</v>
      </c>
      <c r="I2141" t="str">
        <f>T("회귀의 전설")</f>
        <v>회귀의 전설</v>
      </c>
      <c r="J2141">
        <v>100</v>
      </c>
      <c r="K2141">
        <v>100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100</v>
      </c>
      <c r="AH2141">
        <v>1</v>
      </c>
      <c r="AI2141">
        <v>0</v>
      </c>
      <c r="AJ2141">
        <v>0</v>
      </c>
      <c r="AK2141">
        <v>100</v>
      </c>
      <c r="AL2141">
        <v>0</v>
      </c>
      <c r="AM2141">
        <v>0</v>
      </c>
      <c r="AN2141">
        <v>0</v>
      </c>
      <c r="AO2141">
        <v>0</v>
      </c>
      <c r="AQ2141">
        <v>0</v>
      </c>
      <c r="AR2141">
        <v>0</v>
      </c>
      <c r="AT2141">
        <v>0</v>
      </c>
      <c r="AU2141">
        <v>0</v>
      </c>
      <c r="AW2141">
        <v>0</v>
      </c>
      <c r="AX2141">
        <v>0</v>
      </c>
      <c r="AY2141">
        <v>70</v>
      </c>
      <c r="BC2141" t="str">
        <f>T("9791191102086")</f>
        <v>9791191102086</v>
      </c>
      <c r="BE2141" t="str">
        <f>T("판타지 웹소설 &gt; 현대 판타지")</f>
        <v>판타지 웹소설 &gt; 현대 판타지</v>
      </c>
    </row>
    <row r="2142" spans="1:57" x14ac:dyDescent="0.3">
      <c r="A2142">
        <v>1525004030</v>
      </c>
      <c r="B2142">
        <v>1525004540</v>
      </c>
      <c r="C2142" t="str">
        <f>T("회귀의 전설 517화")</f>
        <v>회귀의 전설 517화</v>
      </c>
      <c r="D2142" t="str">
        <f>T("517")</f>
        <v>517</v>
      </c>
      <c r="E2142" t="str">
        <f>T("김광수")</f>
        <v>김광수</v>
      </c>
      <c r="H2142" t="str">
        <f>T("스토리위즈")</f>
        <v>스토리위즈</v>
      </c>
      <c r="I2142" t="str">
        <f>T("회귀의 전설")</f>
        <v>회귀의 전설</v>
      </c>
      <c r="J2142">
        <v>100</v>
      </c>
      <c r="K2142">
        <v>100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100</v>
      </c>
      <c r="AH2142">
        <v>1</v>
      </c>
      <c r="AI2142">
        <v>0</v>
      </c>
      <c r="AJ2142">
        <v>0</v>
      </c>
      <c r="AK2142">
        <v>100</v>
      </c>
      <c r="AL2142">
        <v>0</v>
      </c>
      <c r="AM2142">
        <v>0</v>
      </c>
      <c r="AN2142">
        <v>0</v>
      </c>
      <c r="AO2142">
        <v>0</v>
      </c>
      <c r="AQ2142">
        <v>0</v>
      </c>
      <c r="AR2142">
        <v>0</v>
      </c>
      <c r="AT2142">
        <v>0</v>
      </c>
      <c r="AU2142">
        <v>0</v>
      </c>
      <c r="AW2142">
        <v>0</v>
      </c>
      <c r="AX2142">
        <v>0</v>
      </c>
      <c r="AY2142">
        <v>70</v>
      </c>
      <c r="BC2142" t="str">
        <f>T("9788997946006")</f>
        <v>9788997946006</v>
      </c>
      <c r="BE2142" t="str">
        <f>T("판타지 웹소설 &gt; 현대 판타지")</f>
        <v>판타지 웹소설 &gt; 현대 판타지</v>
      </c>
    </row>
    <row r="2143" spans="1:57" x14ac:dyDescent="0.3">
      <c r="A2143">
        <v>1525013020</v>
      </c>
      <c r="B2143">
        <v>1525013110</v>
      </c>
      <c r="C2143" t="str">
        <f>T("악당의 리턴 91화")</f>
        <v>악당의 리턴 91화</v>
      </c>
      <c r="D2143" t="str">
        <f>T("91")</f>
        <v>91</v>
      </c>
      <c r="E2143" t="str">
        <f>T("백범(白帆)")</f>
        <v>백범(白帆)</v>
      </c>
      <c r="H2143" t="str">
        <f>T("에필로그")</f>
        <v>에필로그</v>
      </c>
      <c r="I2143" t="str">
        <f>T("악당의 리턴")</f>
        <v>악당의 리턴</v>
      </c>
      <c r="J2143">
        <v>100</v>
      </c>
      <c r="K2143">
        <v>100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100</v>
      </c>
      <c r="AH2143">
        <v>1</v>
      </c>
      <c r="AI2143">
        <v>0</v>
      </c>
      <c r="AJ2143">
        <v>0</v>
      </c>
      <c r="AK2143">
        <v>100</v>
      </c>
      <c r="AL2143">
        <v>0</v>
      </c>
      <c r="AM2143">
        <v>0</v>
      </c>
      <c r="AN2143">
        <v>0</v>
      </c>
      <c r="AO2143">
        <v>0</v>
      </c>
      <c r="AQ2143">
        <v>0</v>
      </c>
      <c r="AR2143">
        <v>0</v>
      </c>
      <c r="AT2143">
        <v>0</v>
      </c>
      <c r="AU2143">
        <v>0</v>
      </c>
      <c r="AW2143">
        <v>0</v>
      </c>
      <c r="AX2143">
        <v>0</v>
      </c>
      <c r="AY2143">
        <v>70</v>
      </c>
      <c r="BC2143" t="str">
        <f>T("9791196538927")</f>
        <v>9791196538927</v>
      </c>
      <c r="BE2143" t="str">
        <f>T("판타지 웹소설 &gt; 현대 판타지")</f>
        <v>판타지 웹소설 &gt; 현대 판타지</v>
      </c>
    </row>
    <row r="2144" spans="1:57" x14ac:dyDescent="0.3">
      <c r="A2144">
        <v>1525008717</v>
      </c>
      <c r="B2144">
        <v>1525008694</v>
      </c>
      <c r="C2144" t="str">
        <f>T("음양상열지사 107화")</f>
        <v>음양상열지사 107화</v>
      </c>
      <c r="D2144" t="str">
        <f>T("107")</f>
        <v>107</v>
      </c>
      <c r="E2144" t="str">
        <f>T("이염")</f>
        <v>이염</v>
      </c>
      <c r="H2144" t="str">
        <f>T("블러쉬")</f>
        <v>블러쉬</v>
      </c>
      <c r="I2144" t="str">
        <f>T("음양상열지사")</f>
        <v>음양상열지사</v>
      </c>
      <c r="J2144">
        <v>100</v>
      </c>
      <c r="K2144">
        <v>100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100</v>
      </c>
      <c r="AH2144">
        <v>1</v>
      </c>
      <c r="AI2144">
        <v>0</v>
      </c>
      <c r="AJ2144">
        <v>0</v>
      </c>
      <c r="AK2144">
        <v>100</v>
      </c>
      <c r="AL2144">
        <v>0</v>
      </c>
      <c r="AM2144">
        <v>0</v>
      </c>
      <c r="AN2144">
        <v>0</v>
      </c>
      <c r="AO2144">
        <v>0</v>
      </c>
      <c r="AQ2144">
        <v>0</v>
      </c>
      <c r="AR2144">
        <v>0</v>
      </c>
      <c r="AT2144">
        <v>0</v>
      </c>
      <c r="AU2144">
        <v>0</v>
      </c>
      <c r="AW2144">
        <v>0</v>
      </c>
      <c r="AX2144">
        <v>0</v>
      </c>
      <c r="AY2144">
        <v>70</v>
      </c>
      <c r="BA2144" t="str">
        <f>T("0000000000000")</f>
        <v>0000000000000</v>
      </c>
      <c r="BC2144" t="str">
        <f>T("9791164896639")</f>
        <v>9791164896639</v>
      </c>
      <c r="BE2144" t="str">
        <f>T("BL 웹소설 &gt; 역사/시대물")</f>
        <v>BL 웹소설 &gt; 역사/시대물</v>
      </c>
    </row>
    <row r="2145" spans="1:57" x14ac:dyDescent="0.3">
      <c r="A2145">
        <v>1525012551</v>
      </c>
      <c r="B2145">
        <v>1525012686</v>
      </c>
      <c r="C2145" t="str">
        <f>T("개정판 | 바보가 만드는 멋진 세상 136화")</f>
        <v>개정판 | 바보가 만드는 멋진 세상 136화</v>
      </c>
      <c r="D2145" t="str">
        <f>T("136")</f>
        <v>136</v>
      </c>
      <c r="E2145" t="str">
        <f>T("백범(白帆)")</f>
        <v>백범(白帆)</v>
      </c>
      <c r="H2145" t="str">
        <f>T("에필로그")</f>
        <v>에필로그</v>
      </c>
      <c r="I2145" t="str">
        <f>T("개정판 | 바보가 만드는 멋진 세상")</f>
        <v>개정판 | 바보가 만드는 멋진 세상</v>
      </c>
      <c r="J2145">
        <v>100</v>
      </c>
      <c r="K2145">
        <v>100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100</v>
      </c>
      <c r="AH2145">
        <v>1</v>
      </c>
      <c r="AI2145">
        <v>0</v>
      </c>
      <c r="AJ2145">
        <v>0</v>
      </c>
      <c r="AK2145">
        <v>100</v>
      </c>
      <c r="AL2145">
        <v>0</v>
      </c>
      <c r="AM2145">
        <v>0</v>
      </c>
      <c r="AN2145">
        <v>0</v>
      </c>
      <c r="AO2145">
        <v>0</v>
      </c>
      <c r="AQ2145">
        <v>0</v>
      </c>
      <c r="AR2145">
        <v>0</v>
      </c>
      <c r="AT2145">
        <v>0</v>
      </c>
      <c r="AU2145">
        <v>0</v>
      </c>
      <c r="AW2145">
        <v>0</v>
      </c>
      <c r="AX2145">
        <v>0</v>
      </c>
      <c r="AY2145">
        <v>70</v>
      </c>
      <c r="BC2145" t="str">
        <f>T("9791166003493")</f>
        <v>9791166003493</v>
      </c>
      <c r="BE2145" t="str">
        <f>T("판타지 웹소설 &gt; 현대 판타지")</f>
        <v>판타지 웹소설 &gt; 현대 판타지</v>
      </c>
    </row>
    <row r="2146" spans="1:57" x14ac:dyDescent="0.3">
      <c r="A2146">
        <v>1525004799</v>
      </c>
      <c r="B2146">
        <v>1525004857</v>
      </c>
      <c r="C2146" t="str">
        <f>T("검산도해 59화")</f>
        <v>검산도해 59화</v>
      </c>
      <c r="D2146" t="str">
        <f>T("59")</f>
        <v>59</v>
      </c>
      <c r="E2146" t="str">
        <f>T("권용찬")</f>
        <v>권용찬</v>
      </c>
      <c r="H2146" t="str">
        <f>T("스토리위즈")</f>
        <v>스토리위즈</v>
      </c>
      <c r="I2146" t="str">
        <f>T("검산도해")</f>
        <v>검산도해</v>
      </c>
      <c r="J2146">
        <v>100</v>
      </c>
      <c r="K2146">
        <v>100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100</v>
      </c>
      <c r="AH2146">
        <v>1</v>
      </c>
      <c r="AI2146">
        <v>0</v>
      </c>
      <c r="AJ2146">
        <v>0</v>
      </c>
      <c r="AK2146">
        <v>0</v>
      </c>
      <c r="AL2146">
        <v>0</v>
      </c>
      <c r="AM2146">
        <v>120</v>
      </c>
      <c r="AN2146">
        <v>-12</v>
      </c>
      <c r="AO2146">
        <v>0</v>
      </c>
      <c r="AQ2146">
        <v>0</v>
      </c>
      <c r="AR2146">
        <v>0</v>
      </c>
      <c r="AS2146">
        <v>120</v>
      </c>
      <c r="AT2146">
        <v>-12</v>
      </c>
      <c r="AU2146">
        <v>0</v>
      </c>
      <c r="AW2146">
        <v>0</v>
      </c>
      <c r="AX2146">
        <v>0</v>
      </c>
      <c r="AY2146">
        <v>75.599999999999994</v>
      </c>
      <c r="BC2146" t="str">
        <f>T("9791159285936")</f>
        <v>9791159285936</v>
      </c>
      <c r="BE2146" t="str">
        <f>T("판타지 웹소설 &gt; 무협 소설")</f>
        <v>판타지 웹소설 &gt; 무협 소설</v>
      </c>
    </row>
    <row r="2147" spans="1:57" x14ac:dyDescent="0.3">
      <c r="A2147">
        <v>1525004799</v>
      </c>
      <c r="B2147">
        <v>1525004914</v>
      </c>
      <c r="C2147" t="str">
        <f>T("검산도해 116화")</f>
        <v>검산도해 116화</v>
      </c>
      <c r="D2147" t="str">
        <f>T("116")</f>
        <v>116</v>
      </c>
      <c r="E2147" t="str">
        <f>T("권용찬")</f>
        <v>권용찬</v>
      </c>
      <c r="H2147" t="str">
        <f>T("스토리위즈")</f>
        <v>스토리위즈</v>
      </c>
      <c r="I2147" t="str">
        <f>T("검산도해")</f>
        <v>검산도해</v>
      </c>
      <c r="J2147">
        <v>100</v>
      </c>
      <c r="K2147">
        <v>100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100</v>
      </c>
      <c r="AH2147">
        <v>1</v>
      </c>
      <c r="AI2147">
        <v>0</v>
      </c>
      <c r="AJ2147">
        <v>0</v>
      </c>
      <c r="AK2147">
        <v>0</v>
      </c>
      <c r="AL2147">
        <v>0</v>
      </c>
      <c r="AM2147">
        <v>120</v>
      </c>
      <c r="AN2147">
        <v>-12</v>
      </c>
      <c r="AO2147">
        <v>0</v>
      </c>
      <c r="AQ2147">
        <v>0</v>
      </c>
      <c r="AR2147">
        <v>0</v>
      </c>
      <c r="AS2147">
        <v>120</v>
      </c>
      <c r="AT2147">
        <v>-12</v>
      </c>
      <c r="AU2147">
        <v>0</v>
      </c>
      <c r="AW2147">
        <v>0</v>
      </c>
      <c r="AX2147">
        <v>0</v>
      </c>
      <c r="AY2147">
        <v>75.599999999999994</v>
      </c>
      <c r="BC2147" t="str">
        <f>T("9791159285936")</f>
        <v>9791159285936</v>
      </c>
      <c r="BE2147" t="str">
        <f>T("판타지 웹소설 &gt; 무협 소설")</f>
        <v>판타지 웹소설 &gt; 무협 소설</v>
      </c>
    </row>
    <row r="2148" spans="1:57" x14ac:dyDescent="0.3">
      <c r="A2148">
        <v>1525004030</v>
      </c>
      <c r="B2148">
        <v>1525007101</v>
      </c>
      <c r="C2148" t="str">
        <f>T("회귀의 전설 2부 985화")</f>
        <v>회귀의 전설 2부 985화</v>
      </c>
      <c r="D2148" t="str">
        <f>T("985")</f>
        <v>985</v>
      </c>
      <c r="E2148" t="str">
        <f>T("김광수")</f>
        <v>김광수</v>
      </c>
      <c r="H2148" t="str">
        <f>T("스토리위즈")</f>
        <v>스토리위즈</v>
      </c>
      <c r="I2148" t="str">
        <f>T("회귀의 전설")</f>
        <v>회귀의 전설</v>
      </c>
      <c r="J2148">
        <v>100</v>
      </c>
      <c r="K2148">
        <v>100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100</v>
      </c>
      <c r="AH2148">
        <v>1</v>
      </c>
      <c r="AI2148">
        <v>0</v>
      </c>
      <c r="AJ2148">
        <v>0</v>
      </c>
      <c r="AK2148">
        <v>100</v>
      </c>
      <c r="AL2148">
        <v>0</v>
      </c>
      <c r="AM2148">
        <v>0</v>
      </c>
      <c r="AN2148">
        <v>0</v>
      </c>
      <c r="AO2148">
        <v>0</v>
      </c>
      <c r="AQ2148">
        <v>0</v>
      </c>
      <c r="AR2148">
        <v>0</v>
      </c>
      <c r="AT2148">
        <v>0</v>
      </c>
      <c r="AU2148">
        <v>0</v>
      </c>
      <c r="AW2148">
        <v>0</v>
      </c>
      <c r="AX2148">
        <v>0</v>
      </c>
      <c r="AY2148">
        <v>70</v>
      </c>
      <c r="BC2148" t="str">
        <f>T("9791191102086")</f>
        <v>9791191102086</v>
      </c>
      <c r="BE2148" t="str">
        <f>T("판타지 웹소설 &gt; 현대 판타지")</f>
        <v>판타지 웹소설 &gt; 현대 판타지</v>
      </c>
    </row>
    <row r="2149" spans="1:57" x14ac:dyDescent="0.3">
      <c r="A2149">
        <v>1525011523</v>
      </c>
      <c r="B2149">
        <v>1525011215</v>
      </c>
      <c r="C2149" t="str">
        <f>T("남창목가 309화")</f>
        <v>남창목가 309화</v>
      </c>
      <c r="D2149" t="str">
        <f>T("309")</f>
        <v>309</v>
      </c>
      <c r="E2149" t="str">
        <f>T("최재봉")</f>
        <v>최재봉</v>
      </c>
      <c r="H2149" t="str">
        <f>T("에필로그")</f>
        <v>에필로그</v>
      </c>
      <c r="I2149" t="str">
        <f>T("남창목가")</f>
        <v>남창목가</v>
      </c>
      <c r="J2149">
        <v>100</v>
      </c>
      <c r="K2149">
        <v>100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100</v>
      </c>
      <c r="AH2149">
        <v>1</v>
      </c>
      <c r="AI2149">
        <v>0</v>
      </c>
      <c r="AJ2149">
        <v>0</v>
      </c>
      <c r="AK2149">
        <v>0</v>
      </c>
      <c r="AL2149">
        <v>0</v>
      </c>
      <c r="AM2149">
        <v>120</v>
      </c>
      <c r="AN2149">
        <v>-12</v>
      </c>
      <c r="AO2149">
        <v>0</v>
      </c>
      <c r="AQ2149">
        <v>0</v>
      </c>
      <c r="AR2149">
        <v>0</v>
      </c>
      <c r="AS2149">
        <v>120</v>
      </c>
      <c r="AT2149">
        <v>-12</v>
      </c>
      <c r="AU2149">
        <v>0</v>
      </c>
      <c r="AW2149">
        <v>0</v>
      </c>
      <c r="AX2149">
        <v>0</v>
      </c>
      <c r="AY2149">
        <v>75.599999999999994</v>
      </c>
      <c r="BC2149" t="str">
        <f>T("9791164482849")</f>
        <v>9791164482849</v>
      </c>
      <c r="BE2149" t="str">
        <f>T("판타지 웹소설 &gt; 무협 소설")</f>
        <v>판타지 웹소설 &gt; 무협 소설</v>
      </c>
    </row>
    <row r="2150" spans="1:57" x14ac:dyDescent="0.3">
      <c r="A2150">
        <v>1525000569</v>
      </c>
      <c r="B2150">
        <v>1525000603</v>
      </c>
      <c r="C2150" t="str">
        <f>T("스트라이커 35화")</f>
        <v>스트라이커 35화</v>
      </c>
      <c r="D2150" t="str">
        <f>T("35")</f>
        <v>35</v>
      </c>
      <c r="E2150" t="str">
        <f>T("독고진")</f>
        <v>독고진</v>
      </c>
      <c r="H2150" t="str">
        <f>T("스토리위즈")</f>
        <v>스토리위즈</v>
      </c>
      <c r="I2150" t="str">
        <f>T("스트라이커")</f>
        <v>스트라이커</v>
      </c>
      <c r="J2150">
        <v>100</v>
      </c>
      <c r="K2150">
        <v>100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100</v>
      </c>
      <c r="AH2150">
        <v>1</v>
      </c>
      <c r="AI2150">
        <v>0</v>
      </c>
      <c r="AJ2150">
        <v>0</v>
      </c>
      <c r="AK2150">
        <v>100</v>
      </c>
      <c r="AL2150">
        <v>0</v>
      </c>
      <c r="AM2150">
        <v>0</v>
      </c>
      <c r="AN2150">
        <v>0</v>
      </c>
      <c r="AO2150">
        <v>0</v>
      </c>
      <c r="AQ2150">
        <v>0</v>
      </c>
      <c r="AR2150">
        <v>0</v>
      </c>
      <c r="AT2150">
        <v>0</v>
      </c>
      <c r="AU2150">
        <v>0</v>
      </c>
      <c r="AW2150">
        <v>0</v>
      </c>
      <c r="AX2150">
        <v>0</v>
      </c>
      <c r="AY2150">
        <v>70</v>
      </c>
      <c r="BC2150" t="str">
        <f>T("9791170151678")</f>
        <v>9791170151678</v>
      </c>
      <c r="BE2150" t="str">
        <f>T("판타지 웹소설 &gt; 현대 판타지")</f>
        <v>판타지 웹소설 &gt; 현대 판타지</v>
      </c>
    </row>
    <row r="2151" spans="1:57" x14ac:dyDescent="0.3">
      <c r="A2151">
        <v>1525011523</v>
      </c>
      <c r="B2151">
        <v>1525010994</v>
      </c>
      <c r="C2151" t="str">
        <f>T("남창목가 외전 498화")</f>
        <v>남창목가 외전 498화</v>
      </c>
      <c r="D2151" t="str">
        <f>T("498")</f>
        <v>498</v>
      </c>
      <c r="E2151" t="str">
        <f>T("최재봉")</f>
        <v>최재봉</v>
      </c>
      <c r="H2151" t="str">
        <f>T("에필로그")</f>
        <v>에필로그</v>
      </c>
      <c r="I2151" t="str">
        <f>T("남창목가")</f>
        <v>남창목가</v>
      </c>
      <c r="J2151">
        <v>100</v>
      </c>
      <c r="K2151">
        <v>100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100</v>
      </c>
      <c r="AH2151">
        <v>1</v>
      </c>
      <c r="AI2151">
        <v>0</v>
      </c>
      <c r="AJ2151">
        <v>0</v>
      </c>
      <c r="AK2151">
        <v>0</v>
      </c>
      <c r="AL2151">
        <v>0</v>
      </c>
      <c r="AM2151">
        <v>120</v>
      </c>
      <c r="AN2151">
        <v>-12</v>
      </c>
      <c r="AO2151">
        <v>0</v>
      </c>
      <c r="AQ2151">
        <v>0</v>
      </c>
      <c r="AR2151">
        <v>0</v>
      </c>
      <c r="AS2151">
        <v>120</v>
      </c>
      <c r="AT2151">
        <v>-12</v>
      </c>
      <c r="AU2151">
        <v>0</v>
      </c>
      <c r="AW2151">
        <v>0</v>
      </c>
      <c r="AX2151">
        <v>0</v>
      </c>
      <c r="AY2151">
        <v>75.599999999999994</v>
      </c>
      <c r="BC2151" t="str">
        <f>T("9791164482849")</f>
        <v>9791164482849</v>
      </c>
      <c r="BE2151" t="str">
        <f>T("판타지 웹소설 &gt; 무협 소설")</f>
        <v>판타지 웹소설 &gt; 무협 소설</v>
      </c>
    </row>
    <row r="2152" spans="1:57" x14ac:dyDescent="0.3">
      <c r="A2152">
        <v>1525011523</v>
      </c>
      <c r="B2152">
        <v>1525011328</v>
      </c>
      <c r="C2152" t="str">
        <f>T("남창목가 196화")</f>
        <v>남창목가 196화</v>
      </c>
      <c r="D2152" t="str">
        <f>T("196")</f>
        <v>196</v>
      </c>
      <c r="E2152" t="str">
        <f>T("최재봉")</f>
        <v>최재봉</v>
      </c>
      <c r="H2152" t="str">
        <f>T("에필로그")</f>
        <v>에필로그</v>
      </c>
      <c r="I2152" t="str">
        <f>T("남창목가")</f>
        <v>남창목가</v>
      </c>
      <c r="J2152">
        <v>100</v>
      </c>
      <c r="K2152">
        <v>100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100</v>
      </c>
      <c r="AH2152">
        <v>1</v>
      </c>
      <c r="AI2152">
        <v>0</v>
      </c>
      <c r="AJ2152">
        <v>0</v>
      </c>
      <c r="AK2152">
        <v>0</v>
      </c>
      <c r="AL2152">
        <v>0</v>
      </c>
      <c r="AM2152">
        <v>120</v>
      </c>
      <c r="AN2152">
        <v>-12</v>
      </c>
      <c r="AO2152">
        <v>0</v>
      </c>
      <c r="AQ2152">
        <v>0</v>
      </c>
      <c r="AR2152">
        <v>0</v>
      </c>
      <c r="AS2152">
        <v>120</v>
      </c>
      <c r="AT2152">
        <v>-12</v>
      </c>
      <c r="AU2152">
        <v>0</v>
      </c>
      <c r="AW2152">
        <v>0</v>
      </c>
      <c r="AX2152">
        <v>0</v>
      </c>
      <c r="AY2152">
        <v>75.599999999999994</v>
      </c>
      <c r="BC2152" t="str">
        <f>T("9791164482849")</f>
        <v>9791164482849</v>
      </c>
      <c r="BE2152" t="str">
        <f>T("판타지 웹소설 &gt; 무협 소설")</f>
        <v>판타지 웹소설 &gt; 무협 소설</v>
      </c>
    </row>
    <row r="2153" spans="1:57" x14ac:dyDescent="0.3">
      <c r="A2153">
        <v>1525002125</v>
      </c>
      <c r="B2153">
        <v>1525002169</v>
      </c>
      <c r="C2153" t="str">
        <f>T("신을 죽이러 갑니다 45화")</f>
        <v>신을 죽이러 갑니다 45화</v>
      </c>
      <c r="D2153" t="str">
        <f>T("45")</f>
        <v>45</v>
      </c>
      <c r="E2153" t="str">
        <f>T("독고진")</f>
        <v>독고진</v>
      </c>
      <c r="H2153" t="str">
        <f>T("스토리위즈")</f>
        <v>스토리위즈</v>
      </c>
      <c r="I2153" t="str">
        <f>T("신을 죽이러 갑니다")</f>
        <v>신을 죽이러 갑니다</v>
      </c>
      <c r="J2153">
        <v>100</v>
      </c>
      <c r="K2153">
        <v>100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100</v>
      </c>
      <c r="AH2153">
        <v>1</v>
      </c>
      <c r="AI2153">
        <v>0</v>
      </c>
      <c r="AJ2153">
        <v>0</v>
      </c>
      <c r="AK2153">
        <v>0</v>
      </c>
      <c r="AL2153">
        <v>0</v>
      </c>
      <c r="AM2153">
        <v>120</v>
      </c>
      <c r="AN2153">
        <v>-36</v>
      </c>
      <c r="AO2153">
        <v>0</v>
      </c>
      <c r="AQ2153">
        <v>0</v>
      </c>
      <c r="AR2153">
        <v>0</v>
      </c>
      <c r="AS2153">
        <v>120</v>
      </c>
      <c r="AT2153">
        <v>-36</v>
      </c>
      <c r="AU2153">
        <v>0</v>
      </c>
      <c r="AW2153">
        <v>0</v>
      </c>
      <c r="AX2153">
        <v>0</v>
      </c>
      <c r="AY2153">
        <v>58.8</v>
      </c>
      <c r="BC2153" t="str">
        <f>T("9791159285806")</f>
        <v>9791159285806</v>
      </c>
      <c r="BE2153" t="str">
        <f>T("판타지 웹소설 &gt; 퓨전 판타지")</f>
        <v>판타지 웹소설 &gt; 퓨전 판타지</v>
      </c>
    </row>
    <row r="2154" spans="1:57" x14ac:dyDescent="0.3">
      <c r="A2154">
        <v>1525012551</v>
      </c>
      <c r="B2154">
        <v>1525012703</v>
      </c>
      <c r="C2154" t="str">
        <f>T("개정판 | 바보가 만드는 멋진 세상 153화")</f>
        <v>개정판 | 바보가 만드는 멋진 세상 153화</v>
      </c>
      <c r="D2154" t="str">
        <f>T("153")</f>
        <v>153</v>
      </c>
      <c r="E2154" t="str">
        <f>T("백범(白帆)")</f>
        <v>백범(白帆)</v>
      </c>
      <c r="H2154" t="str">
        <f>T("에필로그")</f>
        <v>에필로그</v>
      </c>
      <c r="I2154" t="str">
        <f>T("개정판 | 바보가 만드는 멋진 세상")</f>
        <v>개정판 | 바보가 만드는 멋진 세상</v>
      </c>
      <c r="J2154">
        <v>100</v>
      </c>
      <c r="K2154">
        <v>100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100</v>
      </c>
      <c r="AH2154">
        <v>1</v>
      </c>
      <c r="AI2154">
        <v>0</v>
      </c>
      <c r="AJ2154">
        <v>0</v>
      </c>
      <c r="AK2154">
        <v>100</v>
      </c>
      <c r="AL2154">
        <v>0</v>
      </c>
      <c r="AM2154">
        <v>0</v>
      </c>
      <c r="AN2154">
        <v>0</v>
      </c>
      <c r="AO2154">
        <v>0</v>
      </c>
      <c r="AQ2154">
        <v>0</v>
      </c>
      <c r="AR2154">
        <v>0</v>
      </c>
      <c r="AT2154">
        <v>0</v>
      </c>
      <c r="AU2154">
        <v>0</v>
      </c>
      <c r="AW2154">
        <v>0</v>
      </c>
      <c r="AX2154">
        <v>0</v>
      </c>
      <c r="AY2154">
        <v>70</v>
      </c>
      <c r="BC2154" t="str">
        <f>T("9791166003493")</f>
        <v>9791166003493</v>
      </c>
      <c r="BE2154" t="str">
        <f>T("판타지 웹소설 &gt; 현대 판타지")</f>
        <v>판타지 웹소설 &gt; 현대 판타지</v>
      </c>
    </row>
    <row r="2155" spans="1:57" x14ac:dyDescent="0.3">
      <c r="A2155">
        <v>1525002864</v>
      </c>
      <c r="B2155">
        <v>1525002926</v>
      </c>
      <c r="C2155" t="str">
        <f>T("소드마스터의 환생 63화")</f>
        <v>소드마스터의 환생 63화</v>
      </c>
      <c r="D2155" t="str">
        <f>T("63")</f>
        <v>63</v>
      </c>
      <c r="E2155" t="str">
        <f>T("파란영")</f>
        <v>파란영</v>
      </c>
      <c r="H2155" t="str">
        <f>T("스토리위즈")</f>
        <v>스토리위즈</v>
      </c>
      <c r="I2155" t="str">
        <f>T("소드마스터의 환생")</f>
        <v>소드마스터의 환생</v>
      </c>
      <c r="J2155">
        <v>100</v>
      </c>
      <c r="K2155">
        <v>100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100</v>
      </c>
      <c r="AH2155">
        <v>1</v>
      </c>
      <c r="AI2155">
        <v>0</v>
      </c>
      <c r="AJ2155">
        <v>0</v>
      </c>
      <c r="AK2155">
        <v>100</v>
      </c>
      <c r="AL2155">
        <v>0</v>
      </c>
      <c r="AM2155">
        <v>0</v>
      </c>
      <c r="AN2155">
        <v>0</v>
      </c>
      <c r="AO2155">
        <v>0</v>
      </c>
      <c r="AQ2155">
        <v>0</v>
      </c>
      <c r="AR2155">
        <v>0</v>
      </c>
      <c r="AT2155">
        <v>0</v>
      </c>
      <c r="AU2155">
        <v>0</v>
      </c>
      <c r="AW2155">
        <v>0</v>
      </c>
      <c r="AX2155">
        <v>0</v>
      </c>
      <c r="AY2155">
        <v>70</v>
      </c>
      <c r="BC2155" t="str">
        <f>T("9791159287527")</f>
        <v>9791159287527</v>
      </c>
      <c r="BE2155" t="str">
        <f>T("판타지 웹소설 &gt; 정통 판타지")</f>
        <v>판타지 웹소설 &gt; 정통 판타지</v>
      </c>
    </row>
    <row r="2156" spans="1:57" x14ac:dyDescent="0.3">
      <c r="A2156">
        <v>1525008428</v>
      </c>
      <c r="B2156">
        <v>1525008465</v>
      </c>
      <c r="C2156" t="str">
        <f>T("무히비(Muhibbi) 53화")</f>
        <v>무히비(Muhibbi) 53화</v>
      </c>
      <c r="D2156" t="str">
        <f>T("53")</f>
        <v>53</v>
      </c>
      <c r="E2156" t="str">
        <f>T("jooki")</f>
        <v>jooki</v>
      </c>
      <c r="H2156" t="str">
        <f>T("블러쉬")</f>
        <v>블러쉬</v>
      </c>
      <c r="I2156" t="str">
        <f>T("무히비(Muhibbi)")</f>
        <v>무히비(Muhibbi)</v>
      </c>
      <c r="J2156">
        <v>100</v>
      </c>
      <c r="K2156">
        <v>100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100</v>
      </c>
      <c r="AH2156">
        <v>1</v>
      </c>
      <c r="AI2156">
        <v>0</v>
      </c>
      <c r="AJ2156">
        <v>0</v>
      </c>
      <c r="AK2156">
        <v>100</v>
      </c>
      <c r="AL2156">
        <v>0</v>
      </c>
      <c r="AM2156">
        <v>0</v>
      </c>
      <c r="AN2156">
        <v>0</v>
      </c>
      <c r="AO2156">
        <v>0</v>
      </c>
      <c r="AQ2156">
        <v>0</v>
      </c>
      <c r="AR2156">
        <v>0</v>
      </c>
      <c r="AT2156">
        <v>0</v>
      </c>
      <c r="AU2156">
        <v>0</v>
      </c>
      <c r="AW2156">
        <v>0</v>
      </c>
      <c r="AX2156">
        <v>0</v>
      </c>
      <c r="AY2156">
        <v>70</v>
      </c>
      <c r="BC2156" t="str">
        <f>T("9791164896622")</f>
        <v>9791164896622</v>
      </c>
      <c r="BE2156" t="str">
        <f>T("BL 웹소설 &gt; 역사/시대물")</f>
        <v>BL 웹소설 &gt; 역사/시대물</v>
      </c>
    </row>
    <row r="2157" spans="1:57" x14ac:dyDescent="0.3">
      <c r="A2157">
        <v>1525011523</v>
      </c>
      <c r="B2157">
        <v>1525011268</v>
      </c>
      <c r="C2157" t="str">
        <f>T("남창목가 256화")</f>
        <v>남창목가 256화</v>
      </c>
      <c r="D2157" t="str">
        <f>T("256")</f>
        <v>256</v>
      </c>
      <c r="E2157" t="str">
        <f>T("최재봉")</f>
        <v>최재봉</v>
      </c>
      <c r="H2157" t="str">
        <f>T("에필로그")</f>
        <v>에필로그</v>
      </c>
      <c r="I2157" t="str">
        <f>T("남창목가")</f>
        <v>남창목가</v>
      </c>
      <c r="J2157">
        <v>100</v>
      </c>
      <c r="K2157">
        <v>100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100</v>
      </c>
      <c r="AH2157">
        <v>1</v>
      </c>
      <c r="AI2157">
        <v>0</v>
      </c>
      <c r="AJ2157">
        <v>0</v>
      </c>
      <c r="AK2157">
        <v>0</v>
      </c>
      <c r="AL2157">
        <v>0</v>
      </c>
      <c r="AM2157">
        <v>120</v>
      </c>
      <c r="AN2157">
        <v>-12</v>
      </c>
      <c r="AO2157">
        <v>0</v>
      </c>
      <c r="AQ2157">
        <v>0</v>
      </c>
      <c r="AR2157">
        <v>0</v>
      </c>
      <c r="AS2157">
        <v>120</v>
      </c>
      <c r="AT2157">
        <v>-12</v>
      </c>
      <c r="AU2157">
        <v>0</v>
      </c>
      <c r="AW2157">
        <v>0</v>
      </c>
      <c r="AX2157">
        <v>0</v>
      </c>
      <c r="AY2157">
        <v>75.599999999999994</v>
      </c>
      <c r="BC2157" t="str">
        <f>T("9791164482849")</f>
        <v>9791164482849</v>
      </c>
      <c r="BE2157" t="str">
        <f>T("판타지 웹소설 &gt; 무협 소설")</f>
        <v>판타지 웹소설 &gt; 무협 소설</v>
      </c>
    </row>
    <row r="2158" spans="1:57" x14ac:dyDescent="0.3">
      <c r="A2158">
        <v>1525011523</v>
      </c>
      <c r="B2158">
        <v>1525011462</v>
      </c>
      <c r="C2158" t="str">
        <f>T("남창목가 62화")</f>
        <v>남창목가 62화</v>
      </c>
      <c r="D2158" t="str">
        <f>T("62")</f>
        <v>62</v>
      </c>
      <c r="E2158" t="str">
        <f>T("최재봉")</f>
        <v>최재봉</v>
      </c>
      <c r="H2158" t="str">
        <f>T("에필로그")</f>
        <v>에필로그</v>
      </c>
      <c r="I2158" t="str">
        <f>T("남창목가")</f>
        <v>남창목가</v>
      </c>
      <c r="J2158">
        <v>100</v>
      </c>
      <c r="K2158">
        <v>100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100</v>
      </c>
      <c r="AH2158">
        <v>1</v>
      </c>
      <c r="AI2158">
        <v>0</v>
      </c>
      <c r="AJ2158">
        <v>0</v>
      </c>
      <c r="AK2158">
        <v>100</v>
      </c>
      <c r="AL2158">
        <v>0</v>
      </c>
      <c r="AM2158">
        <v>0</v>
      </c>
      <c r="AN2158">
        <v>0</v>
      </c>
      <c r="AO2158">
        <v>0</v>
      </c>
      <c r="AQ2158">
        <v>0</v>
      </c>
      <c r="AR2158">
        <v>0</v>
      </c>
      <c r="AT2158">
        <v>0</v>
      </c>
      <c r="AU2158">
        <v>0</v>
      </c>
      <c r="AW2158">
        <v>0</v>
      </c>
      <c r="AX2158">
        <v>0</v>
      </c>
      <c r="AY2158">
        <v>70</v>
      </c>
      <c r="BC2158" t="str">
        <f>T("9791164482849")</f>
        <v>9791164482849</v>
      </c>
      <c r="BE2158" t="str">
        <f>T("판타지 웹소설 &gt; 무협 소설")</f>
        <v>판타지 웹소설 &gt; 무협 소설</v>
      </c>
    </row>
    <row r="2159" spans="1:57" x14ac:dyDescent="0.3">
      <c r="A2159">
        <v>1525012551</v>
      </c>
      <c r="B2159">
        <v>1525012581</v>
      </c>
      <c r="C2159" t="str">
        <f>T("개정판 | 바보가 만드는 멋진 세상 31화")</f>
        <v>개정판 | 바보가 만드는 멋진 세상 31화</v>
      </c>
      <c r="D2159" t="str">
        <f>T("31")</f>
        <v>31</v>
      </c>
      <c r="E2159" t="str">
        <f>T("백범(白帆)")</f>
        <v>백범(白帆)</v>
      </c>
      <c r="H2159" t="str">
        <f>T("에필로그")</f>
        <v>에필로그</v>
      </c>
      <c r="I2159" t="str">
        <f>T("개정판 | 바보가 만드는 멋진 세상")</f>
        <v>개정판 | 바보가 만드는 멋진 세상</v>
      </c>
      <c r="J2159">
        <v>100</v>
      </c>
      <c r="K2159">
        <v>100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100</v>
      </c>
      <c r="AH2159">
        <v>1</v>
      </c>
      <c r="AI2159">
        <v>0</v>
      </c>
      <c r="AJ2159">
        <v>0</v>
      </c>
      <c r="AK2159">
        <v>100</v>
      </c>
      <c r="AL2159">
        <v>0</v>
      </c>
      <c r="AM2159">
        <v>0</v>
      </c>
      <c r="AN2159">
        <v>0</v>
      </c>
      <c r="AO2159">
        <v>0</v>
      </c>
      <c r="AQ2159">
        <v>0</v>
      </c>
      <c r="AR2159">
        <v>0</v>
      </c>
      <c r="AT2159">
        <v>0</v>
      </c>
      <c r="AU2159">
        <v>0</v>
      </c>
      <c r="AW2159">
        <v>0</v>
      </c>
      <c r="AX2159">
        <v>0</v>
      </c>
      <c r="AY2159">
        <v>70</v>
      </c>
      <c r="BC2159" t="str">
        <f>T("9791166003493")</f>
        <v>9791166003493</v>
      </c>
      <c r="BE2159" t="str">
        <f>T("판타지 웹소설 &gt; 현대 판타지")</f>
        <v>판타지 웹소설 &gt; 현대 판타지</v>
      </c>
    </row>
    <row r="2160" spans="1:57" x14ac:dyDescent="0.3">
      <c r="A2160">
        <v>1525004799</v>
      </c>
      <c r="B2160">
        <v>1525004931</v>
      </c>
      <c r="C2160" t="str">
        <f>T("검산도해 133화")</f>
        <v>검산도해 133화</v>
      </c>
      <c r="D2160" t="str">
        <f>T("133")</f>
        <v>133</v>
      </c>
      <c r="E2160" t="str">
        <f>T("권용찬")</f>
        <v>권용찬</v>
      </c>
      <c r="H2160" t="str">
        <f>T("스토리위즈")</f>
        <v>스토리위즈</v>
      </c>
      <c r="I2160" t="str">
        <f>T("검산도해")</f>
        <v>검산도해</v>
      </c>
      <c r="J2160">
        <v>100</v>
      </c>
      <c r="K2160">
        <v>100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100</v>
      </c>
      <c r="AH2160">
        <v>1</v>
      </c>
      <c r="AI2160">
        <v>0</v>
      </c>
      <c r="AJ2160">
        <v>0</v>
      </c>
      <c r="AK2160">
        <v>0</v>
      </c>
      <c r="AL2160">
        <v>0</v>
      </c>
      <c r="AM2160">
        <v>120</v>
      </c>
      <c r="AN2160">
        <v>-12</v>
      </c>
      <c r="AO2160">
        <v>0</v>
      </c>
      <c r="AQ2160">
        <v>0</v>
      </c>
      <c r="AR2160">
        <v>0</v>
      </c>
      <c r="AS2160">
        <v>120</v>
      </c>
      <c r="AT2160">
        <v>-12</v>
      </c>
      <c r="AU2160">
        <v>0</v>
      </c>
      <c r="AW2160">
        <v>0</v>
      </c>
      <c r="AX2160">
        <v>0</v>
      </c>
      <c r="AY2160">
        <v>75.599999999999994</v>
      </c>
      <c r="BC2160" t="str">
        <f>T("9791159285936")</f>
        <v>9791159285936</v>
      </c>
      <c r="BE2160" t="str">
        <f>T("판타지 웹소설 &gt; 무협 소설")</f>
        <v>판타지 웹소설 &gt; 무협 소설</v>
      </c>
    </row>
    <row r="2161" spans="1:57" x14ac:dyDescent="0.3">
      <c r="A2161">
        <v>1525004030</v>
      </c>
      <c r="B2161">
        <v>1525007020</v>
      </c>
      <c r="C2161" t="str">
        <f>T("회귀의 전설 2부 904화")</f>
        <v>회귀의 전설 2부 904화</v>
      </c>
      <c r="D2161" t="str">
        <f>T("904")</f>
        <v>904</v>
      </c>
      <c r="E2161" t="str">
        <f>T("김광수")</f>
        <v>김광수</v>
      </c>
      <c r="H2161" t="str">
        <f>T("스토리위즈")</f>
        <v>스토리위즈</v>
      </c>
      <c r="I2161" t="str">
        <f>T("회귀의 전설")</f>
        <v>회귀의 전설</v>
      </c>
      <c r="J2161">
        <v>100</v>
      </c>
      <c r="K2161">
        <v>100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100</v>
      </c>
      <c r="AH2161">
        <v>1</v>
      </c>
      <c r="AI2161">
        <v>0</v>
      </c>
      <c r="AJ2161">
        <v>0</v>
      </c>
      <c r="AK2161">
        <v>100</v>
      </c>
      <c r="AL2161">
        <v>0</v>
      </c>
      <c r="AM2161">
        <v>0</v>
      </c>
      <c r="AN2161">
        <v>0</v>
      </c>
      <c r="AO2161">
        <v>0</v>
      </c>
      <c r="AQ2161">
        <v>0</v>
      </c>
      <c r="AR2161">
        <v>0</v>
      </c>
      <c r="AT2161">
        <v>0</v>
      </c>
      <c r="AU2161">
        <v>0</v>
      </c>
      <c r="AW2161">
        <v>0</v>
      </c>
      <c r="AX2161">
        <v>0</v>
      </c>
      <c r="AY2161">
        <v>70</v>
      </c>
      <c r="BC2161" t="str">
        <f>T("9791191102086")</f>
        <v>9791191102086</v>
      </c>
      <c r="BE2161" t="str">
        <f>T("판타지 웹소설 &gt; 현대 판타지")</f>
        <v>판타지 웹소설 &gt; 현대 판타지</v>
      </c>
    </row>
    <row r="2162" spans="1:57" x14ac:dyDescent="0.3">
      <c r="A2162">
        <v>1525011523</v>
      </c>
      <c r="B2162">
        <v>1525011183</v>
      </c>
      <c r="C2162" t="str">
        <f>T("남창목가 341화")</f>
        <v>남창목가 341화</v>
      </c>
      <c r="D2162" t="str">
        <f>T("341")</f>
        <v>341</v>
      </c>
      <c r="E2162" t="str">
        <f>T("최재봉")</f>
        <v>최재봉</v>
      </c>
      <c r="H2162" t="str">
        <f>T("에필로그")</f>
        <v>에필로그</v>
      </c>
      <c r="I2162" t="str">
        <f>T("남창목가")</f>
        <v>남창목가</v>
      </c>
      <c r="J2162">
        <v>100</v>
      </c>
      <c r="K2162">
        <v>100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100</v>
      </c>
      <c r="AH2162">
        <v>1</v>
      </c>
      <c r="AI2162">
        <v>0</v>
      </c>
      <c r="AJ2162">
        <v>0</v>
      </c>
      <c r="AK2162">
        <v>0</v>
      </c>
      <c r="AL2162">
        <v>0</v>
      </c>
      <c r="AM2162">
        <v>120</v>
      </c>
      <c r="AN2162">
        <v>-12</v>
      </c>
      <c r="AO2162">
        <v>0</v>
      </c>
      <c r="AQ2162">
        <v>0</v>
      </c>
      <c r="AR2162">
        <v>0</v>
      </c>
      <c r="AS2162">
        <v>120</v>
      </c>
      <c r="AT2162">
        <v>-12</v>
      </c>
      <c r="AU2162">
        <v>0</v>
      </c>
      <c r="AW2162">
        <v>0</v>
      </c>
      <c r="AX2162">
        <v>0</v>
      </c>
      <c r="AY2162">
        <v>75.599999999999994</v>
      </c>
      <c r="BC2162" t="str">
        <f>T("9791164482849")</f>
        <v>9791164482849</v>
      </c>
      <c r="BE2162" t="str">
        <f>T("판타지 웹소설 &gt; 무협 소설")</f>
        <v>판타지 웹소설 &gt; 무협 소설</v>
      </c>
    </row>
    <row r="2163" spans="1:57" x14ac:dyDescent="0.3">
      <c r="A2163">
        <v>1525008428</v>
      </c>
      <c r="B2163">
        <v>1525008421</v>
      </c>
      <c r="C2163" t="str">
        <f>T("무히비(Muhibbi) 13화")</f>
        <v>무히비(Muhibbi) 13화</v>
      </c>
      <c r="D2163" t="str">
        <f>T("13")</f>
        <v>13</v>
      </c>
      <c r="E2163" t="str">
        <f>T("jooki")</f>
        <v>jooki</v>
      </c>
      <c r="H2163" t="str">
        <f>T("블러쉬")</f>
        <v>블러쉬</v>
      </c>
      <c r="I2163" t="str">
        <f>T("무히비(Muhibbi)")</f>
        <v>무히비(Muhibbi)</v>
      </c>
      <c r="J2163">
        <v>100</v>
      </c>
      <c r="K2163">
        <v>100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100</v>
      </c>
      <c r="AH2163">
        <v>1</v>
      </c>
      <c r="AI2163">
        <v>0</v>
      </c>
      <c r="AJ2163">
        <v>0</v>
      </c>
      <c r="AK2163">
        <v>100</v>
      </c>
      <c r="AL2163">
        <v>0</v>
      </c>
      <c r="AM2163">
        <v>0</v>
      </c>
      <c r="AN2163">
        <v>0</v>
      </c>
      <c r="AO2163">
        <v>0</v>
      </c>
      <c r="AQ2163">
        <v>0</v>
      </c>
      <c r="AR2163">
        <v>0</v>
      </c>
      <c r="AT2163">
        <v>0</v>
      </c>
      <c r="AU2163">
        <v>0</v>
      </c>
      <c r="AW2163">
        <v>0</v>
      </c>
      <c r="AX2163">
        <v>0</v>
      </c>
      <c r="AY2163">
        <v>70</v>
      </c>
      <c r="BC2163" t="str">
        <f>T("9791164896622")</f>
        <v>9791164896622</v>
      </c>
      <c r="BE2163" t="str">
        <f>T("BL 웹소설 &gt; 역사/시대물")</f>
        <v>BL 웹소설 &gt; 역사/시대물</v>
      </c>
    </row>
    <row r="2164" spans="1:57" x14ac:dyDescent="0.3">
      <c r="A2164">
        <v>1525004030</v>
      </c>
      <c r="B2164">
        <v>1525006979</v>
      </c>
      <c r="C2164" t="str">
        <f>T("회귀의 전설 2부 863화")</f>
        <v>회귀의 전설 2부 863화</v>
      </c>
      <c r="D2164" t="str">
        <f>T("863")</f>
        <v>863</v>
      </c>
      <c r="E2164" t="str">
        <f>T("김광수")</f>
        <v>김광수</v>
      </c>
      <c r="H2164" t="str">
        <f>T("스토리위즈")</f>
        <v>스토리위즈</v>
      </c>
      <c r="I2164" t="str">
        <f>T("회귀의 전설")</f>
        <v>회귀의 전설</v>
      </c>
      <c r="J2164">
        <v>100</v>
      </c>
      <c r="K2164">
        <v>100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100</v>
      </c>
      <c r="AH2164">
        <v>1</v>
      </c>
      <c r="AI2164">
        <v>0</v>
      </c>
      <c r="AJ2164">
        <v>0</v>
      </c>
      <c r="AK2164">
        <v>100</v>
      </c>
      <c r="AL2164">
        <v>0</v>
      </c>
      <c r="AM2164">
        <v>0</v>
      </c>
      <c r="AN2164">
        <v>0</v>
      </c>
      <c r="AO2164">
        <v>0</v>
      </c>
      <c r="AQ2164">
        <v>0</v>
      </c>
      <c r="AR2164">
        <v>0</v>
      </c>
      <c r="AT2164">
        <v>0</v>
      </c>
      <c r="AU2164">
        <v>0</v>
      </c>
      <c r="AW2164">
        <v>0</v>
      </c>
      <c r="AX2164">
        <v>0</v>
      </c>
      <c r="AY2164">
        <v>70</v>
      </c>
      <c r="BC2164" t="str">
        <f>T("9791191102086")</f>
        <v>9791191102086</v>
      </c>
      <c r="BE2164" t="str">
        <f>T("판타지 웹소설 &gt; 현대 판타지")</f>
        <v>판타지 웹소설 &gt; 현대 판타지</v>
      </c>
    </row>
    <row r="2165" spans="1:57" x14ac:dyDescent="0.3">
      <c r="A2165">
        <v>1525011523</v>
      </c>
      <c r="B2165">
        <v>1525011375</v>
      </c>
      <c r="C2165" t="str">
        <f>T("남창목가 149화")</f>
        <v>남창목가 149화</v>
      </c>
      <c r="D2165" t="str">
        <f>T("149")</f>
        <v>149</v>
      </c>
      <c r="E2165" t="str">
        <f>T("최재봉")</f>
        <v>최재봉</v>
      </c>
      <c r="H2165" t="str">
        <f>T("에필로그")</f>
        <v>에필로그</v>
      </c>
      <c r="I2165" t="str">
        <f>T("남창목가")</f>
        <v>남창목가</v>
      </c>
      <c r="J2165">
        <v>100</v>
      </c>
      <c r="K2165">
        <v>100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100</v>
      </c>
      <c r="AH2165">
        <v>1</v>
      </c>
      <c r="AI2165">
        <v>0</v>
      </c>
      <c r="AJ2165">
        <v>0</v>
      </c>
      <c r="AK2165">
        <v>0</v>
      </c>
      <c r="AL2165">
        <v>0</v>
      </c>
      <c r="AM2165">
        <v>120</v>
      </c>
      <c r="AN2165">
        <v>-12</v>
      </c>
      <c r="AO2165">
        <v>0</v>
      </c>
      <c r="AQ2165">
        <v>0</v>
      </c>
      <c r="AR2165">
        <v>0</v>
      </c>
      <c r="AS2165">
        <v>120</v>
      </c>
      <c r="AT2165">
        <v>-12</v>
      </c>
      <c r="AU2165">
        <v>0</v>
      </c>
      <c r="AW2165">
        <v>0</v>
      </c>
      <c r="AX2165">
        <v>0</v>
      </c>
      <c r="AY2165">
        <v>75.599999999999994</v>
      </c>
      <c r="BC2165" t="str">
        <f>T("9791164482849")</f>
        <v>9791164482849</v>
      </c>
      <c r="BE2165" t="str">
        <f>T("판타지 웹소설 &gt; 무협 소설")</f>
        <v>판타지 웹소설 &gt; 무협 소설</v>
      </c>
    </row>
    <row r="2166" spans="1:57" x14ac:dyDescent="0.3">
      <c r="A2166">
        <v>1525013020</v>
      </c>
      <c r="B2166">
        <v>1525013061</v>
      </c>
      <c r="C2166" t="str">
        <f>T("악당의 리턴 42화")</f>
        <v>악당의 리턴 42화</v>
      </c>
      <c r="D2166" t="str">
        <f>T("42")</f>
        <v>42</v>
      </c>
      <c r="E2166" t="str">
        <f>T("백범(白帆)")</f>
        <v>백범(白帆)</v>
      </c>
      <c r="H2166" t="str">
        <f>T("에필로그")</f>
        <v>에필로그</v>
      </c>
      <c r="I2166" t="str">
        <f>T("악당의 리턴")</f>
        <v>악당의 리턴</v>
      </c>
      <c r="J2166">
        <v>100</v>
      </c>
      <c r="K2166">
        <v>100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100</v>
      </c>
      <c r="AH2166">
        <v>1</v>
      </c>
      <c r="AI2166">
        <v>0</v>
      </c>
      <c r="AJ2166">
        <v>0</v>
      </c>
      <c r="AK2166">
        <v>100</v>
      </c>
      <c r="AL2166">
        <v>0</v>
      </c>
      <c r="AM2166">
        <v>0</v>
      </c>
      <c r="AN2166">
        <v>0</v>
      </c>
      <c r="AO2166">
        <v>0</v>
      </c>
      <c r="AQ2166">
        <v>0</v>
      </c>
      <c r="AR2166">
        <v>0</v>
      </c>
      <c r="AT2166">
        <v>0</v>
      </c>
      <c r="AU2166">
        <v>0</v>
      </c>
      <c r="AW2166">
        <v>0</v>
      </c>
      <c r="AX2166">
        <v>0</v>
      </c>
      <c r="AY2166">
        <v>70</v>
      </c>
      <c r="BC2166" t="str">
        <f>T("9791196538927")</f>
        <v>9791196538927</v>
      </c>
      <c r="BE2166" t="str">
        <f>T("판타지 웹소설 &gt; 현대 판타지")</f>
        <v>판타지 웹소설 &gt; 현대 판타지</v>
      </c>
    </row>
    <row r="2167" spans="1:57" x14ac:dyDescent="0.3">
      <c r="A2167">
        <v>1525004030</v>
      </c>
      <c r="B2167">
        <v>1525007134</v>
      </c>
      <c r="C2167" t="str">
        <f>T("회귀의 전설 2부 1018화")</f>
        <v>회귀의 전설 2부 1018화</v>
      </c>
      <c r="D2167" t="str">
        <f>T("1018")</f>
        <v>1018</v>
      </c>
      <c r="E2167" t="str">
        <f>T("김광수")</f>
        <v>김광수</v>
      </c>
      <c r="H2167" t="str">
        <f>T("스토리위즈")</f>
        <v>스토리위즈</v>
      </c>
      <c r="I2167" t="str">
        <f>T("회귀의 전설")</f>
        <v>회귀의 전설</v>
      </c>
      <c r="J2167">
        <v>100</v>
      </c>
      <c r="K2167">
        <v>100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100</v>
      </c>
      <c r="AH2167">
        <v>1</v>
      </c>
      <c r="AI2167">
        <v>0</v>
      </c>
      <c r="AJ2167">
        <v>0</v>
      </c>
      <c r="AK2167">
        <v>100</v>
      </c>
      <c r="AL2167">
        <v>0</v>
      </c>
      <c r="AM2167">
        <v>0</v>
      </c>
      <c r="AN2167">
        <v>0</v>
      </c>
      <c r="AO2167">
        <v>0</v>
      </c>
      <c r="AQ2167">
        <v>0</v>
      </c>
      <c r="AR2167">
        <v>0</v>
      </c>
      <c r="AT2167">
        <v>0</v>
      </c>
      <c r="AU2167">
        <v>0</v>
      </c>
      <c r="AW2167">
        <v>0</v>
      </c>
      <c r="AX2167">
        <v>0</v>
      </c>
      <c r="AY2167">
        <v>70</v>
      </c>
      <c r="BC2167" t="str">
        <f>T("9791191102086")</f>
        <v>9791191102086</v>
      </c>
      <c r="BE2167" t="str">
        <f>T("판타지 웹소설 &gt; 현대 판타지")</f>
        <v>판타지 웹소설 &gt; 현대 판타지</v>
      </c>
    </row>
    <row r="2168" spans="1:57" x14ac:dyDescent="0.3">
      <c r="A2168">
        <v>1525012551</v>
      </c>
      <c r="B2168">
        <v>1525012735</v>
      </c>
      <c r="C2168" t="str">
        <f>T("개정판 | 바보가 만드는 멋진 세상 185화")</f>
        <v>개정판 | 바보가 만드는 멋진 세상 185화</v>
      </c>
      <c r="D2168" t="str">
        <f>T("185")</f>
        <v>185</v>
      </c>
      <c r="E2168" t="str">
        <f>T("백범(白帆)")</f>
        <v>백범(白帆)</v>
      </c>
      <c r="H2168" t="str">
        <f>T("에필로그")</f>
        <v>에필로그</v>
      </c>
      <c r="I2168" t="str">
        <f>T("개정판 | 바보가 만드는 멋진 세상")</f>
        <v>개정판 | 바보가 만드는 멋진 세상</v>
      </c>
      <c r="J2168">
        <v>100</v>
      </c>
      <c r="K2168">
        <v>100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100</v>
      </c>
      <c r="AH2168">
        <v>1</v>
      </c>
      <c r="AI2168">
        <v>0</v>
      </c>
      <c r="AJ2168">
        <v>0</v>
      </c>
      <c r="AK2168">
        <v>100</v>
      </c>
      <c r="AL2168">
        <v>0</v>
      </c>
      <c r="AM2168">
        <v>0</v>
      </c>
      <c r="AN2168">
        <v>0</v>
      </c>
      <c r="AO2168">
        <v>0</v>
      </c>
      <c r="AQ2168">
        <v>0</v>
      </c>
      <c r="AR2168">
        <v>0</v>
      </c>
      <c r="AT2168">
        <v>0</v>
      </c>
      <c r="AU2168">
        <v>0</v>
      </c>
      <c r="AW2168">
        <v>0</v>
      </c>
      <c r="AX2168">
        <v>0</v>
      </c>
      <c r="AY2168">
        <v>70</v>
      </c>
      <c r="BC2168" t="str">
        <f>T("9791166003493")</f>
        <v>9791166003493</v>
      </c>
      <c r="BE2168" t="str">
        <f>T("판타지 웹소설 &gt; 현대 판타지")</f>
        <v>판타지 웹소설 &gt; 현대 판타지</v>
      </c>
    </row>
    <row r="2169" spans="1:57" x14ac:dyDescent="0.3">
      <c r="A2169">
        <v>1525008545</v>
      </c>
      <c r="B2169">
        <v>1525008548</v>
      </c>
      <c r="C2169" t="str">
        <f>T("소년연애담 22화")</f>
        <v>소년연애담 22화</v>
      </c>
      <c r="D2169" t="str">
        <f>T("22")</f>
        <v>22</v>
      </c>
      <c r="E2169" t="str">
        <f>T("나나코")</f>
        <v>나나코</v>
      </c>
      <c r="H2169" t="str">
        <f>T("블러쉬")</f>
        <v>블러쉬</v>
      </c>
      <c r="I2169" t="str">
        <f>T("소년연애담")</f>
        <v>소년연애담</v>
      </c>
      <c r="J2169">
        <v>100</v>
      </c>
      <c r="K2169">
        <v>100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100</v>
      </c>
      <c r="AH2169">
        <v>1</v>
      </c>
      <c r="AI2169">
        <v>0</v>
      </c>
      <c r="AJ2169">
        <v>0</v>
      </c>
      <c r="AK2169">
        <v>100</v>
      </c>
      <c r="AL2169">
        <v>0</v>
      </c>
      <c r="AM2169">
        <v>0</v>
      </c>
      <c r="AN2169">
        <v>0</v>
      </c>
      <c r="AO2169">
        <v>0</v>
      </c>
      <c r="AQ2169">
        <v>0</v>
      </c>
      <c r="AR2169">
        <v>0</v>
      </c>
      <c r="AT2169">
        <v>0</v>
      </c>
      <c r="AU2169">
        <v>0</v>
      </c>
      <c r="AW2169">
        <v>0</v>
      </c>
      <c r="AX2169">
        <v>0</v>
      </c>
      <c r="AY2169">
        <v>70</v>
      </c>
      <c r="BA2169" t="str">
        <f>T("0000000000000")</f>
        <v>0000000000000</v>
      </c>
      <c r="BC2169" t="str">
        <f>T("9791164890729")</f>
        <v>9791164890729</v>
      </c>
      <c r="BD2169" t="str">
        <f>T("B12")</f>
        <v>B12</v>
      </c>
      <c r="BE2169" t="str">
        <f>T("BL 웹소설 &gt; 현대물")</f>
        <v>BL 웹소설 &gt; 현대물</v>
      </c>
    </row>
    <row r="2170" spans="1:57" x14ac:dyDescent="0.3">
      <c r="A2170">
        <v>1525011523</v>
      </c>
      <c r="B2170">
        <v>1525011244</v>
      </c>
      <c r="C2170" t="str">
        <f>T("남창목가 280화")</f>
        <v>남창목가 280화</v>
      </c>
      <c r="D2170" t="str">
        <f>T("280")</f>
        <v>280</v>
      </c>
      <c r="E2170" t="str">
        <f>T("최재봉")</f>
        <v>최재봉</v>
      </c>
      <c r="H2170" t="str">
        <f>T("에필로그")</f>
        <v>에필로그</v>
      </c>
      <c r="I2170" t="str">
        <f>T("남창목가")</f>
        <v>남창목가</v>
      </c>
      <c r="J2170">
        <v>100</v>
      </c>
      <c r="K2170">
        <v>100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100</v>
      </c>
      <c r="AH2170">
        <v>1</v>
      </c>
      <c r="AI2170">
        <v>0</v>
      </c>
      <c r="AJ2170">
        <v>0</v>
      </c>
      <c r="AK2170">
        <v>0</v>
      </c>
      <c r="AL2170">
        <v>0</v>
      </c>
      <c r="AM2170">
        <v>120</v>
      </c>
      <c r="AN2170">
        <v>-12</v>
      </c>
      <c r="AO2170">
        <v>0</v>
      </c>
      <c r="AQ2170">
        <v>0</v>
      </c>
      <c r="AR2170">
        <v>0</v>
      </c>
      <c r="AS2170">
        <v>120</v>
      </c>
      <c r="AT2170">
        <v>-12</v>
      </c>
      <c r="AU2170">
        <v>0</v>
      </c>
      <c r="AW2170">
        <v>0</v>
      </c>
      <c r="AX2170">
        <v>0</v>
      </c>
      <c r="AY2170">
        <v>75.599999999999994</v>
      </c>
      <c r="BC2170" t="str">
        <f>T("9791164482849")</f>
        <v>9791164482849</v>
      </c>
      <c r="BE2170" t="str">
        <f>T("판타지 웹소설 &gt; 무협 소설")</f>
        <v>판타지 웹소설 &gt; 무협 소설</v>
      </c>
    </row>
    <row r="2171" spans="1:57" x14ac:dyDescent="0.3">
      <c r="A2171">
        <v>1525011523</v>
      </c>
      <c r="B2171">
        <v>1525011421</v>
      </c>
      <c r="C2171" t="str">
        <f>T("남창목가 103화")</f>
        <v>남창목가 103화</v>
      </c>
      <c r="D2171" t="str">
        <f>T("103")</f>
        <v>103</v>
      </c>
      <c r="E2171" t="str">
        <f>T("최재봉")</f>
        <v>최재봉</v>
      </c>
      <c r="H2171" t="str">
        <f>T("에필로그")</f>
        <v>에필로그</v>
      </c>
      <c r="I2171" t="str">
        <f>T("남창목가")</f>
        <v>남창목가</v>
      </c>
      <c r="J2171">
        <v>100</v>
      </c>
      <c r="K2171">
        <v>100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100</v>
      </c>
      <c r="AH2171">
        <v>1</v>
      </c>
      <c r="AI2171">
        <v>0</v>
      </c>
      <c r="AJ2171">
        <v>0</v>
      </c>
      <c r="AK2171">
        <v>100</v>
      </c>
      <c r="AL2171">
        <v>0</v>
      </c>
      <c r="AM2171">
        <v>0</v>
      </c>
      <c r="AN2171">
        <v>0</v>
      </c>
      <c r="AO2171">
        <v>0</v>
      </c>
      <c r="AQ2171">
        <v>0</v>
      </c>
      <c r="AR2171">
        <v>0</v>
      </c>
      <c r="AT2171">
        <v>0</v>
      </c>
      <c r="AU2171">
        <v>0</v>
      </c>
      <c r="AW2171">
        <v>0</v>
      </c>
      <c r="AX2171">
        <v>0</v>
      </c>
      <c r="AY2171">
        <v>70</v>
      </c>
      <c r="BC2171" t="str">
        <f>T("9791164482849")</f>
        <v>9791164482849</v>
      </c>
      <c r="BE2171" t="str">
        <f>T("판타지 웹소설 &gt; 무협 소설")</f>
        <v>판타지 웹소설 &gt; 무협 소설</v>
      </c>
    </row>
    <row r="2172" spans="1:57" x14ac:dyDescent="0.3">
      <c r="A2172">
        <v>1525004030</v>
      </c>
      <c r="B2172">
        <v>1525007009</v>
      </c>
      <c r="C2172" t="str">
        <f>T("회귀의 전설 2부 893화")</f>
        <v>회귀의 전설 2부 893화</v>
      </c>
      <c r="D2172" t="str">
        <f>T("893")</f>
        <v>893</v>
      </c>
      <c r="E2172" t="str">
        <f>T("김광수")</f>
        <v>김광수</v>
      </c>
      <c r="H2172" t="str">
        <f>T("스토리위즈")</f>
        <v>스토리위즈</v>
      </c>
      <c r="I2172" t="str">
        <f>T("회귀의 전설")</f>
        <v>회귀의 전설</v>
      </c>
      <c r="J2172">
        <v>100</v>
      </c>
      <c r="K2172">
        <v>100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100</v>
      </c>
      <c r="AH2172">
        <v>1</v>
      </c>
      <c r="AI2172">
        <v>0</v>
      </c>
      <c r="AJ2172">
        <v>0</v>
      </c>
      <c r="AK2172">
        <v>100</v>
      </c>
      <c r="AL2172">
        <v>0</v>
      </c>
      <c r="AM2172">
        <v>0</v>
      </c>
      <c r="AN2172">
        <v>0</v>
      </c>
      <c r="AO2172">
        <v>0</v>
      </c>
      <c r="AQ2172">
        <v>0</v>
      </c>
      <c r="AR2172">
        <v>0</v>
      </c>
      <c r="AT2172">
        <v>0</v>
      </c>
      <c r="AU2172">
        <v>0</v>
      </c>
      <c r="AW2172">
        <v>0</v>
      </c>
      <c r="AX2172">
        <v>0</v>
      </c>
      <c r="AY2172">
        <v>70</v>
      </c>
      <c r="BC2172" t="str">
        <f>T("9791191102086")</f>
        <v>9791191102086</v>
      </c>
      <c r="BE2172" t="str">
        <f>T("판타지 웹소설 &gt; 현대 판타지")</f>
        <v>판타지 웹소설 &gt; 현대 판타지</v>
      </c>
    </row>
    <row r="2173" spans="1:57" x14ac:dyDescent="0.3">
      <c r="A2173">
        <v>1525011523</v>
      </c>
      <c r="B2173">
        <v>1525011098</v>
      </c>
      <c r="C2173" t="str">
        <f>T("남창목가 426화")</f>
        <v>남창목가 426화</v>
      </c>
      <c r="D2173" t="str">
        <f>T("426")</f>
        <v>426</v>
      </c>
      <c r="E2173" t="str">
        <f>T("최재봉")</f>
        <v>최재봉</v>
      </c>
      <c r="H2173" t="str">
        <f>T("에필로그")</f>
        <v>에필로그</v>
      </c>
      <c r="I2173" t="str">
        <f>T("남창목가")</f>
        <v>남창목가</v>
      </c>
      <c r="J2173">
        <v>100</v>
      </c>
      <c r="K2173">
        <v>100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100</v>
      </c>
      <c r="AH2173">
        <v>1</v>
      </c>
      <c r="AI2173">
        <v>0</v>
      </c>
      <c r="AJ2173">
        <v>0</v>
      </c>
      <c r="AK2173">
        <v>0</v>
      </c>
      <c r="AL2173">
        <v>0</v>
      </c>
      <c r="AM2173">
        <v>120</v>
      </c>
      <c r="AN2173">
        <v>-12</v>
      </c>
      <c r="AO2173">
        <v>0</v>
      </c>
      <c r="AQ2173">
        <v>0</v>
      </c>
      <c r="AR2173">
        <v>0</v>
      </c>
      <c r="AS2173">
        <v>120</v>
      </c>
      <c r="AT2173">
        <v>-12</v>
      </c>
      <c r="AU2173">
        <v>0</v>
      </c>
      <c r="AW2173">
        <v>0</v>
      </c>
      <c r="AX2173">
        <v>0</v>
      </c>
      <c r="AY2173">
        <v>75.599999999999994</v>
      </c>
      <c r="BC2173" t="str">
        <f>T("9791164482849")</f>
        <v>9791164482849</v>
      </c>
      <c r="BE2173" t="str">
        <f>T("판타지 웹소설 &gt; 무협 소설")</f>
        <v>판타지 웹소설 &gt; 무협 소설</v>
      </c>
    </row>
    <row r="2174" spans="1:57" x14ac:dyDescent="0.3">
      <c r="A2174">
        <v>1525008428</v>
      </c>
      <c r="B2174">
        <v>1525008410</v>
      </c>
      <c r="C2174" t="str">
        <f>T("무히비(Muhibbi) 107화")</f>
        <v>무히비(Muhibbi) 107화</v>
      </c>
      <c r="D2174" t="str">
        <f>T("107")</f>
        <v>107</v>
      </c>
      <c r="E2174" t="str">
        <f>T("jooki")</f>
        <v>jooki</v>
      </c>
      <c r="H2174" t="str">
        <f>T("블러쉬")</f>
        <v>블러쉬</v>
      </c>
      <c r="I2174" t="str">
        <f>T("무히비(Muhibbi)")</f>
        <v>무히비(Muhibbi)</v>
      </c>
      <c r="J2174">
        <v>100</v>
      </c>
      <c r="K2174">
        <v>100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100</v>
      </c>
      <c r="AH2174">
        <v>1</v>
      </c>
      <c r="AI2174">
        <v>0</v>
      </c>
      <c r="AJ2174">
        <v>0</v>
      </c>
      <c r="AK2174">
        <v>100</v>
      </c>
      <c r="AL2174">
        <v>0</v>
      </c>
      <c r="AM2174">
        <v>0</v>
      </c>
      <c r="AN2174">
        <v>0</v>
      </c>
      <c r="AO2174">
        <v>0</v>
      </c>
      <c r="AQ2174">
        <v>0</v>
      </c>
      <c r="AR2174">
        <v>0</v>
      </c>
      <c r="AT2174">
        <v>0</v>
      </c>
      <c r="AU2174">
        <v>0</v>
      </c>
      <c r="AW2174">
        <v>0</v>
      </c>
      <c r="AX2174">
        <v>0</v>
      </c>
      <c r="AY2174">
        <v>70</v>
      </c>
      <c r="BA2174" t="str">
        <f>T("0000000000000")</f>
        <v>0000000000000</v>
      </c>
      <c r="BC2174" t="str">
        <f>T("9791164896622")</f>
        <v>9791164896622</v>
      </c>
      <c r="BE2174" t="str">
        <f>T("BL 웹소설 &gt; 역사/시대물")</f>
        <v>BL 웹소설 &gt; 역사/시대물</v>
      </c>
    </row>
    <row r="2175" spans="1:57" x14ac:dyDescent="0.3">
      <c r="A2175">
        <v>1525004030</v>
      </c>
      <c r="B2175">
        <v>1525006905</v>
      </c>
      <c r="C2175" t="str">
        <f>T("회귀의 전설 2부 788화")</f>
        <v>회귀의 전설 2부 788화</v>
      </c>
      <c r="D2175" t="str">
        <f>T("788")</f>
        <v>788</v>
      </c>
      <c r="E2175" t="str">
        <f>T("김광수")</f>
        <v>김광수</v>
      </c>
      <c r="H2175" t="str">
        <f>T("스토리위즈")</f>
        <v>스토리위즈</v>
      </c>
      <c r="I2175" t="str">
        <f>T("회귀의 전설")</f>
        <v>회귀의 전설</v>
      </c>
      <c r="J2175">
        <v>100</v>
      </c>
      <c r="K2175">
        <v>100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100</v>
      </c>
      <c r="AH2175">
        <v>1</v>
      </c>
      <c r="AI2175">
        <v>0</v>
      </c>
      <c r="AJ2175">
        <v>0</v>
      </c>
      <c r="AK2175">
        <v>0</v>
      </c>
      <c r="AL2175">
        <v>0</v>
      </c>
      <c r="AM2175">
        <v>120</v>
      </c>
      <c r="AN2175">
        <v>-12</v>
      </c>
      <c r="AO2175">
        <v>0</v>
      </c>
      <c r="AQ2175">
        <v>0</v>
      </c>
      <c r="AR2175">
        <v>0</v>
      </c>
      <c r="AS2175">
        <v>120</v>
      </c>
      <c r="AT2175">
        <v>-12</v>
      </c>
      <c r="AU2175">
        <v>0</v>
      </c>
      <c r="AW2175">
        <v>0</v>
      </c>
      <c r="AX2175">
        <v>0</v>
      </c>
      <c r="AY2175">
        <v>75.599999999999994</v>
      </c>
      <c r="BC2175" t="str">
        <f>T("9791191102086")</f>
        <v>9791191102086</v>
      </c>
      <c r="BE2175" t="str">
        <f>T("판타지 웹소설 &gt; 현대 판타지")</f>
        <v>판타지 웹소설 &gt; 현대 판타지</v>
      </c>
    </row>
    <row r="2176" spans="1:57" x14ac:dyDescent="0.3">
      <c r="A2176">
        <v>1525011523</v>
      </c>
      <c r="B2176">
        <v>1525011361</v>
      </c>
      <c r="C2176" t="str">
        <f>T("남창목가 163화")</f>
        <v>남창목가 163화</v>
      </c>
      <c r="D2176" t="str">
        <f>T("163")</f>
        <v>163</v>
      </c>
      <c r="E2176" t="str">
        <f>T("최재봉")</f>
        <v>최재봉</v>
      </c>
      <c r="H2176" t="str">
        <f>T("에필로그")</f>
        <v>에필로그</v>
      </c>
      <c r="I2176" t="str">
        <f>T("남창목가")</f>
        <v>남창목가</v>
      </c>
      <c r="J2176">
        <v>100</v>
      </c>
      <c r="K2176">
        <v>100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100</v>
      </c>
      <c r="AH2176">
        <v>1</v>
      </c>
      <c r="AI2176">
        <v>0</v>
      </c>
      <c r="AJ2176">
        <v>0</v>
      </c>
      <c r="AK2176">
        <v>0</v>
      </c>
      <c r="AL2176">
        <v>0</v>
      </c>
      <c r="AM2176">
        <v>120</v>
      </c>
      <c r="AN2176">
        <v>-12</v>
      </c>
      <c r="AO2176">
        <v>0</v>
      </c>
      <c r="AQ2176">
        <v>0</v>
      </c>
      <c r="AR2176">
        <v>0</v>
      </c>
      <c r="AS2176">
        <v>120</v>
      </c>
      <c r="AT2176">
        <v>-12</v>
      </c>
      <c r="AU2176">
        <v>0</v>
      </c>
      <c r="AW2176">
        <v>0</v>
      </c>
      <c r="AX2176">
        <v>0</v>
      </c>
      <c r="AY2176">
        <v>75.599999999999994</v>
      </c>
      <c r="BC2176" t="str">
        <f>T("9791164482849")</f>
        <v>9791164482849</v>
      </c>
      <c r="BE2176" t="str">
        <f>T("판타지 웹소설 &gt; 무협 소설")</f>
        <v>판타지 웹소설 &gt; 무협 소설</v>
      </c>
    </row>
    <row r="2177" spans="1:57" x14ac:dyDescent="0.3">
      <c r="A2177">
        <v>1525002125</v>
      </c>
      <c r="B2177">
        <v>1525002389</v>
      </c>
      <c r="C2177" t="str">
        <f>T("신을 죽이러 갑니다 265화")</f>
        <v>신을 죽이러 갑니다 265화</v>
      </c>
      <c r="D2177" t="str">
        <f>T("265")</f>
        <v>265</v>
      </c>
      <c r="E2177" t="str">
        <f>T("독고진")</f>
        <v>독고진</v>
      </c>
      <c r="H2177" t="str">
        <f>T("스토리위즈")</f>
        <v>스토리위즈</v>
      </c>
      <c r="I2177" t="str">
        <f>T("신을 죽이러 갑니다")</f>
        <v>신을 죽이러 갑니다</v>
      </c>
      <c r="J2177">
        <v>100</v>
      </c>
      <c r="K2177">
        <v>100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100</v>
      </c>
      <c r="AH2177">
        <v>1</v>
      </c>
      <c r="AI2177">
        <v>0</v>
      </c>
      <c r="AJ2177">
        <v>0</v>
      </c>
      <c r="AK2177">
        <v>0</v>
      </c>
      <c r="AL2177">
        <v>0</v>
      </c>
      <c r="AM2177">
        <v>120</v>
      </c>
      <c r="AN2177">
        <v>-12</v>
      </c>
      <c r="AO2177">
        <v>0</v>
      </c>
      <c r="AQ2177">
        <v>0</v>
      </c>
      <c r="AR2177">
        <v>0</v>
      </c>
      <c r="AS2177">
        <v>120</v>
      </c>
      <c r="AT2177">
        <v>-12</v>
      </c>
      <c r="AU2177">
        <v>0</v>
      </c>
      <c r="AW2177">
        <v>0</v>
      </c>
      <c r="AX2177">
        <v>0</v>
      </c>
      <c r="AY2177">
        <v>75.599999999999994</v>
      </c>
      <c r="BC2177" t="str">
        <f>T("9791159285806")</f>
        <v>9791159285806</v>
      </c>
      <c r="BE2177" t="str">
        <f>T("판타지 웹소설 &gt; 퓨전 판타지")</f>
        <v>판타지 웹소설 &gt; 퓨전 판타지</v>
      </c>
    </row>
    <row r="2178" spans="1:57" x14ac:dyDescent="0.3">
      <c r="A2178">
        <v>1525004030</v>
      </c>
      <c r="B2178">
        <v>1525007123</v>
      </c>
      <c r="C2178" t="str">
        <f>T("회귀의 전설 2부 1007화")</f>
        <v>회귀의 전설 2부 1007화</v>
      </c>
      <c r="D2178" t="str">
        <f>T("1007")</f>
        <v>1007</v>
      </c>
      <c r="E2178" t="str">
        <f>T("김광수")</f>
        <v>김광수</v>
      </c>
      <c r="H2178" t="str">
        <f>T("스토리위즈")</f>
        <v>스토리위즈</v>
      </c>
      <c r="I2178" t="str">
        <f>T("회귀의 전설")</f>
        <v>회귀의 전설</v>
      </c>
      <c r="J2178">
        <v>100</v>
      </c>
      <c r="K2178">
        <v>100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100</v>
      </c>
      <c r="AH2178">
        <v>1</v>
      </c>
      <c r="AI2178">
        <v>0</v>
      </c>
      <c r="AJ2178">
        <v>0</v>
      </c>
      <c r="AK2178">
        <v>100</v>
      </c>
      <c r="AL2178">
        <v>0</v>
      </c>
      <c r="AM2178">
        <v>0</v>
      </c>
      <c r="AN2178">
        <v>0</v>
      </c>
      <c r="AO2178">
        <v>0</v>
      </c>
      <c r="AQ2178">
        <v>0</v>
      </c>
      <c r="AR2178">
        <v>0</v>
      </c>
      <c r="AT2178">
        <v>0</v>
      </c>
      <c r="AU2178">
        <v>0</v>
      </c>
      <c r="AW2178">
        <v>0</v>
      </c>
      <c r="AX2178">
        <v>0</v>
      </c>
      <c r="AY2178">
        <v>70</v>
      </c>
      <c r="BC2178" t="str">
        <f>T("9791191102086")</f>
        <v>9791191102086</v>
      </c>
      <c r="BE2178" t="str">
        <f>T("판타지 웹소설 &gt; 현대 판타지")</f>
        <v>판타지 웹소설 &gt; 현대 판타지</v>
      </c>
    </row>
    <row r="2179" spans="1:57" x14ac:dyDescent="0.3">
      <c r="A2179">
        <v>1525012551</v>
      </c>
      <c r="B2179">
        <v>1525012724</v>
      </c>
      <c r="C2179" t="str">
        <f>T("개정판 | 바보가 만드는 멋진 세상 174화")</f>
        <v>개정판 | 바보가 만드는 멋진 세상 174화</v>
      </c>
      <c r="D2179" t="str">
        <f>T("174")</f>
        <v>174</v>
      </c>
      <c r="E2179" t="str">
        <f>T("백범(白帆)")</f>
        <v>백범(白帆)</v>
      </c>
      <c r="H2179" t="str">
        <f>T("에필로그")</f>
        <v>에필로그</v>
      </c>
      <c r="I2179" t="str">
        <f>T("개정판 | 바보가 만드는 멋진 세상")</f>
        <v>개정판 | 바보가 만드는 멋진 세상</v>
      </c>
      <c r="J2179">
        <v>100</v>
      </c>
      <c r="K2179">
        <v>100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100</v>
      </c>
      <c r="AH2179">
        <v>1</v>
      </c>
      <c r="AI2179">
        <v>0</v>
      </c>
      <c r="AJ2179">
        <v>0</v>
      </c>
      <c r="AK2179">
        <v>100</v>
      </c>
      <c r="AL2179">
        <v>0</v>
      </c>
      <c r="AM2179">
        <v>0</v>
      </c>
      <c r="AN2179">
        <v>0</v>
      </c>
      <c r="AO2179">
        <v>0</v>
      </c>
      <c r="AQ2179">
        <v>0</v>
      </c>
      <c r="AR2179">
        <v>0</v>
      </c>
      <c r="AT2179">
        <v>0</v>
      </c>
      <c r="AU2179">
        <v>0</v>
      </c>
      <c r="AW2179">
        <v>0</v>
      </c>
      <c r="AX2179">
        <v>0</v>
      </c>
      <c r="AY2179">
        <v>70</v>
      </c>
      <c r="BC2179" t="str">
        <f>T("9791166003493")</f>
        <v>9791166003493</v>
      </c>
      <c r="BE2179" t="str">
        <f>T("판타지 웹소설 &gt; 현대 판타지")</f>
        <v>판타지 웹소설 &gt; 현대 판타지</v>
      </c>
    </row>
    <row r="2180" spans="1:57" x14ac:dyDescent="0.3">
      <c r="A2180">
        <v>1525008545</v>
      </c>
      <c r="B2180">
        <v>1525008537</v>
      </c>
      <c r="C2180" t="str">
        <f>T("소년연애담 12화")</f>
        <v>소년연애담 12화</v>
      </c>
      <c r="D2180" t="str">
        <f>T("12")</f>
        <v>12</v>
      </c>
      <c r="E2180" t="str">
        <f>T("나나코")</f>
        <v>나나코</v>
      </c>
      <c r="H2180" t="str">
        <f>T("블러쉬")</f>
        <v>블러쉬</v>
      </c>
      <c r="I2180" t="str">
        <f>T("소년연애담")</f>
        <v>소년연애담</v>
      </c>
      <c r="J2180">
        <v>100</v>
      </c>
      <c r="K2180">
        <v>100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100</v>
      </c>
      <c r="AH2180">
        <v>1</v>
      </c>
      <c r="AI2180">
        <v>0</v>
      </c>
      <c r="AJ2180">
        <v>0</v>
      </c>
      <c r="AK2180">
        <v>100</v>
      </c>
      <c r="AL2180">
        <v>0</v>
      </c>
      <c r="AM2180">
        <v>0</v>
      </c>
      <c r="AN2180">
        <v>0</v>
      </c>
      <c r="AO2180">
        <v>0</v>
      </c>
      <c r="AQ2180">
        <v>0</v>
      </c>
      <c r="AR2180">
        <v>0</v>
      </c>
      <c r="AT2180">
        <v>0</v>
      </c>
      <c r="AU2180">
        <v>0</v>
      </c>
      <c r="AW2180">
        <v>0</v>
      </c>
      <c r="AX2180">
        <v>0</v>
      </c>
      <c r="AY2180">
        <v>70</v>
      </c>
      <c r="BA2180" t="str">
        <f>T("0000000000000")</f>
        <v>0000000000000</v>
      </c>
      <c r="BC2180" t="str">
        <f>T("9791164890729")</f>
        <v>9791164890729</v>
      </c>
      <c r="BD2180" t="str">
        <f>T("B12")</f>
        <v>B12</v>
      </c>
      <c r="BE2180" t="str">
        <f>T("BL 웹소설 &gt; 현대물")</f>
        <v>BL 웹소설 &gt; 현대물</v>
      </c>
    </row>
    <row r="2181" spans="1:57" x14ac:dyDescent="0.3">
      <c r="A2181">
        <v>1525002864</v>
      </c>
      <c r="B2181">
        <v>1525003492</v>
      </c>
      <c r="C2181" t="str">
        <f>T("소드마스터의 환생 204화 (외전 10)")</f>
        <v>소드마스터의 환생 204화 (외전 10)</v>
      </c>
      <c r="D2181" t="str">
        <f>T("204")</f>
        <v>204</v>
      </c>
      <c r="E2181" t="str">
        <f>T("파란영")</f>
        <v>파란영</v>
      </c>
      <c r="H2181" t="str">
        <f>T("스토리위즈")</f>
        <v>스토리위즈</v>
      </c>
      <c r="I2181" t="str">
        <f>T("소드마스터의 환생")</f>
        <v>소드마스터의 환생</v>
      </c>
      <c r="J2181">
        <v>100</v>
      </c>
      <c r="K2181">
        <v>100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100</v>
      </c>
      <c r="AH2181">
        <v>1</v>
      </c>
      <c r="AI2181">
        <v>0</v>
      </c>
      <c r="AJ2181">
        <v>0</v>
      </c>
      <c r="AK2181">
        <v>100</v>
      </c>
      <c r="AL2181">
        <v>0</v>
      </c>
      <c r="AM2181">
        <v>0</v>
      </c>
      <c r="AN2181">
        <v>0</v>
      </c>
      <c r="AO2181">
        <v>0</v>
      </c>
      <c r="AQ2181">
        <v>0</v>
      </c>
      <c r="AR2181">
        <v>0</v>
      </c>
      <c r="AT2181">
        <v>0</v>
      </c>
      <c r="AU2181">
        <v>0</v>
      </c>
      <c r="AW2181">
        <v>0</v>
      </c>
      <c r="AX2181">
        <v>0</v>
      </c>
      <c r="AY2181">
        <v>70</v>
      </c>
      <c r="BC2181" t="str">
        <f>T("9791159287527")</f>
        <v>9791159287527</v>
      </c>
      <c r="BE2181" t="str">
        <f>T("판타지 웹소설 &gt; 정통 판타지")</f>
        <v>판타지 웹소설 &gt; 정통 판타지</v>
      </c>
    </row>
    <row r="2182" spans="1:57" x14ac:dyDescent="0.3">
      <c r="A2182">
        <v>1525008428</v>
      </c>
      <c r="B2182">
        <v>1525008487</v>
      </c>
      <c r="C2182" t="str">
        <f>T("무히비(Muhibbi) 73화")</f>
        <v>무히비(Muhibbi) 73화</v>
      </c>
      <c r="D2182" t="str">
        <f>T("73")</f>
        <v>73</v>
      </c>
      <c r="E2182" t="str">
        <f>T("jooki")</f>
        <v>jooki</v>
      </c>
      <c r="H2182" t="str">
        <f>T("블러쉬")</f>
        <v>블러쉬</v>
      </c>
      <c r="I2182" t="str">
        <f>T("무히비(Muhibbi)")</f>
        <v>무히비(Muhibbi)</v>
      </c>
      <c r="J2182">
        <v>100</v>
      </c>
      <c r="K2182">
        <v>100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100</v>
      </c>
      <c r="AH2182">
        <v>1</v>
      </c>
      <c r="AI2182">
        <v>0</v>
      </c>
      <c r="AJ2182">
        <v>0</v>
      </c>
      <c r="AK2182">
        <v>100</v>
      </c>
      <c r="AL2182">
        <v>0</v>
      </c>
      <c r="AM2182">
        <v>0</v>
      </c>
      <c r="AN2182">
        <v>0</v>
      </c>
      <c r="AO2182">
        <v>0</v>
      </c>
      <c r="AQ2182">
        <v>0</v>
      </c>
      <c r="AR2182">
        <v>0</v>
      </c>
      <c r="AT2182">
        <v>0</v>
      </c>
      <c r="AU2182">
        <v>0</v>
      </c>
      <c r="AW2182">
        <v>0</v>
      </c>
      <c r="AX2182">
        <v>0</v>
      </c>
      <c r="AY2182">
        <v>70</v>
      </c>
      <c r="BC2182" t="str">
        <f>T("9791164896622")</f>
        <v>9791164896622</v>
      </c>
      <c r="BE2182" t="str">
        <f>T("BL 웹소설 &gt; 역사/시대물")</f>
        <v>BL 웹소설 &gt; 역사/시대물</v>
      </c>
    </row>
    <row r="2183" spans="1:57" x14ac:dyDescent="0.3">
      <c r="A2183">
        <v>1525011523</v>
      </c>
      <c r="B2183">
        <v>1525011321</v>
      </c>
      <c r="C2183" t="str">
        <f>T("남창목가 203화")</f>
        <v>남창목가 203화</v>
      </c>
      <c r="D2183" t="str">
        <f>T("203")</f>
        <v>203</v>
      </c>
      <c r="E2183" t="str">
        <f>T("최재봉")</f>
        <v>최재봉</v>
      </c>
      <c r="H2183" t="str">
        <f>T("에필로그")</f>
        <v>에필로그</v>
      </c>
      <c r="I2183" t="str">
        <f>T("남창목가")</f>
        <v>남창목가</v>
      </c>
      <c r="J2183">
        <v>100</v>
      </c>
      <c r="K2183">
        <v>100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100</v>
      </c>
      <c r="AH2183">
        <v>1</v>
      </c>
      <c r="AI2183">
        <v>0</v>
      </c>
      <c r="AJ2183">
        <v>0</v>
      </c>
      <c r="AK2183">
        <v>0</v>
      </c>
      <c r="AL2183">
        <v>0</v>
      </c>
      <c r="AM2183">
        <v>120</v>
      </c>
      <c r="AN2183">
        <v>-12</v>
      </c>
      <c r="AO2183">
        <v>0</v>
      </c>
      <c r="AQ2183">
        <v>0</v>
      </c>
      <c r="AR2183">
        <v>0</v>
      </c>
      <c r="AS2183">
        <v>120</v>
      </c>
      <c r="AT2183">
        <v>-12</v>
      </c>
      <c r="AU2183">
        <v>0</v>
      </c>
      <c r="AW2183">
        <v>0</v>
      </c>
      <c r="AX2183">
        <v>0</v>
      </c>
      <c r="AY2183">
        <v>75.599999999999994</v>
      </c>
      <c r="BC2183" t="str">
        <f>T("9791164482849")</f>
        <v>9791164482849</v>
      </c>
      <c r="BE2183" t="str">
        <f>T("판타지 웹소설 &gt; 무협 소설")</f>
        <v>판타지 웹소설 &gt; 무협 소설</v>
      </c>
    </row>
    <row r="2184" spans="1:57" x14ac:dyDescent="0.3">
      <c r="A2184">
        <v>1525012551</v>
      </c>
      <c r="B2184">
        <v>1525012602</v>
      </c>
      <c r="C2184" t="str">
        <f>T("개정판 | 바보가 만드는 멋진 세상 52화")</f>
        <v>개정판 | 바보가 만드는 멋진 세상 52화</v>
      </c>
      <c r="D2184" t="str">
        <f>T("52")</f>
        <v>52</v>
      </c>
      <c r="E2184" t="str">
        <f>T("백범(白帆)")</f>
        <v>백범(白帆)</v>
      </c>
      <c r="H2184" t="str">
        <f>T("에필로그")</f>
        <v>에필로그</v>
      </c>
      <c r="I2184" t="str">
        <f>T("개정판 | 바보가 만드는 멋진 세상")</f>
        <v>개정판 | 바보가 만드는 멋진 세상</v>
      </c>
      <c r="J2184">
        <v>100</v>
      </c>
      <c r="K2184">
        <v>100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100</v>
      </c>
      <c r="AH2184">
        <v>1</v>
      </c>
      <c r="AI2184">
        <v>0</v>
      </c>
      <c r="AJ2184">
        <v>0</v>
      </c>
      <c r="AK2184">
        <v>100</v>
      </c>
      <c r="AL2184">
        <v>0</v>
      </c>
      <c r="AM2184">
        <v>0</v>
      </c>
      <c r="AN2184">
        <v>0</v>
      </c>
      <c r="AO2184">
        <v>0</v>
      </c>
      <c r="AQ2184">
        <v>0</v>
      </c>
      <c r="AR2184">
        <v>0</v>
      </c>
      <c r="AT2184">
        <v>0</v>
      </c>
      <c r="AU2184">
        <v>0</v>
      </c>
      <c r="AW2184">
        <v>0</v>
      </c>
      <c r="AX2184">
        <v>0</v>
      </c>
      <c r="AY2184">
        <v>70</v>
      </c>
      <c r="BC2184" t="str">
        <f>T("9791166003493")</f>
        <v>9791166003493</v>
      </c>
      <c r="BE2184" t="str">
        <f>T("판타지 웹소설 &gt; 현대 판타지")</f>
        <v>판타지 웹소설 &gt; 현대 판타지</v>
      </c>
    </row>
    <row r="2185" spans="1:57" x14ac:dyDescent="0.3">
      <c r="A2185">
        <v>1525004799</v>
      </c>
      <c r="B2185">
        <v>1525004952</v>
      </c>
      <c r="C2185" t="str">
        <f>T("검산도해 154화")</f>
        <v>검산도해 154화</v>
      </c>
      <c r="D2185" t="str">
        <f>T("154")</f>
        <v>154</v>
      </c>
      <c r="E2185" t="str">
        <f>T("권용찬")</f>
        <v>권용찬</v>
      </c>
      <c r="H2185" t="str">
        <f>T("스토리위즈")</f>
        <v>스토리위즈</v>
      </c>
      <c r="I2185" t="str">
        <f>T("검산도해")</f>
        <v>검산도해</v>
      </c>
      <c r="J2185">
        <v>100</v>
      </c>
      <c r="K2185">
        <v>100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100</v>
      </c>
      <c r="AH2185">
        <v>1</v>
      </c>
      <c r="AI2185">
        <v>0</v>
      </c>
      <c r="AJ2185">
        <v>0</v>
      </c>
      <c r="AK2185">
        <v>0</v>
      </c>
      <c r="AL2185">
        <v>0</v>
      </c>
      <c r="AM2185">
        <v>120</v>
      </c>
      <c r="AN2185">
        <v>-12</v>
      </c>
      <c r="AO2185">
        <v>0</v>
      </c>
      <c r="AQ2185">
        <v>0</v>
      </c>
      <c r="AR2185">
        <v>0</v>
      </c>
      <c r="AS2185">
        <v>120</v>
      </c>
      <c r="AT2185">
        <v>-12</v>
      </c>
      <c r="AU2185">
        <v>0</v>
      </c>
      <c r="AW2185">
        <v>0</v>
      </c>
      <c r="AX2185">
        <v>0</v>
      </c>
      <c r="AY2185">
        <v>75.599999999999994</v>
      </c>
      <c r="BC2185" t="str">
        <f>T("9791159285936")</f>
        <v>9791159285936</v>
      </c>
      <c r="BE2185" t="str">
        <f>T("판타지 웹소설 &gt; 무협 소설")</f>
        <v>판타지 웹소설 &gt; 무협 소설</v>
      </c>
    </row>
    <row r="2186" spans="1:57" x14ac:dyDescent="0.3">
      <c r="A2186">
        <v>1525004030</v>
      </c>
      <c r="B2186">
        <v>1525007041</v>
      </c>
      <c r="C2186" t="str">
        <f>T("회귀의 전설 2부 925화")</f>
        <v>회귀의 전설 2부 925화</v>
      </c>
      <c r="D2186" t="str">
        <f>T("925")</f>
        <v>925</v>
      </c>
      <c r="E2186" t="str">
        <f>T("김광수")</f>
        <v>김광수</v>
      </c>
      <c r="H2186" t="str">
        <f>T("스토리위즈")</f>
        <v>스토리위즈</v>
      </c>
      <c r="I2186" t="str">
        <f>T("회귀의 전설")</f>
        <v>회귀의 전설</v>
      </c>
      <c r="J2186">
        <v>100</v>
      </c>
      <c r="K2186">
        <v>100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100</v>
      </c>
      <c r="AH2186">
        <v>1</v>
      </c>
      <c r="AI2186">
        <v>0</v>
      </c>
      <c r="AJ2186">
        <v>0</v>
      </c>
      <c r="AK2186">
        <v>100</v>
      </c>
      <c r="AL2186">
        <v>0</v>
      </c>
      <c r="AM2186">
        <v>0</v>
      </c>
      <c r="AN2186">
        <v>0</v>
      </c>
      <c r="AO2186">
        <v>0</v>
      </c>
      <c r="AQ2186">
        <v>0</v>
      </c>
      <c r="AR2186">
        <v>0</v>
      </c>
      <c r="AT2186">
        <v>0</v>
      </c>
      <c r="AU2186">
        <v>0</v>
      </c>
      <c r="AW2186">
        <v>0</v>
      </c>
      <c r="AX2186">
        <v>0</v>
      </c>
      <c r="AY2186">
        <v>70</v>
      </c>
      <c r="BC2186" t="str">
        <f>T("9791191102086")</f>
        <v>9791191102086</v>
      </c>
      <c r="BE2186" t="str">
        <f>T("판타지 웹소설 &gt; 현대 판타지")</f>
        <v>판타지 웹소설 &gt; 현대 판타지</v>
      </c>
    </row>
    <row r="2187" spans="1:57" x14ac:dyDescent="0.3">
      <c r="A2187">
        <v>1525008428</v>
      </c>
      <c r="B2187">
        <v>1525008444</v>
      </c>
      <c r="C2187" t="str">
        <f>T("무히비(Muhibbi) 34화")</f>
        <v>무히비(Muhibbi) 34화</v>
      </c>
      <c r="D2187" t="str">
        <f>T("34")</f>
        <v>34</v>
      </c>
      <c r="E2187" t="str">
        <f>T("jooki")</f>
        <v>jooki</v>
      </c>
      <c r="H2187" t="str">
        <f>T("블러쉬")</f>
        <v>블러쉬</v>
      </c>
      <c r="I2187" t="str">
        <f>T("무히비(Muhibbi)")</f>
        <v>무히비(Muhibbi)</v>
      </c>
      <c r="J2187">
        <v>100</v>
      </c>
      <c r="K2187">
        <v>100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100</v>
      </c>
      <c r="AH2187">
        <v>1</v>
      </c>
      <c r="AI2187">
        <v>0</v>
      </c>
      <c r="AJ2187">
        <v>0</v>
      </c>
      <c r="AK2187">
        <v>100</v>
      </c>
      <c r="AL2187">
        <v>0</v>
      </c>
      <c r="AM2187">
        <v>0</v>
      </c>
      <c r="AN2187">
        <v>0</v>
      </c>
      <c r="AO2187">
        <v>0</v>
      </c>
      <c r="AQ2187">
        <v>0</v>
      </c>
      <c r="AR2187">
        <v>0</v>
      </c>
      <c r="AT2187">
        <v>0</v>
      </c>
      <c r="AU2187">
        <v>0</v>
      </c>
      <c r="AW2187">
        <v>0</v>
      </c>
      <c r="AX2187">
        <v>0</v>
      </c>
      <c r="AY2187">
        <v>70</v>
      </c>
      <c r="BC2187" t="str">
        <f>T("9791164896622")</f>
        <v>9791164896622</v>
      </c>
      <c r="BE2187" t="str">
        <f>T("BL 웹소설 &gt; 역사/시대물")</f>
        <v>BL 웹소설 &gt; 역사/시대물</v>
      </c>
    </row>
    <row r="2188" spans="1:57" x14ac:dyDescent="0.3">
      <c r="A2188">
        <v>1525004030</v>
      </c>
      <c r="B2188">
        <v>1525007000</v>
      </c>
      <c r="C2188" t="str">
        <f>T("회귀의 전설 2부 884화")</f>
        <v>회귀의 전설 2부 884화</v>
      </c>
      <c r="D2188" t="str">
        <f>T("884")</f>
        <v>884</v>
      </c>
      <c r="E2188" t="str">
        <f>T("김광수")</f>
        <v>김광수</v>
      </c>
      <c r="H2188" t="str">
        <f>T("스토리위즈")</f>
        <v>스토리위즈</v>
      </c>
      <c r="I2188" t="str">
        <f>T("회귀의 전설")</f>
        <v>회귀의 전설</v>
      </c>
      <c r="J2188">
        <v>100</v>
      </c>
      <c r="K2188">
        <v>100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100</v>
      </c>
      <c r="AH2188">
        <v>1</v>
      </c>
      <c r="AI2188">
        <v>0</v>
      </c>
      <c r="AJ2188">
        <v>0</v>
      </c>
      <c r="AK2188">
        <v>100</v>
      </c>
      <c r="AL2188">
        <v>0</v>
      </c>
      <c r="AM2188">
        <v>0</v>
      </c>
      <c r="AN2188">
        <v>0</v>
      </c>
      <c r="AO2188">
        <v>0</v>
      </c>
      <c r="AQ2188">
        <v>0</v>
      </c>
      <c r="AR2188">
        <v>0</v>
      </c>
      <c r="AT2188">
        <v>0</v>
      </c>
      <c r="AU2188">
        <v>0</v>
      </c>
      <c r="AW2188">
        <v>0</v>
      </c>
      <c r="AX2188">
        <v>0</v>
      </c>
      <c r="AY2188">
        <v>70</v>
      </c>
      <c r="BC2188" t="str">
        <f>T("9791191102086")</f>
        <v>9791191102086</v>
      </c>
      <c r="BE2188" t="str">
        <f>T("판타지 웹소설 &gt; 현대 판타지")</f>
        <v>판타지 웹소설 &gt; 현대 판타지</v>
      </c>
    </row>
    <row r="2189" spans="1:57" x14ac:dyDescent="0.3">
      <c r="A2189">
        <v>1525011523</v>
      </c>
      <c r="B2189">
        <v>1525011401</v>
      </c>
      <c r="C2189" t="str">
        <f>T("남창목가 123화")</f>
        <v>남창목가 123화</v>
      </c>
      <c r="D2189" t="str">
        <f>T("123")</f>
        <v>123</v>
      </c>
      <c r="E2189" t="str">
        <f>T("최재봉")</f>
        <v>최재봉</v>
      </c>
      <c r="H2189" t="str">
        <f>T("에필로그")</f>
        <v>에필로그</v>
      </c>
      <c r="I2189" t="str">
        <f>T("남창목가")</f>
        <v>남창목가</v>
      </c>
      <c r="J2189">
        <v>100</v>
      </c>
      <c r="K2189">
        <v>100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100</v>
      </c>
      <c r="AH2189">
        <v>1</v>
      </c>
      <c r="AI2189">
        <v>0</v>
      </c>
      <c r="AJ2189">
        <v>0</v>
      </c>
      <c r="AK2189">
        <v>100</v>
      </c>
      <c r="AL2189">
        <v>0</v>
      </c>
      <c r="AM2189">
        <v>0</v>
      </c>
      <c r="AN2189">
        <v>0</v>
      </c>
      <c r="AO2189">
        <v>0</v>
      </c>
      <c r="AQ2189">
        <v>0</v>
      </c>
      <c r="AR2189">
        <v>0</v>
      </c>
      <c r="AT2189">
        <v>0</v>
      </c>
      <c r="AU2189">
        <v>0</v>
      </c>
      <c r="AW2189">
        <v>0</v>
      </c>
      <c r="AX2189">
        <v>0</v>
      </c>
      <c r="AY2189">
        <v>70</v>
      </c>
      <c r="BC2189" t="str">
        <f>T("9791164482849")</f>
        <v>9791164482849</v>
      </c>
      <c r="BE2189" t="str">
        <f>T("판타지 웹소설 &gt; 무협 소설")</f>
        <v>판타지 웹소설 &gt; 무협 소설</v>
      </c>
    </row>
    <row r="2190" spans="1:57" x14ac:dyDescent="0.3">
      <c r="A2190">
        <v>1525013020</v>
      </c>
      <c r="B2190">
        <v>1525013082</v>
      </c>
      <c r="C2190" t="str">
        <f>T("악당의 리턴 63화")</f>
        <v>악당의 리턴 63화</v>
      </c>
      <c r="D2190" t="str">
        <f>T("63")</f>
        <v>63</v>
      </c>
      <c r="E2190" t="str">
        <f>T("백범(白帆)")</f>
        <v>백범(白帆)</v>
      </c>
      <c r="H2190" t="str">
        <f>T("에필로그")</f>
        <v>에필로그</v>
      </c>
      <c r="I2190" t="str">
        <f>T("악당의 리턴")</f>
        <v>악당의 리턴</v>
      </c>
      <c r="J2190">
        <v>100</v>
      </c>
      <c r="K2190">
        <v>100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100</v>
      </c>
      <c r="AH2190">
        <v>1</v>
      </c>
      <c r="AI2190">
        <v>0</v>
      </c>
      <c r="AJ2190">
        <v>0</v>
      </c>
      <c r="AK2190">
        <v>100</v>
      </c>
      <c r="AL2190">
        <v>0</v>
      </c>
      <c r="AM2190">
        <v>0</v>
      </c>
      <c r="AN2190">
        <v>0</v>
      </c>
      <c r="AO2190">
        <v>0</v>
      </c>
      <c r="AQ2190">
        <v>0</v>
      </c>
      <c r="AR2190">
        <v>0</v>
      </c>
      <c r="AT2190">
        <v>0</v>
      </c>
      <c r="AU2190">
        <v>0</v>
      </c>
      <c r="AW2190">
        <v>0</v>
      </c>
      <c r="AX2190">
        <v>0</v>
      </c>
      <c r="AY2190">
        <v>70</v>
      </c>
      <c r="BC2190" t="str">
        <f>T("9791196538927")</f>
        <v>9791196538927</v>
      </c>
      <c r="BE2190" t="str">
        <f>T("판타지 웹소설 &gt; 현대 판타지")</f>
        <v>판타지 웹소설 &gt; 현대 판타지</v>
      </c>
    </row>
    <row r="2191" spans="1:57" x14ac:dyDescent="0.3">
      <c r="A2191">
        <v>1525004030</v>
      </c>
      <c r="B2191">
        <v>1525007156</v>
      </c>
      <c r="C2191" t="str">
        <f>T("회귀의 전설 2부 1039화")</f>
        <v>회귀의 전설 2부 1039화</v>
      </c>
      <c r="D2191" t="str">
        <f>T("1039")</f>
        <v>1039</v>
      </c>
      <c r="E2191" t="str">
        <f>T("김광수")</f>
        <v>김광수</v>
      </c>
      <c r="H2191" t="str">
        <f>T("스토리위즈")</f>
        <v>스토리위즈</v>
      </c>
      <c r="I2191" t="str">
        <f>T("회귀의 전설")</f>
        <v>회귀의 전설</v>
      </c>
      <c r="J2191">
        <v>100</v>
      </c>
      <c r="K2191">
        <v>100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100</v>
      </c>
      <c r="AH2191">
        <v>1</v>
      </c>
      <c r="AI2191">
        <v>0</v>
      </c>
      <c r="AJ2191">
        <v>0</v>
      </c>
      <c r="AK2191">
        <v>100</v>
      </c>
      <c r="AL2191">
        <v>0</v>
      </c>
      <c r="AM2191">
        <v>0</v>
      </c>
      <c r="AN2191">
        <v>0</v>
      </c>
      <c r="AO2191">
        <v>0</v>
      </c>
      <c r="AQ2191">
        <v>0</v>
      </c>
      <c r="AR2191">
        <v>0</v>
      </c>
      <c r="AT2191">
        <v>0</v>
      </c>
      <c r="AU2191">
        <v>0</v>
      </c>
      <c r="AW2191">
        <v>0</v>
      </c>
      <c r="AX2191">
        <v>0</v>
      </c>
      <c r="AY2191">
        <v>70</v>
      </c>
      <c r="BC2191" t="str">
        <f>T("9791191102086")</f>
        <v>9791191102086</v>
      </c>
      <c r="BE2191" t="str">
        <f>T("판타지 웹소설 &gt; 현대 판타지")</f>
        <v>판타지 웹소설 &gt; 현대 판타지</v>
      </c>
    </row>
    <row r="2192" spans="1:57" x14ac:dyDescent="0.3">
      <c r="A2192">
        <v>1525008545</v>
      </c>
      <c r="B2192">
        <v>1525008569</v>
      </c>
      <c r="C2192" t="str">
        <f>T("소년연애담 41화")</f>
        <v>소년연애담 41화</v>
      </c>
      <c r="D2192" t="str">
        <f>T("41")</f>
        <v>41</v>
      </c>
      <c r="E2192" t="str">
        <f>T("나나코")</f>
        <v>나나코</v>
      </c>
      <c r="H2192" t="str">
        <f>T("블러쉬")</f>
        <v>블러쉬</v>
      </c>
      <c r="I2192" t="str">
        <f>T("소년연애담")</f>
        <v>소년연애담</v>
      </c>
      <c r="J2192">
        <v>100</v>
      </c>
      <c r="K2192">
        <v>100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100</v>
      </c>
      <c r="AH2192">
        <v>1</v>
      </c>
      <c r="AI2192">
        <v>0</v>
      </c>
      <c r="AJ2192">
        <v>0</v>
      </c>
      <c r="AK2192">
        <v>100</v>
      </c>
      <c r="AL2192">
        <v>0</v>
      </c>
      <c r="AM2192">
        <v>0</v>
      </c>
      <c r="AN2192">
        <v>0</v>
      </c>
      <c r="AO2192">
        <v>0</v>
      </c>
      <c r="AQ2192">
        <v>0</v>
      </c>
      <c r="AR2192">
        <v>0</v>
      </c>
      <c r="AT2192">
        <v>0</v>
      </c>
      <c r="AU2192">
        <v>0</v>
      </c>
      <c r="AW2192">
        <v>0</v>
      </c>
      <c r="AX2192">
        <v>0</v>
      </c>
      <c r="AY2192">
        <v>70</v>
      </c>
      <c r="BA2192" t="str">
        <f>T("0000000000000")</f>
        <v>0000000000000</v>
      </c>
      <c r="BC2192" t="str">
        <f>T("9791164890729")</f>
        <v>9791164890729</v>
      </c>
      <c r="BD2192" t="str">
        <f>T("B12")</f>
        <v>B12</v>
      </c>
      <c r="BE2192" t="str">
        <f>T("BL 웹소설 &gt; 현대물")</f>
        <v>BL 웹소설 &gt; 현대물</v>
      </c>
    </row>
    <row r="2193" spans="1:57" x14ac:dyDescent="0.3">
      <c r="A2193">
        <v>1525012551</v>
      </c>
      <c r="B2193">
        <v>1525012643</v>
      </c>
      <c r="C2193" t="str">
        <f>T("개정판 | 바보가 만드는 멋진 세상 93화")</f>
        <v>개정판 | 바보가 만드는 멋진 세상 93화</v>
      </c>
      <c r="D2193" t="str">
        <f>T("93")</f>
        <v>93</v>
      </c>
      <c r="E2193" t="str">
        <f>T("백범(白帆)")</f>
        <v>백범(白帆)</v>
      </c>
      <c r="H2193" t="str">
        <f>T("에필로그")</f>
        <v>에필로그</v>
      </c>
      <c r="I2193" t="str">
        <f>T("개정판 | 바보가 만드는 멋진 세상")</f>
        <v>개정판 | 바보가 만드는 멋진 세상</v>
      </c>
      <c r="J2193">
        <v>100</v>
      </c>
      <c r="K2193">
        <v>100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100</v>
      </c>
      <c r="AH2193">
        <v>1</v>
      </c>
      <c r="AI2193">
        <v>0</v>
      </c>
      <c r="AJ2193">
        <v>0</v>
      </c>
      <c r="AK2193">
        <v>100</v>
      </c>
      <c r="AL2193">
        <v>0</v>
      </c>
      <c r="AM2193">
        <v>0</v>
      </c>
      <c r="AN2193">
        <v>0</v>
      </c>
      <c r="AO2193">
        <v>0</v>
      </c>
      <c r="AQ2193">
        <v>0</v>
      </c>
      <c r="AR2193">
        <v>0</v>
      </c>
      <c r="AT2193">
        <v>0</v>
      </c>
      <c r="AU2193">
        <v>0</v>
      </c>
      <c r="AW2193">
        <v>0</v>
      </c>
      <c r="AX2193">
        <v>0</v>
      </c>
      <c r="AY2193">
        <v>70</v>
      </c>
      <c r="BC2193" t="str">
        <f>T("9791166003493")</f>
        <v>9791166003493</v>
      </c>
      <c r="BE2193" t="str">
        <f>T("판타지 웹소설 &gt; 현대 판타지")</f>
        <v>판타지 웹소설 &gt; 현대 판타지</v>
      </c>
    </row>
    <row r="2194" spans="1:57" x14ac:dyDescent="0.3">
      <c r="A2194">
        <v>1525012551</v>
      </c>
      <c r="B2194">
        <v>1525012634</v>
      </c>
      <c r="C2194" t="str">
        <f>T("개정판 | 바보가 만드는 멋진 세상 84화")</f>
        <v>개정판 | 바보가 만드는 멋진 세상 84화</v>
      </c>
      <c r="D2194" t="str">
        <f>T("84")</f>
        <v>84</v>
      </c>
      <c r="E2194" t="str">
        <f>T("백범(白帆)")</f>
        <v>백범(白帆)</v>
      </c>
      <c r="H2194" t="str">
        <f>T("에필로그")</f>
        <v>에필로그</v>
      </c>
      <c r="I2194" t="str">
        <f>T("개정판 | 바보가 만드는 멋진 세상")</f>
        <v>개정판 | 바보가 만드는 멋진 세상</v>
      </c>
      <c r="J2194">
        <v>100</v>
      </c>
      <c r="K2194">
        <v>100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100</v>
      </c>
      <c r="AH2194">
        <v>1</v>
      </c>
      <c r="AI2194">
        <v>0</v>
      </c>
      <c r="AJ2194">
        <v>0</v>
      </c>
      <c r="AK2194">
        <v>100</v>
      </c>
      <c r="AL2194">
        <v>0</v>
      </c>
      <c r="AM2194">
        <v>0</v>
      </c>
      <c r="AN2194">
        <v>0</v>
      </c>
      <c r="AO2194">
        <v>0</v>
      </c>
      <c r="AQ2194">
        <v>0</v>
      </c>
      <c r="AR2194">
        <v>0</v>
      </c>
      <c r="AT2194">
        <v>0</v>
      </c>
      <c r="AU2194">
        <v>0</v>
      </c>
      <c r="AW2194">
        <v>0</v>
      </c>
      <c r="AX2194">
        <v>0</v>
      </c>
      <c r="AY2194">
        <v>70</v>
      </c>
      <c r="BC2194" t="str">
        <f>T("9791166003493")</f>
        <v>9791166003493</v>
      </c>
      <c r="BE2194" t="str">
        <f>T("판타지 웹소설 &gt; 현대 판타지")</f>
        <v>판타지 웹소설 &gt; 현대 판타지</v>
      </c>
    </row>
    <row r="2195" spans="1:57" x14ac:dyDescent="0.3">
      <c r="A2195">
        <v>1525004799</v>
      </c>
      <c r="B2195">
        <v>1525004871</v>
      </c>
      <c r="C2195" t="str">
        <f>T("검산도해 73화")</f>
        <v>검산도해 73화</v>
      </c>
      <c r="D2195" t="str">
        <f>T("73")</f>
        <v>73</v>
      </c>
      <c r="E2195" t="str">
        <f>T("권용찬")</f>
        <v>권용찬</v>
      </c>
      <c r="H2195" t="str">
        <f>T("스토리위즈")</f>
        <v>스토리위즈</v>
      </c>
      <c r="I2195" t="str">
        <f>T("검산도해")</f>
        <v>검산도해</v>
      </c>
      <c r="J2195">
        <v>100</v>
      </c>
      <c r="K2195">
        <v>100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100</v>
      </c>
      <c r="AH2195">
        <v>1</v>
      </c>
      <c r="AI2195">
        <v>0</v>
      </c>
      <c r="AJ2195">
        <v>0</v>
      </c>
      <c r="AK2195">
        <v>0</v>
      </c>
      <c r="AL2195">
        <v>0</v>
      </c>
      <c r="AM2195">
        <v>120</v>
      </c>
      <c r="AN2195">
        <v>-12</v>
      </c>
      <c r="AO2195">
        <v>0</v>
      </c>
      <c r="AQ2195">
        <v>0</v>
      </c>
      <c r="AR2195">
        <v>0</v>
      </c>
      <c r="AS2195">
        <v>120</v>
      </c>
      <c r="AT2195">
        <v>-12</v>
      </c>
      <c r="AU2195">
        <v>0</v>
      </c>
      <c r="AW2195">
        <v>0</v>
      </c>
      <c r="AX2195">
        <v>0</v>
      </c>
      <c r="AY2195">
        <v>75.599999999999994</v>
      </c>
      <c r="BC2195" t="str">
        <f>T("9791159285936")</f>
        <v>9791159285936</v>
      </c>
      <c r="BE2195" t="str">
        <f>T("판타지 웹소설 &gt; 무협 소설")</f>
        <v>판타지 웹소설 &gt; 무협 소설</v>
      </c>
    </row>
    <row r="2196" spans="1:57" x14ac:dyDescent="0.3">
      <c r="A2196">
        <v>1525000924</v>
      </c>
      <c r="B2196">
        <v>1525000967</v>
      </c>
      <c r="C2196" t="str">
        <f>T("스피릿 소드 44화")</f>
        <v>스피릿 소드 44화</v>
      </c>
      <c r="D2196" t="str">
        <f>T("44")</f>
        <v>44</v>
      </c>
      <c r="E2196" t="str">
        <f>T("김정률")</f>
        <v>김정률</v>
      </c>
      <c r="H2196" t="str">
        <f>T("스토리위즈")</f>
        <v>스토리위즈</v>
      </c>
      <c r="I2196" t="str">
        <f>T("스피릿 소드")</f>
        <v>스피릿 소드</v>
      </c>
      <c r="J2196">
        <v>100</v>
      </c>
      <c r="K2196">
        <v>100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100</v>
      </c>
      <c r="AH2196">
        <v>1</v>
      </c>
      <c r="AI2196">
        <v>0</v>
      </c>
      <c r="AJ2196">
        <v>0</v>
      </c>
      <c r="AK2196">
        <v>100</v>
      </c>
      <c r="AL2196">
        <v>0</v>
      </c>
      <c r="AM2196">
        <v>0</v>
      </c>
      <c r="AN2196">
        <v>0</v>
      </c>
      <c r="AO2196">
        <v>0</v>
      </c>
      <c r="AQ2196">
        <v>0</v>
      </c>
      <c r="AR2196">
        <v>0</v>
      </c>
      <c r="AT2196">
        <v>0</v>
      </c>
      <c r="AU2196">
        <v>0</v>
      </c>
      <c r="AW2196">
        <v>0</v>
      </c>
      <c r="AX2196">
        <v>0</v>
      </c>
      <c r="AY2196">
        <v>70</v>
      </c>
      <c r="BA2196" t="str">
        <f>T("9791159282713")</f>
        <v>9791159282713</v>
      </c>
      <c r="BC2196" t="str">
        <f>T("9791159282713")</f>
        <v>9791159282713</v>
      </c>
      <c r="BE2196" t="str">
        <f>T("판타지 웹소설 &gt; 정통 판타지")</f>
        <v>판타지 웹소설 &gt; 정통 판타지</v>
      </c>
    </row>
    <row r="2197" spans="1:57" x14ac:dyDescent="0.3">
      <c r="A2197">
        <v>1525004030</v>
      </c>
      <c r="B2197">
        <v>1525004529</v>
      </c>
      <c r="C2197" t="str">
        <f>T("회귀의 전설 506화")</f>
        <v>회귀의 전설 506화</v>
      </c>
      <c r="D2197" t="str">
        <f>T("506")</f>
        <v>506</v>
      </c>
      <c r="E2197" t="str">
        <f>T("김광수")</f>
        <v>김광수</v>
      </c>
      <c r="H2197" t="str">
        <f>T("스토리위즈")</f>
        <v>스토리위즈</v>
      </c>
      <c r="I2197" t="str">
        <f>T("회귀의 전설")</f>
        <v>회귀의 전설</v>
      </c>
      <c r="J2197">
        <v>100</v>
      </c>
      <c r="K2197">
        <v>100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100</v>
      </c>
      <c r="AH2197">
        <v>1</v>
      </c>
      <c r="AI2197">
        <v>0</v>
      </c>
      <c r="AJ2197">
        <v>0</v>
      </c>
      <c r="AK2197">
        <v>100</v>
      </c>
      <c r="AL2197">
        <v>0</v>
      </c>
      <c r="AM2197">
        <v>0</v>
      </c>
      <c r="AN2197">
        <v>0</v>
      </c>
      <c r="AO2197">
        <v>0</v>
      </c>
      <c r="AQ2197">
        <v>0</v>
      </c>
      <c r="AR2197">
        <v>0</v>
      </c>
      <c r="AT2197">
        <v>0</v>
      </c>
      <c r="AU2197">
        <v>0</v>
      </c>
      <c r="AW2197">
        <v>0</v>
      </c>
      <c r="AX2197">
        <v>0</v>
      </c>
      <c r="AY2197">
        <v>70</v>
      </c>
      <c r="BC2197" t="str">
        <f>T("9788997946006")</f>
        <v>9788997946006</v>
      </c>
      <c r="BE2197" t="str">
        <f>T("판타지 웹소설 &gt; 현대 판타지")</f>
        <v>판타지 웹소설 &gt; 현대 판타지</v>
      </c>
    </row>
    <row r="2198" spans="1:57" x14ac:dyDescent="0.3">
      <c r="A2198">
        <v>1525004030</v>
      </c>
      <c r="B2198">
        <v>1525006701</v>
      </c>
      <c r="C2198" t="str">
        <f>T("회귀의 전설 2부 584화")</f>
        <v>회귀의 전설 2부 584화</v>
      </c>
      <c r="D2198" t="str">
        <f>T("584")</f>
        <v>584</v>
      </c>
      <c r="E2198" t="str">
        <f>T("김광수")</f>
        <v>김광수</v>
      </c>
      <c r="H2198" t="str">
        <f>T("스토리위즈")</f>
        <v>스토리위즈</v>
      </c>
      <c r="I2198" t="str">
        <f>T("회귀의 전설")</f>
        <v>회귀의 전설</v>
      </c>
      <c r="J2198">
        <v>100</v>
      </c>
      <c r="K2198">
        <v>100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100</v>
      </c>
      <c r="AH2198">
        <v>1</v>
      </c>
      <c r="AI2198">
        <v>0</v>
      </c>
      <c r="AJ2198">
        <v>0</v>
      </c>
      <c r="AK2198">
        <v>100</v>
      </c>
      <c r="AL2198">
        <v>0</v>
      </c>
      <c r="AM2198">
        <v>0</v>
      </c>
      <c r="AN2198">
        <v>0</v>
      </c>
      <c r="AO2198">
        <v>0</v>
      </c>
      <c r="AQ2198">
        <v>0</v>
      </c>
      <c r="AR2198">
        <v>0</v>
      </c>
      <c r="AT2198">
        <v>0</v>
      </c>
      <c r="AU2198">
        <v>0</v>
      </c>
      <c r="AW2198">
        <v>0</v>
      </c>
      <c r="AX2198">
        <v>0</v>
      </c>
      <c r="AY2198">
        <v>70</v>
      </c>
      <c r="BC2198" t="str">
        <f>T("9791191102086")</f>
        <v>9791191102086</v>
      </c>
      <c r="BE2198" t="str">
        <f>T("판타지 웹소설 &gt; 현대 판타지")</f>
        <v>판타지 웹소설 &gt; 현대 판타지</v>
      </c>
    </row>
    <row r="2199" spans="1:57" x14ac:dyDescent="0.3">
      <c r="A2199">
        <v>1525014780</v>
      </c>
      <c r="B2199">
        <v>1525014929</v>
      </c>
      <c r="C2199" t="str">
        <f>T("크랭키 걸즈 150화")</f>
        <v>크랭키 걸즈 150화</v>
      </c>
      <c r="D2199" t="str">
        <f>T("150")</f>
        <v>150</v>
      </c>
      <c r="E2199" t="str">
        <f>T("곽도우")</f>
        <v>곽도우</v>
      </c>
      <c r="H2199" t="str">
        <f>T("스토리아크")</f>
        <v>스토리아크</v>
      </c>
      <c r="I2199" t="str">
        <f>T("크랭키 걸즈")</f>
        <v>크랭키 걸즈</v>
      </c>
      <c r="J2199">
        <v>100</v>
      </c>
      <c r="K2199">
        <v>100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100</v>
      </c>
      <c r="AH2199">
        <v>1</v>
      </c>
      <c r="AI2199">
        <v>0</v>
      </c>
      <c r="AJ2199">
        <v>0</v>
      </c>
      <c r="AK2199">
        <v>100</v>
      </c>
      <c r="AL2199">
        <v>0</v>
      </c>
      <c r="AM2199">
        <v>0</v>
      </c>
      <c r="AN2199">
        <v>0</v>
      </c>
      <c r="AO2199">
        <v>0</v>
      </c>
      <c r="AQ2199">
        <v>0</v>
      </c>
      <c r="AR2199">
        <v>0</v>
      </c>
      <c r="AT2199">
        <v>0</v>
      </c>
      <c r="AU2199">
        <v>0</v>
      </c>
      <c r="AW2199">
        <v>0</v>
      </c>
      <c r="AX2199">
        <v>0</v>
      </c>
      <c r="AY2199">
        <v>70</v>
      </c>
      <c r="BC2199" t="str">
        <f>T("9791191039276")</f>
        <v>9791191039276</v>
      </c>
      <c r="BE2199" t="str">
        <f>T("판타지 웹소설 &gt; 현대 판타지")</f>
        <v>판타지 웹소설 &gt; 현대 판타지</v>
      </c>
    </row>
    <row r="2200" spans="1:57" x14ac:dyDescent="0.3">
      <c r="A2200">
        <v>1525008545</v>
      </c>
      <c r="B2200">
        <v>1525008586</v>
      </c>
      <c r="C2200" t="str">
        <f>T("소년연애담 57화")</f>
        <v>소년연애담 57화</v>
      </c>
      <c r="D2200" t="str">
        <f>T("57")</f>
        <v>57</v>
      </c>
      <c r="E2200" t="str">
        <f>T("나나코")</f>
        <v>나나코</v>
      </c>
      <c r="H2200" t="str">
        <f>T("블러쉬")</f>
        <v>블러쉬</v>
      </c>
      <c r="I2200" t="str">
        <f>T("소년연애담")</f>
        <v>소년연애담</v>
      </c>
      <c r="J2200">
        <v>100</v>
      </c>
      <c r="K2200">
        <v>100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100</v>
      </c>
      <c r="AH2200">
        <v>1</v>
      </c>
      <c r="AI2200">
        <v>0</v>
      </c>
      <c r="AJ2200">
        <v>0</v>
      </c>
      <c r="AK2200">
        <v>100</v>
      </c>
      <c r="AL2200">
        <v>0</v>
      </c>
      <c r="AM2200">
        <v>0</v>
      </c>
      <c r="AN2200">
        <v>0</v>
      </c>
      <c r="AO2200">
        <v>0</v>
      </c>
      <c r="AQ2200">
        <v>0</v>
      </c>
      <c r="AR2200">
        <v>0</v>
      </c>
      <c r="AT2200">
        <v>0</v>
      </c>
      <c r="AU2200">
        <v>0</v>
      </c>
      <c r="AW2200">
        <v>0</v>
      </c>
      <c r="AX2200">
        <v>0</v>
      </c>
      <c r="AY2200">
        <v>70</v>
      </c>
      <c r="BA2200" t="str">
        <f>T("0000000000000")</f>
        <v>0000000000000</v>
      </c>
      <c r="BC2200" t="str">
        <f>T("9791164890729")</f>
        <v>9791164890729</v>
      </c>
      <c r="BD2200" t="str">
        <f>T("B12")</f>
        <v>B12</v>
      </c>
      <c r="BE2200" t="str">
        <f>T("BL 웹소설 &gt; 현대물")</f>
        <v>BL 웹소설 &gt; 현대물</v>
      </c>
    </row>
    <row r="2201" spans="1:57" x14ac:dyDescent="0.3">
      <c r="A2201">
        <v>1525012551</v>
      </c>
      <c r="B2201">
        <v>1525012675</v>
      </c>
      <c r="C2201" t="str">
        <f>T("개정판 | 바보가 만드는 멋진 세상 125화")</f>
        <v>개정판 | 바보가 만드는 멋진 세상 125화</v>
      </c>
      <c r="D2201" t="str">
        <f>T("125")</f>
        <v>125</v>
      </c>
      <c r="E2201" t="str">
        <f>T("백범(白帆)")</f>
        <v>백범(白帆)</v>
      </c>
      <c r="H2201" t="str">
        <f>T("에필로그")</f>
        <v>에필로그</v>
      </c>
      <c r="I2201" t="str">
        <f>T("개정판 | 바보가 만드는 멋진 세상")</f>
        <v>개정판 | 바보가 만드는 멋진 세상</v>
      </c>
      <c r="J2201">
        <v>100</v>
      </c>
      <c r="K2201">
        <v>100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100</v>
      </c>
      <c r="AH2201">
        <v>1</v>
      </c>
      <c r="AI2201">
        <v>0</v>
      </c>
      <c r="AJ2201">
        <v>0</v>
      </c>
      <c r="AK2201">
        <v>100</v>
      </c>
      <c r="AL2201">
        <v>0</v>
      </c>
      <c r="AM2201">
        <v>0</v>
      </c>
      <c r="AN2201">
        <v>0</v>
      </c>
      <c r="AO2201">
        <v>0</v>
      </c>
      <c r="AQ2201">
        <v>0</v>
      </c>
      <c r="AR2201">
        <v>0</v>
      </c>
      <c r="AT2201">
        <v>0</v>
      </c>
      <c r="AU2201">
        <v>0</v>
      </c>
      <c r="AW2201">
        <v>0</v>
      </c>
      <c r="AX2201">
        <v>0</v>
      </c>
      <c r="AY2201">
        <v>70</v>
      </c>
      <c r="BC2201" t="str">
        <f>T("9791166003493")</f>
        <v>9791166003493</v>
      </c>
      <c r="BE2201" t="str">
        <f>T("판타지 웹소설 &gt; 현대 판타지")</f>
        <v>판타지 웹소설 &gt; 현대 판타지</v>
      </c>
    </row>
    <row r="2202" spans="1:57" x14ac:dyDescent="0.3">
      <c r="A2202">
        <v>1525004799</v>
      </c>
      <c r="B2202">
        <v>1525004846</v>
      </c>
      <c r="C2202" t="str">
        <f>T("검산도해 48화")</f>
        <v>검산도해 48화</v>
      </c>
      <c r="D2202" t="str">
        <f>T("48")</f>
        <v>48</v>
      </c>
      <c r="E2202" t="str">
        <f>T("권용찬")</f>
        <v>권용찬</v>
      </c>
      <c r="H2202" t="str">
        <f>T("스토리위즈")</f>
        <v>스토리위즈</v>
      </c>
      <c r="I2202" t="str">
        <f>T("검산도해")</f>
        <v>검산도해</v>
      </c>
      <c r="J2202">
        <v>100</v>
      </c>
      <c r="K2202">
        <v>100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100</v>
      </c>
      <c r="AH2202">
        <v>1</v>
      </c>
      <c r="AI2202">
        <v>0</v>
      </c>
      <c r="AJ2202">
        <v>0</v>
      </c>
      <c r="AK2202">
        <v>0</v>
      </c>
      <c r="AL2202">
        <v>0</v>
      </c>
      <c r="AM2202">
        <v>120</v>
      </c>
      <c r="AN2202">
        <v>-12</v>
      </c>
      <c r="AO2202">
        <v>0</v>
      </c>
      <c r="AQ2202">
        <v>0</v>
      </c>
      <c r="AR2202">
        <v>0</v>
      </c>
      <c r="AS2202">
        <v>120</v>
      </c>
      <c r="AT2202">
        <v>-12</v>
      </c>
      <c r="AU2202">
        <v>0</v>
      </c>
      <c r="AW2202">
        <v>0</v>
      </c>
      <c r="AX2202">
        <v>0</v>
      </c>
      <c r="AY2202">
        <v>75.599999999999994</v>
      </c>
      <c r="BC2202" t="str">
        <f>T("9791159285936")</f>
        <v>9791159285936</v>
      </c>
      <c r="BE2202" t="str">
        <f>T("판타지 웹소설 &gt; 무협 소설")</f>
        <v>판타지 웹소설 &gt; 무협 소설</v>
      </c>
    </row>
    <row r="2203" spans="1:57" x14ac:dyDescent="0.3">
      <c r="A2203">
        <v>1525004799</v>
      </c>
      <c r="B2203">
        <v>1525004903</v>
      </c>
      <c r="C2203" t="str">
        <f>T("검산도해 105화")</f>
        <v>검산도해 105화</v>
      </c>
      <c r="D2203" t="str">
        <f>T("105")</f>
        <v>105</v>
      </c>
      <c r="E2203" t="str">
        <f>T("권용찬")</f>
        <v>권용찬</v>
      </c>
      <c r="H2203" t="str">
        <f>T("스토리위즈")</f>
        <v>스토리위즈</v>
      </c>
      <c r="I2203" t="str">
        <f>T("검산도해")</f>
        <v>검산도해</v>
      </c>
      <c r="J2203">
        <v>100</v>
      </c>
      <c r="K2203">
        <v>100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100</v>
      </c>
      <c r="AH2203">
        <v>1</v>
      </c>
      <c r="AI2203">
        <v>0</v>
      </c>
      <c r="AJ2203">
        <v>0</v>
      </c>
      <c r="AK2203">
        <v>0</v>
      </c>
      <c r="AL2203">
        <v>0</v>
      </c>
      <c r="AM2203">
        <v>120</v>
      </c>
      <c r="AN2203">
        <v>-12</v>
      </c>
      <c r="AO2203">
        <v>0</v>
      </c>
      <c r="AQ2203">
        <v>0</v>
      </c>
      <c r="AR2203">
        <v>0</v>
      </c>
      <c r="AS2203">
        <v>120</v>
      </c>
      <c r="AT2203">
        <v>-12</v>
      </c>
      <c r="AU2203">
        <v>0</v>
      </c>
      <c r="AW2203">
        <v>0</v>
      </c>
      <c r="AX2203">
        <v>0</v>
      </c>
      <c r="AY2203">
        <v>75.599999999999994</v>
      </c>
      <c r="BC2203" t="str">
        <f>T("9791159285936")</f>
        <v>9791159285936</v>
      </c>
      <c r="BE2203" t="str">
        <f>T("판타지 웹소설 &gt; 무협 소설")</f>
        <v>판타지 웹소설 &gt; 무협 소설</v>
      </c>
    </row>
    <row r="2204" spans="1:57" x14ac:dyDescent="0.3">
      <c r="A2204">
        <v>1525004030</v>
      </c>
      <c r="B2204">
        <v>1525007090</v>
      </c>
      <c r="C2204" t="str">
        <f>T("회귀의 전설 2부 974화")</f>
        <v>회귀의 전설 2부 974화</v>
      </c>
      <c r="D2204" t="str">
        <f>T("974")</f>
        <v>974</v>
      </c>
      <c r="E2204" t="str">
        <f>T("김광수")</f>
        <v>김광수</v>
      </c>
      <c r="H2204" t="str">
        <f>T("스토리위즈")</f>
        <v>스토리위즈</v>
      </c>
      <c r="I2204" t="str">
        <f>T("회귀의 전설")</f>
        <v>회귀의 전설</v>
      </c>
      <c r="J2204">
        <v>100</v>
      </c>
      <c r="K2204">
        <v>100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100</v>
      </c>
      <c r="AH2204">
        <v>1</v>
      </c>
      <c r="AI2204">
        <v>0</v>
      </c>
      <c r="AJ2204">
        <v>0</v>
      </c>
      <c r="AK2204">
        <v>100</v>
      </c>
      <c r="AL2204">
        <v>0</v>
      </c>
      <c r="AM2204">
        <v>0</v>
      </c>
      <c r="AN2204">
        <v>0</v>
      </c>
      <c r="AO2204">
        <v>0</v>
      </c>
      <c r="AQ2204">
        <v>0</v>
      </c>
      <c r="AR2204">
        <v>0</v>
      </c>
      <c r="AT2204">
        <v>0</v>
      </c>
      <c r="AU2204">
        <v>0</v>
      </c>
      <c r="AW2204">
        <v>0</v>
      </c>
      <c r="AX2204">
        <v>0</v>
      </c>
      <c r="AY2204">
        <v>70</v>
      </c>
      <c r="BC2204" t="str">
        <f>T("9791191102086")</f>
        <v>9791191102086</v>
      </c>
      <c r="BE2204" t="str">
        <f>T("판타지 웹소설 &gt; 현대 판타지")</f>
        <v>판타지 웹소설 &gt; 현대 판타지</v>
      </c>
    </row>
    <row r="2205" spans="1:57" x14ac:dyDescent="0.3">
      <c r="A2205">
        <v>1525002125</v>
      </c>
      <c r="B2205">
        <v>1525002157</v>
      </c>
      <c r="C2205" t="str">
        <f>T("신을 죽이러 갑니다 33화")</f>
        <v>신을 죽이러 갑니다 33화</v>
      </c>
      <c r="D2205" t="str">
        <f>T("33")</f>
        <v>33</v>
      </c>
      <c r="E2205" t="str">
        <f>T("독고진")</f>
        <v>독고진</v>
      </c>
      <c r="H2205" t="str">
        <f>T("스토리위즈")</f>
        <v>스토리위즈</v>
      </c>
      <c r="I2205" t="str">
        <f>T("신을 죽이러 갑니다")</f>
        <v>신을 죽이러 갑니다</v>
      </c>
      <c r="J2205">
        <v>100</v>
      </c>
      <c r="K2205">
        <v>100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100</v>
      </c>
      <c r="AH2205">
        <v>1</v>
      </c>
      <c r="AI2205">
        <v>0</v>
      </c>
      <c r="AJ2205">
        <v>0</v>
      </c>
      <c r="AK2205">
        <v>0</v>
      </c>
      <c r="AL2205">
        <v>0</v>
      </c>
      <c r="AM2205">
        <v>120</v>
      </c>
      <c r="AN2205">
        <v>-36</v>
      </c>
      <c r="AO2205">
        <v>0</v>
      </c>
      <c r="AQ2205">
        <v>0</v>
      </c>
      <c r="AR2205">
        <v>0</v>
      </c>
      <c r="AS2205">
        <v>120</v>
      </c>
      <c r="AT2205">
        <v>-36</v>
      </c>
      <c r="AU2205">
        <v>0</v>
      </c>
      <c r="AW2205">
        <v>0</v>
      </c>
      <c r="AX2205">
        <v>0</v>
      </c>
      <c r="AY2205">
        <v>58.8</v>
      </c>
      <c r="BC2205" t="str">
        <f>T("9791159285806")</f>
        <v>9791159285806</v>
      </c>
      <c r="BE2205" t="str">
        <f>T("판타지 웹소설 &gt; 퓨전 판타지")</f>
        <v>판타지 웹소설 &gt; 퓨전 판타지</v>
      </c>
    </row>
    <row r="2206" spans="1:57" x14ac:dyDescent="0.3">
      <c r="A2206">
        <v>1525002864</v>
      </c>
      <c r="B2206">
        <v>1525002913</v>
      </c>
      <c r="C2206" t="str">
        <f>T("소드마스터의 환생 50화")</f>
        <v>소드마스터의 환생 50화</v>
      </c>
      <c r="D2206" t="str">
        <f>T("50")</f>
        <v>50</v>
      </c>
      <c r="E2206" t="str">
        <f>T("파란영")</f>
        <v>파란영</v>
      </c>
      <c r="H2206" t="str">
        <f>T("스토리위즈")</f>
        <v>스토리위즈</v>
      </c>
      <c r="I2206" t="str">
        <f>T("소드마스터의 환생")</f>
        <v>소드마스터의 환생</v>
      </c>
      <c r="J2206">
        <v>100</v>
      </c>
      <c r="K2206">
        <v>100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100</v>
      </c>
      <c r="AH2206">
        <v>1</v>
      </c>
      <c r="AI2206">
        <v>0</v>
      </c>
      <c r="AJ2206">
        <v>0</v>
      </c>
      <c r="AK2206">
        <v>100</v>
      </c>
      <c r="AL2206">
        <v>0</v>
      </c>
      <c r="AM2206">
        <v>0</v>
      </c>
      <c r="AN2206">
        <v>0</v>
      </c>
      <c r="AO2206">
        <v>0</v>
      </c>
      <c r="AQ2206">
        <v>0</v>
      </c>
      <c r="AR2206">
        <v>0</v>
      </c>
      <c r="AT2206">
        <v>0</v>
      </c>
      <c r="AU2206">
        <v>0</v>
      </c>
      <c r="AW2206">
        <v>0</v>
      </c>
      <c r="AX2206">
        <v>0</v>
      </c>
      <c r="AY2206">
        <v>70</v>
      </c>
      <c r="BC2206" t="str">
        <f>T("9791159287527")</f>
        <v>9791159287527</v>
      </c>
      <c r="BE2206" t="str">
        <f>T("판타지 웹소설 &gt; 정통 판타지")</f>
        <v>판타지 웹소설 &gt; 정통 판타지</v>
      </c>
    </row>
    <row r="2207" spans="1:57" x14ac:dyDescent="0.3">
      <c r="A2207">
        <v>1525013020</v>
      </c>
      <c r="B2207">
        <v>1525013131</v>
      </c>
      <c r="C2207" t="str">
        <f>T("악당의 리턴 112화")</f>
        <v>악당의 리턴 112화</v>
      </c>
      <c r="D2207" t="str">
        <f>T("112")</f>
        <v>112</v>
      </c>
      <c r="E2207" t="str">
        <f>T("백범(白帆)")</f>
        <v>백범(白帆)</v>
      </c>
      <c r="H2207" t="str">
        <f>T("에필로그")</f>
        <v>에필로그</v>
      </c>
      <c r="I2207" t="str">
        <f>T("악당의 리턴")</f>
        <v>악당의 리턴</v>
      </c>
      <c r="J2207">
        <v>100</v>
      </c>
      <c r="K2207">
        <v>100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100</v>
      </c>
      <c r="AH2207">
        <v>1</v>
      </c>
      <c r="AI2207">
        <v>0</v>
      </c>
      <c r="AJ2207">
        <v>0</v>
      </c>
      <c r="AK2207">
        <v>100</v>
      </c>
      <c r="AL2207">
        <v>0</v>
      </c>
      <c r="AM2207">
        <v>0</v>
      </c>
      <c r="AN2207">
        <v>0</v>
      </c>
      <c r="AO2207">
        <v>0</v>
      </c>
      <c r="AQ2207">
        <v>0</v>
      </c>
      <c r="AR2207">
        <v>0</v>
      </c>
      <c r="AT2207">
        <v>0</v>
      </c>
      <c r="AU2207">
        <v>0</v>
      </c>
      <c r="AW2207">
        <v>0</v>
      </c>
      <c r="AX2207">
        <v>0</v>
      </c>
      <c r="AY2207">
        <v>70</v>
      </c>
      <c r="BC2207" t="str">
        <f>T("9791196538927")</f>
        <v>9791196538927</v>
      </c>
      <c r="BE2207" t="str">
        <f>T("판타지 웹소설 &gt; 현대 판타지")</f>
        <v>판타지 웹소설 &gt; 현대 판타지</v>
      </c>
    </row>
    <row r="2208" spans="1:57" x14ac:dyDescent="0.3">
      <c r="A2208">
        <v>1525008717</v>
      </c>
      <c r="B2208">
        <v>1525008756</v>
      </c>
      <c r="C2208" t="str">
        <f>T("음양상열지사 55화")</f>
        <v>음양상열지사 55화</v>
      </c>
      <c r="D2208" t="str">
        <f>T("55")</f>
        <v>55</v>
      </c>
      <c r="E2208" t="str">
        <f>T("이염")</f>
        <v>이염</v>
      </c>
      <c r="H2208" t="str">
        <f>T("블러쉬")</f>
        <v>블러쉬</v>
      </c>
      <c r="I2208" t="str">
        <f>T("음양상열지사")</f>
        <v>음양상열지사</v>
      </c>
      <c r="J2208">
        <v>100</v>
      </c>
      <c r="K2208">
        <v>100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100</v>
      </c>
      <c r="AH2208">
        <v>1</v>
      </c>
      <c r="AI2208">
        <v>0</v>
      </c>
      <c r="AJ2208">
        <v>0</v>
      </c>
      <c r="AK2208">
        <v>100</v>
      </c>
      <c r="AL2208">
        <v>0</v>
      </c>
      <c r="AM2208">
        <v>0</v>
      </c>
      <c r="AN2208">
        <v>0</v>
      </c>
      <c r="AO2208">
        <v>0</v>
      </c>
      <c r="AQ2208">
        <v>0</v>
      </c>
      <c r="AR2208">
        <v>0</v>
      </c>
      <c r="AT2208">
        <v>0</v>
      </c>
      <c r="AU2208">
        <v>0</v>
      </c>
      <c r="AW2208">
        <v>0</v>
      </c>
      <c r="AX2208">
        <v>0</v>
      </c>
      <c r="AY2208">
        <v>70</v>
      </c>
      <c r="BA2208" t="str">
        <f>T("0000000000000")</f>
        <v>0000000000000</v>
      </c>
      <c r="BC2208" t="str">
        <f>T("9791164896639")</f>
        <v>9791164896639</v>
      </c>
      <c r="BD2208" t="str">
        <f>T("B10")</f>
        <v>B10</v>
      </c>
      <c r="BE2208" t="str">
        <f>T("BL 웹소설 &gt; 역사/시대물")</f>
        <v>BL 웹소설 &gt; 역사/시대물</v>
      </c>
    </row>
    <row r="2209" spans="1:57" x14ac:dyDescent="0.3">
      <c r="A2209">
        <v>1525013020</v>
      </c>
      <c r="B2209">
        <v>1525013049</v>
      </c>
      <c r="C2209" t="str">
        <f>T("악당의 리턴 30화")</f>
        <v>악당의 리턴 30화</v>
      </c>
      <c r="D2209" t="str">
        <f>T("30")</f>
        <v>30</v>
      </c>
      <c r="E2209" t="str">
        <f>T("백범(白帆)")</f>
        <v>백범(白帆)</v>
      </c>
      <c r="H2209" t="str">
        <f>T("에필로그")</f>
        <v>에필로그</v>
      </c>
      <c r="I2209" t="str">
        <f>T("악당의 리턴")</f>
        <v>악당의 리턴</v>
      </c>
      <c r="J2209">
        <v>100</v>
      </c>
      <c r="K2209">
        <v>100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100</v>
      </c>
      <c r="AH2209">
        <v>1</v>
      </c>
      <c r="AI2209">
        <v>0</v>
      </c>
      <c r="AJ2209">
        <v>0</v>
      </c>
      <c r="AK2209">
        <v>100</v>
      </c>
      <c r="AL2209">
        <v>0</v>
      </c>
      <c r="AM2209">
        <v>0</v>
      </c>
      <c r="AN2209">
        <v>0</v>
      </c>
      <c r="AO2209">
        <v>0</v>
      </c>
      <c r="AQ2209">
        <v>0</v>
      </c>
      <c r="AR2209">
        <v>0</v>
      </c>
      <c r="AT2209">
        <v>0</v>
      </c>
      <c r="AU2209">
        <v>0</v>
      </c>
      <c r="AW2209">
        <v>0</v>
      </c>
      <c r="AX2209">
        <v>0</v>
      </c>
      <c r="AY2209">
        <v>70</v>
      </c>
      <c r="BC2209" t="str">
        <f>T("9791196538927")</f>
        <v>9791196538927</v>
      </c>
      <c r="BE2209" t="str">
        <f>T("판타지 웹소설 &gt; 현대 판타지")</f>
        <v>판타지 웹소설 &gt; 현대 판타지</v>
      </c>
    </row>
    <row r="2210" spans="1:57" x14ac:dyDescent="0.3">
      <c r="A2210">
        <v>1525002864</v>
      </c>
      <c r="B2210">
        <v>1525002902</v>
      </c>
      <c r="C2210" t="str">
        <f>T("소드마스터의 환생 39화")</f>
        <v>소드마스터의 환생 39화</v>
      </c>
      <c r="D2210" t="str">
        <f>T("39")</f>
        <v>39</v>
      </c>
      <c r="E2210" t="str">
        <f>T("파란영")</f>
        <v>파란영</v>
      </c>
      <c r="H2210" t="str">
        <f>T("스토리위즈")</f>
        <v>스토리위즈</v>
      </c>
      <c r="I2210" t="str">
        <f>T("소드마스터의 환생")</f>
        <v>소드마스터의 환생</v>
      </c>
      <c r="J2210">
        <v>100</v>
      </c>
      <c r="K2210">
        <v>100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100</v>
      </c>
      <c r="AH2210">
        <v>1</v>
      </c>
      <c r="AI2210">
        <v>0</v>
      </c>
      <c r="AJ2210">
        <v>0</v>
      </c>
      <c r="AK2210">
        <v>100</v>
      </c>
      <c r="AL2210">
        <v>0</v>
      </c>
      <c r="AM2210">
        <v>0</v>
      </c>
      <c r="AN2210">
        <v>0</v>
      </c>
      <c r="AO2210">
        <v>0</v>
      </c>
      <c r="AQ2210">
        <v>0</v>
      </c>
      <c r="AR2210">
        <v>0</v>
      </c>
      <c r="AT2210">
        <v>0</v>
      </c>
      <c r="AU2210">
        <v>0</v>
      </c>
      <c r="AW2210">
        <v>0</v>
      </c>
      <c r="AX2210">
        <v>0</v>
      </c>
      <c r="AY2210">
        <v>70</v>
      </c>
      <c r="BC2210" t="str">
        <f>T("9791159287527")</f>
        <v>9791159287527</v>
      </c>
      <c r="BE2210" t="str">
        <f>T("판타지 웹소설 &gt; 정통 판타지")</f>
        <v>판타지 웹소설 &gt; 정통 판타지</v>
      </c>
    </row>
    <row r="2211" spans="1:57" x14ac:dyDescent="0.3">
      <c r="A2211">
        <v>1525013020</v>
      </c>
      <c r="B2211">
        <v>1525013120</v>
      </c>
      <c r="C2211" t="str">
        <f>T("악당의 리턴 101화")</f>
        <v>악당의 리턴 101화</v>
      </c>
      <c r="D2211" t="str">
        <f>T("101")</f>
        <v>101</v>
      </c>
      <c r="E2211" t="str">
        <f>T("백범(白帆)")</f>
        <v>백범(白帆)</v>
      </c>
      <c r="H2211" t="str">
        <f>T("에필로그")</f>
        <v>에필로그</v>
      </c>
      <c r="I2211" t="str">
        <f>T("악당의 리턴")</f>
        <v>악당의 리턴</v>
      </c>
      <c r="J2211">
        <v>100</v>
      </c>
      <c r="K2211">
        <v>100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100</v>
      </c>
      <c r="AH2211">
        <v>1</v>
      </c>
      <c r="AI2211">
        <v>0</v>
      </c>
      <c r="AJ2211">
        <v>0</v>
      </c>
      <c r="AK2211">
        <v>100</v>
      </c>
      <c r="AL2211">
        <v>0</v>
      </c>
      <c r="AM2211">
        <v>0</v>
      </c>
      <c r="AN2211">
        <v>0</v>
      </c>
      <c r="AO2211">
        <v>0</v>
      </c>
      <c r="AQ2211">
        <v>0</v>
      </c>
      <c r="AR2211">
        <v>0</v>
      </c>
      <c r="AT2211">
        <v>0</v>
      </c>
      <c r="AU2211">
        <v>0</v>
      </c>
      <c r="AW2211">
        <v>0</v>
      </c>
      <c r="AX2211">
        <v>0</v>
      </c>
      <c r="AY2211">
        <v>70</v>
      </c>
      <c r="BC2211" t="str">
        <f>T("9791196538927")</f>
        <v>9791196538927</v>
      </c>
      <c r="BE2211" t="str">
        <f>T("판타지 웹소설 &gt; 현대 판타지")</f>
        <v>판타지 웹소설 &gt; 현대 판타지</v>
      </c>
    </row>
    <row r="2212" spans="1:57" x14ac:dyDescent="0.3">
      <c r="A2212">
        <v>1525008717</v>
      </c>
      <c r="B2212">
        <v>1525008705</v>
      </c>
      <c r="C2212" t="str">
        <f>T("음양상열지사 117화")</f>
        <v>음양상열지사 117화</v>
      </c>
      <c r="D2212" t="str">
        <f>T("117")</f>
        <v>117</v>
      </c>
      <c r="E2212" t="str">
        <f>T("이염")</f>
        <v>이염</v>
      </c>
      <c r="H2212" t="str">
        <f>T("블러쉬")</f>
        <v>블러쉬</v>
      </c>
      <c r="I2212" t="str">
        <f>T("음양상열지사")</f>
        <v>음양상열지사</v>
      </c>
      <c r="J2212">
        <v>100</v>
      </c>
      <c r="K2212">
        <v>100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100</v>
      </c>
      <c r="AH2212">
        <v>1</v>
      </c>
      <c r="AI2212">
        <v>0</v>
      </c>
      <c r="AJ2212">
        <v>0</v>
      </c>
      <c r="AK2212">
        <v>100</v>
      </c>
      <c r="AL2212">
        <v>0</v>
      </c>
      <c r="AM2212">
        <v>0</v>
      </c>
      <c r="AN2212">
        <v>0</v>
      </c>
      <c r="AO2212">
        <v>0</v>
      </c>
      <c r="AQ2212">
        <v>0</v>
      </c>
      <c r="AR2212">
        <v>0</v>
      </c>
      <c r="AT2212">
        <v>0</v>
      </c>
      <c r="AU2212">
        <v>0</v>
      </c>
      <c r="AW2212">
        <v>0</v>
      </c>
      <c r="AX2212">
        <v>0</v>
      </c>
      <c r="AY2212">
        <v>70</v>
      </c>
      <c r="BA2212" t="str">
        <f>T("0000000000000")</f>
        <v>0000000000000</v>
      </c>
      <c r="BC2212" t="str">
        <f>T("9791164896639")</f>
        <v>9791164896639</v>
      </c>
      <c r="BE2212" t="str">
        <f>T("BL 웹소설 &gt; 역사/시대물")</f>
        <v>BL 웹소설 &gt; 역사/시대물</v>
      </c>
    </row>
    <row r="2213" spans="1:57" x14ac:dyDescent="0.3">
      <c r="A2213">
        <v>1525004030</v>
      </c>
      <c r="B2213">
        <v>1525007111</v>
      </c>
      <c r="C2213" t="str">
        <f>T("회귀의 전설 2부 995화")</f>
        <v>회귀의 전설 2부 995화</v>
      </c>
      <c r="D2213" t="str">
        <f>T("995")</f>
        <v>995</v>
      </c>
      <c r="E2213" t="str">
        <f>T("김광수")</f>
        <v>김광수</v>
      </c>
      <c r="H2213" t="str">
        <f>T("스토리위즈")</f>
        <v>스토리위즈</v>
      </c>
      <c r="I2213" t="str">
        <f>T("회귀의 전설")</f>
        <v>회귀의 전설</v>
      </c>
      <c r="J2213">
        <v>100</v>
      </c>
      <c r="K2213">
        <v>100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100</v>
      </c>
      <c r="AH2213">
        <v>1</v>
      </c>
      <c r="AI2213">
        <v>0</v>
      </c>
      <c r="AJ2213">
        <v>0</v>
      </c>
      <c r="AK2213">
        <v>100</v>
      </c>
      <c r="AL2213">
        <v>0</v>
      </c>
      <c r="AM2213">
        <v>0</v>
      </c>
      <c r="AN2213">
        <v>0</v>
      </c>
      <c r="AO2213">
        <v>0</v>
      </c>
      <c r="AQ2213">
        <v>0</v>
      </c>
      <c r="AR2213">
        <v>0</v>
      </c>
      <c r="AT2213">
        <v>0</v>
      </c>
      <c r="AU2213">
        <v>0</v>
      </c>
      <c r="AW2213">
        <v>0</v>
      </c>
      <c r="AX2213">
        <v>0</v>
      </c>
      <c r="AY2213">
        <v>70</v>
      </c>
      <c r="BC2213" t="str">
        <f>T("9791191102086")</f>
        <v>9791191102086</v>
      </c>
      <c r="BE2213" t="str">
        <f>T("판타지 웹소설 &gt; 현대 판타지")</f>
        <v>판타지 웹소설 &gt; 현대 판타지</v>
      </c>
    </row>
    <row r="2214" spans="1:57" x14ac:dyDescent="0.3">
      <c r="A2214">
        <v>1525011523</v>
      </c>
      <c r="B2214">
        <v>1525011228</v>
      </c>
      <c r="C2214" t="str">
        <f>T("남창목가 296화")</f>
        <v>남창목가 296화</v>
      </c>
      <c r="D2214" t="str">
        <f>T("296")</f>
        <v>296</v>
      </c>
      <c r="E2214" t="str">
        <f>T("최재봉")</f>
        <v>최재봉</v>
      </c>
      <c r="H2214" t="str">
        <f>T("에필로그")</f>
        <v>에필로그</v>
      </c>
      <c r="I2214" t="str">
        <f>T("남창목가")</f>
        <v>남창목가</v>
      </c>
      <c r="J2214">
        <v>100</v>
      </c>
      <c r="K2214">
        <v>100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100</v>
      </c>
      <c r="AH2214">
        <v>1</v>
      </c>
      <c r="AI2214">
        <v>0</v>
      </c>
      <c r="AJ2214">
        <v>0</v>
      </c>
      <c r="AK2214">
        <v>0</v>
      </c>
      <c r="AL2214">
        <v>0</v>
      </c>
      <c r="AM2214">
        <v>120</v>
      </c>
      <c r="AN2214">
        <v>-12</v>
      </c>
      <c r="AO2214">
        <v>0</v>
      </c>
      <c r="AQ2214">
        <v>0</v>
      </c>
      <c r="AR2214">
        <v>0</v>
      </c>
      <c r="AS2214">
        <v>120</v>
      </c>
      <c r="AT2214">
        <v>-12</v>
      </c>
      <c r="AU2214">
        <v>0</v>
      </c>
      <c r="AW2214">
        <v>0</v>
      </c>
      <c r="AX2214">
        <v>0</v>
      </c>
      <c r="AY2214">
        <v>75.599999999999994</v>
      </c>
      <c r="BC2214" t="str">
        <f>T("9791164482849")</f>
        <v>9791164482849</v>
      </c>
      <c r="BE2214" t="str">
        <f>T("판타지 웹소설 &gt; 무협 소설")</f>
        <v>판타지 웹소설 &gt; 무협 소설</v>
      </c>
    </row>
    <row r="2215" spans="1:57" x14ac:dyDescent="0.3">
      <c r="A2215">
        <v>1525000569</v>
      </c>
      <c r="B2215">
        <v>1525000613</v>
      </c>
      <c r="C2215" t="str">
        <f>T("스트라이커 45화")</f>
        <v>스트라이커 45화</v>
      </c>
      <c r="D2215" t="str">
        <f>T("45")</f>
        <v>45</v>
      </c>
      <c r="E2215" t="str">
        <f>T("독고진")</f>
        <v>독고진</v>
      </c>
      <c r="H2215" t="str">
        <f>T("스토리위즈")</f>
        <v>스토리위즈</v>
      </c>
      <c r="I2215" t="str">
        <f>T("스트라이커")</f>
        <v>스트라이커</v>
      </c>
      <c r="J2215">
        <v>100</v>
      </c>
      <c r="K2215">
        <v>100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100</v>
      </c>
      <c r="AH2215">
        <v>1</v>
      </c>
      <c r="AI2215">
        <v>0</v>
      </c>
      <c r="AJ2215">
        <v>0</v>
      </c>
      <c r="AK2215">
        <v>100</v>
      </c>
      <c r="AL2215">
        <v>0</v>
      </c>
      <c r="AM2215">
        <v>0</v>
      </c>
      <c r="AN2215">
        <v>0</v>
      </c>
      <c r="AO2215">
        <v>0</v>
      </c>
      <c r="AQ2215">
        <v>0</v>
      </c>
      <c r="AR2215">
        <v>0</v>
      </c>
      <c r="AT2215">
        <v>0</v>
      </c>
      <c r="AU2215">
        <v>0</v>
      </c>
      <c r="AW2215">
        <v>0</v>
      </c>
      <c r="AX2215">
        <v>0</v>
      </c>
      <c r="AY2215">
        <v>70</v>
      </c>
      <c r="BC2215" t="str">
        <f>T("9791170151678")</f>
        <v>9791170151678</v>
      </c>
      <c r="BE2215" t="str">
        <f>T("판타지 웹소설 &gt; 현대 판타지")</f>
        <v>판타지 웹소설 &gt; 현대 판타지</v>
      </c>
    </row>
    <row r="2216" spans="1:57" x14ac:dyDescent="0.3">
      <c r="A2216">
        <v>1525011523</v>
      </c>
      <c r="B2216">
        <v>1525011007</v>
      </c>
      <c r="C2216" t="str">
        <f>T("남창목가 외전 485화")</f>
        <v>남창목가 외전 485화</v>
      </c>
      <c r="D2216" t="str">
        <f>T("485")</f>
        <v>485</v>
      </c>
      <c r="E2216" t="str">
        <f>T("최재봉")</f>
        <v>최재봉</v>
      </c>
      <c r="H2216" t="str">
        <f>T("에필로그")</f>
        <v>에필로그</v>
      </c>
      <c r="I2216" t="str">
        <f>T("남창목가")</f>
        <v>남창목가</v>
      </c>
      <c r="J2216">
        <v>100</v>
      </c>
      <c r="K2216">
        <v>100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100</v>
      </c>
      <c r="AH2216">
        <v>1</v>
      </c>
      <c r="AI2216">
        <v>0</v>
      </c>
      <c r="AJ2216">
        <v>0</v>
      </c>
      <c r="AK2216">
        <v>0</v>
      </c>
      <c r="AL2216">
        <v>0</v>
      </c>
      <c r="AM2216">
        <v>120</v>
      </c>
      <c r="AN2216">
        <v>-12</v>
      </c>
      <c r="AO2216">
        <v>0</v>
      </c>
      <c r="AQ2216">
        <v>0</v>
      </c>
      <c r="AR2216">
        <v>0</v>
      </c>
      <c r="AS2216">
        <v>120</v>
      </c>
      <c r="AT2216">
        <v>-12</v>
      </c>
      <c r="AU2216">
        <v>0</v>
      </c>
      <c r="AW2216">
        <v>0</v>
      </c>
      <c r="AX2216">
        <v>0</v>
      </c>
      <c r="AY2216">
        <v>75.599999999999994</v>
      </c>
      <c r="BC2216" t="str">
        <f>T("9791164482849")</f>
        <v>9791164482849</v>
      </c>
      <c r="BE2216" t="str">
        <f>T("판타지 웹소설 &gt; 무협 소설")</f>
        <v>판타지 웹소설 &gt; 무협 소설</v>
      </c>
    </row>
    <row r="2217" spans="1:57" x14ac:dyDescent="0.3">
      <c r="A2217">
        <v>1525004030</v>
      </c>
      <c r="B2217">
        <v>1525006894</v>
      </c>
      <c r="C2217" t="str">
        <f>T("회귀의 전설 2부 777화")</f>
        <v>회귀의 전설 2부 777화</v>
      </c>
      <c r="D2217" t="str">
        <f>T("777")</f>
        <v>777</v>
      </c>
      <c r="E2217" t="str">
        <f>T("김광수")</f>
        <v>김광수</v>
      </c>
      <c r="H2217" t="str">
        <f>T("스토리위즈")</f>
        <v>스토리위즈</v>
      </c>
      <c r="I2217" t="str">
        <f>T("회귀의 전설")</f>
        <v>회귀의 전설</v>
      </c>
      <c r="J2217">
        <v>100</v>
      </c>
      <c r="K2217">
        <v>100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100</v>
      </c>
      <c r="AH2217">
        <v>1</v>
      </c>
      <c r="AI2217">
        <v>0</v>
      </c>
      <c r="AJ2217">
        <v>0</v>
      </c>
      <c r="AK2217">
        <v>0</v>
      </c>
      <c r="AL2217">
        <v>0</v>
      </c>
      <c r="AM2217">
        <v>120</v>
      </c>
      <c r="AN2217">
        <v>-12</v>
      </c>
      <c r="AO2217">
        <v>0</v>
      </c>
      <c r="AQ2217">
        <v>0</v>
      </c>
      <c r="AR2217">
        <v>0</v>
      </c>
      <c r="AS2217">
        <v>120</v>
      </c>
      <c r="AT2217">
        <v>-12</v>
      </c>
      <c r="AU2217">
        <v>0</v>
      </c>
      <c r="AW2217">
        <v>0</v>
      </c>
      <c r="AX2217">
        <v>0</v>
      </c>
      <c r="AY2217">
        <v>75.599999999999994</v>
      </c>
      <c r="BC2217" t="str">
        <f>T("9791191102086")</f>
        <v>9791191102086</v>
      </c>
      <c r="BE2217" t="str">
        <f>T("판타지 웹소설 &gt; 현대 판타지")</f>
        <v>판타지 웹소설 &gt; 현대 판타지</v>
      </c>
    </row>
    <row r="2218" spans="1:57" x14ac:dyDescent="0.3">
      <c r="A2218">
        <v>1525011523</v>
      </c>
      <c r="B2218">
        <v>1525011347</v>
      </c>
      <c r="C2218" t="str">
        <f>T("남창목가 177화")</f>
        <v>남창목가 177화</v>
      </c>
      <c r="D2218" t="str">
        <f>T("177")</f>
        <v>177</v>
      </c>
      <c r="E2218" t="str">
        <f>T("최재봉")</f>
        <v>최재봉</v>
      </c>
      <c r="H2218" t="str">
        <f>T("에필로그")</f>
        <v>에필로그</v>
      </c>
      <c r="I2218" t="str">
        <f>T("남창목가")</f>
        <v>남창목가</v>
      </c>
      <c r="J2218">
        <v>100</v>
      </c>
      <c r="K2218">
        <v>100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100</v>
      </c>
      <c r="AH2218">
        <v>1</v>
      </c>
      <c r="AI2218">
        <v>0</v>
      </c>
      <c r="AJ2218">
        <v>0</v>
      </c>
      <c r="AK2218">
        <v>0</v>
      </c>
      <c r="AL2218">
        <v>0</v>
      </c>
      <c r="AM2218">
        <v>120</v>
      </c>
      <c r="AN2218">
        <v>-12</v>
      </c>
      <c r="AO2218">
        <v>0</v>
      </c>
      <c r="AQ2218">
        <v>0</v>
      </c>
      <c r="AR2218">
        <v>0</v>
      </c>
      <c r="AS2218">
        <v>120</v>
      </c>
      <c r="AT2218">
        <v>-12</v>
      </c>
      <c r="AU2218">
        <v>0</v>
      </c>
      <c r="AW2218">
        <v>0</v>
      </c>
      <c r="AX2218">
        <v>0</v>
      </c>
      <c r="AY2218">
        <v>75.599999999999994</v>
      </c>
      <c r="BC2218" t="str">
        <f>T("9791164482849")</f>
        <v>9791164482849</v>
      </c>
      <c r="BE2218" t="str">
        <f>T("판타지 웹소설 &gt; 무협 소설")</f>
        <v>판타지 웹소설 &gt; 무협 소설</v>
      </c>
    </row>
    <row r="2219" spans="1:57" x14ac:dyDescent="0.3">
      <c r="A2219">
        <v>1525002125</v>
      </c>
      <c r="B2219">
        <v>1525002378</v>
      </c>
      <c r="C2219" t="str">
        <f>T("신을 죽이러 갑니다 254화")</f>
        <v>신을 죽이러 갑니다 254화</v>
      </c>
      <c r="D2219" t="str">
        <f>T("254")</f>
        <v>254</v>
      </c>
      <c r="E2219" t="str">
        <f>T("독고진")</f>
        <v>독고진</v>
      </c>
      <c r="H2219" t="str">
        <f>T("스토리위즈")</f>
        <v>스토리위즈</v>
      </c>
      <c r="I2219" t="str">
        <f>T("신을 죽이러 갑니다")</f>
        <v>신을 죽이러 갑니다</v>
      </c>
      <c r="J2219">
        <v>100</v>
      </c>
      <c r="K2219">
        <v>100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100</v>
      </c>
      <c r="AH2219">
        <v>1</v>
      </c>
      <c r="AI2219">
        <v>0</v>
      </c>
      <c r="AJ2219">
        <v>0</v>
      </c>
      <c r="AK2219">
        <v>0</v>
      </c>
      <c r="AL2219">
        <v>0</v>
      </c>
      <c r="AM2219">
        <v>120</v>
      </c>
      <c r="AN2219">
        <v>-12</v>
      </c>
      <c r="AO2219">
        <v>0</v>
      </c>
      <c r="AQ2219">
        <v>0</v>
      </c>
      <c r="AR2219">
        <v>0</v>
      </c>
      <c r="AS2219">
        <v>120</v>
      </c>
      <c r="AT2219">
        <v>-12</v>
      </c>
      <c r="AU2219">
        <v>0</v>
      </c>
      <c r="AW2219">
        <v>0</v>
      </c>
      <c r="AX2219">
        <v>0</v>
      </c>
      <c r="AY2219">
        <v>75.599999999999994</v>
      </c>
      <c r="BC2219" t="str">
        <f>T("9791159285806")</f>
        <v>9791159285806</v>
      </c>
      <c r="BE2219" t="str">
        <f>T("판타지 웹소설 &gt; 퓨전 판타지")</f>
        <v>판타지 웹소설 &gt; 퓨전 판타지</v>
      </c>
    </row>
    <row r="2220" spans="1:57" x14ac:dyDescent="0.3">
      <c r="A2220">
        <v>1525012551</v>
      </c>
      <c r="B2220">
        <v>1525012713</v>
      </c>
      <c r="C2220" t="str">
        <f>T("개정판 | 바보가 만드는 멋진 세상 163화")</f>
        <v>개정판 | 바보가 만드는 멋진 세상 163화</v>
      </c>
      <c r="D2220" t="str">
        <f>T("163")</f>
        <v>163</v>
      </c>
      <c r="E2220" t="str">
        <f>T("백범(白帆)")</f>
        <v>백범(白帆)</v>
      </c>
      <c r="H2220" t="str">
        <f>T("에필로그")</f>
        <v>에필로그</v>
      </c>
      <c r="I2220" t="str">
        <f>T("개정판 | 바보가 만드는 멋진 세상")</f>
        <v>개정판 | 바보가 만드는 멋진 세상</v>
      </c>
      <c r="J2220">
        <v>100</v>
      </c>
      <c r="K2220">
        <v>100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100</v>
      </c>
      <c r="AH2220">
        <v>1</v>
      </c>
      <c r="AI2220">
        <v>0</v>
      </c>
      <c r="AJ2220">
        <v>0</v>
      </c>
      <c r="AK2220">
        <v>100</v>
      </c>
      <c r="AL2220">
        <v>0</v>
      </c>
      <c r="AM2220">
        <v>0</v>
      </c>
      <c r="AN2220">
        <v>0</v>
      </c>
      <c r="AO2220">
        <v>0</v>
      </c>
      <c r="AQ2220">
        <v>0</v>
      </c>
      <c r="AR2220">
        <v>0</v>
      </c>
      <c r="AT2220">
        <v>0</v>
      </c>
      <c r="AU2220">
        <v>0</v>
      </c>
      <c r="AW2220">
        <v>0</v>
      </c>
      <c r="AX2220">
        <v>0</v>
      </c>
      <c r="AY2220">
        <v>70</v>
      </c>
      <c r="BC2220" t="str">
        <f>T("9791166003493")</f>
        <v>9791166003493</v>
      </c>
      <c r="BE2220" t="str">
        <f>T("판타지 웹소설 &gt; 현대 판타지")</f>
        <v>판타지 웹소설 &gt; 현대 판타지</v>
      </c>
    </row>
    <row r="2221" spans="1:57" x14ac:dyDescent="0.3">
      <c r="A2221">
        <v>1525008428</v>
      </c>
      <c r="B2221">
        <v>1525008520</v>
      </c>
      <c r="C2221" t="str">
        <f>T("무히비(Muhibbi) 외전 118화")</f>
        <v>무히비(Muhibbi) 외전 118화</v>
      </c>
      <c r="D2221" t="str">
        <f>T("118")</f>
        <v>118</v>
      </c>
      <c r="E2221" t="str">
        <f>T("jooki")</f>
        <v>jooki</v>
      </c>
      <c r="H2221" t="str">
        <f>T("블러쉬")</f>
        <v>블러쉬</v>
      </c>
      <c r="I2221" t="str">
        <f>T("무히비(Muhibbi)")</f>
        <v>무히비(Muhibbi)</v>
      </c>
      <c r="J2221">
        <v>100</v>
      </c>
      <c r="K2221">
        <v>100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100</v>
      </c>
      <c r="AH2221">
        <v>1</v>
      </c>
      <c r="AI2221">
        <v>0</v>
      </c>
      <c r="AJ2221">
        <v>0</v>
      </c>
      <c r="AK2221">
        <v>100</v>
      </c>
      <c r="AL2221">
        <v>0</v>
      </c>
      <c r="AM2221">
        <v>0</v>
      </c>
      <c r="AN2221">
        <v>0</v>
      </c>
      <c r="AO2221">
        <v>0</v>
      </c>
      <c r="AQ2221">
        <v>0</v>
      </c>
      <c r="AR2221">
        <v>0</v>
      </c>
      <c r="AT2221">
        <v>0</v>
      </c>
      <c r="AU2221">
        <v>0</v>
      </c>
      <c r="AW2221">
        <v>0</v>
      </c>
      <c r="AX2221">
        <v>0</v>
      </c>
      <c r="AY2221">
        <v>70</v>
      </c>
      <c r="BA2221" t="str">
        <f>T("0000000000000")</f>
        <v>0000000000000</v>
      </c>
      <c r="BC2221" t="str">
        <f>T("9791164896622")</f>
        <v>9791164896622</v>
      </c>
      <c r="BE2221" t="str">
        <f>T("BL 웹소설 &gt; 역사/시대물")</f>
        <v>BL 웹소설 &gt; 역사/시대물</v>
      </c>
    </row>
    <row r="2222" spans="1:57" x14ac:dyDescent="0.3">
      <c r="A2222">
        <v>1525008428</v>
      </c>
      <c r="B2222">
        <v>1525008475</v>
      </c>
      <c r="C2222" t="str">
        <f>T("무히비(Muhibbi) 62화")</f>
        <v>무히비(Muhibbi) 62화</v>
      </c>
      <c r="D2222" t="str">
        <f>T("62")</f>
        <v>62</v>
      </c>
      <c r="E2222" t="str">
        <f>T("jooki")</f>
        <v>jooki</v>
      </c>
      <c r="H2222" t="str">
        <f>T("블러쉬")</f>
        <v>블러쉬</v>
      </c>
      <c r="I2222" t="str">
        <f>T("무히비(Muhibbi)")</f>
        <v>무히비(Muhibbi)</v>
      </c>
      <c r="J2222">
        <v>100</v>
      </c>
      <c r="K2222">
        <v>100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100</v>
      </c>
      <c r="AH2222">
        <v>1</v>
      </c>
      <c r="AI2222">
        <v>0</v>
      </c>
      <c r="AJ2222">
        <v>0</v>
      </c>
      <c r="AK2222">
        <v>100</v>
      </c>
      <c r="AL2222">
        <v>0</v>
      </c>
      <c r="AM2222">
        <v>0</v>
      </c>
      <c r="AN2222">
        <v>0</v>
      </c>
      <c r="AO2222">
        <v>0</v>
      </c>
      <c r="AQ2222">
        <v>0</v>
      </c>
      <c r="AR2222">
        <v>0</v>
      </c>
      <c r="AT2222">
        <v>0</v>
      </c>
      <c r="AU2222">
        <v>0</v>
      </c>
      <c r="AW2222">
        <v>0</v>
      </c>
      <c r="AX2222">
        <v>0</v>
      </c>
      <c r="AY2222">
        <v>70</v>
      </c>
      <c r="BC2222" t="str">
        <f>T("9791164896622")</f>
        <v>9791164896622</v>
      </c>
      <c r="BE2222" t="str">
        <f>T("BL 웹소설 &gt; 역사/시대물")</f>
        <v>BL 웹소설 &gt; 역사/시대물</v>
      </c>
    </row>
    <row r="2223" spans="1:57" x14ac:dyDescent="0.3">
      <c r="A2223">
        <v>1525011523</v>
      </c>
      <c r="B2223">
        <v>1525011293</v>
      </c>
      <c r="C2223" t="str">
        <f>T("남창목가 231화")</f>
        <v>남창목가 231화</v>
      </c>
      <c r="D2223" t="str">
        <f>T("231")</f>
        <v>231</v>
      </c>
      <c r="E2223" t="str">
        <f>T("최재봉")</f>
        <v>최재봉</v>
      </c>
      <c r="H2223" t="str">
        <f>T("에필로그")</f>
        <v>에필로그</v>
      </c>
      <c r="I2223" t="str">
        <f>T("남창목가")</f>
        <v>남창목가</v>
      </c>
      <c r="J2223">
        <v>100</v>
      </c>
      <c r="K2223">
        <v>100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100</v>
      </c>
      <c r="AH2223">
        <v>1</v>
      </c>
      <c r="AI2223">
        <v>0</v>
      </c>
      <c r="AJ2223">
        <v>0</v>
      </c>
      <c r="AK2223">
        <v>0</v>
      </c>
      <c r="AL2223">
        <v>0</v>
      </c>
      <c r="AM2223">
        <v>120</v>
      </c>
      <c r="AN2223">
        <v>-12</v>
      </c>
      <c r="AO2223">
        <v>0</v>
      </c>
      <c r="AQ2223">
        <v>0</v>
      </c>
      <c r="AR2223">
        <v>0</v>
      </c>
      <c r="AS2223">
        <v>120</v>
      </c>
      <c r="AT2223">
        <v>-12</v>
      </c>
      <c r="AU2223">
        <v>0</v>
      </c>
      <c r="AW2223">
        <v>0</v>
      </c>
      <c r="AX2223">
        <v>0</v>
      </c>
      <c r="AY2223">
        <v>75.599999999999994</v>
      </c>
      <c r="BC2223" t="str">
        <f>T("9791164482849")</f>
        <v>9791164482849</v>
      </c>
      <c r="BE2223" t="str">
        <f>T("판타지 웹소설 &gt; 무협 소설")</f>
        <v>판타지 웹소설 &gt; 무협 소설</v>
      </c>
    </row>
    <row r="2224" spans="1:57" x14ac:dyDescent="0.3">
      <c r="A2224">
        <v>1525011523</v>
      </c>
      <c r="B2224">
        <v>1525011487</v>
      </c>
      <c r="C2224" t="str">
        <f>T("남창목가 37화")</f>
        <v>남창목가 37화</v>
      </c>
      <c r="D2224" t="str">
        <f>T("37")</f>
        <v>37</v>
      </c>
      <c r="E2224" t="str">
        <f>T("최재봉")</f>
        <v>최재봉</v>
      </c>
      <c r="H2224" t="str">
        <f>T("에필로그")</f>
        <v>에필로그</v>
      </c>
      <c r="I2224" t="str">
        <f>T("남창목가")</f>
        <v>남창목가</v>
      </c>
      <c r="J2224">
        <v>100</v>
      </c>
      <c r="K2224">
        <v>100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100</v>
      </c>
      <c r="AH2224">
        <v>1</v>
      </c>
      <c r="AI2224">
        <v>0</v>
      </c>
      <c r="AJ2224">
        <v>0</v>
      </c>
      <c r="AK2224">
        <v>100</v>
      </c>
      <c r="AL2224">
        <v>0</v>
      </c>
      <c r="AM2224">
        <v>0</v>
      </c>
      <c r="AN2224">
        <v>0</v>
      </c>
      <c r="AO2224">
        <v>0</v>
      </c>
      <c r="AQ2224">
        <v>0</v>
      </c>
      <c r="AR2224">
        <v>0</v>
      </c>
      <c r="AT2224">
        <v>0</v>
      </c>
      <c r="AU2224">
        <v>0</v>
      </c>
      <c r="AW2224">
        <v>0</v>
      </c>
      <c r="AX2224">
        <v>0</v>
      </c>
      <c r="AY2224">
        <v>70</v>
      </c>
      <c r="BC2224" t="str">
        <f>T("9791164482849")</f>
        <v>9791164482849</v>
      </c>
      <c r="BE2224" t="str">
        <f>T("판타지 웹소설 &gt; 무협 소설")</f>
        <v>판타지 웹소설 &gt; 무협 소설</v>
      </c>
    </row>
    <row r="2225" spans="1:57" x14ac:dyDescent="0.3">
      <c r="A2225">
        <v>1525012551</v>
      </c>
      <c r="B2225">
        <v>1525012591</v>
      </c>
      <c r="C2225" t="str">
        <f>T("개정판 | 바보가 만드는 멋진 세상 41화")</f>
        <v>개정판 | 바보가 만드는 멋진 세상 41화</v>
      </c>
      <c r="D2225" t="str">
        <f>T("41")</f>
        <v>41</v>
      </c>
      <c r="E2225" t="str">
        <f>T("백범(白帆)")</f>
        <v>백범(白帆)</v>
      </c>
      <c r="H2225" t="str">
        <f>T("에필로그")</f>
        <v>에필로그</v>
      </c>
      <c r="I2225" t="str">
        <f>T("개정판 | 바보가 만드는 멋진 세상")</f>
        <v>개정판 | 바보가 만드는 멋진 세상</v>
      </c>
      <c r="J2225">
        <v>100</v>
      </c>
      <c r="K2225">
        <v>100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100</v>
      </c>
      <c r="AH2225">
        <v>1</v>
      </c>
      <c r="AI2225">
        <v>0</v>
      </c>
      <c r="AJ2225">
        <v>0</v>
      </c>
      <c r="AK2225">
        <v>100</v>
      </c>
      <c r="AL2225">
        <v>0</v>
      </c>
      <c r="AM2225">
        <v>0</v>
      </c>
      <c r="AN2225">
        <v>0</v>
      </c>
      <c r="AO2225">
        <v>0</v>
      </c>
      <c r="AQ2225">
        <v>0</v>
      </c>
      <c r="AR2225">
        <v>0</v>
      </c>
      <c r="AT2225">
        <v>0</v>
      </c>
      <c r="AU2225">
        <v>0</v>
      </c>
      <c r="AW2225">
        <v>0</v>
      </c>
      <c r="AX2225">
        <v>0</v>
      </c>
      <c r="AY2225">
        <v>70</v>
      </c>
      <c r="BC2225" t="str">
        <f>T("9791166003493")</f>
        <v>9791166003493</v>
      </c>
      <c r="BE2225" t="str">
        <f>T("판타지 웹소설 &gt; 현대 판타지")</f>
        <v>판타지 웹소설 &gt; 현대 판타지</v>
      </c>
    </row>
    <row r="2226" spans="1:57" x14ac:dyDescent="0.3">
      <c r="A2226">
        <v>1525004799</v>
      </c>
      <c r="B2226">
        <v>1525004941</v>
      </c>
      <c r="C2226" t="str">
        <f>T("검산도해 143화")</f>
        <v>검산도해 143화</v>
      </c>
      <c r="D2226" t="str">
        <f>T("143")</f>
        <v>143</v>
      </c>
      <c r="E2226" t="str">
        <f>T("권용찬")</f>
        <v>권용찬</v>
      </c>
      <c r="H2226" t="str">
        <f>T("스토리위즈")</f>
        <v>스토리위즈</v>
      </c>
      <c r="I2226" t="str">
        <f>T("검산도해")</f>
        <v>검산도해</v>
      </c>
      <c r="J2226">
        <v>100</v>
      </c>
      <c r="K2226">
        <v>100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100</v>
      </c>
      <c r="AH2226">
        <v>1</v>
      </c>
      <c r="AI2226">
        <v>0</v>
      </c>
      <c r="AJ2226">
        <v>0</v>
      </c>
      <c r="AK2226">
        <v>0</v>
      </c>
      <c r="AL2226">
        <v>0</v>
      </c>
      <c r="AM2226">
        <v>120</v>
      </c>
      <c r="AN2226">
        <v>-12</v>
      </c>
      <c r="AO2226">
        <v>0</v>
      </c>
      <c r="AQ2226">
        <v>0</v>
      </c>
      <c r="AR2226">
        <v>0</v>
      </c>
      <c r="AS2226">
        <v>120</v>
      </c>
      <c r="AT2226">
        <v>-12</v>
      </c>
      <c r="AU2226">
        <v>0</v>
      </c>
      <c r="AW2226">
        <v>0</v>
      </c>
      <c r="AX2226">
        <v>0</v>
      </c>
      <c r="AY2226">
        <v>75.599999999999994</v>
      </c>
      <c r="BC2226" t="str">
        <f>T("9791159285936")</f>
        <v>9791159285936</v>
      </c>
      <c r="BE2226" t="str">
        <f>T("판타지 웹소설 &gt; 무협 소설")</f>
        <v>판타지 웹소설 &gt; 무협 소설</v>
      </c>
    </row>
    <row r="2227" spans="1:57" x14ac:dyDescent="0.3">
      <c r="A2227">
        <v>1525004030</v>
      </c>
      <c r="B2227">
        <v>1525007030</v>
      </c>
      <c r="C2227" t="str">
        <f>T("회귀의 전설 2부 914화")</f>
        <v>회귀의 전설 2부 914화</v>
      </c>
      <c r="D2227" t="str">
        <f>T("914")</f>
        <v>914</v>
      </c>
      <c r="E2227" t="str">
        <f>T("김광수")</f>
        <v>김광수</v>
      </c>
      <c r="H2227" t="str">
        <f>T("스토리위즈")</f>
        <v>스토리위즈</v>
      </c>
      <c r="I2227" t="str">
        <f>T("회귀의 전설")</f>
        <v>회귀의 전설</v>
      </c>
      <c r="J2227">
        <v>100</v>
      </c>
      <c r="K2227">
        <v>100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100</v>
      </c>
      <c r="AH2227">
        <v>1</v>
      </c>
      <c r="AI2227">
        <v>0</v>
      </c>
      <c r="AJ2227">
        <v>0</v>
      </c>
      <c r="AK2227">
        <v>100</v>
      </c>
      <c r="AL2227">
        <v>0</v>
      </c>
      <c r="AM2227">
        <v>0</v>
      </c>
      <c r="AN2227">
        <v>0</v>
      </c>
      <c r="AO2227">
        <v>0</v>
      </c>
      <c r="AQ2227">
        <v>0</v>
      </c>
      <c r="AR2227">
        <v>0</v>
      </c>
      <c r="AT2227">
        <v>0</v>
      </c>
      <c r="AU2227">
        <v>0</v>
      </c>
      <c r="AW2227">
        <v>0</v>
      </c>
      <c r="AX2227">
        <v>0</v>
      </c>
      <c r="AY2227">
        <v>70</v>
      </c>
      <c r="BC2227" t="str">
        <f>T("9791191102086")</f>
        <v>9791191102086</v>
      </c>
      <c r="BE2227" t="str">
        <f>T("판타지 웹소설 &gt; 현대 판타지")</f>
        <v>판타지 웹소설 &gt; 현대 판타지</v>
      </c>
    </row>
    <row r="2228" spans="1:57" x14ac:dyDescent="0.3">
      <c r="A2228">
        <v>1525004030</v>
      </c>
      <c r="B2228">
        <v>1525006989</v>
      </c>
      <c r="C2228" t="str">
        <f>T("회귀의 전설 2부 873화")</f>
        <v>회귀의 전설 2부 873화</v>
      </c>
      <c r="D2228" t="str">
        <f>T("873")</f>
        <v>873</v>
      </c>
      <c r="E2228" t="str">
        <f>T("김광수")</f>
        <v>김광수</v>
      </c>
      <c r="H2228" t="str">
        <f>T("스토리위즈")</f>
        <v>스토리위즈</v>
      </c>
      <c r="I2228" t="str">
        <f>T("회귀의 전설")</f>
        <v>회귀의 전설</v>
      </c>
      <c r="J2228">
        <v>100</v>
      </c>
      <c r="K2228">
        <v>100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100</v>
      </c>
      <c r="AH2228">
        <v>1</v>
      </c>
      <c r="AI2228">
        <v>0</v>
      </c>
      <c r="AJ2228">
        <v>0</v>
      </c>
      <c r="AK2228">
        <v>100</v>
      </c>
      <c r="AL2228">
        <v>0</v>
      </c>
      <c r="AM2228">
        <v>0</v>
      </c>
      <c r="AN2228">
        <v>0</v>
      </c>
      <c r="AO2228">
        <v>0</v>
      </c>
      <c r="AQ2228">
        <v>0</v>
      </c>
      <c r="AR2228">
        <v>0</v>
      </c>
      <c r="AT2228">
        <v>0</v>
      </c>
      <c r="AU2228">
        <v>0</v>
      </c>
      <c r="AW2228">
        <v>0</v>
      </c>
      <c r="AX2228">
        <v>0</v>
      </c>
      <c r="AY2228">
        <v>70</v>
      </c>
      <c r="BC2228" t="str">
        <f>T("9791191102086")</f>
        <v>9791191102086</v>
      </c>
      <c r="BE2228" t="str">
        <f>T("판타지 웹소설 &gt; 현대 판타지")</f>
        <v>판타지 웹소설 &gt; 현대 판타지</v>
      </c>
    </row>
    <row r="2229" spans="1:57" x14ac:dyDescent="0.3">
      <c r="A2229">
        <v>1525011523</v>
      </c>
      <c r="B2229">
        <v>1525011385</v>
      </c>
      <c r="C2229" t="str">
        <f>T("남창목가 139화")</f>
        <v>남창목가 139화</v>
      </c>
      <c r="D2229" t="str">
        <f>T("139")</f>
        <v>139</v>
      </c>
      <c r="E2229" t="str">
        <f>T("최재봉")</f>
        <v>최재봉</v>
      </c>
      <c r="H2229" t="str">
        <f>T("에필로그")</f>
        <v>에필로그</v>
      </c>
      <c r="I2229" t="str">
        <f>T("남창목가")</f>
        <v>남창목가</v>
      </c>
      <c r="J2229">
        <v>100</v>
      </c>
      <c r="K2229">
        <v>100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100</v>
      </c>
      <c r="AH2229">
        <v>1</v>
      </c>
      <c r="AI2229">
        <v>0</v>
      </c>
      <c r="AJ2229">
        <v>0</v>
      </c>
      <c r="AK2229">
        <v>100</v>
      </c>
      <c r="AL2229">
        <v>0</v>
      </c>
      <c r="AM2229">
        <v>0</v>
      </c>
      <c r="AN2229">
        <v>0</v>
      </c>
      <c r="AO2229">
        <v>0</v>
      </c>
      <c r="AQ2229">
        <v>0</v>
      </c>
      <c r="AR2229">
        <v>0</v>
      </c>
      <c r="AT2229">
        <v>0</v>
      </c>
      <c r="AU2229">
        <v>0</v>
      </c>
      <c r="AW2229">
        <v>0</v>
      </c>
      <c r="AX2229">
        <v>0</v>
      </c>
      <c r="AY2229">
        <v>70</v>
      </c>
      <c r="BC2229" t="str">
        <f>T("9791164482849")</f>
        <v>9791164482849</v>
      </c>
      <c r="BE2229" t="str">
        <f>T("판타지 웹소설 &gt; 무협 소설")</f>
        <v>판타지 웹소설 &gt; 무협 소설</v>
      </c>
    </row>
    <row r="2230" spans="1:57" x14ac:dyDescent="0.3">
      <c r="A2230">
        <v>1525013020</v>
      </c>
      <c r="B2230">
        <v>1525013071</v>
      </c>
      <c r="C2230" t="str">
        <f>T("악당의 리턴 52화")</f>
        <v>악당의 리턴 52화</v>
      </c>
      <c r="D2230" t="str">
        <f>T("52")</f>
        <v>52</v>
      </c>
      <c r="E2230" t="str">
        <f>T("백범(白帆)")</f>
        <v>백범(白帆)</v>
      </c>
      <c r="H2230" t="str">
        <f>T("에필로그")</f>
        <v>에필로그</v>
      </c>
      <c r="I2230" t="str">
        <f>T("악당의 리턴")</f>
        <v>악당의 리턴</v>
      </c>
      <c r="J2230">
        <v>100</v>
      </c>
      <c r="K2230">
        <v>100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100</v>
      </c>
      <c r="AH2230">
        <v>1</v>
      </c>
      <c r="AI2230">
        <v>0</v>
      </c>
      <c r="AJ2230">
        <v>0</v>
      </c>
      <c r="AK2230">
        <v>100</v>
      </c>
      <c r="AL2230">
        <v>0</v>
      </c>
      <c r="AM2230">
        <v>0</v>
      </c>
      <c r="AN2230">
        <v>0</v>
      </c>
      <c r="AO2230">
        <v>0</v>
      </c>
      <c r="AQ2230">
        <v>0</v>
      </c>
      <c r="AR2230">
        <v>0</v>
      </c>
      <c r="AT2230">
        <v>0</v>
      </c>
      <c r="AU2230">
        <v>0</v>
      </c>
      <c r="AW2230">
        <v>0</v>
      </c>
      <c r="AX2230">
        <v>0</v>
      </c>
      <c r="AY2230">
        <v>70</v>
      </c>
      <c r="BC2230" t="str">
        <f>T("9791196538927")</f>
        <v>9791196538927</v>
      </c>
      <c r="BE2230" t="str">
        <f>T("판타지 웹소설 &gt; 현대 판타지")</f>
        <v>판타지 웹소설 &gt; 현대 판타지</v>
      </c>
    </row>
    <row r="2231" spans="1:57" x14ac:dyDescent="0.3">
      <c r="A2231">
        <v>1525004030</v>
      </c>
      <c r="B2231">
        <v>1525007145</v>
      </c>
      <c r="C2231" t="str">
        <f>T("회귀의 전설 2부 1028화")</f>
        <v>회귀의 전설 2부 1028화</v>
      </c>
      <c r="D2231" t="str">
        <f>T("1028")</f>
        <v>1028</v>
      </c>
      <c r="E2231" t="str">
        <f>T("김광수")</f>
        <v>김광수</v>
      </c>
      <c r="H2231" t="str">
        <f>T("스토리위즈")</f>
        <v>스토리위즈</v>
      </c>
      <c r="I2231" t="str">
        <f>T("회귀의 전설")</f>
        <v>회귀의 전설</v>
      </c>
      <c r="J2231">
        <v>100</v>
      </c>
      <c r="K2231">
        <v>100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100</v>
      </c>
      <c r="AH2231">
        <v>1</v>
      </c>
      <c r="AI2231">
        <v>0</v>
      </c>
      <c r="AJ2231">
        <v>0</v>
      </c>
      <c r="AK2231">
        <v>100</v>
      </c>
      <c r="AL2231">
        <v>0</v>
      </c>
      <c r="AM2231">
        <v>0</v>
      </c>
      <c r="AN2231">
        <v>0</v>
      </c>
      <c r="AO2231">
        <v>0</v>
      </c>
      <c r="AQ2231">
        <v>0</v>
      </c>
      <c r="AR2231">
        <v>0</v>
      </c>
      <c r="AT2231">
        <v>0</v>
      </c>
      <c r="AU2231">
        <v>0</v>
      </c>
      <c r="AW2231">
        <v>0</v>
      </c>
      <c r="AX2231">
        <v>0</v>
      </c>
      <c r="AY2231">
        <v>70</v>
      </c>
      <c r="BC2231" t="str">
        <f>T("9791191102086")</f>
        <v>9791191102086</v>
      </c>
      <c r="BE2231" t="str">
        <f>T("판타지 웹소설 &gt; 현대 판타지")</f>
        <v>판타지 웹소설 &gt; 현대 판타지</v>
      </c>
    </row>
    <row r="2232" spans="1:57" x14ac:dyDescent="0.3">
      <c r="A2232">
        <v>1525012551</v>
      </c>
      <c r="B2232">
        <v>1525012745</v>
      </c>
      <c r="C2232" t="str">
        <f>T("개정판 | 바보가 만드는 멋진 세상 195화")</f>
        <v>개정판 | 바보가 만드는 멋진 세상 195화</v>
      </c>
      <c r="D2232" t="str">
        <f>T("195")</f>
        <v>195</v>
      </c>
      <c r="E2232" t="str">
        <f>T("백범(白帆)")</f>
        <v>백범(白帆)</v>
      </c>
      <c r="H2232" t="str">
        <f>T("에필로그")</f>
        <v>에필로그</v>
      </c>
      <c r="I2232" t="str">
        <f>T("개정판 | 바보가 만드는 멋진 세상")</f>
        <v>개정판 | 바보가 만드는 멋진 세상</v>
      </c>
      <c r="J2232">
        <v>100</v>
      </c>
      <c r="K2232">
        <v>100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100</v>
      </c>
      <c r="AH2232">
        <v>1</v>
      </c>
      <c r="AI2232">
        <v>0</v>
      </c>
      <c r="AJ2232">
        <v>0</v>
      </c>
      <c r="AK2232">
        <v>100</v>
      </c>
      <c r="AL2232">
        <v>0</v>
      </c>
      <c r="AM2232">
        <v>0</v>
      </c>
      <c r="AN2232">
        <v>0</v>
      </c>
      <c r="AO2232">
        <v>0</v>
      </c>
      <c r="AQ2232">
        <v>0</v>
      </c>
      <c r="AR2232">
        <v>0</v>
      </c>
      <c r="AT2232">
        <v>0</v>
      </c>
      <c r="AU2232">
        <v>0</v>
      </c>
      <c r="AW2232">
        <v>0</v>
      </c>
      <c r="AX2232">
        <v>0</v>
      </c>
      <c r="AY2232">
        <v>70</v>
      </c>
      <c r="BC2232" t="str">
        <f>T("9791166003493")</f>
        <v>9791166003493</v>
      </c>
      <c r="BE2232" t="str">
        <f>T("판타지 웹소설 &gt; 현대 판타지")</f>
        <v>판타지 웹소설 &gt; 현대 판타지</v>
      </c>
    </row>
    <row r="2233" spans="1:57" x14ac:dyDescent="0.3">
      <c r="A2233">
        <v>1525008545</v>
      </c>
      <c r="B2233">
        <v>1525008558</v>
      </c>
      <c r="C2233" t="str">
        <f>T("소년연애담 31화")</f>
        <v>소년연애담 31화</v>
      </c>
      <c r="D2233" t="str">
        <f>T("31")</f>
        <v>31</v>
      </c>
      <c r="E2233" t="str">
        <f>T("나나코")</f>
        <v>나나코</v>
      </c>
      <c r="H2233" t="str">
        <f>T("블러쉬")</f>
        <v>블러쉬</v>
      </c>
      <c r="I2233" t="str">
        <f>T("소년연애담")</f>
        <v>소년연애담</v>
      </c>
      <c r="J2233">
        <v>100</v>
      </c>
      <c r="K2233">
        <v>100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100</v>
      </c>
      <c r="AH2233">
        <v>1</v>
      </c>
      <c r="AI2233">
        <v>0</v>
      </c>
      <c r="AJ2233">
        <v>0</v>
      </c>
      <c r="AK2233">
        <v>100</v>
      </c>
      <c r="AL2233">
        <v>0</v>
      </c>
      <c r="AM2233">
        <v>0</v>
      </c>
      <c r="AN2233">
        <v>0</v>
      </c>
      <c r="AO2233">
        <v>0</v>
      </c>
      <c r="AQ2233">
        <v>0</v>
      </c>
      <c r="AR2233">
        <v>0</v>
      </c>
      <c r="AT2233">
        <v>0</v>
      </c>
      <c r="AU2233">
        <v>0</v>
      </c>
      <c r="AW2233">
        <v>0</v>
      </c>
      <c r="AX2233">
        <v>0</v>
      </c>
      <c r="AY2233">
        <v>70</v>
      </c>
      <c r="BA2233" t="str">
        <f>T("0000000000000")</f>
        <v>0000000000000</v>
      </c>
      <c r="BC2233" t="str">
        <f>T("9791164890729")</f>
        <v>9791164890729</v>
      </c>
      <c r="BD2233" t="str">
        <f>T("B12")</f>
        <v>B12</v>
      </c>
      <c r="BE2233" t="str">
        <f>T("BL 웹소설 &gt; 현대물")</f>
        <v>BL 웹소설 &gt; 현대물</v>
      </c>
    </row>
    <row r="2234" spans="1:57" x14ac:dyDescent="0.3">
      <c r="A2234">
        <v>1525008428</v>
      </c>
      <c r="B2234">
        <v>1525008510</v>
      </c>
      <c r="C2234" t="str">
        <f>T("무히비(Muhibbi) 94화")</f>
        <v>무히비(Muhibbi) 94화</v>
      </c>
      <c r="D2234" t="str">
        <f>T("94")</f>
        <v>94</v>
      </c>
      <c r="E2234" t="str">
        <f>T("jooki")</f>
        <v>jooki</v>
      </c>
      <c r="H2234" t="str">
        <f>T("블러쉬")</f>
        <v>블러쉬</v>
      </c>
      <c r="I2234" t="str">
        <f>T("무히비(Muhibbi)")</f>
        <v>무히비(Muhibbi)</v>
      </c>
      <c r="J2234">
        <v>100</v>
      </c>
      <c r="K2234">
        <v>100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100</v>
      </c>
      <c r="AH2234">
        <v>1</v>
      </c>
      <c r="AI2234">
        <v>0</v>
      </c>
      <c r="AJ2234">
        <v>0</v>
      </c>
      <c r="AK2234">
        <v>100</v>
      </c>
      <c r="AL2234">
        <v>0</v>
      </c>
      <c r="AM2234">
        <v>0</v>
      </c>
      <c r="AN2234">
        <v>0</v>
      </c>
      <c r="AO2234">
        <v>0</v>
      </c>
      <c r="AQ2234">
        <v>0</v>
      </c>
      <c r="AR2234">
        <v>0</v>
      </c>
      <c r="AT2234">
        <v>0</v>
      </c>
      <c r="AU2234">
        <v>0</v>
      </c>
      <c r="AW2234">
        <v>0</v>
      </c>
      <c r="AX2234">
        <v>0</v>
      </c>
      <c r="AY2234">
        <v>70</v>
      </c>
      <c r="BA2234" t="str">
        <f>T("0000000000000")</f>
        <v>0000000000000</v>
      </c>
      <c r="BC2234" t="str">
        <f>T("9791164896622")</f>
        <v>9791164896622</v>
      </c>
      <c r="BE2234" t="str">
        <f>T("BL 웹소설 &gt; 역사/시대물")</f>
        <v>BL 웹소설 &gt; 역사/시대물</v>
      </c>
    </row>
    <row r="2235" spans="1:57" x14ac:dyDescent="0.3">
      <c r="A2235">
        <v>1525012551</v>
      </c>
      <c r="B2235">
        <v>1525012623</v>
      </c>
      <c r="C2235" t="str">
        <f>T("개정판 | 바보가 만드는 멋진 세상 73화")</f>
        <v>개정판 | 바보가 만드는 멋진 세상 73화</v>
      </c>
      <c r="D2235" t="str">
        <f>T("73")</f>
        <v>73</v>
      </c>
      <c r="E2235" t="str">
        <f>T("백범(白帆)")</f>
        <v>백범(白帆)</v>
      </c>
      <c r="H2235" t="str">
        <f>T("에필로그")</f>
        <v>에필로그</v>
      </c>
      <c r="I2235" t="str">
        <f>T("개정판 | 바보가 만드는 멋진 세상")</f>
        <v>개정판 | 바보가 만드는 멋진 세상</v>
      </c>
      <c r="J2235">
        <v>100</v>
      </c>
      <c r="K2235">
        <v>100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100</v>
      </c>
      <c r="AH2235">
        <v>1</v>
      </c>
      <c r="AI2235">
        <v>0</v>
      </c>
      <c r="AJ2235">
        <v>0</v>
      </c>
      <c r="AK2235">
        <v>100</v>
      </c>
      <c r="AL2235">
        <v>0</v>
      </c>
      <c r="AM2235">
        <v>0</v>
      </c>
      <c r="AN2235">
        <v>0</v>
      </c>
      <c r="AO2235">
        <v>0</v>
      </c>
      <c r="AQ2235">
        <v>0</v>
      </c>
      <c r="AR2235">
        <v>0</v>
      </c>
      <c r="AT2235">
        <v>0</v>
      </c>
      <c r="AU2235">
        <v>0</v>
      </c>
      <c r="AW2235">
        <v>0</v>
      </c>
      <c r="AX2235">
        <v>0</v>
      </c>
      <c r="AY2235">
        <v>70</v>
      </c>
      <c r="BC2235" t="str">
        <f>T("9791166003493")</f>
        <v>9791166003493</v>
      </c>
      <c r="BE2235" t="str">
        <f>T("판타지 웹소설 &gt; 현대 판타지")</f>
        <v>판타지 웹소설 &gt; 현대 판타지</v>
      </c>
    </row>
    <row r="2236" spans="1:57" x14ac:dyDescent="0.3">
      <c r="A2236">
        <v>1525000924</v>
      </c>
      <c r="B2236">
        <v>1525000956</v>
      </c>
      <c r="C2236" t="str">
        <f>T("스피릿 소드 33화")</f>
        <v>스피릿 소드 33화</v>
      </c>
      <c r="D2236" t="str">
        <f>T("33")</f>
        <v>33</v>
      </c>
      <c r="E2236" t="str">
        <f>T("김정률")</f>
        <v>김정률</v>
      </c>
      <c r="H2236" t="str">
        <f>T("스토리위즈")</f>
        <v>스토리위즈</v>
      </c>
      <c r="I2236" t="str">
        <f>T("스피릿 소드")</f>
        <v>스피릿 소드</v>
      </c>
      <c r="J2236">
        <v>100</v>
      </c>
      <c r="K2236">
        <v>100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100</v>
      </c>
      <c r="AH2236">
        <v>1</v>
      </c>
      <c r="AI2236">
        <v>0</v>
      </c>
      <c r="AJ2236">
        <v>0</v>
      </c>
      <c r="AK2236">
        <v>100</v>
      </c>
      <c r="AL2236">
        <v>0</v>
      </c>
      <c r="AM2236">
        <v>0</v>
      </c>
      <c r="AN2236">
        <v>0</v>
      </c>
      <c r="AO2236">
        <v>0</v>
      </c>
      <c r="AQ2236">
        <v>0</v>
      </c>
      <c r="AR2236">
        <v>0</v>
      </c>
      <c r="AT2236">
        <v>0</v>
      </c>
      <c r="AU2236">
        <v>0</v>
      </c>
      <c r="AW2236">
        <v>0</v>
      </c>
      <c r="AX2236">
        <v>0</v>
      </c>
      <c r="AY2236">
        <v>70</v>
      </c>
      <c r="BA2236" t="str">
        <f>T("9791159282713")</f>
        <v>9791159282713</v>
      </c>
      <c r="BC2236" t="str">
        <f>T("9791159282713")</f>
        <v>9791159282713</v>
      </c>
      <c r="BE2236" t="str">
        <f>T("판타지 웹소설 &gt; 정통 판타지")</f>
        <v>판타지 웹소설 &gt; 정통 판타지</v>
      </c>
    </row>
    <row r="2237" spans="1:57" x14ac:dyDescent="0.3">
      <c r="A2237">
        <v>1525013020</v>
      </c>
      <c r="B2237">
        <v>1525013103</v>
      </c>
      <c r="C2237" t="str">
        <f>T("악당의 리턴 84화")</f>
        <v>악당의 리턴 84화</v>
      </c>
      <c r="D2237" t="str">
        <f>T("84")</f>
        <v>84</v>
      </c>
      <c r="E2237" t="str">
        <f>T("백범(白帆)")</f>
        <v>백범(白帆)</v>
      </c>
      <c r="H2237" t="str">
        <f>T("에필로그")</f>
        <v>에필로그</v>
      </c>
      <c r="I2237" t="str">
        <f>T("악당의 리턴")</f>
        <v>악당의 리턴</v>
      </c>
      <c r="J2237">
        <v>100</v>
      </c>
      <c r="K2237">
        <v>100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100</v>
      </c>
      <c r="AH2237">
        <v>1</v>
      </c>
      <c r="AI2237">
        <v>0</v>
      </c>
      <c r="AJ2237">
        <v>0</v>
      </c>
      <c r="AK2237">
        <v>100</v>
      </c>
      <c r="AL2237">
        <v>0</v>
      </c>
      <c r="AM2237">
        <v>0</v>
      </c>
      <c r="AN2237">
        <v>0</v>
      </c>
      <c r="AO2237">
        <v>0</v>
      </c>
      <c r="AQ2237">
        <v>0</v>
      </c>
      <c r="AR2237">
        <v>0</v>
      </c>
      <c r="AT2237">
        <v>0</v>
      </c>
      <c r="AU2237">
        <v>0</v>
      </c>
      <c r="AW2237">
        <v>0</v>
      </c>
      <c r="AX2237">
        <v>0</v>
      </c>
      <c r="AY2237">
        <v>70</v>
      </c>
      <c r="BC2237" t="str">
        <f>T("9791196538927")</f>
        <v>9791196538927</v>
      </c>
      <c r="BE2237" t="str">
        <f>T("판타지 웹소설 &gt; 현대 판타지")</f>
        <v>판타지 웹소설 &gt; 현대 판타지</v>
      </c>
    </row>
    <row r="2238" spans="1:57" x14ac:dyDescent="0.3">
      <c r="A2238">
        <v>1525012551</v>
      </c>
      <c r="B2238">
        <v>1525012664</v>
      </c>
      <c r="C2238" t="str">
        <f>T("개정판 | 바보가 만드는 멋진 세상 114화")</f>
        <v>개정판 | 바보가 만드는 멋진 세상 114화</v>
      </c>
      <c r="D2238" t="str">
        <f>T("114")</f>
        <v>114</v>
      </c>
      <c r="E2238" t="str">
        <f>T("백범(白帆)")</f>
        <v>백범(白帆)</v>
      </c>
      <c r="H2238" t="str">
        <f>T("에필로그")</f>
        <v>에필로그</v>
      </c>
      <c r="I2238" t="str">
        <f>T("개정판 | 바보가 만드는 멋진 세상")</f>
        <v>개정판 | 바보가 만드는 멋진 세상</v>
      </c>
      <c r="J2238">
        <v>100</v>
      </c>
      <c r="K2238">
        <v>100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100</v>
      </c>
      <c r="AH2238">
        <v>1</v>
      </c>
      <c r="AI2238">
        <v>0</v>
      </c>
      <c r="AJ2238">
        <v>0</v>
      </c>
      <c r="AK2238">
        <v>100</v>
      </c>
      <c r="AL2238">
        <v>0</v>
      </c>
      <c r="AM2238">
        <v>0</v>
      </c>
      <c r="AN2238">
        <v>0</v>
      </c>
      <c r="AO2238">
        <v>0</v>
      </c>
      <c r="AQ2238">
        <v>0</v>
      </c>
      <c r="AR2238">
        <v>0</v>
      </c>
      <c r="AT2238">
        <v>0</v>
      </c>
      <c r="AU2238">
        <v>0</v>
      </c>
      <c r="AW2238">
        <v>0</v>
      </c>
      <c r="AX2238">
        <v>0</v>
      </c>
      <c r="AY2238">
        <v>70</v>
      </c>
      <c r="BC2238" t="str">
        <f>T("9791166003493")</f>
        <v>9791166003493</v>
      </c>
      <c r="BE2238" t="str">
        <f>T("판타지 웹소설 &gt; 현대 판타지")</f>
        <v>판타지 웹소설 &gt; 현대 판타지</v>
      </c>
    </row>
    <row r="2239" spans="1:57" x14ac:dyDescent="0.3">
      <c r="A2239">
        <v>1525012551</v>
      </c>
      <c r="B2239">
        <v>1525012762</v>
      </c>
      <c r="C2239" t="str">
        <f>T("개정판 | 바보가 만드는 멋진 세상 212화")</f>
        <v>개정판 | 바보가 만드는 멋진 세상 212화</v>
      </c>
      <c r="D2239" t="str">
        <f>T("212")</f>
        <v>212</v>
      </c>
      <c r="E2239" t="str">
        <f>T("백범(白帆)")</f>
        <v>백범(白帆)</v>
      </c>
      <c r="H2239" t="str">
        <f>T("에필로그")</f>
        <v>에필로그</v>
      </c>
      <c r="I2239" t="str">
        <f>T("개정판 | 바보가 만드는 멋진 세상")</f>
        <v>개정판 | 바보가 만드는 멋진 세상</v>
      </c>
      <c r="J2239">
        <v>100</v>
      </c>
      <c r="K2239">
        <v>100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100</v>
      </c>
      <c r="AH2239">
        <v>1</v>
      </c>
      <c r="AI2239">
        <v>0</v>
      </c>
      <c r="AJ2239">
        <v>0</v>
      </c>
      <c r="AK2239">
        <v>100</v>
      </c>
      <c r="AL2239">
        <v>0</v>
      </c>
      <c r="AM2239">
        <v>0</v>
      </c>
      <c r="AN2239">
        <v>0</v>
      </c>
      <c r="AO2239">
        <v>0</v>
      </c>
      <c r="AQ2239">
        <v>0</v>
      </c>
      <c r="AR2239">
        <v>0</v>
      </c>
      <c r="AT2239">
        <v>0</v>
      </c>
      <c r="AU2239">
        <v>0</v>
      </c>
      <c r="AW2239">
        <v>0</v>
      </c>
      <c r="AX2239">
        <v>0</v>
      </c>
      <c r="AY2239">
        <v>70</v>
      </c>
      <c r="BC2239" t="str">
        <f>T("9791166003493")</f>
        <v>9791166003493</v>
      </c>
      <c r="BE2239" t="str">
        <f>T("판타지 웹소설 &gt; 현대 판타지")</f>
        <v>판타지 웹소설 &gt; 현대 판타지</v>
      </c>
    </row>
    <row r="2240" spans="1:57" x14ac:dyDescent="0.3">
      <c r="A2240">
        <v>1525004799</v>
      </c>
      <c r="B2240">
        <v>1525004835</v>
      </c>
      <c r="C2240" t="str">
        <f>T("검산도해 37화")</f>
        <v>검산도해 37화</v>
      </c>
      <c r="D2240" t="str">
        <f>T("37")</f>
        <v>37</v>
      </c>
      <c r="E2240" t="str">
        <f>T("권용찬")</f>
        <v>권용찬</v>
      </c>
      <c r="H2240" t="str">
        <f>T("스토리위즈")</f>
        <v>스토리위즈</v>
      </c>
      <c r="I2240" t="str">
        <f>T("검산도해")</f>
        <v>검산도해</v>
      </c>
      <c r="J2240">
        <v>100</v>
      </c>
      <c r="K2240">
        <v>100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100</v>
      </c>
      <c r="AH2240">
        <v>1</v>
      </c>
      <c r="AI2240">
        <v>0</v>
      </c>
      <c r="AJ2240">
        <v>0</v>
      </c>
      <c r="AK2240">
        <v>0</v>
      </c>
      <c r="AL2240">
        <v>0</v>
      </c>
      <c r="AM2240">
        <v>120</v>
      </c>
      <c r="AN2240">
        <v>-12</v>
      </c>
      <c r="AO2240">
        <v>0</v>
      </c>
      <c r="AQ2240">
        <v>0</v>
      </c>
      <c r="AR2240">
        <v>0</v>
      </c>
      <c r="AS2240">
        <v>120</v>
      </c>
      <c r="AT2240">
        <v>-12</v>
      </c>
      <c r="AU2240">
        <v>0</v>
      </c>
      <c r="AW2240">
        <v>0</v>
      </c>
      <c r="AX2240">
        <v>0</v>
      </c>
      <c r="AY2240">
        <v>75.599999999999994</v>
      </c>
      <c r="BC2240" t="str">
        <f>T("9791159285936")</f>
        <v>9791159285936</v>
      </c>
      <c r="BE2240" t="str">
        <f>T("판타지 웹소설 &gt; 무협 소설")</f>
        <v>판타지 웹소설 &gt; 무협 소설</v>
      </c>
    </row>
    <row r="2241" spans="1:57" x14ac:dyDescent="0.3">
      <c r="A2241">
        <v>1525004799</v>
      </c>
      <c r="B2241">
        <v>1525004892</v>
      </c>
      <c r="C2241" t="str">
        <f>T("검산도해 94화")</f>
        <v>검산도해 94화</v>
      </c>
      <c r="D2241" t="str">
        <f>T("94")</f>
        <v>94</v>
      </c>
      <c r="E2241" t="str">
        <f>T("권용찬")</f>
        <v>권용찬</v>
      </c>
      <c r="H2241" t="str">
        <f>T("스토리위즈")</f>
        <v>스토리위즈</v>
      </c>
      <c r="I2241" t="str">
        <f>T("검산도해")</f>
        <v>검산도해</v>
      </c>
      <c r="J2241">
        <v>100</v>
      </c>
      <c r="K2241">
        <v>100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100</v>
      </c>
      <c r="AH2241">
        <v>1</v>
      </c>
      <c r="AI2241">
        <v>0</v>
      </c>
      <c r="AJ2241">
        <v>0</v>
      </c>
      <c r="AK2241">
        <v>0</v>
      </c>
      <c r="AL2241">
        <v>0</v>
      </c>
      <c r="AM2241">
        <v>120</v>
      </c>
      <c r="AN2241">
        <v>-12</v>
      </c>
      <c r="AO2241">
        <v>0</v>
      </c>
      <c r="AQ2241">
        <v>0</v>
      </c>
      <c r="AR2241">
        <v>0</v>
      </c>
      <c r="AS2241">
        <v>120</v>
      </c>
      <c r="AT2241">
        <v>-12</v>
      </c>
      <c r="AU2241">
        <v>0</v>
      </c>
      <c r="AW2241">
        <v>0</v>
      </c>
      <c r="AX2241">
        <v>0</v>
      </c>
      <c r="AY2241">
        <v>75.599999999999994</v>
      </c>
      <c r="BC2241" t="str">
        <f>T("9791159285936")</f>
        <v>9791159285936</v>
      </c>
      <c r="BE2241" t="str">
        <f>T("판타지 웹소설 &gt; 무협 소설")</f>
        <v>판타지 웹소설 &gt; 무협 소설</v>
      </c>
    </row>
    <row r="2242" spans="1:57" x14ac:dyDescent="0.3">
      <c r="A2242">
        <v>1525004030</v>
      </c>
      <c r="B2242">
        <v>1525007079</v>
      </c>
      <c r="C2242" t="str">
        <f>T("회귀의 전설 2부 963화")</f>
        <v>회귀의 전설 2부 963화</v>
      </c>
      <c r="D2242" t="str">
        <f>T("963")</f>
        <v>963</v>
      </c>
      <c r="E2242" t="str">
        <f>T("김광수")</f>
        <v>김광수</v>
      </c>
      <c r="H2242" t="str">
        <f>T("스토리위즈")</f>
        <v>스토리위즈</v>
      </c>
      <c r="I2242" t="str">
        <f>T("회귀의 전설")</f>
        <v>회귀의 전설</v>
      </c>
      <c r="J2242">
        <v>100</v>
      </c>
      <c r="K2242">
        <v>100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100</v>
      </c>
      <c r="AH2242">
        <v>1</v>
      </c>
      <c r="AI2242">
        <v>0</v>
      </c>
      <c r="AJ2242">
        <v>0</v>
      </c>
      <c r="AK2242">
        <v>100</v>
      </c>
      <c r="AL2242">
        <v>0</v>
      </c>
      <c r="AM2242">
        <v>0</v>
      </c>
      <c r="AN2242">
        <v>0</v>
      </c>
      <c r="AO2242">
        <v>0</v>
      </c>
      <c r="AQ2242">
        <v>0</v>
      </c>
      <c r="AR2242">
        <v>0</v>
      </c>
      <c r="AT2242">
        <v>0</v>
      </c>
      <c r="AU2242">
        <v>0</v>
      </c>
      <c r="AW2242">
        <v>0</v>
      </c>
      <c r="AX2242">
        <v>0</v>
      </c>
      <c r="AY2242">
        <v>70</v>
      </c>
      <c r="BC2242" t="str">
        <f>T("9791191102086")</f>
        <v>9791191102086</v>
      </c>
      <c r="BE2242" t="str">
        <f>T("판타지 웹소설 &gt; 현대 판타지")</f>
        <v>판타지 웹소설 &gt; 현대 판타지</v>
      </c>
    </row>
    <row r="2243" spans="1:57" x14ac:dyDescent="0.3">
      <c r="A2243">
        <v>1525004030</v>
      </c>
      <c r="B2243">
        <v>1525004550</v>
      </c>
      <c r="C2243" t="str">
        <f>T("회귀의 전설 494화")</f>
        <v>회귀의 전설 494화</v>
      </c>
      <c r="D2243" t="str">
        <f>T("494")</f>
        <v>494</v>
      </c>
      <c r="E2243" t="str">
        <f>T("김광수")</f>
        <v>김광수</v>
      </c>
      <c r="H2243" t="str">
        <f>T("스토리위즈")</f>
        <v>스토리위즈</v>
      </c>
      <c r="I2243" t="str">
        <f>T("회귀의 전설")</f>
        <v>회귀의 전설</v>
      </c>
      <c r="J2243">
        <v>100</v>
      </c>
      <c r="K2243">
        <v>100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100</v>
      </c>
      <c r="AH2243">
        <v>1</v>
      </c>
      <c r="AI2243">
        <v>0</v>
      </c>
      <c r="AJ2243">
        <v>0</v>
      </c>
      <c r="AK2243">
        <v>100</v>
      </c>
      <c r="AL2243">
        <v>0</v>
      </c>
      <c r="AM2243">
        <v>0</v>
      </c>
      <c r="AN2243">
        <v>0</v>
      </c>
      <c r="AO2243">
        <v>0</v>
      </c>
      <c r="AQ2243">
        <v>0</v>
      </c>
      <c r="AR2243">
        <v>0</v>
      </c>
      <c r="AT2243">
        <v>0</v>
      </c>
      <c r="AU2243">
        <v>0</v>
      </c>
      <c r="AW2243">
        <v>0</v>
      </c>
      <c r="AX2243">
        <v>0</v>
      </c>
      <c r="AY2243">
        <v>70</v>
      </c>
      <c r="BC2243" t="str">
        <f>T("9788997946006")</f>
        <v>9788997946006</v>
      </c>
      <c r="BE2243" t="str">
        <f>T("판타지 웹소설 &gt; 현대 판타지")</f>
        <v>판타지 웹소설 &gt; 현대 판타지</v>
      </c>
    </row>
    <row r="2244" spans="1:57" x14ac:dyDescent="0.3">
      <c r="A2244">
        <v>1525015018</v>
      </c>
      <c r="B2244">
        <v>1525015039</v>
      </c>
      <c r="C2244" t="str">
        <f>T("그녀들은 소꿉친구지, 그 이상은 곤란합니다 22화")</f>
        <v>그녀들은 소꿉친구지, 그 이상은 곤란합니다 22화</v>
      </c>
      <c r="D2244" t="str">
        <f>T("22")</f>
        <v>22</v>
      </c>
      <c r="E2244" t="str">
        <f>T("자이오")</f>
        <v>자이오</v>
      </c>
      <c r="H2244" t="str">
        <f>T("스토리아크")</f>
        <v>스토리아크</v>
      </c>
      <c r="I2244" t="str">
        <f>T("그녀들은 소꿉친구지, 그 이상은 곤란합니다")</f>
        <v>그녀들은 소꿉친구지, 그 이상은 곤란합니다</v>
      </c>
      <c r="J2244">
        <v>100</v>
      </c>
      <c r="K2244">
        <v>100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100</v>
      </c>
      <c r="AH2244">
        <v>1</v>
      </c>
      <c r="AI2244">
        <v>0</v>
      </c>
      <c r="AJ2244">
        <v>0</v>
      </c>
      <c r="AK2244">
        <v>100</v>
      </c>
      <c r="AL2244">
        <v>0</v>
      </c>
      <c r="AM2244">
        <v>0</v>
      </c>
      <c r="AN2244">
        <v>0</v>
      </c>
      <c r="AO2244">
        <v>0</v>
      </c>
      <c r="AQ2244">
        <v>0</v>
      </c>
      <c r="AR2244">
        <v>0</v>
      </c>
      <c r="AT2244">
        <v>0</v>
      </c>
      <c r="AU2244">
        <v>0</v>
      </c>
      <c r="AW2244">
        <v>0</v>
      </c>
      <c r="AX2244">
        <v>0</v>
      </c>
      <c r="AY2244">
        <v>70</v>
      </c>
      <c r="BC2244" t="str">
        <f>T("9791191039313")</f>
        <v>9791191039313</v>
      </c>
      <c r="BE2244" t="str">
        <f>T("판타지 웹소설 &gt; 퓨전 판타지")</f>
        <v>판타지 웹소설 &gt; 퓨전 판타지</v>
      </c>
    </row>
    <row r="2245" spans="1:57" x14ac:dyDescent="0.3">
      <c r="A2245">
        <v>1525002692</v>
      </c>
      <c r="B2245">
        <v>1525002847</v>
      </c>
      <c r="C2245" t="str">
        <f>T("신규무사 156화 (완결)")</f>
        <v>신규무사 156화 (완결)</v>
      </c>
      <c r="D2245" t="str">
        <f>T("156")</f>
        <v>156</v>
      </c>
      <c r="E2245" t="str">
        <f>T("권용찬")</f>
        <v>권용찬</v>
      </c>
      <c r="H2245" t="str">
        <f>T("스토리위즈")</f>
        <v>스토리위즈</v>
      </c>
      <c r="I2245" t="str">
        <f>T("신규무사")</f>
        <v>신규무사</v>
      </c>
      <c r="J2245">
        <v>100</v>
      </c>
      <c r="K2245">
        <v>100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100</v>
      </c>
      <c r="AH2245">
        <v>1</v>
      </c>
      <c r="AI2245">
        <v>0</v>
      </c>
      <c r="AJ2245">
        <v>0</v>
      </c>
      <c r="AK2245">
        <v>100</v>
      </c>
      <c r="AL2245">
        <v>0</v>
      </c>
      <c r="AM2245">
        <v>0</v>
      </c>
      <c r="AN2245">
        <v>0</v>
      </c>
      <c r="AO2245">
        <v>0</v>
      </c>
      <c r="AQ2245">
        <v>0</v>
      </c>
      <c r="AR2245">
        <v>0</v>
      </c>
      <c r="AT2245">
        <v>0</v>
      </c>
      <c r="AU2245">
        <v>0</v>
      </c>
      <c r="AW2245">
        <v>0</v>
      </c>
      <c r="AX2245">
        <v>0</v>
      </c>
      <c r="AY2245">
        <v>70</v>
      </c>
      <c r="BC2245" t="str">
        <f>T("9791159287480")</f>
        <v>9791159287480</v>
      </c>
      <c r="BE2245" t="str">
        <f>T("판타지 웹소설 &gt; 무협 소설")</f>
        <v>판타지 웹소설 &gt; 무협 소설</v>
      </c>
    </row>
    <row r="2246" spans="1:57" x14ac:dyDescent="0.3">
      <c r="A2246">
        <v>1525013020</v>
      </c>
      <c r="B2246">
        <v>1525013092</v>
      </c>
      <c r="C2246" t="str">
        <f>T("악당의 리턴 73화")</f>
        <v>악당의 리턴 73화</v>
      </c>
      <c r="D2246" t="str">
        <f>T("73")</f>
        <v>73</v>
      </c>
      <c r="E2246" t="str">
        <f>T("백범(白帆)")</f>
        <v>백범(白帆)</v>
      </c>
      <c r="H2246" t="str">
        <f>T("에필로그")</f>
        <v>에필로그</v>
      </c>
      <c r="I2246" t="str">
        <f>T("악당의 리턴")</f>
        <v>악당의 리턴</v>
      </c>
      <c r="J2246">
        <v>100</v>
      </c>
      <c r="K2246">
        <v>100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100</v>
      </c>
      <c r="AH2246">
        <v>1</v>
      </c>
      <c r="AI2246">
        <v>0</v>
      </c>
      <c r="AJ2246">
        <v>0</v>
      </c>
      <c r="AK2246">
        <v>100</v>
      </c>
      <c r="AL2246">
        <v>0</v>
      </c>
      <c r="AM2246">
        <v>0</v>
      </c>
      <c r="AN2246">
        <v>0</v>
      </c>
      <c r="AO2246">
        <v>0</v>
      </c>
      <c r="AQ2246">
        <v>0</v>
      </c>
      <c r="AR2246">
        <v>0</v>
      </c>
      <c r="AT2246">
        <v>0</v>
      </c>
      <c r="AU2246">
        <v>0</v>
      </c>
      <c r="AW2246">
        <v>0</v>
      </c>
      <c r="AX2246">
        <v>0</v>
      </c>
      <c r="AY2246">
        <v>70</v>
      </c>
      <c r="BC2246" t="str">
        <f>T("9791196538927")</f>
        <v>9791196538927</v>
      </c>
      <c r="BE2246" t="str">
        <f>T("판타지 웹소설 &gt; 현대 판타지")</f>
        <v>판타지 웹소설 &gt; 현대 판타지</v>
      </c>
    </row>
    <row r="2247" spans="1:57" x14ac:dyDescent="0.3">
      <c r="A2247">
        <v>1525008545</v>
      </c>
      <c r="B2247">
        <v>1525008579</v>
      </c>
      <c r="C2247" t="str">
        <f>T("소년연애담 50화")</f>
        <v>소년연애담 50화</v>
      </c>
      <c r="D2247" t="str">
        <f>T("50")</f>
        <v>50</v>
      </c>
      <c r="E2247" t="str">
        <f>T("나나코")</f>
        <v>나나코</v>
      </c>
      <c r="H2247" t="str">
        <f>T("블러쉬")</f>
        <v>블러쉬</v>
      </c>
      <c r="I2247" t="str">
        <f>T("소년연애담")</f>
        <v>소년연애담</v>
      </c>
      <c r="J2247">
        <v>100</v>
      </c>
      <c r="K2247">
        <v>100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100</v>
      </c>
      <c r="AH2247">
        <v>1</v>
      </c>
      <c r="AI2247">
        <v>0</v>
      </c>
      <c r="AJ2247">
        <v>0</v>
      </c>
      <c r="AK2247">
        <v>100</v>
      </c>
      <c r="AL2247">
        <v>0</v>
      </c>
      <c r="AM2247">
        <v>0</v>
      </c>
      <c r="AN2247">
        <v>0</v>
      </c>
      <c r="AO2247">
        <v>0</v>
      </c>
      <c r="AQ2247">
        <v>0</v>
      </c>
      <c r="AR2247">
        <v>0</v>
      </c>
      <c r="AT2247">
        <v>0</v>
      </c>
      <c r="AU2247">
        <v>0</v>
      </c>
      <c r="AW2247">
        <v>0</v>
      </c>
      <c r="AX2247">
        <v>0</v>
      </c>
      <c r="AY2247">
        <v>70</v>
      </c>
      <c r="BA2247" t="str">
        <f>T("0000000000000")</f>
        <v>0000000000000</v>
      </c>
      <c r="BC2247" t="str">
        <f>T("9791164890729")</f>
        <v>9791164890729</v>
      </c>
      <c r="BD2247" t="str">
        <f>T("B12")</f>
        <v>B12</v>
      </c>
      <c r="BE2247" t="str">
        <f>T("BL 웹소설 &gt; 현대물")</f>
        <v>BL 웹소설 &gt; 현대물</v>
      </c>
    </row>
    <row r="2248" spans="1:57" x14ac:dyDescent="0.3">
      <c r="A2248">
        <v>1525004030</v>
      </c>
      <c r="B2248">
        <v>1525006654</v>
      </c>
      <c r="C2248" t="str">
        <f>T("회귀의 전설 2부 537화")</f>
        <v>회귀의 전설 2부 537화</v>
      </c>
      <c r="D2248" t="str">
        <f>T("537")</f>
        <v>537</v>
      </c>
      <c r="E2248" t="str">
        <f>T("김광수")</f>
        <v>김광수</v>
      </c>
      <c r="H2248" t="str">
        <f>T("스토리위즈")</f>
        <v>스토리위즈</v>
      </c>
      <c r="I2248" t="str">
        <f>T("회귀의 전설")</f>
        <v>회귀의 전설</v>
      </c>
      <c r="J2248">
        <v>100</v>
      </c>
      <c r="K2248">
        <v>100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100</v>
      </c>
      <c r="AH2248">
        <v>1</v>
      </c>
      <c r="AI2248">
        <v>0</v>
      </c>
      <c r="AJ2248">
        <v>0</v>
      </c>
      <c r="AK2248">
        <v>100</v>
      </c>
      <c r="AL2248">
        <v>0</v>
      </c>
      <c r="AM2248">
        <v>0</v>
      </c>
      <c r="AN2248">
        <v>0</v>
      </c>
      <c r="AO2248">
        <v>0</v>
      </c>
      <c r="AQ2248">
        <v>0</v>
      </c>
      <c r="AR2248">
        <v>0</v>
      </c>
      <c r="AT2248">
        <v>0</v>
      </c>
      <c r="AU2248">
        <v>0</v>
      </c>
      <c r="AW2248">
        <v>0</v>
      </c>
      <c r="AX2248">
        <v>0</v>
      </c>
      <c r="AY2248">
        <v>70</v>
      </c>
      <c r="BC2248" t="str">
        <f>T("9791191102086")</f>
        <v>9791191102086</v>
      </c>
      <c r="BE2248" t="str">
        <f>T("판타지 웹소설 &gt; 현대 판타지")</f>
        <v>판타지 웹소설 &gt; 현대 판타지</v>
      </c>
    </row>
    <row r="2249" spans="1:57" x14ac:dyDescent="0.3">
      <c r="A2249">
        <v>1525012551</v>
      </c>
      <c r="B2249">
        <v>1525012653</v>
      </c>
      <c r="C2249" t="str">
        <f>T("개정판 | 바보가 만드는 멋진 세상 103화")</f>
        <v>개정판 | 바보가 만드는 멋진 세상 103화</v>
      </c>
      <c r="D2249" t="str">
        <f>T("103")</f>
        <v>103</v>
      </c>
      <c r="E2249" t="str">
        <f>T("백범(白帆)")</f>
        <v>백범(白帆)</v>
      </c>
      <c r="H2249" t="str">
        <f>T("에필로그")</f>
        <v>에필로그</v>
      </c>
      <c r="I2249" t="str">
        <f>T("개정판 | 바보가 만드는 멋진 세상")</f>
        <v>개정판 | 바보가 만드는 멋진 세상</v>
      </c>
      <c r="J2249">
        <v>100</v>
      </c>
      <c r="K2249">
        <v>100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100</v>
      </c>
      <c r="AH2249">
        <v>1</v>
      </c>
      <c r="AI2249">
        <v>0</v>
      </c>
      <c r="AJ2249">
        <v>0</v>
      </c>
      <c r="AK2249">
        <v>100</v>
      </c>
      <c r="AL2249">
        <v>0</v>
      </c>
      <c r="AM2249">
        <v>0</v>
      </c>
      <c r="AN2249">
        <v>0</v>
      </c>
      <c r="AO2249">
        <v>0</v>
      </c>
      <c r="AQ2249">
        <v>0</v>
      </c>
      <c r="AR2249">
        <v>0</v>
      </c>
      <c r="AT2249">
        <v>0</v>
      </c>
      <c r="AU2249">
        <v>0</v>
      </c>
      <c r="AW2249">
        <v>0</v>
      </c>
      <c r="AX2249">
        <v>0</v>
      </c>
      <c r="AY2249">
        <v>70</v>
      </c>
      <c r="BC2249" t="str">
        <f>T("9791166003493")</f>
        <v>9791166003493</v>
      </c>
      <c r="BE2249" t="str">
        <f>T("판타지 웹소설 &gt; 현대 판타지")</f>
        <v>판타지 웹소설 &gt; 현대 판타지</v>
      </c>
    </row>
    <row r="2250" spans="1:57" x14ac:dyDescent="0.3">
      <c r="A2250">
        <v>1525012551</v>
      </c>
      <c r="B2250">
        <v>1525012751</v>
      </c>
      <c r="C2250" t="str">
        <f>T("개정판 | 바보가 만드는 멋진 세상 201화")</f>
        <v>개정판 | 바보가 만드는 멋진 세상 201화</v>
      </c>
      <c r="D2250" t="str">
        <f>T("201")</f>
        <v>201</v>
      </c>
      <c r="E2250" t="str">
        <f>T("백범(白帆)")</f>
        <v>백범(白帆)</v>
      </c>
      <c r="H2250" t="str">
        <f>T("에필로그")</f>
        <v>에필로그</v>
      </c>
      <c r="I2250" t="str">
        <f>T("개정판 | 바보가 만드는 멋진 세상")</f>
        <v>개정판 | 바보가 만드는 멋진 세상</v>
      </c>
      <c r="J2250">
        <v>100</v>
      </c>
      <c r="K2250">
        <v>100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100</v>
      </c>
      <c r="AH2250">
        <v>1</v>
      </c>
      <c r="AI2250">
        <v>0</v>
      </c>
      <c r="AJ2250">
        <v>0</v>
      </c>
      <c r="AK2250">
        <v>100</v>
      </c>
      <c r="AL2250">
        <v>0</v>
      </c>
      <c r="AM2250">
        <v>0</v>
      </c>
      <c r="AN2250">
        <v>0</v>
      </c>
      <c r="AO2250">
        <v>0</v>
      </c>
      <c r="AQ2250">
        <v>0</v>
      </c>
      <c r="AR2250">
        <v>0</v>
      </c>
      <c r="AT2250">
        <v>0</v>
      </c>
      <c r="AU2250">
        <v>0</v>
      </c>
      <c r="AW2250">
        <v>0</v>
      </c>
      <c r="AX2250">
        <v>0</v>
      </c>
      <c r="AY2250">
        <v>70</v>
      </c>
      <c r="BC2250" t="str">
        <f>T("9791166003493")</f>
        <v>9791166003493</v>
      </c>
      <c r="BE2250" t="str">
        <f>T("판타지 웹소설 &gt; 현대 판타지")</f>
        <v>판타지 웹소설 &gt; 현대 판타지</v>
      </c>
    </row>
    <row r="2251" spans="1:57" x14ac:dyDescent="0.3">
      <c r="A2251">
        <v>1525004799</v>
      </c>
      <c r="B2251">
        <v>1525004824</v>
      </c>
      <c r="C2251" t="str">
        <f>T("검산도해 26화")</f>
        <v>검산도해 26화</v>
      </c>
      <c r="D2251" t="str">
        <f>T("26")</f>
        <v>26</v>
      </c>
      <c r="E2251" t="str">
        <f>T("권용찬")</f>
        <v>권용찬</v>
      </c>
      <c r="H2251" t="str">
        <f>T("스토리위즈")</f>
        <v>스토리위즈</v>
      </c>
      <c r="I2251" t="str">
        <f>T("검산도해")</f>
        <v>검산도해</v>
      </c>
      <c r="J2251">
        <v>100</v>
      </c>
      <c r="K2251">
        <v>100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100</v>
      </c>
      <c r="AH2251">
        <v>1</v>
      </c>
      <c r="AI2251">
        <v>0</v>
      </c>
      <c r="AJ2251">
        <v>0</v>
      </c>
      <c r="AK2251">
        <v>0</v>
      </c>
      <c r="AL2251">
        <v>0</v>
      </c>
      <c r="AM2251">
        <v>120</v>
      </c>
      <c r="AN2251">
        <v>-12</v>
      </c>
      <c r="AO2251">
        <v>0</v>
      </c>
      <c r="AQ2251">
        <v>0</v>
      </c>
      <c r="AR2251">
        <v>0</v>
      </c>
      <c r="AS2251">
        <v>120</v>
      </c>
      <c r="AT2251">
        <v>-12</v>
      </c>
      <c r="AU2251">
        <v>0</v>
      </c>
      <c r="AW2251">
        <v>0</v>
      </c>
      <c r="AX2251">
        <v>0</v>
      </c>
      <c r="AY2251">
        <v>75.599999999999994</v>
      </c>
      <c r="BC2251" t="str">
        <f>T("9791159285936")</f>
        <v>9791159285936</v>
      </c>
      <c r="BE2251" t="str">
        <f>T("판타지 웹소설 &gt; 무협 소설")</f>
        <v>판타지 웹소설 &gt; 무협 소설</v>
      </c>
    </row>
    <row r="2252" spans="1:57" x14ac:dyDescent="0.3">
      <c r="A2252">
        <v>1525004799</v>
      </c>
      <c r="B2252">
        <v>1525004881</v>
      </c>
      <c r="C2252" t="str">
        <f>T("검산도해 83화")</f>
        <v>검산도해 83화</v>
      </c>
      <c r="D2252" t="str">
        <f>T("83")</f>
        <v>83</v>
      </c>
      <c r="E2252" t="str">
        <f>T("권용찬")</f>
        <v>권용찬</v>
      </c>
      <c r="H2252" t="str">
        <f>T("스토리위즈")</f>
        <v>스토리위즈</v>
      </c>
      <c r="I2252" t="str">
        <f>T("검산도해")</f>
        <v>검산도해</v>
      </c>
      <c r="J2252">
        <v>100</v>
      </c>
      <c r="K2252">
        <v>100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100</v>
      </c>
      <c r="AH2252">
        <v>1</v>
      </c>
      <c r="AI2252">
        <v>0</v>
      </c>
      <c r="AJ2252">
        <v>0</v>
      </c>
      <c r="AK2252">
        <v>0</v>
      </c>
      <c r="AL2252">
        <v>0</v>
      </c>
      <c r="AM2252">
        <v>120</v>
      </c>
      <c r="AN2252">
        <v>-12</v>
      </c>
      <c r="AO2252">
        <v>0</v>
      </c>
      <c r="AQ2252">
        <v>0</v>
      </c>
      <c r="AR2252">
        <v>0</v>
      </c>
      <c r="AS2252">
        <v>120</v>
      </c>
      <c r="AT2252">
        <v>-12</v>
      </c>
      <c r="AU2252">
        <v>0</v>
      </c>
      <c r="AW2252">
        <v>0</v>
      </c>
      <c r="AX2252">
        <v>0</v>
      </c>
      <c r="AY2252">
        <v>75.599999999999994</v>
      </c>
      <c r="BC2252" t="str">
        <f>T("9791159285936")</f>
        <v>9791159285936</v>
      </c>
      <c r="BE2252" t="str">
        <f>T("판타지 웹소설 &gt; 무협 소설")</f>
        <v>판타지 웹소설 &gt; 무협 소설</v>
      </c>
    </row>
    <row r="2253" spans="1:57" x14ac:dyDescent="0.3">
      <c r="A2253">
        <v>1525000924</v>
      </c>
      <c r="B2253">
        <v>1525000977</v>
      </c>
      <c r="C2253" t="str">
        <f>T("스피릿 소드 54화")</f>
        <v>스피릿 소드 54화</v>
      </c>
      <c r="D2253" t="str">
        <f>T("54")</f>
        <v>54</v>
      </c>
      <c r="E2253" t="str">
        <f>T("김정률")</f>
        <v>김정률</v>
      </c>
      <c r="H2253" t="str">
        <f>T("스토리위즈")</f>
        <v>스토리위즈</v>
      </c>
      <c r="I2253" t="str">
        <f>T("스피릿 소드")</f>
        <v>스피릿 소드</v>
      </c>
      <c r="J2253">
        <v>100</v>
      </c>
      <c r="K2253">
        <v>100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100</v>
      </c>
      <c r="AH2253">
        <v>1</v>
      </c>
      <c r="AI2253">
        <v>0</v>
      </c>
      <c r="AJ2253">
        <v>0</v>
      </c>
      <c r="AK2253">
        <v>100</v>
      </c>
      <c r="AL2253">
        <v>0</v>
      </c>
      <c r="AM2253">
        <v>0</v>
      </c>
      <c r="AN2253">
        <v>0</v>
      </c>
      <c r="AO2253">
        <v>0</v>
      </c>
      <c r="AQ2253">
        <v>0</v>
      </c>
      <c r="AR2253">
        <v>0</v>
      </c>
      <c r="AT2253">
        <v>0</v>
      </c>
      <c r="AU2253">
        <v>0</v>
      </c>
      <c r="AW2253">
        <v>0</v>
      </c>
      <c r="AX2253">
        <v>0</v>
      </c>
      <c r="AY2253">
        <v>70</v>
      </c>
      <c r="BA2253" t="str">
        <f>T("9791159282713")</f>
        <v>9791159282713</v>
      </c>
      <c r="BC2253" t="str">
        <f>T("9791159282713")</f>
        <v>9791159282713</v>
      </c>
      <c r="BE2253" t="str">
        <f>T("판타지 웹소설 &gt; 정통 판타지")</f>
        <v>판타지 웹소설 &gt; 정통 판타지</v>
      </c>
    </row>
    <row r="2254" spans="1:57" x14ac:dyDescent="0.3">
      <c r="A2254">
        <v>1525004030</v>
      </c>
      <c r="B2254">
        <v>1525007068</v>
      </c>
      <c r="C2254" t="str">
        <f>T("회귀의 전설 2부 952화")</f>
        <v>회귀의 전설 2부 952화</v>
      </c>
      <c r="D2254" t="str">
        <f>T("952")</f>
        <v>952</v>
      </c>
      <c r="E2254" t="str">
        <f>T("김광수")</f>
        <v>김광수</v>
      </c>
      <c r="H2254" t="str">
        <f>T("스토리위즈")</f>
        <v>스토리위즈</v>
      </c>
      <c r="I2254" t="str">
        <f>T("회귀의 전설")</f>
        <v>회귀의 전설</v>
      </c>
      <c r="J2254">
        <v>100</v>
      </c>
      <c r="K2254">
        <v>100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100</v>
      </c>
      <c r="AH2254">
        <v>1</v>
      </c>
      <c r="AI2254">
        <v>0</v>
      </c>
      <c r="AJ2254">
        <v>0</v>
      </c>
      <c r="AK2254">
        <v>100</v>
      </c>
      <c r="AL2254">
        <v>0</v>
      </c>
      <c r="AM2254">
        <v>0</v>
      </c>
      <c r="AN2254">
        <v>0</v>
      </c>
      <c r="AO2254">
        <v>0</v>
      </c>
      <c r="AQ2254">
        <v>0</v>
      </c>
      <c r="AR2254">
        <v>0</v>
      </c>
      <c r="AT2254">
        <v>0</v>
      </c>
      <c r="AU2254">
        <v>0</v>
      </c>
      <c r="AW2254">
        <v>0</v>
      </c>
      <c r="AX2254">
        <v>0</v>
      </c>
      <c r="AY2254">
        <v>70</v>
      </c>
      <c r="BC2254" t="str">
        <f>T("9791191102086")</f>
        <v>9791191102086</v>
      </c>
      <c r="BE2254" t="str">
        <f>T("판타지 웹소설 &gt; 현대 판타지")</f>
        <v>판타지 웹소설 &gt; 현대 판타지</v>
      </c>
    </row>
    <row r="2255" spans="1:57" x14ac:dyDescent="0.3">
      <c r="A2255">
        <v>1525004030</v>
      </c>
      <c r="B2255">
        <v>1525004539</v>
      </c>
      <c r="C2255" t="str">
        <f>T("회귀의 전설 516화")</f>
        <v>회귀의 전설 516화</v>
      </c>
      <c r="D2255" t="str">
        <f>T("516")</f>
        <v>516</v>
      </c>
      <c r="E2255" t="str">
        <f>T("김광수")</f>
        <v>김광수</v>
      </c>
      <c r="H2255" t="str">
        <f>T("스토리위즈")</f>
        <v>스토리위즈</v>
      </c>
      <c r="I2255" t="str">
        <f>T("회귀의 전설")</f>
        <v>회귀의 전설</v>
      </c>
      <c r="J2255">
        <v>100</v>
      </c>
      <c r="K2255">
        <v>100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100</v>
      </c>
      <c r="AH2255">
        <v>1</v>
      </c>
      <c r="AI2255">
        <v>0</v>
      </c>
      <c r="AJ2255">
        <v>0</v>
      </c>
      <c r="AK2255">
        <v>100</v>
      </c>
      <c r="AL2255">
        <v>0</v>
      </c>
      <c r="AM2255">
        <v>0</v>
      </c>
      <c r="AN2255">
        <v>0</v>
      </c>
      <c r="AO2255">
        <v>0</v>
      </c>
      <c r="AQ2255">
        <v>0</v>
      </c>
      <c r="AR2255">
        <v>0</v>
      </c>
      <c r="AT2255">
        <v>0</v>
      </c>
      <c r="AU2255">
        <v>0</v>
      </c>
      <c r="AW2255">
        <v>0</v>
      </c>
      <c r="AX2255">
        <v>0</v>
      </c>
      <c r="AY2255">
        <v>70</v>
      </c>
      <c r="BC2255" t="str">
        <f>T("9788997946006")</f>
        <v>9788997946006</v>
      </c>
      <c r="BE2255" t="str">
        <f>T("판타지 웹소설 &gt; 현대 판타지")</f>
        <v>판타지 웹소설 &gt; 현대 판타지</v>
      </c>
    </row>
    <row r="2256" spans="1:57" x14ac:dyDescent="0.3">
      <c r="A2256">
        <v>1525013020</v>
      </c>
      <c r="B2256">
        <v>1525013109</v>
      </c>
      <c r="C2256" t="str">
        <f>T("악당의 리턴 90화")</f>
        <v>악당의 리턴 90화</v>
      </c>
      <c r="D2256" t="str">
        <f>T("90")</f>
        <v>90</v>
      </c>
      <c r="E2256" t="str">
        <f>T("백범(白帆)")</f>
        <v>백범(白帆)</v>
      </c>
      <c r="H2256" t="str">
        <f>T("에필로그")</f>
        <v>에필로그</v>
      </c>
      <c r="I2256" t="str">
        <f>T("악당의 리턴")</f>
        <v>악당의 리턴</v>
      </c>
      <c r="J2256">
        <v>100</v>
      </c>
      <c r="K2256">
        <v>100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100</v>
      </c>
      <c r="AH2256">
        <v>1</v>
      </c>
      <c r="AI2256">
        <v>0</v>
      </c>
      <c r="AJ2256">
        <v>0</v>
      </c>
      <c r="AK2256">
        <v>100</v>
      </c>
      <c r="AL2256">
        <v>0</v>
      </c>
      <c r="AM2256">
        <v>0</v>
      </c>
      <c r="AN2256">
        <v>0</v>
      </c>
      <c r="AO2256">
        <v>0</v>
      </c>
      <c r="AQ2256">
        <v>0</v>
      </c>
      <c r="AR2256">
        <v>0</v>
      </c>
      <c r="AT2256">
        <v>0</v>
      </c>
      <c r="AU2256">
        <v>0</v>
      </c>
      <c r="AW2256">
        <v>0</v>
      </c>
      <c r="AX2256">
        <v>0</v>
      </c>
      <c r="AY2256">
        <v>70</v>
      </c>
      <c r="BC2256" t="str">
        <f>T("9791196538927")</f>
        <v>9791196538927</v>
      </c>
      <c r="BE2256" t="str">
        <f>T("판타지 웹소설 &gt; 현대 판타지")</f>
        <v>판타지 웹소설 &gt; 현대 판타지</v>
      </c>
    </row>
    <row r="2257" spans="1:57" x14ac:dyDescent="0.3">
      <c r="A2257">
        <v>1525008717</v>
      </c>
      <c r="B2257">
        <v>1525008693</v>
      </c>
      <c r="C2257" t="str">
        <f>T("음양상열지사 106화")</f>
        <v>음양상열지사 106화</v>
      </c>
      <c r="D2257" t="str">
        <f>T("106")</f>
        <v>106</v>
      </c>
      <c r="E2257" t="str">
        <f>T("이염")</f>
        <v>이염</v>
      </c>
      <c r="H2257" t="str">
        <f>T("블러쉬")</f>
        <v>블러쉬</v>
      </c>
      <c r="I2257" t="str">
        <f>T("음양상열지사")</f>
        <v>음양상열지사</v>
      </c>
      <c r="J2257">
        <v>100</v>
      </c>
      <c r="K2257">
        <v>100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100</v>
      </c>
      <c r="AH2257">
        <v>1</v>
      </c>
      <c r="AI2257">
        <v>0</v>
      </c>
      <c r="AJ2257">
        <v>0</v>
      </c>
      <c r="AK2257">
        <v>100</v>
      </c>
      <c r="AL2257">
        <v>0</v>
      </c>
      <c r="AM2257">
        <v>0</v>
      </c>
      <c r="AN2257">
        <v>0</v>
      </c>
      <c r="AO2257">
        <v>0</v>
      </c>
      <c r="AQ2257">
        <v>0</v>
      </c>
      <c r="AR2257">
        <v>0</v>
      </c>
      <c r="AT2257">
        <v>0</v>
      </c>
      <c r="AU2257">
        <v>0</v>
      </c>
      <c r="AW2257">
        <v>0</v>
      </c>
      <c r="AX2257">
        <v>0</v>
      </c>
      <c r="AY2257">
        <v>70</v>
      </c>
      <c r="BA2257" t="str">
        <f>T("0000000000000")</f>
        <v>0000000000000</v>
      </c>
      <c r="BC2257" t="str">
        <f>T("9791164896639")</f>
        <v>9791164896639</v>
      </c>
      <c r="BE2257" t="str">
        <f>T("BL 웹소설 &gt; 역사/시대물")</f>
        <v>BL 웹소설 &gt; 역사/시대물</v>
      </c>
    </row>
    <row r="2258" spans="1:57" x14ac:dyDescent="0.3">
      <c r="A2258">
        <v>1525012551</v>
      </c>
      <c r="B2258">
        <v>1525012685</v>
      </c>
      <c r="C2258" t="str">
        <f>T("개정판 | 바보가 만드는 멋진 세상 135화")</f>
        <v>개정판 | 바보가 만드는 멋진 세상 135화</v>
      </c>
      <c r="D2258" t="str">
        <f>T("135")</f>
        <v>135</v>
      </c>
      <c r="E2258" t="str">
        <f>T("백범(白帆)")</f>
        <v>백범(白帆)</v>
      </c>
      <c r="H2258" t="str">
        <f>T("에필로그")</f>
        <v>에필로그</v>
      </c>
      <c r="I2258" t="str">
        <f>T("개정판 | 바보가 만드는 멋진 세상")</f>
        <v>개정판 | 바보가 만드는 멋진 세상</v>
      </c>
      <c r="J2258">
        <v>100</v>
      </c>
      <c r="K2258">
        <v>100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100</v>
      </c>
      <c r="AH2258">
        <v>1</v>
      </c>
      <c r="AI2258">
        <v>0</v>
      </c>
      <c r="AJ2258">
        <v>0</v>
      </c>
      <c r="AK2258">
        <v>100</v>
      </c>
      <c r="AL2258">
        <v>0</v>
      </c>
      <c r="AM2258">
        <v>0</v>
      </c>
      <c r="AN2258">
        <v>0</v>
      </c>
      <c r="AO2258">
        <v>0</v>
      </c>
      <c r="AQ2258">
        <v>0</v>
      </c>
      <c r="AR2258">
        <v>0</v>
      </c>
      <c r="AT2258">
        <v>0</v>
      </c>
      <c r="AU2258">
        <v>0</v>
      </c>
      <c r="AW2258">
        <v>0</v>
      </c>
      <c r="AX2258">
        <v>0</v>
      </c>
      <c r="AY2258">
        <v>70</v>
      </c>
      <c r="BC2258" t="str">
        <f>T("9791166003493")</f>
        <v>9791166003493</v>
      </c>
      <c r="BE2258" t="str">
        <f>T("판타지 웹소설 &gt; 현대 판타지")</f>
        <v>판타지 웹소설 &gt; 현대 판타지</v>
      </c>
    </row>
    <row r="2259" spans="1:57" x14ac:dyDescent="0.3">
      <c r="A2259">
        <v>1525004799</v>
      </c>
      <c r="B2259">
        <v>1525004856</v>
      </c>
      <c r="C2259" t="str">
        <f>T("검산도해 58화")</f>
        <v>검산도해 58화</v>
      </c>
      <c r="D2259" t="str">
        <f>T("58")</f>
        <v>58</v>
      </c>
      <c r="E2259" t="str">
        <f>T("권용찬")</f>
        <v>권용찬</v>
      </c>
      <c r="H2259" t="str">
        <f>T("스토리위즈")</f>
        <v>스토리위즈</v>
      </c>
      <c r="I2259" t="str">
        <f>T("검산도해")</f>
        <v>검산도해</v>
      </c>
      <c r="J2259">
        <v>100</v>
      </c>
      <c r="K2259">
        <v>100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100</v>
      </c>
      <c r="AH2259">
        <v>1</v>
      </c>
      <c r="AI2259">
        <v>0</v>
      </c>
      <c r="AJ2259">
        <v>0</v>
      </c>
      <c r="AK2259">
        <v>0</v>
      </c>
      <c r="AL2259">
        <v>0</v>
      </c>
      <c r="AM2259">
        <v>120</v>
      </c>
      <c r="AN2259">
        <v>-12</v>
      </c>
      <c r="AO2259">
        <v>0</v>
      </c>
      <c r="AQ2259">
        <v>0</v>
      </c>
      <c r="AR2259">
        <v>0</v>
      </c>
      <c r="AS2259">
        <v>120</v>
      </c>
      <c r="AT2259">
        <v>-12</v>
      </c>
      <c r="AU2259">
        <v>0</v>
      </c>
      <c r="AW2259">
        <v>0</v>
      </c>
      <c r="AX2259">
        <v>0</v>
      </c>
      <c r="AY2259">
        <v>75.599999999999994</v>
      </c>
      <c r="BC2259" t="str">
        <f>T("9791159285936")</f>
        <v>9791159285936</v>
      </c>
      <c r="BE2259" t="str">
        <f>T("판타지 웹소설 &gt; 무협 소설")</f>
        <v>판타지 웹소설 &gt; 무협 소설</v>
      </c>
    </row>
    <row r="2260" spans="1:57" x14ac:dyDescent="0.3">
      <c r="A2260">
        <v>1525004799</v>
      </c>
      <c r="B2260">
        <v>1525004913</v>
      </c>
      <c r="C2260" t="str">
        <f>T("검산도해 115화")</f>
        <v>검산도해 115화</v>
      </c>
      <c r="D2260" t="str">
        <f>T("115")</f>
        <v>115</v>
      </c>
      <c r="E2260" t="str">
        <f>T("권용찬")</f>
        <v>권용찬</v>
      </c>
      <c r="H2260" t="str">
        <f>T("스토리위즈")</f>
        <v>스토리위즈</v>
      </c>
      <c r="I2260" t="str">
        <f>T("검산도해")</f>
        <v>검산도해</v>
      </c>
      <c r="J2260">
        <v>100</v>
      </c>
      <c r="K2260">
        <v>100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100</v>
      </c>
      <c r="AH2260">
        <v>1</v>
      </c>
      <c r="AI2260">
        <v>0</v>
      </c>
      <c r="AJ2260">
        <v>0</v>
      </c>
      <c r="AK2260">
        <v>0</v>
      </c>
      <c r="AL2260">
        <v>0</v>
      </c>
      <c r="AM2260">
        <v>120</v>
      </c>
      <c r="AN2260">
        <v>-12</v>
      </c>
      <c r="AO2260">
        <v>0</v>
      </c>
      <c r="AQ2260">
        <v>0</v>
      </c>
      <c r="AR2260">
        <v>0</v>
      </c>
      <c r="AS2260">
        <v>120</v>
      </c>
      <c r="AT2260">
        <v>-12</v>
      </c>
      <c r="AU2260">
        <v>0</v>
      </c>
      <c r="AW2260">
        <v>0</v>
      </c>
      <c r="AX2260">
        <v>0</v>
      </c>
      <c r="AY2260">
        <v>75.599999999999994</v>
      </c>
      <c r="BC2260" t="str">
        <f>T("9791159285936")</f>
        <v>9791159285936</v>
      </c>
      <c r="BE2260" t="str">
        <f>T("판타지 웹소설 &gt; 무협 소설")</f>
        <v>판타지 웹소설 &gt; 무협 소설</v>
      </c>
    </row>
    <row r="2261" spans="1:57" x14ac:dyDescent="0.3">
      <c r="A2261">
        <v>1525004030</v>
      </c>
      <c r="B2261">
        <v>1525007100</v>
      </c>
      <c r="C2261" t="str">
        <f>T("회귀의 전설 2부 984화")</f>
        <v>회귀의 전설 2부 984화</v>
      </c>
      <c r="D2261" t="str">
        <f>T("984")</f>
        <v>984</v>
      </c>
      <c r="E2261" t="str">
        <f>T("김광수")</f>
        <v>김광수</v>
      </c>
      <c r="H2261" t="str">
        <f>T("스토리위즈")</f>
        <v>스토리위즈</v>
      </c>
      <c r="I2261" t="str">
        <f>T("회귀의 전설")</f>
        <v>회귀의 전설</v>
      </c>
      <c r="J2261">
        <v>100</v>
      </c>
      <c r="K2261">
        <v>100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100</v>
      </c>
      <c r="AH2261">
        <v>1</v>
      </c>
      <c r="AI2261">
        <v>0</v>
      </c>
      <c r="AJ2261">
        <v>0</v>
      </c>
      <c r="AK2261">
        <v>100</v>
      </c>
      <c r="AL2261">
        <v>0</v>
      </c>
      <c r="AM2261">
        <v>0</v>
      </c>
      <c r="AN2261">
        <v>0</v>
      </c>
      <c r="AO2261">
        <v>0</v>
      </c>
      <c r="AQ2261">
        <v>0</v>
      </c>
      <c r="AR2261">
        <v>0</v>
      </c>
      <c r="AT2261">
        <v>0</v>
      </c>
      <c r="AU2261">
        <v>0</v>
      </c>
      <c r="AW2261">
        <v>0</v>
      </c>
      <c r="AX2261">
        <v>0</v>
      </c>
      <c r="AY2261">
        <v>70</v>
      </c>
      <c r="BC2261" t="str">
        <f>T("9791191102086")</f>
        <v>9791191102086</v>
      </c>
      <c r="BE2261" t="str">
        <f>T("판타지 웹소설 &gt; 현대 판타지")</f>
        <v>판타지 웹소설 &gt; 현대 판타지</v>
      </c>
    </row>
    <row r="2262" spans="1:57" x14ac:dyDescent="0.3">
      <c r="A2262">
        <v>1525011523</v>
      </c>
      <c r="B2262">
        <v>1525011214</v>
      </c>
      <c r="C2262" t="str">
        <f>T("남창목가 310화")</f>
        <v>남창목가 310화</v>
      </c>
      <c r="D2262" t="str">
        <f>T("310")</f>
        <v>310</v>
      </c>
      <c r="E2262" t="str">
        <f>T("최재봉")</f>
        <v>최재봉</v>
      </c>
      <c r="H2262" t="str">
        <f>T("에필로그")</f>
        <v>에필로그</v>
      </c>
      <c r="I2262" t="str">
        <f>T("남창목가")</f>
        <v>남창목가</v>
      </c>
      <c r="J2262">
        <v>100</v>
      </c>
      <c r="K2262">
        <v>100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100</v>
      </c>
      <c r="AH2262">
        <v>1</v>
      </c>
      <c r="AI2262">
        <v>0</v>
      </c>
      <c r="AJ2262">
        <v>0</v>
      </c>
      <c r="AK2262">
        <v>0</v>
      </c>
      <c r="AL2262">
        <v>0</v>
      </c>
      <c r="AM2262">
        <v>120</v>
      </c>
      <c r="AN2262">
        <v>-12</v>
      </c>
      <c r="AO2262">
        <v>0</v>
      </c>
      <c r="AQ2262">
        <v>0</v>
      </c>
      <c r="AR2262">
        <v>0</v>
      </c>
      <c r="AS2262">
        <v>120</v>
      </c>
      <c r="AT2262">
        <v>-12</v>
      </c>
      <c r="AU2262">
        <v>0</v>
      </c>
      <c r="AW2262">
        <v>0</v>
      </c>
      <c r="AX2262">
        <v>0</v>
      </c>
      <c r="AY2262">
        <v>75.599999999999994</v>
      </c>
      <c r="BC2262" t="str">
        <f>T("9791164482849")</f>
        <v>9791164482849</v>
      </c>
      <c r="BE2262" t="str">
        <f>T("판타지 웹소설 &gt; 무협 소설")</f>
        <v>판타지 웹소설 &gt; 무협 소설</v>
      </c>
    </row>
    <row r="2263" spans="1:57" x14ac:dyDescent="0.3">
      <c r="A2263">
        <v>1525000569</v>
      </c>
      <c r="B2263">
        <v>1525000602</v>
      </c>
      <c r="C2263" t="str">
        <f>T("스트라이커 34화")</f>
        <v>스트라이커 34화</v>
      </c>
      <c r="D2263" t="str">
        <f>T("34")</f>
        <v>34</v>
      </c>
      <c r="E2263" t="str">
        <f>T("독고진")</f>
        <v>독고진</v>
      </c>
      <c r="H2263" t="str">
        <f>T("스토리위즈")</f>
        <v>스토리위즈</v>
      </c>
      <c r="I2263" t="str">
        <f>T("스트라이커")</f>
        <v>스트라이커</v>
      </c>
      <c r="J2263">
        <v>100</v>
      </c>
      <c r="K2263">
        <v>100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100</v>
      </c>
      <c r="AH2263">
        <v>1</v>
      </c>
      <c r="AI2263">
        <v>0</v>
      </c>
      <c r="AJ2263">
        <v>0</v>
      </c>
      <c r="AK2263">
        <v>100</v>
      </c>
      <c r="AL2263">
        <v>0</v>
      </c>
      <c r="AM2263">
        <v>0</v>
      </c>
      <c r="AN2263">
        <v>0</v>
      </c>
      <c r="AO2263">
        <v>0</v>
      </c>
      <c r="AQ2263">
        <v>0</v>
      </c>
      <c r="AR2263">
        <v>0</v>
      </c>
      <c r="AT2263">
        <v>0</v>
      </c>
      <c r="AU2263">
        <v>0</v>
      </c>
      <c r="AW2263">
        <v>0</v>
      </c>
      <c r="AX2263">
        <v>0</v>
      </c>
      <c r="AY2263">
        <v>70</v>
      </c>
      <c r="BC2263" t="str">
        <f>T("9791170151678")</f>
        <v>9791170151678</v>
      </c>
      <c r="BE2263" t="str">
        <f>T("판타지 웹소설 &gt; 현대 판타지")</f>
        <v>판타지 웹소설 &gt; 현대 판타지</v>
      </c>
    </row>
    <row r="2264" spans="1:57" x14ac:dyDescent="0.3">
      <c r="A2264">
        <v>1525011523</v>
      </c>
      <c r="B2264">
        <v>1525010993</v>
      </c>
      <c r="C2264" t="str">
        <f>T("남창목가 외전 499화")</f>
        <v>남창목가 외전 499화</v>
      </c>
      <c r="D2264" t="str">
        <f>T("499")</f>
        <v>499</v>
      </c>
      <c r="E2264" t="str">
        <f>T("최재봉")</f>
        <v>최재봉</v>
      </c>
      <c r="H2264" t="str">
        <f>T("에필로그")</f>
        <v>에필로그</v>
      </c>
      <c r="I2264" t="str">
        <f>T("남창목가")</f>
        <v>남창목가</v>
      </c>
      <c r="J2264">
        <v>100</v>
      </c>
      <c r="K2264">
        <v>100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100</v>
      </c>
      <c r="AH2264">
        <v>1</v>
      </c>
      <c r="AI2264">
        <v>0</v>
      </c>
      <c r="AJ2264">
        <v>0</v>
      </c>
      <c r="AK2264">
        <v>0</v>
      </c>
      <c r="AL2264">
        <v>0</v>
      </c>
      <c r="AM2264">
        <v>120</v>
      </c>
      <c r="AN2264">
        <v>-12</v>
      </c>
      <c r="AO2264">
        <v>0</v>
      </c>
      <c r="AQ2264">
        <v>0</v>
      </c>
      <c r="AR2264">
        <v>0</v>
      </c>
      <c r="AS2264">
        <v>120</v>
      </c>
      <c r="AT2264">
        <v>-12</v>
      </c>
      <c r="AU2264">
        <v>0</v>
      </c>
      <c r="AW2264">
        <v>0</v>
      </c>
      <c r="AX2264">
        <v>0</v>
      </c>
      <c r="AY2264">
        <v>75.599999999999994</v>
      </c>
      <c r="BC2264" t="str">
        <f>T("9791164482849")</f>
        <v>9791164482849</v>
      </c>
      <c r="BE2264" t="str">
        <f>T("판타지 웹소설 &gt; 무협 소설")</f>
        <v>판타지 웹소설 &gt; 무협 소설</v>
      </c>
    </row>
    <row r="2265" spans="1:57" x14ac:dyDescent="0.3">
      <c r="A2265">
        <v>1525011523</v>
      </c>
      <c r="B2265">
        <v>1525011324</v>
      </c>
      <c r="C2265" t="str">
        <f>T("남창목가 200화")</f>
        <v>남창목가 200화</v>
      </c>
      <c r="D2265" t="str">
        <f>T("200")</f>
        <v>200</v>
      </c>
      <c r="E2265" t="str">
        <f>T("최재봉")</f>
        <v>최재봉</v>
      </c>
      <c r="H2265" t="str">
        <f>T("에필로그")</f>
        <v>에필로그</v>
      </c>
      <c r="I2265" t="str">
        <f>T("남창목가")</f>
        <v>남창목가</v>
      </c>
      <c r="J2265">
        <v>100</v>
      </c>
      <c r="K2265">
        <v>100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100</v>
      </c>
      <c r="AH2265">
        <v>1</v>
      </c>
      <c r="AI2265">
        <v>0</v>
      </c>
      <c r="AJ2265">
        <v>0</v>
      </c>
      <c r="AK2265">
        <v>0</v>
      </c>
      <c r="AL2265">
        <v>0</v>
      </c>
      <c r="AM2265">
        <v>120</v>
      </c>
      <c r="AN2265">
        <v>-12</v>
      </c>
      <c r="AO2265">
        <v>0</v>
      </c>
      <c r="AQ2265">
        <v>0</v>
      </c>
      <c r="AR2265">
        <v>0</v>
      </c>
      <c r="AS2265">
        <v>120</v>
      </c>
      <c r="AT2265">
        <v>-12</v>
      </c>
      <c r="AU2265">
        <v>0</v>
      </c>
      <c r="AW2265">
        <v>0</v>
      </c>
      <c r="AX2265">
        <v>0</v>
      </c>
      <c r="AY2265">
        <v>75.599999999999994</v>
      </c>
      <c r="BC2265" t="str">
        <f>T("9791164482849")</f>
        <v>9791164482849</v>
      </c>
      <c r="BE2265" t="str">
        <f>T("판타지 웹소설 &gt; 무협 소설")</f>
        <v>판타지 웹소설 &gt; 무협 소설</v>
      </c>
    </row>
    <row r="2266" spans="1:57" x14ac:dyDescent="0.3">
      <c r="A2266">
        <v>1525002125</v>
      </c>
      <c r="B2266">
        <v>1525002168</v>
      </c>
      <c r="C2266" t="str">
        <f>T("신을 죽이러 갑니다 44화")</f>
        <v>신을 죽이러 갑니다 44화</v>
      </c>
      <c r="D2266" t="str">
        <f>T("44")</f>
        <v>44</v>
      </c>
      <c r="E2266" t="str">
        <f>T("독고진")</f>
        <v>독고진</v>
      </c>
      <c r="H2266" t="str">
        <f>T("스토리위즈")</f>
        <v>스토리위즈</v>
      </c>
      <c r="I2266" t="str">
        <f>T("신을 죽이러 갑니다")</f>
        <v>신을 죽이러 갑니다</v>
      </c>
      <c r="J2266">
        <v>100</v>
      </c>
      <c r="K2266">
        <v>100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100</v>
      </c>
      <c r="AH2266">
        <v>1</v>
      </c>
      <c r="AI2266">
        <v>0</v>
      </c>
      <c r="AJ2266">
        <v>0</v>
      </c>
      <c r="AK2266">
        <v>0</v>
      </c>
      <c r="AL2266">
        <v>0</v>
      </c>
      <c r="AM2266">
        <v>120</v>
      </c>
      <c r="AN2266">
        <v>-36</v>
      </c>
      <c r="AO2266">
        <v>0</v>
      </c>
      <c r="AQ2266">
        <v>0</v>
      </c>
      <c r="AR2266">
        <v>0</v>
      </c>
      <c r="AS2266">
        <v>120</v>
      </c>
      <c r="AT2266">
        <v>-36</v>
      </c>
      <c r="AU2266">
        <v>0</v>
      </c>
      <c r="AW2266">
        <v>0</v>
      </c>
      <c r="AX2266">
        <v>0</v>
      </c>
      <c r="AY2266">
        <v>58.8</v>
      </c>
      <c r="BC2266" t="str">
        <f>T("9791159285806")</f>
        <v>9791159285806</v>
      </c>
      <c r="BE2266" t="str">
        <f>T("판타지 웹소설 &gt; 퓨전 판타지")</f>
        <v>판타지 웹소설 &gt; 퓨전 판타지</v>
      </c>
    </row>
    <row r="2267" spans="1:57" x14ac:dyDescent="0.3">
      <c r="A2267">
        <v>1525012551</v>
      </c>
      <c r="B2267">
        <v>1525012702</v>
      </c>
      <c r="C2267" t="str">
        <f>T("개정판 | 바보가 만드는 멋진 세상 152화")</f>
        <v>개정판 | 바보가 만드는 멋진 세상 152화</v>
      </c>
      <c r="D2267" t="str">
        <f>T("152")</f>
        <v>152</v>
      </c>
      <c r="E2267" t="str">
        <f>T("백범(白帆)")</f>
        <v>백범(白帆)</v>
      </c>
      <c r="H2267" t="str">
        <f>T("에필로그")</f>
        <v>에필로그</v>
      </c>
      <c r="I2267" t="str">
        <f>T("개정판 | 바보가 만드는 멋진 세상")</f>
        <v>개정판 | 바보가 만드는 멋진 세상</v>
      </c>
      <c r="J2267">
        <v>100</v>
      </c>
      <c r="K2267">
        <v>100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100</v>
      </c>
      <c r="AH2267">
        <v>1</v>
      </c>
      <c r="AI2267">
        <v>0</v>
      </c>
      <c r="AJ2267">
        <v>0</v>
      </c>
      <c r="AK2267">
        <v>100</v>
      </c>
      <c r="AL2267">
        <v>0</v>
      </c>
      <c r="AM2267">
        <v>0</v>
      </c>
      <c r="AN2267">
        <v>0</v>
      </c>
      <c r="AO2267">
        <v>0</v>
      </c>
      <c r="AQ2267">
        <v>0</v>
      </c>
      <c r="AR2267">
        <v>0</v>
      </c>
      <c r="AT2267">
        <v>0</v>
      </c>
      <c r="AU2267">
        <v>0</v>
      </c>
      <c r="AW2267">
        <v>0</v>
      </c>
      <c r="AX2267">
        <v>0</v>
      </c>
      <c r="AY2267">
        <v>70</v>
      </c>
      <c r="BC2267" t="str">
        <f>T("9791166003493")</f>
        <v>9791166003493</v>
      </c>
      <c r="BE2267" t="str">
        <f>T("판타지 웹소설 &gt; 현대 판타지")</f>
        <v>판타지 웹소설 &gt; 현대 판타지</v>
      </c>
    </row>
    <row r="2268" spans="1:57" x14ac:dyDescent="0.3">
      <c r="A2268">
        <v>1525002864</v>
      </c>
      <c r="B2268">
        <v>1525002925</v>
      </c>
      <c r="C2268" t="str">
        <f>T("소드마스터의 환생 62화")</f>
        <v>소드마스터의 환생 62화</v>
      </c>
      <c r="D2268" t="str">
        <f>T("62")</f>
        <v>62</v>
      </c>
      <c r="E2268" t="str">
        <f>T("파란영")</f>
        <v>파란영</v>
      </c>
      <c r="H2268" t="str">
        <f>T("스토리위즈")</f>
        <v>스토리위즈</v>
      </c>
      <c r="I2268" t="str">
        <f>T("소드마스터의 환생")</f>
        <v>소드마스터의 환생</v>
      </c>
      <c r="J2268">
        <v>100</v>
      </c>
      <c r="K2268">
        <v>100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100</v>
      </c>
      <c r="AH2268">
        <v>1</v>
      </c>
      <c r="AI2268">
        <v>0</v>
      </c>
      <c r="AJ2268">
        <v>0</v>
      </c>
      <c r="AK2268">
        <v>100</v>
      </c>
      <c r="AL2268">
        <v>0</v>
      </c>
      <c r="AM2268">
        <v>0</v>
      </c>
      <c r="AN2268">
        <v>0</v>
      </c>
      <c r="AO2268">
        <v>0</v>
      </c>
      <c r="AQ2268">
        <v>0</v>
      </c>
      <c r="AR2268">
        <v>0</v>
      </c>
      <c r="AT2268">
        <v>0</v>
      </c>
      <c r="AU2268">
        <v>0</v>
      </c>
      <c r="AW2268">
        <v>0</v>
      </c>
      <c r="AX2268">
        <v>0</v>
      </c>
      <c r="AY2268">
        <v>70</v>
      </c>
      <c r="BC2268" t="str">
        <f>T("9791159287527")</f>
        <v>9791159287527</v>
      </c>
      <c r="BE2268" t="str">
        <f>T("판타지 웹소설 &gt; 정통 판타지")</f>
        <v>판타지 웹소설 &gt; 정통 판타지</v>
      </c>
    </row>
    <row r="2269" spans="1:57" x14ac:dyDescent="0.3">
      <c r="A2269">
        <v>1525008428</v>
      </c>
      <c r="B2269">
        <v>1525008464</v>
      </c>
      <c r="C2269" t="str">
        <f>T("무히비(Muhibbi) 52화")</f>
        <v>무히비(Muhibbi) 52화</v>
      </c>
      <c r="D2269" t="str">
        <f>T("52")</f>
        <v>52</v>
      </c>
      <c r="E2269" t="str">
        <f>T("jooki")</f>
        <v>jooki</v>
      </c>
      <c r="H2269" t="str">
        <f>T("블러쉬")</f>
        <v>블러쉬</v>
      </c>
      <c r="I2269" t="str">
        <f>T("무히비(Muhibbi)")</f>
        <v>무히비(Muhibbi)</v>
      </c>
      <c r="J2269">
        <v>100</v>
      </c>
      <c r="K2269">
        <v>100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100</v>
      </c>
      <c r="AH2269">
        <v>1</v>
      </c>
      <c r="AI2269">
        <v>0</v>
      </c>
      <c r="AJ2269">
        <v>0</v>
      </c>
      <c r="AK2269">
        <v>100</v>
      </c>
      <c r="AL2269">
        <v>0</v>
      </c>
      <c r="AM2269">
        <v>0</v>
      </c>
      <c r="AN2269">
        <v>0</v>
      </c>
      <c r="AO2269">
        <v>0</v>
      </c>
      <c r="AQ2269">
        <v>0</v>
      </c>
      <c r="AR2269">
        <v>0</v>
      </c>
      <c r="AT2269">
        <v>0</v>
      </c>
      <c r="AU2269">
        <v>0</v>
      </c>
      <c r="AW2269">
        <v>0</v>
      </c>
      <c r="AX2269">
        <v>0</v>
      </c>
      <c r="AY2269">
        <v>70</v>
      </c>
      <c r="BC2269" t="str">
        <f>T("9791164896622")</f>
        <v>9791164896622</v>
      </c>
      <c r="BE2269" t="str">
        <f>T("BL 웹소설 &gt; 역사/시대물")</f>
        <v>BL 웹소설 &gt; 역사/시대물</v>
      </c>
    </row>
    <row r="2270" spans="1:57" x14ac:dyDescent="0.3">
      <c r="A2270">
        <v>1525011523</v>
      </c>
      <c r="B2270">
        <v>1525011267</v>
      </c>
      <c r="C2270" t="str">
        <f>T("남창목가 257화")</f>
        <v>남창목가 257화</v>
      </c>
      <c r="D2270" t="str">
        <f>T("257")</f>
        <v>257</v>
      </c>
      <c r="E2270" t="str">
        <f>T("최재봉")</f>
        <v>최재봉</v>
      </c>
      <c r="H2270" t="str">
        <f>T("에필로그")</f>
        <v>에필로그</v>
      </c>
      <c r="I2270" t="str">
        <f>T("남창목가")</f>
        <v>남창목가</v>
      </c>
      <c r="J2270">
        <v>100</v>
      </c>
      <c r="K2270">
        <v>100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100</v>
      </c>
      <c r="AH2270">
        <v>1</v>
      </c>
      <c r="AI2270">
        <v>0</v>
      </c>
      <c r="AJ2270">
        <v>0</v>
      </c>
      <c r="AK2270">
        <v>0</v>
      </c>
      <c r="AL2270">
        <v>0</v>
      </c>
      <c r="AM2270">
        <v>120</v>
      </c>
      <c r="AN2270">
        <v>-12</v>
      </c>
      <c r="AO2270">
        <v>0</v>
      </c>
      <c r="AQ2270">
        <v>0</v>
      </c>
      <c r="AR2270">
        <v>0</v>
      </c>
      <c r="AS2270">
        <v>120</v>
      </c>
      <c r="AT2270">
        <v>-12</v>
      </c>
      <c r="AU2270">
        <v>0</v>
      </c>
      <c r="AW2270">
        <v>0</v>
      </c>
      <c r="AX2270">
        <v>0</v>
      </c>
      <c r="AY2270">
        <v>75.599999999999994</v>
      </c>
      <c r="BC2270" t="str">
        <f>T("9791164482849")</f>
        <v>9791164482849</v>
      </c>
      <c r="BE2270" t="str">
        <f>T("판타지 웹소설 &gt; 무협 소설")</f>
        <v>판타지 웹소설 &gt; 무협 소설</v>
      </c>
    </row>
    <row r="2271" spans="1:57" x14ac:dyDescent="0.3">
      <c r="A2271">
        <v>1525011523</v>
      </c>
      <c r="B2271">
        <v>1525011451</v>
      </c>
      <c r="C2271" t="str">
        <f>T("남창목가 73화")</f>
        <v>남창목가 73화</v>
      </c>
      <c r="D2271" t="str">
        <f>T("73")</f>
        <v>73</v>
      </c>
      <c r="E2271" t="str">
        <f>T("최재봉")</f>
        <v>최재봉</v>
      </c>
      <c r="H2271" t="str">
        <f>T("에필로그")</f>
        <v>에필로그</v>
      </c>
      <c r="I2271" t="str">
        <f>T("남창목가")</f>
        <v>남창목가</v>
      </c>
      <c r="J2271">
        <v>100</v>
      </c>
      <c r="K2271">
        <v>100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100</v>
      </c>
      <c r="AH2271">
        <v>1</v>
      </c>
      <c r="AI2271">
        <v>0</v>
      </c>
      <c r="AJ2271">
        <v>0</v>
      </c>
      <c r="AK2271">
        <v>100</v>
      </c>
      <c r="AL2271">
        <v>0</v>
      </c>
      <c r="AM2271">
        <v>0</v>
      </c>
      <c r="AN2271">
        <v>0</v>
      </c>
      <c r="AO2271">
        <v>0</v>
      </c>
      <c r="AQ2271">
        <v>0</v>
      </c>
      <c r="AR2271">
        <v>0</v>
      </c>
      <c r="AT2271">
        <v>0</v>
      </c>
      <c r="AU2271">
        <v>0</v>
      </c>
      <c r="AW2271">
        <v>0</v>
      </c>
      <c r="AX2271">
        <v>0</v>
      </c>
      <c r="AY2271">
        <v>70</v>
      </c>
      <c r="BC2271" t="str">
        <f>T("9791164482849")</f>
        <v>9791164482849</v>
      </c>
      <c r="BE2271" t="str">
        <f>T("판타지 웹소설 &gt; 무협 소설")</f>
        <v>판타지 웹소설 &gt; 무협 소설</v>
      </c>
    </row>
    <row r="2272" spans="1:57" x14ac:dyDescent="0.3">
      <c r="A2272">
        <v>1525012551</v>
      </c>
      <c r="B2272">
        <v>1525012580</v>
      </c>
      <c r="C2272" t="str">
        <f>T("개정판 | 바보가 만드는 멋진 세상 30화")</f>
        <v>개정판 | 바보가 만드는 멋진 세상 30화</v>
      </c>
      <c r="D2272" t="str">
        <f>T("30")</f>
        <v>30</v>
      </c>
      <c r="E2272" t="str">
        <f>T("백범(白帆)")</f>
        <v>백범(白帆)</v>
      </c>
      <c r="H2272" t="str">
        <f>T("에필로그")</f>
        <v>에필로그</v>
      </c>
      <c r="I2272" t="str">
        <f>T("개정판 | 바보가 만드는 멋진 세상")</f>
        <v>개정판 | 바보가 만드는 멋진 세상</v>
      </c>
      <c r="J2272">
        <v>100</v>
      </c>
      <c r="K2272">
        <v>100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100</v>
      </c>
      <c r="AH2272">
        <v>1</v>
      </c>
      <c r="AI2272">
        <v>0</v>
      </c>
      <c r="AJ2272">
        <v>0</v>
      </c>
      <c r="AK2272">
        <v>100</v>
      </c>
      <c r="AL2272">
        <v>0</v>
      </c>
      <c r="AM2272">
        <v>0</v>
      </c>
      <c r="AN2272">
        <v>0</v>
      </c>
      <c r="AO2272">
        <v>0</v>
      </c>
      <c r="AQ2272">
        <v>0</v>
      </c>
      <c r="AR2272">
        <v>0</v>
      </c>
      <c r="AT2272">
        <v>0</v>
      </c>
      <c r="AU2272">
        <v>0</v>
      </c>
      <c r="AW2272">
        <v>0</v>
      </c>
      <c r="AX2272">
        <v>0</v>
      </c>
      <c r="AY2272">
        <v>70</v>
      </c>
      <c r="BC2272" t="str">
        <f>T("9791166003493")</f>
        <v>9791166003493</v>
      </c>
      <c r="BE2272" t="str">
        <f>T("판타지 웹소설 &gt; 현대 판타지")</f>
        <v>판타지 웹소설 &gt; 현대 판타지</v>
      </c>
    </row>
    <row r="2273" spans="1:57" x14ac:dyDescent="0.3">
      <c r="A2273">
        <v>1525004799</v>
      </c>
      <c r="B2273">
        <v>1525004930</v>
      </c>
      <c r="C2273" t="str">
        <f>T("검산도해 132화")</f>
        <v>검산도해 132화</v>
      </c>
      <c r="D2273" t="str">
        <f>T("132")</f>
        <v>132</v>
      </c>
      <c r="E2273" t="str">
        <f>T("권용찬")</f>
        <v>권용찬</v>
      </c>
      <c r="H2273" t="str">
        <f>T("스토리위즈")</f>
        <v>스토리위즈</v>
      </c>
      <c r="I2273" t="str">
        <f>T("검산도해")</f>
        <v>검산도해</v>
      </c>
      <c r="J2273">
        <v>100</v>
      </c>
      <c r="K2273">
        <v>100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100</v>
      </c>
      <c r="AH2273">
        <v>1</v>
      </c>
      <c r="AI2273">
        <v>0</v>
      </c>
      <c r="AJ2273">
        <v>0</v>
      </c>
      <c r="AK2273">
        <v>0</v>
      </c>
      <c r="AL2273">
        <v>0</v>
      </c>
      <c r="AM2273">
        <v>120</v>
      </c>
      <c r="AN2273">
        <v>-12</v>
      </c>
      <c r="AO2273">
        <v>0</v>
      </c>
      <c r="AQ2273">
        <v>0</v>
      </c>
      <c r="AR2273">
        <v>0</v>
      </c>
      <c r="AS2273">
        <v>120</v>
      </c>
      <c r="AT2273">
        <v>-12</v>
      </c>
      <c r="AU2273">
        <v>0</v>
      </c>
      <c r="AW2273">
        <v>0</v>
      </c>
      <c r="AX2273">
        <v>0</v>
      </c>
      <c r="AY2273">
        <v>75.599999999999994</v>
      </c>
      <c r="BC2273" t="str">
        <f>T("9791159285936")</f>
        <v>9791159285936</v>
      </c>
      <c r="BE2273" t="str">
        <f>T("판타지 웹소설 &gt; 무협 소설")</f>
        <v>판타지 웹소설 &gt; 무협 소설</v>
      </c>
    </row>
    <row r="2274" spans="1:57" x14ac:dyDescent="0.3">
      <c r="A2274">
        <v>1525004030</v>
      </c>
      <c r="B2274">
        <v>1525007019</v>
      </c>
      <c r="C2274" t="str">
        <f>T("회귀의 전설 2부 903화")</f>
        <v>회귀의 전설 2부 903화</v>
      </c>
      <c r="D2274" t="str">
        <f>T("903")</f>
        <v>903</v>
      </c>
      <c r="E2274" t="str">
        <f>T("김광수")</f>
        <v>김광수</v>
      </c>
      <c r="H2274" t="str">
        <f>T("스토리위즈")</f>
        <v>스토리위즈</v>
      </c>
      <c r="I2274" t="str">
        <f>T("회귀의 전설")</f>
        <v>회귀의 전설</v>
      </c>
      <c r="J2274">
        <v>100</v>
      </c>
      <c r="K2274">
        <v>100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100</v>
      </c>
      <c r="AH2274">
        <v>1</v>
      </c>
      <c r="AI2274">
        <v>0</v>
      </c>
      <c r="AJ2274">
        <v>0</v>
      </c>
      <c r="AK2274">
        <v>100</v>
      </c>
      <c r="AL2274">
        <v>0</v>
      </c>
      <c r="AM2274">
        <v>0</v>
      </c>
      <c r="AN2274">
        <v>0</v>
      </c>
      <c r="AO2274">
        <v>0</v>
      </c>
      <c r="AQ2274">
        <v>0</v>
      </c>
      <c r="AR2274">
        <v>0</v>
      </c>
      <c r="AT2274">
        <v>0</v>
      </c>
      <c r="AU2274">
        <v>0</v>
      </c>
      <c r="AW2274">
        <v>0</v>
      </c>
      <c r="AX2274">
        <v>0</v>
      </c>
      <c r="AY2274">
        <v>70</v>
      </c>
      <c r="BC2274" t="str">
        <f>T("9791191102086")</f>
        <v>9791191102086</v>
      </c>
      <c r="BE2274" t="str">
        <f>T("판타지 웹소설 &gt; 현대 판타지")</f>
        <v>판타지 웹소설 &gt; 현대 판타지</v>
      </c>
    </row>
    <row r="2275" spans="1:57" x14ac:dyDescent="0.3">
      <c r="A2275">
        <v>1525011523</v>
      </c>
      <c r="B2275">
        <v>1525011178</v>
      </c>
      <c r="C2275" t="str">
        <f>T("남창목가 346화")</f>
        <v>남창목가 346화</v>
      </c>
      <c r="D2275" t="str">
        <f>T("346")</f>
        <v>346</v>
      </c>
      <c r="E2275" t="str">
        <f>T("최재봉")</f>
        <v>최재봉</v>
      </c>
      <c r="H2275" t="str">
        <f>T("에필로그")</f>
        <v>에필로그</v>
      </c>
      <c r="I2275" t="str">
        <f>T("남창목가")</f>
        <v>남창목가</v>
      </c>
      <c r="J2275">
        <v>100</v>
      </c>
      <c r="K2275">
        <v>100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100</v>
      </c>
      <c r="AH2275">
        <v>1</v>
      </c>
      <c r="AI2275">
        <v>0</v>
      </c>
      <c r="AJ2275">
        <v>0</v>
      </c>
      <c r="AK2275">
        <v>0</v>
      </c>
      <c r="AL2275">
        <v>0</v>
      </c>
      <c r="AM2275">
        <v>120</v>
      </c>
      <c r="AN2275">
        <v>-12</v>
      </c>
      <c r="AO2275">
        <v>0</v>
      </c>
      <c r="AQ2275">
        <v>0</v>
      </c>
      <c r="AR2275">
        <v>0</v>
      </c>
      <c r="AS2275">
        <v>120</v>
      </c>
      <c r="AT2275">
        <v>-12</v>
      </c>
      <c r="AU2275">
        <v>0</v>
      </c>
      <c r="AW2275">
        <v>0</v>
      </c>
      <c r="AX2275">
        <v>0</v>
      </c>
      <c r="AY2275">
        <v>75.599999999999994</v>
      </c>
      <c r="BC2275" t="str">
        <f>T("9791164482849")</f>
        <v>9791164482849</v>
      </c>
      <c r="BE2275" t="str">
        <f>T("판타지 웹소설 &gt; 무협 소설")</f>
        <v>판타지 웹소설 &gt; 무협 소설</v>
      </c>
    </row>
    <row r="2276" spans="1:57" x14ac:dyDescent="0.3">
      <c r="A2276">
        <v>1525008428</v>
      </c>
      <c r="B2276">
        <v>1525008420</v>
      </c>
      <c r="C2276" t="str">
        <f>T("무히비(Muhibbi) 12화")</f>
        <v>무히비(Muhibbi) 12화</v>
      </c>
      <c r="D2276" t="str">
        <f>T("12")</f>
        <v>12</v>
      </c>
      <c r="E2276" t="str">
        <f>T("jooki")</f>
        <v>jooki</v>
      </c>
      <c r="H2276" t="str">
        <f>T("블러쉬")</f>
        <v>블러쉬</v>
      </c>
      <c r="I2276" t="str">
        <f>T("무히비(Muhibbi)")</f>
        <v>무히비(Muhibbi)</v>
      </c>
      <c r="J2276">
        <v>100</v>
      </c>
      <c r="K2276">
        <v>100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100</v>
      </c>
      <c r="AH2276">
        <v>1</v>
      </c>
      <c r="AI2276">
        <v>0</v>
      </c>
      <c r="AJ2276">
        <v>0</v>
      </c>
      <c r="AK2276">
        <v>100</v>
      </c>
      <c r="AL2276">
        <v>0</v>
      </c>
      <c r="AM2276">
        <v>0</v>
      </c>
      <c r="AN2276">
        <v>0</v>
      </c>
      <c r="AO2276">
        <v>0</v>
      </c>
      <c r="AQ2276">
        <v>0</v>
      </c>
      <c r="AR2276">
        <v>0</v>
      </c>
      <c r="AT2276">
        <v>0</v>
      </c>
      <c r="AU2276">
        <v>0</v>
      </c>
      <c r="AW2276">
        <v>0</v>
      </c>
      <c r="AX2276">
        <v>0</v>
      </c>
      <c r="AY2276">
        <v>70</v>
      </c>
      <c r="BC2276" t="str">
        <f>T("9791164896622")</f>
        <v>9791164896622</v>
      </c>
      <c r="BE2276" t="str">
        <f>T("BL 웹소설 &gt; 역사/시대물")</f>
        <v>BL 웹소설 &gt; 역사/시대물</v>
      </c>
    </row>
    <row r="2277" spans="1:57" x14ac:dyDescent="0.3">
      <c r="A2277">
        <v>1525004030</v>
      </c>
      <c r="B2277">
        <v>1525006978</v>
      </c>
      <c r="C2277" t="str">
        <f>T("회귀의 전설 2부 862화")</f>
        <v>회귀의 전설 2부 862화</v>
      </c>
      <c r="D2277" t="str">
        <f>T("862")</f>
        <v>862</v>
      </c>
      <c r="E2277" t="str">
        <f>T("김광수")</f>
        <v>김광수</v>
      </c>
      <c r="H2277" t="str">
        <f>T("스토리위즈")</f>
        <v>스토리위즈</v>
      </c>
      <c r="I2277" t="str">
        <f>T("회귀의 전설")</f>
        <v>회귀의 전설</v>
      </c>
      <c r="J2277">
        <v>100</v>
      </c>
      <c r="K2277">
        <v>100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100</v>
      </c>
      <c r="AH2277">
        <v>1</v>
      </c>
      <c r="AI2277">
        <v>0</v>
      </c>
      <c r="AJ2277">
        <v>0</v>
      </c>
      <c r="AK2277">
        <v>100</v>
      </c>
      <c r="AL2277">
        <v>0</v>
      </c>
      <c r="AM2277">
        <v>0</v>
      </c>
      <c r="AN2277">
        <v>0</v>
      </c>
      <c r="AO2277">
        <v>0</v>
      </c>
      <c r="AQ2277">
        <v>0</v>
      </c>
      <c r="AR2277">
        <v>0</v>
      </c>
      <c r="AT2277">
        <v>0</v>
      </c>
      <c r="AU2277">
        <v>0</v>
      </c>
      <c r="AW2277">
        <v>0</v>
      </c>
      <c r="AX2277">
        <v>0</v>
      </c>
      <c r="AY2277">
        <v>70</v>
      </c>
      <c r="BC2277" t="str">
        <f>T("9791191102086")</f>
        <v>9791191102086</v>
      </c>
      <c r="BE2277" t="str">
        <f>T("판타지 웹소설 &gt; 현대 판타지")</f>
        <v>판타지 웹소설 &gt; 현대 판타지</v>
      </c>
    </row>
    <row r="2278" spans="1:57" x14ac:dyDescent="0.3">
      <c r="A2278">
        <v>1525011523</v>
      </c>
      <c r="B2278">
        <v>1525011371</v>
      </c>
      <c r="C2278" t="str">
        <f>T("남창목가 153화")</f>
        <v>남창목가 153화</v>
      </c>
      <c r="D2278" t="str">
        <f>T("153")</f>
        <v>153</v>
      </c>
      <c r="E2278" t="str">
        <f>T("최재봉")</f>
        <v>최재봉</v>
      </c>
      <c r="H2278" t="str">
        <f>T("에필로그")</f>
        <v>에필로그</v>
      </c>
      <c r="I2278" t="str">
        <f>T("남창목가")</f>
        <v>남창목가</v>
      </c>
      <c r="J2278">
        <v>100</v>
      </c>
      <c r="K2278">
        <v>100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100</v>
      </c>
      <c r="AH2278">
        <v>1</v>
      </c>
      <c r="AI2278">
        <v>0</v>
      </c>
      <c r="AJ2278">
        <v>0</v>
      </c>
      <c r="AK2278">
        <v>0</v>
      </c>
      <c r="AL2278">
        <v>0</v>
      </c>
      <c r="AM2278">
        <v>120</v>
      </c>
      <c r="AN2278">
        <v>-12</v>
      </c>
      <c r="AO2278">
        <v>0</v>
      </c>
      <c r="AQ2278">
        <v>0</v>
      </c>
      <c r="AR2278">
        <v>0</v>
      </c>
      <c r="AS2278">
        <v>120</v>
      </c>
      <c r="AT2278">
        <v>-12</v>
      </c>
      <c r="AU2278">
        <v>0</v>
      </c>
      <c r="AW2278">
        <v>0</v>
      </c>
      <c r="AX2278">
        <v>0</v>
      </c>
      <c r="AY2278">
        <v>75.599999999999994</v>
      </c>
      <c r="BC2278" t="str">
        <f>T("9791164482849")</f>
        <v>9791164482849</v>
      </c>
      <c r="BE2278" t="str">
        <f>T("판타지 웹소설 &gt; 무협 소설")</f>
        <v>판타지 웹소설 &gt; 무협 소설</v>
      </c>
    </row>
    <row r="2279" spans="1:57" x14ac:dyDescent="0.3">
      <c r="A2279">
        <v>1525013020</v>
      </c>
      <c r="B2279">
        <v>1525013060</v>
      </c>
      <c r="C2279" t="str">
        <f>T("악당의 리턴 41화")</f>
        <v>악당의 리턴 41화</v>
      </c>
      <c r="D2279" t="str">
        <f>T("41")</f>
        <v>41</v>
      </c>
      <c r="E2279" t="str">
        <f>T("백범(白帆)")</f>
        <v>백범(白帆)</v>
      </c>
      <c r="H2279" t="str">
        <f>T("에필로그")</f>
        <v>에필로그</v>
      </c>
      <c r="I2279" t="str">
        <f>T("악당의 리턴")</f>
        <v>악당의 리턴</v>
      </c>
      <c r="J2279">
        <v>100</v>
      </c>
      <c r="K2279">
        <v>100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100</v>
      </c>
      <c r="AH2279">
        <v>1</v>
      </c>
      <c r="AI2279">
        <v>0</v>
      </c>
      <c r="AJ2279">
        <v>0</v>
      </c>
      <c r="AK2279">
        <v>100</v>
      </c>
      <c r="AL2279">
        <v>0</v>
      </c>
      <c r="AM2279">
        <v>0</v>
      </c>
      <c r="AN2279">
        <v>0</v>
      </c>
      <c r="AO2279">
        <v>0</v>
      </c>
      <c r="AQ2279">
        <v>0</v>
      </c>
      <c r="AR2279">
        <v>0</v>
      </c>
      <c r="AT2279">
        <v>0</v>
      </c>
      <c r="AU2279">
        <v>0</v>
      </c>
      <c r="AW2279">
        <v>0</v>
      </c>
      <c r="AX2279">
        <v>0</v>
      </c>
      <c r="AY2279">
        <v>70</v>
      </c>
      <c r="BC2279" t="str">
        <f>T("9791196538927")</f>
        <v>9791196538927</v>
      </c>
      <c r="BE2279" t="str">
        <f>T("판타지 웹소설 &gt; 현대 판타지")</f>
        <v>판타지 웹소설 &gt; 현대 판타지</v>
      </c>
    </row>
    <row r="2280" spans="1:57" x14ac:dyDescent="0.3">
      <c r="A2280">
        <v>1525004030</v>
      </c>
      <c r="B2280">
        <v>1525007133</v>
      </c>
      <c r="C2280" t="str">
        <f>T("회귀의 전설 2부 1017화")</f>
        <v>회귀의 전설 2부 1017화</v>
      </c>
      <c r="D2280" t="str">
        <f>T("1017")</f>
        <v>1017</v>
      </c>
      <c r="E2280" t="str">
        <f>T("김광수")</f>
        <v>김광수</v>
      </c>
      <c r="H2280" t="str">
        <f>T("스토리위즈")</f>
        <v>스토리위즈</v>
      </c>
      <c r="I2280" t="str">
        <f>T("회귀의 전설")</f>
        <v>회귀의 전설</v>
      </c>
      <c r="J2280">
        <v>100</v>
      </c>
      <c r="K2280">
        <v>100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100</v>
      </c>
      <c r="AH2280">
        <v>1</v>
      </c>
      <c r="AI2280">
        <v>0</v>
      </c>
      <c r="AJ2280">
        <v>0</v>
      </c>
      <c r="AK2280">
        <v>100</v>
      </c>
      <c r="AL2280">
        <v>0</v>
      </c>
      <c r="AM2280">
        <v>0</v>
      </c>
      <c r="AN2280">
        <v>0</v>
      </c>
      <c r="AO2280">
        <v>0</v>
      </c>
      <c r="AQ2280">
        <v>0</v>
      </c>
      <c r="AR2280">
        <v>0</v>
      </c>
      <c r="AT2280">
        <v>0</v>
      </c>
      <c r="AU2280">
        <v>0</v>
      </c>
      <c r="AW2280">
        <v>0</v>
      </c>
      <c r="AX2280">
        <v>0</v>
      </c>
      <c r="AY2280">
        <v>70</v>
      </c>
      <c r="BC2280" t="str">
        <f>T("9791191102086")</f>
        <v>9791191102086</v>
      </c>
      <c r="BE2280" t="str">
        <f>T("판타지 웹소설 &gt; 현대 판타지")</f>
        <v>판타지 웹소설 &gt; 현대 판타지</v>
      </c>
    </row>
    <row r="2281" spans="1:57" x14ac:dyDescent="0.3">
      <c r="A2281">
        <v>1525004030</v>
      </c>
      <c r="B2281">
        <v>1525004506</v>
      </c>
      <c r="C2281" t="str">
        <f>T("회귀의 전설 490화")</f>
        <v>회귀의 전설 490화</v>
      </c>
      <c r="D2281" t="str">
        <f>T("490")</f>
        <v>490</v>
      </c>
      <c r="E2281" t="str">
        <f>T("김광수")</f>
        <v>김광수</v>
      </c>
      <c r="H2281" t="str">
        <f>T("스토리위즈")</f>
        <v>스토리위즈</v>
      </c>
      <c r="I2281" t="str">
        <f>T("회귀의 전설")</f>
        <v>회귀의 전설</v>
      </c>
      <c r="J2281">
        <v>100</v>
      </c>
      <c r="K2281">
        <v>100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100</v>
      </c>
      <c r="AH2281">
        <v>1</v>
      </c>
      <c r="AI2281">
        <v>0</v>
      </c>
      <c r="AJ2281">
        <v>0</v>
      </c>
      <c r="AK2281">
        <v>100</v>
      </c>
      <c r="AL2281">
        <v>0</v>
      </c>
      <c r="AM2281">
        <v>0</v>
      </c>
      <c r="AN2281">
        <v>0</v>
      </c>
      <c r="AO2281">
        <v>0</v>
      </c>
      <c r="AQ2281">
        <v>0</v>
      </c>
      <c r="AR2281">
        <v>0</v>
      </c>
      <c r="AT2281">
        <v>0</v>
      </c>
      <c r="AU2281">
        <v>0</v>
      </c>
      <c r="AW2281">
        <v>0</v>
      </c>
      <c r="AX2281">
        <v>0</v>
      </c>
      <c r="AY2281">
        <v>70</v>
      </c>
      <c r="BC2281" t="str">
        <f>T("9788997946006")</f>
        <v>9788997946006</v>
      </c>
      <c r="BE2281" t="str">
        <f>T("판타지 웹소설 &gt; 현대 판타지")</f>
        <v>판타지 웹소설 &gt; 현대 판타지</v>
      </c>
    </row>
    <row r="2282" spans="1:57" x14ac:dyDescent="0.3">
      <c r="A2282">
        <v>1525012551</v>
      </c>
      <c r="B2282">
        <v>1525012734</v>
      </c>
      <c r="C2282" t="str">
        <f>T("개정판 | 바보가 만드는 멋진 세상 184화")</f>
        <v>개정판 | 바보가 만드는 멋진 세상 184화</v>
      </c>
      <c r="D2282" t="str">
        <f>T("184")</f>
        <v>184</v>
      </c>
      <c r="E2282" t="str">
        <f>T("백범(白帆)")</f>
        <v>백범(白帆)</v>
      </c>
      <c r="H2282" t="str">
        <f>T("에필로그")</f>
        <v>에필로그</v>
      </c>
      <c r="I2282" t="str">
        <f>T("개정판 | 바보가 만드는 멋진 세상")</f>
        <v>개정판 | 바보가 만드는 멋진 세상</v>
      </c>
      <c r="J2282">
        <v>100</v>
      </c>
      <c r="K2282">
        <v>100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100</v>
      </c>
      <c r="AH2282">
        <v>1</v>
      </c>
      <c r="AI2282">
        <v>0</v>
      </c>
      <c r="AJ2282">
        <v>0</v>
      </c>
      <c r="AK2282">
        <v>100</v>
      </c>
      <c r="AL2282">
        <v>0</v>
      </c>
      <c r="AM2282">
        <v>0</v>
      </c>
      <c r="AN2282">
        <v>0</v>
      </c>
      <c r="AO2282">
        <v>0</v>
      </c>
      <c r="AQ2282">
        <v>0</v>
      </c>
      <c r="AR2282">
        <v>0</v>
      </c>
      <c r="AT2282">
        <v>0</v>
      </c>
      <c r="AU2282">
        <v>0</v>
      </c>
      <c r="AW2282">
        <v>0</v>
      </c>
      <c r="AX2282">
        <v>0</v>
      </c>
      <c r="AY2282">
        <v>70</v>
      </c>
      <c r="BC2282" t="str">
        <f>T("9791166003493")</f>
        <v>9791166003493</v>
      </c>
      <c r="BE2282" t="str">
        <f>T("판타지 웹소설 &gt; 현대 판타지")</f>
        <v>판타지 웹소설 &gt; 현대 판타지</v>
      </c>
    </row>
    <row r="2283" spans="1:57" x14ac:dyDescent="0.3">
      <c r="A2283">
        <v>1525008545</v>
      </c>
      <c r="B2283">
        <v>1525008547</v>
      </c>
      <c r="C2283" t="str">
        <f>T("소년연애담 21화")</f>
        <v>소년연애담 21화</v>
      </c>
      <c r="D2283" t="str">
        <f>T("21")</f>
        <v>21</v>
      </c>
      <c r="E2283" t="str">
        <f>T("나나코")</f>
        <v>나나코</v>
      </c>
      <c r="H2283" t="str">
        <f>T("블러쉬")</f>
        <v>블러쉬</v>
      </c>
      <c r="I2283" t="str">
        <f>T("소년연애담")</f>
        <v>소년연애담</v>
      </c>
      <c r="J2283">
        <v>100</v>
      </c>
      <c r="K2283">
        <v>100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100</v>
      </c>
      <c r="AH2283">
        <v>1</v>
      </c>
      <c r="AI2283">
        <v>0</v>
      </c>
      <c r="AJ2283">
        <v>0</v>
      </c>
      <c r="AK2283">
        <v>100</v>
      </c>
      <c r="AL2283">
        <v>0</v>
      </c>
      <c r="AM2283">
        <v>0</v>
      </c>
      <c r="AN2283">
        <v>0</v>
      </c>
      <c r="AO2283">
        <v>0</v>
      </c>
      <c r="AQ2283">
        <v>0</v>
      </c>
      <c r="AR2283">
        <v>0</v>
      </c>
      <c r="AT2283">
        <v>0</v>
      </c>
      <c r="AU2283">
        <v>0</v>
      </c>
      <c r="AW2283">
        <v>0</v>
      </c>
      <c r="AX2283">
        <v>0</v>
      </c>
      <c r="AY2283">
        <v>70</v>
      </c>
      <c r="BA2283" t="str">
        <f>T("0000000000000")</f>
        <v>0000000000000</v>
      </c>
      <c r="BC2283" t="str">
        <f>T("9791164890729")</f>
        <v>9791164890729</v>
      </c>
      <c r="BD2283" t="str">
        <f>T("B12")</f>
        <v>B12</v>
      </c>
      <c r="BE2283" t="str">
        <f>T("BL 웹소설 &gt; 현대물")</f>
        <v>BL 웹소설 &gt; 현대물</v>
      </c>
    </row>
    <row r="2284" spans="1:57" x14ac:dyDescent="0.3">
      <c r="A2284">
        <v>1525008428</v>
      </c>
      <c r="B2284">
        <v>1525008497</v>
      </c>
      <c r="C2284" t="str">
        <f>T("무히비(Muhibbi) 82화")</f>
        <v>무히비(Muhibbi) 82화</v>
      </c>
      <c r="D2284" t="str">
        <f>T("82")</f>
        <v>82</v>
      </c>
      <c r="E2284" t="str">
        <f>T("jooki")</f>
        <v>jooki</v>
      </c>
      <c r="H2284" t="str">
        <f>T("블러쉬")</f>
        <v>블러쉬</v>
      </c>
      <c r="I2284" t="str">
        <f>T("무히비(Muhibbi)")</f>
        <v>무히비(Muhibbi)</v>
      </c>
      <c r="J2284">
        <v>100</v>
      </c>
      <c r="K2284">
        <v>100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100</v>
      </c>
      <c r="AH2284">
        <v>1</v>
      </c>
      <c r="AI2284">
        <v>0</v>
      </c>
      <c r="AJ2284">
        <v>0</v>
      </c>
      <c r="AK2284">
        <v>100</v>
      </c>
      <c r="AL2284">
        <v>0</v>
      </c>
      <c r="AM2284">
        <v>0</v>
      </c>
      <c r="AN2284">
        <v>0</v>
      </c>
      <c r="AO2284">
        <v>0</v>
      </c>
      <c r="AQ2284">
        <v>0</v>
      </c>
      <c r="AR2284">
        <v>0</v>
      </c>
      <c r="AT2284">
        <v>0</v>
      </c>
      <c r="AU2284">
        <v>0</v>
      </c>
      <c r="AW2284">
        <v>0</v>
      </c>
      <c r="AX2284">
        <v>0</v>
      </c>
      <c r="AY2284">
        <v>70</v>
      </c>
      <c r="BC2284" t="str">
        <f>T("9791164896622")</f>
        <v>9791164896622</v>
      </c>
      <c r="BE2284" t="str">
        <f>T("BL 웹소설 &gt; 역사/시대물")</f>
        <v>BL 웹소설 &gt; 역사/시대물</v>
      </c>
    </row>
    <row r="2285" spans="1:57" x14ac:dyDescent="0.3">
      <c r="A2285">
        <v>1525012551</v>
      </c>
      <c r="B2285">
        <v>1525012612</v>
      </c>
      <c r="C2285" t="str">
        <f>T("개정판 | 바보가 만드는 멋진 세상 62화")</f>
        <v>개정판 | 바보가 만드는 멋진 세상 62화</v>
      </c>
      <c r="D2285" t="str">
        <f>T("62")</f>
        <v>62</v>
      </c>
      <c r="E2285" t="str">
        <f>T("백범(白帆)")</f>
        <v>백범(白帆)</v>
      </c>
      <c r="H2285" t="str">
        <f>T("에필로그")</f>
        <v>에필로그</v>
      </c>
      <c r="I2285" t="str">
        <f>T("개정판 | 바보가 만드는 멋진 세상")</f>
        <v>개정판 | 바보가 만드는 멋진 세상</v>
      </c>
      <c r="J2285">
        <v>100</v>
      </c>
      <c r="K2285">
        <v>100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100</v>
      </c>
      <c r="AH2285">
        <v>1</v>
      </c>
      <c r="AI2285">
        <v>0</v>
      </c>
      <c r="AJ2285">
        <v>0</v>
      </c>
      <c r="AK2285">
        <v>100</v>
      </c>
      <c r="AL2285">
        <v>0</v>
      </c>
      <c r="AM2285">
        <v>0</v>
      </c>
      <c r="AN2285">
        <v>0</v>
      </c>
      <c r="AO2285">
        <v>0</v>
      </c>
      <c r="AQ2285">
        <v>0</v>
      </c>
      <c r="AR2285">
        <v>0</v>
      </c>
      <c r="AT2285">
        <v>0</v>
      </c>
      <c r="AU2285">
        <v>0</v>
      </c>
      <c r="AW2285">
        <v>0</v>
      </c>
      <c r="AX2285">
        <v>0</v>
      </c>
      <c r="AY2285">
        <v>70</v>
      </c>
      <c r="BC2285" t="str">
        <f>T("9791166003493")</f>
        <v>9791166003493</v>
      </c>
      <c r="BE2285" t="str">
        <f>T("판타지 웹소설 &gt; 현대 판타지")</f>
        <v>판타지 웹소설 &gt; 현대 판타지</v>
      </c>
    </row>
    <row r="2286" spans="1:57" x14ac:dyDescent="0.3">
      <c r="A2286">
        <v>1525004799</v>
      </c>
      <c r="B2286">
        <v>1525004962</v>
      </c>
      <c r="C2286" t="str">
        <f>T("검산도해 164화")</f>
        <v>검산도해 164화</v>
      </c>
      <c r="D2286" t="str">
        <f>T("164")</f>
        <v>164</v>
      </c>
      <c r="E2286" t="str">
        <f>T("권용찬")</f>
        <v>권용찬</v>
      </c>
      <c r="H2286" t="str">
        <f>T("스토리위즈")</f>
        <v>스토리위즈</v>
      </c>
      <c r="I2286" t="str">
        <f>T("검산도해")</f>
        <v>검산도해</v>
      </c>
      <c r="J2286">
        <v>100</v>
      </c>
      <c r="K2286">
        <v>100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100</v>
      </c>
      <c r="AH2286">
        <v>1</v>
      </c>
      <c r="AI2286">
        <v>0</v>
      </c>
      <c r="AJ2286">
        <v>0</v>
      </c>
      <c r="AK2286">
        <v>0</v>
      </c>
      <c r="AL2286">
        <v>0</v>
      </c>
      <c r="AM2286">
        <v>120</v>
      </c>
      <c r="AN2286">
        <v>-12</v>
      </c>
      <c r="AO2286">
        <v>0</v>
      </c>
      <c r="AQ2286">
        <v>0</v>
      </c>
      <c r="AR2286">
        <v>0</v>
      </c>
      <c r="AS2286">
        <v>120</v>
      </c>
      <c r="AT2286">
        <v>-12</v>
      </c>
      <c r="AU2286">
        <v>0</v>
      </c>
      <c r="AW2286">
        <v>0</v>
      </c>
      <c r="AX2286">
        <v>0</v>
      </c>
      <c r="AY2286">
        <v>75.599999999999994</v>
      </c>
      <c r="BC2286" t="str">
        <f>T("9791159285936")</f>
        <v>9791159285936</v>
      </c>
      <c r="BE2286" t="str">
        <f>T("판타지 웹소설 &gt; 무협 소설")</f>
        <v>판타지 웹소설 &gt; 무협 소설</v>
      </c>
    </row>
    <row r="2287" spans="1:57" x14ac:dyDescent="0.3">
      <c r="A2287">
        <v>1525004030</v>
      </c>
      <c r="B2287">
        <v>1525007051</v>
      </c>
      <c r="C2287" t="str">
        <f>T("회귀의 전설 2부 935화")</f>
        <v>회귀의 전설 2부 935화</v>
      </c>
      <c r="D2287" t="str">
        <f>T("935")</f>
        <v>935</v>
      </c>
      <c r="E2287" t="str">
        <f>T("김광수")</f>
        <v>김광수</v>
      </c>
      <c r="H2287" t="str">
        <f>T("스토리위즈")</f>
        <v>스토리위즈</v>
      </c>
      <c r="I2287" t="str">
        <f>T("회귀의 전설")</f>
        <v>회귀의 전설</v>
      </c>
      <c r="J2287">
        <v>100</v>
      </c>
      <c r="K2287">
        <v>100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100</v>
      </c>
      <c r="AH2287">
        <v>1</v>
      </c>
      <c r="AI2287">
        <v>0</v>
      </c>
      <c r="AJ2287">
        <v>0</v>
      </c>
      <c r="AK2287">
        <v>100</v>
      </c>
      <c r="AL2287">
        <v>0</v>
      </c>
      <c r="AM2287">
        <v>0</v>
      </c>
      <c r="AN2287">
        <v>0</v>
      </c>
      <c r="AO2287">
        <v>0</v>
      </c>
      <c r="AQ2287">
        <v>0</v>
      </c>
      <c r="AR2287">
        <v>0</v>
      </c>
      <c r="AT2287">
        <v>0</v>
      </c>
      <c r="AU2287">
        <v>0</v>
      </c>
      <c r="AW2287">
        <v>0</v>
      </c>
      <c r="AX2287">
        <v>0</v>
      </c>
      <c r="AY2287">
        <v>70</v>
      </c>
      <c r="BC2287" t="str">
        <f>T("9791191102086")</f>
        <v>9791191102086</v>
      </c>
      <c r="BE2287" t="str">
        <f>T("판타지 웹소설 &gt; 현대 판타지")</f>
        <v>판타지 웹소설 &gt; 현대 판타지</v>
      </c>
    </row>
    <row r="2288" spans="1:57" x14ac:dyDescent="0.3">
      <c r="A2288">
        <v>1525004030</v>
      </c>
      <c r="B2288">
        <v>1525004507</v>
      </c>
      <c r="C2288" t="str">
        <f>T("회귀의 전설 496화")</f>
        <v>회귀의 전설 496화</v>
      </c>
      <c r="D2288" t="str">
        <f>T("496")</f>
        <v>496</v>
      </c>
      <c r="E2288" t="str">
        <f>T("김광수")</f>
        <v>김광수</v>
      </c>
      <c r="H2288" t="str">
        <f>T("스토리위즈")</f>
        <v>스토리위즈</v>
      </c>
      <c r="I2288" t="str">
        <f>T("회귀의 전설")</f>
        <v>회귀의 전설</v>
      </c>
      <c r="J2288">
        <v>100</v>
      </c>
      <c r="K2288">
        <v>100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100</v>
      </c>
      <c r="AH2288">
        <v>1</v>
      </c>
      <c r="AI2288">
        <v>0</v>
      </c>
      <c r="AJ2288">
        <v>0</v>
      </c>
      <c r="AK2288">
        <v>100</v>
      </c>
      <c r="AL2288">
        <v>0</v>
      </c>
      <c r="AM2288">
        <v>0</v>
      </c>
      <c r="AN2288">
        <v>0</v>
      </c>
      <c r="AO2288">
        <v>0</v>
      </c>
      <c r="AQ2288">
        <v>0</v>
      </c>
      <c r="AR2288">
        <v>0</v>
      </c>
      <c r="AT2288">
        <v>0</v>
      </c>
      <c r="AU2288">
        <v>0</v>
      </c>
      <c r="AW2288">
        <v>0</v>
      </c>
      <c r="AX2288">
        <v>0</v>
      </c>
      <c r="AY2288">
        <v>70</v>
      </c>
      <c r="BC2288" t="str">
        <f>T("9788997946006")</f>
        <v>9788997946006</v>
      </c>
      <c r="BE2288" t="str">
        <f>T("판타지 웹소설 &gt; 현대 판타지")</f>
        <v>판타지 웹소설 &gt; 현대 판타지</v>
      </c>
    </row>
    <row r="2289" spans="1:57" x14ac:dyDescent="0.3">
      <c r="A2289">
        <v>1525008428</v>
      </c>
      <c r="B2289">
        <v>1525008455</v>
      </c>
      <c r="C2289" t="str">
        <f>T("무히비(Muhibbi) 44화")</f>
        <v>무히비(Muhibbi) 44화</v>
      </c>
      <c r="D2289" t="str">
        <f>T("44")</f>
        <v>44</v>
      </c>
      <c r="E2289" t="str">
        <f>T("jooki")</f>
        <v>jooki</v>
      </c>
      <c r="H2289" t="str">
        <f>T("블러쉬")</f>
        <v>블러쉬</v>
      </c>
      <c r="I2289" t="str">
        <f>T("무히비(Muhibbi)")</f>
        <v>무히비(Muhibbi)</v>
      </c>
      <c r="J2289">
        <v>100</v>
      </c>
      <c r="K2289">
        <v>100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100</v>
      </c>
      <c r="AH2289">
        <v>1</v>
      </c>
      <c r="AI2289">
        <v>0</v>
      </c>
      <c r="AJ2289">
        <v>0</v>
      </c>
      <c r="AK2289">
        <v>100</v>
      </c>
      <c r="AL2289">
        <v>0</v>
      </c>
      <c r="AM2289">
        <v>0</v>
      </c>
      <c r="AN2289">
        <v>0</v>
      </c>
      <c r="AO2289">
        <v>0</v>
      </c>
      <c r="AQ2289">
        <v>0</v>
      </c>
      <c r="AR2289">
        <v>0</v>
      </c>
      <c r="AT2289">
        <v>0</v>
      </c>
      <c r="AU2289">
        <v>0</v>
      </c>
      <c r="AW2289">
        <v>0</v>
      </c>
      <c r="AX2289">
        <v>0</v>
      </c>
      <c r="AY2289">
        <v>70</v>
      </c>
      <c r="BC2289" t="str">
        <f>T("9791164896622")</f>
        <v>9791164896622</v>
      </c>
      <c r="BE2289" t="str">
        <f>T("BL 웹소설 &gt; 역사/시대물")</f>
        <v>BL 웹소설 &gt; 역사/시대물</v>
      </c>
    </row>
    <row r="2290" spans="1:57" x14ac:dyDescent="0.3">
      <c r="A2290">
        <v>1525011523</v>
      </c>
      <c r="B2290">
        <v>1525011360</v>
      </c>
      <c r="C2290" t="str">
        <f>T("남창목가 164화")</f>
        <v>남창목가 164화</v>
      </c>
      <c r="D2290" t="str">
        <f>T("164")</f>
        <v>164</v>
      </c>
      <c r="E2290" t="str">
        <f>T("최재봉")</f>
        <v>최재봉</v>
      </c>
      <c r="H2290" t="str">
        <f>T("에필로그")</f>
        <v>에필로그</v>
      </c>
      <c r="I2290" t="str">
        <f>T("남창목가")</f>
        <v>남창목가</v>
      </c>
      <c r="J2290">
        <v>100</v>
      </c>
      <c r="K2290">
        <v>100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100</v>
      </c>
      <c r="AH2290">
        <v>1</v>
      </c>
      <c r="AI2290">
        <v>0</v>
      </c>
      <c r="AJ2290">
        <v>0</v>
      </c>
      <c r="AK2290">
        <v>0</v>
      </c>
      <c r="AL2290">
        <v>0</v>
      </c>
      <c r="AM2290">
        <v>120</v>
      </c>
      <c r="AN2290">
        <v>-12</v>
      </c>
      <c r="AO2290">
        <v>0</v>
      </c>
      <c r="AQ2290">
        <v>0</v>
      </c>
      <c r="AR2290">
        <v>0</v>
      </c>
      <c r="AS2290">
        <v>120</v>
      </c>
      <c r="AT2290">
        <v>-12</v>
      </c>
      <c r="AU2290">
        <v>0</v>
      </c>
      <c r="AW2290">
        <v>0</v>
      </c>
      <c r="AX2290">
        <v>0</v>
      </c>
      <c r="AY2290">
        <v>75.599999999999994</v>
      </c>
      <c r="BC2290" t="str">
        <f>T("9791164482849")</f>
        <v>9791164482849</v>
      </c>
      <c r="BE2290" t="str">
        <f>T("판타지 웹소설 &gt; 무협 소설")</f>
        <v>판타지 웹소설 &gt; 무협 소설</v>
      </c>
    </row>
    <row r="2291" spans="1:57" x14ac:dyDescent="0.3">
      <c r="A2291">
        <v>1525002125</v>
      </c>
      <c r="B2291">
        <v>1525002388</v>
      </c>
      <c r="C2291" t="str">
        <f>T("신을 죽이러 갑니다 264화")</f>
        <v>신을 죽이러 갑니다 264화</v>
      </c>
      <c r="D2291" t="str">
        <f>T("264")</f>
        <v>264</v>
      </c>
      <c r="E2291" t="str">
        <f>T("독고진")</f>
        <v>독고진</v>
      </c>
      <c r="H2291" t="str">
        <f>T("스토리위즈")</f>
        <v>스토리위즈</v>
      </c>
      <c r="I2291" t="str">
        <f>T("신을 죽이러 갑니다")</f>
        <v>신을 죽이러 갑니다</v>
      </c>
      <c r="J2291">
        <v>100</v>
      </c>
      <c r="K2291">
        <v>100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100</v>
      </c>
      <c r="AH2291">
        <v>1</v>
      </c>
      <c r="AI2291">
        <v>0</v>
      </c>
      <c r="AJ2291">
        <v>0</v>
      </c>
      <c r="AK2291">
        <v>0</v>
      </c>
      <c r="AL2291">
        <v>0</v>
      </c>
      <c r="AM2291">
        <v>120</v>
      </c>
      <c r="AN2291">
        <v>-12</v>
      </c>
      <c r="AO2291">
        <v>0</v>
      </c>
      <c r="AQ2291">
        <v>0</v>
      </c>
      <c r="AR2291">
        <v>0</v>
      </c>
      <c r="AS2291">
        <v>120</v>
      </c>
      <c r="AT2291">
        <v>-12</v>
      </c>
      <c r="AU2291">
        <v>0</v>
      </c>
      <c r="AW2291">
        <v>0</v>
      </c>
      <c r="AX2291">
        <v>0</v>
      </c>
      <c r="AY2291">
        <v>75.599999999999994</v>
      </c>
      <c r="BC2291" t="str">
        <f>T("9791159285806")</f>
        <v>9791159285806</v>
      </c>
      <c r="BE2291" t="str">
        <f>T("판타지 웹소설 &gt; 퓨전 판타지")</f>
        <v>판타지 웹소설 &gt; 퓨전 판타지</v>
      </c>
    </row>
    <row r="2292" spans="1:57" x14ac:dyDescent="0.3">
      <c r="A2292">
        <v>1525004030</v>
      </c>
      <c r="B2292">
        <v>1525007122</v>
      </c>
      <c r="C2292" t="str">
        <f>T("회귀의 전설 2부 1006화")</f>
        <v>회귀의 전설 2부 1006화</v>
      </c>
      <c r="D2292" t="str">
        <f>T("1006")</f>
        <v>1006</v>
      </c>
      <c r="E2292" t="str">
        <f>T("김광수")</f>
        <v>김광수</v>
      </c>
      <c r="H2292" t="str">
        <f>T("스토리위즈")</f>
        <v>스토리위즈</v>
      </c>
      <c r="I2292" t="str">
        <f>T("회귀의 전설")</f>
        <v>회귀의 전설</v>
      </c>
      <c r="J2292">
        <v>100</v>
      </c>
      <c r="K2292">
        <v>100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100</v>
      </c>
      <c r="AH2292">
        <v>1</v>
      </c>
      <c r="AI2292">
        <v>0</v>
      </c>
      <c r="AJ2292">
        <v>0</v>
      </c>
      <c r="AK2292">
        <v>100</v>
      </c>
      <c r="AL2292">
        <v>0</v>
      </c>
      <c r="AM2292">
        <v>0</v>
      </c>
      <c r="AN2292">
        <v>0</v>
      </c>
      <c r="AO2292">
        <v>0</v>
      </c>
      <c r="AQ2292">
        <v>0</v>
      </c>
      <c r="AR2292">
        <v>0</v>
      </c>
      <c r="AT2292">
        <v>0</v>
      </c>
      <c r="AU2292">
        <v>0</v>
      </c>
      <c r="AW2292">
        <v>0</v>
      </c>
      <c r="AX2292">
        <v>0</v>
      </c>
      <c r="AY2292">
        <v>70</v>
      </c>
      <c r="BC2292" t="str">
        <f>T("9791191102086")</f>
        <v>9791191102086</v>
      </c>
      <c r="BE2292" t="str">
        <f>T("판타지 웹소설 &gt; 현대 판타지")</f>
        <v>판타지 웹소설 &gt; 현대 판타지</v>
      </c>
    </row>
    <row r="2293" spans="1:57" x14ac:dyDescent="0.3">
      <c r="A2293">
        <v>1525012551</v>
      </c>
      <c r="B2293">
        <v>1525012723</v>
      </c>
      <c r="C2293" t="str">
        <f>T("개정판 | 바보가 만드는 멋진 세상 173화")</f>
        <v>개정판 | 바보가 만드는 멋진 세상 173화</v>
      </c>
      <c r="D2293" t="str">
        <f>T("173")</f>
        <v>173</v>
      </c>
      <c r="E2293" t="str">
        <f>T("백범(白帆)")</f>
        <v>백범(白帆)</v>
      </c>
      <c r="H2293" t="str">
        <f>T("에필로그")</f>
        <v>에필로그</v>
      </c>
      <c r="I2293" t="str">
        <f>T("개정판 | 바보가 만드는 멋진 세상")</f>
        <v>개정판 | 바보가 만드는 멋진 세상</v>
      </c>
      <c r="J2293">
        <v>100</v>
      </c>
      <c r="K2293">
        <v>100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100</v>
      </c>
      <c r="AH2293">
        <v>1</v>
      </c>
      <c r="AI2293">
        <v>0</v>
      </c>
      <c r="AJ2293">
        <v>0</v>
      </c>
      <c r="AK2293">
        <v>100</v>
      </c>
      <c r="AL2293">
        <v>0</v>
      </c>
      <c r="AM2293">
        <v>0</v>
      </c>
      <c r="AN2293">
        <v>0</v>
      </c>
      <c r="AO2293">
        <v>0</v>
      </c>
      <c r="AQ2293">
        <v>0</v>
      </c>
      <c r="AR2293">
        <v>0</v>
      </c>
      <c r="AT2293">
        <v>0</v>
      </c>
      <c r="AU2293">
        <v>0</v>
      </c>
      <c r="AW2293">
        <v>0</v>
      </c>
      <c r="AX2293">
        <v>0</v>
      </c>
      <c r="AY2293">
        <v>70</v>
      </c>
      <c r="BC2293" t="str">
        <f>T("9791166003493")</f>
        <v>9791166003493</v>
      </c>
      <c r="BE2293" t="str">
        <f>T("판타지 웹소설 &gt; 현대 판타지")</f>
        <v>판타지 웹소설 &gt; 현대 판타지</v>
      </c>
    </row>
    <row r="2294" spans="1:57" x14ac:dyDescent="0.3">
      <c r="A2294">
        <v>1525008545</v>
      </c>
      <c r="B2294">
        <v>1525008536</v>
      </c>
      <c r="C2294" t="str">
        <f>T("소년연애담 11화")</f>
        <v>소년연애담 11화</v>
      </c>
      <c r="D2294" t="str">
        <f>T("11")</f>
        <v>11</v>
      </c>
      <c r="E2294" t="str">
        <f>T("나나코")</f>
        <v>나나코</v>
      </c>
      <c r="H2294" t="str">
        <f>T("블러쉬")</f>
        <v>블러쉬</v>
      </c>
      <c r="I2294" t="str">
        <f>T("소년연애담")</f>
        <v>소년연애담</v>
      </c>
      <c r="J2294">
        <v>100</v>
      </c>
      <c r="K2294">
        <v>100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100</v>
      </c>
      <c r="AH2294">
        <v>1</v>
      </c>
      <c r="AI2294">
        <v>0</v>
      </c>
      <c r="AJ2294">
        <v>0</v>
      </c>
      <c r="AK2294">
        <v>100</v>
      </c>
      <c r="AL2294">
        <v>0</v>
      </c>
      <c r="AM2294">
        <v>0</v>
      </c>
      <c r="AN2294">
        <v>0</v>
      </c>
      <c r="AO2294">
        <v>0</v>
      </c>
      <c r="AQ2294">
        <v>0</v>
      </c>
      <c r="AR2294">
        <v>0</v>
      </c>
      <c r="AT2294">
        <v>0</v>
      </c>
      <c r="AU2294">
        <v>0</v>
      </c>
      <c r="AW2294">
        <v>0</v>
      </c>
      <c r="AX2294">
        <v>0</v>
      </c>
      <c r="AY2294">
        <v>70</v>
      </c>
      <c r="BA2294" t="str">
        <f>T("0000000000000")</f>
        <v>0000000000000</v>
      </c>
      <c r="BC2294" t="str">
        <f>T("9791164890729")</f>
        <v>9791164890729</v>
      </c>
      <c r="BD2294" t="str">
        <f>T("B12")</f>
        <v>B12</v>
      </c>
      <c r="BE2294" t="str">
        <f>T("BL 웹소설 &gt; 현대물")</f>
        <v>BL 웹소설 &gt; 현대물</v>
      </c>
    </row>
    <row r="2295" spans="1:57" x14ac:dyDescent="0.3">
      <c r="A2295">
        <v>1525002864</v>
      </c>
      <c r="B2295">
        <v>1525003491</v>
      </c>
      <c r="C2295" t="str">
        <f>T("소드마스터의 환생 203화 (외전 9)")</f>
        <v>소드마스터의 환생 203화 (외전 9)</v>
      </c>
      <c r="D2295" t="str">
        <f>T("203")</f>
        <v>203</v>
      </c>
      <c r="E2295" t="str">
        <f>T("파란영")</f>
        <v>파란영</v>
      </c>
      <c r="H2295" t="str">
        <f>T("스토리위즈")</f>
        <v>스토리위즈</v>
      </c>
      <c r="I2295" t="str">
        <f>T("소드마스터의 환생")</f>
        <v>소드마스터의 환생</v>
      </c>
      <c r="J2295">
        <v>100</v>
      </c>
      <c r="K2295">
        <v>100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100</v>
      </c>
      <c r="AH2295">
        <v>1</v>
      </c>
      <c r="AI2295">
        <v>0</v>
      </c>
      <c r="AJ2295">
        <v>0</v>
      </c>
      <c r="AK2295">
        <v>100</v>
      </c>
      <c r="AL2295">
        <v>0</v>
      </c>
      <c r="AM2295">
        <v>0</v>
      </c>
      <c r="AN2295">
        <v>0</v>
      </c>
      <c r="AO2295">
        <v>0</v>
      </c>
      <c r="AQ2295">
        <v>0</v>
      </c>
      <c r="AR2295">
        <v>0</v>
      </c>
      <c r="AT2295">
        <v>0</v>
      </c>
      <c r="AU2295">
        <v>0</v>
      </c>
      <c r="AW2295">
        <v>0</v>
      </c>
      <c r="AX2295">
        <v>0</v>
      </c>
      <c r="AY2295">
        <v>70</v>
      </c>
      <c r="BC2295" t="str">
        <f>T("9791159287527")</f>
        <v>9791159287527</v>
      </c>
      <c r="BE2295" t="str">
        <f>T("판타지 웹소설 &gt; 정통 판타지")</f>
        <v>판타지 웹소설 &gt; 정통 판타지</v>
      </c>
    </row>
    <row r="2296" spans="1:57" x14ac:dyDescent="0.3">
      <c r="A2296">
        <v>1525008428</v>
      </c>
      <c r="B2296">
        <v>1525008486</v>
      </c>
      <c r="C2296" t="str">
        <f>T("무히비(Muhibbi) 72화")</f>
        <v>무히비(Muhibbi) 72화</v>
      </c>
      <c r="D2296" t="str">
        <f>T("72")</f>
        <v>72</v>
      </c>
      <c r="E2296" t="str">
        <f>T("jooki")</f>
        <v>jooki</v>
      </c>
      <c r="H2296" t="str">
        <f>T("블러쉬")</f>
        <v>블러쉬</v>
      </c>
      <c r="I2296" t="str">
        <f>T("무히비(Muhibbi)")</f>
        <v>무히비(Muhibbi)</v>
      </c>
      <c r="J2296">
        <v>100</v>
      </c>
      <c r="K2296">
        <v>100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100</v>
      </c>
      <c r="AH2296">
        <v>1</v>
      </c>
      <c r="AI2296">
        <v>0</v>
      </c>
      <c r="AJ2296">
        <v>0</v>
      </c>
      <c r="AK2296">
        <v>100</v>
      </c>
      <c r="AL2296">
        <v>0</v>
      </c>
      <c r="AM2296">
        <v>0</v>
      </c>
      <c r="AN2296">
        <v>0</v>
      </c>
      <c r="AO2296">
        <v>0</v>
      </c>
      <c r="AQ2296">
        <v>0</v>
      </c>
      <c r="AR2296">
        <v>0</v>
      </c>
      <c r="AT2296">
        <v>0</v>
      </c>
      <c r="AU2296">
        <v>0</v>
      </c>
      <c r="AW2296">
        <v>0</v>
      </c>
      <c r="AX2296">
        <v>0</v>
      </c>
      <c r="AY2296">
        <v>70</v>
      </c>
      <c r="BC2296" t="str">
        <f>T("9791164896622")</f>
        <v>9791164896622</v>
      </c>
      <c r="BE2296" t="str">
        <f>T("BL 웹소설 &gt; 역사/시대물")</f>
        <v>BL 웹소설 &gt; 역사/시대물</v>
      </c>
    </row>
    <row r="2297" spans="1:57" x14ac:dyDescent="0.3">
      <c r="A2297">
        <v>1525011523</v>
      </c>
      <c r="B2297">
        <v>1525011320</v>
      </c>
      <c r="C2297" t="str">
        <f>T("남창목가 204화")</f>
        <v>남창목가 204화</v>
      </c>
      <c r="D2297" t="str">
        <f>T("204")</f>
        <v>204</v>
      </c>
      <c r="E2297" t="str">
        <f>T("최재봉")</f>
        <v>최재봉</v>
      </c>
      <c r="H2297" t="str">
        <f>T("에필로그")</f>
        <v>에필로그</v>
      </c>
      <c r="I2297" t="str">
        <f>T("남창목가")</f>
        <v>남창목가</v>
      </c>
      <c r="J2297">
        <v>100</v>
      </c>
      <c r="K2297">
        <v>100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100</v>
      </c>
      <c r="AH2297">
        <v>1</v>
      </c>
      <c r="AI2297">
        <v>0</v>
      </c>
      <c r="AJ2297">
        <v>0</v>
      </c>
      <c r="AK2297">
        <v>0</v>
      </c>
      <c r="AL2297">
        <v>0</v>
      </c>
      <c r="AM2297">
        <v>120</v>
      </c>
      <c r="AN2297">
        <v>-12</v>
      </c>
      <c r="AO2297">
        <v>0</v>
      </c>
      <c r="AQ2297">
        <v>0</v>
      </c>
      <c r="AR2297">
        <v>0</v>
      </c>
      <c r="AS2297">
        <v>120</v>
      </c>
      <c r="AT2297">
        <v>-12</v>
      </c>
      <c r="AU2297">
        <v>0</v>
      </c>
      <c r="AW2297">
        <v>0</v>
      </c>
      <c r="AX2297">
        <v>0</v>
      </c>
      <c r="AY2297">
        <v>75.599999999999994</v>
      </c>
      <c r="BC2297" t="str">
        <f>T("9791164482849")</f>
        <v>9791164482849</v>
      </c>
      <c r="BE2297" t="str">
        <f>T("판타지 웹소설 &gt; 무협 소설")</f>
        <v>판타지 웹소설 &gt; 무협 소설</v>
      </c>
    </row>
    <row r="2298" spans="1:57" x14ac:dyDescent="0.3">
      <c r="A2298">
        <v>1525012551</v>
      </c>
      <c r="B2298">
        <v>1525012601</v>
      </c>
      <c r="C2298" t="str">
        <f>T("개정판 | 바보가 만드는 멋진 세상 51화")</f>
        <v>개정판 | 바보가 만드는 멋진 세상 51화</v>
      </c>
      <c r="D2298" t="str">
        <f>T("51")</f>
        <v>51</v>
      </c>
      <c r="E2298" t="str">
        <f>T("백범(白帆)")</f>
        <v>백범(白帆)</v>
      </c>
      <c r="H2298" t="str">
        <f>T("에필로그")</f>
        <v>에필로그</v>
      </c>
      <c r="I2298" t="str">
        <f>T("개정판 | 바보가 만드는 멋진 세상")</f>
        <v>개정판 | 바보가 만드는 멋진 세상</v>
      </c>
      <c r="J2298">
        <v>100</v>
      </c>
      <c r="K2298">
        <v>100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100</v>
      </c>
      <c r="AH2298">
        <v>1</v>
      </c>
      <c r="AI2298">
        <v>0</v>
      </c>
      <c r="AJ2298">
        <v>0</v>
      </c>
      <c r="AK2298">
        <v>100</v>
      </c>
      <c r="AL2298">
        <v>0</v>
      </c>
      <c r="AM2298">
        <v>0</v>
      </c>
      <c r="AN2298">
        <v>0</v>
      </c>
      <c r="AO2298">
        <v>0</v>
      </c>
      <c r="AQ2298">
        <v>0</v>
      </c>
      <c r="AR2298">
        <v>0</v>
      </c>
      <c r="AT2298">
        <v>0</v>
      </c>
      <c r="AU2298">
        <v>0</v>
      </c>
      <c r="AW2298">
        <v>0</v>
      </c>
      <c r="AX2298">
        <v>0</v>
      </c>
      <c r="AY2298">
        <v>70</v>
      </c>
      <c r="BC2298" t="str">
        <f>T("9791166003493")</f>
        <v>9791166003493</v>
      </c>
      <c r="BE2298" t="str">
        <f>T("판타지 웹소설 &gt; 현대 판타지")</f>
        <v>판타지 웹소설 &gt; 현대 판타지</v>
      </c>
    </row>
    <row r="2299" spans="1:57" x14ac:dyDescent="0.3">
      <c r="A2299">
        <v>1525004799</v>
      </c>
      <c r="B2299">
        <v>1525004951</v>
      </c>
      <c r="C2299" t="str">
        <f>T("검산도해 153화")</f>
        <v>검산도해 153화</v>
      </c>
      <c r="D2299" t="str">
        <f>T("153")</f>
        <v>153</v>
      </c>
      <c r="E2299" t="str">
        <f>T("권용찬")</f>
        <v>권용찬</v>
      </c>
      <c r="H2299" t="str">
        <f>T("스토리위즈")</f>
        <v>스토리위즈</v>
      </c>
      <c r="I2299" t="str">
        <f>T("검산도해")</f>
        <v>검산도해</v>
      </c>
      <c r="J2299">
        <v>100</v>
      </c>
      <c r="K2299">
        <v>100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100</v>
      </c>
      <c r="AH2299">
        <v>1</v>
      </c>
      <c r="AI2299">
        <v>0</v>
      </c>
      <c r="AJ2299">
        <v>0</v>
      </c>
      <c r="AK2299">
        <v>0</v>
      </c>
      <c r="AL2299">
        <v>0</v>
      </c>
      <c r="AM2299">
        <v>120</v>
      </c>
      <c r="AN2299">
        <v>-12</v>
      </c>
      <c r="AO2299">
        <v>0</v>
      </c>
      <c r="AQ2299">
        <v>0</v>
      </c>
      <c r="AR2299">
        <v>0</v>
      </c>
      <c r="AS2299">
        <v>120</v>
      </c>
      <c r="AT2299">
        <v>-12</v>
      </c>
      <c r="AU2299">
        <v>0</v>
      </c>
      <c r="AW2299">
        <v>0</v>
      </c>
      <c r="AX2299">
        <v>0</v>
      </c>
      <c r="AY2299">
        <v>75.599999999999994</v>
      </c>
      <c r="BC2299" t="str">
        <f>T("9791159285936")</f>
        <v>9791159285936</v>
      </c>
      <c r="BE2299" t="str">
        <f>T("판타지 웹소설 &gt; 무협 소설")</f>
        <v>판타지 웹소설 &gt; 무협 소설</v>
      </c>
    </row>
    <row r="2300" spans="1:57" x14ac:dyDescent="0.3">
      <c r="A2300">
        <v>1525004030</v>
      </c>
      <c r="B2300">
        <v>1525007040</v>
      </c>
      <c r="C2300" t="str">
        <f>T("회귀의 전설 2부 924화")</f>
        <v>회귀의 전설 2부 924화</v>
      </c>
      <c r="D2300" t="str">
        <f>T("924")</f>
        <v>924</v>
      </c>
      <c r="E2300" t="str">
        <f>T("김광수")</f>
        <v>김광수</v>
      </c>
      <c r="H2300" t="str">
        <f>T("스토리위즈")</f>
        <v>스토리위즈</v>
      </c>
      <c r="I2300" t="str">
        <f>T("회귀의 전설")</f>
        <v>회귀의 전설</v>
      </c>
      <c r="J2300">
        <v>100</v>
      </c>
      <c r="K2300">
        <v>100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100</v>
      </c>
      <c r="AH2300">
        <v>1</v>
      </c>
      <c r="AI2300">
        <v>0</v>
      </c>
      <c r="AJ2300">
        <v>0</v>
      </c>
      <c r="AK2300">
        <v>100</v>
      </c>
      <c r="AL2300">
        <v>0</v>
      </c>
      <c r="AM2300">
        <v>0</v>
      </c>
      <c r="AN2300">
        <v>0</v>
      </c>
      <c r="AO2300">
        <v>0</v>
      </c>
      <c r="AQ2300">
        <v>0</v>
      </c>
      <c r="AR2300">
        <v>0</v>
      </c>
      <c r="AT2300">
        <v>0</v>
      </c>
      <c r="AU2300">
        <v>0</v>
      </c>
      <c r="AW2300">
        <v>0</v>
      </c>
      <c r="AX2300">
        <v>0</v>
      </c>
      <c r="AY2300">
        <v>70</v>
      </c>
      <c r="BC2300" t="str">
        <f>T("9791191102086")</f>
        <v>9791191102086</v>
      </c>
      <c r="BE2300" t="str">
        <f>T("판타지 웹소설 &gt; 현대 판타지")</f>
        <v>판타지 웹소설 &gt; 현대 판타지</v>
      </c>
    </row>
    <row r="2301" spans="1:57" x14ac:dyDescent="0.3">
      <c r="A2301">
        <v>1525008428</v>
      </c>
      <c r="B2301">
        <v>1525008443</v>
      </c>
      <c r="C2301" t="str">
        <f>T("무히비(Muhibbi) 33화")</f>
        <v>무히비(Muhibbi) 33화</v>
      </c>
      <c r="D2301" t="str">
        <f>T("33")</f>
        <v>33</v>
      </c>
      <c r="E2301" t="str">
        <f>T("jooki")</f>
        <v>jooki</v>
      </c>
      <c r="H2301" t="str">
        <f>T("블러쉬")</f>
        <v>블러쉬</v>
      </c>
      <c r="I2301" t="str">
        <f>T("무히비(Muhibbi)")</f>
        <v>무히비(Muhibbi)</v>
      </c>
      <c r="J2301">
        <v>100</v>
      </c>
      <c r="K2301">
        <v>100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100</v>
      </c>
      <c r="AH2301">
        <v>1</v>
      </c>
      <c r="AI2301">
        <v>0</v>
      </c>
      <c r="AJ2301">
        <v>0</v>
      </c>
      <c r="AK2301">
        <v>100</v>
      </c>
      <c r="AL2301">
        <v>0</v>
      </c>
      <c r="AM2301">
        <v>0</v>
      </c>
      <c r="AN2301">
        <v>0</v>
      </c>
      <c r="AO2301">
        <v>0</v>
      </c>
      <c r="AQ2301">
        <v>0</v>
      </c>
      <c r="AR2301">
        <v>0</v>
      </c>
      <c r="AT2301">
        <v>0</v>
      </c>
      <c r="AU2301">
        <v>0</v>
      </c>
      <c r="AW2301">
        <v>0</v>
      </c>
      <c r="AX2301">
        <v>0</v>
      </c>
      <c r="AY2301">
        <v>70</v>
      </c>
      <c r="BC2301" t="str">
        <f>T("9791164896622")</f>
        <v>9791164896622</v>
      </c>
      <c r="BE2301" t="str">
        <f>T("BL 웹소설 &gt; 역사/시대물")</f>
        <v>BL 웹소설 &gt; 역사/시대물</v>
      </c>
    </row>
    <row r="2302" spans="1:57" x14ac:dyDescent="0.3">
      <c r="A2302">
        <v>1525004030</v>
      </c>
      <c r="B2302">
        <v>1525006999</v>
      </c>
      <c r="C2302" t="str">
        <f>T("회귀의 전설 2부 883화")</f>
        <v>회귀의 전설 2부 883화</v>
      </c>
      <c r="D2302" t="str">
        <f>T("883")</f>
        <v>883</v>
      </c>
      <c r="E2302" t="str">
        <f>T("김광수")</f>
        <v>김광수</v>
      </c>
      <c r="H2302" t="str">
        <f>T("스토리위즈")</f>
        <v>스토리위즈</v>
      </c>
      <c r="I2302" t="str">
        <f>T("회귀의 전설")</f>
        <v>회귀의 전설</v>
      </c>
      <c r="J2302">
        <v>100</v>
      </c>
      <c r="K2302">
        <v>100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100</v>
      </c>
      <c r="AH2302">
        <v>1</v>
      </c>
      <c r="AI2302">
        <v>0</v>
      </c>
      <c r="AJ2302">
        <v>0</v>
      </c>
      <c r="AK2302">
        <v>100</v>
      </c>
      <c r="AL2302">
        <v>0</v>
      </c>
      <c r="AM2302">
        <v>0</v>
      </c>
      <c r="AN2302">
        <v>0</v>
      </c>
      <c r="AO2302">
        <v>0</v>
      </c>
      <c r="AQ2302">
        <v>0</v>
      </c>
      <c r="AR2302">
        <v>0</v>
      </c>
      <c r="AT2302">
        <v>0</v>
      </c>
      <c r="AU2302">
        <v>0</v>
      </c>
      <c r="AW2302">
        <v>0</v>
      </c>
      <c r="AX2302">
        <v>0</v>
      </c>
      <c r="AY2302">
        <v>70</v>
      </c>
      <c r="BC2302" t="str">
        <f>T("9791191102086")</f>
        <v>9791191102086</v>
      </c>
      <c r="BE2302" t="str">
        <f>T("판타지 웹소설 &gt; 현대 판타지")</f>
        <v>판타지 웹소설 &gt; 현대 판타지</v>
      </c>
    </row>
    <row r="2303" spans="1:57" x14ac:dyDescent="0.3">
      <c r="A2303">
        <v>1525011523</v>
      </c>
      <c r="B2303">
        <v>1525011400</v>
      </c>
      <c r="C2303" t="str">
        <f>T("남창목가 124화")</f>
        <v>남창목가 124화</v>
      </c>
      <c r="D2303" t="str">
        <f>T("124")</f>
        <v>124</v>
      </c>
      <c r="E2303" t="str">
        <f>T("최재봉")</f>
        <v>최재봉</v>
      </c>
      <c r="H2303" t="str">
        <f>T("에필로그")</f>
        <v>에필로그</v>
      </c>
      <c r="I2303" t="str">
        <f>T("남창목가")</f>
        <v>남창목가</v>
      </c>
      <c r="J2303">
        <v>100</v>
      </c>
      <c r="K2303">
        <v>100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100</v>
      </c>
      <c r="AH2303">
        <v>1</v>
      </c>
      <c r="AI2303">
        <v>0</v>
      </c>
      <c r="AJ2303">
        <v>0</v>
      </c>
      <c r="AK2303">
        <v>100</v>
      </c>
      <c r="AL2303">
        <v>0</v>
      </c>
      <c r="AM2303">
        <v>0</v>
      </c>
      <c r="AN2303">
        <v>0</v>
      </c>
      <c r="AO2303">
        <v>0</v>
      </c>
      <c r="AQ2303">
        <v>0</v>
      </c>
      <c r="AR2303">
        <v>0</v>
      </c>
      <c r="AT2303">
        <v>0</v>
      </c>
      <c r="AU2303">
        <v>0</v>
      </c>
      <c r="AW2303">
        <v>0</v>
      </c>
      <c r="AX2303">
        <v>0</v>
      </c>
      <c r="AY2303">
        <v>70</v>
      </c>
      <c r="BC2303" t="str">
        <f>T("9791164482849")</f>
        <v>9791164482849</v>
      </c>
      <c r="BE2303" t="str">
        <f>T("판타지 웹소설 &gt; 무협 소설")</f>
        <v>판타지 웹소설 &gt; 무협 소설</v>
      </c>
    </row>
    <row r="2304" spans="1:57" x14ac:dyDescent="0.3">
      <c r="A2304">
        <v>1525013020</v>
      </c>
      <c r="B2304">
        <v>1525013081</v>
      </c>
      <c r="C2304" t="str">
        <f>T("악당의 리턴 62화")</f>
        <v>악당의 리턴 62화</v>
      </c>
      <c r="D2304" t="str">
        <f>T("62")</f>
        <v>62</v>
      </c>
      <c r="E2304" t="str">
        <f>T("백범(白帆)")</f>
        <v>백범(白帆)</v>
      </c>
      <c r="H2304" t="str">
        <f>T("에필로그")</f>
        <v>에필로그</v>
      </c>
      <c r="I2304" t="str">
        <f>T("악당의 리턴")</f>
        <v>악당의 리턴</v>
      </c>
      <c r="J2304">
        <v>100</v>
      </c>
      <c r="K2304">
        <v>100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100</v>
      </c>
      <c r="AH2304">
        <v>1</v>
      </c>
      <c r="AI2304">
        <v>0</v>
      </c>
      <c r="AJ2304">
        <v>0</v>
      </c>
      <c r="AK2304">
        <v>100</v>
      </c>
      <c r="AL2304">
        <v>0</v>
      </c>
      <c r="AM2304">
        <v>0</v>
      </c>
      <c r="AN2304">
        <v>0</v>
      </c>
      <c r="AO2304">
        <v>0</v>
      </c>
      <c r="AQ2304">
        <v>0</v>
      </c>
      <c r="AR2304">
        <v>0</v>
      </c>
      <c r="AT2304">
        <v>0</v>
      </c>
      <c r="AU2304">
        <v>0</v>
      </c>
      <c r="AW2304">
        <v>0</v>
      </c>
      <c r="AX2304">
        <v>0</v>
      </c>
      <c r="AY2304">
        <v>70</v>
      </c>
      <c r="BC2304" t="str">
        <f>T("9791196538927")</f>
        <v>9791196538927</v>
      </c>
      <c r="BE2304" t="str">
        <f>T("판타지 웹소설 &gt; 현대 판타지")</f>
        <v>판타지 웹소설 &gt; 현대 판타지</v>
      </c>
    </row>
    <row r="2305" spans="1:57" x14ac:dyDescent="0.3">
      <c r="A2305">
        <v>1525004030</v>
      </c>
      <c r="B2305">
        <v>1525007155</v>
      </c>
      <c r="C2305" t="str">
        <f>T("회귀의 전설 2부 1038화")</f>
        <v>회귀의 전설 2부 1038화</v>
      </c>
      <c r="D2305" t="str">
        <f>T("1038")</f>
        <v>1038</v>
      </c>
      <c r="E2305" t="str">
        <f>T("김광수")</f>
        <v>김광수</v>
      </c>
      <c r="H2305" t="str">
        <f>T("스토리위즈")</f>
        <v>스토리위즈</v>
      </c>
      <c r="I2305" t="str">
        <f>T("회귀의 전설")</f>
        <v>회귀의 전설</v>
      </c>
      <c r="J2305">
        <v>100</v>
      </c>
      <c r="K2305">
        <v>100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100</v>
      </c>
      <c r="AH2305">
        <v>1</v>
      </c>
      <c r="AI2305">
        <v>0</v>
      </c>
      <c r="AJ2305">
        <v>0</v>
      </c>
      <c r="AK2305">
        <v>100</v>
      </c>
      <c r="AL2305">
        <v>0</v>
      </c>
      <c r="AM2305">
        <v>0</v>
      </c>
      <c r="AN2305">
        <v>0</v>
      </c>
      <c r="AO2305">
        <v>0</v>
      </c>
      <c r="AQ2305">
        <v>0</v>
      </c>
      <c r="AR2305">
        <v>0</v>
      </c>
      <c r="AT2305">
        <v>0</v>
      </c>
      <c r="AU2305">
        <v>0</v>
      </c>
      <c r="AW2305">
        <v>0</v>
      </c>
      <c r="AX2305">
        <v>0</v>
      </c>
      <c r="AY2305">
        <v>70</v>
      </c>
      <c r="BC2305" t="str">
        <f>T("9791191102086")</f>
        <v>9791191102086</v>
      </c>
      <c r="BE2305" t="str">
        <f>T("판타지 웹소설 &gt; 현대 판타지")</f>
        <v>판타지 웹소설 &gt; 현대 판타지</v>
      </c>
    </row>
    <row r="2306" spans="1:57" x14ac:dyDescent="0.3">
      <c r="A2306">
        <v>1525008545</v>
      </c>
      <c r="B2306">
        <v>1525008568</v>
      </c>
      <c r="C2306" t="str">
        <f>T("소년연애담 40화")</f>
        <v>소년연애담 40화</v>
      </c>
      <c r="D2306" t="str">
        <f>T("40")</f>
        <v>40</v>
      </c>
      <c r="E2306" t="str">
        <f>T("나나코")</f>
        <v>나나코</v>
      </c>
      <c r="H2306" t="str">
        <f>T("블러쉬")</f>
        <v>블러쉬</v>
      </c>
      <c r="I2306" t="str">
        <f>T("소년연애담")</f>
        <v>소년연애담</v>
      </c>
      <c r="J2306">
        <v>100</v>
      </c>
      <c r="K2306">
        <v>100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100</v>
      </c>
      <c r="AH2306">
        <v>1</v>
      </c>
      <c r="AI2306">
        <v>0</v>
      </c>
      <c r="AJ2306">
        <v>0</v>
      </c>
      <c r="AK2306">
        <v>100</v>
      </c>
      <c r="AL2306">
        <v>0</v>
      </c>
      <c r="AM2306">
        <v>0</v>
      </c>
      <c r="AN2306">
        <v>0</v>
      </c>
      <c r="AO2306">
        <v>0</v>
      </c>
      <c r="AQ2306">
        <v>0</v>
      </c>
      <c r="AR2306">
        <v>0</v>
      </c>
      <c r="AT2306">
        <v>0</v>
      </c>
      <c r="AU2306">
        <v>0</v>
      </c>
      <c r="AW2306">
        <v>0</v>
      </c>
      <c r="AX2306">
        <v>0</v>
      </c>
      <c r="AY2306">
        <v>70</v>
      </c>
      <c r="BA2306" t="str">
        <f>T("0000000000000")</f>
        <v>0000000000000</v>
      </c>
      <c r="BC2306" t="str">
        <f>T("9791164890729")</f>
        <v>9791164890729</v>
      </c>
      <c r="BD2306" t="str">
        <f>T("B12")</f>
        <v>B12</v>
      </c>
      <c r="BE2306" t="str">
        <f>T("BL 웹소설 &gt; 현대물")</f>
        <v>BL 웹소설 &gt; 현대물</v>
      </c>
    </row>
    <row r="2307" spans="1:57" x14ac:dyDescent="0.3">
      <c r="A2307">
        <v>1525012551</v>
      </c>
      <c r="B2307">
        <v>1525012642</v>
      </c>
      <c r="C2307" t="str">
        <f>T("개정판 | 바보가 만드는 멋진 세상 92화")</f>
        <v>개정판 | 바보가 만드는 멋진 세상 92화</v>
      </c>
      <c r="D2307" t="str">
        <f>T("92")</f>
        <v>92</v>
      </c>
      <c r="E2307" t="str">
        <f>T("백범(白帆)")</f>
        <v>백범(白帆)</v>
      </c>
      <c r="H2307" t="str">
        <f>T("에필로그")</f>
        <v>에필로그</v>
      </c>
      <c r="I2307" t="str">
        <f>T("개정판 | 바보가 만드는 멋진 세상")</f>
        <v>개정판 | 바보가 만드는 멋진 세상</v>
      </c>
      <c r="J2307">
        <v>100</v>
      </c>
      <c r="K2307">
        <v>100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100</v>
      </c>
      <c r="AH2307">
        <v>1</v>
      </c>
      <c r="AI2307">
        <v>0</v>
      </c>
      <c r="AJ2307">
        <v>0</v>
      </c>
      <c r="AK2307">
        <v>100</v>
      </c>
      <c r="AL2307">
        <v>0</v>
      </c>
      <c r="AM2307">
        <v>0</v>
      </c>
      <c r="AN2307">
        <v>0</v>
      </c>
      <c r="AO2307">
        <v>0</v>
      </c>
      <c r="AQ2307">
        <v>0</v>
      </c>
      <c r="AR2307">
        <v>0</v>
      </c>
      <c r="AT2307">
        <v>0</v>
      </c>
      <c r="AU2307">
        <v>0</v>
      </c>
      <c r="AW2307">
        <v>0</v>
      </c>
      <c r="AX2307">
        <v>0</v>
      </c>
      <c r="AY2307">
        <v>70</v>
      </c>
      <c r="BC2307" t="str">
        <f>T("9791166003493")</f>
        <v>9791166003493</v>
      </c>
      <c r="BE2307" t="str">
        <f>T("판타지 웹소설 &gt; 현대 판타지")</f>
        <v>판타지 웹소설 &gt; 현대 판타지</v>
      </c>
    </row>
    <row r="2308" spans="1:57" x14ac:dyDescent="0.3">
      <c r="A2308">
        <v>1525012551</v>
      </c>
      <c r="B2308">
        <v>1525012633</v>
      </c>
      <c r="C2308" t="str">
        <f>T("개정판 | 바보가 만드는 멋진 세상 83화")</f>
        <v>개정판 | 바보가 만드는 멋진 세상 83화</v>
      </c>
      <c r="D2308" t="str">
        <f>T("83")</f>
        <v>83</v>
      </c>
      <c r="E2308" t="str">
        <f>T("백범(白帆)")</f>
        <v>백범(白帆)</v>
      </c>
      <c r="H2308" t="str">
        <f>T("에필로그")</f>
        <v>에필로그</v>
      </c>
      <c r="I2308" t="str">
        <f>T("개정판 | 바보가 만드는 멋진 세상")</f>
        <v>개정판 | 바보가 만드는 멋진 세상</v>
      </c>
      <c r="J2308">
        <v>100</v>
      </c>
      <c r="K2308">
        <v>100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100</v>
      </c>
      <c r="AH2308">
        <v>1</v>
      </c>
      <c r="AI2308">
        <v>0</v>
      </c>
      <c r="AJ2308">
        <v>0</v>
      </c>
      <c r="AK2308">
        <v>100</v>
      </c>
      <c r="AL2308">
        <v>0</v>
      </c>
      <c r="AM2308">
        <v>0</v>
      </c>
      <c r="AN2308">
        <v>0</v>
      </c>
      <c r="AO2308">
        <v>0</v>
      </c>
      <c r="AQ2308">
        <v>0</v>
      </c>
      <c r="AR2308">
        <v>0</v>
      </c>
      <c r="AT2308">
        <v>0</v>
      </c>
      <c r="AU2308">
        <v>0</v>
      </c>
      <c r="AW2308">
        <v>0</v>
      </c>
      <c r="AX2308">
        <v>0</v>
      </c>
      <c r="AY2308">
        <v>70</v>
      </c>
      <c r="BC2308" t="str">
        <f>T("9791166003493")</f>
        <v>9791166003493</v>
      </c>
      <c r="BE2308" t="str">
        <f>T("판타지 웹소설 &gt; 현대 판타지")</f>
        <v>판타지 웹소설 &gt; 현대 판타지</v>
      </c>
    </row>
    <row r="2309" spans="1:57" x14ac:dyDescent="0.3">
      <c r="A2309">
        <v>1525004799</v>
      </c>
      <c r="B2309">
        <v>1525004870</v>
      </c>
      <c r="C2309" t="str">
        <f>T("검산도해 72화")</f>
        <v>검산도해 72화</v>
      </c>
      <c r="D2309" t="str">
        <f>T("72")</f>
        <v>72</v>
      </c>
      <c r="E2309" t="str">
        <f>T("권용찬")</f>
        <v>권용찬</v>
      </c>
      <c r="H2309" t="str">
        <f>T("스토리위즈")</f>
        <v>스토리위즈</v>
      </c>
      <c r="I2309" t="str">
        <f>T("검산도해")</f>
        <v>검산도해</v>
      </c>
      <c r="J2309">
        <v>100</v>
      </c>
      <c r="K2309">
        <v>100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100</v>
      </c>
      <c r="AH2309">
        <v>1</v>
      </c>
      <c r="AI2309">
        <v>0</v>
      </c>
      <c r="AJ2309">
        <v>0</v>
      </c>
      <c r="AK2309">
        <v>0</v>
      </c>
      <c r="AL2309">
        <v>0</v>
      </c>
      <c r="AM2309">
        <v>120</v>
      </c>
      <c r="AN2309">
        <v>-12</v>
      </c>
      <c r="AO2309">
        <v>0</v>
      </c>
      <c r="AQ2309">
        <v>0</v>
      </c>
      <c r="AR2309">
        <v>0</v>
      </c>
      <c r="AS2309">
        <v>120</v>
      </c>
      <c r="AT2309">
        <v>-12</v>
      </c>
      <c r="AU2309">
        <v>0</v>
      </c>
      <c r="AW2309">
        <v>0</v>
      </c>
      <c r="AX2309">
        <v>0</v>
      </c>
      <c r="AY2309">
        <v>75.599999999999994</v>
      </c>
      <c r="BC2309" t="str">
        <f>T("9791159285936")</f>
        <v>9791159285936</v>
      </c>
      <c r="BE2309" t="str">
        <f>T("판타지 웹소설 &gt; 무협 소설")</f>
        <v>판타지 웹소설 &gt; 무협 소설</v>
      </c>
    </row>
    <row r="2310" spans="1:57" x14ac:dyDescent="0.3">
      <c r="A2310">
        <v>1525000924</v>
      </c>
      <c r="B2310">
        <v>1525000966</v>
      </c>
      <c r="C2310" t="str">
        <f>T("스피릿 소드 43화")</f>
        <v>스피릿 소드 43화</v>
      </c>
      <c r="D2310" t="str">
        <f>T("43")</f>
        <v>43</v>
      </c>
      <c r="E2310" t="str">
        <f>T("김정률")</f>
        <v>김정률</v>
      </c>
      <c r="H2310" t="str">
        <f>T("스토리위즈")</f>
        <v>스토리위즈</v>
      </c>
      <c r="I2310" t="str">
        <f>T("스피릿 소드")</f>
        <v>스피릿 소드</v>
      </c>
      <c r="J2310">
        <v>100</v>
      </c>
      <c r="K2310">
        <v>100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100</v>
      </c>
      <c r="AH2310">
        <v>1</v>
      </c>
      <c r="AI2310">
        <v>0</v>
      </c>
      <c r="AJ2310">
        <v>0</v>
      </c>
      <c r="AK2310">
        <v>100</v>
      </c>
      <c r="AL2310">
        <v>0</v>
      </c>
      <c r="AM2310">
        <v>0</v>
      </c>
      <c r="AN2310">
        <v>0</v>
      </c>
      <c r="AO2310">
        <v>0</v>
      </c>
      <c r="AQ2310">
        <v>0</v>
      </c>
      <c r="AR2310">
        <v>0</v>
      </c>
      <c r="AT2310">
        <v>0</v>
      </c>
      <c r="AU2310">
        <v>0</v>
      </c>
      <c r="AW2310">
        <v>0</v>
      </c>
      <c r="AX2310">
        <v>0</v>
      </c>
      <c r="AY2310">
        <v>70</v>
      </c>
      <c r="BA2310" t="str">
        <f>T("9791159282713")</f>
        <v>9791159282713</v>
      </c>
      <c r="BC2310" t="str">
        <f>T("9791159282713")</f>
        <v>9791159282713</v>
      </c>
      <c r="BE2310" t="str">
        <f>T("판타지 웹소설 &gt; 정통 판타지")</f>
        <v>판타지 웹소설 &gt; 정통 판타지</v>
      </c>
    </row>
    <row r="2311" spans="1:57" x14ac:dyDescent="0.3">
      <c r="A2311">
        <v>1525004030</v>
      </c>
      <c r="B2311">
        <v>1525004528</v>
      </c>
      <c r="C2311" t="str">
        <f>T("회귀의 전설 505화")</f>
        <v>회귀의 전설 505화</v>
      </c>
      <c r="D2311" t="str">
        <f>T("505")</f>
        <v>505</v>
      </c>
      <c r="E2311" t="str">
        <f>T("김광수")</f>
        <v>김광수</v>
      </c>
      <c r="H2311" t="str">
        <f>T("스토리위즈")</f>
        <v>스토리위즈</v>
      </c>
      <c r="I2311" t="str">
        <f>T("회귀의 전설")</f>
        <v>회귀의 전설</v>
      </c>
      <c r="J2311">
        <v>100</v>
      </c>
      <c r="K2311">
        <v>100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100</v>
      </c>
      <c r="AH2311">
        <v>1</v>
      </c>
      <c r="AI2311">
        <v>0</v>
      </c>
      <c r="AJ2311">
        <v>0</v>
      </c>
      <c r="AK2311">
        <v>100</v>
      </c>
      <c r="AL2311">
        <v>0</v>
      </c>
      <c r="AM2311">
        <v>0</v>
      </c>
      <c r="AN2311">
        <v>0</v>
      </c>
      <c r="AO2311">
        <v>0</v>
      </c>
      <c r="AQ2311">
        <v>0</v>
      </c>
      <c r="AR2311">
        <v>0</v>
      </c>
      <c r="AT2311">
        <v>0</v>
      </c>
      <c r="AU2311">
        <v>0</v>
      </c>
      <c r="AW2311">
        <v>0</v>
      </c>
      <c r="AX2311">
        <v>0</v>
      </c>
      <c r="AY2311">
        <v>70</v>
      </c>
      <c r="BC2311" t="str">
        <f>T("9788997946006")</f>
        <v>9788997946006</v>
      </c>
      <c r="BE2311" t="str">
        <f>T("판타지 웹소설 &gt; 현대 판타지")</f>
        <v>판타지 웹소설 &gt; 현대 판타지</v>
      </c>
    </row>
    <row r="2312" spans="1:57" x14ac:dyDescent="0.3">
      <c r="A2312">
        <v>1525004030</v>
      </c>
      <c r="B2312">
        <v>1525006700</v>
      </c>
      <c r="C2312" t="str">
        <f>T("회귀의 전설 2부 583화")</f>
        <v>회귀의 전설 2부 583화</v>
      </c>
      <c r="D2312" t="str">
        <f>T("583")</f>
        <v>583</v>
      </c>
      <c r="E2312" t="str">
        <f>T("김광수")</f>
        <v>김광수</v>
      </c>
      <c r="H2312" t="str">
        <f>T("스토리위즈")</f>
        <v>스토리위즈</v>
      </c>
      <c r="I2312" t="str">
        <f>T("회귀의 전설")</f>
        <v>회귀의 전설</v>
      </c>
      <c r="J2312">
        <v>100</v>
      </c>
      <c r="K2312">
        <v>100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100</v>
      </c>
      <c r="AH2312">
        <v>1</v>
      </c>
      <c r="AI2312">
        <v>0</v>
      </c>
      <c r="AJ2312">
        <v>0</v>
      </c>
      <c r="AK2312">
        <v>100</v>
      </c>
      <c r="AL2312">
        <v>0</v>
      </c>
      <c r="AM2312">
        <v>0</v>
      </c>
      <c r="AN2312">
        <v>0</v>
      </c>
      <c r="AO2312">
        <v>0</v>
      </c>
      <c r="AQ2312">
        <v>0</v>
      </c>
      <c r="AR2312">
        <v>0</v>
      </c>
      <c r="AT2312">
        <v>0</v>
      </c>
      <c r="AU2312">
        <v>0</v>
      </c>
      <c r="AW2312">
        <v>0</v>
      </c>
      <c r="AX2312">
        <v>0</v>
      </c>
      <c r="AY2312">
        <v>70</v>
      </c>
      <c r="BC2312" t="str">
        <f>T("9791191102086")</f>
        <v>9791191102086</v>
      </c>
      <c r="BE2312" t="str">
        <f>T("판타지 웹소설 &gt; 현대 판타지")</f>
        <v>판타지 웹소설 &gt; 현대 판타지</v>
      </c>
    </row>
    <row r="2313" spans="1:57" x14ac:dyDescent="0.3">
      <c r="A2313">
        <v>1525014780</v>
      </c>
      <c r="B2313">
        <v>1525014928</v>
      </c>
      <c r="C2313" t="str">
        <f>T("크랭키 걸즈 149화")</f>
        <v>크랭키 걸즈 149화</v>
      </c>
      <c r="D2313" t="str">
        <f>T("149")</f>
        <v>149</v>
      </c>
      <c r="E2313" t="str">
        <f>T("곽도우")</f>
        <v>곽도우</v>
      </c>
      <c r="H2313" t="str">
        <f>T("스토리아크")</f>
        <v>스토리아크</v>
      </c>
      <c r="I2313" t="str">
        <f>T("크랭키 걸즈")</f>
        <v>크랭키 걸즈</v>
      </c>
      <c r="J2313">
        <v>100</v>
      </c>
      <c r="K2313">
        <v>100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100</v>
      </c>
      <c r="AH2313">
        <v>1</v>
      </c>
      <c r="AI2313">
        <v>0</v>
      </c>
      <c r="AJ2313">
        <v>0</v>
      </c>
      <c r="AK2313">
        <v>100</v>
      </c>
      <c r="AL2313">
        <v>0</v>
      </c>
      <c r="AM2313">
        <v>0</v>
      </c>
      <c r="AN2313">
        <v>0</v>
      </c>
      <c r="AO2313">
        <v>0</v>
      </c>
      <c r="AQ2313">
        <v>0</v>
      </c>
      <c r="AR2313">
        <v>0</v>
      </c>
      <c r="AT2313">
        <v>0</v>
      </c>
      <c r="AU2313">
        <v>0</v>
      </c>
      <c r="AW2313">
        <v>0</v>
      </c>
      <c r="AX2313">
        <v>0</v>
      </c>
      <c r="AY2313">
        <v>70</v>
      </c>
      <c r="BC2313" t="str">
        <f>T("9791191039276")</f>
        <v>9791191039276</v>
      </c>
      <c r="BE2313" t="str">
        <f>T("판타지 웹소설 &gt; 현대 판타지")</f>
        <v>판타지 웹소설 &gt; 현대 판타지</v>
      </c>
    </row>
    <row r="2314" spans="1:57" x14ac:dyDescent="0.3">
      <c r="A2314">
        <v>1525008545</v>
      </c>
      <c r="B2314">
        <v>1525008585</v>
      </c>
      <c r="C2314" t="str">
        <f>T("소년연애담 56화")</f>
        <v>소년연애담 56화</v>
      </c>
      <c r="D2314" t="str">
        <f>T("56")</f>
        <v>56</v>
      </c>
      <c r="E2314" t="str">
        <f>T("나나코")</f>
        <v>나나코</v>
      </c>
      <c r="H2314" t="str">
        <f>T("블러쉬")</f>
        <v>블러쉬</v>
      </c>
      <c r="I2314" t="str">
        <f>T("소년연애담")</f>
        <v>소년연애담</v>
      </c>
      <c r="J2314">
        <v>100</v>
      </c>
      <c r="K2314">
        <v>100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100</v>
      </c>
      <c r="AH2314">
        <v>1</v>
      </c>
      <c r="AI2314">
        <v>0</v>
      </c>
      <c r="AJ2314">
        <v>0</v>
      </c>
      <c r="AK2314">
        <v>100</v>
      </c>
      <c r="AL2314">
        <v>0</v>
      </c>
      <c r="AM2314">
        <v>0</v>
      </c>
      <c r="AN2314">
        <v>0</v>
      </c>
      <c r="AO2314">
        <v>0</v>
      </c>
      <c r="AQ2314">
        <v>0</v>
      </c>
      <c r="AR2314">
        <v>0</v>
      </c>
      <c r="AT2314">
        <v>0</v>
      </c>
      <c r="AU2314">
        <v>0</v>
      </c>
      <c r="AW2314">
        <v>0</v>
      </c>
      <c r="AX2314">
        <v>0</v>
      </c>
      <c r="AY2314">
        <v>70</v>
      </c>
      <c r="BA2314" t="str">
        <f>T("0000000000000")</f>
        <v>0000000000000</v>
      </c>
      <c r="BC2314" t="str">
        <f>T("9791164890729")</f>
        <v>9791164890729</v>
      </c>
      <c r="BD2314" t="str">
        <f>T("B12")</f>
        <v>B12</v>
      </c>
      <c r="BE2314" t="str">
        <f>T("BL 웹소설 &gt; 현대물")</f>
        <v>BL 웹소설 &gt; 현대물</v>
      </c>
    </row>
    <row r="2315" spans="1:57" x14ac:dyDescent="0.3">
      <c r="A2315">
        <v>1525012551</v>
      </c>
      <c r="B2315">
        <v>1525012674</v>
      </c>
      <c r="C2315" t="str">
        <f>T("개정판 | 바보가 만드는 멋진 세상 124화")</f>
        <v>개정판 | 바보가 만드는 멋진 세상 124화</v>
      </c>
      <c r="D2315" t="str">
        <f>T("124")</f>
        <v>124</v>
      </c>
      <c r="E2315" t="str">
        <f>T("백범(白帆)")</f>
        <v>백범(白帆)</v>
      </c>
      <c r="H2315" t="str">
        <f>T("에필로그")</f>
        <v>에필로그</v>
      </c>
      <c r="I2315" t="str">
        <f>T("개정판 | 바보가 만드는 멋진 세상")</f>
        <v>개정판 | 바보가 만드는 멋진 세상</v>
      </c>
      <c r="J2315">
        <v>100</v>
      </c>
      <c r="K2315">
        <v>100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100</v>
      </c>
      <c r="AH2315">
        <v>1</v>
      </c>
      <c r="AI2315">
        <v>0</v>
      </c>
      <c r="AJ2315">
        <v>0</v>
      </c>
      <c r="AK2315">
        <v>100</v>
      </c>
      <c r="AL2315">
        <v>0</v>
      </c>
      <c r="AM2315">
        <v>0</v>
      </c>
      <c r="AN2315">
        <v>0</v>
      </c>
      <c r="AO2315">
        <v>0</v>
      </c>
      <c r="AQ2315">
        <v>0</v>
      </c>
      <c r="AR2315">
        <v>0</v>
      </c>
      <c r="AT2315">
        <v>0</v>
      </c>
      <c r="AU2315">
        <v>0</v>
      </c>
      <c r="AW2315">
        <v>0</v>
      </c>
      <c r="AX2315">
        <v>0</v>
      </c>
      <c r="AY2315">
        <v>70</v>
      </c>
      <c r="BC2315" t="str">
        <f>T("9791166003493")</f>
        <v>9791166003493</v>
      </c>
      <c r="BE2315" t="str">
        <f>T("판타지 웹소설 &gt; 현대 판타지")</f>
        <v>판타지 웹소설 &gt; 현대 판타지</v>
      </c>
    </row>
    <row r="2316" spans="1:57" x14ac:dyDescent="0.3">
      <c r="A2316">
        <v>1525004799</v>
      </c>
      <c r="B2316">
        <v>1525004845</v>
      </c>
      <c r="C2316" t="str">
        <f>T("검산도해 47화")</f>
        <v>검산도해 47화</v>
      </c>
      <c r="D2316" t="str">
        <f>T("47")</f>
        <v>47</v>
      </c>
      <c r="E2316" t="str">
        <f>T("권용찬")</f>
        <v>권용찬</v>
      </c>
      <c r="H2316" t="str">
        <f>T("스토리위즈")</f>
        <v>스토리위즈</v>
      </c>
      <c r="I2316" t="str">
        <f>T("검산도해")</f>
        <v>검산도해</v>
      </c>
      <c r="J2316">
        <v>100</v>
      </c>
      <c r="K2316">
        <v>100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100</v>
      </c>
      <c r="AH2316">
        <v>1</v>
      </c>
      <c r="AI2316">
        <v>0</v>
      </c>
      <c r="AJ2316">
        <v>0</v>
      </c>
      <c r="AK2316">
        <v>0</v>
      </c>
      <c r="AL2316">
        <v>0</v>
      </c>
      <c r="AM2316">
        <v>120</v>
      </c>
      <c r="AN2316">
        <v>-12</v>
      </c>
      <c r="AO2316">
        <v>0</v>
      </c>
      <c r="AQ2316">
        <v>0</v>
      </c>
      <c r="AR2316">
        <v>0</v>
      </c>
      <c r="AS2316">
        <v>120</v>
      </c>
      <c r="AT2316">
        <v>-12</v>
      </c>
      <c r="AU2316">
        <v>0</v>
      </c>
      <c r="AW2316">
        <v>0</v>
      </c>
      <c r="AX2316">
        <v>0</v>
      </c>
      <c r="AY2316">
        <v>75.599999999999994</v>
      </c>
      <c r="BC2316" t="str">
        <f>T("9791159285936")</f>
        <v>9791159285936</v>
      </c>
      <c r="BE2316" t="str">
        <f>T("판타지 웹소설 &gt; 무협 소설")</f>
        <v>판타지 웹소설 &gt; 무협 소설</v>
      </c>
    </row>
    <row r="2317" spans="1:57" x14ac:dyDescent="0.3">
      <c r="A2317">
        <v>1525004799</v>
      </c>
      <c r="B2317">
        <v>1525004902</v>
      </c>
      <c r="C2317" t="str">
        <f>T("검산도해 104화")</f>
        <v>검산도해 104화</v>
      </c>
      <c r="D2317" t="str">
        <f>T("104")</f>
        <v>104</v>
      </c>
      <c r="E2317" t="str">
        <f>T("권용찬")</f>
        <v>권용찬</v>
      </c>
      <c r="H2317" t="str">
        <f>T("스토리위즈")</f>
        <v>스토리위즈</v>
      </c>
      <c r="I2317" t="str">
        <f>T("검산도해")</f>
        <v>검산도해</v>
      </c>
      <c r="J2317">
        <v>100</v>
      </c>
      <c r="K2317">
        <v>100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100</v>
      </c>
      <c r="AH2317">
        <v>1</v>
      </c>
      <c r="AI2317">
        <v>0</v>
      </c>
      <c r="AJ2317">
        <v>0</v>
      </c>
      <c r="AK2317">
        <v>0</v>
      </c>
      <c r="AL2317">
        <v>0</v>
      </c>
      <c r="AM2317">
        <v>120</v>
      </c>
      <c r="AN2317">
        <v>-12</v>
      </c>
      <c r="AO2317">
        <v>0</v>
      </c>
      <c r="AQ2317">
        <v>0</v>
      </c>
      <c r="AR2317">
        <v>0</v>
      </c>
      <c r="AS2317">
        <v>120</v>
      </c>
      <c r="AT2317">
        <v>-12</v>
      </c>
      <c r="AU2317">
        <v>0</v>
      </c>
      <c r="AW2317">
        <v>0</v>
      </c>
      <c r="AX2317">
        <v>0</v>
      </c>
      <c r="AY2317">
        <v>75.599999999999994</v>
      </c>
      <c r="BC2317" t="str">
        <f>T("9791159285936")</f>
        <v>9791159285936</v>
      </c>
      <c r="BE2317" t="str">
        <f>T("판타지 웹소설 &gt; 무협 소설")</f>
        <v>판타지 웹소설 &gt; 무협 소설</v>
      </c>
    </row>
    <row r="2318" spans="1:57" x14ac:dyDescent="0.3">
      <c r="A2318">
        <v>1525004030</v>
      </c>
      <c r="B2318">
        <v>1525007089</v>
      </c>
      <c r="C2318" t="str">
        <f>T("회귀의 전설 2부 973화")</f>
        <v>회귀의 전설 2부 973화</v>
      </c>
      <c r="D2318" t="str">
        <f>T("973")</f>
        <v>973</v>
      </c>
      <c r="E2318" t="str">
        <f>T("김광수")</f>
        <v>김광수</v>
      </c>
      <c r="H2318" t="str">
        <f>T("스토리위즈")</f>
        <v>스토리위즈</v>
      </c>
      <c r="I2318" t="str">
        <f>T("회귀의 전설")</f>
        <v>회귀의 전설</v>
      </c>
      <c r="J2318">
        <v>100</v>
      </c>
      <c r="K2318">
        <v>100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100</v>
      </c>
      <c r="AH2318">
        <v>1</v>
      </c>
      <c r="AI2318">
        <v>0</v>
      </c>
      <c r="AJ2318">
        <v>0</v>
      </c>
      <c r="AK2318">
        <v>100</v>
      </c>
      <c r="AL2318">
        <v>0</v>
      </c>
      <c r="AM2318">
        <v>0</v>
      </c>
      <c r="AN2318">
        <v>0</v>
      </c>
      <c r="AO2318">
        <v>0</v>
      </c>
      <c r="AQ2318">
        <v>0</v>
      </c>
      <c r="AR2318">
        <v>0</v>
      </c>
      <c r="AT2318">
        <v>0</v>
      </c>
      <c r="AU2318">
        <v>0</v>
      </c>
      <c r="AW2318">
        <v>0</v>
      </c>
      <c r="AX2318">
        <v>0</v>
      </c>
      <c r="AY2318">
        <v>70</v>
      </c>
      <c r="BC2318" t="str">
        <f>T("9791191102086")</f>
        <v>9791191102086</v>
      </c>
      <c r="BE2318" t="str">
        <f>T("판타지 웹소설 &gt; 현대 판타지")</f>
        <v>판타지 웹소설 &gt; 현대 판타지</v>
      </c>
    </row>
    <row r="2319" spans="1:57" x14ac:dyDescent="0.3">
      <c r="A2319">
        <v>1525002125</v>
      </c>
      <c r="B2319">
        <v>1525002156</v>
      </c>
      <c r="C2319" t="str">
        <f>T("신을 죽이러 갑니다 32화")</f>
        <v>신을 죽이러 갑니다 32화</v>
      </c>
      <c r="D2319" t="str">
        <f>T("32")</f>
        <v>32</v>
      </c>
      <c r="E2319" t="str">
        <f>T("독고진")</f>
        <v>독고진</v>
      </c>
      <c r="H2319" t="str">
        <f>T("스토리위즈")</f>
        <v>스토리위즈</v>
      </c>
      <c r="I2319" t="str">
        <f>T("신을 죽이러 갑니다")</f>
        <v>신을 죽이러 갑니다</v>
      </c>
      <c r="J2319">
        <v>100</v>
      </c>
      <c r="K2319">
        <v>100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100</v>
      </c>
      <c r="AH2319">
        <v>1</v>
      </c>
      <c r="AI2319">
        <v>0</v>
      </c>
      <c r="AJ2319">
        <v>0</v>
      </c>
      <c r="AK2319">
        <v>0</v>
      </c>
      <c r="AL2319">
        <v>0</v>
      </c>
      <c r="AM2319">
        <v>120</v>
      </c>
      <c r="AN2319">
        <v>-36</v>
      </c>
      <c r="AO2319">
        <v>0</v>
      </c>
      <c r="AQ2319">
        <v>0</v>
      </c>
      <c r="AR2319">
        <v>0</v>
      </c>
      <c r="AS2319">
        <v>120</v>
      </c>
      <c r="AT2319">
        <v>-36</v>
      </c>
      <c r="AU2319">
        <v>0</v>
      </c>
      <c r="AW2319">
        <v>0</v>
      </c>
      <c r="AX2319">
        <v>0</v>
      </c>
      <c r="AY2319">
        <v>58.8</v>
      </c>
      <c r="BC2319" t="str">
        <f>T("9791159285806")</f>
        <v>9791159285806</v>
      </c>
      <c r="BE2319" t="str">
        <f>T("판타지 웹소설 &gt; 퓨전 판타지")</f>
        <v>판타지 웹소설 &gt; 퓨전 판타지</v>
      </c>
    </row>
    <row r="2320" spans="1:57" x14ac:dyDescent="0.3">
      <c r="A2320">
        <v>1525002864</v>
      </c>
      <c r="B2320">
        <v>1525002912</v>
      </c>
      <c r="C2320" t="str">
        <f>T("소드마스터의 환생 49화")</f>
        <v>소드마스터의 환생 49화</v>
      </c>
      <c r="D2320" t="str">
        <f>T("49")</f>
        <v>49</v>
      </c>
      <c r="E2320" t="str">
        <f>T("파란영")</f>
        <v>파란영</v>
      </c>
      <c r="H2320" t="str">
        <f>T("스토리위즈")</f>
        <v>스토리위즈</v>
      </c>
      <c r="I2320" t="str">
        <f>T("소드마스터의 환생")</f>
        <v>소드마스터의 환생</v>
      </c>
      <c r="J2320">
        <v>100</v>
      </c>
      <c r="K2320">
        <v>100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100</v>
      </c>
      <c r="AH2320">
        <v>1</v>
      </c>
      <c r="AI2320">
        <v>0</v>
      </c>
      <c r="AJ2320">
        <v>0</v>
      </c>
      <c r="AK2320">
        <v>100</v>
      </c>
      <c r="AL2320">
        <v>0</v>
      </c>
      <c r="AM2320">
        <v>0</v>
      </c>
      <c r="AN2320">
        <v>0</v>
      </c>
      <c r="AO2320">
        <v>0</v>
      </c>
      <c r="AQ2320">
        <v>0</v>
      </c>
      <c r="AR2320">
        <v>0</v>
      </c>
      <c r="AT2320">
        <v>0</v>
      </c>
      <c r="AU2320">
        <v>0</v>
      </c>
      <c r="AW2320">
        <v>0</v>
      </c>
      <c r="AX2320">
        <v>0</v>
      </c>
      <c r="AY2320">
        <v>70</v>
      </c>
      <c r="BC2320" t="str">
        <f>T("9791159287527")</f>
        <v>9791159287527</v>
      </c>
      <c r="BE2320" t="str">
        <f>T("판타지 웹소설 &gt; 정통 판타지")</f>
        <v>판타지 웹소설 &gt; 정통 판타지</v>
      </c>
    </row>
    <row r="2321" spans="1:57" x14ac:dyDescent="0.3">
      <c r="A2321">
        <v>1525013020</v>
      </c>
      <c r="B2321">
        <v>1525013130</v>
      </c>
      <c r="C2321" t="str">
        <f>T("악당의 리턴 111화")</f>
        <v>악당의 리턴 111화</v>
      </c>
      <c r="D2321" t="str">
        <f>T("111")</f>
        <v>111</v>
      </c>
      <c r="E2321" t="str">
        <f>T("백범(白帆)")</f>
        <v>백범(白帆)</v>
      </c>
      <c r="H2321" t="str">
        <f>T("에필로그")</f>
        <v>에필로그</v>
      </c>
      <c r="I2321" t="str">
        <f>T("악당의 리턴")</f>
        <v>악당의 리턴</v>
      </c>
      <c r="J2321">
        <v>100</v>
      </c>
      <c r="K2321">
        <v>100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100</v>
      </c>
      <c r="AH2321">
        <v>1</v>
      </c>
      <c r="AI2321">
        <v>0</v>
      </c>
      <c r="AJ2321">
        <v>0</v>
      </c>
      <c r="AK2321">
        <v>100</v>
      </c>
      <c r="AL2321">
        <v>0</v>
      </c>
      <c r="AM2321">
        <v>0</v>
      </c>
      <c r="AN2321">
        <v>0</v>
      </c>
      <c r="AO2321">
        <v>0</v>
      </c>
      <c r="AQ2321">
        <v>0</v>
      </c>
      <c r="AR2321">
        <v>0</v>
      </c>
      <c r="AT2321">
        <v>0</v>
      </c>
      <c r="AU2321">
        <v>0</v>
      </c>
      <c r="AW2321">
        <v>0</v>
      </c>
      <c r="AX2321">
        <v>0</v>
      </c>
      <c r="AY2321">
        <v>70</v>
      </c>
      <c r="BC2321" t="str">
        <f>T("9791196538927")</f>
        <v>9791196538927</v>
      </c>
      <c r="BE2321" t="str">
        <f>T("판타지 웹소설 &gt; 현대 판타지")</f>
        <v>판타지 웹소설 &gt; 현대 판타지</v>
      </c>
    </row>
    <row r="2322" spans="1:57" x14ac:dyDescent="0.3">
      <c r="A2322">
        <v>1525008717</v>
      </c>
      <c r="B2322">
        <v>1525008755</v>
      </c>
      <c r="C2322" t="str">
        <f>T("음양상열지사 54화")</f>
        <v>음양상열지사 54화</v>
      </c>
      <c r="D2322" t="str">
        <f>T("54")</f>
        <v>54</v>
      </c>
      <c r="E2322" t="str">
        <f>T("이염")</f>
        <v>이염</v>
      </c>
      <c r="H2322" t="str">
        <f>T("블러쉬")</f>
        <v>블러쉬</v>
      </c>
      <c r="I2322" t="str">
        <f>T("음양상열지사")</f>
        <v>음양상열지사</v>
      </c>
      <c r="J2322">
        <v>100</v>
      </c>
      <c r="K2322">
        <v>100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100</v>
      </c>
      <c r="AH2322">
        <v>1</v>
      </c>
      <c r="AI2322">
        <v>0</v>
      </c>
      <c r="AJ2322">
        <v>0</v>
      </c>
      <c r="AK2322">
        <v>100</v>
      </c>
      <c r="AL2322">
        <v>0</v>
      </c>
      <c r="AM2322">
        <v>0</v>
      </c>
      <c r="AN2322">
        <v>0</v>
      </c>
      <c r="AO2322">
        <v>0</v>
      </c>
      <c r="AQ2322">
        <v>0</v>
      </c>
      <c r="AR2322">
        <v>0</v>
      </c>
      <c r="AT2322">
        <v>0</v>
      </c>
      <c r="AU2322">
        <v>0</v>
      </c>
      <c r="AW2322">
        <v>0</v>
      </c>
      <c r="AX2322">
        <v>0</v>
      </c>
      <c r="AY2322">
        <v>70</v>
      </c>
      <c r="BA2322" t="str">
        <f>T("0000000000000")</f>
        <v>0000000000000</v>
      </c>
      <c r="BC2322" t="str">
        <f>T("9791164896639")</f>
        <v>9791164896639</v>
      </c>
      <c r="BD2322" t="str">
        <f>T("B10")</f>
        <v>B10</v>
      </c>
      <c r="BE2322" t="str">
        <f>T("BL 웹소설 &gt; 역사/시대물")</f>
        <v>BL 웹소설 &gt; 역사/시대물</v>
      </c>
    </row>
    <row r="2323" spans="1:57" x14ac:dyDescent="0.3">
      <c r="A2323">
        <v>1525013020</v>
      </c>
      <c r="B2323">
        <v>1525013048</v>
      </c>
      <c r="C2323" t="str">
        <f>T("악당의 리턴 29화")</f>
        <v>악당의 리턴 29화</v>
      </c>
      <c r="D2323" t="str">
        <f>T("29")</f>
        <v>29</v>
      </c>
      <c r="E2323" t="str">
        <f>T("백범(白帆)")</f>
        <v>백범(白帆)</v>
      </c>
      <c r="H2323" t="str">
        <f>T("에필로그")</f>
        <v>에필로그</v>
      </c>
      <c r="I2323" t="str">
        <f>T("악당의 리턴")</f>
        <v>악당의 리턴</v>
      </c>
      <c r="J2323">
        <v>100</v>
      </c>
      <c r="K2323">
        <v>100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100</v>
      </c>
      <c r="AH2323">
        <v>1</v>
      </c>
      <c r="AI2323">
        <v>0</v>
      </c>
      <c r="AJ2323">
        <v>0</v>
      </c>
      <c r="AK2323">
        <v>100</v>
      </c>
      <c r="AL2323">
        <v>0</v>
      </c>
      <c r="AM2323">
        <v>0</v>
      </c>
      <c r="AN2323">
        <v>0</v>
      </c>
      <c r="AO2323">
        <v>0</v>
      </c>
      <c r="AQ2323">
        <v>0</v>
      </c>
      <c r="AR2323">
        <v>0</v>
      </c>
      <c r="AT2323">
        <v>0</v>
      </c>
      <c r="AU2323">
        <v>0</v>
      </c>
      <c r="AW2323">
        <v>0</v>
      </c>
      <c r="AX2323">
        <v>0</v>
      </c>
      <c r="AY2323">
        <v>70</v>
      </c>
      <c r="BC2323" t="str">
        <f>T("9791196538927")</f>
        <v>9791196538927</v>
      </c>
      <c r="BE2323" t="str">
        <f>T("판타지 웹소설 &gt; 현대 판타지")</f>
        <v>판타지 웹소설 &gt; 현대 판타지</v>
      </c>
    </row>
    <row r="2324" spans="1:57" x14ac:dyDescent="0.3">
      <c r="A2324">
        <v>1525011523</v>
      </c>
      <c r="B2324">
        <v>1525011241</v>
      </c>
      <c r="C2324" t="str">
        <f>T("남창목가 283화")</f>
        <v>남창목가 283화</v>
      </c>
      <c r="D2324" t="str">
        <f>T("283")</f>
        <v>283</v>
      </c>
      <c r="E2324" t="str">
        <f>T("최재봉")</f>
        <v>최재봉</v>
      </c>
      <c r="H2324" t="str">
        <f>T("에필로그")</f>
        <v>에필로그</v>
      </c>
      <c r="I2324" t="str">
        <f>T("남창목가")</f>
        <v>남창목가</v>
      </c>
      <c r="J2324">
        <v>100</v>
      </c>
      <c r="K2324">
        <v>100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100</v>
      </c>
      <c r="AH2324">
        <v>1</v>
      </c>
      <c r="AI2324">
        <v>0</v>
      </c>
      <c r="AJ2324">
        <v>0</v>
      </c>
      <c r="AK2324">
        <v>0</v>
      </c>
      <c r="AL2324">
        <v>0</v>
      </c>
      <c r="AM2324">
        <v>120</v>
      </c>
      <c r="AN2324">
        <v>-12</v>
      </c>
      <c r="AO2324">
        <v>0</v>
      </c>
      <c r="AQ2324">
        <v>0</v>
      </c>
      <c r="AR2324">
        <v>0</v>
      </c>
      <c r="AS2324">
        <v>120</v>
      </c>
      <c r="AT2324">
        <v>-12</v>
      </c>
      <c r="AU2324">
        <v>0</v>
      </c>
      <c r="AW2324">
        <v>0</v>
      </c>
      <c r="AX2324">
        <v>0</v>
      </c>
      <c r="AY2324">
        <v>75.599999999999994</v>
      </c>
      <c r="BC2324" t="str">
        <f>T("9791164482849")</f>
        <v>9791164482849</v>
      </c>
      <c r="BE2324" t="str">
        <f>T("판타지 웹소설 &gt; 무협 소설")</f>
        <v>판타지 웹소설 &gt; 무협 소설</v>
      </c>
    </row>
    <row r="2325" spans="1:57" x14ac:dyDescent="0.3">
      <c r="A2325">
        <v>1525011523</v>
      </c>
      <c r="B2325">
        <v>1525011420</v>
      </c>
      <c r="C2325" t="str">
        <f>T("남창목가 104화")</f>
        <v>남창목가 104화</v>
      </c>
      <c r="D2325" t="str">
        <f>T("104")</f>
        <v>104</v>
      </c>
      <c r="E2325" t="str">
        <f>T("최재봉")</f>
        <v>최재봉</v>
      </c>
      <c r="H2325" t="str">
        <f>T("에필로그")</f>
        <v>에필로그</v>
      </c>
      <c r="I2325" t="str">
        <f>T("남창목가")</f>
        <v>남창목가</v>
      </c>
      <c r="J2325">
        <v>100</v>
      </c>
      <c r="K2325">
        <v>100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100</v>
      </c>
      <c r="AH2325">
        <v>1</v>
      </c>
      <c r="AI2325">
        <v>0</v>
      </c>
      <c r="AJ2325">
        <v>0</v>
      </c>
      <c r="AK2325">
        <v>100</v>
      </c>
      <c r="AL2325">
        <v>0</v>
      </c>
      <c r="AM2325">
        <v>0</v>
      </c>
      <c r="AN2325">
        <v>0</v>
      </c>
      <c r="AO2325">
        <v>0</v>
      </c>
      <c r="AQ2325">
        <v>0</v>
      </c>
      <c r="AR2325">
        <v>0</v>
      </c>
      <c r="AT2325">
        <v>0</v>
      </c>
      <c r="AU2325">
        <v>0</v>
      </c>
      <c r="AW2325">
        <v>0</v>
      </c>
      <c r="AX2325">
        <v>0</v>
      </c>
      <c r="AY2325">
        <v>70</v>
      </c>
      <c r="BC2325" t="str">
        <f>T("9791164482849")</f>
        <v>9791164482849</v>
      </c>
      <c r="BE2325" t="str">
        <f>T("판타지 웹소설 &gt; 무협 소설")</f>
        <v>판타지 웹소설 &gt; 무협 소설</v>
      </c>
    </row>
    <row r="2326" spans="1:57" x14ac:dyDescent="0.3">
      <c r="A2326">
        <v>1525004030</v>
      </c>
      <c r="B2326">
        <v>1525007008</v>
      </c>
      <c r="C2326" t="str">
        <f>T("회귀의 전설 2부 892화")</f>
        <v>회귀의 전설 2부 892화</v>
      </c>
      <c r="D2326" t="str">
        <f>T("892")</f>
        <v>892</v>
      </c>
      <c r="E2326" t="str">
        <f>T("김광수")</f>
        <v>김광수</v>
      </c>
      <c r="H2326" t="str">
        <f>T("스토리위즈")</f>
        <v>스토리위즈</v>
      </c>
      <c r="I2326" t="str">
        <f>T("회귀의 전설")</f>
        <v>회귀의 전설</v>
      </c>
      <c r="J2326">
        <v>100</v>
      </c>
      <c r="K2326">
        <v>100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100</v>
      </c>
      <c r="AH2326">
        <v>1</v>
      </c>
      <c r="AI2326">
        <v>0</v>
      </c>
      <c r="AJ2326">
        <v>0</v>
      </c>
      <c r="AK2326">
        <v>100</v>
      </c>
      <c r="AL2326">
        <v>0</v>
      </c>
      <c r="AM2326">
        <v>0</v>
      </c>
      <c r="AN2326">
        <v>0</v>
      </c>
      <c r="AO2326">
        <v>0</v>
      </c>
      <c r="AQ2326">
        <v>0</v>
      </c>
      <c r="AR2326">
        <v>0</v>
      </c>
      <c r="AT2326">
        <v>0</v>
      </c>
      <c r="AU2326">
        <v>0</v>
      </c>
      <c r="AW2326">
        <v>0</v>
      </c>
      <c r="AX2326">
        <v>0</v>
      </c>
      <c r="AY2326">
        <v>70</v>
      </c>
      <c r="BC2326" t="str">
        <f>T("9791191102086")</f>
        <v>9791191102086</v>
      </c>
      <c r="BE2326" t="str">
        <f>T("판타지 웹소설 &gt; 현대 판타지")</f>
        <v>판타지 웹소설 &gt; 현대 판타지</v>
      </c>
    </row>
    <row r="2327" spans="1:57" x14ac:dyDescent="0.3">
      <c r="A2327">
        <v>1525011523</v>
      </c>
      <c r="B2327">
        <v>1525011097</v>
      </c>
      <c r="C2327" t="str">
        <f>T("남창목가 427화")</f>
        <v>남창목가 427화</v>
      </c>
      <c r="D2327" t="str">
        <f>T("427")</f>
        <v>427</v>
      </c>
      <c r="E2327" t="str">
        <f>T("최재봉")</f>
        <v>최재봉</v>
      </c>
      <c r="H2327" t="str">
        <f>T("에필로그")</f>
        <v>에필로그</v>
      </c>
      <c r="I2327" t="str">
        <f>T("남창목가")</f>
        <v>남창목가</v>
      </c>
      <c r="J2327">
        <v>100</v>
      </c>
      <c r="K2327">
        <v>100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100</v>
      </c>
      <c r="AH2327">
        <v>1</v>
      </c>
      <c r="AI2327">
        <v>0</v>
      </c>
      <c r="AJ2327">
        <v>0</v>
      </c>
      <c r="AK2327">
        <v>0</v>
      </c>
      <c r="AL2327">
        <v>0</v>
      </c>
      <c r="AM2327">
        <v>120</v>
      </c>
      <c r="AN2327">
        <v>-12</v>
      </c>
      <c r="AO2327">
        <v>0</v>
      </c>
      <c r="AQ2327">
        <v>0</v>
      </c>
      <c r="AR2327">
        <v>0</v>
      </c>
      <c r="AS2327">
        <v>120</v>
      </c>
      <c r="AT2327">
        <v>-12</v>
      </c>
      <c r="AU2327">
        <v>0</v>
      </c>
      <c r="AW2327">
        <v>0</v>
      </c>
      <c r="AX2327">
        <v>0</v>
      </c>
      <c r="AY2327">
        <v>75.599999999999994</v>
      </c>
      <c r="BC2327" t="str">
        <f>T("9791164482849")</f>
        <v>9791164482849</v>
      </c>
      <c r="BE2327" t="str">
        <f>T("판타지 웹소설 &gt; 무협 소설")</f>
        <v>판타지 웹소설 &gt; 무협 소설</v>
      </c>
    </row>
    <row r="2328" spans="1:57" x14ac:dyDescent="0.3">
      <c r="A2328">
        <v>1525008428</v>
      </c>
      <c r="B2328">
        <v>1525008409</v>
      </c>
      <c r="C2328" t="str">
        <f>T("무히비(Muhibbi) 106화")</f>
        <v>무히비(Muhibbi) 106화</v>
      </c>
      <c r="D2328" t="str">
        <f>T("106")</f>
        <v>106</v>
      </c>
      <c r="E2328" t="str">
        <f>T("jooki")</f>
        <v>jooki</v>
      </c>
      <c r="H2328" t="str">
        <f>T("블러쉬")</f>
        <v>블러쉬</v>
      </c>
      <c r="I2328" t="str">
        <f>T("무히비(Muhibbi)")</f>
        <v>무히비(Muhibbi)</v>
      </c>
      <c r="J2328">
        <v>100</v>
      </c>
      <c r="K2328">
        <v>100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100</v>
      </c>
      <c r="AH2328">
        <v>1</v>
      </c>
      <c r="AI2328">
        <v>0</v>
      </c>
      <c r="AJ2328">
        <v>0</v>
      </c>
      <c r="AK2328">
        <v>100</v>
      </c>
      <c r="AL2328">
        <v>0</v>
      </c>
      <c r="AM2328">
        <v>0</v>
      </c>
      <c r="AN2328">
        <v>0</v>
      </c>
      <c r="AO2328">
        <v>0</v>
      </c>
      <c r="AQ2328">
        <v>0</v>
      </c>
      <c r="AR2328">
        <v>0</v>
      </c>
      <c r="AT2328">
        <v>0</v>
      </c>
      <c r="AU2328">
        <v>0</v>
      </c>
      <c r="AW2328">
        <v>0</v>
      </c>
      <c r="AX2328">
        <v>0</v>
      </c>
      <c r="AY2328">
        <v>70</v>
      </c>
      <c r="BA2328" t="str">
        <f>T("0000000000000")</f>
        <v>0000000000000</v>
      </c>
      <c r="BC2328" t="str">
        <f>T("9791164896622")</f>
        <v>9791164896622</v>
      </c>
      <c r="BE2328" t="str">
        <f>T("BL 웹소설 &gt; 역사/시대물")</f>
        <v>BL 웹소설 &gt; 역사/시대물</v>
      </c>
    </row>
    <row r="2329" spans="1:57" x14ac:dyDescent="0.3">
      <c r="A2329">
        <v>1525004030</v>
      </c>
      <c r="B2329">
        <v>1525006904</v>
      </c>
      <c r="C2329" t="str">
        <f>T("회귀의 전설 2부 787화")</f>
        <v>회귀의 전설 2부 787화</v>
      </c>
      <c r="D2329" t="str">
        <f>T("787")</f>
        <v>787</v>
      </c>
      <c r="E2329" t="str">
        <f>T("김광수")</f>
        <v>김광수</v>
      </c>
      <c r="H2329" t="str">
        <f>T("스토리위즈")</f>
        <v>스토리위즈</v>
      </c>
      <c r="I2329" t="str">
        <f>T("회귀의 전설")</f>
        <v>회귀의 전설</v>
      </c>
      <c r="J2329">
        <v>100</v>
      </c>
      <c r="K2329">
        <v>100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100</v>
      </c>
      <c r="AH2329">
        <v>1</v>
      </c>
      <c r="AI2329">
        <v>0</v>
      </c>
      <c r="AJ2329">
        <v>0</v>
      </c>
      <c r="AK2329">
        <v>0</v>
      </c>
      <c r="AL2329">
        <v>0</v>
      </c>
      <c r="AM2329">
        <v>120</v>
      </c>
      <c r="AN2329">
        <v>-12</v>
      </c>
      <c r="AO2329">
        <v>0</v>
      </c>
      <c r="AQ2329">
        <v>0</v>
      </c>
      <c r="AR2329">
        <v>0</v>
      </c>
      <c r="AS2329">
        <v>120</v>
      </c>
      <c r="AT2329">
        <v>-12</v>
      </c>
      <c r="AU2329">
        <v>0</v>
      </c>
      <c r="AW2329">
        <v>0</v>
      </c>
      <c r="AX2329">
        <v>0</v>
      </c>
      <c r="AY2329">
        <v>75.599999999999994</v>
      </c>
      <c r="BC2329" t="str">
        <f>T("9791191102086")</f>
        <v>9791191102086</v>
      </c>
      <c r="BE2329" t="str">
        <f>T("판타지 웹소설 &gt; 현대 판타지")</f>
        <v>판타지 웹소설 &gt; 현대 판타지</v>
      </c>
    </row>
    <row r="2330" spans="1:57" x14ac:dyDescent="0.3">
      <c r="A2330">
        <v>1525013020</v>
      </c>
      <c r="B2330">
        <v>1525013119</v>
      </c>
      <c r="C2330" t="str">
        <f>T("악당의 리턴 100화")</f>
        <v>악당의 리턴 100화</v>
      </c>
      <c r="D2330" t="str">
        <f>T("100")</f>
        <v>100</v>
      </c>
      <c r="E2330" t="str">
        <f>T("백범(白帆)")</f>
        <v>백범(白帆)</v>
      </c>
      <c r="H2330" t="str">
        <f>T("에필로그")</f>
        <v>에필로그</v>
      </c>
      <c r="I2330" t="str">
        <f>T("악당의 리턴")</f>
        <v>악당의 리턴</v>
      </c>
      <c r="J2330">
        <v>100</v>
      </c>
      <c r="K2330">
        <v>100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100</v>
      </c>
      <c r="AH2330">
        <v>1</v>
      </c>
      <c r="AI2330">
        <v>0</v>
      </c>
      <c r="AJ2330">
        <v>0</v>
      </c>
      <c r="AK2330">
        <v>100</v>
      </c>
      <c r="AL2330">
        <v>0</v>
      </c>
      <c r="AM2330">
        <v>0</v>
      </c>
      <c r="AN2330">
        <v>0</v>
      </c>
      <c r="AO2330">
        <v>0</v>
      </c>
      <c r="AQ2330">
        <v>0</v>
      </c>
      <c r="AR2330">
        <v>0</v>
      </c>
      <c r="AT2330">
        <v>0</v>
      </c>
      <c r="AU2330">
        <v>0</v>
      </c>
      <c r="AW2330">
        <v>0</v>
      </c>
      <c r="AX2330">
        <v>0</v>
      </c>
      <c r="AY2330">
        <v>70</v>
      </c>
      <c r="BC2330" t="str">
        <f>T("9791196538927")</f>
        <v>9791196538927</v>
      </c>
      <c r="BE2330" t="str">
        <f>T("판타지 웹소설 &gt; 현대 판타지")</f>
        <v>판타지 웹소설 &gt; 현대 판타지</v>
      </c>
    </row>
    <row r="2331" spans="1:57" x14ac:dyDescent="0.3">
      <c r="A2331">
        <v>1525008717</v>
      </c>
      <c r="B2331">
        <v>1525008704</v>
      </c>
      <c r="C2331" t="str">
        <f>T("음양상열지사 116화")</f>
        <v>음양상열지사 116화</v>
      </c>
      <c r="D2331" t="str">
        <f>T("116")</f>
        <v>116</v>
      </c>
      <c r="E2331" t="str">
        <f>T("이염")</f>
        <v>이염</v>
      </c>
      <c r="H2331" t="str">
        <f>T("블러쉬")</f>
        <v>블러쉬</v>
      </c>
      <c r="I2331" t="str">
        <f>T("음양상열지사")</f>
        <v>음양상열지사</v>
      </c>
      <c r="J2331">
        <v>100</v>
      </c>
      <c r="K2331">
        <v>100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100</v>
      </c>
      <c r="AH2331">
        <v>1</v>
      </c>
      <c r="AI2331">
        <v>0</v>
      </c>
      <c r="AJ2331">
        <v>0</v>
      </c>
      <c r="AK2331">
        <v>100</v>
      </c>
      <c r="AL2331">
        <v>0</v>
      </c>
      <c r="AM2331">
        <v>0</v>
      </c>
      <c r="AN2331">
        <v>0</v>
      </c>
      <c r="AO2331">
        <v>0</v>
      </c>
      <c r="AQ2331">
        <v>0</v>
      </c>
      <c r="AR2331">
        <v>0</v>
      </c>
      <c r="AT2331">
        <v>0</v>
      </c>
      <c r="AU2331">
        <v>0</v>
      </c>
      <c r="AW2331">
        <v>0</v>
      </c>
      <c r="AX2331">
        <v>0</v>
      </c>
      <c r="AY2331">
        <v>70</v>
      </c>
      <c r="BA2331" t="str">
        <f>T("0000000000000")</f>
        <v>0000000000000</v>
      </c>
      <c r="BC2331" t="str">
        <f>T("9791164896639")</f>
        <v>9791164896639</v>
      </c>
      <c r="BE2331" t="str">
        <f>T("BL 웹소설 &gt; 역사/시대물")</f>
        <v>BL 웹소설 &gt; 역사/시대물</v>
      </c>
    </row>
    <row r="2332" spans="1:57" x14ac:dyDescent="0.3">
      <c r="A2332">
        <v>1525004030</v>
      </c>
      <c r="B2332">
        <v>1525007110</v>
      </c>
      <c r="C2332" t="str">
        <f>T("회귀의 전설 2부 994화")</f>
        <v>회귀의 전설 2부 994화</v>
      </c>
      <c r="D2332" t="str">
        <f>T("994")</f>
        <v>994</v>
      </c>
      <c r="E2332" t="str">
        <f>T("김광수")</f>
        <v>김광수</v>
      </c>
      <c r="H2332" t="str">
        <f>T("스토리위즈")</f>
        <v>스토리위즈</v>
      </c>
      <c r="I2332" t="str">
        <f>T("회귀의 전설")</f>
        <v>회귀의 전설</v>
      </c>
      <c r="J2332">
        <v>100</v>
      </c>
      <c r="K2332">
        <v>100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100</v>
      </c>
      <c r="AH2332">
        <v>1</v>
      </c>
      <c r="AI2332">
        <v>0</v>
      </c>
      <c r="AJ2332">
        <v>0</v>
      </c>
      <c r="AK2332">
        <v>100</v>
      </c>
      <c r="AL2332">
        <v>0</v>
      </c>
      <c r="AM2332">
        <v>0</v>
      </c>
      <c r="AN2332">
        <v>0</v>
      </c>
      <c r="AO2332">
        <v>0</v>
      </c>
      <c r="AQ2332">
        <v>0</v>
      </c>
      <c r="AR2332">
        <v>0</v>
      </c>
      <c r="AT2332">
        <v>0</v>
      </c>
      <c r="AU2332">
        <v>0</v>
      </c>
      <c r="AW2332">
        <v>0</v>
      </c>
      <c r="AX2332">
        <v>0</v>
      </c>
      <c r="AY2332">
        <v>70</v>
      </c>
      <c r="BC2332" t="str">
        <f>T("9791191102086")</f>
        <v>9791191102086</v>
      </c>
      <c r="BE2332" t="str">
        <f>T("판타지 웹소설 &gt; 현대 판타지")</f>
        <v>판타지 웹소설 &gt; 현대 판타지</v>
      </c>
    </row>
    <row r="2333" spans="1:57" x14ac:dyDescent="0.3">
      <c r="A2333">
        <v>1525011523</v>
      </c>
      <c r="B2333">
        <v>1525011227</v>
      </c>
      <c r="C2333" t="str">
        <f>T("남창목가 297화")</f>
        <v>남창목가 297화</v>
      </c>
      <c r="D2333" t="str">
        <f>T("297")</f>
        <v>297</v>
      </c>
      <c r="E2333" t="str">
        <f>T("최재봉")</f>
        <v>최재봉</v>
      </c>
      <c r="H2333" t="str">
        <f>T("에필로그")</f>
        <v>에필로그</v>
      </c>
      <c r="I2333" t="str">
        <f>T("남창목가")</f>
        <v>남창목가</v>
      </c>
      <c r="J2333">
        <v>100</v>
      </c>
      <c r="K2333">
        <v>100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100</v>
      </c>
      <c r="AH2333">
        <v>1</v>
      </c>
      <c r="AI2333">
        <v>0</v>
      </c>
      <c r="AJ2333">
        <v>0</v>
      </c>
      <c r="AK2333">
        <v>0</v>
      </c>
      <c r="AL2333">
        <v>0</v>
      </c>
      <c r="AM2333">
        <v>120</v>
      </c>
      <c r="AN2333">
        <v>-12</v>
      </c>
      <c r="AO2333">
        <v>0</v>
      </c>
      <c r="AQ2333">
        <v>0</v>
      </c>
      <c r="AR2333">
        <v>0</v>
      </c>
      <c r="AS2333">
        <v>120</v>
      </c>
      <c r="AT2333">
        <v>-12</v>
      </c>
      <c r="AU2333">
        <v>0</v>
      </c>
      <c r="AW2333">
        <v>0</v>
      </c>
      <c r="AX2333">
        <v>0</v>
      </c>
      <c r="AY2333">
        <v>75.599999999999994</v>
      </c>
      <c r="BC2333" t="str">
        <f>T("9791164482849")</f>
        <v>9791164482849</v>
      </c>
      <c r="BE2333" t="str">
        <f>T("판타지 웹소설 &gt; 무협 소설")</f>
        <v>판타지 웹소설 &gt; 무협 소설</v>
      </c>
    </row>
    <row r="2334" spans="1:57" x14ac:dyDescent="0.3">
      <c r="A2334">
        <v>1525000569</v>
      </c>
      <c r="B2334">
        <v>1525000612</v>
      </c>
      <c r="C2334" t="str">
        <f>T("스트라이커 44화")</f>
        <v>스트라이커 44화</v>
      </c>
      <c r="D2334" t="str">
        <f>T("44")</f>
        <v>44</v>
      </c>
      <c r="E2334" t="str">
        <f>T("독고진")</f>
        <v>독고진</v>
      </c>
      <c r="H2334" t="str">
        <f>T("스토리위즈")</f>
        <v>스토리위즈</v>
      </c>
      <c r="I2334" t="str">
        <f>T("스트라이커")</f>
        <v>스트라이커</v>
      </c>
      <c r="J2334">
        <v>100</v>
      </c>
      <c r="K2334">
        <v>100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100</v>
      </c>
      <c r="AH2334">
        <v>1</v>
      </c>
      <c r="AI2334">
        <v>0</v>
      </c>
      <c r="AJ2334">
        <v>0</v>
      </c>
      <c r="AK2334">
        <v>100</v>
      </c>
      <c r="AL2334">
        <v>0</v>
      </c>
      <c r="AM2334">
        <v>0</v>
      </c>
      <c r="AN2334">
        <v>0</v>
      </c>
      <c r="AO2334">
        <v>0</v>
      </c>
      <c r="AQ2334">
        <v>0</v>
      </c>
      <c r="AR2334">
        <v>0</v>
      </c>
      <c r="AT2334">
        <v>0</v>
      </c>
      <c r="AU2334">
        <v>0</v>
      </c>
      <c r="AW2334">
        <v>0</v>
      </c>
      <c r="AX2334">
        <v>0</v>
      </c>
      <c r="AY2334">
        <v>70</v>
      </c>
      <c r="BC2334" t="str">
        <f>T("9791170151678")</f>
        <v>9791170151678</v>
      </c>
      <c r="BE2334" t="str">
        <f>T("판타지 웹소설 &gt; 현대 판타지")</f>
        <v>판타지 웹소설 &gt; 현대 판타지</v>
      </c>
    </row>
    <row r="2335" spans="1:57" x14ac:dyDescent="0.3">
      <c r="A2335">
        <v>1525011523</v>
      </c>
      <c r="B2335">
        <v>1525011006</v>
      </c>
      <c r="C2335" t="str">
        <f>T("남창목가 외전 486화")</f>
        <v>남창목가 외전 486화</v>
      </c>
      <c r="D2335" t="str">
        <f>T("486")</f>
        <v>486</v>
      </c>
      <c r="E2335" t="str">
        <f>T("최재봉")</f>
        <v>최재봉</v>
      </c>
      <c r="H2335" t="str">
        <f>T("에필로그")</f>
        <v>에필로그</v>
      </c>
      <c r="I2335" t="str">
        <f>T("남창목가")</f>
        <v>남창목가</v>
      </c>
      <c r="J2335">
        <v>100</v>
      </c>
      <c r="K2335">
        <v>100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100</v>
      </c>
      <c r="AH2335">
        <v>1</v>
      </c>
      <c r="AI2335">
        <v>0</v>
      </c>
      <c r="AJ2335">
        <v>0</v>
      </c>
      <c r="AK2335">
        <v>0</v>
      </c>
      <c r="AL2335">
        <v>0</v>
      </c>
      <c r="AM2335">
        <v>120</v>
      </c>
      <c r="AN2335">
        <v>-12</v>
      </c>
      <c r="AO2335">
        <v>0</v>
      </c>
      <c r="AQ2335">
        <v>0</v>
      </c>
      <c r="AR2335">
        <v>0</v>
      </c>
      <c r="AS2335">
        <v>120</v>
      </c>
      <c r="AT2335">
        <v>-12</v>
      </c>
      <c r="AU2335">
        <v>0</v>
      </c>
      <c r="AW2335">
        <v>0</v>
      </c>
      <c r="AX2335">
        <v>0</v>
      </c>
      <c r="AY2335">
        <v>75.599999999999994</v>
      </c>
      <c r="BC2335" t="str">
        <f>T("9791164482849")</f>
        <v>9791164482849</v>
      </c>
      <c r="BE2335" t="str">
        <f>T("판타지 웹소설 &gt; 무협 소설")</f>
        <v>판타지 웹소설 &gt; 무협 소설</v>
      </c>
    </row>
    <row r="2336" spans="1:57" x14ac:dyDescent="0.3">
      <c r="A2336">
        <v>1525004030</v>
      </c>
      <c r="B2336">
        <v>1525006893</v>
      </c>
      <c r="C2336" t="str">
        <f>T("회귀의 전설 2부 776화")</f>
        <v>회귀의 전설 2부 776화</v>
      </c>
      <c r="D2336" t="str">
        <f>T("776")</f>
        <v>776</v>
      </c>
      <c r="E2336" t="str">
        <f>T("김광수")</f>
        <v>김광수</v>
      </c>
      <c r="H2336" t="str">
        <f>T("스토리위즈")</f>
        <v>스토리위즈</v>
      </c>
      <c r="I2336" t="str">
        <f>T("회귀의 전설")</f>
        <v>회귀의 전설</v>
      </c>
      <c r="J2336">
        <v>100</v>
      </c>
      <c r="K2336">
        <v>100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100</v>
      </c>
      <c r="AH2336">
        <v>1</v>
      </c>
      <c r="AI2336">
        <v>0</v>
      </c>
      <c r="AJ2336">
        <v>0</v>
      </c>
      <c r="AK2336">
        <v>0</v>
      </c>
      <c r="AL2336">
        <v>0</v>
      </c>
      <c r="AM2336">
        <v>120</v>
      </c>
      <c r="AN2336">
        <v>-12</v>
      </c>
      <c r="AO2336">
        <v>0</v>
      </c>
      <c r="AQ2336">
        <v>0</v>
      </c>
      <c r="AR2336">
        <v>0</v>
      </c>
      <c r="AS2336">
        <v>120</v>
      </c>
      <c r="AT2336">
        <v>-12</v>
      </c>
      <c r="AU2336">
        <v>0</v>
      </c>
      <c r="AW2336">
        <v>0</v>
      </c>
      <c r="AX2336">
        <v>0</v>
      </c>
      <c r="AY2336">
        <v>75.599999999999994</v>
      </c>
      <c r="BC2336" t="str">
        <f>T("9791191102086")</f>
        <v>9791191102086</v>
      </c>
      <c r="BE2336" t="str">
        <f>T("판타지 웹소설 &gt; 현대 판타지")</f>
        <v>판타지 웹소설 &gt; 현대 판타지</v>
      </c>
    </row>
    <row r="2337" spans="1:57" x14ac:dyDescent="0.3">
      <c r="A2337">
        <v>1525011523</v>
      </c>
      <c r="B2337">
        <v>1525011343</v>
      </c>
      <c r="C2337" t="str">
        <f>T("남창목가 181화")</f>
        <v>남창목가 181화</v>
      </c>
      <c r="D2337" t="str">
        <f>T("181")</f>
        <v>181</v>
      </c>
      <c r="E2337" t="str">
        <f>T("최재봉")</f>
        <v>최재봉</v>
      </c>
      <c r="H2337" t="str">
        <f>T("에필로그")</f>
        <v>에필로그</v>
      </c>
      <c r="I2337" t="str">
        <f>T("남창목가")</f>
        <v>남창목가</v>
      </c>
      <c r="J2337">
        <v>100</v>
      </c>
      <c r="K2337">
        <v>100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100</v>
      </c>
      <c r="AH2337">
        <v>1</v>
      </c>
      <c r="AI2337">
        <v>0</v>
      </c>
      <c r="AJ2337">
        <v>0</v>
      </c>
      <c r="AK2337">
        <v>0</v>
      </c>
      <c r="AL2337">
        <v>0</v>
      </c>
      <c r="AM2337">
        <v>120</v>
      </c>
      <c r="AN2337">
        <v>-12</v>
      </c>
      <c r="AO2337">
        <v>0</v>
      </c>
      <c r="AQ2337">
        <v>0</v>
      </c>
      <c r="AR2337">
        <v>0</v>
      </c>
      <c r="AS2337">
        <v>120</v>
      </c>
      <c r="AT2337">
        <v>-12</v>
      </c>
      <c r="AU2337">
        <v>0</v>
      </c>
      <c r="AW2337">
        <v>0</v>
      </c>
      <c r="AX2337">
        <v>0</v>
      </c>
      <c r="AY2337">
        <v>75.599999999999994</v>
      </c>
      <c r="BC2337" t="str">
        <f>T("9791164482849")</f>
        <v>9791164482849</v>
      </c>
      <c r="BE2337" t="str">
        <f>T("판타지 웹소설 &gt; 무협 소설")</f>
        <v>판타지 웹소설 &gt; 무협 소설</v>
      </c>
    </row>
    <row r="2338" spans="1:57" x14ac:dyDescent="0.3">
      <c r="A2338">
        <v>1525002125</v>
      </c>
      <c r="B2338">
        <v>1525002377</v>
      </c>
      <c r="C2338" t="str">
        <f>T("신을 죽이러 갑니다 253화")</f>
        <v>신을 죽이러 갑니다 253화</v>
      </c>
      <c r="D2338" t="str">
        <f>T("253")</f>
        <v>253</v>
      </c>
      <c r="E2338" t="str">
        <f>T("독고진")</f>
        <v>독고진</v>
      </c>
      <c r="H2338" t="str">
        <f>T("스토리위즈")</f>
        <v>스토리위즈</v>
      </c>
      <c r="I2338" t="str">
        <f>T("신을 죽이러 갑니다")</f>
        <v>신을 죽이러 갑니다</v>
      </c>
      <c r="J2338">
        <v>100</v>
      </c>
      <c r="K2338">
        <v>100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100</v>
      </c>
      <c r="AH2338">
        <v>1</v>
      </c>
      <c r="AI2338">
        <v>0</v>
      </c>
      <c r="AJ2338">
        <v>0</v>
      </c>
      <c r="AK2338">
        <v>0</v>
      </c>
      <c r="AL2338">
        <v>0</v>
      </c>
      <c r="AM2338">
        <v>120</v>
      </c>
      <c r="AN2338">
        <v>-12</v>
      </c>
      <c r="AO2338">
        <v>0</v>
      </c>
      <c r="AQ2338">
        <v>0</v>
      </c>
      <c r="AR2338">
        <v>0</v>
      </c>
      <c r="AS2338">
        <v>120</v>
      </c>
      <c r="AT2338">
        <v>-12</v>
      </c>
      <c r="AU2338">
        <v>0</v>
      </c>
      <c r="AW2338">
        <v>0</v>
      </c>
      <c r="AX2338">
        <v>0</v>
      </c>
      <c r="AY2338">
        <v>75.599999999999994</v>
      </c>
      <c r="BC2338" t="str">
        <f>T("9791159285806")</f>
        <v>9791159285806</v>
      </c>
      <c r="BE2338" t="str">
        <f>T("판타지 웹소설 &gt; 퓨전 판타지")</f>
        <v>판타지 웹소설 &gt; 퓨전 판타지</v>
      </c>
    </row>
    <row r="2339" spans="1:57" x14ac:dyDescent="0.3">
      <c r="A2339">
        <v>1525012551</v>
      </c>
      <c r="B2339">
        <v>1525012712</v>
      </c>
      <c r="C2339" t="str">
        <f>T("개정판 | 바보가 만드는 멋진 세상 162화")</f>
        <v>개정판 | 바보가 만드는 멋진 세상 162화</v>
      </c>
      <c r="D2339" t="str">
        <f>T("162")</f>
        <v>162</v>
      </c>
      <c r="E2339" t="str">
        <f>T("백범(白帆)")</f>
        <v>백범(白帆)</v>
      </c>
      <c r="H2339" t="str">
        <f>T("에필로그")</f>
        <v>에필로그</v>
      </c>
      <c r="I2339" t="str">
        <f>T("개정판 | 바보가 만드는 멋진 세상")</f>
        <v>개정판 | 바보가 만드는 멋진 세상</v>
      </c>
      <c r="J2339">
        <v>100</v>
      </c>
      <c r="K2339">
        <v>100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100</v>
      </c>
      <c r="AH2339">
        <v>1</v>
      </c>
      <c r="AI2339">
        <v>0</v>
      </c>
      <c r="AJ2339">
        <v>0</v>
      </c>
      <c r="AK2339">
        <v>100</v>
      </c>
      <c r="AL2339">
        <v>0</v>
      </c>
      <c r="AM2339">
        <v>0</v>
      </c>
      <c r="AN2339">
        <v>0</v>
      </c>
      <c r="AO2339">
        <v>0</v>
      </c>
      <c r="AQ2339">
        <v>0</v>
      </c>
      <c r="AR2339">
        <v>0</v>
      </c>
      <c r="AT2339">
        <v>0</v>
      </c>
      <c r="AU2339">
        <v>0</v>
      </c>
      <c r="AW2339">
        <v>0</v>
      </c>
      <c r="AX2339">
        <v>0</v>
      </c>
      <c r="AY2339">
        <v>70</v>
      </c>
      <c r="BC2339" t="str">
        <f>T("9791166003493")</f>
        <v>9791166003493</v>
      </c>
      <c r="BE2339" t="str">
        <f>T("판타지 웹소설 &gt; 현대 판타지")</f>
        <v>판타지 웹소설 &gt; 현대 판타지</v>
      </c>
    </row>
    <row r="2340" spans="1:57" x14ac:dyDescent="0.3">
      <c r="A2340">
        <v>1525008428</v>
      </c>
      <c r="B2340">
        <v>1525008519</v>
      </c>
      <c r="C2340" t="str">
        <f>T("무히비(Muhibbi) 외전 117화")</f>
        <v>무히비(Muhibbi) 외전 117화</v>
      </c>
      <c r="D2340" t="str">
        <f>T("117")</f>
        <v>117</v>
      </c>
      <c r="E2340" t="str">
        <f>T("jooki")</f>
        <v>jooki</v>
      </c>
      <c r="H2340" t="str">
        <f>T("블러쉬")</f>
        <v>블러쉬</v>
      </c>
      <c r="I2340" t="str">
        <f>T("무히비(Muhibbi)")</f>
        <v>무히비(Muhibbi)</v>
      </c>
      <c r="J2340">
        <v>100</v>
      </c>
      <c r="K2340">
        <v>100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100</v>
      </c>
      <c r="AH2340">
        <v>1</v>
      </c>
      <c r="AI2340">
        <v>0</v>
      </c>
      <c r="AJ2340">
        <v>0</v>
      </c>
      <c r="AK2340">
        <v>100</v>
      </c>
      <c r="AL2340">
        <v>0</v>
      </c>
      <c r="AM2340">
        <v>0</v>
      </c>
      <c r="AN2340">
        <v>0</v>
      </c>
      <c r="AO2340">
        <v>0</v>
      </c>
      <c r="AQ2340">
        <v>0</v>
      </c>
      <c r="AR2340">
        <v>0</v>
      </c>
      <c r="AT2340">
        <v>0</v>
      </c>
      <c r="AU2340">
        <v>0</v>
      </c>
      <c r="AW2340">
        <v>0</v>
      </c>
      <c r="AX2340">
        <v>0</v>
      </c>
      <c r="AY2340">
        <v>70</v>
      </c>
      <c r="BA2340" t="str">
        <f>T("0000000000000")</f>
        <v>0000000000000</v>
      </c>
      <c r="BC2340" t="str">
        <f>T("9791164896622")</f>
        <v>9791164896622</v>
      </c>
      <c r="BE2340" t="str">
        <f>T("BL 웹소설 &gt; 역사/시대물")</f>
        <v>BL 웹소설 &gt; 역사/시대물</v>
      </c>
    </row>
    <row r="2341" spans="1:57" x14ac:dyDescent="0.3">
      <c r="A2341">
        <v>1525002864</v>
      </c>
      <c r="B2341">
        <v>1525002935</v>
      </c>
      <c r="C2341" t="str">
        <f>T("소드마스터의 환생 72화")</f>
        <v>소드마스터의 환생 72화</v>
      </c>
      <c r="D2341" t="str">
        <f>T("72")</f>
        <v>72</v>
      </c>
      <c r="E2341" t="str">
        <f>T("파란영")</f>
        <v>파란영</v>
      </c>
      <c r="H2341" t="str">
        <f>T("스토리위즈")</f>
        <v>스토리위즈</v>
      </c>
      <c r="I2341" t="str">
        <f>T("소드마스터의 환생")</f>
        <v>소드마스터의 환생</v>
      </c>
      <c r="J2341">
        <v>100</v>
      </c>
      <c r="K2341">
        <v>100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100</v>
      </c>
      <c r="AH2341">
        <v>1</v>
      </c>
      <c r="AI2341">
        <v>0</v>
      </c>
      <c r="AJ2341">
        <v>0</v>
      </c>
      <c r="AK2341">
        <v>100</v>
      </c>
      <c r="AL2341">
        <v>0</v>
      </c>
      <c r="AM2341">
        <v>0</v>
      </c>
      <c r="AN2341">
        <v>0</v>
      </c>
      <c r="AO2341">
        <v>0</v>
      </c>
      <c r="AQ2341">
        <v>0</v>
      </c>
      <c r="AR2341">
        <v>0</v>
      </c>
      <c r="AT2341">
        <v>0</v>
      </c>
      <c r="AU2341">
        <v>0</v>
      </c>
      <c r="AW2341">
        <v>0</v>
      </c>
      <c r="AX2341">
        <v>0</v>
      </c>
      <c r="AY2341">
        <v>70</v>
      </c>
      <c r="BC2341" t="str">
        <f>T("9791159287527")</f>
        <v>9791159287527</v>
      </c>
      <c r="BE2341" t="str">
        <f>T("판타지 웹소설 &gt; 정통 판타지")</f>
        <v>판타지 웹소설 &gt; 정통 판타지</v>
      </c>
    </row>
    <row r="2342" spans="1:57" x14ac:dyDescent="0.3">
      <c r="A2342">
        <v>1525008428</v>
      </c>
      <c r="B2342">
        <v>1525008474</v>
      </c>
      <c r="C2342" t="str">
        <f>T("무히비(Muhibbi) 61화")</f>
        <v>무히비(Muhibbi) 61화</v>
      </c>
      <c r="D2342" t="str">
        <f>T("61")</f>
        <v>61</v>
      </c>
      <c r="E2342" t="str">
        <f>T("jooki")</f>
        <v>jooki</v>
      </c>
      <c r="H2342" t="str">
        <f>T("블러쉬")</f>
        <v>블러쉬</v>
      </c>
      <c r="I2342" t="str">
        <f>T("무히비(Muhibbi)")</f>
        <v>무히비(Muhibbi)</v>
      </c>
      <c r="J2342">
        <v>100</v>
      </c>
      <c r="K2342">
        <v>100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100</v>
      </c>
      <c r="AH2342">
        <v>1</v>
      </c>
      <c r="AI2342">
        <v>0</v>
      </c>
      <c r="AJ2342">
        <v>0</v>
      </c>
      <c r="AK2342">
        <v>100</v>
      </c>
      <c r="AL2342">
        <v>0</v>
      </c>
      <c r="AM2342">
        <v>0</v>
      </c>
      <c r="AN2342">
        <v>0</v>
      </c>
      <c r="AO2342">
        <v>0</v>
      </c>
      <c r="AQ2342">
        <v>0</v>
      </c>
      <c r="AR2342">
        <v>0</v>
      </c>
      <c r="AT2342">
        <v>0</v>
      </c>
      <c r="AU2342">
        <v>0</v>
      </c>
      <c r="AW2342">
        <v>0</v>
      </c>
      <c r="AX2342">
        <v>0</v>
      </c>
      <c r="AY2342">
        <v>70</v>
      </c>
      <c r="BC2342" t="str">
        <f>T("9791164896622")</f>
        <v>9791164896622</v>
      </c>
      <c r="BE2342" t="str">
        <f>T("BL 웹소설 &gt; 역사/시대물")</f>
        <v>BL 웹소설 &gt; 역사/시대물</v>
      </c>
    </row>
    <row r="2343" spans="1:57" x14ac:dyDescent="0.3">
      <c r="A2343">
        <v>1525011523</v>
      </c>
      <c r="B2343">
        <v>1525011289</v>
      </c>
      <c r="C2343" t="str">
        <f>T("남창목가 235화")</f>
        <v>남창목가 235화</v>
      </c>
      <c r="D2343" t="str">
        <f>T("235")</f>
        <v>235</v>
      </c>
      <c r="E2343" t="str">
        <f>T("최재봉")</f>
        <v>최재봉</v>
      </c>
      <c r="H2343" t="str">
        <f>T("에필로그")</f>
        <v>에필로그</v>
      </c>
      <c r="I2343" t="str">
        <f>T("남창목가")</f>
        <v>남창목가</v>
      </c>
      <c r="J2343">
        <v>100</v>
      </c>
      <c r="K2343">
        <v>100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100</v>
      </c>
      <c r="AH2343">
        <v>1</v>
      </c>
      <c r="AI2343">
        <v>0</v>
      </c>
      <c r="AJ2343">
        <v>0</v>
      </c>
      <c r="AK2343">
        <v>0</v>
      </c>
      <c r="AL2343">
        <v>0</v>
      </c>
      <c r="AM2343">
        <v>120</v>
      </c>
      <c r="AN2343">
        <v>-12</v>
      </c>
      <c r="AO2343">
        <v>0</v>
      </c>
      <c r="AQ2343">
        <v>0</v>
      </c>
      <c r="AR2343">
        <v>0</v>
      </c>
      <c r="AS2343">
        <v>120</v>
      </c>
      <c r="AT2343">
        <v>-12</v>
      </c>
      <c r="AU2343">
        <v>0</v>
      </c>
      <c r="AW2343">
        <v>0</v>
      </c>
      <c r="AX2343">
        <v>0</v>
      </c>
      <c r="AY2343">
        <v>75.599999999999994</v>
      </c>
      <c r="BC2343" t="str">
        <f>T("9791164482849")</f>
        <v>9791164482849</v>
      </c>
      <c r="BE2343" t="str">
        <f>T("판타지 웹소설 &gt; 무협 소설")</f>
        <v>판타지 웹소설 &gt; 무협 소설</v>
      </c>
    </row>
    <row r="2344" spans="1:57" x14ac:dyDescent="0.3">
      <c r="A2344">
        <v>1525011523</v>
      </c>
      <c r="B2344">
        <v>1525011486</v>
      </c>
      <c r="C2344" t="str">
        <f>T("남창목가 38화")</f>
        <v>남창목가 38화</v>
      </c>
      <c r="D2344" t="str">
        <f>T("38")</f>
        <v>38</v>
      </c>
      <c r="E2344" t="str">
        <f>T("최재봉")</f>
        <v>최재봉</v>
      </c>
      <c r="H2344" t="str">
        <f>T("에필로그")</f>
        <v>에필로그</v>
      </c>
      <c r="I2344" t="str">
        <f>T("남창목가")</f>
        <v>남창목가</v>
      </c>
      <c r="J2344">
        <v>100</v>
      </c>
      <c r="K2344">
        <v>100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100</v>
      </c>
      <c r="AH2344">
        <v>1</v>
      </c>
      <c r="AI2344">
        <v>0</v>
      </c>
      <c r="AJ2344">
        <v>0</v>
      </c>
      <c r="AK2344">
        <v>100</v>
      </c>
      <c r="AL2344">
        <v>0</v>
      </c>
      <c r="AM2344">
        <v>0</v>
      </c>
      <c r="AN2344">
        <v>0</v>
      </c>
      <c r="AO2344">
        <v>0</v>
      </c>
      <c r="AQ2344">
        <v>0</v>
      </c>
      <c r="AR2344">
        <v>0</v>
      </c>
      <c r="AT2344">
        <v>0</v>
      </c>
      <c r="AU2344">
        <v>0</v>
      </c>
      <c r="AW2344">
        <v>0</v>
      </c>
      <c r="AX2344">
        <v>0</v>
      </c>
      <c r="AY2344">
        <v>70</v>
      </c>
      <c r="BC2344" t="str">
        <f>T("9791164482849")</f>
        <v>9791164482849</v>
      </c>
      <c r="BE2344" t="str">
        <f>T("판타지 웹소설 &gt; 무협 소설")</f>
        <v>판타지 웹소설 &gt; 무협 소설</v>
      </c>
    </row>
    <row r="2345" spans="1:57" x14ac:dyDescent="0.3">
      <c r="A2345">
        <v>1525012551</v>
      </c>
      <c r="B2345">
        <v>1525012590</v>
      </c>
      <c r="C2345" t="str">
        <f>T("개정판 | 바보가 만드는 멋진 세상 40화")</f>
        <v>개정판 | 바보가 만드는 멋진 세상 40화</v>
      </c>
      <c r="D2345" t="str">
        <f>T("40")</f>
        <v>40</v>
      </c>
      <c r="E2345" t="str">
        <f>T("백범(白帆)")</f>
        <v>백범(白帆)</v>
      </c>
      <c r="H2345" t="str">
        <f>T("에필로그")</f>
        <v>에필로그</v>
      </c>
      <c r="I2345" t="str">
        <f>T("개정판 | 바보가 만드는 멋진 세상")</f>
        <v>개정판 | 바보가 만드는 멋진 세상</v>
      </c>
      <c r="J2345">
        <v>100</v>
      </c>
      <c r="K2345">
        <v>100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100</v>
      </c>
      <c r="AH2345">
        <v>1</v>
      </c>
      <c r="AI2345">
        <v>0</v>
      </c>
      <c r="AJ2345">
        <v>0</v>
      </c>
      <c r="AK2345">
        <v>100</v>
      </c>
      <c r="AL2345">
        <v>0</v>
      </c>
      <c r="AM2345">
        <v>0</v>
      </c>
      <c r="AN2345">
        <v>0</v>
      </c>
      <c r="AO2345">
        <v>0</v>
      </c>
      <c r="AQ2345">
        <v>0</v>
      </c>
      <c r="AR2345">
        <v>0</v>
      </c>
      <c r="AT2345">
        <v>0</v>
      </c>
      <c r="AU2345">
        <v>0</v>
      </c>
      <c r="AW2345">
        <v>0</v>
      </c>
      <c r="AX2345">
        <v>0</v>
      </c>
      <c r="AY2345">
        <v>70</v>
      </c>
      <c r="BC2345" t="str">
        <f>T("9791166003493")</f>
        <v>9791166003493</v>
      </c>
      <c r="BE2345" t="str">
        <f>T("판타지 웹소설 &gt; 현대 판타지")</f>
        <v>판타지 웹소설 &gt; 현대 판타지</v>
      </c>
    </row>
    <row r="2346" spans="1:57" x14ac:dyDescent="0.3">
      <c r="A2346">
        <v>1525004799</v>
      </c>
      <c r="B2346">
        <v>1525004940</v>
      </c>
      <c r="C2346" t="str">
        <f>T("검산도해 142화")</f>
        <v>검산도해 142화</v>
      </c>
      <c r="D2346" t="str">
        <f>T("142")</f>
        <v>142</v>
      </c>
      <c r="E2346" t="str">
        <f>T("권용찬")</f>
        <v>권용찬</v>
      </c>
      <c r="H2346" t="str">
        <f>T("스토리위즈")</f>
        <v>스토리위즈</v>
      </c>
      <c r="I2346" t="str">
        <f>T("검산도해")</f>
        <v>검산도해</v>
      </c>
      <c r="J2346">
        <v>100</v>
      </c>
      <c r="K2346">
        <v>100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100</v>
      </c>
      <c r="AH2346">
        <v>1</v>
      </c>
      <c r="AI2346">
        <v>0</v>
      </c>
      <c r="AJ2346">
        <v>0</v>
      </c>
      <c r="AK2346">
        <v>0</v>
      </c>
      <c r="AL2346">
        <v>0</v>
      </c>
      <c r="AM2346">
        <v>120</v>
      </c>
      <c r="AN2346">
        <v>-12</v>
      </c>
      <c r="AO2346">
        <v>0</v>
      </c>
      <c r="AQ2346">
        <v>0</v>
      </c>
      <c r="AR2346">
        <v>0</v>
      </c>
      <c r="AS2346">
        <v>120</v>
      </c>
      <c r="AT2346">
        <v>-12</v>
      </c>
      <c r="AU2346">
        <v>0</v>
      </c>
      <c r="AW2346">
        <v>0</v>
      </c>
      <c r="AX2346">
        <v>0</v>
      </c>
      <c r="AY2346">
        <v>75.599999999999994</v>
      </c>
      <c r="BC2346" t="str">
        <f>T("9791159285936")</f>
        <v>9791159285936</v>
      </c>
      <c r="BE2346" t="str">
        <f>T("판타지 웹소설 &gt; 무협 소설")</f>
        <v>판타지 웹소설 &gt; 무협 소설</v>
      </c>
    </row>
    <row r="2347" spans="1:57" x14ac:dyDescent="0.3">
      <c r="A2347">
        <v>1525004030</v>
      </c>
      <c r="B2347">
        <v>1525007029</v>
      </c>
      <c r="C2347" t="str">
        <f>T("회귀의 전설 2부 913화")</f>
        <v>회귀의 전설 2부 913화</v>
      </c>
      <c r="D2347" t="str">
        <f>T("913")</f>
        <v>913</v>
      </c>
      <c r="E2347" t="str">
        <f>T("김광수")</f>
        <v>김광수</v>
      </c>
      <c r="H2347" t="str">
        <f>T("스토리위즈")</f>
        <v>스토리위즈</v>
      </c>
      <c r="I2347" t="str">
        <f>T("회귀의 전설")</f>
        <v>회귀의 전설</v>
      </c>
      <c r="J2347">
        <v>100</v>
      </c>
      <c r="K2347">
        <v>100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100</v>
      </c>
      <c r="AH2347">
        <v>1</v>
      </c>
      <c r="AI2347">
        <v>0</v>
      </c>
      <c r="AJ2347">
        <v>0</v>
      </c>
      <c r="AK2347">
        <v>100</v>
      </c>
      <c r="AL2347">
        <v>0</v>
      </c>
      <c r="AM2347">
        <v>0</v>
      </c>
      <c r="AN2347">
        <v>0</v>
      </c>
      <c r="AO2347">
        <v>0</v>
      </c>
      <c r="AQ2347">
        <v>0</v>
      </c>
      <c r="AR2347">
        <v>0</v>
      </c>
      <c r="AT2347">
        <v>0</v>
      </c>
      <c r="AU2347">
        <v>0</v>
      </c>
      <c r="AW2347">
        <v>0</v>
      </c>
      <c r="AX2347">
        <v>0</v>
      </c>
      <c r="AY2347">
        <v>70</v>
      </c>
      <c r="BC2347" t="str">
        <f>T("9791191102086")</f>
        <v>9791191102086</v>
      </c>
      <c r="BE2347" t="str">
        <f>T("판타지 웹소설 &gt; 현대 판타지")</f>
        <v>판타지 웹소설 &gt; 현대 판타지</v>
      </c>
    </row>
    <row r="2348" spans="1:57" x14ac:dyDescent="0.3">
      <c r="A2348">
        <v>1525004030</v>
      </c>
      <c r="B2348">
        <v>1525006988</v>
      </c>
      <c r="C2348" t="str">
        <f>T("회귀의 전설 2부 872화")</f>
        <v>회귀의 전설 2부 872화</v>
      </c>
      <c r="D2348" t="str">
        <f>T("872")</f>
        <v>872</v>
      </c>
      <c r="E2348" t="str">
        <f>T("김광수")</f>
        <v>김광수</v>
      </c>
      <c r="H2348" t="str">
        <f>T("스토리위즈")</f>
        <v>스토리위즈</v>
      </c>
      <c r="I2348" t="str">
        <f>T("회귀의 전설")</f>
        <v>회귀의 전설</v>
      </c>
      <c r="J2348">
        <v>100</v>
      </c>
      <c r="K2348">
        <v>100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100</v>
      </c>
      <c r="AH2348">
        <v>1</v>
      </c>
      <c r="AI2348">
        <v>0</v>
      </c>
      <c r="AJ2348">
        <v>0</v>
      </c>
      <c r="AK2348">
        <v>100</v>
      </c>
      <c r="AL2348">
        <v>0</v>
      </c>
      <c r="AM2348">
        <v>0</v>
      </c>
      <c r="AN2348">
        <v>0</v>
      </c>
      <c r="AO2348">
        <v>0</v>
      </c>
      <c r="AQ2348">
        <v>0</v>
      </c>
      <c r="AR2348">
        <v>0</v>
      </c>
      <c r="AT2348">
        <v>0</v>
      </c>
      <c r="AU2348">
        <v>0</v>
      </c>
      <c r="AW2348">
        <v>0</v>
      </c>
      <c r="AX2348">
        <v>0</v>
      </c>
      <c r="AY2348">
        <v>70</v>
      </c>
      <c r="BC2348" t="str">
        <f>T("9791191102086")</f>
        <v>9791191102086</v>
      </c>
      <c r="BE2348" t="str">
        <f>T("판타지 웹소설 &gt; 현대 판타지")</f>
        <v>판타지 웹소설 &gt; 현대 판타지</v>
      </c>
    </row>
    <row r="2349" spans="1:57" x14ac:dyDescent="0.3">
      <c r="A2349">
        <v>1525011523</v>
      </c>
      <c r="B2349">
        <v>1525011384</v>
      </c>
      <c r="C2349" t="str">
        <f>T("남창목가 140화")</f>
        <v>남창목가 140화</v>
      </c>
      <c r="D2349" t="str">
        <f>T("140")</f>
        <v>140</v>
      </c>
      <c r="E2349" t="str">
        <f>T("최재봉")</f>
        <v>최재봉</v>
      </c>
      <c r="H2349" t="str">
        <f>T("에필로그")</f>
        <v>에필로그</v>
      </c>
      <c r="I2349" t="str">
        <f>T("남창목가")</f>
        <v>남창목가</v>
      </c>
      <c r="J2349">
        <v>100</v>
      </c>
      <c r="K2349">
        <v>100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100</v>
      </c>
      <c r="AH2349">
        <v>1</v>
      </c>
      <c r="AI2349">
        <v>0</v>
      </c>
      <c r="AJ2349">
        <v>0</v>
      </c>
      <c r="AK2349">
        <v>50</v>
      </c>
      <c r="AL2349">
        <v>0</v>
      </c>
      <c r="AM2349">
        <v>60</v>
      </c>
      <c r="AN2349">
        <v>-6</v>
      </c>
      <c r="AO2349">
        <v>0</v>
      </c>
      <c r="AQ2349">
        <v>0</v>
      </c>
      <c r="AR2349">
        <v>0</v>
      </c>
      <c r="AS2349">
        <v>60</v>
      </c>
      <c r="AT2349">
        <v>-6</v>
      </c>
      <c r="AU2349">
        <v>0</v>
      </c>
      <c r="AW2349">
        <v>0</v>
      </c>
      <c r="AX2349">
        <v>0</v>
      </c>
      <c r="AY2349">
        <v>72.8</v>
      </c>
      <c r="BC2349" t="str">
        <f>T("9791164482849")</f>
        <v>9791164482849</v>
      </c>
      <c r="BE2349" t="str">
        <f>T("판타지 웹소설 &gt; 무협 소설")</f>
        <v>판타지 웹소설 &gt; 무협 소설</v>
      </c>
    </row>
    <row r="2350" spans="1:57" x14ac:dyDescent="0.3">
      <c r="A2350">
        <v>1525013020</v>
      </c>
      <c r="B2350">
        <v>1525013070</v>
      </c>
      <c r="C2350" t="str">
        <f>T("악당의 리턴 51화")</f>
        <v>악당의 리턴 51화</v>
      </c>
      <c r="D2350" t="str">
        <f>T("51")</f>
        <v>51</v>
      </c>
      <c r="E2350" t="str">
        <f>T("백범(白帆)")</f>
        <v>백범(白帆)</v>
      </c>
      <c r="H2350" t="str">
        <f>T("에필로그")</f>
        <v>에필로그</v>
      </c>
      <c r="I2350" t="str">
        <f>T("악당의 리턴")</f>
        <v>악당의 리턴</v>
      </c>
      <c r="J2350">
        <v>100</v>
      </c>
      <c r="K2350">
        <v>100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100</v>
      </c>
      <c r="AH2350">
        <v>1</v>
      </c>
      <c r="AI2350">
        <v>0</v>
      </c>
      <c r="AJ2350">
        <v>0</v>
      </c>
      <c r="AK2350">
        <v>100</v>
      </c>
      <c r="AL2350">
        <v>0</v>
      </c>
      <c r="AM2350">
        <v>0</v>
      </c>
      <c r="AN2350">
        <v>0</v>
      </c>
      <c r="AO2350">
        <v>0</v>
      </c>
      <c r="AQ2350">
        <v>0</v>
      </c>
      <c r="AR2350">
        <v>0</v>
      </c>
      <c r="AT2350">
        <v>0</v>
      </c>
      <c r="AU2350">
        <v>0</v>
      </c>
      <c r="AW2350">
        <v>0</v>
      </c>
      <c r="AX2350">
        <v>0</v>
      </c>
      <c r="AY2350">
        <v>70</v>
      </c>
      <c r="BC2350" t="str">
        <f>T("9791196538927")</f>
        <v>9791196538927</v>
      </c>
      <c r="BE2350" t="str">
        <f>T("판타지 웹소설 &gt; 현대 판타지")</f>
        <v>판타지 웹소설 &gt; 현대 판타지</v>
      </c>
    </row>
    <row r="2351" spans="1:57" x14ac:dyDescent="0.3">
      <c r="A2351">
        <v>1525004030</v>
      </c>
      <c r="B2351">
        <v>1525007144</v>
      </c>
      <c r="C2351" t="str">
        <f>T("회귀의 전설 2부 1027화")</f>
        <v>회귀의 전설 2부 1027화</v>
      </c>
      <c r="D2351" t="str">
        <f>T("1027")</f>
        <v>1027</v>
      </c>
      <c r="E2351" t="str">
        <f>T("김광수")</f>
        <v>김광수</v>
      </c>
      <c r="H2351" t="str">
        <f>T("스토리위즈")</f>
        <v>스토리위즈</v>
      </c>
      <c r="I2351" t="str">
        <f>T("회귀의 전설")</f>
        <v>회귀의 전설</v>
      </c>
      <c r="J2351">
        <v>100</v>
      </c>
      <c r="K2351">
        <v>100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100</v>
      </c>
      <c r="AH2351">
        <v>1</v>
      </c>
      <c r="AI2351">
        <v>0</v>
      </c>
      <c r="AJ2351">
        <v>0</v>
      </c>
      <c r="AK2351">
        <v>100</v>
      </c>
      <c r="AL2351">
        <v>0</v>
      </c>
      <c r="AM2351">
        <v>0</v>
      </c>
      <c r="AN2351">
        <v>0</v>
      </c>
      <c r="AO2351">
        <v>0</v>
      </c>
      <c r="AQ2351">
        <v>0</v>
      </c>
      <c r="AR2351">
        <v>0</v>
      </c>
      <c r="AT2351">
        <v>0</v>
      </c>
      <c r="AU2351">
        <v>0</v>
      </c>
      <c r="AW2351">
        <v>0</v>
      </c>
      <c r="AX2351">
        <v>0</v>
      </c>
      <c r="AY2351">
        <v>70</v>
      </c>
      <c r="BC2351" t="str">
        <f>T("9791191102086")</f>
        <v>9791191102086</v>
      </c>
      <c r="BE2351" t="str">
        <f>T("판타지 웹소설 &gt; 현대 판타지")</f>
        <v>판타지 웹소설 &gt; 현대 판타지</v>
      </c>
    </row>
    <row r="2352" spans="1:57" x14ac:dyDescent="0.3">
      <c r="A2352">
        <v>1525012551</v>
      </c>
      <c r="B2352">
        <v>1525012744</v>
      </c>
      <c r="C2352" t="str">
        <f>T("개정판 | 바보가 만드는 멋진 세상 194화")</f>
        <v>개정판 | 바보가 만드는 멋진 세상 194화</v>
      </c>
      <c r="D2352" t="str">
        <f>T("194")</f>
        <v>194</v>
      </c>
      <c r="E2352" t="str">
        <f>T("백범(白帆)")</f>
        <v>백범(白帆)</v>
      </c>
      <c r="H2352" t="str">
        <f>T("에필로그")</f>
        <v>에필로그</v>
      </c>
      <c r="I2352" t="str">
        <f>T("개정판 | 바보가 만드는 멋진 세상")</f>
        <v>개정판 | 바보가 만드는 멋진 세상</v>
      </c>
      <c r="J2352">
        <v>100</v>
      </c>
      <c r="K2352">
        <v>100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100</v>
      </c>
      <c r="AH2352">
        <v>1</v>
      </c>
      <c r="AI2352">
        <v>0</v>
      </c>
      <c r="AJ2352">
        <v>0</v>
      </c>
      <c r="AK2352">
        <v>100</v>
      </c>
      <c r="AL2352">
        <v>0</v>
      </c>
      <c r="AM2352">
        <v>0</v>
      </c>
      <c r="AN2352">
        <v>0</v>
      </c>
      <c r="AO2352">
        <v>0</v>
      </c>
      <c r="AQ2352">
        <v>0</v>
      </c>
      <c r="AR2352">
        <v>0</v>
      </c>
      <c r="AT2352">
        <v>0</v>
      </c>
      <c r="AU2352">
        <v>0</v>
      </c>
      <c r="AW2352">
        <v>0</v>
      </c>
      <c r="AX2352">
        <v>0</v>
      </c>
      <c r="AY2352">
        <v>70</v>
      </c>
      <c r="BC2352" t="str">
        <f>T("9791166003493")</f>
        <v>9791166003493</v>
      </c>
      <c r="BE2352" t="str">
        <f>T("판타지 웹소설 &gt; 현대 판타지")</f>
        <v>판타지 웹소설 &gt; 현대 판타지</v>
      </c>
    </row>
    <row r="2353" spans="1:57" x14ac:dyDescent="0.3">
      <c r="A2353">
        <v>1525008545</v>
      </c>
      <c r="B2353">
        <v>1525008557</v>
      </c>
      <c r="C2353" t="str">
        <f>T("소년연애담 30화")</f>
        <v>소년연애담 30화</v>
      </c>
      <c r="D2353" t="str">
        <f>T("30")</f>
        <v>30</v>
      </c>
      <c r="E2353" t="str">
        <f>T("나나코")</f>
        <v>나나코</v>
      </c>
      <c r="H2353" t="str">
        <f>T("블러쉬")</f>
        <v>블러쉬</v>
      </c>
      <c r="I2353" t="str">
        <f>T("소년연애담")</f>
        <v>소년연애담</v>
      </c>
      <c r="J2353">
        <v>100</v>
      </c>
      <c r="K2353">
        <v>100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100</v>
      </c>
      <c r="AH2353">
        <v>1</v>
      </c>
      <c r="AI2353">
        <v>0</v>
      </c>
      <c r="AJ2353">
        <v>0</v>
      </c>
      <c r="AK2353">
        <v>100</v>
      </c>
      <c r="AL2353">
        <v>0</v>
      </c>
      <c r="AM2353">
        <v>0</v>
      </c>
      <c r="AN2353">
        <v>0</v>
      </c>
      <c r="AO2353">
        <v>0</v>
      </c>
      <c r="AQ2353">
        <v>0</v>
      </c>
      <c r="AR2353">
        <v>0</v>
      </c>
      <c r="AT2353">
        <v>0</v>
      </c>
      <c r="AU2353">
        <v>0</v>
      </c>
      <c r="AW2353">
        <v>0</v>
      </c>
      <c r="AX2353">
        <v>0</v>
      </c>
      <c r="AY2353">
        <v>70</v>
      </c>
      <c r="BA2353" t="str">
        <f>T("0000000000000")</f>
        <v>0000000000000</v>
      </c>
      <c r="BC2353" t="str">
        <f>T("9791164890729")</f>
        <v>9791164890729</v>
      </c>
      <c r="BD2353" t="str">
        <f>T("B12")</f>
        <v>B12</v>
      </c>
      <c r="BE2353" t="str">
        <f>T("BL 웹소설 &gt; 현대물")</f>
        <v>BL 웹소설 &gt; 현대물</v>
      </c>
    </row>
    <row r="2354" spans="1:57" x14ac:dyDescent="0.3">
      <c r="A2354">
        <v>1525008428</v>
      </c>
      <c r="B2354">
        <v>1525008509</v>
      </c>
      <c r="C2354" t="str">
        <f>T("무히비(Muhibbi) 93화")</f>
        <v>무히비(Muhibbi) 93화</v>
      </c>
      <c r="D2354" t="str">
        <f>T("93")</f>
        <v>93</v>
      </c>
      <c r="E2354" t="str">
        <f>T("jooki")</f>
        <v>jooki</v>
      </c>
      <c r="H2354" t="str">
        <f>T("블러쉬")</f>
        <v>블러쉬</v>
      </c>
      <c r="I2354" t="str">
        <f>T("무히비(Muhibbi)")</f>
        <v>무히비(Muhibbi)</v>
      </c>
      <c r="J2354">
        <v>100</v>
      </c>
      <c r="K2354">
        <v>100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100</v>
      </c>
      <c r="AH2354">
        <v>1</v>
      </c>
      <c r="AI2354">
        <v>0</v>
      </c>
      <c r="AJ2354">
        <v>0</v>
      </c>
      <c r="AK2354">
        <v>100</v>
      </c>
      <c r="AL2354">
        <v>0</v>
      </c>
      <c r="AM2354">
        <v>0</v>
      </c>
      <c r="AN2354">
        <v>0</v>
      </c>
      <c r="AO2354">
        <v>0</v>
      </c>
      <c r="AQ2354">
        <v>0</v>
      </c>
      <c r="AR2354">
        <v>0</v>
      </c>
      <c r="AT2354">
        <v>0</v>
      </c>
      <c r="AU2354">
        <v>0</v>
      </c>
      <c r="AW2354">
        <v>0</v>
      </c>
      <c r="AX2354">
        <v>0</v>
      </c>
      <c r="AY2354">
        <v>70</v>
      </c>
      <c r="BA2354" t="str">
        <f>T("0000000000000")</f>
        <v>0000000000000</v>
      </c>
      <c r="BC2354" t="str">
        <f>T("9791164896622")</f>
        <v>9791164896622</v>
      </c>
      <c r="BE2354" t="str">
        <f>T("BL 웹소설 &gt; 역사/시대물")</f>
        <v>BL 웹소설 &gt; 역사/시대물</v>
      </c>
    </row>
    <row r="2355" spans="1:57" x14ac:dyDescent="0.3">
      <c r="A2355">
        <v>1525012551</v>
      </c>
      <c r="B2355">
        <v>1525012622</v>
      </c>
      <c r="C2355" t="str">
        <f>T("개정판 | 바보가 만드는 멋진 세상 72화")</f>
        <v>개정판 | 바보가 만드는 멋진 세상 72화</v>
      </c>
      <c r="D2355" t="str">
        <f>T("72")</f>
        <v>72</v>
      </c>
      <c r="E2355" t="str">
        <f>T("백범(白帆)")</f>
        <v>백범(白帆)</v>
      </c>
      <c r="H2355" t="str">
        <f>T("에필로그")</f>
        <v>에필로그</v>
      </c>
      <c r="I2355" t="str">
        <f>T("개정판 | 바보가 만드는 멋진 세상")</f>
        <v>개정판 | 바보가 만드는 멋진 세상</v>
      </c>
      <c r="J2355">
        <v>100</v>
      </c>
      <c r="K2355">
        <v>100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100</v>
      </c>
      <c r="AH2355">
        <v>1</v>
      </c>
      <c r="AI2355">
        <v>0</v>
      </c>
      <c r="AJ2355">
        <v>0</v>
      </c>
      <c r="AK2355">
        <v>100</v>
      </c>
      <c r="AL2355">
        <v>0</v>
      </c>
      <c r="AM2355">
        <v>0</v>
      </c>
      <c r="AN2355">
        <v>0</v>
      </c>
      <c r="AO2355">
        <v>0</v>
      </c>
      <c r="AQ2355">
        <v>0</v>
      </c>
      <c r="AR2355">
        <v>0</v>
      </c>
      <c r="AT2355">
        <v>0</v>
      </c>
      <c r="AU2355">
        <v>0</v>
      </c>
      <c r="AW2355">
        <v>0</v>
      </c>
      <c r="AX2355">
        <v>0</v>
      </c>
      <c r="AY2355">
        <v>70</v>
      </c>
      <c r="BC2355" t="str">
        <f>T("9791166003493")</f>
        <v>9791166003493</v>
      </c>
      <c r="BE2355" t="str">
        <f>T("판타지 웹소설 &gt; 현대 판타지")</f>
        <v>판타지 웹소설 &gt; 현대 판타지</v>
      </c>
    </row>
    <row r="2356" spans="1:57" x14ac:dyDescent="0.3">
      <c r="A2356">
        <v>1525000924</v>
      </c>
      <c r="B2356">
        <v>1525000955</v>
      </c>
      <c r="C2356" t="str">
        <f>T("스피릿 소드 32화")</f>
        <v>스피릿 소드 32화</v>
      </c>
      <c r="D2356" t="str">
        <f>T("32")</f>
        <v>32</v>
      </c>
      <c r="E2356" t="str">
        <f>T("김정률")</f>
        <v>김정률</v>
      </c>
      <c r="H2356" t="str">
        <f>T("스토리위즈")</f>
        <v>스토리위즈</v>
      </c>
      <c r="I2356" t="str">
        <f>T("스피릿 소드")</f>
        <v>스피릿 소드</v>
      </c>
      <c r="J2356">
        <v>100</v>
      </c>
      <c r="K2356">
        <v>100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100</v>
      </c>
      <c r="AH2356">
        <v>1</v>
      </c>
      <c r="AI2356">
        <v>0</v>
      </c>
      <c r="AJ2356">
        <v>0</v>
      </c>
      <c r="AK2356">
        <v>100</v>
      </c>
      <c r="AL2356">
        <v>0</v>
      </c>
      <c r="AM2356">
        <v>0</v>
      </c>
      <c r="AN2356">
        <v>0</v>
      </c>
      <c r="AO2356">
        <v>0</v>
      </c>
      <c r="AQ2356">
        <v>0</v>
      </c>
      <c r="AR2356">
        <v>0</v>
      </c>
      <c r="AT2356">
        <v>0</v>
      </c>
      <c r="AU2356">
        <v>0</v>
      </c>
      <c r="AW2356">
        <v>0</v>
      </c>
      <c r="AX2356">
        <v>0</v>
      </c>
      <c r="AY2356">
        <v>70</v>
      </c>
      <c r="BA2356" t="str">
        <f>T("9791159282713")</f>
        <v>9791159282713</v>
      </c>
      <c r="BC2356" t="str">
        <f>T("9791159282713")</f>
        <v>9791159282713</v>
      </c>
      <c r="BE2356" t="str">
        <f>T("판타지 웹소설 &gt; 정통 판타지")</f>
        <v>판타지 웹소설 &gt; 정통 판타지</v>
      </c>
    </row>
    <row r="2357" spans="1:57" x14ac:dyDescent="0.3">
      <c r="A2357">
        <v>1525013020</v>
      </c>
      <c r="B2357">
        <v>1525013102</v>
      </c>
      <c r="C2357" t="str">
        <f>T("악당의 리턴 83화")</f>
        <v>악당의 리턴 83화</v>
      </c>
      <c r="D2357" t="str">
        <f>T("83")</f>
        <v>83</v>
      </c>
      <c r="E2357" t="str">
        <f>T("백범(白帆)")</f>
        <v>백범(白帆)</v>
      </c>
      <c r="H2357" t="str">
        <f>T("에필로그")</f>
        <v>에필로그</v>
      </c>
      <c r="I2357" t="str">
        <f>T("악당의 리턴")</f>
        <v>악당의 리턴</v>
      </c>
      <c r="J2357">
        <v>100</v>
      </c>
      <c r="K2357">
        <v>100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100</v>
      </c>
      <c r="AH2357">
        <v>1</v>
      </c>
      <c r="AI2357">
        <v>0</v>
      </c>
      <c r="AJ2357">
        <v>0</v>
      </c>
      <c r="AK2357">
        <v>100</v>
      </c>
      <c r="AL2357">
        <v>0</v>
      </c>
      <c r="AM2357">
        <v>0</v>
      </c>
      <c r="AN2357">
        <v>0</v>
      </c>
      <c r="AO2357">
        <v>0</v>
      </c>
      <c r="AQ2357">
        <v>0</v>
      </c>
      <c r="AR2357">
        <v>0</v>
      </c>
      <c r="AT2357">
        <v>0</v>
      </c>
      <c r="AU2357">
        <v>0</v>
      </c>
      <c r="AW2357">
        <v>0</v>
      </c>
      <c r="AX2357">
        <v>0</v>
      </c>
      <c r="AY2357">
        <v>70</v>
      </c>
      <c r="BC2357" t="str">
        <f>T("9791196538927")</f>
        <v>9791196538927</v>
      </c>
      <c r="BE2357" t="str">
        <f>T("판타지 웹소설 &gt; 현대 판타지")</f>
        <v>판타지 웹소설 &gt; 현대 판타지</v>
      </c>
    </row>
    <row r="2358" spans="1:57" x14ac:dyDescent="0.3">
      <c r="A2358">
        <v>1525012551</v>
      </c>
      <c r="B2358">
        <v>1525012663</v>
      </c>
      <c r="C2358" t="str">
        <f>T("개정판 | 바보가 만드는 멋진 세상 113화")</f>
        <v>개정판 | 바보가 만드는 멋진 세상 113화</v>
      </c>
      <c r="D2358" t="str">
        <f>T("113")</f>
        <v>113</v>
      </c>
      <c r="E2358" t="str">
        <f>T("백범(白帆)")</f>
        <v>백범(白帆)</v>
      </c>
      <c r="H2358" t="str">
        <f>T("에필로그")</f>
        <v>에필로그</v>
      </c>
      <c r="I2358" t="str">
        <f>T("개정판 | 바보가 만드는 멋진 세상")</f>
        <v>개정판 | 바보가 만드는 멋진 세상</v>
      </c>
      <c r="J2358">
        <v>100</v>
      </c>
      <c r="K2358">
        <v>100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100</v>
      </c>
      <c r="AH2358">
        <v>1</v>
      </c>
      <c r="AI2358">
        <v>0</v>
      </c>
      <c r="AJ2358">
        <v>0</v>
      </c>
      <c r="AK2358">
        <v>100</v>
      </c>
      <c r="AL2358">
        <v>0</v>
      </c>
      <c r="AM2358">
        <v>0</v>
      </c>
      <c r="AN2358">
        <v>0</v>
      </c>
      <c r="AO2358">
        <v>0</v>
      </c>
      <c r="AQ2358">
        <v>0</v>
      </c>
      <c r="AR2358">
        <v>0</v>
      </c>
      <c r="AT2358">
        <v>0</v>
      </c>
      <c r="AU2358">
        <v>0</v>
      </c>
      <c r="AW2358">
        <v>0</v>
      </c>
      <c r="AX2358">
        <v>0</v>
      </c>
      <c r="AY2358">
        <v>70</v>
      </c>
      <c r="BC2358" t="str">
        <f>T("9791166003493")</f>
        <v>9791166003493</v>
      </c>
      <c r="BE2358" t="str">
        <f>T("판타지 웹소설 &gt; 현대 판타지")</f>
        <v>판타지 웹소설 &gt; 현대 판타지</v>
      </c>
    </row>
    <row r="2359" spans="1:57" x14ac:dyDescent="0.3">
      <c r="A2359">
        <v>1525012551</v>
      </c>
      <c r="B2359">
        <v>1525012761</v>
      </c>
      <c r="C2359" t="str">
        <f>T("개정판 | 바보가 만드는 멋진 세상 211화")</f>
        <v>개정판 | 바보가 만드는 멋진 세상 211화</v>
      </c>
      <c r="D2359" t="str">
        <f>T("211")</f>
        <v>211</v>
      </c>
      <c r="E2359" t="str">
        <f>T("백범(白帆)")</f>
        <v>백범(白帆)</v>
      </c>
      <c r="H2359" t="str">
        <f>T("에필로그")</f>
        <v>에필로그</v>
      </c>
      <c r="I2359" t="str">
        <f>T("개정판 | 바보가 만드는 멋진 세상")</f>
        <v>개정판 | 바보가 만드는 멋진 세상</v>
      </c>
      <c r="J2359">
        <v>100</v>
      </c>
      <c r="K2359">
        <v>100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100</v>
      </c>
      <c r="AH2359">
        <v>1</v>
      </c>
      <c r="AI2359">
        <v>0</v>
      </c>
      <c r="AJ2359">
        <v>0</v>
      </c>
      <c r="AK2359">
        <v>100</v>
      </c>
      <c r="AL2359">
        <v>0</v>
      </c>
      <c r="AM2359">
        <v>0</v>
      </c>
      <c r="AN2359">
        <v>0</v>
      </c>
      <c r="AO2359">
        <v>0</v>
      </c>
      <c r="AQ2359">
        <v>0</v>
      </c>
      <c r="AR2359">
        <v>0</v>
      </c>
      <c r="AT2359">
        <v>0</v>
      </c>
      <c r="AU2359">
        <v>0</v>
      </c>
      <c r="AW2359">
        <v>0</v>
      </c>
      <c r="AX2359">
        <v>0</v>
      </c>
      <c r="AY2359">
        <v>70</v>
      </c>
      <c r="BC2359" t="str">
        <f>T("9791166003493")</f>
        <v>9791166003493</v>
      </c>
      <c r="BE2359" t="str">
        <f>T("판타지 웹소설 &gt; 현대 판타지")</f>
        <v>판타지 웹소설 &gt; 현대 판타지</v>
      </c>
    </row>
    <row r="2360" spans="1:57" x14ac:dyDescent="0.3">
      <c r="A2360">
        <v>1525004799</v>
      </c>
      <c r="B2360">
        <v>1525004834</v>
      </c>
      <c r="C2360" t="str">
        <f>T("검산도해 36화")</f>
        <v>검산도해 36화</v>
      </c>
      <c r="D2360" t="str">
        <f>T("36")</f>
        <v>36</v>
      </c>
      <c r="E2360" t="str">
        <f>T("권용찬")</f>
        <v>권용찬</v>
      </c>
      <c r="H2360" t="str">
        <f>T("스토리위즈")</f>
        <v>스토리위즈</v>
      </c>
      <c r="I2360" t="str">
        <f>T("검산도해")</f>
        <v>검산도해</v>
      </c>
      <c r="J2360">
        <v>100</v>
      </c>
      <c r="K2360">
        <v>100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100</v>
      </c>
      <c r="AH2360">
        <v>1</v>
      </c>
      <c r="AI2360">
        <v>0</v>
      </c>
      <c r="AJ2360">
        <v>0</v>
      </c>
      <c r="AK2360">
        <v>0</v>
      </c>
      <c r="AL2360">
        <v>0</v>
      </c>
      <c r="AM2360">
        <v>120</v>
      </c>
      <c r="AN2360">
        <v>-12</v>
      </c>
      <c r="AO2360">
        <v>0</v>
      </c>
      <c r="AQ2360">
        <v>0</v>
      </c>
      <c r="AR2360">
        <v>0</v>
      </c>
      <c r="AS2360">
        <v>120</v>
      </c>
      <c r="AT2360">
        <v>-12</v>
      </c>
      <c r="AU2360">
        <v>0</v>
      </c>
      <c r="AW2360">
        <v>0</v>
      </c>
      <c r="AX2360">
        <v>0</v>
      </c>
      <c r="AY2360">
        <v>75.599999999999994</v>
      </c>
      <c r="BC2360" t="str">
        <f>T("9791159285936")</f>
        <v>9791159285936</v>
      </c>
      <c r="BE2360" t="str">
        <f>T("판타지 웹소설 &gt; 무협 소설")</f>
        <v>판타지 웹소설 &gt; 무협 소설</v>
      </c>
    </row>
    <row r="2361" spans="1:57" x14ac:dyDescent="0.3">
      <c r="A2361">
        <v>1525004799</v>
      </c>
      <c r="B2361">
        <v>1525004891</v>
      </c>
      <c r="C2361" t="str">
        <f>T("검산도해 93화")</f>
        <v>검산도해 93화</v>
      </c>
      <c r="D2361" t="str">
        <f>T("93")</f>
        <v>93</v>
      </c>
      <c r="E2361" t="str">
        <f>T("권용찬")</f>
        <v>권용찬</v>
      </c>
      <c r="H2361" t="str">
        <f>T("스토리위즈")</f>
        <v>스토리위즈</v>
      </c>
      <c r="I2361" t="str">
        <f>T("검산도해")</f>
        <v>검산도해</v>
      </c>
      <c r="J2361">
        <v>100</v>
      </c>
      <c r="K2361">
        <v>100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100</v>
      </c>
      <c r="AH2361">
        <v>1</v>
      </c>
      <c r="AI2361">
        <v>0</v>
      </c>
      <c r="AJ2361">
        <v>0</v>
      </c>
      <c r="AK2361">
        <v>0</v>
      </c>
      <c r="AL2361">
        <v>0</v>
      </c>
      <c r="AM2361">
        <v>120</v>
      </c>
      <c r="AN2361">
        <v>-12</v>
      </c>
      <c r="AO2361">
        <v>0</v>
      </c>
      <c r="AQ2361">
        <v>0</v>
      </c>
      <c r="AR2361">
        <v>0</v>
      </c>
      <c r="AS2361">
        <v>120</v>
      </c>
      <c r="AT2361">
        <v>-12</v>
      </c>
      <c r="AU2361">
        <v>0</v>
      </c>
      <c r="AW2361">
        <v>0</v>
      </c>
      <c r="AX2361">
        <v>0</v>
      </c>
      <c r="AY2361">
        <v>75.599999999999994</v>
      </c>
      <c r="BC2361" t="str">
        <f>T("9791159285936")</f>
        <v>9791159285936</v>
      </c>
      <c r="BE2361" t="str">
        <f>T("판타지 웹소설 &gt; 무협 소설")</f>
        <v>판타지 웹소설 &gt; 무협 소설</v>
      </c>
    </row>
    <row r="2362" spans="1:57" x14ac:dyDescent="0.3">
      <c r="A2362">
        <v>1525004030</v>
      </c>
      <c r="B2362">
        <v>1525007078</v>
      </c>
      <c r="C2362" t="str">
        <f>T("회귀의 전설 2부 962화")</f>
        <v>회귀의 전설 2부 962화</v>
      </c>
      <c r="D2362" t="str">
        <f>T("962")</f>
        <v>962</v>
      </c>
      <c r="E2362" t="str">
        <f>T("김광수")</f>
        <v>김광수</v>
      </c>
      <c r="H2362" t="str">
        <f>T("스토리위즈")</f>
        <v>스토리위즈</v>
      </c>
      <c r="I2362" t="str">
        <f>T("회귀의 전설")</f>
        <v>회귀의 전설</v>
      </c>
      <c r="J2362">
        <v>100</v>
      </c>
      <c r="K2362">
        <v>100</v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100</v>
      </c>
      <c r="AH2362">
        <v>1</v>
      </c>
      <c r="AI2362">
        <v>0</v>
      </c>
      <c r="AJ2362">
        <v>0</v>
      </c>
      <c r="AK2362">
        <v>100</v>
      </c>
      <c r="AL2362">
        <v>0</v>
      </c>
      <c r="AM2362">
        <v>0</v>
      </c>
      <c r="AN2362">
        <v>0</v>
      </c>
      <c r="AO2362">
        <v>0</v>
      </c>
      <c r="AQ2362">
        <v>0</v>
      </c>
      <c r="AR2362">
        <v>0</v>
      </c>
      <c r="AT2362">
        <v>0</v>
      </c>
      <c r="AU2362">
        <v>0</v>
      </c>
      <c r="AW2362">
        <v>0</v>
      </c>
      <c r="AX2362">
        <v>0</v>
      </c>
      <c r="AY2362">
        <v>70</v>
      </c>
      <c r="BC2362" t="str">
        <f>T("9791191102086")</f>
        <v>9791191102086</v>
      </c>
      <c r="BE2362" t="str">
        <f>T("판타지 웹소설 &gt; 현대 판타지")</f>
        <v>판타지 웹소설 &gt; 현대 판타지</v>
      </c>
    </row>
    <row r="2363" spans="1:57" x14ac:dyDescent="0.3">
      <c r="A2363">
        <v>1525004030</v>
      </c>
      <c r="B2363">
        <v>1525004549</v>
      </c>
      <c r="C2363" t="str">
        <f>T("회귀의 전설 492화")</f>
        <v>회귀의 전설 492화</v>
      </c>
      <c r="D2363" t="str">
        <f>T("492")</f>
        <v>492</v>
      </c>
      <c r="E2363" t="str">
        <f>T("김광수")</f>
        <v>김광수</v>
      </c>
      <c r="H2363" t="str">
        <f>T("스토리위즈")</f>
        <v>스토리위즈</v>
      </c>
      <c r="I2363" t="str">
        <f>T("회귀의 전설")</f>
        <v>회귀의 전설</v>
      </c>
      <c r="J2363">
        <v>100</v>
      </c>
      <c r="K2363">
        <v>100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100</v>
      </c>
      <c r="AH2363">
        <v>1</v>
      </c>
      <c r="AI2363">
        <v>0</v>
      </c>
      <c r="AJ2363">
        <v>0</v>
      </c>
      <c r="AK2363">
        <v>100</v>
      </c>
      <c r="AL2363">
        <v>0</v>
      </c>
      <c r="AM2363">
        <v>0</v>
      </c>
      <c r="AN2363">
        <v>0</v>
      </c>
      <c r="AO2363">
        <v>0</v>
      </c>
      <c r="AQ2363">
        <v>0</v>
      </c>
      <c r="AR2363">
        <v>0</v>
      </c>
      <c r="AT2363">
        <v>0</v>
      </c>
      <c r="AU2363">
        <v>0</v>
      </c>
      <c r="AW2363">
        <v>0</v>
      </c>
      <c r="AX2363">
        <v>0</v>
      </c>
      <c r="AY2363">
        <v>70</v>
      </c>
      <c r="BC2363" t="str">
        <f>T("9788997946006")</f>
        <v>9788997946006</v>
      </c>
      <c r="BE2363" t="str">
        <f>T("판타지 웹소설 &gt; 현대 판타지")</f>
        <v>판타지 웹소설 &gt; 현대 판타지</v>
      </c>
    </row>
    <row r="2364" spans="1:57" x14ac:dyDescent="0.3">
      <c r="A2364">
        <v>1525015018</v>
      </c>
      <c r="B2364">
        <v>1525015038</v>
      </c>
      <c r="C2364" t="str">
        <f>T("그녀들은 소꿉친구지, 그 이상은 곤란합니다 21화")</f>
        <v>그녀들은 소꿉친구지, 그 이상은 곤란합니다 21화</v>
      </c>
      <c r="D2364" t="str">
        <f>T("21")</f>
        <v>21</v>
      </c>
      <c r="E2364" t="str">
        <f>T("자이오")</f>
        <v>자이오</v>
      </c>
      <c r="H2364" t="str">
        <f>T("스토리아크")</f>
        <v>스토리아크</v>
      </c>
      <c r="I2364" t="str">
        <f>T("그녀들은 소꿉친구지, 그 이상은 곤란합니다")</f>
        <v>그녀들은 소꿉친구지, 그 이상은 곤란합니다</v>
      </c>
      <c r="J2364">
        <v>100</v>
      </c>
      <c r="K2364">
        <v>100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100</v>
      </c>
      <c r="AH2364">
        <v>1</v>
      </c>
      <c r="AI2364">
        <v>0</v>
      </c>
      <c r="AJ2364">
        <v>0</v>
      </c>
      <c r="AK2364">
        <v>100</v>
      </c>
      <c r="AL2364">
        <v>0</v>
      </c>
      <c r="AM2364">
        <v>0</v>
      </c>
      <c r="AN2364">
        <v>0</v>
      </c>
      <c r="AO2364">
        <v>0</v>
      </c>
      <c r="AQ2364">
        <v>0</v>
      </c>
      <c r="AR2364">
        <v>0</v>
      </c>
      <c r="AT2364">
        <v>0</v>
      </c>
      <c r="AU2364">
        <v>0</v>
      </c>
      <c r="AW2364">
        <v>0</v>
      </c>
      <c r="AX2364">
        <v>0</v>
      </c>
      <c r="AY2364">
        <v>70</v>
      </c>
      <c r="BC2364" t="str">
        <f>T("9791191039313")</f>
        <v>9791191039313</v>
      </c>
      <c r="BE2364" t="str">
        <f>T("판타지 웹소설 &gt; 퓨전 판타지")</f>
        <v>판타지 웹소설 &gt; 퓨전 판타지</v>
      </c>
    </row>
    <row r="2365" spans="1:57" x14ac:dyDescent="0.3">
      <c r="A2365">
        <v>1525002864</v>
      </c>
      <c r="B2365">
        <v>1525002901</v>
      </c>
      <c r="C2365" t="str">
        <f>T("소드마스터의 환생 38화")</f>
        <v>소드마스터의 환생 38화</v>
      </c>
      <c r="D2365" t="str">
        <f>T("38")</f>
        <v>38</v>
      </c>
      <c r="E2365" t="str">
        <f>T("파란영")</f>
        <v>파란영</v>
      </c>
      <c r="H2365" t="str">
        <f>T("스토리위즈")</f>
        <v>스토리위즈</v>
      </c>
      <c r="I2365" t="str">
        <f>T("소드마스터의 환생")</f>
        <v>소드마스터의 환생</v>
      </c>
      <c r="J2365">
        <v>100</v>
      </c>
      <c r="K2365">
        <v>100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100</v>
      </c>
      <c r="AH2365">
        <v>1</v>
      </c>
      <c r="AI2365">
        <v>0</v>
      </c>
      <c r="AJ2365">
        <v>0</v>
      </c>
      <c r="AK2365">
        <v>100</v>
      </c>
      <c r="AL2365">
        <v>0</v>
      </c>
      <c r="AM2365">
        <v>0</v>
      </c>
      <c r="AN2365">
        <v>0</v>
      </c>
      <c r="AO2365">
        <v>0</v>
      </c>
      <c r="AQ2365">
        <v>0</v>
      </c>
      <c r="AR2365">
        <v>0</v>
      </c>
      <c r="AT2365">
        <v>0</v>
      </c>
      <c r="AU2365">
        <v>0</v>
      </c>
      <c r="AW2365">
        <v>0</v>
      </c>
      <c r="AX2365">
        <v>0</v>
      </c>
      <c r="AY2365">
        <v>70</v>
      </c>
      <c r="BC2365" t="str">
        <f>T("9791159287527")</f>
        <v>9791159287527</v>
      </c>
      <c r="BE2365" t="str">
        <f>T("판타지 웹소설 &gt; 정통 판타지")</f>
        <v>판타지 웹소설 &gt; 정통 판타지</v>
      </c>
    </row>
    <row r="2366" spans="1:57" x14ac:dyDescent="0.3">
      <c r="A2366">
        <v>1525008545</v>
      </c>
      <c r="B2366">
        <v>1525008578</v>
      </c>
      <c r="C2366" t="str">
        <f>T("소년연애담 4화")</f>
        <v>소년연애담 4화</v>
      </c>
      <c r="D2366" t="str">
        <f>T("4")</f>
        <v>4</v>
      </c>
      <c r="E2366" t="str">
        <f>T("나나코")</f>
        <v>나나코</v>
      </c>
      <c r="H2366" t="str">
        <f>T("블러쉬")</f>
        <v>블러쉬</v>
      </c>
      <c r="I2366" t="str">
        <f>T("소년연애담")</f>
        <v>소년연애담</v>
      </c>
      <c r="J2366">
        <v>100</v>
      </c>
      <c r="K2366">
        <v>100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100</v>
      </c>
      <c r="AH2366">
        <v>1</v>
      </c>
      <c r="AI2366">
        <v>0</v>
      </c>
      <c r="AJ2366">
        <v>0</v>
      </c>
      <c r="AK2366">
        <v>100</v>
      </c>
      <c r="AL2366">
        <v>0</v>
      </c>
      <c r="AM2366">
        <v>0</v>
      </c>
      <c r="AN2366">
        <v>0</v>
      </c>
      <c r="AO2366">
        <v>0</v>
      </c>
      <c r="AQ2366">
        <v>0</v>
      </c>
      <c r="AR2366">
        <v>0</v>
      </c>
      <c r="AT2366">
        <v>0</v>
      </c>
      <c r="AU2366">
        <v>0</v>
      </c>
      <c r="AW2366">
        <v>0</v>
      </c>
      <c r="AX2366">
        <v>0</v>
      </c>
      <c r="AY2366">
        <v>70</v>
      </c>
      <c r="BA2366" t="str">
        <f>T("0000000000000")</f>
        <v>0000000000000</v>
      </c>
      <c r="BC2366" t="str">
        <f>T("9791164890729")</f>
        <v>9791164890729</v>
      </c>
      <c r="BD2366" t="str">
        <f>T("B12")</f>
        <v>B12</v>
      </c>
      <c r="BE2366" t="str">
        <f>T("BL 웹소설 &gt; 현대물")</f>
        <v>BL 웹소설 &gt; 현대물</v>
      </c>
    </row>
    <row r="2367" spans="1:57" x14ac:dyDescent="0.3">
      <c r="A2367">
        <v>1525004030</v>
      </c>
      <c r="B2367">
        <v>1525006653</v>
      </c>
      <c r="C2367" t="str">
        <f>T("회귀의 전설 2부 536화")</f>
        <v>회귀의 전설 2부 536화</v>
      </c>
      <c r="D2367" t="str">
        <f>T("536")</f>
        <v>536</v>
      </c>
      <c r="E2367" t="str">
        <f>T("김광수")</f>
        <v>김광수</v>
      </c>
      <c r="H2367" t="str">
        <f>T("스토리위즈")</f>
        <v>스토리위즈</v>
      </c>
      <c r="I2367" t="str">
        <f>T("회귀의 전설")</f>
        <v>회귀의 전설</v>
      </c>
      <c r="J2367">
        <v>100</v>
      </c>
      <c r="K2367">
        <v>100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100</v>
      </c>
      <c r="AH2367">
        <v>1</v>
      </c>
      <c r="AI2367">
        <v>0</v>
      </c>
      <c r="AJ2367">
        <v>0</v>
      </c>
      <c r="AK2367">
        <v>100</v>
      </c>
      <c r="AL2367">
        <v>0</v>
      </c>
      <c r="AM2367">
        <v>0</v>
      </c>
      <c r="AN2367">
        <v>0</v>
      </c>
      <c r="AO2367">
        <v>0</v>
      </c>
      <c r="AQ2367">
        <v>0</v>
      </c>
      <c r="AR2367">
        <v>0</v>
      </c>
      <c r="AT2367">
        <v>0</v>
      </c>
      <c r="AU2367">
        <v>0</v>
      </c>
      <c r="AW2367">
        <v>0</v>
      </c>
      <c r="AX2367">
        <v>0</v>
      </c>
      <c r="AY2367">
        <v>70</v>
      </c>
      <c r="BC2367" t="str">
        <f>T("9791191102086")</f>
        <v>9791191102086</v>
      </c>
      <c r="BE2367" t="str">
        <f>T("판타지 웹소설 &gt; 현대 판타지")</f>
        <v>판타지 웹소설 &gt; 현대 판타지</v>
      </c>
    </row>
    <row r="2368" spans="1:57" x14ac:dyDescent="0.3">
      <c r="A2368">
        <v>1525012551</v>
      </c>
      <c r="B2368">
        <v>1525012652</v>
      </c>
      <c r="C2368" t="str">
        <f>T("개정판 | 바보가 만드는 멋진 세상 102화")</f>
        <v>개정판 | 바보가 만드는 멋진 세상 102화</v>
      </c>
      <c r="D2368" t="str">
        <f>T("102")</f>
        <v>102</v>
      </c>
      <c r="E2368" t="str">
        <f>T("백범(白帆)")</f>
        <v>백범(白帆)</v>
      </c>
      <c r="H2368" t="str">
        <f>T("에필로그")</f>
        <v>에필로그</v>
      </c>
      <c r="I2368" t="str">
        <f>T("개정판 | 바보가 만드는 멋진 세상")</f>
        <v>개정판 | 바보가 만드는 멋진 세상</v>
      </c>
      <c r="J2368">
        <v>100</v>
      </c>
      <c r="K2368">
        <v>100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100</v>
      </c>
      <c r="AH2368">
        <v>1</v>
      </c>
      <c r="AI2368">
        <v>0</v>
      </c>
      <c r="AJ2368">
        <v>0</v>
      </c>
      <c r="AK2368">
        <v>100</v>
      </c>
      <c r="AL2368">
        <v>0</v>
      </c>
      <c r="AM2368">
        <v>0</v>
      </c>
      <c r="AN2368">
        <v>0</v>
      </c>
      <c r="AO2368">
        <v>0</v>
      </c>
      <c r="AQ2368">
        <v>0</v>
      </c>
      <c r="AR2368">
        <v>0</v>
      </c>
      <c r="AT2368">
        <v>0</v>
      </c>
      <c r="AU2368">
        <v>0</v>
      </c>
      <c r="AW2368">
        <v>0</v>
      </c>
      <c r="AX2368">
        <v>0</v>
      </c>
      <c r="AY2368">
        <v>70</v>
      </c>
      <c r="BC2368" t="str">
        <f>T("9791166003493")</f>
        <v>9791166003493</v>
      </c>
      <c r="BE2368" t="str">
        <f>T("판타지 웹소설 &gt; 현대 판타지")</f>
        <v>판타지 웹소설 &gt; 현대 판타지</v>
      </c>
    </row>
    <row r="2369" spans="1:57" x14ac:dyDescent="0.3">
      <c r="A2369">
        <v>1525004799</v>
      </c>
      <c r="B2369">
        <v>1525004823</v>
      </c>
      <c r="C2369" t="str">
        <f>T("검산도해 25화")</f>
        <v>검산도해 25화</v>
      </c>
      <c r="D2369" t="str">
        <f>T("25")</f>
        <v>25</v>
      </c>
      <c r="E2369" t="str">
        <f>T("권용찬")</f>
        <v>권용찬</v>
      </c>
      <c r="H2369" t="str">
        <f>T("스토리위즈")</f>
        <v>스토리위즈</v>
      </c>
      <c r="I2369" t="str">
        <f>T("검산도해")</f>
        <v>검산도해</v>
      </c>
      <c r="J2369">
        <v>100</v>
      </c>
      <c r="K2369">
        <v>100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100</v>
      </c>
      <c r="AH2369">
        <v>1</v>
      </c>
      <c r="AI2369">
        <v>0</v>
      </c>
      <c r="AJ2369">
        <v>0</v>
      </c>
      <c r="AK2369">
        <v>0</v>
      </c>
      <c r="AL2369">
        <v>0</v>
      </c>
      <c r="AM2369">
        <v>120</v>
      </c>
      <c r="AN2369">
        <v>-12</v>
      </c>
      <c r="AO2369">
        <v>0</v>
      </c>
      <c r="AQ2369">
        <v>0</v>
      </c>
      <c r="AR2369">
        <v>0</v>
      </c>
      <c r="AS2369">
        <v>120</v>
      </c>
      <c r="AT2369">
        <v>-12</v>
      </c>
      <c r="AU2369">
        <v>0</v>
      </c>
      <c r="AW2369">
        <v>0</v>
      </c>
      <c r="AX2369">
        <v>0</v>
      </c>
      <c r="AY2369">
        <v>75.599999999999994</v>
      </c>
      <c r="BC2369" t="str">
        <f>T("9791159285936")</f>
        <v>9791159285936</v>
      </c>
      <c r="BE2369" t="str">
        <f>T("판타지 웹소설 &gt; 무협 소설")</f>
        <v>판타지 웹소설 &gt; 무협 소설</v>
      </c>
    </row>
    <row r="2370" spans="1:57" x14ac:dyDescent="0.3">
      <c r="A2370">
        <v>1525004799</v>
      </c>
      <c r="B2370">
        <v>1525004880</v>
      </c>
      <c r="C2370" t="str">
        <f>T("검산도해 82화")</f>
        <v>검산도해 82화</v>
      </c>
      <c r="D2370" t="str">
        <f>T("82")</f>
        <v>82</v>
      </c>
      <c r="E2370" t="str">
        <f>T("권용찬")</f>
        <v>권용찬</v>
      </c>
      <c r="H2370" t="str">
        <f>T("스토리위즈")</f>
        <v>스토리위즈</v>
      </c>
      <c r="I2370" t="str">
        <f>T("검산도해")</f>
        <v>검산도해</v>
      </c>
      <c r="J2370">
        <v>100</v>
      </c>
      <c r="K2370">
        <v>100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100</v>
      </c>
      <c r="AH2370">
        <v>1</v>
      </c>
      <c r="AI2370">
        <v>0</v>
      </c>
      <c r="AJ2370">
        <v>0</v>
      </c>
      <c r="AK2370">
        <v>0</v>
      </c>
      <c r="AL2370">
        <v>0</v>
      </c>
      <c r="AM2370">
        <v>120</v>
      </c>
      <c r="AN2370">
        <v>-12</v>
      </c>
      <c r="AO2370">
        <v>0</v>
      </c>
      <c r="AQ2370">
        <v>0</v>
      </c>
      <c r="AR2370">
        <v>0</v>
      </c>
      <c r="AS2370">
        <v>120</v>
      </c>
      <c r="AT2370">
        <v>-12</v>
      </c>
      <c r="AU2370">
        <v>0</v>
      </c>
      <c r="AW2370">
        <v>0</v>
      </c>
      <c r="AX2370">
        <v>0</v>
      </c>
      <c r="AY2370">
        <v>75.599999999999994</v>
      </c>
      <c r="BC2370" t="str">
        <f>T("9791159285936")</f>
        <v>9791159285936</v>
      </c>
      <c r="BE2370" t="str">
        <f>T("판타지 웹소설 &gt; 무협 소설")</f>
        <v>판타지 웹소설 &gt; 무협 소설</v>
      </c>
    </row>
    <row r="2371" spans="1:57" x14ac:dyDescent="0.3">
      <c r="A2371">
        <v>1525000924</v>
      </c>
      <c r="B2371">
        <v>1525000976</v>
      </c>
      <c r="C2371" t="str">
        <f>T("스피릿 소드 53화")</f>
        <v>스피릿 소드 53화</v>
      </c>
      <c r="D2371" t="str">
        <f>T("53")</f>
        <v>53</v>
      </c>
      <c r="E2371" t="str">
        <f>T("김정률")</f>
        <v>김정률</v>
      </c>
      <c r="H2371" t="str">
        <f>T("스토리위즈")</f>
        <v>스토리위즈</v>
      </c>
      <c r="I2371" t="str">
        <f>T("스피릿 소드")</f>
        <v>스피릿 소드</v>
      </c>
      <c r="J2371">
        <v>100</v>
      </c>
      <c r="K2371">
        <v>100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100</v>
      </c>
      <c r="AH2371">
        <v>1</v>
      </c>
      <c r="AI2371">
        <v>0</v>
      </c>
      <c r="AJ2371">
        <v>0</v>
      </c>
      <c r="AK2371">
        <v>100</v>
      </c>
      <c r="AL2371">
        <v>0</v>
      </c>
      <c r="AM2371">
        <v>0</v>
      </c>
      <c r="AN2371">
        <v>0</v>
      </c>
      <c r="AO2371">
        <v>0</v>
      </c>
      <c r="AQ2371">
        <v>0</v>
      </c>
      <c r="AR2371">
        <v>0</v>
      </c>
      <c r="AT2371">
        <v>0</v>
      </c>
      <c r="AU2371">
        <v>0</v>
      </c>
      <c r="AW2371">
        <v>0</v>
      </c>
      <c r="AX2371">
        <v>0</v>
      </c>
      <c r="AY2371">
        <v>70</v>
      </c>
      <c r="BA2371" t="str">
        <f>T("9791159282713")</f>
        <v>9791159282713</v>
      </c>
      <c r="BC2371" t="str">
        <f>T("9791159282713")</f>
        <v>9791159282713</v>
      </c>
      <c r="BE2371" t="str">
        <f>T("판타지 웹소설 &gt; 정통 판타지")</f>
        <v>판타지 웹소설 &gt; 정통 판타지</v>
      </c>
    </row>
    <row r="2372" spans="1:57" x14ac:dyDescent="0.3">
      <c r="A2372">
        <v>1525004030</v>
      </c>
      <c r="B2372">
        <v>1525007067</v>
      </c>
      <c r="C2372" t="str">
        <f>T("회귀의 전설 2부 951화")</f>
        <v>회귀의 전설 2부 951화</v>
      </c>
      <c r="D2372" t="str">
        <f>T("951")</f>
        <v>951</v>
      </c>
      <c r="E2372" t="str">
        <f>T("김광수")</f>
        <v>김광수</v>
      </c>
      <c r="H2372" t="str">
        <f>T("스토리위즈")</f>
        <v>스토리위즈</v>
      </c>
      <c r="I2372" t="str">
        <f>T("회귀의 전설")</f>
        <v>회귀의 전설</v>
      </c>
      <c r="J2372">
        <v>100</v>
      </c>
      <c r="K2372">
        <v>100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100</v>
      </c>
      <c r="AH2372">
        <v>1</v>
      </c>
      <c r="AI2372">
        <v>0</v>
      </c>
      <c r="AJ2372">
        <v>0</v>
      </c>
      <c r="AK2372">
        <v>100</v>
      </c>
      <c r="AL2372">
        <v>0</v>
      </c>
      <c r="AM2372">
        <v>0</v>
      </c>
      <c r="AN2372">
        <v>0</v>
      </c>
      <c r="AO2372">
        <v>0</v>
      </c>
      <c r="AQ2372">
        <v>0</v>
      </c>
      <c r="AR2372">
        <v>0</v>
      </c>
      <c r="AT2372">
        <v>0</v>
      </c>
      <c r="AU2372">
        <v>0</v>
      </c>
      <c r="AW2372">
        <v>0</v>
      </c>
      <c r="AX2372">
        <v>0</v>
      </c>
      <c r="AY2372">
        <v>70</v>
      </c>
      <c r="BC2372" t="str">
        <f>T("9791191102086")</f>
        <v>9791191102086</v>
      </c>
      <c r="BE2372" t="str">
        <f>T("판타지 웹소설 &gt; 현대 판타지")</f>
        <v>판타지 웹소설 &gt; 현대 판타지</v>
      </c>
    </row>
    <row r="2373" spans="1:57" x14ac:dyDescent="0.3">
      <c r="A2373">
        <v>1525004030</v>
      </c>
      <c r="B2373">
        <v>1525004538</v>
      </c>
      <c r="C2373" t="str">
        <f>T("회귀의 전설 515화")</f>
        <v>회귀의 전설 515화</v>
      </c>
      <c r="D2373" t="str">
        <f>T("515")</f>
        <v>515</v>
      </c>
      <c r="E2373" t="str">
        <f>T("김광수")</f>
        <v>김광수</v>
      </c>
      <c r="H2373" t="str">
        <f>T("스토리위즈")</f>
        <v>스토리위즈</v>
      </c>
      <c r="I2373" t="str">
        <f>T("회귀의 전설")</f>
        <v>회귀의 전설</v>
      </c>
      <c r="J2373">
        <v>100</v>
      </c>
      <c r="K2373">
        <v>100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100</v>
      </c>
      <c r="AH2373">
        <v>1</v>
      </c>
      <c r="AI2373">
        <v>0</v>
      </c>
      <c r="AJ2373">
        <v>0</v>
      </c>
      <c r="AK2373">
        <v>100</v>
      </c>
      <c r="AL2373">
        <v>0</v>
      </c>
      <c r="AM2373">
        <v>0</v>
      </c>
      <c r="AN2373">
        <v>0</v>
      </c>
      <c r="AO2373">
        <v>0</v>
      </c>
      <c r="AQ2373">
        <v>0</v>
      </c>
      <c r="AR2373">
        <v>0</v>
      </c>
      <c r="AT2373">
        <v>0</v>
      </c>
      <c r="AU2373">
        <v>0</v>
      </c>
      <c r="AW2373">
        <v>0</v>
      </c>
      <c r="AX2373">
        <v>0</v>
      </c>
      <c r="AY2373">
        <v>70</v>
      </c>
      <c r="BC2373" t="str">
        <f>T("9788997946006")</f>
        <v>9788997946006</v>
      </c>
      <c r="BE2373" t="str">
        <f>T("판타지 웹소설 &gt; 현대 판타지")</f>
        <v>판타지 웹소설 &gt; 현대 판타지</v>
      </c>
    </row>
    <row r="2374" spans="1:57" x14ac:dyDescent="0.3">
      <c r="A2374">
        <v>1525008717</v>
      </c>
      <c r="B2374">
        <v>1525008692</v>
      </c>
      <c r="C2374" t="str">
        <f>T("음양상열지사 105화")</f>
        <v>음양상열지사 105화</v>
      </c>
      <c r="D2374" t="str">
        <f>T("105")</f>
        <v>105</v>
      </c>
      <c r="E2374" t="str">
        <f>T("이염")</f>
        <v>이염</v>
      </c>
      <c r="H2374" t="str">
        <f>T("블러쉬")</f>
        <v>블러쉬</v>
      </c>
      <c r="I2374" t="str">
        <f>T("음양상열지사")</f>
        <v>음양상열지사</v>
      </c>
      <c r="J2374">
        <v>100</v>
      </c>
      <c r="K2374">
        <v>100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100</v>
      </c>
      <c r="AH2374">
        <v>1</v>
      </c>
      <c r="AI2374">
        <v>0</v>
      </c>
      <c r="AJ2374">
        <v>0</v>
      </c>
      <c r="AK2374">
        <v>100</v>
      </c>
      <c r="AL2374">
        <v>0</v>
      </c>
      <c r="AM2374">
        <v>0</v>
      </c>
      <c r="AN2374">
        <v>0</v>
      </c>
      <c r="AO2374">
        <v>0</v>
      </c>
      <c r="AQ2374">
        <v>0</v>
      </c>
      <c r="AR2374">
        <v>0</v>
      </c>
      <c r="AT2374">
        <v>0</v>
      </c>
      <c r="AU2374">
        <v>0</v>
      </c>
      <c r="AW2374">
        <v>0</v>
      </c>
      <c r="AX2374">
        <v>0</v>
      </c>
      <c r="AY2374">
        <v>70</v>
      </c>
      <c r="BA2374" t="str">
        <f>T("0000000000000")</f>
        <v>0000000000000</v>
      </c>
      <c r="BC2374" t="str">
        <f>T("9791164896639")</f>
        <v>9791164896639</v>
      </c>
      <c r="BE2374" t="str">
        <f>T("BL 웹소설 &gt; 역사/시대물")</f>
        <v>BL 웹소설 &gt; 역사/시대물</v>
      </c>
    </row>
    <row r="2375" spans="1:57" x14ac:dyDescent="0.3">
      <c r="A2375">
        <v>1525012551</v>
      </c>
      <c r="B2375">
        <v>1525012684</v>
      </c>
      <c r="C2375" t="str">
        <f>T("개정판 | 바보가 만드는 멋진 세상 134화")</f>
        <v>개정판 | 바보가 만드는 멋진 세상 134화</v>
      </c>
      <c r="D2375" t="str">
        <f>T("134")</f>
        <v>134</v>
      </c>
      <c r="E2375" t="str">
        <f>T("백범(白帆)")</f>
        <v>백범(白帆)</v>
      </c>
      <c r="H2375" t="str">
        <f>T("에필로그")</f>
        <v>에필로그</v>
      </c>
      <c r="I2375" t="str">
        <f>T("개정판 | 바보가 만드는 멋진 세상")</f>
        <v>개정판 | 바보가 만드는 멋진 세상</v>
      </c>
      <c r="J2375">
        <v>100</v>
      </c>
      <c r="K2375">
        <v>100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100</v>
      </c>
      <c r="AH2375">
        <v>1</v>
      </c>
      <c r="AI2375">
        <v>0</v>
      </c>
      <c r="AJ2375">
        <v>0</v>
      </c>
      <c r="AK2375">
        <v>100</v>
      </c>
      <c r="AL2375">
        <v>0</v>
      </c>
      <c r="AM2375">
        <v>0</v>
      </c>
      <c r="AN2375">
        <v>0</v>
      </c>
      <c r="AO2375">
        <v>0</v>
      </c>
      <c r="AQ2375">
        <v>0</v>
      </c>
      <c r="AR2375">
        <v>0</v>
      </c>
      <c r="AT2375">
        <v>0</v>
      </c>
      <c r="AU2375">
        <v>0</v>
      </c>
      <c r="AW2375">
        <v>0</v>
      </c>
      <c r="AX2375">
        <v>0</v>
      </c>
      <c r="AY2375">
        <v>70</v>
      </c>
      <c r="BC2375" t="str">
        <f>T("9791166003493")</f>
        <v>9791166003493</v>
      </c>
      <c r="BE2375" t="str">
        <f>T("판타지 웹소설 &gt; 현대 판타지")</f>
        <v>판타지 웹소설 &gt; 현대 판타지</v>
      </c>
    </row>
    <row r="2376" spans="1:57" x14ac:dyDescent="0.3">
      <c r="A2376">
        <v>1525004799</v>
      </c>
      <c r="B2376">
        <v>1525004855</v>
      </c>
      <c r="C2376" t="str">
        <f>T("검산도해 57화")</f>
        <v>검산도해 57화</v>
      </c>
      <c r="D2376" t="str">
        <f>T("57")</f>
        <v>57</v>
      </c>
      <c r="E2376" t="str">
        <f>T("권용찬")</f>
        <v>권용찬</v>
      </c>
      <c r="H2376" t="str">
        <f>T("스토리위즈")</f>
        <v>스토리위즈</v>
      </c>
      <c r="I2376" t="str">
        <f>T("검산도해")</f>
        <v>검산도해</v>
      </c>
      <c r="J2376">
        <v>100</v>
      </c>
      <c r="K2376">
        <v>100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100</v>
      </c>
      <c r="AH2376">
        <v>1</v>
      </c>
      <c r="AI2376">
        <v>0</v>
      </c>
      <c r="AJ2376">
        <v>0</v>
      </c>
      <c r="AK2376">
        <v>0</v>
      </c>
      <c r="AL2376">
        <v>0</v>
      </c>
      <c r="AM2376">
        <v>120</v>
      </c>
      <c r="AN2376">
        <v>-12</v>
      </c>
      <c r="AO2376">
        <v>0</v>
      </c>
      <c r="AQ2376">
        <v>0</v>
      </c>
      <c r="AR2376">
        <v>0</v>
      </c>
      <c r="AS2376">
        <v>120</v>
      </c>
      <c r="AT2376">
        <v>-12</v>
      </c>
      <c r="AU2376">
        <v>0</v>
      </c>
      <c r="AW2376">
        <v>0</v>
      </c>
      <c r="AX2376">
        <v>0</v>
      </c>
      <c r="AY2376">
        <v>75.599999999999994</v>
      </c>
      <c r="BC2376" t="str">
        <f>T("9791159285936")</f>
        <v>9791159285936</v>
      </c>
      <c r="BE2376" t="str">
        <f>T("판타지 웹소설 &gt; 무협 소설")</f>
        <v>판타지 웹소설 &gt; 무협 소설</v>
      </c>
    </row>
    <row r="2377" spans="1:57" x14ac:dyDescent="0.3">
      <c r="A2377">
        <v>1525004799</v>
      </c>
      <c r="B2377">
        <v>1525004912</v>
      </c>
      <c r="C2377" t="str">
        <f>T("검산도해 114화")</f>
        <v>검산도해 114화</v>
      </c>
      <c r="D2377" t="str">
        <f>T("114")</f>
        <v>114</v>
      </c>
      <c r="E2377" t="str">
        <f>T("권용찬")</f>
        <v>권용찬</v>
      </c>
      <c r="H2377" t="str">
        <f>T("스토리위즈")</f>
        <v>스토리위즈</v>
      </c>
      <c r="I2377" t="str">
        <f>T("검산도해")</f>
        <v>검산도해</v>
      </c>
      <c r="J2377">
        <v>100</v>
      </c>
      <c r="K2377">
        <v>100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100</v>
      </c>
      <c r="AH2377">
        <v>1</v>
      </c>
      <c r="AI2377">
        <v>0</v>
      </c>
      <c r="AJ2377">
        <v>0</v>
      </c>
      <c r="AK2377">
        <v>0</v>
      </c>
      <c r="AL2377">
        <v>0</v>
      </c>
      <c r="AM2377">
        <v>120</v>
      </c>
      <c r="AN2377">
        <v>-12</v>
      </c>
      <c r="AO2377">
        <v>0</v>
      </c>
      <c r="AQ2377">
        <v>0</v>
      </c>
      <c r="AR2377">
        <v>0</v>
      </c>
      <c r="AS2377">
        <v>120</v>
      </c>
      <c r="AT2377">
        <v>-12</v>
      </c>
      <c r="AU2377">
        <v>0</v>
      </c>
      <c r="AW2377">
        <v>0</v>
      </c>
      <c r="AX2377">
        <v>0</v>
      </c>
      <c r="AY2377">
        <v>75.599999999999994</v>
      </c>
      <c r="BC2377" t="str">
        <f>T("9791159285936")</f>
        <v>9791159285936</v>
      </c>
      <c r="BE2377" t="str">
        <f>T("판타지 웹소설 &gt; 무협 소설")</f>
        <v>판타지 웹소설 &gt; 무협 소설</v>
      </c>
    </row>
    <row r="2378" spans="1:57" x14ac:dyDescent="0.3">
      <c r="A2378">
        <v>1525004030</v>
      </c>
      <c r="B2378">
        <v>1525007099</v>
      </c>
      <c r="C2378" t="str">
        <f>T("회귀의 전설 2부 983화")</f>
        <v>회귀의 전설 2부 983화</v>
      </c>
      <c r="D2378" t="str">
        <f>T("983")</f>
        <v>983</v>
      </c>
      <c r="E2378" t="str">
        <f>T("김광수")</f>
        <v>김광수</v>
      </c>
      <c r="H2378" t="str">
        <f>T("스토리위즈")</f>
        <v>스토리위즈</v>
      </c>
      <c r="I2378" t="str">
        <f>T("회귀의 전설")</f>
        <v>회귀의 전설</v>
      </c>
      <c r="J2378">
        <v>100</v>
      </c>
      <c r="K2378">
        <v>100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100</v>
      </c>
      <c r="AH2378">
        <v>1</v>
      </c>
      <c r="AI2378">
        <v>0</v>
      </c>
      <c r="AJ2378">
        <v>0</v>
      </c>
      <c r="AK2378">
        <v>100</v>
      </c>
      <c r="AL2378">
        <v>0</v>
      </c>
      <c r="AM2378">
        <v>0</v>
      </c>
      <c r="AN2378">
        <v>0</v>
      </c>
      <c r="AO2378">
        <v>0</v>
      </c>
      <c r="AQ2378">
        <v>0</v>
      </c>
      <c r="AR2378">
        <v>0</v>
      </c>
      <c r="AT2378">
        <v>0</v>
      </c>
      <c r="AU2378">
        <v>0</v>
      </c>
      <c r="AW2378">
        <v>0</v>
      </c>
      <c r="AX2378">
        <v>0</v>
      </c>
      <c r="AY2378">
        <v>70</v>
      </c>
      <c r="BC2378" t="str">
        <f>T("9791191102086")</f>
        <v>9791191102086</v>
      </c>
      <c r="BE2378" t="str">
        <f>T("판타지 웹소설 &gt; 현대 판타지")</f>
        <v>판타지 웹소설 &gt; 현대 판타지</v>
      </c>
    </row>
    <row r="2379" spans="1:57" x14ac:dyDescent="0.3">
      <c r="A2379">
        <v>1525000569</v>
      </c>
      <c r="B2379">
        <v>1525000601</v>
      </c>
      <c r="C2379" t="str">
        <f>T("스트라이커 33화")</f>
        <v>스트라이커 33화</v>
      </c>
      <c r="D2379" t="str">
        <f>T("33")</f>
        <v>33</v>
      </c>
      <c r="E2379" t="str">
        <f>T("독고진")</f>
        <v>독고진</v>
      </c>
      <c r="H2379" t="str">
        <f>T("스토리위즈")</f>
        <v>스토리위즈</v>
      </c>
      <c r="I2379" t="str">
        <f>T("스트라이커")</f>
        <v>스트라이커</v>
      </c>
      <c r="J2379">
        <v>100</v>
      </c>
      <c r="K2379">
        <v>100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100</v>
      </c>
      <c r="AH2379">
        <v>1</v>
      </c>
      <c r="AI2379">
        <v>0</v>
      </c>
      <c r="AJ2379">
        <v>0</v>
      </c>
      <c r="AK2379">
        <v>100</v>
      </c>
      <c r="AL2379">
        <v>0</v>
      </c>
      <c r="AM2379">
        <v>0</v>
      </c>
      <c r="AN2379">
        <v>0</v>
      </c>
      <c r="AO2379">
        <v>0</v>
      </c>
      <c r="AQ2379">
        <v>0</v>
      </c>
      <c r="AR2379">
        <v>0</v>
      </c>
      <c r="AT2379">
        <v>0</v>
      </c>
      <c r="AU2379">
        <v>0</v>
      </c>
      <c r="AW2379">
        <v>0</v>
      </c>
      <c r="AX2379">
        <v>0</v>
      </c>
      <c r="AY2379">
        <v>70</v>
      </c>
      <c r="BC2379" t="str">
        <f>T("9791170151678")</f>
        <v>9791170151678</v>
      </c>
      <c r="BE2379" t="str">
        <f>T("판타지 웹소설 &gt; 현대 판타지")</f>
        <v>판타지 웹소설 &gt; 현대 판타지</v>
      </c>
    </row>
    <row r="2380" spans="1:57" x14ac:dyDescent="0.3">
      <c r="A2380">
        <v>1525011523</v>
      </c>
      <c r="B2380">
        <v>1525010992</v>
      </c>
      <c r="C2380" t="str">
        <f>T("남창목가 외전 500화")</f>
        <v>남창목가 외전 500화</v>
      </c>
      <c r="D2380" t="str">
        <f>T("500")</f>
        <v>500</v>
      </c>
      <c r="E2380" t="str">
        <f>T("최재봉")</f>
        <v>최재봉</v>
      </c>
      <c r="H2380" t="str">
        <f>T("에필로그")</f>
        <v>에필로그</v>
      </c>
      <c r="I2380" t="str">
        <f>T("남창목가")</f>
        <v>남창목가</v>
      </c>
      <c r="J2380">
        <v>100</v>
      </c>
      <c r="K2380">
        <v>100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100</v>
      </c>
      <c r="AH2380">
        <v>1</v>
      </c>
      <c r="AI2380">
        <v>0</v>
      </c>
      <c r="AJ2380">
        <v>0</v>
      </c>
      <c r="AK2380">
        <v>0</v>
      </c>
      <c r="AL2380">
        <v>0</v>
      </c>
      <c r="AM2380">
        <v>120</v>
      </c>
      <c r="AN2380">
        <v>-12</v>
      </c>
      <c r="AO2380">
        <v>0</v>
      </c>
      <c r="AQ2380">
        <v>0</v>
      </c>
      <c r="AR2380">
        <v>0</v>
      </c>
      <c r="AS2380">
        <v>120</v>
      </c>
      <c r="AT2380">
        <v>-12</v>
      </c>
      <c r="AU2380">
        <v>0</v>
      </c>
      <c r="AW2380">
        <v>0</v>
      </c>
      <c r="AX2380">
        <v>0</v>
      </c>
      <c r="AY2380">
        <v>75.599999999999994</v>
      </c>
      <c r="BC2380" t="str">
        <f>T("9791164482849")</f>
        <v>9791164482849</v>
      </c>
      <c r="BE2380" t="str">
        <f>T("판타지 웹소설 &gt; 무협 소설")</f>
        <v>판타지 웹소설 &gt; 무협 소설</v>
      </c>
    </row>
    <row r="2381" spans="1:57" x14ac:dyDescent="0.3">
      <c r="A2381">
        <v>1525002125</v>
      </c>
      <c r="B2381">
        <v>1525002167</v>
      </c>
      <c r="C2381" t="str">
        <f>T("신을 죽이러 갑니다 43화")</f>
        <v>신을 죽이러 갑니다 43화</v>
      </c>
      <c r="D2381" t="str">
        <f>T("43")</f>
        <v>43</v>
      </c>
      <c r="E2381" t="str">
        <f>T("독고진")</f>
        <v>독고진</v>
      </c>
      <c r="H2381" t="str">
        <f>T("스토리위즈")</f>
        <v>스토리위즈</v>
      </c>
      <c r="I2381" t="str">
        <f>T("신을 죽이러 갑니다")</f>
        <v>신을 죽이러 갑니다</v>
      </c>
      <c r="J2381">
        <v>100</v>
      </c>
      <c r="K2381">
        <v>100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100</v>
      </c>
      <c r="AH2381">
        <v>1</v>
      </c>
      <c r="AI2381">
        <v>0</v>
      </c>
      <c r="AJ2381">
        <v>0</v>
      </c>
      <c r="AK2381">
        <v>0</v>
      </c>
      <c r="AL2381">
        <v>0</v>
      </c>
      <c r="AM2381">
        <v>120</v>
      </c>
      <c r="AN2381">
        <v>-36</v>
      </c>
      <c r="AO2381">
        <v>0</v>
      </c>
      <c r="AQ2381">
        <v>0</v>
      </c>
      <c r="AR2381">
        <v>0</v>
      </c>
      <c r="AS2381">
        <v>120</v>
      </c>
      <c r="AT2381">
        <v>-36</v>
      </c>
      <c r="AU2381">
        <v>0</v>
      </c>
      <c r="AW2381">
        <v>0</v>
      </c>
      <c r="AX2381">
        <v>0</v>
      </c>
      <c r="AY2381">
        <v>58.8</v>
      </c>
      <c r="BC2381" t="str">
        <f>T("9791159285806")</f>
        <v>9791159285806</v>
      </c>
      <c r="BE2381" t="str">
        <f>T("판타지 웹소설 &gt; 퓨전 판타지")</f>
        <v>판타지 웹소설 &gt; 퓨전 판타지</v>
      </c>
    </row>
    <row r="2382" spans="1:57" x14ac:dyDescent="0.3">
      <c r="A2382">
        <v>1525012551</v>
      </c>
      <c r="B2382">
        <v>1525012701</v>
      </c>
      <c r="C2382" t="str">
        <f>T("개정판 | 바보가 만드는 멋진 세상 151화")</f>
        <v>개정판 | 바보가 만드는 멋진 세상 151화</v>
      </c>
      <c r="D2382" t="str">
        <f>T("151")</f>
        <v>151</v>
      </c>
      <c r="E2382" t="str">
        <f>T("백범(白帆)")</f>
        <v>백범(白帆)</v>
      </c>
      <c r="H2382" t="str">
        <f>T("에필로그")</f>
        <v>에필로그</v>
      </c>
      <c r="I2382" t="str">
        <f>T("개정판 | 바보가 만드는 멋진 세상")</f>
        <v>개정판 | 바보가 만드는 멋진 세상</v>
      </c>
      <c r="J2382">
        <v>100</v>
      </c>
      <c r="K2382">
        <v>100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100</v>
      </c>
      <c r="AH2382">
        <v>1</v>
      </c>
      <c r="AI2382">
        <v>0</v>
      </c>
      <c r="AJ2382">
        <v>0</v>
      </c>
      <c r="AK2382">
        <v>100</v>
      </c>
      <c r="AL2382">
        <v>0</v>
      </c>
      <c r="AM2382">
        <v>0</v>
      </c>
      <c r="AN2382">
        <v>0</v>
      </c>
      <c r="AO2382">
        <v>0</v>
      </c>
      <c r="AQ2382">
        <v>0</v>
      </c>
      <c r="AR2382">
        <v>0</v>
      </c>
      <c r="AT2382">
        <v>0</v>
      </c>
      <c r="AU2382">
        <v>0</v>
      </c>
      <c r="AW2382">
        <v>0</v>
      </c>
      <c r="AX2382">
        <v>0</v>
      </c>
      <c r="AY2382">
        <v>70</v>
      </c>
      <c r="BC2382" t="str">
        <f>T("9791166003493")</f>
        <v>9791166003493</v>
      </c>
      <c r="BE2382" t="str">
        <f>T("판타지 웹소설 &gt; 현대 판타지")</f>
        <v>판타지 웹소설 &gt; 현대 판타지</v>
      </c>
    </row>
    <row r="2383" spans="1:57" x14ac:dyDescent="0.3">
      <c r="A2383">
        <v>1525002864</v>
      </c>
      <c r="B2383">
        <v>1525002924</v>
      </c>
      <c r="C2383" t="str">
        <f>T("소드마스터의 환생 61화")</f>
        <v>소드마스터의 환생 61화</v>
      </c>
      <c r="D2383" t="str">
        <f>T("61")</f>
        <v>61</v>
      </c>
      <c r="E2383" t="str">
        <f>T("파란영")</f>
        <v>파란영</v>
      </c>
      <c r="H2383" t="str">
        <f>T("스토리위즈")</f>
        <v>스토리위즈</v>
      </c>
      <c r="I2383" t="str">
        <f>T("소드마스터의 환생")</f>
        <v>소드마스터의 환생</v>
      </c>
      <c r="J2383">
        <v>100</v>
      </c>
      <c r="K2383">
        <v>100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100</v>
      </c>
      <c r="AH2383">
        <v>1</v>
      </c>
      <c r="AI2383">
        <v>0</v>
      </c>
      <c r="AJ2383">
        <v>0</v>
      </c>
      <c r="AK2383">
        <v>100</v>
      </c>
      <c r="AL2383">
        <v>0</v>
      </c>
      <c r="AM2383">
        <v>0</v>
      </c>
      <c r="AN2383">
        <v>0</v>
      </c>
      <c r="AO2383">
        <v>0</v>
      </c>
      <c r="AQ2383">
        <v>0</v>
      </c>
      <c r="AR2383">
        <v>0</v>
      </c>
      <c r="AT2383">
        <v>0</v>
      </c>
      <c r="AU2383">
        <v>0</v>
      </c>
      <c r="AW2383">
        <v>0</v>
      </c>
      <c r="AX2383">
        <v>0</v>
      </c>
      <c r="AY2383">
        <v>70</v>
      </c>
      <c r="BC2383" t="str">
        <f>T("9791159287527")</f>
        <v>9791159287527</v>
      </c>
      <c r="BE2383" t="str">
        <f>T("판타지 웹소설 &gt; 정통 판타지")</f>
        <v>판타지 웹소설 &gt; 정통 판타지</v>
      </c>
    </row>
    <row r="2384" spans="1:57" x14ac:dyDescent="0.3">
      <c r="A2384">
        <v>1525008428</v>
      </c>
      <c r="B2384">
        <v>1525008463</v>
      </c>
      <c r="C2384" t="str">
        <f>T("무히비(Muhibbi) 51화")</f>
        <v>무히비(Muhibbi) 51화</v>
      </c>
      <c r="D2384" t="str">
        <f>T("51")</f>
        <v>51</v>
      </c>
      <c r="E2384" t="str">
        <f>T("jooki")</f>
        <v>jooki</v>
      </c>
      <c r="H2384" t="str">
        <f>T("블러쉬")</f>
        <v>블러쉬</v>
      </c>
      <c r="I2384" t="str">
        <f>T("무히비(Muhibbi)")</f>
        <v>무히비(Muhibbi)</v>
      </c>
      <c r="J2384">
        <v>100</v>
      </c>
      <c r="K2384">
        <v>100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100</v>
      </c>
      <c r="AH2384">
        <v>1</v>
      </c>
      <c r="AI2384">
        <v>0</v>
      </c>
      <c r="AJ2384">
        <v>0</v>
      </c>
      <c r="AK2384">
        <v>100</v>
      </c>
      <c r="AL2384">
        <v>0</v>
      </c>
      <c r="AM2384">
        <v>0</v>
      </c>
      <c r="AN2384">
        <v>0</v>
      </c>
      <c r="AO2384">
        <v>0</v>
      </c>
      <c r="AQ2384">
        <v>0</v>
      </c>
      <c r="AR2384">
        <v>0</v>
      </c>
      <c r="AT2384">
        <v>0</v>
      </c>
      <c r="AU2384">
        <v>0</v>
      </c>
      <c r="AW2384">
        <v>0</v>
      </c>
      <c r="AX2384">
        <v>0</v>
      </c>
      <c r="AY2384">
        <v>70</v>
      </c>
      <c r="BC2384" t="str">
        <f>T("9791164896622")</f>
        <v>9791164896622</v>
      </c>
      <c r="BE2384" t="str">
        <f>T("BL 웹소설 &gt; 역사/시대물")</f>
        <v>BL 웹소설 &gt; 역사/시대물</v>
      </c>
    </row>
    <row r="2385" spans="1:57" x14ac:dyDescent="0.3">
      <c r="A2385">
        <v>1525011523</v>
      </c>
      <c r="B2385">
        <v>1525011266</v>
      </c>
      <c r="C2385" t="str">
        <f>T("남창목가 258화")</f>
        <v>남창목가 258화</v>
      </c>
      <c r="D2385" t="str">
        <f>T("258")</f>
        <v>258</v>
      </c>
      <c r="E2385" t="str">
        <f>T("최재봉")</f>
        <v>최재봉</v>
      </c>
      <c r="H2385" t="str">
        <f>T("에필로그")</f>
        <v>에필로그</v>
      </c>
      <c r="I2385" t="str">
        <f>T("남창목가")</f>
        <v>남창목가</v>
      </c>
      <c r="J2385">
        <v>100</v>
      </c>
      <c r="K2385">
        <v>100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100</v>
      </c>
      <c r="AH2385">
        <v>1</v>
      </c>
      <c r="AI2385">
        <v>0</v>
      </c>
      <c r="AJ2385">
        <v>0</v>
      </c>
      <c r="AK2385">
        <v>0</v>
      </c>
      <c r="AL2385">
        <v>0</v>
      </c>
      <c r="AM2385">
        <v>120</v>
      </c>
      <c r="AN2385">
        <v>-12</v>
      </c>
      <c r="AO2385">
        <v>0</v>
      </c>
      <c r="AQ2385">
        <v>0</v>
      </c>
      <c r="AR2385">
        <v>0</v>
      </c>
      <c r="AS2385">
        <v>120</v>
      </c>
      <c r="AT2385">
        <v>-12</v>
      </c>
      <c r="AU2385">
        <v>0</v>
      </c>
      <c r="AW2385">
        <v>0</v>
      </c>
      <c r="AX2385">
        <v>0</v>
      </c>
      <c r="AY2385">
        <v>75.599999999999994</v>
      </c>
      <c r="BC2385" t="str">
        <f>T("9791164482849")</f>
        <v>9791164482849</v>
      </c>
      <c r="BE2385" t="str">
        <f>T("판타지 웹소설 &gt; 무협 소설")</f>
        <v>판타지 웹소설 &gt; 무협 소설</v>
      </c>
    </row>
    <row r="2386" spans="1:57" x14ac:dyDescent="0.3">
      <c r="A2386">
        <v>1525011523</v>
      </c>
      <c r="B2386">
        <v>1525011450</v>
      </c>
      <c r="C2386" t="str">
        <f>T("남창목가 74화")</f>
        <v>남창목가 74화</v>
      </c>
      <c r="D2386" t="str">
        <f>T("74")</f>
        <v>74</v>
      </c>
      <c r="E2386" t="str">
        <f>T("최재봉")</f>
        <v>최재봉</v>
      </c>
      <c r="H2386" t="str">
        <f>T("에필로그")</f>
        <v>에필로그</v>
      </c>
      <c r="I2386" t="str">
        <f>T("남창목가")</f>
        <v>남창목가</v>
      </c>
      <c r="J2386">
        <v>100</v>
      </c>
      <c r="K2386">
        <v>100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100</v>
      </c>
      <c r="AH2386">
        <v>1</v>
      </c>
      <c r="AI2386">
        <v>0</v>
      </c>
      <c r="AJ2386">
        <v>0</v>
      </c>
      <c r="AK2386">
        <v>100</v>
      </c>
      <c r="AL2386">
        <v>0</v>
      </c>
      <c r="AM2386">
        <v>0</v>
      </c>
      <c r="AN2386">
        <v>0</v>
      </c>
      <c r="AO2386">
        <v>0</v>
      </c>
      <c r="AQ2386">
        <v>0</v>
      </c>
      <c r="AR2386">
        <v>0</v>
      </c>
      <c r="AT2386">
        <v>0</v>
      </c>
      <c r="AU2386">
        <v>0</v>
      </c>
      <c r="AW2386">
        <v>0</v>
      </c>
      <c r="AX2386">
        <v>0</v>
      </c>
      <c r="AY2386">
        <v>70</v>
      </c>
      <c r="BC2386" t="str">
        <f>T("9791164482849")</f>
        <v>9791164482849</v>
      </c>
      <c r="BE2386" t="str">
        <f>T("판타지 웹소설 &gt; 무협 소설")</f>
        <v>판타지 웹소설 &gt; 무협 소설</v>
      </c>
    </row>
    <row r="2387" spans="1:57" x14ac:dyDescent="0.3">
      <c r="A2387">
        <v>1525004799</v>
      </c>
      <c r="B2387">
        <v>1525004929</v>
      </c>
      <c r="C2387" t="str">
        <f>T("검산도해 131화")</f>
        <v>검산도해 131화</v>
      </c>
      <c r="D2387" t="str">
        <f>T("131")</f>
        <v>131</v>
      </c>
      <c r="E2387" t="str">
        <f>T("권용찬")</f>
        <v>권용찬</v>
      </c>
      <c r="H2387" t="str">
        <f>T("스토리위즈")</f>
        <v>스토리위즈</v>
      </c>
      <c r="I2387" t="str">
        <f>T("검산도해")</f>
        <v>검산도해</v>
      </c>
      <c r="J2387">
        <v>100</v>
      </c>
      <c r="K2387">
        <v>100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100</v>
      </c>
      <c r="AH2387">
        <v>1</v>
      </c>
      <c r="AI2387">
        <v>0</v>
      </c>
      <c r="AJ2387">
        <v>0</v>
      </c>
      <c r="AK2387">
        <v>0</v>
      </c>
      <c r="AL2387">
        <v>0</v>
      </c>
      <c r="AM2387">
        <v>120</v>
      </c>
      <c r="AN2387">
        <v>-12</v>
      </c>
      <c r="AO2387">
        <v>0</v>
      </c>
      <c r="AQ2387">
        <v>0</v>
      </c>
      <c r="AR2387">
        <v>0</v>
      </c>
      <c r="AS2387">
        <v>120</v>
      </c>
      <c r="AT2387">
        <v>-12</v>
      </c>
      <c r="AU2387">
        <v>0</v>
      </c>
      <c r="AW2387">
        <v>0</v>
      </c>
      <c r="AX2387">
        <v>0</v>
      </c>
      <c r="AY2387">
        <v>75.599999999999994</v>
      </c>
      <c r="BC2387" t="str">
        <f>T("9791159285936")</f>
        <v>9791159285936</v>
      </c>
      <c r="BE2387" t="str">
        <f>T("판타지 웹소설 &gt; 무협 소설")</f>
        <v>판타지 웹소설 &gt; 무협 소설</v>
      </c>
    </row>
    <row r="2388" spans="1:57" x14ac:dyDescent="0.3">
      <c r="A2388">
        <v>1525004030</v>
      </c>
      <c r="B2388">
        <v>1525007018</v>
      </c>
      <c r="C2388" t="str">
        <f>T("회귀의 전설 2부 902화")</f>
        <v>회귀의 전설 2부 902화</v>
      </c>
      <c r="D2388" t="str">
        <f>T("902")</f>
        <v>902</v>
      </c>
      <c r="E2388" t="str">
        <f>T("김광수")</f>
        <v>김광수</v>
      </c>
      <c r="H2388" t="str">
        <f>T("스토리위즈")</f>
        <v>스토리위즈</v>
      </c>
      <c r="I2388" t="str">
        <f>T("회귀의 전설")</f>
        <v>회귀의 전설</v>
      </c>
      <c r="J2388">
        <v>100</v>
      </c>
      <c r="K2388">
        <v>100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100</v>
      </c>
      <c r="AH2388">
        <v>1</v>
      </c>
      <c r="AI2388">
        <v>0</v>
      </c>
      <c r="AJ2388">
        <v>0</v>
      </c>
      <c r="AK2388">
        <v>100</v>
      </c>
      <c r="AL2388">
        <v>0</v>
      </c>
      <c r="AM2388">
        <v>0</v>
      </c>
      <c r="AN2388">
        <v>0</v>
      </c>
      <c r="AO2388">
        <v>0</v>
      </c>
      <c r="AQ2388">
        <v>0</v>
      </c>
      <c r="AR2388">
        <v>0</v>
      </c>
      <c r="AT2388">
        <v>0</v>
      </c>
      <c r="AU2388">
        <v>0</v>
      </c>
      <c r="AW2388">
        <v>0</v>
      </c>
      <c r="AX2388">
        <v>0</v>
      </c>
      <c r="AY2388">
        <v>70</v>
      </c>
      <c r="BC2388" t="str">
        <f>T("9791191102086")</f>
        <v>9791191102086</v>
      </c>
      <c r="BE2388" t="str">
        <f>T("판타지 웹소설 &gt; 현대 판타지")</f>
        <v>판타지 웹소설 &gt; 현대 판타지</v>
      </c>
    </row>
    <row r="2389" spans="1:57" x14ac:dyDescent="0.3">
      <c r="A2389">
        <v>1525011523</v>
      </c>
      <c r="B2389">
        <v>1525011176</v>
      </c>
      <c r="C2389" t="str">
        <f>T("남창목가 348화")</f>
        <v>남창목가 348화</v>
      </c>
      <c r="D2389" t="str">
        <f>T("348")</f>
        <v>348</v>
      </c>
      <c r="E2389" t="str">
        <f>T("최재봉")</f>
        <v>최재봉</v>
      </c>
      <c r="H2389" t="str">
        <f>T("에필로그")</f>
        <v>에필로그</v>
      </c>
      <c r="I2389" t="str">
        <f>T("남창목가")</f>
        <v>남창목가</v>
      </c>
      <c r="J2389">
        <v>100</v>
      </c>
      <c r="K2389">
        <v>100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100</v>
      </c>
      <c r="AH2389">
        <v>1</v>
      </c>
      <c r="AI2389">
        <v>0</v>
      </c>
      <c r="AJ2389">
        <v>0</v>
      </c>
      <c r="AK2389">
        <v>0</v>
      </c>
      <c r="AL2389">
        <v>0</v>
      </c>
      <c r="AM2389">
        <v>120</v>
      </c>
      <c r="AN2389">
        <v>-12</v>
      </c>
      <c r="AO2389">
        <v>0</v>
      </c>
      <c r="AQ2389">
        <v>0</v>
      </c>
      <c r="AR2389">
        <v>0</v>
      </c>
      <c r="AS2389">
        <v>120</v>
      </c>
      <c r="AT2389">
        <v>-12</v>
      </c>
      <c r="AU2389">
        <v>0</v>
      </c>
      <c r="AW2389">
        <v>0</v>
      </c>
      <c r="AX2389">
        <v>0</v>
      </c>
      <c r="AY2389">
        <v>75.599999999999994</v>
      </c>
      <c r="BC2389" t="str">
        <f>T("9791164482849")</f>
        <v>9791164482849</v>
      </c>
      <c r="BE2389" t="str">
        <f>T("판타지 웹소설 &gt; 무협 소설")</f>
        <v>판타지 웹소설 &gt; 무협 소설</v>
      </c>
    </row>
    <row r="2390" spans="1:57" x14ac:dyDescent="0.3">
      <c r="A2390">
        <v>1525008428</v>
      </c>
      <c r="B2390">
        <v>1525008419</v>
      </c>
      <c r="C2390" t="str">
        <f>T("무히비(Muhibbi) 11화")</f>
        <v>무히비(Muhibbi) 11화</v>
      </c>
      <c r="D2390" t="str">
        <f>T("11")</f>
        <v>11</v>
      </c>
      <c r="E2390" t="str">
        <f>T("jooki")</f>
        <v>jooki</v>
      </c>
      <c r="H2390" t="str">
        <f>T("블러쉬")</f>
        <v>블러쉬</v>
      </c>
      <c r="I2390" t="str">
        <f>T("무히비(Muhibbi)")</f>
        <v>무히비(Muhibbi)</v>
      </c>
      <c r="J2390">
        <v>100</v>
      </c>
      <c r="K2390">
        <v>100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100</v>
      </c>
      <c r="AH2390">
        <v>1</v>
      </c>
      <c r="AI2390">
        <v>0</v>
      </c>
      <c r="AJ2390">
        <v>0</v>
      </c>
      <c r="AK2390">
        <v>100</v>
      </c>
      <c r="AL2390">
        <v>0</v>
      </c>
      <c r="AM2390">
        <v>0</v>
      </c>
      <c r="AN2390">
        <v>0</v>
      </c>
      <c r="AO2390">
        <v>0</v>
      </c>
      <c r="AQ2390">
        <v>0</v>
      </c>
      <c r="AR2390">
        <v>0</v>
      </c>
      <c r="AT2390">
        <v>0</v>
      </c>
      <c r="AU2390">
        <v>0</v>
      </c>
      <c r="AW2390">
        <v>0</v>
      </c>
      <c r="AX2390">
        <v>0</v>
      </c>
      <c r="AY2390">
        <v>70</v>
      </c>
      <c r="BC2390" t="str">
        <f>T("9791164896622")</f>
        <v>9791164896622</v>
      </c>
      <c r="BE2390" t="str">
        <f>T("BL 웹소설 &gt; 역사/시대물")</f>
        <v>BL 웹소설 &gt; 역사/시대물</v>
      </c>
    </row>
    <row r="2391" spans="1:57" x14ac:dyDescent="0.3">
      <c r="A2391">
        <v>1525004030</v>
      </c>
      <c r="B2391">
        <v>1525006977</v>
      </c>
      <c r="C2391" t="str">
        <f>T("회귀의 전설 2부 861화")</f>
        <v>회귀의 전설 2부 861화</v>
      </c>
      <c r="D2391" t="str">
        <f>T("861")</f>
        <v>861</v>
      </c>
      <c r="E2391" t="str">
        <f>T("김광수")</f>
        <v>김광수</v>
      </c>
      <c r="H2391" t="str">
        <f>T("스토리위즈")</f>
        <v>스토리위즈</v>
      </c>
      <c r="I2391" t="str">
        <f>T("회귀의 전설")</f>
        <v>회귀의 전설</v>
      </c>
      <c r="J2391">
        <v>100</v>
      </c>
      <c r="K2391">
        <v>100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100</v>
      </c>
      <c r="AH2391">
        <v>1</v>
      </c>
      <c r="AI2391">
        <v>0</v>
      </c>
      <c r="AJ2391">
        <v>0</v>
      </c>
      <c r="AK2391">
        <v>100</v>
      </c>
      <c r="AL2391">
        <v>0</v>
      </c>
      <c r="AM2391">
        <v>0</v>
      </c>
      <c r="AN2391">
        <v>0</v>
      </c>
      <c r="AO2391">
        <v>0</v>
      </c>
      <c r="AQ2391">
        <v>0</v>
      </c>
      <c r="AR2391">
        <v>0</v>
      </c>
      <c r="AT2391">
        <v>0</v>
      </c>
      <c r="AU2391">
        <v>0</v>
      </c>
      <c r="AW2391">
        <v>0</v>
      </c>
      <c r="AX2391">
        <v>0</v>
      </c>
      <c r="AY2391">
        <v>70</v>
      </c>
      <c r="BC2391" t="str">
        <f>T("9791191102086")</f>
        <v>9791191102086</v>
      </c>
      <c r="BE2391" t="str">
        <f>T("판타지 웹소설 &gt; 현대 판타지")</f>
        <v>판타지 웹소설 &gt; 현대 판타지</v>
      </c>
    </row>
    <row r="2392" spans="1:57" x14ac:dyDescent="0.3">
      <c r="A2392">
        <v>1525011523</v>
      </c>
      <c r="B2392">
        <v>1525011370</v>
      </c>
      <c r="C2392" t="str">
        <f>T("남창목가 154화")</f>
        <v>남창목가 154화</v>
      </c>
      <c r="D2392" t="str">
        <f>T("154")</f>
        <v>154</v>
      </c>
      <c r="E2392" t="str">
        <f>T("최재봉")</f>
        <v>최재봉</v>
      </c>
      <c r="H2392" t="str">
        <f>T("에필로그")</f>
        <v>에필로그</v>
      </c>
      <c r="I2392" t="str">
        <f>T("남창목가")</f>
        <v>남창목가</v>
      </c>
      <c r="J2392">
        <v>100</v>
      </c>
      <c r="K2392">
        <v>100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100</v>
      </c>
      <c r="AH2392">
        <v>1</v>
      </c>
      <c r="AI2392">
        <v>0</v>
      </c>
      <c r="AJ2392">
        <v>0</v>
      </c>
      <c r="AK2392">
        <v>0</v>
      </c>
      <c r="AL2392">
        <v>0</v>
      </c>
      <c r="AM2392">
        <v>120</v>
      </c>
      <c r="AN2392">
        <v>-12</v>
      </c>
      <c r="AO2392">
        <v>0</v>
      </c>
      <c r="AQ2392">
        <v>0</v>
      </c>
      <c r="AR2392">
        <v>0</v>
      </c>
      <c r="AS2392">
        <v>120</v>
      </c>
      <c r="AT2392">
        <v>-12</v>
      </c>
      <c r="AU2392">
        <v>0</v>
      </c>
      <c r="AW2392">
        <v>0</v>
      </c>
      <c r="AX2392">
        <v>0</v>
      </c>
      <c r="AY2392">
        <v>75.599999999999994</v>
      </c>
      <c r="BC2392" t="str">
        <f>T("9791164482849")</f>
        <v>9791164482849</v>
      </c>
      <c r="BE2392" t="str">
        <f>T("판타지 웹소설 &gt; 무협 소설")</f>
        <v>판타지 웹소설 &gt; 무협 소설</v>
      </c>
    </row>
    <row r="2393" spans="1:57" x14ac:dyDescent="0.3">
      <c r="A2393">
        <v>1525013020</v>
      </c>
      <c r="B2393">
        <v>1525013059</v>
      </c>
      <c r="C2393" t="str">
        <f>T("악당의 리턴 40화")</f>
        <v>악당의 리턴 40화</v>
      </c>
      <c r="D2393" t="str">
        <f>T("40")</f>
        <v>40</v>
      </c>
      <c r="E2393" t="str">
        <f>T("백범(白帆)")</f>
        <v>백범(白帆)</v>
      </c>
      <c r="H2393" t="str">
        <f>T("에필로그")</f>
        <v>에필로그</v>
      </c>
      <c r="I2393" t="str">
        <f>T("악당의 리턴")</f>
        <v>악당의 리턴</v>
      </c>
      <c r="J2393">
        <v>100</v>
      </c>
      <c r="K2393">
        <v>100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100</v>
      </c>
      <c r="AH2393">
        <v>1</v>
      </c>
      <c r="AI2393">
        <v>0</v>
      </c>
      <c r="AJ2393">
        <v>0</v>
      </c>
      <c r="AK2393">
        <v>100</v>
      </c>
      <c r="AL2393">
        <v>0</v>
      </c>
      <c r="AM2393">
        <v>0</v>
      </c>
      <c r="AN2393">
        <v>0</v>
      </c>
      <c r="AO2393">
        <v>0</v>
      </c>
      <c r="AQ2393">
        <v>0</v>
      </c>
      <c r="AR2393">
        <v>0</v>
      </c>
      <c r="AT2393">
        <v>0</v>
      </c>
      <c r="AU2393">
        <v>0</v>
      </c>
      <c r="AW2393">
        <v>0</v>
      </c>
      <c r="AX2393">
        <v>0</v>
      </c>
      <c r="AY2393">
        <v>70</v>
      </c>
      <c r="BC2393" t="str">
        <f>T("9791196538927")</f>
        <v>9791196538927</v>
      </c>
      <c r="BE2393" t="str">
        <f>T("판타지 웹소설 &gt; 현대 판타지")</f>
        <v>판타지 웹소설 &gt; 현대 판타지</v>
      </c>
    </row>
    <row r="2394" spans="1:57" x14ac:dyDescent="0.3">
      <c r="A2394">
        <v>1525004030</v>
      </c>
      <c r="B2394">
        <v>1525007132</v>
      </c>
      <c r="C2394" t="str">
        <f>T("회귀의 전설 2부 1016화")</f>
        <v>회귀의 전설 2부 1016화</v>
      </c>
      <c r="D2394" t="str">
        <f>T("1016")</f>
        <v>1016</v>
      </c>
      <c r="E2394" t="str">
        <f>T("김광수")</f>
        <v>김광수</v>
      </c>
      <c r="H2394" t="str">
        <f>T("스토리위즈")</f>
        <v>스토리위즈</v>
      </c>
      <c r="I2394" t="str">
        <f>T("회귀의 전설")</f>
        <v>회귀의 전설</v>
      </c>
      <c r="J2394">
        <v>100</v>
      </c>
      <c r="K2394">
        <v>100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100</v>
      </c>
      <c r="AH2394">
        <v>1</v>
      </c>
      <c r="AI2394">
        <v>0</v>
      </c>
      <c r="AJ2394">
        <v>0</v>
      </c>
      <c r="AK2394">
        <v>100</v>
      </c>
      <c r="AL2394">
        <v>0</v>
      </c>
      <c r="AM2394">
        <v>0</v>
      </c>
      <c r="AN2394">
        <v>0</v>
      </c>
      <c r="AO2394">
        <v>0</v>
      </c>
      <c r="AQ2394">
        <v>0</v>
      </c>
      <c r="AR2394">
        <v>0</v>
      </c>
      <c r="AT2394">
        <v>0</v>
      </c>
      <c r="AU2394">
        <v>0</v>
      </c>
      <c r="AW2394">
        <v>0</v>
      </c>
      <c r="AX2394">
        <v>0</v>
      </c>
      <c r="AY2394">
        <v>70</v>
      </c>
      <c r="BC2394" t="str">
        <f>T("9791191102086")</f>
        <v>9791191102086</v>
      </c>
      <c r="BE2394" t="str">
        <f>T("판타지 웹소설 &gt; 현대 판타지")</f>
        <v>판타지 웹소설 &gt; 현대 판타지</v>
      </c>
    </row>
    <row r="2395" spans="1:57" x14ac:dyDescent="0.3">
      <c r="A2395">
        <v>1525004030</v>
      </c>
      <c r="B2395">
        <v>1525004505</v>
      </c>
      <c r="C2395" t="str">
        <f>T("회귀의 전설 489화")</f>
        <v>회귀의 전설 489화</v>
      </c>
      <c r="D2395" t="str">
        <f>T("489")</f>
        <v>489</v>
      </c>
      <c r="E2395" t="str">
        <f>T("김광수")</f>
        <v>김광수</v>
      </c>
      <c r="H2395" t="str">
        <f>T("스토리위즈")</f>
        <v>스토리위즈</v>
      </c>
      <c r="I2395" t="str">
        <f>T("회귀의 전설")</f>
        <v>회귀의 전설</v>
      </c>
      <c r="J2395">
        <v>100</v>
      </c>
      <c r="K2395">
        <v>100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100</v>
      </c>
      <c r="AH2395">
        <v>1</v>
      </c>
      <c r="AI2395">
        <v>0</v>
      </c>
      <c r="AJ2395">
        <v>0</v>
      </c>
      <c r="AK2395">
        <v>100</v>
      </c>
      <c r="AL2395">
        <v>0</v>
      </c>
      <c r="AM2395">
        <v>0</v>
      </c>
      <c r="AN2395">
        <v>0</v>
      </c>
      <c r="AO2395">
        <v>0</v>
      </c>
      <c r="AQ2395">
        <v>0</v>
      </c>
      <c r="AR2395">
        <v>0</v>
      </c>
      <c r="AT2395">
        <v>0</v>
      </c>
      <c r="AU2395">
        <v>0</v>
      </c>
      <c r="AW2395">
        <v>0</v>
      </c>
      <c r="AX2395">
        <v>0</v>
      </c>
      <c r="AY2395">
        <v>70</v>
      </c>
      <c r="BC2395" t="str">
        <f>T("9788997946006")</f>
        <v>9788997946006</v>
      </c>
      <c r="BE2395" t="str">
        <f>T("판타지 웹소설 &gt; 현대 판타지")</f>
        <v>판타지 웹소설 &gt; 현대 판타지</v>
      </c>
    </row>
    <row r="2396" spans="1:57" x14ac:dyDescent="0.3">
      <c r="A2396">
        <v>1525012551</v>
      </c>
      <c r="B2396">
        <v>1525012733</v>
      </c>
      <c r="C2396" t="str">
        <f>T("개정판 | 바보가 만드는 멋진 세상 183화")</f>
        <v>개정판 | 바보가 만드는 멋진 세상 183화</v>
      </c>
      <c r="D2396" t="str">
        <f>T("183")</f>
        <v>183</v>
      </c>
      <c r="E2396" t="str">
        <f>T("백범(白帆)")</f>
        <v>백범(白帆)</v>
      </c>
      <c r="H2396" t="str">
        <f>T("에필로그")</f>
        <v>에필로그</v>
      </c>
      <c r="I2396" t="str">
        <f>T("개정판 | 바보가 만드는 멋진 세상")</f>
        <v>개정판 | 바보가 만드는 멋진 세상</v>
      </c>
      <c r="J2396">
        <v>100</v>
      </c>
      <c r="K2396">
        <v>100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100</v>
      </c>
      <c r="AH2396">
        <v>1</v>
      </c>
      <c r="AI2396">
        <v>0</v>
      </c>
      <c r="AJ2396">
        <v>0</v>
      </c>
      <c r="AK2396">
        <v>100</v>
      </c>
      <c r="AL2396">
        <v>0</v>
      </c>
      <c r="AM2396">
        <v>0</v>
      </c>
      <c r="AN2396">
        <v>0</v>
      </c>
      <c r="AO2396">
        <v>0</v>
      </c>
      <c r="AQ2396">
        <v>0</v>
      </c>
      <c r="AR2396">
        <v>0</v>
      </c>
      <c r="AT2396">
        <v>0</v>
      </c>
      <c r="AU2396">
        <v>0</v>
      </c>
      <c r="AW2396">
        <v>0</v>
      </c>
      <c r="AX2396">
        <v>0</v>
      </c>
      <c r="AY2396">
        <v>70</v>
      </c>
      <c r="BC2396" t="str">
        <f>T("9791166003493")</f>
        <v>9791166003493</v>
      </c>
      <c r="BE2396" t="str">
        <f>T("판타지 웹소설 &gt; 현대 판타지")</f>
        <v>판타지 웹소설 &gt; 현대 판타지</v>
      </c>
    </row>
    <row r="2397" spans="1:57" x14ac:dyDescent="0.3">
      <c r="A2397">
        <v>1525008545</v>
      </c>
      <c r="B2397">
        <v>1525008546</v>
      </c>
      <c r="C2397" t="str">
        <f>T("소년연애담 20화")</f>
        <v>소년연애담 20화</v>
      </c>
      <c r="D2397" t="str">
        <f>T("20")</f>
        <v>20</v>
      </c>
      <c r="E2397" t="str">
        <f>T("나나코")</f>
        <v>나나코</v>
      </c>
      <c r="H2397" t="str">
        <f>T("블러쉬")</f>
        <v>블러쉬</v>
      </c>
      <c r="I2397" t="str">
        <f>T("소년연애담")</f>
        <v>소년연애담</v>
      </c>
      <c r="J2397">
        <v>100</v>
      </c>
      <c r="K2397">
        <v>100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100</v>
      </c>
      <c r="AH2397">
        <v>1</v>
      </c>
      <c r="AI2397">
        <v>0</v>
      </c>
      <c r="AJ2397">
        <v>0</v>
      </c>
      <c r="AK2397">
        <v>100</v>
      </c>
      <c r="AL2397">
        <v>0</v>
      </c>
      <c r="AM2397">
        <v>0</v>
      </c>
      <c r="AN2397">
        <v>0</v>
      </c>
      <c r="AO2397">
        <v>0</v>
      </c>
      <c r="AQ2397">
        <v>0</v>
      </c>
      <c r="AR2397">
        <v>0</v>
      </c>
      <c r="AT2397">
        <v>0</v>
      </c>
      <c r="AU2397">
        <v>0</v>
      </c>
      <c r="AW2397">
        <v>0</v>
      </c>
      <c r="AX2397">
        <v>0</v>
      </c>
      <c r="AY2397">
        <v>70</v>
      </c>
      <c r="BA2397" t="str">
        <f>T("0000000000000")</f>
        <v>0000000000000</v>
      </c>
      <c r="BC2397" t="str">
        <f>T("9791164890729")</f>
        <v>9791164890729</v>
      </c>
      <c r="BD2397" t="str">
        <f>T("B12")</f>
        <v>B12</v>
      </c>
      <c r="BE2397" t="str">
        <f>T("BL 웹소설 &gt; 현대물")</f>
        <v>BL 웹소설 &gt; 현대물</v>
      </c>
    </row>
    <row r="2398" spans="1:57" x14ac:dyDescent="0.3">
      <c r="A2398">
        <v>1525008428</v>
      </c>
      <c r="B2398">
        <v>1525008496</v>
      </c>
      <c r="C2398" t="str">
        <f>T("무히비(Muhibbi) 81화")</f>
        <v>무히비(Muhibbi) 81화</v>
      </c>
      <c r="D2398" t="str">
        <f>T("81")</f>
        <v>81</v>
      </c>
      <c r="E2398" t="str">
        <f>T("jooki")</f>
        <v>jooki</v>
      </c>
      <c r="H2398" t="str">
        <f>T("블러쉬")</f>
        <v>블러쉬</v>
      </c>
      <c r="I2398" t="str">
        <f>T("무히비(Muhibbi)")</f>
        <v>무히비(Muhibbi)</v>
      </c>
      <c r="J2398">
        <v>100</v>
      </c>
      <c r="K2398">
        <v>100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100</v>
      </c>
      <c r="AH2398">
        <v>1</v>
      </c>
      <c r="AI2398">
        <v>0</v>
      </c>
      <c r="AJ2398">
        <v>0</v>
      </c>
      <c r="AK2398">
        <v>100</v>
      </c>
      <c r="AL2398">
        <v>0</v>
      </c>
      <c r="AM2398">
        <v>0</v>
      </c>
      <c r="AN2398">
        <v>0</v>
      </c>
      <c r="AO2398">
        <v>0</v>
      </c>
      <c r="AQ2398">
        <v>0</v>
      </c>
      <c r="AR2398">
        <v>0</v>
      </c>
      <c r="AT2398">
        <v>0</v>
      </c>
      <c r="AU2398">
        <v>0</v>
      </c>
      <c r="AW2398">
        <v>0</v>
      </c>
      <c r="AX2398">
        <v>0</v>
      </c>
      <c r="AY2398">
        <v>70</v>
      </c>
      <c r="BC2398" t="str">
        <f>T("9791164896622")</f>
        <v>9791164896622</v>
      </c>
      <c r="BE2398" t="str">
        <f>T("BL 웹소설 &gt; 역사/시대물")</f>
        <v>BL 웹소설 &gt; 역사/시대물</v>
      </c>
    </row>
    <row r="2399" spans="1:57" x14ac:dyDescent="0.3">
      <c r="A2399">
        <v>1525012551</v>
      </c>
      <c r="B2399">
        <v>1525012611</v>
      </c>
      <c r="C2399" t="str">
        <f>T("개정판 | 바보가 만드는 멋진 세상 61화")</f>
        <v>개정판 | 바보가 만드는 멋진 세상 61화</v>
      </c>
      <c r="D2399" t="str">
        <f>T("61")</f>
        <v>61</v>
      </c>
      <c r="E2399" t="str">
        <f>T("백범(白帆)")</f>
        <v>백범(白帆)</v>
      </c>
      <c r="H2399" t="str">
        <f>T("에필로그")</f>
        <v>에필로그</v>
      </c>
      <c r="I2399" t="str">
        <f>T("개정판 | 바보가 만드는 멋진 세상")</f>
        <v>개정판 | 바보가 만드는 멋진 세상</v>
      </c>
      <c r="J2399">
        <v>100</v>
      </c>
      <c r="K2399">
        <v>100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100</v>
      </c>
      <c r="AH2399">
        <v>1</v>
      </c>
      <c r="AI2399">
        <v>0</v>
      </c>
      <c r="AJ2399">
        <v>0</v>
      </c>
      <c r="AK2399">
        <v>100</v>
      </c>
      <c r="AL2399">
        <v>0</v>
      </c>
      <c r="AM2399">
        <v>0</v>
      </c>
      <c r="AN2399">
        <v>0</v>
      </c>
      <c r="AO2399">
        <v>0</v>
      </c>
      <c r="AQ2399">
        <v>0</v>
      </c>
      <c r="AR2399">
        <v>0</v>
      </c>
      <c r="AT2399">
        <v>0</v>
      </c>
      <c r="AU2399">
        <v>0</v>
      </c>
      <c r="AW2399">
        <v>0</v>
      </c>
      <c r="AX2399">
        <v>0</v>
      </c>
      <c r="AY2399">
        <v>70</v>
      </c>
      <c r="BC2399" t="str">
        <f>T("9791166003493")</f>
        <v>9791166003493</v>
      </c>
      <c r="BE2399" t="str">
        <f>T("판타지 웹소설 &gt; 현대 판타지")</f>
        <v>판타지 웹소설 &gt; 현대 판타지</v>
      </c>
    </row>
    <row r="2400" spans="1:57" x14ac:dyDescent="0.3">
      <c r="A2400">
        <v>1525004799</v>
      </c>
      <c r="B2400">
        <v>1525004961</v>
      </c>
      <c r="C2400" t="str">
        <f>T("검산도해 163화")</f>
        <v>검산도해 163화</v>
      </c>
      <c r="D2400" t="str">
        <f>T("163")</f>
        <v>163</v>
      </c>
      <c r="E2400" t="str">
        <f>T("권용찬")</f>
        <v>권용찬</v>
      </c>
      <c r="H2400" t="str">
        <f>T("스토리위즈")</f>
        <v>스토리위즈</v>
      </c>
      <c r="I2400" t="str">
        <f>T("검산도해")</f>
        <v>검산도해</v>
      </c>
      <c r="J2400">
        <v>100</v>
      </c>
      <c r="K2400">
        <v>100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100</v>
      </c>
      <c r="AH2400">
        <v>1</v>
      </c>
      <c r="AI2400">
        <v>0</v>
      </c>
      <c r="AJ2400">
        <v>0</v>
      </c>
      <c r="AK2400">
        <v>0</v>
      </c>
      <c r="AL2400">
        <v>0</v>
      </c>
      <c r="AM2400">
        <v>120</v>
      </c>
      <c r="AN2400">
        <v>-12</v>
      </c>
      <c r="AO2400">
        <v>0</v>
      </c>
      <c r="AQ2400">
        <v>0</v>
      </c>
      <c r="AR2400">
        <v>0</v>
      </c>
      <c r="AS2400">
        <v>120</v>
      </c>
      <c r="AT2400">
        <v>-12</v>
      </c>
      <c r="AU2400">
        <v>0</v>
      </c>
      <c r="AW2400">
        <v>0</v>
      </c>
      <c r="AX2400">
        <v>0</v>
      </c>
      <c r="AY2400">
        <v>75.599999999999994</v>
      </c>
      <c r="BC2400" t="str">
        <f>T("9791159285936")</f>
        <v>9791159285936</v>
      </c>
      <c r="BE2400" t="str">
        <f>T("판타지 웹소설 &gt; 무협 소설")</f>
        <v>판타지 웹소설 &gt; 무협 소설</v>
      </c>
    </row>
    <row r="2401" spans="1:57" x14ac:dyDescent="0.3">
      <c r="A2401">
        <v>1525004030</v>
      </c>
      <c r="B2401">
        <v>1525007050</v>
      </c>
      <c r="C2401" t="str">
        <f>T("회귀의 전설 2부 934화")</f>
        <v>회귀의 전설 2부 934화</v>
      </c>
      <c r="D2401" t="str">
        <f>T("934")</f>
        <v>934</v>
      </c>
      <c r="E2401" t="str">
        <f>T("김광수")</f>
        <v>김광수</v>
      </c>
      <c r="H2401" t="str">
        <f>T("스토리위즈")</f>
        <v>스토리위즈</v>
      </c>
      <c r="I2401" t="str">
        <f>T("회귀의 전설")</f>
        <v>회귀의 전설</v>
      </c>
      <c r="J2401">
        <v>100</v>
      </c>
      <c r="K2401">
        <v>100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100</v>
      </c>
      <c r="AH2401">
        <v>1</v>
      </c>
      <c r="AI2401">
        <v>0</v>
      </c>
      <c r="AJ2401">
        <v>0</v>
      </c>
      <c r="AK2401">
        <v>100</v>
      </c>
      <c r="AL2401">
        <v>0</v>
      </c>
      <c r="AM2401">
        <v>0</v>
      </c>
      <c r="AN2401">
        <v>0</v>
      </c>
      <c r="AO2401">
        <v>0</v>
      </c>
      <c r="AQ2401">
        <v>0</v>
      </c>
      <c r="AR2401">
        <v>0</v>
      </c>
      <c r="AT2401">
        <v>0</v>
      </c>
      <c r="AU2401">
        <v>0</v>
      </c>
      <c r="AW2401">
        <v>0</v>
      </c>
      <c r="AX2401">
        <v>0</v>
      </c>
      <c r="AY2401">
        <v>70</v>
      </c>
      <c r="BC2401" t="str">
        <f>T("9791191102086")</f>
        <v>9791191102086</v>
      </c>
      <c r="BE2401" t="str">
        <f>T("판타지 웹소설 &gt; 현대 판타지")</f>
        <v>판타지 웹소설 &gt; 현대 판타지</v>
      </c>
    </row>
    <row r="2402" spans="1:57" x14ac:dyDescent="0.3">
      <c r="A2402">
        <v>1525008428</v>
      </c>
      <c r="B2402">
        <v>1525008454</v>
      </c>
      <c r="C2402" t="str">
        <f>T("무히비(Muhibbi) 43화")</f>
        <v>무히비(Muhibbi) 43화</v>
      </c>
      <c r="D2402" t="str">
        <f>T("43")</f>
        <v>43</v>
      </c>
      <c r="E2402" t="str">
        <f>T("jooki")</f>
        <v>jooki</v>
      </c>
      <c r="H2402" t="str">
        <f>T("블러쉬")</f>
        <v>블러쉬</v>
      </c>
      <c r="I2402" t="str">
        <f>T("무히비(Muhibbi)")</f>
        <v>무히비(Muhibbi)</v>
      </c>
      <c r="J2402">
        <v>100</v>
      </c>
      <c r="K2402">
        <v>100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100</v>
      </c>
      <c r="AH2402">
        <v>1</v>
      </c>
      <c r="AI2402">
        <v>0</v>
      </c>
      <c r="AJ2402">
        <v>0</v>
      </c>
      <c r="AK2402">
        <v>100</v>
      </c>
      <c r="AL2402">
        <v>0</v>
      </c>
      <c r="AM2402">
        <v>0</v>
      </c>
      <c r="AN2402">
        <v>0</v>
      </c>
      <c r="AO2402">
        <v>0</v>
      </c>
      <c r="AQ2402">
        <v>0</v>
      </c>
      <c r="AR2402">
        <v>0</v>
      </c>
      <c r="AT2402">
        <v>0</v>
      </c>
      <c r="AU2402">
        <v>0</v>
      </c>
      <c r="AW2402">
        <v>0</v>
      </c>
      <c r="AX2402">
        <v>0</v>
      </c>
      <c r="AY2402">
        <v>70</v>
      </c>
      <c r="BC2402" t="str">
        <f>T("9791164896622")</f>
        <v>9791164896622</v>
      </c>
      <c r="BE2402" t="str">
        <f>T("BL 웹소설 &gt; 역사/시대물")</f>
        <v>BL 웹소설 &gt; 역사/시대물</v>
      </c>
    </row>
    <row r="2403" spans="1:57" x14ac:dyDescent="0.3">
      <c r="A2403">
        <v>1525013020</v>
      </c>
      <c r="B2403">
        <v>1525013091</v>
      </c>
      <c r="C2403" t="str">
        <f>T("악당의 리턴 72화")</f>
        <v>악당의 리턴 72화</v>
      </c>
      <c r="D2403" t="str">
        <f>T("72")</f>
        <v>72</v>
      </c>
      <c r="E2403" t="str">
        <f>T("백범(白帆)")</f>
        <v>백범(白帆)</v>
      </c>
      <c r="H2403" t="str">
        <f>T("에필로그")</f>
        <v>에필로그</v>
      </c>
      <c r="I2403" t="str">
        <f>T("악당의 리턴")</f>
        <v>악당의 리턴</v>
      </c>
      <c r="J2403">
        <v>100</v>
      </c>
      <c r="K2403">
        <v>100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100</v>
      </c>
      <c r="AH2403">
        <v>1</v>
      </c>
      <c r="AI2403">
        <v>0</v>
      </c>
      <c r="AJ2403">
        <v>0</v>
      </c>
      <c r="AK2403">
        <v>100</v>
      </c>
      <c r="AL2403">
        <v>0</v>
      </c>
      <c r="AM2403">
        <v>0</v>
      </c>
      <c r="AN2403">
        <v>0</v>
      </c>
      <c r="AO2403">
        <v>0</v>
      </c>
      <c r="AQ2403">
        <v>0</v>
      </c>
      <c r="AR2403">
        <v>0</v>
      </c>
      <c r="AT2403">
        <v>0</v>
      </c>
      <c r="AU2403">
        <v>0</v>
      </c>
      <c r="AW2403">
        <v>0</v>
      </c>
      <c r="AX2403">
        <v>0</v>
      </c>
      <c r="AY2403">
        <v>70</v>
      </c>
      <c r="BC2403" t="str">
        <f>T("9791196538927")</f>
        <v>9791196538927</v>
      </c>
      <c r="BE2403" t="str">
        <f>T("판타지 웹소설 &gt; 현대 판타지")</f>
        <v>판타지 웹소설 &gt; 현대 판타지</v>
      </c>
    </row>
    <row r="2404" spans="1:57" x14ac:dyDescent="0.3">
      <c r="A2404">
        <v>1525004030</v>
      </c>
      <c r="B2404">
        <v>1525007192</v>
      </c>
      <c r="C2404" t="str">
        <f>T("회귀의 전설 2부 1075화")</f>
        <v>회귀의 전설 2부 1075화</v>
      </c>
      <c r="D2404" t="str">
        <f>T("1075")</f>
        <v>1075</v>
      </c>
      <c r="E2404" t="str">
        <f>T("김광수")</f>
        <v>김광수</v>
      </c>
      <c r="H2404" t="str">
        <f>T("스토리위즈")</f>
        <v>스토리위즈</v>
      </c>
      <c r="I2404" t="str">
        <f>T("회귀의 전설")</f>
        <v>회귀의 전설</v>
      </c>
      <c r="J2404">
        <v>100</v>
      </c>
      <c r="K2404">
        <v>100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100</v>
      </c>
      <c r="AH2404">
        <v>1</v>
      </c>
      <c r="AI2404">
        <v>0</v>
      </c>
      <c r="AJ2404">
        <v>0</v>
      </c>
      <c r="AK2404">
        <v>100</v>
      </c>
      <c r="AL2404">
        <v>0</v>
      </c>
      <c r="AM2404">
        <v>0</v>
      </c>
      <c r="AN2404">
        <v>0</v>
      </c>
      <c r="AO2404">
        <v>0</v>
      </c>
      <c r="AQ2404">
        <v>0</v>
      </c>
      <c r="AR2404">
        <v>0</v>
      </c>
      <c r="AT2404">
        <v>0</v>
      </c>
      <c r="AU2404">
        <v>0</v>
      </c>
      <c r="AW2404">
        <v>0</v>
      </c>
      <c r="AX2404">
        <v>0</v>
      </c>
      <c r="AY2404">
        <v>70</v>
      </c>
      <c r="BC2404" t="str">
        <f>T("9791191102086")</f>
        <v>9791191102086</v>
      </c>
      <c r="BE2404" t="str">
        <f>T("판타지 웹소설 &gt; 현대 판타지")</f>
        <v>판타지 웹소설 &gt; 현대 판타지</v>
      </c>
    </row>
    <row r="2405" spans="1:57" x14ac:dyDescent="0.3">
      <c r="A2405">
        <v>1525012551</v>
      </c>
      <c r="B2405">
        <v>1525012722</v>
      </c>
      <c r="C2405" t="str">
        <f>T("개정판 | 바보가 만드는 멋진 세상 172화")</f>
        <v>개정판 | 바보가 만드는 멋진 세상 172화</v>
      </c>
      <c r="D2405" t="str">
        <f>T("172")</f>
        <v>172</v>
      </c>
      <c r="E2405" t="str">
        <f>T("백범(白帆)")</f>
        <v>백범(白帆)</v>
      </c>
      <c r="H2405" t="str">
        <f>T("에필로그")</f>
        <v>에필로그</v>
      </c>
      <c r="I2405" t="str">
        <f>T("개정판 | 바보가 만드는 멋진 세상")</f>
        <v>개정판 | 바보가 만드는 멋진 세상</v>
      </c>
      <c r="J2405">
        <v>100</v>
      </c>
      <c r="K2405">
        <v>100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100</v>
      </c>
      <c r="AH2405">
        <v>1</v>
      </c>
      <c r="AI2405">
        <v>0</v>
      </c>
      <c r="AJ2405">
        <v>0</v>
      </c>
      <c r="AK2405">
        <v>100</v>
      </c>
      <c r="AL2405">
        <v>0</v>
      </c>
      <c r="AM2405">
        <v>0</v>
      </c>
      <c r="AN2405">
        <v>0</v>
      </c>
      <c r="AO2405">
        <v>0</v>
      </c>
      <c r="AQ2405">
        <v>0</v>
      </c>
      <c r="AR2405">
        <v>0</v>
      </c>
      <c r="AT2405">
        <v>0</v>
      </c>
      <c r="AU2405">
        <v>0</v>
      </c>
      <c r="AW2405">
        <v>0</v>
      </c>
      <c r="AX2405">
        <v>0</v>
      </c>
      <c r="AY2405">
        <v>70</v>
      </c>
      <c r="BC2405" t="str">
        <f>T("9791166003493")</f>
        <v>9791166003493</v>
      </c>
      <c r="BE2405" t="str">
        <f>T("판타지 웹소설 &gt; 현대 판타지")</f>
        <v>판타지 웹소설 &gt; 현대 판타지</v>
      </c>
    </row>
    <row r="2406" spans="1:57" x14ac:dyDescent="0.3">
      <c r="A2406">
        <v>1525008545</v>
      </c>
      <c r="B2406">
        <v>1525008535</v>
      </c>
      <c r="C2406" t="str">
        <f>T("소년연애담 10화")</f>
        <v>소년연애담 10화</v>
      </c>
      <c r="D2406" t="str">
        <f>T("10")</f>
        <v>10</v>
      </c>
      <c r="E2406" t="str">
        <f>T("나나코")</f>
        <v>나나코</v>
      </c>
      <c r="H2406" t="str">
        <f>T("블러쉬")</f>
        <v>블러쉬</v>
      </c>
      <c r="I2406" t="str">
        <f>T("소년연애담")</f>
        <v>소년연애담</v>
      </c>
      <c r="J2406">
        <v>100</v>
      </c>
      <c r="K2406">
        <v>100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100</v>
      </c>
      <c r="AH2406">
        <v>1</v>
      </c>
      <c r="AI2406">
        <v>0</v>
      </c>
      <c r="AJ2406">
        <v>0</v>
      </c>
      <c r="AK2406">
        <v>100</v>
      </c>
      <c r="AL2406">
        <v>0</v>
      </c>
      <c r="AM2406">
        <v>0</v>
      </c>
      <c r="AN2406">
        <v>0</v>
      </c>
      <c r="AO2406">
        <v>0</v>
      </c>
      <c r="AQ2406">
        <v>0</v>
      </c>
      <c r="AR2406">
        <v>0</v>
      </c>
      <c r="AT2406">
        <v>0</v>
      </c>
      <c r="AU2406">
        <v>0</v>
      </c>
      <c r="AW2406">
        <v>0</v>
      </c>
      <c r="AX2406">
        <v>0</v>
      </c>
      <c r="AY2406">
        <v>70</v>
      </c>
      <c r="BA2406" t="str">
        <f>T("0000000000000")</f>
        <v>0000000000000</v>
      </c>
      <c r="BC2406" t="str">
        <f>T("9791164890729")</f>
        <v>9791164890729</v>
      </c>
      <c r="BD2406" t="str">
        <f>T("B12")</f>
        <v>B12</v>
      </c>
      <c r="BE2406" t="str">
        <f>T("BL 웹소설 &gt; 현대물")</f>
        <v>BL 웹소설 &gt; 현대물</v>
      </c>
    </row>
    <row r="2407" spans="1:57" x14ac:dyDescent="0.3">
      <c r="A2407">
        <v>1525002864</v>
      </c>
      <c r="B2407">
        <v>1525003490</v>
      </c>
      <c r="C2407" t="str">
        <f>T("소드마스터의 환생 202화 (외전 8)")</f>
        <v>소드마스터의 환생 202화 (외전 8)</v>
      </c>
      <c r="D2407" t="str">
        <f>T("202")</f>
        <v>202</v>
      </c>
      <c r="E2407" t="str">
        <f>T("파란영")</f>
        <v>파란영</v>
      </c>
      <c r="H2407" t="str">
        <f>T("스토리위즈")</f>
        <v>스토리위즈</v>
      </c>
      <c r="I2407" t="str">
        <f>T("소드마스터의 환생")</f>
        <v>소드마스터의 환생</v>
      </c>
      <c r="J2407">
        <v>100</v>
      </c>
      <c r="K2407">
        <v>100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100</v>
      </c>
      <c r="AH2407">
        <v>1</v>
      </c>
      <c r="AI2407">
        <v>0</v>
      </c>
      <c r="AJ2407">
        <v>0</v>
      </c>
      <c r="AK2407">
        <v>100</v>
      </c>
      <c r="AL2407">
        <v>0</v>
      </c>
      <c r="AM2407">
        <v>0</v>
      </c>
      <c r="AN2407">
        <v>0</v>
      </c>
      <c r="AO2407">
        <v>0</v>
      </c>
      <c r="AQ2407">
        <v>0</v>
      </c>
      <c r="AR2407">
        <v>0</v>
      </c>
      <c r="AT2407">
        <v>0</v>
      </c>
      <c r="AU2407">
        <v>0</v>
      </c>
      <c r="AW2407">
        <v>0</v>
      </c>
      <c r="AX2407">
        <v>0</v>
      </c>
      <c r="AY2407">
        <v>70</v>
      </c>
      <c r="BC2407" t="str">
        <f>T("9791159287527")</f>
        <v>9791159287527</v>
      </c>
      <c r="BE2407" t="str">
        <f>T("판타지 웹소설 &gt; 정통 판타지")</f>
        <v>판타지 웹소설 &gt; 정통 판타지</v>
      </c>
    </row>
    <row r="2408" spans="1:57" x14ac:dyDescent="0.3">
      <c r="A2408">
        <v>1525008428</v>
      </c>
      <c r="B2408">
        <v>1525008485</v>
      </c>
      <c r="C2408" t="str">
        <f>T("무히비(Muhibbi) 71화")</f>
        <v>무히비(Muhibbi) 71화</v>
      </c>
      <c r="D2408" t="str">
        <f>T("71")</f>
        <v>71</v>
      </c>
      <c r="E2408" t="str">
        <f>T("jooki")</f>
        <v>jooki</v>
      </c>
      <c r="H2408" t="str">
        <f>T("블러쉬")</f>
        <v>블러쉬</v>
      </c>
      <c r="I2408" t="str">
        <f>T("무히비(Muhibbi)")</f>
        <v>무히비(Muhibbi)</v>
      </c>
      <c r="J2408">
        <v>100</v>
      </c>
      <c r="K2408">
        <v>100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100</v>
      </c>
      <c r="AH2408">
        <v>1</v>
      </c>
      <c r="AI2408">
        <v>0</v>
      </c>
      <c r="AJ2408">
        <v>0</v>
      </c>
      <c r="AK2408">
        <v>100</v>
      </c>
      <c r="AL2408">
        <v>0</v>
      </c>
      <c r="AM2408">
        <v>0</v>
      </c>
      <c r="AN2408">
        <v>0</v>
      </c>
      <c r="AO2408">
        <v>0</v>
      </c>
      <c r="AQ2408">
        <v>0</v>
      </c>
      <c r="AR2408">
        <v>0</v>
      </c>
      <c r="AT2408">
        <v>0</v>
      </c>
      <c r="AU2408">
        <v>0</v>
      </c>
      <c r="AW2408">
        <v>0</v>
      </c>
      <c r="AX2408">
        <v>0</v>
      </c>
      <c r="AY2408">
        <v>70</v>
      </c>
      <c r="BC2408" t="str">
        <f>T("9791164896622")</f>
        <v>9791164896622</v>
      </c>
      <c r="BE2408" t="str">
        <f>T("BL 웹소설 &gt; 역사/시대물")</f>
        <v>BL 웹소설 &gt; 역사/시대물</v>
      </c>
    </row>
    <row r="2409" spans="1:57" x14ac:dyDescent="0.3">
      <c r="A2409">
        <v>1525011523</v>
      </c>
      <c r="B2409">
        <v>1525011316</v>
      </c>
      <c r="C2409" t="str">
        <f>T("남창목가 208화")</f>
        <v>남창목가 208화</v>
      </c>
      <c r="D2409" t="str">
        <f>T("208")</f>
        <v>208</v>
      </c>
      <c r="E2409" t="str">
        <f>T("최재봉")</f>
        <v>최재봉</v>
      </c>
      <c r="H2409" t="str">
        <f>T("에필로그")</f>
        <v>에필로그</v>
      </c>
      <c r="I2409" t="str">
        <f>T("남창목가")</f>
        <v>남창목가</v>
      </c>
      <c r="J2409">
        <v>100</v>
      </c>
      <c r="K2409">
        <v>100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100</v>
      </c>
      <c r="AH2409">
        <v>1</v>
      </c>
      <c r="AI2409">
        <v>0</v>
      </c>
      <c r="AJ2409">
        <v>0</v>
      </c>
      <c r="AK2409">
        <v>0</v>
      </c>
      <c r="AL2409">
        <v>0</v>
      </c>
      <c r="AM2409">
        <v>120</v>
      </c>
      <c r="AN2409">
        <v>-12</v>
      </c>
      <c r="AO2409">
        <v>0</v>
      </c>
      <c r="AQ2409">
        <v>0</v>
      </c>
      <c r="AR2409">
        <v>0</v>
      </c>
      <c r="AS2409">
        <v>120</v>
      </c>
      <c r="AT2409">
        <v>-12</v>
      </c>
      <c r="AU2409">
        <v>0</v>
      </c>
      <c r="AW2409">
        <v>0</v>
      </c>
      <c r="AX2409">
        <v>0</v>
      </c>
      <c r="AY2409">
        <v>75.599999999999994</v>
      </c>
      <c r="BC2409" t="str">
        <f>T("9791164482849")</f>
        <v>9791164482849</v>
      </c>
      <c r="BE2409" t="str">
        <f>T("판타지 웹소설 &gt; 무협 소설")</f>
        <v>판타지 웹소설 &gt; 무협 소설</v>
      </c>
    </row>
    <row r="2410" spans="1:57" x14ac:dyDescent="0.3">
      <c r="A2410">
        <v>1525011523</v>
      </c>
      <c r="B2410">
        <v>1525011501</v>
      </c>
      <c r="C2410" t="str">
        <f>T("남창목가 23화")</f>
        <v>남창목가 23화</v>
      </c>
      <c r="D2410" t="str">
        <f>T("23")</f>
        <v>23</v>
      </c>
      <c r="E2410" t="str">
        <f>T("최재봉")</f>
        <v>최재봉</v>
      </c>
      <c r="H2410" t="str">
        <f>T("에필로그")</f>
        <v>에필로그</v>
      </c>
      <c r="I2410" t="str">
        <f>T("남창목가")</f>
        <v>남창목가</v>
      </c>
      <c r="J2410">
        <v>100</v>
      </c>
      <c r="K2410">
        <v>100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100</v>
      </c>
      <c r="AH2410">
        <v>1</v>
      </c>
      <c r="AI2410">
        <v>0</v>
      </c>
      <c r="AJ2410">
        <v>0</v>
      </c>
      <c r="AK2410">
        <v>100</v>
      </c>
      <c r="AL2410">
        <v>0</v>
      </c>
      <c r="AM2410">
        <v>0</v>
      </c>
      <c r="AN2410">
        <v>0</v>
      </c>
      <c r="AO2410">
        <v>0</v>
      </c>
      <c r="AQ2410">
        <v>0</v>
      </c>
      <c r="AR2410">
        <v>0</v>
      </c>
      <c r="AT2410">
        <v>0</v>
      </c>
      <c r="AU2410">
        <v>0</v>
      </c>
      <c r="AW2410">
        <v>0</v>
      </c>
      <c r="AX2410">
        <v>0</v>
      </c>
      <c r="AY2410">
        <v>70</v>
      </c>
      <c r="BC2410" t="str">
        <f>T("9791164482849")</f>
        <v>9791164482849</v>
      </c>
      <c r="BE2410" t="str">
        <f>T("판타지 웹소설 &gt; 무협 소설")</f>
        <v>판타지 웹소설 &gt; 무협 소설</v>
      </c>
    </row>
    <row r="2411" spans="1:57" x14ac:dyDescent="0.3">
      <c r="A2411">
        <v>1525012551</v>
      </c>
      <c r="B2411">
        <v>1525012600</v>
      </c>
      <c r="C2411" t="str">
        <f>T("개정판 | 바보가 만드는 멋진 세상 50화")</f>
        <v>개정판 | 바보가 만드는 멋진 세상 50화</v>
      </c>
      <c r="D2411" t="str">
        <f>T("50")</f>
        <v>50</v>
      </c>
      <c r="E2411" t="str">
        <f>T("백범(白帆)")</f>
        <v>백범(白帆)</v>
      </c>
      <c r="H2411" t="str">
        <f>T("에필로그")</f>
        <v>에필로그</v>
      </c>
      <c r="I2411" t="str">
        <f>T("개정판 | 바보가 만드는 멋진 세상")</f>
        <v>개정판 | 바보가 만드는 멋진 세상</v>
      </c>
      <c r="J2411">
        <v>100</v>
      </c>
      <c r="K2411">
        <v>100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100</v>
      </c>
      <c r="AH2411">
        <v>1</v>
      </c>
      <c r="AI2411">
        <v>0</v>
      </c>
      <c r="AJ2411">
        <v>0</v>
      </c>
      <c r="AK2411">
        <v>100</v>
      </c>
      <c r="AL2411">
        <v>0</v>
      </c>
      <c r="AM2411">
        <v>0</v>
      </c>
      <c r="AN2411">
        <v>0</v>
      </c>
      <c r="AO2411">
        <v>0</v>
      </c>
      <c r="AQ2411">
        <v>0</v>
      </c>
      <c r="AR2411">
        <v>0</v>
      </c>
      <c r="AT2411">
        <v>0</v>
      </c>
      <c r="AU2411">
        <v>0</v>
      </c>
      <c r="AW2411">
        <v>0</v>
      </c>
      <c r="AX2411">
        <v>0</v>
      </c>
      <c r="AY2411">
        <v>70</v>
      </c>
      <c r="BC2411" t="str">
        <f>T("9791166003493")</f>
        <v>9791166003493</v>
      </c>
      <c r="BE2411" t="str">
        <f>T("판타지 웹소설 &gt; 현대 판타지")</f>
        <v>판타지 웹소설 &gt; 현대 판타지</v>
      </c>
    </row>
    <row r="2412" spans="1:57" x14ac:dyDescent="0.3">
      <c r="A2412">
        <v>1525004799</v>
      </c>
      <c r="B2412">
        <v>1525004950</v>
      </c>
      <c r="C2412" t="str">
        <f>T("검산도해 152화")</f>
        <v>검산도해 152화</v>
      </c>
      <c r="D2412" t="str">
        <f>T("152")</f>
        <v>152</v>
      </c>
      <c r="E2412" t="str">
        <f>T("권용찬")</f>
        <v>권용찬</v>
      </c>
      <c r="H2412" t="str">
        <f>T("스토리위즈")</f>
        <v>스토리위즈</v>
      </c>
      <c r="I2412" t="str">
        <f>T("검산도해")</f>
        <v>검산도해</v>
      </c>
      <c r="J2412">
        <v>100</v>
      </c>
      <c r="K2412">
        <v>100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100</v>
      </c>
      <c r="AH2412">
        <v>1</v>
      </c>
      <c r="AI2412">
        <v>0</v>
      </c>
      <c r="AJ2412">
        <v>0</v>
      </c>
      <c r="AK2412">
        <v>0</v>
      </c>
      <c r="AL2412">
        <v>0</v>
      </c>
      <c r="AM2412">
        <v>120</v>
      </c>
      <c r="AN2412">
        <v>-12</v>
      </c>
      <c r="AO2412">
        <v>0</v>
      </c>
      <c r="AQ2412">
        <v>0</v>
      </c>
      <c r="AR2412">
        <v>0</v>
      </c>
      <c r="AS2412">
        <v>120</v>
      </c>
      <c r="AT2412">
        <v>-12</v>
      </c>
      <c r="AU2412">
        <v>0</v>
      </c>
      <c r="AW2412">
        <v>0</v>
      </c>
      <c r="AX2412">
        <v>0</v>
      </c>
      <c r="AY2412">
        <v>75.599999999999994</v>
      </c>
      <c r="BC2412" t="str">
        <f>T("9791159285936")</f>
        <v>9791159285936</v>
      </c>
      <c r="BE2412" t="str">
        <f>T("판타지 웹소설 &gt; 무협 소설")</f>
        <v>판타지 웹소설 &gt; 무협 소설</v>
      </c>
    </row>
    <row r="2413" spans="1:57" x14ac:dyDescent="0.3">
      <c r="A2413">
        <v>1525004030</v>
      </c>
      <c r="B2413">
        <v>1525007039</v>
      </c>
      <c r="C2413" t="str">
        <f>T("회귀의 전설 2부 923화")</f>
        <v>회귀의 전설 2부 923화</v>
      </c>
      <c r="D2413" t="str">
        <f>T("923")</f>
        <v>923</v>
      </c>
      <c r="E2413" t="str">
        <f>T("김광수")</f>
        <v>김광수</v>
      </c>
      <c r="H2413" t="str">
        <f>T("스토리위즈")</f>
        <v>스토리위즈</v>
      </c>
      <c r="I2413" t="str">
        <f>T("회귀의 전설")</f>
        <v>회귀의 전설</v>
      </c>
      <c r="J2413">
        <v>100</v>
      </c>
      <c r="K2413">
        <v>100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100</v>
      </c>
      <c r="AH2413">
        <v>1</v>
      </c>
      <c r="AI2413">
        <v>0</v>
      </c>
      <c r="AJ2413">
        <v>0</v>
      </c>
      <c r="AK2413">
        <v>100</v>
      </c>
      <c r="AL2413">
        <v>0</v>
      </c>
      <c r="AM2413">
        <v>0</v>
      </c>
      <c r="AN2413">
        <v>0</v>
      </c>
      <c r="AO2413">
        <v>0</v>
      </c>
      <c r="AQ2413">
        <v>0</v>
      </c>
      <c r="AR2413">
        <v>0</v>
      </c>
      <c r="AT2413">
        <v>0</v>
      </c>
      <c r="AU2413">
        <v>0</v>
      </c>
      <c r="AW2413">
        <v>0</v>
      </c>
      <c r="AX2413">
        <v>0</v>
      </c>
      <c r="AY2413">
        <v>70</v>
      </c>
      <c r="BC2413" t="str">
        <f>T("9791191102086")</f>
        <v>9791191102086</v>
      </c>
      <c r="BE2413" t="str">
        <f>T("판타지 웹소설 &gt; 현대 판타지")</f>
        <v>판타지 웹소설 &gt; 현대 판타지</v>
      </c>
    </row>
    <row r="2414" spans="1:57" x14ac:dyDescent="0.3">
      <c r="A2414">
        <v>1525008428</v>
      </c>
      <c r="B2414">
        <v>1525008442</v>
      </c>
      <c r="C2414" t="str">
        <f>T("무히비(Muhibbi) 32화")</f>
        <v>무히비(Muhibbi) 32화</v>
      </c>
      <c r="D2414" t="str">
        <f>T("32")</f>
        <v>32</v>
      </c>
      <c r="E2414" t="str">
        <f>T("jooki")</f>
        <v>jooki</v>
      </c>
      <c r="H2414" t="str">
        <f>T("블러쉬")</f>
        <v>블러쉬</v>
      </c>
      <c r="I2414" t="str">
        <f>T("무히비(Muhibbi)")</f>
        <v>무히비(Muhibbi)</v>
      </c>
      <c r="J2414">
        <v>100</v>
      </c>
      <c r="K2414">
        <v>100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100</v>
      </c>
      <c r="AH2414">
        <v>1</v>
      </c>
      <c r="AI2414">
        <v>0</v>
      </c>
      <c r="AJ2414">
        <v>0</v>
      </c>
      <c r="AK2414">
        <v>100</v>
      </c>
      <c r="AL2414">
        <v>0</v>
      </c>
      <c r="AM2414">
        <v>0</v>
      </c>
      <c r="AN2414">
        <v>0</v>
      </c>
      <c r="AO2414">
        <v>0</v>
      </c>
      <c r="AQ2414">
        <v>0</v>
      </c>
      <c r="AR2414">
        <v>0</v>
      </c>
      <c r="AT2414">
        <v>0</v>
      </c>
      <c r="AU2414">
        <v>0</v>
      </c>
      <c r="AW2414">
        <v>0</v>
      </c>
      <c r="AX2414">
        <v>0</v>
      </c>
      <c r="AY2414">
        <v>70</v>
      </c>
      <c r="BC2414" t="str">
        <f>T("9791164896622")</f>
        <v>9791164896622</v>
      </c>
      <c r="BE2414" t="str">
        <f>T("BL 웹소설 &gt; 역사/시대물")</f>
        <v>BL 웹소설 &gt; 역사/시대물</v>
      </c>
    </row>
    <row r="2415" spans="1:57" x14ac:dyDescent="0.3">
      <c r="A2415">
        <v>1525004030</v>
      </c>
      <c r="B2415">
        <v>1525006998</v>
      </c>
      <c r="C2415" t="str">
        <f>T("회귀의 전설 2부 882화")</f>
        <v>회귀의 전설 2부 882화</v>
      </c>
      <c r="D2415" t="str">
        <f>T("882")</f>
        <v>882</v>
      </c>
      <c r="E2415" t="str">
        <f>T("김광수")</f>
        <v>김광수</v>
      </c>
      <c r="H2415" t="str">
        <f>T("스토리위즈")</f>
        <v>스토리위즈</v>
      </c>
      <c r="I2415" t="str">
        <f>T("회귀의 전설")</f>
        <v>회귀의 전설</v>
      </c>
      <c r="J2415">
        <v>100</v>
      </c>
      <c r="K2415">
        <v>100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100</v>
      </c>
      <c r="AH2415">
        <v>1</v>
      </c>
      <c r="AI2415">
        <v>0</v>
      </c>
      <c r="AJ2415">
        <v>0</v>
      </c>
      <c r="AK2415">
        <v>100</v>
      </c>
      <c r="AL2415">
        <v>0</v>
      </c>
      <c r="AM2415">
        <v>0</v>
      </c>
      <c r="AN2415">
        <v>0</v>
      </c>
      <c r="AO2415">
        <v>0</v>
      </c>
      <c r="AQ2415">
        <v>0</v>
      </c>
      <c r="AR2415">
        <v>0</v>
      </c>
      <c r="AT2415">
        <v>0</v>
      </c>
      <c r="AU2415">
        <v>0</v>
      </c>
      <c r="AW2415">
        <v>0</v>
      </c>
      <c r="AX2415">
        <v>0</v>
      </c>
      <c r="AY2415">
        <v>70</v>
      </c>
      <c r="BC2415" t="str">
        <f>T("9791191102086")</f>
        <v>9791191102086</v>
      </c>
      <c r="BE2415" t="str">
        <f>T("판타지 웹소설 &gt; 현대 판타지")</f>
        <v>판타지 웹소설 &gt; 현대 판타지</v>
      </c>
    </row>
    <row r="2416" spans="1:57" x14ac:dyDescent="0.3">
      <c r="A2416">
        <v>1525011523</v>
      </c>
      <c r="B2416">
        <v>1525011397</v>
      </c>
      <c r="C2416" t="str">
        <f>T("남창목가 127화")</f>
        <v>남창목가 127화</v>
      </c>
      <c r="D2416" t="str">
        <f>T("127")</f>
        <v>127</v>
      </c>
      <c r="E2416" t="str">
        <f>T("최재봉")</f>
        <v>최재봉</v>
      </c>
      <c r="H2416" t="str">
        <f>T("에필로그")</f>
        <v>에필로그</v>
      </c>
      <c r="I2416" t="str">
        <f>T("남창목가")</f>
        <v>남창목가</v>
      </c>
      <c r="J2416">
        <v>100</v>
      </c>
      <c r="K2416">
        <v>100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100</v>
      </c>
      <c r="AH2416">
        <v>1</v>
      </c>
      <c r="AI2416">
        <v>0</v>
      </c>
      <c r="AJ2416">
        <v>0</v>
      </c>
      <c r="AK2416">
        <v>100</v>
      </c>
      <c r="AL2416">
        <v>0</v>
      </c>
      <c r="AM2416">
        <v>0</v>
      </c>
      <c r="AN2416">
        <v>0</v>
      </c>
      <c r="AO2416">
        <v>0</v>
      </c>
      <c r="AQ2416">
        <v>0</v>
      </c>
      <c r="AR2416">
        <v>0</v>
      </c>
      <c r="AT2416">
        <v>0</v>
      </c>
      <c r="AU2416">
        <v>0</v>
      </c>
      <c r="AW2416">
        <v>0</v>
      </c>
      <c r="AX2416">
        <v>0</v>
      </c>
      <c r="AY2416">
        <v>70</v>
      </c>
      <c r="BC2416" t="str">
        <f>T("9791164482849")</f>
        <v>9791164482849</v>
      </c>
      <c r="BE2416" t="str">
        <f>T("판타지 웹소설 &gt; 무협 소설")</f>
        <v>판타지 웹소설 &gt; 무협 소설</v>
      </c>
    </row>
    <row r="2417" spans="1:57" x14ac:dyDescent="0.3">
      <c r="A2417">
        <v>1525013020</v>
      </c>
      <c r="B2417">
        <v>1525013080</v>
      </c>
      <c r="C2417" t="str">
        <f>T("악당의 리턴 61화")</f>
        <v>악당의 리턴 61화</v>
      </c>
      <c r="D2417" t="str">
        <f>T("61")</f>
        <v>61</v>
      </c>
      <c r="E2417" t="str">
        <f>T("백범(白帆)")</f>
        <v>백범(白帆)</v>
      </c>
      <c r="H2417" t="str">
        <f>T("에필로그")</f>
        <v>에필로그</v>
      </c>
      <c r="I2417" t="str">
        <f>T("악당의 리턴")</f>
        <v>악당의 리턴</v>
      </c>
      <c r="J2417">
        <v>100</v>
      </c>
      <c r="K2417">
        <v>100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100</v>
      </c>
      <c r="AH2417">
        <v>1</v>
      </c>
      <c r="AI2417">
        <v>0</v>
      </c>
      <c r="AJ2417">
        <v>0</v>
      </c>
      <c r="AK2417">
        <v>100</v>
      </c>
      <c r="AL2417">
        <v>0</v>
      </c>
      <c r="AM2417">
        <v>0</v>
      </c>
      <c r="AN2417">
        <v>0</v>
      </c>
      <c r="AO2417">
        <v>0</v>
      </c>
      <c r="AQ2417">
        <v>0</v>
      </c>
      <c r="AR2417">
        <v>0</v>
      </c>
      <c r="AT2417">
        <v>0</v>
      </c>
      <c r="AU2417">
        <v>0</v>
      </c>
      <c r="AW2417">
        <v>0</v>
      </c>
      <c r="AX2417">
        <v>0</v>
      </c>
      <c r="AY2417">
        <v>70</v>
      </c>
      <c r="BC2417" t="str">
        <f>T("9791196538927")</f>
        <v>9791196538927</v>
      </c>
      <c r="BE2417" t="str">
        <f>T("판타지 웹소설 &gt; 현대 판타지")</f>
        <v>판타지 웹소설 &gt; 현대 판타지</v>
      </c>
    </row>
    <row r="2418" spans="1:57" x14ac:dyDescent="0.3">
      <c r="A2418">
        <v>1525004030</v>
      </c>
      <c r="B2418">
        <v>1525007154</v>
      </c>
      <c r="C2418" t="str">
        <f>T("회귀의 전설 2부 1037화")</f>
        <v>회귀의 전설 2부 1037화</v>
      </c>
      <c r="D2418" t="str">
        <f>T("1037")</f>
        <v>1037</v>
      </c>
      <c r="E2418" t="str">
        <f>T("김광수")</f>
        <v>김광수</v>
      </c>
      <c r="H2418" t="str">
        <f>T("스토리위즈")</f>
        <v>스토리위즈</v>
      </c>
      <c r="I2418" t="str">
        <f>T("회귀의 전설")</f>
        <v>회귀의 전설</v>
      </c>
      <c r="J2418">
        <v>100</v>
      </c>
      <c r="K2418">
        <v>100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100</v>
      </c>
      <c r="AH2418">
        <v>1</v>
      </c>
      <c r="AI2418">
        <v>0</v>
      </c>
      <c r="AJ2418">
        <v>0</v>
      </c>
      <c r="AK2418">
        <v>100</v>
      </c>
      <c r="AL2418">
        <v>0</v>
      </c>
      <c r="AM2418">
        <v>0</v>
      </c>
      <c r="AN2418">
        <v>0</v>
      </c>
      <c r="AO2418">
        <v>0</v>
      </c>
      <c r="AQ2418">
        <v>0</v>
      </c>
      <c r="AR2418">
        <v>0</v>
      </c>
      <c r="AT2418">
        <v>0</v>
      </c>
      <c r="AU2418">
        <v>0</v>
      </c>
      <c r="AW2418">
        <v>0</v>
      </c>
      <c r="AX2418">
        <v>0</v>
      </c>
      <c r="AY2418">
        <v>70</v>
      </c>
      <c r="BC2418" t="str">
        <f>T("9791191102086")</f>
        <v>9791191102086</v>
      </c>
      <c r="BE2418" t="str">
        <f>T("판타지 웹소설 &gt; 현대 판타지")</f>
        <v>판타지 웹소설 &gt; 현대 판타지</v>
      </c>
    </row>
    <row r="2419" spans="1:57" x14ac:dyDescent="0.3">
      <c r="A2419">
        <v>1525012551</v>
      </c>
      <c r="B2419">
        <v>1525012641</v>
      </c>
      <c r="C2419" t="str">
        <f>T("개정판 | 바보가 만드는 멋진 세상 91화")</f>
        <v>개정판 | 바보가 만드는 멋진 세상 91화</v>
      </c>
      <c r="D2419" t="str">
        <f>T("91")</f>
        <v>91</v>
      </c>
      <c r="E2419" t="str">
        <f>T("백범(白帆)")</f>
        <v>백범(白帆)</v>
      </c>
      <c r="H2419" t="str">
        <f>T("에필로그")</f>
        <v>에필로그</v>
      </c>
      <c r="I2419" t="str">
        <f>T("개정판 | 바보가 만드는 멋진 세상")</f>
        <v>개정판 | 바보가 만드는 멋진 세상</v>
      </c>
      <c r="J2419">
        <v>100</v>
      </c>
      <c r="K2419">
        <v>100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100</v>
      </c>
      <c r="AH2419">
        <v>1</v>
      </c>
      <c r="AI2419">
        <v>0</v>
      </c>
      <c r="AJ2419">
        <v>0</v>
      </c>
      <c r="AK2419">
        <v>100</v>
      </c>
      <c r="AL2419">
        <v>0</v>
      </c>
      <c r="AM2419">
        <v>0</v>
      </c>
      <c r="AN2419">
        <v>0</v>
      </c>
      <c r="AO2419">
        <v>0</v>
      </c>
      <c r="AQ2419">
        <v>0</v>
      </c>
      <c r="AR2419">
        <v>0</v>
      </c>
      <c r="AT2419">
        <v>0</v>
      </c>
      <c r="AU2419">
        <v>0</v>
      </c>
      <c r="AW2419">
        <v>0</v>
      </c>
      <c r="AX2419">
        <v>0</v>
      </c>
      <c r="AY2419">
        <v>70</v>
      </c>
      <c r="BC2419" t="str">
        <f>T("9791166003493")</f>
        <v>9791166003493</v>
      </c>
      <c r="BE2419" t="str">
        <f>T("판타지 웹소설 &gt; 현대 판타지")</f>
        <v>판타지 웹소설 &gt; 현대 판타지</v>
      </c>
    </row>
    <row r="2420" spans="1:57" x14ac:dyDescent="0.3">
      <c r="A2420">
        <v>1525012551</v>
      </c>
      <c r="B2420">
        <v>1525012632</v>
      </c>
      <c r="C2420" t="str">
        <f>T("개정판 | 바보가 만드는 멋진 세상 82화")</f>
        <v>개정판 | 바보가 만드는 멋진 세상 82화</v>
      </c>
      <c r="D2420" t="str">
        <f>T("82")</f>
        <v>82</v>
      </c>
      <c r="E2420" t="str">
        <f>T("백범(白帆)")</f>
        <v>백범(白帆)</v>
      </c>
      <c r="H2420" t="str">
        <f>T("에필로그")</f>
        <v>에필로그</v>
      </c>
      <c r="I2420" t="str">
        <f>T("개정판 | 바보가 만드는 멋진 세상")</f>
        <v>개정판 | 바보가 만드는 멋진 세상</v>
      </c>
      <c r="J2420">
        <v>100</v>
      </c>
      <c r="K2420">
        <v>100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100</v>
      </c>
      <c r="AH2420">
        <v>1</v>
      </c>
      <c r="AI2420">
        <v>0</v>
      </c>
      <c r="AJ2420">
        <v>0</v>
      </c>
      <c r="AK2420">
        <v>100</v>
      </c>
      <c r="AL2420">
        <v>0</v>
      </c>
      <c r="AM2420">
        <v>0</v>
      </c>
      <c r="AN2420">
        <v>0</v>
      </c>
      <c r="AO2420">
        <v>0</v>
      </c>
      <c r="AQ2420">
        <v>0</v>
      </c>
      <c r="AR2420">
        <v>0</v>
      </c>
      <c r="AT2420">
        <v>0</v>
      </c>
      <c r="AU2420">
        <v>0</v>
      </c>
      <c r="AW2420">
        <v>0</v>
      </c>
      <c r="AX2420">
        <v>0</v>
      </c>
      <c r="AY2420">
        <v>70</v>
      </c>
      <c r="BC2420" t="str">
        <f>T("9791166003493")</f>
        <v>9791166003493</v>
      </c>
      <c r="BE2420" t="str">
        <f>T("판타지 웹소설 &gt; 현대 판타지")</f>
        <v>판타지 웹소설 &gt; 현대 판타지</v>
      </c>
    </row>
    <row r="2421" spans="1:57" x14ac:dyDescent="0.3">
      <c r="A2421">
        <v>1525004799</v>
      </c>
      <c r="B2421">
        <v>1525004869</v>
      </c>
      <c r="C2421" t="str">
        <f>T("검산도해 71화")</f>
        <v>검산도해 71화</v>
      </c>
      <c r="D2421" t="str">
        <f>T("71")</f>
        <v>71</v>
      </c>
      <c r="E2421" t="str">
        <f>T("권용찬")</f>
        <v>권용찬</v>
      </c>
      <c r="H2421" t="str">
        <f>T("스토리위즈")</f>
        <v>스토리위즈</v>
      </c>
      <c r="I2421" t="str">
        <f>T("검산도해")</f>
        <v>검산도해</v>
      </c>
      <c r="J2421">
        <v>100</v>
      </c>
      <c r="K2421">
        <v>100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100</v>
      </c>
      <c r="AH2421">
        <v>1</v>
      </c>
      <c r="AI2421">
        <v>0</v>
      </c>
      <c r="AJ2421">
        <v>0</v>
      </c>
      <c r="AK2421">
        <v>0</v>
      </c>
      <c r="AL2421">
        <v>0</v>
      </c>
      <c r="AM2421">
        <v>120</v>
      </c>
      <c r="AN2421">
        <v>-12</v>
      </c>
      <c r="AO2421">
        <v>0</v>
      </c>
      <c r="AQ2421">
        <v>0</v>
      </c>
      <c r="AR2421">
        <v>0</v>
      </c>
      <c r="AS2421">
        <v>120</v>
      </c>
      <c r="AT2421">
        <v>-12</v>
      </c>
      <c r="AU2421">
        <v>0</v>
      </c>
      <c r="AW2421">
        <v>0</v>
      </c>
      <c r="AX2421">
        <v>0</v>
      </c>
      <c r="AY2421">
        <v>75.599999999999994</v>
      </c>
      <c r="BC2421" t="str">
        <f>T("9791159285936")</f>
        <v>9791159285936</v>
      </c>
      <c r="BE2421" t="str">
        <f>T("판타지 웹소설 &gt; 무협 소설")</f>
        <v>판타지 웹소설 &gt; 무협 소설</v>
      </c>
    </row>
    <row r="2422" spans="1:57" x14ac:dyDescent="0.3">
      <c r="A2422">
        <v>1525000924</v>
      </c>
      <c r="B2422">
        <v>1525000965</v>
      </c>
      <c r="C2422" t="str">
        <f>T("스피릿 소드 42화")</f>
        <v>스피릿 소드 42화</v>
      </c>
      <c r="D2422" t="str">
        <f>T("42")</f>
        <v>42</v>
      </c>
      <c r="E2422" t="str">
        <f>T("김정률")</f>
        <v>김정률</v>
      </c>
      <c r="H2422" t="str">
        <f>T("스토리위즈")</f>
        <v>스토리위즈</v>
      </c>
      <c r="I2422" t="str">
        <f>T("스피릿 소드")</f>
        <v>스피릿 소드</v>
      </c>
      <c r="J2422">
        <v>100</v>
      </c>
      <c r="K2422">
        <v>100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100</v>
      </c>
      <c r="AH2422">
        <v>1</v>
      </c>
      <c r="AI2422">
        <v>0</v>
      </c>
      <c r="AJ2422">
        <v>0</v>
      </c>
      <c r="AK2422">
        <v>100</v>
      </c>
      <c r="AL2422">
        <v>0</v>
      </c>
      <c r="AM2422">
        <v>0</v>
      </c>
      <c r="AN2422">
        <v>0</v>
      </c>
      <c r="AO2422">
        <v>0</v>
      </c>
      <c r="AQ2422">
        <v>0</v>
      </c>
      <c r="AR2422">
        <v>0</v>
      </c>
      <c r="AT2422">
        <v>0</v>
      </c>
      <c r="AU2422">
        <v>0</v>
      </c>
      <c r="AW2422">
        <v>0</v>
      </c>
      <c r="AX2422">
        <v>0</v>
      </c>
      <c r="AY2422">
        <v>70</v>
      </c>
      <c r="BA2422" t="str">
        <f>T("9791159282713")</f>
        <v>9791159282713</v>
      </c>
      <c r="BC2422" t="str">
        <f>T("9791159282713")</f>
        <v>9791159282713</v>
      </c>
      <c r="BE2422" t="str">
        <f>T("판타지 웹소설 &gt; 정통 판타지")</f>
        <v>판타지 웹소설 &gt; 정통 판타지</v>
      </c>
    </row>
    <row r="2423" spans="1:57" x14ac:dyDescent="0.3">
      <c r="A2423">
        <v>1525004030</v>
      </c>
      <c r="B2423">
        <v>1525004527</v>
      </c>
      <c r="C2423" t="str">
        <f>T("회귀의 전설 504화")</f>
        <v>회귀의 전설 504화</v>
      </c>
      <c r="D2423" t="str">
        <f>T("504")</f>
        <v>504</v>
      </c>
      <c r="E2423" t="str">
        <f>T("김광수")</f>
        <v>김광수</v>
      </c>
      <c r="H2423" t="str">
        <f>T("스토리위즈")</f>
        <v>스토리위즈</v>
      </c>
      <c r="I2423" t="str">
        <f>T("회귀의 전설")</f>
        <v>회귀의 전설</v>
      </c>
      <c r="J2423">
        <v>100</v>
      </c>
      <c r="K2423">
        <v>100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100</v>
      </c>
      <c r="AH2423">
        <v>1</v>
      </c>
      <c r="AI2423">
        <v>0</v>
      </c>
      <c r="AJ2423">
        <v>0</v>
      </c>
      <c r="AK2423">
        <v>100</v>
      </c>
      <c r="AL2423">
        <v>0</v>
      </c>
      <c r="AM2423">
        <v>0</v>
      </c>
      <c r="AN2423">
        <v>0</v>
      </c>
      <c r="AO2423">
        <v>0</v>
      </c>
      <c r="AQ2423">
        <v>0</v>
      </c>
      <c r="AR2423">
        <v>0</v>
      </c>
      <c r="AT2423">
        <v>0</v>
      </c>
      <c r="AU2423">
        <v>0</v>
      </c>
      <c r="AW2423">
        <v>0</v>
      </c>
      <c r="AX2423">
        <v>0</v>
      </c>
      <c r="AY2423">
        <v>70</v>
      </c>
      <c r="BC2423" t="str">
        <f>T("9788997946006")</f>
        <v>9788997946006</v>
      </c>
      <c r="BE2423" t="str">
        <f>T("판타지 웹소설 &gt; 현대 판타지")</f>
        <v>판타지 웹소설 &gt; 현대 판타지</v>
      </c>
    </row>
    <row r="2424" spans="1:57" x14ac:dyDescent="0.3">
      <c r="A2424">
        <v>1525008545</v>
      </c>
      <c r="B2424">
        <v>1525008584</v>
      </c>
      <c r="C2424" t="str">
        <f>T("소년연애담 55화")</f>
        <v>소년연애담 55화</v>
      </c>
      <c r="D2424" t="str">
        <f>T("55")</f>
        <v>55</v>
      </c>
      <c r="E2424" t="str">
        <f>T("나나코")</f>
        <v>나나코</v>
      </c>
      <c r="H2424" t="str">
        <f>T("블러쉬")</f>
        <v>블러쉬</v>
      </c>
      <c r="I2424" t="str">
        <f>T("소년연애담")</f>
        <v>소년연애담</v>
      </c>
      <c r="J2424">
        <v>100</v>
      </c>
      <c r="K2424">
        <v>100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100</v>
      </c>
      <c r="AH2424">
        <v>1</v>
      </c>
      <c r="AI2424">
        <v>0</v>
      </c>
      <c r="AJ2424">
        <v>0</v>
      </c>
      <c r="AK2424">
        <v>100</v>
      </c>
      <c r="AL2424">
        <v>0</v>
      </c>
      <c r="AM2424">
        <v>0</v>
      </c>
      <c r="AN2424">
        <v>0</v>
      </c>
      <c r="AO2424">
        <v>0</v>
      </c>
      <c r="AQ2424">
        <v>0</v>
      </c>
      <c r="AR2424">
        <v>0</v>
      </c>
      <c r="AT2424">
        <v>0</v>
      </c>
      <c r="AU2424">
        <v>0</v>
      </c>
      <c r="AW2424">
        <v>0</v>
      </c>
      <c r="AX2424">
        <v>0</v>
      </c>
      <c r="AY2424">
        <v>70</v>
      </c>
      <c r="BA2424" t="str">
        <f>T("0000000000000")</f>
        <v>0000000000000</v>
      </c>
      <c r="BC2424" t="str">
        <f>T("9791164890729")</f>
        <v>9791164890729</v>
      </c>
      <c r="BD2424" t="str">
        <f>T("B12")</f>
        <v>B12</v>
      </c>
      <c r="BE2424" t="str">
        <f>T("BL 웹소설 &gt; 현대물")</f>
        <v>BL 웹소설 &gt; 현대물</v>
      </c>
    </row>
    <row r="2425" spans="1:57" x14ac:dyDescent="0.3">
      <c r="A2425">
        <v>1525012551</v>
      </c>
      <c r="B2425">
        <v>1525012673</v>
      </c>
      <c r="C2425" t="str">
        <f>T("개정판 | 바보가 만드는 멋진 세상 123화")</f>
        <v>개정판 | 바보가 만드는 멋진 세상 123화</v>
      </c>
      <c r="D2425" t="str">
        <f>T("123")</f>
        <v>123</v>
      </c>
      <c r="E2425" t="str">
        <f>T("백범(白帆)")</f>
        <v>백범(白帆)</v>
      </c>
      <c r="H2425" t="str">
        <f>T("에필로그")</f>
        <v>에필로그</v>
      </c>
      <c r="I2425" t="str">
        <f>T("개정판 | 바보가 만드는 멋진 세상")</f>
        <v>개정판 | 바보가 만드는 멋진 세상</v>
      </c>
      <c r="J2425">
        <v>100</v>
      </c>
      <c r="K2425">
        <v>100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100</v>
      </c>
      <c r="AH2425">
        <v>1</v>
      </c>
      <c r="AI2425">
        <v>0</v>
      </c>
      <c r="AJ2425">
        <v>0</v>
      </c>
      <c r="AK2425">
        <v>100</v>
      </c>
      <c r="AL2425">
        <v>0</v>
      </c>
      <c r="AM2425">
        <v>0</v>
      </c>
      <c r="AN2425">
        <v>0</v>
      </c>
      <c r="AO2425">
        <v>0</v>
      </c>
      <c r="AQ2425">
        <v>0</v>
      </c>
      <c r="AR2425">
        <v>0</v>
      </c>
      <c r="AT2425">
        <v>0</v>
      </c>
      <c r="AU2425">
        <v>0</v>
      </c>
      <c r="AW2425">
        <v>0</v>
      </c>
      <c r="AX2425">
        <v>0</v>
      </c>
      <c r="AY2425">
        <v>70</v>
      </c>
      <c r="BC2425" t="str">
        <f>T("9791166003493")</f>
        <v>9791166003493</v>
      </c>
      <c r="BE2425" t="str">
        <f>T("판타지 웹소설 &gt; 현대 판타지")</f>
        <v>판타지 웹소설 &gt; 현대 판타지</v>
      </c>
    </row>
    <row r="2426" spans="1:57" x14ac:dyDescent="0.3">
      <c r="A2426">
        <v>1525004799</v>
      </c>
      <c r="B2426">
        <v>1525004844</v>
      </c>
      <c r="C2426" t="str">
        <f>T("검산도해 46화")</f>
        <v>검산도해 46화</v>
      </c>
      <c r="D2426" t="str">
        <f>T("46")</f>
        <v>46</v>
      </c>
      <c r="E2426" t="str">
        <f>T("권용찬")</f>
        <v>권용찬</v>
      </c>
      <c r="H2426" t="str">
        <f>T("스토리위즈")</f>
        <v>스토리위즈</v>
      </c>
      <c r="I2426" t="str">
        <f>T("검산도해")</f>
        <v>검산도해</v>
      </c>
      <c r="J2426">
        <v>100</v>
      </c>
      <c r="K2426">
        <v>100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100</v>
      </c>
      <c r="AH2426">
        <v>1</v>
      </c>
      <c r="AI2426">
        <v>0</v>
      </c>
      <c r="AJ2426">
        <v>0</v>
      </c>
      <c r="AK2426">
        <v>0</v>
      </c>
      <c r="AL2426">
        <v>0</v>
      </c>
      <c r="AM2426">
        <v>120</v>
      </c>
      <c r="AN2426">
        <v>-12</v>
      </c>
      <c r="AO2426">
        <v>0</v>
      </c>
      <c r="AQ2426">
        <v>0</v>
      </c>
      <c r="AR2426">
        <v>0</v>
      </c>
      <c r="AS2426">
        <v>120</v>
      </c>
      <c r="AT2426">
        <v>-12</v>
      </c>
      <c r="AU2426">
        <v>0</v>
      </c>
      <c r="AW2426">
        <v>0</v>
      </c>
      <c r="AX2426">
        <v>0</v>
      </c>
      <c r="AY2426">
        <v>75.599999999999994</v>
      </c>
      <c r="BC2426" t="str">
        <f>T("9791159285936")</f>
        <v>9791159285936</v>
      </c>
      <c r="BE2426" t="str">
        <f>T("판타지 웹소설 &gt; 무협 소설")</f>
        <v>판타지 웹소설 &gt; 무협 소설</v>
      </c>
    </row>
    <row r="2427" spans="1:57" x14ac:dyDescent="0.3">
      <c r="A2427">
        <v>1525004799</v>
      </c>
      <c r="B2427">
        <v>1525004901</v>
      </c>
      <c r="C2427" t="str">
        <f>T("검산도해 103화")</f>
        <v>검산도해 103화</v>
      </c>
      <c r="D2427" t="str">
        <f>T("103")</f>
        <v>103</v>
      </c>
      <c r="E2427" t="str">
        <f>T("권용찬")</f>
        <v>권용찬</v>
      </c>
      <c r="H2427" t="str">
        <f>T("스토리위즈")</f>
        <v>스토리위즈</v>
      </c>
      <c r="I2427" t="str">
        <f>T("검산도해")</f>
        <v>검산도해</v>
      </c>
      <c r="J2427">
        <v>100</v>
      </c>
      <c r="K2427">
        <v>100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100</v>
      </c>
      <c r="AH2427">
        <v>1</v>
      </c>
      <c r="AI2427">
        <v>0</v>
      </c>
      <c r="AJ2427">
        <v>0</v>
      </c>
      <c r="AK2427">
        <v>0</v>
      </c>
      <c r="AL2427">
        <v>0</v>
      </c>
      <c r="AM2427">
        <v>120</v>
      </c>
      <c r="AN2427">
        <v>-12</v>
      </c>
      <c r="AO2427">
        <v>0</v>
      </c>
      <c r="AQ2427">
        <v>0</v>
      </c>
      <c r="AR2427">
        <v>0</v>
      </c>
      <c r="AS2427">
        <v>120</v>
      </c>
      <c r="AT2427">
        <v>-12</v>
      </c>
      <c r="AU2427">
        <v>0</v>
      </c>
      <c r="AW2427">
        <v>0</v>
      </c>
      <c r="AX2427">
        <v>0</v>
      </c>
      <c r="AY2427">
        <v>75.599999999999994</v>
      </c>
      <c r="BC2427" t="str">
        <f>T("9791159285936")</f>
        <v>9791159285936</v>
      </c>
      <c r="BE2427" t="str">
        <f>T("판타지 웹소설 &gt; 무협 소설")</f>
        <v>판타지 웹소설 &gt; 무협 소설</v>
      </c>
    </row>
    <row r="2428" spans="1:57" x14ac:dyDescent="0.3">
      <c r="A2428">
        <v>1525004030</v>
      </c>
      <c r="B2428">
        <v>1525007088</v>
      </c>
      <c r="C2428" t="str">
        <f>T("회귀의 전설 2부 972화")</f>
        <v>회귀의 전설 2부 972화</v>
      </c>
      <c r="D2428" t="str">
        <f>T("972")</f>
        <v>972</v>
      </c>
      <c r="E2428" t="str">
        <f>T("김광수")</f>
        <v>김광수</v>
      </c>
      <c r="H2428" t="str">
        <f>T("스토리위즈")</f>
        <v>스토리위즈</v>
      </c>
      <c r="I2428" t="str">
        <f>T("회귀의 전설")</f>
        <v>회귀의 전설</v>
      </c>
      <c r="J2428">
        <v>100</v>
      </c>
      <c r="K2428">
        <v>100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100</v>
      </c>
      <c r="AH2428">
        <v>1</v>
      </c>
      <c r="AI2428">
        <v>0</v>
      </c>
      <c r="AJ2428">
        <v>0</v>
      </c>
      <c r="AK2428">
        <v>100</v>
      </c>
      <c r="AL2428">
        <v>0</v>
      </c>
      <c r="AM2428">
        <v>0</v>
      </c>
      <c r="AN2428">
        <v>0</v>
      </c>
      <c r="AO2428">
        <v>0</v>
      </c>
      <c r="AQ2428">
        <v>0</v>
      </c>
      <c r="AR2428">
        <v>0</v>
      </c>
      <c r="AT2428">
        <v>0</v>
      </c>
      <c r="AU2428">
        <v>0</v>
      </c>
      <c r="AW2428">
        <v>0</v>
      </c>
      <c r="AX2428">
        <v>0</v>
      </c>
      <c r="AY2428">
        <v>70</v>
      </c>
      <c r="BC2428" t="str">
        <f>T("9791191102086")</f>
        <v>9791191102086</v>
      </c>
      <c r="BE2428" t="str">
        <f>T("판타지 웹소설 &gt; 현대 판타지")</f>
        <v>판타지 웹소설 &gt; 현대 판타지</v>
      </c>
    </row>
    <row r="2429" spans="1:57" x14ac:dyDescent="0.3">
      <c r="A2429">
        <v>1525002125</v>
      </c>
      <c r="B2429">
        <v>1525002155</v>
      </c>
      <c r="C2429" t="str">
        <f>T("신을 죽이러 갑니다 31화")</f>
        <v>신을 죽이러 갑니다 31화</v>
      </c>
      <c r="D2429" t="str">
        <f>T("31")</f>
        <v>31</v>
      </c>
      <c r="E2429" t="str">
        <f>T("독고진")</f>
        <v>독고진</v>
      </c>
      <c r="H2429" t="str">
        <f>T("스토리위즈")</f>
        <v>스토리위즈</v>
      </c>
      <c r="I2429" t="str">
        <f>T("신을 죽이러 갑니다")</f>
        <v>신을 죽이러 갑니다</v>
      </c>
      <c r="J2429">
        <v>100</v>
      </c>
      <c r="K2429">
        <v>100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100</v>
      </c>
      <c r="AH2429">
        <v>1</v>
      </c>
      <c r="AI2429">
        <v>0</v>
      </c>
      <c r="AJ2429">
        <v>0</v>
      </c>
      <c r="AK2429">
        <v>0</v>
      </c>
      <c r="AL2429">
        <v>0</v>
      </c>
      <c r="AM2429">
        <v>120</v>
      </c>
      <c r="AN2429">
        <v>-36</v>
      </c>
      <c r="AO2429">
        <v>0</v>
      </c>
      <c r="AQ2429">
        <v>0</v>
      </c>
      <c r="AR2429">
        <v>0</v>
      </c>
      <c r="AS2429">
        <v>120</v>
      </c>
      <c r="AT2429">
        <v>-36</v>
      </c>
      <c r="AU2429">
        <v>0</v>
      </c>
      <c r="AW2429">
        <v>0</v>
      </c>
      <c r="AX2429">
        <v>0</v>
      </c>
      <c r="AY2429">
        <v>58.8</v>
      </c>
      <c r="BC2429" t="str">
        <f>T("9791159285806")</f>
        <v>9791159285806</v>
      </c>
      <c r="BE2429" t="str">
        <f>T("판타지 웹소설 &gt; 퓨전 판타지")</f>
        <v>판타지 웹소설 &gt; 퓨전 판타지</v>
      </c>
    </row>
    <row r="2430" spans="1:57" x14ac:dyDescent="0.3">
      <c r="A2430">
        <v>1525002864</v>
      </c>
      <c r="B2430">
        <v>1525002911</v>
      </c>
      <c r="C2430" t="str">
        <f>T("소드마스터의 환생 48화")</f>
        <v>소드마스터의 환생 48화</v>
      </c>
      <c r="D2430" t="str">
        <f>T("48")</f>
        <v>48</v>
      </c>
      <c r="E2430" t="str">
        <f>T("파란영")</f>
        <v>파란영</v>
      </c>
      <c r="H2430" t="str">
        <f>T("스토리위즈")</f>
        <v>스토리위즈</v>
      </c>
      <c r="I2430" t="str">
        <f>T("소드마스터의 환생")</f>
        <v>소드마스터의 환생</v>
      </c>
      <c r="J2430">
        <v>100</v>
      </c>
      <c r="K2430">
        <v>100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100</v>
      </c>
      <c r="AH2430">
        <v>1</v>
      </c>
      <c r="AI2430">
        <v>0</v>
      </c>
      <c r="AJ2430">
        <v>0</v>
      </c>
      <c r="AK2430">
        <v>100</v>
      </c>
      <c r="AL2430">
        <v>0</v>
      </c>
      <c r="AM2430">
        <v>0</v>
      </c>
      <c r="AN2430">
        <v>0</v>
      </c>
      <c r="AO2430">
        <v>0</v>
      </c>
      <c r="AQ2430">
        <v>0</v>
      </c>
      <c r="AR2430">
        <v>0</v>
      </c>
      <c r="AT2430">
        <v>0</v>
      </c>
      <c r="AU2430">
        <v>0</v>
      </c>
      <c r="AW2430">
        <v>0</v>
      </c>
      <c r="AX2430">
        <v>0</v>
      </c>
      <c r="AY2430">
        <v>70</v>
      </c>
      <c r="BC2430" t="str">
        <f>T("9791159287527")</f>
        <v>9791159287527</v>
      </c>
      <c r="BE2430" t="str">
        <f>T("판타지 웹소설 &gt; 정통 판타지")</f>
        <v>판타지 웹소설 &gt; 정통 판타지</v>
      </c>
    </row>
    <row r="2431" spans="1:57" x14ac:dyDescent="0.3">
      <c r="A2431">
        <v>1525013020</v>
      </c>
      <c r="B2431">
        <v>1525013129</v>
      </c>
      <c r="C2431" t="str">
        <f>T("악당의 리턴 110화")</f>
        <v>악당의 리턴 110화</v>
      </c>
      <c r="D2431" t="str">
        <f>T("110")</f>
        <v>110</v>
      </c>
      <c r="E2431" t="str">
        <f>T("백범(白帆)")</f>
        <v>백범(白帆)</v>
      </c>
      <c r="H2431" t="str">
        <f>T("에필로그")</f>
        <v>에필로그</v>
      </c>
      <c r="I2431" t="str">
        <f>T("악당의 리턴")</f>
        <v>악당의 리턴</v>
      </c>
      <c r="J2431">
        <v>100</v>
      </c>
      <c r="K2431">
        <v>100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100</v>
      </c>
      <c r="AH2431">
        <v>1</v>
      </c>
      <c r="AI2431">
        <v>0</v>
      </c>
      <c r="AJ2431">
        <v>0</v>
      </c>
      <c r="AK2431">
        <v>100</v>
      </c>
      <c r="AL2431">
        <v>0</v>
      </c>
      <c r="AM2431">
        <v>0</v>
      </c>
      <c r="AN2431">
        <v>0</v>
      </c>
      <c r="AO2431">
        <v>0</v>
      </c>
      <c r="AQ2431">
        <v>0</v>
      </c>
      <c r="AR2431">
        <v>0</v>
      </c>
      <c r="AT2431">
        <v>0</v>
      </c>
      <c r="AU2431">
        <v>0</v>
      </c>
      <c r="AW2431">
        <v>0</v>
      </c>
      <c r="AX2431">
        <v>0</v>
      </c>
      <c r="AY2431">
        <v>70</v>
      </c>
      <c r="BC2431" t="str">
        <f>T("9791196538927")</f>
        <v>9791196538927</v>
      </c>
      <c r="BE2431" t="str">
        <f>T("판타지 웹소설 &gt; 현대 판타지")</f>
        <v>판타지 웹소설 &gt; 현대 판타지</v>
      </c>
    </row>
    <row r="2432" spans="1:57" x14ac:dyDescent="0.3">
      <c r="A2432">
        <v>1525008717</v>
      </c>
      <c r="B2432">
        <v>1525008754</v>
      </c>
      <c r="C2432" t="str">
        <f>T("음양상열지사 53화")</f>
        <v>음양상열지사 53화</v>
      </c>
      <c r="D2432" t="str">
        <f>T("53")</f>
        <v>53</v>
      </c>
      <c r="E2432" t="str">
        <f>T("이염")</f>
        <v>이염</v>
      </c>
      <c r="H2432" t="str">
        <f>T("블러쉬")</f>
        <v>블러쉬</v>
      </c>
      <c r="I2432" t="str">
        <f>T("음양상열지사")</f>
        <v>음양상열지사</v>
      </c>
      <c r="J2432">
        <v>100</v>
      </c>
      <c r="K2432">
        <v>100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100</v>
      </c>
      <c r="AH2432">
        <v>1</v>
      </c>
      <c r="AI2432">
        <v>0</v>
      </c>
      <c r="AJ2432">
        <v>0</v>
      </c>
      <c r="AK2432">
        <v>100</v>
      </c>
      <c r="AL2432">
        <v>0</v>
      </c>
      <c r="AM2432">
        <v>0</v>
      </c>
      <c r="AN2432">
        <v>0</v>
      </c>
      <c r="AO2432">
        <v>0</v>
      </c>
      <c r="AQ2432">
        <v>0</v>
      </c>
      <c r="AR2432">
        <v>0</v>
      </c>
      <c r="AT2432">
        <v>0</v>
      </c>
      <c r="AU2432">
        <v>0</v>
      </c>
      <c r="AW2432">
        <v>0</v>
      </c>
      <c r="AX2432">
        <v>0</v>
      </c>
      <c r="AY2432">
        <v>70</v>
      </c>
      <c r="BA2432" t="str">
        <f>T("0000000000000")</f>
        <v>0000000000000</v>
      </c>
      <c r="BC2432" t="str">
        <f>T("9791164896639")</f>
        <v>9791164896639</v>
      </c>
      <c r="BD2432" t="str">
        <f>T("B10")</f>
        <v>B10</v>
      </c>
      <c r="BE2432" t="str">
        <f>T("BL 웹소설 &gt; 역사/시대물")</f>
        <v>BL 웹소설 &gt; 역사/시대물</v>
      </c>
    </row>
    <row r="2433" spans="1:57" x14ac:dyDescent="0.3">
      <c r="A2433">
        <v>1525013020</v>
      </c>
      <c r="B2433">
        <v>1525013047</v>
      </c>
      <c r="C2433" t="str">
        <f>T("악당의 리턴 28화")</f>
        <v>악당의 리턴 28화</v>
      </c>
      <c r="D2433" t="str">
        <f>T("28")</f>
        <v>28</v>
      </c>
      <c r="E2433" t="str">
        <f>T("백범(白帆)")</f>
        <v>백범(白帆)</v>
      </c>
      <c r="H2433" t="str">
        <f>T("에필로그")</f>
        <v>에필로그</v>
      </c>
      <c r="I2433" t="str">
        <f>T("악당의 리턴")</f>
        <v>악당의 리턴</v>
      </c>
      <c r="J2433">
        <v>100</v>
      </c>
      <c r="K2433">
        <v>100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100</v>
      </c>
      <c r="AH2433">
        <v>1</v>
      </c>
      <c r="AI2433">
        <v>0</v>
      </c>
      <c r="AJ2433">
        <v>0</v>
      </c>
      <c r="AK2433">
        <v>100</v>
      </c>
      <c r="AL2433">
        <v>0</v>
      </c>
      <c r="AM2433">
        <v>0</v>
      </c>
      <c r="AN2433">
        <v>0</v>
      </c>
      <c r="AO2433">
        <v>0</v>
      </c>
      <c r="AQ2433">
        <v>0</v>
      </c>
      <c r="AR2433">
        <v>0</v>
      </c>
      <c r="AT2433">
        <v>0</v>
      </c>
      <c r="AU2433">
        <v>0</v>
      </c>
      <c r="AW2433">
        <v>0</v>
      </c>
      <c r="AX2433">
        <v>0</v>
      </c>
      <c r="AY2433">
        <v>70</v>
      </c>
      <c r="BC2433" t="str">
        <f>T("9791196538927")</f>
        <v>9791196538927</v>
      </c>
      <c r="BE2433" t="str">
        <f>T("판타지 웹소설 &gt; 현대 판타지")</f>
        <v>판타지 웹소설 &gt; 현대 판타지</v>
      </c>
    </row>
    <row r="2434" spans="1:57" x14ac:dyDescent="0.3">
      <c r="A2434">
        <v>1525011523</v>
      </c>
      <c r="B2434">
        <v>1525011240</v>
      </c>
      <c r="C2434" t="str">
        <f>T("남창목가 284화")</f>
        <v>남창목가 284화</v>
      </c>
      <c r="D2434" t="str">
        <f>T("284")</f>
        <v>284</v>
      </c>
      <c r="E2434" t="str">
        <f>T("최재봉")</f>
        <v>최재봉</v>
      </c>
      <c r="H2434" t="str">
        <f>T("에필로그")</f>
        <v>에필로그</v>
      </c>
      <c r="I2434" t="str">
        <f>T("남창목가")</f>
        <v>남창목가</v>
      </c>
      <c r="J2434">
        <v>100</v>
      </c>
      <c r="K2434">
        <v>100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100</v>
      </c>
      <c r="AH2434">
        <v>1</v>
      </c>
      <c r="AI2434">
        <v>0</v>
      </c>
      <c r="AJ2434">
        <v>0</v>
      </c>
      <c r="AK2434">
        <v>0</v>
      </c>
      <c r="AL2434">
        <v>0</v>
      </c>
      <c r="AM2434">
        <v>120</v>
      </c>
      <c r="AN2434">
        <v>-12</v>
      </c>
      <c r="AO2434">
        <v>0</v>
      </c>
      <c r="AQ2434">
        <v>0</v>
      </c>
      <c r="AR2434">
        <v>0</v>
      </c>
      <c r="AS2434">
        <v>120</v>
      </c>
      <c r="AT2434">
        <v>-12</v>
      </c>
      <c r="AU2434">
        <v>0</v>
      </c>
      <c r="AW2434">
        <v>0</v>
      </c>
      <c r="AX2434">
        <v>0</v>
      </c>
      <c r="AY2434">
        <v>75.599999999999994</v>
      </c>
      <c r="BC2434" t="str">
        <f>T("9791164482849")</f>
        <v>9791164482849</v>
      </c>
      <c r="BE2434" t="str">
        <f>T("판타지 웹소설 &gt; 무협 소설")</f>
        <v>판타지 웹소설 &gt; 무협 소설</v>
      </c>
    </row>
    <row r="2435" spans="1:57" x14ac:dyDescent="0.3">
      <c r="A2435">
        <v>1525011523</v>
      </c>
      <c r="B2435">
        <v>1525011419</v>
      </c>
      <c r="C2435" t="str">
        <f>T("남창목가 105화")</f>
        <v>남창목가 105화</v>
      </c>
      <c r="D2435" t="str">
        <f>T("105")</f>
        <v>105</v>
      </c>
      <c r="E2435" t="str">
        <f>T("최재봉")</f>
        <v>최재봉</v>
      </c>
      <c r="H2435" t="str">
        <f>T("에필로그")</f>
        <v>에필로그</v>
      </c>
      <c r="I2435" t="str">
        <f>T("남창목가")</f>
        <v>남창목가</v>
      </c>
      <c r="J2435">
        <v>100</v>
      </c>
      <c r="K2435">
        <v>100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100</v>
      </c>
      <c r="AH2435">
        <v>1</v>
      </c>
      <c r="AI2435">
        <v>0</v>
      </c>
      <c r="AJ2435">
        <v>0</v>
      </c>
      <c r="AK2435">
        <v>100</v>
      </c>
      <c r="AL2435">
        <v>0</v>
      </c>
      <c r="AM2435">
        <v>0</v>
      </c>
      <c r="AN2435">
        <v>0</v>
      </c>
      <c r="AO2435">
        <v>0</v>
      </c>
      <c r="AQ2435">
        <v>0</v>
      </c>
      <c r="AR2435">
        <v>0</v>
      </c>
      <c r="AT2435">
        <v>0</v>
      </c>
      <c r="AU2435">
        <v>0</v>
      </c>
      <c r="AW2435">
        <v>0</v>
      </c>
      <c r="AX2435">
        <v>0</v>
      </c>
      <c r="AY2435">
        <v>70</v>
      </c>
      <c r="BC2435" t="str">
        <f>T("9791164482849")</f>
        <v>9791164482849</v>
      </c>
      <c r="BE2435" t="str">
        <f>T("판타지 웹소설 &gt; 무협 소설")</f>
        <v>판타지 웹소설 &gt; 무협 소설</v>
      </c>
    </row>
    <row r="2436" spans="1:57" x14ac:dyDescent="0.3">
      <c r="A2436">
        <v>1525004030</v>
      </c>
      <c r="B2436">
        <v>1525007007</v>
      </c>
      <c r="C2436" t="str">
        <f>T("회귀의 전설 2부 891화")</f>
        <v>회귀의 전설 2부 891화</v>
      </c>
      <c r="D2436" t="str">
        <f>T("891")</f>
        <v>891</v>
      </c>
      <c r="E2436" t="str">
        <f>T("김광수")</f>
        <v>김광수</v>
      </c>
      <c r="H2436" t="str">
        <f>T("스토리위즈")</f>
        <v>스토리위즈</v>
      </c>
      <c r="I2436" t="str">
        <f>T("회귀의 전설")</f>
        <v>회귀의 전설</v>
      </c>
      <c r="J2436">
        <v>100</v>
      </c>
      <c r="K2436">
        <v>100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100</v>
      </c>
      <c r="AH2436">
        <v>1</v>
      </c>
      <c r="AI2436">
        <v>0</v>
      </c>
      <c r="AJ2436">
        <v>0</v>
      </c>
      <c r="AK2436">
        <v>100</v>
      </c>
      <c r="AL2436">
        <v>0</v>
      </c>
      <c r="AM2436">
        <v>0</v>
      </c>
      <c r="AN2436">
        <v>0</v>
      </c>
      <c r="AO2436">
        <v>0</v>
      </c>
      <c r="AQ2436">
        <v>0</v>
      </c>
      <c r="AR2436">
        <v>0</v>
      </c>
      <c r="AT2436">
        <v>0</v>
      </c>
      <c r="AU2436">
        <v>0</v>
      </c>
      <c r="AW2436">
        <v>0</v>
      </c>
      <c r="AX2436">
        <v>0</v>
      </c>
      <c r="AY2436">
        <v>70</v>
      </c>
      <c r="BC2436" t="str">
        <f>T("9791191102086")</f>
        <v>9791191102086</v>
      </c>
      <c r="BE2436" t="str">
        <f>T("판타지 웹소설 &gt; 현대 판타지")</f>
        <v>판타지 웹소설 &gt; 현대 판타지</v>
      </c>
    </row>
    <row r="2437" spans="1:57" x14ac:dyDescent="0.3">
      <c r="A2437">
        <v>1525011523</v>
      </c>
      <c r="B2437">
        <v>1525011067</v>
      </c>
      <c r="C2437" t="str">
        <f>T("남창목가 457화")</f>
        <v>남창목가 457화</v>
      </c>
      <c r="D2437" t="str">
        <f>T("457")</f>
        <v>457</v>
      </c>
      <c r="E2437" t="str">
        <f>T("최재봉")</f>
        <v>최재봉</v>
      </c>
      <c r="H2437" t="str">
        <f>T("에필로그")</f>
        <v>에필로그</v>
      </c>
      <c r="I2437" t="str">
        <f>T("남창목가")</f>
        <v>남창목가</v>
      </c>
      <c r="J2437">
        <v>100</v>
      </c>
      <c r="K2437">
        <v>100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100</v>
      </c>
      <c r="AH2437">
        <v>1</v>
      </c>
      <c r="AI2437">
        <v>0</v>
      </c>
      <c r="AJ2437">
        <v>0</v>
      </c>
      <c r="AK2437">
        <v>0</v>
      </c>
      <c r="AL2437">
        <v>0</v>
      </c>
      <c r="AM2437">
        <v>120</v>
      </c>
      <c r="AN2437">
        <v>-12</v>
      </c>
      <c r="AO2437">
        <v>0</v>
      </c>
      <c r="AQ2437">
        <v>0</v>
      </c>
      <c r="AR2437">
        <v>0</v>
      </c>
      <c r="AS2437">
        <v>120</v>
      </c>
      <c r="AT2437">
        <v>-12</v>
      </c>
      <c r="AU2437">
        <v>0</v>
      </c>
      <c r="AW2437">
        <v>0</v>
      </c>
      <c r="AX2437">
        <v>0</v>
      </c>
      <c r="AY2437">
        <v>75.599999999999994</v>
      </c>
      <c r="BC2437" t="str">
        <f>T("9791164482849")</f>
        <v>9791164482849</v>
      </c>
      <c r="BE2437" t="str">
        <f>T("판타지 웹소설 &gt; 무협 소설")</f>
        <v>판타지 웹소설 &gt; 무협 소설</v>
      </c>
    </row>
    <row r="2438" spans="1:57" x14ac:dyDescent="0.3">
      <c r="A2438">
        <v>1525008428</v>
      </c>
      <c r="B2438">
        <v>1525008406</v>
      </c>
      <c r="C2438" t="str">
        <f>T("무히비(Muhibbi) 103화")</f>
        <v>무히비(Muhibbi) 103화</v>
      </c>
      <c r="D2438" t="str">
        <f>T("103")</f>
        <v>103</v>
      </c>
      <c r="E2438" t="str">
        <f>T("jooki")</f>
        <v>jooki</v>
      </c>
      <c r="H2438" t="str">
        <f>T("블러쉬")</f>
        <v>블러쉬</v>
      </c>
      <c r="I2438" t="str">
        <f>T("무히비(Muhibbi)")</f>
        <v>무히비(Muhibbi)</v>
      </c>
      <c r="J2438">
        <v>100</v>
      </c>
      <c r="K2438">
        <v>100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100</v>
      </c>
      <c r="AH2438">
        <v>1</v>
      </c>
      <c r="AI2438">
        <v>0</v>
      </c>
      <c r="AJ2438">
        <v>0</v>
      </c>
      <c r="AK2438">
        <v>100</v>
      </c>
      <c r="AL2438">
        <v>0</v>
      </c>
      <c r="AM2438">
        <v>0</v>
      </c>
      <c r="AN2438">
        <v>0</v>
      </c>
      <c r="AO2438">
        <v>0</v>
      </c>
      <c r="AQ2438">
        <v>0</v>
      </c>
      <c r="AR2438">
        <v>0</v>
      </c>
      <c r="AT2438">
        <v>0</v>
      </c>
      <c r="AU2438">
        <v>0</v>
      </c>
      <c r="AW2438">
        <v>0</v>
      </c>
      <c r="AX2438">
        <v>0</v>
      </c>
      <c r="AY2438">
        <v>70</v>
      </c>
      <c r="BA2438" t="str">
        <f>T("0000000000000")</f>
        <v>0000000000000</v>
      </c>
      <c r="BC2438" t="str">
        <f>T("9791164896622")</f>
        <v>9791164896622</v>
      </c>
      <c r="BE2438" t="str">
        <f>T("BL 웹소설 &gt; 역사/시대물")</f>
        <v>BL 웹소설 &gt; 역사/시대물</v>
      </c>
    </row>
    <row r="2439" spans="1:57" x14ac:dyDescent="0.3">
      <c r="A2439">
        <v>1525004030</v>
      </c>
      <c r="B2439">
        <v>1525006903</v>
      </c>
      <c r="C2439" t="str">
        <f>T("회귀의 전설 2부 786화")</f>
        <v>회귀의 전설 2부 786화</v>
      </c>
      <c r="D2439" t="str">
        <f>T("786")</f>
        <v>786</v>
      </c>
      <c r="E2439" t="str">
        <f>T("김광수")</f>
        <v>김광수</v>
      </c>
      <c r="H2439" t="str">
        <f>T("스토리위즈")</f>
        <v>스토리위즈</v>
      </c>
      <c r="I2439" t="str">
        <f>T("회귀의 전설")</f>
        <v>회귀의 전설</v>
      </c>
      <c r="J2439">
        <v>100</v>
      </c>
      <c r="K2439">
        <v>100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100</v>
      </c>
      <c r="AH2439">
        <v>1</v>
      </c>
      <c r="AI2439">
        <v>0</v>
      </c>
      <c r="AJ2439">
        <v>0</v>
      </c>
      <c r="AK2439">
        <v>0</v>
      </c>
      <c r="AL2439">
        <v>0</v>
      </c>
      <c r="AM2439">
        <v>120</v>
      </c>
      <c r="AN2439">
        <v>-12</v>
      </c>
      <c r="AO2439">
        <v>0</v>
      </c>
      <c r="AQ2439">
        <v>0</v>
      </c>
      <c r="AR2439">
        <v>0</v>
      </c>
      <c r="AS2439">
        <v>120</v>
      </c>
      <c r="AT2439">
        <v>-12</v>
      </c>
      <c r="AU2439">
        <v>0</v>
      </c>
      <c r="AW2439">
        <v>0</v>
      </c>
      <c r="AX2439">
        <v>0</v>
      </c>
      <c r="AY2439">
        <v>75.599999999999994</v>
      </c>
      <c r="BC2439" t="str">
        <f>T("9791191102086")</f>
        <v>9791191102086</v>
      </c>
      <c r="BE2439" t="str">
        <f>T("판타지 웹소설 &gt; 현대 판타지")</f>
        <v>판타지 웹소설 &gt; 현대 판타지</v>
      </c>
    </row>
    <row r="2440" spans="1:57" x14ac:dyDescent="0.3">
      <c r="A2440">
        <v>1525011523</v>
      </c>
      <c r="B2440">
        <v>1525011359</v>
      </c>
      <c r="C2440" t="str">
        <f>T("남창목가 165화")</f>
        <v>남창목가 165화</v>
      </c>
      <c r="D2440" t="str">
        <f>T("165")</f>
        <v>165</v>
      </c>
      <c r="E2440" t="str">
        <f>T("최재봉")</f>
        <v>최재봉</v>
      </c>
      <c r="H2440" t="str">
        <f>T("에필로그")</f>
        <v>에필로그</v>
      </c>
      <c r="I2440" t="str">
        <f>T("남창목가")</f>
        <v>남창목가</v>
      </c>
      <c r="J2440">
        <v>100</v>
      </c>
      <c r="K2440">
        <v>100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100</v>
      </c>
      <c r="AH2440">
        <v>1</v>
      </c>
      <c r="AI2440">
        <v>0</v>
      </c>
      <c r="AJ2440">
        <v>0</v>
      </c>
      <c r="AK2440">
        <v>0</v>
      </c>
      <c r="AL2440">
        <v>0</v>
      </c>
      <c r="AM2440">
        <v>120</v>
      </c>
      <c r="AN2440">
        <v>-12</v>
      </c>
      <c r="AO2440">
        <v>0</v>
      </c>
      <c r="AQ2440">
        <v>0</v>
      </c>
      <c r="AR2440">
        <v>0</v>
      </c>
      <c r="AS2440">
        <v>120</v>
      </c>
      <c r="AT2440">
        <v>-12</v>
      </c>
      <c r="AU2440">
        <v>0</v>
      </c>
      <c r="AW2440">
        <v>0</v>
      </c>
      <c r="AX2440">
        <v>0</v>
      </c>
      <c r="AY2440">
        <v>75.599999999999994</v>
      </c>
      <c r="BC2440" t="str">
        <f>T("9791164482849")</f>
        <v>9791164482849</v>
      </c>
      <c r="BE2440" t="str">
        <f>T("판타지 웹소설 &gt; 무협 소설")</f>
        <v>판타지 웹소설 &gt; 무협 소설</v>
      </c>
    </row>
    <row r="2441" spans="1:57" x14ac:dyDescent="0.3">
      <c r="A2441">
        <v>1525002125</v>
      </c>
      <c r="B2441">
        <v>1525002387</v>
      </c>
      <c r="C2441" t="str">
        <f>T("신을 죽이러 갑니다 263화")</f>
        <v>신을 죽이러 갑니다 263화</v>
      </c>
      <c r="D2441" t="str">
        <f>T("263")</f>
        <v>263</v>
      </c>
      <c r="E2441" t="str">
        <f>T("독고진")</f>
        <v>독고진</v>
      </c>
      <c r="H2441" t="str">
        <f>T("스토리위즈")</f>
        <v>스토리위즈</v>
      </c>
      <c r="I2441" t="str">
        <f>T("신을 죽이러 갑니다")</f>
        <v>신을 죽이러 갑니다</v>
      </c>
      <c r="J2441">
        <v>100</v>
      </c>
      <c r="K2441">
        <v>100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100</v>
      </c>
      <c r="AH2441">
        <v>1</v>
      </c>
      <c r="AI2441">
        <v>0</v>
      </c>
      <c r="AJ2441">
        <v>0</v>
      </c>
      <c r="AK2441">
        <v>0</v>
      </c>
      <c r="AL2441">
        <v>0</v>
      </c>
      <c r="AM2441">
        <v>120</v>
      </c>
      <c r="AN2441">
        <v>-12</v>
      </c>
      <c r="AO2441">
        <v>0</v>
      </c>
      <c r="AQ2441">
        <v>0</v>
      </c>
      <c r="AR2441">
        <v>0</v>
      </c>
      <c r="AS2441">
        <v>120</v>
      </c>
      <c r="AT2441">
        <v>-12</v>
      </c>
      <c r="AU2441">
        <v>0</v>
      </c>
      <c r="AW2441">
        <v>0</v>
      </c>
      <c r="AX2441">
        <v>0</v>
      </c>
      <c r="AY2441">
        <v>75.599999999999994</v>
      </c>
      <c r="BC2441" t="str">
        <f>T("9791159285806")</f>
        <v>9791159285806</v>
      </c>
      <c r="BE2441" t="str">
        <f>T("판타지 웹소설 &gt; 퓨전 판타지")</f>
        <v>판타지 웹소설 &gt; 퓨전 판타지</v>
      </c>
    </row>
    <row r="2442" spans="1:57" x14ac:dyDescent="0.3">
      <c r="A2442">
        <v>1525004030</v>
      </c>
      <c r="B2442">
        <v>1525007121</v>
      </c>
      <c r="C2442" t="str">
        <f>T("회귀의 전설 2부 1005화")</f>
        <v>회귀의 전설 2부 1005화</v>
      </c>
      <c r="D2442" t="str">
        <f>T("1005")</f>
        <v>1005</v>
      </c>
      <c r="E2442" t="str">
        <f>T("김광수")</f>
        <v>김광수</v>
      </c>
      <c r="H2442" t="str">
        <f>T("스토리위즈")</f>
        <v>스토리위즈</v>
      </c>
      <c r="I2442" t="str">
        <f>T("회귀의 전설")</f>
        <v>회귀의 전설</v>
      </c>
      <c r="J2442">
        <v>100</v>
      </c>
      <c r="K2442">
        <v>100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100</v>
      </c>
      <c r="AH2442">
        <v>1</v>
      </c>
      <c r="AI2442">
        <v>0</v>
      </c>
      <c r="AJ2442">
        <v>0</v>
      </c>
      <c r="AK2442">
        <v>100</v>
      </c>
      <c r="AL2442">
        <v>0</v>
      </c>
      <c r="AM2442">
        <v>0</v>
      </c>
      <c r="AN2442">
        <v>0</v>
      </c>
      <c r="AO2442">
        <v>0</v>
      </c>
      <c r="AQ2442">
        <v>0</v>
      </c>
      <c r="AR2442">
        <v>0</v>
      </c>
      <c r="AT2442">
        <v>0</v>
      </c>
      <c r="AU2442">
        <v>0</v>
      </c>
      <c r="AW2442">
        <v>0</v>
      </c>
      <c r="AX2442">
        <v>0</v>
      </c>
      <c r="AY2442">
        <v>70</v>
      </c>
      <c r="BC2442" t="str">
        <f>T("9791191102086")</f>
        <v>9791191102086</v>
      </c>
      <c r="BE2442" t="str">
        <f>T("판타지 웹소설 &gt; 현대 판타지")</f>
        <v>판타지 웹소설 &gt; 현대 판타지</v>
      </c>
    </row>
    <row r="2443" spans="1:57" x14ac:dyDescent="0.3">
      <c r="A2443">
        <v>1525008717</v>
      </c>
      <c r="B2443">
        <v>1525008703</v>
      </c>
      <c r="C2443" t="str">
        <f>T("음양상열지사 115화")</f>
        <v>음양상열지사 115화</v>
      </c>
      <c r="D2443" t="str">
        <f>T("115")</f>
        <v>115</v>
      </c>
      <c r="E2443" t="str">
        <f>T("이염")</f>
        <v>이염</v>
      </c>
      <c r="H2443" t="str">
        <f>T("블러쉬")</f>
        <v>블러쉬</v>
      </c>
      <c r="I2443" t="str">
        <f>T("음양상열지사")</f>
        <v>음양상열지사</v>
      </c>
      <c r="J2443">
        <v>100</v>
      </c>
      <c r="K2443">
        <v>100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100</v>
      </c>
      <c r="AH2443">
        <v>1</v>
      </c>
      <c r="AI2443">
        <v>0</v>
      </c>
      <c r="AJ2443">
        <v>0</v>
      </c>
      <c r="AK2443">
        <v>100</v>
      </c>
      <c r="AL2443">
        <v>0</v>
      </c>
      <c r="AM2443">
        <v>0</v>
      </c>
      <c r="AN2443">
        <v>0</v>
      </c>
      <c r="AO2443">
        <v>0</v>
      </c>
      <c r="AQ2443">
        <v>0</v>
      </c>
      <c r="AR2443">
        <v>0</v>
      </c>
      <c r="AT2443">
        <v>0</v>
      </c>
      <c r="AU2443">
        <v>0</v>
      </c>
      <c r="AW2443">
        <v>0</v>
      </c>
      <c r="AX2443">
        <v>0</v>
      </c>
      <c r="AY2443">
        <v>70</v>
      </c>
      <c r="BA2443" t="str">
        <f>T("0000000000000")</f>
        <v>0000000000000</v>
      </c>
      <c r="BC2443" t="str">
        <f>T("9791164896639")</f>
        <v>9791164896639</v>
      </c>
      <c r="BE2443" t="str">
        <f>T("BL 웹소설 &gt; 역사/시대물")</f>
        <v>BL 웹소설 &gt; 역사/시대물</v>
      </c>
    </row>
    <row r="2444" spans="1:57" x14ac:dyDescent="0.3">
      <c r="A2444">
        <v>1525004030</v>
      </c>
      <c r="B2444">
        <v>1525007109</v>
      </c>
      <c r="C2444" t="str">
        <f>T("회귀의 전설 2부 993화")</f>
        <v>회귀의 전설 2부 993화</v>
      </c>
      <c r="D2444" t="str">
        <f>T("993")</f>
        <v>993</v>
      </c>
      <c r="E2444" t="str">
        <f>T("김광수")</f>
        <v>김광수</v>
      </c>
      <c r="H2444" t="str">
        <f>T("스토리위즈")</f>
        <v>스토리위즈</v>
      </c>
      <c r="I2444" t="str">
        <f>T("회귀의 전설")</f>
        <v>회귀의 전설</v>
      </c>
      <c r="J2444">
        <v>100</v>
      </c>
      <c r="K2444">
        <v>100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100</v>
      </c>
      <c r="AH2444">
        <v>1</v>
      </c>
      <c r="AI2444">
        <v>0</v>
      </c>
      <c r="AJ2444">
        <v>0</v>
      </c>
      <c r="AK2444">
        <v>100</v>
      </c>
      <c r="AL2444">
        <v>0</v>
      </c>
      <c r="AM2444">
        <v>0</v>
      </c>
      <c r="AN2444">
        <v>0</v>
      </c>
      <c r="AO2444">
        <v>0</v>
      </c>
      <c r="AQ2444">
        <v>0</v>
      </c>
      <c r="AR2444">
        <v>0</v>
      </c>
      <c r="AT2444">
        <v>0</v>
      </c>
      <c r="AU2444">
        <v>0</v>
      </c>
      <c r="AW2444">
        <v>0</v>
      </c>
      <c r="AX2444">
        <v>0</v>
      </c>
      <c r="AY2444">
        <v>70</v>
      </c>
      <c r="BC2444" t="str">
        <f>T("9791191102086")</f>
        <v>9791191102086</v>
      </c>
      <c r="BE2444" t="str">
        <f>T("판타지 웹소설 &gt; 현대 판타지")</f>
        <v>판타지 웹소설 &gt; 현대 판타지</v>
      </c>
    </row>
    <row r="2445" spans="1:57" x14ac:dyDescent="0.3">
      <c r="A2445">
        <v>1525011523</v>
      </c>
      <c r="B2445">
        <v>1525011226</v>
      </c>
      <c r="C2445" t="str">
        <f>T("남창목가 298화")</f>
        <v>남창목가 298화</v>
      </c>
      <c r="D2445" t="str">
        <f>T("298")</f>
        <v>298</v>
      </c>
      <c r="E2445" t="str">
        <f>T("최재봉")</f>
        <v>최재봉</v>
      </c>
      <c r="H2445" t="str">
        <f>T("에필로그")</f>
        <v>에필로그</v>
      </c>
      <c r="I2445" t="str">
        <f>T("남창목가")</f>
        <v>남창목가</v>
      </c>
      <c r="J2445">
        <v>100</v>
      </c>
      <c r="K2445">
        <v>100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100</v>
      </c>
      <c r="AH2445">
        <v>1</v>
      </c>
      <c r="AI2445">
        <v>0</v>
      </c>
      <c r="AJ2445">
        <v>0</v>
      </c>
      <c r="AK2445">
        <v>0</v>
      </c>
      <c r="AL2445">
        <v>0</v>
      </c>
      <c r="AM2445">
        <v>120</v>
      </c>
      <c r="AN2445">
        <v>-12</v>
      </c>
      <c r="AO2445">
        <v>0</v>
      </c>
      <c r="AQ2445">
        <v>0</v>
      </c>
      <c r="AR2445">
        <v>0</v>
      </c>
      <c r="AS2445">
        <v>120</v>
      </c>
      <c r="AT2445">
        <v>-12</v>
      </c>
      <c r="AU2445">
        <v>0</v>
      </c>
      <c r="AW2445">
        <v>0</v>
      </c>
      <c r="AX2445">
        <v>0</v>
      </c>
      <c r="AY2445">
        <v>75.599999999999994</v>
      </c>
      <c r="BC2445" t="str">
        <f>T("9791164482849")</f>
        <v>9791164482849</v>
      </c>
      <c r="BE2445" t="str">
        <f>T("판타지 웹소설 &gt; 무협 소설")</f>
        <v>판타지 웹소설 &gt; 무협 소설</v>
      </c>
    </row>
    <row r="2446" spans="1:57" x14ac:dyDescent="0.3">
      <c r="A2446">
        <v>1525000569</v>
      </c>
      <c r="B2446">
        <v>1525000611</v>
      </c>
      <c r="C2446" t="str">
        <f>T("스트라이커 43화")</f>
        <v>스트라이커 43화</v>
      </c>
      <c r="D2446" t="str">
        <f>T("43")</f>
        <v>43</v>
      </c>
      <c r="E2446" t="str">
        <f>T("독고진")</f>
        <v>독고진</v>
      </c>
      <c r="H2446" t="str">
        <f>T("스토리위즈")</f>
        <v>스토리위즈</v>
      </c>
      <c r="I2446" t="str">
        <f>T("스트라이커")</f>
        <v>스트라이커</v>
      </c>
      <c r="J2446">
        <v>100</v>
      </c>
      <c r="K2446">
        <v>100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100</v>
      </c>
      <c r="AH2446">
        <v>1</v>
      </c>
      <c r="AI2446">
        <v>0</v>
      </c>
      <c r="AJ2446">
        <v>0</v>
      </c>
      <c r="AK2446">
        <v>100</v>
      </c>
      <c r="AL2446">
        <v>0</v>
      </c>
      <c r="AM2446">
        <v>0</v>
      </c>
      <c r="AN2446">
        <v>0</v>
      </c>
      <c r="AO2446">
        <v>0</v>
      </c>
      <c r="AQ2446">
        <v>0</v>
      </c>
      <c r="AR2446">
        <v>0</v>
      </c>
      <c r="AT2446">
        <v>0</v>
      </c>
      <c r="AU2446">
        <v>0</v>
      </c>
      <c r="AW2446">
        <v>0</v>
      </c>
      <c r="AX2446">
        <v>0</v>
      </c>
      <c r="AY2446">
        <v>70</v>
      </c>
      <c r="BC2446" t="str">
        <f>T("9791170151678")</f>
        <v>9791170151678</v>
      </c>
      <c r="BE2446" t="str">
        <f>T("판타지 웹소설 &gt; 현대 판타지")</f>
        <v>판타지 웹소설 &gt; 현대 판타지</v>
      </c>
    </row>
    <row r="2447" spans="1:57" x14ac:dyDescent="0.3">
      <c r="A2447">
        <v>1525011523</v>
      </c>
      <c r="B2447">
        <v>1525011005</v>
      </c>
      <c r="C2447" t="str">
        <f>T("남창목가 외전 487화")</f>
        <v>남창목가 외전 487화</v>
      </c>
      <c r="D2447" t="str">
        <f>T("487")</f>
        <v>487</v>
      </c>
      <c r="E2447" t="str">
        <f>T("최재봉")</f>
        <v>최재봉</v>
      </c>
      <c r="H2447" t="str">
        <f>T("에필로그")</f>
        <v>에필로그</v>
      </c>
      <c r="I2447" t="str">
        <f>T("남창목가")</f>
        <v>남창목가</v>
      </c>
      <c r="J2447">
        <v>100</v>
      </c>
      <c r="K2447">
        <v>100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100</v>
      </c>
      <c r="AH2447">
        <v>1</v>
      </c>
      <c r="AI2447">
        <v>0</v>
      </c>
      <c r="AJ2447">
        <v>0</v>
      </c>
      <c r="AK2447">
        <v>0</v>
      </c>
      <c r="AL2447">
        <v>0</v>
      </c>
      <c r="AM2447">
        <v>120</v>
      </c>
      <c r="AN2447">
        <v>-12</v>
      </c>
      <c r="AO2447">
        <v>0</v>
      </c>
      <c r="AQ2447">
        <v>0</v>
      </c>
      <c r="AR2447">
        <v>0</v>
      </c>
      <c r="AS2447">
        <v>120</v>
      </c>
      <c r="AT2447">
        <v>-12</v>
      </c>
      <c r="AU2447">
        <v>0</v>
      </c>
      <c r="AW2447">
        <v>0</v>
      </c>
      <c r="AX2447">
        <v>0</v>
      </c>
      <c r="AY2447">
        <v>75.599999999999994</v>
      </c>
      <c r="BC2447" t="str">
        <f>T("9791164482849")</f>
        <v>9791164482849</v>
      </c>
      <c r="BE2447" t="str">
        <f>T("판타지 웹소설 &gt; 무협 소설")</f>
        <v>판타지 웹소설 &gt; 무협 소설</v>
      </c>
    </row>
    <row r="2448" spans="1:57" x14ac:dyDescent="0.3">
      <c r="A2448">
        <v>1525004030</v>
      </c>
      <c r="B2448">
        <v>1525006892</v>
      </c>
      <c r="C2448" t="str">
        <f>T("회귀의 전설 2부 775화")</f>
        <v>회귀의 전설 2부 775화</v>
      </c>
      <c r="D2448" t="str">
        <f>T("775")</f>
        <v>775</v>
      </c>
      <c r="E2448" t="str">
        <f>T("김광수")</f>
        <v>김광수</v>
      </c>
      <c r="H2448" t="str">
        <f>T("스토리위즈")</f>
        <v>스토리위즈</v>
      </c>
      <c r="I2448" t="str">
        <f>T("회귀의 전설")</f>
        <v>회귀의 전설</v>
      </c>
      <c r="J2448">
        <v>100</v>
      </c>
      <c r="K2448">
        <v>100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100</v>
      </c>
      <c r="AH2448">
        <v>1</v>
      </c>
      <c r="AI2448">
        <v>0</v>
      </c>
      <c r="AJ2448">
        <v>0</v>
      </c>
      <c r="AK2448">
        <v>0</v>
      </c>
      <c r="AL2448">
        <v>0</v>
      </c>
      <c r="AM2448">
        <v>120</v>
      </c>
      <c r="AN2448">
        <v>-12</v>
      </c>
      <c r="AO2448">
        <v>0</v>
      </c>
      <c r="AQ2448">
        <v>0</v>
      </c>
      <c r="AR2448">
        <v>0</v>
      </c>
      <c r="AS2448">
        <v>120</v>
      </c>
      <c r="AT2448">
        <v>-12</v>
      </c>
      <c r="AU2448">
        <v>0</v>
      </c>
      <c r="AW2448">
        <v>0</v>
      </c>
      <c r="AX2448">
        <v>0</v>
      </c>
      <c r="AY2448">
        <v>75.599999999999994</v>
      </c>
      <c r="BC2448" t="str">
        <f>T("9791191102086")</f>
        <v>9791191102086</v>
      </c>
      <c r="BE2448" t="str">
        <f>T("판타지 웹소설 &gt; 현대 판타지")</f>
        <v>판타지 웹소설 &gt; 현대 판타지</v>
      </c>
    </row>
    <row r="2449" spans="1:57" x14ac:dyDescent="0.3">
      <c r="A2449">
        <v>1525011523</v>
      </c>
      <c r="B2449">
        <v>1525011342</v>
      </c>
      <c r="C2449" t="str">
        <f>T("남창목가 182화")</f>
        <v>남창목가 182화</v>
      </c>
      <c r="D2449" t="str">
        <f>T("182")</f>
        <v>182</v>
      </c>
      <c r="E2449" t="str">
        <f>T("최재봉")</f>
        <v>최재봉</v>
      </c>
      <c r="H2449" t="str">
        <f>T("에필로그")</f>
        <v>에필로그</v>
      </c>
      <c r="I2449" t="str">
        <f>T("남창목가")</f>
        <v>남창목가</v>
      </c>
      <c r="J2449">
        <v>100</v>
      </c>
      <c r="K2449">
        <v>100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100</v>
      </c>
      <c r="AH2449">
        <v>1</v>
      </c>
      <c r="AI2449">
        <v>0</v>
      </c>
      <c r="AJ2449">
        <v>0</v>
      </c>
      <c r="AK2449">
        <v>0</v>
      </c>
      <c r="AL2449">
        <v>0</v>
      </c>
      <c r="AM2449">
        <v>120</v>
      </c>
      <c r="AN2449">
        <v>-12</v>
      </c>
      <c r="AO2449">
        <v>0</v>
      </c>
      <c r="AQ2449">
        <v>0</v>
      </c>
      <c r="AR2449">
        <v>0</v>
      </c>
      <c r="AS2449">
        <v>120</v>
      </c>
      <c r="AT2449">
        <v>-12</v>
      </c>
      <c r="AU2449">
        <v>0</v>
      </c>
      <c r="AW2449">
        <v>0</v>
      </c>
      <c r="AX2449">
        <v>0</v>
      </c>
      <c r="AY2449">
        <v>75.599999999999994</v>
      </c>
      <c r="BC2449" t="str">
        <f>T("9791164482849")</f>
        <v>9791164482849</v>
      </c>
      <c r="BE2449" t="str">
        <f>T("판타지 웹소설 &gt; 무협 소설")</f>
        <v>판타지 웹소설 &gt; 무협 소설</v>
      </c>
    </row>
    <row r="2450" spans="1:57" x14ac:dyDescent="0.3">
      <c r="A2450">
        <v>1525002125</v>
      </c>
      <c r="B2450">
        <v>1525002376</v>
      </c>
      <c r="C2450" t="str">
        <f>T("신을 죽이러 갑니다 252화")</f>
        <v>신을 죽이러 갑니다 252화</v>
      </c>
      <c r="D2450" t="str">
        <f>T("252")</f>
        <v>252</v>
      </c>
      <c r="E2450" t="str">
        <f>T("독고진")</f>
        <v>독고진</v>
      </c>
      <c r="H2450" t="str">
        <f>T("스토리위즈")</f>
        <v>스토리위즈</v>
      </c>
      <c r="I2450" t="str">
        <f>T("신을 죽이러 갑니다")</f>
        <v>신을 죽이러 갑니다</v>
      </c>
      <c r="J2450">
        <v>100</v>
      </c>
      <c r="K2450">
        <v>100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100</v>
      </c>
      <c r="AH2450">
        <v>1</v>
      </c>
      <c r="AI2450">
        <v>0</v>
      </c>
      <c r="AJ2450">
        <v>0</v>
      </c>
      <c r="AK2450">
        <v>0</v>
      </c>
      <c r="AL2450">
        <v>0</v>
      </c>
      <c r="AM2450">
        <v>120</v>
      </c>
      <c r="AN2450">
        <v>-12</v>
      </c>
      <c r="AO2450">
        <v>0</v>
      </c>
      <c r="AQ2450">
        <v>0</v>
      </c>
      <c r="AR2450">
        <v>0</v>
      </c>
      <c r="AS2450">
        <v>120</v>
      </c>
      <c r="AT2450">
        <v>-12</v>
      </c>
      <c r="AU2450">
        <v>0</v>
      </c>
      <c r="AW2450">
        <v>0</v>
      </c>
      <c r="AX2450">
        <v>0</v>
      </c>
      <c r="AY2450">
        <v>75.599999999999994</v>
      </c>
      <c r="BC2450" t="str">
        <f>T("9791159285806")</f>
        <v>9791159285806</v>
      </c>
      <c r="BE2450" t="str">
        <f>T("판타지 웹소설 &gt; 퓨전 판타지")</f>
        <v>판타지 웹소설 &gt; 퓨전 판타지</v>
      </c>
    </row>
    <row r="2451" spans="1:57" x14ac:dyDescent="0.3">
      <c r="A2451">
        <v>1525012551</v>
      </c>
      <c r="B2451">
        <v>1525012711</v>
      </c>
      <c r="C2451" t="str">
        <f>T("개정판 | 바보가 만드는 멋진 세상 161화")</f>
        <v>개정판 | 바보가 만드는 멋진 세상 161화</v>
      </c>
      <c r="D2451" t="str">
        <f>T("161")</f>
        <v>161</v>
      </c>
      <c r="E2451" t="str">
        <f>T("백범(白帆)")</f>
        <v>백범(白帆)</v>
      </c>
      <c r="H2451" t="str">
        <f>T("에필로그")</f>
        <v>에필로그</v>
      </c>
      <c r="I2451" t="str">
        <f>T("개정판 | 바보가 만드는 멋진 세상")</f>
        <v>개정판 | 바보가 만드는 멋진 세상</v>
      </c>
      <c r="J2451">
        <v>100</v>
      </c>
      <c r="K2451">
        <v>100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100</v>
      </c>
      <c r="AH2451">
        <v>1</v>
      </c>
      <c r="AI2451">
        <v>0</v>
      </c>
      <c r="AJ2451">
        <v>0</v>
      </c>
      <c r="AK2451">
        <v>100</v>
      </c>
      <c r="AL2451">
        <v>0</v>
      </c>
      <c r="AM2451">
        <v>0</v>
      </c>
      <c r="AN2451">
        <v>0</v>
      </c>
      <c r="AO2451">
        <v>0</v>
      </c>
      <c r="AQ2451">
        <v>0</v>
      </c>
      <c r="AR2451">
        <v>0</v>
      </c>
      <c r="AT2451">
        <v>0</v>
      </c>
      <c r="AU2451">
        <v>0</v>
      </c>
      <c r="AW2451">
        <v>0</v>
      </c>
      <c r="AX2451">
        <v>0</v>
      </c>
      <c r="AY2451">
        <v>70</v>
      </c>
      <c r="BC2451" t="str">
        <f>T("9791166003493")</f>
        <v>9791166003493</v>
      </c>
      <c r="BE2451" t="str">
        <f>T("판타지 웹소설 &gt; 현대 판타지")</f>
        <v>판타지 웹소설 &gt; 현대 판타지</v>
      </c>
    </row>
    <row r="2452" spans="1:57" x14ac:dyDescent="0.3">
      <c r="A2452">
        <v>1525008428</v>
      </c>
      <c r="B2452">
        <v>1525008517</v>
      </c>
      <c r="C2452" t="str">
        <f>T("무히비(Muhibbi) 외전 115화")</f>
        <v>무히비(Muhibbi) 외전 115화</v>
      </c>
      <c r="D2452" t="str">
        <f>T("115")</f>
        <v>115</v>
      </c>
      <c r="E2452" t="str">
        <f>T("jooki")</f>
        <v>jooki</v>
      </c>
      <c r="H2452" t="str">
        <f>T("블러쉬")</f>
        <v>블러쉬</v>
      </c>
      <c r="I2452" t="str">
        <f>T("무히비(Muhibbi)")</f>
        <v>무히비(Muhibbi)</v>
      </c>
      <c r="J2452">
        <v>100</v>
      </c>
      <c r="K2452">
        <v>100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100</v>
      </c>
      <c r="AH2452">
        <v>1</v>
      </c>
      <c r="AI2452">
        <v>0</v>
      </c>
      <c r="AJ2452">
        <v>0</v>
      </c>
      <c r="AK2452">
        <v>100</v>
      </c>
      <c r="AL2452">
        <v>0</v>
      </c>
      <c r="AM2452">
        <v>0</v>
      </c>
      <c r="AN2452">
        <v>0</v>
      </c>
      <c r="AO2452">
        <v>0</v>
      </c>
      <c r="AQ2452">
        <v>0</v>
      </c>
      <c r="AR2452">
        <v>0</v>
      </c>
      <c r="AT2452">
        <v>0</v>
      </c>
      <c r="AU2452">
        <v>0</v>
      </c>
      <c r="AW2452">
        <v>0</v>
      </c>
      <c r="AX2452">
        <v>0</v>
      </c>
      <c r="AY2452">
        <v>70</v>
      </c>
      <c r="BA2452" t="str">
        <f>T("0000000000000")</f>
        <v>0000000000000</v>
      </c>
      <c r="BC2452" t="str">
        <f>T("9791164896622")</f>
        <v>9791164896622</v>
      </c>
      <c r="BE2452" t="str">
        <f>T("BL 웹소설 &gt; 역사/시대물")</f>
        <v>BL 웹소설 &gt; 역사/시대물</v>
      </c>
    </row>
    <row r="2453" spans="1:57" x14ac:dyDescent="0.3">
      <c r="A2453">
        <v>1525002864</v>
      </c>
      <c r="B2453">
        <v>1525002934</v>
      </c>
      <c r="C2453" t="str">
        <f>T("소드마스터의 환생 71화")</f>
        <v>소드마스터의 환생 71화</v>
      </c>
      <c r="D2453" t="str">
        <f>T("71")</f>
        <v>71</v>
      </c>
      <c r="E2453" t="str">
        <f>T("파란영")</f>
        <v>파란영</v>
      </c>
      <c r="H2453" t="str">
        <f>T("스토리위즈")</f>
        <v>스토리위즈</v>
      </c>
      <c r="I2453" t="str">
        <f>T("소드마스터의 환생")</f>
        <v>소드마스터의 환생</v>
      </c>
      <c r="J2453">
        <v>100</v>
      </c>
      <c r="K2453">
        <v>100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100</v>
      </c>
      <c r="AH2453">
        <v>1</v>
      </c>
      <c r="AI2453">
        <v>0</v>
      </c>
      <c r="AJ2453">
        <v>0</v>
      </c>
      <c r="AK2453">
        <v>100</v>
      </c>
      <c r="AL2453">
        <v>0</v>
      </c>
      <c r="AM2453">
        <v>0</v>
      </c>
      <c r="AN2453">
        <v>0</v>
      </c>
      <c r="AO2453">
        <v>0</v>
      </c>
      <c r="AQ2453">
        <v>0</v>
      </c>
      <c r="AR2453">
        <v>0</v>
      </c>
      <c r="AT2453">
        <v>0</v>
      </c>
      <c r="AU2453">
        <v>0</v>
      </c>
      <c r="AW2453">
        <v>0</v>
      </c>
      <c r="AX2453">
        <v>0</v>
      </c>
      <c r="AY2453">
        <v>70</v>
      </c>
      <c r="BC2453" t="str">
        <f>T("9791159287527")</f>
        <v>9791159287527</v>
      </c>
      <c r="BE2453" t="str">
        <f>T("판타지 웹소설 &gt; 정통 판타지")</f>
        <v>판타지 웹소설 &gt; 정통 판타지</v>
      </c>
    </row>
    <row r="2454" spans="1:57" x14ac:dyDescent="0.3">
      <c r="A2454">
        <v>1525008428</v>
      </c>
      <c r="B2454">
        <v>1525008473</v>
      </c>
      <c r="C2454" t="str">
        <f>T("무히비(Muhibbi) 60화")</f>
        <v>무히비(Muhibbi) 60화</v>
      </c>
      <c r="D2454" t="str">
        <f>T("60")</f>
        <v>60</v>
      </c>
      <c r="E2454" t="str">
        <f>T("jooki")</f>
        <v>jooki</v>
      </c>
      <c r="H2454" t="str">
        <f>T("블러쉬")</f>
        <v>블러쉬</v>
      </c>
      <c r="I2454" t="str">
        <f>T("무히비(Muhibbi)")</f>
        <v>무히비(Muhibbi)</v>
      </c>
      <c r="J2454">
        <v>100</v>
      </c>
      <c r="K2454">
        <v>100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100</v>
      </c>
      <c r="AH2454">
        <v>1</v>
      </c>
      <c r="AI2454">
        <v>0</v>
      </c>
      <c r="AJ2454">
        <v>0</v>
      </c>
      <c r="AK2454">
        <v>100</v>
      </c>
      <c r="AL2454">
        <v>0</v>
      </c>
      <c r="AM2454">
        <v>0</v>
      </c>
      <c r="AN2454">
        <v>0</v>
      </c>
      <c r="AO2454">
        <v>0</v>
      </c>
      <c r="AQ2454">
        <v>0</v>
      </c>
      <c r="AR2454">
        <v>0</v>
      </c>
      <c r="AT2454">
        <v>0</v>
      </c>
      <c r="AU2454">
        <v>0</v>
      </c>
      <c r="AW2454">
        <v>0</v>
      </c>
      <c r="AX2454">
        <v>0</v>
      </c>
      <c r="AY2454">
        <v>70</v>
      </c>
      <c r="BC2454" t="str">
        <f>T("9791164896622")</f>
        <v>9791164896622</v>
      </c>
      <c r="BE2454" t="str">
        <f>T("BL 웹소설 &gt; 역사/시대물")</f>
        <v>BL 웹소설 &gt; 역사/시대물</v>
      </c>
    </row>
    <row r="2455" spans="1:57" x14ac:dyDescent="0.3">
      <c r="A2455">
        <v>1525011523</v>
      </c>
      <c r="B2455">
        <v>1525011288</v>
      </c>
      <c r="C2455" t="str">
        <f>T("남창목가 236화")</f>
        <v>남창목가 236화</v>
      </c>
      <c r="D2455" t="str">
        <f>T("236")</f>
        <v>236</v>
      </c>
      <c r="E2455" t="str">
        <f>T("최재봉")</f>
        <v>최재봉</v>
      </c>
      <c r="H2455" t="str">
        <f>T("에필로그")</f>
        <v>에필로그</v>
      </c>
      <c r="I2455" t="str">
        <f>T("남창목가")</f>
        <v>남창목가</v>
      </c>
      <c r="J2455">
        <v>100</v>
      </c>
      <c r="K2455">
        <v>100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100</v>
      </c>
      <c r="AH2455">
        <v>1</v>
      </c>
      <c r="AI2455">
        <v>0</v>
      </c>
      <c r="AJ2455">
        <v>0</v>
      </c>
      <c r="AK2455">
        <v>0</v>
      </c>
      <c r="AL2455">
        <v>0</v>
      </c>
      <c r="AM2455">
        <v>120</v>
      </c>
      <c r="AN2455">
        <v>-12</v>
      </c>
      <c r="AO2455">
        <v>0</v>
      </c>
      <c r="AQ2455">
        <v>0</v>
      </c>
      <c r="AR2455">
        <v>0</v>
      </c>
      <c r="AS2455">
        <v>120</v>
      </c>
      <c r="AT2455">
        <v>-12</v>
      </c>
      <c r="AU2455">
        <v>0</v>
      </c>
      <c r="AW2455">
        <v>0</v>
      </c>
      <c r="AX2455">
        <v>0</v>
      </c>
      <c r="AY2455">
        <v>75.599999999999994</v>
      </c>
      <c r="BC2455" t="str">
        <f>T("9791164482849")</f>
        <v>9791164482849</v>
      </c>
      <c r="BE2455" t="str">
        <f>T("판타지 웹소설 &gt; 무협 소설")</f>
        <v>판타지 웹소설 &gt; 무협 소설</v>
      </c>
    </row>
    <row r="2456" spans="1:57" x14ac:dyDescent="0.3">
      <c r="A2456">
        <v>1525011523</v>
      </c>
      <c r="B2456">
        <v>1525011483</v>
      </c>
      <c r="C2456" t="str">
        <f>T("남창목가 41화")</f>
        <v>남창목가 41화</v>
      </c>
      <c r="D2456" t="str">
        <f>T("41")</f>
        <v>41</v>
      </c>
      <c r="E2456" t="str">
        <f>T("최재봉")</f>
        <v>최재봉</v>
      </c>
      <c r="H2456" t="str">
        <f>T("에필로그")</f>
        <v>에필로그</v>
      </c>
      <c r="I2456" t="str">
        <f>T("남창목가")</f>
        <v>남창목가</v>
      </c>
      <c r="J2456">
        <v>100</v>
      </c>
      <c r="K2456">
        <v>100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100</v>
      </c>
      <c r="AH2456">
        <v>1</v>
      </c>
      <c r="AI2456">
        <v>0</v>
      </c>
      <c r="AJ2456">
        <v>0</v>
      </c>
      <c r="AK2456">
        <v>100</v>
      </c>
      <c r="AL2456">
        <v>0</v>
      </c>
      <c r="AM2456">
        <v>0</v>
      </c>
      <c r="AN2456">
        <v>0</v>
      </c>
      <c r="AO2456">
        <v>0</v>
      </c>
      <c r="AQ2456">
        <v>0</v>
      </c>
      <c r="AR2456">
        <v>0</v>
      </c>
      <c r="AT2456">
        <v>0</v>
      </c>
      <c r="AU2456">
        <v>0</v>
      </c>
      <c r="AW2456">
        <v>0</v>
      </c>
      <c r="AX2456">
        <v>0</v>
      </c>
      <c r="AY2456">
        <v>70</v>
      </c>
      <c r="BC2456" t="str">
        <f>T("9791164482849")</f>
        <v>9791164482849</v>
      </c>
      <c r="BE2456" t="str">
        <f>T("판타지 웹소설 &gt; 무협 소설")</f>
        <v>판타지 웹소설 &gt; 무협 소설</v>
      </c>
    </row>
    <row r="2457" spans="1:57" x14ac:dyDescent="0.3">
      <c r="A2457">
        <v>1525012551</v>
      </c>
      <c r="B2457">
        <v>1525012589</v>
      </c>
      <c r="C2457" t="str">
        <f>T("개정판 | 바보가 만드는 멋진 세상 39화")</f>
        <v>개정판 | 바보가 만드는 멋진 세상 39화</v>
      </c>
      <c r="D2457" t="str">
        <f>T("39")</f>
        <v>39</v>
      </c>
      <c r="E2457" t="str">
        <f>T("백범(白帆)")</f>
        <v>백범(白帆)</v>
      </c>
      <c r="H2457" t="str">
        <f>T("에필로그")</f>
        <v>에필로그</v>
      </c>
      <c r="I2457" t="str">
        <f>T("개정판 | 바보가 만드는 멋진 세상")</f>
        <v>개정판 | 바보가 만드는 멋진 세상</v>
      </c>
      <c r="J2457">
        <v>100</v>
      </c>
      <c r="K2457">
        <v>100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100</v>
      </c>
      <c r="AH2457">
        <v>1</v>
      </c>
      <c r="AI2457">
        <v>0</v>
      </c>
      <c r="AJ2457">
        <v>0</v>
      </c>
      <c r="AK2457">
        <v>100</v>
      </c>
      <c r="AL2457">
        <v>0</v>
      </c>
      <c r="AM2457">
        <v>0</v>
      </c>
      <c r="AN2457">
        <v>0</v>
      </c>
      <c r="AO2457">
        <v>0</v>
      </c>
      <c r="AQ2457">
        <v>0</v>
      </c>
      <c r="AR2457">
        <v>0</v>
      </c>
      <c r="AT2457">
        <v>0</v>
      </c>
      <c r="AU2457">
        <v>0</v>
      </c>
      <c r="AW2457">
        <v>0</v>
      </c>
      <c r="AX2457">
        <v>0</v>
      </c>
      <c r="AY2457">
        <v>70</v>
      </c>
      <c r="BC2457" t="str">
        <f>T("9791166003493")</f>
        <v>9791166003493</v>
      </c>
      <c r="BE2457" t="str">
        <f>T("판타지 웹소설 &gt; 현대 판타지")</f>
        <v>판타지 웹소설 &gt; 현대 판타지</v>
      </c>
    </row>
    <row r="2458" spans="1:57" x14ac:dyDescent="0.3">
      <c r="A2458">
        <v>1525004799</v>
      </c>
      <c r="B2458">
        <v>1525004939</v>
      </c>
      <c r="C2458" t="str">
        <f>T("검산도해 141화")</f>
        <v>검산도해 141화</v>
      </c>
      <c r="D2458" t="str">
        <f>T("141")</f>
        <v>141</v>
      </c>
      <c r="E2458" t="str">
        <f>T("권용찬")</f>
        <v>권용찬</v>
      </c>
      <c r="H2458" t="str">
        <f>T("스토리위즈")</f>
        <v>스토리위즈</v>
      </c>
      <c r="I2458" t="str">
        <f>T("검산도해")</f>
        <v>검산도해</v>
      </c>
      <c r="J2458">
        <v>100</v>
      </c>
      <c r="K2458">
        <v>100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100</v>
      </c>
      <c r="AH2458">
        <v>1</v>
      </c>
      <c r="AI2458">
        <v>0</v>
      </c>
      <c r="AJ2458">
        <v>0</v>
      </c>
      <c r="AK2458">
        <v>0</v>
      </c>
      <c r="AL2458">
        <v>0</v>
      </c>
      <c r="AM2458">
        <v>120</v>
      </c>
      <c r="AN2458">
        <v>-12</v>
      </c>
      <c r="AO2458">
        <v>0</v>
      </c>
      <c r="AQ2458">
        <v>0</v>
      </c>
      <c r="AR2458">
        <v>0</v>
      </c>
      <c r="AS2458">
        <v>120</v>
      </c>
      <c r="AT2458">
        <v>-12</v>
      </c>
      <c r="AU2458">
        <v>0</v>
      </c>
      <c r="AW2458">
        <v>0</v>
      </c>
      <c r="AX2458">
        <v>0</v>
      </c>
      <c r="AY2458">
        <v>75.599999999999994</v>
      </c>
      <c r="BC2458" t="str">
        <f>T("9791159285936")</f>
        <v>9791159285936</v>
      </c>
      <c r="BE2458" t="str">
        <f>T("판타지 웹소설 &gt; 무협 소설")</f>
        <v>판타지 웹소설 &gt; 무협 소설</v>
      </c>
    </row>
    <row r="2459" spans="1:57" x14ac:dyDescent="0.3">
      <c r="A2459">
        <v>1525004030</v>
      </c>
      <c r="B2459">
        <v>1525007028</v>
      </c>
      <c r="C2459" t="str">
        <f>T("회귀의 전설 2부 912화")</f>
        <v>회귀의 전설 2부 912화</v>
      </c>
      <c r="D2459" t="str">
        <f>T("912")</f>
        <v>912</v>
      </c>
      <c r="E2459" t="str">
        <f>T("김광수")</f>
        <v>김광수</v>
      </c>
      <c r="H2459" t="str">
        <f>T("스토리위즈")</f>
        <v>스토리위즈</v>
      </c>
      <c r="I2459" t="str">
        <f>T("회귀의 전설")</f>
        <v>회귀의 전설</v>
      </c>
      <c r="J2459">
        <v>100</v>
      </c>
      <c r="K2459">
        <v>100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100</v>
      </c>
      <c r="AH2459">
        <v>1</v>
      </c>
      <c r="AI2459">
        <v>0</v>
      </c>
      <c r="AJ2459">
        <v>0</v>
      </c>
      <c r="AK2459">
        <v>100</v>
      </c>
      <c r="AL2459">
        <v>0</v>
      </c>
      <c r="AM2459">
        <v>0</v>
      </c>
      <c r="AN2459">
        <v>0</v>
      </c>
      <c r="AO2459">
        <v>0</v>
      </c>
      <c r="AQ2459">
        <v>0</v>
      </c>
      <c r="AR2459">
        <v>0</v>
      </c>
      <c r="AT2459">
        <v>0</v>
      </c>
      <c r="AU2459">
        <v>0</v>
      </c>
      <c r="AW2459">
        <v>0</v>
      </c>
      <c r="AX2459">
        <v>0</v>
      </c>
      <c r="AY2459">
        <v>70</v>
      </c>
      <c r="BC2459" t="str">
        <f>T("9791191102086")</f>
        <v>9791191102086</v>
      </c>
      <c r="BE2459" t="str">
        <f>T("판타지 웹소설 &gt; 현대 판타지")</f>
        <v>판타지 웹소설 &gt; 현대 판타지</v>
      </c>
    </row>
    <row r="2460" spans="1:57" x14ac:dyDescent="0.3">
      <c r="A2460">
        <v>1525004030</v>
      </c>
      <c r="B2460">
        <v>1525006656</v>
      </c>
      <c r="C2460" t="str">
        <f>T("회귀의 전설 2부 539화")</f>
        <v>회귀의 전설 2부 539화</v>
      </c>
      <c r="D2460" t="str">
        <f>T("539")</f>
        <v>539</v>
      </c>
      <c r="E2460" t="str">
        <f>T("김광수")</f>
        <v>김광수</v>
      </c>
      <c r="H2460" t="str">
        <f>T("스토리위즈")</f>
        <v>스토리위즈</v>
      </c>
      <c r="I2460" t="str">
        <f>T("회귀의 전설")</f>
        <v>회귀의 전설</v>
      </c>
      <c r="J2460">
        <v>100</v>
      </c>
      <c r="K2460">
        <v>100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100</v>
      </c>
      <c r="AH2460">
        <v>1</v>
      </c>
      <c r="AI2460">
        <v>0</v>
      </c>
      <c r="AJ2460">
        <v>0</v>
      </c>
      <c r="AK2460">
        <v>100</v>
      </c>
      <c r="AL2460">
        <v>0</v>
      </c>
      <c r="AM2460">
        <v>0</v>
      </c>
      <c r="AN2460">
        <v>0</v>
      </c>
      <c r="AO2460">
        <v>0</v>
      </c>
      <c r="AQ2460">
        <v>0</v>
      </c>
      <c r="AR2460">
        <v>0</v>
      </c>
      <c r="AT2460">
        <v>0</v>
      </c>
      <c r="AU2460">
        <v>0</v>
      </c>
      <c r="AW2460">
        <v>0</v>
      </c>
      <c r="AX2460">
        <v>0</v>
      </c>
      <c r="AY2460">
        <v>70</v>
      </c>
      <c r="BC2460" t="str">
        <f>T("9791191102086")</f>
        <v>9791191102086</v>
      </c>
      <c r="BE2460" t="str">
        <f>T("판타지 웹소설 &gt; 현대 판타지")</f>
        <v>판타지 웹소설 &gt; 현대 판타지</v>
      </c>
    </row>
    <row r="2461" spans="1:57" x14ac:dyDescent="0.3">
      <c r="A2461">
        <v>1525004030</v>
      </c>
      <c r="B2461">
        <v>1525006987</v>
      </c>
      <c r="C2461" t="str">
        <f>T("회귀의 전설 2부 871화")</f>
        <v>회귀의 전설 2부 871화</v>
      </c>
      <c r="D2461" t="str">
        <f>T("871")</f>
        <v>871</v>
      </c>
      <c r="E2461" t="str">
        <f>T("김광수")</f>
        <v>김광수</v>
      </c>
      <c r="H2461" t="str">
        <f>T("스토리위즈")</f>
        <v>스토리위즈</v>
      </c>
      <c r="I2461" t="str">
        <f>T("회귀의 전설")</f>
        <v>회귀의 전설</v>
      </c>
      <c r="J2461">
        <v>100</v>
      </c>
      <c r="K2461">
        <v>100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100</v>
      </c>
      <c r="AH2461">
        <v>1</v>
      </c>
      <c r="AI2461">
        <v>0</v>
      </c>
      <c r="AJ2461">
        <v>0</v>
      </c>
      <c r="AK2461">
        <v>100</v>
      </c>
      <c r="AL2461">
        <v>0</v>
      </c>
      <c r="AM2461">
        <v>0</v>
      </c>
      <c r="AN2461">
        <v>0</v>
      </c>
      <c r="AO2461">
        <v>0</v>
      </c>
      <c r="AQ2461">
        <v>0</v>
      </c>
      <c r="AR2461">
        <v>0</v>
      </c>
      <c r="AT2461">
        <v>0</v>
      </c>
      <c r="AU2461">
        <v>0</v>
      </c>
      <c r="AW2461">
        <v>0</v>
      </c>
      <c r="AX2461">
        <v>0</v>
      </c>
      <c r="AY2461">
        <v>70</v>
      </c>
      <c r="BC2461" t="str">
        <f>T("9791191102086")</f>
        <v>9791191102086</v>
      </c>
      <c r="BE2461" t="str">
        <f>T("판타지 웹소설 &gt; 현대 판타지")</f>
        <v>판타지 웹소설 &gt; 현대 판타지</v>
      </c>
    </row>
    <row r="2462" spans="1:57" x14ac:dyDescent="0.3">
      <c r="A2462">
        <v>1525011523</v>
      </c>
      <c r="B2462">
        <v>1525011383</v>
      </c>
      <c r="C2462" t="str">
        <f>T("남창목가 141화")</f>
        <v>남창목가 141화</v>
      </c>
      <c r="D2462" t="str">
        <f>T("141")</f>
        <v>141</v>
      </c>
      <c r="E2462" t="str">
        <f>T("최재봉")</f>
        <v>최재봉</v>
      </c>
      <c r="H2462" t="str">
        <f>T("에필로그")</f>
        <v>에필로그</v>
      </c>
      <c r="I2462" t="str">
        <f>T("남창목가")</f>
        <v>남창목가</v>
      </c>
      <c r="J2462">
        <v>100</v>
      </c>
      <c r="K2462">
        <v>100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100</v>
      </c>
      <c r="AH2462">
        <v>1</v>
      </c>
      <c r="AI2462">
        <v>0</v>
      </c>
      <c r="AJ2462">
        <v>0</v>
      </c>
      <c r="AK2462">
        <v>0</v>
      </c>
      <c r="AL2462">
        <v>0</v>
      </c>
      <c r="AM2462">
        <v>120</v>
      </c>
      <c r="AN2462">
        <v>-12</v>
      </c>
      <c r="AO2462">
        <v>0</v>
      </c>
      <c r="AQ2462">
        <v>0</v>
      </c>
      <c r="AR2462">
        <v>0</v>
      </c>
      <c r="AS2462">
        <v>120</v>
      </c>
      <c r="AT2462">
        <v>-12</v>
      </c>
      <c r="AU2462">
        <v>0</v>
      </c>
      <c r="AW2462">
        <v>0</v>
      </c>
      <c r="AX2462">
        <v>0</v>
      </c>
      <c r="AY2462">
        <v>75.599999999999994</v>
      </c>
      <c r="BC2462" t="str">
        <f>T("9791164482849")</f>
        <v>9791164482849</v>
      </c>
      <c r="BE2462" t="str">
        <f>T("판타지 웹소설 &gt; 무협 소설")</f>
        <v>판타지 웹소설 &gt; 무협 소설</v>
      </c>
    </row>
    <row r="2463" spans="1:57" x14ac:dyDescent="0.3">
      <c r="A2463">
        <v>1525013020</v>
      </c>
      <c r="B2463">
        <v>1525013069</v>
      </c>
      <c r="C2463" t="str">
        <f>T("악당의 리턴 50화")</f>
        <v>악당의 리턴 50화</v>
      </c>
      <c r="D2463" t="str">
        <f>T("50")</f>
        <v>50</v>
      </c>
      <c r="E2463" t="str">
        <f>T("백범(白帆)")</f>
        <v>백범(白帆)</v>
      </c>
      <c r="H2463" t="str">
        <f>T("에필로그")</f>
        <v>에필로그</v>
      </c>
      <c r="I2463" t="str">
        <f>T("악당의 리턴")</f>
        <v>악당의 리턴</v>
      </c>
      <c r="J2463">
        <v>100</v>
      </c>
      <c r="K2463">
        <v>100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100</v>
      </c>
      <c r="AH2463">
        <v>1</v>
      </c>
      <c r="AI2463">
        <v>0</v>
      </c>
      <c r="AJ2463">
        <v>0</v>
      </c>
      <c r="AK2463">
        <v>100</v>
      </c>
      <c r="AL2463">
        <v>0</v>
      </c>
      <c r="AM2463">
        <v>0</v>
      </c>
      <c r="AN2463">
        <v>0</v>
      </c>
      <c r="AO2463">
        <v>0</v>
      </c>
      <c r="AQ2463">
        <v>0</v>
      </c>
      <c r="AR2463">
        <v>0</v>
      </c>
      <c r="AT2463">
        <v>0</v>
      </c>
      <c r="AU2463">
        <v>0</v>
      </c>
      <c r="AW2463">
        <v>0</v>
      </c>
      <c r="AX2463">
        <v>0</v>
      </c>
      <c r="AY2463">
        <v>70</v>
      </c>
      <c r="BC2463" t="str">
        <f>T("9791196538927")</f>
        <v>9791196538927</v>
      </c>
      <c r="BE2463" t="str">
        <f>T("판타지 웹소설 &gt; 현대 판타지")</f>
        <v>판타지 웹소설 &gt; 현대 판타지</v>
      </c>
    </row>
    <row r="2464" spans="1:57" x14ac:dyDescent="0.3">
      <c r="A2464">
        <v>1525004030</v>
      </c>
      <c r="B2464">
        <v>1525007143</v>
      </c>
      <c r="C2464" t="str">
        <f>T("회귀의 전설 2부 1026화")</f>
        <v>회귀의 전설 2부 1026화</v>
      </c>
      <c r="D2464" t="str">
        <f>T("1026")</f>
        <v>1026</v>
      </c>
      <c r="E2464" t="str">
        <f>T("김광수")</f>
        <v>김광수</v>
      </c>
      <c r="H2464" t="str">
        <f>T("스토리위즈")</f>
        <v>스토리위즈</v>
      </c>
      <c r="I2464" t="str">
        <f>T("회귀의 전설")</f>
        <v>회귀의 전설</v>
      </c>
      <c r="J2464">
        <v>100</v>
      </c>
      <c r="K2464">
        <v>100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100</v>
      </c>
      <c r="AH2464">
        <v>1</v>
      </c>
      <c r="AI2464">
        <v>0</v>
      </c>
      <c r="AJ2464">
        <v>0</v>
      </c>
      <c r="AK2464">
        <v>100</v>
      </c>
      <c r="AL2464">
        <v>0</v>
      </c>
      <c r="AM2464">
        <v>0</v>
      </c>
      <c r="AN2464">
        <v>0</v>
      </c>
      <c r="AO2464">
        <v>0</v>
      </c>
      <c r="AQ2464">
        <v>0</v>
      </c>
      <c r="AR2464">
        <v>0</v>
      </c>
      <c r="AT2464">
        <v>0</v>
      </c>
      <c r="AU2464">
        <v>0</v>
      </c>
      <c r="AW2464">
        <v>0</v>
      </c>
      <c r="AX2464">
        <v>0</v>
      </c>
      <c r="AY2464">
        <v>70</v>
      </c>
      <c r="BC2464" t="str">
        <f>T("9791191102086")</f>
        <v>9791191102086</v>
      </c>
      <c r="BE2464" t="str">
        <f>T("판타지 웹소설 &gt; 현대 판타지")</f>
        <v>판타지 웹소설 &gt; 현대 판타지</v>
      </c>
    </row>
    <row r="2465" spans="1:57" x14ac:dyDescent="0.3">
      <c r="A2465">
        <v>1525012551</v>
      </c>
      <c r="B2465">
        <v>1525012743</v>
      </c>
      <c r="C2465" t="str">
        <f>T("개정판 | 바보가 만드는 멋진 세상 193화")</f>
        <v>개정판 | 바보가 만드는 멋진 세상 193화</v>
      </c>
      <c r="D2465" t="str">
        <f>T("193")</f>
        <v>193</v>
      </c>
      <c r="E2465" t="str">
        <f>T("백범(白帆)")</f>
        <v>백범(白帆)</v>
      </c>
      <c r="H2465" t="str">
        <f>T("에필로그")</f>
        <v>에필로그</v>
      </c>
      <c r="I2465" t="str">
        <f>T("개정판 | 바보가 만드는 멋진 세상")</f>
        <v>개정판 | 바보가 만드는 멋진 세상</v>
      </c>
      <c r="J2465">
        <v>100</v>
      </c>
      <c r="K2465">
        <v>100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100</v>
      </c>
      <c r="AH2465">
        <v>1</v>
      </c>
      <c r="AI2465">
        <v>0</v>
      </c>
      <c r="AJ2465">
        <v>0</v>
      </c>
      <c r="AK2465">
        <v>100</v>
      </c>
      <c r="AL2465">
        <v>0</v>
      </c>
      <c r="AM2465">
        <v>0</v>
      </c>
      <c r="AN2465">
        <v>0</v>
      </c>
      <c r="AO2465">
        <v>0</v>
      </c>
      <c r="AQ2465">
        <v>0</v>
      </c>
      <c r="AR2465">
        <v>0</v>
      </c>
      <c r="AT2465">
        <v>0</v>
      </c>
      <c r="AU2465">
        <v>0</v>
      </c>
      <c r="AW2465">
        <v>0</v>
      </c>
      <c r="AX2465">
        <v>0</v>
      </c>
      <c r="AY2465">
        <v>70</v>
      </c>
      <c r="BC2465" t="str">
        <f>T("9791166003493")</f>
        <v>9791166003493</v>
      </c>
      <c r="BE2465" t="str">
        <f>T("판타지 웹소설 &gt; 현대 판타지")</f>
        <v>판타지 웹소설 &gt; 현대 판타지</v>
      </c>
    </row>
    <row r="2466" spans="1:57" x14ac:dyDescent="0.3">
      <c r="A2466">
        <v>1525008428</v>
      </c>
      <c r="B2466">
        <v>1525008508</v>
      </c>
      <c r="C2466" t="str">
        <f>T("무히비(Muhibbi) 92화")</f>
        <v>무히비(Muhibbi) 92화</v>
      </c>
      <c r="D2466" t="str">
        <f>T("92")</f>
        <v>92</v>
      </c>
      <c r="E2466" t="str">
        <f>T("jooki")</f>
        <v>jooki</v>
      </c>
      <c r="H2466" t="str">
        <f>T("블러쉬")</f>
        <v>블러쉬</v>
      </c>
      <c r="I2466" t="str">
        <f>T("무히비(Muhibbi)")</f>
        <v>무히비(Muhibbi)</v>
      </c>
      <c r="J2466">
        <v>100</v>
      </c>
      <c r="K2466">
        <v>100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100</v>
      </c>
      <c r="AH2466">
        <v>1</v>
      </c>
      <c r="AI2466">
        <v>0</v>
      </c>
      <c r="AJ2466">
        <v>0</v>
      </c>
      <c r="AK2466">
        <v>100</v>
      </c>
      <c r="AL2466">
        <v>0</v>
      </c>
      <c r="AM2466">
        <v>0</v>
      </c>
      <c r="AN2466">
        <v>0</v>
      </c>
      <c r="AO2466">
        <v>0</v>
      </c>
      <c r="AQ2466">
        <v>0</v>
      </c>
      <c r="AR2466">
        <v>0</v>
      </c>
      <c r="AT2466">
        <v>0</v>
      </c>
      <c r="AU2466">
        <v>0</v>
      </c>
      <c r="AW2466">
        <v>0</v>
      </c>
      <c r="AX2466">
        <v>0</v>
      </c>
      <c r="AY2466">
        <v>70</v>
      </c>
      <c r="BA2466" t="str">
        <f>T("0000000000000")</f>
        <v>0000000000000</v>
      </c>
      <c r="BC2466" t="str">
        <f>T("9791164896622")</f>
        <v>9791164896622</v>
      </c>
      <c r="BE2466" t="str">
        <f>T("BL 웹소설 &gt; 역사/시대물")</f>
        <v>BL 웹소설 &gt; 역사/시대물</v>
      </c>
    </row>
    <row r="2467" spans="1:57" x14ac:dyDescent="0.3">
      <c r="A2467">
        <v>1525012551</v>
      </c>
      <c r="B2467">
        <v>1525012621</v>
      </c>
      <c r="C2467" t="str">
        <f>T("개정판 | 바보가 만드는 멋진 세상 71화")</f>
        <v>개정판 | 바보가 만드는 멋진 세상 71화</v>
      </c>
      <c r="D2467" t="str">
        <f>T("71")</f>
        <v>71</v>
      </c>
      <c r="E2467" t="str">
        <f>T("백범(白帆)")</f>
        <v>백범(白帆)</v>
      </c>
      <c r="H2467" t="str">
        <f>T("에필로그")</f>
        <v>에필로그</v>
      </c>
      <c r="I2467" t="str">
        <f>T("개정판 | 바보가 만드는 멋진 세상")</f>
        <v>개정판 | 바보가 만드는 멋진 세상</v>
      </c>
      <c r="J2467">
        <v>100</v>
      </c>
      <c r="K2467">
        <v>100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100</v>
      </c>
      <c r="AH2467">
        <v>1</v>
      </c>
      <c r="AI2467">
        <v>0</v>
      </c>
      <c r="AJ2467">
        <v>0</v>
      </c>
      <c r="AK2467">
        <v>100</v>
      </c>
      <c r="AL2467">
        <v>0</v>
      </c>
      <c r="AM2467">
        <v>0</v>
      </c>
      <c r="AN2467">
        <v>0</v>
      </c>
      <c r="AO2467">
        <v>0</v>
      </c>
      <c r="AQ2467">
        <v>0</v>
      </c>
      <c r="AR2467">
        <v>0</v>
      </c>
      <c r="AT2467">
        <v>0</v>
      </c>
      <c r="AU2467">
        <v>0</v>
      </c>
      <c r="AW2467">
        <v>0</v>
      </c>
      <c r="AX2467">
        <v>0</v>
      </c>
      <c r="AY2467">
        <v>70</v>
      </c>
      <c r="BC2467" t="str">
        <f>T("9791166003493")</f>
        <v>9791166003493</v>
      </c>
      <c r="BE2467" t="str">
        <f>T("판타지 웹소설 &gt; 현대 판타지")</f>
        <v>판타지 웹소설 &gt; 현대 판타지</v>
      </c>
    </row>
    <row r="2468" spans="1:57" x14ac:dyDescent="0.3">
      <c r="A2468">
        <v>1525000924</v>
      </c>
      <c r="B2468">
        <v>1525000954</v>
      </c>
      <c r="C2468" t="str">
        <f>T("스피릿 소드 31화")</f>
        <v>스피릿 소드 31화</v>
      </c>
      <c r="D2468" t="str">
        <f>T("31")</f>
        <v>31</v>
      </c>
      <c r="E2468" t="str">
        <f>T("김정률")</f>
        <v>김정률</v>
      </c>
      <c r="H2468" t="str">
        <f>T("스토리위즈")</f>
        <v>스토리위즈</v>
      </c>
      <c r="I2468" t="str">
        <f>T("스피릿 소드")</f>
        <v>스피릿 소드</v>
      </c>
      <c r="J2468">
        <v>100</v>
      </c>
      <c r="K2468">
        <v>100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100</v>
      </c>
      <c r="AH2468">
        <v>1</v>
      </c>
      <c r="AI2468">
        <v>0</v>
      </c>
      <c r="AJ2468">
        <v>0</v>
      </c>
      <c r="AK2468">
        <v>100</v>
      </c>
      <c r="AL2468">
        <v>0</v>
      </c>
      <c r="AM2468">
        <v>0</v>
      </c>
      <c r="AN2468">
        <v>0</v>
      </c>
      <c r="AO2468">
        <v>0</v>
      </c>
      <c r="AQ2468">
        <v>0</v>
      </c>
      <c r="AR2468">
        <v>0</v>
      </c>
      <c r="AT2468">
        <v>0</v>
      </c>
      <c r="AU2468">
        <v>0</v>
      </c>
      <c r="AW2468">
        <v>0</v>
      </c>
      <c r="AX2468">
        <v>0</v>
      </c>
      <c r="AY2468">
        <v>70</v>
      </c>
      <c r="BA2468" t="str">
        <f>T("9791159282713")</f>
        <v>9791159282713</v>
      </c>
      <c r="BC2468" t="str">
        <f>T("9791159282713")</f>
        <v>9791159282713</v>
      </c>
      <c r="BE2468" t="str">
        <f>T("판타지 웹소설 &gt; 정통 판타지")</f>
        <v>판타지 웹소설 &gt; 정통 판타지</v>
      </c>
    </row>
    <row r="2469" spans="1:57" x14ac:dyDescent="0.3">
      <c r="A2469">
        <v>1525013020</v>
      </c>
      <c r="B2469">
        <v>1525013101</v>
      </c>
      <c r="C2469" t="str">
        <f>T("악당의 리턴 82화")</f>
        <v>악당의 리턴 82화</v>
      </c>
      <c r="D2469" t="str">
        <f>T("82")</f>
        <v>82</v>
      </c>
      <c r="E2469" t="str">
        <f>T("백범(白帆)")</f>
        <v>백범(白帆)</v>
      </c>
      <c r="H2469" t="str">
        <f>T("에필로그")</f>
        <v>에필로그</v>
      </c>
      <c r="I2469" t="str">
        <f>T("악당의 리턴")</f>
        <v>악당의 리턴</v>
      </c>
      <c r="J2469">
        <v>100</v>
      </c>
      <c r="K2469">
        <v>100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100</v>
      </c>
      <c r="AH2469">
        <v>1</v>
      </c>
      <c r="AI2469">
        <v>0</v>
      </c>
      <c r="AJ2469">
        <v>0</v>
      </c>
      <c r="AK2469">
        <v>100</v>
      </c>
      <c r="AL2469">
        <v>0</v>
      </c>
      <c r="AM2469">
        <v>0</v>
      </c>
      <c r="AN2469">
        <v>0</v>
      </c>
      <c r="AO2469">
        <v>0</v>
      </c>
      <c r="AQ2469">
        <v>0</v>
      </c>
      <c r="AR2469">
        <v>0</v>
      </c>
      <c r="AT2469">
        <v>0</v>
      </c>
      <c r="AU2469">
        <v>0</v>
      </c>
      <c r="AW2469">
        <v>0</v>
      </c>
      <c r="AX2469">
        <v>0</v>
      </c>
      <c r="AY2469">
        <v>70</v>
      </c>
      <c r="BC2469" t="str">
        <f>T("9791196538927")</f>
        <v>9791196538927</v>
      </c>
      <c r="BE2469" t="str">
        <f>T("판타지 웹소설 &gt; 현대 판타지")</f>
        <v>판타지 웹소설 &gt; 현대 판타지</v>
      </c>
    </row>
    <row r="2470" spans="1:57" x14ac:dyDescent="0.3">
      <c r="A2470">
        <v>1525012551</v>
      </c>
      <c r="B2470">
        <v>1525012662</v>
      </c>
      <c r="C2470" t="str">
        <f>T("개정판 | 바보가 만드는 멋진 세상 112화")</f>
        <v>개정판 | 바보가 만드는 멋진 세상 112화</v>
      </c>
      <c r="D2470" t="str">
        <f>T("112")</f>
        <v>112</v>
      </c>
      <c r="E2470" t="str">
        <f>T("백범(白帆)")</f>
        <v>백범(白帆)</v>
      </c>
      <c r="H2470" t="str">
        <f>T("에필로그")</f>
        <v>에필로그</v>
      </c>
      <c r="I2470" t="str">
        <f>T("개정판 | 바보가 만드는 멋진 세상")</f>
        <v>개정판 | 바보가 만드는 멋진 세상</v>
      </c>
      <c r="J2470">
        <v>100</v>
      </c>
      <c r="K2470">
        <v>100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100</v>
      </c>
      <c r="AH2470">
        <v>1</v>
      </c>
      <c r="AI2470">
        <v>0</v>
      </c>
      <c r="AJ2470">
        <v>0</v>
      </c>
      <c r="AK2470">
        <v>100</v>
      </c>
      <c r="AL2470">
        <v>0</v>
      </c>
      <c r="AM2470">
        <v>0</v>
      </c>
      <c r="AN2470">
        <v>0</v>
      </c>
      <c r="AO2470">
        <v>0</v>
      </c>
      <c r="AQ2470">
        <v>0</v>
      </c>
      <c r="AR2470">
        <v>0</v>
      </c>
      <c r="AT2470">
        <v>0</v>
      </c>
      <c r="AU2470">
        <v>0</v>
      </c>
      <c r="AW2470">
        <v>0</v>
      </c>
      <c r="AX2470">
        <v>0</v>
      </c>
      <c r="AY2470">
        <v>70</v>
      </c>
      <c r="BC2470" t="str">
        <f>T("9791166003493")</f>
        <v>9791166003493</v>
      </c>
      <c r="BE2470" t="str">
        <f>T("판타지 웹소설 &gt; 현대 판타지")</f>
        <v>판타지 웹소설 &gt; 현대 판타지</v>
      </c>
    </row>
    <row r="2471" spans="1:57" x14ac:dyDescent="0.3">
      <c r="A2471">
        <v>1525012551</v>
      </c>
      <c r="B2471">
        <v>1525012760</v>
      </c>
      <c r="C2471" t="str">
        <f>T("개정판 | 바보가 만드는 멋진 세상 210화")</f>
        <v>개정판 | 바보가 만드는 멋진 세상 210화</v>
      </c>
      <c r="D2471" t="str">
        <f>T("210")</f>
        <v>210</v>
      </c>
      <c r="E2471" t="str">
        <f>T("백범(白帆)")</f>
        <v>백범(白帆)</v>
      </c>
      <c r="H2471" t="str">
        <f>T("에필로그")</f>
        <v>에필로그</v>
      </c>
      <c r="I2471" t="str">
        <f>T("개정판 | 바보가 만드는 멋진 세상")</f>
        <v>개정판 | 바보가 만드는 멋진 세상</v>
      </c>
      <c r="J2471">
        <v>100</v>
      </c>
      <c r="K2471">
        <v>100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100</v>
      </c>
      <c r="AH2471">
        <v>1</v>
      </c>
      <c r="AI2471">
        <v>0</v>
      </c>
      <c r="AJ2471">
        <v>0</v>
      </c>
      <c r="AK2471">
        <v>100</v>
      </c>
      <c r="AL2471">
        <v>0</v>
      </c>
      <c r="AM2471">
        <v>0</v>
      </c>
      <c r="AN2471">
        <v>0</v>
      </c>
      <c r="AO2471">
        <v>0</v>
      </c>
      <c r="AQ2471">
        <v>0</v>
      </c>
      <c r="AR2471">
        <v>0</v>
      </c>
      <c r="AT2471">
        <v>0</v>
      </c>
      <c r="AU2471">
        <v>0</v>
      </c>
      <c r="AW2471">
        <v>0</v>
      </c>
      <c r="AX2471">
        <v>0</v>
      </c>
      <c r="AY2471">
        <v>70</v>
      </c>
      <c r="BC2471" t="str">
        <f>T("9791166003493")</f>
        <v>9791166003493</v>
      </c>
      <c r="BE2471" t="str">
        <f>T("판타지 웹소설 &gt; 현대 판타지")</f>
        <v>판타지 웹소설 &gt; 현대 판타지</v>
      </c>
    </row>
    <row r="2472" spans="1:57" x14ac:dyDescent="0.3">
      <c r="A2472">
        <v>1525004799</v>
      </c>
      <c r="B2472">
        <v>1525004833</v>
      </c>
      <c r="C2472" t="str">
        <f>T("검산도해 35화")</f>
        <v>검산도해 35화</v>
      </c>
      <c r="D2472" t="str">
        <f>T("35")</f>
        <v>35</v>
      </c>
      <c r="E2472" t="str">
        <f>T("권용찬")</f>
        <v>권용찬</v>
      </c>
      <c r="H2472" t="str">
        <f>T("스토리위즈")</f>
        <v>스토리위즈</v>
      </c>
      <c r="I2472" t="str">
        <f>T("검산도해")</f>
        <v>검산도해</v>
      </c>
      <c r="J2472">
        <v>100</v>
      </c>
      <c r="K2472">
        <v>100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100</v>
      </c>
      <c r="AH2472">
        <v>1</v>
      </c>
      <c r="AI2472">
        <v>0</v>
      </c>
      <c r="AJ2472">
        <v>0</v>
      </c>
      <c r="AK2472">
        <v>0</v>
      </c>
      <c r="AL2472">
        <v>0</v>
      </c>
      <c r="AM2472">
        <v>120</v>
      </c>
      <c r="AN2472">
        <v>-12</v>
      </c>
      <c r="AO2472">
        <v>0</v>
      </c>
      <c r="AQ2472">
        <v>0</v>
      </c>
      <c r="AR2472">
        <v>0</v>
      </c>
      <c r="AS2472">
        <v>120</v>
      </c>
      <c r="AT2472">
        <v>-12</v>
      </c>
      <c r="AU2472">
        <v>0</v>
      </c>
      <c r="AW2472">
        <v>0</v>
      </c>
      <c r="AX2472">
        <v>0</v>
      </c>
      <c r="AY2472">
        <v>75.599999999999994</v>
      </c>
      <c r="BC2472" t="str">
        <f>T("9791159285936")</f>
        <v>9791159285936</v>
      </c>
      <c r="BE2472" t="str">
        <f>T("판타지 웹소설 &gt; 무협 소설")</f>
        <v>판타지 웹소설 &gt; 무협 소설</v>
      </c>
    </row>
    <row r="2473" spans="1:57" x14ac:dyDescent="0.3">
      <c r="A2473">
        <v>1525004799</v>
      </c>
      <c r="B2473">
        <v>1525004890</v>
      </c>
      <c r="C2473" t="str">
        <f>T("검산도해 92화")</f>
        <v>검산도해 92화</v>
      </c>
      <c r="D2473" t="str">
        <f>T("92")</f>
        <v>92</v>
      </c>
      <c r="E2473" t="str">
        <f>T("권용찬")</f>
        <v>권용찬</v>
      </c>
      <c r="H2473" t="str">
        <f>T("스토리위즈")</f>
        <v>스토리위즈</v>
      </c>
      <c r="I2473" t="str">
        <f>T("검산도해")</f>
        <v>검산도해</v>
      </c>
      <c r="J2473">
        <v>100</v>
      </c>
      <c r="K2473">
        <v>100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100</v>
      </c>
      <c r="AH2473">
        <v>1</v>
      </c>
      <c r="AI2473">
        <v>0</v>
      </c>
      <c r="AJ2473">
        <v>0</v>
      </c>
      <c r="AK2473">
        <v>0</v>
      </c>
      <c r="AL2473">
        <v>0</v>
      </c>
      <c r="AM2473">
        <v>120</v>
      </c>
      <c r="AN2473">
        <v>-12</v>
      </c>
      <c r="AO2473">
        <v>0</v>
      </c>
      <c r="AQ2473">
        <v>0</v>
      </c>
      <c r="AR2473">
        <v>0</v>
      </c>
      <c r="AS2473">
        <v>120</v>
      </c>
      <c r="AT2473">
        <v>-12</v>
      </c>
      <c r="AU2473">
        <v>0</v>
      </c>
      <c r="AW2473">
        <v>0</v>
      </c>
      <c r="AX2473">
        <v>0</v>
      </c>
      <c r="AY2473">
        <v>75.599999999999994</v>
      </c>
      <c r="BC2473" t="str">
        <f>T("9791159285936")</f>
        <v>9791159285936</v>
      </c>
      <c r="BE2473" t="str">
        <f>T("판타지 웹소설 &gt; 무협 소설")</f>
        <v>판타지 웹소설 &gt; 무협 소설</v>
      </c>
    </row>
    <row r="2474" spans="1:57" x14ac:dyDescent="0.3">
      <c r="A2474">
        <v>1525004030</v>
      </c>
      <c r="B2474">
        <v>1525007077</v>
      </c>
      <c r="C2474" t="str">
        <f>T("회귀의 전설 2부 961화")</f>
        <v>회귀의 전설 2부 961화</v>
      </c>
      <c r="D2474" t="str">
        <f>T("961")</f>
        <v>961</v>
      </c>
      <c r="E2474" t="str">
        <f>T("김광수")</f>
        <v>김광수</v>
      </c>
      <c r="H2474" t="str">
        <f>T("스토리위즈")</f>
        <v>스토리위즈</v>
      </c>
      <c r="I2474" t="str">
        <f>T("회귀의 전설")</f>
        <v>회귀의 전설</v>
      </c>
      <c r="J2474">
        <v>100</v>
      </c>
      <c r="K2474">
        <v>100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100</v>
      </c>
      <c r="AH2474">
        <v>1</v>
      </c>
      <c r="AI2474">
        <v>0</v>
      </c>
      <c r="AJ2474">
        <v>0</v>
      </c>
      <c r="AK2474">
        <v>100</v>
      </c>
      <c r="AL2474">
        <v>0</v>
      </c>
      <c r="AM2474">
        <v>0</v>
      </c>
      <c r="AN2474">
        <v>0</v>
      </c>
      <c r="AO2474">
        <v>0</v>
      </c>
      <c r="AQ2474">
        <v>0</v>
      </c>
      <c r="AR2474">
        <v>0</v>
      </c>
      <c r="AT2474">
        <v>0</v>
      </c>
      <c r="AU2474">
        <v>0</v>
      </c>
      <c r="AW2474">
        <v>0</v>
      </c>
      <c r="AX2474">
        <v>0</v>
      </c>
      <c r="AY2474">
        <v>70</v>
      </c>
      <c r="BC2474" t="str">
        <f>T("9791191102086")</f>
        <v>9791191102086</v>
      </c>
      <c r="BE2474" t="str">
        <f>T("판타지 웹소설 &gt; 현대 판타지")</f>
        <v>판타지 웹소설 &gt; 현대 판타지</v>
      </c>
    </row>
    <row r="2475" spans="1:57" x14ac:dyDescent="0.3">
      <c r="A2475">
        <v>1525004030</v>
      </c>
      <c r="B2475">
        <v>1525004548</v>
      </c>
      <c r="C2475" t="str">
        <f>T("회귀의 전설 525화 (1부 완결)")</f>
        <v>회귀의 전설 525화 (1부 완결)</v>
      </c>
      <c r="D2475" t="str">
        <f>T("525")</f>
        <v>525</v>
      </c>
      <c r="E2475" t="str">
        <f>T("김광수")</f>
        <v>김광수</v>
      </c>
      <c r="H2475" t="str">
        <f>T("스토리위즈")</f>
        <v>스토리위즈</v>
      </c>
      <c r="I2475" t="str">
        <f>T("회귀의 전설")</f>
        <v>회귀의 전설</v>
      </c>
      <c r="J2475">
        <v>100</v>
      </c>
      <c r="K2475">
        <v>100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100</v>
      </c>
      <c r="AH2475">
        <v>1</v>
      </c>
      <c r="AI2475">
        <v>0</v>
      </c>
      <c r="AJ2475">
        <v>0</v>
      </c>
      <c r="AK2475">
        <v>100</v>
      </c>
      <c r="AL2475">
        <v>0</v>
      </c>
      <c r="AM2475">
        <v>0</v>
      </c>
      <c r="AN2475">
        <v>0</v>
      </c>
      <c r="AO2475">
        <v>0</v>
      </c>
      <c r="AQ2475">
        <v>0</v>
      </c>
      <c r="AR2475">
        <v>0</v>
      </c>
      <c r="AT2475">
        <v>0</v>
      </c>
      <c r="AU2475">
        <v>0</v>
      </c>
      <c r="AW2475">
        <v>0</v>
      </c>
      <c r="AX2475">
        <v>0</v>
      </c>
      <c r="AY2475">
        <v>70</v>
      </c>
      <c r="BC2475" t="str">
        <f>T("9788997946006")</f>
        <v>9788997946006</v>
      </c>
      <c r="BE2475" t="str">
        <f>T("판타지 웹소설 &gt; 현대 판타지")</f>
        <v>판타지 웹소설 &gt; 현대 판타지</v>
      </c>
    </row>
    <row r="2476" spans="1:57" x14ac:dyDescent="0.3">
      <c r="A2476">
        <v>1525015018</v>
      </c>
      <c r="B2476">
        <v>1525015037</v>
      </c>
      <c r="C2476" t="str">
        <f>T("그녀들은 소꿉친구지, 그 이상은 곤란합니다 20화")</f>
        <v>그녀들은 소꿉친구지, 그 이상은 곤란합니다 20화</v>
      </c>
      <c r="D2476" t="str">
        <f>T("20")</f>
        <v>20</v>
      </c>
      <c r="E2476" t="str">
        <f>T("자이오")</f>
        <v>자이오</v>
      </c>
      <c r="H2476" t="str">
        <f>T("스토리아크")</f>
        <v>스토리아크</v>
      </c>
      <c r="I2476" t="str">
        <f>T("그녀들은 소꿉친구지, 그 이상은 곤란합니다")</f>
        <v>그녀들은 소꿉친구지, 그 이상은 곤란합니다</v>
      </c>
      <c r="J2476">
        <v>100</v>
      </c>
      <c r="K2476">
        <v>100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100</v>
      </c>
      <c r="AH2476">
        <v>1</v>
      </c>
      <c r="AI2476">
        <v>0</v>
      </c>
      <c r="AJ2476">
        <v>0</v>
      </c>
      <c r="AK2476">
        <v>100</v>
      </c>
      <c r="AL2476">
        <v>0</v>
      </c>
      <c r="AM2476">
        <v>0</v>
      </c>
      <c r="AN2476">
        <v>0</v>
      </c>
      <c r="AO2476">
        <v>0</v>
      </c>
      <c r="AQ2476">
        <v>0</v>
      </c>
      <c r="AR2476">
        <v>0</v>
      </c>
      <c r="AT2476">
        <v>0</v>
      </c>
      <c r="AU2476">
        <v>0</v>
      </c>
      <c r="AW2476">
        <v>0</v>
      </c>
      <c r="AX2476">
        <v>0</v>
      </c>
      <c r="AY2476">
        <v>70</v>
      </c>
      <c r="BC2476" t="str">
        <f>T("9791191039313")</f>
        <v>9791191039313</v>
      </c>
      <c r="BE2476" t="str">
        <f>T("판타지 웹소설 &gt; 퓨전 판타지")</f>
        <v>판타지 웹소설 &gt; 퓨전 판타지</v>
      </c>
    </row>
    <row r="2477" spans="1:57" x14ac:dyDescent="0.3">
      <c r="A2477">
        <v>1525002864</v>
      </c>
      <c r="B2477">
        <v>1525002900</v>
      </c>
      <c r="C2477" t="str">
        <f>T("소드마스터의 환생 37화")</f>
        <v>소드마스터의 환생 37화</v>
      </c>
      <c r="D2477" t="str">
        <f>T("37")</f>
        <v>37</v>
      </c>
      <c r="E2477" t="str">
        <f>T("파란영")</f>
        <v>파란영</v>
      </c>
      <c r="H2477" t="str">
        <f>T("스토리위즈")</f>
        <v>스토리위즈</v>
      </c>
      <c r="I2477" t="str">
        <f>T("소드마스터의 환생")</f>
        <v>소드마스터의 환생</v>
      </c>
      <c r="J2477">
        <v>100</v>
      </c>
      <c r="K2477">
        <v>100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100</v>
      </c>
      <c r="AH2477">
        <v>1</v>
      </c>
      <c r="AI2477">
        <v>0</v>
      </c>
      <c r="AJ2477">
        <v>0</v>
      </c>
      <c r="AK2477">
        <v>100</v>
      </c>
      <c r="AL2477">
        <v>0</v>
      </c>
      <c r="AM2477">
        <v>0</v>
      </c>
      <c r="AN2477">
        <v>0</v>
      </c>
      <c r="AO2477">
        <v>0</v>
      </c>
      <c r="AQ2477">
        <v>0</v>
      </c>
      <c r="AR2477">
        <v>0</v>
      </c>
      <c r="AT2477">
        <v>0</v>
      </c>
      <c r="AU2477">
        <v>0</v>
      </c>
      <c r="AW2477">
        <v>0</v>
      </c>
      <c r="AX2477">
        <v>0</v>
      </c>
      <c r="AY2477">
        <v>70</v>
      </c>
      <c r="BC2477" t="str">
        <f>T("9791159287527")</f>
        <v>9791159287527</v>
      </c>
      <c r="BE2477" t="str">
        <f>T("판타지 웹소설 &gt; 정통 판타지")</f>
        <v>판타지 웹소설 &gt; 정통 판타지</v>
      </c>
    </row>
    <row r="2478" spans="1:57" x14ac:dyDescent="0.3">
      <c r="A2478">
        <v>1525013020</v>
      </c>
      <c r="B2478">
        <v>1525013118</v>
      </c>
      <c r="C2478" t="str">
        <f>T("악당의 리턴 99화")</f>
        <v>악당의 리턴 99화</v>
      </c>
      <c r="D2478" t="str">
        <f>T("99")</f>
        <v>99</v>
      </c>
      <c r="E2478" t="str">
        <f>T("백범(白帆)")</f>
        <v>백범(白帆)</v>
      </c>
      <c r="H2478" t="str">
        <f>T("에필로그")</f>
        <v>에필로그</v>
      </c>
      <c r="I2478" t="str">
        <f>T("악당의 리턴")</f>
        <v>악당의 리턴</v>
      </c>
      <c r="J2478">
        <v>100</v>
      </c>
      <c r="K2478">
        <v>100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100</v>
      </c>
      <c r="AH2478">
        <v>1</v>
      </c>
      <c r="AI2478">
        <v>0</v>
      </c>
      <c r="AJ2478">
        <v>0</v>
      </c>
      <c r="AK2478">
        <v>100</v>
      </c>
      <c r="AL2478">
        <v>0</v>
      </c>
      <c r="AM2478">
        <v>0</v>
      </c>
      <c r="AN2478">
        <v>0</v>
      </c>
      <c r="AO2478">
        <v>0</v>
      </c>
      <c r="AQ2478">
        <v>0</v>
      </c>
      <c r="AR2478">
        <v>0</v>
      </c>
      <c r="AT2478">
        <v>0</v>
      </c>
      <c r="AU2478">
        <v>0</v>
      </c>
      <c r="AW2478">
        <v>0</v>
      </c>
      <c r="AX2478">
        <v>0</v>
      </c>
      <c r="AY2478">
        <v>70</v>
      </c>
      <c r="BC2478" t="str">
        <f>T("9791196538927")</f>
        <v>9791196538927</v>
      </c>
      <c r="BE2478" t="str">
        <f>T("판타지 웹소설 &gt; 현대 판타지")</f>
        <v>판타지 웹소설 &gt; 현대 판타지</v>
      </c>
    </row>
    <row r="2479" spans="1:57" x14ac:dyDescent="0.3">
      <c r="A2479">
        <v>1525004799</v>
      </c>
      <c r="B2479">
        <v>1525004822</v>
      </c>
      <c r="C2479" t="str">
        <f>T("검산도해 24화")</f>
        <v>검산도해 24화</v>
      </c>
      <c r="D2479" t="str">
        <f>T("24")</f>
        <v>24</v>
      </c>
      <c r="E2479" t="str">
        <f>T("권용찬")</f>
        <v>권용찬</v>
      </c>
      <c r="H2479" t="str">
        <f>T("스토리위즈")</f>
        <v>스토리위즈</v>
      </c>
      <c r="I2479" t="str">
        <f>T("검산도해")</f>
        <v>검산도해</v>
      </c>
      <c r="J2479">
        <v>100</v>
      </c>
      <c r="K2479">
        <v>100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100</v>
      </c>
      <c r="AH2479">
        <v>1</v>
      </c>
      <c r="AI2479">
        <v>0</v>
      </c>
      <c r="AJ2479">
        <v>0</v>
      </c>
      <c r="AK2479">
        <v>0</v>
      </c>
      <c r="AL2479">
        <v>0</v>
      </c>
      <c r="AM2479">
        <v>120</v>
      </c>
      <c r="AN2479">
        <v>-12</v>
      </c>
      <c r="AO2479">
        <v>0</v>
      </c>
      <c r="AQ2479">
        <v>0</v>
      </c>
      <c r="AR2479">
        <v>0</v>
      </c>
      <c r="AS2479">
        <v>120</v>
      </c>
      <c r="AT2479">
        <v>-12</v>
      </c>
      <c r="AU2479">
        <v>0</v>
      </c>
      <c r="AW2479">
        <v>0</v>
      </c>
      <c r="AX2479">
        <v>0</v>
      </c>
      <c r="AY2479">
        <v>75.599999999999994</v>
      </c>
      <c r="BC2479" t="str">
        <f>T("9791159285936")</f>
        <v>9791159285936</v>
      </c>
      <c r="BE2479" t="str">
        <f>T("판타지 웹소설 &gt; 무협 소설")</f>
        <v>판타지 웹소설 &gt; 무협 소설</v>
      </c>
    </row>
    <row r="2480" spans="1:57" x14ac:dyDescent="0.3">
      <c r="A2480">
        <v>1525004799</v>
      </c>
      <c r="B2480">
        <v>1525004879</v>
      </c>
      <c r="C2480" t="str">
        <f>T("검산도해 81화")</f>
        <v>검산도해 81화</v>
      </c>
      <c r="D2480" t="str">
        <f>T("81")</f>
        <v>81</v>
      </c>
      <c r="E2480" t="str">
        <f>T("권용찬")</f>
        <v>권용찬</v>
      </c>
      <c r="H2480" t="str">
        <f>T("스토리위즈")</f>
        <v>스토리위즈</v>
      </c>
      <c r="I2480" t="str">
        <f>T("검산도해")</f>
        <v>검산도해</v>
      </c>
      <c r="J2480">
        <v>100</v>
      </c>
      <c r="K2480">
        <v>100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100</v>
      </c>
      <c r="AH2480">
        <v>1</v>
      </c>
      <c r="AI2480">
        <v>0</v>
      </c>
      <c r="AJ2480">
        <v>0</v>
      </c>
      <c r="AK2480">
        <v>0</v>
      </c>
      <c r="AL2480">
        <v>0</v>
      </c>
      <c r="AM2480">
        <v>120</v>
      </c>
      <c r="AN2480">
        <v>-12</v>
      </c>
      <c r="AO2480">
        <v>0</v>
      </c>
      <c r="AQ2480">
        <v>0</v>
      </c>
      <c r="AR2480">
        <v>0</v>
      </c>
      <c r="AS2480">
        <v>120</v>
      </c>
      <c r="AT2480">
        <v>-12</v>
      </c>
      <c r="AU2480">
        <v>0</v>
      </c>
      <c r="AW2480">
        <v>0</v>
      </c>
      <c r="AX2480">
        <v>0</v>
      </c>
      <c r="AY2480">
        <v>75.599999999999994</v>
      </c>
      <c r="BC2480" t="str">
        <f>T("9791159285936")</f>
        <v>9791159285936</v>
      </c>
      <c r="BE2480" t="str">
        <f>T("판타지 웹소설 &gt; 무협 소설")</f>
        <v>판타지 웹소설 &gt; 무협 소설</v>
      </c>
    </row>
    <row r="2481" spans="1:57" x14ac:dyDescent="0.3">
      <c r="A2481">
        <v>1525000924</v>
      </c>
      <c r="B2481">
        <v>1525000975</v>
      </c>
      <c r="C2481" t="str">
        <f>T("스피릿 소드 52화")</f>
        <v>스피릿 소드 52화</v>
      </c>
      <c r="D2481" t="str">
        <f>T("52")</f>
        <v>52</v>
      </c>
      <c r="E2481" t="str">
        <f>T("김정률")</f>
        <v>김정률</v>
      </c>
      <c r="H2481" t="str">
        <f>T("스토리위즈")</f>
        <v>스토리위즈</v>
      </c>
      <c r="I2481" t="str">
        <f>T("스피릿 소드")</f>
        <v>스피릿 소드</v>
      </c>
      <c r="J2481">
        <v>100</v>
      </c>
      <c r="K2481">
        <v>100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100</v>
      </c>
      <c r="AH2481">
        <v>1</v>
      </c>
      <c r="AI2481">
        <v>0</v>
      </c>
      <c r="AJ2481">
        <v>0</v>
      </c>
      <c r="AK2481">
        <v>100</v>
      </c>
      <c r="AL2481">
        <v>0</v>
      </c>
      <c r="AM2481">
        <v>0</v>
      </c>
      <c r="AN2481">
        <v>0</v>
      </c>
      <c r="AO2481">
        <v>0</v>
      </c>
      <c r="AQ2481">
        <v>0</v>
      </c>
      <c r="AR2481">
        <v>0</v>
      </c>
      <c r="AT2481">
        <v>0</v>
      </c>
      <c r="AU2481">
        <v>0</v>
      </c>
      <c r="AW2481">
        <v>0</v>
      </c>
      <c r="AX2481">
        <v>0</v>
      </c>
      <c r="AY2481">
        <v>70</v>
      </c>
      <c r="BA2481" t="str">
        <f>T("9791159282713")</f>
        <v>9791159282713</v>
      </c>
      <c r="BC2481" t="str">
        <f>T("9791159282713")</f>
        <v>9791159282713</v>
      </c>
      <c r="BE2481" t="str">
        <f>T("판타지 웹소설 &gt; 정통 판타지")</f>
        <v>판타지 웹소설 &gt; 정통 판타지</v>
      </c>
    </row>
    <row r="2482" spans="1:57" x14ac:dyDescent="0.3">
      <c r="A2482">
        <v>1525004030</v>
      </c>
      <c r="B2482">
        <v>1525007066</v>
      </c>
      <c r="C2482" t="str">
        <f>T("회귀의 전설 2부 950화")</f>
        <v>회귀의 전설 2부 950화</v>
      </c>
      <c r="D2482" t="str">
        <f>T("950")</f>
        <v>950</v>
      </c>
      <c r="E2482" t="str">
        <f>T("김광수")</f>
        <v>김광수</v>
      </c>
      <c r="H2482" t="str">
        <f>T("스토리위즈")</f>
        <v>스토리위즈</v>
      </c>
      <c r="I2482" t="str">
        <f>T("회귀의 전설")</f>
        <v>회귀의 전설</v>
      </c>
      <c r="J2482">
        <v>100</v>
      </c>
      <c r="K2482">
        <v>100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100</v>
      </c>
      <c r="AH2482">
        <v>1</v>
      </c>
      <c r="AI2482">
        <v>0</v>
      </c>
      <c r="AJ2482">
        <v>0</v>
      </c>
      <c r="AK2482">
        <v>100</v>
      </c>
      <c r="AL2482">
        <v>0</v>
      </c>
      <c r="AM2482">
        <v>0</v>
      </c>
      <c r="AN2482">
        <v>0</v>
      </c>
      <c r="AO2482">
        <v>0</v>
      </c>
      <c r="AQ2482">
        <v>0</v>
      </c>
      <c r="AR2482">
        <v>0</v>
      </c>
      <c r="AT2482">
        <v>0</v>
      </c>
      <c r="AU2482">
        <v>0</v>
      </c>
      <c r="AW2482">
        <v>0</v>
      </c>
      <c r="AX2482">
        <v>0</v>
      </c>
      <c r="AY2482">
        <v>70</v>
      </c>
      <c r="BC2482" t="str">
        <f>T("9791191102086")</f>
        <v>9791191102086</v>
      </c>
      <c r="BE2482" t="str">
        <f>T("판타지 웹소설 &gt; 현대 판타지")</f>
        <v>판타지 웹소설 &gt; 현대 판타지</v>
      </c>
    </row>
    <row r="2483" spans="1:57" x14ac:dyDescent="0.3">
      <c r="A2483">
        <v>1525004030</v>
      </c>
      <c r="B2483">
        <v>1525004537</v>
      </c>
      <c r="C2483" t="str">
        <f>T("회귀의 전설 514화")</f>
        <v>회귀의 전설 514화</v>
      </c>
      <c r="D2483" t="str">
        <f>T("514")</f>
        <v>514</v>
      </c>
      <c r="E2483" t="str">
        <f>T("김광수")</f>
        <v>김광수</v>
      </c>
      <c r="H2483" t="str">
        <f>T("스토리위즈")</f>
        <v>스토리위즈</v>
      </c>
      <c r="I2483" t="str">
        <f>T("회귀의 전설")</f>
        <v>회귀의 전설</v>
      </c>
      <c r="J2483">
        <v>100</v>
      </c>
      <c r="K2483">
        <v>100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100</v>
      </c>
      <c r="AH2483">
        <v>1</v>
      </c>
      <c r="AI2483">
        <v>0</v>
      </c>
      <c r="AJ2483">
        <v>0</v>
      </c>
      <c r="AK2483">
        <v>100</v>
      </c>
      <c r="AL2483">
        <v>0</v>
      </c>
      <c r="AM2483">
        <v>0</v>
      </c>
      <c r="AN2483">
        <v>0</v>
      </c>
      <c r="AO2483">
        <v>0</v>
      </c>
      <c r="AQ2483">
        <v>0</v>
      </c>
      <c r="AR2483">
        <v>0</v>
      </c>
      <c r="AT2483">
        <v>0</v>
      </c>
      <c r="AU2483">
        <v>0</v>
      </c>
      <c r="AW2483">
        <v>0</v>
      </c>
      <c r="AX2483">
        <v>0</v>
      </c>
      <c r="AY2483">
        <v>70</v>
      </c>
      <c r="BC2483" t="str">
        <f>T("9788997946006")</f>
        <v>9788997946006</v>
      </c>
      <c r="BE2483" t="str">
        <f>T("판타지 웹소설 &gt; 현대 판타지")</f>
        <v>판타지 웹소설 &gt; 현대 판타지</v>
      </c>
    </row>
    <row r="2484" spans="1:57" x14ac:dyDescent="0.3">
      <c r="A2484">
        <v>1525014780</v>
      </c>
      <c r="B2484">
        <v>1525014937</v>
      </c>
      <c r="C2484" t="str">
        <f>T("크랭키 걸즈 158화 (완결)")</f>
        <v>크랭키 걸즈 158화 (완결)</v>
      </c>
      <c r="D2484" t="str">
        <f>T("158")</f>
        <v>158</v>
      </c>
      <c r="E2484" t="str">
        <f>T("곽도우")</f>
        <v>곽도우</v>
      </c>
      <c r="H2484" t="str">
        <f>T("스토리아크")</f>
        <v>스토리아크</v>
      </c>
      <c r="I2484" t="str">
        <f>T("크랭키 걸즈")</f>
        <v>크랭키 걸즈</v>
      </c>
      <c r="J2484">
        <v>100</v>
      </c>
      <c r="K2484">
        <v>100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100</v>
      </c>
      <c r="AH2484">
        <v>1</v>
      </c>
      <c r="AI2484">
        <v>0</v>
      </c>
      <c r="AJ2484">
        <v>0</v>
      </c>
      <c r="AK2484">
        <v>100</v>
      </c>
      <c r="AL2484">
        <v>0</v>
      </c>
      <c r="AM2484">
        <v>0</v>
      </c>
      <c r="AN2484">
        <v>0</v>
      </c>
      <c r="AO2484">
        <v>0</v>
      </c>
      <c r="AQ2484">
        <v>0</v>
      </c>
      <c r="AR2484">
        <v>0</v>
      </c>
      <c r="AT2484">
        <v>0</v>
      </c>
      <c r="AU2484">
        <v>0</v>
      </c>
      <c r="AW2484">
        <v>0</v>
      </c>
      <c r="AX2484">
        <v>0</v>
      </c>
      <c r="AY2484">
        <v>70</v>
      </c>
      <c r="BC2484" t="str">
        <f>T("9791191039276")</f>
        <v>9791191039276</v>
      </c>
      <c r="BE2484" t="str">
        <f>T("판타지 웹소설 &gt; 현대 판타지")</f>
        <v>판타지 웹소설 &gt; 현대 판타지</v>
      </c>
    </row>
    <row r="2485" spans="1:57" x14ac:dyDescent="0.3">
      <c r="A2485">
        <v>1525012551</v>
      </c>
      <c r="B2485">
        <v>1525012683</v>
      </c>
      <c r="C2485" t="str">
        <f>T("개정판 | 바보가 만드는 멋진 세상 133화")</f>
        <v>개정판 | 바보가 만드는 멋진 세상 133화</v>
      </c>
      <c r="D2485" t="str">
        <f>T("133")</f>
        <v>133</v>
      </c>
      <c r="E2485" t="str">
        <f>T("백범(白帆)")</f>
        <v>백범(白帆)</v>
      </c>
      <c r="H2485" t="str">
        <f>T("에필로그")</f>
        <v>에필로그</v>
      </c>
      <c r="I2485" t="str">
        <f>T("개정판 | 바보가 만드는 멋진 세상")</f>
        <v>개정판 | 바보가 만드는 멋진 세상</v>
      </c>
      <c r="J2485">
        <v>100</v>
      </c>
      <c r="K2485">
        <v>100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100</v>
      </c>
      <c r="AH2485">
        <v>1</v>
      </c>
      <c r="AI2485">
        <v>0</v>
      </c>
      <c r="AJ2485">
        <v>0</v>
      </c>
      <c r="AK2485">
        <v>100</v>
      </c>
      <c r="AL2485">
        <v>0</v>
      </c>
      <c r="AM2485">
        <v>0</v>
      </c>
      <c r="AN2485">
        <v>0</v>
      </c>
      <c r="AO2485">
        <v>0</v>
      </c>
      <c r="AQ2485">
        <v>0</v>
      </c>
      <c r="AR2485">
        <v>0</v>
      </c>
      <c r="AT2485">
        <v>0</v>
      </c>
      <c r="AU2485">
        <v>0</v>
      </c>
      <c r="AW2485">
        <v>0</v>
      </c>
      <c r="AX2485">
        <v>0</v>
      </c>
      <c r="AY2485">
        <v>70</v>
      </c>
      <c r="BC2485" t="str">
        <f>T("9791166003493")</f>
        <v>9791166003493</v>
      </c>
      <c r="BE2485" t="str">
        <f>T("판타지 웹소설 &gt; 현대 판타지")</f>
        <v>판타지 웹소설 &gt; 현대 판타지</v>
      </c>
    </row>
    <row r="2486" spans="1:57" x14ac:dyDescent="0.3">
      <c r="A2486">
        <v>1525004799</v>
      </c>
      <c r="B2486">
        <v>1525004854</v>
      </c>
      <c r="C2486" t="str">
        <f>T("검산도해 56화")</f>
        <v>검산도해 56화</v>
      </c>
      <c r="D2486" t="str">
        <f>T("56")</f>
        <v>56</v>
      </c>
      <c r="E2486" t="str">
        <f>T("권용찬")</f>
        <v>권용찬</v>
      </c>
      <c r="H2486" t="str">
        <f>T("스토리위즈")</f>
        <v>스토리위즈</v>
      </c>
      <c r="I2486" t="str">
        <f>T("검산도해")</f>
        <v>검산도해</v>
      </c>
      <c r="J2486">
        <v>100</v>
      </c>
      <c r="K2486">
        <v>100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100</v>
      </c>
      <c r="AH2486">
        <v>1</v>
      </c>
      <c r="AI2486">
        <v>0</v>
      </c>
      <c r="AJ2486">
        <v>0</v>
      </c>
      <c r="AK2486">
        <v>0</v>
      </c>
      <c r="AL2486">
        <v>0</v>
      </c>
      <c r="AM2486">
        <v>120</v>
      </c>
      <c r="AN2486">
        <v>-12</v>
      </c>
      <c r="AO2486">
        <v>0</v>
      </c>
      <c r="AQ2486">
        <v>0</v>
      </c>
      <c r="AR2486">
        <v>0</v>
      </c>
      <c r="AS2486">
        <v>120</v>
      </c>
      <c r="AT2486">
        <v>-12</v>
      </c>
      <c r="AU2486">
        <v>0</v>
      </c>
      <c r="AW2486">
        <v>0</v>
      </c>
      <c r="AX2486">
        <v>0</v>
      </c>
      <c r="AY2486">
        <v>75.599999999999994</v>
      </c>
      <c r="BC2486" t="str">
        <f>T("9791159285936")</f>
        <v>9791159285936</v>
      </c>
      <c r="BE2486" t="str">
        <f>T("판타지 웹소설 &gt; 무협 소설")</f>
        <v>판타지 웹소설 &gt; 무협 소설</v>
      </c>
    </row>
    <row r="2487" spans="1:57" x14ac:dyDescent="0.3">
      <c r="A2487">
        <v>1525004799</v>
      </c>
      <c r="B2487">
        <v>1525004911</v>
      </c>
      <c r="C2487" t="str">
        <f>T("검산도해 113화")</f>
        <v>검산도해 113화</v>
      </c>
      <c r="D2487" t="str">
        <f>T("113")</f>
        <v>113</v>
      </c>
      <c r="E2487" t="str">
        <f>T("권용찬")</f>
        <v>권용찬</v>
      </c>
      <c r="H2487" t="str">
        <f>T("스토리위즈")</f>
        <v>스토리위즈</v>
      </c>
      <c r="I2487" t="str">
        <f>T("검산도해")</f>
        <v>검산도해</v>
      </c>
      <c r="J2487">
        <v>100</v>
      </c>
      <c r="K2487">
        <v>100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100</v>
      </c>
      <c r="AH2487">
        <v>1</v>
      </c>
      <c r="AI2487">
        <v>0</v>
      </c>
      <c r="AJ2487">
        <v>0</v>
      </c>
      <c r="AK2487">
        <v>0</v>
      </c>
      <c r="AL2487">
        <v>0</v>
      </c>
      <c r="AM2487">
        <v>120</v>
      </c>
      <c r="AN2487">
        <v>-12</v>
      </c>
      <c r="AO2487">
        <v>0</v>
      </c>
      <c r="AQ2487">
        <v>0</v>
      </c>
      <c r="AR2487">
        <v>0</v>
      </c>
      <c r="AS2487">
        <v>120</v>
      </c>
      <c r="AT2487">
        <v>-12</v>
      </c>
      <c r="AU2487">
        <v>0</v>
      </c>
      <c r="AW2487">
        <v>0</v>
      </c>
      <c r="AX2487">
        <v>0</v>
      </c>
      <c r="AY2487">
        <v>75.599999999999994</v>
      </c>
      <c r="BC2487" t="str">
        <f>T("9791159285936")</f>
        <v>9791159285936</v>
      </c>
      <c r="BE2487" t="str">
        <f>T("판타지 웹소설 &gt; 무협 소설")</f>
        <v>판타지 웹소설 &gt; 무협 소설</v>
      </c>
    </row>
    <row r="2488" spans="1:57" x14ac:dyDescent="0.3">
      <c r="A2488">
        <v>1525004030</v>
      </c>
      <c r="B2488">
        <v>1525007098</v>
      </c>
      <c r="C2488" t="str">
        <f>T("회귀의 전설 2부 982화")</f>
        <v>회귀의 전설 2부 982화</v>
      </c>
      <c r="D2488" t="str">
        <f>T("982")</f>
        <v>982</v>
      </c>
      <c r="E2488" t="str">
        <f>T("김광수")</f>
        <v>김광수</v>
      </c>
      <c r="H2488" t="str">
        <f>T("스토리위즈")</f>
        <v>스토리위즈</v>
      </c>
      <c r="I2488" t="str">
        <f>T("회귀의 전설")</f>
        <v>회귀의 전설</v>
      </c>
      <c r="J2488">
        <v>100</v>
      </c>
      <c r="K2488">
        <v>100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100</v>
      </c>
      <c r="AH2488">
        <v>1</v>
      </c>
      <c r="AI2488">
        <v>0</v>
      </c>
      <c r="AJ2488">
        <v>0</v>
      </c>
      <c r="AK2488">
        <v>100</v>
      </c>
      <c r="AL2488">
        <v>0</v>
      </c>
      <c r="AM2488">
        <v>0</v>
      </c>
      <c r="AN2488">
        <v>0</v>
      </c>
      <c r="AO2488">
        <v>0</v>
      </c>
      <c r="AQ2488">
        <v>0</v>
      </c>
      <c r="AR2488">
        <v>0</v>
      </c>
      <c r="AT2488">
        <v>0</v>
      </c>
      <c r="AU2488">
        <v>0</v>
      </c>
      <c r="AW2488">
        <v>0</v>
      </c>
      <c r="AX2488">
        <v>0</v>
      </c>
      <c r="AY2488">
        <v>70</v>
      </c>
      <c r="BC2488" t="str">
        <f>T("9791191102086")</f>
        <v>9791191102086</v>
      </c>
      <c r="BE2488" t="str">
        <f>T("판타지 웹소설 &gt; 현대 판타지")</f>
        <v>판타지 웹소설 &gt; 현대 판타지</v>
      </c>
    </row>
    <row r="2489" spans="1:57" x14ac:dyDescent="0.3">
      <c r="A2489">
        <v>1525000569</v>
      </c>
      <c r="B2489">
        <v>1525000600</v>
      </c>
      <c r="C2489" t="str">
        <f>T("스트라이커 32화")</f>
        <v>스트라이커 32화</v>
      </c>
      <c r="D2489" t="str">
        <f>T("32")</f>
        <v>32</v>
      </c>
      <c r="E2489" t="str">
        <f>T("독고진")</f>
        <v>독고진</v>
      </c>
      <c r="H2489" t="str">
        <f>T("스토리위즈")</f>
        <v>스토리위즈</v>
      </c>
      <c r="I2489" t="str">
        <f>T("스트라이커")</f>
        <v>스트라이커</v>
      </c>
      <c r="J2489">
        <v>100</v>
      </c>
      <c r="K2489">
        <v>100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100</v>
      </c>
      <c r="AH2489">
        <v>1</v>
      </c>
      <c r="AI2489">
        <v>0</v>
      </c>
      <c r="AJ2489">
        <v>0</v>
      </c>
      <c r="AK2489">
        <v>100</v>
      </c>
      <c r="AL2489">
        <v>0</v>
      </c>
      <c r="AM2489">
        <v>0</v>
      </c>
      <c r="AN2489">
        <v>0</v>
      </c>
      <c r="AO2489">
        <v>0</v>
      </c>
      <c r="AQ2489">
        <v>0</v>
      </c>
      <c r="AR2489">
        <v>0</v>
      </c>
      <c r="AT2489">
        <v>0</v>
      </c>
      <c r="AU2489">
        <v>0</v>
      </c>
      <c r="AW2489">
        <v>0</v>
      </c>
      <c r="AX2489">
        <v>0</v>
      </c>
      <c r="AY2489">
        <v>70</v>
      </c>
      <c r="BC2489" t="str">
        <f>T("9791170151678")</f>
        <v>9791170151678</v>
      </c>
      <c r="BE2489" t="str">
        <f>T("판타지 웹소설 &gt; 현대 판타지")</f>
        <v>판타지 웹소설 &gt; 현대 판타지</v>
      </c>
    </row>
    <row r="2490" spans="1:57" x14ac:dyDescent="0.3">
      <c r="A2490">
        <v>1525011523</v>
      </c>
      <c r="B2490">
        <v>1525010991</v>
      </c>
      <c r="C2490" t="str">
        <f>T("남창목가 외전 501화")</f>
        <v>남창목가 외전 501화</v>
      </c>
      <c r="D2490" t="str">
        <f>T("501")</f>
        <v>501</v>
      </c>
      <c r="E2490" t="str">
        <f>T("최재봉")</f>
        <v>최재봉</v>
      </c>
      <c r="H2490" t="str">
        <f>T("에필로그")</f>
        <v>에필로그</v>
      </c>
      <c r="I2490" t="str">
        <f>T("남창목가")</f>
        <v>남창목가</v>
      </c>
      <c r="J2490">
        <v>100</v>
      </c>
      <c r="K2490">
        <v>100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100</v>
      </c>
      <c r="AH2490">
        <v>1</v>
      </c>
      <c r="AI2490">
        <v>0</v>
      </c>
      <c r="AJ2490">
        <v>0</v>
      </c>
      <c r="AK2490">
        <v>0</v>
      </c>
      <c r="AL2490">
        <v>0</v>
      </c>
      <c r="AM2490">
        <v>120</v>
      </c>
      <c r="AN2490">
        <v>-12</v>
      </c>
      <c r="AO2490">
        <v>0</v>
      </c>
      <c r="AQ2490">
        <v>0</v>
      </c>
      <c r="AR2490">
        <v>0</v>
      </c>
      <c r="AS2490">
        <v>120</v>
      </c>
      <c r="AT2490">
        <v>-12</v>
      </c>
      <c r="AU2490">
        <v>0</v>
      </c>
      <c r="AW2490">
        <v>0</v>
      </c>
      <c r="AX2490">
        <v>0</v>
      </c>
      <c r="AY2490">
        <v>75.599999999999994</v>
      </c>
      <c r="BC2490" t="str">
        <f>T("9791164482849")</f>
        <v>9791164482849</v>
      </c>
      <c r="BE2490" t="str">
        <f>T("판타지 웹소설 &gt; 무협 소설")</f>
        <v>판타지 웹소설 &gt; 무협 소설</v>
      </c>
    </row>
    <row r="2491" spans="1:57" x14ac:dyDescent="0.3">
      <c r="A2491">
        <v>1525002125</v>
      </c>
      <c r="B2491">
        <v>1525002166</v>
      </c>
      <c r="C2491" t="str">
        <f>T("신을 죽이러 갑니다 42화")</f>
        <v>신을 죽이러 갑니다 42화</v>
      </c>
      <c r="D2491" t="str">
        <f>T("42")</f>
        <v>42</v>
      </c>
      <c r="E2491" t="str">
        <f>T("독고진")</f>
        <v>독고진</v>
      </c>
      <c r="H2491" t="str">
        <f>T("스토리위즈")</f>
        <v>스토리위즈</v>
      </c>
      <c r="I2491" t="str">
        <f>T("신을 죽이러 갑니다")</f>
        <v>신을 죽이러 갑니다</v>
      </c>
      <c r="J2491">
        <v>100</v>
      </c>
      <c r="K2491">
        <v>100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100</v>
      </c>
      <c r="AH2491">
        <v>1</v>
      </c>
      <c r="AI2491">
        <v>0</v>
      </c>
      <c r="AJ2491">
        <v>0</v>
      </c>
      <c r="AK2491">
        <v>0</v>
      </c>
      <c r="AL2491">
        <v>0</v>
      </c>
      <c r="AM2491">
        <v>120</v>
      </c>
      <c r="AN2491">
        <v>-36</v>
      </c>
      <c r="AO2491">
        <v>0</v>
      </c>
      <c r="AQ2491">
        <v>0</v>
      </c>
      <c r="AR2491">
        <v>0</v>
      </c>
      <c r="AS2491">
        <v>120</v>
      </c>
      <c r="AT2491">
        <v>-36</v>
      </c>
      <c r="AU2491">
        <v>0</v>
      </c>
      <c r="AW2491">
        <v>0</v>
      </c>
      <c r="AX2491">
        <v>0</v>
      </c>
      <c r="AY2491">
        <v>58.8</v>
      </c>
      <c r="BC2491" t="str">
        <f>T("9791159285806")</f>
        <v>9791159285806</v>
      </c>
      <c r="BE2491" t="str">
        <f>T("판타지 웹소설 &gt; 퓨전 판타지")</f>
        <v>판타지 웹소설 &gt; 퓨전 판타지</v>
      </c>
    </row>
    <row r="2492" spans="1:57" x14ac:dyDescent="0.3">
      <c r="A2492">
        <v>1525012551</v>
      </c>
      <c r="B2492">
        <v>1525012700</v>
      </c>
      <c r="C2492" t="str">
        <f>T("개정판 | 바보가 만드는 멋진 세상 150화")</f>
        <v>개정판 | 바보가 만드는 멋진 세상 150화</v>
      </c>
      <c r="D2492" t="str">
        <f>T("150")</f>
        <v>150</v>
      </c>
      <c r="E2492" t="str">
        <f>T("백범(白帆)")</f>
        <v>백범(白帆)</v>
      </c>
      <c r="H2492" t="str">
        <f>T("에필로그")</f>
        <v>에필로그</v>
      </c>
      <c r="I2492" t="str">
        <f>T("개정판 | 바보가 만드는 멋진 세상")</f>
        <v>개정판 | 바보가 만드는 멋진 세상</v>
      </c>
      <c r="J2492">
        <v>100</v>
      </c>
      <c r="K2492">
        <v>100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100</v>
      </c>
      <c r="AH2492">
        <v>1</v>
      </c>
      <c r="AI2492">
        <v>0</v>
      </c>
      <c r="AJ2492">
        <v>0</v>
      </c>
      <c r="AK2492">
        <v>100</v>
      </c>
      <c r="AL2492">
        <v>0</v>
      </c>
      <c r="AM2492">
        <v>0</v>
      </c>
      <c r="AN2492">
        <v>0</v>
      </c>
      <c r="AO2492">
        <v>0</v>
      </c>
      <c r="AQ2492">
        <v>0</v>
      </c>
      <c r="AR2492">
        <v>0</v>
      </c>
      <c r="AT2492">
        <v>0</v>
      </c>
      <c r="AU2492">
        <v>0</v>
      </c>
      <c r="AW2492">
        <v>0</v>
      </c>
      <c r="AX2492">
        <v>0</v>
      </c>
      <c r="AY2492">
        <v>70</v>
      </c>
      <c r="BC2492" t="str">
        <f>T("9791166003493")</f>
        <v>9791166003493</v>
      </c>
      <c r="BE2492" t="str">
        <f>T("판타지 웹소설 &gt; 현대 판타지")</f>
        <v>판타지 웹소설 &gt; 현대 판타지</v>
      </c>
    </row>
    <row r="2493" spans="1:57" x14ac:dyDescent="0.3">
      <c r="A2493">
        <v>1525002864</v>
      </c>
      <c r="B2493">
        <v>1525002923</v>
      </c>
      <c r="C2493" t="str">
        <f>T("소드마스터의 환생 60화")</f>
        <v>소드마스터의 환생 60화</v>
      </c>
      <c r="D2493" t="str">
        <f>T("60")</f>
        <v>60</v>
      </c>
      <c r="E2493" t="str">
        <f>T("파란영")</f>
        <v>파란영</v>
      </c>
      <c r="H2493" t="str">
        <f>T("스토리위즈")</f>
        <v>스토리위즈</v>
      </c>
      <c r="I2493" t="str">
        <f>T("소드마스터의 환생")</f>
        <v>소드마스터의 환생</v>
      </c>
      <c r="J2493">
        <v>100</v>
      </c>
      <c r="K2493">
        <v>100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100</v>
      </c>
      <c r="AH2493">
        <v>1</v>
      </c>
      <c r="AI2493">
        <v>0</v>
      </c>
      <c r="AJ2493">
        <v>0</v>
      </c>
      <c r="AK2493">
        <v>100</v>
      </c>
      <c r="AL2493">
        <v>0</v>
      </c>
      <c r="AM2493">
        <v>0</v>
      </c>
      <c r="AN2493">
        <v>0</v>
      </c>
      <c r="AO2493">
        <v>0</v>
      </c>
      <c r="AQ2493">
        <v>0</v>
      </c>
      <c r="AR2493">
        <v>0</v>
      </c>
      <c r="AT2493">
        <v>0</v>
      </c>
      <c r="AU2493">
        <v>0</v>
      </c>
      <c r="AW2493">
        <v>0</v>
      </c>
      <c r="AX2493">
        <v>0</v>
      </c>
      <c r="AY2493">
        <v>70</v>
      </c>
      <c r="BC2493" t="str">
        <f>T("9791159287527")</f>
        <v>9791159287527</v>
      </c>
      <c r="BE2493" t="str">
        <f>T("판타지 웹소설 &gt; 정통 판타지")</f>
        <v>판타지 웹소설 &gt; 정통 판타지</v>
      </c>
    </row>
    <row r="2494" spans="1:57" x14ac:dyDescent="0.3">
      <c r="A2494">
        <v>1525008428</v>
      </c>
      <c r="B2494">
        <v>1525008462</v>
      </c>
      <c r="C2494" t="str">
        <f>T("무히비(Muhibbi) 50화")</f>
        <v>무히비(Muhibbi) 50화</v>
      </c>
      <c r="D2494" t="str">
        <f>T("50")</f>
        <v>50</v>
      </c>
      <c r="E2494" t="str">
        <f>T("jooki")</f>
        <v>jooki</v>
      </c>
      <c r="H2494" t="str">
        <f>T("블러쉬")</f>
        <v>블러쉬</v>
      </c>
      <c r="I2494" t="str">
        <f>T("무히비(Muhibbi)")</f>
        <v>무히비(Muhibbi)</v>
      </c>
      <c r="J2494">
        <v>100</v>
      </c>
      <c r="K2494">
        <v>100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100</v>
      </c>
      <c r="AH2494">
        <v>1</v>
      </c>
      <c r="AI2494">
        <v>0</v>
      </c>
      <c r="AJ2494">
        <v>0</v>
      </c>
      <c r="AK2494">
        <v>100</v>
      </c>
      <c r="AL2494">
        <v>0</v>
      </c>
      <c r="AM2494">
        <v>0</v>
      </c>
      <c r="AN2494">
        <v>0</v>
      </c>
      <c r="AO2494">
        <v>0</v>
      </c>
      <c r="AQ2494">
        <v>0</v>
      </c>
      <c r="AR2494">
        <v>0</v>
      </c>
      <c r="AT2494">
        <v>0</v>
      </c>
      <c r="AU2494">
        <v>0</v>
      </c>
      <c r="AW2494">
        <v>0</v>
      </c>
      <c r="AX2494">
        <v>0</v>
      </c>
      <c r="AY2494">
        <v>70</v>
      </c>
      <c r="BC2494" t="str">
        <f>T("9791164896622")</f>
        <v>9791164896622</v>
      </c>
      <c r="BE2494" t="str">
        <f>T("BL 웹소설 &gt; 역사/시대물")</f>
        <v>BL 웹소설 &gt; 역사/시대물</v>
      </c>
    </row>
    <row r="2495" spans="1:57" x14ac:dyDescent="0.3">
      <c r="A2495">
        <v>1525011523</v>
      </c>
      <c r="B2495">
        <v>1525011260</v>
      </c>
      <c r="C2495" t="str">
        <f>T("남창목가 264화")</f>
        <v>남창목가 264화</v>
      </c>
      <c r="D2495" t="str">
        <f>T("264")</f>
        <v>264</v>
      </c>
      <c r="E2495" t="str">
        <f>T("최재봉")</f>
        <v>최재봉</v>
      </c>
      <c r="H2495" t="str">
        <f>T("에필로그")</f>
        <v>에필로그</v>
      </c>
      <c r="I2495" t="str">
        <f>T("남창목가")</f>
        <v>남창목가</v>
      </c>
      <c r="J2495">
        <v>100</v>
      </c>
      <c r="K2495">
        <v>100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100</v>
      </c>
      <c r="AH2495">
        <v>1</v>
      </c>
      <c r="AI2495">
        <v>0</v>
      </c>
      <c r="AJ2495">
        <v>0</v>
      </c>
      <c r="AK2495">
        <v>0</v>
      </c>
      <c r="AL2495">
        <v>0</v>
      </c>
      <c r="AM2495">
        <v>120</v>
      </c>
      <c r="AN2495">
        <v>-12</v>
      </c>
      <c r="AO2495">
        <v>0</v>
      </c>
      <c r="AQ2495">
        <v>0</v>
      </c>
      <c r="AR2495">
        <v>0</v>
      </c>
      <c r="AS2495">
        <v>120</v>
      </c>
      <c r="AT2495">
        <v>-12</v>
      </c>
      <c r="AU2495">
        <v>0</v>
      </c>
      <c r="AW2495">
        <v>0</v>
      </c>
      <c r="AX2495">
        <v>0</v>
      </c>
      <c r="AY2495">
        <v>75.599999999999994</v>
      </c>
      <c r="BC2495" t="str">
        <f>T("9791164482849")</f>
        <v>9791164482849</v>
      </c>
      <c r="BE2495" t="str">
        <f>T("판타지 웹소설 &gt; 무협 소설")</f>
        <v>판타지 웹소설 &gt; 무협 소설</v>
      </c>
    </row>
    <row r="2496" spans="1:57" x14ac:dyDescent="0.3">
      <c r="A2496">
        <v>1525011523</v>
      </c>
      <c r="B2496">
        <v>1525011444</v>
      </c>
      <c r="C2496" t="str">
        <f>T("남창목가 80화")</f>
        <v>남창목가 80화</v>
      </c>
      <c r="D2496" t="str">
        <f>T("80")</f>
        <v>80</v>
      </c>
      <c r="E2496" t="str">
        <f>T("최재봉")</f>
        <v>최재봉</v>
      </c>
      <c r="H2496" t="str">
        <f>T("에필로그")</f>
        <v>에필로그</v>
      </c>
      <c r="I2496" t="str">
        <f>T("남창목가")</f>
        <v>남창목가</v>
      </c>
      <c r="J2496">
        <v>100</v>
      </c>
      <c r="K2496">
        <v>100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100</v>
      </c>
      <c r="AH2496">
        <v>1</v>
      </c>
      <c r="AI2496">
        <v>0</v>
      </c>
      <c r="AJ2496">
        <v>0</v>
      </c>
      <c r="AK2496">
        <v>100</v>
      </c>
      <c r="AL2496">
        <v>0</v>
      </c>
      <c r="AM2496">
        <v>0</v>
      </c>
      <c r="AN2496">
        <v>0</v>
      </c>
      <c r="AO2496">
        <v>0</v>
      </c>
      <c r="AQ2496">
        <v>0</v>
      </c>
      <c r="AR2496">
        <v>0</v>
      </c>
      <c r="AT2496">
        <v>0</v>
      </c>
      <c r="AU2496">
        <v>0</v>
      </c>
      <c r="AW2496">
        <v>0</v>
      </c>
      <c r="AX2496">
        <v>0</v>
      </c>
      <c r="AY2496">
        <v>70</v>
      </c>
      <c r="BC2496" t="str">
        <f>T("9791164482849")</f>
        <v>9791164482849</v>
      </c>
      <c r="BE2496" t="str">
        <f>T("판타지 웹소설 &gt; 무협 소설")</f>
        <v>판타지 웹소설 &gt; 무협 소설</v>
      </c>
    </row>
    <row r="2497" spans="1:57" x14ac:dyDescent="0.3">
      <c r="A2497">
        <v>1525004799</v>
      </c>
      <c r="B2497">
        <v>1525004928</v>
      </c>
      <c r="C2497" t="str">
        <f>T("검산도해 130화")</f>
        <v>검산도해 130화</v>
      </c>
      <c r="D2497" t="str">
        <f>T("130")</f>
        <v>130</v>
      </c>
      <c r="E2497" t="str">
        <f>T("권용찬")</f>
        <v>권용찬</v>
      </c>
      <c r="H2497" t="str">
        <f>T("스토리위즈")</f>
        <v>스토리위즈</v>
      </c>
      <c r="I2497" t="str">
        <f>T("검산도해")</f>
        <v>검산도해</v>
      </c>
      <c r="J2497">
        <v>100</v>
      </c>
      <c r="K2497">
        <v>100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100</v>
      </c>
      <c r="AH2497">
        <v>1</v>
      </c>
      <c r="AI2497">
        <v>0</v>
      </c>
      <c r="AJ2497">
        <v>0</v>
      </c>
      <c r="AK2497">
        <v>0</v>
      </c>
      <c r="AL2497">
        <v>0</v>
      </c>
      <c r="AM2497">
        <v>120</v>
      </c>
      <c r="AN2497">
        <v>-12</v>
      </c>
      <c r="AO2497">
        <v>0</v>
      </c>
      <c r="AQ2497">
        <v>0</v>
      </c>
      <c r="AR2497">
        <v>0</v>
      </c>
      <c r="AS2497">
        <v>120</v>
      </c>
      <c r="AT2497">
        <v>-12</v>
      </c>
      <c r="AU2497">
        <v>0</v>
      </c>
      <c r="AW2497">
        <v>0</v>
      </c>
      <c r="AX2497">
        <v>0</v>
      </c>
      <c r="AY2497">
        <v>75.599999999999994</v>
      </c>
      <c r="BC2497" t="str">
        <f>T("9791159285936")</f>
        <v>9791159285936</v>
      </c>
      <c r="BE2497" t="str">
        <f>T("판타지 웹소설 &gt; 무협 소설")</f>
        <v>판타지 웹소설 &gt; 무협 소설</v>
      </c>
    </row>
    <row r="2498" spans="1:57" x14ac:dyDescent="0.3">
      <c r="A2498">
        <v>1525004030</v>
      </c>
      <c r="B2498">
        <v>1525007017</v>
      </c>
      <c r="C2498" t="str">
        <f>T("회귀의 전설 2부 901화")</f>
        <v>회귀의 전설 2부 901화</v>
      </c>
      <c r="D2498" t="str">
        <f>T("901")</f>
        <v>901</v>
      </c>
      <c r="E2498" t="str">
        <f>T("김광수")</f>
        <v>김광수</v>
      </c>
      <c r="H2498" t="str">
        <f>T("스토리위즈")</f>
        <v>스토리위즈</v>
      </c>
      <c r="I2498" t="str">
        <f>T("회귀의 전설")</f>
        <v>회귀의 전설</v>
      </c>
      <c r="J2498">
        <v>100</v>
      </c>
      <c r="K2498">
        <v>100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100</v>
      </c>
      <c r="AH2498">
        <v>1</v>
      </c>
      <c r="AI2498">
        <v>0</v>
      </c>
      <c r="AJ2498">
        <v>0</v>
      </c>
      <c r="AK2498">
        <v>100</v>
      </c>
      <c r="AL2498">
        <v>0</v>
      </c>
      <c r="AM2498">
        <v>0</v>
      </c>
      <c r="AN2498">
        <v>0</v>
      </c>
      <c r="AO2498">
        <v>0</v>
      </c>
      <c r="AQ2498">
        <v>0</v>
      </c>
      <c r="AR2498">
        <v>0</v>
      </c>
      <c r="AT2498">
        <v>0</v>
      </c>
      <c r="AU2498">
        <v>0</v>
      </c>
      <c r="AW2498">
        <v>0</v>
      </c>
      <c r="AX2498">
        <v>0</v>
      </c>
      <c r="AY2498">
        <v>70</v>
      </c>
      <c r="BC2498" t="str">
        <f>T("9791191102086")</f>
        <v>9791191102086</v>
      </c>
      <c r="BE2498" t="str">
        <f>T("판타지 웹소설 &gt; 현대 판타지")</f>
        <v>판타지 웹소설 &gt; 현대 판타지</v>
      </c>
    </row>
    <row r="2499" spans="1:57" x14ac:dyDescent="0.3">
      <c r="A2499">
        <v>1525011523</v>
      </c>
      <c r="B2499">
        <v>1525011172</v>
      </c>
      <c r="C2499" t="str">
        <f>T("남창목가 352화")</f>
        <v>남창목가 352화</v>
      </c>
      <c r="D2499" t="str">
        <f>T("352")</f>
        <v>352</v>
      </c>
      <c r="E2499" t="str">
        <f>T("최재봉")</f>
        <v>최재봉</v>
      </c>
      <c r="H2499" t="str">
        <f>T("에필로그")</f>
        <v>에필로그</v>
      </c>
      <c r="I2499" t="str">
        <f>T("남창목가")</f>
        <v>남창목가</v>
      </c>
      <c r="J2499">
        <v>100</v>
      </c>
      <c r="K2499">
        <v>100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100</v>
      </c>
      <c r="AH2499">
        <v>1</v>
      </c>
      <c r="AI2499">
        <v>0</v>
      </c>
      <c r="AJ2499">
        <v>0</v>
      </c>
      <c r="AK2499">
        <v>0</v>
      </c>
      <c r="AL2499">
        <v>0</v>
      </c>
      <c r="AM2499">
        <v>120</v>
      </c>
      <c r="AN2499">
        <v>-12</v>
      </c>
      <c r="AO2499">
        <v>0</v>
      </c>
      <c r="AQ2499">
        <v>0</v>
      </c>
      <c r="AR2499">
        <v>0</v>
      </c>
      <c r="AS2499">
        <v>120</v>
      </c>
      <c r="AT2499">
        <v>-12</v>
      </c>
      <c r="AU2499">
        <v>0</v>
      </c>
      <c r="AW2499">
        <v>0</v>
      </c>
      <c r="AX2499">
        <v>0</v>
      </c>
      <c r="AY2499">
        <v>75.599999999999994</v>
      </c>
      <c r="BC2499" t="str">
        <f>T("9791164482849")</f>
        <v>9791164482849</v>
      </c>
      <c r="BE2499" t="str">
        <f>T("판타지 웹소설 &gt; 무협 소설")</f>
        <v>판타지 웹소설 &gt; 무협 소설</v>
      </c>
    </row>
    <row r="2500" spans="1:57" x14ac:dyDescent="0.3">
      <c r="A2500">
        <v>1525008428</v>
      </c>
      <c r="B2500">
        <v>1525008418</v>
      </c>
      <c r="C2500" t="str">
        <f>T("무히비(Muhibbi) 114화 (완결)")</f>
        <v>무히비(Muhibbi) 114화 (완결)</v>
      </c>
      <c r="D2500" t="str">
        <f>T("114")</f>
        <v>114</v>
      </c>
      <c r="E2500" t="str">
        <f>T("jooki")</f>
        <v>jooki</v>
      </c>
      <c r="H2500" t="str">
        <f>T("블러쉬")</f>
        <v>블러쉬</v>
      </c>
      <c r="I2500" t="str">
        <f>T("무히비(Muhibbi)")</f>
        <v>무히비(Muhibbi)</v>
      </c>
      <c r="J2500">
        <v>100</v>
      </c>
      <c r="K2500">
        <v>100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100</v>
      </c>
      <c r="AH2500">
        <v>1</v>
      </c>
      <c r="AI2500">
        <v>0</v>
      </c>
      <c r="AJ2500">
        <v>0</v>
      </c>
      <c r="AK2500">
        <v>100</v>
      </c>
      <c r="AL2500">
        <v>0</v>
      </c>
      <c r="AM2500">
        <v>0</v>
      </c>
      <c r="AN2500">
        <v>0</v>
      </c>
      <c r="AO2500">
        <v>0</v>
      </c>
      <c r="AQ2500">
        <v>0</v>
      </c>
      <c r="AR2500">
        <v>0</v>
      </c>
      <c r="AT2500">
        <v>0</v>
      </c>
      <c r="AU2500">
        <v>0</v>
      </c>
      <c r="AW2500">
        <v>0</v>
      </c>
      <c r="AX2500">
        <v>0</v>
      </c>
      <c r="AY2500">
        <v>70</v>
      </c>
      <c r="BA2500" t="str">
        <f>T("0000000000000")</f>
        <v>0000000000000</v>
      </c>
      <c r="BC2500" t="str">
        <f>T("9791164896622")</f>
        <v>9791164896622</v>
      </c>
      <c r="BE2500" t="str">
        <f>T("BL 웹소설 &gt; 역사/시대물")</f>
        <v>BL 웹소설 &gt; 역사/시대물</v>
      </c>
    </row>
    <row r="2501" spans="1:57" x14ac:dyDescent="0.3">
      <c r="A2501">
        <v>1525004030</v>
      </c>
      <c r="B2501">
        <v>1525006976</v>
      </c>
      <c r="C2501" t="str">
        <f>T("회귀의 전설 2부 860화")</f>
        <v>회귀의 전설 2부 860화</v>
      </c>
      <c r="D2501" t="str">
        <f>T("860")</f>
        <v>860</v>
      </c>
      <c r="E2501" t="str">
        <f>T("김광수")</f>
        <v>김광수</v>
      </c>
      <c r="H2501" t="str">
        <f>T("스토리위즈")</f>
        <v>스토리위즈</v>
      </c>
      <c r="I2501" t="str">
        <f>T("회귀의 전설")</f>
        <v>회귀의 전설</v>
      </c>
      <c r="J2501">
        <v>100</v>
      </c>
      <c r="K2501">
        <v>100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100</v>
      </c>
      <c r="AH2501">
        <v>1</v>
      </c>
      <c r="AI2501">
        <v>0</v>
      </c>
      <c r="AJ2501">
        <v>0</v>
      </c>
      <c r="AK2501">
        <v>100</v>
      </c>
      <c r="AL2501">
        <v>0</v>
      </c>
      <c r="AM2501">
        <v>0</v>
      </c>
      <c r="AN2501">
        <v>0</v>
      </c>
      <c r="AO2501">
        <v>0</v>
      </c>
      <c r="AQ2501">
        <v>0</v>
      </c>
      <c r="AR2501">
        <v>0</v>
      </c>
      <c r="AT2501">
        <v>0</v>
      </c>
      <c r="AU2501">
        <v>0</v>
      </c>
      <c r="AW2501">
        <v>0</v>
      </c>
      <c r="AX2501">
        <v>0</v>
      </c>
      <c r="AY2501">
        <v>70</v>
      </c>
      <c r="BC2501" t="str">
        <f>T("9791191102086")</f>
        <v>9791191102086</v>
      </c>
      <c r="BE2501" t="str">
        <f>T("판타지 웹소설 &gt; 현대 판타지")</f>
        <v>판타지 웹소설 &gt; 현대 판타지</v>
      </c>
    </row>
    <row r="2502" spans="1:57" x14ac:dyDescent="0.3">
      <c r="A2502">
        <v>1525011523</v>
      </c>
      <c r="B2502">
        <v>1525011369</v>
      </c>
      <c r="C2502" t="str">
        <f>T("남창목가 155화")</f>
        <v>남창목가 155화</v>
      </c>
      <c r="D2502" t="str">
        <f>T("155")</f>
        <v>155</v>
      </c>
      <c r="E2502" t="str">
        <f>T("최재봉")</f>
        <v>최재봉</v>
      </c>
      <c r="H2502" t="str">
        <f>T("에필로그")</f>
        <v>에필로그</v>
      </c>
      <c r="I2502" t="str">
        <f>T("남창목가")</f>
        <v>남창목가</v>
      </c>
      <c r="J2502">
        <v>100</v>
      </c>
      <c r="K2502">
        <v>100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100</v>
      </c>
      <c r="AH2502">
        <v>1</v>
      </c>
      <c r="AI2502">
        <v>0</v>
      </c>
      <c r="AJ2502">
        <v>0</v>
      </c>
      <c r="AK2502">
        <v>0</v>
      </c>
      <c r="AL2502">
        <v>0</v>
      </c>
      <c r="AM2502">
        <v>120</v>
      </c>
      <c r="AN2502">
        <v>-12</v>
      </c>
      <c r="AO2502">
        <v>0</v>
      </c>
      <c r="AQ2502">
        <v>0</v>
      </c>
      <c r="AR2502">
        <v>0</v>
      </c>
      <c r="AS2502">
        <v>120</v>
      </c>
      <c r="AT2502">
        <v>-12</v>
      </c>
      <c r="AU2502">
        <v>0</v>
      </c>
      <c r="AW2502">
        <v>0</v>
      </c>
      <c r="AX2502">
        <v>0</v>
      </c>
      <c r="AY2502">
        <v>75.599999999999994</v>
      </c>
      <c r="BC2502" t="str">
        <f>T("9791164482849")</f>
        <v>9791164482849</v>
      </c>
      <c r="BE2502" t="str">
        <f>T("판타지 웹소설 &gt; 무협 소설")</f>
        <v>판타지 웹소설 &gt; 무협 소설</v>
      </c>
    </row>
    <row r="2503" spans="1:57" x14ac:dyDescent="0.3">
      <c r="A2503">
        <v>1525013020</v>
      </c>
      <c r="B2503">
        <v>1525013058</v>
      </c>
      <c r="C2503" t="str">
        <f>T("악당의 리턴 39화")</f>
        <v>악당의 리턴 39화</v>
      </c>
      <c r="D2503" t="str">
        <f>T("39")</f>
        <v>39</v>
      </c>
      <c r="E2503" t="str">
        <f>T("백범(白帆)")</f>
        <v>백범(白帆)</v>
      </c>
      <c r="H2503" t="str">
        <f>T("에필로그")</f>
        <v>에필로그</v>
      </c>
      <c r="I2503" t="str">
        <f>T("악당의 리턴")</f>
        <v>악당의 리턴</v>
      </c>
      <c r="J2503">
        <v>100</v>
      </c>
      <c r="K2503">
        <v>100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100</v>
      </c>
      <c r="AH2503">
        <v>1</v>
      </c>
      <c r="AI2503">
        <v>0</v>
      </c>
      <c r="AJ2503">
        <v>0</v>
      </c>
      <c r="AK2503">
        <v>100</v>
      </c>
      <c r="AL2503">
        <v>0</v>
      </c>
      <c r="AM2503">
        <v>0</v>
      </c>
      <c r="AN2503">
        <v>0</v>
      </c>
      <c r="AO2503">
        <v>0</v>
      </c>
      <c r="AQ2503">
        <v>0</v>
      </c>
      <c r="AR2503">
        <v>0</v>
      </c>
      <c r="AT2503">
        <v>0</v>
      </c>
      <c r="AU2503">
        <v>0</v>
      </c>
      <c r="AW2503">
        <v>0</v>
      </c>
      <c r="AX2503">
        <v>0</v>
      </c>
      <c r="AY2503">
        <v>70</v>
      </c>
      <c r="BC2503" t="str">
        <f>T("9791196538927")</f>
        <v>9791196538927</v>
      </c>
      <c r="BE2503" t="str">
        <f>T("판타지 웹소설 &gt; 현대 판타지")</f>
        <v>판타지 웹소설 &gt; 현대 판타지</v>
      </c>
    </row>
    <row r="2504" spans="1:57" x14ac:dyDescent="0.3">
      <c r="A2504">
        <v>1525004030</v>
      </c>
      <c r="B2504">
        <v>1525007131</v>
      </c>
      <c r="C2504" t="str">
        <f>T("회귀의 전설 2부 1015화")</f>
        <v>회귀의 전설 2부 1015화</v>
      </c>
      <c r="D2504" t="str">
        <f>T("1015")</f>
        <v>1015</v>
      </c>
      <c r="E2504" t="str">
        <f>T("김광수")</f>
        <v>김광수</v>
      </c>
      <c r="H2504" t="str">
        <f>T("스토리위즈")</f>
        <v>스토리위즈</v>
      </c>
      <c r="I2504" t="str">
        <f>T("회귀의 전설")</f>
        <v>회귀의 전설</v>
      </c>
      <c r="J2504">
        <v>100</v>
      </c>
      <c r="K2504">
        <v>100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100</v>
      </c>
      <c r="AH2504">
        <v>1</v>
      </c>
      <c r="AI2504">
        <v>0</v>
      </c>
      <c r="AJ2504">
        <v>0</v>
      </c>
      <c r="AK2504">
        <v>100</v>
      </c>
      <c r="AL2504">
        <v>0</v>
      </c>
      <c r="AM2504">
        <v>0</v>
      </c>
      <c r="AN2504">
        <v>0</v>
      </c>
      <c r="AO2504">
        <v>0</v>
      </c>
      <c r="AQ2504">
        <v>0</v>
      </c>
      <c r="AR2504">
        <v>0</v>
      </c>
      <c r="AT2504">
        <v>0</v>
      </c>
      <c r="AU2504">
        <v>0</v>
      </c>
      <c r="AW2504">
        <v>0</v>
      </c>
      <c r="AX2504">
        <v>0</v>
      </c>
      <c r="AY2504">
        <v>70</v>
      </c>
      <c r="BC2504" t="str">
        <f>T("9791191102086")</f>
        <v>9791191102086</v>
      </c>
      <c r="BE2504" t="str">
        <f>T("판타지 웹소설 &gt; 현대 판타지")</f>
        <v>판타지 웹소설 &gt; 현대 판타지</v>
      </c>
    </row>
    <row r="2505" spans="1:57" x14ac:dyDescent="0.3">
      <c r="A2505">
        <v>1525004030</v>
      </c>
      <c r="B2505">
        <v>1525004504</v>
      </c>
      <c r="C2505" t="str">
        <f>T("회귀의 전설 488화")</f>
        <v>회귀의 전설 488화</v>
      </c>
      <c r="D2505" t="str">
        <f>T("488")</f>
        <v>488</v>
      </c>
      <c r="E2505" t="str">
        <f>T("김광수")</f>
        <v>김광수</v>
      </c>
      <c r="H2505" t="str">
        <f>T("스토리위즈")</f>
        <v>스토리위즈</v>
      </c>
      <c r="I2505" t="str">
        <f>T("회귀의 전설")</f>
        <v>회귀의 전설</v>
      </c>
      <c r="J2505">
        <v>100</v>
      </c>
      <c r="K2505">
        <v>100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100</v>
      </c>
      <c r="AH2505">
        <v>1</v>
      </c>
      <c r="AI2505">
        <v>0</v>
      </c>
      <c r="AJ2505">
        <v>0</v>
      </c>
      <c r="AK2505">
        <v>100</v>
      </c>
      <c r="AL2505">
        <v>0</v>
      </c>
      <c r="AM2505">
        <v>0</v>
      </c>
      <c r="AN2505">
        <v>0</v>
      </c>
      <c r="AO2505">
        <v>0</v>
      </c>
      <c r="AQ2505">
        <v>0</v>
      </c>
      <c r="AR2505">
        <v>0</v>
      </c>
      <c r="AT2505">
        <v>0</v>
      </c>
      <c r="AU2505">
        <v>0</v>
      </c>
      <c r="AW2505">
        <v>0</v>
      </c>
      <c r="AX2505">
        <v>0</v>
      </c>
      <c r="AY2505">
        <v>70</v>
      </c>
      <c r="BC2505" t="str">
        <f>T("9788997946006")</f>
        <v>9788997946006</v>
      </c>
      <c r="BE2505" t="str">
        <f>T("판타지 웹소설 &gt; 현대 판타지")</f>
        <v>판타지 웹소설 &gt; 현대 판타지</v>
      </c>
    </row>
    <row r="2506" spans="1:57" x14ac:dyDescent="0.3">
      <c r="A2506">
        <v>1525012551</v>
      </c>
      <c r="B2506">
        <v>1525012732</v>
      </c>
      <c r="C2506" t="str">
        <f>T("개정판 | 바보가 만드는 멋진 세상 182화")</f>
        <v>개정판 | 바보가 만드는 멋진 세상 182화</v>
      </c>
      <c r="D2506" t="str">
        <f>T("182")</f>
        <v>182</v>
      </c>
      <c r="E2506" t="str">
        <f>T("백범(白帆)")</f>
        <v>백범(白帆)</v>
      </c>
      <c r="H2506" t="str">
        <f>T("에필로그")</f>
        <v>에필로그</v>
      </c>
      <c r="I2506" t="str">
        <f>T("개정판 | 바보가 만드는 멋진 세상")</f>
        <v>개정판 | 바보가 만드는 멋진 세상</v>
      </c>
      <c r="J2506">
        <v>100</v>
      </c>
      <c r="K2506">
        <v>100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100</v>
      </c>
      <c r="AH2506">
        <v>1</v>
      </c>
      <c r="AI2506">
        <v>0</v>
      </c>
      <c r="AJ2506">
        <v>0</v>
      </c>
      <c r="AK2506">
        <v>100</v>
      </c>
      <c r="AL2506">
        <v>0</v>
      </c>
      <c r="AM2506">
        <v>0</v>
      </c>
      <c r="AN2506">
        <v>0</v>
      </c>
      <c r="AO2506">
        <v>0</v>
      </c>
      <c r="AQ2506">
        <v>0</v>
      </c>
      <c r="AR2506">
        <v>0</v>
      </c>
      <c r="AT2506">
        <v>0</v>
      </c>
      <c r="AU2506">
        <v>0</v>
      </c>
      <c r="AW2506">
        <v>0</v>
      </c>
      <c r="AX2506">
        <v>0</v>
      </c>
      <c r="AY2506">
        <v>70</v>
      </c>
      <c r="BC2506" t="str">
        <f>T("9791166003493")</f>
        <v>9791166003493</v>
      </c>
      <c r="BE2506" t="str">
        <f>T("판타지 웹소설 &gt; 현대 판타지")</f>
        <v>판타지 웹소설 &gt; 현대 판타지</v>
      </c>
    </row>
    <row r="2507" spans="1:57" x14ac:dyDescent="0.3">
      <c r="A2507">
        <v>1525008428</v>
      </c>
      <c r="B2507">
        <v>1525008495</v>
      </c>
      <c r="C2507" t="str">
        <f>T("무히비(Muhibbi) 80화")</f>
        <v>무히비(Muhibbi) 80화</v>
      </c>
      <c r="D2507" t="str">
        <f>T("80")</f>
        <v>80</v>
      </c>
      <c r="E2507" t="str">
        <f>T("jooki")</f>
        <v>jooki</v>
      </c>
      <c r="H2507" t="str">
        <f>T("블러쉬")</f>
        <v>블러쉬</v>
      </c>
      <c r="I2507" t="str">
        <f>T("무히비(Muhibbi)")</f>
        <v>무히비(Muhibbi)</v>
      </c>
      <c r="J2507">
        <v>100</v>
      </c>
      <c r="K2507">
        <v>100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100</v>
      </c>
      <c r="AH2507">
        <v>1</v>
      </c>
      <c r="AI2507">
        <v>0</v>
      </c>
      <c r="AJ2507">
        <v>0</v>
      </c>
      <c r="AK2507">
        <v>100</v>
      </c>
      <c r="AL2507">
        <v>0</v>
      </c>
      <c r="AM2507">
        <v>0</v>
      </c>
      <c r="AN2507">
        <v>0</v>
      </c>
      <c r="AO2507">
        <v>0</v>
      </c>
      <c r="AQ2507">
        <v>0</v>
      </c>
      <c r="AR2507">
        <v>0</v>
      </c>
      <c r="AT2507">
        <v>0</v>
      </c>
      <c r="AU2507">
        <v>0</v>
      </c>
      <c r="AW2507">
        <v>0</v>
      </c>
      <c r="AX2507">
        <v>0</v>
      </c>
      <c r="AY2507">
        <v>70</v>
      </c>
      <c r="BC2507" t="str">
        <f>T("9791164896622")</f>
        <v>9791164896622</v>
      </c>
      <c r="BE2507" t="str">
        <f>T("BL 웹소설 &gt; 역사/시대물")</f>
        <v>BL 웹소설 &gt; 역사/시대물</v>
      </c>
    </row>
    <row r="2508" spans="1:57" x14ac:dyDescent="0.3">
      <c r="A2508">
        <v>1525012551</v>
      </c>
      <c r="B2508">
        <v>1525012610</v>
      </c>
      <c r="C2508" t="str">
        <f>T("개정판 | 바보가 만드는 멋진 세상 60화")</f>
        <v>개정판 | 바보가 만드는 멋진 세상 60화</v>
      </c>
      <c r="D2508" t="str">
        <f>T("60")</f>
        <v>60</v>
      </c>
      <c r="E2508" t="str">
        <f>T("백범(白帆)")</f>
        <v>백범(白帆)</v>
      </c>
      <c r="H2508" t="str">
        <f>T("에필로그")</f>
        <v>에필로그</v>
      </c>
      <c r="I2508" t="str">
        <f>T("개정판 | 바보가 만드는 멋진 세상")</f>
        <v>개정판 | 바보가 만드는 멋진 세상</v>
      </c>
      <c r="J2508">
        <v>100</v>
      </c>
      <c r="K2508">
        <v>100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100</v>
      </c>
      <c r="AH2508">
        <v>1</v>
      </c>
      <c r="AI2508">
        <v>0</v>
      </c>
      <c r="AJ2508">
        <v>0</v>
      </c>
      <c r="AK2508">
        <v>100</v>
      </c>
      <c r="AL2508">
        <v>0</v>
      </c>
      <c r="AM2508">
        <v>0</v>
      </c>
      <c r="AN2508">
        <v>0</v>
      </c>
      <c r="AO2508">
        <v>0</v>
      </c>
      <c r="AQ2508">
        <v>0</v>
      </c>
      <c r="AR2508">
        <v>0</v>
      </c>
      <c r="AT2508">
        <v>0</v>
      </c>
      <c r="AU2508">
        <v>0</v>
      </c>
      <c r="AW2508">
        <v>0</v>
      </c>
      <c r="AX2508">
        <v>0</v>
      </c>
      <c r="AY2508">
        <v>70</v>
      </c>
      <c r="BC2508" t="str">
        <f>T("9791166003493")</f>
        <v>9791166003493</v>
      </c>
      <c r="BE2508" t="str">
        <f>T("판타지 웹소설 &gt; 현대 판타지")</f>
        <v>판타지 웹소설 &gt; 현대 판타지</v>
      </c>
    </row>
    <row r="2509" spans="1:57" x14ac:dyDescent="0.3">
      <c r="A2509">
        <v>1525004799</v>
      </c>
      <c r="B2509">
        <v>1525004960</v>
      </c>
      <c r="C2509" t="str">
        <f>T("검산도해 162화")</f>
        <v>검산도해 162화</v>
      </c>
      <c r="D2509" t="str">
        <f>T("162")</f>
        <v>162</v>
      </c>
      <c r="E2509" t="str">
        <f>T("권용찬")</f>
        <v>권용찬</v>
      </c>
      <c r="H2509" t="str">
        <f>T("스토리위즈")</f>
        <v>스토리위즈</v>
      </c>
      <c r="I2509" t="str">
        <f>T("검산도해")</f>
        <v>검산도해</v>
      </c>
      <c r="J2509">
        <v>100</v>
      </c>
      <c r="K2509">
        <v>100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100</v>
      </c>
      <c r="AH2509">
        <v>1</v>
      </c>
      <c r="AI2509">
        <v>0</v>
      </c>
      <c r="AJ2509">
        <v>0</v>
      </c>
      <c r="AK2509">
        <v>0</v>
      </c>
      <c r="AL2509">
        <v>0</v>
      </c>
      <c r="AM2509">
        <v>120</v>
      </c>
      <c r="AN2509">
        <v>-12</v>
      </c>
      <c r="AO2509">
        <v>0</v>
      </c>
      <c r="AQ2509">
        <v>0</v>
      </c>
      <c r="AR2509">
        <v>0</v>
      </c>
      <c r="AS2509">
        <v>120</v>
      </c>
      <c r="AT2509">
        <v>-12</v>
      </c>
      <c r="AU2509">
        <v>0</v>
      </c>
      <c r="AW2509">
        <v>0</v>
      </c>
      <c r="AX2509">
        <v>0</v>
      </c>
      <c r="AY2509">
        <v>75.599999999999994</v>
      </c>
      <c r="BC2509" t="str">
        <f>T("9791159285936")</f>
        <v>9791159285936</v>
      </c>
      <c r="BE2509" t="str">
        <f>T("판타지 웹소설 &gt; 무협 소설")</f>
        <v>판타지 웹소설 &gt; 무협 소설</v>
      </c>
    </row>
    <row r="2510" spans="1:57" x14ac:dyDescent="0.3">
      <c r="A2510">
        <v>1525004030</v>
      </c>
      <c r="B2510">
        <v>1525007049</v>
      </c>
      <c r="C2510" t="str">
        <f>T("회귀의 전설 2부 933화")</f>
        <v>회귀의 전설 2부 933화</v>
      </c>
      <c r="D2510" t="str">
        <f>T("933")</f>
        <v>933</v>
      </c>
      <c r="E2510" t="str">
        <f>T("김광수")</f>
        <v>김광수</v>
      </c>
      <c r="H2510" t="str">
        <f>T("스토리위즈")</f>
        <v>스토리위즈</v>
      </c>
      <c r="I2510" t="str">
        <f>T("회귀의 전설")</f>
        <v>회귀의 전설</v>
      </c>
      <c r="J2510">
        <v>100</v>
      </c>
      <c r="K2510">
        <v>100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100</v>
      </c>
      <c r="AH2510">
        <v>1</v>
      </c>
      <c r="AI2510">
        <v>0</v>
      </c>
      <c r="AJ2510">
        <v>0</v>
      </c>
      <c r="AK2510">
        <v>100</v>
      </c>
      <c r="AL2510">
        <v>0</v>
      </c>
      <c r="AM2510">
        <v>0</v>
      </c>
      <c r="AN2510">
        <v>0</v>
      </c>
      <c r="AO2510">
        <v>0</v>
      </c>
      <c r="AQ2510">
        <v>0</v>
      </c>
      <c r="AR2510">
        <v>0</v>
      </c>
      <c r="AT2510">
        <v>0</v>
      </c>
      <c r="AU2510">
        <v>0</v>
      </c>
      <c r="AW2510">
        <v>0</v>
      </c>
      <c r="AX2510">
        <v>0</v>
      </c>
      <c r="AY2510">
        <v>70</v>
      </c>
      <c r="BC2510" t="str">
        <f>T("9791191102086")</f>
        <v>9791191102086</v>
      </c>
      <c r="BE2510" t="str">
        <f>T("판타지 웹소설 &gt; 현대 판타지")</f>
        <v>판타지 웹소설 &gt; 현대 판타지</v>
      </c>
    </row>
    <row r="2511" spans="1:57" x14ac:dyDescent="0.3">
      <c r="A2511">
        <v>1525008428</v>
      </c>
      <c r="B2511">
        <v>1525008453</v>
      </c>
      <c r="C2511" t="str">
        <f>T("무히비(Muhibbi) 42화")</f>
        <v>무히비(Muhibbi) 42화</v>
      </c>
      <c r="D2511" t="str">
        <f>T("42")</f>
        <v>42</v>
      </c>
      <c r="E2511" t="str">
        <f>T("jooki")</f>
        <v>jooki</v>
      </c>
      <c r="H2511" t="str">
        <f>T("블러쉬")</f>
        <v>블러쉬</v>
      </c>
      <c r="I2511" t="str">
        <f>T("무히비(Muhibbi)")</f>
        <v>무히비(Muhibbi)</v>
      </c>
      <c r="J2511">
        <v>100</v>
      </c>
      <c r="K2511">
        <v>100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100</v>
      </c>
      <c r="AH2511">
        <v>1</v>
      </c>
      <c r="AI2511">
        <v>0</v>
      </c>
      <c r="AJ2511">
        <v>0</v>
      </c>
      <c r="AK2511">
        <v>100</v>
      </c>
      <c r="AL2511">
        <v>0</v>
      </c>
      <c r="AM2511">
        <v>0</v>
      </c>
      <c r="AN2511">
        <v>0</v>
      </c>
      <c r="AO2511">
        <v>0</v>
      </c>
      <c r="AQ2511">
        <v>0</v>
      </c>
      <c r="AR2511">
        <v>0</v>
      </c>
      <c r="AT2511">
        <v>0</v>
      </c>
      <c r="AU2511">
        <v>0</v>
      </c>
      <c r="AW2511">
        <v>0</v>
      </c>
      <c r="AX2511">
        <v>0</v>
      </c>
      <c r="AY2511">
        <v>70</v>
      </c>
      <c r="BC2511" t="str">
        <f>T("9791164896622")</f>
        <v>9791164896622</v>
      </c>
      <c r="BE2511" t="str">
        <f>T("BL 웹소설 &gt; 역사/시대물")</f>
        <v>BL 웹소설 &gt; 역사/시대물</v>
      </c>
    </row>
    <row r="2512" spans="1:57" x14ac:dyDescent="0.3">
      <c r="A2512">
        <v>1525013020</v>
      </c>
      <c r="B2512">
        <v>1525013090</v>
      </c>
      <c r="C2512" t="str">
        <f>T("악당의 리턴 71화")</f>
        <v>악당의 리턴 71화</v>
      </c>
      <c r="D2512" t="str">
        <f>T("71")</f>
        <v>71</v>
      </c>
      <c r="E2512" t="str">
        <f>T("백범(白帆)")</f>
        <v>백범(白帆)</v>
      </c>
      <c r="H2512" t="str">
        <f>T("에필로그")</f>
        <v>에필로그</v>
      </c>
      <c r="I2512" t="str">
        <f>T("악당의 리턴")</f>
        <v>악당의 리턴</v>
      </c>
      <c r="J2512">
        <v>100</v>
      </c>
      <c r="K2512">
        <v>100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100</v>
      </c>
      <c r="AH2512">
        <v>1</v>
      </c>
      <c r="AI2512">
        <v>0</v>
      </c>
      <c r="AJ2512">
        <v>0</v>
      </c>
      <c r="AK2512">
        <v>100</v>
      </c>
      <c r="AL2512">
        <v>0</v>
      </c>
      <c r="AM2512">
        <v>0</v>
      </c>
      <c r="AN2512">
        <v>0</v>
      </c>
      <c r="AO2512">
        <v>0</v>
      </c>
      <c r="AQ2512">
        <v>0</v>
      </c>
      <c r="AR2512">
        <v>0</v>
      </c>
      <c r="AT2512">
        <v>0</v>
      </c>
      <c r="AU2512">
        <v>0</v>
      </c>
      <c r="AW2512">
        <v>0</v>
      </c>
      <c r="AX2512">
        <v>0</v>
      </c>
      <c r="AY2512">
        <v>70</v>
      </c>
      <c r="BC2512" t="str">
        <f>T("9791196538927")</f>
        <v>9791196538927</v>
      </c>
      <c r="BE2512" t="str">
        <f>T("판타지 웹소설 &gt; 현대 판타지")</f>
        <v>판타지 웹소설 &gt; 현대 판타지</v>
      </c>
    </row>
    <row r="2513" spans="1:57" x14ac:dyDescent="0.3">
      <c r="A2513">
        <v>1525004030</v>
      </c>
      <c r="B2513">
        <v>1525007191</v>
      </c>
      <c r="C2513" t="str">
        <f>T("회귀의 전설 2부 1074화")</f>
        <v>회귀의 전설 2부 1074화</v>
      </c>
      <c r="D2513" t="str">
        <f>T("1074")</f>
        <v>1074</v>
      </c>
      <c r="E2513" t="str">
        <f>T("김광수")</f>
        <v>김광수</v>
      </c>
      <c r="H2513" t="str">
        <f>T("스토리위즈")</f>
        <v>스토리위즈</v>
      </c>
      <c r="I2513" t="str">
        <f>T("회귀의 전설")</f>
        <v>회귀의 전설</v>
      </c>
      <c r="J2513">
        <v>100</v>
      </c>
      <c r="K2513">
        <v>100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100</v>
      </c>
      <c r="AH2513">
        <v>1</v>
      </c>
      <c r="AI2513">
        <v>0</v>
      </c>
      <c r="AJ2513">
        <v>0</v>
      </c>
      <c r="AK2513">
        <v>100</v>
      </c>
      <c r="AL2513">
        <v>0</v>
      </c>
      <c r="AM2513">
        <v>0</v>
      </c>
      <c r="AN2513">
        <v>0</v>
      </c>
      <c r="AO2513">
        <v>0</v>
      </c>
      <c r="AQ2513">
        <v>0</v>
      </c>
      <c r="AR2513">
        <v>0</v>
      </c>
      <c r="AT2513">
        <v>0</v>
      </c>
      <c r="AU2513">
        <v>0</v>
      </c>
      <c r="AW2513">
        <v>0</v>
      </c>
      <c r="AX2513">
        <v>0</v>
      </c>
      <c r="AY2513">
        <v>70</v>
      </c>
      <c r="BC2513" t="str">
        <f>T("9791191102086")</f>
        <v>9791191102086</v>
      </c>
      <c r="BE2513" t="str">
        <f>T("판타지 웹소설 &gt; 현대 판타지")</f>
        <v>판타지 웹소설 &gt; 현대 판타지</v>
      </c>
    </row>
    <row r="2514" spans="1:57" x14ac:dyDescent="0.3">
      <c r="A2514">
        <v>1525008545</v>
      </c>
      <c r="B2514">
        <v>1525008577</v>
      </c>
      <c r="C2514" t="str">
        <f>T("소년연애담 49화")</f>
        <v>소년연애담 49화</v>
      </c>
      <c r="D2514" t="str">
        <f>T("49")</f>
        <v>49</v>
      </c>
      <c r="E2514" t="str">
        <f>T("나나코")</f>
        <v>나나코</v>
      </c>
      <c r="H2514" t="str">
        <f>T("블러쉬")</f>
        <v>블러쉬</v>
      </c>
      <c r="I2514" t="str">
        <f>T("소년연애담")</f>
        <v>소년연애담</v>
      </c>
      <c r="J2514">
        <v>100</v>
      </c>
      <c r="K2514">
        <v>100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100</v>
      </c>
      <c r="AH2514">
        <v>1</v>
      </c>
      <c r="AI2514">
        <v>0</v>
      </c>
      <c r="AJ2514">
        <v>0</v>
      </c>
      <c r="AK2514">
        <v>100</v>
      </c>
      <c r="AL2514">
        <v>0</v>
      </c>
      <c r="AM2514">
        <v>0</v>
      </c>
      <c r="AN2514">
        <v>0</v>
      </c>
      <c r="AO2514">
        <v>0</v>
      </c>
      <c r="AQ2514">
        <v>0</v>
      </c>
      <c r="AR2514">
        <v>0</v>
      </c>
      <c r="AT2514">
        <v>0</v>
      </c>
      <c r="AU2514">
        <v>0</v>
      </c>
      <c r="AW2514">
        <v>0</v>
      </c>
      <c r="AX2514">
        <v>0</v>
      </c>
      <c r="AY2514">
        <v>70</v>
      </c>
      <c r="BA2514" t="str">
        <f>T("0000000000000")</f>
        <v>0000000000000</v>
      </c>
      <c r="BC2514" t="str">
        <f>T("9791164890729")</f>
        <v>9791164890729</v>
      </c>
      <c r="BD2514" t="str">
        <f>T("B12")</f>
        <v>B12</v>
      </c>
      <c r="BE2514" t="str">
        <f>T("BL 웹소설 &gt; 현대물")</f>
        <v>BL 웹소설 &gt; 현대물</v>
      </c>
    </row>
    <row r="2515" spans="1:57" x14ac:dyDescent="0.3">
      <c r="A2515">
        <v>1525012551</v>
      </c>
      <c r="B2515">
        <v>1525012651</v>
      </c>
      <c r="C2515" t="str">
        <f>T("개정판 | 바보가 만드는 멋진 세상 101화")</f>
        <v>개정판 | 바보가 만드는 멋진 세상 101화</v>
      </c>
      <c r="D2515" t="str">
        <f>T("101")</f>
        <v>101</v>
      </c>
      <c r="E2515" t="str">
        <f>T("백범(白帆)")</f>
        <v>백범(白帆)</v>
      </c>
      <c r="H2515" t="str">
        <f>T("에필로그")</f>
        <v>에필로그</v>
      </c>
      <c r="I2515" t="str">
        <f>T("개정판 | 바보가 만드는 멋진 세상")</f>
        <v>개정판 | 바보가 만드는 멋진 세상</v>
      </c>
      <c r="J2515">
        <v>100</v>
      </c>
      <c r="K2515">
        <v>100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100</v>
      </c>
      <c r="AH2515">
        <v>1</v>
      </c>
      <c r="AI2515">
        <v>0</v>
      </c>
      <c r="AJ2515">
        <v>0</v>
      </c>
      <c r="AK2515">
        <v>100</v>
      </c>
      <c r="AL2515">
        <v>0</v>
      </c>
      <c r="AM2515">
        <v>0</v>
      </c>
      <c r="AN2515">
        <v>0</v>
      </c>
      <c r="AO2515">
        <v>0</v>
      </c>
      <c r="AQ2515">
        <v>0</v>
      </c>
      <c r="AR2515">
        <v>0</v>
      </c>
      <c r="AT2515">
        <v>0</v>
      </c>
      <c r="AU2515">
        <v>0</v>
      </c>
      <c r="AW2515">
        <v>0</v>
      </c>
      <c r="AX2515">
        <v>0</v>
      </c>
      <c r="AY2515">
        <v>70</v>
      </c>
      <c r="BC2515" t="str">
        <f>T("9791166003493")</f>
        <v>9791166003493</v>
      </c>
      <c r="BE2515" t="str">
        <f>T("판타지 웹소설 &gt; 현대 판타지")</f>
        <v>판타지 웹소설 &gt; 현대 판타지</v>
      </c>
    </row>
    <row r="2516" spans="1:57" x14ac:dyDescent="0.3">
      <c r="A2516">
        <v>1525012551</v>
      </c>
      <c r="B2516">
        <v>1525012558</v>
      </c>
      <c r="C2516" t="str">
        <f>T("개정판 | 바보가 만드는 멋진 세상 8화")</f>
        <v>개정판 | 바보가 만드는 멋진 세상 8화</v>
      </c>
      <c r="D2516" t="str">
        <f>T("8")</f>
        <v>8</v>
      </c>
      <c r="E2516" t="str">
        <f>T("백범(白帆)")</f>
        <v>백범(白帆)</v>
      </c>
      <c r="H2516" t="str">
        <f>T("에필로그")</f>
        <v>에필로그</v>
      </c>
      <c r="I2516" t="str">
        <f>T("개정판 | 바보가 만드는 멋진 세상")</f>
        <v>개정판 | 바보가 만드는 멋진 세상</v>
      </c>
      <c r="J2516">
        <v>0</v>
      </c>
      <c r="K2516">
        <v>0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1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Q2516">
        <v>0</v>
      </c>
      <c r="AR2516">
        <v>0</v>
      </c>
      <c r="AT2516">
        <v>0</v>
      </c>
      <c r="AU2516">
        <v>0</v>
      </c>
      <c r="AW2516">
        <v>0</v>
      </c>
      <c r="AX2516">
        <v>0</v>
      </c>
      <c r="AY2516">
        <v>0</v>
      </c>
      <c r="BC2516" t="str">
        <f>T("9791166003493")</f>
        <v>9791166003493</v>
      </c>
      <c r="BE2516" t="str">
        <f>T("판타지 웹소설 &gt; 현대 판타지")</f>
        <v>판타지 웹소설 &gt; 현대 판타지</v>
      </c>
    </row>
    <row r="2517" spans="1:57" x14ac:dyDescent="0.3">
      <c r="A2517">
        <v>1525000107</v>
      </c>
      <c r="B2517">
        <v>1525000107</v>
      </c>
      <c r="C2517" t="str">
        <f>T("[e북]데이몬 1권")</f>
        <v>[e북]데이몬 1권</v>
      </c>
      <c r="D2517" t="str">
        <f>T("1")</f>
        <v>1</v>
      </c>
      <c r="E2517" t="str">
        <f>T("김정률")</f>
        <v>김정률</v>
      </c>
      <c r="H2517" t="str">
        <f>T("스토리위즈")</f>
        <v>스토리위즈</v>
      </c>
      <c r="I2517" t="str">
        <f>T("[e북]데이몬")</f>
        <v>[e북]데이몬</v>
      </c>
      <c r="J2517">
        <v>0</v>
      </c>
      <c r="K2517">
        <v>0</v>
      </c>
      <c r="L2517">
        <v>0</v>
      </c>
      <c r="M2517">
        <v>5</v>
      </c>
      <c r="N2517">
        <v>0</v>
      </c>
      <c r="O2517">
        <v>0</v>
      </c>
      <c r="P2517">
        <v>25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30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Q2517">
        <v>0</v>
      </c>
      <c r="AR2517">
        <v>0</v>
      </c>
      <c r="AT2517">
        <v>0</v>
      </c>
      <c r="AU2517">
        <v>0</v>
      </c>
      <c r="AW2517">
        <v>0</v>
      </c>
      <c r="AX2517">
        <v>0</v>
      </c>
      <c r="AY2517">
        <v>0</v>
      </c>
      <c r="BA2517" t="str">
        <f>T("0000000000000")</f>
        <v>0000000000000</v>
      </c>
      <c r="BC2517" t="str">
        <f>T("9791166062001")</f>
        <v>9791166062001</v>
      </c>
      <c r="BE2517" t="str">
        <f>T("판타지 e북 &gt; 퓨전 판타지")</f>
        <v>판타지 e북 &gt; 퓨전 판타지</v>
      </c>
    </row>
    <row r="2518" spans="1:57" x14ac:dyDescent="0.3">
      <c r="A2518">
        <v>1525000055</v>
      </c>
      <c r="B2518">
        <v>1525000065</v>
      </c>
      <c r="C2518" t="str">
        <f>T("[e북]21세기 대마법사 10권")</f>
        <v>[e북]21세기 대마법사 10권</v>
      </c>
      <c r="D2518" t="str">
        <f>T("10")</f>
        <v>10</v>
      </c>
      <c r="E2518" t="str">
        <f>T("김광수")</f>
        <v>김광수</v>
      </c>
      <c r="H2518" t="str">
        <f>T("스토리위즈")</f>
        <v>스토리위즈</v>
      </c>
      <c r="I2518" t="str">
        <f>T("[e북]21세기 대마법사")</f>
        <v>[e북]21세기 대마법사</v>
      </c>
      <c r="J2518">
        <v>3200</v>
      </c>
      <c r="K2518">
        <v>0</v>
      </c>
      <c r="L2518">
        <v>0</v>
      </c>
      <c r="M2518">
        <v>0</v>
      </c>
      <c r="N2518">
        <v>2700</v>
      </c>
      <c r="O2518">
        <v>3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2700</v>
      </c>
      <c r="AH2518">
        <v>3</v>
      </c>
      <c r="AI2518">
        <v>0</v>
      </c>
      <c r="AJ2518">
        <v>0</v>
      </c>
      <c r="AK2518">
        <v>0</v>
      </c>
      <c r="AL2518">
        <v>0</v>
      </c>
      <c r="AM2518">
        <v>3240</v>
      </c>
      <c r="AN2518">
        <v>-540</v>
      </c>
      <c r="AO2518">
        <v>0</v>
      </c>
      <c r="AQ2518">
        <v>0</v>
      </c>
      <c r="AR2518">
        <v>0</v>
      </c>
      <c r="AS2518">
        <v>3240</v>
      </c>
      <c r="AT2518">
        <v>-540</v>
      </c>
      <c r="AU2518">
        <v>0</v>
      </c>
      <c r="AW2518">
        <v>0</v>
      </c>
      <c r="AX2518">
        <v>0</v>
      </c>
      <c r="AY2518">
        <v>1890</v>
      </c>
      <c r="BC2518" t="str">
        <f>T("9788925118871")</f>
        <v>9788925118871</v>
      </c>
      <c r="BE2518" t="str">
        <f>T("판타지 e북 &gt; 퓨전 판타지")</f>
        <v>판타지 e북 &gt; 퓨전 판타지</v>
      </c>
    </row>
    <row r="2519" spans="1:57" x14ac:dyDescent="0.3">
      <c r="A2519">
        <v>1525004799</v>
      </c>
      <c r="B2519">
        <v>1525004811</v>
      </c>
      <c r="C2519" t="str">
        <f>T("검산도해 13화")</f>
        <v>검산도해 13화</v>
      </c>
      <c r="D2519" t="str">
        <f>T("13")</f>
        <v>13</v>
      </c>
      <c r="E2519" t="str">
        <f>T("권용찬")</f>
        <v>권용찬</v>
      </c>
      <c r="H2519" t="str">
        <f>T("스토리위즈")</f>
        <v>스토리위즈</v>
      </c>
      <c r="I2519" t="str">
        <f>T("검산도해")</f>
        <v>검산도해</v>
      </c>
      <c r="J2519">
        <v>0</v>
      </c>
      <c r="K2519">
        <v>0</v>
      </c>
      <c r="L2519">
        <v>0</v>
      </c>
      <c r="M2519">
        <v>2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2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Q2519">
        <v>0</v>
      </c>
      <c r="AR2519">
        <v>0</v>
      </c>
      <c r="AT2519">
        <v>0</v>
      </c>
      <c r="AU2519">
        <v>0</v>
      </c>
      <c r="AW2519">
        <v>0</v>
      </c>
      <c r="AX2519">
        <v>0</v>
      </c>
      <c r="AY2519">
        <v>0</v>
      </c>
      <c r="BC2519" t="str">
        <f>T("9791159285936")</f>
        <v>9791159285936</v>
      </c>
      <c r="BE2519" t="str">
        <f>T("판타지 웹소설 &gt; 무협 소설")</f>
        <v>판타지 웹소설 &gt; 무협 소설</v>
      </c>
    </row>
    <row r="2520" spans="1:57" x14ac:dyDescent="0.3">
      <c r="A2520">
        <v>1525014780</v>
      </c>
      <c r="B2520">
        <v>1525014793</v>
      </c>
      <c r="C2520" t="str">
        <f>T("크랭키 걸즈 14화")</f>
        <v>크랭키 걸즈 14화</v>
      </c>
      <c r="D2520" t="str">
        <f>T("14")</f>
        <v>14</v>
      </c>
      <c r="E2520" t="str">
        <f>T("곽도우")</f>
        <v>곽도우</v>
      </c>
      <c r="H2520" t="str">
        <f>T("스토리아크")</f>
        <v>스토리아크</v>
      </c>
      <c r="I2520" t="str">
        <f>T("크랭키 걸즈")</f>
        <v>크랭키 걸즈</v>
      </c>
      <c r="J2520">
        <v>0</v>
      </c>
      <c r="K2520">
        <v>0</v>
      </c>
      <c r="L2520">
        <v>0</v>
      </c>
      <c r="M2520">
        <v>1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1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Q2520">
        <v>0</v>
      </c>
      <c r="AR2520">
        <v>0</v>
      </c>
      <c r="AT2520">
        <v>0</v>
      </c>
      <c r="AU2520">
        <v>0</v>
      </c>
      <c r="AW2520">
        <v>0</v>
      </c>
      <c r="AX2520">
        <v>0</v>
      </c>
      <c r="AY2520">
        <v>0</v>
      </c>
      <c r="BC2520" t="str">
        <f>T("9791191039276")</f>
        <v>9791191039276</v>
      </c>
      <c r="BE2520" t="str">
        <f>T("판타지 웹소설 &gt; 현대 판타지")</f>
        <v>판타지 웹소설 &gt; 현대 판타지</v>
      </c>
    </row>
    <row r="2521" spans="1:57" x14ac:dyDescent="0.3">
      <c r="A2521">
        <v>1525001836</v>
      </c>
      <c r="B2521">
        <v>1525001836</v>
      </c>
      <c r="C2521" t="str">
        <f>T("[e북]완전판ㅣ스피릿 소드 1권")</f>
        <v>[e북]완전판ㅣ스피릿 소드 1권</v>
      </c>
      <c r="D2521" t="str">
        <f>T("1")</f>
        <v>1</v>
      </c>
      <c r="E2521" t="str">
        <f>T("김정률")</f>
        <v>김정률</v>
      </c>
      <c r="H2521" t="str">
        <f>T("스토리위즈")</f>
        <v>스토리위즈</v>
      </c>
      <c r="I2521" t="str">
        <f>T("[e북]완전판ㅣ스피릿 소드")</f>
        <v>[e북]완전판ㅣ스피릿 소드</v>
      </c>
      <c r="J2521">
        <v>0</v>
      </c>
      <c r="K2521">
        <v>0</v>
      </c>
      <c r="L2521">
        <v>0</v>
      </c>
      <c r="M2521">
        <v>7</v>
      </c>
      <c r="N2521">
        <v>0</v>
      </c>
      <c r="O2521">
        <v>0</v>
      </c>
      <c r="P2521">
        <v>10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17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Q2521">
        <v>0</v>
      </c>
      <c r="AR2521">
        <v>0</v>
      </c>
      <c r="AT2521">
        <v>0</v>
      </c>
      <c r="AU2521">
        <v>0</v>
      </c>
      <c r="AW2521">
        <v>0</v>
      </c>
      <c r="AX2521">
        <v>0</v>
      </c>
      <c r="AY2521">
        <v>0</v>
      </c>
      <c r="BC2521" t="str">
        <f>T("9791159285226")</f>
        <v>9791159285226</v>
      </c>
      <c r="BE2521" t="str">
        <f>T("판타지 e북 &gt; 정통 판타지")</f>
        <v>판타지 e북 &gt; 정통 판타지</v>
      </c>
    </row>
    <row r="2522" spans="1:57" x14ac:dyDescent="0.3">
      <c r="A2522">
        <v>1525002864</v>
      </c>
      <c r="B2522">
        <v>1525002878</v>
      </c>
      <c r="C2522" t="str">
        <f>T("소드마스터의 환생 15화")</f>
        <v>소드마스터의 환생 15화</v>
      </c>
      <c r="D2522" t="str">
        <f>T("15")</f>
        <v>15</v>
      </c>
      <c r="E2522" t="str">
        <f>T("파란영")</f>
        <v>파란영</v>
      </c>
      <c r="H2522" t="str">
        <f>T("스토리위즈")</f>
        <v>스토리위즈</v>
      </c>
      <c r="I2522" t="str">
        <f>T("소드마스터의 환생")</f>
        <v>소드마스터의 환생</v>
      </c>
      <c r="J2522">
        <v>0</v>
      </c>
      <c r="K2522">
        <v>0</v>
      </c>
      <c r="L2522">
        <v>0</v>
      </c>
      <c r="M2522">
        <v>4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4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Q2522">
        <v>0</v>
      </c>
      <c r="AR2522">
        <v>0</v>
      </c>
      <c r="AT2522">
        <v>0</v>
      </c>
      <c r="AU2522">
        <v>0</v>
      </c>
      <c r="AW2522">
        <v>0</v>
      </c>
      <c r="AX2522">
        <v>0</v>
      </c>
      <c r="AY2522">
        <v>0</v>
      </c>
      <c r="BC2522" t="str">
        <f>T("9791159287527")</f>
        <v>9791159287527</v>
      </c>
      <c r="BE2522" t="str">
        <f>T("판타지 웹소설 &gt; 정통 판타지")</f>
        <v>판타지 웹소설 &gt; 정통 판타지</v>
      </c>
    </row>
    <row r="2523" spans="1:57" x14ac:dyDescent="0.3">
      <c r="A2523">
        <v>1525001317</v>
      </c>
      <c r="B2523">
        <v>1525001327</v>
      </c>
      <c r="C2523" t="str">
        <f>T("[e북]완전판 | 스트라이커 11권")</f>
        <v>[e북]완전판 | 스트라이커 11권</v>
      </c>
      <c r="D2523" t="str">
        <f>T("11")</f>
        <v>11</v>
      </c>
      <c r="E2523" t="str">
        <f>T("독고진")</f>
        <v>독고진</v>
      </c>
      <c r="H2523" t="str">
        <f>T("스토리위즈")</f>
        <v>스토리위즈</v>
      </c>
      <c r="I2523" t="str">
        <f>T("[e북]완전판 | 스트라이커")</f>
        <v>[e북]완전판 | 스트라이커</v>
      </c>
      <c r="J2523">
        <v>3200</v>
      </c>
      <c r="K2523">
        <v>0</v>
      </c>
      <c r="L2523">
        <v>0</v>
      </c>
      <c r="M2523">
        <v>0</v>
      </c>
      <c r="N2523">
        <v>900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900</v>
      </c>
      <c r="AH2523">
        <v>1</v>
      </c>
      <c r="AI2523">
        <v>0</v>
      </c>
      <c r="AJ2523">
        <v>0</v>
      </c>
      <c r="AK2523">
        <v>900</v>
      </c>
      <c r="AL2523">
        <v>0</v>
      </c>
      <c r="AM2523">
        <v>0</v>
      </c>
      <c r="AN2523">
        <v>0</v>
      </c>
      <c r="AO2523">
        <v>0</v>
      </c>
      <c r="AQ2523">
        <v>0</v>
      </c>
      <c r="AR2523">
        <v>0</v>
      </c>
      <c r="AT2523">
        <v>0</v>
      </c>
      <c r="AU2523">
        <v>0</v>
      </c>
      <c r="AW2523">
        <v>0</v>
      </c>
      <c r="AX2523">
        <v>0</v>
      </c>
      <c r="AY2523">
        <v>630</v>
      </c>
      <c r="BA2523" t="str">
        <f>T("9791159282935")</f>
        <v>9791159282935</v>
      </c>
      <c r="BC2523" t="str">
        <f>T("9791159282935")</f>
        <v>9791159282935</v>
      </c>
      <c r="BE2523" t="str">
        <f>T("판타지 e북 &gt; 스포츠물")</f>
        <v>판타지 e북 &gt; 스포츠물</v>
      </c>
    </row>
    <row r="2524" spans="1:57" x14ac:dyDescent="0.3">
      <c r="A2524">
        <v>1525004799</v>
      </c>
      <c r="B2524">
        <v>1525004802</v>
      </c>
      <c r="C2524" t="str">
        <f>T("검산도해 4화")</f>
        <v>검산도해 4화</v>
      </c>
      <c r="D2524" t="str">
        <f>T("4")</f>
        <v>4</v>
      </c>
      <c r="E2524" t="str">
        <f>T("권용찬")</f>
        <v>권용찬</v>
      </c>
      <c r="H2524" t="str">
        <f>T("스토리위즈")</f>
        <v>스토리위즈</v>
      </c>
      <c r="I2524" t="str">
        <f>T("검산도해")</f>
        <v>검산도해</v>
      </c>
      <c r="J2524">
        <v>0</v>
      </c>
      <c r="K2524">
        <v>0</v>
      </c>
      <c r="L2524">
        <v>0</v>
      </c>
      <c r="M2524">
        <v>4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4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Q2524">
        <v>0</v>
      </c>
      <c r="AR2524">
        <v>0</v>
      </c>
      <c r="AT2524">
        <v>0</v>
      </c>
      <c r="AU2524">
        <v>0</v>
      </c>
      <c r="AW2524">
        <v>0</v>
      </c>
      <c r="AX2524">
        <v>0</v>
      </c>
      <c r="AY2524">
        <v>0</v>
      </c>
      <c r="BC2524" t="str">
        <f>T("9791159285936")</f>
        <v>9791159285936</v>
      </c>
      <c r="BE2524" t="str">
        <f>T("판타지 웹소설 &gt; 무협 소설")</f>
        <v>판타지 웹소설 &gt; 무협 소설</v>
      </c>
    </row>
    <row r="2525" spans="1:57" x14ac:dyDescent="0.3">
      <c r="A2525">
        <v>1525010982</v>
      </c>
      <c r="B2525">
        <v>1525010977</v>
      </c>
      <c r="C2525" t="str">
        <f>T("[e북]이 맛에 회장한다 6권")</f>
        <v>[e북]이 맛에 회장한다 6권</v>
      </c>
      <c r="D2525" t="str">
        <f>T("6")</f>
        <v>6</v>
      </c>
      <c r="E2525" t="str">
        <f>T("협행마")</f>
        <v>협행마</v>
      </c>
      <c r="H2525" t="str">
        <f>T("에필로그")</f>
        <v>에필로그</v>
      </c>
      <c r="I2525" t="str">
        <f>T("[e북]이 맛에 회장한다")</f>
        <v>[e북]이 맛에 회장한다</v>
      </c>
      <c r="J2525">
        <v>2500</v>
      </c>
      <c r="K2525">
        <v>0</v>
      </c>
      <c r="L2525">
        <v>0</v>
      </c>
      <c r="M2525">
        <v>0</v>
      </c>
      <c r="N2525">
        <v>2520</v>
      </c>
      <c r="O2525">
        <v>3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2520</v>
      </c>
      <c r="AH2525">
        <v>3</v>
      </c>
      <c r="AI2525">
        <v>0</v>
      </c>
      <c r="AJ2525">
        <v>0</v>
      </c>
      <c r="AK2525">
        <v>2520</v>
      </c>
      <c r="AL2525">
        <v>0</v>
      </c>
      <c r="AM2525">
        <v>0</v>
      </c>
      <c r="AN2525">
        <v>0</v>
      </c>
      <c r="AO2525">
        <v>0</v>
      </c>
      <c r="AQ2525">
        <v>0</v>
      </c>
      <c r="AR2525">
        <v>0</v>
      </c>
      <c r="AT2525">
        <v>0</v>
      </c>
      <c r="AU2525">
        <v>0</v>
      </c>
      <c r="AW2525">
        <v>0</v>
      </c>
      <c r="AX2525">
        <v>0</v>
      </c>
      <c r="AY2525">
        <v>1764</v>
      </c>
      <c r="BC2525" t="str">
        <f>T("9791164486113")</f>
        <v>9791164486113</v>
      </c>
      <c r="BE2525" t="str">
        <f>T("판타지 e북 &gt; 현대 판타지")</f>
        <v>판타지 e북 &gt; 현대 판타지</v>
      </c>
    </row>
    <row r="2526" spans="1:57" x14ac:dyDescent="0.3">
      <c r="A2526">
        <v>1525000411</v>
      </c>
      <c r="B2526">
        <v>1525000415</v>
      </c>
      <c r="C2526" t="str">
        <f>T("레이드 만물상점 5화")</f>
        <v>레이드 만물상점 5화</v>
      </c>
      <c r="D2526" t="str">
        <f>T("5")</f>
        <v>5</v>
      </c>
      <c r="E2526" t="str">
        <f>T("전혁")</f>
        <v>전혁</v>
      </c>
      <c r="H2526" t="str">
        <f>T("스토리위즈")</f>
        <v>스토리위즈</v>
      </c>
      <c r="I2526" t="str">
        <f>T("레이드 만물상점")</f>
        <v>레이드 만물상점</v>
      </c>
      <c r="J2526">
        <v>0</v>
      </c>
      <c r="K2526">
        <v>0</v>
      </c>
      <c r="L2526">
        <v>0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1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Q2526">
        <v>0</v>
      </c>
      <c r="AR2526">
        <v>0</v>
      </c>
      <c r="AT2526">
        <v>0</v>
      </c>
      <c r="AU2526">
        <v>0</v>
      </c>
      <c r="AW2526">
        <v>0</v>
      </c>
      <c r="AX2526">
        <v>0</v>
      </c>
      <c r="AY2526">
        <v>0</v>
      </c>
      <c r="BC2526" t="str">
        <f>T("9791170151432")</f>
        <v>9791170151432</v>
      </c>
      <c r="BE2526" t="str">
        <f>T("판타지 웹소설 &gt; 현대 판타지")</f>
        <v>판타지 웹소설 &gt; 현대 판타지</v>
      </c>
    </row>
    <row r="2527" spans="1:57" x14ac:dyDescent="0.3">
      <c r="A2527">
        <v>1525010900</v>
      </c>
      <c r="B2527">
        <v>1525010896</v>
      </c>
      <c r="C2527" t="str">
        <f>T("[e북]무적살수 3권")</f>
        <v>[e북]무적살수 3권</v>
      </c>
      <c r="D2527" t="str">
        <f>T("3")</f>
        <v>3</v>
      </c>
      <c r="E2527" t="str">
        <f>T("협행마")</f>
        <v>협행마</v>
      </c>
      <c r="H2527" t="str">
        <f>T("에필로그")</f>
        <v>에필로그</v>
      </c>
      <c r="I2527" t="str">
        <f>T("[e북]무적살수")</f>
        <v>[e북]무적살수</v>
      </c>
      <c r="J2527">
        <v>2500</v>
      </c>
      <c r="K2527">
        <v>0</v>
      </c>
      <c r="L2527">
        <v>0</v>
      </c>
      <c r="M2527">
        <v>0</v>
      </c>
      <c r="N2527">
        <v>810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810</v>
      </c>
      <c r="AH2527">
        <v>1</v>
      </c>
      <c r="AI2527">
        <v>0</v>
      </c>
      <c r="AJ2527">
        <v>0</v>
      </c>
      <c r="AK2527">
        <v>810</v>
      </c>
      <c r="AL2527">
        <v>0</v>
      </c>
      <c r="AM2527">
        <v>0</v>
      </c>
      <c r="AN2527">
        <v>0</v>
      </c>
      <c r="AO2527">
        <v>0</v>
      </c>
      <c r="AQ2527">
        <v>0</v>
      </c>
      <c r="AR2527">
        <v>0</v>
      </c>
      <c r="AT2527">
        <v>0</v>
      </c>
      <c r="AU2527">
        <v>0</v>
      </c>
      <c r="AW2527">
        <v>0</v>
      </c>
      <c r="AX2527">
        <v>0</v>
      </c>
      <c r="AY2527">
        <v>567</v>
      </c>
      <c r="BC2527" t="str">
        <f>T("9791166000126")</f>
        <v>9791166000126</v>
      </c>
      <c r="BE2527" t="str">
        <f>T("판타지 e북 &gt; 전통 무협")</f>
        <v>판타지 e북 &gt; 전통 무협</v>
      </c>
    </row>
    <row r="2528" spans="1:57" x14ac:dyDescent="0.3">
      <c r="A2528">
        <v>1525000906</v>
      </c>
      <c r="B2528">
        <v>1525000906</v>
      </c>
      <c r="C2528" t="str">
        <f>T("[e북]완전판 | 레이드 만물상점 1권")</f>
        <v>[e북]완전판 | 레이드 만물상점 1권</v>
      </c>
      <c r="D2528" t="str">
        <f>T("1")</f>
        <v>1</v>
      </c>
      <c r="E2528" t="str">
        <f>T("전혁")</f>
        <v>전혁</v>
      </c>
      <c r="H2528" t="str">
        <f>T("스토리위즈")</f>
        <v>스토리위즈</v>
      </c>
      <c r="I2528" t="str">
        <f>T("[e북]완전판 | 레이드 만물상점")</f>
        <v>[e북]완전판 | 레이드 만물상점</v>
      </c>
      <c r="J2528">
        <v>0</v>
      </c>
      <c r="K2528">
        <v>0</v>
      </c>
      <c r="L2528">
        <v>0</v>
      </c>
      <c r="M2528">
        <v>4</v>
      </c>
      <c r="N2528">
        <v>0</v>
      </c>
      <c r="O2528">
        <v>0</v>
      </c>
      <c r="P2528">
        <v>13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17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Q2528">
        <v>0</v>
      </c>
      <c r="AR2528">
        <v>0</v>
      </c>
      <c r="AT2528">
        <v>0</v>
      </c>
      <c r="AU2528">
        <v>0</v>
      </c>
      <c r="AW2528">
        <v>0</v>
      </c>
      <c r="AX2528">
        <v>0</v>
      </c>
      <c r="AY2528">
        <v>0</v>
      </c>
      <c r="BC2528" t="str">
        <f>T("9791159282614")</f>
        <v>9791159282614</v>
      </c>
      <c r="BE2528" t="str">
        <f>T("판타지 e북 &gt; 현대 판타지")</f>
        <v>판타지 e북 &gt; 현대 판타지</v>
      </c>
    </row>
    <row r="2529" spans="1:57" x14ac:dyDescent="0.3">
      <c r="A2529">
        <v>1525012202</v>
      </c>
      <c r="B2529">
        <v>1525012190</v>
      </c>
      <c r="C2529" t="str">
        <f>T("이세계 최강 군바리 13화")</f>
        <v>이세계 최강 군바리 13화</v>
      </c>
      <c r="D2529" t="str">
        <f>T("13")</f>
        <v>13</v>
      </c>
      <c r="E2529" t="str">
        <f>T("협행마")</f>
        <v>협행마</v>
      </c>
      <c r="H2529" t="str">
        <f>T("에필로그")</f>
        <v>에필로그</v>
      </c>
      <c r="I2529" t="str">
        <f>T("이세계 최강 군바리")</f>
        <v>이세계 최강 군바리</v>
      </c>
      <c r="J2529">
        <v>0</v>
      </c>
      <c r="K2529">
        <v>0</v>
      </c>
      <c r="L2529">
        <v>0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1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Q2529">
        <v>0</v>
      </c>
      <c r="AR2529">
        <v>0</v>
      </c>
      <c r="AT2529">
        <v>0</v>
      </c>
      <c r="AU2529">
        <v>0</v>
      </c>
      <c r="AW2529">
        <v>0</v>
      </c>
      <c r="AX2529">
        <v>0</v>
      </c>
      <c r="AY2529">
        <v>0</v>
      </c>
      <c r="BC2529" t="str">
        <f>T("9791164480159")</f>
        <v>9791164480159</v>
      </c>
      <c r="BE2529" t="str">
        <f>T("판타지 웹소설 &gt; 퓨전 판타지")</f>
        <v>판타지 웹소설 &gt; 퓨전 판타지</v>
      </c>
    </row>
    <row r="2530" spans="1:57" x14ac:dyDescent="0.3">
      <c r="A2530">
        <v>1525000569</v>
      </c>
      <c r="B2530">
        <v>1525000580</v>
      </c>
      <c r="C2530" t="str">
        <f>T("스트라이커 12화")</f>
        <v>스트라이커 12화</v>
      </c>
      <c r="D2530" t="str">
        <f>T("12")</f>
        <v>12</v>
      </c>
      <c r="E2530" t="str">
        <f>T("독고진")</f>
        <v>독고진</v>
      </c>
      <c r="H2530" t="str">
        <f>T("스토리위즈")</f>
        <v>스토리위즈</v>
      </c>
      <c r="I2530" t="str">
        <f>T("스트라이커")</f>
        <v>스트라이커</v>
      </c>
      <c r="J2530">
        <v>0</v>
      </c>
      <c r="K2530">
        <v>0</v>
      </c>
      <c r="L2530">
        <v>0</v>
      </c>
      <c r="M2530">
        <v>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1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Q2530">
        <v>0</v>
      </c>
      <c r="AR2530">
        <v>0</v>
      </c>
      <c r="AT2530">
        <v>0</v>
      </c>
      <c r="AU2530">
        <v>0</v>
      </c>
      <c r="AW2530">
        <v>0</v>
      </c>
      <c r="AX2530">
        <v>0</v>
      </c>
      <c r="AY2530">
        <v>0</v>
      </c>
      <c r="BC2530" t="str">
        <f>T("9791170151678")</f>
        <v>9791170151678</v>
      </c>
      <c r="BE2530" t="str">
        <f>T("판타지 웹소설 &gt; 현대 판타지")</f>
        <v>판타지 웹소설 &gt; 현대 판타지</v>
      </c>
    </row>
    <row r="2531" spans="1:57" x14ac:dyDescent="0.3">
      <c r="A2531">
        <v>1525004030</v>
      </c>
      <c r="B2531">
        <v>1525004054</v>
      </c>
      <c r="C2531" t="str">
        <f>T("회귀의 전설 25화")</f>
        <v>회귀의 전설 25화</v>
      </c>
      <c r="D2531" t="str">
        <f>T("25")</f>
        <v>25</v>
      </c>
      <c r="E2531" t="str">
        <f>T("김광수")</f>
        <v>김광수</v>
      </c>
      <c r="H2531" t="str">
        <f>T("스토리위즈")</f>
        <v>스토리위즈</v>
      </c>
      <c r="I2531" t="str">
        <f>T("회귀의 전설")</f>
        <v>회귀의 전설</v>
      </c>
      <c r="J2531">
        <v>0</v>
      </c>
      <c r="K2531">
        <v>0</v>
      </c>
      <c r="L2531">
        <v>0</v>
      </c>
      <c r="M2531">
        <v>11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11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Q2531">
        <v>0</v>
      </c>
      <c r="AR2531">
        <v>0</v>
      </c>
      <c r="AT2531">
        <v>0</v>
      </c>
      <c r="AU2531">
        <v>0</v>
      </c>
      <c r="AW2531">
        <v>0</v>
      </c>
      <c r="AX2531">
        <v>0</v>
      </c>
      <c r="AY2531">
        <v>0</v>
      </c>
      <c r="BC2531" t="str">
        <f>T("9788997946006")</f>
        <v>9788997946006</v>
      </c>
      <c r="BE2531" t="str">
        <f>T("판타지 웹소설 &gt; 현대 판타지")</f>
        <v>판타지 웹소설 &gt; 현대 판타지</v>
      </c>
    </row>
    <row r="2532" spans="1:57" x14ac:dyDescent="0.3">
      <c r="A2532">
        <v>1525010974</v>
      </c>
      <c r="B2532">
        <v>1525010968</v>
      </c>
      <c r="C2532" t="str">
        <f>T("[e북]위사무적 7권")</f>
        <v>[e북]위사무적 7권</v>
      </c>
      <c r="D2532" t="str">
        <f>T("7")</f>
        <v>7</v>
      </c>
      <c r="E2532" t="str">
        <f>T("협행마")</f>
        <v>협행마</v>
      </c>
      <c r="H2532" t="str">
        <f>T("에필로그")</f>
        <v>에필로그</v>
      </c>
      <c r="I2532" t="str">
        <f>T("[e북]위사무적")</f>
        <v>[e북]위사무적</v>
      </c>
      <c r="J2532">
        <v>2000</v>
      </c>
      <c r="K2532">
        <v>0</v>
      </c>
      <c r="L2532">
        <v>0</v>
      </c>
      <c r="M2532">
        <v>0</v>
      </c>
      <c r="N2532">
        <v>1330</v>
      </c>
      <c r="O2532">
        <v>2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1330</v>
      </c>
      <c r="AH2532">
        <v>2</v>
      </c>
      <c r="AI2532">
        <v>0</v>
      </c>
      <c r="AJ2532">
        <v>0</v>
      </c>
      <c r="AK2532">
        <v>1330</v>
      </c>
      <c r="AL2532">
        <v>0</v>
      </c>
      <c r="AM2532">
        <v>0</v>
      </c>
      <c r="AN2532">
        <v>0</v>
      </c>
      <c r="AO2532">
        <v>0</v>
      </c>
      <c r="AQ2532">
        <v>0</v>
      </c>
      <c r="AR2532">
        <v>0</v>
      </c>
      <c r="AT2532">
        <v>0</v>
      </c>
      <c r="AU2532">
        <v>0</v>
      </c>
      <c r="AW2532">
        <v>0</v>
      </c>
      <c r="AX2532">
        <v>0</v>
      </c>
      <c r="AY2532">
        <v>931</v>
      </c>
      <c r="BC2532" t="str">
        <f>T("9791164489015")</f>
        <v>9791164489015</v>
      </c>
      <c r="BE2532" t="str">
        <f>T("판타지 e북 &gt; 신무협")</f>
        <v>판타지 e북 &gt; 신무협</v>
      </c>
    </row>
    <row r="2533" spans="1:57" x14ac:dyDescent="0.3">
      <c r="A2533">
        <v>1525000074</v>
      </c>
      <c r="B2533">
        <v>1525000074</v>
      </c>
      <c r="C2533" t="str">
        <f>T("[e북]소드 엠페러 1권")</f>
        <v>[e북]소드 엠페러 1권</v>
      </c>
      <c r="D2533" t="str">
        <f>T("1")</f>
        <v>1</v>
      </c>
      <c r="E2533" t="str">
        <f>T("김정률")</f>
        <v>김정률</v>
      </c>
      <c r="H2533" t="str">
        <f>T("스토리위즈")</f>
        <v>스토리위즈</v>
      </c>
      <c r="I2533" t="str">
        <f>T("[e북]소드 엠페러")</f>
        <v>[e북]소드 엠페러</v>
      </c>
      <c r="J2533">
        <v>0</v>
      </c>
      <c r="K2533">
        <v>0</v>
      </c>
      <c r="L2533">
        <v>0</v>
      </c>
      <c r="M2533">
        <v>4</v>
      </c>
      <c r="N2533">
        <v>0</v>
      </c>
      <c r="O2533">
        <v>0</v>
      </c>
      <c r="P2533">
        <v>17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21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Q2533">
        <v>0</v>
      </c>
      <c r="AR2533">
        <v>0</v>
      </c>
      <c r="AT2533">
        <v>0</v>
      </c>
      <c r="AU2533">
        <v>0</v>
      </c>
      <c r="AW2533">
        <v>0</v>
      </c>
      <c r="AX2533">
        <v>0</v>
      </c>
      <c r="AY2533">
        <v>0</v>
      </c>
      <c r="BE2533" t="str">
        <f>T("판타지 e북 &gt; 퓨전 판타지")</f>
        <v>판타지 e북 &gt; 퓨전 판타지</v>
      </c>
    </row>
    <row r="2534" spans="1:57" x14ac:dyDescent="0.3">
      <c r="A2534">
        <v>1525000022</v>
      </c>
      <c r="B2534">
        <v>1525000029</v>
      </c>
      <c r="C2534" t="str">
        <f>T("[e북]마계대공 연대기 8권")</f>
        <v>[e북]마계대공 연대기 8권</v>
      </c>
      <c r="D2534" t="str">
        <f>T("8")</f>
        <v>8</v>
      </c>
      <c r="E2534" t="str">
        <f>T("김광수")</f>
        <v>김광수</v>
      </c>
      <c r="H2534" t="str">
        <f>T("스토리위즈")</f>
        <v>스토리위즈</v>
      </c>
      <c r="I2534" t="str">
        <f>T("[e북]마계대공 연대기")</f>
        <v>[e북]마계대공 연대기</v>
      </c>
      <c r="J2534">
        <v>3200</v>
      </c>
      <c r="K2534">
        <v>0</v>
      </c>
      <c r="L2534">
        <v>0</v>
      </c>
      <c r="M2534">
        <v>0</v>
      </c>
      <c r="N2534">
        <v>1800</v>
      </c>
      <c r="O2534">
        <v>2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1800</v>
      </c>
      <c r="AH2534">
        <v>2</v>
      </c>
      <c r="AI2534">
        <v>0</v>
      </c>
      <c r="AJ2534">
        <v>0</v>
      </c>
      <c r="AK2534">
        <v>900</v>
      </c>
      <c r="AL2534">
        <v>0</v>
      </c>
      <c r="AM2534">
        <v>1080</v>
      </c>
      <c r="AN2534">
        <v>-108</v>
      </c>
      <c r="AO2534">
        <v>0</v>
      </c>
      <c r="AQ2534">
        <v>0</v>
      </c>
      <c r="AR2534">
        <v>0</v>
      </c>
      <c r="AS2534">
        <v>1080</v>
      </c>
      <c r="AT2534">
        <v>-108</v>
      </c>
      <c r="AU2534">
        <v>0</v>
      </c>
      <c r="AW2534">
        <v>0</v>
      </c>
      <c r="AX2534">
        <v>0</v>
      </c>
      <c r="AY2534">
        <v>1310.4000000000001</v>
      </c>
      <c r="BE2534" t="str">
        <f>T("판타지 e북 &gt; 퓨전 판타지")</f>
        <v>판타지 e북 &gt; 퓨전 판타지</v>
      </c>
    </row>
    <row r="2535" spans="1:57" x14ac:dyDescent="0.3">
      <c r="A2535">
        <v>1525004988</v>
      </c>
      <c r="B2535">
        <v>1525005299</v>
      </c>
      <c r="C2535" t="str">
        <f>T("용무쌍 12화")</f>
        <v>용무쌍 12화</v>
      </c>
      <c r="D2535" t="str">
        <f>T("12")</f>
        <v>12</v>
      </c>
      <c r="E2535" t="str">
        <f>T("권용찬")</f>
        <v>권용찬</v>
      </c>
      <c r="H2535" t="str">
        <f>T("스토리위즈")</f>
        <v>스토리위즈</v>
      </c>
      <c r="I2535" t="str">
        <f>T("용무쌍")</f>
        <v>용무쌍</v>
      </c>
      <c r="J2535">
        <v>0</v>
      </c>
      <c r="K2535">
        <v>0</v>
      </c>
      <c r="L2535">
        <v>0</v>
      </c>
      <c r="M2535">
        <v>2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2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Q2535">
        <v>0</v>
      </c>
      <c r="AR2535">
        <v>0</v>
      </c>
      <c r="AT2535">
        <v>0</v>
      </c>
      <c r="AU2535">
        <v>0</v>
      </c>
      <c r="AW2535">
        <v>0</v>
      </c>
      <c r="AX2535">
        <v>0</v>
      </c>
      <c r="AY2535">
        <v>0</v>
      </c>
      <c r="BC2535" t="str">
        <f>T("9791159284861")</f>
        <v>9791159284861</v>
      </c>
      <c r="BE2535" t="str">
        <f>T("판타지 웹소설 &gt; 무협 소설")</f>
        <v>판타지 웹소설 &gt; 무협 소설</v>
      </c>
    </row>
    <row r="2536" spans="1:57" x14ac:dyDescent="0.3">
      <c r="A2536">
        <v>1525000569</v>
      </c>
      <c r="B2536">
        <v>1525000569</v>
      </c>
      <c r="C2536" t="str">
        <f>T("스트라이커 1화")</f>
        <v>스트라이커 1화</v>
      </c>
      <c r="D2536" t="str">
        <f>T("1")</f>
        <v>1</v>
      </c>
      <c r="E2536" t="str">
        <f>T("독고진")</f>
        <v>독고진</v>
      </c>
      <c r="H2536" t="str">
        <f>T("스토리위즈")</f>
        <v>스토리위즈</v>
      </c>
      <c r="I2536" t="str">
        <f>T("스트라이커")</f>
        <v>스트라이커</v>
      </c>
      <c r="J2536">
        <v>0</v>
      </c>
      <c r="K2536">
        <v>0</v>
      </c>
      <c r="L2536">
        <v>0</v>
      </c>
      <c r="M2536">
        <v>2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2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Q2536">
        <v>0</v>
      </c>
      <c r="AR2536">
        <v>0</v>
      </c>
      <c r="AT2536">
        <v>0</v>
      </c>
      <c r="AU2536">
        <v>0</v>
      </c>
      <c r="AW2536">
        <v>0</v>
      </c>
      <c r="AX2536">
        <v>0</v>
      </c>
      <c r="AY2536">
        <v>0</v>
      </c>
      <c r="BC2536" t="str">
        <f>T("9791170151678")</f>
        <v>9791170151678</v>
      </c>
      <c r="BE2536" t="str">
        <f>T("판타지 웹소설 &gt; 현대 판타지")</f>
        <v>판타지 웹소설 &gt; 현대 판타지</v>
      </c>
    </row>
    <row r="2537" spans="1:57" x14ac:dyDescent="0.3">
      <c r="A2537">
        <v>1525010944</v>
      </c>
      <c r="B2537">
        <v>1525010936</v>
      </c>
      <c r="C2537" t="str">
        <f>T("[e북]법보다 주먹 9권")</f>
        <v>[e북]법보다 주먹 9권</v>
      </c>
      <c r="D2537" t="str">
        <f>T("9")</f>
        <v>9</v>
      </c>
      <c r="E2537" t="str">
        <f>T("백범(白帆)")</f>
        <v>백범(白帆)</v>
      </c>
      <c r="H2537" t="str">
        <f>T("에필로그")</f>
        <v>에필로그</v>
      </c>
      <c r="I2537" t="str">
        <f>T("[e북]법보다 주먹")</f>
        <v>[e북]법보다 주먹</v>
      </c>
      <c r="J2537">
        <v>2000</v>
      </c>
      <c r="K2537">
        <v>0</v>
      </c>
      <c r="L2537">
        <v>0</v>
      </c>
      <c r="M2537">
        <v>0</v>
      </c>
      <c r="N2537">
        <v>1800</v>
      </c>
      <c r="O2537">
        <v>2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1800</v>
      </c>
      <c r="AH2537">
        <v>2</v>
      </c>
      <c r="AI2537">
        <v>0</v>
      </c>
      <c r="AJ2537">
        <v>0</v>
      </c>
      <c r="AK2537">
        <v>900</v>
      </c>
      <c r="AL2537">
        <v>0</v>
      </c>
      <c r="AM2537">
        <v>1080</v>
      </c>
      <c r="AN2537">
        <v>-324</v>
      </c>
      <c r="AO2537">
        <v>0</v>
      </c>
      <c r="AQ2537">
        <v>0</v>
      </c>
      <c r="AR2537">
        <v>0</v>
      </c>
      <c r="AS2537">
        <v>1080</v>
      </c>
      <c r="AT2537">
        <v>-324</v>
      </c>
      <c r="AU2537">
        <v>0</v>
      </c>
      <c r="AW2537">
        <v>0</v>
      </c>
      <c r="AX2537">
        <v>0</v>
      </c>
      <c r="AY2537">
        <v>1159.2</v>
      </c>
      <c r="BC2537" t="str">
        <f>T("9791164480142")</f>
        <v>9791164480142</v>
      </c>
      <c r="BE2537" t="str">
        <f>T("판타지 e북 &gt; 현대 판타지")</f>
        <v>판타지 e북 &gt; 현대 판타지</v>
      </c>
    </row>
    <row r="2538" spans="1:57" x14ac:dyDescent="0.3">
      <c r="A2538">
        <v>1525010579</v>
      </c>
      <c r="B2538">
        <v>1525010565</v>
      </c>
      <c r="C2538" t="str">
        <f>T("법보다 주먹 13화")</f>
        <v>법보다 주먹 13화</v>
      </c>
      <c r="D2538" t="str">
        <f>T("13")</f>
        <v>13</v>
      </c>
      <c r="E2538" t="str">
        <f>T("백범(白帆)")</f>
        <v>백범(白帆)</v>
      </c>
      <c r="H2538" t="str">
        <f>T("에필로그")</f>
        <v>에필로그</v>
      </c>
      <c r="I2538" t="str">
        <f>T("법보다 주먹")</f>
        <v>법보다 주먹</v>
      </c>
      <c r="J2538">
        <v>0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1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Q2538">
        <v>0</v>
      </c>
      <c r="AR2538">
        <v>0</v>
      </c>
      <c r="AT2538">
        <v>0</v>
      </c>
      <c r="AU2538">
        <v>0</v>
      </c>
      <c r="AW2538">
        <v>0</v>
      </c>
      <c r="AX2538">
        <v>0</v>
      </c>
      <c r="AY2538">
        <v>0</v>
      </c>
      <c r="BC2538" t="str">
        <f>T("9791164489367")</f>
        <v>9791164489367</v>
      </c>
      <c r="BE2538" t="str">
        <f>T("판타지 웹소설 &gt; 현대 판타지")</f>
        <v>판타지 웹소설 &gt; 현대 판타지</v>
      </c>
    </row>
    <row r="2539" spans="1:57" x14ac:dyDescent="0.3">
      <c r="A2539">
        <v>1525000001</v>
      </c>
      <c r="B2539">
        <v>1525000009</v>
      </c>
      <c r="C2539" t="str">
        <f>T("[e북]마스터 K 9권")</f>
        <v>[e북]마스터 K 9권</v>
      </c>
      <c r="D2539" t="str">
        <f>T("9")</f>
        <v>9</v>
      </c>
      <c r="E2539" t="str">
        <f>T("김광수")</f>
        <v>김광수</v>
      </c>
      <c r="H2539" t="str">
        <f>T("스토리위즈")</f>
        <v>스토리위즈</v>
      </c>
      <c r="I2539" t="str">
        <f>T("[e북]마스터 K")</f>
        <v>[e북]마스터 K</v>
      </c>
      <c r="J2539">
        <v>3200</v>
      </c>
      <c r="K2539">
        <v>0</v>
      </c>
      <c r="L2539">
        <v>0</v>
      </c>
      <c r="M2539">
        <v>0</v>
      </c>
      <c r="N2539">
        <v>900</v>
      </c>
      <c r="O2539">
        <v>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900</v>
      </c>
      <c r="AH2539">
        <v>1</v>
      </c>
      <c r="AI2539">
        <v>0</v>
      </c>
      <c r="AJ2539">
        <v>0</v>
      </c>
      <c r="AK2539">
        <v>900</v>
      </c>
      <c r="AL2539">
        <v>0</v>
      </c>
      <c r="AM2539">
        <v>0</v>
      </c>
      <c r="AN2539">
        <v>0</v>
      </c>
      <c r="AO2539">
        <v>0</v>
      </c>
      <c r="AQ2539">
        <v>0</v>
      </c>
      <c r="AR2539">
        <v>0</v>
      </c>
      <c r="AT2539">
        <v>0</v>
      </c>
      <c r="AU2539">
        <v>0</v>
      </c>
      <c r="AW2539">
        <v>0</v>
      </c>
      <c r="AX2539">
        <v>0</v>
      </c>
      <c r="AY2539">
        <v>630</v>
      </c>
      <c r="BE2539" t="str">
        <f>T("판타지 e북 &gt; 스포츠물")</f>
        <v>판타지 e북 &gt; 스포츠물</v>
      </c>
    </row>
    <row r="2540" spans="1:57" x14ac:dyDescent="0.3">
      <c r="A2540">
        <v>1525004988</v>
      </c>
      <c r="B2540">
        <v>1525004988</v>
      </c>
      <c r="C2540" t="str">
        <f>T("용무쌍 1화")</f>
        <v>용무쌍 1화</v>
      </c>
      <c r="D2540" t="str">
        <f>T("1")</f>
        <v>1</v>
      </c>
      <c r="E2540" t="str">
        <f>T("권용찬")</f>
        <v>권용찬</v>
      </c>
      <c r="H2540" t="str">
        <f>T("스토리위즈")</f>
        <v>스토리위즈</v>
      </c>
      <c r="I2540" t="str">
        <f>T("용무쌍")</f>
        <v>용무쌍</v>
      </c>
      <c r="J2540">
        <v>0</v>
      </c>
      <c r="K2540">
        <v>0</v>
      </c>
      <c r="L2540">
        <v>0</v>
      </c>
      <c r="M2540">
        <v>2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2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Q2540">
        <v>0</v>
      </c>
      <c r="AR2540">
        <v>0</v>
      </c>
      <c r="AT2540">
        <v>0</v>
      </c>
      <c r="AU2540">
        <v>0</v>
      </c>
      <c r="AW2540">
        <v>0</v>
      </c>
      <c r="AX2540">
        <v>0</v>
      </c>
      <c r="AY2540">
        <v>0</v>
      </c>
      <c r="BC2540" t="str">
        <f>T("9791159284861")</f>
        <v>9791159284861</v>
      </c>
      <c r="BE2540" t="str">
        <f>T("판타지 웹소설 &gt; 무협 소설")</f>
        <v>판타지 웹소설 &gt; 무협 소설</v>
      </c>
    </row>
    <row r="2541" spans="1:57" x14ac:dyDescent="0.3">
      <c r="A2541">
        <v>1525000924</v>
      </c>
      <c r="B2541">
        <v>1525000936</v>
      </c>
      <c r="C2541" t="str">
        <f>T("스피릿 소드 13화")</f>
        <v>스피릿 소드 13화</v>
      </c>
      <c r="D2541" t="str">
        <f>T("13")</f>
        <v>13</v>
      </c>
      <c r="E2541" t="str">
        <f>T("김정률")</f>
        <v>김정률</v>
      </c>
      <c r="H2541" t="str">
        <f>T("스토리위즈")</f>
        <v>스토리위즈</v>
      </c>
      <c r="I2541" t="str">
        <f>T("스피릿 소드")</f>
        <v>스피릿 소드</v>
      </c>
      <c r="J2541">
        <v>0</v>
      </c>
      <c r="K2541">
        <v>0</v>
      </c>
      <c r="L2541">
        <v>0</v>
      </c>
      <c r="M2541">
        <v>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1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Q2541">
        <v>0</v>
      </c>
      <c r="AR2541">
        <v>0</v>
      </c>
      <c r="AT2541">
        <v>0</v>
      </c>
      <c r="AU2541">
        <v>0</v>
      </c>
      <c r="AW2541">
        <v>0</v>
      </c>
      <c r="AX2541">
        <v>0</v>
      </c>
      <c r="AY2541">
        <v>0</v>
      </c>
      <c r="BA2541" t="str">
        <f>T("9791159282713")</f>
        <v>9791159282713</v>
      </c>
      <c r="BC2541" t="str">
        <f>T("9791159282713")</f>
        <v>9791159282713</v>
      </c>
      <c r="BE2541" t="str">
        <f>T("판타지 웹소설 &gt; 정통 판타지")</f>
        <v>판타지 웹소설 &gt; 정통 판타지</v>
      </c>
    </row>
    <row r="2542" spans="1:57" x14ac:dyDescent="0.3">
      <c r="A2542">
        <v>1525002692</v>
      </c>
      <c r="B2542">
        <v>1525002693</v>
      </c>
      <c r="C2542" t="str">
        <f>T("신규무사 2화")</f>
        <v>신규무사 2화</v>
      </c>
      <c r="D2542" t="str">
        <f>T("2")</f>
        <v>2</v>
      </c>
      <c r="E2542" t="str">
        <f>T("권용찬")</f>
        <v>권용찬</v>
      </c>
      <c r="H2542" t="str">
        <f>T("스토리위즈")</f>
        <v>스토리위즈</v>
      </c>
      <c r="I2542" t="str">
        <f>T("신규무사")</f>
        <v>신규무사</v>
      </c>
      <c r="J2542">
        <v>0</v>
      </c>
      <c r="K2542">
        <v>0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1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Q2542">
        <v>0</v>
      </c>
      <c r="AR2542">
        <v>0</v>
      </c>
      <c r="AT2542">
        <v>0</v>
      </c>
      <c r="AU2542">
        <v>0</v>
      </c>
      <c r="AW2542">
        <v>0</v>
      </c>
      <c r="AX2542">
        <v>0</v>
      </c>
      <c r="AY2542">
        <v>0</v>
      </c>
      <c r="BC2542" t="str">
        <f>T("9791159287480")</f>
        <v>9791159287480</v>
      </c>
      <c r="BE2542" t="str">
        <f>T("판타지 웹소설 &gt; 무협 소설")</f>
        <v>판타지 웹소설 &gt; 무협 소설</v>
      </c>
    </row>
    <row r="2543" spans="1:57" x14ac:dyDescent="0.3">
      <c r="A2543">
        <v>1525013418</v>
      </c>
      <c r="B2543">
        <v>1525013424</v>
      </c>
      <c r="C2543" t="str">
        <f>T("[e북]헌터 킹 7권")</f>
        <v>[e북]헌터 킹 7권</v>
      </c>
      <c r="D2543" t="str">
        <f>T("7")</f>
        <v>7</v>
      </c>
      <c r="E2543" t="str">
        <f>T("백범(白帆)")</f>
        <v>백범(白帆)</v>
      </c>
      <c r="H2543" t="str">
        <f>T("에필로그")</f>
        <v>에필로그</v>
      </c>
      <c r="I2543" t="str">
        <f>T("[e북]헌터 킹")</f>
        <v>[e북]헌터 킹</v>
      </c>
      <c r="J2543">
        <v>2000</v>
      </c>
      <c r="K2543">
        <v>0</v>
      </c>
      <c r="L2543">
        <v>0</v>
      </c>
      <c r="M2543">
        <v>0</v>
      </c>
      <c r="N2543">
        <v>900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900</v>
      </c>
      <c r="AH2543">
        <v>1</v>
      </c>
      <c r="AI2543">
        <v>0</v>
      </c>
      <c r="AJ2543">
        <v>0</v>
      </c>
      <c r="AK2543">
        <v>900</v>
      </c>
      <c r="AL2543">
        <v>0</v>
      </c>
      <c r="AM2543">
        <v>0</v>
      </c>
      <c r="AN2543">
        <v>0</v>
      </c>
      <c r="AO2543">
        <v>0</v>
      </c>
      <c r="AQ2543">
        <v>0</v>
      </c>
      <c r="AR2543">
        <v>0</v>
      </c>
      <c r="AT2543">
        <v>0</v>
      </c>
      <c r="AU2543">
        <v>0</v>
      </c>
      <c r="AW2543">
        <v>0</v>
      </c>
      <c r="AX2543">
        <v>0</v>
      </c>
      <c r="AY2543">
        <v>630</v>
      </c>
      <c r="BA2543" t="str">
        <f>T("0000000000000")</f>
        <v>0000000000000</v>
      </c>
      <c r="BC2543" t="str">
        <f>T("9791164480227")</f>
        <v>9791164480227</v>
      </c>
      <c r="BE2543" t="str">
        <f>T("판타지 e북 &gt; 퓨전 판타지")</f>
        <v>판타지 e북 &gt; 퓨전 판타지</v>
      </c>
    </row>
    <row r="2544" spans="1:57" x14ac:dyDescent="0.3">
      <c r="A2544">
        <v>1525000022</v>
      </c>
      <c r="B2544">
        <v>1525000051</v>
      </c>
      <c r="C2544" t="str">
        <f>T("[e북]마계대공 연대기 29권")</f>
        <v>[e북]마계대공 연대기 29권</v>
      </c>
      <c r="D2544" t="str">
        <f>T("29")</f>
        <v>29</v>
      </c>
      <c r="E2544" t="str">
        <f>T("김광수")</f>
        <v>김광수</v>
      </c>
      <c r="H2544" t="str">
        <f>T("스토리위즈")</f>
        <v>스토리위즈</v>
      </c>
      <c r="I2544" t="str">
        <f>T("[e북]마계대공 연대기")</f>
        <v>[e북]마계대공 연대기</v>
      </c>
      <c r="J2544">
        <v>3200</v>
      </c>
      <c r="K2544">
        <v>0</v>
      </c>
      <c r="L2544">
        <v>0</v>
      </c>
      <c r="M2544">
        <v>0</v>
      </c>
      <c r="N2544">
        <v>1800</v>
      </c>
      <c r="O2544">
        <v>2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1800</v>
      </c>
      <c r="AH2544">
        <v>2</v>
      </c>
      <c r="AI2544">
        <v>0</v>
      </c>
      <c r="AJ2544">
        <v>0</v>
      </c>
      <c r="AK2544">
        <v>900</v>
      </c>
      <c r="AL2544">
        <v>0</v>
      </c>
      <c r="AM2544">
        <v>1080</v>
      </c>
      <c r="AN2544">
        <v>-108</v>
      </c>
      <c r="AO2544">
        <v>0</v>
      </c>
      <c r="AQ2544">
        <v>0</v>
      </c>
      <c r="AR2544">
        <v>0</v>
      </c>
      <c r="AS2544">
        <v>1080</v>
      </c>
      <c r="AT2544">
        <v>-108</v>
      </c>
      <c r="AU2544">
        <v>0</v>
      </c>
      <c r="AW2544">
        <v>0</v>
      </c>
      <c r="AX2544">
        <v>0</v>
      </c>
      <c r="AY2544">
        <v>1310.4000000000001</v>
      </c>
      <c r="BE2544" t="str">
        <f>T("판타지 e북 &gt; 퓨전 판타지")</f>
        <v>판타지 e북 &gt; 퓨전 판타지</v>
      </c>
    </row>
    <row r="2545" spans="1:57" x14ac:dyDescent="0.3">
      <c r="A2545">
        <v>1525004030</v>
      </c>
      <c r="B2545">
        <v>1525004042</v>
      </c>
      <c r="C2545" t="str">
        <f>T("회귀의 전설 13화")</f>
        <v>회귀의 전설 13화</v>
      </c>
      <c r="D2545" t="str">
        <f>T("13")</f>
        <v>13</v>
      </c>
      <c r="E2545" t="str">
        <f>T("김광수")</f>
        <v>김광수</v>
      </c>
      <c r="H2545" t="str">
        <f>T("스토리위즈")</f>
        <v>스토리위즈</v>
      </c>
      <c r="I2545" t="str">
        <f>T("회귀의 전설")</f>
        <v>회귀의 전설</v>
      </c>
      <c r="J2545">
        <v>0</v>
      </c>
      <c r="K2545">
        <v>0</v>
      </c>
      <c r="L2545">
        <v>0</v>
      </c>
      <c r="M2545">
        <v>6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6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Q2545">
        <v>0</v>
      </c>
      <c r="AR2545">
        <v>0</v>
      </c>
      <c r="AT2545">
        <v>0</v>
      </c>
      <c r="AU2545">
        <v>0</v>
      </c>
      <c r="AW2545">
        <v>0</v>
      </c>
      <c r="AX2545">
        <v>0</v>
      </c>
      <c r="AY2545">
        <v>0</v>
      </c>
      <c r="BC2545" t="str">
        <f>T("9788997946006")</f>
        <v>9788997946006</v>
      </c>
      <c r="BE2545" t="str">
        <f>T("판타지 웹소설 &gt; 현대 판타지")</f>
        <v>판타지 웹소설 &gt; 현대 판타지</v>
      </c>
    </row>
    <row r="2546" spans="1:57" x14ac:dyDescent="0.3">
      <c r="A2546">
        <v>1525012202</v>
      </c>
      <c r="B2546">
        <v>1525012186</v>
      </c>
      <c r="C2546" t="str">
        <f>T("이세계 최강 군바리 17화")</f>
        <v>이세계 최강 군바리 17화</v>
      </c>
      <c r="D2546" t="str">
        <f>T("17")</f>
        <v>17</v>
      </c>
      <c r="E2546" t="str">
        <f>T("협행마")</f>
        <v>협행마</v>
      </c>
      <c r="H2546" t="str">
        <f>T("에필로그")</f>
        <v>에필로그</v>
      </c>
      <c r="I2546" t="str">
        <f>T("이세계 최강 군바리")</f>
        <v>이세계 최강 군바리</v>
      </c>
      <c r="J2546">
        <v>0</v>
      </c>
      <c r="K2546">
        <v>0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1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Q2546">
        <v>0</v>
      </c>
      <c r="AR2546">
        <v>0</v>
      </c>
      <c r="AT2546">
        <v>0</v>
      </c>
      <c r="AU2546">
        <v>0</v>
      </c>
      <c r="AW2546">
        <v>0</v>
      </c>
      <c r="AX2546">
        <v>0</v>
      </c>
      <c r="AY2546">
        <v>0</v>
      </c>
      <c r="BC2546" t="str">
        <f>T("9791164480159")</f>
        <v>9791164480159</v>
      </c>
      <c r="BE2546" t="str">
        <f>T("판타지 웹소설 &gt; 퓨전 판타지")</f>
        <v>판타지 웹소설 &gt; 퓨전 판타지</v>
      </c>
    </row>
    <row r="2547" spans="1:57" x14ac:dyDescent="0.3">
      <c r="A2547">
        <v>1525014780</v>
      </c>
      <c r="B2547">
        <v>1525014782</v>
      </c>
      <c r="C2547" t="str">
        <f>T("크랭키 걸즈 3화")</f>
        <v>크랭키 걸즈 3화</v>
      </c>
      <c r="D2547" t="str">
        <f>T("3")</f>
        <v>3</v>
      </c>
      <c r="E2547" t="str">
        <f>T("곽도우")</f>
        <v>곽도우</v>
      </c>
      <c r="H2547" t="str">
        <f>T("스토리아크")</f>
        <v>스토리아크</v>
      </c>
      <c r="I2547" t="str">
        <f>T("크랭키 걸즈")</f>
        <v>크랭키 걸즈</v>
      </c>
      <c r="J2547">
        <v>0</v>
      </c>
      <c r="K2547">
        <v>0</v>
      </c>
      <c r="L2547">
        <v>0</v>
      </c>
      <c r="M2547">
        <v>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1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Q2547">
        <v>0</v>
      </c>
      <c r="AR2547">
        <v>0</v>
      </c>
      <c r="AT2547">
        <v>0</v>
      </c>
      <c r="AU2547">
        <v>0</v>
      </c>
      <c r="AW2547">
        <v>0</v>
      </c>
      <c r="AX2547">
        <v>0</v>
      </c>
      <c r="AY2547">
        <v>0</v>
      </c>
      <c r="BC2547" t="str">
        <f>T("9791191039139")</f>
        <v>9791191039139</v>
      </c>
      <c r="BE2547" t="str">
        <f>T("판타지 웹소설 &gt; 현대 판타지")</f>
        <v>판타지 웹소설 &gt; 현대 판타지</v>
      </c>
    </row>
    <row r="2548" spans="1:57" x14ac:dyDescent="0.3">
      <c r="A2548">
        <v>1525001508</v>
      </c>
      <c r="B2548">
        <v>1525001508</v>
      </c>
      <c r="C2548" t="str">
        <f>T("[e북]칼 1권")</f>
        <v>[e북]칼 1권</v>
      </c>
      <c r="D2548" t="str">
        <f>T("1")</f>
        <v>1</v>
      </c>
      <c r="E2548" t="str">
        <f>T("권용찬")</f>
        <v>권용찬</v>
      </c>
      <c r="H2548" t="str">
        <f>T("스토리위즈")</f>
        <v>스토리위즈</v>
      </c>
      <c r="I2548" t="str">
        <f>T("[e북]칼")</f>
        <v>[e북]칼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5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5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Q2548">
        <v>0</v>
      </c>
      <c r="AR2548">
        <v>0</v>
      </c>
      <c r="AT2548">
        <v>0</v>
      </c>
      <c r="AU2548">
        <v>0</v>
      </c>
      <c r="AW2548">
        <v>0</v>
      </c>
      <c r="AX2548">
        <v>0</v>
      </c>
      <c r="AY2548">
        <v>0</v>
      </c>
      <c r="BC2548" t="str">
        <f>T("9791159282355")</f>
        <v>9791159282355</v>
      </c>
      <c r="BE2548" t="str">
        <f>T("판타지 e북 &gt; 신무협")</f>
        <v>판타지 e북 &gt; 신무협</v>
      </c>
    </row>
    <row r="2549" spans="1:57" x14ac:dyDescent="0.3">
      <c r="A2549">
        <v>1525002864</v>
      </c>
      <c r="B2549">
        <v>1525002867</v>
      </c>
      <c r="C2549" t="str">
        <f>T("소드마스터의 환생 4화")</f>
        <v>소드마스터의 환생 4화</v>
      </c>
      <c r="D2549" t="str">
        <f>T("4")</f>
        <v>4</v>
      </c>
      <c r="E2549" t="str">
        <f>T("파란영")</f>
        <v>파란영</v>
      </c>
      <c r="H2549" t="str">
        <f>T("스토리위즈")</f>
        <v>스토리위즈</v>
      </c>
      <c r="I2549" t="str">
        <f>T("소드마스터의 환생")</f>
        <v>소드마스터의 환생</v>
      </c>
      <c r="J2549">
        <v>0</v>
      </c>
      <c r="K2549">
        <v>0</v>
      </c>
      <c r="L2549">
        <v>0</v>
      </c>
      <c r="M2549">
        <v>3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3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Q2549">
        <v>0</v>
      </c>
      <c r="AR2549">
        <v>0</v>
      </c>
      <c r="AT2549">
        <v>0</v>
      </c>
      <c r="AU2549">
        <v>0</v>
      </c>
      <c r="AW2549">
        <v>0</v>
      </c>
      <c r="AX2549">
        <v>0</v>
      </c>
      <c r="AY2549">
        <v>0</v>
      </c>
      <c r="BC2549" t="str">
        <f>T("9791159287527")</f>
        <v>9791159287527</v>
      </c>
      <c r="BE2549" t="str">
        <f>T("판타지 웹소설 &gt; 정통 판타지")</f>
        <v>판타지 웹소설 &gt; 정통 판타지</v>
      </c>
    </row>
    <row r="2550" spans="1:57" x14ac:dyDescent="0.3">
      <c r="A2550">
        <v>1525007923</v>
      </c>
      <c r="B2550">
        <v>1525007923</v>
      </c>
      <c r="C2550" t="str">
        <f>T("운상연담: 화불능귀일락 1화")</f>
        <v>운상연담: 화불능귀일락 1화</v>
      </c>
      <c r="D2550" t="str">
        <f>T("1")</f>
        <v>1</v>
      </c>
      <c r="E2550" t="str">
        <f>T("피모")</f>
        <v>피모</v>
      </c>
      <c r="H2550" t="str">
        <f>T("쉬라즈")</f>
        <v>쉬라즈</v>
      </c>
      <c r="I2550" t="str">
        <f>T("운상연담: 화불능귀일락")</f>
        <v>운상연담: 화불능귀일락</v>
      </c>
      <c r="J2550">
        <v>0</v>
      </c>
      <c r="K2550">
        <v>0</v>
      </c>
      <c r="L2550">
        <v>0</v>
      </c>
      <c r="M2550">
        <v>7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7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Q2550">
        <v>0</v>
      </c>
      <c r="AR2550">
        <v>0</v>
      </c>
      <c r="AT2550">
        <v>0</v>
      </c>
      <c r="AU2550">
        <v>0</v>
      </c>
      <c r="AW2550">
        <v>0</v>
      </c>
      <c r="AX2550">
        <v>0</v>
      </c>
      <c r="AY2550">
        <v>0</v>
      </c>
      <c r="BA2550" t="str">
        <f>T("0000000000000")</f>
        <v>0000000000000</v>
      </c>
      <c r="BC2550" t="str">
        <f>T("9791164896646")</f>
        <v>9791164896646</v>
      </c>
      <c r="BE2550" t="str">
        <f>T("로맨스 웹소설 &gt; 역사/시대물")</f>
        <v>로맨스 웹소설 &gt; 역사/시대물</v>
      </c>
    </row>
    <row r="2551" spans="1:57" x14ac:dyDescent="0.3">
      <c r="A2551">
        <v>1525001116</v>
      </c>
      <c r="B2551">
        <v>1525001117</v>
      </c>
      <c r="C2551" t="str">
        <f>T("개정판 | 영웅 2화")</f>
        <v>개정판 | 영웅 2화</v>
      </c>
      <c r="D2551" t="str">
        <f>T("2")</f>
        <v>2</v>
      </c>
      <c r="E2551" t="str">
        <f>T("김광수")</f>
        <v>김광수</v>
      </c>
      <c r="H2551" t="str">
        <f>T("스토리위즈")</f>
        <v>스토리위즈</v>
      </c>
      <c r="I2551" t="str">
        <f>T("개정판 | 영웅")</f>
        <v>개정판 | 영웅</v>
      </c>
      <c r="J2551">
        <v>0</v>
      </c>
      <c r="K2551">
        <v>0</v>
      </c>
      <c r="L2551">
        <v>0</v>
      </c>
      <c r="M2551">
        <v>1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1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Q2551">
        <v>0</v>
      </c>
      <c r="AR2551">
        <v>0</v>
      </c>
      <c r="AT2551">
        <v>0</v>
      </c>
      <c r="AU2551">
        <v>0</v>
      </c>
      <c r="AW2551">
        <v>0</v>
      </c>
      <c r="AX2551">
        <v>0</v>
      </c>
      <c r="AY2551">
        <v>0</v>
      </c>
      <c r="BA2551" t="str">
        <f>T("9791159282829")</f>
        <v>9791159282829</v>
      </c>
      <c r="BC2551" t="str">
        <f>T("9791159282829")</f>
        <v>9791159282829</v>
      </c>
      <c r="BE2551" t="str">
        <f>T("판타지 웹소설 &gt; 무협 소설")</f>
        <v>판타지 웹소설 &gt; 무협 소설</v>
      </c>
    </row>
    <row r="2552" spans="1:57" x14ac:dyDescent="0.3">
      <c r="A2552">
        <v>1525001924</v>
      </c>
      <c r="B2552">
        <v>1525001926</v>
      </c>
      <c r="C2552" t="str">
        <f>T("[e북]신마협도 3권")</f>
        <v>[e북]신마협도 3권</v>
      </c>
      <c r="D2552" t="str">
        <f>T("3")</f>
        <v>3</v>
      </c>
      <c r="E2552" t="str">
        <f>T("권용찬")</f>
        <v>권용찬</v>
      </c>
      <c r="H2552" t="str">
        <f>T("스토리위즈")</f>
        <v>스토리위즈</v>
      </c>
      <c r="I2552" t="str">
        <f>T("[e북]신마협도")</f>
        <v>[e북]신마협도</v>
      </c>
      <c r="J2552">
        <v>3200</v>
      </c>
      <c r="K2552">
        <v>0</v>
      </c>
      <c r="L2552">
        <v>0</v>
      </c>
      <c r="M2552">
        <v>0</v>
      </c>
      <c r="N2552">
        <v>1800</v>
      </c>
      <c r="O2552">
        <v>2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1800</v>
      </c>
      <c r="AH2552">
        <v>2</v>
      </c>
      <c r="AI2552">
        <v>0</v>
      </c>
      <c r="AJ2552">
        <v>0</v>
      </c>
      <c r="AK2552">
        <v>900</v>
      </c>
      <c r="AL2552">
        <v>0</v>
      </c>
      <c r="AM2552">
        <v>1080</v>
      </c>
      <c r="AN2552">
        <v>-324</v>
      </c>
      <c r="AO2552">
        <v>0</v>
      </c>
      <c r="AQ2552">
        <v>0</v>
      </c>
      <c r="AR2552">
        <v>0</v>
      </c>
      <c r="AS2552">
        <v>1080</v>
      </c>
      <c r="AT2552">
        <v>-324</v>
      </c>
      <c r="AU2552">
        <v>0</v>
      </c>
      <c r="AW2552">
        <v>0</v>
      </c>
      <c r="AX2552">
        <v>0</v>
      </c>
      <c r="AY2552">
        <v>1159.2</v>
      </c>
      <c r="BC2552" t="str">
        <f>T("9791159283093")</f>
        <v>9791159283093</v>
      </c>
      <c r="BE2552" t="str">
        <f>T("판타지 e북 &gt; 신무협")</f>
        <v>판타지 e북 &gt; 신무협</v>
      </c>
    </row>
    <row r="2553" spans="1:57" x14ac:dyDescent="0.3">
      <c r="A2553">
        <v>1525000209</v>
      </c>
      <c r="B2553">
        <v>1525000209</v>
      </c>
      <c r="C2553" t="str">
        <f>T("[e북]독종무쌍 1권")</f>
        <v>[e북]독종무쌍 1권</v>
      </c>
      <c r="D2553" t="str">
        <f>T("1")</f>
        <v>1</v>
      </c>
      <c r="E2553" t="str">
        <f>T("전혁")</f>
        <v>전혁</v>
      </c>
      <c r="H2553" t="str">
        <f>T("스토리위즈")</f>
        <v>스토리위즈</v>
      </c>
      <c r="I2553" t="str">
        <f>T("[e북]독종무쌍")</f>
        <v>[e북]독종무쌍</v>
      </c>
      <c r="J2553">
        <v>0</v>
      </c>
      <c r="K2553">
        <v>0</v>
      </c>
      <c r="L2553">
        <v>0</v>
      </c>
      <c r="M2553">
        <v>2</v>
      </c>
      <c r="N2553">
        <v>0</v>
      </c>
      <c r="O2553">
        <v>0</v>
      </c>
      <c r="P2553">
        <v>3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5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Q2553">
        <v>0</v>
      </c>
      <c r="AR2553">
        <v>0</v>
      </c>
      <c r="AT2553">
        <v>0</v>
      </c>
      <c r="AU2553">
        <v>0</v>
      </c>
      <c r="AW2553">
        <v>0</v>
      </c>
      <c r="AX2553">
        <v>0</v>
      </c>
      <c r="AY2553">
        <v>0</v>
      </c>
      <c r="BC2553" t="str">
        <f>T("9791195310036")</f>
        <v>9791195310036</v>
      </c>
      <c r="BE2553" t="str">
        <f>T("판타지 e북 &gt; 신무협")</f>
        <v>판타지 e북 &gt; 신무협</v>
      </c>
    </row>
    <row r="2554" spans="1:57" x14ac:dyDescent="0.3">
      <c r="A2554">
        <v>1525010579</v>
      </c>
      <c r="B2554">
        <v>1525010574</v>
      </c>
      <c r="C2554" t="str">
        <f>T("법보다 주먹 4화")</f>
        <v>법보다 주먹 4화</v>
      </c>
      <c r="D2554" t="str">
        <f>T("4")</f>
        <v>4</v>
      </c>
      <c r="E2554" t="str">
        <f>T("백범(白帆)")</f>
        <v>백범(白帆)</v>
      </c>
      <c r="H2554" t="str">
        <f>T("에필로그")</f>
        <v>에필로그</v>
      </c>
      <c r="I2554" t="str">
        <f>T("법보다 주먹")</f>
        <v>법보다 주먹</v>
      </c>
      <c r="J2554">
        <v>0</v>
      </c>
      <c r="K2554">
        <v>0</v>
      </c>
      <c r="L2554">
        <v>0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1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Q2554">
        <v>0</v>
      </c>
      <c r="AR2554">
        <v>0</v>
      </c>
      <c r="AT2554">
        <v>0</v>
      </c>
      <c r="AU2554">
        <v>0</v>
      </c>
      <c r="AW2554">
        <v>0</v>
      </c>
      <c r="AX2554">
        <v>0</v>
      </c>
      <c r="AY2554">
        <v>0</v>
      </c>
      <c r="BC2554" t="str">
        <f>T("9791164489367")</f>
        <v>9791164489367</v>
      </c>
      <c r="BE2554" t="str">
        <f>T("판타지 웹소설 &gt; 현대 판타지")</f>
        <v>판타지 웹소설 &gt; 현대 판타지</v>
      </c>
    </row>
    <row r="2555" spans="1:57" x14ac:dyDescent="0.3">
      <c r="A2555">
        <v>1525013020</v>
      </c>
      <c r="B2555">
        <v>1525013035</v>
      </c>
      <c r="C2555" t="str">
        <f>T("악당의 리턴 16화")</f>
        <v>악당의 리턴 16화</v>
      </c>
      <c r="D2555" t="str">
        <f>T("16")</f>
        <v>16</v>
      </c>
      <c r="E2555" t="str">
        <f>T("백범(白帆)")</f>
        <v>백범(白帆)</v>
      </c>
      <c r="H2555" t="str">
        <f>T("에필로그")</f>
        <v>에필로그</v>
      </c>
      <c r="I2555" t="str">
        <f>T("악당의 리턴")</f>
        <v>악당의 리턴</v>
      </c>
      <c r="J2555">
        <v>0</v>
      </c>
      <c r="K2555">
        <v>0</v>
      </c>
      <c r="L2555">
        <v>0</v>
      </c>
      <c r="M2555">
        <v>6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6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Q2555">
        <v>0</v>
      </c>
      <c r="AR2555">
        <v>0</v>
      </c>
      <c r="AT2555">
        <v>0</v>
      </c>
      <c r="AU2555">
        <v>0</v>
      </c>
      <c r="AW2555">
        <v>0</v>
      </c>
      <c r="AX2555">
        <v>0</v>
      </c>
      <c r="AY2555">
        <v>0</v>
      </c>
      <c r="BC2555" t="str">
        <f>T("9791196538927")</f>
        <v>9791196538927</v>
      </c>
      <c r="BE2555" t="str">
        <f>T("판타지 웹소설 &gt; 현대 판타지")</f>
        <v>판타지 웹소설 &gt; 현대 판타지</v>
      </c>
    </row>
    <row r="2556" spans="1:57" x14ac:dyDescent="0.3">
      <c r="A2556">
        <v>1525001908</v>
      </c>
      <c r="B2556">
        <v>1525001909</v>
      </c>
      <c r="C2556" t="str">
        <f>T("[e북]상왕 진우몽 2권")</f>
        <v>[e북]상왕 진우몽 2권</v>
      </c>
      <c r="D2556" t="str">
        <f>T("2")</f>
        <v>2</v>
      </c>
      <c r="E2556" t="str">
        <f>T("권용찬")</f>
        <v>권용찬</v>
      </c>
      <c r="H2556" t="str">
        <f>T("스토리위즈")</f>
        <v>스토리위즈</v>
      </c>
      <c r="I2556" t="str">
        <f>T("[e북]상왕 진우몽")</f>
        <v>[e북]상왕 진우몽</v>
      </c>
      <c r="J2556">
        <v>3200</v>
      </c>
      <c r="K2556">
        <v>0</v>
      </c>
      <c r="L2556">
        <v>0</v>
      </c>
      <c r="M2556">
        <v>0</v>
      </c>
      <c r="N2556">
        <v>900</v>
      </c>
      <c r="O2556">
        <v>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900</v>
      </c>
      <c r="AH2556">
        <v>1</v>
      </c>
      <c r="AI2556">
        <v>0</v>
      </c>
      <c r="AJ2556">
        <v>0</v>
      </c>
      <c r="AK2556">
        <v>900</v>
      </c>
      <c r="AL2556">
        <v>0</v>
      </c>
      <c r="AM2556">
        <v>0</v>
      </c>
      <c r="AN2556">
        <v>0</v>
      </c>
      <c r="AO2556">
        <v>0</v>
      </c>
      <c r="AQ2556">
        <v>0</v>
      </c>
      <c r="AR2556">
        <v>0</v>
      </c>
      <c r="AT2556">
        <v>0</v>
      </c>
      <c r="AU2556">
        <v>0</v>
      </c>
      <c r="AW2556">
        <v>0</v>
      </c>
      <c r="AX2556">
        <v>0</v>
      </c>
      <c r="AY2556">
        <v>630</v>
      </c>
      <c r="BC2556" t="str">
        <f>T("9791159285844")</f>
        <v>9791159285844</v>
      </c>
      <c r="BE2556" t="str">
        <f>T("판타지 e북 &gt; 신무협")</f>
        <v>판타지 e북 &gt; 신무협</v>
      </c>
    </row>
    <row r="2557" spans="1:57" x14ac:dyDescent="0.3">
      <c r="A2557">
        <v>1525013020</v>
      </c>
      <c r="B2557">
        <v>1525013024</v>
      </c>
      <c r="C2557" t="str">
        <f>T("악당의 리턴 5화")</f>
        <v>악당의 리턴 5화</v>
      </c>
      <c r="D2557" t="str">
        <f>T("5")</f>
        <v>5</v>
      </c>
      <c r="E2557" t="str">
        <f>T("백범(白帆)")</f>
        <v>백범(白帆)</v>
      </c>
      <c r="H2557" t="str">
        <f>T("에필로그")</f>
        <v>에필로그</v>
      </c>
      <c r="I2557" t="str">
        <f>T("악당의 리턴")</f>
        <v>악당의 리턴</v>
      </c>
      <c r="J2557">
        <v>0</v>
      </c>
      <c r="K2557">
        <v>0</v>
      </c>
      <c r="L2557">
        <v>0</v>
      </c>
      <c r="M2557">
        <v>7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7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Q2557">
        <v>0</v>
      </c>
      <c r="AR2557">
        <v>0</v>
      </c>
      <c r="AT2557">
        <v>0</v>
      </c>
      <c r="AU2557">
        <v>0</v>
      </c>
      <c r="AW2557">
        <v>0</v>
      </c>
      <c r="AX2557">
        <v>0</v>
      </c>
      <c r="AY2557">
        <v>0</v>
      </c>
      <c r="BC2557" t="str">
        <f>T("9791196538927")</f>
        <v>9791196538927</v>
      </c>
      <c r="BE2557" t="str">
        <f>T("판타지 웹소설 &gt; 현대 판타지")</f>
        <v>판타지 웹소설 &gt; 현대 판타지</v>
      </c>
    </row>
    <row r="2558" spans="1:57" x14ac:dyDescent="0.3">
      <c r="A2558">
        <v>1525000411</v>
      </c>
      <c r="B2558">
        <v>1525000425</v>
      </c>
      <c r="C2558" t="str">
        <f>T("레이드 만물상점 15화")</f>
        <v>레이드 만물상점 15화</v>
      </c>
      <c r="D2558" t="str">
        <f>T("15")</f>
        <v>15</v>
      </c>
      <c r="E2558" t="str">
        <f>T("전혁")</f>
        <v>전혁</v>
      </c>
      <c r="H2558" t="str">
        <f>T("스토리위즈")</f>
        <v>스토리위즈</v>
      </c>
      <c r="I2558" t="str">
        <f>T("레이드 만물상점")</f>
        <v>레이드 만물상점</v>
      </c>
      <c r="J2558">
        <v>0</v>
      </c>
      <c r="K2558">
        <v>0</v>
      </c>
      <c r="L2558">
        <v>0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1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Q2558">
        <v>0</v>
      </c>
      <c r="AR2558">
        <v>0</v>
      </c>
      <c r="AT2558">
        <v>0</v>
      </c>
      <c r="AU2558">
        <v>0</v>
      </c>
      <c r="AW2558">
        <v>0</v>
      </c>
      <c r="AX2558">
        <v>0</v>
      </c>
      <c r="AY2558">
        <v>0</v>
      </c>
      <c r="BC2558" t="str">
        <f>T("9791170151432")</f>
        <v>9791170151432</v>
      </c>
      <c r="BE2558" t="str">
        <f>T("판타지 웹소설 &gt; 현대 판타지")</f>
        <v>판타지 웹소설 &gt; 현대 판타지</v>
      </c>
    </row>
    <row r="2559" spans="1:57" x14ac:dyDescent="0.3">
      <c r="A2559">
        <v>1525013320</v>
      </c>
      <c r="B2559">
        <v>1525013321</v>
      </c>
      <c r="C2559" t="str">
        <f>T("[e북]악당의 리턴 2권")</f>
        <v>[e북]악당의 리턴 2권</v>
      </c>
      <c r="D2559" t="str">
        <f>T("2")</f>
        <v>2</v>
      </c>
      <c r="E2559" t="str">
        <f>T("백범(白帆)")</f>
        <v>백범(白帆)</v>
      </c>
      <c r="H2559" t="str">
        <f>T("에필로그")</f>
        <v>에필로그</v>
      </c>
      <c r="I2559" t="str">
        <f>T("[e북]악당의 리턴")</f>
        <v>[e북]악당의 리턴</v>
      </c>
      <c r="J2559">
        <v>3200</v>
      </c>
      <c r="K2559">
        <v>0</v>
      </c>
      <c r="L2559">
        <v>0</v>
      </c>
      <c r="M2559">
        <v>0</v>
      </c>
      <c r="N2559">
        <v>3600</v>
      </c>
      <c r="O2559">
        <v>4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3600</v>
      </c>
      <c r="AH2559">
        <v>4</v>
      </c>
      <c r="AI2559">
        <v>0</v>
      </c>
      <c r="AJ2559">
        <v>0</v>
      </c>
      <c r="AK2559">
        <v>3600</v>
      </c>
      <c r="AL2559">
        <v>0</v>
      </c>
      <c r="AM2559">
        <v>0</v>
      </c>
      <c r="AN2559">
        <v>0</v>
      </c>
      <c r="AO2559">
        <v>0</v>
      </c>
      <c r="AQ2559">
        <v>0</v>
      </c>
      <c r="AR2559">
        <v>0</v>
      </c>
      <c r="AT2559">
        <v>0</v>
      </c>
      <c r="AU2559">
        <v>0</v>
      </c>
      <c r="AW2559">
        <v>0</v>
      </c>
      <c r="AX2559">
        <v>0</v>
      </c>
      <c r="AY2559">
        <v>2520</v>
      </c>
      <c r="BC2559" t="str">
        <f>T("9791164482863")</f>
        <v>9791164482863</v>
      </c>
      <c r="BE2559" t="str">
        <f>T("판타지 e북 &gt; 현대 판타지")</f>
        <v>판타지 e북 &gt; 현대 판타지</v>
      </c>
    </row>
    <row r="2560" spans="1:57" x14ac:dyDescent="0.3">
      <c r="A2560">
        <v>1525010944</v>
      </c>
      <c r="B2560">
        <v>1525010925</v>
      </c>
      <c r="C2560" t="str">
        <f>T("[e북]법보다 주먹 20권")</f>
        <v>[e북]법보다 주먹 20권</v>
      </c>
      <c r="D2560" t="str">
        <f>T("20")</f>
        <v>20</v>
      </c>
      <c r="E2560" t="str">
        <f>T("백범(白帆)")</f>
        <v>백범(白帆)</v>
      </c>
      <c r="H2560" t="str">
        <f>T("에필로그")</f>
        <v>에필로그</v>
      </c>
      <c r="I2560" t="str">
        <f>T("[e북]법보다 주먹")</f>
        <v>[e북]법보다 주먹</v>
      </c>
      <c r="J2560">
        <v>2000</v>
      </c>
      <c r="K2560">
        <v>0</v>
      </c>
      <c r="L2560">
        <v>0</v>
      </c>
      <c r="M2560">
        <v>0</v>
      </c>
      <c r="N2560">
        <v>900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900</v>
      </c>
      <c r="AH2560">
        <v>1</v>
      </c>
      <c r="AI2560">
        <v>0</v>
      </c>
      <c r="AJ2560">
        <v>0</v>
      </c>
      <c r="AK2560">
        <v>900</v>
      </c>
      <c r="AL2560">
        <v>0</v>
      </c>
      <c r="AM2560">
        <v>0</v>
      </c>
      <c r="AN2560">
        <v>0</v>
      </c>
      <c r="AO2560">
        <v>0</v>
      </c>
      <c r="AQ2560">
        <v>0</v>
      </c>
      <c r="AR2560">
        <v>0</v>
      </c>
      <c r="AT2560">
        <v>0</v>
      </c>
      <c r="AU2560">
        <v>0</v>
      </c>
      <c r="AW2560">
        <v>0</v>
      </c>
      <c r="AX2560">
        <v>0</v>
      </c>
      <c r="AY2560">
        <v>630</v>
      </c>
      <c r="BC2560" t="str">
        <f>T("9791164480142")</f>
        <v>9791164480142</v>
      </c>
      <c r="BE2560" t="str">
        <f>T("판타지 e북 &gt; 현대 판타지")</f>
        <v>판타지 e북 &gt; 현대 판타지</v>
      </c>
    </row>
    <row r="2561" spans="1:57" x14ac:dyDescent="0.3">
      <c r="A2561">
        <v>1525010579</v>
      </c>
      <c r="B2561">
        <v>1525010554</v>
      </c>
      <c r="C2561" t="str">
        <f>T("법보다 주먹 24화")</f>
        <v>법보다 주먹 24화</v>
      </c>
      <c r="D2561" t="str">
        <f>T("24")</f>
        <v>24</v>
      </c>
      <c r="E2561" t="str">
        <f>T("백범(白帆)")</f>
        <v>백범(白帆)</v>
      </c>
      <c r="H2561" t="str">
        <f>T("에필로그")</f>
        <v>에필로그</v>
      </c>
      <c r="I2561" t="str">
        <f>T("법보다 주먹")</f>
        <v>법보다 주먹</v>
      </c>
      <c r="J2561">
        <v>0</v>
      </c>
      <c r="K2561">
        <v>0</v>
      </c>
      <c r="L2561">
        <v>0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1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Q2561">
        <v>0</v>
      </c>
      <c r="AR2561">
        <v>0</v>
      </c>
      <c r="AT2561">
        <v>0</v>
      </c>
      <c r="AU2561">
        <v>0</v>
      </c>
      <c r="AW2561">
        <v>0</v>
      </c>
      <c r="AX2561">
        <v>0</v>
      </c>
      <c r="AY2561">
        <v>0</v>
      </c>
      <c r="BC2561" t="str">
        <f>T("9791164489367")</f>
        <v>9791164489367</v>
      </c>
      <c r="BE2561" t="str">
        <f>T("판타지 웹소설 &gt; 현대 판타지")</f>
        <v>판타지 웹소설 &gt; 현대 판타지</v>
      </c>
    </row>
    <row r="2562" spans="1:57" x14ac:dyDescent="0.3">
      <c r="A2562">
        <v>1525000199</v>
      </c>
      <c r="B2562">
        <v>1525000204</v>
      </c>
      <c r="C2562" t="str">
        <f>T("[e북]화산지애 6권")</f>
        <v>[e북]화산지애 6권</v>
      </c>
      <c r="D2562" t="str">
        <f>T("6")</f>
        <v>6</v>
      </c>
      <c r="E2562" t="str">
        <f>T("김광수")</f>
        <v>김광수</v>
      </c>
      <c r="H2562" t="str">
        <f>T("스토리위즈")</f>
        <v>스토리위즈</v>
      </c>
      <c r="I2562" t="str">
        <f>T("[e북]화산지애")</f>
        <v>[e북]화산지애</v>
      </c>
      <c r="J2562">
        <v>3200</v>
      </c>
      <c r="K2562">
        <v>0</v>
      </c>
      <c r="L2562">
        <v>0</v>
      </c>
      <c r="M2562">
        <v>0</v>
      </c>
      <c r="N2562">
        <v>900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900</v>
      </c>
      <c r="AH2562">
        <v>1</v>
      </c>
      <c r="AI2562">
        <v>0</v>
      </c>
      <c r="AJ2562">
        <v>0</v>
      </c>
      <c r="AK2562">
        <v>900</v>
      </c>
      <c r="AL2562">
        <v>0</v>
      </c>
      <c r="AM2562">
        <v>0</v>
      </c>
      <c r="AN2562">
        <v>0</v>
      </c>
      <c r="AO2562">
        <v>0</v>
      </c>
      <c r="AQ2562">
        <v>0</v>
      </c>
      <c r="AR2562">
        <v>0</v>
      </c>
      <c r="AT2562">
        <v>0</v>
      </c>
      <c r="AU2562">
        <v>0</v>
      </c>
      <c r="AW2562">
        <v>0</v>
      </c>
      <c r="AX2562">
        <v>0</v>
      </c>
      <c r="AY2562">
        <v>630</v>
      </c>
      <c r="BE2562" t="str">
        <f>T("판타지 e북 &gt; 신무협")</f>
        <v>판타지 e북 &gt; 신무협</v>
      </c>
    </row>
    <row r="2563" spans="1:57" x14ac:dyDescent="0.3">
      <c r="A2563">
        <v>1525000924</v>
      </c>
      <c r="B2563">
        <v>1525000925</v>
      </c>
      <c r="C2563" t="str">
        <f>T("스피릿 소드 2화")</f>
        <v>스피릿 소드 2화</v>
      </c>
      <c r="D2563" t="str">
        <f>T("2")</f>
        <v>2</v>
      </c>
      <c r="E2563" t="str">
        <f>T("김정률")</f>
        <v>김정률</v>
      </c>
      <c r="H2563" t="str">
        <f>T("스토리위즈")</f>
        <v>스토리위즈</v>
      </c>
      <c r="I2563" t="str">
        <f>T("스피릿 소드")</f>
        <v>스피릿 소드</v>
      </c>
      <c r="J2563">
        <v>0</v>
      </c>
      <c r="K2563">
        <v>0</v>
      </c>
      <c r="L2563">
        <v>0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1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Q2563">
        <v>0</v>
      </c>
      <c r="AR2563">
        <v>0</v>
      </c>
      <c r="AT2563">
        <v>0</v>
      </c>
      <c r="AU2563">
        <v>0</v>
      </c>
      <c r="AW2563">
        <v>0</v>
      </c>
      <c r="AX2563">
        <v>0</v>
      </c>
      <c r="AY2563">
        <v>0</v>
      </c>
      <c r="BA2563" t="str">
        <f>T("9791159282713")</f>
        <v>9791159282713</v>
      </c>
      <c r="BC2563" t="str">
        <f>T("9791159282713")</f>
        <v>9791159282713</v>
      </c>
      <c r="BE2563" t="str">
        <f>T("판타지 웹소설 &gt; 정통 판타지")</f>
        <v>판타지 웹소설 &gt; 정통 판타지</v>
      </c>
    </row>
    <row r="2564" spans="1:57" x14ac:dyDescent="0.3">
      <c r="A2564">
        <v>1525012202</v>
      </c>
      <c r="B2564">
        <v>1525012200</v>
      </c>
      <c r="C2564" t="str">
        <f>T("이세계 최강 군바리 3화")</f>
        <v>이세계 최강 군바리 3화</v>
      </c>
      <c r="D2564" t="str">
        <f>T("3")</f>
        <v>3</v>
      </c>
      <c r="E2564" t="str">
        <f>T("협행마")</f>
        <v>협행마</v>
      </c>
      <c r="H2564" t="str">
        <f>T("에필로그")</f>
        <v>에필로그</v>
      </c>
      <c r="I2564" t="str">
        <f>T("이세계 최강 군바리")</f>
        <v>이세계 최강 군바리</v>
      </c>
      <c r="J2564">
        <v>0</v>
      </c>
      <c r="K2564">
        <v>0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Q2564">
        <v>0</v>
      </c>
      <c r="AR2564">
        <v>0</v>
      </c>
      <c r="AT2564">
        <v>0</v>
      </c>
      <c r="AU2564">
        <v>0</v>
      </c>
      <c r="AW2564">
        <v>0</v>
      </c>
      <c r="AX2564">
        <v>0</v>
      </c>
      <c r="AY2564">
        <v>0</v>
      </c>
      <c r="BC2564" t="str">
        <f>T("9791164480159")</f>
        <v>9791164480159</v>
      </c>
      <c r="BE2564" t="str">
        <f>T("판타지 웹소설 &gt; 퓨전 판타지")</f>
        <v>판타지 웹소설 &gt; 퓨전 판타지</v>
      </c>
    </row>
    <row r="2565" spans="1:57" x14ac:dyDescent="0.3">
      <c r="A2565">
        <v>1525000569</v>
      </c>
      <c r="B2565">
        <v>1525000590</v>
      </c>
      <c r="C2565" t="str">
        <f>T("스트라이커 22화")</f>
        <v>스트라이커 22화</v>
      </c>
      <c r="D2565" t="str">
        <f>T("22")</f>
        <v>22</v>
      </c>
      <c r="E2565" t="str">
        <f>T("독고진")</f>
        <v>독고진</v>
      </c>
      <c r="H2565" t="str">
        <f>T("스토리위즈")</f>
        <v>스토리위즈</v>
      </c>
      <c r="I2565" t="str">
        <f>T("스트라이커")</f>
        <v>스트라이커</v>
      </c>
      <c r="J2565">
        <v>0</v>
      </c>
      <c r="K2565">
        <v>0</v>
      </c>
      <c r="L2565">
        <v>0</v>
      </c>
      <c r="M2565">
        <v>2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2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Q2565">
        <v>0</v>
      </c>
      <c r="AR2565">
        <v>0</v>
      </c>
      <c r="AT2565">
        <v>0</v>
      </c>
      <c r="AU2565">
        <v>0</v>
      </c>
      <c r="AW2565">
        <v>0</v>
      </c>
      <c r="AX2565">
        <v>0</v>
      </c>
      <c r="AY2565">
        <v>0</v>
      </c>
      <c r="BC2565" t="str">
        <f>T("9791170151678")</f>
        <v>9791170151678</v>
      </c>
      <c r="BE2565" t="str">
        <f>T("판타지 웹소설 &gt; 현대 판타지")</f>
        <v>판타지 웹소설 &gt; 현대 판타지</v>
      </c>
    </row>
    <row r="2566" spans="1:57" x14ac:dyDescent="0.3">
      <c r="A2566">
        <v>1525002682</v>
      </c>
      <c r="B2566">
        <v>1525002682</v>
      </c>
      <c r="C2566" t="str">
        <f>T("[e북]스포트라이트 1권")</f>
        <v>[e북]스포트라이트 1권</v>
      </c>
      <c r="D2566" t="str">
        <f>T("1")</f>
        <v>1</v>
      </c>
      <c r="E2566" t="str">
        <f>T("전혁")</f>
        <v>전혁</v>
      </c>
      <c r="H2566" t="str">
        <f>T("스토리위즈")</f>
        <v>스토리위즈</v>
      </c>
      <c r="I2566" t="str">
        <f>T("[e북]스포트라이트")</f>
        <v>[e북]스포트라이트</v>
      </c>
      <c r="J2566">
        <v>0</v>
      </c>
      <c r="K2566">
        <v>0</v>
      </c>
      <c r="L2566">
        <v>0</v>
      </c>
      <c r="M2566">
        <v>3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3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Q2566">
        <v>0</v>
      </c>
      <c r="AR2566">
        <v>0</v>
      </c>
      <c r="AT2566">
        <v>0</v>
      </c>
      <c r="AU2566">
        <v>0</v>
      </c>
      <c r="AW2566">
        <v>0</v>
      </c>
      <c r="AX2566">
        <v>0</v>
      </c>
      <c r="AY2566">
        <v>0</v>
      </c>
      <c r="BC2566" t="str">
        <f>T("9791159287657")</f>
        <v>9791159287657</v>
      </c>
      <c r="BE2566" t="str">
        <f>T("판타지 e북 &gt; 현대 판타지")</f>
        <v>판타지 e북 &gt; 현대 판타지</v>
      </c>
    </row>
    <row r="2567" spans="1:57" x14ac:dyDescent="0.3">
      <c r="A2567">
        <v>1525013368</v>
      </c>
      <c r="B2567">
        <v>1525013374</v>
      </c>
      <c r="C2567" t="str">
        <f>T("[e북]기획에 산다 6권")</f>
        <v>[e북]기획에 산다 6권</v>
      </c>
      <c r="D2567" t="str">
        <f>T("6")</f>
        <v>6</v>
      </c>
      <c r="E2567" t="str">
        <f>T("백범(白帆)")</f>
        <v>백범(白帆)</v>
      </c>
      <c r="H2567" t="str">
        <f>T("에필로그")</f>
        <v>에필로그</v>
      </c>
      <c r="I2567" t="str">
        <f>T("[e북]기획에 산다")</f>
        <v>[e북]기획에 산다</v>
      </c>
      <c r="J2567">
        <v>2000</v>
      </c>
      <c r="K2567">
        <v>0</v>
      </c>
      <c r="L2567">
        <v>0</v>
      </c>
      <c r="M2567">
        <v>0</v>
      </c>
      <c r="N2567">
        <v>900</v>
      </c>
      <c r="O2567">
        <v>1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900</v>
      </c>
      <c r="AH2567">
        <v>1</v>
      </c>
      <c r="AI2567">
        <v>0</v>
      </c>
      <c r="AJ2567">
        <v>0</v>
      </c>
      <c r="AK2567">
        <v>900</v>
      </c>
      <c r="AL2567">
        <v>0</v>
      </c>
      <c r="AM2567">
        <v>0</v>
      </c>
      <c r="AN2567">
        <v>0</v>
      </c>
      <c r="AO2567">
        <v>0</v>
      </c>
      <c r="AQ2567">
        <v>0</v>
      </c>
      <c r="AR2567">
        <v>0</v>
      </c>
      <c r="AT2567">
        <v>0</v>
      </c>
      <c r="AU2567">
        <v>0</v>
      </c>
      <c r="AW2567">
        <v>0</v>
      </c>
      <c r="AX2567">
        <v>0</v>
      </c>
      <c r="AY2567">
        <v>630</v>
      </c>
      <c r="BC2567" t="str">
        <f>T("9791189867553")</f>
        <v>9791189867553</v>
      </c>
      <c r="BE2567" t="str">
        <f>T("판타지 e북 &gt; 현대 판타지")</f>
        <v>판타지 e북 &gt; 현대 판타지</v>
      </c>
    </row>
    <row r="2568" spans="1:57" x14ac:dyDescent="0.3">
      <c r="A2568">
        <v>1525000022</v>
      </c>
      <c r="B2568">
        <v>1525000040</v>
      </c>
      <c r="C2568" t="str">
        <f>T("[e북]마계대공 연대기 18권")</f>
        <v>[e북]마계대공 연대기 18권</v>
      </c>
      <c r="D2568" t="str">
        <f>T("18")</f>
        <v>18</v>
      </c>
      <c r="E2568" t="str">
        <f>T("김광수")</f>
        <v>김광수</v>
      </c>
      <c r="H2568" t="str">
        <f>T("스토리위즈")</f>
        <v>스토리위즈</v>
      </c>
      <c r="I2568" t="str">
        <f>T("[e북]마계대공 연대기")</f>
        <v>[e북]마계대공 연대기</v>
      </c>
      <c r="J2568">
        <v>3200</v>
      </c>
      <c r="K2568">
        <v>0</v>
      </c>
      <c r="L2568">
        <v>0</v>
      </c>
      <c r="M2568">
        <v>0</v>
      </c>
      <c r="N2568">
        <v>1800</v>
      </c>
      <c r="O2568">
        <v>2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1800</v>
      </c>
      <c r="AH2568">
        <v>2</v>
      </c>
      <c r="AI2568">
        <v>0</v>
      </c>
      <c r="AJ2568">
        <v>0</v>
      </c>
      <c r="AK2568">
        <v>900</v>
      </c>
      <c r="AL2568">
        <v>0</v>
      </c>
      <c r="AM2568">
        <v>1080</v>
      </c>
      <c r="AN2568">
        <v>-108</v>
      </c>
      <c r="AO2568">
        <v>0</v>
      </c>
      <c r="AQ2568">
        <v>0</v>
      </c>
      <c r="AR2568">
        <v>0</v>
      </c>
      <c r="AS2568">
        <v>1080</v>
      </c>
      <c r="AT2568">
        <v>-108</v>
      </c>
      <c r="AU2568">
        <v>0</v>
      </c>
      <c r="AW2568">
        <v>0</v>
      </c>
      <c r="AX2568">
        <v>0</v>
      </c>
      <c r="AY2568">
        <v>1310.4000000000001</v>
      </c>
      <c r="BE2568" t="str">
        <f>T("판타지 e북 &gt; 퓨전 판타지")</f>
        <v>판타지 e북 &gt; 퓨전 판타지</v>
      </c>
    </row>
    <row r="2569" spans="1:57" x14ac:dyDescent="0.3">
      <c r="A2569">
        <v>1525004988</v>
      </c>
      <c r="B2569">
        <v>1525005309</v>
      </c>
      <c r="C2569" t="str">
        <f>T("용무쌍 22화")</f>
        <v>용무쌍 22화</v>
      </c>
      <c r="D2569" t="str">
        <f>T("22")</f>
        <v>22</v>
      </c>
      <c r="E2569" t="str">
        <f>T("권용찬")</f>
        <v>권용찬</v>
      </c>
      <c r="H2569" t="str">
        <f>T("스토리위즈")</f>
        <v>스토리위즈</v>
      </c>
      <c r="I2569" t="str">
        <f>T("용무쌍")</f>
        <v>용무쌍</v>
      </c>
      <c r="J2569">
        <v>0</v>
      </c>
      <c r="K2569">
        <v>0</v>
      </c>
      <c r="L2569">
        <v>0</v>
      </c>
      <c r="M2569">
        <v>2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2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Q2569">
        <v>0</v>
      </c>
      <c r="AR2569">
        <v>0</v>
      </c>
      <c r="AT2569">
        <v>0</v>
      </c>
      <c r="AU2569">
        <v>0</v>
      </c>
      <c r="AW2569">
        <v>0</v>
      </c>
      <c r="AX2569">
        <v>0</v>
      </c>
      <c r="AY2569">
        <v>0</v>
      </c>
      <c r="BC2569" t="str">
        <f>T("9791159284861")</f>
        <v>9791159284861</v>
      </c>
      <c r="BE2569" t="str">
        <f>T("판타지 웹소설 &gt; 무협 소설")</f>
        <v>판타지 웹소설 &gt; 무협 소설</v>
      </c>
    </row>
    <row r="2570" spans="1:57" x14ac:dyDescent="0.3">
      <c r="A2570">
        <v>1525004030</v>
      </c>
      <c r="B2570">
        <v>1525004031</v>
      </c>
      <c r="C2570" t="str">
        <f>T("회귀의 전설 2화")</f>
        <v>회귀의 전설 2화</v>
      </c>
      <c r="D2570" t="str">
        <f>T("2")</f>
        <v>2</v>
      </c>
      <c r="E2570" t="str">
        <f>T("김광수")</f>
        <v>김광수</v>
      </c>
      <c r="H2570" t="str">
        <f>T("스토리위즈")</f>
        <v>스토리위즈</v>
      </c>
      <c r="I2570" t="str">
        <f>T("회귀의 전설")</f>
        <v>회귀의 전설</v>
      </c>
      <c r="J2570">
        <v>0</v>
      </c>
      <c r="K2570">
        <v>0</v>
      </c>
      <c r="L2570">
        <v>0</v>
      </c>
      <c r="M2570">
        <v>5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5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Q2570">
        <v>0</v>
      </c>
      <c r="AR2570">
        <v>0</v>
      </c>
      <c r="AT2570">
        <v>0</v>
      </c>
      <c r="AU2570">
        <v>0</v>
      </c>
      <c r="AW2570">
        <v>0</v>
      </c>
      <c r="AX2570">
        <v>0</v>
      </c>
      <c r="AY2570">
        <v>0</v>
      </c>
      <c r="BC2570" t="str">
        <f>T("9788997946006")</f>
        <v>9788997946006</v>
      </c>
      <c r="BE2570" t="str">
        <f>T("판타지 웹소설 &gt; 현대 판타지")</f>
        <v>판타지 웹소설 &gt; 현대 판타지</v>
      </c>
    </row>
    <row r="2571" spans="1:57" x14ac:dyDescent="0.3">
      <c r="A2571">
        <v>1525012005</v>
      </c>
      <c r="B2571">
        <v>1525012001</v>
      </c>
      <c r="C2571" t="str">
        <f>T("[e북]남궁세가 건달공자 5권")</f>
        <v>[e북]남궁세가 건달공자 5권</v>
      </c>
      <c r="D2571" t="str">
        <f>T("5")</f>
        <v>5</v>
      </c>
      <c r="E2571" t="str">
        <f>T("협행마")</f>
        <v>협행마</v>
      </c>
      <c r="H2571" t="str">
        <f>T("에필로그")</f>
        <v>에필로그</v>
      </c>
      <c r="I2571" t="str">
        <f>T("[e북]남궁세가 건달공자")</f>
        <v>[e북]남궁세가 건달공자</v>
      </c>
      <c r="J2571">
        <v>2500</v>
      </c>
      <c r="K2571">
        <v>0</v>
      </c>
      <c r="L2571">
        <v>0</v>
      </c>
      <c r="M2571">
        <v>0</v>
      </c>
      <c r="N2571">
        <v>900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900</v>
      </c>
      <c r="AH2571">
        <v>1</v>
      </c>
      <c r="AI2571">
        <v>0</v>
      </c>
      <c r="AJ2571">
        <v>0</v>
      </c>
      <c r="AK2571">
        <v>900</v>
      </c>
      <c r="AL2571">
        <v>0</v>
      </c>
      <c r="AM2571">
        <v>0</v>
      </c>
      <c r="AN2571">
        <v>0</v>
      </c>
      <c r="AO2571">
        <v>0</v>
      </c>
      <c r="AQ2571">
        <v>0</v>
      </c>
      <c r="AR2571">
        <v>0</v>
      </c>
      <c r="AT2571">
        <v>0</v>
      </c>
      <c r="AU2571">
        <v>0</v>
      </c>
      <c r="AW2571">
        <v>0</v>
      </c>
      <c r="AX2571">
        <v>0</v>
      </c>
      <c r="AY2571">
        <v>630</v>
      </c>
      <c r="BC2571" t="str">
        <f>T("9791164481590")</f>
        <v>9791164481590</v>
      </c>
      <c r="BE2571" t="str">
        <f>T("판타지 e북 &gt; 신무협")</f>
        <v>판타지 e북 &gt; 신무협</v>
      </c>
    </row>
    <row r="2572" spans="1:57" x14ac:dyDescent="0.3">
      <c r="A2572">
        <v>1525012551</v>
      </c>
      <c r="B2572">
        <v>1525012568</v>
      </c>
      <c r="C2572" t="str">
        <f>T("개정판 | 바보가 만드는 멋진 세상 18화")</f>
        <v>개정판 | 바보가 만드는 멋진 세상 18화</v>
      </c>
      <c r="D2572" t="str">
        <f>T("18")</f>
        <v>18</v>
      </c>
      <c r="E2572" t="str">
        <f>T("백범(白帆)")</f>
        <v>백범(白帆)</v>
      </c>
      <c r="H2572" t="str">
        <f>T("에필로그")</f>
        <v>에필로그</v>
      </c>
      <c r="I2572" t="str">
        <f>T("개정판 | 바보가 만드는 멋진 세상")</f>
        <v>개정판 | 바보가 만드는 멋진 세상</v>
      </c>
      <c r="J2572">
        <v>0</v>
      </c>
      <c r="K2572">
        <v>0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1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Q2572">
        <v>0</v>
      </c>
      <c r="AR2572">
        <v>0</v>
      </c>
      <c r="AT2572">
        <v>0</v>
      </c>
      <c r="AU2572">
        <v>0</v>
      </c>
      <c r="AW2572">
        <v>0</v>
      </c>
      <c r="AX2572">
        <v>0</v>
      </c>
      <c r="AY2572">
        <v>0</v>
      </c>
      <c r="BC2572" t="str">
        <f>T("9791166003493")</f>
        <v>9791166003493</v>
      </c>
      <c r="BE2572" t="str">
        <f>T("판타지 웹소설 &gt; 현대 판타지")</f>
        <v>판타지 웹소설 &gt; 현대 판타지</v>
      </c>
    </row>
    <row r="2573" spans="1:57" x14ac:dyDescent="0.3">
      <c r="A2573">
        <v>1525012551</v>
      </c>
      <c r="B2573">
        <v>1525012557</v>
      </c>
      <c r="C2573" t="str">
        <f>T("개정판 | 바보가 만드는 멋진 세상 7화")</f>
        <v>개정판 | 바보가 만드는 멋진 세상 7화</v>
      </c>
      <c r="D2573" t="str">
        <f>T("7")</f>
        <v>7</v>
      </c>
      <c r="E2573" t="str">
        <f>T("백범(白帆)")</f>
        <v>백범(白帆)</v>
      </c>
      <c r="H2573" t="str">
        <f>T("에필로그")</f>
        <v>에필로그</v>
      </c>
      <c r="I2573" t="str">
        <f>T("개정판 | 바보가 만드는 멋진 세상")</f>
        <v>개정판 | 바보가 만드는 멋진 세상</v>
      </c>
      <c r="J2573">
        <v>0</v>
      </c>
      <c r="K2573">
        <v>0</v>
      </c>
      <c r="L2573">
        <v>0</v>
      </c>
      <c r="M2573">
        <v>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Q2573">
        <v>0</v>
      </c>
      <c r="AR2573">
        <v>0</v>
      </c>
      <c r="AT2573">
        <v>0</v>
      </c>
      <c r="AU2573">
        <v>0</v>
      </c>
      <c r="AW2573">
        <v>0</v>
      </c>
      <c r="AX2573">
        <v>0</v>
      </c>
      <c r="AY2573">
        <v>0</v>
      </c>
      <c r="BC2573" t="str">
        <f>T("9791166003493")</f>
        <v>9791166003493</v>
      </c>
      <c r="BE2573" t="str">
        <f>T("판타지 웹소설 &gt; 현대 판타지")</f>
        <v>판타지 웹소설 &gt; 현대 판타지</v>
      </c>
    </row>
    <row r="2574" spans="1:57" x14ac:dyDescent="0.3">
      <c r="A2574">
        <v>1525000055</v>
      </c>
      <c r="B2574">
        <v>1525000064</v>
      </c>
      <c r="C2574" t="str">
        <f>T("[e북]21세기 대마법사 9권")</f>
        <v>[e북]21세기 대마법사 9권</v>
      </c>
      <c r="D2574" t="str">
        <f>T("9")</f>
        <v>9</v>
      </c>
      <c r="E2574" t="str">
        <f>T("김광수")</f>
        <v>김광수</v>
      </c>
      <c r="H2574" t="str">
        <f>T("스토리위즈")</f>
        <v>스토리위즈</v>
      </c>
      <c r="I2574" t="str">
        <f>T("[e북]21세기 대마법사")</f>
        <v>[e북]21세기 대마법사</v>
      </c>
      <c r="J2574">
        <v>3200</v>
      </c>
      <c r="K2574">
        <v>0</v>
      </c>
      <c r="L2574">
        <v>0</v>
      </c>
      <c r="M2574">
        <v>0</v>
      </c>
      <c r="N2574">
        <v>2700</v>
      </c>
      <c r="O2574">
        <v>3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2700</v>
      </c>
      <c r="AH2574">
        <v>3</v>
      </c>
      <c r="AI2574">
        <v>0</v>
      </c>
      <c r="AJ2574">
        <v>0</v>
      </c>
      <c r="AK2574">
        <v>0</v>
      </c>
      <c r="AL2574">
        <v>0</v>
      </c>
      <c r="AM2574">
        <v>3240</v>
      </c>
      <c r="AN2574">
        <v>-540</v>
      </c>
      <c r="AO2574">
        <v>0</v>
      </c>
      <c r="AQ2574">
        <v>0</v>
      </c>
      <c r="AR2574">
        <v>0</v>
      </c>
      <c r="AS2574">
        <v>3240</v>
      </c>
      <c r="AT2574">
        <v>-540</v>
      </c>
      <c r="AU2574">
        <v>0</v>
      </c>
      <c r="AW2574">
        <v>0</v>
      </c>
      <c r="AX2574">
        <v>0</v>
      </c>
      <c r="AY2574">
        <v>1890</v>
      </c>
      <c r="BC2574" t="str">
        <f>T("9788925118567")</f>
        <v>9788925118567</v>
      </c>
      <c r="BE2574" t="str">
        <f>T("판타지 e북 &gt; 퓨전 판타지")</f>
        <v>판타지 e북 &gt; 퓨전 판타지</v>
      </c>
    </row>
    <row r="2575" spans="1:57" x14ac:dyDescent="0.3">
      <c r="A2575">
        <v>1525004799</v>
      </c>
      <c r="B2575">
        <v>1525004810</v>
      </c>
      <c r="C2575" t="str">
        <f>T("검산도해 12화")</f>
        <v>검산도해 12화</v>
      </c>
      <c r="D2575" t="str">
        <f>T("12")</f>
        <v>12</v>
      </c>
      <c r="E2575" t="str">
        <f>T("권용찬")</f>
        <v>권용찬</v>
      </c>
      <c r="H2575" t="str">
        <f>T("스토리위즈")</f>
        <v>스토리위즈</v>
      </c>
      <c r="I2575" t="str">
        <f>T("검산도해")</f>
        <v>검산도해</v>
      </c>
      <c r="J2575">
        <v>0</v>
      </c>
      <c r="K2575">
        <v>0</v>
      </c>
      <c r="L2575">
        <v>0</v>
      </c>
      <c r="M2575">
        <v>3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3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Q2575">
        <v>0</v>
      </c>
      <c r="AR2575">
        <v>0</v>
      </c>
      <c r="AT2575">
        <v>0</v>
      </c>
      <c r="AU2575">
        <v>0</v>
      </c>
      <c r="AW2575">
        <v>0</v>
      </c>
      <c r="AX2575">
        <v>0</v>
      </c>
      <c r="AY2575">
        <v>0</v>
      </c>
      <c r="BC2575" t="str">
        <f>T("9791159285936")</f>
        <v>9791159285936</v>
      </c>
      <c r="BE2575" t="str">
        <f>T("판타지 웹소설 &gt; 무협 소설")</f>
        <v>판타지 웹소설 &gt; 무협 소설</v>
      </c>
    </row>
    <row r="2576" spans="1:57" x14ac:dyDescent="0.3">
      <c r="A2576">
        <v>1525014780</v>
      </c>
      <c r="B2576">
        <v>1525014792</v>
      </c>
      <c r="C2576" t="str">
        <f>T("크랭키 걸즈 13화")</f>
        <v>크랭키 걸즈 13화</v>
      </c>
      <c r="D2576" t="str">
        <f>T("13")</f>
        <v>13</v>
      </c>
      <c r="E2576" t="str">
        <f>T("곽도우")</f>
        <v>곽도우</v>
      </c>
      <c r="H2576" t="str">
        <f>T("스토리아크")</f>
        <v>스토리아크</v>
      </c>
      <c r="I2576" t="str">
        <f>T("크랭키 걸즈")</f>
        <v>크랭키 걸즈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1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Q2576">
        <v>0</v>
      </c>
      <c r="AR2576">
        <v>0</v>
      </c>
      <c r="AT2576">
        <v>0</v>
      </c>
      <c r="AU2576">
        <v>0</v>
      </c>
      <c r="AW2576">
        <v>0</v>
      </c>
      <c r="AX2576">
        <v>0</v>
      </c>
      <c r="AY2576">
        <v>0</v>
      </c>
      <c r="BC2576" t="str">
        <f>T("9791191039276")</f>
        <v>9791191039276</v>
      </c>
      <c r="BE2576" t="str">
        <f>T("판타지 웹소설 &gt; 현대 판타지")</f>
        <v>판타지 웹소설 &gt; 현대 판타지</v>
      </c>
    </row>
    <row r="2577" spans="1:57" x14ac:dyDescent="0.3">
      <c r="A2577">
        <v>1525001609</v>
      </c>
      <c r="B2577">
        <v>1525001609</v>
      </c>
      <c r="C2577" t="str">
        <f>T("[e북]절륜공자 1권")</f>
        <v>[e북]절륜공자 1권</v>
      </c>
      <c r="D2577" t="str">
        <f>T("1")</f>
        <v>1</v>
      </c>
      <c r="E2577" t="str">
        <f>T("전혁")</f>
        <v>전혁</v>
      </c>
      <c r="H2577" t="str">
        <f>T("스토리위즈")</f>
        <v>스토리위즈</v>
      </c>
      <c r="I2577" t="str">
        <f>T("[e북]절륜공자")</f>
        <v>[e북]절륜공자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1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Q2577">
        <v>0</v>
      </c>
      <c r="AR2577">
        <v>0</v>
      </c>
      <c r="AT2577">
        <v>0</v>
      </c>
      <c r="AU2577">
        <v>0</v>
      </c>
      <c r="AW2577">
        <v>0</v>
      </c>
      <c r="AX2577">
        <v>0</v>
      </c>
      <c r="AY2577">
        <v>0</v>
      </c>
      <c r="BC2577" t="str">
        <f>T("9791159284946")</f>
        <v>9791159284946</v>
      </c>
      <c r="BE2577" t="str">
        <f>T("판타지 e북 &gt; 전통 무협")</f>
        <v>판타지 e북 &gt; 전통 무협</v>
      </c>
    </row>
    <row r="2578" spans="1:57" x14ac:dyDescent="0.3">
      <c r="A2578">
        <v>1525002864</v>
      </c>
      <c r="B2578">
        <v>1525002877</v>
      </c>
      <c r="C2578" t="str">
        <f>T("소드마스터의 환생 14화")</f>
        <v>소드마스터의 환생 14화</v>
      </c>
      <c r="D2578" t="str">
        <f>T("14")</f>
        <v>14</v>
      </c>
      <c r="E2578" t="str">
        <f>T("파란영")</f>
        <v>파란영</v>
      </c>
      <c r="H2578" t="str">
        <f>T("스토리위즈")</f>
        <v>스토리위즈</v>
      </c>
      <c r="I2578" t="str">
        <f>T("소드마스터의 환생")</f>
        <v>소드마스터의 환생</v>
      </c>
      <c r="J2578">
        <v>0</v>
      </c>
      <c r="K2578">
        <v>0</v>
      </c>
      <c r="L2578">
        <v>0</v>
      </c>
      <c r="M2578">
        <v>4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4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Q2578">
        <v>0</v>
      </c>
      <c r="AR2578">
        <v>0</v>
      </c>
      <c r="AT2578">
        <v>0</v>
      </c>
      <c r="AU2578">
        <v>0</v>
      </c>
      <c r="AW2578">
        <v>0</v>
      </c>
      <c r="AX2578">
        <v>0</v>
      </c>
      <c r="AY2578">
        <v>0</v>
      </c>
      <c r="BC2578" t="str">
        <f>T("9791159287527")</f>
        <v>9791159287527</v>
      </c>
      <c r="BE2578" t="str">
        <f>T("판타지 웹소설 &gt; 정통 판타지")</f>
        <v>판타지 웹소설 &gt; 정통 판타지</v>
      </c>
    </row>
    <row r="2579" spans="1:57" x14ac:dyDescent="0.3">
      <c r="A2579">
        <v>1525001317</v>
      </c>
      <c r="B2579">
        <v>1525001326</v>
      </c>
      <c r="C2579" t="str">
        <f>T("[e북]완전판 | 스트라이커 10권")</f>
        <v>[e북]완전판 | 스트라이커 10권</v>
      </c>
      <c r="D2579" t="str">
        <f>T("10")</f>
        <v>10</v>
      </c>
      <c r="E2579" t="str">
        <f>T("독고진")</f>
        <v>독고진</v>
      </c>
      <c r="H2579" t="str">
        <f>T("스토리위즈")</f>
        <v>스토리위즈</v>
      </c>
      <c r="I2579" t="str">
        <f>T("[e북]완전판 | 스트라이커")</f>
        <v>[e북]완전판 | 스트라이커</v>
      </c>
      <c r="J2579">
        <v>3200</v>
      </c>
      <c r="K2579">
        <v>0</v>
      </c>
      <c r="L2579">
        <v>0</v>
      </c>
      <c r="M2579">
        <v>0</v>
      </c>
      <c r="N2579">
        <v>900</v>
      </c>
      <c r="O2579">
        <v>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900</v>
      </c>
      <c r="AH2579">
        <v>1</v>
      </c>
      <c r="AI2579">
        <v>0</v>
      </c>
      <c r="AJ2579">
        <v>0</v>
      </c>
      <c r="AK2579">
        <v>900</v>
      </c>
      <c r="AL2579">
        <v>0</v>
      </c>
      <c r="AM2579">
        <v>0</v>
      </c>
      <c r="AN2579">
        <v>0</v>
      </c>
      <c r="AO2579">
        <v>0</v>
      </c>
      <c r="AQ2579">
        <v>0</v>
      </c>
      <c r="AR2579">
        <v>0</v>
      </c>
      <c r="AT2579">
        <v>0</v>
      </c>
      <c r="AU2579">
        <v>0</v>
      </c>
      <c r="AW2579">
        <v>0</v>
      </c>
      <c r="AX2579">
        <v>0</v>
      </c>
      <c r="AY2579">
        <v>630</v>
      </c>
      <c r="BA2579" t="str">
        <f>T("9791159282928")</f>
        <v>9791159282928</v>
      </c>
      <c r="BC2579" t="str">
        <f>T("9791159282928")</f>
        <v>9791159282928</v>
      </c>
      <c r="BE2579" t="str">
        <f>T("판타지 e북 &gt; 스포츠물")</f>
        <v>판타지 e북 &gt; 스포츠물</v>
      </c>
    </row>
    <row r="2580" spans="1:57" x14ac:dyDescent="0.3">
      <c r="A2580">
        <v>1525004799</v>
      </c>
      <c r="B2580">
        <v>1525004801</v>
      </c>
      <c r="C2580" t="str">
        <f>T("검산도해 3화")</f>
        <v>검산도해 3화</v>
      </c>
      <c r="D2580" t="str">
        <f>T("3")</f>
        <v>3</v>
      </c>
      <c r="E2580" t="str">
        <f>T("권용찬")</f>
        <v>권용찬</v>
      </c>
      <c r="H2580" t="str">
        <f>T("스토리위즈")</f>
        <v>스토리위즈</v>
      </c>
      <c r="I2580" t="str">
        <f>T("검산도해")</f>
        <v>검산도해</v>
      </c>
      <c r="J2580">
        <v>0</v>
      </c>
      <c r="K2580">
        <v>0</v>
      </c>
      <c r="L2580">
        <v>0</v>
      </c>
      <c r="M2580">
        <v>4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4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Q2580">
        <v>0</v>
      </c>
      <c r="AR2580">
        <v>0</v>
      </c>
      <c r="AT2580">
        <v>0</v>
      </c>
      <c r="AU2580">
        <v>0</v>
      </c>
      <c r="AW2580">
        <v>0</v>
      </c>
      <c r="AX2580">
        <v>0</v>
      </c>
      <c r="AY2580">
        <v>0</v>
      </c>
      <c r="BC2580" t="str">
        <f>T("9791159285936")</f>
        <v>9791159285936</v>
      </c>
      <c r="BE2580" t="str">
        <f>T("판타지 웹소설 &gt; 무협 소설")</f>
        <v>판타지 웹소설 &gt; 무협 소설</v>
      </c>
    </row>
    <row r="2581" spans="1:57" x14ac:dyDescent="0.3">
      <c r="A2581">
        <v>1525010982</v>
      </c>
      <c r="B2581">
        <v>1525010976</v>
      </c>
      <c r="C2581" t="str">
        <f>T("[e북]이 맛에 회장한다 7권")</f>
        <v>[e북]이 맛에 회장한다 7권</v>
      </c>
      <c r="D2581" t="str">
        <f>T("7")</f>
        <v>7</v>
      </c>
      <c r="E2581" t="str">
        <f>T("협행마")</f>
        <v>협행마</v>
      </c>
      <c r="H2581" t="str">
        <f>T("에필로그")</f>
        <v>에필로그</v>
      </c>
      <c r="I2581" t="str">
        <f>T("[e북]이 맛에 회장한다")</f>
        <v>[e북]이 맛에 회장한다</v>
      </c>
      <c r="J2581">
        <v>2500</v>
      </c>
      <c r="K2581">
        <v>0</v>
      </c>
      <c r="L2581">
        <v>0</v>
      </c>
      <c r="M2581">
        <v>0</v>
      </c>
      <c r="N2581">
        <v>1620</v>
      </c>
      <c r="O2581">
        <v>2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1620</v>
      </c>
      <c r="AH2581">
        <v>2</v>
      </c>
      <c r="AI2581">
        <v>0</v>
      </c>
      <c r="AJ2581">
        <v>0</v>
      </c>
      <c r="AK2581">
        <v>1620</v>
      </c>
      <c r="AL2581">
        <v>0</v>
      </c>
      <c r="AM2581">
        <v>0</v>
      </c>
      <c r="AN2581">
        <v>0</v>
      </c>
      <c r="AO2581">
        <v>0</v>
      </c>
      <c r="AQ2581">
        <v>0</v>
      </c>
      <c r="AR2581">
        <v>0</v>
      </c>
      <c r="AT2581">
        <v>0</v>
      </c>
      <c r="AU2581">
        <v>0</v>
      </c>
      <c r="AW2581">
        <v>0</v>
      </c>
      <c r="AX2581">
        <v>0</v>
      </c>
      <c r="AY2581">
        <v>1134</v>
      </c>
      <c r="BC2581" t="str">
        <f>T("9791164486120")</f>
        <v>9791164486120</v>
      </c>
      <c r="BE2581" t="str">
        <f>T("판타지 e북 &gt; 현대 판타지")</f>
        <v>판타지 e북 &gt; 현대 판타지</v>
      </c>
    </row>
    <row r="2582" spans="1:57" x14ac:dyDescent="0.3">
      <c r="A2582">
        <v>1525008204</v>
      </c>
      <c r="B2582">
        <v>1525008204</v>
      </c>
      <c r="C2582" t="str">
        <f>T("[e북]피할 수 없으면 즐겨라 1권")</f>
        <v>[e북]피할 수 없으면 즐겨라 1권</v>
      </c>
      <c r="D2582" t="str">
        <f>T("1")</f>
        <v>1</v>
      </c>
      <c r="E2582" t="str">
        <f>T("한슬")</f>
        <v>한슬</v>
      </c>
      <c r="H2582" t="str">
        <f>T("블러쉬")</f>
        <v>블러쉬</v>
      </c>
      <c r="I2582" t="str">
        <f>T("[e북]피할 수 없으면 즐겨라")</f>
        <v>[e북]피할 수 없으면 즐겨라</v>
      </c>
      <c r="J2582">
        <v>0</v>
      </c>
      <c r="K2582">
        <v>0</v>
      </c>
      <c r="L2582">
        <v>0</v>
      </c>
      <c r="M2582">
        <v>3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3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Q2582">
        <v>0</v>
      </c>
      <c r="AR2582">
        <v>0</v>
      </c>
      <c r="AT2582">
        <v>0</v>
      </c>
      <c r="AU2582">
        <v>0</v>
      </c>
      <c r="AW2582">
        <v>0</v>
      </c>
      <c r="AX2582">
        <v>0</v>
      </c>
      <c r="AY2582">
        <v>0</v>
      </c>
      <c r="BA2582" t="str">
        <f>T("0000000000000")</f>
        <v>0000000000000</v>
      </c>
      <c r="BC2582" t="str">
        <f>T("9791164892457")</f>
        <v>9791164892457</v>
      </c>
      <c r="BE2582" t="str">
        <f>T("BL 소설 e북 &gt; 현대물")</f>
        <v>BL 소설 e북 &gt; 현대물</v>
      </c>
    </row>
    <row r="2583" spans="1:57" x14ac:dyDescent="0.3">
      <c r="A2583">
        <v>1525000411</v>
      </c>
      <c r="B2583">
        <v>1525000414</v>
      </c>
      <c r="C2583" t="str">
        <f>T("레이드 만물상점 4화")</f>
        <v>레이드 만물상점 4화</v>
      </c>
      <c r="D2583" t="str">
        <f>T("4")</f>
        <v>4</v>
      </c>
      <c r="E2583" t="str">
        <f>T("전혁")</f>
        <v>전혁</v>
      </c>
      <c r="H2583" t="str">
        <f>T("스토리위즈")</f>
        <v>스토리위즈</v>
      </c>
      <c r="I2583" t="str">
        <f>T("레이드 만물상점")</f>
        <v>레이드 만물상점</v>
      </c>
      <c r="J2583">
        <v>0</v>
      </c>
      <c r="K2583">
        <v>0</v>
      </c>
      <c r="L2583">
        <v>0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1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Q2583">
        <v>0</v>
      </c>
      <c r="AR2583">
        <v>0</v>
      </c>
      <c r="AT2583">
        <v>0</v>
      </c>
      <c r="AU2583">
        <v>0</v>
      </c>
      <c r="AW2583">
        <v>0</v>
      </c>
      <c r="AX2583">
        <v>0</v>
      </c>
      <c r="AY2583">
        <v>0</v>
      </c>
      <c r="BC2583" t="str">
        <f>T("9791170151432")</f>
        <v>9791170151432</v>
      </c>
      <c r="BE2583" t="str">
        <f>T("판타지 웹소설 &gt; 현대 판타지")</f>
        <v>판타지 웹소설 &gt; 현대 판타지</v>
      </c>
    </row>
    <row r="2584" spans="1:57" x14ac:dyDescent="0.3">
      <c r="A2584">
        <v>1525010900</v>
      </c>
      <c r="B2584">
        <v>1525010895</v>
      </c>
      <c r="C2584" t="str">
        <f>T("[e북]무적살수 4권")</f>
        <v>[e북]무적살수 4권</v>
      </c>
      <c r="D2584" t="str">
        <f>T("4")</f>
        <v>4</v>
      </c>
      <c r="E2584" t="str">
        <f>T("협행마")</f>
        <v>협행마</v>
      </c>
      <c r="H2584" t="str">
        <f>T("에필로그")</f>
        <v>에필로그</v>
      </c>
      <c r="I2584" t="str">
        <f>T("[e북]무적살수")</f>
        <v>[e북]무적살수</v>
      </c>
      <c r="J2584">
        <v>2500</v>
      </c>
      <c r="K2584">
        <v>0</v>
      </c>
      <c r="L2584">
        <v>0</v>
      </c>
      <c r="M2584">
        <v>0</v>
      </c>
      <c r="N2584">
        <v>810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810</v>
      </c>
      <c r="AH2584">
        <v>1</v>
      </c>
      <c r="AI2584">
        <v>0</v>
      </c>
      <c r="AJ2584">
        <v>0</v>
      </c>
      <c r="AK2584">
        <v>810</v>
      </c>
      <c r="AL2584">
        <v>0</v>
      </c>
      <c r="AM2584">
        <v>0</v>
      </c>
      <c r="AN2584">
        <v>0</v>
      </c>
      <c r="AO2584">
        <v>0</v>
      </c>
      <c r="AQ2584">
        <v>0</v>
      </c>
      <c r="AR2584">
        <v>0</v>
      </c>
      <c r="AT2584">
        <v>0</v>
      </c>
      <c r="AU2584">
        <v>0</v>
      </c>
      <c r="AW2584">
        <v>0</v>
      </c>
      <c r="AX2584">
        <v>0</v>
      </c>
      <c r="AY2584">
        <v>567</v>
      </c>
      <c r="BC2584" t="str">
        <f>T("9791166000126")</f>
        <v>9791166000126</v>
      </c>
      <c r="BE2584" t="str">
        <f>T("판타지 e북 &gt; 전통 무협")</f>
        <v>판타지 e북 &gt; 전통 무협</v>
      </c>
    </row>
    <row r="2585" spans="1:57" x14ac:dyDescent="0.3">
      <c r="A2585">
        <v>1525008717</v>
      </c>
      <c r="B2585">
        <v>1525008751</v>
      </c>
      <c r="C2585" t="str">
        <f>T("음양상열지사 50화")</f>
        <v>음양상열지사 50화</v>
      </c>
      <c r="D2585" t="str">
        <f>T("50")</f>
        <v>50</v>
      </c>
      <c r="E2585" t="str">
        <f>T("이염")</f>
        <v>이염</v>
      </c>
      <c r="H2585" t="str">
        <f>T("블러쉬")</f>
        <v>블러쉬</v>
      </c>
      <c r="I2585" t="str">
        <f>T("음양상열지사")</f>
        <v>음양상열지사</v>
      </c>
      <c r="J2585">
        <v>100</v>
      </c>
      <c r="K2585">
        <v>0</v>
      </c>
      <c r="L2585">
        <v>0</v>
      </c>
      <c r="M2585">
        <v>0</v>
      </c>
      <c r="N2585">
        <v>100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100</v>
      </c>
      <c r="AH2585">
        <v>1</v>
      </c>
      <c r="AI2585">
        <v>0</v>
      </c>
      <c r="AJ2585">
        <v>0</v>
      </c>
      <c r="AK2585">
        <v>100</v>
      </c>
      <c r="AL2585">
        <v>0</v>
      </c>
      <c r="AM2585">
        <v>0</v>
      </c>
      <c r="AN2585">
        <v>0</v>
      </c>
      <c r="AO2585">
        <v>0</v>
      </c>
      <c r="AQ2585">
        <v>0</v>
      </c>
      <c r="AR2585">
        <v>0</v>
      </c>
      <c r="AT2585">
        <v>0</v>
      </c>
      <c r="AU2585">
        <v>0</v>
      </c>
      <c r="AW2585">
        <v>0</v>
      </c>
      <c r="AX2585">
        <v>0</v>
      </c>
      <c r="AY2585">
        <v>70</v>
      </c>
      <c r="BA2585" t="str">
        <f>T("0000000000000")</f>
        <v>0000000000000</v>
      </c>
      <c r="BC2585" t="str">
        <f>T("9791164896639")</f>
        <v>9791164896639</v>
      </c>
      <c r="BD2585" t="str">
        <f>T("B10")</f>
        <v>B10</v>
      </c>
      <c r="BE2585" t="str">
        <f>T("BL 웹소설 &gt; 역사/시대물")</f>
        <v>BL 웹소설 &gt; 역사/시대물</v>
      </c>
    </row>
    <row r="2586" spans="1:57" x14ac:dyDescent="0.3">
      <c r="A2586">
        <v>1525011063</v>
      </c>
      <c r="B2586">
        <v>1525011063</v>
      </c>
      <c r="C2586" t="str">
        <f>T("[e북]남창목가 1권")</f>
        <v>[e북]남창목가 1권</v>
      </c>
      <c r="D2586" t="str">
        <f>T("1")</f>
        <v>1</v>
      </c>
      <c r="E2586" t="str">
        <f>T("최재봉")</f>
        <v>최재봉</v>
      </c>
      <c r="H2586" t="str">
        <f>T("에필로그")</f>
        <v>에필로그</v>
      </c>
      <c r="I2586" t="str">
        <f>T("[e북]남창목가")</f>
        <v>[e북]남창목가</v>
      </c>
      <c r="J2586">
        <v>0</v>
      </c>
      <c r="K2586">
        <v>0</v>
      </c>
      <c r="L2586">
        <v>0</v>
      </c>
      <c r="M2586">
        <v>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1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Q2586">
        <v>0</v>
      </c>
      <c r="AR2586">
        <v>0</v>
      </c>
      <c r="AT2586">
        <v>0</v>
      </c>
      <c r="AU2586">
        <v>0</v>
      </c>
      <c r="AW2586">
        <v>0</v>
      </c>
      <c r="AX2586">
        <v>0</v>
      </c>
      <c r="AY2586">
        <v>0</v>
      </c>
      <c r="BC2586" t="str">
        <f>T("9791164482979")</f>
        <v>9791164482979</v>
      </c>
      <c r="BE2586" t="str">
        <f>T("판타지 e북 &gt; 신무협")</f>
        <v>판타지 e북 &gt; 신무협</v>
      </c>
    </row>
    <row r="2587" spans="1:57" x14ac:dyDescent="0.3">
      <c r="A2587">
        <v>1525012202</v>
      </c>
      <c r="B2587">
        <v>1525012189</v>
      </c>
      <c r="C2587" t="str">
        <f>T("이세계 최강 군바리 14화")</f>
        <v>이세계 최강 군바리 14화</v>
      </c>
      <c r="D2587" t="str">
        <f>T("14")</f>
        <v>14</v>
      </c>
      <c r="E2587" t="str">
        <f>T("협행마")</f>
        <v>협행마</v>
      </c>
      <c r="H2587" t="str">
        <f>T("에필로그")</f>
        <v>에필로그</v>
      </c>
      <c r="I2587" t="str">
        <f>T("이세계 최강 군바리")</f>
        <v>이세계 최강 군바리</v>
      </c>
      <c r="J2587">
        <v>0</v>
      </c>
      <c r="K2587">
        <v>0</v>
      </c>
      <c r="L2587">
        <v>0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1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Q2587">
        <v>0</v>
      </c>
      <c r="AR2587">
        <v>0</v>
      </c>
      <c r="AT2587">
        <v>0</v>
      </c>
      <c r="AU2587">
        <v>0</v>
      </c>
      <c r="AW2587">
        <v>0</v>
      </c>
      <c r="AX2587">
        <v>0</v>
      </c>
      <c r="AY2587">
        <v>0</v>
      </c>
      <c r="BC2587" t="str">
        <f>T("9791164480159")</f>
        <v>9791164480159</v>
      </c>
      <c r="BE2587" t="str">
        <f>T("판타지 웹소설 &gt; 퓨전 판타지")</f>
        <v>판타지 웹소설 &gt; 퓨전 판타지</v>
      </c>
    </row>
    <row r="2588" spans="1:57" x14ac:dyDescent="0.3">
      <c r="A2588">
        <v>1525000569</v>
      </c>
      <c r="B2588">
        <v>1525000579</v>
      </c>
      <c r="C2588" t="str">
        <f>T("스트라이커 11화")</f>
        <v>스트라이커 11화</v>
      </c>
      <c r="D2588" t="str">
        <f>T("11")</f>
        <v>11</v>
      </c>
      <c r="E2588" t="str">
        <f>T("독고진")</f>
        <v>독고진</v>
      </c>
      <c r="H2588" t="str">
        <f>T("스토리위즈")</f>
        <v>스토리위즈</v>
      </c>
      <c r="I2588" t="str">
        <f>T("스트라이커")</f>
        <v>스트라이커</v>
      </c>
      <c r="J2588">
        <v>0</v>
      </c>
      <c r="K2588">
        <v>0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1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Q2588">
        <v>0</v>
      </c>
      <c r="AR2588">
        <v>0</v>
      </c>
      <c r="AT2588">
        <v>0</v>
      </c>
      <c r="AU2588">
        <v>0</v>
      </c>
      <c r="AW2588">
        <v>0</v>
      </c>
      <c r="AX2588">
        <v>0</v>
      </c>
      <c r="AY2588">
        <v>0</v>
      </c>
      <c r="BC2588" t="str">
        <f>T("9791170151678")</f>
        <v>9791170151678</v>
      </c>
      <c r="BE2588" t="str">
        <f>T("판타지 웹소설 &gt; 현대 판타지")</f>
        <v>판타지 웹소설 &gt; 현대 판타지</v>
      </c>
    </row>
    <row r="2589" spans="1:57" x14ac:dyDescent="0.3">
      <c r="A2589">
        <v>1525004030</v>
      </c>
      <c r="B2589">
        <v>1525004053</v>
      </c>
      <c r="C2589" t="str">
        <f>T("회귀의 전설 24화")</f>
        <v>회귀의 전설 24화</v>
      </c>
      <c r="D2589" t="str">
        <f>T("24")</f>
        <v>24</v>
      </c>
      <c r="E2589" t="str">
        <f>T("김광수")</f>
        <v>김광수</v>
      </c>
      <c r="H2589" t="str">
        <f>T("스토리위즈")</f>
        <v>스토리위즈</v>
      </c>
      <c r="I2589" t="str">
        <f>T("회귀의 전설")</f>
        <v>회귀의 전설</v>
      </c>
      <c r="J2589">
        <v>0</v>
      </c>
      <c r="K2589">
        <v>0</v>
      </c>
      <c r="L2589">
        <v>0</v>
      </c>
      <c r="M2589">
        <v>7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7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Q2589">
        <v>0</v>
      </c>
      <c r="AR2589">
        <v>0</v>
      </c>
      <c r="AT2589">
        <v>0</v>
      </c>
      <c r="AU2589">
        <v>0</v>
      </c>
      <c r="AW2589">
        <v>0</v>
      </c>
      <c r="AX2589">
        <v>0</v>
      </c>
      <c r="AY2589">
        <v>0</v>
      </c>
      <c r="BC2589" t="str">
        <f>T("9788997946006")</f>
        <v>9788997946006</v>
      </c>
      <c r="BE2589" t="str">
        <f>T("판타지 웹소설 &gt; 현대 판타지")</f>
        <v>판타지 웹소설 &gt; 현대 판타지</v>
      </c>
    </row>
    <row r="2590" spans="1:57" x14ac:dyDescent="0.3">
      <c r="A2590">
        <v>1525010974</v>
      </c>
      <c r="B2590">
        <v>1525010967</v>
      </c>
      <c r="C2590" t="str">
        <f>T("[e북]위사무적 8권 (완결)")</f>
        <v>[e북]위사무적 8권 (완결)</v>
      </c>
      <c r="D2590" t="str">
        <f>T("8")</f>
        <v>8</v>
      </c>
      <c r="E2590" t="str">
        <f>T("협행마")</f>
        <v>협행마</v>
      </c>
      <c r="H2590" t="str">
        <f>T("에필로그")</f>
        <v>에필로그</v>
      </c>
      <c r="I2590" t="str">
        <f>T("[e북]위사무적")</f>
        <v>[e북]위사무적</v>
      </c>
      <c r="J2590">
        <v>2000</v>
      </c>
      <c r="K2590">
        <v>0</v>
      </c>
      <c r="L2590">
        <v>0</v>
      </c>
      <c r="M2590">
        <v>0</v>
      </c>
      <c r="N2590">
        <v>1330</v>
      </c>
      <c r="O2590">
        <v>2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1330</v>
      </c>
      <c r="AH2590">
        <v>2</v>
      </c>
      <c r="AI2590">
        <v>0</v>
      </c>
      <c r="AJ2590">
        <v>0</v>
      </c>
      <c r="AK2590">
        <v>1330</v>
      </c>
      <c r="AL2590">
        <v>0</v>
      </c>
      <c r="AM2590">
        <v>0</v>
      </c>
      <c r="AN2590">
        <v>0</v>
      </c>
      <c r="AO2590">
        <v>0</v>
      </c>
      <c r="AQ2590">
        <v>0</v>
      </c>
      <c r="AR2590">
        <v>0</v>
      </c>
      <c r="AT2590">
        <v>0</v>
      </c>
      <c r="AU2590">
        <v>0</v>
      </c>
      <c r="AW2590">
        <v>0</v>
      </c>
      <c r="AX2590">
        <v>0</v>
      </c>
      <c r="AY2590">
        <v>931</v>
      </c>
      <c r="BC2590" t="str">
        <f>T("9791164489015")</f>
        <v>9791164489015</v>
      </c>
      <c r="BE2590" t="str">
        <f>T("판타지 e북 &gt; 신무협")</f>
        <v>판타지 e북 &gt; 신무협</v>
      </c>
    </row>
    <row r="2591" spans="1:57" x14ac:dyDescent="0.3">
      <c r="A2591">
        <v>1525000055</v>
      </c>
      <c r="B2591">
        <v>1525000073</v>
      </c>
      <c r="C2591" t="str">
        <f>T("[e북]21세기 대마법사 18권 (완결)")</f>
        <v>[e북]21세기 대마법사 18권 (완결)</v>
      </c>
      <c r="D2591" t="str">
        <f>T("18")</f>
        <v>18</v>
      </c>
      <c r="E2591" t="str">
        <f>T("김광수")</f>
        <v>김광수</v>
      </c>
      <c r="H2591" t="str">
        <f>T("스토리위즈")</f>
        <v>스토리위즈</v>
      </c>
      <c r="I2591" t="str">
        <f>T("[e북]21세기 대마법사")</f>
        <v>[e북]21세기 대마법사</v>
      </c>
      <c r="J2591">
        <v>3200</v>
      </c>
      <c r="K2591">
        <v>0</v>
      </c>
      <c r="L2591">
        <v>0</v>
      </c>
      <c r="M2591">
        <v>0</v>
      </c>
      <c r="N2591">
        <v>900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900</v>
      </c>
      <c r="AH2591">
        <v>1</v>
      </c>
      <c r="AI2591">
        <v>0</v>
      </c>
      <c r="AJ2591">
        <v>0</v>
      </c>
      <c r="AK2591">
        <v>0</v>
      </c>
      <c r="AL2591">
        <v>0</v>
      </c>
      <c r="AM2591">
        <v>1080</v>
      </c>
      <c r="AN2591">
        <v>-108</v>
      </c>
      <c r="AO2591">
        <v>0</v>
      </c>
      <c r="AQ2591">
        <v>0</v>
      </c>
      <c r="AR2591">
        <v>0</v>
      </c>
      <c r="AS2591">
        <v>1080</v>
      </c>
      <c r="AT2591">
        <v>-108</v>
      </c>
      <c r="AU2591">
        <v>0</v>
      </c>
      <c r="AW2591">
        <v>0</v>
      </c>
      <c r="AX2591">
        <v>0</v>
      </c>
      <c r="AY2591">
        <v>680.4</v>
      </c>
      <c r="BC2591" t="str">
        <f>T("9788925120737")</f>
        <v>9788925120737</v>
      </c>
      <c r="BE2591" t="str">
        <f>T("판타지 e북 &gt; 퓨전 판타지")</f>
        <v>판타지 e북 &gt; 퓨전 판타지</v>
      </c>
    </row>
    <row r="2592" spans="1:57" x14ac:dyDescent="0.3">
      <c r="A2592">
        <v>1525000022</v>
      </c>
      <c r="B2592">
        <v>1525000028</v>
      </c>
      <c r="C2592" t="str">
        <f>T("[e북]마계대공 연대기 7권")</f>
        <v>[e북]마계대공 연대기 7권</v>
      </c>
      <c r="D2592" t="str">
        <f>T("7")</f>
        <v>7</v>
      </c>
      <c r="E2592" t="str">
        <f>T("김광수")</f>
        <v>김광수</v>
      </c>
      <c r="H2592" t="str">
        <f>T("스토리위즈")</f>
        <v>스토리위즈</v>
      </c>
      <c r="I2592" t="str">
        <f>T("[e북]마계대공 연대기")</f>
        <v>[e북]마계대공 연대기</v>
      </c>
      <c r="J2592">
        <v>3200</v>
      </c>
      <c r="K2592">
        <v>0</v>
      </c>
      <c r="L2592">
        <v>0</v>
      </c>
      <c r="M2592">
        <v>0</v>
      </c>
      <c r="N2592">
        <v>2700</v>
      </c>
      <c r="O2592">
        <v>3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2700</v>
      </c>
      <c r="AH2592">
        <v>3</v>
      </c>
      <c r="AI2592">
        <v>0</v>
      </c>
      <c r="AJ2592">
        <v>0</v>
      </c>
      <c r="AK2592">
        <v>1800</v>
      </c>
      <c r="AL2592">
        <v>0</v>
      </c>
      <c r="AM2592">
        <v>1080</v>
      </c>
      <c r="AN2592">
        <v>-108</v>
      </c>
      <c r="AO2592">
        <v>0</v>
      </c>
      <c r="AQ2592">
        <v>0</v>
      </c>
      <c r="AR2592">
        <v>0</v>
      </c>
      <c r="AS2592">
        <v>1080</v>
      </c>
      <c r="AT2592">
        <v>-108</v>
      </c>
      <c r="AU2592">
        <v>0</v>
      </c>
      <c r="AW2592">
        <v>0</v>
      </c>
      <c r="AX2592">
        <v>0</v>
      </c>
      <c r="AY2592">
        <v>1940.4</v>
      </c>
      <c r="BE2592" t="str">
        <f>T("판타지 e북 &gt; 퓨전 판타지")</f>
        <v>판타지 e북 &gt; 퓨전 판타지</v>
      </c>
    </row>
    <row r="2593" spans="1:57" x14ac:dyDescent="0.3">
      <c r="A2593">
        <v>1525004988</v>
      </c>
      <c r="B2593">
        <v>1525005298</v>
      </c>
      <c r="C2593" t="str">
        <f>T("용무쌍 11화")</f>
        <v>용무쌍 11화</v>
      </c>
      <c r="D2593" t="str">
        <f>T("11")</f>
        <v>11</v>
      </c>
      <c r="E2593" t="str">
        <f>T("권용찬")</f>
        <v>권용찬</v>
      </c>
      <c r="H2593" t="str">
        <f>T("스토리위즈")</f>
        <v>스토리위즈</v>
      </c>
      <c r="I2593" t="str">
        <f>T("용무쌍")</f>
        <v>용무쌍</v>
      </c>
      <c r="J2593">
        <v>0</v>
      </c>
      <c r="K2593">
        <v>0</v>
      </c>
      <c r="L2593">
        <v>0</v>
      </c>
      <c r="M2593">
        <v>2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2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Q2593">
        <v>0</v>
      </c>
      <c r="AR2593">
        <v>0</v>
      </c>
      <c r="AT2593">
        <v>0</v>
      </c>
      <c r="AU2593">
        <v>0</v>
      </c>
      <c r="AW2593">
        <v>0</v>
      </c>
      <c r="AX2593">
        <v>0</v>
      </c>
      <c r="AY2593">
        <v>0</v>
      </c>
      <c r="BC2593" t="str">
        <f>T("9791159284861")</f>
        <v>9791159284861</v>
      </c>
      <c r="BE2593" t="str">
        <f>T("판타지 웹소설 &gt; 무협 소설")</f>
        <v>판타지 웹소설 &gt; 무협 소설</v>
      </c>
    </row>
    <row r="2594" spans="1:57" x14ac:dyDescent="0.3">
      <c r="A2594">
        <v>1525000411</v>
      </c>
      <c r="B2594">
        <v>1525000435</v>
      </c>
      <c r="C2594" t="str">
        <f>T("레이드 만물상점 25화")</f>
        <v>레이드 만물상점 25화</v>
      </c>
      <c r="D2594" t="str">
        <f>T("25")</f>
        <v>25</v>
      </c>
      <c r="E2594" t="str">
        <f>T("전혁")</f>
        <v>전혁</v>
      </c>
      <c r="H2594" t="str">
        <f>T("스토리위즈")</f>
        <v>스토리위즈</v>
      </c>
      <c r="I2594" t="str">
        <f>T("레이드 만물상점")</f>
        <v>레이드 만물상점</v>
      </c>
      <c r="J2594">
        <v>0</v>
      </c>
      <c r="K2594">
        <v>0</v>
      </c>
      <c r="L2594">
        <v>0</v>
      </c>
      <c r="M2594">
        <v>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1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Q2594">
        <v>0</v>
      </c>
      <c r="AR2594">
        <v>0</v>
      </c>
      <c r="AT2594">
        <v>0</v>
      </c>
      <c r="AU2594">
        <v>0</v>
      </c>
      <c r="AW2594">
        <v>0</v>
      </c>
      <c r="AX2594">
        <v>0</v>
      </c>
      <c r="AY2594">
        <v>0</v>
      </c>
      <c r="BC2594" t="str">
        <f>T("9791170151432")</f>
        <v>9791170151432</v>
      </c>
      <c r="BE2594" t="str">
        <f>T("판타지 웹소설 &gt; 현대 판타지")</f>
        <v>판타지 웹소설 &gt; 현대 판타지</v>
      </c>
    </row>
    <row r="2595" spans="1:57" x14ac:dyDescent="0.3">
      <c r="A2595">
        <v>1525010944</v>
      </c>
      <c r="B2595">
        <v>1525010935</v>
      </c>
      <c r="C2595" t="str">
        <f>T("[e북]법보다 주먹 10권")</f>
        <v>[e북]법보다 주먹 10권</v>
      </c>
      <c r="D2595" t="str">
        <f>T("10")</f>
        <v>10</v>
      </c>
      <c r="E2595" t="str">
        <f>T("백범(白帆)")</f>
        <v>백범(白帆)</v>
      </c>
      <c r="H2595" t="str">
        <f>T("에필로그")</f>
        <v>에필로그</v>
      </c>
      <c r="I2595" t="str">
        <f>T("[e북]법보다 주먹")</f>
        <v>[e북]법보다 주먹</v>
      </c>
      <c r="J2595">
        <v>2000</v>
      </c>
      <c r="K2595">
        <v>0</v>
      </c>
      <c r="L2595">
        <v>0</v>
      </c>
      <c r="M2595">
        <v>0</v>
      </c>
      <c r="N2595">
        <v>1800</v>
      </c>
      <c r="O2595">
        <v>2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1800</v>
      </c>
      <c r="AH2595">
        <v>2</v>
      </c>
      <c r="AI2595">
        <v>0</v>
      </c>
      <c r="AJ2595">
        <v>0</v>
      </c>
      <c r="AK2595">
        <v>900</v>
      </c>
      <c r="AL2595">
        <v>0</v>
      </c>
      <c r="AM2595">
        <v>1080</v>
      </c>
      <c r="AN2595">
        <v>-324</v>
      </c>
      <c r="AO2595">
        <v>0</v>
      </c>
      <c r="AQ2595">
        <v>0</v>
      </c>
      <c r="AR2595">
        <v>0</v>
      </c>
      <c r="AS2595">
        <v>1080</v>
      </c>
      <c r="AT2595">
        <v>-324</v>
      </c>
      <c r="AU2595">
        <v>0</v>
      </c>
      <c r="AW2595">
        <v>0</v>
      </c>
      <c r="AX2595">
        <v>0</v>
      </c>
      <c r="AY2595">
        <v>1159.2</v>
      </c>
      <c r="BC2595" t="str">
        <f>T("9791164480142")</f>
        <v>9791164480142</v>
      </c>
      <c r="BE2595" t="str">
        <f>T("판타지 e북 &gt; 현대 판타지")</f>
        <v>판타지 e북 &gt; 현대 판타지</v>
      </c>
    </row>
    <row r="2596" spans="1:57" x14ac:dyDescent="0.3">
      <c r="A2596">
        <v>1525010579</v>
      </c>
      <c r="B2596">
        <v>1525010564</v>
      </c>
      <c r="C2596" t="str">
        <f>T("법보다 주먹 14화")</f>
        <v>법보다 주먹 14화</v>
      </c>
      <c r="D2596" t="str">
        <f>T("14")</f>
        <v>14</v>
      </c>
      <c r="E2596" t="str">
        <f>T("백범(白帆)")</f>
        <v>백범(白帆)</v>
      </c>
      <c r="H2596" t="str">
        <f>T("에필로그")</f>
        <v>에필로그</v>
      </c>
      <c r="I2596" t="str">
        <f>T("법보다 주먹")</f>
        <v>법보다 주먹</v>
      </c>
      <c r="J2596">
        <v>0</v>
      </c>
      <c r="K2596">
        <v>0</v>
      </c>
      <c r="L2596">
        <v>0</v>
      </c>
      <c r="M2596">
        <v>1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1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Q2596">
        <v>0</v>
      </c>
      <c r="AR2596">
        <v>0</v>
      </c>
      <c r="AT2596">
        <v>0</v>
      </c>
      <c r="AU2596">
        <v>0</v>
      </c>
      <c r="AW2596">
        <v>0</v>
      </c>
      <c r="AX2596">
        <v>0</v>
      </c>
      <c r="AY2596">
        <v>0</v>
      </c>
      <c r="BC2596" t="str">
        <f>T("9791164489367")</f>
        <v>9791164489367</v>
      </c>
      <c r="BE2596" t="str">
        <f>T("판타지 웹소설 &gt; 현대 판타지")</f>
        <v>판타지 웹소설 &gt; 현대 판타지</v>
      </c>
    </row>
    <row r="2597" spans="1:57" x14ac:dyDescent="0.3">
      <c r="A2597">
        <v>1525000001</v>
      </c>
      <c r="B2597">
        <v>1525000008</v>
      </c>
      <c r="C2597" t="str">
        <f>T("[e북]마스터 K 8권")</f>
        <v>[e북]마스터 K 8권</v>
      </c>
      <c r="D2597" t="str">
        <f>T("8")</f>
        <v>8</v>
      </c>
      <c r="E2597" t="str">
        <f>T("김광수")</f>
        <v>김광수</v>
      </c>
      <c r="H2597" t="str">
        <f>T("스토리위즈")</f>
        <v>스토리위즈</v>
      </c>
      <c r="I2597" t="str">
        <f>T("[e북]마스터 K")</f>
        <v>[e북]마스터 K</v>
      </c>
      <c r="J2597">
        <v>3200</v>
      </c>
      <c r="K2597">
        <v>0</v>
      </c>
      <c r="L2597">
        <v>0</v>
      </c>
      <c r="M2597">
        <v>0</v>
      </c>
      <c r="N2597">
        <v>900</v>
      </c>
      <c r="O2597">
        <v>1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900</v>
      </c>
      <c r="AH2597">
        <v>1</v>
      </c>
      <c r="AI2597">
        <v>0</v>
      </c>
      <c r="AJ2597">
        <v>0</v>
      </c>
      <c r="AK2597">
        <v>900</v>
      </c>
      <c r="AL2597">
        <v>0</v>
      </c>
      <c r="AM2597">
        <v>0</v>
      </c>
      <c r="AN2597">
        <v>0</v>
      </c>
      <c r="AO2597">
        <v>0</v>
      </c>
      <c r="AQ2597">
        <v>0</v>
      </c>
      <c r="AR2597">
        <v>0</v>
      </c>
      <c r="AT2597">
        <v>0</v>
      </c>
      <c r="AU2597">
        <v>0</v>
      </c>
      <c r="AW2597">
        <v>0</v>
      </c>
      <c r="AX2597">
        <v>0</v>
      </c>
      <c r="AY2597">
        <v>630</v>
      </c>
      <c r="BE2597" t="str">
        <f>T("판타지 e북 &gt; 스포츠물")</f>
        <v>판타지 e북 &gt; 스포츠물</v>
      </c>
    </row>
    <row r="2598" spans="1:57" x14ac:dyDescent="0.3">
      <c r="A2598">
        <v>1525000924</v>
      </c>
      <c r="B2598">
        <v>1525000935</v>
      </c>
      <c r="C2598" t="str">
        <f>T("스피릿 소드 12화")</f>
        <v>스피릿 소드 12화</v>
      </c>
      <c r="D2598" t="str">
        <f>T("12")</f>
        <v>12</v>
      </c>
      <c r="E2598" t="str">
        <f>T("김정률")</f>
        <v>김정률</v>
      </c>
      <c r="H2598" t="str">
        <f>T("스토리위즈")</f>
        <v>스토리위즈</v>
      </c>
      <c r="I2598" t="str">
        <f>T("스피릿 소드")</f>
        <v>스피릿 소드</v>
      </c>
      <c r="J2598">
        <v>0</v>
      </c>
      <c r="K2598">
        <v>0</v>
      </c>
      <c r="L2598">
        <v>0</v>
      </c>
      <c r="M2598">
        <v>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1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Q2598">
        <v>0</v>
      </c>
      <c r="AR2598">
        <v>0</v>
      </c>
      <c r="AT2598">
        <v>0</v>
      </c>
      <c r="AU2598">
        <v>0</v>
      </c>
      <c r="AW2598">
        <v>0</v>
      </c>
      <c r="AX2598">
        <v>0</v>
      </c>
      <c r="AY2598">
        <v>0</v>
      </c>
      <c r="BA2598" t="str">
        <f>T("9791159282713")</f>
        <v>9791159282713</v>
      </c>
      <c r="BC2598" t="str">
        <f>T("9791159282713")</f>
        <v>9791159282713</v>
      </c>
      <c r="BE2598" t="str">
        <f>T("판타지 웹소설 &gt; 정통 판타지")</f>
        <v>판타지 웹소설 &gt; 정통 판타지</v>
      </c>
    </row>
    <row r="2599" spans="1:57" x14ac:dyDescent="0.3">
      <c r="A2599">
        <v>1525002692</v>
      </c>
      <c r="B2599">
        <v>1525002692</v>
      </c>
      <c r="C2599" t="str">
        <f>T("신규무사 1화")</f>
        <v>신규무사 1화</v>
      </c>
      <c r="D2599" t="str">
        <f>T("1")</f>
        <v>1</v>
      </c>
      <c r="E2599" t="str">
        <f>T("권용찬")</f>
        <v>권용찬</v>
      </c>
      <c r="H2599" t="str">
        <f>T("스토리위즈")</f>
        <v>스토리위즈</v>
      </c>
      <c r="I2599" t="str">
        <f>T("신규무사")</f>
        <v>신규무사</v>
      </c>
      <c r="J2599">
        <v>0</v>
      </c>
      <c r="K2599">
        <v>0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Q2599">
        <v>0</v>
      </c>
      <c r="AR2599">
        <v>0</v>
      </c>
      <c r="AT2599">
        <v>0</v>
      </c>
      <c r="AU2599">
        <v>0</v>
      </c>
      <c r="AW2599">
        <v>0</v>
      </c>
      <c r="AX2599">
        <v>0</v>
      </c>
      <c r="AY2599">
        <v>0</v>
      </c>
      <c r="BC2599" t="str">
        <f>T("9791159287480")</f>
        <v>9791159287480</v>
      </c>
      <c r="BE2599" t="str">
        <f>T("판타지 웹소설 &gt; 무협 소설")</f>
        <v>판타지 웹소설 &gt; 무협 소설</v>
      </c>
    </row>
    <row r="2600" spans="1:57" x14ac:dyDescent="0.3">
      <c r="A2600">
        <v>1525013418</v>
      </c>
      <c r="B2600">
        <v>1525013423</v>
      </c>
      <c r="C2600" t="str">
        <f>T("[e북]헌터 킹 6권")</f>
        <v>[e북]헌터 킹 6권</v>
      </c>
      <c r="D2600" t="str">
        <f>T("6")</f>
        <v>6</v>
      </c>
      <c r="E2600" t="str">
        <f>T("백범(白帆)")</f>
        <v>백범(白帆)</v>
      </c>
      <c r="H2600" t="str">
        <f>T("에필로그")</f>
        <v>에필로그</v>
      </c>
      <c r="I2600" t="str">
        <f>T("[e북]헌터 킹")</f>
        <v>[e북]헌터 킹</v>
      </c>
      <c r="J2600">
        <v>2000</v>
      </c>
      <c r="K2600">
        <v>0</v>
      </c>
      <c r="L2600">
        <v>0</v>
      </c>
      <c r="M2600">
        <v>0</v>
      </c>
      <c r="N2600">
        <v>900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900</v>
      </c>
      <c r="AH2600">
        <v>1</v>
      </c>
      <c r="AI2600">
        <v>0</v>
      </c>
      <c r="AJ2600">
        <v>0</v>
      </c>
      <c r="AK2600">
        <v>900</v>
      </c>
      <c r="AL2600">
        <v>0</v>
      </c>
      <c r="AM2600">
        <v>0</v>
      </c>
      <c r="AN2600">
        <v>0</v>
      </c>
      <c r="AO2600">
        <v>0</v>
      </c>
      <c r="AQ2600">
        <v>0</v>
      </c>
      <c r="AR2600">
        <v>0</v>
      </c>
      <c r="AT2600">
        <v>0</v>
      </c>
      <c r="AU2600">
        <v>0</v>
      </c>
      <c r="AW2600">
        <v>0</v>
      </c>
      <c r="AX2600">
        <v>0</v>
      </c>
      <c r="AY2600">
        <v>630</v>
      </c>
      <c r="BA2600" t="str">
        <f>T("0000000000000")</f>
        <v>0000000000000</v>
      </c>
      <c r="BC2600" t="str">
        <f>T("9791164480210")</f>
        <v>9791164480210</v>
      </c>
      <c r="BE2600" t="str">
        <f>T("판타지 e북 &gt; 퓨전 판타지")</f>
        <v>판타지 e북 &gt; 퓨전 판타지</v>
      </c>
    </row>
    <row r="2601" spans="1:57" x14ac:dyDescent="0.3">
      <c r="A2601">
        <v>1525000022</v>
      </c>
      <c r="B2601">
        <v>1525000050</v>
      </c>
      <c r="C2601" t="str">
        <f>T("[e북]마계대공 연대기 28권")</f>
        <v>[e북]마계대공 연대기 28권</v>
      </c>
      <c r="D2601" t="str">
        <f>T("28")</f>
        <v>28</v>
      </c>
      <c r="E2601" t="str">
        <f>T("김광수")</f>
        <v>김광수</v>
      </c>
      <c r="H2601" t="str">
        <f>T("스토리위즈")</f>
        <v>스토리위즈</v>
      </c>
      <c r="I2601" t="str">
        <f>T("[e북]마계대공 연대기")</f>
        <v>[e북]마계대공 연대기</v>
      </c>
      <c r="J2601">
        <v>3200</v>
      </c>
      <c r="K2601">
        <v>0</v>
      </c>
      <c r="L2601">
        <v>0</v>
      </c>
      <c r="M2601">
        <v>0</v>
      </c>
      <c r="N2601">
        <v>1800</v>
      </c>
      <c r="O2601">
        <v>2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1800</v>
      </c>
      <c r="AH2601">
        <v>2</v>
      </c>
      <c r="AI2601">
        <v>0</v>
      </c>
      <c r="AJ2601">
        <v>0</v>
      </c>
      <c r="AK2601">
        <v>900</v>
      </c>
      <c r="AL2601">
        <v>0</v>
      </c>
      <c r="AM2601">
        <v>1080</v>
      </c>
      <c r="AN2601">
        <v>-108</v>
      </c>
      <c r="AO2601">
        <v>0</v>
      </c>
      <c r="AQ2601">
        <v>0</v>
      </c>
      <c r="AR2601">
        <v>0</v>
      </c>
      <c r="AS2601">
        <v>1080</v>
      </c>
      <c r="AT2601">
        <v>-108</v>
      </c>
      <c r="AU2601">
        <v>0</v>
      </c>
      <c r="AW2601">
        <v>0</v>
      </c>
      <c r="AX2601">
        <v>0</v>
      </c>
      <c r="AY2601">
        <v>1310.4000000000001</v>
      </c>
      <c r="BE2601" t="str">
        <f>T("판타지 e북 &gt; 퓨전 판타지")</f>
        <v>판타지 e북 &gt; 퓨전 판타지</v>
      </c>
    </row>
    <row r="2602" spans="1:57" x14ac:dyDescent="0.3">
      <c r="A2602">
        <v>1525004030</v>
      </c>
      <c r="B2602">
        <v>1525004041</v>
      </c>
      <c r="C2602" t="str">
        <f>T("회귀의 전설 12화")</f>
        <v>회귀의 전설 12화</v>
      </c>
      <c r="D2602" t="str">
        <f>T("12")</f>
        <v>12</v>
      </c>
      <c r="E2602" t="str">
        <f>T("김광수")</f>
        <v>김광수</v>
      </c>
      <c r="H2602" t="str">
        <f>T("스토리위즈")</f>
        <v>스토리위즈</v>
      </c>
      <c r="I2602" t="str">
        <f>T("회귀의 전설")</f>
        <v>회귀의 전설</v>
      </c>
      <c r="J2602">
        <v>0</v>
      </c>
      <c r="K2602">
        <v>0</v>
      </c>
      <c r="L2602">
        <v>0</v>
      </c>
      <c r="M2602">
        <v>8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8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Q2602">
        <v>0</v>
      </c>
      <c r="AR2602">
        <v>0</v>
      </c>
      <c r="AT2602">
        <v>0</v>
      </c>
      <c r="AU2602">
        <v>0</v>
      </c>
      <c r="AW2602">
        <v>0</v>
      </c>
      <c r="AX2602">
        <v>0</v>
      </c>
      <c r="AY2602">
        <v>0</v>
      </c>
      <c r="BC2602" t="str">
        <f>T("9788997946006")</f>
        <v>9788997946006</v>
      </c>
      <c r="BE2602" t="str">
        <f>T("판타지 웹소설 &gt; 현대 판타지")</f>
        <v>판타지 웹소설 &gt; 현대 판타지</v>
      </c>
    </row>
    <row r="2603" spans="1:57" x14ac:dyDescent="0.3">
      <c r="A2603">
        <v>1525012202</v>
      </c>
      <c r="B2603">
        <v>1525012185</v>
      </c>
      <c r="C2603" t="str">
        <f>T("이세계 최강 군바리 18화")</f>
        <v>이세계 최강 군바리 18화</v>
      </c>
      <c r="D2603" t="str">
        <f>T("18")</f>
        <v>18</v>
      </c>
      <c r="E2603" t="str">
        <f>T("협행마")</f>
        <v>협행마</v>
      </c>
      <c r="H2603" t="str">
        <f>T("에필로그")</f>
        <v>에필로그</v>
      </c>
      <c r="I2603" t="str">
        <f>T("이세계 최강 군바리")</f>
        <v>이세계 최강 군바리</v>
      </c>
      <c r="J2603">
        <v>0</v>
      </c>
      <c r="K2603">
        <v>0</v>
      </c>
      <c r="L2603">
        <v>0</v>
      </c>
      <c r="M2603">
        <v>1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1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Q2603">
        <v>0</v>
      </c>
      <c r="AR2603">
        <v>0</v>
      </c>
      <c r="AT2603">
        <v>0</v>
      </c>
      <c r="AU2603">
        <v>0</v>
      </c>
      <c r="AW2603">
        <v>0</v>
      </c>
      <c r="AX2603">
        <v>0</v>
      </c>
      <c r="AY2603">
        <v>0</v>
      </c>
      <c r="BC2603" t="str">
        <f>T("9791164480159")</f>
        <v>9791164480159</v>
      </c>
      <c r="BE2603" t="str">
        <f>T("판타지 웹소설 &gt; 퓨전 판타지")</f>
        <v>판타지 웹소설 &gt; 퓨전 판타지</v>
      </c>
    </row>
    <row r="2604" spans="1:57" x14ac:dyDescent="0.3">
      <c r="A2604">
        <v>1525014780</v>
      </c>
      <c r="B2604">
        <v>1525014781</v>
      </c>
      <c r="C2604" t="str">
        <f>T("크랭키 걸즈 2화")</f>
        <v>크랭키 걸즈 2화</v>
      </c>
      <c r="D2604" t="str">
        <f>T("2")</f>
        <v>2</v>
      </c>
      <c r="E2604" t="str">
        <f>T("곽도우")</f>
        <v>곽도우</v>
      </c>
      <c r="H2604" t="str">
        <f>T("스토리아크")</f>
        <v>스토리아크</v>
      </c>
      <c r="I2604" t="str">
        <f>T("크랭키 걸즈")</f>
        <v>크랭키 걸즈</v>
      </c>
      <c r="J2604">
        <v>0</v>
      </c>
      <c r="K2604">
        <v>0</v>
      </c>
      <c r="L2604">
        <v>0</v>
      </c>
      <c r="M2604">
        <v>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1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Q2604">
        <v>0</v>
      </c>
      <c r="AR2604">
        <v>0</v>
      </c>
      <c r="AT2604">
        <v>0</v>
      </c>
      <c r="AU2604">
        <v>0</v>
      </c>
      <c r="AW2604">
        <v>0</v>
      </c>
      <c r="AX2604">
        <v>0</v>
      </c>
      <c r="AY2604">
        <v>0</v>
      </c>
      <c r="BC2604" t="str">
        <f>T("9791191039139")</f>
        <v>9791191039139</v>
      </c>
      <c r="BE2604" t="str">
        <f>T("판타지 웹소설 &gt; 현대 판타지")</f>
        <v>판타지 웹소설 &gt; 현대 판타지</v>
      </c>
    </row>
    <row r="2605" spans="1:57" x14ac:dyDescent="0.3">
      <c r="A2605">
        <v>1525001499</v>
      </c>
      <c r="B2605">
        <v>1525001502</v>
      </c>
      <c r="C2605" t="str">
        <f>T("[e북]파계 4권")</f>
        <v>[e북]파계 4권</v>
      </c>
      <c r="D2605" t="str">
        <f>T("4")</f>
        <v>4</v>
      </c>
      <c r="E2605" t="str">
        <f>T("권용찬")</f>
        <v>권용찬</v>
      </c>
      <c r="H2605" t="str">
        <f>T("스토리위즈")</f>
        <v>스토리위즈</v>
      </c>
      <c r="I2605" t="str">
        <f>T("[e북]파계")</f>
        <v>[e북]파계</v>
      </c>
      <c r="J2605">
        <v>3200</v>
      </c>
      <c r="K2605">
        <v>0</v>
      </c>
      <c r="L2605">
        <v>0</v>
      </c>
      <c r="M2605">
        <v>0</v>
      </c>
      <c r="N2605">
        <v>900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900</v>
      </c>
      <c r="AH2605">
        <v>1</v>
      </c>
      <c r="AI2605">
        <v>0</v>
      </c>
      <c r="AJ2605">
        <v>0</v>
      </c>
      <c r="AK2605">
        <v>0</v>
      </c>
      <c r="AL2605">
        <v>0</v>
      </c>
      <c r="AM2605">
        <v>1080</v>
      </c>
      <c r="AN2605">
        <v>-108</v>
      </c>
      <c r="AO2605">
        <v>0</v>
      </c>
      <c r="AQ2605">
        <v>0</v>
      </c>
      <c r="AR2605">
        <v>0</v>
      </c>
      <c r="AS2605">
        <v>1080</v>
      </c>
      <c r="AT2605">
        <v>-108</v>
      </c>
      <c r="AU2605">
        <v>0</v>
      </c>
      <c r="AW2605">
        <v>0</v>
      </c>
      <c r="AX2605">
        <v>0</v>
      </c>
      <c r="AY2605">
        <v>680.4</v>
      </c>
      <c r="BC2605" t="str">
        <f>T("9791159282768")</f>
        <v>9791159282768</v>
      </c>
      <c r="BE2605" t="str">
        <f>T("판타지 e북 &gt; 신무협")</f>
        <v>판타지 e북 &gt; 신무협</v>
      </c>
    </row>
    <row r="2606" spans="1:57" x14ac:dyDescent="0.3">
      <c r="A2606">
        <v>1525002864</v>
      </c>
      <c r="B2606">
        <v>1525002866</v>
      </c>
      <c r="C2606" t="str">
        <f>T("소드마스터의 환생 3화")</f>
        <v>소드마스터의 환생 3화</v>
      </c>
      <c r="D2606" t="str">
        <f>T("3")</f>
        <v>3</v>
      </c>
      <c r="E2606" t="str">
        <f>T("파란영")</f>
        <v>파란영</v>
      </c>
      <c r="H2606" t="str">
        <f>T("스토리위즈")</f>
        <v>스토리위즈</v>
      </c>
      <c r="I2606" t="str">
        <f>T("소드마스터의 환생")</f>
        <v>소드마스터의 환생</v>
      </c>
      <c r="J2606">
        <v>0</v>
      </c>
      <c r="K2606">
        <v>0</v>
      </c>
      <c r="L2606">
        <v>0</v>
      </c>
      <c r="M2606">
        <v>3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3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Q2606">
        <v>0</v>
      </c>
      <c r="AR2606">
        <v>0</v>
      </c>
      <c r="AT2606">
        <v>0</v>
      </c>
      <c r="AU2606">
        <v>0</v>
      </c>
      <c r="AW2606">
        <v>0</v>
      </c>
      <c r="AX2606">
        <v>0</v>
      </c>
      <c r="AY2606">
        <v>0</v>
      </c>
      <c r="BC2606" t="str">
        <f>T("9791159287527")</f>
        <v>9791159287527</v>
      </c>
      <c r="BE2606" t="str">
        <f>T("판타지 웹소설 &gt; 정통 판타지")</f>
        <v>판타지 웹소설 &gt; 정통 판타지</v>
      </c>
    </row>
    <row r="2607" spans="1:57" x14ac:dyDescent="0.3">
      <c r="A2607">
        <v>1525001116</v>
      </c>
      <c r="B2607">
        <v>1525001116</v>
      </c>
      <c r="C2607" t="str">
        <f>T("개정판 | 영웅 1화")</f>
        <v>개정판 | 영웅 1화</v>
      </c>
      <c r="D2607" t="str">
        <f>T("1")</f>
        <v>1</v>
      </c>
      <c r="E2607" t="str">
        <f>T("김광수")</f>
        <v>김광수</v>
      </c>
      <c r="H2607" t="str">
        <f>T("스토리위즈")</f>
        <v>스토리위즈</v>
      </c>
      <c r="I2607" t="str">
        <f>T("개정판 | 영웅")</f>
        <v>개정판 | 영웅</v>
      </c>
      <c r="J2607">
        <v>0</v>
      </c>
      <c r="K2607">
        <v>0</v>
      </c>
      <c r="L2607">
        <v>0</v>
      </c>
      <c r="M2607">
        <v>2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2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Q2607">
        <v>0</v>
      </c>
      <c r="AR2607">
        <v>0</v>
      </c>
      <c r="AT2607">
        <v>0</v>
      </c>
      <c r="AU2607">
        <v>0</v>
      </c>
      <c r="AW2607">
        <v>0</v>
      </c>
      <c r="AX2607">
        <v>0</v>
      </c>
      <c r="AY2607">
        <v>0</v>
      </c>
      <c r="BA2607" t="str">
        <f>T("9791159282829")</f>
        <v>9791159282829</v>
      </c>
      <c r="BC2607" t="str">
        <f>T("9791159282829")</f>
        <v>9791159282829</v>
      </c>
      <c r="BE2607" t="str">
        <f>T("판타지 웹소설 &gt; 무협 소설")</f>
        <v>판타지 웹소설 &gt; 무협 소설</v>
      </c>
    </row>
    <row r="2608" spans="1:57" x14ac:dyDescent="0.3">
      <c r="A2608">
        <v>1525001924</v>
      </c>
      <c r="B2608">
        <v>1525001924</v>
      </c>
      <c r="C2608" t="str">
        <f>T("[e북]신마협도 1권")</f>
        <v>[e북]신마협도 1권</v>
      </c>
      <c r="D2608" t="str">
        <f>T("1")</f>
        <v>1</v>
      </c>
      <c r="E2608" t="str">
        <f>T("권용찬")</f>
        <v>권용찬</v>
      </c>
      <c r="H2608" t="str">
        <f>T("스토리위즈")</f>
        <v>스토리위즈</v>
      </c>
      <c r="I2608" t="str">
        <f>T("[e북]신마협도")</f>
        <v>[e북]신마협도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6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6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Q2608">
        <v>0</v>
      </c>
      <c r="AR2608">
        <v>0</v>
      </c>
      <c r="AT2608">
        <v>0</v>
      </c>
      <c r="AU2608">
        <v>0</v>
      </c>
      <c r="AW2608">
        <v>0</v>
      </c>
      <c r="AX2608">
        <v>0</v>
      </c>
      <c r="AY2608">
        <v>0</v>
      </c>
      <c r="BC2608" t="str">
        <f>T("9791159283079")</f>
        <v>9791159283079</v>
      </c>
      <c r="BE2608" t="str">
        <f>T("판타지 e북 &gt; 신무협")</f>
        <v>판타지 e북 &gt; 신무협</v>
      </c>
    </row>
    <row r="2609" spans="1:57" x14ac:dyDescent="0.3">
      <c r="A2609">
        <v>1525010579</v>
      </c>
      <c r="B2609">
        <v>1525010573</v>
      </c>
      <c r="C2609" t="str">
        <f>T("법보다 주먹 5화")</f>
        <v>법보다 주먹 5화</v>
      </c>
      <c r="D2609" t="str">
        <f>T("5")</f>
        <v>5</v>
      </c>
      <c r="E2609" t="str">
        <f>T("백범(白帆)")</f>
        <v>백범(白帆)</v>
      </c>
      <c r="H2609" t="str">
        <f>T("에필로그")</f>
        <v>에필로그</v>
      </c>
      <c r="I2609" t="str">
        <f>T("법보다 주먹")</f>
        <v>법보다 주먹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1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Q2609">
        <v>0</v>
      </c>
      <c r="AR2609">
        <v>0</v>
      </c>
      <c r="AT2609">
        <v>0</v>
      </c>
      <c r="AU2609">
        <v>0</v>
      </c>
      <c r="AW2609">
        <v>0</v>
      </c>
      <c r="AX2609">
        <v>0</v>
      </c>
      <c r="AY2609">
        <v>0</v>
      </c>
      <c r="BC2609" t="str">
        <f>T("9791164489367")</f>
        <v>9791164489367</v>
      </c>
      <c r="BE2609" t="str">
        <f>T("판타지 웹소설 &gt; 현대 판타지")</f>
        <v>판타지 웹소설 &gt; 현대 판타지</v>
      </c>
    </row>
    <row r="2610" spans="1:57" x14ac:dyDescent="0.3">
      <c r="A2610">
        <v>1525013020</v>
      </c>
      <c r="B2610">
        <v>1525013034</v>
      </c>
      <c r="C2610" t="str">
        <f>T("악당의 리턴 15화")</f>
        <v>악당의 리턴 15화</v>
      </c>
      <c r="D2610" t="str">
        <f>T("15")</f>
        <v>15</v>
      </c>
      <c r="E2610" t="str">
        <f>T("백범(白帆)")</f>
        <v>백범(白帆)</v>
      </c>
      <c r="H2610" t="str">
        <f>T("에필로그")</f>
        <v>에필로그</v>
      </c>
      <c r="I2610" t="str">
        <f>T("악당의 리턴")</f>
        <v>악당의 리턴</v>
      </c>
      <c r="J2610">
        <v>0</v>
      </c>
      <c r="K2610">
        <v>0</v>
      </c>
      <c r="L2610">
        <v>0</v>
      </c>
      <c r="M2610">
        <v>6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6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Q2610">
        <v>0</v>
      </c>
      <c r="AR2610">
        <v>0</v>
      </c>
      <c r="AT2610">
        <v>0</v>
      </c>
      <c r="AU2610">
        <v>0</v>
      </c>
      <c r="AW2610">
        <v>0</v>
      </c>
      <c r="AX2610">
        <v>0</v>
      </c>
      <c r="AY2610">
        <v>0</v>
      </c>
      <c r="BC2610" t="str">
        <f>T("9791196538927")</f>
        <v>9791196538927</v>
      </c>
      <c r="BE2610" t="str">
        <f>T("판타지 웹소설 &gt; 현대 판타지")</f>
        <v>판타지 웹소설 &gt; 현대 판타지</v>
      </c>
    </row>
    <row r="2611" spans="1:57" x14ac:dyDescent="0.3">
      <c r="A2611">
        <v>1525013020</v>
      </c>
      <c r="B2611">
        <v>1525013023</v>
      </c>
      <c r="C2611" t="str">
        <f>T("악당의 리턴 4화")</f>
        <v>악당의 리턴 4화</v>
      </c>
      <c r="D2611" t="str">
        <f>T("4")</f>
        <v>4</v>
      </c>
      <c r="E2611" t="str">
        <f>T("백범(白帆)")</f>
        <v>백범(白帆)</v>
      </c>
      <c r="H2611" t="str">
        <f>T("에필로그")</f>
        <v>에필로그</v>
      </c>
      <c r="I2611" t="str">
        <f>T("악당의 리턴")</f>
        <v>악당의 리턴</v>
      </c>
      <c r="J2611">
        <v>0</v>
      </c>
      <c r="K2611">
        <v>0</v>
      </c>
      <c r="L2611">
        <v>0</v>
      </c>
      <c r="M2611">
        <v>8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8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Q2611">
        <v>0</v>
      </c>
      <c r="AR2611">
        <v>0</v>
      </c>
      <c r="AT2611">
        <v>0</v>
      </c>
      <c r="AU2611">
        <v>0</v>
      </c>
      <c r="AW2611">
        <v>0</v>
      </c>
      <c r="AX2611">
        <v>0</v>
      </c>
      <c r="AY2611">
        <v>0</v>
      </c>
      <c r="BC2611" t="str">
        <f>T("9791196538927")</f>
        <v>9791196538927</v>
      </c>
      <c r="BE2611" t="str">
        <f>T("판타지 웹소설 &gt; 현대 판타지")</f>
        <v>판타지 웹소설 &gt; 현대 판타지</v>
      </c>
    </row>
    <row r="2612" spans="1:57" x14ac:dyDescent="0.3">
      <c r="A2612">
        <v>1525000411</v>
      </c>
      <c r="B2612">
        <v>1525000424</v>
      </c>
      <c r="C2612" t="str">
        <f>T("레이드 만물상점 14화")</f>
        <v>레이드 만물상점 14화</v>
      </c>
      <c r="D2612" t="str">
        <f>T("14")</f>
        <v>14</v>
      </c>
      <c r="E2612" t="str">
        <f>T("전혁")</f>
        <v>전혁</v>
      </c>
      <c r="H2612" t="str">
        <f>T("스토리위즈")</f>
        <v>스토리위즈</v>
      </c>
      <c r="I2612" t="str">
        <f>T("레이드 만물상점")</f>
        <v>레이드 만물상점</v>
      </c>
      <c r="J2612">
        <v>0</v>
      </c>
      <c r="K2612">
        <v>0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1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Q2612">
        <v>0</v>
      </c>
      <c r="AR2612">
        <v>0</v>
      </c>
      <c r="AT2612">
        <v>0</v>
      </c>
      <c r="AU2612">
        <v>0</v>
      </c>
      <c r="AW2612">
        <v>0</v>
      </c>
      <c r="AX2612">
        <v>0</v>
      </c>
      <c r="AY2612">
        <v>0</v>
      </c>
      <c r="BC2612" t="str">
        <f>T("9791170151432")</f>
        <v>9791170151432</v>
      </c>
      <c r="BE2612" t="str">
        <f>T("판타지 웹소설 &gt; 현대 판타지")</f>
        <v>판타지 웹소설 &gt; 현대 판타지</v>
      </c>
    </row>
    <row r="2613" spans="1:57" x14ac:dyDescent="0.3">
      <c r="A2613">
        <v>1525013320</v>
      </c>
      <c r="B2613">
        <v>1525013320</v>
      </c>
      <c r="C2613" t="str">
        <f>T("[e북]악당의 리턴 1권")</f>
        <v>[e북]악당의 리턴 1권</v>
      </c>
      <c r="D2613" t="str">
        <f>T("1")</f>
        <v>1</v>
      </c>
      <c r="E2613" t="str">
        <f>T("백범(白帆)")</f>
        <v>백범(白帆)</v>
      </c>
      <c r="H2613" t="str">
        <f>T("에필로그")</f>
        <v>에필로그</v>
      </c>
      <c r="I2613" t="str">
        <f>T("[e북]악당의 리턴")</f>
        <v>[e북]악당의 리턴</v>
      </c>
      <c r="J2613">
        <v>0</v>
      </c>
      <c r="K2613">
        <v>0</v>
      </c>
      <c r="L2613">
        <v>0</v>
      </c>
      <c r="M2613">
        <v>5</v>
      </c>
      <c r="N2613">
        <v>0</v>
      </c>
      <c r="O2613">
        <v>0</v>
      </c>
      <c r="P2613">
        <v>2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7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Q2613">
        <v>0</v>
      </c>
      <c r="AR2613">
        <v>0</v>
      </c>
      <c r="AT2613">
        <v>0</v>
      </c>
      <c r="AU2613">
        <v>0</v>
      </c>
      <c r="AW2613">
        <v>0</v>
      </c>
      <c r="AX2613">
        <v>0</v>
      </c>
      <c r="AY2613">
        <v>0</v>
      </c>
      <c r="BC2613" t="str">
        <f>T("9791164482856")</f>
        <v>9791164482856</v>
      </c>
      <c r="BE2613" t="str">
        <f>T("판타지 e북 &gt; 현대 판타지")</f>
        <v>판타지 e북 &gt; 현대 판타지</v>
      </c>
    </row>
    <row r="2614" spans="1:57" x14ac:dyDescent="0.3">
      <c r="A2614">
        <v>1525010944</v>
      </c>
      <c r="B2614">
        <v>1525010924</v>
      </c>
      <c r="C2614" t="str">
        <f>T("[e북]법보다 주먹 21권")</f>
        <v>[e북]법보다 주먹 21권</v>
      </c>
      <c r="D2614" t="str">
        <f>T("21")</f>
        <v>21</v>
      </c>
      <c r="E2614" t="str">
        <f>T("백범(白帆)")</f>
        <v>백범(白帆)</v>
      </c>
      <c r="H2614" t="str">
        <f>T("에필로그")</f>
        <v>에필로그</v>
      </c>
      <c r="I2614" t="str">
        <f>T("[e북]법보다 주먹")</f>
        <v>[e북]법보다 주먹</v>
      </c>
      <c r="J2614">
        <v>2000</v>
      </c>
      <c r="K2614">
        <v>0</v>
      </c>
      <c r="L2614">
        <v>0</v>
      </c>
      <c r="M2614">
        <v>0</v>
      </c>
      <c r="N2614">
        <v>900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900</v>
      </c>
      <c r="AH2614">
        <v>1</v>
      </c>
      <c r="AI2614">
        <v>0</v>
      </c>
      <c r="AJ2614">
        <v>0</v>
      </c>
      <c r="AK2614">
        <v>900</v>
      </c>
      <c r="AL2614">
        <v>0</v>
      </c>
      <c r="AM2614">
        <v>0</v>
      </c>
      <c r="AN2614">
        <v>0</v>
      </c>
      <c r="AO2614">
        <v>0</v>
      </c>
      <c r="AQ2614">
        <v>0</v>
      </c>
      <c r="AR2614">
        <v>0</v>
      </c>
      <c r="AT2614">
        <v>0</v>
      </c>
      <c r="AU2614">
        <v>0</v>
      </c>
      <c r="AW2614">
        <v>0</v>
      </c>
      <c r="AX2614">
        <v>0</v>
      </c>
      <c r="AY2614">
        <v>630</v>
      </c>
      <c r="BC2614" t="str">
        <f>T("9791164480142")</f>
        <v>9791164480142</v>
      </c>
      <c r="BE2614" t="str">
        <f>T("판타지 e북 &gt; 현대 판타지")</f>
        <v>판타지 e북 &gt; 현대 판타지</v>
      </c>
    </row>
    <row r="2615" spans="1:57" x14ac:dyDescent="0.3">
      <c r="A2615">
        <v>1525010579</v>
      </c>
      <c r="B2615">
        <v>1525010553</v>
      </c>
      <c r="C2615" t="str">
        <f>T("법보다 주먹 25화")</f>
        <v>법보다 주먹 25화</v>
      </c>
      <c r="D2615" t="str">
        <f>T("25")</f>
        <v>25</v>
      </c>
      <c r="E2615" t="str">
        <f>T("백범(白帆)")</f>
        <v>백범(白帆)</v>
      </c>
      <c r="H2615" t="str">
        <f>T("에필로그")</f>
        <v>에필로그</v>
      </c>
      <c r="I2615" t="str">
        <f>T("법보다 주먹")</f>
        <v>법보다 주먹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1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Q2615">
        <v>0</v>
      </c>
      <c r="AR2615">
        <v>0</v>
      </c>
      <c r="AT2615">
        <v>0</v>
      </c>
      <c r="AU2615">
        <v>0</v>
      </c>
      <c r="AW2615">
        <v>0</v>
      </c>
      <c r="AX2615">
        <v>0</v>
      </c>
      <c r="AY2615">
        <v>0</v>
      </c>
      <c r="BC2615" t="str">
        <f>T("9791164489367")</f>
        <v>9791164489367</v>
      </c>
      <c r="BE2615" t="str">
        <f>T("판타지 웹소설 &gt; 현대 판타지")</f>
        <v>판타지 웹소설 &gt; 현대 판타지</v>
      </c>
    </row>
    <row r="2616" spans="1:57" x14ac:dyDescent="0.3">
      <c r="A2616">
        <v>1525000199</v>
      </c>
      <c r="B2616">
        <v>1525000203</v>
      </c>
      <c r="C2616" t="str">
        <f>T("[e북]화산지애 5권")</f>
        <v>[e북]화산지애 5권</v>
      </c>
      <c r="D2616" t="str">
        <f>T("5")</f>
        <v>5</v>
      </c>
      <c r="E2616" t="str">
        <f>T("김광수")</f>
        <v>김광수</v>
      </c>
      <c r="H2616" t="str">
        <f>T("스토리위즈")</f>
        <v>스토리위즈</v>
      </c>
      <c r="I2616" t="str">
        <f>T("[e북]화산지애")</f>
        <v>[e북]화산지애</v>
      </c>
      <c r="J2616">
        <v>3200</v>
      </c>
      <c r="K2616">
        <v>0</v>
      </c>
      <c r="L2616">
        <v>0</v>
      </c>
      <c r="M2616">
        <v>0</v>
      </c>
      <c r="N2616">
        <v>900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900</v>
      </c>
      <c r="AH2616">
        <v>1</v>
      </c>
      <c r="AI2616">
        <v>0</v>
      </c>
      <c r="AJ2616">
        <v>0</v>
      </c>
      <c r="AK2616">
        <v>900</v>
      </c>
      <c r="AL2616">
        <v>0</v>
      </c>
      <c r="AM2616">
        <v>0</v>
      </c>
      <c r="AN2616">
        <v>0</v>
      </c>
      <c r="AO2616">
        <v>0</v>
      </c>
      <c r="AQ2616">
        <v>0</v>
      </c>
      <c r="AR2616">
        <v>0</v>
      </c>
      <c r="AT2616">
        <v>0</v>
      </c>
      <c r="AU2616">
        <v>0</v>
      </c>
      <c r="AW2616">
        <v>0</v>
      </c>
      <c r="AX2616">
        <v>0</v>
      </c>
      <c r="AY2616">
        <v>630</v>
      </c>
      <c r="BE2616" t="str">
        <f>T("판타지 e북 &gt; 신무협")</f>
        <v>판타지 e북 &gt; 신무협</v>
      </c>
    </row>
    <row r="2617" spans="1:57" x14ac:dyDescent="0.3">
      <c r="A2617">
        <v>1525000924</v>
      </c>
      <c r="B2617">
        <v>1525000924</v>
      </c>
      <c r="C2617" t="str">
        <f>T("스피릿 소드 1화")</f>
        <v>스피릿 소드 1화</v>
      </c>
      <c r="D2617" t="str">
        <f>T("1")</f>
        <v>1</v>
      </c>
      <c r="E2617" t="str">
        <f>T("김정률")</f>
        <v>김정률</v>
      </c>
      <c r="H2617" t="str">
        <f>T("스토리위즈")</f>
        <v>스토리위즈</v>
      </c>
      <c r="I2617" t="str">
        <f>T("스피릿 소드")</f>
        <v>스피릿 소드</v>
      </c>
      <c r="J2617">
        <v>0</v>
      </c>
      <c r="K2617">
        <v>0</v>
      </c>
      <c r="L2617">
        <v>0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1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Q2617">
        <v>0</v>
      </c>
      <c r="AR2617">
        <v>0</v>
      </c>
      <c r="AT2617">
        <v>0</v>
      </c>
      <c r="AU2617">
        <v>0</v>
      </c>
      <c r="AW2617">
        <v>0</v>
      </c>
      <c r="AX2617">
        <v>0</v>
      </c>
      <c r="AY2617">
        <v>0</v>
      </c>
      <c r="BA2617" t="str">
        <f>T("9791159282713")</f>
        <v>9791159282713</v>
      </c>
      <c r="BC2617" t="str">
        <f>T("9791159282713")</f>
        <v>9791159282713</v>
      </c>
      <c r="BE2617" t="str">
        <f>T("판타지 웹소설 &gt; 정통 판타지")</f>
        <v>판타지 웹소설 &gt; 정통 판타지</v>
      </c>
    </row>
    <row r="2618" spans="1:57" x14ac:dyDescent="0.3">
      <c r="A2618">
        <v>1525012202</v>
      </c>
      <c r="B2618">
        <v>1525012199</v>
      </c>
      <c r="C2618" t="str">
        <f>T("이세계 최강 군바리 4화")</f>
        <v>이세계 최강 군바리 4화</v>
      </c>
      <c r="D2618" t="str">
        <f>T("4")</f>
        <v>4</v>
      </c>
      <c r="E2618" t="str">
        <f>T("협행마")</f>
        <v>협행마</v>
      </c>
      <c r="H2618" t="str">
        <f>T("에필로그")</f>
        <v>에필로그</v>
      </c>
      <c r="I2618" t="str">
        <f>T("이세계 최강 군바리")</f>
        <v>이세계 최강 군바리</v>
      </c>
      <c r="J2618">
        <v>0</v>
      </c>
      <c r="K2618">
        <v>0</v>
      </c>
      <c r="L2618">
        <v>0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1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Q2618">
        <v>0</v>
      </c>
      <c r="AR2618">
        <v>0</v>
      </c>
      <c r="AT2618">
        <v>0</v>
      </c>
      <c r="AU2618">
        <v>0</v>
      </c>
      <c r="AW2618">
        <v>0</v>
      </c>
      <c r="AX2618">
        <v>0</v>
      </c>
      <c r="AY2618">
        <v>0</v>
      </c>
      <c r="BC2618" t="str">
        <f>T("9791164480159")</f>
        <v>9791164480159</v>
      </c>
      <c r="BE2618" t="str">
        <f>T("판타지 웹소설 &gt; 퓨전 판타지")</f>
        <v>판타지 웹소설 &gt; 퓨전 판타지</v>
      </c>
    </row>
    <row r="2619" spans="1:57" x14ac:dyDescent="0.3">
      <c r="A2619">
        <v>1525000569</v>
      </c>
      <c r="B2619">
        <v>1525000589</v>
      </c>
      <c r="C2619" t="str">
        <f>T("스트라이커 21화")</f>
        <v>스트라이커 21화</v>
      </c>
      <c r="D2619" t="str">
        <f>T("21")</f>
        <v>21</v>
      </c>
      <c r="E2619" t="str">
        <f>T("독고진")</f>
        <v>독고진</v>
      </c>
      <c r="H2619" t="str">
        <f>T("스토리위즈")</f>
        <v>스토리위즈</v>
      </c>
      <c r="I2619" t="str">
        <f>T("스트라이커")</f>
        <v>스트라이커</v>
      </c>
      <c r="J2619">
        <v>0</v>
      </c>
      <c r="K2619">
        <v>0</v>
      </c>
      <c r="L2619">
        <v>0</v>
      </c>
      <c r="M2619">
        <v>2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2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Q2619">
        <v>0</v>
      </c>
      <c r="AR2619">
        <v>0</v>
      </c>
      <c r="AT2619">
        <v>0</v>
      </c>
      <c r="AU2619">
        <v>0</v>
      </c>
      <c r="AW2619">
        <v>0</v>
      </c>
      <c r="AX2619">
        <v>0</v>
      </c>
      <c r="AY2619">
        <v>0</v>
      </c>
      <c r="BC2619" t="str">
        <f>T("9791170151678")</f>
        <v>9791170151678</v>
      </c>
      <c r="BE2619" t="str">
        <f>T("판타지 웹소설 &gt; 현대 판타지")</f>
        <v>판타지 웹소설 &gt; 현대 판타지</v>
      </c>
    </row>
    <row r="2620" spans="1:57" x14ac:dyDescent="0.3">
      <c r="A2620">
        <v>1525013368</v>
      </c>
      <c r="B2620">
        <v>1525013373</v>
      </c>
      <c r="C2620" t="str">
        <f>T("[e북]기획에 산다 5권")</f>
        <v>[e북]기획에 산다 5권</v>
      </c>
      <c r="D2620" t="str">
        <f>T("5")</f>
        <v>5</v>
      </c>
      <c r="E2620" t="str">
        <f>T("백범(白帆)")</f>
        <v>백범(白帆)</v>
      </c>
      <c r="H2620" t="str">
        <f>T("에필로그")</f>
        <v>에필로그</v>
      </c>
      <c r="I2620" t="str">
        <f>T("[e북]기획에 산다")</f>
        <v>[e북]기획에 산다</v>
      </c>
      <c r="J2620">
        <v>2000</v>
      </c>
      <c r="K2620">
        <v>0</v>
      </c>
      <c r="L2620">
        <v>0</v>
      </c>
      <c r="M2620">
        <v>0</v>
      </c>
      <c r="N2620">
        <v>900</v>
      </c>
      <c r="O2620">
        <v>1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900</v>
      </c>
      <c r="AH2620">
        <v>1</v>
      </c>
      <c r="AI2620">
        <v>0</v>
      </c>
      <c r="AJ2620">
        <v>0</v>
      </c>
      <c r="AK2620">
        <v>900</v>
      </c>
      <c r="AL2620">
        <v>0</v>
      </c>
      <c r="AM2620">
        <v>0</v>
      </c>
      <c r="AN2620">
        <v>0</v>
      </c>
      <c r="AO2620">
        <v>0</v>
      </c>
      <c r="AQ2620">
        <v>0</v>
      </c>
      <c r="AR2620">
        <v>0</v>
      </c>
      <c r="AT2620">
        <v>0</v>
      </c>
      <c r="AU2620">
        <v>0</v>
      </c>
      <c r="AW2620">
        <v>0</v>
      </c>
      <c r="AX2620">
        <v>0</v>
      </c>
      <c r="AY2620">
        <v>630</v>
      </c>
      <c r="BC2620" t="str">
        <f>T("9791189867546")</f>
        <v>9791189867546</v>
      </c>
      <c r="BE2620" t="str">
        <f>T("판타지 e북 &gt; 현대 판타지")</f>
        <v>판타지 e북 &gt; 현대 판타지</v>
      </c>
    </row>
    <row r="2621" spans="1:57" x14ac:dyDescent="0.3">
      <c r="A2621">
        <v>1525000022</v>
      </c>
      <c r="B2621">
        <v>1525000039</v>
      </c>
      <c r="C2621" t="str">
        <f>T("[e북]마계대공 연대기 17권")</f>
        <v>[e북]마계대공 연대기 17권</v>
      </c>
      <c r="D2621" t="str">
        <f>T("17")</f>
        <v>17</v>
      </c>
      <c r="E2621" t="str">
        <f>T("김광수")</f>
        <v>김광수</v>
      </c>
      <c r="H2621" t="str">
        <f>T("스토리위즈")</f>
        <v>스토리위즈</v>
      </c>
      <c r="I2621" t="str">
        <f>T("[e북]마계대공 연대기")</f>
        <v>[e북]마계대공 연대기</v>
      </c>
      <c r="J2621">
        <v>3200</v>
      </c>
      <c r="K2621">
        <v>0</v>
      </c>
      <c r="L2621">
        <v>0</v>
      </c>
      <c r="M2621">
        <v>0</v>
      </c>
      <c r="N2621">
        <v>1800</v>
      </c>
      <c r="O2621">
        <v>2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1800</v>
      </c>
      <c r="AH2621">
        <v>2</v>
      </c>
      <c r="AI2621">
        <v>0</v>
      </c>
      <c r="AJ2621">
        <v>0</v>
      </c>
      <c r="AK2621">
        <v>900</v>
      </c>
      <c r="AL2621">
        <v>0</v>
      </c>
      <c r="AM2621">
        <v>1080</v>
      </c>
      <c r="AN2621">
        <v>-108</v>
      </c>
      <c r="AO2621">
        <v>0</v>
      </c>
      <c r="AQ2621">
        <v>0</v>
      </c>
      <c r="AR2621">
        <v>0</v>
      </c>
      <c r="AS2621">
        <v>1080</v>
      </c>
      <c r="AT2621">
        <v>-108</v>
      </c>
      <c r="AU2621">
        <v>0</v>
      </c>
      <c r="AW2621">
        <v>0</v>
      </c>
      <c r="AX2621">
        <v>0</v>
      </c>
      <c r="AY2621">
        <v>1310.4000000000001</v>
      </c>
      <c r="BE2621" t="str">
        <f>T("판타지 e북 &gt; 퓨전 판타지")</f>
        <v>판타지 e북 &gt; 퓨전 판타지</v>
      </c>
    </row>
    <row r="2622" spans="1:57" x14ac:dyDescent="0.3">
      <c r="A2622">
        <v>1525004988</v>
      </c>
      <c r="B2622">
        <v>1525005308</v>
      </c>
      <c r="C2622" t="str">
        <f>T("용무쌍 21화")</f>
        <v>용무쌍 21화</v>
      </c>
      <c r="D2622" t="str">
        <f>T("21")</f>
        <v>21</v>
      </c>
      <c r="E2622" t="str">
        <f>T("권용찬")</f>
        <v>권용찬</v>
      </c>
      <c r="H2622" t="str">
        <f>T("스토리위즈")</f>
        <v>스토리위즈</v>
      </c>
      <c r="I2622" t="str">
        <f>T("용무쌍")</f>
        <v>용무쌍</v>
      </c>
      <c r="J2622">
        <v>0</v>
      </c>
      <c r="K2622">
        <v>0</v>
      </c>
      <c r="L2622">
        <v>0</v>
      </c>
      <c r="M2622">
        <v>2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2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Q2622">
        <v>0</v>
      </c>
      <c r="AR2622">
        <v>0</v>
      </c>
      <c r="AT2622">
        <v>0</v>
      </c>
      <c r="AU2622">
        <v>0</v>
      </c>
      <c r="AW2622">
        <v>0</v>
      </c>
      <c r="AX2622">
        <v>0</v>
      </c>
      <c r="AY2622">
        <v>0</v>
      </c>
      <c r="BC2622" t="str">
        <f>T("9791159284861")</f>
        <v>9791159284861</v>
      </c>
      <c r="BE2622" t="str">
        <f>T("판타지 웹소설 &gt; 무협 소설")</f>
        <v>판타지 웹소설 &gt; 무협 소설</v>
      </c>
    </row>
    <row r="2623" spans="1:57" x14ac:dyDescent="0.3">
      <c r="A2623">
        <v>1525004030</v>
      </c>
      <c r="B2623">
        <v>1525004030</v>
      </c>
      <c r="C2623" t="str">
        <f>T("회귀의 전설 1화")</f>
        <v>회귀의 전설 1화</v>
      </c>
      <c r="D2623" t="str">
        <f>T("1")</f>
        <v>1</v>
      </c>
      <c r="E2623" t="str">
        <f>T("김광수")</f>
        <v>김광수</v>
      </c>
      <c r="H2623" t="str">
        <f>T("스토리위즈")</f>
        <v>스토리위즈</v>
      </c>
      <c r="I2623" t="str">
        <f>T("회귀의 전설")</f>
        <v>회귀의 전설</v>
      </c>
      <c r="J2623">
        <v>0</v>
      </c>
      <c r="K2623">
        <v>0</v>
      </c>
      <c r="L2623">
        <v>0</v>
      </c>
      <c r="M2623">
        <v>5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5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Q2623">
        <v>0</v>
      </c>
      <c r="AR2623">
        <v>0</v>
      </c>
      <c r="AT2623">
        <v>0</v>
      </c>
      <c r="AU2623">
        <v>0</v>
      </c>
      <c r="AW2623">
        <v>0</v>
      </c>
      <c r="AX2623">
        <v>0</v>
      </c>
      <c r="AY2623">
        <v>0</v>
      </c>
      <c r="BC2623" t="str">
        <f>T("9788997946006")</f>
        <v>9788997946006</v>
      </c>
      <c r="BE2623" t="str">
        <f>T("판타지 웹소설 &gt; 현대 판타지")</f>
        <v>판타지 웹소설 &gt; 현대 판타지</v>
      </c>
    </row>
    <row r="2624" spans="1:57" x14ac:dyDescent="0.3">
      <c r="A2624">
        <v>1525012005</v>
      </c>
      <c r="B2624">
        <v>1525012000</v>
      </c>
      <c r="C2624" t="str">
        <f>T("[e북]남궁세가 건달공자 6권")</f>
        <v>[e북]남궁세가 건달공자 6권</v>
      </c>
      <c r="D2624" t="str">
        <f>T("6")</f>
        <v>6</v>
      </c>
      <c r="E2624" t="str">
        <f>T("협행마")</f>
        <v>협행마</v>
      </c>
      <c r="H2624" t="str">
        <f>T("에필로그")</f>
        <v>에필로그</v>
      </c>
      <c r="I2624" t="str">
        <f>T("[e북]남궁세가 건달공자")</f>
        <v>[e북]남궁세가 건달공자</v>
      </c>
      <c r="J2624">
        <v>2500</v>
      </c>
      <c r="K2624">
        <v>0</v>
      </c>
      <c r="L2624">
        <v>0</v>
      </c>
      <c r="M2624">
        <v>0</v>
      </c>
      <c r="N2624">
        <v>900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900</v>
      </c>
      <c r="AH2624">
        <v>1</v>
      </c>
      <c r="AI2624">
        <v>0</v>
      </c>
      <c r="AJ2624">
        <v>0</v>
      </c>
      <c r="AK2624">
        <v>900</v>
      </c>
      <c r="AL2624">
        <v>0</v>
      </c>
      <c r="AM2624">
        <v>0</v>
      </c>
      <c r="AN2624">
        <v>0</v>
      </c>
      <c r="AO2624">
        <v>0</v>
      </c>
      <c r="AQ2624">
        <v>0</v>
      </c>
      <c r="AR2624">
        <v>0</v>
      </c>
      <c r="AT2624">
        <v>0</v>
      </c>
      <c r="AU2624">
        <v>0</v>
      </c>
      <c r="AW2624">
        <v>0</v>
      </c>
      <c r="AX2624">
        <v>0</v>
      </c>
      <c r="AY2624">
        <v>630</v>
      </c>
      <c r="BC2624" t="str">
        <f>T("9791164481606")</f>
        <v>9791164481606</v>
      </c>
      <c r="BE2624" t="str">
        <f>T("판타지 e북 &gt; 신무협")</f>
        <v>판타지 e북 &gt; 신무협</v>
      </c>
    </row>
    <row r="2625" spans="1:57" x14ac:dyDescent="0.3">
      <c r="A2625">
        <v>1525012551</v>
      </c>
      <c r="B2625">
        <v>1525012567</v>
      </c>
      <c r="C2625" t="str">
        <f>T("개정판 | 바보가 만드는 멋진 세상 17화")</f>
        <v>개정판 | 바보가 만드는 멋진 세상 17화</v>
      </c>
      <c r="D2625" t="str">
        <f>T("17")</f>
        <v>17</v>
      </c>
      <c r="E2625" t="str">
        <f>T("백범(白帆)")</f>
        <v>백범(白帆)</v>
      </c>
      <c r="H2625" t="str">
        <f>T("에필로그")</f>
        <v>에필로그</v>
      </c>
      <c r="I2625" t="str">
        <f>T("개정판 | 바보가 만드는 멋진 세상")</f>
        <v>개정판 | 바보가 만드는 멋진 세상</v>
      </c>
      <c r="J2625">
        <v>0</v>
      </c>
      <c r="K2625">
        <v>0</v>
      </c>
      <c r="L2625">
        <v>0</v>
      </c>
      <c r="M2625">
        <v>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1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Q2625">
        <v>0</v>
      </c>
      <c r="AR2625">
        <v>0</v>
      </c>
      <c r="AT2625">
        <v>0</v>
      </c>
      <c r="AU2625">
        <v>0</v>
      </c>
      <c r="AW2625">
        <v>0</v>
      </c>
      <c r="AX2625">
        <v>0</v>
      </c>
      <c r="AY2625">
        <v>0</v>
      </c>
      <c r="BC2625" t="str">
        <f>T("9791166003493")</f>
        <v>9791166003493</v>
      </c>
      <c r="BE2625" t="str">
        <f>T("판타지 웹소설 &gt; 현대 판타지")</f>
        <v>판타지 웹소설 &gt; 현대 판타지</v>
      </c>
    </row>
    <row r="2626" spans="1:57" x14ac:dyDescent="0.3">
      <c r="A2626">
        <v>1525014445</v>
      </c>
      <c r="B2626">
        <v>1525014445</v>
      </c>
      <c r="C2626" t="str">
        <f>T("[e북]소울 슈터 1권")</f>
        <v>[e북]소울 슈터 1권</v>
      </c>
      <c r="D2626" t="str">
        <f>T("1")</f>
        <v>1</v>
      </c>
      <c r="E2626" t="str">
        <f>T("라이큐")</f>
        <v>라이큐</v>
      </c>
      <c r="H2626" t="str">
        <f>T("스토리아크")</f>
        <v>스토리아크</v>
      </c>
      <c r="I2626" t="str">
        <f>T("[e북]소울 슈터")</f>
        <v>[e북]소울 슈터</v>
      </c>
      <c r="J2626">
        <v>0</v>
      </c>
      <c r="K2626">
        <v>0</v>
      </c>
      <c r="L2626">
        <v>0</v>
      </c>
      <c r="M2626">
        <v>1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2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Q2626">
        <v>0</v>
      </c>
      <c r="AR2626">
        <v>0</v>
      </c>
      <c r="AT2626">
        <v>0</v>
      </c>
      <c r="AU2626">
        <v>0</v>
      </c>
      <c r="AW2626">
        <v>0</v>
      </c>
      <c r="AX2626">
        <v>0</v>
      </c>
      <c r="AY2626">
        <v>0</v>
      </c>
      <c r="BC2626" t="str">
        <f>T("9791191039481")</f>
        <v>9791191039481</v>
      </c>
      <c r="BE2626" t="str">
        <f>T("판타지 e북 &gt; 현대 판타지")</f>
        <v>판타지 e북 &gt; 현대 판타지</v>
      </c>
    </row>
    <row r="2627" spans="1:57" x14ac:dyDescent="0.3">
      <c r="A2627">
        <v>1525004799</v>
      </c>
      <c r="B2627">
        <v>1525004820</v>
      </c>
      <c r="C2627" t="str">
        <f>T("검산도해 22화")</f>
        <v>검산도해 22화</v>
      </c>
      <c r="D2627" t="str">
        <f>T("22")</f>
        <v>22</v>
      </c>
      <c r="E2627" t="str">
        <f>T("권용찬")</f>
        <v>권용찬</v>
      </c>
      <c r="H2627" t="str">
        <f>T("스토리위즈")</f>
        <v>스토리위즈</v>
      </c>
      <c r="I2627" t="str">
        <f>T("검산도해")</f>
        <v>검산도해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1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Q2627">
        <v>0</v>
      </c>
      <c r="AR2627">
        <v>0</v>
      </c>
      <c r="AT2627">
        <v>0</v>
      </c>
      <c r="AU2627">
        <v>0</v>
      </c>
      <c r="AW2627">
        <v>0</v>
      </c>
      <c r="AX2627">
        <v>0</v>
      </c>
      <c r="AY2627">
        <v>0</v>
      </c>
      <c r="BC2627" t="str">
        <f>T("9791159285936")</f>
        <v>9791159285936</v>
      </c>
      <c r="BE2627" t="str">
        <f>T("판타지 웹소설 &gt; 무협 소설")</f>
        <v>판타지 웹소설 &gt; 무협 소설</v>
      </c>
    </row>
    <row r="2628" spans="1:57" x14ac:dyDescent="0.3">
      <c r="A2628">
        <v>1525001908</v>
      </c>
      <c r="B2628">
        <v>1525001908</v>
      </c>
      <c r="C2628" t="str">
        <f>T("[e북]상왕 진우몽 1권")</f>
        <v>[e북]상왕 진우몽 1권</v>
      </c>
      <c r="D2628" t="str">
        <f>T("1")</f>
        <v>1</v>
      </c>
      <c r="E2628" t="str">
        <f>T("권용찬")</f>
        <v>권용찬</v>
      </c>
      <c r="H2628" t="str">
        <f>T("스토리위즈")</f>
        <v>스토리위즈</v>
      </c>
      <c r="I2628" t="str">
        <f>T("[e북]상왕 진우몽")</f>
        <v>[e북]상왕 진우몽</v>
      </c>
      <c r="J2628">
        <v>0</v>
      </c>
      <c r="K2628">
        <v>0</v>
      </c>
      <c r="L2628">
        <v>0</v>
      </c>
      <c r="M2628">
        <v>1</v>
      </c>
      <c r="N2628">
        <v>0</v>
      </c>
      <c r="O2628">
        <v>0</v>
      </c>
      <c r="P2628">
        <v>5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6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Q2628">
        <v>0</v>
      </c>
      <c r="AR2628">
        <v>0</v>
      </c>
      <c r="AT2628">
        <v>0</v>
      </c>
      <c r="AU2628">
        <v>0</v>
      </c>
      <c r="AW2628">
        <v>0</v>
      </c>
      <c r="AX2628">
        <v>0</v>
      </c>
      <c r="AY2628">
        <v>0</v>
      </c>
      <c r="BC2628" t="str">
        <f>T("9791159285837")</f>
        <v>9791159285837</v>
      </c>
      <c r="BE2628" t="str">
        <f>T("판타지 e북 &gt; 신무협")</f>
        <v>판타지 e북 &gt; 신무협</v>
      </c>
    </row>
    <row r="2629" spans="1:57" x14ac:dyDescent="0.3">
      <c r="A2629">
        <v>1525002864</v>
      </c>
      <c r="B2629">
        <v>1525002887</v>
      </c>
      <c r="C2629" t="str">
        <f>T("소드마스터의 환생 24화")</f>
        <v>소드마스터의 환생 24화</v>
      </c>
      <c r="D2629" t="str">
        <f>T("24")</f>
        <v>24</v>
      </c>
      <c r="E2629" t="str">
        <f>T("파란영")</f>
        <v>파란영</v>
      </c>
      <c r="H2629" t="str">
        <f>T("스토리위즈")</f>
        <v>스토리위즈</v>
      </c>
      <c r="I2629" t="str">
        <f>T("소드마스터의 환생")</f>
        <v>소드마스터의 환생</v>
      </c>
      <c r="J2629">
        <v>0</v>
      </c>
      <c r="K2629">
        <v>0</v>
      </c>
      <c r="L2629">
        <v>0</v>
      </c>
      <c r="M2629">
        <v>4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4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Q2629">
        <v>0</v>
      </c>
      <c r="AR2629">
        <v>0</v>
      </c>
      <c r="AT2629">
        <v>0</v>
      </c>
      <c r="AU2629">
        <v>0</v>
      </c>
      <c r="AW2629">
        <v>0</v>
      </c>
      <c r="AX2629">
        <v>0</v>
      </c>
      <c r="AY2629">
        <v>0</v>
      </c>
      <c r="BC2629" t="str">
        <f>T("9791159287527")</f>
        <v>9791159287527</v>
      </c>
      <c r="BE2629" t="str">
        <f>T("판타지 웹소설 &gt; 정통 판타지")</f>
        <v>판타지 웹소설 &gt; 정통 판타지</v>
      </c>
    </row>
    <row r="2630" spans="1:57" x14ac:dyDescent="0.3">
      <c r="A2630">
        <v>1525007764</v>
      </c>
      <c r="B2630">
        <v>1525007736</v>
      </c>
      <c r="C2630" t="str">
        <f>T("[e북][체험판] 대공의 아내 1권")</f>
        <v>[e북][체험판] 대공의 아내 1권</v>
      </c>
      <c r="D2630" t="str">
        <f>T("1")</f>
        <v>1</v>
      </c>
      <c r="E2630" t="str">
        <f>T("문시티")</f>
        <v>문시티</v>
      </c>
      <c r="H2630" t="str">
        <f>T("쉬라즈")</f>
        <v>쉬라즈</v>
      </c>
      <c r="I2630" t="str">
        <f>T("[e북]대공의 아내")</f>
        <v>[e북]대공의 아내</v>
      </c>
      <c r="J2630">
        <v>0</v>
      </c>
      <c r="K2630">
        <v>0</v>
      </c>
      <c r="L2630">
        <v>0</v>
      </c>
      <c r="M2630">
        <v>7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7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Q2630">
        <v>0</v>
      </c>
      <c r="AR2630">
        <v>0</v>
      </c>
      <c r="AT2630">
        <v>0</v>
      </c>
      <c r="AU2630">
        <v>0</v>
      </c>
      <c r="AW2630">
        <v>0</v>
      </c>
      <c r="AX2630">
        <v>0</v>
      </c>
      <c r="AY2630">
        <v>0</v>
      </c>
      <c r="BA2630" t="str">
        <f>T("0000000000000")</f>
        <v>0000000000000</v>
      </c>
      <c r="BC2630" t="str">
        <f>T("9791164896776")</f>
        <v>9791164896776</v>
      </c>
      <c r="BE2630" t="str">
        <f>T("로판 e북 &gt; 서양풍 로판")</f>
        <v>로판 e북 &gt; 서양풍 로판</v>
      </c>
    </row>
    <row r="2631" spans="1:57" x14ac:dyDescent="0.3">
      <c r="A2631">
        <v>1525000055</v>
      </c>
      <c r="B2631">
        <v>1525000063</v>
      </c>
      <c r="C2631" t="str">
        <f>T("[e북]21세기 대마법사 8권")</f>
        <v>[e북]21세기 대마법사 8권</v>
      </c>
      <c r="D2631" t="str">
        <f>T("8")</f>
        <v>8</v>
      </c>
      <c r="E2631" t="str">
        <f>T("김광수")</f>
        <v>김광수</v>
      </c>
      <c r="H2631" t="str">
        <f>T("스토리위즈")</f>
        <v>스토리위즈</v>
      </c>
      <c r="I2631" t="str">
        <f>T("[e북]21세기 대마법사")</f>
        <v>[e북]21세기 대마법사</v>
      </c>
      <c r="J2631">
        <v>3200</v>
      </c>
      <c r="K2631">
        <v>0</v>
      </c>
      <c r="L2631">
        <v>0</v>
      </c>
      <c r="M2631">
        <v>0</v>
      </c>
      <c r="N2631">
        <v>3600</v>
      </c>
      <c r="O2631">
        <v>4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3600</v>
      </c>
      <c r="AH2631">
        <v>4</v>
      </c>
      <c r="AI2631">
        <v>0</v>
      </c>
      <c r="AJ2631">
        <v>0</v>
      </c>
      <c r="AK2631">
        <v>900</v>
      </c>
      <c r="AL2631">
        <v>0</v>
      </c>
      <c r="AM2631">
        <v>3240</v>
      </c>
      <c r="AN2631">
        <v>-540</v>
      </c>
      <c r="AO2631">
        <v>0</v>
      </c>
      <c r="AQ2631">
        <v>0</v>
      </c>
      <c r="AR2631">
        <v>0</v>
      </c>
      <c r="AS2631">
        <v>3240</v>
      </c>
      <c r="AT2631">
        <v>-540</v>
      </c>
      <c r="AU2631">
        <v>0</v>
      </c>
      <c r="AW2631">
        <v>0</v>
      </c>
      <c r="AX2631">
        <v>0</v>
      </c>
      <c r="AY2631">
        <v>2520</v>
      </c>
      <c r="BC2631" t="str">
        <f>T("9788925118550")</f>
        <v>9788925118550</v>
      </c>
      <c r="BE2631" t="str">
        <f>T("판타지 e북 &gt; 퓨전 판타지")</f>
        <v>판타지 e북 &gt; 퓨전 판타지</v>
      </c>
    </row>
    <row r="2632" spans="1:57" x14ac:dyDescent="0.3">
      <c r="A2632">
        <v>1525004799</v>
      </c>
      <c r="B2632">
        <v>1525004809</v>
      </c>
      <c r="C2632" t="str">
        <f>T("검산도해 11화")</f>
        <v>검산도해 11화</v>
      </c>
      <c r="D2632" t="str">
        <f>T("11")</f>
        <v>11</v>
      </c>
      <c r="E2632" t="str">
        <f>T("권용찬")</f>
        <v>권용찬</v>
      </c>
      <c r="H2632" t="str">
        <f>T("스토리위즈")</f>
        <v>스토리위즈</v>
      </c>
      <c r="I2632" t="str">
        <f>T("검산도해")</f>
        <v>검산도해</v>
      </c>
      <c r="J2632">
        <v>0</v>
      </c>
      <c r="K2632">
        <v>0</v>
      </c>
      <c r="L2632">
        <v>0</v>
      </c>
      <c r="M2632">
        <v>4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4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Q2632">
        <v>0</v>
      </c>
      <c r="AR2632">
        <v>0</v>
      </c>
      <c r="AT2632">
        <v>0</v>
      </c>
      <c r="AU2632">
        <v>0</v>
      </c>
      <c r="AW2632">
        <v>0</v>
      </c>
      <c r="AX2632">
        <v>0</v>
      </c>
      <c r="AY2632">
        <v>0</v>
      </c>
      <c r="BC2632" t="str">
        <f>T("9791159285936")</f>
        <v>9791159285936</v>
      </c>
      <c r="BE2632" t="str">
        <f>T("판타지 웹소설 &gt; 무협 소설")</f>
        <v>판타지 웹소설 &gt; 무협 소설</v>
      </c>
    </row>
    <row r="2633" spans="1:57" x14ac:dyDescent="0.3">
      <c r="A2633">
        <v>1525014780</v>
      </c>
      <c r="B2633">
        <v>1525014791</v>
      </c>
      <c r="C2633" t="str">
        <f>T("크랭키 걸즈 12화")</f>
        <v>크랭키 걸즈 12화</v>
      </c>
      <c r="D2633" t="str">
        <f>T("12")</f>
        <v>12</v>
      </c>
      <c r="E2633" t="str">
        <f>T("곽도우")</f>
        <v>곽도우</v>
      </c>
      <c r="H2633" t="str">
        <f>T("스토리아크")</f>
        <v>스토리아크</v>
      </c>
      <c r="I2633" t="str">
        <f>T("크랭키 걸즈")</f>
        <v>크랭키 걸즈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1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Q2633">
        <v>0</v>
      </c>
      <c r="AR2633">
        <v>0</v>
      </c>
      <c r="AT2633">
        <v>0</v>
      </c>
      <c r="AU2633">
        <v>0</v>
      </c>
      <c r="AW2633">
        <v>0</v>
      </c>
      <c r="AX2633">
        <v>0</v>
      </c>
      <c r="AY2633">
        <v>0</v>
      </c>
      <c r="BC2633" t="str">
        <f>T("9791191039276")</f>
        <v>9791191039276</v>
      </c>
      <c r="BE2633" t="str">
        <f>T("판타지 웹소설 &gt; 현대 판타지")</f>
        <v>판타지 웹소설 &gt; 현대 판타지</v>
      </c>
    </row>
    <row r="2634" spans="1:57" x14ac:dyDescent="0.3">
      <c r="A2634">
        <v>1525001540</v>
      </c>
      <c r="B2634">
        <v>1525001547</v>
      </c>
      <c r="C2634" t="str">
        <f>T("[e북]철중쟁쟁 8권 (완결)")</f>
        <v>[e북]철중쟁쟁 8권 (완결)</v>
      </c>
      <c r="D2634" t="str">
        <f>T("8")</f>
        <v>8</v>
      </c>
      <c r="E2634" t="str">
        <f>T("권용찬")</f>
        <v>권용찬</v>
      </c>
      <c r="H2634" t="str">
        <f>T("스토리위즈")</f>
        <v>스토리위즈</v>
      </c>
      <c r="I2634" t="str">
        <f>T("[e북]철중쟁쟁")</f>
        <v>[e북]철중쟁쟁</v>
      </c>
      <c r="J2634">
        <v>3200</v>
      </c>
      <c r="K2634">
        <v>0</v>
      </c>
      <c r="L2634">
        <v>0</v>
      </c>
      <c r="M2634">
        <v>0</v>
      </c>
      <c r="N2634">
        <v>5400</v>
      </c>
      <c r="O2634">
        <v>6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5400</v>
      </c>
      <c r="AH2634">
        <v>6</v>
      </c>
      <c r="AI2634">
        <v>0</v>
      </c>
      <c r="AJ2634">
        <v>0</v>
      </c>
      <c r="AK2634">
        <v>4500</v>
      </c>
      <c r="AL2634">
        <v>0</v>
      </c>
      <c r="AM2634">
        <v>1080</v>
      </c>
      <c r="AN2634">
        <v>-324</v>
      </c>
      <c r="AO2634">
        <v>0</v>
      </c>
      <c r="AQ2634">
        <v>0</v>
      </c>
      <c r="AR2634">
        <v>0</v>
      </c>
      <c r="AS2634">
        <v>1080</v>
      </c>
      <c r="AT2634">
        <v>-324</v>
      </c>
      <c r="AU2634">
        <v>0</v>
      </c>
      <c r="AW2634">
        <v>0</v>
      </c>
      <c r="AX2634">
        <v>0</v>
      </c>
      <c r="AY2634">
        <v>3679.2</v>
      </c>
      <c r="BC2634" t="str">
        <f>T("9791159282348")</f>
        <v>9791159282348</v>
      </c>
      <c r="BE2634" t="str">
        <f>T("판타지 e북 &gt; 전통 무협")</f>
        <v>판타지 e북 &gt; 전통 무협</v>
      </c>
    </row>
    <row r="2635" spans="1:57" x14ac:dyDescent="0.3">
      <c r="A2635">
        <v>1525002864</v>
      </c>
      <c r="B2635">
        <v>1525002876</v>
      </c>
      <c r="C2635" t="str">
        <f>T("소드마스터의 환생 13화")</f>
        <v>소드마스터의 환생 13화</v>
      </c>
      <c r="D2635" t="str">
        <f>T("13")</f>
        <v>13</v>
      </c>
      <c r="E2635" t="str">
        <f>T("파란영")</f>
        <v>파란영</v>
      </c>
      <c r="H2635" t="str">
        <f>T("스토리위즈")</f>
        <v>스토리위즈</v>
      </c>
      <c r="I2635" t="str">
        <f>T("소드마스터의 환생")</f>
        <v>소드마스터의 환생</v>
      </c>
      <c r="J2635">
        <v>0</v>
      </c>
      <c r="K2635">
        <v>0</v>
      </c>
      <c r="L2635">
        <v>0</v>
      </c>
      <c r="M2635">
        <v>4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4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Q2635">
        <v>0</v>
      </c>
      <c r="AR2635">
        <v>0</v>
      </c>
      <c r="AT2635">
        <v>0</v>
      </c>
      <c r="AU2635">
        <v>0</v>
      </c>
      <c r="AW2635">
        <v>0</v>
      </c>
      <c r="AX2635">
        <v>0</v>
      </c>
      <c r="AY2635">
        <v>0</v>
      </c>
      <c r="BC2635" t="str">
        <f>T("9791159287527")</f>
        <v>9791159287527</v>
      </c>
      <c r="BE2635" t="str">
        <f>T("판타지 웹소설 &gt; 정통 판타지")</f>
        <v>판타지 웹소설 &gt; 정통 판타지</v>
      </c>
    </row>
    <row r="2636" spans="1:57" x14ac:dyDescent="0.3">
      <c r="A2636">
        <v>1525001317</v>
      </c>
      <c r="B2636">
        <v>1525001325</v>
      </c>
      <c r="C2636" t="str">
        <f>T("[e북]완전판 | 스트라이커 9권")</f>
        <v>[e북]완전판 | 스트라이커 9권</v>
      </c>
      <c r="D2636" t="str">
        <f>T("9")</f>
        <v>9</v>
      </c>
      <c r="E2636" t="str">
        <f>T("독고진")</f>
        <v>독고진</v>
      </c>
      <c r="H2636" t="str">
        <f>T("스토리위즈")</f>
        <v>스토리위즈</v>
      </c>
      <c r="I2636" t="str">
        <f>T("[e북]완전판 | 스트라이커")</f>
        <v>[e북]완전판 | 스트라이커</v>
      </c>
      <c r="J2636">
        <v>3200</v>
      </c>
      <c r="K2636">
        <v>0</v>
      </c>
      <c r="L2636">
        <v>0</v>
      </c>
      <c r="M2636">
        <v>0</v>
      </c>
      <c r="N2636">
        <v>900</v>
      </c>
      <c r="O2636">
        <v>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900</v>
      </c>
      <c r="AH2636">
        <v>1</v>
      </c>
      <c r="AI2636">
        <v>0</v>
      </c>
      <c r="AJ2636">
        <v>0</v>
      </c>
      <c r="AK2636">
        <v>900</v>
      </c>
      <c r="AL2636">
        <v>0</v>
      </c>
      <c r="AM2636">
        <v>0</v>
      </c>
      <c r="AN2636">
        <v>0</v>
      </c>
      <c r="AO2636">
        <v>0</v>
      </c>
      <c r="AQ2636">
        <v>0</v>
      </c>
      <c r="AR2636">
        <v>0</v>
      </c>
      <c r="AT2636">
        <v>0</v>
      </c>
      <c r="AU2636">
        <v>0</v>
      </c>
      <c r="AW2636">
        <v>0</v>
      </c>
      <c r="AX2636">
        <v>0</v>
      </c>
      <c r="AY2636">
        <v>630</v>
      </c>
      <c r="BA2636" t="str">
        <f>T("9791159282904")</f>
        <v>9791159282904</v>
      </c>
      <c r="BC2636" t="str">
        <f>T("9791159282911")</f>
        <v>9791159282911</v>
      </c>
      <c r="BE2636" t="str">
        <f>T("판타지 e북 &gt; 스포츠물")</f>
        <v>판타지 e북 &gt; 스포츠물</v>
      </c>
    </row>
    <row r="2637" spans="1:57" x14ac:dyDescent="0.3">
      <c r="A2637">
        <v>1525004799</v>
      </c>
      <c r="B2637">
        <v>1525004800</v>
      </c>
      <c r="C2637" t="str">
        <f>T("검산도해 2화")</f>
        <v>검산도해 2화</v>
      </c>
      <c r="D2637" t="str">
        <f>T("2")</f>
        <v>2</v>
      </c>
      <c r="E2637" t="str">
        <f>T("권용찬")</f>
        <v>권용찬</v>
      </c>
      <c r="H2637" t="str">
        <f>T("스토리위즈")</f>
        <v>스토리위즈</v>
      </c>
      <c r="I2637" t="str">
        <f>T("검산도해")</f>
        <v>검산도해</v>
      </c>
      <c r="J2637">
        <v>0</v>
      </c>
      <c r="K2637">
        <v>0</v>
      </c>
      <c r="L2637">
        <v>0</v>
      </c>
      <c r="M2637">
        <v>5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5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Q2637">
        <v>0</v>
      </c>
      <c r="AR2637">
        <v>0</v>
      </c>
      <c r="AT2637">
        <v>0</v>
      </c>
      <c r="AU2637">
        <v>0</v>
      </c>
      <c r="AW2637">
        <v>0</v>
      </c>
      <c r="AX2637">
        <v>0</v>
      </c>
      <c r="AY2637">
        <v>0</v>
      </c>
      <c r="BC2637" t="str">
        <f>T("9791159285936")</f>
        <v>9791159285936</v>
      </c>
      <c r="BE2637" t="str">
        <f>T("판타지 웹소설 &gt; 무협 소설")</f>
        <v>판타지 웹소설 &gt; 무협 소설</v>
      </c>
    </row>
    <row r="2638" spans="1:57" x14ac:dyDescent="0.3">
      <c r="A2638">
        <v>1525010982</v>
      </c>
      <c r="B2638">
        <v>1525010975</v>
      </c>
      <c r="C2638" t="str">
        <f>T("[e북]이 맛에 회장한다 8권 (완결)")</f>
        <v>[e북]이 맛에 회장한다 8권 (완결)</v>
      </c>
      <c r="D2638" t="str">
        <f>T("8")</f>
        <v>8</v>
      </c>
      <c r="E2638" t="str">
        <f>T("협행마")</f>
        <v>협행마</v>
      </c>
      <c r="H2638" t="str">
        <f>T("에필로그")</f>
        <v>에필로그</v>
      </c>
      <c r="I2638" t="str">
        <f>T("[e북]이 맛에 회장한다")</f>
        <v>[e북]이 맛에 회장한다</v>
      </c>
      <c r="J2638">
        <v>2500</v>
      </c>
      <c r="K2638">
        <v>0</v>
      </c>
      <c r="L2638">
        <v>0</v>
      </c>
      <c r="M2638">
        <v>0</v>
      </c>
      <c r="N2638">
        <v>1620</v>
      </c>
      <c r="O2638">
        <v>2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1620</v>
      </c>
      <c r="AH2638">
        <v>2</v>
      </c>
      <c r="AI2638">
        <v>0</v>
      </c>
      <c r="AJ2638">
        <v>0</v>
      </c>
      <c r="AK2638">
        <v>1620</v>
      </c>
      <c r="AL2638">
        <v>0</v>
      </c>
      <c r="AM2638">
        <v>0</v>
      </c>
      <c r="AN2638">
        <v>0</v>
      </c>
      <c r="AO2638">
        <v>0</v>
      </c>
      <c r="AQ2638">
        <v>0</v>
      </c>
      <c r="AR2638">
        <v>0</v>
      </c>
      <c r="AT2638">
        <v>0</v>
      </c>
      <c r="AU2638">
        <v>0</v>
      </c>
      <c r="AW2638">
        <v>0</v>
      </c>
      <c r="AX2638">
        <v>0</v>
      </c>
      <c r="AY2638">
        <v>1134</v>
      </c>
      <c r="BC2638" t="str">
        <f>T("9791164486137")</f>
        <v>9791164486137</v>
      </c>
      <c r="BE2638" t="str">
        <f>T("판타지 e북 &gt; 현대 판타지")</f>
        <v>판타지 e북 &gt; 현대 판타지</v>
      </c>
    </row>
    <row r="2639" spans="1:57" x14ac:dyDescent="0.3">
      <c r="A2639">
        <v>1525000411</v>
      </c>
      <c r="B2639">
        <v>1525000413</v>
      </c>
      <c r="C2639" t="str">
        <f>T("레이드 만물상점 3화")</f>
        <v>레이드 만물상점 3화</v>
      </c>
      <c r="D2639" t="str">
        <f>T("3")</f>
        <v>3</v>
      </c>
      <c r="E2639" t="str">
        <f>T("전혁")</f>
        <v>전혁</v>
      </c>
      <c r="H2639" t="str">
        <f>T("스토리위즈")</f>
        <v>스토리위즈</v>
      </c>
      <c r="I2639" t="str">
        <f>T("레이드 만물상점")</f>
        <v>레이드 만물상점</v>
      </c>
      <c r="J2639">
        <v>0</v>
      </c>
      <c r="K2639">
        <v>0</v>
      </c>
      <c r="L2639">
        <v>0</v>
      </c>
      <c r="M2639">
        <v>1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Q2639">
        <v>0</v>
      </c>
      <c r="AR2639">
        <v>0</v>
      </c>
      <c r="AT2639">
        <v>0</v>
      </c>
      <c r="AU2639">
        <v>0</v>
      </c>
      <c r="AW2639">
        <v>0</v>
      </c>
      <c r="AX2639">
        <v>0</v>
      </c>
      <c r="AY2639">
        <v>0</v>
      </c>
      <c r="BC2639" t="str">
        <f>T("9791170151432")</f>
        <v>9791170151432</v>
      </c>
      <c r="BE2639" t="str">
        <f>T("판타지 웹소설 &gt; 현대 판타지")</f>
        <v>판타지 웹소설 &gt; 현대 판타지</v>
      </c>
    </row>
    <row r="2640" spans="1:57" x14ac:dyDescent="0.3">
      <c r="A2640">
        <v>1525010900</v>
      </c>
      <c r="B2640">
        <v>1525010894</v>
      </c>
      <c r="C2640" t="str">
        <f>T("[e북]무적살수 5권")</f>
        <v>[e북]무적살수 5권</v>
      </c>
      <c r="D2640" t="str">
        <f>T("5")</f>
        <v>5</v>
      </c>
      <c r="E2640" t="str">
        <f>T("협행마")</f>
        <v>협행마</v>
      </c>
      <c r="H2640" t="str">
        <f>T("에필로그")</f>
        <v>에필로그</v>
      </c>
      <c r="I2640" t="str">
        <f>T("[e북]무적살수")</f>
        <v>[e북]무적살수</v>
      </c>
      <c r="J2640">
        <v>2500</v>
      </c>
      <c r="K2640">
        <v>0</v>
      </c>
      <c r="L2640">
        <v>0</v>
      </c>
      <c r="M2640">
        <v>0</v>
      </c>
      <c r="N2640">
        <v>810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810</v>
      </c>
      <c r="AH2640">
        <v>1</v>
      </c>
      <c r="AI2640">
        <v>0</v>
      </c>
      <c r="AJ2640">
        <v>0</v>
      </c>
      <c r="AK2640">
        <v>810</v>
      </c>
      <c r="AL2640">
        <v>0</v>
      </c>
      <c r="AM2640">
        <v>0</v>
      </c>
      <c r="AN2640">
        <v>0</v>
      </c>
      <c r="AO2640">
        <v>0</v>
      </c>
      <c r="AQ2640">
        <v>0</v>
      </c>
      <c r="AR2640">
        <v>0</v>
      </c>
      <c r="AT2640">
        <v>0</v>
      </c>
      <c r="AU2640">
        <v>0</v>
      </c>
      <c r="AW2640">
        <v>0</v>
      </c>
      <c r="AX2640">
        <v>0</v>
      </c>
      <c r="AY2640">
        <v>567</v>
      </c>
      <c r="BC2640" t="str">
        <f>T("9791166000126")</f>
        <v>9791166000126</v>
      </c>
      <c r="BE2640" t="str">
        <f>T("판타지 e북 &gt; 전통 무협")</f>
        <v>판타지 e북 &gt; 전통 무협</v>
      </c>
    </row>
    <row r="2641" spans="1:57" x14ac:dyDescent="0.3">
      <c r="A2641">
        <v>1525013020</v>
      </c>
      <c r="B2641">
        <v>1525013044</v>
      </c>
      <c r="C2641" t="str">
        <f>T("악당의 리턴 25화")</f>
        <v>악당의 리턴 25화</v>
      </c>
      <c r="D2641" t="str">
        <f>T("25")</f>
        <v>25</v>
      </c>
      <c r="E2641" t="str">
        <f>T("백범(白帆)")</f>
        <v>백범(白帆)</v>
      </c>
      <c r="H2641" t="str">
        <f>T("에필로그")</f>
        <v>에필로그</v>
      </c>
      <c r="I2641" t="str">
        <f>T("악당의 리턴")</f>
        <v>악당의 리턴</v>
      </c>
      <c r="J2641">
        <v>0</v>
      </c>
      <c r="K2641">
        <v>0</v>
      </c>
      <c r="L2641">
        <v>0</v>
      </c>
      <c r="M2641">
        <v>6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6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Q2641">
        <v>0</v>
      </c>
      <c r="AR2641">
        <v>0</v>
      </c>
      <c r="AT2641">
        <v>0</v>
      </c>
      <c r="AU2641">
        <v>0</v>
      </c>
      <c r="AW2641">
        <v>0</v>
      </c>
      <c r="AX2641">
        <v>0</v>
      </c>
      <c r="AY2641">
        <v>0</v>
      </c>
      <c r="BC2641" t="str">
        <f>T("9791196538927")</f>
        <v>9791196538927</v>
      </c>
      <c r="BE2641" t="str">
        <f>T("판타지 웹소설 &gt; 현대 판타지")</f>
        <v>판타지 웹소설 &gt; 현대 판타지</v>
      </c>
    </row>
    <row r="2642" spans="1:57" x14ac:dyDescent="0.3">
      <c r="A2642">
        <v>1525011040</v>
      </c>
      <c r="B2642">
        <v>1525011040</v>
      </c>
      <c r="C2642" t="str">
        <f>T("[e북]이세계 최강 군바리 1권")</f>
        <v>[e북]이세계 최강 군바리 1권</v>
      </c>
      <c r="D2642" t="str">
        <f>T("1")</f>
        <v>1</v>
      </c>
      <c r="E2642" t="str">
        <f>T("협행마")</f>
        <v>협행마</v>
      </c>
      <c r="H2642" t="str">
        <f>T("에필로그")</f>
        <v>에필로그</v>
      </c>
      <c r="I2642" t="str">
        <f>T("[e북]이세계 최강 군바리")</f>
        <v>[e북]이세계 최강 군바리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3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3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Q2642">
        <v>0</v>
      </c>
      <c r="AR2642">
        <v>0</v>
      </c>
      <c r="AT2642">
        <v>0</v>
      </c>
      <c r="AU2642">
        <v>0</v>
      </c>
      <c r="AW2642">
        <v>0</v>
      </c>
      <c r="AX2642">
        <v>0</v>
      </c>
      <c r="AY2642">
        <v>0</v>
      </c>
      <c r="BC2642" t="str">
        <f>T("9791164483648")</f>
        <v>9791164483648</v>
      </c>
      <c r="BE2642" t="str">
        <f>T("판타지 e북 &gt; 퓨전 판타지")</f>
        <v>판타지 e북 &gt; 퓨전 판타지</v>
      </c>
    </row>
    <row r="2643" spans="1:57" x14ac:dyDescent="0.3">
      <c r="A2643">
        <v>1525012202</v>
      </c>
      <c r="B2643">
        <v>1525012188</v>
      </c>
      <c r="C2643" t="str">
        <f>T("이세계 최강 군바리 15화")</f>
        <v>이세계 최강 군바리 15화</v>
      </c>
      <c r="D2643" t="str">
        <f>T("15")</f>
        <v>15</v>
      </c>
      <c r="E2643" t="str">
        <f>T("협행마")</f>
        <v>협행마</v>
      </c>
      <c r="H2643" t="str">
        <f>T("에필로그")</f>
        <v>에필로그</v>
      </c>
      <c r="I2643" t="str">
        <f>T("이세계 최강 군바리")</f>
        <v>이세계 최강 군바리</v>
      </c>
      <c r="J2643">
        <v>0</v>
      </c>
      <c r="K2643">
        <v>0</v>
      </c>
      <c r="L2643">
        <v>0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1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Q2643">
        <v>0</v>
      </c>
      <c r="AR2643">
        <v>0</v>
      </c>
      <c r="AT2643">
        <v>0</v>
      </c>
      <c r="AU2643">
        <v>0</v>
      </c>
      <c r="AW2643">
        <v>0</v>
      </c>
      <c r="AX2643">
        <v>0</v>
      </c>
      <c r="AY2643">
        <v>0</v>
      </c>
      <c r="BC2643" t="str">
        <f>T("9791164480159")</f>
        <v>9791164480159</v>
      </c>
      <c r="BE2643" t="str">
        <f>T("판타지 웹소설 &gt; 퓨전 판타지")</f>
        <v>판타지 웹소설 &gt; 퓨전 판타지</v>
      </c>
    </row>
    <row r="2644" spans="1:57" x14ac:dyDescent="0.3">
      <c r="A2644">
        <v>1525000569</v>
      </c>
      <c r="B2644">
        <v>1525000578</v>
      </c>
      <c r="C2644" t="str">
        <f>T("스트라이커 10화")</f>
        <v>스트라이커 10화</v>
      </c>
      <c r="D2644" t="str">
        <f>T("10")</f>
        <v>10</v>
      </c>
      <c r="E2644" t="str">
        <f>T("독고진")</f>
        <v>독고진</v>
      </c>
      <c r="H2644" t="str">
        <f>T("스토리위즈")</f>
        <v>스토리위즈</v>
      </c>
      <c r="I2644" t="str">
        <f>T("스트라이커")</f>
        <v>스트라이커</v>
      </c>
      <c r="J2644">
        <v>0</v>
      </c>
      <c r="K2644">
        <v>0</v>
      </c>
      <c r="L2644">
        <v>0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1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Q2644">
        <v>0</v>
      </c>
      <c r="AR2644">
        <v>0</v>
      </c>
      <c r="AT2644">
        <v>0</v>
      </c>
      <c r="AU2644">
        <v>0</v>
      </c>
      <c r="AW2644">
        <v>0</v>
      </c>
      <c r="AX2644">
        <v>0</v>
      </c>
      <c r="AY2644">
        <v>0</v>
      </c>
      <c r="BC2644" t="str">
        <f>T("9791170151678")</f>
        <v>9791170151678</v>
      </c>
      <c r="BE2644" t="str">
        <f>T("판타지 웹소설 &gt; 현대 판타지")</f>
        <v>판타지 웹소설 &gt; 현대 판타지</v>
      </c>
    </row>
    <row r="2645" spans="1:57" x14ac:dyDescent="0.3">
      <c r="A2645">
        <v>1525004030</v>
      </c>
      <c r="B2645">
        <v>1525004052</v>
      </c>
      <c r="C2645" t="str">
        <f>T("회귀의 전설 23화")</f>
        <v>회귀의 전설 23화</v>
      </c>
      <c r="D2645" t="str">
        <f>T("23")</f>
        <v>23</v>
      </c>
      <c r="E2645" t="str">
        <f>T("김광수")</f>
        <v>김광수</v>
      </c>
      <c r="H2645" t="str">
        <f>T("스토리위즈")</f>
        <v>스토리위즈</v>
      </c>
      <c r="I2645" t="str">
        <f>T("회귀의 전설")</f>
        <v>회귀의 전설</v>
      </c>
      <c r="J2645">
        <v>0</v>
      </c>
      <c r="K2645">
        <v>0</v>
      </c>
      <c r="L2645">
        <v>0</v>
      </c>
      <c r="M2645">
        <v>7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7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Q2645">
        <v>0</v>
      </c>
      <c r="AR2645">
        <v>0</v>
      </c>
      <c r="AT2645">
        <v>0</v>
      </c>
      <c r="AU2645">
        <v>0</v>
      </c>
      <c r="AW2645">
        <v>0</v>
      </c>
      <c r="AX2645">
        <v>0</v>
      </c>
      <c r="AY2645">
        <v>0</v>
      </c>
      <c r="BC2645" t="str">
        <f>T("9788997946006")</f>
        <v>9788997946006</v>
      </c>
      <c r="BE2645" t="str">
        <f>T("판타지 웹소설 &gt; 현대 판타지")</f>
        <v>판타지 웹소설 &gt; 현대 판타지</v>
      </c>
    </row>
    <row r="2646" spans="1:57" x14ac:dyDescent="0.3">
      <c r="A2646">
        <v>1525010966</v>
      </c>
      <c r="B2646">
        <v>1525010966</v>
      </c>
      <c r="C2646" t="str">
        <f>T("[e북]전장의 금기 1권")</f>
        <v>[e북]전장의 금기 1권</v>
      </c>
      <c r="D2646" t="str">
        <f>T("1")</f>
        <v>1</v>
      </c>
      <c r="E2646" t="str">
        <f>T("협행마")</f>
        <v>협행마</v>
      </c>
      <c r="H2646" t="str">
        <f>T("에필로그")</f>
        <v>에필로그</v>
      </c>
      <c r="I2646" t="str">
        <f>T("[e북]전장의 금기")</f>
        <v>[e북]전장의 금기</v>
      </c>
      <c r="J2646">
        <v>0</v>
      </c>
      <c r="K2646">
        <v>0</v>
      </c>
      <c r="L2646">
        <v>0</v>
      </c>
      <c r="M2646">
        <v>1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1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Q2646">
        <v>0</v>
      </c>
      <c r="AR2646">
        <v>0</v>
      </c>
      <c r="AT2646">
        <v>0</v>
      </c>
      <c r="AU2646">
        <v>0</v>
      </c>
      <c r="AW2646">
        <v>0</v>
      </c>
      <c r="AX2646">
        <v>0</v>
      </c>
      <c r="AY2646">
        <v>0</v>
      </c>
      <c r="BC2646" t="str">
        <f>T("9791164489046")</f>
        <v>9791164489046</v>
      </c>
      <c r="BE2646" t="str">
        <f>T("판타지 e북 &gt; 정통 판타지")</f>
        <v>판타지 e북 &gt; 정통 판타지</v>
      </c>
    </row>
    <row r="2647" spans="1:57" x14ac:dyDescent="0.3">
      <c r="A2647">
        <v>1525000055</v>
      </c>
      <c r="B2647">
        <v>1525000072</v>
      </c>
      <c r="C2647" t="str">
        <f>T("[e북]21세기 대마법사 17권")</f>
        <v>[e북]21세기 대마법사 17권</v>
      </c>
      <c r="D2647" t="str">
        <f>T("17")</f>
        <v>17</v>
      </c>
      <c r="E2647" t="str">
        <f>T("김광수")</f>
        <v>김광수</v>
      </c>
      <c r="H2647" t="str">
        <f>T("스토리위즈")</f>
        <v>스토리위즈</v>
      </c>
      <c r="I2647" t="str">
        <f>T("[e북]21세기 대마법사")</f>
        <v>[e북]21세기 대마법사</v>
      </c>
      <c r="J2647">
        <v>3200</v>
      </c>
      <c r="K2647">
        <v>0</v>
      </c>
      <c r="L2647">
        <v>0</v>
      </c>
      <c r="M2647">
        <v>0</v>
      </c>
      <c r="N2647">
        <v>900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900</v>
      </c>
      <c r="AH2647">
        <v>1</v>
      </c>
      <c r="AI2647">
        <v>0</v>
      </c>
      <c r="AJ2647">
        <v>0</v>
      </c>
      <c r="AK2647">
        <v>900</v>
      </c>
      <c r="AL2647">
        <v>0</v>
      </c>
      <c r="AM2647">
        <v>0</v>
      </c>
      <c r="AN2647">
        <v>0</v>
      </c>
      <c r="AO2647">
        <v>0</v>
      </c>
      <c r="AQ2647">
        <v>0</v>
      </c>
      <c r="AR2647">
        <v>0</v>
      </c>
      <c r="AT2647">
        <v>0</v>
      </c>
      <c r="AU2647">
        <v>0</v>
      </c>
      <c r="AW2647">
        <v>0</v>
      </c>
      <c r="AX2647">
        <v>0</v>
      </c>
      <c r="AY2647">
        <v>630</v>
      </c>
      <c r="BC2647" t="str">
        <f>T("9788925120386")</f>
        <v>9788925120386</v>
      </c>
      <c r="BE2647" t="str">
        <f>T("판타지 e북 &gt; 퓨전 판타지")</f>
        <v>판타지 e북 &gt; 퓨전 판타지</v>
      </c>
    </row>
    <row r="2648" spans="1:57" x14ac:dyDescent="0.3">
      <c r="A2648">
        <v>1525000022</v>
      </c>
      <c r="B2648">
        <v>1525000027</v>
      </c>
      <c r="C2648" t="str">
        <f>T("[e북]마계대공 연대기 6권")</f>
        <v>[e북]마계대공 연대기 6권</v>
      </c>
      <c r="D2648" t="str">
        <f>T("6")</f>
        <v>6</v>
      </c>
      <c r="E2648" t="str">
        <f>T("김광수")</f>
        <v>김광수</v>
      </c>
      <c r="H2648" t="str">
        <f>T("스토리위즈")</f>
        <v>스토리위즈</v>
      </c>
      <c r="I2648" t="str">
        <f>T("[e북]마계대공 연대기")</f>
        <v>[e북]마계대공 연대기</v>
      </c>
      <c r="J2648">
        <v>3200</v>
      </c>
      <c r="K2648">
        <v>0</v>
      </c>
      <c r="L2648">
        <v>0</v>
      </c>
      <c r="M2648">
        <v>0</v>
      </c>
      <c r="N2648">
        <v>2700</v>
      </c>
      <c r="O2648">
        <v>3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2700</v>
      </c>
      <c r="AH2648">
        <v>3</v>
      </c>
      <c r="AI2648">
        <v>0</v>
      </c>
      <c r="AJ2648">
        <v>0</v>
      </c>
      <c r="AK2648">
        <v>1800</v>
      </c>
      <c r="AL2648">
        <v>0</v>
      </c>
      <c r="AM2648">
        <v>1080</v>
      </c>
      <c r="AN2648">
        <v>-108</v>
      </c>
      <c r="AO2648">
        <v>0</v>
      </c>
      <c r="AQ2648">
        <v>0</v>
      </c>
      <c r="AR2648">
        <v>0</v>
      </c>
      <c r="AS2648">
        <v>1080</v>
      </c>
      <c r="AT2648">
        <v>-108</v>
      </c>
      <c r="AU2648">
        <v>0</v>
      </c>
      <c r="AW2648">
        <v>0</v>
      </c>
      <c r="AX2648">
        <v>0</v>
      </c>
      <c r="AY2648">
        <v>1940.4</v>
      </c>
      <c r="BE2648" t="str">
        <f>T("판타지 e북 &gt; 퓨전 판타지")</f>
        <v>판타지 e북 &gt; 퓨전 판타지</v>
      </c>
    </row>
    <row r="2649" spans="1:57" x14ac:dyDescent="0.3">
      <c r="A2649">
        <v>1525004988</v>
      </c>
      <c r="B2649">
        <v>1525005297</v>
      </c>
      <c r="C2649" t="str">
        <f>T("용무쌍 10화")</f>
        <v>용무쌍 10화</v>
      </c>
      <c r="D2649" t="str">
        <f>T("10")</f>
        <v>10</v>
      </c>
      <c r="E2649" t="str">
        <f>T("권용찬")</f>
        <v>권용찬</v>
      </c>
      <c r="H2649" t="str">
        <f>T("스토리위즈")</f>
        <v>스토리위즈</v>
      </c>
      <c r="I2649" t="str">
        <f>T("용무쌍")</f>
        <v>용무쌍</v>
      </c>
      <c r="J2649">
        <v>0</v>
      </c>
      <c r="K2649">
        <v>0</v>
      </c>
      <c r="L2649">
        <v>0</v>
      </c>
      <c r="M2649">
        <v>2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2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Q2649">
        <v>0</v>
      </c>
      <c r="AR2649">
        <v>0</v>
      </c>
      <c r="AT2649">
        <v>0</v>
      </c>
      <c r="AU2649">
        <v>0</v>
      </c>
      <c r="AW2649">
        <v>0</v>
      </c>
      <c r="AX2649">
        <v>0</v>
      </c>
      <c r="AY2649">
        <v>0</v>
      </c>
      <c r="BC2649" t="str">
        <f>T("9791159284861")</f>
        <v>9791159284861</v>
      </c>
      <c r="BE2649" t="str">
        <f>T("판타지 웹소설 &gt; 무협 소설")</f>
        <v>판타지 웹소설 &gt; 무협 소설</v>
      </c>
    </row>
    <row r="2650" spans="1:57" x14ac:dyDescent="0.3">
      <c r="A2650">
        <v>1525012551</v>
      </c>
      <c r="B2650">
        <v>1525012556</v>
      </c>
      <c r="C2650" t="str">
        <f>T("개정판 | 바보가 만드는 멋진 세상 6화")</f>
        <v>개정판 | 바보가 만드는 멋진 세상 6화</v>
      </c>
      <c r="D2650" t="str">
        <f>T("6")</f>
        <v>6</v>
      </c>
      <c r="E2650" t="str">
        <f>T("백범(白帆)")</f>
        <v>백범(白帆)</v>
      </c>
      <c r="H2650" t="str">
        <f>T("에필로그")</f>
        <v>에필로그</v>
      </c>
      <c r="I2650" t="str">
        <f>T("개정판 | 바보가 만드는 멋진 세상")</f>
        <v>개정판 | 바보가 만드는 멋진 세상</v>
      </c>
      <c r="J2650">
        <v>0</v>
      </c>
      <c r="K2650">
        <v>0</v>
      </c>
      <c r="L2650">
        <v>0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1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Q2650">
        <v>0</v>
      </c>
      <c r="AR2650">
        <v>0</v>
      </c>
      <c r="AT2650">
        <v>0</v>
      </c>
      <c r="AU2650">
        <v>0</v>
      </c>
      <c r="AW2650">
        <v>0</v>
      </c>
      <c r="AX2650">
        <v>0</v>
      </c>
      <c r="AY2650">
        <v>0</v>
      </c>
      <c r="BC2650" t="str">
        <f>T("9791166003493")</f>
        <v>9791166003493</v>
      </c>
      <c r="BE2650" t="str">
        <f>T("판타지 웹소설 &gt; 현대 판타지")</f>
        <v>판타지 웹소설 &gt; 현대 판타지</v>
      </c>
    </row>
    <row r="2651" spans="1:57" x14ac:dyDescent="0.3">
      <c r="A2651">
        <v>1525010944</v>
      </c>
      <c r="B2651">
        <v>1525010934</v>
      </c>
      <c r="C2651" t="str">
        <f>T("[e북]법보다 주먹 11권")</f>
        <v>[e북]법보다 주먹 11권</v>
      </c>
      <c r="D2651" t="str">
        <f>T("11")</f>
        <v>11</v>
      </c>
      <c r="E2651" t="str">
        <f>T("백범(白帆)")</f>
        <v>백범(白帆)</v>
      </c>
      <c r="H2651" t="str">
        <f>T("에필로그")</f>
        <v>에필로그</v>
      </c>
      <c r="I2651" t="str">
        <f>T("[e북]법보다 주먹")</f>
        <v>[e북]법보다 주먹</v>
      </c>
      <c r="J2651">
        <v>2000</v>
      </c>
      <c r="K2651">
        <v>0</v>
      </c>
      <c r="L2651">
        <v>0</v>
      </c>
      <c r="M2651">
        <v>0</v>
      </c>
      <c r="N2651">
        <v>2700</v>
      </c>
      <c r="O2651">
        <v>3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2700</v>
      </c>
      <c r="AH2651">
        <v>3</v>
      </c>
      <c r="AI2651">
        <v>0</v>
      </c>
      <c r="AJ2651">
        <v>0</v>
      </c>
      <c r="AK2651">
        <v>900</v>
      </c>
      <c r="AL2651">
        <v>0</v>
      </c>
      <c r="AM2651">
        <v>2160</v>
      </c>
      <c r="AN2651">
        <v>-648</v>
      </c>
      <c r="AO2651">
        <v>0</v>
      </c>
      <c r="AQ2651">
        <v>0</v>
      </c>
      <c r="AR2651">
        <v>0</v>
      </c>
      <c r="AS2651">
        <v>2160</v>
      </c>
      <c r="AT2651">
        <v>-648</v>
      </c>
      <c r="AU2651">
        <v>0</v>
      </c>
      <c r="AW2651">
        <v>0</v>
      </c>
      <c r="AX2651">
        <v>0</v>
      </c>
      <c r="AY2651">
        <v>1688.4</v>
      </c>
      <c r="BC2651" t="str">
        <f>T("9791164480142")</f>
        <v>9791164480142</v>
      </c>
      <c r="BE2651" t="str">
        <f>T("판타지 e북 &gt; 현대 판타지")</f>
        <v>판타지 e북 &gt; 현대 판타지</v>
      </c>
    </row>
    <row r="2652" spans="1:57" x14ac:dyDescent="0.3">
      <c r="A2652">
        <v>1525010579</v>
      </c>
      <c r="B2652">
        <v>1525010563</v>
      </c>
      <c r="C2652" t="str">
        <f>T("법보다 주먹 15화")</f>
        <v>법보다 주먹 15화</v>
      </c>
      <c r="D2652" t="str">
        <f>T("15")</f>
        <v>15</v>
      </c>
      <c r="E2652" t="str">
        <f>T("백범(白帆)")</f>
        <v>백범(白帆)</v>
      </c>
      <c r="H2652" t="str">
        <f>T("에필로그")</f>
        <v>에필로그</v>
      </c>
      <c r="I2652" t="str">
        <f>T("법보다 주먹")</f>
        <v>법보다 주먹</v>
      </c>
      <c r="J2652">
        <v>0</v>
      </c>
      <c r="K2652">
        <v>0</v>
      </c>
      <c r="L2652">
        <v>0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1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Q2652">
        <v>0</v>
      </c>
      <c r="AR2652">
        <v>0</v>
      </c>
      <c r="AT2652">
        <v>0</v>
      </c>
      <c r="AU2652">
        <v>0</v>
      </c>
      <c r="AW2652">
        <v>0</v>
      </c>
      <c r="AX2652">
        <v>0</v>
      </c>
      <c r="AY2652">
        <v>0</v>
      </c>
      <c r="BC2652" t="str">
        <f>T("9791164489367")</f>
        <v>9791164489367</v>
      </c>
      <c r="BE2652" t="str">
        <f>T("판타지 웹소설 &gt; 현대 판타지")</f>
        <v>판타지 웹소설 &gt; 현대 판타지</v>
      </c>
    </row>
    <row r="2653" spans="1:57" x14ac:dyDescent="0.3">
      <c r="A2653">
        <v>1525000001</v>
      </c>
      <c r="B2653">
        <v>1525000007</v>
      </c>
      <c r="C2653" t="str">
        <f>T("[e북]마스터 K 7권")</f>
        <v>[e북]마스터 K 7권</v>
      </c>
      <c r="D2653" t="str">
        <f>T("7")</f>
        <v>7</v>
      </c>
      <c r="E2653" t="str">
        <f>T("김광수")</f>
        <v>김광수</v>
      </c>
      <c r="H2653" t="str">
        <f>T("스토리위즈")</f>
        <v>스토리위즈</v>
      </c>
      <c r="I2653" t="str">
        <f>T("[e북]마스터 K")</f>
        <v>[e북]마스터 K</v>
      </c>
      <c r="J2653">
        <v>3200</v>
      </c>
      <c r="K2653">
        <v>0</v>
      </c>
      <c r="L2653">
        <v>0</v>
      </c>
      <c r="M2653">
        <v>0</v>
      </c>
      <c r="N2653">
        <v>900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900</v>
      </c>
      <c r="AH2653">
        <v>1</v>
      </c>
      <c r="AI2653">
        <v>0</v>
      </c>
      <c r="AJ2653">
        <v>0</v>
      </c>
      <c r="AK2653">
        <v>900</v>
      </c>
      <c r="AL2653">
        <v>0</v>
      </c>
      <c r="AM2653">
        <v>0</v>
      </c>
      <c r="AN2653">
        <v>0</v>
      </c>
      <c r="AO2653">
        <v>0</v>
      </c>
      <c r="AQ2653">
        <v>0</v>
      </c>
      <c r="AR2653">
        <v>0</v>
      </c>
      <c r="AT2653">
        <v>0</v>
      </c>
      <c r="AU2653">
        <v>0</v>
      </c>
      <c r="AW2653">
        <v>0</v>
      </c>
      <c r="AX2653">
        <v>0</v>
      </c>
      <c r="AY2653">
        <v>630</v>
      </c>
      <c r="BE2653" t="str">
        <f>T("판타지 e북 &gt; 스포츠물")</f>
        <v>판타지 e북 &gt; 스포츠물</v>
      </c>
    </row>
    <row r="2654" spans="1:57" x14ac:dyDescent="0.3">
      <c r="A2654">
        <v>1525000924</v>
      </c>
      <c r="B2654">
        <v>1525000934</v>
      </c>
      <c r="C2654" t="str">
        <f>T("스피릿 소드 11화")</f>
        <v>스피릿 소드 11화</v>
      </c>
      <c r="D2654" t="str">
        <f>T("11")</f>
        <v>11</v>
      </c>
      <c r="E2654" t="str">
        <f>T("김정률")</f>
        <v>김정률</v>
      </c>
      <c r="H2654" t="str">
        <f>T("스토리위즈")</f>
        <v>스토리위즈</v>
      </c>
      <c r="I2654" t="str">
        <f>T("스피릿 소드")</f>
        <v>스피릿 소드</v>
      </c>
      <c r="J2654">
        <v>0</v>
      </c>
      <c r="K2654">
        <v>0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1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Q2654">
        <v>0</v>
      </c>
      <c r="AR2654">
        <v>0</v>
      </c>
      <c r="AT2654">
        <v>0</v>
      </c>
      <c r="AU2654">
        <v>0</v>
      </c>
      <c r="AW2654">
        <v>0</v>
      </c>
      <c r="AX2654">
        <v>0</v>
      </c>
      <c r="AY2654">
        <v>0</v>
      </c>
      <c r="BA2654" t="str">
        <f>T("9791159282713")</f>
        <v>9791159282713</v>
      </c>
      <c r="BC2654" t="str">
        <f>T("9791159282713")</f>
        <v>9791159282713</v>
      </c>
      <c r="BE2654" t="str">
        <f>T("판타지 웹소설 &gt; 정통 판타지")</f>
        <v>판타지 웹소설 &gt; 정통 판타지</v>
      </c>
    </row>
    <row r="2655" spans="1:57" x14ac:dyDescent="0.3">
      <c r="A2655">
        <v>1525013418</v>
      </c>
      <c r="B2655">
        <v>1525013420</v>
      </c>
      <c r="C2655" t="str">
        <f>T("[e북]헌터 킹 3권")</f>
        <v>[e북]헌터 킹 3권</v>
      </c>
      <c r="D2655" t="str">
        <f>T("3")</f>
        <v>3</v>
      </c>
      <c r="E2655" t="str">
        <f>T("백범(白帆)")</f>
        <v>백범(白帆)</v>
      </c>
      <c r="H2655" t="str">
        <f>T("에필로그")</f>
        <v>에필로그</v>
      </c>
      <c r="I2655" t="str">
        <f>T("[e북]헌터 킹")</f>
        <v>[e북]헌터 킹</v>
      </c>
      <c r="J2655">
        <v>2000</v>
      </c>
      <c r="K2655">
        <v>0</v>
      </c>
      <c r="L2655">
        <v>0</v>
      </c>
      <c r="M2655">
        <v>0</v>
      </c>
      <c r="N2655">
        <v>900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900</v>
      </c>
      <c r="AH2655">
        <v>1</v>
      </c>
      <c r="AI2655">
        <v>0</v>
      </c>
      <c r="AJ2655">
        <v>0</v>
      </c>
      <c r="AK2655">
        <v>150</v>
      </c>
      <c r="AL2655">
        <v>0</v>
      </c>
      <c r="AM2655">
        <v>900</v>
      </c>
      <c r="AN2655">
        <v>-90</v>
      </c>
      <c r="AO2655">
        <v>0</v>
      </c>
      <c r="AQ2655">
        <v>0</v>
      </c>
      <c r="AR2655">
        <v>0</v>
      </c>
      <c r="AS2655">
        <v>900</v>
      </c>
      <c r="AT2655">
        <v>-90</v>
      </c>
      <c r="AU2655">
        <v>0</v>
      </c>
      <c r="AW2655">
        <v>0</v>
      </c>
      <c r="AX2655">
        <v>0</v>
      </c>
      <c r="AY2655">
        <v>672</v>
      </c>
      <c r="BA2655" t="str">
        <f>T("0000000000000")</f>
        <v>0000000000000</v>
      </c>
      <c r="BC2655" t="str">
        <f>T("9791164480180")</f>
        <v>9791164480180</v>
      </c>
      <c r="BE2655" t="str">
        <f>T("판타지 e북 &gt; 퓨전 판타지")</f>
        <v>판타지 e북 &gt; 퓨전 판타지</v>
      </c>
    </row>
    <row r="2656" spans="1:57" x14ac:dyDescent="0.3">
      <c r="A2656">
        <v>1525000022</v>
      </c>
      <c r="B2656">
        <v>1525000049</v>
      </c>
      <c r="C2656" t="str">
        <f>T("[e북]마계대공 연대기 27권")</f>
        <v>[e북]마계대공 연대기 27권</v>
      </c>
      <c r="D2656" t="str">
        <f>T("27")</f>
        <v>27</v>
      </c>
      <c r="E2656" t="str">
        <f>T("김광수")</f>
        <v>김광수</v>
      </c>
      <c r="H2656" t="str">
        <f>T("스토리위즈")</f>
        <v>스토리위즈</v>
      </c>
      <c r="I2656" t="str">
        <f>T("[e북]마계대공 연대기")</f>
        <v>[e북]마계대공 연대기</v>
      </c>
      <c r="J2656">
        <v>3200</v>
      </c>
      <c r="K2656">
        <v>0</v>
      </c>
      <c r="L2656">
        <v>0</v>
      </c>
      <c r="M2656">
        <v>0</v>
      </c>
      <c r="N2656">
        <v>1800</v>
      </c>
      <c r="O2656">
        <v>2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1800</v>
      </c>
      <c r="AH2656">
        <v>2</v>
      </c>
      <c r="AI2656">
        <v>0</v>
      </c>
      <c r="AJ2656">
        <v>0</v>
      </c>
      <c r="AK2656">
        <v>900</v>
      </c>
      <c r="AL2656">
        <v>0</v>
      </c>
      <c r="AM2656">
        <v>1080</v>
      </c>
      <c r="AN2656">
        <v>-108</v>
      </c>
      <c r="AO2656">
        <v>0</v>
      </c>
      <c r="AQ2656">
        <v>0</v>
      </c>
      <c r="AR2656">
        <v>0</v>
      </c>
      <c r="AS2656">
        <v>1080</v>
      </c>
      <c r="AT2656">
        <v>-108</v>
      </c>
      <c r="AU2656">
        <v>0</v>
      </c>
      <c r="AW2656">
        <v>0</v>
      </c>
      <c r="AX2656">
        <v>0</v>
      </c>
      <c r="AY2656">
        <v>1310.4000000000001</v>
      </c>
      <c r="BE2656" t="str">
        <f>T("판타지 e북 &gt; 퓨전 판타지")</f>
        <v>판타지 e북 &gt; 퓨전 판타지</v>
      </c>
    </row>
    <row r="2657" spans="1:57" x14ac:dyDescent="0.3">
      <c r="A2657">
        <v>1525004030</v>
      </c>
      <c r="B2657">
        <v>1525004040</v>
      </c>
      <c r="C2657" t="str">
        <f>T("회귀의 전설 11화")</f>
        <v>회귀의 전설 11화</v>
      </c>
      <c r="D2657" t="str">
        <f>T("11")</f>
        <v>11</v>
      </c>
      <c r="E2657" t="str">
        <f>T("김광수")</f>
        <v>김광수</v>
      </c>
      <c r="H2657" t="str">
        <f>T("스토리위즈")</f>
        <v>스토리위즈</v>
      </c>
      <c r="I2657" t="str">
        <f>T("회귀의 전설")</f>
        <v>회귀의 전설</v>
      </c>
      <c r="J2657">
        <v>0</v>
      </c>
      <c r="K2657">
        <v>0</v>
      </c>
      <c r="L2657">
        <v>0</v>
      </c>
      <c r="M2657">
        <v>7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7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Q2657">
        <v>0</v>
      </c>
      <c r="AR2657">
        <v>0</v>
      </c>
      <c r="AT2657">
        <v>0</v>
      </c>
      <c r="AU2657">
        <v>0</v>
      </c>
      <c r="AW2657">
        <v>0</v>
      </c>
      <c r="AX2657">
        <v>0</v>
      </c>
      <c r="AY2657">
        <v>0</v>
      </c>
      <c r="BC2657" t="str">
        <f>T("9788997946006")</f>
        <v>9788997946006</v>
      </c>
      <c r="BE2657" t="str">
        <f>T("판타지 웹소설 &gt; 현대 판타지")</f>
        <v>판타지 웹소설 &gt; 현대 판타지</v>
      </c>
    </row>
    <row r="2658" spans="1:57" x14ac:dyDescent="0.3">
      <c r="A2658">
        <v>1525012202</v>
      </c>
      <c r="B2658">
        <v>1525012184</v>
      </c>
      <c r="C2658" t="str">
        <f>T("이세계 최강 군바리 19화")</f>
        <v>이세계 최강 군바리 19화</v>
      </c>
      <c r="D2658" t="str">
        <f>T("19")</f>
        <v>19</v>
      </c>
      <c r="E2658" t="str">
        <f>T("협행마")</f>
        <v>협행마</v>
      </c>
      <c r="H2658" t="str">
        <f>T("에필로그")</f>
        <v>에필로그</v>
      </c>
      <c r="I2658" t="str">
        <f>T("이세계 최강 군바리")</f>
        <v>이세계 최강 군바리</v>
      </c>
      <c r="J2658">
        <v>0</v>
      </c>
      <c r="K2658">
        <v>0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Q2658">
        <v>0</v>
      </c>
      <c r="AR2658">
        <v>0</v>
      </c>
      <c r="AT2658">
        <v>0</v>
      </c>
      <c r="AU2658">
        <v>0</v>
      </c>
      <c r="AW2658">
        <v>0</v>
      </c>
      <c r="AX2658">
        <v>0</v>
      </c>
      <c r="AY2658">
        <v>0</v>
      </c>
      <c r="BC2658" t="str">
        <f>T("9791164480159")</f>
        <v>9791164480159</v>
      </c>
      <c r="BE2658" t="str">
        <f>T("판타지 웹소설 &gt; 퓨전 판타지")</f>
        <v>판타지 웹소설 &gt; 퓨전 판타지</v>
      </c>
    </row>
    <row r="2659" spans="1:57" x14ac:dyDescent="0.3">
      <c r="A2659">
        <v>1525014780</v>
      </c>
      <c r="B2659">
        <v>1525014780</v>
      </c>
      <c r="C2659" t="str">
        <f>T("크랭키 걸즈 1화")</f>
        <v>크랭키 걸즈 1화</v>
      </c>
      <c r="D2659" t="str">
        <f>T("1")</f>
        <v>1</v>
      </c>
      <c r="E2659" t="str">
        <f>T("곽도우")</f>
        <v>곽도우</v>
      </c>
      <c r="H2659" t="str">
        <f>T("스토리아크")</f>
        <v>스토리아크</v>
      </c>
      <c r="I2659" t="str">
        <f>T("크랭키 걸즈")</f>
        <v>크랭키 걸즈</v>
      </c>
      <c r="J2659">
        <v>0</v>
      </c>
      <c r="K2659">
        <v>0</v>
      </c>
      <c r="L2659">
        <v>0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1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Q2659">
        <v>0</v>
      </c>
      <c r="AR2659">
        <v>0</v>
      </c>
      <c r="AT2659">
        <v>0</v>
      </c>
      <c r="AU2659">
        <v>0</v>
      </c>
      <c r="AW2659">
        <v>0</v>
      </c>
      <c r="AX2659">
        <v>0</v>
      </c>
      <c r="AY2659">
        <v>0</v>
      </c>
      <c r="BC2659" t="str">
        <f>T("9791191039139")</f>
        <v>9791191039139</v>
      </c>
      <c r="BE2659" t="str">
        <f>T("판타지 웹소설 &gt; 현대 판타지")</f>
        <v>판타지 웹소설 &gt; 현대 판타지</v>
      </c>
    </row>
    <row r="2660" spans="1:57" x14ac:dyDescent="0.3">
      <c r="A2660">
        <v>1525001499</v>
      </c>
      <c r="B2660">
        <v>1525001501</v>
      </c>
      <c r="C2660" t="str">
        <f>T("[e북]파계 3권")</f>
        <v>[e북]파계 3권</v>
      </c>
      <c r="D2660" t="str">
        <f>T("3")</f>
        <v>3</v>
      </c>
      <c r="E2660" t="str">
        <f>T("권용찬")</f>
        <v>권용찬</v>
      </c>
      <c r="H2660" t="str">
        <f>T("스토리위즈")</f>
        <v>스토리위즈</v>
      </c>
      <c r="I2660" t="str">
        <f>T("[e북]파계")</f>
        <v>[e북]파계</v>
      </c>
      <c r="J2660">
        <v>3200</v>
      </c>
      <c r="K2660">
        <v>0</v>
      </c>
      <c r="L2660">
        <v>0</v>
      </c>
      <c r="M2660">
        <v>0</v>
      </c>
      <c r="N2660">
        <v>900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900</v>
      </c>
      <c r="AH2660">
        <v>1</v>
      </c>
      <c r="AI2660">
        <v>0</v>
      </c>
      <c r="AJ2660">
        <v>0</v>
      </c>
      <c r="AK2660">
        <v>0</v>
      </c>
      <c r="AL2660">
        <v>0</v>
      </c>
      <c r="AM2660">
        <v>1080</v>
      </c>
      <c r="AN2660">
        <v>-108</v>
      </c>
      <c r="AO2660">
        <v>0</v>
      </c>
      <c r="AQ2660">
        <v>0</v>
      </c>
      <c r="AR2660">
        <v>0</v>
      </c>
      <c r="AS2660">
        <v>1080</v>
      </c>
      <c r="AT2660">
        <v>-108</v>
      </c>
      <c r="AU2660">
        <v>0</v>
      </c>
      <c r="AW2660">
        <v>0</v>
      </c>
      <c r="AX2660">
        <v>0</v>
      </c>
      <c r="AY2660">
        <v>680.4</v>
      </c>
      <c r="BC2660" t="str">
        <f>T("9791159282751")</f>
        <v>9791159282751</v>
      </c>
      <c r="BE2660" t="str">
        <f>T("판타지 e북 &gt; 신무협")</f>
        <v>판타지 e북 &gt; 신무협</v>
      </c>
    </row>
    <row r="2661" spans="1:57" x14ac:dyDescent="0.3">
      <c r="A2661">
        <v>1525002864</v>
      </c>
      <c r="B2661">
        <v>1525002865</v>
      </c>
      <c r="C2661" t="str">
        <f>T("소드마스터의 환생 2화")</f>
        <v>소드마스터의 환생 2화</v>
      </c>
      <c r="D2661" t="str">
        <f>T("2")</f>
        <v>2</v>
      </c>
      <c r="E2661" t="str">
        <f>T("파란영")</f>
        <v>파란영</v>
      </c>
      <c r="H2661" t="str">
        <f>T("스토리위즈")</f>
        <v>스토리위즈</v>
      </c>
      <c r="I2661" t="str">
        <f>T("소드마스터의 환생")</f>
        <v>소드마스터의 환생</v>
      </c>
      <c r="J2661">
        <v>0</v>
      </c>
      <c r="K2661">
        <v>0</v>
      </c>
      <c r="L2661">
        <v>0</v>
      </c>
      <c r="M2661">
        <v>3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3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Q2661">
        <v>0</v>
      </c>
      <c r="AR2661">
        <v>0</v>
      </c>
      <c r="AT2661">
        <v>0</v>
      </c>
      <c r="AU2661">
        <v>0</v>
      </c>
      <c r="AW2661">
        <v>0</v>
      </c>
      <c r="AX2661">
        <v>0</v>
      </c>
      <c r="AY2661">
        <v>0</v>
      </c>
      <c r="BC2661" t="str">
        <f>T("9791159287527")</f>
        <v>9791159287527</v>
      </c>
      <c r="BE2661" t="str">
        <f>T("판타지 웹소설 &gt; 정통 판타지")</f>
        <v>판타지 웹소설 &gt; 정통 판타지</v>
      </c>
    </row>
    <row r="2662" spans="1:57" x14ac:dyDescent="0.3">
      <c r="A2662">
        <v>1525001917</v>
      </c>
      <c r="B2662">
        <v>1525001918</v>
      </c>
      <c r="C2662" t="str">
        <f>T("[e북]용중신권 2권")</f>
        <v>[e북]용중신권 2권</v>
      </c>
      <c r="D2662" t="str">
        <f>T("2")</f>
        <v>2</v>
      </c>
      <c r="E2662" t="str">
        <f>T("권용찬")</f>
        <v>권용찬</v>
      </c>
      <c r="H2662" t="str">
        <f>T("스토리위즈")</f>
        <v>스토리위즈</v>
      </c>
      <c r="I2662" t="str">
        <f>T("[e북]용중신권")</f>
        <v>[e북]용중신권</v>
      </c>
      <c r="J2662">
        <v>3200</v>
      </c>
      <c r="K2662">
        <v>0</v>
      </c>
      <c r="L2662">
        <v>0</v>
      </c>
      <c r="M2662">
        <v>0</v>
      </c>
      <c r="N2662">
        <v>1800</v>
      </c>
      <c r="O2662">
        <v>2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1800</v>
      </c>
      <c r="AH2662">
        <v>2</v>
      </c>
      <c r="AI2662">
        <v>0</v>
      </c>
      <c r="AJ2662">
        <v>0</v>
      </c>
      <c r="AK2662">
        <v>900</v>
      </c>
      <c r="AL2662">
        <v>0</v>
      </c>
      <c r="AM2662">
        <v>1080</v>
      </c>
      <c r="AN2662">
        <v>-324</v>
      </c>
      <c r="AO2662">
        <v>0</v>
      </c>
      <c r="AP2662">
        <v>1080</v>
      </c>
      <c r="AQ2662">
        <v>-324</v>
      </c>
      <c r="AR2662">
        <v>0</v>
      </c>
      <c r="AT2662">
        <v>0</v>
      </c>
      <c r="AU2662">
        <v>0</v>
      </c>
      <c r="AW2662">
        <v>0</v>
      </c>
      <c r="AX2662">
        <v>0</v>
      </c>
      <c r="AY2662">
        <v>1159.2</v>
      </c>
      <c r="BC2662" t="str">
        <f>T("9791159285936")</f>
        <v>9791159285936</v>
      </c>
      <c r="BE2662" t="str">
        <f>T("판타지 e북 &gt; 신무협")</f>
        <v>판타지 e북 &gt; 신무협</v>
      </c>
    </row>
    <row r="2663" spans="1:57" x14ac:dyDescent="0.3">
      <c r="A2663">
        <v>1525010579</v>
      </c>
      <c r="B2663">
        <v>1525010572</v>
      </c>
      <c r="C2663" t="str">
        <f>T("법보다 주먹 6화")</f>
        <v>법보다 주먹 6화</v>
      </c>
      <c r="D2663" t="str">
        <f>T("6")</f>
        <v>6</v>
      </c>
      <c r="E2663" t="str">
        <f>T("백범(白帆)")</f>
        <v>백범(白帆)</v>
      </c>
      <c r="H2663" t="str">
        <f>T("에필로그")</f>
        <v>에필로그</v>
      </c>
      <c r="I2663" t="str">
        <f>T("법보다 주먹")</f>
        <v>법보다 주먹</v>
      </c>
      <c r="J2663">
        <v>0</v>
      </c>
      <c r="K2663">
        <v>0</v>
      </c>
      <c r="L2663">
        <v>0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1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Q2663">
        <v>0</v>
      </c>
      <c r="AR2663">
        <v>0</v>
      </c>
      <c r="AT2663">
        <v>0</v>
      </c>
      <c r="AU2663">
        <v>0</v>
      </c>
      <c r="AW2663">
        <v>0</v>
      </c>
      <c r="AX2663">
        <v>0</v>
      </c>
      <c r="AY2663">
        <v>0</v>
      </c>
      <c r="BC2663" t="str">
        <f>T("9791164489367")</f>
        <v>9791164489367</v>
      </c>
      <c r="BE2663" t="str">
        <f>T("판타지 웹소설 &gt; 현대 판타지")</f>
        <v>판타지 웹소설 &gt; 현대 판타지</v>
      </c>
    </row>
    <row r="2664" spans="1:57" x14ac:dyDescent="0.3">
      <c r="A2664">
        <v>1525013020</v>
      </c>
      <c r="B2664">
        <v>1525013033</v>
      </c>
      <c r="C2664" t="str">
        <f>T("악당의 리턴 14화")</f>
        <v>악당의 리턴 14화</v>
      </c>
      <c r="D2664" t="str">
        <f>T("14")</f>
        <v>14</v>
      </c>
      <c r="E2664" t="str">
        <f>T("백범(白帆)")</f>
        <v>백범(白帆)</v>
      </c>
      <c r="H2664" t="str">
        <f>T("에필로그")</f>
        <v>에필로그</v>
      </c>
      <c r="I2664" t="str">
        <f>T("악당의 리턴")</f>
        <v>악당의 리턴</v>
      </c>
      <c r="J2664">
        <v>0</v>
      </c>
      <c r="K2664">
        <v>0</v>
      </c>
      <c r="L2664">
        <v>0</v>
      </c>
      <c r="M2664">
        <v>6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6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Q2664">
        <v>0</v>
      </c>
      <c r="AR2664">
        <v>0</v>
      </c>
      <c r="AT2664">
        <v>0</v>
      </c>
      <c r="AU2664">
        <v>0</v>
      </c>
      <c r="AW2664">
        <v>0</v>
      </c>
      <c r="AX2664">
        <v>0</v>
      </c>
      <c r="AY2664">
        <v>0</v>
      </c>
      <c r="BC2664" t="str">
        <f>T("9791196538927")</f>
        <v>9791196538927</v>
      </c>
      <c r="BE2664" t="str">
        <f>T("판타지 웹소설 &gt; 현대 판타지")</f>
        <v>판타지 웹소설 &gt; 현대 판타지</v>
      </c>
    </row>
    <row r="2665" spans="1:57" x14ac:dyDescent="0.3">
      <c r="A2665">
        <v>1525000411</v>
      </c>
      <c r="B2665">
        <v>1525000434</v>
      </c>
      <c r="C2665" t="str">
        <f>T("레이드 만물상점 24화")</f>
        <v>레이드 만물상점 24화</v>
      </c>
      <c r="D2665" t="str">
        <f>T("24")</f>
        <v>24</v>
      </c>
      <c r="E2665" t="str">
        <f>T("전혁")</f>
        <v>전혁</v>
      </c>
      <c r="H2665" t="str">
        <f>T("스토리위즈")</f>
        <v>스토리위즈</v>
      </c>
      <c r="I2665" t="str">
        <f>T("레이드 만물상점")</f>
        <v>레이드 만물상점</v>
      </c>
      <c r="J2665">
        <v>0</v>
      </c>
      <c r="K2665">
        <v>0</v>
      </c>
      <c r="L2665">
        <v>0</v>
      </c>
      <c r="M2665">
        <v>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1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Q2665">
        <v>0</v>
      </c>
      <c r="AR2665">
        <v>0</v>
      </c>
      <c r="AT2665">
        <v>0</v>
      </c>
      <c r="AU2665">
        <v>0</v>
      </c>
      <c r="AW2665">
        <v>0</v>
      </c>
      <c r="AX2665">
        <v>0</v>
      </c>
      <c r="AY2665">
        <v>0</v>
      </c>
      <c r="BC2665" t="str">
        <f>T("9791170151432")</f>
        <v>9791170151432</v>
      </c>
      <c r="BE2665" t="str">
        <f>T("판타지 웹소설 &gt; 현대 판타지")</f>
        <v>판타지 웹소설 &gt; 현대 판타지</v>
      </c>
    </row>
    <row r="2666" spans="1:57" x14ac:dyDescent="0.3">
      <c r="A2666">
        <v>1525013020</v>
      </c>
      <c r="B2666">
        <v>1525013022</v>
      </c>
      <c r="C2666" t="str">
        <f>T("악당의 리턴 3화")</f>
        <v>악당의 리턴 3화</v>
      </c>
      <c r="D2666" t="str">
        <f>T("3")</f>
        <v>3</v>
      </c>
      <c r="E2666" t="str">
        <f>T("백범(白帆)")</f>
        <v>백범(白帆)</v>
      </c>
      <c r="H2666" t="str">
        <f>T("에필로그")</f>
        <v>에필로그</v>
      </c>
      <c r="I2666" t="str">
        <f>T("악당의 리턴")</f>
        <v>악당의 리턴</v>
      </c>
      <c r="J2666">
        <v>0</v>
      </c>
      <c r="K2666">
        <v>0</v>
      </c>
      <c r="L2666">
        <v>0</v>
      </c>
      <c r="M2666">
        <v>7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7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Q2666">
        <v>0</v>
      </c>
      <c r="AR2666">
        <v>0</v>
      </c>
      <c r="AT2666">
        <v>0</v>
      </c>
      <c r="AU2666">
        <v>0</v>
      </c>
      <c r="AW2666">
        <v>0</v>
      </c>
      <c r="AX2666">
        <v>0</v>
      </c>
      <c r="AY2666">
        <v>0</v>
      </c>
      <c r="BC2666" t="str">
        <f>T("9791196538927")</f>
        <v>9791196538927</v>
      </c>
      <c r="BE2666" t="str">
        <f>T("판타지 웹소설 &gt; 현대 판타지")</f>
        <v>판타지 웹소설 &gt; 현대 판타지</v>
      </c>
    </row>
    <row r="2667" spans="1:57" x14ac:dyDescent="0.3">
      <c r="A2667">
        <v>1525000411</v>
      </c>
      <c r="B2667">
        <v>1525000423</v>
      </c>
      <c r="C2667" t="str">
        <f>T("레이드 만물상점 13화")</f>
        <v>레이드 만물상점 13화</v>
      </c>
      <c r="D2667" t="str">
        <f>T("13")</f>
        <v>13</v>
      </c>
      <c r="E2667" t="str">
        <f>T("전혁")</f>
        <v>전혁</v>
      </c>
      <c r="H2667" t="str">
        <f>T("스토리위즈")</f>
        <v>스토리위즈</v>
      </c>
      <c r="I2667" t="str">
        <f>T("레이드 만물상점")</f>
        <v>레이드 만물상점</v>
      </c>
      <c r="J2667">
        <v>0</v>
      </c>
      <c r="K2667">
        <v>0</v>
      </c>
      <c r="L2667">
        <v>0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1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Q2667">
        <v>0</v>
      </c>
      <c r="AR2667">
        <v>0</v>
      </c>
      <c r="AT2667">
        <v>0</v>
      </c>
      <c r="AU2667">
        <v>0</v>
      </c>
      <c r="AW2667">
        <v>0</v>
      </c>
      <c r="AX2667">
        <v>0</v>
      </c>
      <c r="AY2667">
        <v>0</v>
      </c>
      <c r="BC2667" t="str">
        <f>T("9791170151432")</f>
        <v>9791170151432</v>
      </c>
      <c r="BE2667" t="str">
        <f>T("판타지 웹소설 &gt; 현대 판타지")</f>
        <v>판타지 웹소설 &gt; 현대 판타지</v>
      </c>
    </row>
    <row r="2668" spans="1:57" x14ac:dyDescent="0.3">
      <c r="A2668">
        <v>1525010944</v>
      </c>
      <c r="B2668">
        <v>1525010923</v>
      </c>
      <c r="C2668" t="str">
        <f>T("[e북]법보다 주먹 22권")</f>
        <v>[e북]법보다 주먹 22권</v>
      </c>
      <c r="D2668" t="str">
        <f>T("22")</f>
        <v>22</v>
      </c>
      <c r="E2668" t="str">
        <f>T("백범(白帆)")</f>
        <v>백범(白帆)</v>
      </c>
      <c r="H2668" t="str">
        <f>T("에필로그")</f>
        <v>에필로그</v>
      </c>
      <c r="I2668" t="str">
        <f>T("[e북]법보다 주먹")</f>
        <v>[e북]법보다 주먹</v>
      </c>
      <c r="J2668">
        <v>2000</v>
      </c>
      <c r="K2668">
        <v>0</v>
      </c>
      <c r="L2668">
        <v>0</v>
      </c>
      <c r="M2668">
        <v>0</v>
      </c>
      <c r="N2668">
        <v>900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900</v>
      </c>
      <c r="AH2668">
        <v>1</v>
      </c>
      <c r="AI2668">
        <v>0</v>
      </c>
      <c r="AJ2668">
        <v>0</v>
      </c>
      <c r="AK2668">
        <v>900</v>
      </c>
      <c r="AL2668">
        <v>0</v>
      </c>
      <c r="AM2668">
        <v>0</v>
      </c>
      <c r="AN2668">
        <v>0</v>
      </c>
      <c r="AO2668">
        <v>0</v>
      </c>
      <c r="AQ2668">
        <v>0</v>
      </c>
      <c r="AR2668">
        <v>0</v>
      </c>
      <c r="AT2668">
        <v>0</v>
      </c>
      <c r="AU2668">
        <v>0</v>
      </c>
      <c r="AW2668">
        <v>0</v>
      </c>
      <c r="AX2668">
        <v>0</v>
      </c>
      <c r="AY2668">
        <v>630</v>
      </c>
      <c r="BC2668" t="str">
        <f>T("9791164480142")</f>
        <v>9791164480142</v>
      </c>
      <c r="BE2668" t="str">
        <f>T("판타지 e북 &gt; 현대 판타지")</f>
        <v>판타지 e북 &gt; 현대 판타지</v>
      </c>
    </row>
    <row r="2669" spans="1:57" x14ac:dyDescent="0.3">
      <c r="A2669">
        <v>1525009483</v>
      </c>
      <c r="B2669">
        <v>1525009452</v>
      </c>
      <c r="C2669" t="str">
        <f>T("역천활음강시(逆天活陰强屍) 25화")</f>
        <v>역천활음강시(逆天活陰强屍) 25화</v>
      </c>
      <c r="D2669" t="str">
        <f>T("25")</f>
        <v>25</v>
      </c>
      <c r="E2669" t="str">
        <f>T("泰龍")</f>
        <v>泰龍</v>
      </c>
      <c r="H2669" t="str">
        <f>T("더컴퍼니")</f>
        <v>더컴퍼니</v>
      </c>
      <c r="I2669" t="str">
        <f>T("역천활음강시(逆天活陰强屍)")</f>
        <v>역천활음강시(逆天活陰强屍)</v>
      </c>
      <c r="J2669">
        <v>0</v>
      </c>
      <c r="K2669">
        <v>0</v>
      </c>
      <c r="L2669">
        <v>0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1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Q2669">
        <v>0</v>
      </c>
      <c r="AR2669">
        <v>0</v>
      </c>
      <c r="AT2669">
        <v>0</v>
      </c>
      <c r="AU2669">
        <v>0</v>
      </c>
      <c r="AW2669">
        <v>0</v>
      </c>
      <c r="AX2669">
        <v>0</v>
      </c>
      <c r="AY2669">
        <v>0</v>
      </c>
      <c r="BC2669" t="str">
        <f>T("9791164896608")</f>
        <v>9791164896608</v>
      </c>
      <c r="BD2669" t="str">
        <f>T("W1")</f>
        <v>W1</v>
      </c>
      <c r="BE2669" t="str">
        <f>T("판타지 웹소설 &gt; 무협 소설")</f>
        <v>판타지 웹소설 &gt; 무협 소설</v>
      </c>
    </row>
    <row r="2670" spans="1:57" x14ac:dyDescent="0.3">
      <c r="A2670">
        <v>1525000199</v>
      </c>
      <c r="B2670">
        <v>1525000202</v>
      </c>
      <c r="C2670" t="str">
        <f>T("[e북]화산지애 4권")</f>
        <v>[e북]화산지애 4권</v>
      </c>
      <c r="D2670" t="str">
        <f>T("4")</f>
        <v>4</v>
      </c>
      <c r="E2670" t="str">
        <f>T("김광수")</f>
        <v>김광수</v>
      </c>
      <c r="H2670" t="str">
        <f>T("스토리위즈")</f>
        <v>스토리위즈</v>
      </c>
      <c r="I2670" t="str">
        <f>T("[e북]화산지애")</f>
        <v>[e북]화산지애</v>
      </c>
      <c r="J2670">
        <v>3200</v>
      </c>
      <c r="K2670">
        <v>0</v>
      </c>
      <c r="L2670">
        <v>0</v>
      </c>
      <c r="M2670">
        <v>0</v>
      </c>
      <c r="N2670">
        <v>900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900</v>
      </c>
      <c r="AH2670">
        <v>1</v>
      </c>
      <c r="AI2670">
        <v>0</v>
      </c>
      <c r="AJ2670">
        <v>0</v>
      </c>
      <c r="AK2670">
        <v>900</v>
      </c>
      <c r="AL2670">
        <v>0</v>
      </c>
      <c r="AM2670">
        <v>0</v>
      </c>
      <c r="AN2670">
        <v>0</v>
      </c>
      <c r="AO2670">
        <v>0</v>
      </c>
      <c r="AQ2670">
        <v>0</v>
      </c>
      <c r="AR2670">
        <v>0</v>
      </c>
      <c r="AT2670">
        <v>0</v>
      </c>
      <c r="AU2670">
        <v>0</v>
      </c>
      <c r="AW2670">
        <v>0</v>
      </c>
      <c r="AX2670">
        <v>0</v>
      </c>
      <c r="AY2670">
        <v>630</v>
      </c>
      <c r="BE2670" t="str">
        <f>T("판타지 e북 &gt; 신무협")</f>
        <v>판타지 e북 &gt; 신무협</v>
      </c>
    </row>
    <row r="2671" spans="1:57" x14ac:dyDescent="0.3">
      <c r="A2671">
        <v>1525000906</v>
      </c>
      <c r="B2671">
        <v>1525000914</v>
      </c>
      <c r="C2671" t="str">
        <f>T("[e북]완전판 | 레이드 만물상점 9권 (완결)")</f>
        <v>[e북]완전판 | 레이드 만물상점 9권 (완결)</v>
      </c>
      <c r="D2671" t="str">
        <f>T("9")</f>
        <v>9</v>
      </c>
      <c r="E2671" t="str">
        <f>T("전혁")</f>
        <v>전혁</v>
      </c>
      <c r="H2671" t="str">
        <f>T("스토리위즈")</f>
        <v>스토리위즈</v>
      </c>
      <c r="I2671" t="str">
        <f>T("[e북]완전판 | 레이드 만물상점")</f>
        <v>[e북]완전판 | 레이드 만물상점</v>
      </c>
      <c r="J2671">
        <v>3200</v>
      </c>
      <c r="K2671">
        <v>0</v>
      </c>
      <c r="L2671">
        <v>0</v>
      </c>
      <c r="M2671">
        <v>0</v>
      </c>
      <c r="N2671">
        <v>4500</v>
      </c>
      <c r="O2671">
        <v>5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4500</v>
      </c>
      <c r="AH2671">
        <v>5</v>
      </c>
      <c r="AI2671">
        <v>0</v>
      </c>
      <c r="AJ2671">
        <v>0</v>
      </c>
      <c r="AK2671">
        <v>2700</v>
      </c>
      <c r="AL2671">
        <v>0</v>
      </c>
      <c r="AM2671">
        <v>2160</v>
      </c>
      <c r="AN2671">
        <v>-648</v>
      </c>
      <c r="AO2671">
        <v>0</v>
      </c>
      <c r="AQ2671">
        <v>0</v>
      </c>
      <c r="AR2671">
        <v>0</v>
      </c>
      <c r="AS2671">
        <v>2160</v>
      </c>
      <c r="AT2671">
        <v>-648</v>
      </c>
      <c r="AU2671">
        <v>0</v>
      </c>
      <c r="AW2671">
        <v>0</v>
      </c>
      <c r="AX2671">
        <v>0</v>
      </c>
      <c r="AY2671">
        <v>2948.4</v>
      </c>
      <c r="BC2671" t="str">
        <f>T("9791159282690")</f>
        <v>9791159282690</v>
      </c>
      <c r="BE2671" t="str">
        <f>T("판타지 e북 &gt; 현대 판타지")</f>
        <v>판타지 e북 &gt; 현대 판타지</v>
      </c>
    </row>
    <row r="2672" spans="1:57" x14ac:dyDescent="0.3">
      <c r="A2672">
        <v>1525012202</v>
      </c>
      <c r="B2672">
        <v>1525012198</v>
      </c>
      <c r="C2672" t="str">
        <f>T("이세계 최강 군바리 5화")</f>
        <v>이세계 최강 군바리 5화</v>
      </c>
      <c r="D2672" t="str">
        <f>T("5")</f>
        <v>5</v>
      </c>
      <c r="E2672" t="str">
        <f>T("협행마")</f>
        <v>협행마</v>
      </c>
      <c r="H2672" t="str">
        <f>T("에필로그")</f>
        <v>에필로그</v>
      </c>
      <c r="I2672" t="str">
        <f>T("이세계 최강 군바리")</f>
        <v>이세계 최강 군바리</v>
      </c>
      <c r="J2672">
        <v>0</v>
      </c>
      <c r="K2672">
        <v>0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1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Q2672">
        <v>0</v>
      </c>
      <c r="AR2672">
        <v>0</v>
      </c>
      <c r="AT2672">
        <v>0</v>
      </c>
      <c r="AU2672">
        <v>0</v>
      </c>
      <c r="AW2672">
        <v>0</v>
      </c>
      <c r="AX2672">
        <v>0</v>
      </c>
      <c r="AY2672">
        <v>0</v>
      </c>
      <c r="BC2672" t="str">
        <f>T("9791164480159")</f>
        <v>9791164480159</v>
      </c>
      <c r="BE2672" t="str">
        <f>T("판타지 웹소설 &gt; 퓨전 판타지")</f>
        <v>판타지 웹소설 &gt; 퓨전 판타지</v>
      </c>
    </row>
    <row r="2673" spans="1:57" x14ac:dyDescent="0.3">
      <c r="A2673">
        <v>1525000569</v>
      </c>
      <c r="B2673">
        <v>1525000588</v>
      </c>
      <c r="C2673" t="str">
        <f>T("스트라이커 20화")</f>
        <v>스트라이커 20화</v>
      </c>
      <c r="D2673" t="str">
        <f>T("20")</f>
        <v>20</v>
      </c>
      <c r="E2673" t="str">
        <f>T("독고진")</f>
        <v>독고진</v>
      </c>
      <c r="H2673" t="str">
        <f>T("스토리위즈")</f>
        <v>스토리위즈</v>
      </c>
      <c r="I2673" t="str">
        <f>T("스트라이커")</f>
        <v>스트라이커</v>
      </c>
      <c r="J2673">
        <v>0</v>
      </c>
      <c r="K2673">
        <v>0</v>
      </c>
      <c r="L2673">
        <v>0</v>
      </c>
      <c r="M2673">
        <v>2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2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Q2673">
        <v>0</v>
      </c>
      <c r="AR2673">
        <v>0</v>
      </c>
      <c r="AT2673">
        <v>0</v>
      </c>
      <c r="AU2673">
        <v>0</v>
      </c>
      <c r="AW2673">
        <v>0</v>
      </c>
      <c r="AX2673">
        <v>0</v>
      </c>
      <c r="AY2673">
        <v>0</v>
      </c>
      <c r="BC2673" t="str">
        <f>T("9791170151678")</f>
        <v>9791170151678</v>
      </c>
      <c r="BE2673" t="str">
        <f>T("판타지 웹소설 &gt; 현대 판타지")</f>
        <v>판타지 웹소설 &gt; 현대 판타지</v>
      </c>
    </row>
    <row r="2674" spans="1:57" x14ac:dyDescent="0.3">
      <c r="A2674">
        <v>1525013368</v>
      </c>
      <c r="B2674">
        <v>1525013372</v>
      </c>
      <c r="C2674" t="str">
        <f>T("[e북]기획에 산다 4권")</f>
        <v>[e북]기획에 산다 4권</v>
      </c>
      <c r="D2674" t="str">
        <f>T("4")</f>
        <v>4</v>
      </c>
      <c r="E2674" t="str">
        <f>T("백범(白帆)")</f>
        <v>백범(白帆)</v>
      </c>
      <c r="H2674" t="str">
        <f>T("에필로그")</f>
        <v>에필로그</v>
      </c>
      <c r="I2674" t="str">
        <f>T("[e북]기획에 산다")</f>
        <v>[e북]기획에 산다</v>
      </c>
      <c r="J2674">
        <v>2000</v>
      </c>
      <c r="K2674">
        <v>0</v>
      </c>
      <c r="L2674">
        <v>0</v>
      </c>
      <c r="M2674">
        <v>0</v>
      </c>
      <c r="N2674">
        <v>900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900</v>
      </c>
      <c r="AH2674">
        <v>1</v>
      </c>
      <c r="AI2674">
        <v>0</v>
      </c>
      <c r="AJ2674">
        <v>0</v>
      </c>
      <c r="AK2674">
        <v>900</v>
      </c>
      <c r="AL2674">
        <v>0</v>
      </c>
      <c r="AM2674">
        <v>0</v>
      </c>
      <c r="AN2674">
        <v>0</v>
      </c>
      <c r="AO2674">
        <v>0</v>
      </c>
      <c r="AQ2674">
        <v>0</v>
      </c>
      <c r="AR2674">
        <v>0</v>
      </c>
      <c r="AT2674">
        <v>0</v>
      </c>
      <c r="AU2674">
        <v>0</v>
      </c>
      <c r="AW2674">
        <v>0</v>
      </c>
      <c r="AX2674">
        <v>0</v>
      </c>
      <c r="AY2674">
        <v>630</v>
      </c>
      <c r="BC2674" t="str">
        <f>T("9791189867539")</f>
        <v>9791189867539</v>
      </c>
      <c r="BE2674" t="str">
        <f>T("판타지 e북 &gt; 현대 판타지")</f>
        <v>판타지 e북 &gt; 현대 판타지</v>
      </c>
    </row>
    <row r="2675" spans="1:57" x14ac:dyDescent="0.3">
      <c r="A2675">
        <v>1525000022</v>
      </c>
      <c r="B2675">
        <v>1525000038</v>
      </c>
      <c r="C2675" t="str">
        <f>T("[e북]마계대공 연대기 16권")</f>
        <v>[e북]마계대공 연대기 16권</v>
      </c>
      <c r="D2675" t="str">
        <f>T("16")</f>
        <v>16</v>
      </c>
      <c r="E2675" t="str">
        <f>T("김광수")</f>
        <v>김광수</v>
      </c>
      <c r="H2675" t="str">
        <f>T("스토리위즈")</f>
        <v>스토리위즈</v>
      </c>
      <c r="I2675" t="str">
        <f>T("[e북]마계대공 연대기")</f>
        <v>[e북]마계대공 연대기</v>
      </c>
      <c r="J2675">
        <v>3200</v>
      </c>
      <c r="K2675">
        <v>0</v>
      </c>
      <c r="L2675">
        <v>0</v>
      </c>
      <c r="M2675">
        <v>0</v>
      </c>
      <c r="N2675">
        <v>1800</v>
      </c>
      <c r="O2675">
        <v>2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1800</v>
      </c>
      <c r="AH2675">
        <v>2</v>
      </c>
      <c r="AI2675">
        <v>0</v>
      </c>
      <c r="AJ2675">
        <v>0</v>
      </c>
      <c r="AK2675">
        <v>900</v>
      </c>
      <c r="AL2675">
        <v>0</v>
      </c>
      <c r="AM2675">
        <v>1080</v>
      </c>
      <c r="AN2675">
        <v>-108</v>
      </c>
      <c r="AO2675">
        <v>0</v>
      </c>
      <c r="AQ2675">
        <v>0</v>
      </c>
      <c r="AR2675">
        <v>0</v>
      </c>
      <c r="AS2675">
        <v>1080</v>
      </c>
      <c r="AT2675">
        <v>-108</v>
      </c>
      <c r="AU2675">
        <v>0</v>
      </c>
      <c r="AW2675">
        <v>0</v>
      </c>
      <c r="AX2675">
        <v>0</v>
      </c>
      <c r="AY2675">
        <v>1310.4000000000001</v>
      </c>
      <c r="BE2675" t="str">
        <f>T("판타지 e북 &gt; 퓨전 판타지")</f>
        <v>판타지 e북 &gt; 퓨전 판타지</v>
      </c>
    </row>
    <row r="2676" spans="1:57" x14ac:dyDescent="0.3">
      <c r="A2676">
        <v>1525004988</v>
      </c>
      <c r="B2676">
        <v>1525005307</v>
      </c>
      <c r="C2676" t="str">
        <f>T("용무쌍 20화")</f>
        <v>용무쌍 20화</v>
      </c>
      <c r="D2676" t="str">
        <f>T("20")</f>
        <v>20</v>
      </c>
      <c r="E2676" t="str">
        <f>T("권용찬")</f>
        <v>권용찬</v>
      </c>
      <c r="H2676" t="str">
        <f>T("스토리위즈")</f>
        <v>스토리위즈</v>
      </c>
      <c r="I2676" t="str">
        <f>T("용무쌍")</f>
        <v>용무쌍</v>
      </c>
      <c r="J2676">
        <v>0</v>
      </c>
      <c r="K2676">
        <v>0</v>
      </c>
      <c r="L2676">
        <v>0</v>
      </c>
      <c r="M2676">
        <v>2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2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Q2676">
        <v>0</v>
      </c>
      <c r="AR2676">
        <v>0</v>
      </c>
      <c r="AT2676">
        <v>0</v>
      </c>
      <c r="AU2676">
        <v>0</v>
      </c>
      <c r="AW2676">
        <v>0</v>
      </c>
      <c r="AX2676">
        <v>0</v>
      </c>
      <c r="AY2676">
        <v>0</v>
      </c>
      <c r="BC2676" t="str">
        <f>T("9791159284861")</f>
        <v>9791159284861</v>
      </c>
      <c r="BE2676" t="str">
        <f>T("판타지 웹소설 &gt; 무협 소설")</f>
        <v>판타지 웹소설 &gt; 무협 소설</v>
      </c>
    </row>
    <row r="2677" spans="1:57" x14ac:dyDescent="0.3">
      <c r="A2677">
        <v>1525012005</v>
      </c>
      <c r="B2677">
        <v>1525011999</v>
      </c>
      <c r="C2677" t="str">
        <f>T("[e북]남궁세가 건달공자 7권")</f>
        <v>[e북]남궁세가 건달공자 7권</v>
      </c>
      <c r="D2677" t="str">
        <f>T("7")</f>
        <v>7</v>
      </c>
      <c r="E2677" t="str">
        <f>T("협행마")</f>
        <v>협행마</v>
      </c>
      <c r="H2677" t="str">
        <f>T("에필로그")</f>
        <v>에필로그</v>
      </c>
      <c r="I2677" t="str">
        <f>T("[e북]남궁세가 건달공자")</f>
        <v>[e북]남궁세가 건달공자</v>
      </c>
      <c r="J2677">
        <v>2500</v>
      </c>
      <c r="K2677">
        <v>0</v>
      </c>
      <c r="L2677">
        <v>0</v>
      </c>
      <c r="M2677">
        <v>0</v>
      </c>
      <c r="N2677">
        <v>900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900</v>
      </c>
      <c r="AH2677">
        <v>1</v>
      </c>
      <c r="AI2677">
        <v>0</v>
      </c>
      <c r="AJ2677">
        <v>0</v>
      </c>
      <c r="AK2677">
        <v>900</v>
      </c>
      <c r="AL2677">
        <v>0</v>
      </c>
      <c r="AM2677">
        <v>0</v>
      </c>
      <c r="AN2677">
        <v>0</v>
      </c>
      <c r="AO2677">
        <v>0</v>
      </c>
      <c r="AQ2677">
        <v>0</v>
      </c>
      <c r="AR2677">
        <v>0</v>
      </c>
      <c r="AT2677">
        <v>0</v>
      </c>
      <c r="AU2677">
        <v>0</v>
      </c>
      <c r="AW2677">
        <v>0</v>
      </c>
      <c r="AX2677">
        <v>0</v>
      </c>
      <c r="AY2677">
        <v>630</v>
      </c>
      <c r="BC2677" t="str">
        <f>T("9791164481613")</f>
        <v>9791164481613</v>
      </c>
      <c r="BE2677" t="str">
        <f>T("판타지 e북 &gt; 신무협")</f>
        <v>판타지 e북 &gt; 신무협</v>
      </c>
    </row>
    <row r="2678" spans="1:57" x14ac:dyDescent="0.3">
      <c r="A2678">
        <v>1525012551</v>
      </c>
      <c r="B2678">
        <v>1525012566</v>
      </c>
      <c r="C2678" t="str">
        <f>T("개정판 | 바보가 만드는 멋진 세상 16화")</f>
        <v>개정판 | 바보가 만드는 멋진 세상 16화</v>
      </c>
      <c r="D2678" t="str">
        <f>T("16")</f>
        <v>16</v>
      </c>
      <c r="E2678" t="str">
        <f>T("백범(白帆)")</f>
        <v>백범(白帆)</v>
      </c>
      <c r="H2678" t="str">
        <f>T("에필로그")</f>
        <v>에필로그</v>
      </c>
      <c r="I2678" t="str">
        <f>T("개정판 | 바보가 만드는 멋진 세상")</f>
        <v>개정판 | 바보가 만드는 멋진 세상</v>
      </c>
      <c r="J2678">
        <v>0</v>
      </c>
      <c r="K2678">
        <v>0</v>
      </c>
      <c r="L2678">
        <v>0</v>
      </c>
      <c r="M2678">
        <v>1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1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Q2678">
        <v>0</v>
      </c>
      <c r="AR2678">
        <v>0</v>
      </c>
      <c r="AT2678">
        <v>0</v>
      </c>
      <c r="AU2678">
        <v>0</v>
      </c>
      <c r="AW2678">
        <v>0</v>
      </c>
      <c r="AX2678">
        <v>0</v>
      </c>
      <c r="AY2678">
        <v>0</v>
      </c>
      <c r="BC2678" t="str">
        <f>T("9791166003493")</f>
        <v>9791166003493</v>
      </c>
      <c r="BE2678" t="str">
        <f>T("판타지 웹소설 &gt; 현대 판타지")</f>
        <v>판타지 웹소설 &gt; 현대 판타지</v>
      </c>
    </row>
    <row r="2679" spans="1:57" x14ac:dyDescent="0.3">
      <c r="A2679">
        <v>1525014438</v>
      </c>
      <c r="B2679">
        <v>1525014438</v>
      </c>
      <c r="C2679" t="str">
        <f>T("[e북]사냥꾼은 마왕이 되기 싫다 1권")</f>
        <v>[e북]사냥꾼은 마왕이 되기 싫다 1권</v>
      </c>
      <c r="D2679" t="str">
        <f>T("1")</f>
        <v>1</v>
      </c>
      <c r="E2679" t="str">
        <f>T("강명운")</f>
        <v>강명운</v>
      </c>
      <c r="H2679" t="str">
        <f>T("스토리아크")</f>
        <v>스토리아크</v>
      </c>
      <c r="I2679" t="str">
        <f>T("[e북]사냥꾼은 마왕이 되기 싫다")</f>
        <v>[e북]사냥꾼은 마왕이 되기 싫다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2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Q2679">
        <v>0</v>
      </c>
      <c r="AR2679">
        <v>0</v>
      </c>
      <c r="AT2679">
        <v>0</v>
      </c>
      <c r="AU2679">
        <v>0</v>
      </c>
      <c r="AW2679">
        <v>0</v>
      </c>
      <c r="AX2679">
        <v>0</v>
      </c>
      <c r="AY2679">
        <v>0</v>
      </c>
      <c r="BC2679" t="str">
        <f>T("9791191039412")</f>
        <v>9791191039412</v>
      </c>
      <c r="BE2679" t="str">
        <f>T("판타지 e북 &gt; 정통 판타지")</f>
        <v>판타지 e북 &gt; 정통 판타지</v>
      </c>
    </row>
    <row r="2680" spans="1:57" x14ac:dyDescent="0.3">
      <c r="A2680">
        <v>1525004799</v>
      </c>
      <c r="B2680">
        <v>1525004819</v>
      </c>
      <c r="C2680" t="str">
        <f>T("검산도해 21화")</f>
        <v>검산도해 21화</v>
      </c>
      <c r="D2680" t="str">
        <f>T("21")</f>
        <v>21</v>
      </c>
      <c r="E2680" t="str">
        <f>T("권용찬")</f>
        <v>권용찬</v>
      </c>
      <c r="H2680" t="str">
        <f t="shared" ref="H2680:H2685" si="185">T("스토리위즈")</f>
        <v>스토리위즈</v>
      </c>
      <c r="I2680" t="str">
        <f>T("검산도해")</f>
        <v>검산도해</v>
      </c>
      <c r="J2680">
        <v>0</v>
      </c>
      <c r="K2680">
        <v>0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1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Q2680">
        <v>0</v>
      </c>
      <c r="AR2680">
        <v>0</v>
      </c>
      <c r="AT2680">
        <v>0</v>
      </c>
      <c r="AU2680">
        <v>0</v>
      </c>
      <c r="AW2680">
        <v>0</v>
      </c>
      <c r="AX2680">
        <v>0</v>
      </c>
      <c r="AY2680">
        <v>0</v>
      </c>
      <c r="BC2680" t="str">
        <f>T("9791159285936")</f>
        <v>9791159285936</v>
      </c>
      <c r="BE2680" t="str">
        <f>T("판타지 웹소설 &gt; 무협 소설")</f>
        <v>판타지 웹소설 &gt; 무협 소설</v>
      </c>
    </row>
    <row r="2681" spans="1:57" x14ac:dyDescent="0.3">
      <c r="A2681">
        <v>1525001877</v>
      </c>
      <c r="B2681">
        <v>1525001877</v>
      </c>
      <c r="C2681" t="str">
        <f>T("[e북]완전판 | 게이트 헌터 1권")</f>
        <v>[e북]완전판 | 게이트 헌터 1권</v>
      </c>
      <c r="D2681" t="str">
        <f>T("1")</f>
        <v>1</v>
      </c>
      <c r="E2681" t="str">
        <f>T("권용찬")</f>
        <v>권용찬</v>
      </c>
      <c r="H2681" t="str">
        <f t="shared" si="185"/>
        <v>스토리위즈</v>
      </c>
      <c r="I2681" t="str">
        <f>T("[e북]완전판 | 게이트 헌터")</f>
        <v>[e북]완전판 | 게이트 헌터</v>
      </c>
      <c r="J2681">
        <v>0</v>
      </c>
      <c r="K2681">
        <v>0</v>
      </c>
      <c r="L2681">
        <v>0</v>
      </c>
      <c r="M2681">
        <v>2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2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Q2681">
        <v>0</v>
      </c>
      <c r="AR2681">
        <v>0</v>
      </c>
      <c r="AT2681">
        <v>0</v>
      </c>
      <c r="AU2681">
        <v>0</v>
      </c>
      <c r="AW2681">
        <v>0</v>
      </c>
      <c r="AX2681">
        <v>0</v>
      </c>
      <c r="AY2681">
        <v>0</v>
      </c>
      <c r="BC2681" t="str">
        <f>T("9791159285301")</f>
        <v>9791159285301</v>
      </c>
      <c r="BE2681" t="str">
        <f>T("판타지 e북 &gt; 현대 판타지")</f>
        <v>판타지 e북 &gt; 현대 판타지</v>
      </c>
    </row>
    <row r="2682" spans="1:57" x14ac:dyDescent="0.3">
      <c r="A2682">
        <v>1525002864</v>
      </c>
      <c r="B2682">
        <v>1525002886</v>
      </c>
      <c r="C2682" t="str">
        <f>T("소드마스터의 환생 23화")</f>
        <v>소드마스터의 환생 23화</v>
      </c>
      <c r="D2682" t="str">
        <f>T("23")</f>
        <v>23</v>
      </c>
      <c r="E2682" t="str">
        <f>T("파란영")</f>
        <v>파란영</v>
      </c>
      <c r="H2682" t="str">
        <f t="shared" si="185"/>
        <v>스토리위즈</v>
      </c>
      <c r="I2682" t="str">
        <f>T("소드마스터의 환생")</f>
        <v>소드마스터의 환생</v>
      </c>
      <c r="J2682">
        <v>0</v>
      </c>
      <c r="K2682">
        <v>0</v>
      </c>
      <c r="L2682">
        <v>0</v>
      </c>
      <c r="M2682">
        <v>4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4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Q2682">
        <v>0</v>
      </c>
      <c r="AR2682">
        <v>0</v>
      </c>
      <c r="AT2682">
        <v>0</v>
      </c>
      <c r="AU2682">
        <v>0</v>
      </c>
      <c r="AW2682">
        <v>0</v>
      </c>
      <c r="AX2682">
        <v>0</v>
      </c>
      <c r="AY2682">
        <v>0</v>
      </c>
      <c r="BC2682" t="str">
        <f>T("9791159287527")</f>
        <v>9791159287527</v>
      </c>
      <c r="BE2682" t="str">
        <f>T("판타지 웹소설 &gt; 정통 판타지")</f>
        <v>판타지 웹소설 &gt; 정통 판타지</v>
      </c>
    </row>
    <row r="2683" spans="1:57" x14ac:dyDescent="0.3">
      <c r="A2683">
        <v>1525000055</v>
      </c>
      <c r="B2683">
        <v>1525000062</v>
      </c>
      <c r="C2683" t="str">
        <f>T("[e북]21세기 대마법사 7권")</f>
        <v>[e북]21세기 대마법사 7권</v>
      </c>
      <c r="D2683" t="str">
        <f>T("7")</f>
        <v>7</v>
      </c>
      <c r="E2683" t="str">
        <f>T("김광수")</f>
        <v>김광수</v>
      </c>
      <c r="H2683" t="str">
        <f t="shared" si="185"/>
        <v>스토리위즈</v>
      </c>
      <c r="I2683" t="str">
        <f>T("[e북]21세기 대마법사")</f>
        <v>[e북]21세기 대마법사</v>
      </c>
      <c r="J2683">
        <v>3200</v>
      </c>
      <c r="K2683">
        <v>0</v>
      </c>
      <c r="L2683">
        <v>0</v>
      </c>
      <c r="M2683">
        <v>0</v>
      </c>
      <c r="N2683">
        <v>2700</v>
      </c>
      <c r="O2683">
        <v>3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2700</v>
      </c>
      <c r="AH2683">
        <v>3</v>
      </c>
      <c r="AI2683">
        <v>0</v>
      </c>
      <c r="AJ2683">
        <v>0</v>
      </c>
      <c r="AK2683">
        <v>900</v>
      </c>
      <c r="AL2683">
        <v>0</v>
      </c>
      <c r="AM2683">
        <v>2160</v>
      </c>
      <c r="AN2683">
        <v>-432</v>
      </c>
      <c r="AO2683">
        <v>0</v>
      </c>
      <c r="AQ2683">
        <v>0</v>
      </c>
      <c r="AR2683">
        <v>0</v>
      </c>
      <c r="AS2683">
        <v>2160</v>
      </c>
      <c r="AT2683">
        <v>-432</v>
      </c>
      <c r="AU2683">
        <v>0</v>
      </c>
      <c r="AW2683">
        <v>0</v>
      </c>
      <c r="AX2683">
        <v>0</v>
      </c>
      <c r="AY2683">
        <v>1839.6</v>
      </c>
      <c r="BC2683" t="str">
        <f>T("9788925117850")</f>
        <v>9788925117850</v>
      </c>
      <c r="BE2683" t="str">
        <f>T("판타지 e북 &gt; 퓨전 판타지")</f>
        <v>판타지 e북 &gt; 퓨전 판타지</v>
      </c>
    </row>
    <row r="2684" spans="1:57" x14ac:dyDescent="0.3">
      <c r="A2684">
        <v>1525004030</v>
      </c>
      <c r="B2684">
        <v>1525004050</v>
      </c>
      <c r="C2684" t="str">
        <f>T("회귀의 전설 21화")</f>
        <v>회귀의 전설 21화</v>
      </c>
      <c r="D2684" t="str">
        <f>T("21")</f>
        <v>21</v>
      </c>
      <c r="E2684" t="str">
        <f>T("김광수")</f>
        <v>김광수</v>
      </c>
      <c r="H2684" t="str">
        <f t="shared" si="185"/>
        <v>스토리위즈</v>
      </c>
      <c r="I2684" t="str">
        <f>T("회귀의 전설")</f>
        <v>회귀의 전설</v>
      </c>
      <c r="J2684">
        <v>0</v>
      </c>
      <c r="K2684">
        <v>0</v>
      </c>
      <c r="L2684">
        <v>0</v>
      </c>
      <c r="M2684">
        <v>7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7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Q2684">
        <v>0</v>
      </c>
      <c r="AR2684">
        <v>0</v>
      </c>
      <c r="AT2684">
        <v>0</v>
      </c>
      <c r="AU2684">
        <v>0</v>
      </c>
      <c r="AW2684">
        <v>0</v>
      </c>
      <c r="AX2684">
        <v>0</v>
      </c>
      <c r="AY2684">
        <v>0</v>
      </c>
      <c r="BC2684" t="str">
        <f>T("9788997946006")</f>
        <v>9788997946006</v>
      </c>
      <c r="BE2684" t="str">
        <f>T("판타지 웹소설 &gt; 현대 판타지")</f>
        <v>판타지 웹소설 &gt; 현대 판타지</v>
      </c>
    </row>
    <row r="2685" spans="1:57" x14ac:dyDescent="0.3">
      <c r="A2685">
        <v>1525004799</v>
      </c>
      <c r="B2685">
        <v>1525004808</v>
      </c>
      <c r="C2685" t="str">
        <f>T("검산도해 10화")</f>
        <v>검산도해 10화</v>
      </c>
      <c r="D2685" t="str">
        <f>T("10")</f>
        <v>10</v>
      </c>
      <c r="E2685" t="str">
        <f>T("권용찬")</f>
        <v>권용찬</v>
      </c>
      <c r="H2685" t="str">
        <f t="shared" si="185"/>
        <v>스토리위즈</v>
      </c>
      <c r="I2685" t="str">
        <f>T("검산도해")</f>
        <v>검산도해</v>
      </c>
      <c r="J2685">
        <v>0</v>
      </c>
      <c r="K2685">
        <v>0</v>
      </c>
      <c r="L2685">
        <v>0</v>
      </c>
      <c r="M2685">
        <v>4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4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Q2685">
        <v>0</v>
      </c>
      <c r="AR2685">
        <v>0</v>
      </c>
      <c r="AT2685">
        <v>0</v>
      </c>
      <c r="AU2685">
        <v>0</v>
      </c>
      <c r="AW2685">
        <v>0</v>
      </c>
      <c r="AX2685">
        <v>0</v>
      </c>
      <c r="AY2685">
        <v>0</v>
      </c>
      <c r="BC2685" t="str">
        <f>T("9791159285936")</f>
        <v>9791159285936</v>
      </c>
      <c r="BE2685" t="str">
        <f>T("판타지 웹소설 &gt; 무협 소설")</f>
        <v>판타지 웹소설 &gt; 무협 소설</v>
      </c>
    </row>
    <row r="2686" spans="1:57" x14ac:dyDescent="0.3">
      <c r="A2686">
        <v>1525014780</v>
      </c>
      <c r="B2686">
        <v>1525014790</v>
      </c>
      <c r="C2686" t="str">
        <f>T("크랭키 걸즈 11화")</f>
        <v>크랭키 걸즈 11화</v>
      </c>
      <c r="D2686" t="str">
        <f>T("11")</f>
        <v>11</v>
      </c>
      <c r="E2686" t="str">
        <f>T("곽도우")</f>
        <v>곽도우</v>
      </c>
      <c r="H2686" t="str">
        <f>T("스토리아크")</f>
        <v>스토리아크</v>
      </c>
      <c r="I2686" t="str">
        <f>T("크랭키 걸즈")</f>
        <v>크랭키 걸즈</v>
      </c>
      <c r="J2686">
        <v>0</v>
      </c>
      <c r="K2686">
        <v>0</v>
      </c>
      <c r="L2686">
        <v>0</v>
      </c>
      <c r="M2686">
        <v>1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1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Q2686">
        <v>0</v>
      </c>
      <c r="AR2686">
        <v>0</v>
      </c>
      <c r="AT2686">
        <v>0</v>
      </c>
      <c r="AU2686">
        <v>0</v>
      </c>
      <c r="AW2686">
        <v>0</v>
      </c>
      <c r="AX2686">
        <v>0</v>
      </c>
      <c r="AY2686">
        <v>0</v>
      </c>
      <c r="BC2686" t="str">
        <f>T("9791191039276")</f>
        <v>9791191039276</v>
      </c>
      <c r="BE2686" t="str">
        <f>T("판타지 웹소설 &gt; 현대 판타지")</f>
        <v>판타지 웹소설 &gt; 현대 판타지</v>
      </c>
    </row>
    <row r="2687" spans="1:57" x14ac:dyDescent="0.3">
      <c r="A2687">
        <v>1525001540</v>
      </c>
      <c r="B2687">
        <v>1525001546</v>
      </c>
      <c r="C2687" t="str">
        <f>T("[e북]철중쟁쟁 7권")</f>
        <v>[e북]철중쟁쟁 7권</v>
      </c>
      <c r="D2687" t="str">
        <f>T("7")</f>
        <v>7</v>
      </c>
      <c r="E2687" t="str">
        <f>T("권용찬")</f>
        <v>권용찬</v>
      </c>
      <c r="H2687" t="str">
        <f>T("스토리위즈")</f>
        <v>스토리위즈</v>
      </c>
      <c r="I2687" t="str">
        <f>T("[e북]철중쟁쟁")</f>
        <v>[e북]철중쟁쟁</v>
      </c>
      <c r="J2687">
        <v>3200</v>
      </c>
      <c r="K2687">
        <v>0</v>
      </c>
      <c r="L2687">
        <v>0</v>
      </c>
      <c r="M2687">
        <v>0</v>
      </c>
      <c r="N2687">
        <v>4500</v>
      </c>
      <c r="O2687">
        <v>5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4500</v>
      </c>
      <c r="AH2687">
        <v>5</v>
      </c>
      <c r="AI2687">
        <v>0</v>
      </c>
      <c r="AJ2687">
        <v>0</v>
      </c>
      <c r="AK2687">
        <v>2700</v>
      </c>
      <c r="AL2687">
        <v>0</v>
      </c>
      <c r="AM2687">
        <v>2160</v>
      </c>
      <c r="AN2687">
        <v>-648</v>
      </c>
      <c r="AO2687">
        <v>0</v>
      </c>
      <c r="AQ2687">
        <v>0</v>
      </c>
      <c r="AR2687">
        <v>0</v>
      </c>
      <c r="AS2687">
        <v>2160</v>
      </c>
      <c r="AT2687">
        <v>-648</v>
      </c>
      <c r="AU2687">
        <v>0</v>
      </c>
      <c r="AW2687">
        <v>0</v>
      </c>
      <c r="AX2687">
        <v>0</v>
      </c>
      <c r="AY2687">
        <v>2948.4</v>
      </c>
      <c r="BC2687" t="str">
        <f>T("9791159282331")</f>
        <v>9791159282331</v>
      </c>
      <c r="BE2687" t="str">
        <f>T("판타지 e북 &gt; 전통 무협")</f>
        <v>판타지 e북 &gt; 전통 무협</v>
      </c>
    </row>
    <row r="2688" spans="1:57" x14ac:dyDescent="0.3">
      <c r="A2688">
        <v>1525002864</v>
      </c>
      <c r="B2688">
        <v>1525002875</v>
      </c>
      <c r="C2688" t="str">
        <f>T("소드마스터의 환생 12화")</f>
        <v>소드마스터의 환생 12화</v>
      </c>
      <c r="D2688" t="str">
        <f>T("12")</f>
        <v>12</v>
      </c>
      <c r="E2688" t="str">
        <f>T("파란영")</f>
        <v>파란영</v>
      </c>
      <c r="H2688" t="str">
        <f>T("스토리위즈")</f>
        <v>스토리위즈</v>
      </c>
      <c r="I2688" t="str">
        <f>T("소드마스터의 환생")</f>
        <v>소드마스터의 환생</v>
      </c>
      <c r="J2688">
        <v>0</v>
      </c>
      <c r="K2688">
        <v>0</v>
      </c>
      <c r="L2688">
        <v>0</v>
      </c>
      <c r="M2688">
        <v>5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5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Q2688">
        <v>0</v>
      </c>
      <c r="AR2688">
        <v>0</v>
      </c>
      <c r="AT2688">
        <v>0</v>
      </c>
      <c r="AU2688">
        <v>0</v>
      </c>
      <c r="AW2688">
        <v>0</v>
      </c>
      <c r="AX2688">
        <v>0</v>
      </c>
      <c r="AY2688">
        <v>0</v>
      </c>
      <c r="BC2688" t="str">
        <f>T("9791159287527")</f>
        <v>9791159287527</v>
      </c>
      <c r="BE2688" t="str">
        <f>T("판타지 웹소설 &gt; 정통 판타지")</f>
        <v>판타지 웹소설 &gt; 정통 판타지</v>
      </c>
    </row>
    <row r="2689" spans="1:57" x14ac:dyDescent="0.3">
      <c r="A2689">
        <v>1525001317</v>
      </c>
      <c r="B2689">
        <v>1525001324</v>
      </c>
      <c r="C2689" t="str">
        <f>T("[e북]완전판 | 스트라이커 8권")</f>
        <v>[e북]완전판 | 스트라이커 8권</v>
      </c>
      <c r="D2689" t="str">
        <f>T("8")</f>
        <v>8</v>
      </c>
      <c r="E2689" t="str">
        <f>T("독고진")</f>
        <v>독고진</v>
      </c>
      <c r="H2689" t="str">
        <f>T("스토리위즈")</f>
        <v>스토리위즈</v>
      </c>
      <c r="I2689" t="str">
        <f>T("[e북]완전판 | 스트라이커")</f>
        <v>[e북]완전판 | 스트라이커</v>
      </c>
      <c r="J2689">
        <v>3200</v>
      </c>
      <c r="K2689">
        <v>0</v>
      </c>
      <c r="L2689">
        <v>0</v>
      </c>
      <c r="M2689">
        <v>0</v>
      </c>
      <c r="N2689">
        <v>900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900</v>
      </c>
      <c r="AH2689">
        <v>1</v>
      </c>
      <c r="AI2689">
        <v>0</v>
      </c>
      <c r="AJ2689">
        <v>0</v>
      </c>
      <c r="AK2689">
        <v>900</v>
      </c>
      <c r="AL2689">
        <v>0</v>
      </c>
      <c r="AM2689">
        <v>0</v>
      </c>
      <c r="AN2689">
        <v>0</v>
      </c>
      <c r="AO2689">
        <v>0</v>
      </c>
      <c r="AQ2689">
        <v>0</v>
      </c>
      <c r="AR2689">
        <v>0</v>
      </c>
      <c r="AT2689">
        <v>0</v>
      </c>
      <c r="AU2689">
        <v>0</v>
      </c>
      <c r="AW2689">
        <v>0</v>
      </c>
      <c r="AX2689">
        <v>0</v>
      </c>
      <c r="AY2689">
        <v>630</v>
      </c>
      <c r="BA2689" t="str">
        <f>T("9791159282904")</f>
        <v>9791159282904</v>
      </c>
      <c r="BC2689" t="str">
        <f>T("9791159282904")</f>
        <v>9791159282904</v>
      </c>
      <c r="BE2689" t="str">
        <f>T("판타지 e북 &gt; 스포츠물")</f>
        <v>판타지 e북 &gt; 스포츠물</v>
      </c>
    </row>
    <row r="2690" spans="1:57" x14ac:dyDescent="0.3">
      <c r="A2690">
        <v>1525004799</v>
      </c>
      <c r="B2690">
        <v>1525004799</v>
      </c>
      <c r="C2690" t="str">
        <f>T("검산도해 1화")</f>
        <v>검산도해 1화</v>
      </c>
      <c r="D2690" t="str">
        <f>T("1")</f>
        <v>1</v>
      </c>
      <c r="E2690" t="str">
        <f>T("권용찬")</f>
        <v>권용찬</v>
      </c>
      <c r="H2690" t="str">
        <f>T("스토리위즈")</f>
        <v>스토리위즈</v>
      </c>
      <c r="I2690" t="str">
        <f>T("검산도해")</f>
        <v>검산도해</v>
      </c>
      <c r="J2690">
        <v>0</v>
      </c>
      <c r="K2690">
        <v>0</v>
      </c>
      <c r="L2690">
        <v>0</v>
      </c>
      <c r="M2690">
        <v>5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5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Q2690">
        <v>0</v>
      </c>
      <c r="AR2690">
        <v>0</v>
      </c>
      <c r="AT2690">
        <v>0</v>
      </c>
      <c r="AU2690">
        <v>0</v>
      </c>
      <c r="AW2690">
        <v>0</v>
      </c>
      <c r="AX2690">
        <v>0</v>
      </c>
      <c r="AY2690">
        <v>0</v>
      </c>
      <c r="BC2690" t="str">
        <f>T("9791159285936")</f>
        <v>9791159285936</v>
      </c>
      <c r="BE2690" t="str">
        <f>T("판타지 웹소설 &gt; 무협 소설")</f>
        <v>판타지 웹소설 &gt; 무협 소설</v>
      </c>
    </row>
    <row r="2691" spans="1:57" x14ac:dyDescent="0.3">
      <c r="A2691">
        <v>1525010974</v>
      </c>
      <c r="B2691">
        <v>1525010974</v>
      </c>
      <c r="C2691" t="str">
        <f>T("[e북]위사무적 1권")</f>
        <v>[e북]위사무적 1권</v>
      </c>
      <c r="D2691" t="str">
        <f>T("1")</f>
        <v>1</v>
      </c>
      <c r="E2691" t="str">
        <f>T("협행마")</f>
        <v>협행마</v>
      </c>
      <c r="H2691" t="str">
        <f>T("에필로그")</f>
        <v>에필로그</v>
      </c>
      <c r="I2691" t="str">
        <f>T("[e북]위사무적")</f>
        <v>[e북]위사무적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3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3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Q2691">
        <v>0</v>
      </c>
      <c r="AR2691">
        <v>0</v>
      </c>
      <c r="AT2691">
        <v>0</v>
      </c>
      <c r="AU2691">
        <v>0</v>
      </c>
      <c r="AW2691">
        <v>0</v>
      </c>
      <c r="AX2691">
        <v>0</v>
      </c>
      <c r="AY2691">
        <v>0</v>
      </c>
      <c r="BC2691" t="str">
        <f>T("9791164489015")</f>
        <v>9791164489015</v>
      </c>
      <c r="BE2691" t="str">
        <f>T("판타지 e북 &gt; 신무협")</f>
        <v>판타지 e북 &gt; 신무협</v>
      </c>
    </row>
    <row r="2692" spans="1:57" x14ac:dyDescent="0.3">
      <c r="A2692">
        <v>1525000411</v>
      </c>
      <c r="B2692">
        <v>1525000412</v>
      </c>
      <c r="C2692" t="str">
        <f>T("레이드 만물상점 2화")</f>
        <v>레이드 만물상점 2화</v>
      </c>
      <c r="D2692" t="str">
        <f>T("2")</f>
        <v>2</v>
      </c>
      <c r="E2692" t="str">
        <f>T("전혁")</f>
        <v>전혁</v>
      </c>
      <c r="H2692" t="str">
        <f>T("스토리위즈")</f>
        <v>스토리위즈</v>
      </c>
      <c r="I2692" t="str">
        <f>T("레이드 만물상점")</f>
        <v>레이드 만물상점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1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Q2692">
        <v>0</v>
      </c>
      <c r="AR2692">
        <v>0</v>
      </c>
      <c r="AT2692">
        <v>0</v>
      </c>
      <c r="AU2692">
        <v>0</v>
      </c>
      <c r="AW2692">
        <v>0</v>
      </c>
      <c r="AX2692">
        <v>0</v>
      </c>
      <c r="AY2692">
        <v>0</v>
      </c>
      <c r="BC2692" t="str">
        <f>T("9791170151432")</f>
        <v>9791170151432</v>
      </c>
      <c r="BE2692" t="str">
        <f>T("판타지 웹소설 &gt; 현대 판타지")</f>
        <v>판타지 웹소설 &gt; 현대 판타지</v>
      </c>
    </row>
    <row r="2693" spans="1:57" x14ac:dyDescent="0.3">
      <c r="A2693">
        <v>1525010900</v>
      </c>
      <c r="B2693">
        <v>1525010893</v>
      </c>
      <c r="C2693" t="str">
        <f>T("[e북]무적살수 6권")</f>
        <v>[e북]무적살수 6권</v>
      </c>
      <c r="D2693" t="str">
        <f>T("6")</f>
        <v>6</v>
      </c>
      <c r="E2693" t="str">
        <f>T("협행마")</f>
        <v>협행마</v>
      </c>
      <c r="H2693" t="str">
        <f>T("에필로그")</f>
        <v>에필로그</v>
      </c>
      <c r="I2693" t="str">
        <f>T("[e북]무적살수")</f>
        <v>[e북]무적살수</v>
      </c>
      <c r="J2693">
        <v>2500</v>
      </c>
      <c r="K2693">
        <v>0</v>
      </c>
      <c r="L2693">
        <v>0</v>
      </c>
      <c r="M2693">
        <v>0</v>
      </c>
      <c r="N2693">
        <v>810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810</v>
      </c>
      <c r="AH2693">
        <v>1</v>
      </c>
      <c r="AI2693">
        <v>0</v>
      </c>
      <c r="AJ2693">
        <v>0</v>
      </c>
      <c r="AK2693">
        <v>810</v>
      </c>
      <c r="AL2693">
        <v>0</v>
      </c>
      <c r="AM2693">
        <v>0</v>
      </c>
      <c r="AN2693">
        <v>0</v>
      </c>
      <c r="AO2693">
        <v>0</v>
      </c>
      <c r="AQ2693">
        <v>0</v>
      </c>
      <c r="AR2693">
        <v>0</v>
      </c>
      <c r="AT2693">
        <v>0</v>
      </c>
      <c r="AU2693">
        <v>0</v>
      </c>
      <c r="AW2693">
        <v>0</v>
      </c>
      <c r="AX2693">
        <v>0</v>
      </c>
      <c r="AY2693">
        <v>567</v>
      </c>
      <c r="BC2693" t="str">
        <f>T("9791166000126")</f>
        <v>9791166000126</v>
      </c>
      <c r="BE2693" t="str">
        <f>T("판타지 e북 &gt; 전통 무협")</f>
        <v>판타지 e북 &gt; 전통 무협</v>
      </c>
    </row>
    <row r="2694" spans="1:57" x14ac:dyDescent="0.3">
      <c r="A2694">
        <v>1525013020</v>
      </c>
      <c r="B2694">
        <v>1525013043</v>
      </c>
      <c r="C2694" t="str">
        <f>T("악당의 리턴 24화")</f>
        <v>악당의 리턴 24화</v>
      </c>
      <c r="D2694" t="str">
        <f>T("24")</f>
        <v>24</v>
      </c>
      <c r="E2694" t="str">
        <f>T("백범(白帆)")</f>
        <v>백범(白帆)</v>
      </c>
      <c r="H2694" t="str">
        <f>T("에필로그")</f>
        <v>에필로그</v>
      </c>
      <c r="I2694" t="str">
        <f>T("악당의 리턴")</f>
        <v>악당의 리턴</v>
      </c>
      <c r="J2694">
        <v>0</v>
      </c>
      <c r="K2694">
        <v>0</v>
      </c>
      <c r="L2694">
        <v>0</v>
      </c>
      <c r="M2694">
        <v>6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6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Q2694">
        <v>0</v>
      </c>
      <c r="AR2694">
        <v>0</v>
      </c>
      <c r="AT2694">
        <v>0</v>
      </c>
      <c r="AU2694">
        <v>0</v>
      </c>
      <c r="AW2694">
        <v>0</v>
      </c>
      <c r="AX2694">
        <v>0</v>
      </c>
      <c r="AY2694">
        <v>0</v>
      </c>
      <c r="BC2694" t="str">
        <f>T("9791196538927")</f>
        <v>9791196538927</v>
      </c>
      <c r="BE2694" t="str">
        <f>T("판타지 웹소설 &gt; 현대 판타지")</f>
        <v>판타지 웹소설 &gt; 현대 판타지</v>
      </c>
    </row>
    <row r="2695" spans="1:57" x14ac:dyDescent="0.3">
      <c r="A2695">
        <v>1525011040</v>
      </c>
      <c r="B2695">
        <v>1525011039</v>
      </c>
      <c r="C2695" t="str">
        <f>T("[e북]이세계 최강 군바리 2권")</f>
        <v>[e북]이세계 최강 군바리 2권</v>
      </c>
      <c r="D2695" t="str">
        <f>T("2")</f>
        <v>2</v>
      </c>
      <c r="E2695" t="str">
        <f>T("협행마")</f>
        <v>협행마</v>
      </c>
      <c r="H2695" t="str">
        <f>T("에필로그")</f>
        <v>에필로그</v>
      </c>
      <c r="I2695" t="str">
        <f>T("[e북]이세계 최강 군바리")</f>
        <v>[e북]이세계 최강 군바리</v>
      </c>
      <c r="J2695">
        <v>2500</v>
      </c>
      <c r="K2695">
        <v>0</v>
      </c>
      <c r="L2695">
        <v>0</v>
      </c>
      <c r="M2695">
        <v>0</v>
      </c>
      <c r="N2695">
        <v>1800</v>
      </c>
      <c r="O2695">
        <v>2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1800</v>
      </c>
      <c r="AH2695">
        <v>2</v>
      </c>
      <c r="AI2695">
        <v>0</v>
      </c>
      <c r="AJ2695">
        <v>0</v>
      </c>
      <c r="AK2695">
        <v>0</v>
      </c>
      <c r="AL2695">
        <v>0</v>
      </c>
      <c r="AM2695">
        <v>2160</v>
      </c>
      <c r="AN2695">
        <v>-216</v>
      </c>
      <c r="AO2695">
        <v>0</v>
      </c>
      <c r="AQ2695">
        <v>0</v>
      </c>
      <c r="AR2695">
        <v>0</v>
      </c>
      <c r="AS2695">
        <v>2160</v>
      </c>
      <c r="AT2695">
        <v>-216</v>
      </c>
      <c r="AU2695">
        <v>0</v>
      </c>
      <c r="AW2695">
        <v>0</v>
      </c>
      <c r="AX2695">
        <v>0</v>
      </c>
      <c r="AY2695">
        <v>1360.8</v>
      </c>
      <c r="BC2695" t="str">
        <f>T("9791164483655")</f>
        <v>9791164483655</v>
      </c>
      <c r="BE2695" t="str">
        <f>T("판타지 e북 &gt; 퓨전 판타지")</f>
        <v>판타지 e북 &gt; 퓨전 판타지</v>
      </c>
    </row>
    <row r="2696" spans="1:57" x14ac:dyDescent="0.3">
      <c r="A2696">
        <v>1525012202</v>
      </c>
      <c r="B2696">
        <v>1525012187</v>
      </c>
      <c r="C2696" t="str">
        <f>T("이세계 최강 군바리 16화")</f>
        <v>이세계 최강 군바리 16화</v>
      </c>
      <c r="D2696" t="str">
        <f>T("16")</f>
        <v>16</v>
      </c>
      <c r="E2696" t="str">
        <f>T("협행마")</f>
        <v>협행마</v>
      </c>
      <c r="H2696" t="str">
        <f>T("에필로그")</f>
        <v>에필로그</v>
      </c>
      <c r="I2696" t="str">
        <f>T("이세계 최강 군바리")</f>
        <v>이세계 최강 군바리</v>
      </c>
      <c r="J2696">
        <v>0</v>
      </c>
      <c r="K2696">
        <v>0</v>
      </c>
      <c r="L2696">
        <v>0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1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Q2696">
        <v>0</v>
      </c>
      <c r="AR2696">
        <v>0</v>
      </c>
      <c r="AT2696">
        <v>0</v>
      </c>
      <c r="AU2696">
        <v>0</v>
      </c>
      <c r="AW2696">
        <v>0</v>
      </c>
      <c r="AX2696">
        <v>0</v>
      </c>
      <c r="AY2696">
        <v>0</v>
      </c>
      <c r="BC2696" t="str">
        <f>T("9791164480159")</f>
        <v>9791164480159</v>
      </c>
      <c r="BE2696" t="str">
        <f>T("판타지 웹소설 &gt; 퓨전 판타지")</f>
        <v>판타지 웹소설 &gt; 퓨전 판타지</v>
      </c>
    </row>
    <row r="2697" spans="1:57" x14ac:dyDescent="0.3">
      <c r="A2697">
        <v>1525000569</v>
      </c>
      <c r="B2697">
        <v>1525000577</v>
      </c>
      <c r="C2697" t="str">
        <f>T("스트라이커 9화")</f>
        <v>스트라이커 9화</v>
      </c>
      <c r="D2697" t="str">
        <f>T("9")</f>
        <v>9</v>
      </c>
      <c r="E2697" t="str">
        <f>T("독고진")</f>
        <v>독고진</v>
      </c>
      <c r="H2697" t="str">
        <f>T("스토리위즈")</f>
        <v>스토리위즈</v>
      </c>
      <c r="I2697" t="str">
        <f>T("스트라이커")</f>
        <v>스트라이커</v>
      </c>
      <c r="J2697">
        <v>0</v>
      </c>
      <c r="K2697">
        <v>0</v>
      </c>
      <c r="L2697">
        <v>0</v>
      </c>
      <c r="M2697">
        <v>1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1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Q2697">
        <v>0</v>
      </c>
      <c r="AR2697">
        <v>0</v>
      </c>
      <c r="AT2697">
        <v>0</v>
      </c>
      <c r="AU2697">
        <v>0</v>
      </c>
      <c r="AW2697">
        <v>0</v>
      </c>
      <c r="AX2697">
        <v>0</v>
      </c>
      <c r="AY2697">
        <v>0</v>
      </c>
      <c r="BC2697" t="str">
        <f>T("9791170151678")</f>
        <v>9791170151678</v>
      </c>
      <c r="BE2697" t="str">
        <f>T("판타지 웹소설 &gt; 현대 판타지")</f>
        <v>판타지 웹소설 &gt; 현대 판타지</v>
      </c>
    </row>
    <row r="2698" spans="1:57" x14ac:dyDescent="0.3">
      <c r="A2698">
        <v>1525004030</v>
      </c>
      <c r="B2698">
        <v>1525004051</v>
      </c>
      <c r="C2698" t="str">
        <f>T("회귀의 전설 22화")</f>
        <v>회귀의 전설 22화</v>
      </c>
      <c r="D2698" t="str">
        <f>T("22")</f>
        <v>22</v>
      </c>
      <c r="E2698" t="str">
        <f>T("김광수")</f>
        <v>김광수</v>
      </c>
      <c r="H2698" t="str">
        <f>T("스토리위즈")</f>
        <v>스토리위즈</v>
      </c>
      <c r="I2698" t="str">
        <f>T("회귀의 전설")</f>
        <v>회귀의 전설</v>
      </c>
      <c r="J2698">
        <v>0</v>
      </c>
      <c r="K2698">
        <v>0</v>
      </c>
      <c r="L2698">
        <v>0</v>
      </c>
      <c r="M2698">
        <v>7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7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Q2698">
        <v>0</v>
      </c>
      <c r="AR2698">
        <v>0</v>
      </c>
      <c r="AT2698">
        <v>0</v>
      </c>
      <c r="AU2698">
        <v>0</v>
      </c>
      <c r="AW2698">
        <v>0</v>
      </c>
      <c r="AX2698">
        <v>0</v>
      </c>
      <c r="AY2698">
        <v>0</v>
      </c>
      <c r="BC2698" t="str">
        <f>T("9788997946006")</f>
        <v>9788997946006</v>
      </c>
      <c r="BE2698" t="str">
        <f>T("판타지 웹소설 &gt; 현대 판타지")</f>
        <v>판타지 웹소설 &gt; 현대 판타지</v>
      </c>
    </row>
    <row r="2699" spans="1:57" x14ac:dyDescent="0.3">
      <c r="A2699">
        <v>1525010944</v>
      </c>
      <c r="B2699">
        <v>1525010944</v>
      </c>
      <c r="C2699" t="str">
        <f>T("[e북]법보다 주먹 1권")</f>
        <v>[e북]법보다 주먹 1권</v>
      </c>
      <c r="D2699" t="str">
        <f>T("1")</f>
        <v>1</v>
      </c>
      <c r="E2699" t="str">
        <f>T("백범(白帆)")</f>
        <v>백범(白帆)</v>
      </c>
      <c r="H2699" t="str">
        <f>T("에필로그")</f>
        <v>에필로그</v>
      </c>
      <c r="I2699" t="str">
        <f>T("[e북]법보다 주먹")</f>
        <v>[e북]법보다 주먹</v>
      </c>
      <c r="J2699">
        <v>0</v>
      </c>
      <c r="K2699">
        <v>0</v>
      </c>
      <c r="L2699">
        <v>0</v>
      </c>
      <c r="M2699">
        <v>4</v>
      </c>
      <c r="N2699">
        <v>0</v>
      </c>
      <c r="O2699">
        <v>0</v>
      </c>
      <c r="P2699">
        <v>8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12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Q2699">
        <v>0</v>
      </c>
      <c r="AR2699">
        <v>0</v>
      </c>
      <c r="AT2699">
        <v>0</v>
      </c>
      <c r="AU2699">
        <v>0</v>
      </c>
      <c r="AW2699">
        <v>0</v>
      </c>
      <c r="AX2699">
        <v>0</v>
      </c>
      <c r="AY2699">
        <v>0</v>
      </c>
      <c r="BC2699" t="str">
        <f>T("9791164480142")</f>
        <v>9791164480142</v>
      </c>
      <c r="BE2699" t="str">
        <f>T("판타지 e북 &gt; 현대 판타지")</f>
        <v>판타지 e북 &gt; 현대 판타지</v>
      </c>
    </row>
    <row r="2700" spans="1:57" x14ac:dyDescent="0.3">
      <c r="A2700">
        <v>1525000055</v>
      </c>
      <c r="B2700">
        <v>1525000071</v>
      </c>
      <c r="C2700" t="str">
        <f>T("[e북]21세기 대마법사 16권")</f>
        <v>[e북]21세기 대마법사 16권</v>
      </c>
      <c r="D2700" t="str">
        <f>T("16")</f>
        <v>16</v>
      </c>
      <c r="E2700" t="str">
        <f>T("김광수")</f>
        <v>김광수</v>
      </c>
      <c r="H2700" t="str">
        <f>T("스토리위즈")</f>
        <v>스토리위즈</v>
      </c>
      <c r="I2700" t="str">
        <f>T("[e북]21세기 대마법사")</f>
        <v>[e북]21세기 대마법사</v>
      </c>
      <c r="J2700">
        <v>3200</v>
      </c>
      <c r="K2700">
        <v>0</v>
      </c>
      <c r="L2700">
        <v>0</v>
      </c>
      <c r="M2700">
        <v>0</v>
      </c>
      <c r="N2700">
        <v>1800</v>
      </c>
      <c r="O2700">
        <v>2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1800</v>
      </c>
      <c r="AH2700">
        <v>2</v>
      </c>
      <c r="AI2700">
        <v>0</v>
      </c>
      <c r="AJ2700">
        <v>0</v>
      </c>
      <c r="AK2700">
        <v>0</v>
      </c>
      <c r="AL2700">
        <v>0</v>
      </c>
      <c r="AM2700">
        <v>2160</v>
      </c>
      <c r="AN2700">
        <v>-432</v>
      </c>
      <c r="AO2700">
        <v>0</v>
      </c>
      <c r="AQ2700">
        <v>0</v>
      </c>
      <c r="AR2700">
        <v>0</v>
      </c>
      <c r="AS2700">
        <v>2160</v>
      </c>
      <c r="AT2700">
        <v>-432</v>
      </c>
      <c r="AU2700">
        <v>0</v>
      </c>
      <c r="AW2700">
        <v>0</v>
      </c>
      <c r="AX2700">
        <v>0</v>
      </c>
      <c r="AY2700">
        <v>1209.5999999999999</v>
      </c>
      <c r="BC2700" t="str">
        <f>T("9788925120379")</f>
        <v>9788925120379</v>
      </c>
      <c r="BE2700" t="str">
        <f>T("판타지 e북 &gt; 퓨전 판타지")</f>
        <v>판타지 e북 &gt; 퓨전 판타지</v>
      </c>
    </row>
    <row r="2701" spans="1:57" x14ac:dyDescent="0.3">
      <c r="A2701">
        <v>1525000022</v>
      </c>
      <c r="B2701">
        <v>1525000026</v>
      </c>
      <c r="C2701" t="str">
        <f>T("[e북]마계대공 연대기 5권")</f>
        <v>[e북]마계대공 연대기 5권</v>
      </c>
      <c r="D2701" t="str">
        <f>T("5")</f>
        <v>5</v>
      </c>
      <c r="E2701" t="str">
        <f>T("김광수")</f>
        <v>김광수</v>
      </c>
      <c r="H2701" t="str">
        <f>T("스토리위즈")</f>
        <v>스토리위즈</v>
      </c>
      <c r="I2701" t="str">
        <f>T("[e북]마계대공 연대기")</f>
        <v>[e북]마계대공 연대기</v>
      </c>
      <c r="J2701">
        <v>3200</v>
      </c>
      <c r="K2701">
        <v>0</v>
      </c>
      <c r="L2701">
        <v>0</v>
      </c>
      <c r="M2701">
        <v>0</v>
      </c>
      <c r="N2701">
        <v>2700</v>
      </c>
      <c r="O2701">
        <v>3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2700</v>
      </c>
      <c r="AH2701">
        <v>3</v>
      </c>
      <c r="AI2701">
        <v>0</v>
      </c>
      <c r="AJ2701">
        <v>0</v>
      </c>
      <c r="AK2701">
        <v>1800</v>
      </c>
      <c r="AL2701">
        <v>0</v>
      </c>
      <c r="AM2701">
        <v>1080</v>
      </c>
      <c r="AN2701">
        <v>-108</v>
      </c>
      <c r="AO2701">
        <v>0</v>
      </c>
      <c r="AQ2701">
        <v>0</v>
      </c>
      <c r="AR2701">
        <v>0</v>
      </c>
      <c r="AS2701">
        <v>1080</v>
      </c>
      <c r="AT2701">
        <v>-108</v>
      </c>
      <c r="AU2701">
        <v>0</v>
      </c>
      <c r="AW2701">
        <v>0</v>
      </c>
      <c r="AX2701">
        <v>0</v>
      </c>
      <c r="AY2701">
        <v>1940.4</v>
      </c>
      <c r="BE2701" t="str">
        <f>T("판타지 e북 &gt; 퓨전 판타지")</f>
        <v>판타지 e북 &gt; 퓨전 판타지</v>
      </c>
    </row>
    <row r="2702" spans="1:57" x14ac:dyDescent="0.3">
      <c r="A2702">
        <v>1525004988</v>
      </c>
      <c r="B2702">
        <v>1525005296</v>
      </c>
      <c r="C2702" t="str">
        <f>T("용무쌍 9화")</f>
        <v>용무쌍 9화</v>
      </c>
      <c r="D2702" t="str">
        <f>T("9")</f>
        <v>9</v>
      </c>
      <c r="E2702" t="str">
        <f>T("권용찬")</f>
        <v>권용찬</v>
      </c>
      <c r="H2702" t="str">
        <f>T("스토리위즈")</f>
        <v>스토리위즈</v>
      </c>
      <c r="I2702" t="str">
        <f>T("용무쌍")</f>
        <v>용무쌍</v>
      </c>
      <c r="J2702">
        <v>0</v>
      </c>
      <c r="K2702">
        <v>0</v>
      </c>
      <c r="L2702">
        <v>0</v>
      </c>
      <c r="M2702">
        <v>2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2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Q2702">
        <v>0</v>
      </c>
      <c r="AR2702">
        <v>0</v>
      </c>
      <c r="AT2702">
        <v>0</v>
      </c>
      <c r="AU2702">
        <v>0</v>
      </c>
      <c r="AW2702">
        <v>0</v>
      </c>
      <c r="AX2702">
        <v>0</v>
      </c>
      <c r="AY2702">
        <v>0</v>
      </c>
      <c r="BC2702" t="str">
        <f>T("9791159284861")</f>
        <v>9791159284861</v>
      </c>
      <c r="BE2702" t="str">
        <f>T("판타지 웹소설 &gt; 무협 소설")</f>
        <v>판타지 웹소설 &gt; 무협 소설</v>
      </c>
    </row>
    <row r="2703" spans="1:57" x14ac:dyDescent="0.3">
      <c r="A2703">
        <v>1525000924</v>
      </c>
      <c r="B2703">
        <v>1525000944</v>
      </c>
      <c r="C2703" t="str">
        <f>T("스피릿 소드 21화")</f>
        <v>스피릿 소드 21화</v>
      </c>
      <c r="D2703" t="str">
        <f>T("21")</f>
        <v>21</v>
      </c>
      <c r="E2703" t="str">
        <f>T("김정률")</f>
        <v>김정률</v>
      </c>
      <c r="H2703" t="str">
        <f>T("스토리위즈")</f>
        <v>스토리위즈</v>
      </c>
      <c r="I2703" t="str">
        <f>T("스피릿 소드")</f>
        <v>스피릿 소드</v>
      </c>
      <c r="J2703">
        <v>0</v>
      </c>
      <c r="K2703">
        <v>0</v>
      </c>
      <c r="L2703">
        <v>0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1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Q2703">
        <v>0</v>
      </c>
      <c r="AR2703">
        <v>0</v>
      </c>
      <c r="AT2703">
        <v>0</v>
      </c>
      <c r="AU2703">
        <v>0</v>
      </c>
      <c r="AW2703">
        <v>0</v>
      </c>
      <c r="AX2703">
        <v>0</v>
      </c>
      <c r="AY2703">
        <v>0</v>
      </c>
      <c r="BA2703" t="str">
        <f>T("9791159282713")</f>
        <v>9791159282713</v>
      </c>
      <c r="BC2703" t="str">
        <f>T("9791159282713")</f>
        <v>9791159282713</v>
      </c>
      <c r="BE2703" t="str">
        <f>T("판타지 웹소설 &gt; 정통 판타지")</f>
        <v>판타지 웹소설 &gt; 정통 판타지</v>
      </c>
    </row>
    <row r="2704" spans="1:57" x14ac:dyDescent="0.3">
      <c r="A2704">
        <v>1525012551</v>
      </c>
      <c r="B2704">
        <v>1525012555</v>
      </c>
      <c r="C2704" t="str">
        <f>T("개정판 | 바보가 만드는 멋진 세상 5화")</f>
        <v>개정판 | 바보가 만드는 멋진 세상 5화</v>
      </c>
      <c r="D2704" t="str">
        <f>T("5")</f>
        <v>5</v>
      </c>
      <c r="E2704" t="str">
        <f>T("백범(白帆)")</f>
        <v>백범(白帆)</v>
      </c>
      <c r="H2704" t="str">
        <f>T("에필로그")</f>
        <v>에필로그</v>
      </c>
      <c r="I2704" t="str">
        <f>T("개정판 | 바보가 만드는 멋진 세상")</f>
        <v>개정판 | 바보가 만드는 멋진 세상</v>
      </c>
      <c r="J2704">
        <v>0</v>
      </c>
      <c r="K2704">
        <v>0</v>
      </c>
      <c r="L2704">
        <v>0</v>
      </c>
      <c r="M2704">
        <v>1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1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Q2704">
        <v>0</v>
      </c>
      <c r="AR2704">
        <v>0</v>
      </c>
      <c r="AT2704">
        <v>0</v>
      </c>
      <c r="AU2704">
        <v>0</v>
      </c>
      <c r="AW2704">
        <v>0</v>
      </c>
      <c r="AX2704">
        <v>0</v>
      </c>
      <c r="AY2704">
        <v>0</v>
      </c>
      <c r="BC2704" t="str">
        <f>T("9791166003493")</f>
        <v>9791166003493</v>
      </c>
      <c r="BE2704" t="str">
        <f>T("판타지 웹소설 &gt; 현대 판타지")</f>
        <v>판타지 웹소설 &gt; 현대 판타지</v>
      </c>
    </row>
    <row r="2705" spans="1:57" x14ac:dyDescent="0.3">
      <c r="A2705">
        <v>1525002692</v>
      </c>
      <c r="B2705">
        <v>1525002701</v>
      </c>
      <c r="C2705" t="str">
        <f>T("신규무사 10화")</f>
        <v>신규무사 10화</v>
      </c>
      <c r="D2705" t="str">
        <f>T("10")</f>
        <v>10</v>
      </c>
      <c r="E2705" t="str">
        <f>T("권용찬")</f>
        <v>권용찬</v>
      </c>
      <c r="H2705" t="str">
        <f>T("스토리위즈")</f>
        <v>스토리위즈</v>
      </c>
      <c r="I2705" t="str">
        <f>T("신규무사")</f>
        <v>신규무사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1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Q2705">
        <v>0</v>
      </c>
      <c r="AR2705">
        <v>0</v>
      </c>
      <c r="AT2705">
        <v>0</v>
      </c>
      <c r="AU2705">
        <v>0</v>
      </c>
      <c r="AW2705">
        <v>0</v>
      </c>
      <c r="AX2705">
        <v>0</v>
      </c>
      <c r="AY2705">
        <v>0</v>
      </c>
      <c r="BC2705" t="str">
        <f>T("9791159287480")</f>
        <v>9791159287480</v>
      </c>
      <c r="BE2705" t="str">
        <f>T("판타지 웹소설 &gt; 무협 소설")</f>
        <v>판타지 웹소설 &gt; 무협 소설</v>
      </c>
    </row>
    <row r="2706" spans="1:57" x14ac:dyDescent="0.3">
      <c r="A2706">
        <v>1525000001</v>
      </c>
      <c r="B2706">
        <v>1525000006</v>
      </c>
      <c r="C2706" t="str">
        <f>T("[e북]마스터 K 6권")</f>
        <v>[e북]마스터 K 6권</v>
      </c>
      <c r="D2706" t="str">
        <f>T("6")</f>
        <v>6</v>
      </c>
      <c r="E2706" t="str">
        <f>T("김광수")</f>
        <v>김광수</v>
      </c>
      <c r="H2706" t="str">
        <f>T("스토리위즈")</f>
        <v>스토리위즈</v>
      </c>
      <c r="I2706" t="str">
        <f>T("[e북]마스터 K")</f>
        <v>[e북]마스터 K</v>
      </c>
      <c r="J2706">
        <v>3200</v>
      </c>
      <c r="K2706">
        <v>0</v>
      </c>
      <c r="L2706">
        <v>0</v>
      </c>
      <c r="M2706">
        <v>0</v>
      </c>
      <c r="N2706">
        <v>900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900</v>
      </c>
      <c r="AH2706">
        <v>1</v>
      </c>
      <c r="AI2706">
        <v>0</v>
      </c>
      <c r="AJ2706">
        <v>0</v>
      </c>
      <c r="AK2706">
        <v>900</v>
      </c>
      <c r="AL2706">
        <v>0</v>
      </c>
      <c r="AM2706">
        <v>0</v>
      </c>
      <c r="AN2706">
        <v>0</v>
      </c>
      <c r="AO2706">
        <v>0</v>
      </c>
      <c r="AQ2706">
        <v>0</v>
      </c>
      <c r="AR2706">
        <v>0</v>
      </c>
      <c r="AT2706">
        <v>0</v>
      </c>
      <c r="AU2706">
        <v>0</v>
      </c>
      <c r="AW2706">
        <v>0</v>
      </c>
      <c r="AX2706">
        <v>0</v>
      </c>
      <c r="AY2706">
        <v>630</v>
      </c>
      <c r="BE2706" t="str">
        <f>T("판타지 e북 &gt; 스포츠물")</f>
        <v>판타지 e북 &gt; 스포츠물</v>
      </c>
    </row>
    <row r="2707" spans="1:57" x14ac:dyDescent="0.3">
      <c r="A2707">
        <v>1525000924</v>
      </c>
      <c r="B2707">
        <v>1525000933</v>
      </c>
      <c r="C2707" t="str">
        <f>T("스피릿 소드 10화")</f>
        <v>스피릿 소드 10화</v>
      </c>
      <c r="D2707" t="str">
        <f>T("10")</f>
        <v>10</v>
      </c>
      <c r="E2707" t="str">
        <f>T("김정률")</f>
        <v>김정률</v>
      </c>
      <c r="H2707" t="str">
        <f>T("스토리위즈")</f>
        <v>스토리위즈</v>
      </c>
      <c r="I2707" t="str">
        <f>T("스피릿 소드")</f>
        <v>스피릿 소드</v>
      </c>
      <c r="J2707">
        <v>0</v>
      </c>
      <c r="K2707">
        <v>0</v>
      </c>
      <c r="L2707">
        <v>0</v>
      </c>
      <c r="M2707">
        <v>1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1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Q2707">
        <v>0</v>
      </c>
      <c r="AR2707">
        <v>0</v>
      </c>
      <c r="AT2707">
        <v>0</v>
      </c>
      <c r="AU2707">
        <v>0</v>
      </c>
      <c r="AW2707">
        <v>0</v>
      </c>
      <c r="AX2707">
        <v>0</v>
      </c>
      <c r="AY2707">
        <v>0</v>
      </c>
      <c r="BA2707" t="str">
        <f>T("9791159282713")</f>
        <v>9791159282713</v>
      </c>
      <c r="BC2707" t="str">
        <f>T("9791159282713")</f>
        <v>9791159282713</v>
      </c>
      <c r="BE2707" t="str">
        <f>T("판타지 웹소설 &gt; 정통 판타지")</f>
        <v>판타지 웹소설 &gt; 정통 판타지</v>
      </c>
    </row>
    <row r="2708" spans="1:57" x14ac:dyDescent="0.3">
      <c r="A2708">
        <v>1525013418</v>
      </c>
      <c r="B2708">
        <v>1525013419</v>
      </c>
      <c r="C2708" t="str">
        <f>T("[e북]헌터 킹 2권")</f>
        <v>[e북]헌터 킹 2권</v>
      </c>
      <c r="D2708" t="str">
        <f>T("2")</f>
        <v>2</v>
      </c>
      <c r="E2708" t="str">
        <f>T("백범(白帆)")</f>
        <v>백범(白帆)</v>
      </c>
      <c r="H2708" t="str">
        <f>T("에필로그")</f>
        <v>에필로그</v>
      </c>
      <c r="I2708" t="str">
        <f>T("[e북]헌터 킹")</f>
        <v>[e북]헌터 킹</v>
      </c>
      <c r="J2708">
        <v>2000</v>
      </c>
      <c r="K2708">
        <v>0</v>
      </c>
      <c r="L2708">
        <v>0</v>
      </c>
      <c r="M2708">
        <v>0</v>
      </c>
      <c r="N2708">
        <v>900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900</v>
      </c>
      <c r="AH2708">
        <v>1</v>
      </c>
      <c r="AI2708">
        <v>0</v>
      </c>
      <c r="AJ2708">
        <v>0</v>
      </c>
      <c r="AK2708">
        <v>0</v>
      </c>
      <c r="AL2708">
        <v>0</v>
      </c>
      <c r="AM2708">
        <v>1080</v>
      </c>
      <c r="AN2708">
        <v>-108</v>
      </c>
      <c r="AO2708">
        <v>0</v>
      </c>
      <c r="AQ2708">
        <v>0</v>
      </c>
      <c r="AR2708">
        <v>0</v>
      </c>
      <c r="AS2708">
        <v>1080</v>
      </c>
      <c r="AT2708">
        <v>-108</v>
      </c>
      <c r="AU2708">
        <v>0</v>
      </c>
      <c r="AW2708">
        <v>0</v>
      </c>
      <c r="AX2708">
        <v>0</v>
      </c>
      <c r="AY2708">
        <v>680.4</v>
      </c>
      <c r="BA2708" t="str">
        <f>T("0000000000000")</f>
        <v>0000000000000</v>
      </c>
      <c r="BC2708" t="str">
        <f>T("9791164480173")</f>
        <v>9791164480173</v>
      </c>
      <c r="BE2708" t="str">
        <f>T("판타지 e북 &gt; 퓨전 판타지")</f>
        <v>판타지 e북 &gt; 퓨전 판타지</v>
      </c>
    </row>
    <row r="2709" spans="1:57" x14ac:dyDescent="0.3">
      <c r="A2709">
        <v>1525000022</v>
      </c>
      <c r="B2709">
        <v>1525000048</v>
      </c>
      <c r="C2709" t="str">
        <f>T("[e북]마계대공 연대기 26권")</f>
        <v>[e북]마계대공 연대기 26권</v>
      </c>
      <c r="D2709" t="str">
        <f>T("26")</f>
        <v>26</v>
      </c>
      <c r="E2709" t="str">
        <f>T("김광수")</f>
        <v>김광수</v>
      </c>
      <c r="H2709" t="str">
        <f>T("스토리위즈")</f>
        <v>스토리위즈</v>
      </c>
      <c r="I2709" t="str">
        <f>T("[e북]마계대공 연대기")</f>
        <v>[e북]마계대공 연대기</v>
      </c>
      <c r="J2709">
        <v>3200</v>
      </c>
      <c r="K2709">
        <v>0</v>
      </c>
      <c r="L2709">
        <v>0</v>
      </c>
      <c r="M2709">
        <v>0</v>
      </c>
      <c r="N2709">
        <v>2700</v>
      </c>
      <c r="O2709">
        <v>3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2700</v>
      </c>
      <c r="AH2709">
        <v>3</v>
      </c>
      <c r="AI2709">
        <v>0</v>
      </c>
      <c r="AJ2709">
        <v>0</v>
      </c>
      <c r="AK2709">
        <v>1800</v>
      </c>
      <c r="AL2709">
        <v>0</v>
      </c>
      <c r="AM2709">
        <v>1080</v>
      </c>
      <c r="AN2709">
        <v>-108</v>
      </c>
      <c r="AO2709">
        <v>0</v>
      </c>
      <c r="AQ2709">
        <v>0</v>
      </c>
      <c r="AR2709">
        <v>0</v>
      </c>
      <c r="AS2709">
        <v>1080</v>
      </c>
      <c r="AT2709">
        <v>-108</v>
      </c>
      <c r="AU2709">
        <v>0</v>
      </c>
      <c r="AW2709">
        <v>0</v>
      </c>
      <c r="AX2709">
        <v>0</v>
      </c>
      <c r="AY2709">
        <v>1940.4</v>
      </c>
      <c r="BE2709" t="str">
        <f>T("판타지 e북 &gt; 퓨전 판타지")</f>
        <v>판타지 e북 &gt; 퓨전 판타지</v>
      </c>
    </row>
    <row r="2710" spans="1:57" x14ac:dyDescent="0.3">
      <c r="A2710">
        <v>1525004030</v>
      </c>
      <c r="B2710">
        <v>1525004039</v>
      </c>
      <c r="C2710" t="str">
        <f>T("회귀의 전설 10화")</f>
        <v>회귀의 전설 10화</v>
      </c>
      <c r="D2710" t="str">
        <f>T("10")</f>
        <v>10</v>
      </c>
      <c r="E2710" t="str">
        <f>T("김광수")</f>
        <v>김광수</v>
      </c>
      <c r="H2710" t="str">
        <f>T("스토리위즈")</f>
        <v>스토리위즈</v>
      </c>
      <c r="I2710" t="str">
        <f>T("회귀의 전설")</f>
        <v>회귀의 전설</v>
      </c>
      <c r="J2710">
        <v>0</v>
      </c>
      <c r="K2710">
        <v>0</v>
      </c>
      <c r="L2710">
        <v>0</v>
      </c>
      <c r="M2710">
        <v>7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7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Q2710">
        <v>0</v>
      </c>
      <c r="AR2710">
        <v>0</v>
      </c>
      <c r="AT2710">
        <v>0</v>
      </c>
      <c r="AU2710">
        <v>0</v>
      </c>
      <c r="AW2710">
        <v>0</v>
      </c>
      <c r="AX2710">
        <v>0</v>
      </c>
      <c r="AY2710">
        <v>0</v>
      </c>
      <c r="BC2710" t="str">
        <f>T("9788997946006")</f>
        <v>9788997946006</v>
      </c>
      <c r="BE2710" t="str">
        <f>T("판타지 웹소설 &gt; 현대 판타지")</f>
        <v>판타지 웹소설 &gt; 현대 판타지</v>
      </c>
    </row>
    <row r="2711" spans="1:57" x14ac:dyDescent="0.3">
      <c r="A2711">
        <v>1525012202</v>
      </c>
      <c r="B2711">
        <v>1525012183</v>
      </c>
      <c r="C2711" t="str">
        <f>T("이세계 최강 군바리 20화")</f>
        <v>이세계 최강 군바리 20화</v>
      </c>
      <c r="D2711" t="str">
        <f>T("20")</f>
        <v>20</v>
      </c>
      <c r="E2711" t="str">
        <f>T("협행마")</f>
        <v>협행마</v>
      </c>
      <c r="H2711" t="str">
        <f>T("에필로그")</f>
        <v>에필로그</v>
      </c>
      <c r="I2711" t="str">
        <f>T("이세계 최강 군바리")</f>
        <v>이세계 최강 군바리</v>
      </c>
      <c r="J2711">
        <v>0</v>
      </c>
      <c r="K2711">
        <v>0</v>
      </c>
      <c r="L2711">
        <v>0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1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Q2711">
        <v>0</v>
      </c>
      <c r="AR2711">
        <v>0</v>
      </c>
      <c r="AT2711">
        <v>0</v>
      </c>
      <c r="AU2711">
        <v>0</v>
      </c>
      <c r="AW2711">
        <v>0</v>
      </c>
      <c r="AX2711">
        <v>0</v>
      </c>
      <c r="AY2711">
        <v>0</v>
      </c>
      <c r="BC2711" t="str">
        <f>T("9791164480159")</f>
        <v>9791164480159</v>
      </c>
      <c r="BE2711" t="str">
        <f>T("판타지 웹소설 &gt; 퓨전 판타지")</f>
        <v>판타지 웹소설 &gt; 퓨전 판타지</v>
      </c>
    </row>
    <row r="2712" spans="1:57" x14ac:dyDescent="0.3">
      <c r="A2712">
        <v>1525014480</v>
      </c>
      <c r="B2712">
        <v>1525014485</v>
      </c>
      <c r="C2712" t="str">
        <f>T("언더독 크라이스 6화")</f>
        <v>언더독 크라이스 6화</v>
      </c>
      <c r="D2712" t="str">
        <f>T("6")</f>
        <v>6</v>
      </c>
      <c r="E2712" t="str">
        <f>T("라이큐")</f>
        <v>라이큐</v>
      </c>
      <c r="H2712" t="str">
        <f>T("스토리아크")</f>
        <v>스토리아크</v>
      </c>
      <c r="I2712" t="str">
        <f>T("언더독 크라이스")</f>
        <v>언더독 크라이스</v>
      </c>
      <c r="J2712">
        <v>0</v>
      </c>
      <c r="K2712">
        <v>0</v>
      </c>
      <c r="L2712">
        <v>0</v>
      </c>
      <c r="M2712">
        <v>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1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Q2712">
        <v>0</v>
      </c>
      <c r="AR2712">
        <v>0</v>
      </c>
      <c r="AT2712">
        <v>0</v>
      </c>
      <c r="AU2712">
        <v>0</v>
      </c>
      <c r="AW2712">
        <v>0</v>
      </c>
      <c r="AX2712">
        <v>0</v>
      </c>
      <c r="AY2712">
        <v>0</v>
      </c>
      <c r="BC2712" t="str">
        <f>T("9791191039139")</f>
        <v>9791191039139</v>
      </c>
      <c r="BE2712" t="str">
        <f>T("판타지 웹소설 &gt; 퓨전 판타지")</f>
        <v>판타지 웹소설 &gt; 퓨전 판타지</v>
      </c>
    </row>
    <row r="2713" spans="1:57" x14ac:dyDescent="0.3">
      <c r="A2713">
        <v>1525001499</v>
      </c>
      <c r="B2713">
        <v>1525001500</v>
      </c>
      <c r="C2713" t="str">
        <f>T("[e북]파계 2권")</f>
        <v>[e북]파계 2권</v>
      </c>
      <c r="D2713" t="str">
        <f>T("2")</f>
        <v>2</v>
      </c>
      <c r="E2713" t="str">
        <f>T("권용찬")</f>
        <v>권용찬</v>
      </c>
      <c r="H2713" t="str">
        <f>T("스토리위즈")</f>
        <v>스토리위즈</v>
      </c>
      <c r="I2713" t="str">
        <f>T("[e북]파계")</f>
        <v>[e북]파계</v>
      </c>
      <c r="J2713">
        <v>3200</v>
      </c>
      <c r="K2713">
        <v>0</v>
      </c>
      <c r="L2713">
        <v>0</v>
      </c>
      <c r="M2713">
        <v>0</v>
      </c>
      <c r="N2713">
        <v>900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900</v>
      </c>
      <c r="AH2713">
        <v>1</v>
      </c>
      <c r="AI2713">
        <v>0</v>
      </c>
      <c r="AJ2713">
        <v>0</v>
      </c>
      <c r="AK2713">
        <v>0</v>
      </c>
      <c r="AL2713">
        <v>0</v>
      </c>
      <c r="AM2713">
        <v>1080</v>
      </c>
      <c r="AN2713">
        <v>-108</v>
      </c>
      <c r="AO2713">
        <v>0</v>
      </c>
      <c r="AQ2713">
        <v>0</v>
      </c>
      <c r="AR2713">
        <v>0</v>
      </c>
      <c r="AS2713">
        <v>1080</v>
      </c>
      <c r="AT2713">
        <v>-108</v>
      </c>
      <c r="AU2713">
        <v>0</v>
      </c>
      <c r="AW2713">
        <v>0</v>
      </c>
      <c r="AX2713">
        <v>0</v>
      </c>
      <c r="AY2713">
        <v>680.4</v>
      </c>
      <c r="BC2713" t="str">
        <f>T("9791159282744")</f>
        <v>9791159282744</v>
      </c>
      <c r="BE2713" t="str">
        <f>T("판타지 e북 &gt; 신무협")</f>
        <v>판타지 e북 &gt; 신무협</v>
      </c>
    </row>
    <row r="2714" spans="1:57" x14ac:dyDescent="0.3">
      <c r="A2714">
        <v>1525002864</v>
      </c>
      <c r="B2714">
        <v>1525002864</v>
      </c>
      <c r="C2714" t="str">
        <f>T("소드마스터의 환생 1화")</f>
        <v>소드마스터의 환생 1화</v>
      </c>
      <c r="D2714" t="str">
        <f>T("1")</f>
        <v>1</v>
      </c>
      <c r="E2714" t="str">
        <f>T("파란영")</f>
        <v>파란영</v>
      </c>
      <c r="H2714" t="str">
        <f>T("스토리위즈")</f>
        <v>스토리위즈</v>
      </c>
      <c r="I2714" t="str">
        <f>T("소드마스터의 환생")</f>
        <v>소드마스터의 환생</v>
      </c>
      <c r="J2714">
        <v>0</v>
      </c>
      <c r="K2714">
        <v>0</v>
      </c>
      <c r="L2714">
        <v>0</v>
      </c>
      <c r="M2714">
        <v>5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5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Q2714">
        <v>0</v>
      </c>
      <c r="AR2714">
        <v>0</v>
      </c>
      <c r="AT2714">
        <v>0</v>
      </c>
      <c r="AU2714">
        <v>0</v>
      </c>
      <c r="AW2714">
        <v>0</v>
      </c>
      <c r="AX2714">
        <v>0</v>
      </c>
      <c r="AY2714">
        <v>0</v>
      </c>
      <c r="BC2714" t="str">
        <f>T("9791159287527")</f>
        <v>9791159287527</v>
      </c>
      <c r="BE2714" t="str">
        <f>T("판타지 웹소설 &gt; 정통 판타지")</f>
        <v>판타지 웹소설 &gt; 정통 판타지</v>
      </c>
    </row>
    <row r="2715" spans="1:57" x14ac:dyDescent="0.3">
      <c r="A2715">
        <v>1525000125</v>
      </c>
      <c r="B2715">
        <v>1525000125</v>
      </c>
      <c r="C2715" t="str">
        <f>T("[e북]블레이드 헌터 1권")</f>
        <v>[e북]블레이드 헌터 1권</v>
      </c>
      <c r="D2715" t="str">
        <f>T("1")</f>
        <v>1</v>
      </c>
      <c r="E2715" t="str">
        <f>T("김정률")</f>
        <v>김정률</v>
      </c>
      <c r="H2715" t="str">
        <f>T("스토리위즈")</f>
        <v>스토리위즈</v>
      </c>
      <c r="I2715" t="str">
        <f>T("[e북]블레이드 헌터")</f>
        <v>[e북]블레이드 헌터</v>
      </c>
      <c r="J2715">
        <v>0</v>
      </c>
      <c r="K2715">
        <v>0</v>
      </c>
      <c r="L2715">
        <v>0</v>
      </c>
      <c r="M2715">
        <v>3</v>
      </c>
      <c r="N2715">
        <v>0</v>
      </c>
      <c r="O2715">
        <v>0</v>
      </c>
      <c r="P2715">
        <v>13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16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Q2715">
        <v>0</v>
      </c>
      <c r="AR2715">
        <v>0</v>
      </c>
      <c r="AT2715">
        <v>0</v>
      </c>
      <c r="AU2715">
        <v>0</v>
      </c>
      <c r="AW2715">
        <v>0</v>
      </c>
      <c r="AX2715">
        <v>0</v>
      </c>
      <c r="AY2715">
        <v>0</v>
      </c>
      <c r="BE2715" t="str">
        <f>T("판타지 e북 &gt; 정통 판타지")</f>
        <v>판타지 e북 &gt; 정통 판타지</v>
      </c>
    </row>
    <row r="2716" spans="1:57" x14ac:dyDescent="0.3">
      <c r="A2716">
        <v>1525014200</v>
      </c>
      <c r="B2716">
        <v>1525014202</v>
      </c>
      <c r="C2716" t="str">
        <f>T("소울 슈터 3화")</f>
        <v>소울 슈터 3화</v>
      </c>
      <c r="D2716" t="str">
        <f>T("3")</f>
        <v>3</v>
      </c>
      <c r="E2716" t="str">
        <f>T("라이큐")</f>
        <v>라이큐</v>
      </c>
      <c r="H2716" t="str">
        <f>T("스토리아크")</f>
        <v>스토리아크</v>
      </c>
      <c r="I2716" t="str">
        <f>T("소울 슈터")</f>
        <v>소울 슈터</v>
      </c>
      <c r="J2716">
        <v>0</v>
      </c>
      <c r="K2716">
        <v>0</v>
      </c>
      <c r="L2716">
        <v>0</v>
      </c>
      <c r="M2716">
        <v>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1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Q2716">
        <v>0</v>
      </c>
      <c r="AR2716">
        <v>0</v>
      </c>
      <c r="AT2716">
        <v>0</v>
      </c>
      <c r="AU2716">
        <v>0</v>
      </c>
      <c r="AW2716">
        <v>0</v>
      </c>
      <c r="AX2716">
        <v>0</v>
      </c>
      <c r="AY2716">
        <v>0</v>
      </c>
      <c r="BA2716" t="str">
        <f>T("0000000000000")</f>
        <v>0000000000000</v>
      </c>
      <c r="BC2716" t="str">
        <f>T("9791191039078")</f>
        <v>9791191039078</v>
      </c>
      <c r="BE2716" t="str">
        <f>T("판타지 웹소설 &gt; 정통 판타지")</f>
        <v>판타지 웹소설 &gt; 정통 판타지</v>
      </c>
    </row>
    <row r="2717" spans="1:57" x14ac:dyDescent="0.3">
      <c r="A2717">
        <v>1525001917</v>
      </c>
      <c r="B2717">
        <v>1525001917</v>
      </c>
      <c r="C2717" t="str">
        <f>T("[e북]용중신권 1권")</f>
        <v>[e북]용중신권 1권</v>
      </c>
      <c r="D2717" t="str">
        <f>T("1")</f>
        <v>1</v>
      </c>
      <c r="E2717" t="str">
        <f>T("권용찬")</f>
        <v>권용찬</v>
      </c>
      <c r="H2717" t="str">
        <f>T("스토리위즈")</f>
        <v>스토리위즈</v>
      </c>
      <c r="I2717" t="str">
        <f>T("[e북]용중신권")</f>
        <v>[e북]용중신권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6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6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Q2717">
        <v>0</v>
      </c>
      <c r="AR2717">
        <v>0</v>
      </c>
      <c r="AT2717">
        <v>0</v>
      </c>
      <c r="AU2717">
        <v>0</v>
      </c>
      <c r="AW2717">
        <v>0</v>
      </c>
      <c r="AX2717">
        <v>0</v>
      </c>
      <c r="AY2717">
        <v>0</v>
      </c>
      <c r="BC2717" t="str">
        <f>T("9791159285929")</f>
        <v>9791159285929</v>
      </c>
      <c r="BE2717" t="str">
        <f>T("판타지 e북 &gt; 신무협")</f>
        <v>판타지 e북 &gt; 신무협</v>
      </c>
    </row>
    <row r="2718" spans="1:57" x14ac:dyDescent="0.3">
      <c r="A2718">
        <v>1525010579</v>
      </c>
      <c r="B2718">
        <v>1525010571</v>
      </c>
      <c r="C2718" t="str">
        <f>T("법보다 주먹 7화")</f>
        <v>법보다 주먹 7화</v>
      </c>
      <c r="D2718" t="str">
        <f>T("7")</f>
        <v>7</v>
      </c>
      <c r="E2718" t="str">
        <f>T("백범(白帆)")</f>
        <v>백범(白帆)</v>
      </c>
      <c r="H2718" t="str">
        <f>T("에필로그")</f>
        <v>에필로그</v>
      </c>
      <c r="I2718" t="str">
        <f>T("법보다 주먹")</f>
        <v>법보다 주먹</v>
      </c>
      <c r="J2718">
        <v>0</v>
      </c>
      <c r="K2718">
        <v>0</v>
      </c>
      <c r="L2718">
        <v>0</v>
      </c>
      <c r="M2718">
        <v>1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1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Q2718">
        <v>0</v>
      </c>
      <c r="AR2718">
        <v>0</v>
      </c>
      <c r="AT2718">
        <v>0</v>
      </c>
      <c r="AU2718">
        <v>0</v>
      </c>
      <c r="AW2718">
        <v>0</v>
      </c>
      <c r="AX2718">
        <v>0</v>
      </c>
      <c r="AY2718">
        <v>0</v>
      </c>
      <c r="BC2718" t="str">
        <f>T("9791164489367")</f>
        <v>9791164489367</v>
      </c>
      <c r="BE2718" t="str">
        <f>T("판타지 웹소설 &gt; 현대 판타지")</f>
        <v>판타지 웹소설 &gt; 현대 판타지</v>
      </c>
    </row>
    <row r="2719" spans="1:57" x14ac:dyDescent="0.3">
      <c r="A2719">
        <v>1525013020</v>
      </c>
      <c r="B2719">
        <v>1525013032</v>
      </c>
      <c r="C2719" t="str">
        <f>T("악당의 리턴 13화")</f>
        <v>악당의 리턴 13화</v>
      </c>
      <c r="D2719" t="str">
        <f>T("13")</f>
        <v>13</v>
      </c>
      <c r="E2719" t="str">
        <f>T("백범(白帆)")</f>
        <v>백범(白帆)</v>
      </c>
      <c r="H2719" t="str">
        <f>T("에필로그")</f>
        <v>에필로그</v>
      </c>
      <c r="I2719" t="str">
        <f>T("악당의 리턴")</f>
        <v>악당의 리턴</v>
      </c>
      <c r="J2719">
        <v>0</v>
      </c>
      <c r="K2719">
        <v>0</v>
      </c>
      <c r="L2719">
        <v>0</v>
      </c>
      <c r="M2719">
        <v>6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6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Q2719">
        <v>0</v>
      </c>
      <c r="AR2719">
        <v>0</v>
      </c>
      <c r="AT2719">
        <v>0</v>
      </c>
      <c r="AU2719">
        <v>0</v>
      </c>
      <c r="AW2719">
        <v>0</v>
      </c>
      <c r="AX2719">
        <v>0</v>
      </c>
      <c r="AY2719">
        <v>0</v>
      </c>
      <c r="BC2719" t="str">
        <f>T("9791196538927")</f>
        <v>9791196538927</v>
      </c>
      <c r="BE2719" t="str">
        <f>T("판타지 웹소설 &gt; 현대 판타지")</f>
        <v>판타지 웹소설 &gt; 현대 판타지</v>
      </c>
    </row>
    <row r="2720" spans="1:57" x14ac:dyDescent="0.3">
      <c r="A2720">
        <v>1525000158</v>
      </c>
      <c r="B2720">
        <v>1525000158</v>
      </c>
      <c r="C2720" t="str">
        <f>T("[e북]아나크레온 1권")</f>
        <v>[e북]아나크레온 1권</v>
      </c>
      <c r="D2720" t="str">
        <f>T("1")</f>
        <v>1</v>
      </c>
      <c r="E2720" t="str">
        <f>T("김정률")</f>
        <v>김정률</v>
      </c>
      <c r="H2720" t="str">
        <f>T("스토리위즈")</f>
        <v>스토리위즈</v>
      </c>
      <c r="I2720" t="str">
        <f>T("[e북]아나크레온")</f>
        <v>[e북]아나크레온</v>
      </c>
      <c r="J2720">
        <v>0</v>
      </c>
      <c r="K2720">
        <v>0</v>
      </c>
      <c r="L2720">
        <v>0</v>
      </c>
      <c r="M2720">
        <v>5</v>
      </c>
      <c r="N2720">
        <v>0</v>
      </c>
      <c r="O2720">
        <v>0</v>
      </c>
      <c r="P2720">
        <v>14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19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Q2720">
        <v>0</v>
      </c>
      <c r="AR2720">
        <v>0</v>
      </c>
      <c r="AT2720">
        <v>0</v>
      </c>
      <c r="AU2720">
        <v>0</v>
      </c>
      <c r="AW2720">
        <v>0</v>
      </c>
      <c r="AX2720">
        <v>0</v>
      </c>
      <c r="AY2720">
        <v>0</v>
      </c>
      <c r="BE2720" t="str">
        <f>T("판타지 e북 &gt; 퓨전 판타지")</f>
        <v>판타지 e북 &gt; 퓨전 판타지</v>
      </c>
    </row>
    <row r="2721" spans="1:57" x14ac:dyDescent="0.3">
      <c r="A2721">
        <v>1525000411</v>
      </c>
      <c r="B2721">
        <v>1525000433</v>
      </c>
      <c r="C2721" t="str">
        <f>T("레이드 만물상점 23화")</f>
        <v>레이드 만물상점 23화</v>
      </c>
      <c r="D2721" t="str">
        <f>T("23")</f>
        <v>23</v>
      </c>
      <c r="E2721" t="str">
        <f>T("전혁")</f>
        <v>전혁</v>
      </c>
      <c r="H2721" t="str">
        <f>T("스토리위즈")</f>
        <v>스토리위즈</v>
      </c>
      <c r="I2721" t="str">
        <f>T("레이드 만물상점")</f>
        <v>레이드 만물상점</v>
      </c>
      <c r="J2721">
        <v>0</v>
      </c>
      <c r="K2721">
        <v>0</v>
      </c>
      <c r="L2721">
        <v>0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1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Q2721">
        <v>0</v>
      </c>
      <c r="AR2721">
        <v>0</v>
      </c>
      <c r="AT2721">
        <v>0</v>
      </c>
      <c r="AU2721">
        <v>0</v>
      </c>
      <c r="AW2721">
        <v>0</v>
      </c>
      <c r="AX2721">
        <v>0</v>
      </c>
      <c r="AY2721">
        <v>0</v>
      </c>
      <c r="BC2721" t="str">
        <f>T("9791170151432")</f>
        <v>9791170151432</v>
      </c>
      <c r="BE2721" t="str">
        <f>T("판타지 웹소설 &gt; 현대 판타지")</f>
        <v>판타지 웹소설 &gt; 현대 판타지</v>
      </c>
    </row>
    <row r="2722" spans="1:57" x14ac:dyDescent="0.3">
      <c r="A2722">
        <v>1525010944</v>
      </c>
      <c r="B2722">
        <v>1525010933</v>
      </c>
      <c r="C2722" t="str">
        <f>T("[e북]법보다 주먹 12권")</f>
        <v>[e북]법보다 주먹 12권</v>
      </c>
      <c r="D2722" t="str">
        <f>T("12")</f>
        <v>12</v>
      </c>
      <c r="E2722" t="str">
        <f>T("백범(白帆)")</f>
        <v>백범(白帆)</v>
      </c>
      <c r="H2722" t="str">
        <f>T("에필로그")</f>
        <v>에필로그</v>
      </c>
      <c r="I2722" t="str">
        <f>T("[e북]법보다 주먹")</f>
        <v>[e북]법보다 주먹</v>
      </c>
      <c r="J2722">
        <v>2000</v>
      </c>
      <c r="K2722">
        <v>0</v>
      </c>
      <c r="L2722">
        <v>0</v>
      </c>
      <c r="M2722">
        <v>0</v>
      </c>
      <c r="N2722">
        <v>2700</v>
      </c>
      <c r="O2722">
        <v>3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2700</v>
      </c>
      <c r="AH2722">
        <v>3</v>
      </c>
      <c r="AI2722">
        <v>0</v>
      </c>
      <c r="AJ2722">
        <v>0</v>
      </c>
      <c r="AK2722">
        <v>900</v>
      </c>
      <c r="AL2722">
        <v>0</v>
      </c>
      <c r="AM2722">
        <v>2160</v>
      </c>
      <c r="AN2722">
        <v>-648</v>
      </c>
      <c r="AO2722">
        <v>0</v>
      </c>
      <c r="AQ2722">
        <v>0</v>
      </c>
      <c r="AR2722">
        <v>0</v>
      </c>
      <c r="AS2722">
        <v>2160</v>
      </c>
      <c r="AT2722">
        <v>-648</v>
      </c>
      <c r="AU2722">
        <v>0</v>
      </c>
      <c r="AW2722">
        <v>0</v>
      </c>
      <c r="AX2722">
        <v>0</v>
      </c>
      <c r="AY2722">
        <v>1688.4</v>
      </c>
      <c r="BC2722" t="str">
        <f>T("9791164480142")</f>
        <v>9791164480142</v>
      </c>
      <c r="BE2722" t="str">
        <f>T("판타지 e북 &gt; 현대 판타지")</f>
        <v>판타지 e북 &gt; 현대 판타지</v>
      </c>
    </row>
    <row r="2723" spans="1:57" x14ac:dyDescent="0.3">
      <c r="A2723">
        <v>1525010579</v>
      </c>
      <c r="B2723">
        <v>1525010562</v>
      </c>
      <c r="C2723" t="str">
        <f>T("법보다 주먹 16화")</f>
        <v>법보다 주먹 16화</v>
      </c>
      <c r="D2723" t="str">
        <f>T("16")</f>
        <v>16</v>
      </c>
      <c r="E2723" t="str">
        <f>T("백범(白帆)")</f>
        <v>백범(白帆)</v>
      </c>
      <c r="H2723" t="str">
        <f>T("에필로그")</f>
        <v>에필로그</v>
      </c>
      <c r="I2723" t="str">
        <f>T("법보다 주먹")</f>
        <v>법보다 주먹</v>
      </c>
      <c r="J2723">
        <v>0</v>
      </c>
      <c r="K2723">
        <v>0</v>
      </c>
      <c r="L2723">
        <v>0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1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Q2723">
        <v>0</v>
      </c>
      <c r="AR2723">
        <v>0</v>
      </c>
      <c r="AT2723">
        <v>0</v>
      </c>
      <c r="AU2723">
        <v>0</v>
      </c>
      <c r="AW2723">
        <v>0</v>
      </c>
      <c r="AX2723">
        <v>0</v>
      </c>
      <c r="AY2723">
        <v>0</v>
      </c>
      <c r="BC2723" t="str">
        <f>T("9791164489367")</f>
        <v>9791164489367</v>
      </c>
      <c r="BE2723" t="str">
        <f>T("판타지 웹소설 &gt; 현대 판타지")</f>
        <v>판타지 웹소설 &gt; 현대 판타지</v>
      </c>
    </row>
    <row r="2724" spans="1:57" x14ac:dyDescent="0.3">
      <c r="A2724">
        <v>1525000411</v>
      </c>
      <c r="B2724">
        <v>1525000422</v>
      </c>
      <c r="C2724" t="str">
        <f>T("레이드 만물상점 12화")</f>
        <v>레이드 만물상점 12화</v>
      </c>
      <c r="D2724" t="str">
        <f>T("12")</f>
        <v>12</v>
      </c>
      <c r="E2724" t="str">
        <f>T("전혁")</f>
        <v>전혁</v>
      </c>
      <c r="H2724" t="str">
        <f>T("스토리위즈")</f>
        <v>스토리위즈</v>
      </c>
      <c r="I2724" t="str">
        <f>T("레이드 만물상점")</f>
        <v>레이드 만물상점</v>
      </c>
      <c r="J2724">
        <v>0</v>
      </c>
      <c r="K2724">
        <v>0</v>
      </c>
      <c r="L2724">
        <v>0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1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Q2724">
        <v>0</v>
      </c>
      <c r="AR2724">
        <v>0</v>
      </c>
      <c r="AT2724">
        <v>0</v>
      </c>
      <c r="AU2724">
        <v>0</v>
      </c>
      <c r="AW2724">
        <v>0</v>
      </c>
      <c r="AX2724">
        <v>0</v>
      </c>
      <c r="AY2724">
        <v>0</v>
      </c>
      <c r="BC2724" t="str">
        <f>T("9791170151432")</f>
        <v>9791170151432</v>
      </c>
      <c r="BE2724" t="str">
        <f>T("판타지 웹소설 &gt; 현대 판타지")</f>
        <v>판타지 웹소설 &gt; 현대 판타지</v>
      </c>
    </row>
    <row r="2725" spans="1:57" x14ac:dyDescent="0.3">
      <c r="A2725">
        <v>1525010944</v>
      </c>
      <c r="B2725">
        <v>1525010922</v>
      </c>
      <c r="C2725" t="str">
        <f>T("[e북]법보다 주먹 23권")</f>
        <v>[e북]법보다 주먹 23권</v>
      </c>
      <c r="D2725" t="str">
        <f>T("23")</f>
        <v>23</v>
      </c>
      <c r="E2725" t="str">
        <f>T("백범(白帆)")</f>
        <v>백범(白帆)</v>
      </c>
      <c r="H2725" t="str">
        <f>T("에필로그")</f>
        <v>에필로그</v>
      </c>
      <c r="I2725" t="str">
        <f>T("[e북]법보다 주먹")</f>
        <v>[e북]법보다 주먹</v>
      </c>
      <c r="J2725">
        <v>2000</v>
      </c>
      <c r="K2725">
        <v>0</v>
      </c>
      <c r="L2725">
        <v>0</v>
      </c>
      <c r="M2725">
        <v>0</v>
      </c>
      <c r="N2725">
        <v>900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900</v>
      </c>
      <c r="AH2725">
        <v>1</v>
      </c>
      <c r="AI2725">
        <v>0</v>
      </c>
      <c r="AJ2725">
        <v>0</v>
      </c>
      <c r="AK2725">
        <v>900</v>
      </c>
      <c r="AL2725">
        <v>0</v>
      </c>
      <c r="AM2725">
        <v>0</v>
      </c>
      <c r="AN2725">
        <v>0</v>
      </c>
      <c r="AO2725">
        <v>0</v>
      </c>
      <c r="AQ2725">
        <v>0</v>
      </c>
      <c r="AR2725">
        <v>0</v>
      </c>
      <c r="AT2725">
        <v>0</v>
      </c>
      <c r="AU2725">
        <v>0</v>
      </c>
      <c r="AW2725">
        <v>0</v>
      </c>
      <c r="AX2725">
        <v>0</v>
      </c>
      <c r="AY2725">
        <v>630</v>
      </c>
      <c r="BC2725" t="str">
        <f>T("9791164480142")</f>
        <v>9791164480142</v>
      </c>
      <c r="BE2725" t="str">
        <f>T("판타지 e북 &gt; 현대 판타지")</f>
        <v>판타지 e북 &gt; 현대 판타지</v>
      </c>
    </row>
    <row r="2726" spans="1:57" x14ac:dyDescent="0.3">
      <c r="A2726">
        <v>1525008816</v>
      </c>
      <c r="B2726">
        <v>1525008836</v>
      </c>
      <c r="C2726" t="str">
        <f>T("평행세계 (The Parallel World) 5화")</f>
        <v>평행세계 (The Parallel World) 5화</v>
      </c>
      <c r="D2726" t="str">
        <f>T("5")</f>
        <v>5</v>
      </c>
      <c r="E2726" t="str">
        <f>T("Ryumati")</f>
        <v>Ryumati</v>
      </c>
      <c r="H2726" t="str">
        <f>T("블러쉬")</f>
        <v>블러쉬</v>
      </c>
      <c r="I2726" t="str">
        <f>T("평행세계 (The Parallel World)")</f>
        <v>평행세계 (The Parallel World)</v>
      </c>
      <c r="J2726">
        <v>0</v>
      </c>
      <c r="K2726">
        <v>0</v>
      </c>
      <c r="L2726">
        <v>0</v>
      </c>
      <c r="M2726">
        <v>1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1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Q2726">
        <v>0</v>
      </c>
      <c r="AR2726">
        <v>0</v>
      </c>
      <c r="AT2726">
        <v>0</v>
      </c>
      <c r="AU2726">
        <v>0</v>
      </c>
      <c r="AW2726">
        <v>0</v>
      </c>
      <c r="AX2726">
        <v>0</v>
      </c>
      <c r="AY2726">
        <v>0</v>
      </c>
      <c r="BC2726" t="str">
        <f>T("9791164896691")</f>
        <v>9791164896691</v>
      </c>
      <c r="BD2726" t="str">
        <f>T("B3")</f>
        <v>B3</v>
      </c>
      <c r="BE2726" t="str">
        <f>T("BL 웹소설 &gt; 판타지물")</f>
        <v>BL 웹소설 &gt; 판타지물</v>
      </c>
    </row>
    <row r="2727" spans="1:57" x14ac:dyDescent="0.3">
      <c r="A2727">
        <v>1525000199</v>
      </c>
      <c r="B2727">
        <v>1525000201</v>
      </c>
      <c r="C2727" t="str">
        <f>T("[e북]화산지애 3권")</f>
        <v>[e북]화산지애 3권</v>
      </c>
      <c r="D2727" t="str">
        <f>T("3")</f>
        <v>3</v>
      </c>
      <c r="E2727" t="str">
        <f>T("김광수")</f>
        <v>김광수</v>
      </c>
      <c r="H2727" t="str">
        <f>T("스토리위즈")</f>
        <v>스토리위즈</v>
      </c>
      <c r="I2727" t="str">
        <f>T("[e북]화산지애")</f>
        <v>[e북]화산지애</v>
      </c>
      <c r="J2727">
        <v>3200</v>
      </c>
      <c r="K2727">
        <v>0</v>
      </c>
      <c r="L2727">
        <v>0</v>
      </c>
      <c r="M2727">
        <v>0</v>
      </c>
      <c r="N2727">
        <v>900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900</v>
      </c>
      <c r="AH2727">
        <v>1</v>
      </c>
      <c r="AI2727">
        <v>0</v>
      </c>
      <c r="AJ2727">
        <v>0</v>
      </c>
      <c r="AK2727">
        <v>900</v>
      </c>
      <c r="AL2727">
        <v>0</v>
      </c>
      <c r="AM2727">
        <v>0</v>
      </c>
      <c r="AN2727">
        <v>0</v>
      </c>
      <c r="AO2727">
        <v>0</v>
      </c>
      <c r="AQ2727">
        <v>0</v>
      </c>
      <c r="AR2727">
        <v>0</v>
      </c>
      <c r="AT2727">
        <v>0</v>
      </c>
      <c r="AU2727">
        <v>0</v>
      </c>
      <c r="AW2727">
        <v>0</v>
      </c>
      <c r="AX2727">
        <v>0</v>
      </c>
      <c r="AY2727">
        <v>630</v>
      </c>
      <c r="BE2727" t="str">
        <f>T("판타지 e북 &gt; 신무협")</f>
        <v>판타지 e북 &gt; 신무협</v>
      </c>
    </row>
    <row r="2728" spans="1:57" x14ac:dyDescent="0.3">
      <c r="A2728">
        <v>1525000906</v>
      </c>
      <c r="B2728">
        <v>1525000913</v>
      </c>
      <c r="C2728" t="str">
        <f>T("[e북]완전판 | 레이드 만물상점 8권")</f>
        <v>[e북]완전판 | 레이드 만물상점 8권</v>
      </c>
      <c r="D2728" t="str">
        <f>T("8")</f>
        <v>8</v>
      </c>
      <c r="E2728" t="str">
        <f>T("전혁")</f>
        <v>전혁</v>
      </c>
      <c r="H2728" t="str">
        <f>T("스토리위즈")</f>
        <v>스토리위즈</v>
      </c>
      <c r="I2728" t="str">
        <f>T("[e북]완전판 | 레이드 만물상점")</f>
        <v>[e북]완전판 | 레이드 만물상점</v>
      </c>
      <c r="J2728">
        <v>3200</v>
      </c>
      <c r="K2728">
        <v>0</v>
      </c>
      <c r="L2728">
        <v>0</v>
      </c>
      <c r="M2728">
        <v>0</v>
      </c>
      <c r="N2728">
        <v>4500</v>
      </c>
      <c r="O2728">
        <v>5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4500</v>
      </c>
      <c r="AH2728">
        <v>5</v>
      </c>
      <c r="AI2728">
        <v>0</v>
      </c>
      <c r="AJ2728">
        <v>0</v>
      </c>
      <c r="AK2728">
        <v>2700</v>
      </c>
      <c r="AL2728">
        <v>0</v>
      </c>
      <c r="AM2728">
        <v>2160</v>
      </c>
      <c r="AN2728">
        <v>-648</v>
      </c>
      <c r="AO2728">
        <v>0</v>
      </c>
      <c r="AQ2728">
        <v>0</v>
      </c>
      <c r="AR2728">
        <v>0</v>
      </c>
      <c r="AS2728">
        <v>2160</v>
      </c>
      <c r="AT2728">
        <v>-648</v>
      </c>
      <c r="AU2728">
        <v>0</v>
      </c>
      <c r="AW2728">
        <v>0</v>
      </c>
      <c r="AX2728">
        <v>0</v>
      </c>
      <c r="AY2728">
        <v>2948.4</v>
      </c>
      <c r="BA2728" t="str">
        <f>T("9791159282683")</f>
        <v>9791159282683</v>
      </c>
      <c r="BC2728" t="str">
        <f>T("9791159282683")</f>
        <v>9791159282683</v>
      </c>
      <c r="BE2728" t="str">
        <f>T("판타지 e북 &gt; 현대 판타지")</f>
        <v>판타지 e북 &gt; 현대 판타지</v>
      </c>
    </row>
    <row r="2729" spans="1:57" x14ac:dyDescent="0.3">
      <c r="A2729">
        <v>1525012202</v>
      </c>
      <c r="B2729">
        <v>1525012197</v>
      </c>
      <c r="C2729" t="str">
        <f>T("이세계 최강 군바리 6화")</f>
        <v>이세계 최강 군바리 6화</v>
      </c>
      <c r="D2729" t="str">
        <f>T("6")</f>
        <v>6</v>
      </c>
      <c r="E2729" t="str">
        <f>T("협행마")</f>
        <v>협행마</v>
      </c>
      <c r="H2729" t="str">
        <f>T("에필로그")</f>
        <v>에필로그</v>
      </c>
      <c r="I2729" t="str">
        <f>T("이세계 최강 군바리")</f>
        <v>이세계 최강 군바리</v>
      </c>
      <c r="J2729">
        <v>0</v>
      </c>
      <c r="K2729">
        <v>0</v>
      </c>
      <c r="L2729">
        <v>0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1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Q2729">
        <v>0</v>
      </c>
      <c r="AR2729">
        <v>0</v>
      </c>
      <c r="AT2729">
        <v>0</v>
      </c>
      <c r="AU2729">
        <v>0</v>
      </c>
      <c r="AW2729">
        <v>0</v>
      </c>
      <c r="AX2729">
        <v>0</v>
      </c>
      <c r="AY2729">
        <v>0</v>
      </c>
      <c r="BC2729" t="str">
        <f>T("9791164480159")</f>
        <v>9791164480159</v>
      </c>
      <c r="BE2729" t="str">
        <f>T("판타지 웹소설 &gt; 퓨전 판타지")</f>
        <v>판타지 웹소설 &gt; 퓨전 판타지</v>
      </c>
    </row>
    <row r="2730" spans="1:57" x14ac:dyDescent="0.3">
      <c r="A2730">
        <v>1525000569</v>
      </c>
      <c r="B2730">
        <v>1525000587</v>
      </c>
      <c r="C2730" t="str">
        <f>T("스트라이커 19화")</f>
        <v>스트라이커 19화</v>
      </c>
      <c r="D2730" t="str">
        <f>T("19")</f>
        <v>19</v>
      </c>
      <c r="E2730" t="str">
        <f>T("독고진")</f>
        <v>독고진</v>
      </c>
      <c r="H2730" t="str">
        <f>T("스토리위즈")</f>
        <v>스토리위즈</v>
      </c>
      <c r="I2730" t="str">
        <f>T("스트라이커")</f>
        <v>스트라이커</v>
      </c>
      <c r="J2730">
        <v>0</v>
      </c>
      <c r="K2730">
        <v>0</v>
      </c>
      <c r="L2730">
        <v>0</v>
      </c>
      <c r="M2730">
        <v>1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1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Q2730">
        <v>0</v>
      </c>
      <c r="AR2730">
        <v>0</v>
      </c>
      <c r="AT2730">
        <v>0</v>
      </c>
      <c r="AU2730">
        <v>0</v>
      </c>
      <c r="AW2730">
        <v>0</v>
      </c>
      <c r="AX2730">
        <v>0</v>
      </c>
      <c r="AY2730">
        <v>0</v>
      </c>
      <c r="BC2730" t="str">
        <f>T("9791170151678")</f>
        <v>9791170151678</v>
      </c>
      <c r="BE2730" t="str">
        <f>T("판타지 웹소설 &gt; 현대 판타지")</f>
        <v>판타지 웹소설 &gt; 현대 판타지</v>
      </c>
    </row>
    <row r="2731" spans="1:57" x14ac:dyDescent="0.3">
      <c r="A2731">
        <v>1525013368</v>
      </c>
      <c r="B2731">
        <v>1525013371</v>
      </c>
      <c r="C2731" t="str">
        <f>T("[e북]기획에 산다 3권")</f>
        <v>[e북]기획에 산다 3권</v>
      </c>
      <c r="D2731" t="str">
        <f>T("3")</f>
        <v>3</v>
      </c>
      <c r="E2731" t="str">
        <f>T("백범(白帆)")</f>
        <v>백범(白帆)</v>
      </c>
      <c r="H2731" t="str">
        <f>T("에필로그")</f>
        <v>에필로그</v>
      </c>
      <c r="I2731" t="str">
        <f>T("[e북]기획에 산다")</f>
        <v>[e북]기획에 산다</v>
      </c>
      <c r="J2731">
        <v>2000</v>
      </c>
      <c r="K2731">
        <v>0</v>
      </c>
      <c r="L2731">
        <v>0</v>
      </c>
      <c r="M2731">
        <v>0</v>
      </c>
      <c r="N2731">
        <v>900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900</v>
      </c>
      <c r="AH2731">
        <v>1</v>
      </c>
      <c r="AI2731">
        <v>0</v>
      </c>
      <c r="AJ2731">
        <v>0</v>
      </c>
      <c r="AK2731">
        <v>900</v>
      </c>
      <c r="AL2731">
        <v>0</v>
      </c>
      <c r="AM2731">
        <v>0</v>
      </c>
      <c r="AN2731">
        <v>0</v>
      </c>
      <c r="AO2731">
        <v>0</v>
      </c>
      <c r="AQ2731">
        <v>0</v>
      </c>
      <c r="AR2731">
        <v>0</v>
      </c>
      <c r="AT2731">
        <v>0</v>
      </c>
      <c r="AU2731">
        <v>0</v>
      </c>
      <c r="AW2731">
        <v>0</v>
      </c>
      <c r="AX2731">
        <v>0</v>
      </c>
      <c r="AY2731">
        <v>630</v>
      </c>
      <c r="BC2731" t="str">
        <f>T("9791189867522")</f>
        <v>9791189867522</v>
      </c>
      <c r="BE2731" t="str">
        <f>T("판타지 e북 &gt; 현대 판타지")</f>
        <v>판타지 e북 &gt; 현대 판타지</v>
      </c>
    </row>
    <row r="2732" spans="1:57" x14ac:dyDescent="0.3">
      <c r="A2732">
        <v>1525000022</v>
      </c>
      <c r="B2732">
        <v>1525000037</v>
      </c>
      <c r="C2732" t="str">
        <f>T("[e북]마계대공 연대기 15권")</f>
        <v>[e북]마계대공 연대기 15권</v>
      </c>
      <c r="D2732" t="str">
        <f>T("15")</f>
        <v>15</v>
      </c>
      <c r="E2732" t="str">
        <f>T("김광수")</f>
        <v>김광수</v>
      </c>
      <c r="H2732" t="str">
        <f>T("스토리위즈")</f>
        <v>스토리위즈</v>
      </c>
      <c r="I2732" t="str">
        <f>T("[e북]마계대공 연대기")</f>
        <v>[e북]마계대공 연대기</v>
      </c>
      <c r="J2732">
        <v>3200</v>
      </c>
      <c r="K2732">
        <v>0</v>
      </c>
      <c r="L2732">
        <v>0</v>
      </c>
      <c r="M2732">
        <v>0</v>
      </c>
      <c r="N2732">
        <v>1800</v>
      </c>
      <c r="O2732">
        <v>2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1800</v>
      </c>
      <c r="AH2732">
        <v>2</v>
      </c>
      <c r="AI2732">
        <v>0</v>
      </c>
      <c r="AJ2732">
        <v>0</v>
      </c>
      <c r="AK2732">
        <v>900</v>
      </c>
      <c r="AL2732">
        <v>0</v>
      </c>
      <c r="AM2732">
        <v>1080</v>
      </c>
      <c r="AN2732">
        <v>-108</v>
      </c>
      <c r="AO2732">
        <v>0</v>
      </c>
      <c r="AQ2732">
        <v>0</v>
      </c>
      <c r="AR2732">
        <v>0</v>
      </c>
      <c r="AS2732">
        <v>1080</v>
      </c>
      <c r="AT2732">
        <v>-108</v>
      </c>
      <c r="AU2732">
        <v>0</v>
      </c>
      <c r="AW2732">
        <v>0</v>
      </c>
      <c r="AX2732">
        <v>0</v>
      </c>
      <c r="AY2732">
        <v>1310.4000000000001</v>
      </c>
      <c r="BE2732" t="str">
        <f>T("판타지 e북 &gt; 퓨전 판타지")</f>
        <v>판타지 e북 &gt; 퓨전 판타지</v>
      </c>
    </row>
    <row r="2733" spans="1:57" x14ac:dyDescent="0.3">
      <c r="A2733">
        <v>1525004988</v>
      </c>
      <c r="B2733">
        <v>1525005306</v>
      </c>
      <c r="C2733" t="str">
        <f>T("용무쌍 19화")</f>
        <v>용무쌍 19화</v>
      </c>
      <c r="D2733" t="str">
        <f>T("19")</f>
        <v>19</v>
      </c>
      <c r="E2733" t="str">
        <f>T("권용찬")</f>
        <v>권용찬</v>
      </c>
      <c r="H2733" t="str">
        <f>T("스토리위즈")</f>
        <v>스토리위즈</v>
      </c>
      <c r="I2733" t="str">
        <f>T("용무쌍")</f>
        <v>용무쌍</v>
      </c>
      <c r="J2733">
        <v>0</v>
      </c>
      <c r="K2733">
        <v>0</v>
      </c>
      <c r="L2733">
        <v>0</v>
      </c>
      <c r="M2733">
        <v>2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2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Q2733">
        <v>0</v>
      </c>
      <c r="AR2733">
        <v>0</v>
      </c>
      <c r="AT2733">
        <v>0</v>
      </c>
      <c r="AU2733">
        <v>0</v>
      </c>
      <c r="AW2733">
        <v>0</v>
      </c>
      <c r="AX2733">
        <v>0</v>
      </c>
      <c r="AY2733">
        <v>0</v>
      </c>
      <c r="BC2733" t="str">
        <f>T("9791159284861")</f>
        <v>9791159284861</v>
      </c>
      <c r="BE2733" t="str">
        <f>T("판타지 웹소설 &gt; 무협 소설")</f>
        <v>판타지 웹소설 &gt; 무협 소설</v>
      </c>
    </row>
    <row r="2734" spans="1:57" x14ac:dyDescent="0.3">
      <c r="A2734">
        <v>1525011937</v>
      </c>
      <c r="B2734">
        <v>1525011937</v>
      </c>
      <c r="C2734" t="str">
        <f>T("강호, 미치다 1화")</f>
        <v>강호, 미치다 1화</v>
      </c>
      <c r="D2734" t="str">
        <f>T("1")</f>
        <v>1</v>
      </c>
      <c r="E2734" t="str">
        <f>T("최재봉")</f>
        <v>최재봉</v>
      </c>
      <c r="H2734" t="str">
        <f>T("에필로그")</f>
        <v>에필로그</v>
      </c>
      <c r="I2734" t="str">
        <f>T("강호, 미치다")</f>
        <v>강호, 미치다</v>
      </c>
      <c r="J2734">
        <v>0</v>
      </c>
      <c r="K2734">
        <v>0</v>
      </c>
      <c r="L2734">
        <v>0</v>
      </c>
      <c r="M2734">
        <v>3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3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Q2734">
        <v>0</v>
      </c>
      <c r="AR2734">
        <v>0</v>
      </c>
      <c r="AT2734">
        <v>0</v>
      </c>
      <c r="AU2734">
        <v>0</v>
      </c>
      <c r="AW2734">
        <v>0</v>
      </c>
      <c r="AX2734">
        <v>0</v>
      </c>
      <c r="AY2734">
        <v>0</v>
      </c>
      <c r="BC2734" t="str">
        <f>T("9791164482269")</f>
        <v>9791164482269</v>
      </c>
      <c r="BE2734" t="str">
        <f>T("판타지 웹소설 &gt; 무협 소설")</f>
        <v>판타지 웹소설 &gt; 무협 소설</v>
      </c>
    </row>
    <row r="2735" spans="1:57" x14ac:dyDescent="0.3">
      <c r="A2735">
        <v>1525012551</v>
      </c>
      <c r="B2735">
        <v>1525012565</v>
      </c>
      <c r="C2735" t="str">
        <f>T("개정판 | 바보가 만드는 멋진 세상 15화")</f>
        <v>개정판 | 바보가 만드는 멋진 세상 15화</v>
      </c>
      <c r="D2735" t="str">
        <f>T("15")</f>
        <v>15</v>
      </c>
      <c r="E2735" t="str">
        <f>T("백범(白帆)")</f>
        <v>백범(白帆)</v>
      </c>
      <c r="H2735" t="str">
        <f>T("에필로그")</f>
        <v>에필로그</v>
      </c>
      <c r="I2735" t="str">
        <f>T("개정판 | 바보가 만드는 멋진 세상")</f>
        <v>개정판 | 바보가 만드는 멋진 세상</v>
      </c>
      <c r="J2735">
        <v>0</v>
      </c>
      <c r="K2735">
        <v>0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1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Q2735">
        <v>0</v>
      </c>
      <c r="AR2735">
        <v>0</v>
      </c>
      <c r="AT2735">
        <v>0</v>
      </c>
      <c r="AU2735">
        <v>0</v>
      </c>
      <c r="AW2735">
        <v>0</v>
      </c>
      <c r="AX2735">
        <v>0</v>
      </c>
      <c r="AY2735">
        <v>0</v>
      </c>
      <c r="BC2735" t="str">
        <f>T("9791166003493")</f>
        <v>9791166003493</v>
      </c>
      <c r="BE2735" t="str">
        <f>T("판타지 웹소설 &gt; 현대 판타지")</f>
        <v>판타지 웹소설 &gt; 현대 판타지</v>
      </c>
    </row>
    <row r="2736" spans="1:57" x14ac:dyDescent="0.3">
      <c r="A2736">
        <v>1525004799</v>
      </c>
      <c r="B2736">
        <v>1525004818</v>
      </c>
      <c r="C2736" t="str">
        <f>T("검산도해 20화")</f>
        <v>검산도해 20화</v>
      </c>
      <c r="D2736" t="str">
        <f>T("20")</f>
        <v>20</v>
      </c>
      <c r="E2736" t="str">
        <f>T("권용찬")</f>
        <v>권용찬</v>
      </c>
      <c r="H2736" t="str">
        <f>T("스토리위즈")</f>
        <v>스토리위즈</v>
      </c>
      <c r="I2736" t="str">
        <f>T("검산도해")</f>
        <v>검산도해</v>
      </c>
      <c r="J2736">
        <v>0</v>
      </c>
      <c r="K2736">
        <v>0</v>
      </c>
      <c r="L2736">
        <v>0</v>
      </c>
      <c r="M2736">
        <v>1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1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Q2736">
        <v>0</v>
      </c>
      <c r="AR2736">
        <v>0</v>
      </c>
      <c r="AT2736">
        <v>0</v>
      </c>
      <c r="AU2736">
        <v>0</v>
      </c>
      <c r="AW2736">
        <v>0</v>
      </c>
      <c r="AX2736">
        <v>0</v>
      </c>
      <c r="AY2736">
        <v>0</v>
      </c>
      <c r="BC2736" t="str">
        <f>T("9791159285936")</f>
        <v>9791159285936</v>
      </c>
      <c r="BE2736" t="str">
        <f>T("판타지 웹소설 &gt; 무협 소설")</f>
        <v>판타지 웹소설 &gt; 무협 소설</v>
      </c>
    </row>
    <row r="2737" spans="1:57" x14ac:dyDescent="0.3">
      <c r="A2737">
        <v>1525002864</v>
      </c>
      <c r="B2737">
        <v>1525002885</v>
      </c>
      <c r="C2737" t="str">
        <f>T("소드마스터의 환생 22화")</f>
        <v>소드마스터의 환생 22화</v>
      </c>
      <c r="D2737" t="str">
        <f>T("22")</f>
        <v>22</v>
      </c>
      <c r="E2737" t="str">
        <f>T("파란영")</f>
        <v>파란영</v>
      </c>
      <c r="H2737" t="str">
        <f>T("스토리위즈")</f>
        <v>스토리위즈</v>
      </c>
      <c r="I2737" t="str">
        <f>T("소드마스터의 환생")</f>
        <v>소드마스터의 환생</v>
      </c>
      <c r="J2737">
        <v>0</v>
      </c>
      <c r="K2737">
        <v>0</v>
      </c>
      <c r="L2737">
        <v>0</v>
      </c>
      <c r="M2737">
        <v>4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4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Q2737">
        <v>0</v>
      </c>
      <c r="AR2737">
        <v>0</v>
      </c>
      <c r="AT2737">
        <v>0</v>
      </c>
      <c r="AU2737">
        <v>0</v>
      </c>
      <c r="AW2737">
        <v>0</v>
      </c>
      <c r="AX2737">
        <v>0</v>
      </c>
      <c r="AY2737">
        <v>0</v>
      </c>
      <c r="BC2737" t="str">
        <f>T("9791159287527")</f>
        <v>9791159287527</v>
      </c>
      <c r="BE2737" t="str">
        <f>T("판타지 웹소설 &gt; 정통 판타지")</f>
        <v>판타지 웹소설 &gt; 정통 판타지</v>
      </c>
    </row>
    <row r="2738" spans="1:57" x14ac:dyDescent="0.3">
      <c r="A2738">
        <v>1525013020</v>
      </c>
      <c r="B2738">
        <v>1525013021</v>
      </c>
      <c r="C2738" t="str">
        <f>T("악당의 리턴 2화")</f>
        <v>악당의 리턴 2화</v>
      </c>
      <c r="D2738" t="str">
        <f>T("2")</f>
        <v>2</v>
      </c>
      <c r="E2738" t="str">
        <f>T("백범(白帆)")</f>
        <v>백범(白帆)</v>
      </c>
      <c r="H2738" t="str">
        <f>T("에필로그")</f>
        <v>에필로그</v>
      </c>
      <c r="I2738" t="str">
        <f>T("악당의 리턴")</f>
        <v>악당의 리턴</v>
      </c>
      <c r="J2738">
        <v>0</v>
      </c>
      <c r="K2738">
        <v>0</v>
      </c>
      <c r="L2738">
        <v>0</v>
      </c>
      <c r="M2738">
        <v>8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8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Q2738">
        <v>0</v>
      </c>
      <c r="AR2738">
        <v>0</v>
      </c>
      <c r="AT2738">
        <v>0</v>
      </c>
      <c r="AU2738">
        <v>0</v>
      </c>
      <c r="AW2738">
        <v>0</v>
      </c>
      <c r="AX2738">
        <v>0</v>
      </c>
      <c r="AY2738">
        <v>0</v>
      </c>
      <c r="BC2738" t="str">
        <f>T("9791196538927")</f>
        <v>9791196538927</v>
      </c>
      <c r="BE2738" t="str">
        <f>T("판타지 웹소설 &gt; 현대 판타지")</f>
        <v>판타지 웹소설 &gt; 현대 판타지</v>
      </c>
    </row>
    <row r="2739" spans="1:57" x14ac:dyDescent="0.3">
      <c r="A2739">
        <v>1525014780</v>
      </c>
      <c r="B2739">
        <v>1525014789</v>
      </c>
      <c r="C2739" t="str">
        <f>T("크랭키 걸즈 10화")</f>
        <v>크랭키 걸즈 10화</v>
      </c>
      <c r="D2739" t="str">
        <f>T("10")</f>
        <v>10</v>
      </c>
      <c r="E2739" t="str">
        <f>T("곽도우")</f>
        <v>곽도우</v>
      </c>
      <c r="H2739" t="str">
        <f>T("스토리아크")</f>
        <v>스토리아크</v>
      </c>
      <c r="I2739" t="str">
        <f>T("크랭키 걸즈")</f>
        <v>크랭키 걸즈</v>
      </c>
      <c r="J2739">
        <v>0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1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Q2739">
        <v>0</v>
      </c>
      <c r="AR2739">
        <v>0</v>
      </c>
      <c r="AT2739">
        <v>0</v>
      </c>
      <c r="AU2739">
        <v>0</v>
      </c>
      <c r="AW2739">
        <v>0</v>
      </c>
      <c r="AX2739">
        <v>0</v>
      </c>
      <c r="AY2739">
        <v>0</v>
      </c>
      <c r="BC2739" t="str">
        <f>T("9791191039276")</f>
        <v>9791191039276</v>
      </c>
      <c r="BE2739" t="str">
        <f>T("판타지 웹소설 &gt; 현대 판타지")</f>
        <v>판타지 웹소설 &gt; 현대 판타지</v>
      </c>
    </row>
    <row r="2740" spans="1:57" x14ac:dyDescent="0.3">
      <c r="A2740">
        <v>1525001540</v>
      </c>
      <c r="B2740">
        <v>1525001545</v>
      </c>
      <c r="C2740" t="str">
        <f>T("[e북]철중쟁쟁 6권")</f>
        <v>[e북]철중쟁쟁 6권</v>
      </c>
      <c r="D2740" t="str">
        <f>T("6")</f>
        <v>6</v>
      </c>
      <c r="E2740" t="str">
        <f>T("권용찬")</f>
        <v>권용찬</v>
      </c>
      <c r="H2740" t="str">
        <f>T("스토리위즈")</f>
        <v>스토리위즈</v>
      </c>
      <c r="I2740" t="str">
        <f>T("[e북]철중쟁쟁")</f>
        <v>[e북]철중쟁쟁</v>
      </c>
      <c r="J2740">
        <v>3200</v>
      </c>
      <c r="K2740">
        <v>0</v>
      </c>
      <c r="L2740">
        <v>0</v>
      </c>
      <c r="M2740">
        <v>0</v>
      </c>
      <c r="N2740">
        <v>5400</v>
      </c>
      <c r="O2740">
        <v>6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5400</v>
      </c>
      <c r="AH2740">
        <v>6</v>
      </c>
      <c r="AI2740">
        <v>0</v>
      </c>
      <c r="AJ2740">
        <v>0</v>
      </c>
      <c r="AK2740">
        <v>3600</v>
      </c>
      <c r="AL2740">
        <v>0</v>
      </c>
      <c r="AM2740">
        <v>2160</v>
      </c>
      <c r="AN2740">
        <v>-648</v>
      </c>
      <c r="AO2740">
        <v>0</v>
      </c>
      <c r="AQ2740">
        <v>0</v>
      </c>
      <c r="AR2740">
        <v>0</v>
      </c>
      <c r="AS2740">
        <v>2160</v>
      </c>
      <c r="AT2740">
        <v>-648</v>
      </c>
      <c r="AU2740">
        <v>0</v>
      </c>
      <c r="AW2740">
        <v>0</v>
      </c>
      <c r="AX2740">
        <v>0</v>
      </c>
      <c r="AY2740">
        <v>3578.4</v>
      </c>
      <c r="BC2740" t="str">
        <f>T("9791159282324")</f>
        <v>9791159282324</v>
      </c>
      <c r="BE2740" t="str">
        <f>T("판타지 e북 &gt; 전통 무협")</f>
        <v>판타지 e북 &gt; 전통 무협</v>
      </c>
    </row>
    <row r="2741" spans="1:57" x14ac:dyDescent="0.3">
      <c r="A2741">
        <v>1525002864</v>
      </c>
      <c r="B2741">
        <v>1525002874</v>
      </c>
      <c r="C2741" t="str">
        <f>T("소드마스터의 환생 11화")</f>
        <v>소드마스터의 환생 11화</v>
      </c>
      <c r="D2741" t="str">
        <f>T("11")</f>
        <v>11</v>
      </c>
      <c r="E2741" t="str">
        <f>T("파란영")</f>
        <v>파란영</v>
      </c>
      <c r="H2741" t="str">
        <f>T("스토리위즈")</f>
        <v>스토리위즈</v>
      </c>
      <c r="I2741" t="str">
        <f>T("소드마스터의 환생")</f>
        <v>소드마스터의 환생</v>
      </c>
      <c r="J2741">
        <v>0</v>
      </c>
      <c r="K2741">
        <v>0</v>
      </c>
      <c r="L2741">
        <v>0</v>
      </c>
      <c r="M2741">
        <v>5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5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Q2741">
        <v>0</v>
      </c>
      <c r="AR2741">
        <v>0</v>
      </c>
      <c r="AT2741">
        <v>0</v>
      </c>
      <c r="AU2741">
        <v>0</v>
      </c>
      <c r="AW2741">
        <v>0</v>
      </c>
      <c r="AX2741">
        <v>0</v>
      </c>
      <c r="AY2741">
        <v>0</v>
      </c>
      <c r="BC2741" t="str">
        <f>T("9791159287527")</f>
        <v>9791159287527</v>
      </c>
      <c r="BE2741" t="str">
        <f>T("판타지 웹소설 &gt; 정통 판타지")</f>
        <v>판타지 웹소설 &gt; 정통 판타지</v>
      </c>
    </row>
    <row r="2742" spans="1:57" x14ac:dyDescent="0.3">
      <c r="A2742">
        <v>1525001317</v>
      </c>
      <c r="B2742">
        <v>1525001323</v>
      </c>
      <c r="C2742" t="str">
        <f>T("[e북]완전판 | 스트라이커 7권")</f>
        <v>[e북]완전판 | 스트라이커 7권</v>
      </c>
      <c r="D2742" t="str">
        <f>T("7")</f>
        <v>7</v>
      </c>
      <c r="E2742" t="str">
        <f>T("독고진")</f>
        <v>독고진</v>
      </c>
      <c r="H2742" t="str">
        <f>T("스토리위즈")</f>
        <v>스토리위즈</v>
      </c>
      <c r="I2742" t="str">
        <f>T("[e북]완전판 | 스트라이커")</f>
        <v>[e북]완전판 | 스트라이커</v>
      </c>
      <c r="J2742">
        <v>3200</v>
      </c>
      <c r="K2742">
        <v>0</v>
      </c>
      <c r="L2742">
        <v>0</v>
      </c>
      <c r="M2742">
        <v>0</v>
      </c>
      <c r="N2742">
        <v>900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900</v>
      </c>
      <c r="AH2742">
        <v>1</v>
      </c>
      <c r="AI2742">
        <v>0</v>
      </c>
      <c r="AJ2742">
        <v>0</v>
      </c>
      <c r="AK2742">
        <v>900</v>
      </c>
      <c r="AL2742">
        <v>0</v>
      </c>
      <c r="AM2742">
        <v>0</v>
      </c>
      <c r="AN2742">
        <v>0</v>
      </c>
      <c r="AO2742">
        <v>0</v>
      </c>
      <c r="AQ2742">
        <v>0</v>
      </c>
      <c r="AR2742">
        <v>0</v>
      </c>
      <c r="AT2742">
        <v>0</v>
      </c>
      <c r="AU2742">
        <v>0</v>
      </c>
      <c r="AW2742">
        <v>0</v>
      </c>
      <c r="AX2742">
        <v>0</v>
      </c>
      <c r="AY2742">
        <v>630</v>
      </c>
      <c r="BA2742" t="str">
        <f>T("9791159282898")</f>
        <v>9791159282898</v>
      </c>
      <c r="BC2742" t="str">
        <f>T("9791159282898")</f>
        <v>9791159282898</v>
      </c>
      <c r="BE2742" t="str">
        <f>T("판타지 e북 &gt; 스포츠물")</f>
        <v>판타지 e북 &gt; 스포츠물</v>
      </c>
    </row>
    <row r="2743" spans="1:57" x14ac:dyDescent="0.3">
      <c r="A2743">
        <v>1525000411</v>
      </c>
      <c r="B2743">
        <v>1525000411</v>
      </c>
      <c r="C2743" t="str">
        <f>T("레이드 만물상점 1화")</f>
        <v>레이드 만물상점 1화</v>
      </c>
      <c r="D2743" t="str">
        <f>T("1")</f>
        <v>1</v>
      </c>
      <c r="E2743" t="str">
        <f>T("전혁")</f>
        <v>전혁</v>
      </c>
      <c r="H2743" t="str">
        <f>T("스토리위즈")</f>
        <v>스토리위즈</v>
      </c>
      <c r="I2743" t="str">
        <f>T("레이드 만물상점")</f>
        <v>레이드 만물상점</v>
      </c>
      <c r="J2743">
        <v>0</v>
      </c>
      <c r="K2743">
        <v>0</v>
      </c>
      <c r="L2743">
        <v>0</v>
      </c>
      <c r="M2743">
        <v>2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2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Q2743">
        <v>0</v>
      </c>
      <c r="AR2743">
        <v>0</v>
      </c>
      <c r="AT2743">
        <v>0</v>
      </c>
      <c r="AU2743">
        <v>0</v>
      </c>
      <c r="AW2743">
        <v>0</v>
      </c>
      <c r="AX2743">
        <v>0</v>
      </c>
      <c r="AY2743">
        <v>0</v>
      </c>
      <c r="BC2743" t="str">
        <f>T("9791170151432")</f>
        <v>9791170151432</v>
      </c>
      <c r="BE2743" t="str">
        <f>T("판타지 웹소설 &gt; 현대 판타지")</f>
        <v>판타지 웹소설 &gt; 현대 판타지</v>
      </c>
    </row>
    <row r="2744" spans="1:57" x14ac:dyDescent="0.3">
      <c r="A2744">
        <v>1525010900</v>
      </c>
      <c r="B2744">
        <v>1525010892</v>
      </c>
      <c r="C2744" t="str">
        <f>T("[e북]무적살수 7권")</f>
        <v>[e북]무적살수 7권</v>
      </c>
      <c r="D2744" t="str">
        <f>T("7")</f>
        <v>7</v>
      </c>
      <c r="E2744" t="str">
        <f>T("협행마")</f>
        <v>협행마</v>
      </c>
      <c r="H2744" t="str">
        <f>T("에필로그")</f>
        <v>에필로그</v>
      </c>
      <c r="I2744" t="str">
        <f>T("[e북]무적살수")</f>
        <v>[e북]무적살수</v>
      </c>
      <c r="J2744">
        <v>2500</v>
      </c>
      <c r="K2744">
        <v>0</v>
      </c>
      <c r="L2744">
        <v>0</v>
      </c>
      <c r="M2744">
        <v>0</v>
      </c>
      <c r="N2744">
        <v>810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810</v>
      </c>
      <c r="AH2744">
        <v>1</v>
      </c>
      <c r="AI2744">
        <v>0</v>
      </c>
      <c r="AJ2744">
        <v>0</v>
      </c>
      <c r="AK2744">
        <v>810</v>
      </c>
      <c r="AL2744">
        <v>0</v>
      </c>
      <c r="AM2744">
        <v>0</v>
      </c>
      <c r="AN2744">
        <v>0</v>
      </c>
      <c r="AO2744">
        <v>0</v>
      </c>
      <c r="AQ2744">
        <v>0</v>
      </c>
      <c r="AR2744">
        <v>0</v>
      </c>
      <c r="AT2744">
        <v>0</v>
      </c>
      <c r="AU2744">
        <v>0</v>
      </c>
      <c r="AW2744">
        <v>0</v>
      </c>
      <c r="AX2744">
        <v>0</v>
      </c>
      <c r="AY2744">
        <v>567</v>
      </c>
      <c r="BC2744" t="str">
        <f>T("9791166000126")</f>
        <v>9791166000126</v>
      </c>
      <c r="BE2744" t="str">
        <f>T("판타지 e북 &gt; 전통 무협")</f>
        <v>판타지 e북 &gt; 전통 무협</v>
      </c>
    </row>
    <row r="2745" spans="1:57" x14ac:dyDescent="0.3">
      <c r="A2745">
        <v>1525008717</v>
      </c>
      <c r="B2745">
        <v>1525008740</v>
      </c>
      <c r="C2745" t="str">
        <f>T("음양상열지사 40화")</f>
        <v>음양상열지사 40화</v>
      </c>
      <c r="D2745" t="str">
        <f>T("40")</f>
        <v>40</v>
      </c>
      <c r="E2745" t="str">
        <f>T("이염")</f>
        <v>이염</v>
      </c>
      <c r="H2745" t="str">
        <f>T("블러쉬")</f>
        <v>블러쉬</v>
      </c>
      <c r="I2745" t="str">
        <f>T("음양상열지사")</f>
        <v>음양상열지사</v>
      </c>
      <c r="J2745">
        <v>100</v>
      </c>
      <c r="K2745">
        <v>0</v>
      </c>
      <c r="L2745">
        <v>0</v>
      </c>
      <c r="M2745">
        <v>0</v>
      </c>
      <c r="N2745">
        <v>100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100</v>
      </c>
      <c r="AH2745">
        <v>1</v>
      </c>
      <c r="AI2745">
        <v>0</v>
      </c>
      <c r="AJ2745">
        <v>0</v>
      </c>
      <c r="AK2745">
        <v>100</v>
      </c>
      <c r="AL2745">
        <v>0</v>
      </c>
      <c r="AM2745">
        <v>0</v>
      </c>
      <c r="AN2745">
        <v>0</v>
      </c>
      <c r="AO2745">
        <v>0</v>
      </c>
      <c r="AQ2745">
        <v>0</v>
      </c>
      <c r="AR2745">
        <v>0</v>
      </c>
      <c r="AT2745">
        <v>0</v>
      </c>
      <c r="AU2745">
        <v>0</v>
      </c>
      <c r="AW2745">
        <v>0</v>
      </c>
      <c r="AX2745">
        <v>0</v>
      </c>
      <c r="AY2745">
        <v>70</v>
      </c>
      <c r="BA2745" t="str">
        <f>T("0000000000000")</f>
        <v>0000000000000</v>
      </c>
      <c r="BC2745" t="str">
        <f>T("9791164896639")</f>
        <v>9791164896639</v>
      </c>
      <c r="BD2745" t="str">
        <f>T("B10")</f>
        <v>B10</v>
      </c>
      <c r="BE2745" t="str">
        <f>T("BL 웹소설 &gt; 역사/시대물")</f>
        <v>BL 웹소설 &gt; 역사/시대물</v>
      </c>
    </row>
    <row r="2746" spans="1:57" x14ac:dyDescent="0.3">
      <c r="A2746">
        <v>1525013020</v>
      </c>
      <c r="B2746">
        <v>1525013042</v>
      </c>
      <c r="C2746" t="str">
        <f>T("악당의 리턴 23화")</f>
        <v>악당의 리턴 23화</v>
      </c>
      <c r="D2746" t="str">
        <f>T("23")</f>
        <v>23</v>
      </c>
      <c r="E2746" t="str">
        <f>T("백범(白帆)")</f>
        <v>백범(白帆)</v>
      </c>
      <c r="H2746" t="str">
        <f>T("에필로그")</f>
        <v>에필로그</v>
      </c>
      <c r="I2746" t="str">
        <f>T("악당의 리턴")</f>
        <v>악당의 리턴</v>
      </c>
      <c r="J2746">
        <v>0</v>
      </c>
      <c r="K2746">
        <v>0</v>
      </c>
      <c r="L2746">
        <v>0</v>
      </c>
      <c r="M2746">
        <v>6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6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Q2746">
        <v>0</v>
      </c>
      <c r="AR2746">
        <v>0</v>
      </c>
      <c r="AT2746">
        <v>0</v>
      </c>
      <c r="AU2746">
        <v>0</v>
      </c>
      <c r="AW2746">
        <v>0</v>
      </c>
      <c r="AX2746">
        <v>0</v>
      </c>
      <c r="AY2746">
        <v>0</v>
      </c>
      <c r="BC2746" t="str">
        <f>T("9791196538927")</f>
        <v>9791196538927</v>
      </c>
      <c r="BE2746" t="str">
        <f>T("판타지 웹소설 &gt; 현대 판타지")</f>
        <v>판타지 웹소설 &gt; 현대 판타지</v>
      </c>
    </row>
    <row r="2747" spans="1:57" x14ac:dyDescent="0.3">
      <c r="A2747">
        <v>1525000569</v>
      </c>
      <c r="B2747">
        <v>1525000576</v>
      </c>
      <c r="C2747" t="str">
        <f>T("스트라이커 8화")</f>
        <v>스트라이커 8화</v>
      </c>
      <c r="D2747" t="str">
        <f>T("8")</f>
        <v>8</v>
      </c>
      <c r="E2747" t="str">
        <f>T("독고진")</f>
        <v>독고진</v>
      </c>
      <c r="H2747" t="str">
        <f>T("스토리위즈")</f>
        <v>스토리위즈</v>
      </c>
      <c r="I2747" t="str">
        <f>T("스트라이커")</f>
        <v>스트라이커</v>
      </c>
      <c r="J2747">
        <v>0</v>
      </c>
      <c r="K2747">
        <v>0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1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Q2747">
        <v>0</v>
      </c>
      <c r="AR2747">
        <v>0</v>
      </c>
      <c r="AT2747">
        <v>0</v>
      </c>
      <c r="AU2747">
        <v>0</v>
      </c>
      <c r="AW2747">
        <v>0</v>
      </c>
      <c r="AX2747">
        <v>0</v>
      </c>
      <c r="AY2747">
        <v>0</v>
      </c>
      <c r="BC2747" t="str">
        <f>T("9791170151678")</f>
        <v>9791170151678</v>
      </c>
      <c r="BE2747" t="str">
        <f>T("판타지 웹소설 &gt; 현대 판타지")</f>
        <v>판타지 웹소설 &gt; 현대 판타지</v>
      </c>
    </row>
    <row r="2748" spans="1:57" x14ac:dyDescent="0.3">
      <c r="A2748">
        <v>1525013344</v>
      </c>
      <c r="B2748">
        <v>1525013356</v>
      </c>
      <c r="C2748" t="str">
        <f>T("[e북]진짜 사나이 13권")</f>
        <v>[e북]진짜 사나이 13권</v>
      </c>
      <c r="D2748" t="str">
        <f>T("13")</f>
        <v>13</v>
      </c>
      <c r="E2748" t="str">
        <f>T("백범(白帆)")</f>
        <v>백범(白帆)</v>
      </c>
      <c r="H2748" t="str">
        <f>T("에필로그")</f>
        <v>에필로그</v>
      </c>
      <c r="I2748" t="str">
        <f>T("[e북]진짜 사나이")</f>
        <v>[e북]진짜 사나이</v>
      </c>
      <c r="J2748">
        <v>2000</v>
      </c>
      <c r="K2748">
        <v>0</v>
      </c>
      <c r="L2748">
        <v>0</v>
      </c>
      <c r="M2748">
        <v>0</v>
      </c>
      <c r="N2748">
        <v>900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900</v>
      </c>
      <c r="AH2748">
        <v>1</v>
      </c>
      <c r="AI2748">
        <v>0</v>
      </c>
      <c r="AJ2748">
        <v>0</v>
      </c>
      <c r="AK2748">
        <v>900</v>
      </c>
      <c r="AL2748">
        <v>0</v>
      </c>
      <c r="AM2748">
        <v>0</v>
      </c>
      <c r="AN2748">
        <v>0</v>
      </c>
      <c r="AO2748">
        <v>0</v>
      </c>
      <c r="AQ2748">
        <v>0</v>
      </c>
      <c r="AR2748">
        <v>0</v>
      </c>
      <c r="AT2748">
        <v>0</v>
      </c>
      <c r="AU2748">
        <v>0</v>
      </c>
      <c r="AW2748">
        <v>0</v>
      </c>
      <c r="AX2748">
        <v>0</v>
      </c>
      <c r="AY2748">
        <v>630</v>
      </c>
      <c r="BC2748" t="str">
        <f>T("9791164480647")</f>
        <v>9791164480647</v>
      </c>
      <c r="BE2748" t="str">
        <f>T("판타지 e북 &gt; 퓨전 판타지")</f>
        <v>판타지 e북 &gt; 퓨전 판타지</v>
      </c>
    </row>
    <row r="2749" spans="1:57" x14ac:dyDescent="0.3">
      <c r="A2749">
        <v>1525010944</v>
      </c>
      <c r="B2749">
        <v>1525010943</v>
      </c>
      <c r="C2749" t="str">
        <f>T("[e북]법보다 주먹 2권")</f>
        <v>[e북]법보다 주먹 2권</v>
      </c>
      <c r="D2749" t="str">
        <f>T("2")</f>
        <v>2</v>
      </c>
      <c r="E2749" t="str">
        <f>T("백범(白帆)")</f>
        <v>백범(白帆)</v>
      </c>
      <c r="H2749" t="str">
        <f>T("에필로그")</f>
        <v>에필로그</v>
      </c>
      <c r="I2749" t="str">
        <f>T("[e북]법보다 주먹")</f>
        <v>[e북]법보다 주먹</v>
      </c>
      <c r="J2749">
        <v>2000</v>
      </c>
      <c r="K2749">
        <v>0</v>
      </c>
      <c r="L2749">
        <v>0</v>
      </c>
      <c r="M2749">
        <v>0</v>
      </c>
      <c r="N2749">
        <v>4500</v>
      </c>
      <c r="O2749">
        <v>5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4500</v>
      </c>
      <c r="AH2749">
        <v>5</v>
      </c>
      <c r="AI2749">
        <v>0</v>
      </c>
      <c r="AJ2749">
        <v>0</v>
      </c>
      <c r="AK2749">
        <v>900</v>
      </c>
      <c r="AL2749">
        <v>0</v>
      </c>
      <c r="AM2749">
        <v>4320</v>
      </c>
      <c r="AN2749">
        <v>-864</v>
      </c>
      <c r="AO2749">
        <v>0</v>
      </c>
      <c r="AQ2749">
        <v>0</v>
      </c>
      <c r="AR2749">
        <v>0</v>
      </c>
      <c r="AS2749">
        <v>4320</v>
      </c>
      <c r="AT2749">
        <v>-864</v>
      </c>
      <c r="AU2749">
        <v>0</v>
      </c>
      <c r="AW2749">
        <v>0</v>
      </c>
      <c r="AX2749">
        <v>0</v>
      </c>
      <c r="AY2749">
        <v>3049.2</v>
      </c>
      <c r="BC2749" t="str">
        <f>T("9791164480142")</f>
        <v>9791164480142</v>
      </c>
      <c r="BE2749" t="str">
        <f>T("판타지 e북 &gt; 현대 판타지")</f>
        <v>판타지 e북 &gt; 현대 판타지</v>
      </c>
    </row>
    <row r="2750" spans="1:57" x14ac:dyDescent="0.3">
      <c r="A2750">
        <v>1525000022</v>
      </c>
      <c r="B2750">
        <v>1525000025</v>
      </c>
      <c r="C2750" t="str">
        <f>T("[e북]마계대공 연대기 4권")</f>
        <v>[e북]마계대공 연대기 4권</v>
      </c>
      <c r="D2750" t="str">
        <f>T("4")</f>
        <v>4</v>
      </c>
      <c r="E2750" t="str">
        <f>T("김광수")</f>
        <v>김광수</v>
      </c>
      <c r="H2750" t="str">
        <f>T("스토리위즈")</f>
        <v>스토리위즈</v>
      </c>
      <c r="I2750" t="str">
        <f>T("[e북]마계대공 연대기")</f>
        <v>[e북]마계대공 연대기</v>
      </c>
      <c r="J2750">
        <v>3200</v>
      </c>
      <c r="K2750">
        <v>0</v>
      </c>
      <c r="L2750">
        <v>0</v>
      </c>
      <c r="M2750">
        <v>0</v>
      </c>
      <c r="N2750">
        <v>2700</v>
      </c>
      <c r="O2750">
        <v>3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2700</v>
      </c>
      <c r="AH2750">
        <v>3</v>
      </c>
      <c r="AI2750">
        <v>0</v>
      </c>
      <c r="AJ2750">
        <v>0</v>
      </c>
      <c r="AK2750">
        <v>1800</v>
      </c>
      <c r="AL2750">
        <v>0</v>
      </c>
      <c r="AM2750">
        <v>1080</v>
      </c>
      <c r="AN2750">
        <v>-108</v>
      </c>
      <c r="AO2750">
        <v>0</v>
      </c>
      <c r="AQ2750">
        <v>0</v>
      </c>
      <c r="AR2750">
        <v>0</v>
      </c>
      <c r="AS2750">
        <v>1080</v>
      </c>
      <c r="AT2750">
        <v>-108</v>
      </c>
      <c r="AU2750">
        <v>0</v>
      </c>
      <c r="AW2750">
        <v>0</v>
      </c>
      <c r="AX2750">
        <v>0</v>
      </c>
      <c r="AY2750">
        <v>1940.4</v>
      </c>
      <c r="BE2750" t="str">
        <f>T("판타지 e북 &gt; 퓨전 판타지")</f>
        <v>판타지 e북 &gt; 퓨전 판타지</v>
      </c>
    </row>
    <row r="2751" spans="1:57" x14ac:dyDescent="0.3">
      <c r="A2751">
        <v>1525004988</v>
      </c>
      <c r="B2751">
        <v>1525005295</v>
      </c>
      <c r="C2751" t="str">
        <f>T("용무쌍 8화")</f>
        <v>용무쌍 8화</v>
      </c>
      <c r="D2751" t="str">
        <f>T("8")</f>
        <v>8</v>
      </c>
      <c r="E2751" t="str">
        <f>T("권용찬")</f>
        <v>권용찬</v>
      </c>
      <c r="H2751" t="str">
        <f>T("스토리위즈")</f>
        <v>스토리위즈</v>
      </c>
      <c r="I2751" t="str">
        <f>T("용무쌍")</f>
        <v>용무쌍</v>
      </c>
      <c r="J2751">
        <v>0</v>
      </c>
      <c r="K2751">
        <v>0</v>
      </c>
      <c r="L2751">
        <v>0</v>
      </c>
      <c r="M2751">
        <v>2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2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Q2751">
        <v>0</v>
      </c>
      <c r="AR2751">
        <v>0</v>
      </c>
      <c r="AT2751">
        <v>0</v>
      </c>
      <c r="AU2751">
        <v>0</v>
      </c>
      <c r="AW2751">
        <v>0</v>
      </c>
      <c r="AX2751">
        <v>0</v>
      </c>
      <c r="AY2751">
        <v>0</v>
      </c>
      <c r="BC2751" t="str">
        <f>T("9791159284861")</f>
        <v>9791159284861</v>
      </c>
      <c r="BE2751" t="str">
        <f>T("판타지 웹소설 &gt; 무협 소설")</f>
        <v>판타지 웹소설 &gt; 무협 소설</v>
      </c>
    </row>
    <row r="2752" spans="1:57" x14ac:dyDescent="0.3">
      <c r="A2752">
        <v>1525000924</v>
      </c>
      <c r="B2752">
        <v>1525000943</v>
      </c>
      <c r="C2752" t="str">
        <f>T("스피릿 소드 20화")</f>
        <v>스피릿 소드 20화</v>
      </c>
      <c r="D2752" t="str">
        <f>T("20")</f>
        <v>20</v>
      </c>
      <c r="E2752" t="str">
        <f>T("김정률")</f>
        <v>김정률</v>
      </c>
      <c r="H2752" t="str">
        <f>T("스토리위즈")</f>
        <v>스토리위즈</v>
      </c>
      <c r="I2752" t="str">
        <f>T("스피릿 소드")</f>
        <v>스피릿 소드</v>
      </c>
      <c r="J2752">
        <v>0</v>
      </c>
      <c r="K2752">
        <v>0</v>
      </c>
      <c r="L2752">
        <v>0</v>
      </c>
      <c r="M2752">
        <v>1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1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Q2752">
        <v>0</v>
      </c>
      <c r="AR2752">
        <v>0</v>
      </c>
      <c r="AT2752">
        <v>0</v>
      </c>
      <c r="AU2752">
        <v>0</v>
      </c>
      <c r="AW2752">
        <v>0</v>
      </c>
      <c r="AX2752">
        <v>0</v>
      </c>
      <c r="AY2752">
        <v>0</v>
      </c>
      <c r="BA2752" t="str">
        <f>T("9791159282713")</f>
        <v>9791159282713</v>
      </c>
      <c r="BC2752" t="str">
        <f>T("9791159282713")</f>
        <v>9791159282713</v>
      </c>
      <c r="BE2752" t="str">
        <f>T("판타지 웹소설 &gt; 정통 판타지")</f>
        <v>판타지 웹소설 &gt; 정통 판타지</v>
      </c>
    </row>
    <row r="2753" spans="1:57" x14ac:dyDescent="0.3">
      <c r="A2753">
        <v>1525012551</v>
      </c>
      <c r="B2753">
        <v>1525012554</v>
      </c>
      <c r="C2753" t="str">
        <f>T("개정판 | 바보가 만드는 멋진 세상 4화")</f>
        <v>개정판 | 바보가 만드는 멋진 세상 4화</v>
      </c>
      <c r="D2753" t="str">
        <f>T("4")</f>
        <v>4</v>
      </c>
      <c r="E2753" t="str">
        <f>T("백범(白帆)")</f>
        <v>백범(白帆)</v>
      </c>
      <c r="H2753" t="str">
        <f>T("에필로그")</f>
        <v>에필로그</v>
      </c>
      <c r="I2753" t="str">
        <f>T("개정판 | 바보가 만드는 멋진 세상")</f>
        <v>개정판 | 바보가 만드는 멋진 세상</v>
      </c>
      <c r="J2753">
        <v>0</v>
      </c>
      <c r="K2753">
        <v>0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1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Q2753">
        <v>0</v>
      </c>
      <c r="AR2753">
        <v>0</v>
      </c>
      <c r="AT2753">
        <v>0</v>
      </c>
      <c r="AU2753">
        <v>0</v>
      </c>
      <c r="AW2753">
        <v>0</v>
      </c>
      <c r="AX2753">
        <v>0</v>
      </c>
      <c r="AY2753">
        <v>0</v>
      </c>
      <c r="BC2753" t="str">
        <f>T("9791166003493")</f>
        <v>9791166003493</v>
      </c>
      <c r="BE2753" t="str">
        <f>T("판타지 웹소설 &gt; 현대 판타지")</f>
        <v>판타지 웹소설 &gt; 현대 판타지</v>
      </c>
    </row>
    <row r="2754" spans="1:57" x14ac:dyDescent="0.3">
      <c r="A2754">
        <v>1525002692</v>
      </c>
      <c r="B2754">
        <v>1525002700</v>
      </c>
      <c r="C2754" t="str">
        <f>T("신규무사 9화")</f>
        <v>신규무사 9화</v>
      </c>
      <c r="D2754" t="str">
        <f>T("9")</f>
        <v>9</v>
      </c>
      <c r="E2754" t="str">
        <f>T("권용찬")</f>
        <v>권용찬</v>
      </c>
      <c r="H2754" t="str">
        <f>T("스토리위즈")</f>
        <v>스토리위즈</v>
      </c>
      <c r="I2754" t="str">
        <f>T("신규무사")</f>
        <v>신규무사</v>
      </c>
      <c r="J2754">
        <v>0</v>
      </c>
      <c r="K2754">
        <v>0</v>
      </c>
      <c r="L2754">
        <v>0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1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Q2754">
        <v>0</v>
      </c>
      <c r="AR2754">
        <v>0</v>
      </c>
      <c r="AT2754">
        <v>0</v>
      </c>
      <c r="AU2754">
        <v>0</v>
      </c>
      <c r="AW2754">
        <v>0</v>
      </c>
      <c r="AX2754">
        <v>0</v>
      </c>
      <c r="AY2754">
        <v>0</v>
      </c>
      <c r="BC2754" t="str">
        <f>T("9791159287480")</f>
        <v>9791159287480</v>
      </c>
      <c r="BE2754" t="str">
        <f>T("판타지 웹소설 &gt; 무협 소설")</f>
        <v>판타지 웹소설 &gt; 무협 소설</v>
      </c>
    </row>
    <row r="2755" spans="1:57" x14ac:dyDescent="0.3">
      <c r="A2755">
        <v>1525000055</v>
      </c>
      <c r="B2755">
        <v>1525000061</v>
      </c>
      <c r="C2755" t="str">
        <f>T("[e북]21세기 대마법사 6권")</f>
        <v>[e북]21세기 대마법사 6권</v>
      </c>
      <c r="D2755" t="str">
        <f>T("6")</f>
        <v>6</v>
      </c>
      <c r="E2755" t="str">
        <f>T("김광수")</f>
        <v>김광수</v>
      </c>
      <c r="H2755" t="str">
        <f>T("스토리위즈")</f>
        <v>스토리위즈</v>
      </c>
      <c r="I2755" t="str">
        <f>T("[e북]21세기 대마법사")</f>
        <v>[e북]21세기 대마법사</v>
      </c>
      <c r="J2755">
        <v>3200</v>
      </c>
      <c r="K2755">
        <v>0</v>
      </c>
      <c r="L2755">
        <v>0</v>
      </c>
      <c r="M2755">
        <v>0</v>
      </c>
      <c r="N2755">
        <v>2700</v>
      </c>
      <c r="O2755">
        <v>3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2700</v>
      </c>
      <c r="AH2755">
        <v>3</v>
      </c>
      <c r="AI2755">
        <v>0</v>
      </c>
      <c r="AJ2755">
        <v>0</v>
      </c>
      <c r="AK2755">
        <v>900</v>
      </c>
      <c r="AL2755">
        <v>0</v>
      </c>
      <c r="AM2755">
        <v>2160</v>
      </c>
      <c r="AN2755">
        <v>-432</v>
      </c>
      <c r="AO2755">
        <v>0</v>
      </c>
      <c r="AQ2755">
        <v>0</v>
      </c>
      <c r="AR2755">
        <v>0</v>
      </c>
      <c r="AS2755">
        <v>2160</v>
      </c>
      <c r="AT2755">
        <v>-432</v>
      </c>
      <c r="AU2755">
        <v>0</v>
      </c>
      <c r="AW2755">
        <v>0</v>
      </c>
      <c r="AX2755">
        <v>0</v>
      </c>
      <c r="AY2755">
        <v>1839.6</v>
      </c>
      <c r="BC2755" t="str">
        <f>T("9788925117843")</f>
        <v>9788925117843</v>
      </c>
      <c r="BE2755" t="str">
        <f>T("판타지 e북 &gt; 퓨전 판타지")</f>
        <v>판타지 e북 &gt; 퓨전 판타지</v>
      </c>
    </row>
    <row r="2756" spans="1:57" x14ac:dyDescent="0.3">
      <c r="A2756">
        <v>1525004030</v>
      </c>
      <c r="B2756">
        <v>1525004049</v>
      </c>
      <c r="C2756" t="str">
        <f>T("회귀의 전설 20화")</f>
        <v>회귀의 전설 20화</v>
      </c>
      <c r="D2756" t="str">
        <f>T("20")</f>
        <v>20</v>
      </c>
      <c r="E2756" t="str">
        <f>T("김광수")</f>
        <v>김광수</v>
      </c>
      <c r="H2756" t="str">
        <f>T("스토리위즈")</f>
        <v>스토리위즈</v>
      </c>
      <c r="I2756" t="str">
        <f>T("회귀의 전설")</f>
        <v>회귀의 전설</v>
      </c>
      <c r="J2756">
        <v>0</v>
      </c>
      <c r="K2756">
        <v>0</v>
      </c>
      <c r="L2756">
        <v>0</v>
      </c>
      <c r="M2756">
        <v>7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7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Q2756">
        <v>0</v>
      </c>
      <c r="AR2756">
        <v>0</v>
      </c>
      <c r="AT2756">
        <v>0</v>
      </c>
      <c r="AU2756">
        <v>0</v>
      </c>
      <c r="AW2756">
        <v>0</v>
      </c>
      <c r="AX2756">
        <v>0</v>
      </c>
      <c r="AY2756">
        <v>0</v>
      </c>
      <c r="BC2756" t="str">
        <f>T("9788997946006")</f>
        <v>9788997946006</v>
      </c>
      <c r="BE2756" t="str">
        <f>T("판타지 웹소설 &gt; 현대 판타지")</f>
        <v>판타지 웹소설 &gt; 현대 판타지</v>
      </c>
    </row>
    <row r="2757" spans="1:57" x14ac:dyDescent="0.3">
      <c r="A2757">
        <v>1525000924</v>
      </c>
      <c r="B2757">
        <v>1525000932</v>
      </c>
      <c r="C2757" t="str">
        <f>T("스피릿 소드 9화")</f>
        <v>스피릿 소드 9화</v>
      </c>
      <c r="D2757" t="str">
        <f>T("9")</f>
        <v>9</v>
      </c>
      <c r="E2757" t="str">
        <f>T("김정률")</f>
        <v>김정률</v>
      </c>
      <c r="H2757" t="str">
        <f>T("스토리위즈")</f>
        <v>스토리위즈</v>
      </c>
      <c r="I2757" t="str">
        <f>T("스피릿 소드")</f>
        <v>스피릿 소드</v>
      </c>
      <c r="J2757">
        <v>0</v>
      </c>
      <c r="K2757">
        <v>0</v>
      </c>
      <c r="L2757">
        <v>0</v>
      </c>
      <c r="M2757">
        <v>1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1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Q2757">
        <v>0</v>
      </c>
      <c r="AR2757">
        <v>0</v>
      </c>
      <c r="AT2757">
        <v>0</v>
      </c>
      <c r="AU2757">
        <v>0</v>
      </c>
      <c r="AW2757">
        <v>0</v>
      </c>
      <c r="AX2757">
        <v>0</v>
      </c>
      <c r="AY2757">
        <v>0</v>
      </c>
      <c r="BA2757" t="str">
        <f>T("9791159282713")</f>
        <v>9791159282713</v>
      </c>
      <c r="BC2757" t="str">
        <f>T("9791159282713")</f>
        <v>9791159282713</v>
      </c>
      <c r="BE2757" t="str">
        <f>T("판타지 웹소설 &gt; 정통 판타지")</f>
        <v>판타지 웹소설 &gt; 정통 판타지</v>
      </c>
    </row>
    <row r="2758" spans="1:57" x14ac:dyDescent="0.3">
      <c r="A2758">
        <v>1525000092</v>
      </c>
      <c r="B2758">
        <v>1525000092</v>
      </c>
      <c r="C2758" t="str">
        <f>T("[e북]다크 메이지 1권")</f>
        <v>[e북]다크 메이지 1권</v>
      </c>
      <c r="D2758" t="str">
        <f>T("1")</f>
        <v>1</v>
      </c>
      <c r="E2758" t="str">
        <f>T("김정률")</f>
        <v>김정률</v>
      </c>
      <c r="H2758" t="str">
        <f>T("스토리위즈")</f>
        <v>스토리위즈</v>
      </c>
      <c r="I2758" t="str">
        <f>T("[e북]다크 메이지")</f>
        <v>[e북]다크 메이지</v>
      </c>
      <c r="J2758">
        <v>0</v>
      </c>
      <c r="K2758">
        <v>0</v>
      </c>
      <c r="L2758">
        <v>0</v>
      </c>
      <c r="M2758">
        <v>34</v>
      </c>
      <c r="N2758">
        <v>0</v>
      </c>
      <c r="O2758">
        <v>0</v>
      </c>
      <c r="P2758">
        <v>98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42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174</v>
      </c>
      <c r="AI2758">
        <v>0</v>
      </c>
      <c r="AJ2758">
        <v>1</v>
      </c>
      <c r="AK2758">
        <v>0</v>
      </c>
      <c r="AL2758">
        <v>0</v>
      </c>
      <c r="AM2758">
        <v>0</v>
      </c>
      <c r="AN2758">
        <v>0</v>
      </c>
      <c r="AO2758">
        <v>0</v>
      </c>
      <c r="AQ2758">
        <v>0</v>
      </c>
      <c r="AR2758">
        <v>0</v>
      </c>
      <c r="AT2758">
        <v>0</v>
      </c>
      <c r="AU2758">
        <v>0</v>
      </c>
      <c r="AW2758">
        <v>0</v>
      </c>
      <c r="AX2758">
        <v>0</v>
      </c>
      <c r="AY2758">
        <v>0</v>
      </c>
      <c r="BA2758" t="str">
        <f>T("0000000000000")</f>
        <v>0000000000000</v>
      </c>
      <c r="BC2758" t="str">
        <f>T("9791166061851")</f>
        <v>9791166061851</v>
      </c>
      <c r="BE2758" t="str">
        <f>T("판타지 e북 &gt; 퓨전 판타지")</f>
        <v>판타지 e북 &gt; 퓨전 판타지</v>
      </c>
    </row>
    <row r="2759" spans="1:57" x14ac:dyDescent="0.3">
      <c r="A2759">
        <v>1525013418</v>
      </c>
      <c r="B2759">
        <v>1525013418</v>
      </c>
      <c r="C2759" t="str">
        <f>T("[e북]헌터 킹 1권")</f>
        <v>[e북]헌터 킹 1권</v>
      </c>
      <c r="D2759" t="str">
        <f>T("1")</f>
        <v>1</v>
      </c>
      <c r="E2759" t="str">
        <f>T("백범(白帆)")</f>
        <v>백범(白帆)</v>
      </c>
      <c r="H2759" t="str">
        <f>T("에필로그")</f>
        <v>에필로그</v>
      </c>
      <c r="I2759" t="str">
        <f>T("[e북]헌터 킹")</f>
        <v>[e북]헌터 킹</v>
      </c>
      <c r="J2759">
        <v>0</v>
      </c>
      <c r="K2759">
        <v>0</v>
      </c>
      <c r="L2759">
        <v>0</v>
      </c>
      <c r="M2759">
        <v>2</v>
      </c>
      <c r="N2759">
        <v>0</v>
      </c>
      <c r="O2759">
        <v>0</v>
      </c>
      <c r="P2759">
        <v>3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5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Q2759">
        <v>0</v>
      </c>
      <c r="AR2759">
        <v>0</v>
      </c>
      <c r="AT2759">
        <v>0</v>
      </c>
      <c r="AU2759">
        <v>0</v>
      </c>
      <c r="AW2759">
        <v>0</v>
      </c>
      <c r="AX2759">
        <v>0</v>
      </c>
      <c r="AY2759">
        <v>0</v>
      </c>
      <c r="BA2759" t="str">
        <f>T("0000000000000")</f>
        <v>0000000000000</v>
      </c>
      <c r="BC2759" t="str">
        <f>T("9791164480166")</f>
        <v>9791164480166</v>
      </c>
      <c r="BE2759" t="str">
        <f>T("판타지 e북 &gt; 퓨전 판타지")</f>
        <v>판타지 e북 &gt; 퓨전 판타지</v>
      </c>
    </row>
    <row r="2760" spans="1:57" x14ac:dyDescent="0.3">
      <c r="A2760">
        <v>1525000022</v>
      </c>
      <c r="B2760">
        <v>1525000047</v>
      </c>
      <c r="C2760" t="str">
        <f>T("[e북]마계대공 연대기 25권")</f>
        <v>[e북]마계대공 연대기 25권</v>
      </c>
      <c r="D2760" t="str">
        <f>T("25")</f>
        <v>25</v>
      </c>
      <c r="E2760" t="str">
        <f>T("김광수")</f>
        <v>김광수</v>
      </c>
      <c r="H2760" t="str">
        <f>T("스토리위즈")</f>
        <v>스토리위즈</v>
      </c>
      <c r="I2760" t="str">
        <f>T("[e북]마계대공 연대기")</f>
        <v>[e북]마계대공 연대기</v>
      </c>
      <c r="J2760">
        <v>3200</v>
      </c>
      <c r="K2760">
        <v>0</v>
      </c>
      <c r="L2760">
        <v>0</v>
      </c>
      <c r="M2760">
        <v>0</v>
      </c>
      <c r="N2760">
        <v>2700</v>
      </c>
      <c r="O2760">
        <v>3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2700</v>
      </c>
      <c r="AH2760">
        <v>3</v>
      </c>
      <c r="AI2760">
        <v>0</v>
      </c>
      <c r="AJ2760">
        <v>0</v>
      </c>
      <c r="AK2760">
        <v>1800</v>
      </c>
      <c r="AL2760">
        <v>0</v>
      </c>
      <c r="AM2760">
        <v>1080</v>
      </c>
      <c r="AN2760">
        <v>-108</v>
      </c>
      <c r="AO2760">
        <v>0</v>
      </c>
      <c r="AQ2760">
        <v>0</v>
      </c>
      <c r="AR2760">
        <v>0</v>
      </c>
      <c r="AS2760">
        <v>1080</v>
      </c>
      <c r="AT2760">
        <v>-108</v>
      </c>
      <c r="AU2760">
        <v>0</v>
      </c>
      <c r="AW2760">
        <v>0</v>
      </c>
      <c r="AX2760">
        <v>0</v>
      </c>
      <c r="AY2760">
        <v>1940.4</v>
      </c>
      <c r="BE2760" t="str">
        <f>T("판타지 e북 &gt; 퓨전 판타지")</f>
        <v>판타지 e북 &gt; 퓨전 판타지</v>
      </c>
    </row>
    <row r="2761" spans="1:57" x14ac:dyDescent="0.3">
      <c r="A2761">
        <v>1525004030</v>
      </c>
      <c r="B2761">
        <v>1525004038</v>
      </c>
      <c r="C2761" t="str">
        <f>T("회귀의 전설 9화")</f>
        <v>회귀의 전설 9화</v>
      </c>
      <c r="D2761" t="str">
        <f>T("9")</f>
        <v>9</v>
      </c>
      <c r="E2761" t="str">
        <f>T("김광수")</f>
        <v>김광수</v>
      </c>
      <c r="H2761" t="str">
        <f>T("스토리위즈")</f>
        <v>스토리위즈</v>
      </c>
      <c r="I2761" t="str">
        <f>T("회귀의 전설")</f>
        <v>회귀의 전설</v>
      </c>
      <c r="J2761">
        <v>0</v>
      </c>
      <c r="K2761">
        <v>0</v>
      </c>
      <c r="L2761">
        <v>0</v>
      </c>
      <c r="M2761">
        <v>7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7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Q2761">
        <v>0</v>
      </c>
      <c r="AR2761">
        <v>0</v>
      </c>
      <c r="AT2761">
        <v>0</v>
      </c>
      <c r="AU2761">
        <v>0</v>
      </c>
      <c r="AW2761">
        <v>0</v>
      </c>
      <c r="AX2761">
        <v>0</v>
      </c>
      <c r="AY2761">
        <v>0</v>
      </c>
      <c r="BC2761" t="str">
        <f>T("9788997946006")</f>
        <v>9788997946006</v>
      </c>
      <c r="BE2761" t="str">
        <f>T("판타지 웹소설 &gt; 현대 판타지")</f>
        <v>판타지 웹소설 &gt; 현대 판타지</v>
      </c>
    </row>
    <row r="2762" spans="1:57" x14ac:dyDescent="0.3">
      <c r="A2762">
        <v>1525012202</v>
      </c>
      <c r="B2762">
        <v>1525012182</v>
      </c>
      <c r="C2762" t="str">
        <f>T("이세계 최강 군바리 21화")</f>
        <v>이세계 최강 군바리 21화</v>
      </c>
      <c r="D2762" t="str">
        <f>T("21")</f>
        <v>21</v>
      </c>
      <c r="E2762" t="str">
        <f>T("협행마")</f>
        <v>협행마</v>
      </c>
      <c r="H2762" t="str">
        <f>T("에필로그")</f>
        <v>에필로그</v>
      </c>
      <c r="I2762" t="str">
        <f>T("이세계 최강 군바리")</f>
        <v>이세계 최강 군바리</v>
      </c>
      <c r="J2762">
        <v>0</v>
      </c>
      <c r="K2762">
        <v>0</v>
      </c>
      <c r="L2762">
        <v>0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1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Q2762">
        <v>0</v>
      </c>
      <c r="AR2762">
        <v>0</v>
      </c>
      <c r="AT2762">
        <v>0</v>
      </c>
      <c r="AU2762">
        <v>0</v>
      </c>
      <c r="AW2762">
        <v>0</v>
      </c>
      <c r="AX2762">
        <v>0</v>
      </c>
      <c r="AY2762">
        <v>0</v>
      </c>
      <c r="BC2762" t="str">
        <f>T("9791164480159")</f>
        <v>9791164480159</v>
      </c>
      <c r="BE2762" t="str">
        <f>T("판타지 웹소설 &gt; 퓨전 판타지")</f>
        <v>판타지 웹소설 &gt; 퓨전 판타지</v>
      </c>
    </row>
    <row r="2763" spans="1:57" x14ac:dyDescent="0.3">
      <c r="A2763">
        <v>1525012551</v>
      </c>
      <c r="B2763">
        <v>1525012575</v>
      </c>
      <c r="C2763" t="str">
        <f>T("개정판 | 바보가 만드는 멋진 세상 25화")</f>
        <v>개정판 | 바보가 만드는 멋진 세상 25화</v>
      </c>
      <c r="D2763" t="str">
        <f>T("25")</f>
        <v>25</v>
      </c>
      <c r="E2763" t="str">
        <f>T("백범(白帆)")</f>
        <v>백범(白帆)</v>
      </c>
      <c r="H2763" t="str">
        <f>T("에필로그")</f>
        <v>에필로그</v>
      </c>
      <c r="I2763" t="str">
        <f>T("개정판 | 바보가 만드는 멋진 세상")</f>
        <v>개정판 | 바보가 만드는 멋진 세상</v>
      </c>
      <c r="J2763">
        <v>0</v>
      </c>
      <c r="K2763">
        <v>0</v>
      </c>
      <c r="L2763">
        <v>0</v>
      </c>
      <c r="M2763">
        <v>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1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Q2763">
        <v>0</v>
      </c>
      <c r="AR2763">
        <v>0</v>
      </c>
      <c r="AT2763">
        <v>0</v>
      </c>
      <c r="AU2763">
        <v>0</v>
      </c>
      <c r="AW2763">
        <v>0</v>
      </c>
      <c r="AX2763">
        <v>0</v>
      </c>
      <c r="AY2763">
        <v>0</v>
      </c>
      <c r="BC2763" t="str">
        <f>T("9791166003493")</f>
        <v>9791166003493</v>
      </c>
      <c r="BE2763" t="str">
        <f>T("판타지 웹소설 &gt; 현대 판타지")</f>
        <v>판타지 웹소설 &gt; 현대 판타지</v>
      </c>
    </row>
    <row r="2764" spans="1:57" x14ac:dyDescent="0.3">
      <c r="A2764">
        <v>1525014480</v>
      </c>
      <c r="B2764">
        <v>1525014484</v>
      </c>
      <c r="C2764" t="str">
        <f>T("언더독 크라이스 5화")</f>
        <v>언더독 크라이스 5화</v>
      </c>
      <c r="D2764" t="str">
        <f>T("5")</f>
        <v>5</v>
      </c>
      <c r="E2764" t="str">
        <f>T("라이큐")</f>
        <v>라이큐</v>
      </c>
      <c r="H2764" t="str">
        <f>T("스토리아크")</f>
        <v>스토리아크</v>
      </c>
      <c r="I2764" t="str">
        <f>T("언더독 크라이스")</f>
        <v>언더독 크라이스</v>
      </c>
      <c r="J2764">
        <v>0</v>
      </c>
      <c r="K2764">
        <v>0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1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Q2764">
        <v>0</v>
      </c>
      <c r="AR2764">
        <v>0</v>
      </c>
      <c r="AT2764">
        <v>0</v>
      </c>
      <c r="AU2764">
        <v>0</v>
      </c>
      <c r="AW2764">
        <v>0</v>
      </c>
      <c r="AX2764">
        <v>0</v>
      </c>
      <c r="AY2764">
        <v>0</v>
      </c>
      <c r="BC2764" t="str">
        <f>T("9791191039139")</f>
        <v>9791191039139</v>
      </c>
      <c r="BE2764" t="str">
        <f>T("판타지 웹소설 &gt; 퓨전 판타지")</f>
        <v>판타지 웹소설 &gt; 퓨전 판타지</v>
      </c>
    </row>
    <row r="2765" spans="1:57" x14ac:dyDescent="0.3">
      <c r="A2765">
        <v>1525001499</v>
      </c>
      <c r="B2765">
        <v>1525001499</v>
      </c>
      <c r="C2765" t="str">
        <f>T("[e북]파계 1권")</f>
        <v>[e북]파계 1권</v>
      </c>
      <c r="D2765" t="str">
        <f>T("1")</f>
        <v>1</v>
      </c>
      <c r="E2765" t="str">
        <f>T("권용찬")</f>
        <v>권용찬</v>
      </c>
      <c r="H2765" t="str">
        <f>T("스토리위즈")</f>
        <v>스토리위즈</v>
      </c>
      <c r="I2765" t="str">
        <f>T("[e북]파계")</f>
        <v>[e북]파계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v>0</v>
      </c>
      <c r="P2765">
        <v>3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4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Q2765">
        <v>0</v>
      </c>
      <c r="AR2765">
        <v>0</v>
      </c>
      <c r="AT2765">
        <v>0</v>
      </c>
      <c r="AU2765">
        <v>0</v>
      </c>
      <c r="AW2765">
        <v>0</v>
      </c>
      <c r="AX2765">
        <v>0</v>
      </c>
      <c r="AY2765">
        <v>0</v>
      </c>
      <c r="BC2765" t="str">
        <f>T("9791159282737")</f>
        <v>9791159282737</v>
      </c>
      <c r="BE2765" t="str">
        <f>T("판타지 e북 &gt; 신무협")</f>
        <v>판타지 e북 &gt; 신무협</v>
      </c>
    </row>
    <row r="2766" spans="1:57" x14ac:dyDescent="0.3">
      <c r="A2766">
        <v>1525015018</v>
      </c>
      <c r="B2766">
        <v>1525015020</v>
      </c>
      <c r="C2766" t="str">
        <f>T("그녀들은 소꿉친구지, 그 이상은 곤란합니다 3화")</f>
        <v>그녀들은 소꿉친구지, 그 이상은 곤란합니다 3화</v>
      </c>
      <c r="D2766" t="str">
        <f>T("3")</f>
        <v>3</v>
      </c>
      <c r="E2766" t="str">
        <f>T("자이오")</f>
        <v>자이오</v>
      </c>
      <c r="H2766" t="str">
        <f>T("스토리아크")</f>
        <v>스토리아크</v>
      </c>
      <c r="I2766" t="str">
        <f>T("그녀들은 소꿉친구지, 그 이상은 곤란합니다")</f>
        <v>그녀들은 소꿉친구지, 그 이상은 곤란합니다</v>
      </c>
      <c r="J2766">
        <v>0</v>
      </c>
      <c r="K2766">
        <v>0</v>
      </c>
      <c r="L2766">
        <v>0</v>
      </c>
      <c r="M2766">
        <v>1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1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Q2766">
        <v>0</v>
      </c>
      <c r="AR2766">
        <v>0</v>
      </c>
      <c r="AT2766">
        <v>0</v>
      </c>
      <c r="AU2766">
        <v>0</v>
      </c>
      <c r="AW2766">
        <v>0</v>
      </c>
      <c r="AX2766">
        <v>0</v>
      </c>
      <c r="AY2766">
        <v>0</v>
      </c>
      <c r="BC2766" t="str">
        <f>T("9791191039313")</f>
        <v>9791191039313</v>
      </c>
      <c r="BE2766" t="str">
        <f>T("판타지 웹소설 &gt; 퓨전 판타지")</f>
        <v>판타지 웹소설 &gt; 퓨전 판타지</v>
      </c>
    </row>
    <row r="2767" spans="1:57" x14ac:dyDescent="0.3">
      <c r="A2767">
        <v>1525001908</v>
      </c>
      <c r="B2767">
        <v>1525001916</v>
      </c>
      <c r="C2767" t="str">
        <f>T("[e북]상왕 진우몽 9권 (완결)")</f>
        <v>[e북]상왕 진우몽 9권 (완결)</v>
      </c>
      <c r="D2767" t="str">
        <f>T("9")</f>
        <v>9</v>
      </c>
      <c r="E2767" t="str">
        <f>T("권용찬")</f>
        <v>권용찬</v>
      </c>
      <c r="H2767" t="str">
        <f>T("스토리위즈")</f>
        <v>스토리위즈</v>
      </c>
      <c r="I2767" t="str">
        <f>T("[e북]상왕 진우몽")</f>
        <v>[e북]상왕 진우몽</v>
      </c>
      <c r="J2767">
        <v>3200</v>
      </c>
      <c r="K2767">
        <v>0</v>
      </c>
      <c r="L2767">
        <v>0</v>
      </c>
      <c r="M2767">
        <v>0</v>
      </c>
      <c r="N2767">
        <v>900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900</v>
      </c>
      <c r="AH2767">
        <v>1</v>
      </c>
      <c r="AI2767">
        <v>0</v>
      </c>
      <c r="AJ2767">
        <v>0</v>
      </c>
      <c r="AK2767">
        <v>900</v>
      </c>
      <c r="AL2767">
        <v>0</v>
      </c>
      <c r="AM2767">
        <v>0</v>
      </c>
      <c r="AN2767">
        <v>0</v>
      </c>
      <c r="AO2767">
        <v>0</v>
      </c>
      <c r="AQ2767">
        <v>0</v>
      </c>
      <c r="AR2767">
        <v>0</v>
      </c>
      <c r="AT2767">
        <v>0</v>
      </c>
      <c r="AU2767">
        <v>0</v>
      </c>
      <c r="AW2767">
        <v>0</v>
      </c>
      <c r="AX2767">
        <v>0</v>
      </c>
      <c r="AY2767">
        <v>630</v>
      </c>
      <c r="BC2767" t="str">
        <f>T("9791159285912")</f>
        <v>9791159285912</v>
      </c>
      <c r="BE2767" t="str">
        <f>T("판타지 e북 &gt; 신무협")</f>
        <v>판타지 e북 &gt; 신무협</v>
      </c>
    </row>
    <row r="2768" spans="1:57" x14ac:dyDescent="0.3">
      <c r="A2768">
        <v>1525010579</v>
      </c>
      <c r="B2768">
        <v>1525010570</v>
      </c>
      <c r="C2768" t="str">
        <f>T("법보다 주먹 8화")</f>
        <v>법보다 주먹 8화</v>
      </c>
      <c r="D2768" t="str">
        <f>T("8")</f>
        <v>8</v>
      </c>
      <c r="E2768" t="str">
        <f>T("백범(白帆)")</f>
        <v>백범(白帆)</v>
      </c>
      <c r="H2768" t="str">
        <f>T("에필로그")</f>
        <v>에필로그</v>
      </c>
      <c r="I2768" t="str">
        <f>T("법보다 주먹")</f>
        <v>법보다 주먹</v>
      </c>
      <c r="J2768">
        <v>0</v>
      </c>
      <c r="K2768">
        <v>0</v>
      </c>
      <c r="L2768">
        <v>0</v>
      </c>
      <c r="M2768">
        <v>1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1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Q2768">
        <v>0</v>
      </c>
      <c r="AR2768">
        <v>0</v>
      </c>
      <c r="AT2768">
        <v>0</v>
      </c>
      <c r="AU2768">
        <v>0</v>
      </c>
      <c r="AW2768">
        <v>0</v>
      </c>
      <c r="AX2768">
        <v>0</v>
      </c>
      <c r="AY2768">
        <v>0</v>
      </c>
      <c r="BC2768" t="str">
        <f>T("9791164489367")</f>
        <v>9791164489367</v>
      </c>
      <c r="BE2768" t="str">
        <f>T("판타지 웹소설 &gt; 현대 판타지")</f>
        <v>판타지 웹소설 &gt; 현대 판타지</v>
      </c>
    </row>
    <row r="2769" spans="1:57" x14ac:dyDescent="0.3">
      <c r="A2769">
        <v>1525013020</v>
      </c>
      <c r="B2769">
        <v>1525013031</v>
      </c>
      <c r="C2769" t="str">
        <f>T("악당의 리턴 12화")</f>
        <v>악당의 리턴 12화</v>
      </c>
      <c r="D2769" t="str">
        <f>T("12")</f>
        <v>12</v>
      </c>
      <c r="E2769" t="str">
        <f>T("백범(白帆)")</f>
        <v>백범(白帆)</v>
      </c>
      <c r="H2769" t="str">
        <f>T("에필로그")</f>
        <v>에필로그</v>
      </c>
      <c r="I2769" t="str">
        <f>T("악당의 리턴")</f>
        <v>악당의 리턴</v>
      </c>
      <c r="J2769">
        <v>0</v>
      </c>
      <c r="K2769">
        <v>0</v>
      </c>
      <c r="L2769">
        <v>0</v>
      </c>
      <c r="M2769">
        <v>6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6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Q2769">
        <v>0</v>
      </c>
      <c r="AR2769">
        <v>0</v>
      </c>
      <c r="AT2769">
        <v>0</v>
      </c>
      <c r="AU2769">
        <v>0</v>
      </c>
      <c r="AW2769">
        <v>0</v>
      </c>
      <c r="AX2769">
        <v>0</v>
      </c>
      <c r="AY2769">
        <v>0</v>
      </c>
      <c r="BC2769" t="str">
        <f>T("9791196538927")</f>
        <v>9791196538927</v>
      </c>
      <c r="BE2769" t="str">
        <f>T("판타지 웹소설 &gt; 현대 판타지")</f>
        <v>판타지 웹소설 &gt; 현대 판타지</v>
      </c>
    </row>
    <row r="2770" spans="1:57" x14ac:dyDescent="0.3">
      <c r="A2770">
        <v>1525000146</v>
      </c>
      <c r="B2770">
        <v>1525000157</v>
      </c>
      <c r="C2770" t="str">
        <f>T("[e북]트루베니아 연대기 12권 (완결)")</f>
        <v>[e북]트루베니아 연대기 12권 (완결)</v>
      </c>
      <c r="D2770" t="str">
        <f>T("12")</f>
        <v>12</v>
      </c>
      <c r="E2770" t="str">
        <f>T("김정률")</f>
        <v>김정률</v>
      </c>
      <c r="H2770" t="str">
        <f>T("스토리위즈")</f>
        <v>스토리위즈</v>
      </c>
      <c r="I2770" t="str">
        <f>T("[e북]트루베니아 연대기")</f>
        <v>[e북]트루베니아 연대기</v>
      </c>
      <c r="J2770">
        <v>3200</v>
      </c>
      <c r="K2770">
        <v>0</v>
      </c>
      <c r="L2770">
        <v>0</v>
      </c>
      <c r="M2770">
        <v>0</v>
      </c>
      <c r="N2770">
        <v>8100</v>
      </c>
      <c r="O2770">
        <v>9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8100</v>
      </c>
      <c r="AH2770">
        <v>9</v>
      </c>
      <c r="AI2770">
        <v>0</v>
      </c>
      <c r="AJ2770">
        <v>0</v>
      </c>
      <c r="AK2770">
        <v>4500</v>
      </c>
      <c r="AL2770">
        <v>0</v>
      </c>
      <c r="AM2770">
        <v>4320</v>
      </c>
      <c r="AN2770">
        <v>-864</v>
      </c>
      <c r="AO2770">
        <v>0</v>
      </c>
      <c r="AP2770">
        <v>2160</v>
      </c>
      <c r="AQ2770">
        <v>-648</v>
      </c>
      <c r="AR2770">
        <v>0</v>
      </c>
      <c r="AS2770">
        <v>2160</v>
      </c>
      <c r="AT2770">
        <v>-216</v>
      </c>
      <c r="AU2770">
        <v>0</v>
      </c>
      <c r="AW2770">
        <v>0</v>
      </c>
      <c r="AX2770">
        <v>0</v>
      </c>
      <c r="AY2770">
        <v>5569.2</v>
      </c>
      <c r="BE2770" t="str">
        <f>T("판타지 e북 &gt; 정통 판타지")</f>
        <v>판타지 e북 &gt; 정통 판타지</v>
      </c>
    </row>
    <row r="2771" spans="1:57" x14ac:dyDescent="0.3">
      <c r="A2771">
        <v>1525000411</v>
      </c>
      <c r="B2771">
        <v>1525000432</v>
      </c>
      <c r="C2771" t="str">
        <f>T("레이드 만물상점 22화")</f>
        <v>레이드 만물상점 22화</v>
      </c>
      <c r="D2771" t="str">
        <f>T("22")</f>
        <v>22</v>
      </c>
      <c r="E2771" t="str">
        <f>T("전혁")</f>
        <v>전혁</v>
      </c>
      <c r="H2771" t="str">
        <f>T("스토리위즈")</f>
        <v>스토리위즈</v>
      </c>
      <c r="I2771" t="str">
        <f>T("레이드 만물상점")</f>
        <v>레이드 만물상점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1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Q2771">
        <v>0</v>
      </c>
      <c r="AR2771">
        <v>0</v>
      </c>
      <c r="AT2771">
        <v>0</v>
      </c>
      <c r="AU2771">
        <v>0</v>
      </c>
      <c r="AW2771">
        <v>0</v>
      </c>
      <c r="AX2771">
        <v>0</v>
      </c>
      <c r="AY2771">
        <v>0</v>
      </c>
      <c r="BC2771" t="str">
        <f>T("9791170151432")</f>
        <v>9791170151432</v>
      </c>
      <c r="BE2771" t="str">
        <f>T("판타지 웹소설 &gt; 현대 판타지")</f>
        <v>판타지 웹소설 &gt; 현대 판타지</v>
      </c>
    </row>
    <row r="2772" spans="1:57" x14ac:dyDescent="0.3">
      <c r="A2772">
        <v>1525010944</v>
      </c>
      <c r="B2772">
        <v>1525010932</v>
      </c>
      <c r="C2772" t="str">
        <f>T("[e북]법보다 주먹 13권")</f>
        <v>[e북]법보다 주먹 13권</v>
      </c>
      <c r="D2772" t="str">
        <f>T("13")</f>
        <v>13</v>
      </c>
      <c r="E2772" t="str">
        <f>T("백범(白帆)")</f>
        <v>백범(白帆)</v>
      </c>
      <c r="H2772" t="str">
        <f>T("에필로그")</f>
        <v>에필로그</v>
      </c>
      <c r="I2772" t="str">
        <f>T("[e북]법보다 주먹")</f>
        <v>[e북]법보다 주먹</v>
      </c>
      <c r="J2772">
        <v>2000</v>
      </c>
      <c r="K2772">
        <v>0</v>
      </c>
      <c r="L2772">
        <v>0</v>
      </c>
      <c r="M2772">
        <v>0</v>
      </c>
      <c r="N2772">
        <v>2700</v>
      </c>
      <c r="O2772">
        <v>3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2700</v>
      </c>
      <c r="AH2772">
        <v>3</v>
      </c>
      <c r="AI2772">
        <v>0</v>
      </c>
      <c r="AJ2772">
        <v>0</v>
      </c>
      <c r="AK2772">
        <v>900</v>
      </c>
      <c r="AL2772">
        <v>0</v>
      </c>
      <c r="AM2772">
        <v>2160</v>
      </c>
      <c r="AN2772">
        <v>-648</v>
      </c>
      <c r="AO2772">
        <v>0</v>
      </c>
      <c r="AQ2772">
        <v>0</v>
      </c>
      <c r="AR2772">
        <v>0</v>
      </c>
      <c r="AS2772">
        <v>2160</v>
      </c>
      <c r="AT2772">
        <v>-648</v>
      </c>
      <c r="AU2772">
        <v>0</v>
      </c>
      <c r="AW2772">
        <v>0</v>
      </c>
      <c r="AX2772">
        <v>0</v>
      </c>
      <c r="AY2772">
        <v>1688.4</v>
      </c>
      <c r="BC2772" t="str">
        <f>T("9791164480142")</f>
        <v>9791164480142</v>
      </c>
      <c r="BE2772" t="str">
        <f>T("판타지 e북 &gt; 현대 판타지")</f>
        <v>판타지 e북 &gt; 현대 판타지</v>
      </c>
    </row>
    <row r="2773" spans="1:57" x14ac:dyDescent="0.3">
      <c r="A2773">
        <v>1525010579</v>
      </c>
      <c r="B2773">
        <v>1525010561</v>
      </c>
      <c r="C2773" t="str">
        <f>T("법보다 주먹 17화")</f>
        <v>법보다 주먹 17화</v>
      </c>
      <c r="D2773" t="str">
        <f>T("17")</f>
        <v>17</v>
      </c>
      <c r="E2773" t="str">
        <f>T("백범(白帆)")</f>
        <v>백범(白帆)</v>
      </c>
      <c r="H2773" t="str">
        <f>T("에필로그")</f>
        <v>에필로그</v>
      </c>
      <c r="I2773" t="str">
        <f>T("법보다 주먹")</f>
        <v>법보다 주먹</v>
      </c>
      <c r="J2773">
        <v>0</v>
      </c>
      <c r="K2773">
        <v>0</v>
      </c>
      <c r="L2773">
        <v>0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1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Q2773">
        <v>0</v>
      </c>
      <c r="AR2773">
        <v>0</v>
      </c>
      <c r="AT2773">
        <v>0</v>
      </c>
      <c r="AU2773">
        <v>0</v>
      </c>
      <c r="AW2773">
        <v>0</v>
      </c>
      <c r="AX2773">
        <v>0</v>
      </c>
      <c r="AY2773">
        <v>0</v>
      </c>
      <c r="BC2773" t="str">
        <f>T("9791164489367")</f>
        <v>9791164489367</v>
      </c>
      <c r="BE2773" t="str">
        <f>T("판타지 웹소설 &gt; 현대 판타지")</f>
        <v>판타지 웹소설 &gt; 현대 판타지</v>
      </c>
    </row>
    <row r="2774" spans="1:57" x14ac:dyDescent="0.3">
      <c r="A2774">
        <v>1525000001</v>
      </c>
      <c r="B2774">
        <v>1525000005</v>
      </c>
      <c r="C2774" t="str">
        <f>T("[e북]마스터 K 5권")</f>
        <v>[e북]마스터 K 5권</v>
      </c>
      <c r="D2774" t="str">
        <f>T("5")</f>
        <v>5</v>
      </c>
      <c r="E2774" t="str">
        <f>T("김광수")</f>
        <v>김광수</v>
      </c>
      <c r="H2774" t="str">
        <f>T("스토리위즈")</f>
        <v>스토리위즈</v>
      </c>
      <c r="I2774" t="str">
        <f>T("[e북]마스터 K")</f>
        <v>[e북]마스터 K</v>
      </c>
      <c r="J2774">
        <v>3200</v>
      </c>
      <c r="K2774">
        <v>0</v>
      </c>
      <c r="L2774">
        <v>0</v>
      </c>
      <c r="M2774">
        <v>0</v>
      </c>
      <c r="N2774">
        <v>900</v>
      </c>
      <c r="O2774"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900</v>
      </c>
      <c r="AH2774">
        <v>1</v>
      </c>
      <c r="AI2774">
        <v>0</v>
      </c>
      <c r="AJ2774">
        <v>0</v>
      </c>
      <c r="AK2774">
        <v>900</v>
      </c>
      <c r="AL2774">
        <v>0</v>
      </c>
      <c r="AM2774">
        <v>0</v>
      </c>
      <c r="AN2774">
        <v>0</v>
      </c>
      <c r="AO2774">
        <v>0</v>
      </c>
      <c r="AQ2774">
        <v>0</v>
      </c>
      <c r="AR2774">
        <v>0</v>
      </c>
      <c r="AT2774">
        <v>0</v>
      </c>
      <c r="AU2774">
        <v>0</v>
      </c>
      <c r="AW2774">
        <v>0</v>
      </c>
      <c r="AX2774">
        <v>0</v>
      </c>
      <c r="AY2774">
        <v>630</v>
      </c>
      <c r="BE2774" t="str">
        <f>T("판타지 e북 &gt; 스포츠물")</f>
        <v>판타지 e북 &gt; 스포츠물</v>
      </c>
    </row>
    <row r="2775" spans="1:57" x14ac:dyDescent="0.3">
      <c r="A2775">
        <v>1525000411</v>
      </c>
      <c r="B2775">
        <v>1525000421</v>
      </c>
      <c r="C2775" t="str">
        <f>T("레이드 만물상점 11화")</f>
        <v>레이드 만물상점 11화</v>
      </c>
      <c r="D2775" t="str">
        <f>T("11")</f>
        <v>11</v>
      </c>
      <c r="E2775" t="str">
        <f>T("전혁")</f>
        <v>전혁</v>
      </c>
      <c r="H2775" t="str">
        <f>T("스토리위즈")</f>
        <v>스토리위즈</v>
      </c>
      <c r="I2775" t="str">
        <f>T("레이드 만물상점")</f>
        <v>레이드 만물상점</v>
      </c>
      <c r="J2775">
        <v>0</v>
      </c>
      <c r="K2775">
        <v>0</v>
      </c>
      <c r="L2775">
        <v>0</v>
      </c>
      <c r="M2775">
        <v>1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1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Q2775">
        <v>0</v>
      </c>
      <c r="AR2775">
        <v>0</v>
      </c>
      <c r="AT2775">
        <v>0</v>
      </c>
      <c r="AU2775">
        <v>0</v>
      </c>
      <c r="AW2775">
        <v>0</v>
      </c>
      <c r="AX2775">
        <v>0</v>
      </c>
      <c r="AY2775">
        <v>0</v>
      </c>
      <c r="BC2775" t="str">
        <f>T("9791170151432")</f>
        <v>9791170151432</v>
      </c>
      <c r="BE2775" t="str">
        <f>T("판타지 웹소설 &gt; 현대 판타지")</f>
        <v>판타지 웹소설 &gt; 현대 판타지</v>
      </c>
    </row>
    <row r="2776" spans="1:57" x14ac:dyDescent="0.3">
      <c r="A2776">
        <v>1525010944</v>
      </c>
      <c r="B2776">
        <v>1525010921</v>
      </c>
      <c r="C2776" t="str">
        <f>T("[e북]법보다 주먹 24권")</f>
        <v>[e북]법보다 주먹 24권</v>
      </c>
      <c r="D2776" t="str">
        <f>T("24")</f>
        <v>24</v>
      </c>
      <c r="E2776" t="str">
        <f>T("백범(白帆)")</f>
        <v>백범(白帆)</v>
      </c>
      <c r="H2776" t="str">
        <f>T("에필로그")</f>
        <v>에필로그</v>
      </c>
      <c r="I2776" t="str">
        <f>T("[e북]법보다 주먹")</f>
        <v>[e북]법보다 주먹</v>
      </c>
      <c r="J2776">
        <v>2000</v>
      </c>
      <c r="K2776">
        <v>0</v>
      </c>
      <c r="L2776">
        <v>0</v>
      </c>
      <c r="M2776">
        <v>0</v>
      </c>
      <c r="N2776">
        <v>900</v>
      </c>
      <c r="O2776">
        <v>1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900</v>
      </c>
      <c r="AH2776">
        <v>1</v>
      </c>
      <c r="AI2776">
        <v>0</v>
      </c>
      <c r="AJ2776">
        <v>0</v>
      </c>
      <c r="AK2776">
        <v>900</v>
      </c>
      <c r="AL2776">
        <v>0</v>
      </c>
      <c r="AM2776">
        <v>0</v>
      </c>
      <c r="AN2776">
        <v>0</v>
      </c>
      <c r="AO2776">
        <v>0</v>
      </c>
      <c r="AQ2776">
        <v>0</v>
      </c>
      <c r="AR2776">
        <v>0</v>
      </c>
      <c r="AT2776">
        <v>0</v>
      </c>
      <c r="AU2776">
        <v>0</v>
      </c>
      <c r="AW2776">
        <v>0</v>
      </c>
      <c r="AX2776">
        <v>0</v>
      </c>
      <c r="AY2776">
        <v>630</v>
      </c>
      <c r="BC2776" t="str">
        <f>T("9791164480142")</f>
        <v>9791164480142</v>
      </c>
      <c r="BE2776" t="str">
        <f>T("판타지 e북 &gt; 현대 판타지")</f>
        <v>판타지 e북 &gt; 현대 판타지</v>
      </c>
    </row>
    <row r="2777" spans="1:57" x14ac:dyDescent="0.3">
      <c r="A2777">
        <v>1525000199</v>
      </c>
      <c r="B2777">
        <v>1525000200</v>
      </c>
      <c r="C2777" t="str">
        <f>T("[e북]화산지애 2권")</f>
        <v>[e북]화산지애 2권</v>
      </c>
      <c r="D2777" t="str">
        <f>T("2")</f>
        <v>2</v>
      </c>
      <c r="E2777" t="str">
        <f>T("김광수")</f>
        <v>김광수</v>
      </c>
      <c r="H2777" t="str">
        <f>T("스토리위즈")</f>
        <v>스토리위즈</v>
      </c>
      <c r="I2777" t="str">
        <f>T("[e북]화산지애")</f>
        <v>[e북]화산지애</v>
      </c>
      <c r="J2777">
        <v>3200</v>
      </c>
      <c r="K2777">
        <v>0</v>
      </c>
      <c r="L2777">
        <v>0</v>
      </c>
      <c r="M2777">
        <v>0</v>
      </c>
      <c r="N2777">
        <v>900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900</v>
      </c>
      <c r="AH2777">
        <v>1</v>
      </c>
      <c r="AI2777">
        <v>0</v>
      </c>
      <c r="AJ2777">
        <v>0</v>
      </c>
      <c r="AK2777">
        <v>900</v>
      </c>
      <c r="AL2777">
        <v>0</v>
      </c>
      <c r="AM2777">
        <v>0</v>
      </c>
      <c r="AN2777">
        <v>0</v>
      </c>
      <c r="AO2777">
        <v>0</v>
      </c>
      <c r="AQ2777">
        <v>0</v>
      </c>
      <c r="AR2777">
        <v>0</v>
      </c>
      <c r="AT2777">
        <v>0</v>
      </c>
      <c r="AU2777">
        <v>0</v>
      </c>
      <c r="AW2777">
        <v>0</v>
      </c>
      <c r="AX2777">
        <v>0</v>
      </c>
      <c r="AY2777">
        <v>630</v>
      </c>
      <c r="BE2777" t="str">
        <f>T("판타지 e북 &gt; 신무협")</f>
        <v>판타지 e북 &gt; 신무협</v>
      </c>
    </row>
    <row r="2778" spans="1:57" x14ac:dyDescent="0.3">
      <c r="A2778">
        <v>1525000906</v>
      </c>
      <c r="B2778">
        <v>1525000912</v>
      </c>
      <c r="C2778" t="str">
        <f>T("[e북]완전판 | 레이드 만물상점 7권")</f>
        <v>[e북]완전판 | 레이드 만물상점 7권</v>
      </c>
      <c r="D2778" t="str">
        <f>T("7")</f>
        <v>7</v>
      </c>
      <c r="E2778" t="str">
        <f>T("전혁")</f>
        <v>전혁</v>
      </c>
      <c r="H2778" t="str">
        <f>T("스토리위즈")</f>
        <v>스토리위즈</v>
      </c>
      <c r="I2778" t="str">
        <f>T("[e북]완전판 | 레이드 만물상점")</f>
        <v>[e북]완전판 | 레이드 만물상점</v>
      </c>
      <c r="J2778">
        <v>3200</v>
      </c>
      <c r="K2778">
        <v>0</v>
      </c>
      <c r="L2778">
        <v>0</v>
      </c>
      <c r="M2778">
        <v>0</v>
      </c>
      <c r="N2778">
        <v>5400</v>
      </c>
      <c r="O2778">
        <v>6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5400</v>
      </c>
      <c r="AH2778">
        <v>6</v>
      </c>
      <c r="AI2778">
        <v>0</v>
      </c>
      <c r="AJ2778">
        <v>0</v>
      </c>
      <c r="AK2778">
        <v>3600</v>
      </c>
      <c r="AL2778">
        <v>0</v>
      </c>
      <c r="AM2778">
        <v>2160</v>
      </c>
      <c r="AN2778">
        <v>-648</v>
      </c>
      <c r="AO2778">
        <v>0</v>
      </c>
      <c r="AQ2778">
        <v>0</v>
      </c>
      <c r="AR2778">
        <v>0</v>
      </c>
      <c r="AS2778">
        <v>2160</v>
      </c>
      <c r="AT2778">
        <v>-648</v>
      </c>
      <c r="AU2778">
        <v>0</v>
      </c>
      <c r="AW2778">
        <v>0</v>
      </c>
      <c r="AX2778">
        <v>0</v>
      </c>
      <c r="AY2778">
        <v>3578.4</v>
      </c>
      <c r="BC2778" t="str">
        <f>T("9791159282676")</f>
        <v>9791159282676</v>
      </c>
      <c r="BE2778" t="str">
        <f>T("판타지 e북 &gt; 현대 판타지")</f>
        <v>판타지 e북 &gt; 현대 판타지</v>
      </c>
    </row>
    <row r="2779" spans="1:57" x14ac:dyDescent="0.3">
      <c r="A2779">
        <v>1525012202</v>
      </c>
      <c r="B2779">
        <v>1525012196</v>
      </c>
      <c r="C2779" t="str">
        <f>T("이세계 최강 군바리 7화")</f>
        <v>이세계 최강 군바리 7화</v>
      </c>
      <c r="D2779" t="str">
        <f>T("7")</f>
        <v>7</v>
      </c>
      <c r="E2779" t="str">
        <f>T("협행마")</f>
        <v>협행마</v>
      </c>
      <c r="H2779" t="str">
        <f>T("에필로그")</f>
        <v>에필로그</v>
      </c>
      <c r="I2779" t="str">
        <f>T("이세계 최강 군바리")</f>
        <v>이세계 최강 군바리</v>
      </c>
      <c r="J2779">
        <v>0</v>
      </c>
      <c r="K2779">
        <v>0</v>
      </c>
      <c r="L2779">
        <v>0</v>
      </c>
      <c r="M2779">
        <v>1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1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Q2779">
        <v>0</v>
      </c>
      <c r="AR2779">
        <v>0</v>
      </c>
      <c r="AT2779">
        <v>0</v>
      </c>
      <c r="AU2779">
        <v>0</v>
      </c>
      <c r="AW2779">
        <v>0</v>
      </c>
      <c r="AX2779">
        <v>0</v>
      </c>
      <c r="AY2779">
        <v>0</v>
      </c>
      <c r="BC2779" t="str">
        <f>T("9791164480159")</f>
        <v>9791164480159</v>
      </c>
      <c r="BE2779" t="str">
        <f>T("판타지 웹소설 &gt; 퓨전 판타지")</f>
        <v>판타지 웹소설 &gt; 퓨전 판타지</v>
      </c>
    </row>
    <row r="2780" spans="1:57" x14ac:dyDescent="0.3">
      <c r="A2780">
        <v>1525000569</v>
      </c>
      <c r="B2780">
        <v>1525000586</v>
      </c>
      <c r="C2780" t="str">
        <f>T("스트라이커 18화")</f>
        <v>스트라이커 18화</v>
      </c>
      <c r="D2780" t="str">
        <f>T("18")</f>
        <v>18</v>
      </c>
      <c r="E2780" t="str">
        <f>T("독고진")</f>
        <v>독고진</v>
      </c>
      <c r="H2780" t="str">
        <f>T("스토리위즈")</f>
        <v>스토리위즈</v>
      </c>
      <c r="I2780" t="str">
        <f>T("스트라이커")</f>
        <v>스트라이커</v>
      </c>
      <c r="J2780">
        <v>0</v>
      </c>
      <c r="K2780">
        <v>0</v>
      </c>
      <c r="L2780">
        <v>0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1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Q2780">
        <v>0</v>
      </c>
      <c r="AR2780">
        <v>0</v>
      </c>
      <c r="AT2780">
        <v>0</v>
      </c>
      <c r="AU2780">
        <v>0</v>
      </c>
      <c r="AW2780">
        <v>0</v>
      </c>
      <c r="AX2780">
        <v>0</v>
      </c>
      <c r="AY2780">
        <v>0</v>
      </c>
      <c r="BC2780" t="str">
        <f>T("9791170151678")</f>
        <v>9791170151678</v>
      </c>
      <c r="BE2780" t="str">
        <f>T("판타지 웹소설 &gt; 현대 판타지")</f>
        <v>판타지 웹소설 &gt; 현대 판타지</v>
      </c>
    </row>
    <row r="2781" spans="1:57" x14ac:dyDescent="0.3">
      <c r="A2781">
        <v>1525000022</v>
      </c>
      <c r="B2781">
        <v>1525000036</v>
      </c>
      <c r="C2781" t="str">
        <f>T("[e북]마계대공 연대기 14권")</f>
        <v>[e북]마계대공 연대기 14권</v>
      </c>
      <c r="D2781" t="str">
        <f>T("14")</f>
        <v>14</v>
      </c>
      <c r="E2781" t="str">
        <f>T("김광수")</f>
        <v>김광수</v>
      </c>
      <c r="H2781" t="str">
        <f>T("스토리위즈")</f>
        <v>스토리위즈</v>
      </c>
      <c r="I2781" t="str">
        <f>T("[e북]마계대공 연대기")</f>
        <v>[e북]마계대공 연대기</v>
      </c>
      <c r="J2781">
        <v>3200</v>
      </c>
      <c r="K2781">
        <v>0</v>
      </c>
      <c r="L2781">
        <v>0</v>
      </c>
      <c r="M2781">
        <v>0</v>
      </c>
      <c r="N2781">
        <v>1800</v>
      </c>
      <c r="O2781">
        <v>2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1800</v>
      </c>
      <c r="AH2781">
        <v>2</v>
      </c>
      <c r="AI2781">
        <v>0</v>
      </c>
      <c r="AJ2781">
        <v>0</v>
      </c>
      <c r="AK2781">
        <v>900</v>
      </c>
      <c r="AL2781">
        <v>0</v>
      </c>
      <c r="AM2781">
        <v>1080</v>
      </c>
      <c r="AN2781">
        <v>-108</v>
      </c>
      <c r="AO2781">
        <v>0</v>
      </c>
      <c r="AQ2781">
        <v>0</v>
      </c>
      <c r="AR2781">
        <v>0</v>
      </c>
      <c r="AS2781">
        <v>1080</v>
      </c>
      <c r="AT2781">
        <v>-108</v>
      </c>
      <c r="AU2781">
        <v>0</v>
      </c>
      <c r="AW2781">
        <v>0</v>
      </c>
      <c r="AX2781">
        <v>0</v>
      </c>
      <c r="AY2781">
        <v>1310.4000000000001</v>
      </c>
      <c r="BE2781" t="str">
        <f>T("판타지 e북 &gt; 퓨전 판타지")</f>
        <v>판타지 e북 &gt; 퓨전 판타지</v>
      </c>
    </row>
    <row r="2782" spans="1:57" x14ac:dyDescent="0.3">
      <c r="A2782">
        <v>1525004988</v>
      </c>
      <c r="B2782">
        <v>1525005305</v>
      </c>
      <c r="C2782" t="str">
        <f>T("용무쌍 18화")</f>
        <v>용무쌍 18화</v>
      </c>
      <c r="D2782" t="str">
        <f>T("18")</f>
        <v>18</v>
      </c>
      <c r="E2782" t="str">
        <f>T("권용찬")</f>
        <v>권용찬</v>
      </c>
      <c r="H2782" t="str">
        <f>T("스토리위즈")</f>
        <v>스토리위즈</v>
      </c>
      <c r="I2782" t="str">
        <f>T("용무쌍")</f>
        <v>용무쌍</v>
      </c>
      <c r="J2782">
        <v>0</v>
      </c>
      <c r="K2782">
        <v>0</v>
      </c>
      <c r="L2782">
        <v>0</v>
      </c>
      <c r="M2782">
        <v>2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2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Q2782">
        <v>0</v>
      </c>
      <c r="AR2782">
        <v>0</v>
      </c>
      <c r="AT2782">
        <v>0</v>
      </c>
      <c r="AU2782">
        <v>0</v>
      </c>
      <c r="AW2782">
        <v>0</v>
      </c>
      <c r="AX2782">
        <v>0</v>
      </c>
      <c r="AY2782">
        <v>0</v>
      </c>
      <c r="BC2782" t="str">
        <f>T("9791159284861")</f>
        <v>9791159284861</v>
      </c>
      <c r="BE2782" t="str">
        <f>T("판타지 웹소설 &gt; 무협 소설")</f>
        <v>판타지 웹소설 &gt; 무협 소설</v>
      </c>
    </row>
    <row r="2783" spans="1:57" x14ac:dyDescent="0.3">
      <c r="A2783">
        <v>1525003495</v>
      </c>
      <c r="B2783">
        <v>1525003495</v>
      </c>
      <c r="C2783" t="str">
        <f>T("[e북]소드마스터의 환생 1권")</f>
        <v>[e북]소드마스터의 환생 1권</v>
      </c>
      <c r="D2783" t="str">
        <f>T("1")</f>
        <v>1</v>
      </c>
      <c r="E2783" t="str">
        <f>T("파란영")</f>
        <v>파란영</v>
      </c>
      <c r="H2783" t="str">
        <f>T("스토리위즈")</f>
        <v>스토리위즈</v>
      </c>
      <c r="I2783" t="str">
        <f>T("[e북]소드마스터의 환생")</f>
        <v>[e북]소드마스터의 환생</v>
      </c>
      <c r="J2783">
        <v>0</v>
      </c>
      <c r="K2783">
        <v>0</v>
      </c>
      <c r="L2783">
        <v>0</v>
      </c>
      <c r="M2783">
        <v>9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9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Q2783">
        <v>0</v>
      </c>
      <c r="AR2783">
        <v>0</v>
      </c>
      <c r="AT2783">
        <v>0</v>
      </c>
      <c r="AU2783">
        <v>0</v>
      </c>
      <c r="AW2783">
        <v>0</v>
      </c>
      <c r="AX2783">
        <v>0</v>
      </c>
      <c r="AY2783">
        <v>0</v>
      </c>
      <c r="BC2783" t="str">
        <f>T("9791159289811")</f>
        <v>9791159289811</v>
      </c>
      <c r="BE2783" t="str">
        <f>T("판타지 e북 &gt; 정통 판타지")</f>
        <v>판타지 e북 &gt; 정통 판타지</v>
      </c>
    </row>
    <row r="2784" spans="1:57" x14ac:dyDescent="0.3">
      <c r="A2784">
        <v>1525011937</v>
      </c>
      <c r="B2784">
        <v>1525011936</v>
      </c>
      <c r="C2784" t="str">
        <f>T("강호, 미치다 2화")</f>
        <v>강호, 미치다 2화</v>
      </c>
      <c r="D2784" t="str">
        <f>T("2")</f>
        <v>2</v>
      </c>
      <c r="E2784" t="str">
        <f>T("최재봉")</f>
        <v>최재봉</v>
      </c>
      <c r="H2784" t="str">
        <f>T("에필로그")</f>
        <v>에필로그</v>
      </c>
      <c r="I2784" t="str">
        <f>T("강호, 미치다")</f>
        <v>강호, 미치다</v>
      </c>
      <c r="J2784">
        <v>0</v>
      </c>
      <c r="K2784">
        <v>0</v>
      </c>
      <c r="L2784">
        <v>0</v>
      </c>
      <c r="M2784">
        <v>2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2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Q2784">
        <v>0</v>
      </c>
      <c r="AR2784">
        <v>0</v>
      </c>
      <c r="AT2784">
        <v>0</v>
      </c>
      <c r="AU2784">
        <v>0</v>
      </c>
      <c r="AW2784">
        <v>0</v>
      </c>
      <c r="AX2784">
        <v>0</v>
      </c>
      <c r="AY2784">
        <v>0</v>
      </c>
      <c r="BC2784" t="str">
        <f>T("9791164482269")</f>
        <v>9791164482269</v>
      </c>
      <c r="BE2784" t="str">
        <f>T("판타지 웹소설 &gt; 무협 소설")</f>
        <v>판타지 웹소설 &gt; 무협 소설</v>
      </c>
    </row>
    <row r="2785" spans="1:57" x14ac:dyDescent="0.3">
      <c r="A2785">
        <v>1525012551</v>
      </c>
      <c r="B2785">
        <v>1525012564</v>
      </c>
      <c r="C2785" t="str">
        <f>T("개정판 | 바보가 만드는 멋진 세상 14화")</f>
        <v>개정판 | 바보가 만드는 멋진 세상 14화</v>
      </c>
      <c r="D2785" t="str">
        <f>T("14")</f>
        <v>14</v>
      </c>
      <c r="E2785" t="str">
        <f>T("백범(白帆)")</f>
        <v>백범(白帆)</v>
      </c>
      <c r="H2785" t="str">
        <f>T("에필로그")</f>
        <v>에필로그</v>
      </c>
      <c r="I2785" t="str">
        <f>T("개정판 | 바보가 만드는 멋진 세상")</f>
        <v>개정판 | 바보가 만드는 멋진 세상</v>
      </c>
      <c r="J2785">
        <v>0</v>
      </c>
      <c r="K2785">
        <v>0</v>
      </c>
      <c r="L2785">
        <v>0</v>
      </c>
      <c r="M2785">
        <v>1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1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Q2785">
        <v>0</v>
      </c>
      <c r="AR2785">
        <v>0</v>
      </c>
      <c r="AT2785">
        <v>0</v>
      </c>
      <c r="AU2785">
        <v>0</v>
      </c>
      <c r="AW2785">
        <v>0</v>
      </c>
      <c r="AX2785">
        <v>0</v>
      </c>
      <c r="AY2785">
        <v>0</v>
      </c>
      <c r="BC2785" t="str">
        <f>T("9791166003493")</f>
        <v>9791166003493</v>
      </c>
      <c r="BE2785" t="str">
        <f>T("판타지 웹소설 &gt; 현대 판타지")</f>
        <v>판타지 웹소설 &gt; 현대 판타지</v>
      </c>
    </row>
    <row r="2786" spans="1:57" x14ac:dyDescent="0.3">
      <c r="A2786">
        <v>1525000113</v>
      </c>
      <c r="B2786">
        <v>1525000113</v>
      </c>
      <c r="C2786" t="str">
        <f>T("[e북]마왕 데이몬 1권")</f>
        <v>[e북]마왕 데이몬 1권</v>
      </c>
      <c r="D2786" t="str">
        <f>T("1")</f>
        <v>1</v>
      </c>
      <c r="E2786" t="str">
        <f>T("김정률")</f>
        <v>김정률</v>
      </c>
      <c r="H2786" t="str">
        <f>T("스토리위즈")</f>
        <v>스토리위즈</v>
      </c>
      <c r="I2786" t="str">
        <f>T("[e북]마왕 데이몬")</f>
        <v>[e북]마왕 데이몬</v>
      </c>
      <c r="J2786">
        <v>0</v>
      </c>
      <c r="K2786">
        <v>0</v>
      </c>
      <c r="L2786">
        <v>0</v>
      </c>
      <c r="M2786">
        <v>4</v>
      </c>
      <c r="N2786">
        <v>0</v>
      </c>
      <c r="O2786">
        <v>0</v>
      </c>
      <c r="P2786">
        <v>15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19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Q2786">
        <v>0</v>
      </c>
      <c r="AR2786">
        <v>0</v>
      </c>
      <c r="AT2786">
        <v>0</v>
      </c>
      <c r="AU2786">
        <v>0</v>
      </c>
      <c r="AW2786">
        <v>0</v>
      </c>
      <c r="AX2786">
        <v>0</v>
      </c>
      <c r="AY2786">
        <v>0</v>
      </c>
      <c r="BC2786" t="str">
        <f>T("9788925723822")</f>
        <v>9788925723822</v>
      </c>
      <c r="BE2786" t="str">
        <f>T("판타지 e북 &gt; 현대 판타지")</f>
        <v>판타지 e북 &gt; 현대 판타지</v>
      </c>
    </row>
    <row r="2787" spans="1:57" x14ac:dyDescent="0.3">
      <c r="A2787">
        <v>1525004799</v>
      </c>
      <c r="B2787">
        <v>1525004817</v>
      </c>
      <c r="C2787" t="str">
        <f>T("검산도해 19화")</f>
        <v>검산도해 19화</v>
      </c>
      <c r="D2787" t="str">
        <f>T("19")</f>
        <v>19</v>
      </c>
      <c r="E2787" t="str">
        <f>T("권용찬")</f>
        <v>권용찬</v>
      </c>
      <c r="H2787" t="str">
        <f>T("스토리위즈")</f>
        <v>스토리위즈</v>
      </c>
      <c r="I2787" t="str">
        <f>T("검산도해")</f>
        <v>검산도해</v>
      </c>
      <c r="J2787">
        <v>0</v>
      </c>
      <c r="K2787">
        <v>0</v>
      </c>
      <c r="L2787">
        <v>0</v>
      </c>
      <c r="M2787">
        <v>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1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Q2787">
        <v>0</v>
      </c>
      <c r="AR2787">
        <v>0</v>
      </c>
      <c r="AT2787">
        <v>0</v>
      </c>
      <c r="AU2787">
        <v>0</v>
      </c>
      <c r="AW2787">
        <v>0</v>
      </c>
      <c r="AX2787">
        <v>0</v>
      </c>
      <c r="AY2787">
        <v>0</v>
      </c>
      <c r="BC2787" t="str">
        <f>T("9791159285936")</f>
        <v>9791159285936</v>
      </c>
      <c r="BE2787" t="str">
        <f>T("판타지 웹소설 &gt; 무협 소설")</f>
        <v>판타지 웹소설 &gt; 무협 소설</v>
      </c>
    </row>
    <row r="2788" spans="1:57" x14ac:dyDescent="0.3">
      <c r="A2788">
        <v>1525002864</v>
      </c>
      <c r="B2788">
        <v>1525002884</v>
      </c>
      <c r="C2788" t="str">
        <f>T("소드마스터의 환생 21화")</f>
        <v>소드마스터의 환생 21화</v>
      </c>
      <c r="D2788" t="str">
        <f>T("21")</f>
        <v>21</v>
      </c>
      <c r="E2788" t="str">
        <f>T("파란영")</f>
        <v>파란영</v>
      </c>
      <c r="H2788" t="str">
        <f>T("스토리위즈")</f>
        <v>스토리위즈</v>
      </c>
      <c r="I2788" t="str">
        <f>T("소드마스터의 환생")</f>
        <v>소드마스터의 환생</v>
      </c>
      <c r="J2788">
        <v>0</v>
      </c>
      <c r="K2788">
        <v>0</v>
      </c>
      <c r="L2788">
        <v>0</v>
      </c>
      <c r="M2788">
        <v>4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4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Q2788">
        <v>0</v>
      </c>
      <c r="AR2788">
        <v>0</v>
      </c>
      <c r="AT2788">
        <v>0</v>
      </c>
      <c r="AU2788">
        <v>0</v>
      </c>
      <c r="AW2788">
        <v>0</v>
      </c>
      <c r="AX2788">
        <v>0</v>
      </c>
      <c r="AY2788">
        <v>0</v>
      </c>
      <c r="BC2788" t="str">
        <f>T("9791159287527")</f>
        <v>9791159287527</v>
      </c>
      <c r="BE2788" t="str">
        <f>T("판타지 웹소설 &gt; 정통 판타지")</f>
        <v>판타지 웹소설 &gt; 정통 판타지</v>
      </c>
    </row>
    <row r="2789" spans="1:57" x14ac:dyDescent="0.3">
      <c r="A2789">
        <v>1525013020</v>
      </c>
      <c r="B2789">
        <v>1525013020</v>
      </c>
      <c r="C2789" t="str">
        <f>T("악당의 리턴 1화")</f>
        <v>악당의 리턴 1화</v>
      </c>
      <c r="D2789" t="str">
        <f>T("1")</f>
        <v>1</v>
      </c>
      <c r="E2789" t="str">
        <f>T("백범(白帆)")</f>
        <v>백범(白帆)</v>
      </c>
      <c r="H2789" t="str">
        <f>T("에필로그")</f>
        <v>에필로그</v>
      </c>
      <c r="I2789" t="str">
        <f>T("악당의 리턴")</f>
        <v>악당의 리턴</v>
      </c>
      <c r="J2789">
        <v>0</v>
      </c>
      <c r="K2789">
        <v>0</v>
      </c>
      <c r="L2789">
        <v>0</v>
      </c>
      <c r="M2789">
        <v>8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8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Q2789">
        <v>0</v>
      </c>
      <c r="AR2789">
        <v>0</v>
      </c>
      <c r="AT2789">
        <v>0</v>
      </c>
      <c r="AU2789">
        <v>0</v>
      </c>
      <c r="AW2789">
        <v>0</v>
      </c>
      <c r="AX2789">
        <v>0</v>
      </c>
      <c r="AY2789">
        <v>0</v>
      </c>
      <c r="BC2789" t="str">
        <f>T("9791196538927")</f>
        <v>9791196538927</v>
      </c>
      <c r="BE2789" t="str">
        <f>T("판타지 웹소설 &gt; 현대 판타지")</f>
        <v>판타지 웹소설 &gt; 현대 판타지</v>
      </c>
    </row>
    <row r="2790" spans="1:57" x14ac:dyDescent="0.3">
      <c r="A2790">
        <v>1525000146</v>
      </c>
      <c r="B2790">
        <v>1525000146</v>
      </c>
      <c r="C2790" t="str">
        <f>T("[e북]트루베니아 연대기 1권")</f>
        <v>[e북]트루베니아 연대기 1권</v>
      </c>
      <c r="D2790" t="str">
        <f>T("1")</f>
        <v>1</v>
      </c>
      <c r="E2790" t="str">
        <f>T("김정률")</f>
        <v>김정률</v>
      </c>
      <c r="H2790" t="str">
        <f>T("스토리위즈")</f>
        <v>스토리위즈</v>
      </c>
      <c r="I2790" t="str">
        <f>T("[e북]트루베니아 연대기")</f>
        <v>[e북]트루베니아 연대기</v>
      </c>
      <c r="J2790">
        <v>0</v>
      </c>
      <c r="K2790">
        <v>0</v>
      </c>
      <c r="L2790">
        <v>0</v>
      </c>
      <c r="M2790">
        <v>5</v>
      </c>
      <c r="N2790">
        <v>0</v>
      </c>
      <c r="O2790">
        <v>0</v>
      </c>
      <c r="P2790">
        <v>13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18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Q2790">
        <v>0</v>
      </c>
      <c r="AR2790">
        <v>0</v>
      </c>
      <c r="AT2790">
        <v>0</v>
      </c>
      <c r="AU2790">
        <v>0</v>
      </c>
      <c r="AW2790">
        <v>0</v>
      </c>
      <c r="AX2790">
        <v>0</v>
      </c>
      <c r="AY2790">
        <v>0</v>
      </c>
      <c r="BC2790" t="str">
        <f>T("9788954221429")</f>
        <v>9788954221429</v>
      </c>
      <c r="BE2790" t="str">
        <f>T("판타지 e북 &gt; 정통 판타지")</f>
        <v>판타지 e북 &gt; 정통 판타지</v>
      </c>
    </row>
    <row r="2791" spans="1:57" x14ac:dyDescent="0.3">
      <c r="A2791">
        <v>1525001317</v>
      </c>
      <c r="B2791">
        <v>1525001322</v>
      </c>
      <c r="C2791" t="str">
        <f>T("[e북]완전판 | 스트라이커 6권")</f>
        <v>[e북]완전판 | 스트라이커 6권</v>
      </c>
      <c r="D2791" t="str">
        <f>T("6")</f>
        <v>6</v>
      </c>
      <c r="E2791" t="str">
        <f>T("독고진")</f>
        <v>독고진</v>
      </c>
      <c r="H2791" t="str">
        <f>T("스토리위즈")</f>
        <v>스토리위즈</v>
      </c>
      <c r="I2791" t="str">
        <f>T("[e북]완전판 | 스트라이커")</f>
        <v>[e북]완전판 | 스트라이커</v>
      </c>
      <c r="J2791">
        <v>3200</v>
      </c>
      <c r="K2791">
        <v>0</v>
      </c>
      <c r="L2791">
        <v>0</v>
      </c>
      <c r="M2791">
        <v>0</v>
      </c>
      <c r="N2791">
        <v>900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900</v>
      </c>
      <c r="AH2791">
        <v>1</v>
      </c>
      <c r="AI2791">
        <v>0</v>
      </c>
      <c r="AJ2791">
        <v>0</v>
      </c>
      <c r="AK2791">
        <v>900</v>
      </c>
      <c r="AL2791">
        <v>0</v>
      </c>
      <c r="AM2791">
        <v>0</v>
      </c>
      <c r="AN2791">
        <v>0</v>
      </c>
      <c r="AO2791">
        <v>0</v>
      </c>
      <c r="AQ2791">
        <v>0</v>
      </c>
      <c r="AR2791">
        <v>0</v>
      </c>
      <c r="AT2791">
        <v>0</v>
      </c>
      <c r="AU2791">
        <v>0</v>
      </c>
      <c r="AW2791">
        <v>0</v>
      </c>
      <c r="AX2791">
        <v>0</v>
      </c>
      <c r="AY2791">
        <v>630</v>
      </c>
      <c r="BA2791" t="str">
        <f>T("9791159282881")</f>
        <v>9791159282881</v>
      </c>
      <c r="BC2791" t="str">
        <f>T("9791159282881")</f>
        <v>9791159282881</v>
      </c>
      <c r="BE2791" t="str">
        <f>T("판타지 e북 &gt; 스포츠물")</f>
        <v>판타지 e북 &gt; 스포츠물</v>
      </c>
    </row>
    <row r="2792" spans="1:57" x14ac:dyDescent="0.3">
      <c r="A2792">
        <v>1525000135</v>
      </c>
      <c r="B2792">
        <v>1525000135</v>
      </c>
      <c r="C2792" t="str">
        <f>T("[e북]하프 블러드 1권")</f>
        <v>[e북]하프 블러드 1권</v>
      </c>
      <c r="D2792" t="str">
        <f>T("1")</f>
        <v>1</v>
      </c>
      <c r="E2792" t="str">
        <f>T("김정률")</f>
        <v>김정률</v>
      </c>
      <c r="H2792" t="str">
        <f>T("스토리위즈")</f>
        <v>스토리위즈</v>
      </c>
      <c r="I2792" t="str">
        <f>T("[e북]하프 블러드")</f>
        <v>[e북]하프 블러드</v>
      </c>
      <c r="J2792">
        <v>0</v>
      </c>
      <c r="K2792">
        <v>0</v>
      </c>
      <c r="L2792">
        <v>0</v>
      </c>
      <c r="M2792">
        <v>6</v>
      </c>
      <c r="N2792">
        <v>0</v>
      </c>
      <c r="O2792">
        <v>0</v>
      </c>
      <c r="P2792">
        <v>11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17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Q2792">
        <v>0</v>
      </c>
      <c r="AR2792">
        <v>0</v>
      </c>
      <c r="AT2792">
        <v>0</v>
      </c>
      <c r="AU2792">
        <v>0</v>
      </c>
      <c r="AW2792">
        <v>0</v>
      </c>
      <c r="AX2792">
        <v>0</v>
      </c>
      <c r="AY2792">
        <v>0</v>
      </c>
      <c r="BE2792" t="str">
        <f>T("판타지 e북 &gt; 정통 판타지")</f>
        <v>판타지 e북 &gt; 정통 판타지</v>
      </c>
    </row>
    <row r="2793" spans="1:57" x14ac:dyDescent="0.3">
      <c r="A2793">
        <v>1525001924</v>
      </c>
      <c r="B2793">
        <v>1525001932</v>
      </c>
      <c r="C2793" t="str">
        <f>T("[e북]신마협도 9권")</f>
        <v>[e북]신마협도 9권</v>
      </c>
      <c r="D2793" t="str">
        <f>T("9")</f>
        <v>9</v>
      </c>
      <c r="E2793" t="str">
        <f>T("권용찬")</f>
        <v>권용찬</v>
      </c>
      <c r="H2793" t="str">
        <f>T("스토리위즈")</f>
        <v>스토리위즈</v>
      </c>
      <c r="I2793" t="str">
        <f>T("[e북]신마협도")</f>
        <v>[e북]신마협도</v>
      </c>
      <c r="J2793">
        <v>3200</v>
      </c>
      <c r="K2793">
        <v>0</v>
      </c>
      <c r="L2793">
        <v>0</v>
      </c>
      <c r="M2793">
        <v>0</v>
      </c>
      <c r="N2793">
        <v>900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900</v>
      </c>
      <c r="AH2793">
        <v>1</v>
      </c>
      <c r="AI2793">
        <v>0</v>
      </c>
      <c r="AJ2793">
        <v>0</v>
      </c>
      <c r="AK2793">
        <v>900</v>
      </c>
      <c r="AL2793">
        <v>0</v>
      </c>
      <c r="AM2793">
        <v>0</v>
      </c>
      <c r="AN2793">
        <v>0</v>
      </c>
      <c r="AO2793">
        <v>0</v>
      </c>
      <c r="AQ2793">
        <v>0</v>
      </c>
      <c r="AR2793">
        <v>0</v>
      </c>
      <c r="AT2793">
        <v>0</v>
      </c>
      <c r="AU2793">
        <v>0</v>
      </c>
      <c r="AW2793">
        <v>0</v>
      </c>
      <c r="AX2793">
        <v>0</v>
      </c>
      <c r="AY2793">
        <v>630</v>
      </c>
      <c r="BC2793" t="str">
        <f>T("9791159283154")</f>
        <v>9791159283154</v>
      </c>
      <c r="BE2793" t="str">
        <f>T("판타지 e북 &gt; 신무협")</f>
        <v>판타지 e북 &gt; 신무협</v>
      </c>
    </row>
    <row r="2794" spans="1:57" x14ac:dyDescent="0.3">
      <c r="A2794">
        <v>1525000209</v>
      </c>
      <c r="B2794">
        <v>1525000215</v>
      </c>
      <c r="C2794" t="str">
        <f>T("[e북]독종무쌍 7권")</f>
        <v>[e북]독종무쌍 7권</v>
      </c>
      <c r="D2794" t="str">
        <f>T("7")</f>
        <v>7</v>
      </c>
      <c r="E2794" t="str">
        <f>T("전혁")</f>
        <v>전혁</v>
      </c>
      <c r="H2794" t="str">
        <f>T("스토리위즈")</f>
        <v>스토리위즈</v>
      </c>
      <c r="I2794" t="str">
        <f>T("[e북]독종무쌍")</f>
        <v>[e북]독종무쌍</v>
      </c>
      <c r="J2794">
        <v>3200</v>
      </c>
      <c r="K2794">
        <v>0</v>
      </c>
      <c r="L2794">
        <v>0</v>
      </c>
      <c r="M2794">
        <v>0</v>
      </c>
      <c r="N2794">
        <v>900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900</v>
      </c>
      <c r="AH2794">
        <v>1</v>
      </c>
      <c r="AI2794">
        <v>0</v>
      </c>
      <c r="AJ2794">
        <v>0</v>
      </c>
      <c r="AK2794">
        <v>0</v>
      </c>
      <c r="AL2794">
        <v>0</v>
      </c>
      <c r="AM2794">
        <v>1080</v>
      </c>
      <c r="AN2794">
        <v>-108</v>
      </c>
      <c r="AO2794">
        <v>0</v>
      </c>
      <c r="AQ2794">
        <v>0</v>
      </c>
      <c r="AR2794">
        <v>0</v>
      </c>
      <c r="AS2794">
        <v>1080</v>
      </c>
      <c r="AT2794">
        <v>-108</v>
      </c>
      <c r="AU2794">
        <v>0</v>
      </c>
      <c r="AW2794">
        <v>0</v>
      </c>
      <c r="AX2794">
        <v>0</v>
      </c>
      <c r="AY2794">
        <v>680.4</v>
      </c>
      <c r="BC2794" t="str">
        <f>T("9791195310098")</f>
        <v>9791195310098</v>
      </c>
      <c r="BE2794" t="str">
        <f>T("판타지 e북 &gt; 신무협")</f>
        <v>판타지 e북 &gt; 신무협</v>
      </c>
    </row>
    <row r="2795" spans="1:57" x14ac:dyDescent="0.3">
      <c r="A2795">
        <v>1525010900</v>
      </c>
      <c r="B2795">
        <v>1525010891</v>
      </c>
      <c r="C2795" t="str">
        <f>T("[e북]무적살수 8권 (완결)")</f>
        <v>[e북]무적살수 8권 (완결)</v>
      </c>
      <c r="D2795" t="str">
        <f>T("8")</f>
        <v>8</v>
      </c>
      <c r="E2795" t="str">
        <f>T("협행마")</f>
        <v>협행마</v>
      </c>
      <c r="H2795" t="str">
        <f>T("에필로그")</f>
        <v>에필로그</v>
      </c>
      <c r="I2795" t="str">
        <f>T("[e북]무적살수")</f>
        <v>[e북]무적살수</v>
      </c>
      <c r="J2795">
        <v>2500</v>
      </c>
      <c r="K2795">
        <v>0</v>
      </c>
      <c r="L2795">
        <v>0</v>
      </c>
      <c r="M2795">
        <v>0</v>
      </c>
      <c r="N2795">
        <v>810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810</v>
      </c>
      <c r="AH2795">
        <v>1</v>
      </c>
      <c r="AI2795">
        <v>0</v>
      </c>
      <c r="AJ2795">
        <v>0</v>
      </c>
      <c r="AK2795">
        <v>810</v>
      </c>
      <c r="AL2795">
        <v>0</v>
      </c>
      <c r="AM2795">
        <v>0</v>
      </c>
      <c r="AN2795">
        <v>0</v>
      </c>
      <c r="AO2795">
        <v>0</v>
      </c>
      <c r="AQ2795">
        <v>0</v>
      </c>
      <c r="AR2795">
        <v>0</v>
      </c>
      <c r="AT2795">
        <v>0</v>
      </c>
      <c r="AU2795">
        <v>0</v>
      </c>
      <c r="AW2795">
        <v>0</v>
      </c>
      <c r="AX2795">
        <v>0</v>
      </c>
      <c r="AY2795">
        <v>567</v>
      </c>
      <c r="BC2795" t="str">
        <f>T("9791166000126")</f>
        <v>9791166000126</v>
      </c>
      <c r="BE2795" t="str">
        <f>T("판타지 e북 &gt; 전통 무협")</f>
        <v>판타지 e북 &gt; 전통 무협</v>
      </c>
    </row>
    <row r="2796" spans="1:57" x14ac:dyDescent="0.3">
      <c r="A2796">
        <v>1525008717</v>
      </c>
      <c r="B2796">
        <v>1525008717</v>
      </c>
      <c r="C2796" t="str">
        <f>T("음양상열지사 1화")</f>
        <v>음양상열지사 1화</v>
      </c>
      <c r="D2796" t="str">
        <f>T("1")</f>
        <v>1</v>
      </c>
      <c r="E2796" t="str">
        <f>T("이염")</f>
        <v>이염</v>
      </c>
      <c r="H2796" t="str">
        <f>T("블러쉬")</f>
        <v>블러쉬</v>
      </c>
      <c r="I2796" t="str">
        <f>T("음양상열지사")</f>
        <v>음양상열지사</v>
      </c>
      <c r="J2796">
        <v>0</v>
      </c>
      <c r="K2796">
        <v>0</v>
      </c>
      <c r="L2796">
        <v>0</v>
      </c>
      <c r="M2796">
        <v>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1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Q2796">
        <v>0</v>
      </c>
      <c r="AR2796">
        <v>0</v>
      </c>
      <c r="AT2796">
        <v>0</v>
      </c>
      <c r="AU2796">
        <v>0</v>
      </c>
      <c r="AW2796">
        <v>0</v>
      </c>
      <c r="AX2796">
        <v>0</v>
      </c>
      <c r="AY2796">
        <v>0</v>
      </c>
      <c r="BA2796" t="str">
        <f>T("0000000000000")</f>
        <v>0000000000000</v>
      </c>
      <c r="BC2796" t="str">
        <f>T("9791164896639")</f>
        <v>9791164896639</v>
      </c>
      <c r="BD2796" t="str">
        <f>T("B10")</f>
        <v>B10</v>
      </c>
      <c r="BE2796" t="str">
        <f>T("BL 웹소설 &gt; 역사/시대물")</f>
        <v>BL 웹소설 &gt; 역사/시대물</v>
      </c>
    </row>
    <row r="2797" spans="1:57" x14ac:dyDescent="0.3">
      <c r="A2797">
        <v>1525013020</v>
      </c>
      <c r="B2797">
        <v>1525013041</v>
      </c>
      <c r="C2797" t="str">
        <f>T("악당의 리턴 22화")</f>
        <v>악당의 리턴 22화</v>
      </c>
      <c r="D2797" t="str">
        <f>T("22")</f>
        <v>22</v>
      </c>
      <c r="E2797" t="str">
        <f>T("백범(白帆)")</f>
        <v>백범(白帆)</v>
      </c>
      <c r="H2797" t="str">
        <f>T("에필로그")</f>
        <v>에필로그</v>
      </c>
      <c r="I2797" t="str">
        <f>T("악당의 리턴")</f>
        <v>악당의 리턴</v>
      </c>
      <c r="J2797">
        <v>0</v>
      </c>
      <c r="K2797">
        <v>0</v>
      </c>
      <c r="L2797">
        <v>0</v>
      </c>
      <c r="M2797">
        <v>6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6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Q2797">
        <v>0</v>
      </c>
      <c r="AR2797">
        <v>0</v>
      </c>
      <c r="AT2797">
        <v>0</v>
      </c>
      <c r="AU2797">
        <v>0</v>
      </c>
      <c r="AW2797">
        <v>0</v>
      </c>
      <c r="AX2797">
        <v>0</v>
      </c>
      <c r="AY2797">
        <v>0</v>
      </c>
      <c r="BC2797" t="str">
        <f>T("9791196538927")</f>
        <v>9791196538927</v>
      </c>
      <c r="BE2797" t="str">
        <f>T("판타지 웹소설 &gt; 현대 판타지")</f>
        <v>판타지 웹소설 &gt; 현대 판타지</v>
      </c>
    </row>
    <row r="2798" spans="1:57" x14ac:dyDescent="0.3">
      <c r="A2798">
        <v>1525000569</v>
      </c>
      <c r="B2798">
        <v>1525000575</v>
      </c>
      <c r="C2798" t="str">
        <f>T("스트라이커 7화")</f>
        <v>스트라이커 7화</v>
      </c>
      <c r="D2798" t="str">
        <f>T("7")</f>
        <v>7</v>
      </c>
      <c r="E2798" t="str">
        <f>T("독고진")</f>
        <v>독고진</v>
      </c>
      <c r="H2798" t="str">
        <f>T("스토리위즈")</f>
        <v>스토리위즈</v>
      </c>
      <c r="I2798" t="str">
        <f>T("스트라이커")</f>
        <v>스트라이커</v>
      </c>
      <c r="J2798">
        <v>0</v>
      </c>
      <c r="K2798">
        <v>0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1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Q2798">
        <v>0</v>
      </c>
      <c r="AR2798">
        <v>0</v>
      </c>
      <c r="AT2798">
        <v>0</v>
      </c>
      <c r="AU2798">
        <v>0</v>
      </c>
      <c r="AW2798">
        <v>0</v>
      </c>
      <c r="AX2798">
        <v>0</v>
      </c>
      <c r="AY2798">
        <v>0</v>
      </c>
      <c r="BC2798" t="str">
        <f>T("9791170151678")</f>
        <v>9791170151678</v>
      </c>
      <c r="BE2798" t="str">
        <f>T("판타지 웹소설 &gt; 현대 판타지")</f>
        <v>판타지 웹소설 &gt; 현대 판타지</v>
      </c>
    </row>
    <row r="2799" spans="1:57" x14ac:dyDescent="0.3">
      <c r="A2799">
        <v>1525013344</v>
      </c>
      <c r="B2799">
        <v>1525013348</v>
      </c>
      <c r="C2799" t="str">
        <f>T("[e북]진짜 사나이 5권")</f>
        <v>[e북]진짜 사나이 5권</v>
      </c>
      <c r="D2799" t="str">
        <f>T("5")</f>
        <v>5</v>
      </c>
      <c r="E2799" t="str">
        <f>T("백범(白帆)")</f>
        <v>백범(白帆)</v>
      </c>
      <c r="H2799" t="str">
        <f>T("에필로그")</f>
        <v>에필로그</v>
      </c>
      <c r="I2799" t="str">
        <f>T("[e북]진짜 사나이")</f>
        <v>[e북]진짜 사나이</v>
      </c>
      <c r="J2799">
        <v>2000</v>
      </c>
      <c r="K2799">
        <v>0</v>
      </c>
      <c r="L2799">
        <v>0</v>
      </c>
      <c r="M2799">
        <v>0</v>
      </c>
      <c r="N2799">
        <v>900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900</v>
      </c>
      <c r="AH2799">
        <v>1</v>
      </c>
      <c r="AI2799">
        <v>0</v>
      </c>
      <c r="AJ2799">
        <v>0</v>
      </c>
      <c r="AK2799">
        <v>900</v>
      </c>
      <c r="AL2799">
        <v>0</v>
      </c>
      <c r="AM2799">
        <v>0</v>
      </c>
      <c r="AN2799">
        <v>0</v>
      </c>
      <c r="AO2799">
        <v>0</v>
      </c>
      <c r="AQ2799">
        <v>0</v>
      </c>
      <c r="AR2799">
        <v>0</v>
      </c>
      <c r="AT2799">
        <v>0</v>
      </c>
      <c r="AU2799">
        <v>0</v>
      </c>
      <c r="AW2799">
        <v>0</v>
      </c>
      <c r="AX2799">
        <v>0</v>
      </c>
      <c r="AY2799">
        <v>630</v>
      </c>
      <c r="BC2799" t="str">
        <f>T("9791164480562")</f>
        <v>9791164480562</v>
      </c>
      <c r="BE2799" t="str">
        <f>T("판타지 e북 &gt; 퓨전 판타지")</f>
        <v>판타지 e북 &gt; 퓨전 판타지</v>
      </c>
    </row>
    <row r="2800" spans="1:57" x14ac:dyDescent="0.3">
      <c r="A2800">
        <v>1525010944</v>
      </c>
      <c r="B2800">
        <v>1525010942</v>
      </c>
      <c r="C2800" t="str">
        <f>T("[e북]법보다 주먹 3권")</f>
        <v>[e북]법보다 주먹 3권</v>
      </c>
      <c r="D2800" t="str">
        <f>T("3")</f>
        <v>3</v>
      </c>
      <c r="E2800" t="str">
        <f>T("백범(白帆)")</f>
        <v>백범(白帆)</v>
      </c>
      <c r="H2800" t="str">
        <f>T("에필로그")</f>
        <v>에필로그</v>
      </c>
      <c r="I2800" t="str">
        <f>T("[e북]법보다 주먹")</f>
        <v>[e북]법보다 주먹</v>
      </c>
      <c r="J2800">
        <v>2000</v>
      </c>
      <c r="K2800">
        <v>0</v>
      </c>
      <c r="L2800">
        <v>0</v>
      </c>
      <c r="M2800">
        <v>0</v>
      </c>
      <c r="N2800">
        <v>3600</v>
      </c>
      <c r="O2800">
        <v>4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3600</v>
      </c>
      <c r="AH2800">
        <v>4</v>
      </c>
      <c r="AI2800">
        <v>0</v>
      </c>
      <c r="AJ2800">
        <v>0</v>
      </c>
      <c r="AK2800">
        <v>900</v>
      </c>
      <c r="AL2800">
        <v>0</v>
      </c>
      <c r="AM2800">
        <v>3240</v>
      </c>
      <c r="AN2800">
        <v>-540</v>
      </c>
      <c r="AO2800">
        <v>0</v>
      </c>
      <c r="AQ2800">
        <v>0</v>
      </c>
      <c r="AR2800">
        <v>0</v>
      </c>
      <c r="AS2800">
        <v>3240</v>
      </c>
      <c r="AT2800">
        <v>-540</v>
      </c>
      <c r="AU2800">
        <v>0</v>
      </c>
      <c r="AW2800">
        <v>0</v>
      </c>
      <c r="AX2800">
        <v>0</v>
      </c>
      <c r="AY2800">
        <v>2520</v>
      </c>
      <c r="BC2800" t="str">
        <f>T("9791164480142")</f>
        <v>9791164480142</v>
      </c>
      <c r="BE2800" t="str">
        <f>T("판타지 e북 &gt; 현대 판타지")</f>
        <v>판타지 e북 &gt; 현대 판타지</v>
      </c>
    </row>
    <row r="2801" spans="1:57" x14ac:dyDescent="0.3">
      <c r="A2801">
        <v>1525000022</v>
      </c>
      <c r="B2801">
        <v>1525000024</v>
      </c>
      <c r="C2801" t="str">
        <f>T("[e북]마계대공 연대기 3권")</f>
        <v>[e북]마계대공 연대기 3권</v>
      </c>
      <c r="D2801" t="str">
        <f>T("3")</f>
        <v>3</v>
      </c>
      <c r="E2801" t="str">
        <f>T("김광수")</f>
        <v>김광수</v>
      </c>
      <c r="H2801" t="str">
        <f>T("스토리위즈")</f>
        <v>스토리위즈</v>
      </c>
      <c r="I2801" t="str">
        <f>T("[e북]마계대공 연대기")</f>
        <v>[e북]마계대공 연대기</v>
      </c>
      <c r="J2801">
        <v>3200</v>
      </c>
      <c r="K2801">
        <v>0</v>
      </c>
      <c r="L2801">
        <v>0</v>
      </c>
      <c r="M2801">
        <v>0</v>
      </c>
      <c r="N2801">
        <v>2700</v>
      </c>
      <c r="O2801">
        <v>3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2700</v>
      </c>
      <c r="AH2801">
        <v>3</v>
      </c>
      <c r="AI2801">
        <v>0</v>
      </c>
      <c r="AJ2801">
        <v>0</v>
      </c>
      <c r="AK2801">
        <v>1800</v>
      </c>
      <c r="AL2801">
        <v>0</v>
      </c>
      <c r="AM2801">
        <v>1080</v>
      </c>
      <c r="AN2801">
        <v>-108</v>
      </c>
      <c r="AO2801">
        <v>0</v>
      </c>
      <c r="AQ2801">
        <v>0</v>
      </c>
      <c r="AR2801">
        <v>0</v>
      </c>
      <c r="AS2801">
        <v>1080</v>
      </c>
      <c r="AT2801">
        <v>-108</v>
      </c>
      <c r="AU2801">
        <v>0</v>
      </c>
      <c r="AW2801">
        <v>0</v>
      </c>
      <c r="AX2801">
        <v>0</v>
      </c>
      <c r="AY2801">
        <v>1940.4</v>
      </c>
      <c r="BE2801" t="str">
        <f>T("판타지 e북 &gt; 퓨전 판타지")</f>
        <v>판타지 e북 &gt; 퓨전 판타지</v>
      </c>
    </row>
    <row r="2802" spans="1:57" x14ac:dyDescent="0.3">
      <c r="A2802">
        <v>1525004988</v>
      </c>
      <c r="B2802">
        <v>1525005294</v>
      </c>
      <c r="C2802" t="str">
        <f>T("용무쌍 7화")</f>
        <v>용무쌍 7화</v>
      </c>
      <c r="D2802" t="str">
        <f>T("7")</f>
        <v>7</v>
      </c>
      <c r="E2802" t="str">
        <f>T("권용찬")</f>
        <v>권용찬</v>
      </c>
      <c r="H2802" t="str">
        <f>T("스토리위즈")</f>
        <v>스토리위즈</v>
      </c>
      <c r="I2802" t="str">
        <f>T("용무쌍")</f>
        <v>용무쌍</v>
      </c>
      <c r="J2802">
        <v>0</v>
      </c>
      <c r="K2802">
        <v>0</v>
      </c>
      <c r="L2802">
        <v>0</v>
      </c>
      <c r="M2802">
        <v>2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2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Q2802">
        <v>0</v>
      </c>
      <c r="AR2802">
        <v>0</v>
      </c>
      <c r="AT2802">
        <v>0</v>
      </c>
      <c r="AU2802">
        <v>0</v>
      </c>
      <c r="AW2802">
        <v>0</v>
      </c>
      <c r="AX2802">
        <v>0</v>
      </c>
      <c r="AY2802">
        <v>0</v>
      </c>
      <c r="BC2802" t="str">
        <f>T("9791159284861")</f>
        <v>9791159284861</v>
      </c>
      <c r="BE2802" t="str">
        <f>T("판타지 웹소설 &gt; 무협 소설")</f>
        <v>판타지 웹소설 &gt; 무협 소설</v>
      </c>
    </row>
    <row r="2803" spans="1:57" x14ac:dyDescent="0.3">
      <c r="A2803">
        <v>1525000924</v>
      </c>
      <c r="B2803">
        <v>1525000942</v>
      </c>
      <c r="C2803" t="str">
        <f>T("스피릿 소드 19화")</f>
        <v>스피릿 소드 19화</v>
      </c>
      <c r="D2803" t="str">
        <f>T("19")</f>
        <v>19</v>
      </c>
      <c r="E2803" t="str">
        <f>T("김정률")</f>
        <v>김정률</v>
      </c>
      <c r="H2803" t="str">
        <f>T("스토리위즈")</f>
        <v>스토리위즈</v>
      </c>
      <c r="I2803" t="str">
        <f>T("스피릿 소드")</f>
        <v>스피릿 소드</v>
      </c>
      <c r="J2803">
        <v>0</v>
      </c>
      <c r="K2803">
        <v>0</v>
      </c>
      <c r="L2803">
        <v>0</v>
      </c>
      <c r="M2803">
        <v>1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1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Q2803">
        <v>0</v>
      </c>
      <c r="AR2803">
        <v>0</v>
      </c>
      <c r="AT2803">
        <v>0</v>
      </c>
      <c r="AU2803">
        <v>0</v>
      </c>
      <c r="AW2803">
        <v>0</v>
      </c>
      <c r="AX2803">
        <v>0</v>
      </c>
      <c r="AY2803">
        <v>0</v>
      </c>
      <c r="BA2803" t="str">
        <f>T("9791159282713")</f>
        <v>9791159282713</v>
      </c>
      <c r="BC2803" t="str">
        <f>T("9791159282713")</f>
        <v>9791159282713</v>
      </c>
      <c r="BE2803" t="str">
        <f>T("판타지 웹소설 &gt; 정통 판타지")</f>
        <v>판타지 웹소설 &gt; 정통 판타지</v>
      </c>
    </row>
    <row r="2804" spans="1:57" x14ac:dyDescent="0.3">
      <c r="A2804">
        <v>1525012551</v>
      </c>
      <c r="B2804">
        <v>1525012553</v>
      </c>
      <c r="C2804" t="str">
        <f>T("개정판 | 바보가 만드는 멋진 세상 3화")</f>
        <v>개정판 | 바보가 만드는 멋진 세상 3화</v>
      </c>
      <c r="D2804" t="str">
        <f>T("3")</f>
        <v>3</v>
      </c>
      <c r="E2804" t="str">
        <f>T("백범(白帆)")</f>
        <v>백범(白帆)</v>
      </c>
      <c r="H2804" t="str">
        <f>T("에필로그")</f>
        <v>에필로그</v>
      </c>
      <c r="I2804" t="str">
        <f>T("개정판 | 바보가 만드는 멋진 세상")</f>
        <v>개정판 | 바보가 만드는 멋진 세상</v>
      </c>
      <c r="J2804">
        <v>0</v>
      </c>
      <c r="K2804">
        <v>0</v>
      </c>
      <c r="L2804">
        <v>0</v>
      </c>
      <c r="M2804">
        <v>1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1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Q2804">
        <v>0</v>
      </c>
      <c r="AR2804">
        <v>0</v>
      </c>
      <c r="AT2804">
        <v>0</v>
      </c>
      <c r="AU2804">
        <v>0</v>
      </c>
      <c r="AW2804">
        <v>0</v>
      </c>
      <c r="AX2804">
        <v>0</v>
      </c>
      <c r="AY2804">
        <v>0</v>
      </c>
      <c r="BC2804" t="str">
        <f>T("9791166003493")</f>
        <v>9791166003493</v>
      </c>
      <c r="BE2804" t="str">
        <f>T("판타지 웹소설 &gt; 현대 판타지")</f>
        <v>판타지 웹소설 &gt; 현대 판타지</v>
      </c>
    </row>
    <row r="2805" spans="1:57" x14ac:dyDescent="0.3">
      <c r="A2805">
        <v>1525002692</v>
      </c>
      <c r="B2805">
        <v>1525002699</v>
      </c>
      <c r="C2805" t="str">
        <f>T("신규무사 8화")</f>
        <v>신규무사 8화</v>
      </c>
      <c r="D2805" t="str">
        <f>T("8")</f>
        <v>8</v>
      </c>
      <c r="E2805" t="str">
        <f>T("권용찬")</f>
        <v>권용찬</v>
      </c>
      <c r="H2805" t="str">
        <f>T("스토리위즈")</f>
        <v>스토리위즈</v>
      </c>
      <c r="I2805" t="str">
        <f>T("신규무사")</f>
        <v>신규무사</v>
      </c>
      <c r="J2805">
        <v>0</v>
      </c>
      <c r="K2805">
        <v>0</v>
      </c>
      <c r="L2805">
        <v>0</v>
      </c>
      <c r="M2805">
        <v>1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1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Q2805">
        <v>0</v>
      </c>
      <c r="AR2805">
        <v>0</v>
      </c>
      <c r="AT2805">
        <v>0</v>
      </c>
      <c r="AU2805">
        <v>0</v>
      </c>
      <c r="AW2805">
        <v>0</v>
      </c>
      <c r="AX2805">
        <v>0</v>
      </c>
      <c r="AY2805">
        <v>0</v>
      </c>
      <c r="BC2805" t="str">
        <f>T("9791159287480")</f>
        <v>9791159287480</v>
      </c>
      <c r="BE2805" t="str">
        <f>T("판타지 웹소설 &gt; 무협 소설")</f>
        <v>판타지 웹소설 &gt; 무협 소설</v>
      </c>
    </row>
    <row r="2806" spans="1:57" x14ac:dyDescent="0.3">
      <c r="A2806">
        <v>1525000055</v>
      </c>
      <c r="B2806">
        <v>1525000060</v>
      </c>
      <c r="C2806" t="str">
        <f>T("[e북]21세기 대마법사 5권")</f>
        <v>[e북]21세기 대마법사 5권</v>
      </c>
      <c r="D2806" t="str">
        <f>T("5")</f>
        <v>5</v>
      </c>
      <c r="E2806" t="str">
        <f>T("김광수")</f>
        <v>김광수</v>
      </c>
      <c r="H2806" t="str">
        <f>T("스토리위즈")</f>
        <v>스토리위즈</v>
      </c>
      <c r="I2806" t="str">
        <f>T("[e북]21세기 대마법사")</f>
        <v>[e북]21세기 대마법사</v>
      </c>
      <c r="J2806">
        <v>3200</v>
      </c>
      <c r="K2806">
        <v>0</v>
      </c>
      <c r="L2806">
        <v>0</v>
      </c>
      <c r="M2806">
        <v>0</v>
      </c>
      <c r="N2806">
        <v>3600</v>
      </c>
      <c r="O2806">
        <v>4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3600</v>
      </c>
      <c r="AH2806">
        <v>4</v>
      </c>
      <c r="AI2806">
        <v>0</v>
      </c>
      <c r="AJ2806">
        <v>0</v>
      </c>
      <c r="AK2806">
        <v>900</v>
      </c>
      <c r="AL2806">
        <v>0</v>
      </c>
      <c r="AM2806">
        <v>3240</v>
      </c>
      <c r="AN2806">
        <v>-540</v>
      </c>
      <c r="AO2806">
        <v>0</v>
      </c>
      <c r="AQ2806">
        <v>0</v>
      </c>
      <c r="AR2806">
        <v>0</v>
      </c>
      <c r="AS2806">
        <v>3240</v>
      </c>
      <c r="AT2806">
        <v>-540</v>
      </c>
      <c r="AU2806">
        <v>0</v>
      </c>
      <c r="AW2806">
        <v>0</v>
      </c>
      <c r="AX2806">
        <v>0</v>
      </c>
      <c r="AY2806">
        <v>2520</v>
      </c>
      <c r="BC2806" t="str">
        <f>T("9788925117447")</f>
        <v>9788925117447</v>
      </c>
      <c r="BE2806" t="str">
        <f>T("판타지 e북 &gt; 퓨전 판타지")</f>
        <v>판타지 e북 &gt; 퓨전 판타지</v>
      </c>
    </row>
    <row r="2807" spans="1:57" x14ac:dyDescent="0.3">
      <c r="A2807">
        <v>1525004030</v>
      </c>
      <c r="B2807">
        <v>1525004048</v>
      </c>
      <c r="C2807" t="str">
        <f>T("회귀의 전설 19화")</f>
        <v>회귀의 전설 19화</v>
      </c>
      <c r="D2807" t="str">
        <f>T("19")</f>
        <v>19</v>
      </c>
      <c r="E2807" t="str">
        <f>T("김광수")</f>
        <v>김광수</v>
      </c>
      <c r="H2807" t="str">
        <f>T("스토리위즈")</f>
        <v>스토리위즈</v>
      </c>
      <c r="I2807" t="str">
        <f>T("회귀의 전설")</f>
        <v>회귀의 전설</v>
      </c>
      <c r="J2807">
        <v>0</v>
      </c>
      <c r="K2807">
        <v>0</v>
      </c>
      <c r="L2807">
        <v>0</v>
      </c>
      <c r="M2807">
        <v>7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7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Q2807">
        <v>0</v>
      </c>
      <c r="AR2807">
        <v>0</v>
      </c>
      <c r="AT2807">
        <v>0</v>
      </c>
      <c r="AU2807">
        <v>0</v>
      </c>
      <c r="AW2807">
        <v>0</v>
      </c>
      <c r="AX2807">
        <v>0</v>
      </c>
      <c r="AY2807">
        <v>0</v>
      </c>
      <c r="BC2807" t="str">
        <f>T("9788997946006")</f>
        <v>9788997946006</v>
      </c>
      <c r="BE2807" t="str">
        <f>T("판타지 웹소설 &gt; 현대 판타지")</f>
        <v>판타지 웹소설 &gt; 현대 판타지</v>
      </c>
    </row>
    <row r="2808" spans="1:57" x14ac:dyDescent="0.3">
      <c r="A2808">
        <v>1525014780</v>
      </c>
      <c r="B2808">
        <v>1525014788</v>
      </c>
      <c r="C2808" t="str">
        <f>T("크랭키 걸즈 9화")</f>
        <v>크랭키 걸즈 9화</v>
      </c>
      <c r="D2808" t="str">
        <f>T("9")</f>
        <v>9</v>
      </c>
      <c r="E2808" t="str">
        <f>T("곽도우")</f>
        <v>곽도우</v>
      </c>
      <c r="H2808" t="str">
        <f>T("스토리아크")</f>
        <v>스토리아크</v>
      </c>
      <c r="I2808" t="str">
        <f>T("크랭키 걸즈")</f>
        <v>크랭키 걸즈</v>
      </c>
      <c r="J2808">
        <v>0</v>
      </c>
      <c r="K2808">
        <v>0</v>
      </c>
      <c r="L2808">
        <v>0</v>
      </c>
      <c r="M2808">
        <v>1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1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Q2808">
        <v>0</v>
      </c>
      <c r="AR2808">
        <v>0</v>
      </c>
      <c r="AT2808">
        <v>0</v>
      </c>
      <c r="AU2808">
        <v>0</v>
      </c>
      <c r="AW2808">
        <v>0</v>
      </c>
      <c r="AX2808">
        <v>0</v>
      </c>
      <c r="AY2808">
        <v>0</v>
      </c>
      <c r="BC2808" t="str">
        <f>T("9791191039276")</f>
        <v>9791191039276</v>
      </c>
      <c r="BE2808" t="str">
        <f>T("판타지 웹소설 &gt; 현대 판타지")</f>
        <v>판타지 웹소설 &gt; 현대 판타지</v>
      </c>
    </row>
    <row r="2809" spans="1:57" x14ac:dyDescent="0.3">
      <c r="A2809">
        <v>1525001540</v>
      </c>
      <c r="B2809">
        <v>1525001544</v>
      </c>
      <c r="C2809" t="str">
        <f>T("[e북]철중쟁쟁 5권")</f>
        <v>[e북]철중쟁쟁 5권</v>
      </c>
      <c r="D2809" t="str">
        <f>T("5")</f>
        <v>5</v>
      </c>
      <c r="E2809" t="str">
        <f>T("권용찬")</f>
        <v>권용찬</v>
      </c>
      <c r="H2809" t="str">
        <f>T("스토리위즈")</f>
        <v>스토리위즈</v>
      </c>
      <c r="I2809" t="str">
        <f>T("[e북]철중쟁쟁")</f>
        <v>[e북]철중쟁쟁</v>
      </c>
      <c r="J2809">
        <v>3200</v>
      </c>
      <c r="K2809">
        <v>0</v>
      </c>
      <c r="L2809">
        <v>0</v>
      </c>
      <c r="M2809">
        <v>0</v>
      </c>
      <c r="N2809">
        <v>7200</v>
      </c>
      <c r="O2809">
        <v>8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7200</v>
      </c>
      <c r="AH2809">
        <v>8</v>
      </c>
      <c r="AI2809">
        <v>0</v>
      </c>
      <c r="AJ2809">
        <v>0</v>
      </c>
      <c r="AK2809">
        <v>4500</v>
      </c>
      <c r="AL2809">
        <v>0</v>
      </c>
      <c r="AM2809">
        <v>3240</v>
      </c>
      <c r="AN2809">
        <v>-756</v>
      </c>
      <c r="AO2809">
        <v>0</v>
      </c>
      <c r="AQ2809">
        <v>0</v>
      </c>
      <c r="AR2809">
        <v>0</v>
      </c>
      <c r="AS2809">
        <v>3240</v>
      </c>
      <c r="AT2809">
        <v>-756</v>
      </c>
      <c r="AU2809">
        <v>0</v>
      </c>
      <c r="AW2809">
        <v>0</v>
      </c>
      <c r="AX2809">
        <v>0</v>
      </c>
      <c r="AY2809">
        <v>4888.8</v>
      </c>
      <c r="BC2809" t="str">
        <f>T("9791159282317")</f>
        <v>9791159282317</v>
      </c>
      <c r="BE2809" t="str">
        <f>T("판타지 e북 &gt; 전통 무협")</f>
        <v>판타지 e북 &gt; 전통 무협</v>
      </c>
    </row>
    <row r="2810" spans="1:57" x14ac:dyDescent="0.3">
      <c r="A2810">
        <v>1525002864</v>
      </c>
      <c r="B2810">
        <v>1525002873</v>
      </c>
      <c r="C2810" t="str">
        <f>T("소드마스터의 환생 10화")</f>
        <v>소드마스터의 환생 10화</v>
      </c>
      <c r="D2810" t="str">
        <f>T("10")</f>
        <v>10</v>
      </c>
      <c r="E2810" t="str">
        <f>T("파란영")</f>
        <v>파란영</v>
      </c>
      <c r="H2810" t="str">
        <f>T("스토리위즈")</f>
        <v>스토리위즈</v>
      </c>
      <c r="I2810" t="str">
        <f>T("소드마스터의 환생")</f>
        <v>소드마스터의 환생</v>
      </c>
      <c r="J2810">
        <v>0</v>
      </c>
      <c r="K2810">
        <v>0</v>
      </c>
      <c r="L2810">
        <v>0</v>
      </c>
      <c r="M2810">
        <v>5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5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Q2810">
        <v>0</v>
      </c>
      <c r="AR2810">
        <v>0</v>
      </c>
      <c r="AT2810">
        <v>0</v>
      </c>
      <c r="AU2810">
        <v>0</v>
      </c>
      <c r="AW2810">
        <v>0</v>
      </c>
      <c r="AX2810">
        <v>0</v>
      </c>
      <c r="AY2810">
        <v>0</v>
      </c>
      <c r="BC2810" t="str">
        <f>T("9791159287527")</f>
        <v>9791159287527</v>
      </c>
      <c r="BE2810" t="str">
        <f>T("판타지 웹소설 &gt; 정통 판타지")</f>
        <v>판타지 웹소설 &gt; 정통 판타지</v>
      </c>
    </row>
    <row r="2811" spans="1:57" x14ac:dyDescent="0.3">
      <c r="A2811">
        <v>1525013409</v>
      </c>
      <c r="B2811">
        <v>1525013409</v>
      </c>
      <c r="C2811" t="str">
        <f>T("[e북]더 캡틴 1권")</f>
        <v>[e북]더 캡틴 1권</v>
      </c>
      <c r="D2811" t="str">
        <f>T("1")</f>
        <v>1</v>
      </c>
      <c r="E2811" t="str">
        <f>T("백범(白帆)")</f>
        <v>백범(白帆)</v>
      </c>
      <c r="H2811" t="str">
        <f>T("에필로그")</f>
        <v>에필로그</v>
      </c>
      <c r="I2811" t="str">
        <f>T("[e북]더 캡틴")</f>
        <v>[e북]더 캡틴</v>
      </c>
      <c r="J2811">
        <v>0</v>
      </c>
      <c r="K2811">
        <v>0</v>
      </c>
      <c r="L2811">
        <v>0</v>
      </c>
      <c r="M2811">
        <v>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1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Q2811">
        <v>0</v>
      </c>
      <c r="AR2811">
        <v>0</v>
      </c>
      <c r="AT2811">
        <v>0</v>
      </c>
      <c r="AU2811">
        <v>0</v>
      </c>
      <c r="AW2811">
        <v>0</v>
      </c>
      <c r="AX2811">
        <v>0</v>
      </c>
      <c r="AY2811">
        <v>0</v>
      </c>
      <c r="BA2811" t="str">
        <f>T("0000000000000")</f>
        <v>0000000000000</v>
      </c>
      <c r="BC2811" t="str">
        <f>T("9791189867607")</f>
        <v>9791189867607</v>
      </c>
      <c r="BE2811" t="str">
        <f>T("판타지 e북 &gt; 현대 판타지")</f>
        <v>판타지 e북 &gt; 현대 판타지</v>
      </c>
    </row>
    <row r="2812" spans="1:57" x14ac:dyDescent="0.3">
      <c r="A2812">
        <v>1525000022</v>
      </c>
      <c r="B2812">
        <v>1525000046</v>
      </c>
      <c r="C2812" t="str">
        <f>T("[e북]마계대공 연대기 24권")</f>
        <v>[e북]마계대공 연대기 24권</v>
      </c>
      <c r="D2812" t="str">
        <f>T("24")</f>
        <v>24</v>
      </c>
      <c r="E2812" t="str">
        <f>T("김광수")</f>
        <v>김광수</v>
      </c>
      <c r="H2812" t="str">
        <f>T("스토리위즈")</f>
        <v>스토리위즈</v>
      </c>
      <c r="I2812" t="str">
        <f>T("[e북]마계대공 연대기")</f>
        <v>[e북]마계대공 연대기</v>
      </c>
      <c r="J2812">
        <v>3200</v>
      </c>
      <c r="K2812">
        <v>0</v>
      </c>
      <c r="L2812">
        <v>0</v>
      </c>
      <c r="M2812">
        <v>0</v>
      </c>
      <c r="N2812">
        <v>2700</v>
      </c>
      <c r="O2812">
        <v>3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2700</v>
      </c>
      <c r="AH2812">
        <v>3</v>
      </c>
      <c r="AI2812">
        <v>0</v>
      </c>
      <c r="AJ2812">
        <v>0</v>
      </c>
      <c r="AK2812">
        <v>2200</v>
      </c>
      <c r="AL2812">
        <v>0</v>
      </c>
      <c r="AM2812">
        <v>600</v>
      </c>
      <c r="AN2812">
        <v>-60</v>
      </c>
      <c r="AO2812">
        <v>0</v>
      </c>
      <c r="AQ2812">
        <v>0</v>
      </c>
      <c r="AR2812">
        <v>0</v>
      </c>
      <c r="AS2812">
        <v>600</v>
      </c>
      <c r="AT2812">
        <v>-60</v>
      </c>
      <c r="AU2812">
        <v>0</v>
      </c>
      <c r="AW2812">
        <v>0</v>
      </c>
      <c r="AX2812">
        <v>0</v>
      </c>
      <c r="AY2812">
        <v>1918</v>
      </c>
      <c r="BE2812" t="str">
        <f>T("판타지 e북 &gt; 퓨전 판타지")</f>
        <v>판타지 e북 &gt; 퓨전 판타지</v>
      </c>
    </row>
    <row r="2813" spans="1:57" x14ac:dyDescent="0.3">
      <c r="A2813">
        <v>1525004030</v>
      </c>
      <c r="B2813">
        <v>1525004037</v>
      </c>
      <c r="C2813" t="str">
        <f>T("회귀의 전설 8화")</f>
        <v>회귀의 전설 8화</v>
      </c>
      <c r="D2813" t="str">
        <f>T("8")</f>
        <v>8</v>
      </c>
      <c r="E2813" t="str">
        <f>T("김광수")</f>
        <v>김광수</v>
      </c>
      <c r="H2813" t="str">
        <f>T("스토리위즈")</f>
        <v>스토리위즈</v>
      </c>
      <c r="I2813" t="str">
        <f>T("회귀의 전설")</f>
        <v>회귀의 전설</v>
      </c>
      <c r="J2813">
        <v>0</v>
      </c>
      <c r="K2813">
        <v>0</v>
      </c>
      <c r="L2813">
        <v>0</v>
      </c>
      <c r="M2813">
        <v>6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6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Q2813">
        <v>0</v>
      </c>
      <c r="AR2813">
        <v>0</v>
      </c>
      <c r="AT2813">
        <v>0</v>
      </c>
      <c r="AU2813">
        <v>0</v>
      </c>
      <c r="AW2813">
        <v>0</v>
      </c>
      <c r="AX2813">
        <v>0</v>
      </c>
      <c r="AY2813">
        <v>0</v>
      </c>
      <c r="BC2813" t="str">
        <f>T("9788997946006")</f>
        <v>9788997946006</v>
      </c>
      <c r="BE2813" t="str">
        <f>T("판타지 웹소설 &gt; 현대 판타지")</f>
        <v>판타지 웹소설 &gt; 현대 판타지</v>
      </c>
    </row>
    <row r="2814" spans="1:57" x14ac:dyDescent="0.3">
      <c r="A2814">
        <v>1525012202</v>
      </c>
      <c r="B2814">
        <v>1525012181</v>
      </c>
      <c r="C2814" t="str">
        <f>T("이세계 최강 군바리 22화")</f>
        <v>이세계 최강 군바리 22화</v>
      </c>
      <c r="D2814" t="str">
        <f>T("22")</f>
        <v>22</v>
      </c>
      <c r="E2814" t="str">
        <f>T("협행마")</f>
        <v>협행마</v>
      </c>
      <c r="H2814" t="str">
        <f>T("에필로그")</f>
        <v>에필로그</v>
      </c>
      <c r="I2814" t="str">
        <f>T("이세계 최강 군바리")</f>
        <v>이세계 최강 군바리</v>
      </c>
      <c r="J2814">
        <v>0</v>
      </c>
      <c r="K2814">
        <v>0</v>
      </c>
      <c r="L2814">
        <v>0</v>
      </c>
      <c r="M2814">
        <v>1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1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Q2814">
        <v>0</v>
      </c>
      <c r="AR2814">
        <v>0</v>
      </c>
      <c r="AT2814">
        <v>0</v>
      </c>
      <c r="AU2814">
        <v>0</v>
      </c>
      <c r="AW2814">
        <v>0</v>
      </c>
      <c r="AX2814">
        <v>0</v>
      </c>
      <c r="AY2814">
        <v>0</v>
      </c>
      <c r="BC2814" t="str">
        <f>T("9791164480159")</f>
        <v>9791164480159</v>
      </c>
      <c r="BE2814" t="str">
        <f>T("판타지 웹소설 &gt; 퓨전 판타지")</f>
        <v>판타지 웹소설 &gt; 퓨전 판타지</v>
      </c>
    </row>
    <row r="2815" spans="1:57" x14ac:dyDescent="0.3">
      <c r="A2815">
        <v>1525000924</v>
      </c>
      <c r="B2815">
        <v>1525000948</v>
      </c>
      <c r="C2815" t="str">
        <f>T("스피릿 소드 25화")</f>
        <v>스피릿 소드 25화</v>
      </c>
      <c r="D2815" t="str">
        <f>T("25")</f>
        <v>25</v>
      </c>
      <c r="E2815" t="str">
        <f>T("김정률")</f>
        <v>김정률</v>
      </c>
      <c r="H2815" t="str">
        <f>T("스토리위즈")</f>
        <v>스토리위즈</v>
      </c>
      <c r="I2815" t="str">
        <f>T("스피릿 소드")</f>
        <v>스피릿 소드</v>
      </c>
      <c r="J2815">
        <v>0</v>
      </c>
      <c r="K2815">
        <v>0</v>
      </c>
      <c r="L2815">
        <v>0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1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Q2815">
        <v>0</v>
      </c>
      <c r="AR2815">
        <v>0</v>
      </c>
      <c r="AT2815">
        <v>0</v>
      </c>
      <c r="AU2815">
        <v>0</v>
      </c>
      <c r="AW2815">
        <v>0</v>
      </c>
      <c r="AX2815">
        <v>0</v>
      </c>
      <c r="AY2815">
        <v>0</v>
      </c>
      <c r="BA2815" t="str">
        <f>T("9791159282713")</f>
        <v>9791159282713</v>
      </c>
      <c r="BC2815" t="str">
        <f>T("9791159282713")</f>
        <v>9791159282713</v>
      </c>
      <c r="BE2815" t="str">
        <f>T("판타지 웹소설 &gt; 정통 판타지")</f>
        <v>판타지 웹소설 &gt; 정통 판타지</v>
      </c>
    </row>
    <row r="2816" spans="1:57" x14ac:dyDescent="0.3">
      <c r="A2816">
        <v>1525012551</v>
      </c>
      <c r="B2816">
        <v>1525012574</v>
      </c>
      <c r="C2816" t="str">
        <f>T("개정판 | 바보가 만드는 멋진 세상 24화")</f>
        <v>개정판 | 바보가 만드는 멋진 세상 24화</v>
      </c>
      <c r="D2816" t="str">
        <f>T("24")</f>
        <v>24</v>
      </c>
      <c r="E2816" t="str">
        <f>T("백범(白帆)")</f>
        <v>백범(白帆)</v>
      </c>
      <c r="H2816" t="str">
        <f>T("에필로그")</f>
        <v>에필로그</v>
      </c>
      <c r="I2816" t="str">
        <f>T("개정판 | 바보가 만드는 멋진 세상")</f>
        <v>개정판 | 바보가 만드는 멋진 세상</v>
      </c>
      <c r="J2816">
        <v>0</v>
      </c>
      <c r="K2816">
        <v>0</v>
      </c>
      <c r="L2816">
        <v>0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Q2816">
        <v>0</v>
      </c>
      <c r="AR2816">
        <v>0</v>
      </c>
      <c r="AT2816">
        <v>0</v>
      </c>
      <c r="AU2816">
        <v>0</v>
      </c>
      <c r="AW2816">
        <v>0</v>
      </c>
      <c r="AX2816">
        <v>0</v>
      </c>
      <c r="AY2816">
        <v>0</v>
      </c>
      <c r="BC2816" t="str">
        <f>T("9791166003493")</f>
        <v>9791166003493</v>
      </c>
      <c r="BE2816" t="str">
        <f>T("판타지 웹소설 &gt; 현대 판타지")</f>
        <v>판타지 웹소설 &gt; 현대 판타지</v>
      </c>
    </row>
    <row r="2817" spans="1:57" x14ac:dyDescent="0.3">
      <c r="A2817">
        <v>1525014480</v>
      </c>
      <c r="B2817">
        <v>1525014483</v>
      </c>
      <c r="C2817" t="str">
        <f>T("언더독 크라이스 4화")</f>
        <v>언더독 크라이스 4화</v>
      </c>
      <c r="D2817" t="str">
        <f>T("4")</f>
        <v>4</v>
      </c>
      <c r="E2817" t="str">
        <f>T("라이큐")</f>
        <v>라이큐</v>
      </c>
      <c r="H2817" t="str">
        <f>T("스토리아크")</f>
        <v>스토리아크</v>
      </c>
      <c r="I2817" t="str">
        <f>T("언더독 크라이스")</f>
        <v>언더독 크라이스</v>
      </c>
      <c r="J2817">
        <v>0</v>
      </c>
      <c r="K2817">
        <v>0</v>
      </c>
      <c r="L2817">
        <v>0</v>
      </c>
      <c r="M2817">
        <v>1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1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Q2817">
        <v>0</v>
      </c>
      <c r="AR2817">
        <v>0</v>
      </c>
      <c r="AT2817">
        <v>0</v>
      </c>
      <c r="AU2817">
        <v>0</v>
      </c>
      <c r="AW2817">
        <v>0</v>
      </c>
      <c r="AX2817">
        <v>0</v>
      </c>
      <c r="AY2817">
        <v>0</v>
      </c>
      <c r="BC2817" t="str">
        <f>T("9791191039139")</f>
        <v>9791191039139</v>
      </c>
      <c r="BE2817" t="str">
        <f>T("판타지 웹소설 &gt; 퓨전 판타지")</f>
        <v>판타지 웹소설 &gt; 퓨전 판타지</v>
      </c>
    </row>
    <row r="2818" spans="1:57" x14ac:dyDescent="0.3">
      <c r="A2818">
        <v>1525001493</v>
      </c>
      <c r="B2818">
        <v>1525001496</v>
      </c>
      <c r="C2818" t="str">
        <f>T("[e북]수적왕 4권")</f>
        <v>[e북]수적왕 4권</v>
      </c>
      <c r="D2818" t="str">
        <f>T("4")</f>
        <v>4</v>
      </c>
      <c r="E2818" t="str">
        <f>T("권용찬")</f>
        <v>권용찬</v>
      </c>
      <c r="H2818" t="str">
        <f>T("스토리위즈")</f>
        <v>스토리위즈</v>
      </c>
      <c r="I2818" t="str">
        <f>T("[e북]수적왕")</f>
        <v>[e북]수적왕</v>
      </c>
      <c r="J2818">
        <v>3200</v>
      </c>
      <c r="K2818">
        <v>0</v>
      </c>
      <c r="L2818">
        <v>0</v>
      </c>
      <c r="M2818">
        <v>0</v>
      </c>
      <c r="N2818">
        <v>900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900</v>
      </c>
      <c r="AH2818">
        <v>1</v>
      </c>
      <c r="AI2818">
        <v>0</v>
      </c>
      <c r="AJ2818">
        <v>0</v>
      </c>
      <c r="AK2818">
        <v>900</v>
      </c>
      <c r="AL2818">
        <v>0</v>
      </c>
      <c r="AM2818">
        <v>0</v>
      </c>
      <c r="AN2818">
        <v>0</v>
      </c>
      <c r="AO2818">
        <v>0</v>
      </c>
      <c r="AQ2818">
        <v>0</v>
      </c>
      <c r="AR2818">
        <v>0</v>
      </c>
      <c r="AT2818">
        <v>0</v>
      </c>
      <c r="AU2818">
        <v>0</v>
      </c>
      <c r="AW2818">
        <v>0</v>
      </c>
      <c r="AX2818">
        <v>0</v>
      </c>
      <c r="AY2818">
        <v>630</v>
      </c>
      <c r="BC2818" t="str">
        <f>T("9791159282232")</f>
        <v>9791159282232</v>
      </c>
      <c r="BE2818" t="str">
        <f>T("판타지 e북 &gt; 신무협")</f>
        <v>판타지 e북 &gt; 신무협</v>
      </c>
    </row>
    <row r="2819" spans="1:57" x14ac:dyDescent="0.3">
      <c r="A2819">
        <v>1525015018</v>
      </c>
      <c r="B2819">
        <v>1525015019</v>
      </c>
      <c r="C2819" t="str">
        <f>T("그녀들은 소꿉친구지, 그 이상은 곤란합니다 2화")</f>
        <v>그녀들은 소꿉친구지, 그 이상은 곤란합니다 2화</v>
      </c>
      <c r="D2819" t="str">
        <f>T("2")</f>
        <v>2</v>
      </c>
      <c r="E2819" t="str">
        <f>T("자이오")</f>
        <v>자이오</v>
      </c>
      <c r="H2819" t="str">
        <f>T("스토리아크")</f>
        <v>스토리아크</v>
      </c>
      <c r="I2819" t="str">
        <f>T("그녀들은 소꿉친구지, 그 이상은 곤란합니다")</f>
        <v>그녀들은 소꿉친구지, 그 이상은 곤란합니다</v>
      </c>
      <c r="J2819">
        <v>0</v>
      </c>
      <c r="K2819">
        <v>0</v>
      </c>
      <c r="L2819">
        <v>0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1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Q2819">
        <v>0</v>
      </c>
      <c r="AR2819">
        <v>0</v>
      </c>
      <c r="AT2819">
        <v>0</v>
      </c>
      <c r="AU2819">
        <v>0</v>
      </c>
      <c r="AW2819">
        <v>0</v>
      </c>
      <c r="AX2819">
        <v>0</v>
      </c>
      <c r="AY2819">
        <v>0</v>
      </c>
      <c r="BC2819" t="str">
        <f>T("9791191039313")</f>
        <v>9791191039313</v>
      </c>
      <c r="BE2819" t="str">
        <f>T("판타지 웹소설 &gt; 퓨전 판타지")</f>
        <v>판타지 웹소설 &gt; 퓨전 판타지</v>
      </c>
    </row>
    <row r="2820" spans="1:57" x14ac:dyDescent="0.3">
      <c r="A2820">
        <v>1525001908</v>
      </c>
      <c r="B2820">
        <v>1525001915</v>
      </c>
      <c r="C2820" t="str">
        <f>T("[e북]상왕 진우몽 8권")</f>
        <v>[e북]상왕 진우몽 8권</v>
      </c>
      <c r="D2820" t="str">
        <f>T("8")</f>
        <v>8</v>
      </c>
      <c r="E2820" t="str">
        <f>T("권용찬")</f>
        <v>권용찬</v>
      </c>
      <c r="H2820" t="str">
        <f>T("스토리위즈")</f>
        <v>스토리위즈</v>
      </c>
      <c r="I2820" t="str">
        <f>T("[e북]상왕 진우몽")</f>
        <v>[e북]상왕 진우몽</v>
      </c>
      <c r="J2820">
        <v>3200</v>
      </c>
      <c r="K2820">
        <v>0</v>
      </c>
      <c r="L2820">
        <v>0</v>
      </c>
      <c r="M2820">
        <v>0</v>
      </c>
      <c r="N2820">
        <v>1800</v>
      </c>
      <c r="O2820">
        <v>2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1800</v>
      </c>
      <c r="AH2820">
        <v>2</v>
      </c>
      <c r="AI2820">
        <v>0</v>
      </c>
      <c r="AJ2820">
        <v>0</v>
      </c>
      <c r="AK2820">
        <v>1800</v>
      </c>
      <c r="AL2820">
        <v>0</v>
      </c>
      <c r="AM2820">
        <v>0</v>
      </c>
      <c r="AN2820">
        <v>0</v>
      </c>
      <c r="AO2820">
        <v>0</v>
      </c>
      <c r="AQ2820">
        <v>0</v>
      </c>
      <c r="AR2820">
        <v>0</v>
      </c>
      <c r="AT2820">
        <v>0</v>
      </c>
      <c r="AU2820">
        <v>0</v>
      </c>
      <c r="AW2820">
        <v>0</v>
      </c>
      <c r="AX2820">
        <v>0</v>
      </c>
      <c r="AY2820">
        <v>1260</v>
      </c>
      <c r="BC2820" t="str">
        <f>T("9791159285905")</f>
        <v>9791159285905</v>
      </c>
      <c r="BE2820" t="str">
        <f>T("판타지 e북 &gt; 신무협")</f>
        <v>판타지 e북 &gt; 신무협</v>
      </c>
    </row>
    <row r="2821" spans="1:57" x14ac:dyDescent="0.3">
      <c r="A2821">
        <v>1525010579</v>
      </c>
      <c r="B2821">
        <v>1525010569</v>
      </c>
      <c r="C2821" t="str">
        <f>T("법보다 주먹 9화")</f>
        <v>법보다 주먹 9화</v>
      </c>
      <c r="D2821" t="str">
        <f>T("9")</f>
        <v>9</v>
      </c>
      <c r="E2821" t="str">
        <f>T("백범(白帆)")</f>
        <v>백범(白帆)</v>
      </c>
      <c r="H2821" t="str">
        <f>T("에필로그")</f>
        <v>에필로그</v>
      </c>
      <c r="I2821" t="str">
        <f>T("법보다 주먹")</f>
        <v>법보다 주먹</v>
      </c>
      <c r="J2821">
        <v>0</v>
      </c>
      <c r="K2821">
        <v>0</v>
      </c>
      <c r="L2821">
        <v>0</v>
      </c>
      <c r="M2821">
        <v>1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1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Q2821">
        <v>0</v>
      </c>
      <c r="AR2821">
        <v>0</v>
      </c>
      <c r="AT2821">
        <v>0</v>
      </c>
      <c r="AU2821">
        <v>0</v>
      </c>
      <c r="AW2821">
        <v>0</v>
      </c>
      <c r="AX2821">
        <v>0</v>
      </c>
      <c r="AY2821">
        <v>0</v>
      </c>
      <c r="BC2821" t="str">
        <f>T("9791164489367")</f>
        <v>9791164489367</v>
      </c>
      <c r="BE2821" t="str">
        <f>T("판타지 웹소설 &gt; 현대 판타지")</f>
        <v>판타지 웹소설 &gt; 현대 판타지</v>
      </c>
    </row>
    <row r="2822" spans="1:57" x14ac:dyDescent="0.3">
      <c r="A2822">
        <v>1525013020</v>
      </c>
      <c r="B2822">
        <v>1525013030</v>
      </c>
      <c r="C2822" t="str">
        <f>T("악당의 리턴 11화")</f>
        <v>악당의 리턴 11화</v>
      </c>
      <c r="D2822" t="str">
        <f>T("11")</f>
        <v>11</v>
      </c>
      <c r="E2822" t="str">
        <f>T("백범(白帆)")</f>
        <v>백범(白帆)</v>
      </c>
      <c r="H2822" t="str">
        <f>T("에필로그")</f>
        <v>에필로그</v>
      </c>
      <c r="I2822" t="str">
        <f>T("악당의 리턴")</f>
        <v>악당의 리턴</v>
      </c>
      <c r="J2822">
        <v>0</v>
      </c>
      <c r="K2822">
        <v>0</v>
      </c>
      <c r="L2822">
        <v>0</v>
      </c>
      <c r="M2822">
        <v>6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6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Q2822">
        <v>0</v>
      </c>
      <c r="AR2822">
        <v>0</v>
      </c>
      <c r="AT2822">
        <v>0</v>
      </c>
      <c r="AU2822">
        <v>0</v>
      </c>
      <c r="AW2822">
        <v>0</v>
      </c>
      <c r="AX2822">
        <v>0</v>
      </c>
      <c r="AY2822">
        <v>0</v>
      </c>
      <c r="BC2822" t="str">
        <f>T("9791196538927")</f>
        <v>9791196538927</v>
      </c>
      <c r="BE2822" t="str">
        <f>T("판타지 웹소설 &gt; 현대 판타지")</f>
        <v>판타지 웹소설 &gt; 현대 판타지</v>
      </c>
    </row>
    <row r="2823" spans="1:57" x14ac:dyDescent="0.3">
      <c r="A2823">
        <v>1525000146</v>
      </c>
      <c r="B2823">
        <v>1525000156</v>
      </c>
      <c r="C2823" t="str">
        <f>T("[e북]트루베니아 연대기 11권")</f>
        <v>[e북]트루베니아 연대기 11권</v>
      </c>
      <c r="D2823" t="str">
        <f>T("11")</f>
        <v>11</v>
      </c>
      <c r="E2823" t="str">
        <f>T("김정률")</f>
        <v>김정률</v>
      </c>
      <c r="H2823" t="str">
        <f>T("스토리위즈")</f>
        <v>스토리위즈</v>
      </c>
      <c r="I2823" t="str">
        <f>T("[e북]트루베니아 연대기")</f>
        <v>[e북]트루베니아 연대기</v>
      </c>
      <c r="J2823">
        <v>3200</v>
      </c>
      <c r="K2823">
        <v>0</v>
      </c>
      <c r="L2823">
        <v>0</v>
      </c>
      <c r="M2823">
        <v>0</v>
      </c>
      <c r="N2823">
        <v>9900</v>
      </c>
      <c r="O2823">
        <v>11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9900</v>
      </c>
      <c r="AH2823">
        <v>11</v>
      </c>
      <c r="AI2823">
        <v>0</v>
      </c>
      <c r="AJ2823">
        <v>0</v>
      </c>
      <c r="AK2823">
        <v>4500</v>
      </c>
      <c r="AL2823">
        <v>0</v>
      </c>
      <c r="AM2823">
        <v>6480</v>
      </c>
      <c r="AN2823">
        <v>-1296</v>
      </c>
      <c r="AO2823">
        <v>0</v>
      </c>
      <c r="AP2823">
        <v>2160</v>
      </c>
      <c r="AQ2823">
        <v>-648</v>
      </c>
      <c r="AR2823">
        <v>0</v>
      </c>
      <c r="AS2823">
        <v>4320</v>
      </c>
      <c r="AT2823">
        <v>-648</v>
      </c>
      <c r="AU2823">
        <v>0</v>
      </c>
      <c r="AW2823">
        <v>0</v>
      </c>
      <c r="AX2823">
        <v>0</v>
      </c>
      <c r="AY2823">
        <v>6778.8</v>
      </c>
      <c r="BE2823" t="str">
        <f>T("판타지 e북 &gt; 정통 판타지")</f>
        <v>판타지 e북 &gt; 정통 판타지</v>
      </c>
    </row>
    <row r="2824" spans="1:57" x14ac:dyDescent="0.3">
      <c r="A2824">
        <v>1525000411</v>
      </c>
      <c r="B2824">
        <v>1525000431</v>
      </c>
      <c r="C2824" t="str">
        <f>T("레이드 만물상점 21화")</f>
        <v>레이드 만물상점 21화</v>
      </c>
      <c r="D2824" t="str">
        <f>T("21")</f>
        <v>21</v>
      </c>
      <c r="E2824" t="str">
        <f>T("전혁")</f>
        <v>전혁</v>
      </c>
      <c r="H2824" t="str">
        <f>T("스토리위즈")</f>
        <v>스토리위즈</v>
      </c>
      <c r="I2824" t="str">
        <f>T("레이드 만물상점")</f>
        <v>레이드 만물상점</v>
      </c>
      <c r="J2824">
        <v>0</v>
      </c>
      <c r="K2824">
        <v>0</v>
      </c>
      <c r="L2824">
        <v>0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1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Q2824">
        <v>0</v>
      </c>
      <c r="AR2824">
        <v>0</v>
      </c>
      <c r="AT2824">
        <v>0</v>
      </c>
      <c r="AU2824">
        <v>0</v>
      </c>
      <c r="AW2824">
        <v>0</v>
      </c>
      <c r="AX2824">
        <v>0</v>
      </c>
      <c r="AY2824">
        <v>0</v>
      </c>
      <c r="BC2824" t="str">
        <f>T("9791170151432")</f>
        <v>9791170151432</v>
      </c>
      <c r="BE2824" t="str">
        <f>T("판타지 웹소설 &gt; 현대 판타지")</f>
        <v>판타지 웹소설 &gt; 현대 판타지</v>
      </c>
    </row>
    <row r="2825" spans="1:57" x14ac:dyDescent="0.3">
      <c r="A2825">
        <v>1525010944</v>
      </c>
      <c r="B2825">
        <v>1525010931</v>
      </c>
      <c r="C2825" t="str">
        <f>T("[e북]법보다 주먹 14권")</f>
        <v>[e북]법보다 주먹 14권</v>
      </c>
      <c r="D2825" t="str">
        <f>T("14")</f>
        <v>14</v>
      </c>
      <c r="E2825" t="str">
        <f>T("백범(白帆)")</f>
        <v>백범(白帆)</v>
      </c>
      <c r="H2825" t="str">
        <f>T("에필로그")</f>
        <v>에필로그</v>
      </c>
      <c r="I2825" t="str">
        <f>T("[e북]법보다 주먹")</f>
        <v>[e북]법보다 주먹</v>
      </c>
      <c r="J2825">
        <v>2000</v>
      </c>
      <c r="K2825">
        <v>0</v>
      </c>
      <c r="L2825">
        <v>0</v>
      </c>
      <c r="M2825">
        <v>0</v>
      </c>
      <c r="N2825">
        <v>1800</v>
      </c>
      <c r="O2825">
        <v>2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1800</v>
      </c>
      <c r="AH2825">
        <v>2</v>
      </c>
      <c r="AI2825">
        <v>0</v>
      </c>
      <c r="AJ2825">
        <v>0</v>
      </c>
      <c r="AK2825">
        <v>900</v>
      </c>
      <c r="AL2825">
        <v>0</v>
      </c>
      <c r="AM2825">
        <v>1080</v>
      </c>
      <c r="AN2825">
        <v>-324</v>
      </c>
      <c r="AO2825">
        <v>0</v>
      </c>
      <c r="AQ2825">
        <v>0</v>
      </c>
      <c r="AR2825">
        <v>0</v>
      </c>
      <c r="AS2825">
        <v>1080</v>
      </c>
      <c r="AT2825">
        <v>-324</v>
      </c>
      <c r="AU2825">
        <v>0</v>
      </c>
      <c r="AW2825">
        <v>0</v>
      </c>
      <c r="AX2825">
        <v>0</v>
      </c>
      <c r="AY2825">
        <v>1159.2</v>
      </c>
      <c r="BC2825" t="str">
        <f>T("9791164480142")</f>
        <v>9791164480142</v>
      </c>
      <c r="BE2825" t="str">
        <f>T("판타지 e북 &gt; 현대 판타지")</f>
        <v>판타지 e북 &gt; 현대 판타지</v>
      </c>
    </row>
    <row r="2826" spans="1:57" x14ac:dyDescent="0.3">
      <c r="A2826">
        <v>1525010579</v>
      </c>
      <c r="B2826">
        <v>1525010560</v>
      </c>
      <c r="C2826" t="str">
        <f>T("법보다 주먹 18화")</f>
        <v>법보다 주먹 18화</v>
      </c>
      <c r="D2826" t="str">
        <f>T("18")</f>
        <v>18</v>
      </c>
      <c r="E2826" t="str">
        <f>T("백범(白帆)")</f>
        <v>백범(白帆)</v>
      </c>
      <c r="H2826" t="str">
        <f>T("에필로그")</f>
        <v>에필로그</v>
      </c>
      <c r="I2826" t="str">
        <f>T("법보다 주먹")</f>
        <v>법보다 주먹</v>
      </c>
      <c r="J2826">
        <v>0</v>
      </c>
      <c r="K2826">
        <v>0</v>
      </c>
      <c r="L2826">
        <v>0</v>
      </c>
      <c r="M2826">
        <v>1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1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Q2826">
        <v>0</v>
      </c>
      <c r="AR2826">
        <v>0</v>
      </c>
      <c r="AT2826">
        <v>0</v>
      </c>
      <c r="AU2826">
        <v>0</v>
      </c>
      <c r="AW2826">
        <v>0</v>
      </c>
      <c r="AX2826">
        <v>0</v>
      </c>
      <c r="AY2826">
        <v>0</v>
      </c>
      <c r="BC2826" t="str">
        <f>T("9791164489367")</f>
        <v>9791164489367</v>
      </c>
      <c r="BE2826" t="str">
        <f>T("판타지 웹소설 &gt; 현대 판타지")</f>
        <v>판타지 웹소설 &gt; 현대 판타지</v>
      </c>
    </row>
    <row r="2827" spans="1:57" x14ac:dyDescent="0.3">
      <c r="A2827">
        <v>1525000001</v>
      </c>
      <c r="B2827">
        <v>1525000004</v>
      </c>
      <c r="C2827" t="str">
        <f>T("[e북]마스터 K 4권")</f>
        <v>[e북]마스터 K 4권</v>
      </c>
      <c r="D2827" t="str">
        <f>T("4")</f>
        <v>4</v>
      </c>
      <c r="E2827" t="str">
        <f>T("김광수")</f>
        <v>김광수</v>
      </c>
      <c r="H2827" t="str">
        <f>T("스토리위즈")</f>
        <v>스토리위즈</v>
      </c>
      <c r="I2827" t="str">
        <f>T("[e북]마스터 K")</f>
        <v>[e북]마스터 K</v>
      </c>
      <c r="J2827">
        <v>3200</v>
      </c>
      <c r="K2827">
        <v>0</v>
      </c>
      <c r="L2827">
        <v>0</v>
      </c>
      <c r="M2827">
        <v>0</v>
      </c>
      <c r="N2827">
        <v>900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900</v>
      </c>
      <c r="AH2827">
        <v>1</v>
      </c>
      <c r="AI2827">
        <v>0</v>
      </c>
      <c r="AJ2827">
        <v>0</v>
      </c>
      <c r="AK2827">
        <v>900</v>
      </c>
      <c r="AL2827">
        <v>0</v>
      </c>
      <c r="AM2827">
        <v>0</v>
      </c>
      <c r="AN2827">
        <v>0</v>
      </c>
      <c r="AO2827">
        <v>0</v>
      </c>
      <c r="AQ2827">
        <v>0</v>
      </c>
      <c r="AR2827">
        <v>0</v>
      </c>
      <c r="AT2827">
        <v>0</v>
      </c>
      <c r="AU2827">
        <v>0</v>
      </c>
      <c r="AW2827">
        <v>0</v>
      </c>
      <c r="AX2827">
        <v>0</v>
      </c>
      <c r="AY2827">
        <v>630</v>
      </c>
      <c r="BE2827" t="str">
        <f>T("판타지 e북 &gt; 스포츠물")</f>
        <v>판타지 e북 &gt; 스포츠물</v>
      </c>
    </row>
    <row r="2828" spans="1:57" x14ac:dyDescent="0.3">
      <c r="A2828">
        <v>1525000924</v>
      </c>
      <c r="B2828">
        <v>1525000931</v>
      </c>
      <c r="C2828" t="str">
        <f>T("스피릿 소드 8화")</f>
        <v>스피릿 소드 8화</v>
      </c>
      <c r="D2828" t="str">
        <f>T("8")</f>
        <v>8</v>
      </c>
      <c r="E2828" t="str">
        <f>T("김정률")</f>
        <v>김정률</v>
      </c>
      <c r="H2828" t="str">
        <f>T("스토리위즈")</f>
        <v>스토리위즈</v>
      </c>
      <c r="I2828" t="str">
        <f>T("스피릿 소드")</f>
        <v>스피릿 소드</v>
      </c>
      <c r="J2828">
        <v>0</v>
      </c>
      <c r="K2828">
        <v>0</v>
      </c>
      <c r="L2828">
        <v>0</v>
      </c>
      <c r="M2828">
        <v>1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1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Q2828">
        <v>0</v>
      </c>
      <c r="AR2828">
        <v>0</v>
      </c>
      <c r="AT2828">
        <v>0</v>
      </c>
      <c r="AU2828">
        <v>0</v>
      </c>
      <c r="AW2828">
        <v>0</v>
      </c>
      <c r="AX2828">
        <v>0</v>
      </c>
      <c r="AY2828">
        <v>0</v>
      </c>
      <c r="BA2828" t="str">
        <f>T("9791159282713")</f>
        <v>9791159282713</v>
      </c>
      <c r="BC2828" t="str">
        <f>T("9791159282713")</f>
        <v>9791159282713</v>
      </c>
      <c r="BE2828" t="str">
        <f>T("판타지 웹소설 &gt; 정통 판타지")</f>
        <v>판타지 웹소설 &gt; 정통 판타지</v>
      </c>
    </row>
    <row r="2829" spans="1:57" x14ac:dyDescent="0.3">
      <c r="A2829">
        <v>1525010944</v>
      </c>
      <c r="B2829">
        <v>1525010920</v>
      </c>
      <c r="C2829" t="str">
        <f>T("[e북]법보다 주먹 25권")</f>
        <v>[e북]법보다 주먹 25권</v>
      </c>
      <c r="D2829" t="str">
        <f>T("25")</f>
        <v>25</v>
      </c>
      <c r="E2829" t="str">
        <f>T("백범(白帆)")</f>
        <v>백범(白帆)</v>
      </c>
      <c r="H2829" t="str">
        <f>T("에필로그")</f>
        <v>에필로그</v>
      </c>
      <c r="I2829" t="str">
        <f>T("[e북]법보다 주먹")</f>
        <v>[e북]법보다 주먹</v>
      </c>
      <c r="J2829">
        <v>2000</v>
      </c>
      <c r="K2829">
        <v>0</v>
      </c>
      <c r="L2829">
        <v>0</v>
      </c>
      <c r="M2829">
        <v>0</v>
      </c>
      <c r="N2829">
        <v>900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900</v>
      </c>
      <c r="AH2829">
        <v>1</v>
      </c>
      <c r="AI2829">
        <v>0</v>
      </c>
      <c r="AJ2829">
        <v>0</v>
      </c>
      <c r="AK2829">
        <v>900</v>
      </c>
      <c r="AL2829">
        <v>0</v>
      </c>
      <c r="AM2829">
        <v>0</v>
      </c>
      <c r="AN2829">
        <v>0</v>
      </c>
      <c r="AO2829">
        <v>0</v>
      </c>
      <c r="AQ2829">
        <v>0</v>
      </c>
      <c r="AR2829">
        <v>0</v>
      </c>
      <c r="AT2829">
        <v>0</v>
      </c>
      <c r="AU2829">
        <v>0</v>
      </c>
      <c r="AW2829">
        <v>0</v>
      </c>
      <c r="AX2829">
        <v>0</v>
      </c>
      <c r="AY2829">
        <v>630</v>
      </c>
      <c r="BC2829" t="str">
        <f>T("9791164480142")</f>
        <v>9791164480142</v>
      </c>
      <c r="BE2829" t="str">
        <f>T("판타지 e북 &gt; 현대 판타지")</f>
        <v>판타지 e북 &gt; 현대 판타지</v>
      </c>
    </row>
    <row r="2830" spans="1:57" x14ac:dyDescent="0.3">
      <c r="A2830">
        <v>1525000199</v>
      </c>
      <c r="B2830">
        <v>1525000199</v>
      </c>
      <c r="C2830" t="str">
        <f>T("[e북]화산지애 1권")</f>
        <v>[e북]화산지애 1권</v>
      </c>
      <c r="D2830" t="str">
        <f>T("1")</f>
        <v>1</v>
      </c>
      <c r="E2830" t="str">
        <f>T("김광수")</f>
        <v>김광수</v>
      </c>
      <c r="H2830" t="str">
        <f>T("스토리위즈")</f>
        <v>스토리위즈</v>
      </c>
      <c r="I2830" t="str">
        <f>T("[e북]화산지애")</f>
        <v>[e북]화산지애</v>
      </c>
      <c r="J2830">
        <v>0</v>
      </c>
      <c r="K2830">
        <v>0</v>
      </c>
      <c r="L2830">
        <v>0</v>
      </c>
      <c r="M2830">
        <v>4</v>
      </c>
      <c r="N2830">
        <v>0</v>
      </c>
      <c r="O2830">
        <v>0</v>
      </c>
      <c r="P2830">
        <v>4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8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Q2830">
        <v>0</v>
      </c>
      <c r="AR2830">
        <v>0</v>
      </c>
      <c r="AT2830">
        <v>0</v>
      </c>
      <c r="AU2830">
        <v>0</v>
      </c>
      <c r="AW2830">
        <v>0</v>
      </c>
      <c r="AX2830">
        <v>0</v>
      </c>
      <c r="AY2830">
        <v>0</v>
      </c>
      <c r="BE2830" t="str">
        <f>T("판타지 e북 &gt; 신무협")</f>
        <v>판타지 e북 &gt; 신무협</v>
      </c>
    </row>
    <row r="2831" spans="1:57" x14ac:dyDescent="0.3">
      <c r="A2831">
        <v>1525000906</v>
      </c>
      <c r="B2831">
        <v>1525000911</v>
      </c>
      <c r="C2831" t="str">
        <f>T("[e북]완전판 | 레이드 만물상점 6권")</f>
        <v>[e북]완전판 | 레이드 만물상점 6권</v>
      </c>
      <c r="D2831" t="str">
        <f>T("6")</f>
        <v>6</v>
      </c>
      <c r="E2831" t="str">
        <f>T("전혁")</f>
        <v>전혁</v>
      </c>
      <c r="H2831" t="str">
        <f>T("스토리위즈")</f>
        <v>스토리위즈</v>
      </c>
      <c r="I2831" t="str">
        <f>T("[e북]완전판 | 레이드 만물상점")</f>
        <v>[e북]완전판 | 레이드 만물상점</v>
      </c>
      <c r="J2831">
        <v>3200</v>
      </c>
      <c r="K2831">
        <v>0</v>
      </c>
      <c r="L2831">
        <v>0</v>
      </c>
      <c r="M2831">
        <v>0</v>
      </c>
      <c r="N2831">
        <v>5400</v>
      </c>
      <c r="O2831">
        <v>6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5400</v>
      </c>
      <c r="AH2831">
        <v>6</v>
      </c>
      <c r="AI2831">
        <v>0</v>
      </c>
      <c r="AJ2831">
        <v>0</v>
      </c>
      <c r="AK2831">
        <v>3600</v>
      </c>
      <c r="AL2831">
        <v>0</v>
      </c>
      <c r="AM2831">
        <v>2160</v>
      </c>
      <c r="AN2831">
        <v>-648</v>
      </c>
      <c r="AO2831">
        <v>0</v>
      </c>
      <c r="AQ2831">
        <v>0</v>
      </c>
      <c r="AR2831">
        <v>0</v>
      </c>
      <c r="AS2831">
        <v>2160</v>
      </c>
      <c r="AT2831">
        <v>-648</v>
      </c>
      <c r="AU2831">
        <v>0</v>
      </c>
      <c r="AW2831">
        <v>0</v>
      </c>
      <c r="AX2831">
        <v>0</v>
      </c>
      <c r="AY2831">
        <v>3578.4</v>
      </c>
      <c r="BC2831" t="str">
        <f>T("9791159282669")</f>
        <v>9791159282669</v>
      </c>
      <c r="BE2831" t="str">
        <f>T("판타지 e북 &gt; 현대 판타지")</f>
        <v>판타지 e북 &gt; 현대 판타지</v>
      </c>
    </row>
    <row r="2832" spans="1:57" x14ac:dyDescent="0.3">
      <c r="A2832">
        <v>1525012202</v>
      </c>
      <c r="B2832">
        <v>1525012195</v>
      </c>
      <c r="C2832" t="str">
        <f>T("이세계 최강 군바리 8화")</f>
        <v>이세계 최강 군바리 8화</v>
      </c>
      <c r="D2832" t="str">
        <f>T("8")</f>
        <v>8</v>
      </c>
      <c r="E2832" t="str">
        <f>T("협행마")</f>
        <v>협행마</v>
      </c>
      <c r="H2832" t="str">
        <f>T("에필로그")</f>
        <v>에필로그</v>
      </c>
      <c r="I2832" t="str">
        <f>T("이세계 최강 군바리")</f>
        <v>이세계 최강 군바리</v>
      </c>
      <c r="J2832">
        <v>0</v>
      </c>
      <c r="K2832">
        <v>0</v>
      </c>
      <c r="L2832">
        <v>0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1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Q2832">
        <v>0</v>
      </c>
      <c r="AR2832">
        <v>0</v>
      </c>
      <c r="AT2832">
        <v>0</v>
      </c>
      <c r="AU2832">
        <v>0</v>
      </c>
      <c r="AW2832">
        <v>0</v>
      </c>
      <c r="AX2832">
        <v>0</v>
      </c>
      <c r="AY2832">
        <v>0</v>
      </c>
      <c r="BC2832" t="str">
        <f>T("9791164480159")</f>
        <v>9791164480159</v>
      </c>
      <c r="BE2832" t="str">
        <f>T("판타지 웹소설 &gt; 퓨전 판타지")</f>
        <v>판타지 웹소설 &gt; 퓨전 판타지</v>
      </c>
    </row>
    <row r="2833" spans="1:57" x14ac:dyDescent="0.3">
      <c r="A2833">
        <v>1525000569</v>
      </c>
      <c r="B2833">
        <v>1525000585</v>
      </c>
      <c r="C2833" t="str">
        <f>T("스트라이커 17화")</f>
        <v>스트라이커 17화</v>
      </c>
      <c r="D2833" t="str">
        <f>T("17")</f>
        <v>17</v>
      </c>
      <c r="E2833" t="str">
        <f>T("독고진")</f>
        <v>독고진</v>
      </c>
      <c r="H2833" t="str">
        <f>T("스토리위즈")</f>
        <v>스토리위즈</v>
      </c>
      <c r="I2833" t="str">
        <f>T("스트라이커")</f>
        <v>스트라이커</v>
      </c>
      <c r="J2833">
        <v>0</v>
      </c>
      <c r="K2833">
        <v>0</v>
      </c>
      <c r="L2833">
        <v>0</v>
      </c>
      <c r="M2833">
        <v>1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1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Q2833">
        <v>0</v>
      </c>
      <c r="AR2833">
        <v>0</v>
      </c>
      <c r="AT2833">
        <v>0</v>
      </c>
      <c r="AU2833">
        <v>0</v>
      </c>
      <c r="AW2833">
        <v>0</v>
      </c>
      <c r="AX2833">
        <v>0</v>
      </c>
      <c r="AY2833">
        <v>0</v>
      </c>
      <c r="BC2833" t="str">
        <f>T("9791170151678")</f>
        <v>9791170151678</v>
      </c>
      <c r="BE2833" t="str">
        <f>T("판타지 웹소설 &gt; 현대 판타지")</f>
        <v>판타지 웹소설 &gt; 현대 판타지</v>
      </c>
    </row>
    <row r="2834" spans="1:57" x14ac:dyDescent="0.3">
      <c r="A2834">
        <v>1525010974</v>
      </c>
      <c r="B2834">
        <v>1525010973</v>
      </c>
      <c r="C2834" t="str">
        <f>T("[e북]위사무적 2권")</f>
        <v>[e북]위사무적 2권</v>
      </c>
      <c r="D2834" t="str">
        <f>T("2")</f>
        <v>2</v>
      </c>
      <c r="E2834" t="str">
        <f>T("협행마")</f>
        <v>협행마</v>
      </c>
      <c r="H2834" t="str">
        <f>T("에필로그")</f>
        <v>에필로그</v>
      </c>
      <c r="I2834" t="str">
        <f>T("[e북]위사무적")</f>
        <v>[e북]위사무적</v>
      </c>
      <c r="J2834">
        <v>2000</v>
      </c>
      <c r="K2834">
        <v>0</v>
      </c>
      <c r="L2834">
        <v>0</v>
      </c>
      <c r="M2834">
        <v>0</v>
      </c>
      <c r="N2834">
        <v>630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630</v>
      </c>
      <c r="AH2834">
        <v>1</v>
      </c>
      <c r="AI2834">
        <v>0</v>
      </c>
      <c r="AJ2834">
        <v>0</v>
      </c>
      <c r="AK2834">
        <v>630</v>
      </c>
      <c r="AL2834">
        <v>0</v>
      </c>
      <c r="AM2834">
        <v>0</v>
      </c>
      <c r="AN2834">
        <v>0</v>
      </c>
      <c r="AO2834">
        <v>0</v>
      </c>
      <c r="AQ2834">
        <v>0</v>
      </c>
      <c r="AR2834">
        <v>0</v>
      </c>
      <c r="AT2834">
        <v>0</v>
      </c>
      <c r="AU2834">
        <v>0</v>
      </c>
      <c r="AW2834">
        <v>0</v>
      </c>
      <c r="AX2834">
        <v>0</v>
      </c>
      <c r="AY2834">
        <v>441</v>
      </c>
      <c r="BC2834" t="str">
        <f>T("9791164489015")</f>
        <v>9791164489015</v>
      </c>
      <c r="BE2834" t="str">
        <f>T("판타지 e북 &gt; 신무협")</f>
        <v>판타지 e북 &gt; 신무협</v>
      </c>
    </row>
    <row r="2835" spans="1:57" x14ac:dyDescent="0.3">
      <c r="A2835">
        <v>1525013368</v>
      </c>
      <c r="B2835">
        <v>1525013368</v>
      </c>
      <c r="C2835" t="str">
        <f>T("[e북]기획에 산다 1권")</f>
        <v>[e북]기획에 산다 1권</v>
      </c>
      <c r="D2835" t="str">
        <f>T("1")</f>
        <v>1</v>
      </c>
      <c r="E2835" t="str">
        <f>T("백범(白帆)")</f>
        <v>백범(白帆)</v>
      </c>
      <c r="H2835" t="str">
        <f>T("에필로그")</f>
        <v>에필로그</v>
      </c>
      <c r="I2835" t="str">
        <f>T("[e북]기획에 산다")</f>
        <v>[e북]기획에 산다</v>
      </c>
      <c r="J2835">
        <v>0</v>
      </c>
      <c r="K2835">
        <v>0</v>
      </c>
      <c r="L2835">
        <v>0</v>
      </c>
      <c r="M2835">
        <v>4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5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Q2835">
        <v>0</v>
      </c>
      <c r="AR2835">
        <v>0</v>
      </c>
      <c r="AT2835">
        <v>0</v>
      </c>
      <c r="AU2835">
        <v>0</v>
      </c>
      <c r="AW2835">
        <v>0</v>
      </c>
      <c r="AX2835">
        <v>0</v>
      </c>
      <c r="AY2835">
        <v>0</v>
      </c>
      <c r="BC2835" t="str">
        <f>T("9791189867508")</f>
        <v>9791189867508</v>
      </c>
      <c r="BE2835" t="str">
        <f>T("판타지 e북 &gt; 현대 판타지")</f>
        <v>판타지 e북 &gt; 현대 판타지</v>
      </c>
    </row>
    <row r="2836" spans="1:57" x14ac:dyDescent="0.3">
      <c r="A2836">
        <v>1525000022</v>
      </c>
      <c r="B2836">
        <v>1525000035</v>
      </c>
      <c r="C2836" t="str">
        <f>T("[e북]마계대공 연대기 13권")</f>
        <v>[e북]마계대공 연대기 13권</v>
      </c>
      <c r="D2836" t="str">
        <f>T("13")</f>
        <v>13</v>
      </c>
      <c r="E2836" t="str">
        <f>T("김광수")</f>
        <v>김광수</v>
      </c>
      <c r="H2836" t="str">
        <f>T("스토리위즈")</f>
        <v>스토리위즈</v>
      </c>
      <c r="I2836" t="str">
        <f>T("[e북]마계대공 연대기")</f>
        <v>[e북]마계대공 연대기</v>
      </c>
      <c r="J2836">
        <v>3200</v>
      </c>
      <c r="K2836">
        <v>0</v>
      </c>
      <c r="L2836">
        <v>0</v>
      </c>
      <c r="M2836">
        <v>0</v>
      </c>
      <c r="N2836">
        <v>1800</v>
      </c>
      <c r="O2836">
        <v>2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1800</v>
      </c>
      <c r="AH2836">
        <v>2</v>
      </c>
      <c r="AI2836">
        <v>0</v>
      </c>
      <c r="AJ2836">
        <v>0</v>
      </c>
      <c r="AK2836">
        <v>900</v>
      </c>
      <c r="AL2836">
        <v>0</v>
      </c>
      <c r="AM2836">
        <v>1080</v>
      </c>
      <c r="AN2836">
        <v>-108</v>
      </c>
      <c r="AO2836">
        <v>0</v>
      </c>
      <c r="AQ2836">
        <v>0</v>
      </c>
      <c r="AR2836">
        <v>0</v>
      </c>
      <c r="AS2836">
        <v>1080</v>
      </c>
      <c r="AT2836">
        <v>-108</v>
      </c>
      <c r="AU2836">
        <v>0</v>
      </c>
      <c r="AW2836">
        <v>0</v>
      </c>
      <c r="AX2836">
        <v>0</v>
      </c>
      <c r="AY2836">
        <v>1310.4000000000001</v>
      </c>
      <c r="BE2836" t="str">
        <f>T("판타지 e북 &gt; 퓨전 판타지")</f>
        <v>판타지 e북 &gt; 퓨전 판타지</v>
      </c>
    </row>
    <row r="2837" spans="1:57" x14ac:dyDescent="0.3">
      <c r="A2837">
        <v>1525004988</v>
      </c>
      <c r="B2837">
        <v>1525005304</v>
      </c>
      <c r="C2837" t="str">
        <f>T("용무쌍 17화")</f>
        <v>용무쌍 17화</v>
      </c>
      <c r="D2837" t="str">
        <f>T("17")</f>
        <v>17</v>
      </c>
      <c r="E2837" t="str">
        <f>T("권용찬")</f>
        <v>권용찬</v>
      </c>
      <c r="H2837" t="str">
        <f>T("스토리위즈")</f>
        <v>스토리위즈</v>
      </c>
      <c r="I2837" t="str">
        <f>T("용무쌍")</f>
        <v>용무쌍</v>
      </c>
      <c r="J2837">
        <v>0</v>
      </c>
      <c r="K2837">
        <v>0</v>
      </c>
      <c r="L2837">
        <v>0</v>
      </c>
      <c r="M2837">
        <v>2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2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Q2837">
        <v>0</v>
      </c>
      <c r="AR2837">
        <v>0</v>
      </c>
      <c r="AT2837">
        <v>0</v>
      </c>
      <c r="AU2837">
        <v>0</v>
      </c>
      <c r="AW2837">
        <v>0</v>
      </c>
      <c r="AX2837">
        <v>0</v>
      </c>
      <c r="AY2837">
        <v>0</v>
      </c>
      <c r="BC2837" t="str">
        <f>T("9791159284861")</f>
        <v>9791159284861</v>
      </c>
      <c r="BE2837" t="str">
        <f>T("판타지 웹소설 &gt; 무협 소설")</f>
        <v>판타지 웹소설 &gt; 무협 소설</v>
      </c>
    </row>
    <row r="2838" spans="1:57" x14ac:dyDescent="0.3">
      <c r="A2838">
        <v>1525011523</v>
      </c>
      <c r="B2838">
        <v>1525011523</v>
      </c>
      <c r="C2838" t="str">
        <f>T("남창목가 1화")</f>
        <v>남창목가 1화</v>
      </c>
      <c r="D2838" t="str">
        <f>T("1")</f>
        <v>1</v>
      </c>
      <c r="E2838" t="str">
        <f>T("최재봉")</f>
        <v>최재봉</v>
      </c>
      <c r="H2838" t="str">
        <f>T("에필로그")</f>
        <v>에필로그</v>
      </c>
      <c r="I2838" t="str">
        <f>T("남창목가")</f>
        <v>남창목가</v>
      </c>
      <c r="J2838">
        <v>0</v>
      </c>
      <c r="K2838">
        <v>0</v>
      </c>
      <c r="L2838">
        <v>0</v>
      </c>
      <c r="M2838">
        <v>1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1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Q2838">
        <v>0</v>
      </c>
      <c r="AR2838">
        <v>0</v>
      </c>
      <c r="AT2838">
        <v>0</v>
      </c>
      <c r="AU2838">
        <v>0</v>
      </c>
      <c r="AW2838">
        <v>0</v>
      </c>
      <c r="AX2838">
        <v>0</v>
      </c>
      <c r="AY2838">
        <v>0</v>
      </c>
      <c r="BC2838" t="str">
        <f>T("9791164482849")</f>
        <v>9791164482849</v>
      </c>
      <c r="BE2838" t="str">
        <f>T("판타지 웹소설 &gt; 무협 소설")</f>
        <v>판타지 웹소설 &gt; 무협 소설</v>
      </c>
    </row>
    <row r="2839" spans="1:57" x14ac:dyDescent="0.3">
      <c r="A2839">
        <v>1525012551</v>
      </c>
      <c r="B2839">
        <v>1525012563</v>
      </c>
      <c r="C2839" t="str">
        <f>T("개정판 | 바보가 만드는 멋진 세상 13화")</f>
        <v>개정판 | 바보가 만드는 멋진 세상 13화</v>
      </c>
      <c r="D2839" t="str">
        <f>T("13")</f>
        <v>13</v>
      </c>
      <c r="E2839" t="str">
        <f>T("백범(白帆)")</f>
        <v>백범(白帆)</v>
      </c>
      <c r="H2839" t="str">
        <f>T("에필로그")</f>
        <v>에필로그</v>
      </c>
      <c r="I2839" t="str">
        <f>T("개정판 | 바보가 만드는 멋진 세상")</f>
        <v>개정판 | 바보가 만드는 멋진 세상</v>
      </c>
      <c r="J2839">
        <v>0</v>
      </c>
      <c r="K2839">
        <v>0</v>
      </c>
      <c r="L2839">
        <v>0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1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Q2839">
        <v>0</v>
      </c>
      <c r="AR2839">
        <v>0</v>
      </c>
      <c r="AT2839">
        <v>0</v>
      </c>
      <c r="AU2839">
        <v>0</v>
      </c>
      <c r="AW2839">
        <v>0</v>
      </c>
      <c r="AX2839">
        <v>0</v>
      </c>
      <c r="AY2839">
        <v>0</v>
      </c>
      <c r="BC2839" t="str">
        <f>T("9791166003493")</f>
        <v>9791166003493</v>
      </c>
      <c r="BE2839" t="str">
        <f>T("판타지 웹소설 &gt; 현대 판타지")</f>
        <v>판타지 웹소설 &gt; 현대 판타지</v>
      </c>
    </row>
    <row r="2840" spans="1:57" x14ac:dyDescent="0.3">
      <c r="A2840">
        <v>1525000055</v>
      </c>
      <c r="B2840">
        <v>1525000070</v>
      </c>
      <c r="C2840" t="str">
        <f>T("[e북]21세기 대마법사 15권")</f>
        <v>[e북]21세기 대마법사 15권</v>
      </c>
      <c r="D2840" t="str">
        <f>T("15")</f>
        <v>15</v>
      </c>
      <c r="E2840" t="str">
        <f>T("김광수")</f>
        <v>김광수</v>
      </c>
      <c r="H2840" t="str">
        <f>T("스토리위즈")</f>
        <v>스토리위즈</v>
      </c>
      <c r="I2840" t="str">
        <f>T("[e북]21세기 대마법사")</f>
        <v>[e북]21세기 대마법사</v>
      </c>
      <c r="J2840">
        <v>3200</v>
      </c>
      <c r="K2840">
        <v>0</v>
      </c>
      <c r="L2840">
        <v>0</v>
      </c>
      <c r="M2840">
        <v>0</v>
      </c>
      <c r="N2840">
        <v>1800</v>
      </c>
      <c r="O2840">
        <v>2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1800</v>
      </c>
      <c r="AH2840">
        <v>2</v>
      </c>
      <c r="AI2840">
        <v>0</v>
      </c>
      <c r="AJ2840">
        <v>0</v>
      </c>
      <c r="AK2840">
        <v>0</v>
      </c>
      <c r="AL2840">
        <v>0</v>
      </c>
      <c r="AM2840">
        <v>2160</v>
      </c>
      <c r="AN2840">
        <v>-432</v>
      </c>
      <c r="AO2840">
        <v>0</v>
      </c>
      <c r="AQ2840">
        <v>0</v>
      </c>
      <c r="AR2840">
        <v>0</v>
      </c>
      <c r="AS2840">
        <v>2160</v>
      </c>
      <c r="AT2840">
        <v>-432</v>
      </c>
      <c r="AU2840">
        <v>0</v>
      </c>
      <c r="AW2840">
        <v>0</v>
      </c>
      <c r="AX2840">
        <v>0</v>
      </c>
      <c r="AY2840">
        <v>1209.5999999999999</v>
      </c>
      <c r="BC2840" t="str">
        <f>T("9788925120065")</f>
        <v>9788925120065</v>
      </c>
      <c r="BE2840" t="str">
        <f>T("판타지 e북 &gt; 퓨전 판타지")</f>
        <v>판타지 e북 &gt; 퓨전 판타지</v>
      </c>
    </row>
    <row r="2841" spans="1:57" x14ac:dyDescent="0.3">
      <c r="A2841">
        <v>1525004799</v>
      </c>
      <c r="B2841">
        <v>1525004816</v>
      </c>
      <c r="C2841" t="str">
        <f>T("검산도해 18화")</f>
        <v>검산도해 18화</v>
      </c>
      <c r="D2841" t="str">
        <f>T("18")</f>
        <v>18</v>
      </c>
      <c r="E2841" t="str">
        <f>T("권용찬")</f>
        <v>권용찬</v>
      </c>
      <c r="H2841" t="str">
        <f>T("스토리위즈")</f>
        <v>스토리위즈</v>
      </c>
      <c r="I2841" t="str">
        <f>T("검산도해")</f>
        <v>검산도해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1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Q2841">
        <v>0</v>
      </c>
      <c r="AR2841">
        <v>0</v>
      </c>
      <c r="AT2841">
        <v>0</v>
      </c>
      <c r="AU2841">
        <v>0</v>
      </c>
      <c r="AW2841">
        <v>0</v>
      </c>
      <c r="AX2841">
        <v>0</v>
      </c>
      <c r="AY2841">
        <v>0</v>
      </c>
      <c r="BC2841" t="str">
        <f>T("9791159285936")</f>
        <v>9791159285936</v>
      </c>
      <c r="BE2841" t="str">
        <f>T("판타지 웹소설 &gt; 무협 소설")</f>
        <v>판타지 웹소설 &gt; 무협 소설</v>
      </c>
    </row>
    <row r="2842" spans="1:57" x14ac:dyDescent="0.3">
      <c r="A2842">
        <v>1525002864</v>
      </c>
      <c r="B2842">
        <v>1525002883</v>
      </c>
      <c r="C2842" t="str">
        <f>T("소드마스터의 환생 20화")</f>
        <v>소드마스터의 환생 20화</v>
      </c>
      <c r="D2842" t="str">
        <f>T("20")</f>
        <v>20</v>
      </c>
      <c r="E2842" t="str">
        <f>T("파란영")</f>
        <v>파란영</v>
      </c>
      <c r="H2842" t="str">
        <f>T("스토리위즈")</f>
        <v>스토리위즈</v>
      </c>
      <c r="I2842" t="str">
        <f>T("소드마스터의 환생")</f>
        <v>소드마스터의 환생</v>
      </c>
      <c r="J2842">
        <v>0</v>
      </c>
      <c r="K2842">
        <v>0</v>
      </c>
      <c r="L2842">
        <v>0</v>
      </c>
      <c r="M2842">
        <v>4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4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Q2842">
        <v>0</v>
      </c>
      <c r="AR2842">
        <v>0</v>
      </c>
      <c r="AT2842">
        <v>0</v>
      </c>
      <c r="AU2842">
        <v>0</v>
      </c>
      <c r="AW2842">
        <v>0</v>
      </c>
      <c r="AX2842">
        <v>0</v>
      </c>
      <c r="AY2842">
        <v>0</v>
      </c>
      <c r="BC2842" t="str">
        <f>T("9791159287527")</f>
        <v>9791159287527</v>
      </c>
      <c r="BE2842" t="str">
        <f>T("판타지 웹소설 &gt; 정통 판타지")</f>
        <v>판타지 웹소설 &gt; 정통 판타지</v>
      </c>
    </row>
    <row r="2843" spans="1:57" x14ac:dyDescent="0.3">
      <c r="A2843">
        <v>1525001334</v>
      </c>
      <c r="B2843">
        <v>1525001334</v>
      </c>
      <c r="C2843" t="str">
        <f>T("게이트 헌터 1화")</f>
        <v>게이트 헌터 1화</v>
      </c>
      <c r="D2843" t="str">
        <f>T("1")</f>
        <v>1</v>
      </c>
      <c r="E2843" t="str">
        <f>T("권용찬")</f>
        <v>권용찬</v>
      </c>
      <c r="H2843" t="str">
        <f>T("스토리위즈")</f>
        <v>스토리위즈</v>
      </c>
      <c r="I2843" t="str">
        <f>T("게이트 헌터")</f>
        <v>게이트 헌터</v>
      </c>
      <c r="J2843">
        <v>0</v>
      </c>
      <c r="K2843">
        <v>0</v>
      </c>
      <c r="L2843">
        <v>0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1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Q2843">
        <v>0</v>
      </c>
      <c r="AR2843">
        <v>0</v>
      </c>
      <c r="AT2843">
        <v>0</v>
      </c>
      <c r="AU2843">
        <v>0</v>
      </c>
      <c r="AW2843">
        <v>0</v>
      </c>
      <c r="AX2843">
        <v>0</v>
      </c>
      <c r="AY2843">
        <v>0</v>
      </c>
      <c r="BA2843" t="str">
        <f>T("9791159283291")</f>
        <v>9791159283291</v>
      </c>
      <c r="BC2843" t="str">
        <f>T("9791159283291")</f>
        <v>9791159283291</v>
      </c>
      <c r="BE2843" t="str">
        <f>T("판타지 웹소설 &gt; 현대 판타지")</f>
        <v>판타지 웹소설 &gt; 현대 판타지</v>
      </c>
    </row>
    <row r="2844" spans="1:57" x14ac:dyDescent="0.3">
      <c r="A2844">
        <v>1525004799</v>
      </c>
      <c r="B2844">
        <v>1525004807</v>
      </c>
      <c r="C2844" t="str">
        <f>T("검산도해 9화")</f>
        <v>검산도해 9화</v>
      </c>
      <c r="D2844" t="str">
        <f>T("9")</f>
        <v>9</v>
      </c>
      <c r="E2844" t="str">
        <f>T("권용찬")</f>
        <v>권용찬</v>
      </c>
      <c r="H2844" t="str">
        <f>T("스토리위즈")</f>
        <v>스토리위즈</v>
      </c>
      <c r="I2844" t="str">
        <f>T("검산도해")</f>
        <v>검산도해</v>
      </c>
      <c r="J2844">
        <v>0</v>
      </c>
      <c r="K2844">
        <v>0</v>
      </c>
      <c r="L2844">
        <v>0</v>
      </c>
      <c r="M2844">
        <v>4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4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Q2844">
        <v>0</v>
      </c>
      <c r="AR2844">
        <v>0</v>
      </c>
      <c r="AT2844">
        <v>0</v>
      </c>
      <c r="AU2844">
        <v>0</v>
      </c>
      <c r="AW2844">
        <v>0</v>
      </c>
      <c r="AX2844">
        <v>0</v>
      </c>
      <c r="AY2844">
        <v>0</v>
      </c>
      <c r="BC2844" t="str">
        <f>T("9791159285936")</f>
        <v>9791159285936</v>
      </c>
      <c r="BE2844" t="str">
        <f>T("판타지 웹소설 &gt; 무협 소설")</f>
        <v>판타지 웹소설 &gt; 무협 소설</v>
      </c>
    </row>
    <row r="2845" spans="1:57" x14ac:dyDescent="0.3">
      <c r="A2845">
        <v>1525010982</v>
      </c>
      <c r="B2845">
        <v>1525010982</v>
      </c>
      <c r="C2845" t="str">
        <f>T("[e북]이 맛에 회장한다 1권")</f>
        <v>[e북]이 맛에 회장한다 1권</v>
      </c>
      <c r="D2845" t="str">
        <f>T("1")</f>
        <v>1</v>
      </c>
      <c r="E2845" t="str">
        <f>T("협행마")</f>
        <v>협행마</v>
      </c>
      <c r="H2845" t="str">
        <f>T("에필로그")</f>
        <v>에필로그</v>
      </c>
      <c r="I2845" t="str">
        <f>T("[e북]이 맛에 회장한다")</f>
        <v>[e북]이 맛에 회장한다</v>
      </c>
      <c r="J2845">
        <v>0</v>
      </c>
      <c r="K2845">
        <v>0</v>
      </c>
      <c r="L2845">
        <v>0</v>
      </c>
      <c r="M2845">
        <v>12</v>
      </c>
      <c r="N2845">
        <v>0</v>
      </c>
      <c r="O2845">
        <v>0</v>
      </c>
      <c r="P2845">
        <v>2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14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Q2845">
        <v>0</v>
      </c>
      <c r="AR2845">
        <v>0</v>
      </c>
      <c r="AT2845">
        <v>0</v>
      </c>
      <c r="AU2845">
        <v>0</v>
      </c>
      <c r="AW2845">
        <v>0</v>
      </c>
      <c r="AX2845">
        <v>0</v>
      </c>
      <c r="AY2845">
        <v>0</v>
      </c>
      <c r="BC2845" t="str">
        <f>T("9791164486069")</f>
        <v>9791164486069</v>
      </c>
      <c r="BE2845" t="str">
        <f>T("판타지 e북 &gt; 현대 판타지")</f>
        <v>판타지 e북 &gt; 현대 판타지</v>
      </c>
    </row>
    <row r="2846" spans="1:57" x14ac:dyDescent="0.3">
      <c r="A2846">
        <v>1525000411</v>
      </c>
      <c r="B2846">
        <v>1525000420</v>
      </c>
      <c r="C2846" t="str">
        <f>T("레이드 만물상점 10화")</f>
        <v>레이드 만물상점 10화</v>
      </c>
      <c r="D2846" t="str">
        <f>T("10")</f>
        <v>10</v>
      </c>
      <c r="E2846" t="str">
        <f>T("전혁")</f>
        <v>전혁</v>
      </c>
      <c r="H2846" t="str">
        <f>T("스토리위즈")</f>
        <v>스토리위즈</v>
      </c>
      <c r="I2846" t="str">
        <f>T("레이드 만물상점")</f>
        <v>레이드 만물상점</v>
      </c>
      <c r="J2846">
        <v>0</v>
      </c>
      <c r="K2846">
        <v>0</v>
      </c>
      <c r="L2846">
        <v>0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1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Q2846">
        <v>0</v>
      </c>
      <c r="AR2846">
        <v>0</v>
      </c>
      <c r="AT2846">
        <v>0</v>
      </c>
      <c r="AU2846">
        <v>0</v>
      </c>
      <c r="AW2846">
        <v>0</v>
      </c>
      <c r="AX2846">
        <v>0</v>
      </c>
      <c r="AY2846">
        <v>0</v>
      </c>
      <c r="BC2846" t="str">
        <f>T("9791170151432")</f>
        <v>9791170151432</v>
      </c>
      <c r="BE2846" t="str">
        <f>T("판타지 웹소설 &gt; 현대 판타지")</f>
        <v>판타지 웹소설 &gt; 현대 판타지</v>
      </c>
    </row>
    <row r="2847" spans="1:57" x14ac:dyDescent="0.3">
      <c r="A2847">
        <v>1525001317</v>
      </c>
      <c r="B2847">
        <v>1525001321</v>
      </c>
      <c r="C2847" t="str">
        <f>T("[e북]완전판 | 스트라이커 5권")</f>
        <v>[e북]완전판 | 스트라이커 5권</v>
      </c>
      <c r="D2847" t="str">
        <f>T("5")</f>
        <v>5</v>
      </c>
      <c r="E2847" t="str">
        <f>T("독고진")</f>
        <v>독고진</v>
      </c>
      <c r="H2847" t="str">
        <f>T("스토리위즈")</f>
        <v>스토리위즈</v>
      </c>
      <c r="I2847" t="str">
        <f>T("[e북]완전판 | 스트라이커")</f>
        <v>[e북]완전판 | 스트라이커</v>
      </c>
      <c r="J2847">
        <v>3200</v>
      </c>
      <c r="K2847">
        <v>0</v>
      </c>
      <c r="L2847">
        <v>0</v>
      </c>
      <c r="M2847">
        <v>0</v>
      </c>
      <c r="N2847">
        <v>2700</v>
      </c>
      <c r="O2847">
        <v>3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2700</v>
      </c>
      <c r="AH2847">
        <v>3</v>
      </c>
      <c r="AI2847">
        <v>0</v>
      </c>
      <c r="AJ2847">
        <v>0</v>
      </c>
      <c r="AK2847">
        <v>2700</v>
      </c>
      <c r="AL2847">
        <v>0</v>
      </c>
      <c r="AM2847">
        <v>0</v>
      </c>
      <c r="AN2847">
        <v>0</v>
      </c>
      <c r="AO2847">
        <v>0</v>
      </c>
      <c r="AQ2847">
        <v>0</v>
      </c>
      <c r="AR2847">
        <v>0</v>
      </c>
      <c r="AT2847">
        <v>0</v>
      </c>
      <c r="AU2847">
        <v>0</v>
      </c>
      <c r="AW2847">
        <v>0</v>
      </c>
      <c r="AX2847">
        <v>0</v>
      </c>
      <c r="AY2847">
        <v>1890</v>
      </c>
      <c r="BA2847" t="str">
        <f>T("9791159282874")</f>
        <v>9791159282874</v>
      </c>
      <c r="BC2847" t="str">
        <f>T("9791159282874")</f>
        <v>9791159282874</v>
      </c>
      <c r="BE2847" t="str">
        <f>T("판타지 e북 &gt; 스포츠물")</f>
        <v>판타지 e북 &gt; 스포츠물</v>
      </c>
    </row>
    <row r="2848" spans="1:57" x14ac:dyDescent="0.3">
      <c r="A2848">
        <v>1525001924</v>
      </c>
      <c r="B2848">
        <v>1525001931</v>
      </c>
      <c r="C2848" t="str">
        <f>T("[e북]신마협도 8권")</f>
        <v>[e북]신마협도 8권</v>
      </c>
      <c r="D2848" t="str">
        <f>T("8")</f>
        <v>8</v>
      </c>
      <c r="E2848" t="str">
        <f>T("권용찬")</f>
        <v>권용찬</v>
      </c>
      <c r="H2848" t="str">
        <f>T("스토리위즈")</f>
        <v>스토리위즈</v>
      </c>
      <c r="I2848" t="str">
        <f>T("[e북]신마협도")</f>
        <v>[e북]신마협도</v>
      </c>
      <c r="J2848">
        <v>3200</v>
      </c>
      <c r="K2848">
        <v>0</v>
      </c>
      <c r="L2848">
        <v>0</v>
      </c>
      <c r="M2848">
        <v>0</v>
      </c>
      <c r="N2848">
        <v>900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900</v>
      </c>
      <c r="AH2848">
        <v>1</v>
      </c>
      <c r="AI2848">
        <v>0</v>
      </c>
      <c r="AJ2848">
        <v>0</v>
      </c>
      <c r="AK2848">
        <v>900</v>
      </c>
      <c r="AL2848">
        <v>0</v>
      </c>
      <c r="AM2848">
        <v>0</v>
      </c>
      <c r="AN2848">
        <v>0</v>
      </c>
      <c r="AO2848">
        <v>0</v>
      </c>
      <c r="AQ2848">
        <v>0</v>
      </c>
      <c r="AR2848">
        <v>0</v>
      </c>
      <c r="AT2848">
        <v>0</v>
      </c>
      <c r="AU2848">
        <v>0</v>
      </c>
      <c r="AW2848">
        <v>0</v>
      </c>
      <c r="AX2848">
        <v>0</v>
      </c>
      <c r="AY2848">
        <v>630</v>
      </c>
      <c r="BC2848" t="str">
        <f>T("9791159283147")</f>
        <v>9791159283147</v>
      </c>
      <c r="BE2848" t="str">
        <f>T("판타지 e북 &gt; 신무협")</f>
        <v>판타지 e북 &gt; 신무협</v>
      </c>
    </row>
    <row r="2849" spans="1:57" x14ac:dyDescent="0.3">
      <c r="A2849">
        <v>1525000209</v>
      </c>
      <c r="B2849">
        <v>1525000214</v>
      </c>
      <c r="C2849" t="str">
        <f>T("[e북]독종무쌍 6권")</f>
        <v>[e북]독종무쌍 6권</v>
      </c>
      <c r="D2849" t="str">
        <f>T("6")</f>
        <v>6</v>
      </c>
      <c r="E2849" t="str">
        <f>T("전혁")</f>
        <v>전혁</v>
      </c>
      <c r="H2849" t="str">
        <f>T("스토리위즈")</f>
        <v>스토리위즈</v>
      </c>
      <c r="I2849" t="str">
        <f>T("[e북]독종무쌍")</f>
        <v>[e북]독종무쌍</v>
      </c>
      <c r="J2849">
        <v>3200</v>
      </c>
      <c r="K2849">
        <v>0</v>
      </c>
      <c r="L2849">
        <v>0</v>
      </c>
      <c r="M2849">
        <v>0</v>
      </c>
      <c r="N2849">
        <v>900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900</v>
      </c>
      <c r="AH2849">
        <v>1</v>
      </c>
      <c r="AI2849">
        <v>0</v>
      </c>
      <c r="AJ2849">
        <v>0</v>
      </c>
      <c r="AK2849">
        <v>0</v>
      </c>
      <c r="AL2849">
        <v>0</v>
      </c>
      <c r="AM2849">
        <v>1080</v>
      </c>
      <c r="AN2849">
        <v>-108</v>
      </c>
      <c r="AO2849">
        <v>0</v>
      </c>
      <c r="AQ2849">
        <v>0</v>
      </c>
      <c r="AR2849">
        <v>0</v>
      </c>
      <c r="AS2849">
        <v>1080</v>
      </c>
      <c r="AT2849">
        <v>-108</v>
      </c>
      <c r="AU2849">
        <v>0</v>
      </c>
      <c r="AW2849">
        <v>0</v>
      </c>
      <c r="AX2849">
        <v>0</v>
      </c>
      <c r="AY2849">
        <v>680.4</v>
      </c>
      <c r="BC2849" t="str">
        <f>T("9791195310081")</f>
        <v>9791195310081</v>
      </c>
      <c r="BE2849" t="str">
        <f>T("판타지 e북 &gt; 신무협")</f>
        <v>판타지 e북 &gt; 신무협</v>
      </c>
    </row>
    <row r="2850" spans="1:57" x14ac:dyDescent="0.3">
      <c r="A2850">
        <v>1525010873</v>
      </c>
      <c r="B2850">
        <v>1525010873</v>
      </c>
      <c r="C2850" t="str">
        <f>T("[e북]혈천 온라인 1권")</f>
        <v>[e북]혈천 온라인 1권</v>
      </c>
      <c r="D2850" t="str">
        <f>T("1")</f>
        <v>1</v>
      </c>
      <c r="E2850" t="str">
        <f>T("협행마")</f>
        <v>협행마</v>
      </c>
      <c r="H2850" t="str">
        <f>T("에필로그")</f>
        <v>에필로그</v>
      </c>
      <c r="I2850" t="str">
        <f>T("[e북]혈천 온라인")</f>
        <v>[e북]혈천 온라인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1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Q2850">
        <v>0</v>
      </c>
      <c r="AR2850">
        <v>0</v>
      </c>
      <c r="AT2850">
        <v>0</v>
      </c>
      <c r="AU2850">
        <v>0</v>
      </c>
      <c r="AW2850">
        <v>0</v>
      </c>
      <c r="AX2850">
        <v>0</v>
      </c>
      <c r="AY2850">
        <v>0</v>
      </c>
      <c r="BC2850" t="str">
        <f>T("9791166000157")</f>
        <v>9791166000157</v>
      </c>
      <c r="BE2850" t="str">
        <f>T("판타지 e북 &gt; 게임 판타지")</f>
        <v>판타지 e북 &gt; 게임 판타지</v>
      </c>
    </row>
    <row r="2851" spans="1:57" x14ac:dyDescent="0.3">
      <c r="A2851">
        <v>1525013020</v>
      </c>
      <c r="B2851">
        <v>1525013040</v>
      </c>
      <c r="C2851" t="str">
        <f>T("악당의 리턴 21화")</f>
        <v>악당의 리턴 21화</v>
      </c>
      <c r="D2851" t="str">
        <f>T("21")</f>
        <v>21</v>
      </c>
      <c r="E2851" t="str">
        <f>T("백범(白帆)")</f>
        <v>백범(白帆)</v>
      </c>
      <c r="H2851" t="str">
        <f>T("에필로그")</f>
        <v>에필로그</v>
      </c>
      <c r="I2851" t="str">
        <f>T("악당의 리턴")</f>
        <v>악당의 리턴</v>
      </c>
      <c r="J2851">
        <v>0</v>
      </c>
      <c r="K2851">
        <v>0</v>
      </c>
      <c r="L2851">
        <v>0</v>
      </c>
      <c r="M2851">
        <v>6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6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Q2851">
        <v>0</v>
      </c>
      <c r="AR2851">
        <v>0</v>
      </c>
      <c r="AT2851">
        <v>0</v>
      </c>
      <c r="AU2851">
        <v>0</v>
      </c>
      <c r="AW2851">
        <v>0</v>
      </c>
      <c r="AX2851">
        <v>0</v>
      </c>
      <c r="AY2851">
        <v>0</v>
      </c>
      <c r="BC2851" t="str">
        <f>T("9791196538927")</f>
        <v>9791196538927</v>
      </c>
      <c r="BE2851" t="str">
        <f>T("판타지 웹소설 &gt; 현대 판타지")</f>
        <v>판타지 웹소설 &gt; 현대 판타지</v>
      </c>
    </row>
    <row r="2852" spans="1:57" x14ac:dyDescent="0.3">
      <c r="A2852">
        <v>1525008229</v>
      </c>
      <c r="B2852">
        <v>1525008251</v>
      </c>
      <c r="C2852" t="str">
        <f>T("뉴욕 키스 스캔들 3화")</f>
        <v>뉴욕 키스 스캔들 3화</v>
      </c>
      <c r="D2852" t="str">
        <f>T("3")</f>
        <v>3</v>
      </c>
      <c r="E2852" t="str">
        <f>T("용가리맛쿠키")</f>
        <v>용가리맛쿠키</v>
      </c>
      <c r="H2852" t="str">
        <f>T("블러쉬")</f>
        <v>블러쉬</v>
      </c>
      <c r="I2852" t="str">
        <f>T("뉴욕 키스 스캔들")</f>
        <v>뉴욕 키스 스캔들</v>
      </c>
      <c r="J2852">
        <v>0</v>
      </c>
      <c r="K2852">
        <v>0</v>
      </c>
      <c r="L2852">
        <v>0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1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Q2852">
        <v>0</v>
      </c>
      <c r="AR2852">
        <v>0</v>
      </c>
      <c r="AT2852">
        <v>0</v>
      </c>
      <c r="AU2852">
        <v>0</v>
      </c>
      <c r="AW2852">
        <v>0</v>
      </c>
      <c r="AX2852">
        <v>0</v>
      </c>
      <c r="AY2852">
        <v>0</v>
      </c>
      <c r="BA2852" t="str">
        <f>T("0000000000000")</f>
        <v>0000000000000</v>
      </c>
      <c r="BC2852" t="str">
        <f>T("9791164896677")</f>
        <v>9791164896677</v>
      </c>
      <c r="BD2852" t="str">
        <f>T("B11")</f>
        <v>B11</v>
      </c>
      <c r="BE2852" t="str">
        <f>T("BL 웹소설 &gt; 현대물")</f>
        <v>BL 웹소설 &gt; 현대물</v>
      </c>
    </row>
    <row r="2853" spans="1:57" x14ac:dyDescent="0.3">
      <c r="A2853">
        <v>1525000569</v>
      </c>
      <c r="B2853">
        <v>1525000574</v>
      </c>
      <c r="C2853" t="str">
        <f>T("스트라이커 6화")</f>
        <v>스트라이커 6화</v>
      </c>
      <c r="D2853" t="str">
        <f>T("6")</f>
        <v>6</v>
      </c>
      <c r="E2853" t="str">
        <f>T("독고진")</f>
        <v>독고진</v>
      </c>
      <c r="H2853" t="str">
        <f>T("스토리위즈")</f>
        <v>스토리위즈</v>
      </c>
      <c r="I2853" t="str">
        <f>T("스트라이커")</f>
        <v>스트라이커</v>
      </c>
      <c r="J2853">
        <v>0</v>
      </c>
      <c r="K2853">
        <v>0</v>
      </c>
      <c r="L2853">
        <v>0</v>
      </c>
      <c r="M2853">
        <v>2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2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Q2853">
        <v>0</v>
      </c>
      <c r="AR2853">
        <v>0</v>
      </c>
      <c r="AT2853">
        <v>0</v>
      </c>
      <c r="AU2853">
        <v>0</v>
      </c>
      <c r="AW2853">
        <v>0</v>
      </c>
      <c r="AX2853">
        <v>0</v>
      </c>
      <c r="AY2853">
        <v>0</v>
      </c>
      <c r="BC2853" t="str">
        <f>T("9791170151678")</f>
        <v>9791170151678</v>
      </c>
      <c r="BE2853" t="str">
        <f>T("판타지 웹소설 &gt; 현대 판타지")</f>
        <v>판타지 웹소설 &gt; 현대 판타지</v>
      </c>
    </row>
    <row r="2854" spans="1:57" x14ac:dyDescent="0.3">
      <c r="A2854">
        <v>1525013344</v>
      </c>
      <c r="B2854">
        <v>1525013347</v>
      </c>
      <c r="C2854" t="str">
        <f>T("[e북]진짜 사나이 4권")</f>
        <v>[e북]진짜 사나이 4권</v>
      </c>
      <c r="D2854" t="str">
        <f>T("4")</f>
        <v>4</v>
      </c>
      <c r="E2854" t="str">
        <f>T("백범(白帆)")</f>
        <v>백범(白帆)</v>
      </c>
      <c r="H2854" t="str">
        <f>T("에필로그")</f>
        <v>에필로그</v>
      </c>
      <c r="I2854" t="str">
        <f>T("[e북]진짜 사나이")</f>
        <v>[e북]진짜 사나이</v>
      </c>
      <c r="J2854">
        <v>2000</v>
      </c>
      <c r="K2854">
        <v>0</v>
      </c>
      <c r="L2854">
        <v>0</v>
      </c>
      <c r="M2854">
        <v>0</v>
      </c>
      <c r="N2854">
        <v>900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900</v>
      </c>
      <c r="AH2854">
        <v>1</v>
      </c>
      <c r="AI2854">
        <v>0</v>
      </c>
      <c r="AJ2854">
        <v>0</v>
      </c>
      <c r="AK2854">
        <v>900</v>
      </c>
      <c r="AL2854">
        <v>0</v>
      </c>
      <c r="AM2854">
        <v>0</v>
      </c>
      <c r="AN2854">
        <v>0</v>
      </c>
      <c r="AO2854">
        <v>0</v>
      </c>
      <c r="AQ2854">
        <v>0</v>
      </c>
      <c r="AR2854">
        <v>0</v>
      </c>
      <c r="AT2854">
        <v>0</v>
      </c>
      <c r="AU2854">
        <v>0</v>
      </c>
      <c r="AW2854">
        <v>0</v>
      </c>
      <c r="AX2854">
        <v>0</v>
      </c>
      <c r="AY2854">
        <v>630</v>
      </c>
      <c r="BC2854" t="str">
        <f>T("9791164480555")</f>
        <v>9791164480555</v>
      </c>
      <c r="BE2854" t="str">
        <f>T("판타지 e북 &gt; 퓨전 판타지")</f>
        <v>판타지 e북 &gt; 퓨전 판타지</v>
      </c>
    </row>
    <row r="2855" spans="1:57" x14ac:dyDescent="0.3">
      <c r="A2855">
        <v>1525010944</v>
      </c>
      <c r="B2855">
        <v>1525010941</v>
      </c>
      <c r="C2855" t="str">
        <f>T("[e북]법보다 주먹 4권")</f>
        <v>[e북]법보다 주먹 4권</v>
      </c>
      <c r="D2855" t="str">
        <f>T("4")</f>
        <v>4</v>
      </c>
      <c r="E2855" t="str">
        <f>T("백범(白帆)")</f>
        <v>백범(白帆)</v>
      </c>
      <c r="H2855" t="str">
        <f>T("에필로그")</f>
        <v>에필로그</v>
      </c>
      <c r="I2855" t="str">
        <f>T("[e북]법보다 주먹")</f>
        <v>[e북]법보다 주먹</v>
      </c>
      <c r="J2855">
        <v>2000</v>
      </c>
      <c r="K2855">
        <v>0</v>
      </c>
      <c r="L2855">
        <v>0</v>
      </c>
      <c r="M2855">
        <v>0</v>
      </c>
      <c r="N2855">
        <v>1800</v>
      </c>
      <c r="O2855">
        <v>2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1800</v>
      </c>
      <c r="AH2855">
        <v>2</v>
      </c>
      <c r="AI2855">
        <v>0</v>
      </c>
      <c r="AJ2855">
        <v>0</v>
      </c>
      <c r="AK2855">
        <v>0</v>
      </c>
      <c r="AL2855">
        <v>0</v>
      </c>
      <c r="AM2855">
        <v>2160</v>
      </c>
      <c r="AN2855">
        <v>-432</v>
      </c>
      <c r="AO2855">
        <v>0</v>
      </c>
      <c r="AQ2855">
        <v>0</v>
      </c>
      <c r="AR2855">
        <v>0</v>
      </c>
      <c r="AS2855">
        <v>2160</v>
      </c>
      <c r="AT2855">
        <v>-432</v>
      </c>
      <c r="AU2855">
        <v>0</v>
      </c>
      <c r="AW2855">
        <v>0</v>
      </c>
      <c r="AX2855">
        <v>0</v>
      </c>
      <c r="AY2855">
        <v>1209.5999999999999</v>
      </c>
      <c r="BC2855" t="str">
        <f>T("9791164480142")</f>
        <v>9791164480142</v>
      </c>
      <c r="BE2855" t="str">
        <f>T("판타지 e북 &gt; 현대 판타지")</f>
        <v>판타지 e북 &gt; 현대 판타지</v>
      </c>
    </row>
    <row r="2856" spans="1:57" x14ac:dyDescent="0.3">
      <c r="A2856">
        <v>1525000022</v>
      </c>
      <c r="B2856">
        <v>1525000023</v>
      </c>
      <c r="C2856" t="str">
        <f>T("[e북]마계대공 연대기 2권")</f>
        <v>[e북]마계대공 연대기 2권</v>
      </c>
      <c r="D2856" t="str">
        <f>T("2")</f>
        <v>2</v>
      </c>
      <c r="E2856" t="str">
        <f>T("김광수")</f>
        <v>김광수</v>
      </c>
      <c r="H2856" t="str">
        <f>T("스토리위즈")</f>
        <v>스토리위즈</v>
      </c>
      <c r="I2856" t="str">
        <f>T("[e북]마계대공 연대기")</f>
        <v>[e북]마계대공 연대기</v>
      </c>
      <c r="J2856">
        <v>3200</v>
      </c>
      <c r="K2856">
        <v>0</v>
      </c>
      <c r="L2856">
        <v>0</v>
      </c>
      <c r="M2856">
        <v>0</v>
      </c>
      <c r="N2856">
        <v>3600</v>
      </c>
      <c r="O2856">
        <v>4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3600</v>
      </c>
      <c r="AH2856">
        <v>4</v>
      </c>
      <c r="AI2856">
        <v>0</v>
      </c>
      <c r="AJ2856">
        <v>0</v>
      </c>
      <c r="AK2856">
        <v>2900</v>
      </c>
      <c r="AL2856">
        <v>0</v>
      </c>
      <c r="AM2856">
        <v>840</v>
      </c>
      <c r="AN2856">
        <v>-84</v>
      </c>
      <c r="AO2856">
        <v>0</v>
      </c>
      <c r="AQ2856">
        <v>0</v>
      </c>
      <c r="AR2856">
        <v>0</v>
      </c>
      <c r="AS2856">
        <v>840</v>
      </c>
      <c r="AT2856">
        <v>-84</v>
      </c>
      <c r="AU2856">
        <v>0</v>
      </c>
      <c r="AW2856">
        <v>0</v>
      </c>
      <c r="AX2856">
        <v>0</v>
      </c>
      <c r="AY2856">
        <v>2559.1999999999998</v>
      </c>
      <c r="BE2856" t="str">
        <f>T("판타지 e북 &gt; 퓨전 판타지")</f>
        <v>판타지 e북 &gt; 퓨전 판타지</v>
      </c>
    </row>
    <row r="2857" spans="1:57" x14ac:dyDescent="0.3">
      <c r="A2857">
        <v>1525004988</v>
      </c>
      <c r="B2857">
        <v>1525005293</v>
      </c>
      <c r="C2857" t="str">
        <f>T("용무쌍 6화")</f>
        <v>용무쌍 6화</v>
      </c>
      <c r="D2857" t="str">
        <f>T("6")</f>
        <v>6</v>
      </c>
      <c r="E2857" t="str">
        <f>T("권용찬")</f>
        <v>권용찬</v>
      </c>
      <c r="H2857" t="str">
        <f>T("스토리위즈")</f>
        <v>스토리위즈</v>
      </c>
      <c r="I2857" t="str">
        <f>T("용무쌍")</f>
        <v>용무쌍</v>
      </c>
      <c r="J2857">
        <v>0</v>
      </c>
      <c r="K2857">
        <v>0</v>
      </c>
      <c r="L2857">
        <v>0</v>
      </c>
      <c r="M2857">
        <v>2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2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Q2857">
        <v>0</v>
      </c>
      <c r="AR2857">
        <v>0</v>
      </c>
      <c r="AT2857">
        <v>0</v>
      </c>
      <c r="AU2857">
        <v>0</v>
      </c>
      <c r="AW2857">
        <v>0</v>
      </c>
      <c r="AX2857">
        <v>0</v>
      </c>
      <c r="AY2857">
        <v>0</v>
      </c>
      <c r="BC2857" t="str">
        <f>T("9791159284861")</f>
        <v>9791159284861</v>
      </c>
      <c r="BE2857" t="str">
        <f>T("판타지 웹소설 &gt; 무협 소설")</f>
        <v>판타지 웹소설 &gt; 무협 소설</v>
      </c>
    </row>
    <row r="2858" spans="1:57" x14ac:dyDescent="0.3">
      <c r="A2858">
        <v>1525000924</v>
      </c>
      <c r="B2858">
        <v>1525000941</v>
      </c>
      <c r="C2858" t="str">
        <f>T("스피릿 소드 18화")</f>
        <v>스피릿 소드 18화</v>
      </c>
      <c r="D2858" t="str">
        <f>T("18")</f>
        <v>18</v>
      </c>
      <c r="E2858" t="str">
        <f>T("김정률")</f>
        <v>김정률</v>
      </c>
      <c r="H2858" t="str">
        <f>T("스토리위즈")</f>
        <v>스토리위즈</v>
      </c>
      <c r="I2858" t="str">
        <f>T("스피릿 소드")</f>
        <v>스피릿 소드</v>
      </c>
      <c r="J2858">
        <v>0</v>
      </c>
      <c r="K2858">
        <v>0</v>
      </c>
      <c r="L2858">
        <v>0</v>
      </c>
      <c r="M2858">
        <v>1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1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Q2858">
        <v>0</v>
      </c>
      <c r="AR2858">
        <v>0</v>
      </c>
      <c r="AT2858">
        <v>0</v>
      </c>
      <c r="AU2858">
        <v>0</v>
      </c>
      <c r="AW2858">
        <v>0</v>
      </c>
      <c r="AX2858">
        <v>0</v>
      </c>
      <c r="AY2858">
        <v>0</v>
      </c>
      <c r="BA2858" t="str">
        <f>T("9791159282713")</f>
        <v>9791159282713</v>
      </c>
      <c r="BC2858" t="str">
        <f>T("9791159282713")</f>
        <v>9791159282713</v>
      </c>
      <c r="BE2858" t="str">
        <f>T("판타지 웹소설 &gt; 정통 판타지")</f>
        <v>판타지 웹소설 &gt; 정통 판타지</v>
      </c>
    </row>
    <row r="2859" spans="1:57" x14ac:dyDescent="0.3">
      <c r="A2859">
        <v>1525012551</v>
      </c>
      <c r="B2859">
        <v>1525012552</v>
      </c>
      <c r="C2859" t="str">
        <f>T("개정판 | 바보가 만드는 멋진 세상 2화")</f>
        <v>개정판 | 바보가 만드는 멋진 세상 2화</v>
      </c>
      <c r="D2859" t="str">
        <f>T("2")</f>
        <v>2</v>
      </c>
      <c r="E2859" t="str">
        <f>T("백범(白帆)")</f>
        <v>백범(白帆)</v>
      </c>
      <c r="H2859" t="str">
        <f>T("에필로그")</f>
        <v>에필로그</v>
      </c>
      <c r="I2859" t="str">
        <f>T("개정판 | 바보가 만드는 멋진 세상")</f>
        <v>개정판 | 바보가 만드는 멋진 세상</v>
      </c>
      <c r="J2859">
        <v>0</v>
      </c>
      <c r="K2859">
        <v>0</v>
      </c>
      <c r="L2859">
        <v>0</v>
      </c>
      <c r="M2859">
        <v>1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Q2859">
        <v>0</v>
      </c>
      <c r="AR2859">
        <v>0</v>
      </c>
      <c r="AT2859">
        <v>0</v>
      </c>
      <c r="AU2859">
        <v>0</v>
      </c>
      <c r="AW2859">
        <v>0</v>
      </c>
      <c r="AX2859">
        <v>0</v>
      </c>
      <c r="AY2859">
        <v>0</v>
      </c>
      <c r="BC2859" t="str">
        <f>T("9791166003493")</f>
        <v>9791166003493</v>
      </c>
      <c r="BE2859" t="str">
        <f>T("판타지 웹소설 &gt; 현대 판타지")</f>
        <v>판타지 웹소설 &gt; 현대 판타지</v>
      </c>
    </row>
    <row r="2860" spans="1:57" x14ac:dyDescent="0.3">
      <c r="A2860">
        <v>1525002692</v>
      </c>
      <c r="B2860">
        <v>1525002698</v>
      </c>
      <c r="C2860" t="str">
        <f>T("신규무사 7화")</f>
        <v>신규무사 7화</v>
      </c>
      <c r="D2860" t="str">
        <f>T("7")</f>
        <v>7</v>
      </c>
      <c r="E2860" t="str">
        <f>T("권용찬")</f>
        <v>권용찬</v>
      </c>
      <c r="H2860" t="str">
        <f>T("스토리위즈")</f>
        <v>스토리위즈</v>
      </c>
      <c r="I2860" t="str">
        <f>T("신규무사")</f>
        <v>신규무사</v>
      </c>
      <c r="J2860">
        <v>0</v>
      </c>
      <c r="K2860">
        <v>0</v>
      </c>
      <c r="L2860">
        <v>0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1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Q2860">
        <v>0</v>
      </c>
      <c r="AR2860">
        <v>0</v>
      </c>
      <c r="AT2860">
        <v>0</v>
      </c>
      <c r="AU2860">
        <v>0</v>
      </c>
      <c r="AW2860">
        <v>0</v>
      </c>
      <c r="AX2860">
        <v>0</v>
      </c>
      <c r="AY2860">
        <v>0</v>
      </c>
      <c r="BC2860" t="str">
        <f>T("9791159287480")</f>
        <v>9791159287480</v>
      </c>
      <c r="BE2860" t="str">
        <f>T("판타지 웹소설 &gt; 무협 소설")</f>
        <v>판타지 웹소설 &gt; 무협 소설</v>
      </c>
    </row>
    <row r="2861" spans="1:57" x14ac:dyDescent="0.3">
      <c r="A2861">
        <v>1525000055</v>
      </c>
      <c r="B2861">
        <v>1525000059</v>
      </c>
      <c r="C2861" t="str">
        <f>T("[e북]21세기 대마법사 4권")</f>
        <v>[e북]21세기 대마법사 4권</v>
      </c>
      <c r="D2861" t="str">
        <f>T("4")</f>
        <v>4</v>
      </c>
      <c r="E2861" t="str">
        <f>T("김광수")</f>
        <v>김광수</v>
      </c>
      <c r="H2861" t="str">
        <f>T("스토리위즈")</f>
        <v>스토리위즈</v>
      </c>
      <c r="I2861" t="str">
        <f>T("[e북]21세기 대마법사")</f>
        <v>[e북]21세기 대마법사</v>
      </c>
      <c r="J2861">
        <v>3200</v>
      </c>
      <c r="K2861">
        <v>0</v>
      </c>
      <c r="L2861">
        <v>0</v>
      </c>
      <c r="M2861">
        <v>0</v>
      </c>
      <c r="N2861">
        <v>3600</v>
      </c>
      <c r="O2861">
        <v>4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3600</v>
      </c>
      <c r="AH2861">
        <v>4</v>
      </c>
      <c r="AI2861">
        <v>0</v>
      </c>
      <c r="AJ2861">
        <v>0</v>
      </c>
      <c r="AK2861">
        <v>900</v>
      </c>
      <c r="AL2861">
        <v>0</v>
      </c>
      <c r="AM2861">
        <v>3240</v>
      </c>
      <c r="AN2861">
        <v>-540</v>
      </c>
      <c r="AO2861">
        <v>0</v>
      </c>
      <c r="AQ2861">
        <v>0</v>
      </c>
      <c r="AR2861">
        <v>0</v>
      </c>
      <c r="AS2861">
        <v>3240</v>
      </c>
      <c r="AT2861">
        <v>-540</v>
      </c>
      <c r="AU2861">
        <v>0</v>
      </c>
      <c r="AW2861">
        <v>0</v>
      </c>
      <c r="AX2861">
        <v>0</v>
      </c>
      <c r="AY2861">
        <v>2520</v>
      </c>
      <c r="BC2861" t="str">
        <f>T("9788925116976")</f>
        <v>9788925116976</v>
      </c>
      <c r="BE2861" t="str">
        <f>T("판타지 e북 &gt; 퓨전 판타지")</f>
        <v>판타지 e북 &gt; 퓨전 판타지</v>
      </c>
    </row>
    <row r="2862" spans="1:57" x14ac:dyDescent="0.3">
      <c r="A2862">
        <v>1525004030</v>
      </c>
      <c r="B2862">
        <v>1525004047</v>
      </c>
      <c r="C2862" t="str">
        <f>T("회귀의 전설 18화")</f>
        <v>회귀의 전설 18화</v>
      </c>
      <c r="D2862" t="str">
        <f>T("18")</f>
        <v>18</v>
      </c>
      <c r="E2862" t="str">
        <f>T("김광수")</f>
        <v>김광수</v>
      </c>
      <c r="H2862" t="str">
        <f>T("스토리위즈")</f>
        <v>스토리위즈</v>
      </c>
      <c r="I2862" t="str">
        <f>T("회귀의 전설")</f>
        <v>회귀의 전설</v>
      </c>
      <c r="J2862">
        <v>0</v>
      </c>
      <c r="K2862">
        <v>0</v>
      </c>
      <c r="L2862">
        <v>0</v>
      </c>
      <c r="M2862">
        <v>7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7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Q2862">
        <v>0</v>
      </c>
      <c r="AR2862">
        <v>0</v>
      </c>
      <c r="AT2862">
        <v>0</v>
      </c>
      <c r="AU2862">
        <v>0</v>
      </c>
      <c r="AW2862">
        <v>0</v>
      </c>
      <c r="AX2862">
        <v>0</v>
      </c>
      <c r="AY2862">
        <v>0</v>
      </c>
      <c r="BC2862" t="str">
        <f>T("9788997946006")</f>
        <v>9788997946006</v>
      </c>
      <c r="BE2862" t="str">
        <f>T("판타지 웹소설 &gt; 현대 판타지")</f>
        <v>판타지 웹소설 &gt; 현대 판타지</v>
      </c>
    </row>
    <row r="2863" spans="1:57" x14ac:dyDescent="0.3">
      <c r="A2863">
        <v>1525014780</v>
      </c>
      <c r="B2863">
        <v>1525014787</v>
      </c>
      <c r="C2863" t="str">
        <f>T("크랭키 걸즈 8화")</f>
        <v>크랭키 걸즈 8화</v>
      </c>
      <c r="D2863" t="str">
        <f>T("8")</f>
        <v>8</v>
      </c>
      <c r="E2863" t="str">
        <f>T("곽도우")</f>
        <v>곽도우</v>
      </c>
      <c r="H2863" t="str">
        <f>T("스토리아크")</f>
        <v>스토리아크</v>
      </c>
      <c r="I2863" t="str">
        <f>T("크랭키 걸즈")</f>
        <v>크랭키 걸즈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1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Q2863">
        <v>0</v>
      </c>
      <c r="AR2863">
        <v>0</v>
      </c>
      <c r="AT2863">
        <v>0</v>
      </c>
      <c r="AU2863">
        <v>0</v>
      </c>
      <c r="AW2863">
        <v>0</v>
      </c>
      <c r="AX2863">
        <v>0</v>
      </c>
      <c r="AY2863">
        <v>0</v>
      </c>
      <c r="BC2863" t="str">
        <f>T("9791191039276")</f>
        <v>9791191039276</v>
      </c>
      <c r="BE2863" t="str">
        <f>T("판타지 웹소설 &gt; 현대 판타지")</f>
        <v>판타지 웹소설 &gt; 현대 판타지</v>
      </c>
    </row>
    <row r="2864" spans="1:57" x14ac:dyDescent="0.3">
      <c r="A2864">
        <v>1525001540</v>
      </c>
      <c r="B2864">
        <v>1525001543</v>
      </c>
      <c r="C2864" t="str">
        <f>T("[e북]철중쟁쟁 4권")</f>
        <v>[e북]철중쟁쟁 4권</v>
      </c>
      <c r="D2864" t="str">
        <f>T("4")</f>
        <v>4</v>
      </c>
      <c r="E2864" t="str">
        <f>T("권용찬")</f>
        <v>권용찬</v>
      </c>
      <c r="H2864" t="str">
        <f>T("스토리위즈")</f>
        <v>스토리위즈</v>
      </c>
      <c r="I2864" t="str">
        <f>T("[e북]철중쟁쟁")</f>
        <v>[e북]철중쟁쟁</v>
      </c>
      <c r="J2864">
        <v>3200</v>
      </c>
      <c r="K2864">
        <v>0</v>
      </c>
      <c r="L2864">
        <v>0</v>
      </c>
      <c r="M2864">
        <v>0</v>
      </c>
      <c r="N2864">
        <v>7200</v>
      </c>
      <c r="O2864">
        <v>8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7200</v>
      </c>
      <c r="AH2864">
        <v>8</v>
      </c>
      <c r="AI2864">
        <v>0</v>
      </c>
      <c r="AJ2864">
        <v>0</v>
      </c>
      <c r="AK2864">
        <v>4500</v>
      </c>
      <c r="AL2864">
        <v>0</v>
      </c>
      <c r="AM2864">
        <v>3240</v>
      </c>
      <c r="AN2864">
        <v>-756</v>
      </c>
      <c r="AO2864">
        <v>0</v>
      </c>
      <c r="AQ2864">
        <v>0</v>
      </c>
      <c r="AR2864">
        <v>0</v>
      </c>
      <c r="AS2864">
        <v>3240</v>
      </c>
      <c r="AT2864">
        <v>-756</v>
      </c>
      <c r="AU2864">
        <v>0</v>
      </c>
      <c r="AW2864">
        <v>0</v>
      </c>
      <c r="AX2864">
        <v>0</v>
      </c>
      <c r="AY2864">
        <v>4888.8</v>
      </c>
      <c r="BC2864" t="str">
        <f>T("9791159282300")</f>
        <v>9791159282300</v>
      </c>
      <c r="BE2864" t="str">
        <f>T("판타지 e북 &gt; 전통 무협")</f>
        <v>판타지 e북 &gt; 전통 무협</v>
      </c>
    </row>
    <row r="2865" spans="1:57" x14ac:dyDescent="0.3">
      <c r="A2865">
        <v>1525002864</v>
      </c>
      <c r="B2865">
        <v>1525002872</v>
      </c>
      <c r="C2865" t="str">
        <f>T("소드마스터의 환생 9화")</f>
        <v>소드마스터의 환생 9화</v>
      </c>
      <c r="D2865" t="str">
        <f>T("9")</f>
        <v>9</v>
      </c>
      <c r="E2865" t="str">
        <f>T("파란영")</f>
        <v>파란영</v>
      </c>
      <c r="H2865" t="str">
        <f>T("스토리위즈")</f>
        <v>스토리위즈</v>
      </c>
      <c r="I2865" t="str">
        <f>T("소드마스터의 환생")</f>
        <v>소드마스터의 환생</v>
      </c>
      <c r="J2865">
        <v>0</v>
      </c>
      <c r="K2865">
        <v>0</v>
      </c>
      <c r="L2865">
        <v>0</v>
      </c>
      <c r="M2865">
        <v>5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5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Q2865">
        <v>0</v>
      </c>
      <c r="AR2865">
        <v>0</v>
      </c>
      <c r="AT2865">
        <v>0</v>
      </c>
      <c r="AU2865">
        <v>0</v>
      </c>
      <c r="AW2865">
        <v>0</v>
      </c>
      <c r="AX2865">
        <v>0</v>
      </c>
      <c r="AY2865">
        <v>0</v>
      </c>
      <c r="BC2865" t="str">
        <f>T("9791159287527")</f>
        <v>9791159287527</v>
      </c>
      <c r="BE2865" t="str">
        <f>T("판타지 웹소설 &gt; 정통 판타지")</f>
        <v>판타지 웹소설 &gt; 정통 판타지</v>
      </c>
    </row>
    <row r="2866" spans="1:57" x14ac:dyDescent="0.3">
      <c r="A2866">
        <v>1525013399</v>
      </c>
      <c r="B2866">
        <v>1525013399</v>
      </c>
      <c r="C2866" t="str">
        <f>T("[e북]군주, 다시 귀환하다 1권")</f>
        <v>[e북]군주, 다시 귀환하다 1권</v>
      </c>
      <c r="D2866" t="str">
        <f>T("1")</f>
        <v>1</v>
      </c>
      <c r="E2866" t="str">
        <f>T("백범(白帆)")</f>
        <v>백범(白帆)</v>
      </c>
      <c r="H2866" t="str">
        <f>T("에필로그")</f>
        <v>에필로그</v>
      </c>
      <c r="I2866" t="str">
        <f>T("[e북]군주, 다시 귀환하다")</f>
        <v>[e북]군주, 다시 귀환하다</v>
      </c>
      <c r="J2866">
        <v>0</v>
      </c>
      <c r="K2866">
        <v>0</v>
      </c>
      <c r="L2866">
        <v>0</v>
      </c>
      <c r="M2866">
        <v>1</v>
      </c>
      <c r="N2866">
        <v>0</v>
      </c>
      <c r="O2866">
        <v>0</v>
      </c>
      <c r="P2866">
        <v>3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4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Q2866">
        <v>0</v>
      </c>
      <c r="AR2866">
        <v>0</v>
      </c>
      <c r="AT2866">
        <v>0</v>
      </c>
      <c r="AU2866">
        <v>0</v>
      </c>
      <c r="AW2866">
        <v>0</v>
      </c>
      <c r="AX2866">
        <v>0</v>
      </c>
      <c r="AY2866">
        <v>0</v>
      </c>
      <c r="BA2866" t="str">
        <f>T("0000000000000")</f>
        <v>0000000000000</v>
      </c>
      <c r="BC2866" t="str">
        <f>T("9791189867409")</f>
        <v>9791189867409</v>
      </c>
      <c r="BE2866" t="str">
        <f>T("판타지 e북 &gt; 퓨전 판타지")</f>
        <v>판타지 e북 &gt; 퓨전 판타지</v>
      </c>
    </row>
    <row r="2867" spans="1:57" x14ac:dyDescent="0.3">
      <c r="A2867">
        <v>1525000022</v>
      </c>
      <c r="B2867">
        <v>1525000045</v>
      </c>
      <c r="C2867" t="str">
        <f>T("[e북]마계대공 연대기 23권")</f>
        <v>[e북]마계대공 연대기 23권</v>
      </c>
      <c r="D2867" t="str">
        <f>T("23")</f>
        <v>23</v>
      </c>
      <c r="E2867" t="str">
        <f>T("김광수")</f>
        <v>김광수</v>
      </c>
      <c r="H2867" t="str">
        <f>T("스토리위즈")</f>
        <v>스토리위즈</v>
      </c>
      <c r="I2867" t="str">
        <f>T("[e북]마계대공 연대기")</f>
        <v>[e북]마계대공 연대기</v>
      </c>
      <c r="J2867">
        <v>3200</v>
      </c>
      <c r="K2867">
        <v>0</v>
      </c>
      <c r="L2867">
        <v>0</v>
      </c>
      <c r="M2867">
        <v>0</v>
      </c>
      <c r="N2867">
        <v>2700</v>
      </c>
      <c r="O2867">
        <v>3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2700</v>
      </c>
      <c r="AH2867">
        <v>3</v>
      </c>
      <c r="AI2867">
        <v>0</v>
      </c>
      <c r="AJ2867">
        <v>0</v>
      </c>
      <c r="AK2867">
        <v>1800</v>
      </c>
      <c r="AL2867">
        <v>0</v>
      </c>
      <c r="AM2867">
        <v>1080</v>
      </c>
      <c r="AN2867">
        <v>-108</v>
      </c>
      <c r="AO2867">
        <v>0</v>
      </c>
      <c r="AQ2867">
        <v>0</v>
      </c>
      <c r="AR2867">
        <v>0</v>
      </c>
      <c r="AS2867">
        <v>1080</v>
      </c>
      <c r="AT2867">
        <v>-108</v>
      </c>
      <c r="AU2867">
        <v>0</v>
      </c>
      <c r="AW2867">
        <v>0</v>
      </c>
      <c r="AX2867">
        <v>0</v>
      </c>
      <c r="AY2867">
        <v>1940.4</v>
      </c>
      <c r="BE2867" t="str">
        <f>T("판타지 e북 &gt; 퓨전 판타지")</f>
        <v>판타지 e북 &gt; 퓨전 판타지</v>
      </c>
    </row>
    <row r="2868" spans="1:57" x14ac:dyDescent="0.3">
      <c r="A2868">
        <v>1525004030</v>
      </c>
      <c r="B2868">
        <v>1525004036</v>
      </c>
      <c r="C2868" t="str">
        <f>T("회귀의 전설 7화")</f>
        <v>회귀의 전설 7화</v>
      </c>
      <c r="D2868" t="str">
        <f>T("7")</f>
        <v>7</v>
      </c>
      <c r="E2868" t="str">
        <f>T("김광수")</f>
        <v>김광수</v>
      </c>
      <c r="H2868" t="str">
        <f>T("스토리위즈")</f>
        <v>스토리위즈</v>
      </c>
      <c r="I2868" t="str">
        <f>T("회귀의 전설")</f>
        <v>회귀의 전설</v>
      </c>
      <c r="J2868">
        <v>0</v>
      </c>
      <c r="K2868">
        <v>0</v>
      </c>
      <c r="L2868">
        <v>0</v>
      </c>
      <c r="M2868">
        <v>6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6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Q2868">
        <v>0</v>
      </c>
      <c r="AR2868">
        <v>0</v>
      </c>
      <c r="AT2868">
        <v>0</v>
      </c>
      <c r="AU2868">
        <v>0</v>
      </c>
      <c r="AW2868">
        <v>0</v>
      </c>
      <c r="AX2868">
        <v>0</v>
      </c>
      <c r="AY2868">
        <v>0</v>
      </c>
      <c r="BC2868" t="str">
        <f>T("9788997946006")</f>
        <v>9788997946006</v>
      </c>
      <c r="BE2868" t="str">
        <f>T("판타지 웹소설 &gt; 현대 판타지")</f>
        <v>판타지 웹소설 &gt; 현대 판타지</v>
      </c>
    </row>
    <row r="2869" spans="1:57" x14ac:dyDescent="0.3">
      <c r="A2869">
        <v>1525012202</v>
      </c>
      <c r="B2869">
        <v>1525012180</v>
      </c>
      <c r="C2869" t="str">
        <f>T("이세계 최강 군바리 23화")</f>
        <v>이세계 최강 군바리 23화</v>
      </c>
      <c r="D2869" t="str">
        <f>T("23")</f>
        <v>23</v>
      </c>
      <c r="E2869" t="str">
        <f>T("협행마")</f>
        <v>협행마</v>
      </c>
      <c r="H2869" t="str">
        <f>T("에필로그")</f>
        <v>에필로그</v>
      </c>
      <c r="I2869" t="str">
        <f>T("이세계 최강 군바리")</f>
        <v>이세계 최강 군바리</v>
      </c>
      <c r="J2869">
        <v>0</v>
      </c>
      <c r="K2869">
        <v>0</v>
      </c>
      <c r="L2869">
        <v>0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1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Q2869">
        <v>0</v>
      </c>
      <c r="AR2869">
        <v>0</v>
      </c>
      <c r="AT2869">
        <v>0</v>
      </c>
      <c r="AU2869">
        <v>0</v>
      </c>
      <c r="AW2869">
        <v>0</v>
      </c>
      <c r="AX2869">
        <v>0</v>
      </c>
      <c r="AY2869">
        <v>0</v>
      </c>
      <c r="BC2869" t="str">
        <f>T("9791164480159")</f>
        <v>9791164480159</v>
      </c>
      <c r="BE2869" t="str">
        <f>T("판타지 웹소설 &gt; 퓨전 판타지")</f>
        <v>판타지 웹소설 &gt; 퓨전 판타지</v>
      </c>
    </row>
    <row r="2870" spans="1:57" x14ac:dyDescent="0.3">
      <c r="A2870">
        <v>1525000924</v>
      </c>
      <c r="B2870">
        <v>1525000947</v>
      </c>
      <c r="C2870" t="str">
        <f>T("스피릿 소드 24화")</f>
        <v>스피릿 소드 24화</v>
      </c>
      <c r="D2870" t="str">
        <f>T("24")</f>
        <v>24</v>
      </c>
      <c r="E2870" t="str">
        <f>T("김정률")</f>
        <v>김정률</v>
      </c>
      <c r="H2870" t="str">
        <f>T("스토리위즈")</f>
        <v>스토리위즈</v>
      </c>
      <c r="I2870" t="str">
        <f>T("스피릿 소드")</f>
        <v>스피릿 소드</v>
      </c>
      <c r="J2870">
        <v>0</v>
      </c>
      <c r="K2870">
        <v>0</v>
      </c>
      <c r="L2870">
        <v>0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1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Q2870">
        <v>0</v>
      </c>
      <c r="AR2870">
        <v>0</v>
      </c>
      <c r="AT2870">
        <v>0</v>
      </c>
      <c r="AU2870">
        <v>0</v>
      </c>
      <c r="AW2870">
        <v>0</v>
      </c>
      <c r="AX2870">
        <v>0</v>
      </c>
      <c r="AY2870">
        <v>0</v>
      </c>
      <c r="BA2870" t="str">
        <f>T("9791159282713")</f>
        <v>9791159282713</v>
      </c>
      <c r="BC2870" t="str">
        <f>T("9791159282713")</f>
        <v>9791159282713</v>
      </c>
      <c r="BE2870" t="str">
        <f>T("판타지 웹소설 &gt; 정통 판타지")</f>
        <v>판타지 웹소설 &gt; 정통 판타지</v>
      </c>
    </row>
    <row r="2871" spans="1:57" x14ac:dyDescent="0.3">
      <c r="A2871">
        <v>1525012551</v>
      </c>
      <c r="B2871">
        <v>1525012573</v>
      </c>
      <c r="C2871" t="str">
        <f>T("개정판 | 바보가 만드는 멋진 세상 23화")</f>
        <v>개정판 | 바보가 만드는 멋진 세상 23화</v>
      </c>
      <c r="D2871" t="str">
        <f>T("23")</f>
        <v>23</v>
      </c>
      <c r="E2871" t="str">
        <f>T("백범(白帆)")</f>
        <v>백범(白帆)</v>
      </c>
      <c r="H2871" t="str">
        <f>T("에필로그")</f>
        <v>에필로그</v>
      </c>
      <c r="I2871" t="str">
        <f>T("개정판 | 바보가 만드는 멋진 세상")</f>
        <v>개정판 | 바보가 만드는 멋진 세상</v>
      </c>
      <c r="J2871">
        <v>0</v>
      </c>
      <c r="K2871">
        <v>0</v>
      </c>
      <c r="L2871">
        <v>0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1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Q2871">
        <v>0</v>
      </c>
      <c r="AR2871">
        <v>0</v>
      </c>
      <c r="AT2871">
        <v>0</v>
      </c>
      <c r="AU2871">
        <v>0</v>
      </c>
      <c r="AW2871">
        <v>0</v>
      </c>
      <c r="AX2871">
        <v>0</v>
      </c>
      <c r="AY2871">
        <v>0</v>
      </c>
      <c r="BC2871" t="str">
        <f>T("9791166003493")</f>
        <v>9791166003493</v>
      </c>
      <c r="BE2871" t="str">
        <f>T("판타지 웹소설 &gt; 현대 판타지")</f>
        <v>판타지 웹소설 &gt; 현대 판타지</v>
      </c>
    </row>
    <row r="2872" spans="1:57" x14ac:dyDescent="0.3">
      <c r="A2872">
        <v>1525014480</v>
      </c>
      <c r="B2872">
        <v>1525014482</v>
      </c>
      <c r="C2872" t="str">
        <f>T("언더독 크라이스 3화")</f>
        <v>언더독 크라이스 3화</v>
      </c>
      <c r="D2872" t="str">
        <f>T("3")</f>
        <v>3</v>
      </c>
      <c r="E2872" t="str">
        <f>T("라이큐")</f>
        <v>라이큐</v>
      </c>
      <c r="H2872" t="str">
        <f>T("스토리아크")</f>
        <v>스토리아크</v>
      </c>
      <c r="I2872" t="str">
        <f>T("언더독 크라이스")</f>
        <v>언더독 크라이스</v>
      </c>
      <c r="J2872">
        <v>0</v>
      </c>
      <c r="K2872">
        <v>0</v>
      </c>
      <c r="L2872">
        <v>0</v>
      </c>
      <c r="M2872">
        <v>2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2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Q2872">
        <v>0</v>
      </c>
      <c r="AR2872">
        <v>0</v>
      </c>
      <c r="AT2872">
        <v>0</v>
      </c>
      <c r="AU2872">
        <v>0</v>
      </c>
      <c r="AW2872">
        <v>0</v>
      </c>
      <c r="AX2872">
        <v>0</v>
      </c>
      <c r="AY2872">
        <v>0</v>
      </c>
      <c r="BC2872" t="str">
        <f>T("9791191039139")</f>
        <v>9791191039139</v>
      </c>
      <c r="BE2872" t="str">
        <f>T("판타지 웹소설 &gt; 퓨전 판타지")</f>
        <v>판타지 웹소설 &gt; 퓨전 판타지</v>
      </c>
    </row>
    <row r="2873" spans="1:57" x14ac:dyDescent="0.3">
      <c r="A2873">
        <v>1525001493</v>
      </c>
      <c r="B2873">
        <v>1525001495</v>
      </c>
      <c r="C2873" t="str">
        <f>T("[e북]수적왕 3권")</f>
        <v>[e북]수적왕 3권</v>
      </c>
      <c r="D2873" t="str">
        <f>T("3")</f>
        <v>3</v>
      </c>
      <c r="E2873" t="str">
        <f>T("권용찬")</f>
        <v>권용찬</v>
      </c>
      <c r="H2873" t="str">
        <f>T("스토리위즈")</f>
        <v>스토리위즈</v>
      </c>
      <c r="I2873" t="str">
        <f>T("[e북]수적왕")</f>
        <v>[e북]수적왕</v>
      </c>
      <c r="J2873">
        <v>3200</v>
      </c>
      <c r="K2873">
        <v>0</v>
      </c>
      <c r="L2873">
        <v>0</v>
      </c>
      <c r="M2873">
        <v>0</v>
      </c>
      <c r="N2873">
        <v>900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900</v>
      </c>
      <c r="AH2873">
        <v>1</v>
      </c>
      <c r="AI2873">
        <v>0</v>
      </c>
      <c r="AJ2873">
        <v>0</v>
      </c>
      <c r="AK2873">
        <v>900</v>
      </c>
      <c r="AL2873">
        <v>0</v>
      </c>
      <c r="AM2873">
        <v>0</v>
      </c>
      <c r="AN2873">
        <v>0</v>
      </c>
      <c r="AO2873">
        <v>0</v>
      </c>
      <c r="AQ2873">
        <v>0</v>
      </c>
      <c r="AR2873">
        <v>0</v>
      </c>
      <c r="AT2873">
        <v>0</v>
      </c>
      <c r="AU2873">
        <v>0</v>
      </c>
      <c r="AW2873">
        <v>0</v>
      </c>
      <c r="AX2873">
        <v>0</v>
      </c>
      <c r="AY2873">
        <v>630</v>
      </c>
      <c r="BC2873" t="str">
        <f>T("9791159282225")</f>
        <v>9791159282225</v>
      </c>
      <c r="BE2873" t="str">
        <f>T("판타지 e북 &gt; 신무협")</f>
        <v>판타지 e북 &gt; 신무협</v>
      </c>
    </row>
    <row r="2874" spans="1:57" x14ac:dyDescent="0.3">
      <c r="A2874">
        <v>1525015018</v>
      </c>
      <c r="B2874">
        <v>1525015018</v>
      </c>
      <c r="C2874" t="str">
        <f>T("그녀들은 소꿉친구지, 그 이상은 곤란합니다 1화")</f>
        <v>그녀들은 소꿉친구지, 그 이상은 곤란합니다 1화</v>
      </c>
      <c r="D2874" t="str">
        <f>T("1")</f>
        <v>1</v>
      </c>
      <c r="E2874" t="str">
        <f>T("자이오")</f>
        <v>자이오</v>
      </c>
      <c r="H2874" t="str">
        <f>T("스토리아크")</f>
        <v>스토리아크</v>
      </c>
      <c r="I2874" t="str">
        <f>T("그녀들은 소꿉친구지, 그 이상은 곤란합니다")</f>
        <v>그녀들은 소꿉친구지, 그 이상은 곤란합니다</v>
      </c>
      <c r="J2874">
        <v>0</v>
      </c>
      <c r="K2874">
        <v>0</v>
      </c>
      <c r="L2874">
        <v>0</v>
      </c>
      <c r="M2874">
        <v>2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2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Q2874">
        <v>0</v>
      </c>
      <c r="AR2874">
        <v>0</v>
      </c>
      <c r="AT2874">
        <v>0</v>
      </c>
      <c r="AU2874">
        <v>0</v>
      </c>
      <c r="AW2874">
        <v>0</v>
      </c>
      <c r="AX2874">
        <v>0</v>
      </c>
      <c r="AY2874">
        <v>0</v>
      </c>
      <c r="BC2874" t="str">
        <f>T("9791191039313")</f>
        <v>9791191039313</v>
      </c>
      <c r="BE2874" t="str">
        <f>T("판타지 웹소설 &gt; 퓨전 판타지")</f>
        <v>판타지 웹소설 &gt; 퓨전 판타지</v>
      </c>
    </row>
    <row r="2875" spans="1:57" x14ac:dyDescent="0.3">
      <c r="A2875">
        <v>1525001908</v>
      </c>
      <c r="B2875">
        <v>1525001914</v>
      </c>
      <c r="C2875" t="str">
        <f>T("[e북]상왕 진우몽 7권")</f>
        <v>[e북]상왕 진우몽 7권</v>
      </c>
      <c r="D2875" t="str">
        <f>T("7")</f>
        <v>7</v>
      </c>
      <c r="E2875" t="str">
        <f>T("권용찬")</f>
        <v>권용찬</v>
      </c>
      <c r="H2875" t="str">
        <f>T("스토리위즈")</f>
        <v>스토리위즈</v>
      </c>
      <c r="I2875" t="str">
        <f>T("[e북]상왕 진우몽")</f>
        <v>[e북]상왕 진우몽</v>
      </c>
      <c r="J2875">
        <v>3200</v>
      </c>
      <c r="K2875">
        <v>0</v>
      </c>
      <c r="L2875">
        <v>0</v>
      </c>
      <c r="M2875">
        <v>0</v>
      </c>
      <c r="N2875">
        <v>900</v>
      </c>
      <c r="O2875">
        <v>1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900</v>
      </c>
      <c r="AH2875">
        <v>1</v>
      </c>
      <c r="AI2875">
        <v>0</v>
      </c>
      <c r="AJ2875">
        <v>0</v>
      </c>
      <c r="AK2875">
        <v>900</v>
      </c>
      <c r="AL2875">
        <v>0</v>
      </c>
      <c r="AM2875">
        <v>0</v>
      </c>
      <c r="AN2875">
        <v>0</v>
      </c>
      <c r="AO2875">
        <v>0</v>
      </c>
      <c r="AQ2875">
        <v>0</v>
      </c>
      <c r="AR2875">
        <v>0</v>
      </c>
      <c r="AT2875">
        <v>0</v>
      </c>
      <c r="AU2875">
        <v>0</v>
      </c>
      <c r="AW2875">
        <v>0</v>
      </c>
      <c r="AX2875">
        <v>0</v>
      </c>
      <c r="AY2875">
        <v>630</v>
      </c>
      <c r="BC2875" t="str">
        <f>T("9791159285899")</f>
        <v>9791159285899</v>
      </c>
      <c r="BE2875" t="str">
        <f>T("판타지 e북 &gt; 신무협")</f>
        <v>판타지 e북 &gt; 신무협</v>
      </c>
    </row>
    <row r="2876" spans="1:57" x14ac:dyDescent="0.3">
      <c r="A2876">
        <v>1525010579</v>
      </c>
      <c r="B2876">
        <v>1525010568</v>
      </c>
      <c r="C2876" t="str">
        <f>T("법보다 주먹 10화")</f>
        <v>법보다 주먹 10화</v>
      </c>
      <c r="D2876" t="str">
        <f>T("10")</f>
        <v>10</v>
      </c>
      <c r="E2876" t="str">
        <f>T("백범(白帆)")</f>
        <v>백범(白帆)</v>
      </c>
      <c r="H2876" t="str">
        <f>T("에필로그")</f>
        <v>에필로그</v>
      </c>
      <c r="I2876" t="str">
        <f>T("법보다 주먹")</f>
        <v>법보다 주먹</v>
      </c>
      <c r="J2876">
        <v>0</v>
      </c>
      <c r="K2876">
        <v>0</v>
      </c>
      <c r="L2876">
        <v>0</v>
      </c>
      <c r="M2876">
        <v>1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1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Q2876">
        <v>0</v>
      </c>
      <c r="AR2876">
        <v>0</v>
      </c>
      <c r="AT2876">
        <v>0</v>
      </c>
      <c r="AU2876">
        <v>0</v>
      </c>
      <c r="AW2876">
        <v>0</v>
      </c>
      <c r="AX2876">
        <v>0</v>
      </c>
      <c r="AY2876">
        <v>0</v>
      </c>
      <c r="BC2876" t="str">
        <f>T("9791164489367")</f>
        <v>9791164489367</v>
      </c>
      <c r="BE2876" t="str">
        <f>T("판타지 웹소설 &gt; 현대 판타지")</f>
        <v>판타지 웹소설 &gt; 현대 판타지</v>
      </c>
    </row>
    <row r="2877" spans="1:57" x14ac:dyDescent="0.3">
      <c r="A2877">
        <v>1525013020</v>
      </c>
      <c r="B2877">
        <v>1525013029</v>
      </c>
      <c r="C2877" t="str">
        <f>T("악당의 리턴 10화")</f>
        <v>악당의 리턴 10화</v>
      </c>
      <c r="D2877" t="str">
        <f>T("10")</f>
        <v>10</v>
      </c>
      <c r="E2877" t="str">
        <f>T("백범(白帆)")</f>
        <v>백범(白帆)</v>
      </c>
      <c r="H2877" t="str">
        <f>T("에필로그")</f>
        <v>에필로그</v>
      </c>
      <c r="I2877" t="str">
        <f>T("악당의 리턴")</f>
        <v>악당의 리턴</v>
      </c>
      <c r="J2877">
        <v>0</v>
      </c>
      <c r="K2877">
        <v>0</v>
      </c>
      <c r="L2877">
        <v>0</v>
      </c>
      <c r="M2877">
        <v>6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6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Q2877">
        <v>0</v>
      </c>
      <c r="AR2877">
        <v>0</v>
      </c>
      <c r="AT2877">
        <v>0</v>
      </c>
      <c r="AU2877">
        <v>0</v>
      </c>
      <c r="AW2877">
        <v>0</v>
      </c>
      <c r="AX2877">
        <v>0</v>
      </c>
      <c r="AY2877">
        <v>0</v>
      </c>
      <c r="BC2877" t="str">
        <f>T("9791196538927")</f>
        <v>9791196538927</v>
      </c>
      <c r="BE2877" t="str">
        <f>T("판타지 웹소설 &gt; 현대 판타지")</f>
        <v>판타지 웹소설 &gt; 현대 판타지</v>
      </c>
    </row>
    <row r="2878" spans="1:57" x14ac:dyDescent="0.3">
      <c r="A2878">
        <v>1525000146</v>
      </c>
      <c r="B2878">
        <v>1525000155</v>
      </c>
      <c r="C2878" t="str">
        <f>T("[e북]트루베니아 연대기 10권")</f>
        <v>[e북]트루베니아 연대기 10권</v>
      </c>
      <c r="D2878" t="str">
        <f>T("10")</f>
        <v>10</v>
      </c>
      <c r="E2878" t="str">
        <f>T("김정률")</f>
        <v>김정률</v>
      </c>
      <c r="H2878" t="str">
        <f>T("스토리위즈")</f>
        <v>스토리위즈</v>
      </c>
      <c r="I2878" t="str">
        <f>T("[e북]트루베니아 연대기")</f>
        <v>[e북]트루베니아 연대기</v>
      </c>
      <c r="J2878">
        <v>3200</v>
      </c>
      <c r="K2878">
        <v>0</v>
      </c>
      <c r="L2878">
        <v>0</v>
      </c>
      <c r="M2878">
        <v>0</v>
      </c>
      <c r="N2878">
        <v>9000</v>
      </c>
      <c r="O2878">
        <v>10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9000</v>
      </c>
      <c r="AH2878">
        <v>10</v>
      </c>
      <c r="AI2878">
        <v>0</v>
      </c>
      <c r="AJ2878">
        <v>0</v>
      </c>
      <c r="AK2878">
        <v>4400</v>
      </c>
      <c r="AL2878">
        <v>0</v>
      </c>
      <c r="AM2878">
        <v>5520</v>
      </c>
      <c r="AN2878">
        <v>-1008</v>
      </c>
      <c r="AO2878">
        <v>0</v>
      </c>
      <c r="AP2878">
        <v>1200</v>
      </c>
      <c r="AQ2878">
        <v>-360</v>
      </c>
      <c r="AR2878">
        <v>0</v>
      </c>
      <c r="AS2878">
        <v>4320</v>
      </c>
      <c r="AT2878">
        <v>-648</v>
      </c>
      <c r="AU2878">
        <v>0</v>
      </c>
      <c r="AW2878">
        <v>0</v>
      </c>
      <c r="AX2878">
        <v>0</v>
      </c>
      <c r="AY2878">
        <v>6238.4</v>
      </c>
      <c r="BE2878" t="str">
        <f>T("판타지 e북 &gt; 정통 판타지")</f>
        <v>판타지 e북 &gt; 정통 판타지</v>
      </c>
    </row>
    <row r="2879" spans="1:57" x14ac:dyDescent="0.3">
      <c r="A2879">
        <v>1525000411</v>
      </c>
      <c r="B2879">
        <v>1525000430</v>
      </c>
      <c r="C2879" t="str">
        <f>T("레이드 만물상점 20화")</f>
        <v>레이드 만물상점 20화</v>
      </c>
      <c r="D2879" t="str">
        <f>T("20")</f>
        <v>20</v>
      </c>
      <c r="E2879" t="str">
        <f>T("전혁")</f>
        <v>전혁</v>
      </c>
      <c r="H2879" t="str">
        <f>T("스토리위즈")</f>
        <v>스토리위즈</v>
      </c>
      <c r="I2879" t="str">
        <f>T("레이드 만물상점")</f>
        <v>레이드 만물상점</v>
      </c>
      <c r="J2879">
        <v>0</v>
      </c>
      <c r="K2879">
        <v>0</v>
      </c>
      <c r="L2879">
        <v>0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1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Q2879">
        <v>0</v>
      </c>
      <c r="AR2879">
        <v>0</v>
      </c>
      <c r="AT2879">
        <v>0</v>
      </c>
      <c r="AU2879">
        <v>0</v>
      </c>
      <c r="AW2879">
        <v>0</v>
      </c>
      <c r="AX2879">
        <v>0</v>
      </c>
      <c r="AY2879">
        <v>0</v>
      </c>
      <c r="BC2879" t="str">
        <f>T("9791170151432")</f>
        <v>9791170151432</v>
      </c>
      <c r="BE2879" t="str">
        <f>T("판타지 웹소설 &gt; 현대 판타지")</f>
        <v>판타지 웹소설 &gt; 현대 판타지</v>
      </c>
    </row>
    <row r="2880" spans="1:57" x14ac:dyDescent="0.3">
      <c r="A2880">
        <v>1525010944</v>
      </c>
      <c r="B2880">
        <v>1525010930</v>
      </c>
      <c r="C2880" t="str">
        <f>T("[e북]법보다 주먹 15권")</f>
        <v>[e북]법보다 주먹 15권</v>
      </c>
      <c r="D2880" t="str">
        <f>T("15")</f>
        <v>15</v>
      </c>
      <c r="E2880" t="str">
        <f>T("백범(白帆)")</f>
        <v>백범(白帆)</v>
      </c>
      <c r="H2880" t="str">
        <f>T("에필로그")</f>
        <v>에필로그</v>
      </c>
      <c r="I2880" t="str">
        <f>T("[e북]법보다 주먹")</f>
        <v>[e북]법보다 주먹</v>
      </c>
      <c r="J2880">
        <v>2000</v>
      </c>
      <c r="K2880">
        <v>0</v>
      </c>
      <c r="L2880">
        <v>0</v>
      </c>
      <c r="M2880">
        <v>0</v>
      </c>
      <c r="N2880">
        <v>1800</v>
      </c>
      <c r="O2880">
        <v>2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1800</v>
      </c>
      <c r="AH2880">
        <v>2</v>
      </c>
      <c r="AI2880">
        <v>0</v>
      </c>
      <c r="AJ2880">
        <v>0</v>
      </c>
      <c r="AK2880">
        <v>900</v>
      </c>
      <c r="AL2880">
        <v>0</v>
      </c>
      <c r="AM2880">
        <v>1080</v>
      </c>
      <c r="AN2880">
        <v>-324</v>
      </c>
      <c r="AO2880">
        <v>0</v>
      </c>
      <c r="AQ2880">
        <v>0</v>
      </c>
      <c r="AR2880">
        <v>0</v>
      </c>
      <c r="AS2880">
        <v>1080</v>
      </c>
      <c r="AT2880">
        <v>-324</v>
      </c>
      <c r="AU2880">
        <v>0</v>
      </c>
      <c r="AW2880">
        <v>0</v>
      </c>
      <c r="AX2880">
        <v>0</v>
      </c>
      <c r="AY2880">
        <v>1159.2</v>
      </c>
      <c r="BC2880" t="str">
        <f>T("9791164480142")</f>
        <v>9791164480142</v>
      </c>
      <c r="BE2880" t="str">
        <f>T("판타지 e북 &gt; 현대 판타지")</f>
        <v>판타지 e북 &gt; 현대 판타지</v>
      </c>
    </row>
    <row r="2881" spans="1:57" x14ac:dyDescent="0.3">
      <c r="A2881">
        <v>1525010579</v>
      </c>
      <c r="B2881">
        <v>1525010559</v>
      </c>
      <c r="C2881" t="str">
        <f>T("법보다 주먹 19화")</f>
        <v>법보다 주먹 19화</v>
      </c>
      <c r="D2881" t="str">
        <f>T("19")</f>
        <v>19</v>
      </c>
      <c r="E2881" t="str">
        <f>T("백범(白帆)")</f>
        <v>백범(白帆)</v>
      </c>
      <c r="H2881" t="str">
        <f>T("에필로그")</f>
        <v>에필로그</v>
      </c>
      <c r="I2881" t="str">
        <f>T("법보다 주먹")</f>
        <v>법보다 주먹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1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Q2881">
        <v>0</v>
      </c>
      <c r="AR2881">
        <v>0</v>
      </c>
      <c r="AT2881">
        <v>0</v>
      </c>
      <c r="AU2881">
        <v>0</v>
      </c>
      <c r="AW2881">
        <v>0</v>
      </c>
      <c r="AX2881">
        <v>0</v>
      </c>
      <c r="AY2881">
        <v>0</v>
      </c>
      <c r="BC2881" t="str">
        <f>T("9791164489367")</f>
        <v>9791164489367</v>
      </c>
      <c r="BE2881" t="str">
        <f>T("판타지 웹소설 &gt; 현대 판타지")</f>
        <v>판타지 웹소설 &gt; 현대 판타지</v>
      </c>
    </row>
    <row r="2882" spans="1:57" x14ac:dyDescent="0.3">
      <c r="A2882">
        <v>1525000001</v>
      </c>
      <c r="B2882">
        <v>1525000003</v>
      </c>
      <c r="C2882" t="str">
        <f>T("[e북]마스터 K 3권")</f>
        <v>[e북]마스터 K 3권</v>
      </c>
      <c r="D2882" t="str">
        <f>T("3")</f>
        <v>3</v>
      </c>
      <c r="E2882" t="str">
        <f>T("김광수")</f>
        <v>김광수</v>
      </c>
      <c r="H2882" t="str">
        <f>T("스토리위즈")</f>
        <v>스토리위즈</v>
      </c>
      <c r="I2882" t="str">
        <f>T("[e북]마스터 K")</f>
        <v>[e북]마스터 K</v>
      </c>
      <c r="J2882">
        <v>3200</v>
      </c>
      <c r="K2882">
        <v>0</v>
      </c>
      <c r="L2882">
        <v>0</v>
      </c>
      <c r="M2882">
        <v>0</v>
      </c>
      <c r="N2882">
        <v>900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900</v>
      </c>
      <c r="AH2882">
        <v>1</v>
      </c>
      <c r="AI2882">
        <v>0</v>
      </c>
      <c r="AJ2882">
        <v>0</v>
      </c>
      <c r="AK2882">
        <v>900</v>
      </c>
      <c r="AL2882">
        <v>0</v>
      </c>
      <c r="AM2882">
        <v>0</v>
      </c>
      <c r="AN2882">
        <v>0</v>
      </c>
      <c r="AO2882">
        <v>0</v>
      </c>
      <c r="AQ2882">
        <v>0</v>
      </c>
      <c r="AR2882">
        <v>0</v>
      </c>
      <c r="AT2882">
        <v>0</v>
      </c>
      <c r="AU2882">
        <v>0</v>
      </c>
      <c r="AW2882">
        <v>0</v>
      </c>
      <c r="AX2882">
        <v>0</v>
      </c>
      <c r="AY2882">
        <v>630</v>
      </c>
      <c r="BE2882" t="str">
        <f>T("판타지 e북 &gt; 스포츠물")</f>
        <v>판타지 e북 &gt; 스포츠물</v>
      </c>
    </row>
    <row r="2883" spans="1:57" x14ac:dyDescent="0.3">
      <c r="A2883">
        <v>1525000924</v>
      </c>
      <c r="B2883">
        <v>1525000930</v>
      </c>
      <c r="C2883" t="str">
        <f>T("스피릿 소드 7화")</f>
        <v>스피릿 소드 7화</v>
      </c>
      <c r="D2883" t="str">
        <f>T("7")</f>
        <v>7</v>
      </c>
      <c r="E2883" t="str">
        <f>T("김정률")</f>
        <v>김정률</v>
      </c>
      <c r="H2883" t="str">
        <f>T("스토리위즈")</f>
        <v>스토리위즈</v>
      </c>
      <c r="I2883" t="str">
        <f>T("스피릿 소드")</f>
        <v>스피릿 소드</v>
      </c>
      <c r="J2883">
        <v>0</v>
      </c>
      <c r="K2883">
        <v>0</v>
      </c>
      <c r="L2883">
        <v>0</v>
      </c>
      <c r="M2883">
        <v>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1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Q2883">
        <v>0</v>
      </c>
      <c r="AR2883">
        <v>0</v>
      </c>
      <c r="AT2883">
        <v>0</v>
      </c>
      <c r="AU2883">
        <v>0</v>
      </c>
      <c r="AW2883">
        <v>0</v>
      </c>
      <c r="AX2883">
        <v>0</v>
      </c>
      <c r="AY2883">
        <v>0</v>
      </c>
      <c r="BA2883" t="str">
        <f>T("9791159282713")</f>
        <v>9791159282713</v>
      </c>
      <c r="BC2883" t="str">
        <f>T("9791159282713")</f>
        <v>9791159282713</v>
      </c>
      <c r="BE2883" t="str">
        <f>T("판타지 웹소설 &gt; 정통 판타지")</f>
        <v>판타지 웹소설 &gt; 정통 판타지</v>
      </c>
    </row>
    <row r="2884" spans="1:57" x14ac:dyDescent="0.3">
      <c r="A2884">
        <v>1525000190</v>
      </c>
      <c r="B2884">
        <v>1525000195</v>
      </c>
      <c r="C2884" t="str">
        <f>T("[e북]프리나이트 6권")</f>
        <v>[e북]프리나이트 6권</v>
      </c>
      <c r="D2884" t="str">
        <f>T("6")</f>
        <v>6</v>
      </c>
      <c r="E2884" t="str">
        <f>T("김광수")</f>
        <v>김광수</v>
      </c>
      <c r="H2884" t="str">
        <f>T("스토리위즈")</f>
        <v>스토리위즈</v>
      </c>
      <c r="I2884" t="str">
        <f>T("[e북]프리나이트")</f>
        <v>[e북]프리나이트</v>
      </c>
      <c r="J2884">
        <v>3200</v>
      </c>
      <c r="K2884">
        <v>0</v>
      </c>
      <c r="L2884">
        <v>0</v>
      </c>
      <c r="M2884">
        <v>0</v>
      </c>
      <c r="N2884">
        <v>900</v>
      </c>
      <c r="O2884">
        <v>1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900</v>
      </c>
      <c r="AH2884">
        <v>1</v>
      </c>
      <c r="AI2884">
        <v>0</v>
      </c>
      <c r="AJ2884">
        <v>0</v>
      </c>
      <c r="AK2884">
        <v>900</v>
      </c>
      <c r="AL2884">
        <v>0</v>
      </c>
      <c r="AM2884">
        <v>0</v>
      </c>
      <c r="AN2884">
        <v>0</v>
      </c>
      <c r="AO2884">
        <v>0</v>
      </c>
      <c r="AQ2884">
        <v>0</v>
      </c>
      <c r="AR2884">
        <v>0</v>
      </c>
      <c r="AT2884">
        <v>0</v>
      </c>
      <c r="AU2884">
        <v>0</v>
      </c>
      <c r="AW2884">
        <v>0</v>
      </c>
      <c r="AX2884">
        <v>0</v>
      </c>
      <c r="AY2884">
        <v>630</v>
      </c>
      <c r="BE2884" t="str">
        <f>T("판타지 e북 &gt; 퓨전 판타지")</f>
        <v>판타지 e북 &gt; 퓨전 판타지</v>
      </c>
    </row>
    <row r="2885" spans="1:57" x14ac:dyDescent="0.3">
      <c r="A2885">
        <v>1525000906</v>
      </c>
      <c r="B2885">
        <v>1525000910</v>
      </c>
      <c r="C2885" t="str">
        <f>T("[e북]완전판 | 레이드 만물상점 5권")</f>
        <v>[e북]완전판 | 레이드 만물상점 5권</v>
      </c>
      <c r="D2885" t="str">
        <f>T("5")</f>
        <v>5</v>
      </c>
      <c r="E2885" t="str">
        <f>T("전혁")</f>
        <v>전혁</v>
      </c>
      <c r="H2885" t="str">
        <f>T("스토리위즈")</f>
        <v>스토리위즈</v>
      </c>
      <c r="I2885" t="str">
        <f>T("[e북]완전판 | 레이드 만물상점")</f>
        <v>[e북]완전판 | 레이드 만물상점</v>
      </c>
      <c r="J2885">
        <v>3200</v>
      </c>
      <c r="K2885">
        <v>0</v>
      </c>
      <c r="L2885">
        <v>0</v>
      </c>
      <c r="M2885">
        <v>0</v>
      </c>
      <c r="N2885">
        <v>5400</v>
      </c>
      <c r="O2885">
        <v>6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5400</v>
      </c>
      <c r="AH2885">
        <v>6</v>
      </c>
      <c r="AI2885">
        <v>0</v>
      </c>
      <c r="AJ2885">
        <v>0</v>
      </c>
      <c r="AK2885">
        <v>4300</v>
      </c>
      <c r="AL2885">
        <v>0</v>
      </c>
      <c r="AM2885">
        <v>1320</v>
      </c>
      <c r="AN2885">
        <v>-396</v>
      </c>
      <c r="AO2885">
        <v>0</v>
      </c>
      <c r="AQ2885">
        <v>0</v>
      </c>
      <c r="AR2885">
        <v>0</v>
      </c>
      <c r="AS2885">
        <v>1320</v>
      </c>
      <c r="AT2885">
        <v>-396</v>
      </c>
      <c r="AU2885">
        <v>0</v>
      </c>
      <c r="AW2885">
        <v>0</v>
      </c>
      <c r="AX2885">
        <v>0</v>
      </c>
      <c r="AY2885">
        <v>3656.8</v>
      </c>
      <c r="BC2885" t="str">
        <f>T("9791159282652")</f>
        <v>9791159282652</v>
      </c>
      <c r="BE2885" t="str">
        <f>T("판타지 e북 &gt; 현대 판타지")</f>
        <v>판타지 e북 &gt; 현대 판타지</v>
      </c>
    </row>
    <row r="2886" spans="1:57" x14ac:dyDescent="0.3">
      <c r="A2886">
        <v>1525012202</v>
      </c>
      <c r="B2886">
        <v>1525012194</v>
      </c>
      <c r="C2886" t="str">
        <f>T("이세계 최강 군바리 9화")</f>
        <v>이세계 최강 군바리 9화</v>
      </c>
      <c r="D2886" t="str">
        <f>T("9")</f>
        <v>9</v>
      </c>
      <c r="E2886" t="str">
        <f>T("협행마")</f>
        <v>협행마</v>
      </c>
      <c r="H2886" t="str">
        <f>T("에필로그")</f>
        <v>에필로그</v>
      </c>
      <c r="I2886" t="str">
        <f>T("이세계 최강 군바리")</f>
        <v>이세계 최강 군바리</v>
      </c>
      <c r="J2886">
        <v>0</v>
      </c>
      <c r="K2886">
        <v>0</v>
      </c>
      <c r="L2886">
        <v>0</v>
      </c>
      <c r="M2886">
        <v>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1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Q2886">
        <v>0</v>
      </c>
      <c r="AR2886">
        <v>0</v>
      </c>
      <c r="AT2886">
        <v>0</v>
      </c>
      <c r="AU2886">
        <v>0</v>
      </c>
      <c r="AW2886">
        <v>0</v>
      </c>
      <c r="AX2886">
        <v>0</v>
      </c>
      <c r="AY2886">
        <v>0</v>
      </c>
      <c r="BC2886" t="str">
        <f>T("9791164480159")</f>
        <v>9791164480159</v>
      </c>
      <c r="BE2886" t="str">
        <f>T("판타지 웹소설 &gt; 퓨전 판타지")</f>
        <v>판타지 웹소설 &gt; 퓨전 판타지</v>
      </c>
    </row>
    <row r="2887" spans="1:57" x14ac:dyDescent="0.3">
      <c r="A2887">
        <v>1525000569</v>
      </c>
      <c r="B2887">
        <v>1525000584</v>
      </c>
      <c r="C2887" t="str">
        <f>T("스트라이커 16화")</f>
        <v>스트라이커 16화</v>
      </c>
      <c r="D2887" t="str">
        <f>T("16")</f>
        <v>16</v>
      </c>
      <c r="E2887" t="str">
        <f>T("독고진")</f>
        <v>독고진</v>
      </c>
      <c r="H2887" t="str">
        <f>T("스토리위즈")</f>
        <v>스토리위즈</v>
      </c>
      <c r="I2887" t="str">
        <f>T("스트라이커")</f>
        <v>스트라이커</v>
      </c>
      <c r="J2887">
        <v>0</v>
      </c>
      <c r="K2887">
        <v>0</v>
      </c>
      <c r="L2887">
        <v>0</v>
      </c>
      <c r="M2887">
        <v>1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1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Q2887">
        <v>0</v>
      </c>
      <c r="AR2887">
        <v>0</v>
      </c>
      <c r="AT2887">
        <v>0</v>
      </c>
      <c r="AU2887">
        <v>0</v>
      </c>
      <c r="AW2887">
        <v>0</v>
      </c>
      <c r="AX2887">
        <v>0</v>
      </c>
      <c r="AY2887">
        <v>0</v>
      </c>
      <c r="BC2887" t="str">
        <f>T("9791170151678")</f>
        <v>9791170151678</v>
      </c>
      <c r="BE2887" t="str">
        <f>T("판타지 웹소설 &gt; 현대 판타지")</f>
        <v>판타지 웹소설 &gt; 현대 판타지</v>
      </c>
    </row>
    <row r="2888" spans="1:57" x14ac:dyDescent="0.3">
      <c r="A2888">
        <v>1525010974</v>
      </c>
      <c r="B2888">
        <v>1525010972</v>
      </c>
      <c r="C2888" t="str">
        <f>T("[e북]위사무적 3권")</f>
        <v>[e북]위사무적 3권</v>
      </c>
      <c r="D2888" t="str">
        <f>T("3")</f>
        <v>3</v>
      </c>
      <c r="E2888" t="str">
        <f>T("협행마")</f>
        <v>협행마</v>
      </c>
      <c r="H2888" t="str">
        <f>T("에필로그")</f>
        <v>에필로그</v>
      </c>
      <c r="I2888" t="str">
        <f>T("[e북]위사무적")</f>
        <v>[e북]위사무적</v>
      </c>
      <c r="J2888">
        <v>2000</v>
      </c>
      <c r="K2888">
        <v>0</v>
      </c>
      <c r="L2888">
        <v>0</v>
      </c>
      <c r="M2888">
        <v>0</v>
      </c>
      <c r="N2888">
        <v>630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630</v>
      </c>
      <c r="AH2888">
        <v>1</v>
      </c>
      <c r="AI2888">
        <v>0</v>
      </c>
      <c r="AJ2888">
        <v>0</v>
      </c>
      <c r="AK2888">
        <v>630</v>
      </c>
      <c r="AL2888">
        <v>0</v>
      </c>
      <c r="AM2888">
        <v>0</v>
      </c>
      <c r="AN2888">
        <v>0</v>
      </c>
      <c r="AO2888">
        <v>0</v>
      </c>
      <c r="AQ2888">
        <v>0</v>
      </c>
      <c r="AR2888">
        <v>0</v>
      </c>
      <c r="AT2888">
        <v>0</v>
      </c>
      <c r="AU2888">
        <v>0</v>
      </c>
      <c r="AW2888">
        <v>0</v>
      </c>
      <c r="AX2888">
        <v>0</v>
      </c>
      <c r="AY2888">
        <v>441</v>
      </c>
      <c r="BC2888" t="str">
        <f>T("9791164489015")</f>
        <v>9791164489015</v>
      </c>
      <c r="BE2888" t="str">
        <f>T("판타지 e북 &gt; 신무협")</f>
        <v>판타지 e북 &gt; 신무협</v>
      </c>
    </row>
    <row r="2889" spans="1:57" x14ac:dyDescent="0.3">
      <c r="A2889">
        <v>1525000022</v>
      </c>
      <c r="B2889">
        <v>1525000034</v>
      </c>
      <c r="C2889" t="str">
        <f>T("[e북]마계대공 연대기 12권")</f>
        <v>[e북]마계대공 연대기 12권</v>
      </c>
      <c r="D2889" t="str">
        <f>T("12")</f>
        <v>12</v>
      </c>
      <c r="E2889" t="str">
        <f>T("김광수")</f>
        <v>김광수</v>
      </c>
      <c r="H2889" t="str">
        <f>T("스토리위즈")</f>
        <v>스토리위즈</v>
      </c>
      <c r="I2889" t="str">
        <f>T("[e북]마계대공 연대기")</f>
        <v>[e북]마계대공 연대기</v>
      </c>
      <c r="J2889">
        <v>3200</v>
      </c>
      <c r="K2889">
        <v>0</v>
      </c>
      <c r="L2889">
        <v>0</v>
      </c>
      <c r="M2889">
        <v>0</v>
      </c>
      <c r="N2889">
        <v>1800</v>
      </c>
      <c r="O2889">
        <v>2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1800</v>
      </c>
      <c r="AH2889">
        <v>2</v>
      </c>
      <c r="AI2889">
        <v>0</v>
      </c>
      <c r="AJ2889">
        <v>0</v>
      </c>
      <c r="AK2889">
        <v>900</v>
      </c>
      <c r="AL2889">
        <v>0</v>
      </c>
      <c r="AM2889">
        <v>1080</v>
      </c>
      <c r="AN2889">
        <v>-108</v>
      </c>
      <c r="AO2889">
        <v>0</v>
      </c>
      <c r="AQ2889">
        <v>0</v>
      </c>
      <c r="AR2889">
        <v>0</v>
      </c>
      <c r="AS2889">
        <v>1080</v>
      </c>
      <c r="AT2889">
        <v>-108</v>
      </c>
      <c r="AU2889">
        <v>0</v>
      </c>
      <c r="AW2889">
        <v>0</v>
      </c>
      <c r="AX2889">
        <v>0</v>
      </c>
      <c r="AY2889">
        <v>1310.4000000000001</v>
      </c>
      <c r="BE2889" t="str">
        <f>T("판타지 e북 &gt; 퓨전 판타지")</f>
        <v>판타지 e북 &gt; 퓨전 판타지</v>
      </c>
    </row>
    <row r="2890" spans="1:57" x14ac:dyDescent="0.3">
      <c r="A2890">
        <v>1525004988</v>
      </c>
      <c r="B2890">
        <v>1525005303</v>
      </c>
      <c r="C2890" t="str">
        <f>T("용무쌍 16화")</f>
        <v>용무쌍 16화</v>
      </c>
      <c r="D2890" t="str">
        <f>T("16")</f>
        <v>16</v>
      </c>
      <c r="E2890" t="str">
        <f>T("권용찬")</f>
        <v>권용찬</v>
      </c>
      <c r="H2890" t="str">
        <f>T("스토리위즈")</f>
        <v>스토리위즈</v>
      </c>
      <c r="I2890" t="str">
        <f>T("용무쌍")</f>
        <v>용무쌍</v>
      </c>
      <c r="J2890">
        <v>0</v>
      </c>
      <c r="K2890">
        <v>0</v>
      </c>
      <c r="L2890">
        <v>0</v>
      </c>
      <c r="M2890">
        <v>2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2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Q2890">
        <v>0</v>
      </c>
      <c r="AR2890">
        <v>0</v>
      </c>
      <c r="AT2890">
        <v>0</v>
      </c>
      <c r="AU2890">
        <v>0</v>
      </c>
      <c r="AW2890">
        <v>0</v>
      </c>
      <c r="AX2890">
        <v>0</v>
      </c>
      <c r="AY2890">
        <v>0</v>
      </c>
      <c r="BC2890" t="str">
        <f>T("9791159284861")</f>
        <v>9791159284861</v>
      </c>
      <c r="BE2890" t="str">
        <f>T("판타지 웹소설 &gt; 무협 소설")</f>
        <v>판타지 웹소설 &gt; 무협 소설</v>
      </c>
    </row>
    <row r="2891" spans="1:57" x14ac:dyDescent="0.3">
      <c r="A2891">
        <v>1525011523</v>
      </c>
      <c r="B2891">
        <v>1525011522</v>
      </c>
      <c r="C2891" t="str">
        <f>T("남창목가 2화")</f>
        <v>남창목가 2화</v>
      </c>
      <c r="D2891" t="str">
        <f>T("2")</f>
        <v>2</v>
      </c>
      <c r="E2891" t="str">
        <f>T("최재봉")</f>
        <v>최재봉</v>
      </c>
      <c r="H2891" t="str">
        <f>T("에필로그")</f>
        <v>에필로그</v>
      </c>
      <c r="I2891" t="str">
        <f>T("남창목가")</f>
        <v>남창목가</v>
      </c>
      <c r="J2891">
        <v>0</v>
      </c>
      <c r="K2891">
        <v>0</v>
      </c>
      <c r="L2891">
        <v>0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1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Q2891">
        <v>0</v>
      </c>
      <c r="AR2891">
        <v>0</v>
      </c>
      <c r="AT2891">
        <v>0</v>
      </c>
      <c r="AU2891">
        <v>0</v>
      </c>
      <c r="AW2891">
        <v>0</v>
      </c>
      <c r="AX2891">
        <v>0</v>
      </c>
      <c r="AY2891">
        <v>0</v>
      </c>
      <c r="BC2891" t="str">
        <f>T("9791164482849")</f>
        <v>9791164482849</v>
      </c>
      <c r="BE2891" t="str">
        <f>T("판타지 웹소설 &gt; 무협 소설")</f>
        <v>판타지 웹소설 &gt; 무협 소설</v>
      </c>
    </row>
    <row r="2892" spans="1:57" x14ac:dyDescent="0.3">
      <c r="A2892">
        <v>1525012551</v>
      </c>
      <c r="B2892">
        <v>1525012562</v>
      </c>
      <c r="C2892" t="str">
        <f>T("개정판 | 바보가 만드는 멋진 세상 12화")</f>
        <v>개정판 | 바보가 만드는 멋진 세상 12화</v>
      </c>
      <c r="D2892" t="str">
        <f>T("12")</f>
        <v>12</v>
      </c>
      <c r="E2892" t="str">
        <f>T("백범(白帆)")</f>
        <v>백범(白帆)</v>
      </c>
      <c r="H2892" t="str">
        <f>T("에필로그")</f>
        <v>에필로그</v>
      </c>
      <c r="I2892" t="str">
        <f>T("개정판 | 바보가 만드는 멋진 세상")</f>
        <v>개정판 | 바보가 만드는 멋진 세상</v>
      </c>
      <c r="J2892">
        <v>0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1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Q2892">
        <v>0</v>
      </c>
      <c r="AR2892">
        <v>0</v>
      </c>
      <c r="AT2892">
        <v>0</v>
      </c>
      <c r="AU2892">
        <v>0</v>
      </c>
      <c r="AW2892">
        <v>0</v>
      </c>
      <c r="AX2892">
        <v>0</v>
      </c>
      <c r="AY2892">
        <v>0</v>
      </c>
      <c r="BC2892" t="str">
        <f>T("9791166003493")</f>
        <v>9791166003493</v>
      </c>
      <c r="BE2892" t="str">
        <f>T("판타지 웹소설 &gt; 현대 판타지")</f>
        <v>판타지 웹소설 &gt; 현대 판타지</v>
      </c>
    </row>
    <row r="2893" spans="1:57" x14ac:dyDescent="0.3">
      <c r="A2893">
        <v>1525000055</v>
      </c>
      <c r="B2893">
        <v>1525000069</v>
      </c>
      <c r="C2893" t="str">
        <f>T("[e북]21세기 대마법사 14권")</f>
        <v>[e북]21세기 대마법사 14권</v>
      </c>
      <c r="D2893" t="str">
        <f>T("14")</f>
        <v>14</v>
      </c>
      <c r="E2893" t="str">
        <f>T("김광수")</f>
        <v>김광수</v>
      </c>
      <c r="H2893" t="str">
        <f>T("스토리위즈")</f>
        <v>스토리위즈</v>
      </c>
      <c r="I2893" t="str">
        <f>T("[e북]21세기 대마법사")</f>
        <v>[e북]21세기 대마법사</v>
      </c>
      <c r="J2893">
        <v>3200</v>
      </c>
      <c r="K2893">
        <v>0</v>
      </c>
      <c r="L2893">
        <v>0</v>
      </c>
      <c r="M2893">
        <v>0</v>
      </c>
      <c r="N2893">
        <v>1800</v>
      </c>
      <c r="O2893">
        <v>2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1800</v>
      </c>
      <c r="AH2893">
        <v>2</v>
      </c>
      <c r="AI2893">
        <v>0</v>
      </c>
      <c r="AJ2893">
        <v>0</v>
      </c>
      <c r="AK2893">
        <v>0</v>
      </c>
      <c r="AL2893">
        <v>0</v>
      </c>
      <c r="AM2893">
        <v>2160</v>
      </c>
      <c r="AN2893">
        <v>-432</v>
      </c>
      <c r="AO2893">
        <v>0</v>
      </c>
      <c r="AQ2893">
        <v>0</v>
      </c>
      <c r="AR2893">
        <v>0</v>
      </c>
      <c r="AS2893">
        <v>2160</v>
      </c>
      <c r="AT2893">
        <v>-432</v>
      </c>
      <c r="AU2893">
        <v>0</v>
      </c>
      <c r="AW2893">
        <v>0</v>
      </c>
      <c r="AX2893">
        <v>0</v>
      </c>
      <c r="AY2893">
        <v>1209.5999999999999</v>
      </c>
      <c r="BC2893" t="str">
        <f>T("9788925119755")</f>
        <v>9788925119755</v>
      </c>
      <c r="BE2893" t="str">
        <f>T("판타지 e북 &gt; 퓨전 판타지")</f>
        <v>판타지 e북 &gt; 퓨전 판타지</v>
      </c>
    </row>
    <row r="2894" spans="1:57" x14ac:dyDescent="0.3">
      <c r="A2894">
        <v>1525004799</v>
      </c>
      <c r="B2894">
        <v>1525004815</v>
      </c>
      <c r="C2894" t="str">
        <f>T("검산도해 17화")</f>
        <v>검산도해 17화</v>
      </c>
      <c r="D2894" t="str">
        <f>T("17")</f>
        <v>17</v>
      </c>
      <c r="E2894" t="str">
        <f>T("권용찬")</f>
        <v>권용찬</v>
      </c>
      <c r="H2894" t="str">
        <f>T("스토리위즈")</f>
        <v>스토리위즈</v>
      </c>
      <c r="I2894" t="str">
        <f>T("검산도해")</f>
        <v>검산도해</v>
      </c>
      <c r="J2894">
        <v>0</v>
      </c>
      <c r="K2894">
        <v>0</v>
      </c>
      <c r="L2894">
        <v>0</v>
      </c>
      <c r="M2894">
        <v>2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2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Q2894">
        <v>0</v>
      </c>
      <c r="AR2894">
        <v>0</v>
      </c>
      <c r="AT2894">
        <v>0</v>
      </c>
      <c r="AU2894">
        <v>0</v>
      </c>
      <c r="AW2894">
        <v>0</v>
      </c>
      <c r="AX2894">
        <v>0</v>
      </c>
      <c r="AY2894">
        <v>0</v>
      </c>
      <c r="BC2894" t="str">
        <f>T("9791159285936")</f>
        <v>9791159285936</v>
      </c>
      <c r="BE2894" t="str">
        <f>T("판타지 웹소설 &gt; 무협 소설")</f>
        <v>판타지 웹소설 &gt; 무협 소설</v>
      </c>
    </row>
    <row r="2895" spans="1:57" x14ac:dyDescent="0.3">
      <c r="A2895">
        <v>1525002864</v>
      </c>
      <c r="B2895">
        <v>1525002882</v>
      </c>
      <c r="C2895" t="str">
        <f>T("소드마스터의 환생 19화")</f>
        <v>소드마스터의 환생 19화</v>
      </c>
      <c r="D2895" t="str">
        <f>T("19")</f>
        <v>19</v>
      </c>
      <c r="E2895" t="str">
        <f>T("파란영")</f>
        <v>파란영</v>
      </c>
      <c r="H2895" t="str">
        <f>T("스토리위즈")</f>
        <v>스토리위즈</v>
      </c>
      <c r="I2895" t="str">
        <f>T("소드마스터의 환생")</f>
        <v>소드마스터의 환생</v>
      </c>
      <c r="J2895">
        <v>0</v>
      </c>
      <c r="K2895">
        <v>0</v>
      </c>
      <c r="L2895">
        <v>0</v>
      </c>
      <c r="M2895">
        <v>4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4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Q2895">
        <v>0</v>
      </c>
      <c r="AR2895">
        <v>0</v>
      </c>
      <c r="AT2895">
        <v>0</v>
      </c>
      <c r="AU2895">
        <v>0</v>
      </c>
      <c r="AW2895">
        <v>0</v>
      </c>
      <c r="AX2895">
        <v>0</v>
      </c>
      <c r="AY2895">
        <v>0</v>
      </c>
      <c r="BC2895" t="str">
        <f>T("9791159287527")</f>
        <v>9791159287527</v>
      </c>
      <c r="BE2895" t="str">
        <f>T("판타지 웹소설 &gt; 정통 판타지")</f>
        <v>판타지 웹소설 &gt; 정통 판타지</v>
      </c>
    </row>
    <row r="2896" spans="1:57" x14ac:dyDescent="0.3">
      <c r="A2896">
        <v>1525001317</v>
      </c>
      <c r="B2896">
        <v>1525001331</v>
      </c>
      <c r="C2896" t="str">
        <f>T("[e북]완전판 | 스트라이커 15권 (완결)")</f>
        <v>[e북]완전판 | 스트라이커 15권 (완결)</v>
      </c>
      <c r="D2896" t="str">
        <f>T("15")</f>
        <v>15</v>
      </c>
      <c r="E2896" t="str">
        <f>T("독고진")</f>
        <v>독고진</v>
      </c>
      <c r="H2896" t="str">
        <f>T("스토리위즈")</f>
        <v>스토리위즈</v>
      </c>
      <c r="I2896" t="str">
        <f>T("[e북]완전판 | 스트라이커")</f>
        <v>[e북]완전판 | 스트라이커</v>
      </c>
      <c r="J2896">
        <v>3200</v>
      </c>
      <c r="K2896">
        <v>0</v>
      </c>
      <c r="L2896">
        <v>0</v>
      </c>
      <c r="M2896">
        <v>0</v>
      </c>
      <c r="N2896">
        <v>900</v>
      </c>
      <c r="O2896">
        <v>1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900</v>
      </c>
      <c r="AH2896">
        <v>1</v>
      </c>
      <c r="AI2896">
        <v>0</v>
      </c>
      <c r="AJ2896">
        <v>0</v>
      </c>
      <c r="AK2896">
        <v>900</v>
      </c>
      <c r="AL2896">
        <v>0</v>
      </c>
      <c r="AM2896">
        <v>0</v>
      </c>
      <c r="AN2896">
        <v>0</v>
      </c>
      <c r="AO2896">
        <v>0</v>
      </c>
      <c r="AQ2896">
        <v>0</v>
      </c>
      <c r="AR2896">
        <v>0</v>
      </c>
      <c r="AT2896">
        <v>0</v>
      </c>
      <c r="AU2896">
        <v>0</v>
      </c>
      <c r="AW2896">
        <v>0</v>
      </c>
      <c r="AX2896">
        <v>0</v>
      </c>
      <c r="AY2896">
        <v>630</v>
      </c>
      <c r="BA2896" t="str">
        <f>T("9791159282973")</f>
        <v>9791159282973</v>
      </c>
      <c r="BC2896" t="str">
        <f>T("9791159282973")</f>
        <v>9791159282973</v>
      </c>
      <c r="BE2896" t="str">
        <f>T("판타지 e북 &gt; 스포츠물")</f>
        <v>판타지 e북 &gt; 스포츠물</v>
      </c>
    </row>
    <row r="2897" spans="1:57" x14ac:dyDescent="0.3">
      <c r="A2897">
        <v>1525004799</v>
      </c>
      <c r="B2897">
        <v>1525004806</v>
      </c>
      <c r="C2897" t="str">
        <f>T("검산도해 8화")</f>
        <v>검산도해 8화</v>
      </c>
      <c r="D2897" t="str">
        <f>T("8")</f>
        <v>8</v>
      </c>
      <c r="E2897" t="str">
        <f>T("권용찬")</f>
        <v>권용찬</v>
      </c>
      <c r="H2897" t="str">
        <f>T("스토리위즈")</f>
        <v>스토리위즈</v>
      </c>
      <c r="I2897" t="str">
        <f>T("검산도해")</f>
        <v>검산도해</v>
      </c>
      <c r="J2897">
        <v>0</v>
      </c>
      <c r="K2897">
        <v>0</v>
      </c>
      <c r="L2897">
        <v>0</v>
      </c>
      <c r="M2897">
        <v>4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4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Q2897">
        <v>0</v>
      </c>
      <c r="AR2897">
        <v>0</v>
      </c>
      <c r="AT2897">
        <v>0</v>
      </c>
      <c r="AU2897">
        <v>0</v>
      </c>
      <c r="AW2897">
        <v>0</v>
      </c>
      <c r="AX2897">
        <v>0</v>
      </c>
      <c r="AY2897">
        <v>0</v>
      </c>
      <c r="BC2897" t="str">
        <f>T("9791159285936")</f>
        <v>9791159285936</v>
      </c>
      <c r="BE2897" t="str">
        <f>T("판타지 웹소설 &gt; 무협 소설")</f>
        <v>판타지 웹소설 &gt; 무협 소설</v>
      </c>
    </row>
    <row r="2898" spans="1:57" x14ac:dyDescent="0.3">
      <c r="A2898">
        <v>1525010982</v>
      </c>
      <c r="B2898">
        <v>1525010981</v>
      </c>
      <c r="C2898" t="str">
        <f>T("[e북]이 맛에 회장한다 2권")</f>
        <v>[e북]이 맛에 회장한다 2권</v>
      </c>
      <c r="D2898" t="str">
        <f>T("2")</f>
        <v>2</v>
      </c>
      <c r="E2898" t="str">
        <f>T("협행마")</f>
        <v>협행마</v>
      </c>
      <c r="H2898" t="str">
        <f>T("에필로그")</f>
        <v>에필로그</v>
      </c>
      <c r="I2898" t="str">
        <f>T("[e북]이 맛에 회장한다")</f>
        <v>[e북]이 맛에 회장한다</v>
      </c>
      <c r="J2898">
        <v>2500</v>
      </c>
      <c r="K2898">
        <v>0</v>
      </c>
      <c r="L2898">
        <v>0</v>
      </c>
      <c r="M2898">
        <v>0</v>
      </c>
      <c r="N2898">
        <v>3420</v>
      </c>
      <c r="O2898">
        <v>4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3420</v>
      </c>
      <c r="AH2898">
        <v>4</v>
      </c>
      <c r="AI2898">
        <v>0</v>
      </c>
      <c r="AJ2898">
        <v>0</v>
      </c>
      <c r="AK2898">
        <v>3420</v>
      </c>
      <c r="AL2898">
        <v>0</v>
      </c>
      <c r="AM2898">
        <v>0</v>
      </c>
      <c r="AN2898">
        <v>0</v>
      </c>
      <c r="AO2898">
        <v>0</v>
      </c>
      <c r="AQ2898">
        <v>0</v>
      </c>
      <c r="AR2898">
        <v>0</v>
      </c>
      <c r="AT2898">
        <v>0</v>
      </c>
      <c r="AU2898">
        <v>0</v>
      </c>
      <c r="AW2898">
        <v>0</v>
      </c>
      <c r="AX2898">
        <v>0</v>
      </c>
      <c r="AY2898">
        <v>2394</v>
      </c>
      <c r="BC2898" t="str">
        <f>T("9791164486076")</f>
        <v>9791164486076</v>
      </c>
      <c r="BE2898" t="str">
        <f>T("판타지 e북 &gt; 현대 판타지")</f>
        <v>판타지 e북 &gt; 현대 판타지</v>
      </c>
    </row>
    <row r="2899" spans="1:57" x14ac:dyDescent="0.3">
      <c r="A2899">
        <v>1525000411</v>
      </c>
      <c r="B2899">
        <v>1525000419</v>
      </c>
      <c r="C2899" t="str">
        <f>T("레이드 만물상점 9화")</f>
        <v>레이드 만물상점 9화</v>
      </c>
      <c r="D2899" t="str">
        <f>T("9")</f>
        <v>9</v>
      </c>
      <c r="E2899" t="str">
        <f>T("전혁")</f>
        <v>전혁</v>
      </c>
      <c r="H2899" t="str">
        <f>T("스토리위즈")</f>
        <v>스토리위즈</v>
      </c>
      <c r="I2899" t="str">
        <f>T("레이드 만물상점")</f>
        <v>레이드 만물상점</v>
      </c>
      <c r="J2899">
        <v>0</v>
      </c>
      <c r="K2899">
        <v>0</v>
      </c>
      <c r="L2899">
        <v>0</v>
      </c>
      <c r="M2899">
        <v>1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1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Q2899">
        <v>0</v>
      </c>
      <c r="AR2899">
        <v>0</v>
      </c>
      <c r="AT2899">
        <v>0</v>
      </c>
      <c r="AU2899">
        <v>0</v>
      </c>
      <c r="AW2899">
        <v>0</v>
      </c>
      <c r="AX2899">
        <v>0</v>
      </c>
      <c r="AY2899">
        <v>0</v>
      </c>
      <c r="BC2899" t="str">
        <f>T("9791170151432")</f>
        <v>9791170151432</v>
      </c>
      <c r="BE2899" t="str">
        <f>T("판타지 웹소설 &gt; 현대 판타지")</f>
        <v>판타지 웹소설 &gt; 현대 판타지</v>
      </c>
    </row>
    <row r="2900" spans="1:57" x14ac:dyDescent="0.3">
      <c r="A2900">
        <v>1525010944</v>
      </c>
      <c r="B2900">
        <v>1525010919</v>
      </c>
      <c r="C2900" t="str">
        <f>T("[e북]법보다 주먹 26권")</f>
        <v>[e북]법보다 주먹 26권</v>
      </c>
      <c r="D2900" t="str">
        <f>T("26")</f>
        <v>26</v>
      </c>
      <c r="E2900" t="str">
        <f>T("백범(白帆)")</f>
        <v>백범(白帆)</v>
      </c>
      <c r="H2900" t="str">
        <f>T("에필로그")</f>
        <v>에필로그</v>
      </c>
      <c r="I2900" t="str">
        <f>T("[e북]법보다 주먹")</f>
        <v>[e북]법보다 주먹</v>
      </c>
      <c r="J2900">
        <v>2000</v>
      </c>
      <c r="K2900">
        <v>0</v>
      </c>
      <c r="L2900">
        <v>0</v>
      </c>
      <c r="M2900">
        <v>0</v>
      </c>
      <c r="N2900">
        <v>900</v>
      </c>
      <c r="O2900">
        <v>1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900</v>
      </c>
      <c r="AH2900">
        <v>1</v>
      </c>
      <c r="AI2900">
        <v>0</v>
      </c>
      <c r="AJ2900">
        <v>0</v>
      </c>
      <c r="AK2900">
        <v>900</v>
      </c>
      <c r="AL2900">
        <v>0</v>
      </c>
      <c r="AM2900">
        <v>0</v>
      </c>
      <c r="AN2900">
        <v>0</v>
      </c>
      <c r="AO2900">
        <v>0</v>
      </c>
      <c r="AQ2900">
        <v>0</v>
      </c>
      <c r="AR2900">
        <v>0</v>
      </c>
      <c r="AT2900">
        <v>0</v>
      </c>
      <c r="AU2900">
        <v>0</v>
      </c>
      <c r="AW2900">
        <v>0</v>
      </c>
      <c r="AX2900">
        <v>0</v>
      </c>
      <c r="AY2900">
        <v>630</v>
      </c>
      <c r="BC2900" t="str">
        <f>T("9791164480142")</f>
        <v>9791164480142</v>
      </c>
      <c r="BE2900" t="str">
        <f>T("판타지 e북 &gt; 현대 판타지")</f>
        <v>판타지 e북 &gt; 현대 판타지</v>
      </c>
    </row>
    <row r="2901" spans="1:57" x14ac:dyDescent="0.3">
      <c r="A2901">
        <v>1525001317</v>
      </c>
      <c r="B2901">
        <v>1525001320</v>
      </c>
      <c r="C2901" t="str">
        <f>T("[e북]완전판 | 스트라이커 4권")</f>
        <v>[e북]완전판 | 스트라이커 4권</v>
      </c>
      <c r="D2901" t="str">
        <f>T("4")</f>
        <v>4</v>
      </c>
      <c r="E2901" t="str">
        <f>T("독고진")</f>
        <v>독고진</v>
      </c>
      <c r="H2901" t="str">
        <f>T("스토리위즈")</f>
        <v>스토리위즈</v>
      </c>
      <c r="I2901" t="str">
        <f>T("[e북]완전판 | 스트라이커")</f>
        <v>[e북]완전판 | 스트라이커</v>
      </c>
      <c r="J2901">
        <v>3200</v>
      </c>
      <c r="K2901">
        <v>0</v>
      </c>
      <c r="L2901">
        <v>0</v>
      </c>
      <c r="M2901">
        <v>0</v>
      </c>
      <c r="N2901">
        <v>2700</v>
      </c>
      <c r="O2901">
        <v>3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2700</v>
      </c>
      <c r="AH2901">
        <v>3</v>
      </c>
      <c r="AI2901">
        <v>0</v>
      </c>
      <c r="AJ2901">
        <v>0</v>
      </c>
      <c r="AK2901">
        <v>2700</v>
      </c>
      <c r="AL2901">
        <v>0</v>
      </c>
      <c r="AM2901">
        <v>0</v>
      </c>
      <c r="AN2901">
        <v>0</v>
      </c>
      <c r="AO2901">
        <v>0</v>
      </c>
      <c r="AQ2901">
        <v>0</v>
      </c>
      <c r="AR2901">
        <v>0</v>
      </c>
      <c r="AT2901">
        <v>0</v>
      </c>
      <c r="AU2901">
        <v>0</v>
      </c>
      <c r="AW2901">
        <v>0</v>
      </c>
      <c r="AX2901">
        <v>0</v>
      </c>
      <c r="AY2901">
        <v>1890</v>
      </c>
      <c r="BA2901" t="str">
        <f>T("9791159282867")</f>
        <v>9791159282867</v>
      </c>
      <c r="BC2901" t="str">
        <f>T("9791159282867")</f>
        <v>9791159282867</v>
      </c>
      <c r="BE2901" t="str">
        <f>T("판타지 e북 &gt; 스포츠물")</f>
        <v>판타지 e북 &gt; 스포츠물</v>
      </c>
    </row>
    <row r="2902" spans="1:57" x14ac:dyDescent="0.3">
      <c r="A2902">
        <v>1525000209</v>
      </c>
      <c r="B2902">
        <v>1525000213</v>
      </c>
      <c r="C2902" t="str">
        <f>T("[e북]독종무쌍 5권")</f>
        <v>[e북]독종무쌍 5권</v>
      </c>
      <c r="D2902" t="str">
        <f>T("5")</f>
        <v>5</v>
      </c>
      <c r="E2902" t="str">
        <f>T("전혁")</f>
        <v>전혁</v>
      </c>
      <c r="H2902" t="str">
        <f>T("스토리위즈")</f>
        <v>스토리위즈</v>
      </c>
      <c r="I2902" t="str">
        <f>T("[e북]독종무쌍")</f>
        <v>[e북]독종무쌍</v>
      </c>
      <c r="J2902">
        <v>3200</v>
      </c>
      <c r="K2902">
        <v>0</v>
      </c>
      <c r="L2902">
        <v>0</v>
      </c>
      <c r="M2902">
        <v>0</v>
      </c>
      <c r="N2902">
        <v>900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900</v>
      </c>
      <c r="AH2902">
        <v>1</v>
      </c>
      <c r="AI2902">
        <v>0</v>
      </c>
      <c r="AJ2902">
        <v>0</v>
      </c>
      <c r="AK2902">
        <v>250</v>
      </c>
      <c r="AL2902">
        <v>0</v>
      </c>
      <c r="AM2902">
        <v>780</v>
      </c>
      <c r="AN2902">
        <v>-78</v>
      </c>
      <c r="AO2902">
        <v>0</v>
      </c>
      <c r="AQ2902">
        <v>0</v>
      </c>
      <c r="AR2902">
        <v>0</v>
      </c>
      <c r="AS2902">
        <v>780</v>
      </c>
      <c r="AT2902">
        <v>-78</v>
      </c>
      <c r="AU2902">
        <v>0</v>
      </c>
      <c r="AW2902">
        <v>0</v>
      </c>
      <c r="AX2902">
        <v>0</v>
      </c>
      <c r="AY2902">
        <v>666.4</v>
      </c>
      <c r="BC2902" t="str">
        <f>T("9791195310074")</f>
        <v>9791195310074</v>
      </c>
      <c r="BE2902" t="str">
        <f>T("판타지 e북 &gt; 신무협")</f>
        <v>판타지 e북 &gt; 신무협</v>
      </c>
    </row>
    <row r="2903" spans="1:57" x14ac:dyDescent="0.3">
      <c r="A2903">
        <v>1525010800</v>
      </c>
      <c r="B2903">
        <v>1525010800</v>
      </c>
      <c r="C2903" t="str">
        <f>T("[e북]무림병장 1권")</f>
        <v>[e북]무림병장 1권</v>
      </c>
      <c r="D2903" t="str">
        <f>T("1")</f>
        <v>1</v>
      </c>
      <c r="E2903" t="str">
        <f>T("협행마")</f>
        <v>협행마</v>
      </c>
      <c r="H2903" t="str">
        <f>T("에필로그")</f>
        <v>에필로그</v>
      </c>
      <c r="I2903" t="str">
        <f>T("[e북]무림병장")</f>
        <v>[e북]무림병장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1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Q2903">
        <v>0</v>
      </c>
      <c r="AR2903">
        <v>0</v>
      </c>
      <c r="AT2903">
        <v>0</v>
      </c>
      <c r="AU2903">
        <v>0</v>
      </c>
      <c r="AW2903">
        <v>0</v>
      </c>
      <c r="AX2903">
        <v>0</v>
      </c>
      <c r="AY2903">
        <v>0</v>
      </c>
      <c r="BC2903" t="str">
        <f>T("9791166000409")</f>
        <v>9791166000409</v>
      </c>
      <c r="BE2903" t="str">
        <f>T("판타지 e북 &gt; 신무협")</f>
        <v>판타지 e북 &gt; 신무협</v>
      </c>
    </row>
    <row r="2904" spans="1:57" x14ac:dyDescent="0.3">
      <c r="A2904">
        <v>1525013020</v>
      </c>
      <c r="B2904">
        <v>1525013039</v>
      </c>
      <c r="C2904" t="str">
        <f>T("악당의 리턴 20화")</f>
        <v>악당의 리턴 20화</v>
      </c>
      <c r="D2904" t="str">
        <f>T("20")</f>
        <v>20</v>
      </c>
      <c r="E2904" t="str">
        <f>T("백범(白帆)")</f>
        <v>백범(白帆)</v>
      </c>
      <c r="H2904" t="str">
        <f>T("에필로그")</f>
        <v>에필로그</v>
      </c>
      <c r="I2904" t="str">
        <f>T("악당의 리턴")</f>
        <v>악당의 리턴</v>
      </c>
      <c r="J2904">
        <v>0</v>
      </c>
      <c r="K2904">
        <v>0</v>
      </c>
      <c r="L2904">
        <v>0</v>
      </c>
      <c r="M2904">
        <v>6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6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Q2904">
        <v>0</v>
      </c>
      <c r="AR2904">
        <v>0</v>
      </c>
      <c r="AT2904">
        <v>0</v>
      </c>
      <c r="AU2904">
        <v>0</v>
      </c>
      <c r="AW2904">
        <v>0</v>
      </c>
      <c r="AX2904">
        <v>0</v>
      </c>
      <c r="AY2904">
        <v>0</v>
      </c>
      <c r="BC2904" t="str">
        <f>T("9791196538927")</f>
        <v>9791196538927</v>
      </c>
      <c r="BE2904" t="str">
        <f>T("판타지 웹소설 &gt; 현대 판타지")</f>
        <v>판타지 웹소설 &gt; 현대 판타지</v>
      </c>
    </row>
    <row r="2905" spans="1:57" x14ac:dyDescent="0.3">
      <c r="A2905">
        <v>1525008229</v>
      </c>
      <c r="B2905">
        <v>1525008240</v>
      </c>
      <c r="C2905" t="str">
        <f>T("뉴욕 키스 스캔들 2화")</f>
        <v>뉴욕 키스 스캔들 2화</v>
      </c>
      <c r="D2905" t="str">
        <f>T("2")</f>
        <v>2</v>
      </c>
      <c r="E2905" t="str">
        <f>T("용가리맛쿠키")</f>
        <v>용가리맛쿠키</v>
      </c>
      <c r="H2905" t="str">
        <f>T("블러쉬")</f>
        <v>블러쉬</v>
      </c>
      <c r="I2905" t="str">
        <f>T("뉴욕 키스 스캔들")</f>
        <v>뉴욕 키스 스캔들</v>
      </c>
      <c r="J2905">
        <v>0</v>
      </c>
      <c r="K2905">
        <v>0</v>
      </c>
      <c r="L2905">
        <v>0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1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Q2905">
        <v>0</v>
      </c>
      <c r="AR2905">
        <v>0</v>
      </c>
      <c r="AT2905">
        <v>0</v>
      </c>
      <c r="AU2905">
        <v>0</v>
      </c>
      <c r="AW2905">
        <v>0</v>
      </c>
      <c r="AX2905">
        <v>0</v>
      </c>
      <c r="AY2905">
        <v>0</v>
      </c>
      <c r="BA2905" t="str">
        <f>T("0000000000000")</f>
        <v>0000000000000</v>
      </c>
      <c r="BC2905" t="str">
        <f>T("9791164896677")</f>
        <v>9791164896677</v>
      </c>
      <c r="BD2905" t="str">
        <f>T("B11")</f>
        <v>B11</v>
      </c>
      <c r="BE2905" t="str">
        <f>T("BL 웹소설 &gt; 현대물")</f>
        <v>BL 웹소설 &gt; 현대물</v>
      </c>
    </row>
    <row r="2906" spans="1:57" x14ac:dyDescent="0.3">
      <c r="A2906">
        <v>1525000569</v>
      </c>
      <c r="B2906">
        <v>1525000573</v>
      </c>
      <c r="C2906" t="str">
        <f>T("스트라이커 5화")</f>
        <v>스트라이커 5화</v>
      </c>
      <c r="D2906" t="str">
        <f>T("5")</f>
        <v>5</v>
      </c>
      <c r="E2906" t="str">
        <f>T("독고진")</f>
        <v>독고진</v>
      </c>
      <c r="H2906" t="str">
        <f>T("스토리위즈")</f>
        <v>스토리위즈</v>
      </c>
      <c r="I2906" t="str">
        <f>T("스트라이커")</f>
        <v>스트라이커</v>
      </c>
      <c r="J2906">
        <v>0</v>
      </c>
      <c r="K2906">
        <v>0</v>
      </c>
      <c r="L2906">
        <v>0</v>
      </c>
      <c r="M2906">
        <v>2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2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Q2906">
        <v>0</v>
      </c>
      <c r="AR2906">
        <v>0</v>
      </c>
      <c r="AT2906">
        <v>0</v>
      </c>
      <c r="AU2906">
        <v>0</v>
      </c>
      <c r="AW2906">
        <v>0</v>
      </c>
      <c r="AX2906">
        <v>0</v>
      </c>
      <c r="AY2906">
        <v>0</v>
      </c>
      <c r="BC2906" t="str">
        <f>T("9791170151678")</f>
        <v>9791170151678</v>
      </c>
      <c r="BE2906" t="str">
        <f>T("판타지 웹소설 &gt; 현대 판타지")</f>
        <v>판타지 웹소설 &gt; 현대 판타지</v>
      </c>
    </row>
    <row r="2907" spans="1:57" x14ac:dyDescent="0.3">
      <c r="A2907">
        <v>1525013344</v>
      </c>
      <c r="B2907">
        <v>1525013346</v>
      </c>
      <c r="C2907" t="str">
        <f>T("[e북]진짜 사나이 3권")</f>
        <v>[e북]진짜 사나이 3권</v>
      </c>
      <c r="D2907" t="str">
        <f>T("3")</f>
        <v>3</v>
      </c>
      <c r="E2907" t="str">
        <f>T("백범(白帆)")</f>
        <v>백범(白帆)</v>
      </c>
      <c r="H2907" t="str">
        <f>T("에필로그")</f>
        <v>에필로그</v>
      </c>
      <c r="I2907" t="str">
        <f>T("[e북]진짜 사나이")</f>
        <v>[e북]진짜 사나이</v>
      </c>
      <c r="J2907">
        <v>2000</v>
      </c>
      <c r="K2907">
        <v>0</v>
      </c>
      <c r="L2907">
        <v>0</v>
      </c>
      <c r="M2907">
        <v>0</v>
      </c>
      <c r="N2907">
        <v>900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900</v>
      </c>
      <c r="AH2907">
        <v>1</v>
      </c>
      <c r="AI2907">
        <v>0</v>
      </c>
      <c r="AJ2907">
        <v>0</v>
      </c>
      <c r="AK2907">
        <v>900</v>
      </c>
      <c r="AL2907">
        <v>0</v>
      </c>
      <c r="AM2907">
        <v>0</v>
      </c>
      <c r="AN2907">
        <v>0</v>
      </c>
      <c r="AO2907">
        <v>0</v>
      </c>
      <c r="AQ2907">
        <v>0</v>
      </c>
      <c r="AR2907">
        <v>0</v>
      </c>
      <c r="AT2907">
        <v>0</v>
      </c>
      <c r="AU2907">
        <v>0</v>
      </c>
      <c r="AW2907">
        <v>0</v>
      </c>
      <c r="AX2907">
        <v>0</v>
      </c>
      <c r="AY2907">
        <v>630</v>
      </c>
      <c r="BC2907" t="str">
        <f>T("9791164480548")</f>
        <v>9791164480548</v>
      </c>
      <c r="BE2907" t="str">
        <f>T("판타지 e북 &gt; 퓨전 판타지")</f>
        <v>판타지 e북 &gt; 퓨전 판타지</v>
      </c>
    </row>
    <row r="2908" spans="1:57" x14ac:dyDescent="0.3">
      <c r="A2908">
        <v>1525010944</v>
      </c>
      <c r="B2908">
        <v>1525010940</v>
      </c>
      <c r="C2908" t="str">
        <f>T("[e북]법보다 주먹 5권")</f>
        <v>[e북]법보다 주먹 5권</v>
      </c>
      <c r="D2908" t="str">
        <f>T("5")</f>
        <v>5</v>
      </c>
      <c r="E2908" t="str">
        <f>T("백범(白帆)")</f>
        <v>백범(白帆)</v>
      </c>
      <c r="H2908" t="str">
        <f>T("에필로그")</f>
        <v>에필로그</v>
      </c>
      <c r="I2908" t="str">
        <f>T("[e북]법보다 주먹")</f>
        <v>[e북]법보다 주먹</v>
      </c>
      <c r="J2908">
        <v>2000</v>
      </c>
      <c r="K2908">
        <v>0</v>
      </c>
      <c r="L2908">
        <v>0</v>
      </c>
      <c r="M2908">
        <v>0</v>
      </c>
      <c r="N2908">
        <v>1800</v>
      </c>
      <c r="O2908">
        <v>2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1800</v>
      </c>
      <c r="AH2908">
        <v>2</v>
      </c>
      <c r="AI2908">
        <v>0</v>
      </c>
      <c r="AJ2908">
        <v>0</v>
      </c>
      <c r="AK2908">
        <v>0</v>
      </c>
      <c r="AL2908">
        <v>0</v>
      </c>
      <c r="AM2908">
        <v>2160</v>
      </c>
      <c r="AN2908">
        <v>-432</v>
      </c>
      <c r="AO2908">
        <v>0</v>
      </c>
      <c r="AQ2908">
        <v>0</v>
      </c>
      <c r="AR2908">
        <v>0</v>
      </c>
      <c r="AS2908">
        <v>2160</v>
      </c>
      <c r="AT2908">
        <v>-432</v>
      </c>
      <c r="AU2908">
        <v>0</v>
      </c>
      <c r="AW2908">
        <v>0</v>
      </c>
      <c r="AX2908">
        <v>0</v>
      </c>
      <c r="AY2908">
        <v>1209.5999999999999</v>
      </c>
      <c r="BC2908" t="str">
        <f>T("9791164480142")</f>
        <v>9791164480142</v>
      </c>
      <c r="BE2908" t="str">
        <f>T("판타지 e북 &gt; 현대 판타지")</f>
        <v>판타지 e북 &gt; 현대 판타지</v>
      </c>
    </row>
    <row r="2909" spans="1:57" x14ac:dyDescent="0.3">
      <c r="A2909">
        <v>1525000022</v>
      </c>
      <c r="B2909">
        <v>1525000022</v>
      </c>
      <c r="C2909" t="str">
        <f>T("[e북]마계대공 연대기 1권")</f>
        <v>[e북]마계대공 연대기 1권</v>
      </c>
      <c r="D2909" t="str">
        <f>T("1")</f>
        <v>1</v>
      </c>
      <c r="E2909" t="str">
        <f>T("김광수")</f>
        <v>김광수</v>
      </c>
      <c r="H2909" t="str">
        <f>T("스토리위즈")</f>
        <v>스토리위즈</v>
      </c>
      <c r="I2909" t="str">
        <f>T("[e북]마계대공 연대기")</f>
        <v>[e북]마계대공 연대기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1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Q2909">
        <v>0</v>
      </c>
      <c r="AR2909">
        <v>0</v>
      </c>
      <c r="AT2909">
        <v>0</v>
      </c>
      <c r="AU2909">
        <v>0</v>
      </c>
      <c r="AW2909">
        <v>0</v>
      </c>
      <c r="AX2909">
        <v>0</v>
      </c>
      <c r="AY2909">
        <v>0</v>
      </c>
      <c r="BE2909" t="str">
        <f>T("판타지 e북 &gt; 퓨전 판타지")</f>
        <v>판타지 e북 &gt; 퓨전 판타지</v>
      </c>
    </row>
    <row r="2910" spans="1:57" x14ac:dyDescent="0.3">
      <c r="A2910">
        <v>1525004988</v>
      </c>
      <c r="B2910">
        <v>1525005292</v>
      </c>
      <c r="C2910" t="str">
        <f>T("용무쌍 5화")</f>
        <v>용무쌍 5화</v>
      </c>
      <c r="D2910" t="str">
        <f>T("5")</f>
        <v>5</v>
      </c>
      <c r="E2910" t="str">
        <f>T("권용찬")</f>
        <v>권용찬</v>
      </c>
      <c r="H2910" t="str">
        <f>T("스토리위즈")</f>
        <v>스토리위즈</v>
      </c>
      <c r="I2910" t="str">
        <f>T("용무쌍")</f>
        <v>용무쌍</v>
      </c>
      <c r="J2910">
        <v>0</v>
      </c>
      <c r="K2910">
        <v>0</v>
      </c>
      <c r="L2910">
        <v>0</v>
      </c>
      <c r="M2910">
        <v>2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2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Q2910">
        <v>0</v>
      </c>
      <c r="AR2910">
        <v>0</v>
      </c>
      <c r="AT2910">
        <v>0</v>
      </c>
      <c r="AU2910">
        <v>0</v>
      </c>
      <c r="AW2910">
        <v>0</v>
      </c>
      <c r="AX2910">
        <v>0</v>
      </c>
      <c r="AY2910">
        <v>0</v>
      </c>
      <c r="BC2910" t="str">
        <f>T("9791159284861")</f>
        <v>9791159284861</v>
      </c>
      <c r="BE2910" t="str">
        <f>T("판타지 웹소설 &gt; 무협 소설")</f>
        <v>판타지 웹소설 &gt; 무협 소설</v>
      </c>
    </row>
    <row r="2911" spans="1:57" x14ac:dyDescent="0.3">
      <c r="A2911">
        <v>1525003477</v>
      </c>
      <c r="B2911">
        <v>1525003480</v>
      </c>
      <c r="C2911" t="str">
        <f>T("[e북]신규무사 4권")</f>
        <v>[e북]신규무사 4권</v>
      </c>
      <c r="D2911" t="str">
        <f>T("4")</f>
        <v>4</v>
      </c>
      <c r="E2911" t="str">
        <f>T("권용찬")</f>
        <v>권용찬</v>
      </c>
      <c r="H2911" t="str">
        <f>T("스토리위즈")</f>
        <v>스토리위즈</v>
      </c>
      <c r="I2911" t="str">
        <f>T("[e북]신규무사")</f>
        <v>[e북]신규무사</v>
      </c>
      <c r="J2911">
        <v>3200</v>
      </c>
      <c r="K2911">
        <v>0</v>
      </c>
      <c r="L2911">
        <v>0</v>
      </c>
      <c r="M2911">
        <v>0</v>
      </c>
      <c r="N2911">
        <v>900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900</v>
      </c>
      <c r="AH2911">
        <v>1</v>
      </c>
      <c r="AI2911">
        <v>0</v>
      </c>
      <c r="AJ2911">
        <v>0</v>
      </c>
      <c r="AK2911">
        <v>900</v>
      </c>
      <c r="AL2911">
        <v>0</v>
      </c>
      <c r="AM2911">
        <v>0</v>
      </c>
      <c r="AN2911">
        <v>0</v>
      </c>
      <c r="AO2911">
        <v>0</v>
      </c>
      <c r="AQ2911">
        <v>0</v>
      </c>
      <c r="AR2911">
        <v>0</v>
      </c>
      <c r="AT2911">
        <v>0</v>
      </c>
      <c r="AU2911">
        <v>0</v>
      </c>
      <c r="AW2911">
        <v>0</v>
      </c>
      <c r="AX2911">
        <v>0</v>
      </c>
      <c r="AY2911">
        <v>630</v>
      </c>
      <c r="BC2911" t="str">
        <f>T("9791159288531")</f>
        <v>9791159288531</v>
      </c>
      <c r="BE2911" t="str">
        <f>T("판타지 e북 &gt; 신무협")</f>
        <v>판타지 e북 &gt; 신무협</v>
      </c>
    </row>
    <row r="2912" spans="1:57" x14ac:dyDescent="0.3">
      <c r="A2912">
        <v>1525000924</v>
      </c>
      <c r="B2912">
        <v>1525000940</v>
      </c>
      <c r="C2912" t="str">
        <f>T("스피릿 소드 17화")</f>
        <v>스피릿 소드 17화</v>
      </c>
      <c r="D2912" t="str">
        <f>T("17")</f>
        <v>17</v>
      </c>
      <c r="E2912" t="str">
        <f>T("김정률")</f>
        <v>김정률</v>
      </c>
      <c r="H2912" t="str">
        <f>T("스토리위즈")</f>
        <v>스토리위즈</v>
      </c>
      <c r="I2912" t="str">
        <f>T("스피릿 소드")</f>
        <v>스피릿 소드</v>
      </c>
      <c r="J2912">
        <v>0</v>
      </c>
      <c r="K2912">
        <v>0</v>
      </c>
      <c r="L2912">
        <v>0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1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Q2912">
        <v>0</v>
      </c>
      <c r="AR2912">
        <v>0</v>
      </c>
      <c r="AT2912">
        <v>0</v>
      </c>
      <c r="AU2912">
        <v>0</v>
      </c>
      <c r="AW2912">
        <v>0</v>
      </c>
      <c r="AX2912">
        <v>0</v>
      </c>
      <c r="AY2912">
        <v>0</v>
      </c>
      <c r="BA2912" t="str">
        <f>T("9791159282713")</f>
        <v>9791159282713</v>
      </c>
      <c r="BC2912" t="str">
        <f>T("9791159282713")</f>
        <v>9791159282713</v>
      </c>
      <c r="BE2912" t="str">
        <f>T("판타지 웹소설 &gt; 정통 판타지")</f>
        <v>판타지 웹소설 &gt; 정통 판타지</v>
      </c>
    </row>
    <row r="2913" spans="1:57" x14ac:dyDescent="0.3">
      <c r="A2913">
        <v>1525012551</v>
      </c>
      <c r="B2913">
        <v>1525012551</v>
      </c>
      <c r="C2913" t="str">
        <f>T("개정판 | 바보가 만드는 멋진 세상 1화")</f>
        <v>개정판 | 바보가 만드는 멋진 세상 1화</v>
      </c>
      <c r="D2913" t="str">
        <f>T("1")</f>
        <v>1</v>
      </c>
      <c r="E2913" t="str">
        <f>T("백범(白帆)")</f>
        <v>백범(白帆)</v>
      </c>
      <c r="H2913" t="str">
        <f>T("에필로그")</f>
        <v>에필로그</v>
      </c>
      <c r="I2913" t="str">
        <f>T("개정판 | 바보가 만드는 멋진 세상")</f>
        <v>개정판 | 바보가 만드는 멋진 세상</v>
      </c>
      <c r="J2913">
        <v>0</v>
      </c>
      <c r="K2913">
        <v>0</v>
      </c>
      <c r="L2913">
        <v>0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1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Q2913">
        <v>0</v>
      </c>
      <c r="AR2913">
        <v>0</v>
      </c>
      <c r="AT2913">
        <v>0</v>
      </c>
      <c r="AU2913">
        <v>0</v>
      </c>
      <c r="AW2913">
        <v>0</v>
      </c>
      <c r="AX2913">
        <v>0</v>
      </c>
      <c r="AY2913">
        <v>0</v>
      </c>
      <c r="BC2913" t="str">
        <f>T("9791166003493")</f>
        <v>9791166003493</v>
      </c>
      <c r="BE2913" t="str">
        <f>T("판타지 웹소설 &gt; 현대 판타지")</f>
        <v>판타지 웹소설 &gt; 현대 판타지</v>
      </c>
    </row>
    <row r="2914" spans="1:57" x14ac:dyDescent="0.3">
      <c r="A2914">
        <v>1525002692</v>
      </c>
      <c r="B2914">
        <v>1525002697</v>
      </c>
      <c r="C2914" t="str">
        <f>T("신규무사 6화")</f>
        <v>신규무사 6화</v>
      </c>
      <c r="D2914" t="str">
        <f>T("6")</f>
        <v>6</v>
      </c>
      <c r="E2914" t="str">
        <f>T("권용찬")</f>
        <v>권용찬</v>
      </c>
      <c r="H2914" t="str">
        <f>T("스토리위즈")</f>
        <v>스토리위즈</v>
      </c>
      <c r="I2914" t="str">
        <f>T("신규무사")</f>
        <v>신규무사</v>
      </c>
      <c r="J2914">
        <v>0</v>
      </c>
      <c r="K2914">
        <v>0</v>
      </c>
      <c r="L2914">
        <v>0</v>
      </c>
      <c r="M2914">
        <v>1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1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Q2914">
        <v>0</v>
      </c>
      <c r="AR2914">
        <v>0</v>
      </c>
      <c r="AT2914">
        <v>0</v>
      </c>
      <c r="AU2914">
        <v>0</v>
      </c>
      <c r="AW2914">
        <v>0</v>
      </c>
      <c r="AX2914">
        <v>0</v>
      </c>
      <c r="AY2914">
        <v>0</v>
      </c>
      <c r="BC2914" t="str">
        <f>T("9791159287480")</f>
        <v>9791159287480</v>
      </c>
      <c r="BE2914" t="str">
        <f>T("판타지 웹소설 &gt; 무협 소설")</f>
        <v>판타지 웹소설 &gt; 무협 소설</v>
      </c>
    </row>
    <row r="2915" spans="1:57" x14ac:dyDescent="0.3">
      <c r="A2915">
        <v>1525000055</v>
      </c>
      <c r="B2915">
        <v>1525000058</v>
      </c>
      <c r="C2915" t="str">
        <f>T("[e북]21세기 대마법사 3권")</f>
        <v>[e북]21세기 대마법사 3권</v>
      </c>
      <c r="D2915" t="str">
        <f>T("3")</f>
        <v>3</v>
      </c>
      <c r="E2915" t="str">
        <f>T("김광수")</f>
        <v>김광수</v>
      </c>
      <c r="H2915" t="str">
        <f>T("스토리위즈")</f>
        <v>스토리위즈</v>
      </c>
      <c r="I2915" t="str">
        <f>T("[e북]21세기 대마법사")</f>
        <v>[e북]21세기 대마법사</v>
      </c>
      <c r="J2915">
        <v>3200</v>
      </c>
      <c r="K2915">
        <v>0</v>
      </c>
      <c r="L2915">
        <v>0</v>
      </c>
      <c r="M2915">
        <v>0</v>
      </c>
      <c r="N2915">
        <v>3600</v>
      </c>
      <c r="O2915">
        <v>4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3600</v>
      </c>
      <c r="AH2915">
        <v>4</v>
      </c>
      <c r="AI2915">
        <v>0</v>
      </c>
      <c r="AJ2915">
        <v>0</v>
      </c>
      <c r="AK2915">
        <v>900</v>
      </c>
      <c r="AL2915">
        <v>0</v>
      </c>
      <c r="AM2915">
        <v>3240</v>
      </c>
      <c r="AN2915">
        <v>-540</v>
      </c>
      <c r="AO2915">
        <v>0</v>
      </c>
      <c r="AQ2915">
        <v>0</v>
      </c>
      <c r="AR2915">
        <v>0</v>
      </c>
      <c r="AS2915">
        <v>3240</v>
      </c>
      <c r="AT2915">
        <v>-540</v>
      </c>
      <c r="AU2915">
        <v>0</v>
      </c>
      <c r="AW2915">
        <v>0</v>
      </c>
      <c r="AX2915">
        <v>0</v>
      </c>
      <c r="AY2915">
        <v>2520</v>
      </c>
      <c r="BC2915" t="str">
        <f>T("9788925116501")</f>
        <v>9788925116501</v>
      </c>
      <c r="BE2915" t="str">
        <f>T("판타지 e북 &gt; 퓨전 판타지")</f>
        <v>판타지 e북 &gt; 퓨전 판타지</v>
      </c>
    </row>
    <row r="2916" spans="1:57" x14ac:dyDescent="0.3">
      <c r="A2916">
        <v>1525004030</v>
      </c>
      <c r="B2916">
        <v>1525004046</v>
      </c>
      <c r="C2916" t="str">
        <f>T("회귀의 전설 17화")</f>
        <v>회귀의 전설 17화</v>
      </c>
      <c r="D2916" t="str">
        <f>T("17")</f>
        <v>17</v>
      </c>
      <c r="E2916" t="str">
        <f>T("김광수")</f>
        <v>김광수</v>
      </c>
      <c r="H2916" t="str">
        <f>T("스토리위즈")</f>
        <v>스토리위즈</v>
      </c>
      <c r="I2916" t="str">
        <f>T("회귀의 전설")</f>
        <v>회귀의 전설</v>
      </c>
      <c r="J2916">
        <v>0</v>
      </c>
      <c r="K2916">
        <v>0</v>
      </c>
      <c r="L2916">
        <v>0</v>
      </c>
      <c r="M2916">
        <v>7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7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Q2916">
        <v>0</v>
      </c>
      <c r="AR2916">
        <v>0</v>
      </c>
      <c r="AT2916">
        <v>0</v>
      </c>
      <c r="AU2916">
        <v>0</v>
      </c>
      <c r="AW2916">
        <v>0</v>
      </c>
      <c r="AX2916">
        <v>0</v>
      </c>
      <c r="AY2916">
        <v>0</v>
      </c>
      <c r="BC2916" t="str">
        <f>T("9788997946006")</f>
        <v>9788997946006</v>
      </c>
      <c r="BE2916" t="str">
        <f>T("판타지 웹소설 &gt; 현대 판타지")</f>
        <v>판타지 웹소설 &gt; 현대 판타지</v>
      </c>
    </row>
    <row r="2917" spans="1:57" x14ac:dyDescent="0.3">
      <c r="A2917">
        <v>1525014780</v>
      </c>
      <c r="B2917">
        <v>1525014786</v>
      </c>
      <c r="C2917" t="str">
        <f>T("크랭키 걸즈 7화")</f>
        <v>크랭키 걸즈 7화</v>
      </c>
      <c r="D2917" t="str">
        <f>T("7")</f>
        <v>7</v>
      </c>
      <c r="E2917" t="str">
        <f>T("곽도우")</f>
        <v>곽도우</v>
      </c>
      <c r="H2917" t="str">
        <f>T("스토리아크")</f>
        <v>스토리아크</v>
      </c>
      <c r="I2917" t="str">
        <f>T("크랭키 걸즈")</f>
        <v>크랭키 걸즈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1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Q2917">
        <v>0</v>
      </c>
      <c r="AR2917">
        <v>0</v>
      </c>
      <c r="AT2917">
        <v>0</v>
      </c>
      <c r="AU2917">
        <v>0</v>
      </c>
      <c r="AW2917">
        <v>0</v>
      </c>
      <c r="AX2917">
        <v>0</v>
      </c>
      <c r="AY2917">
        <v>0</v>
      </c>
      <c r="BC2917" t="str">
        <f>T("9791191039276")</f>
        <v>9791191039276</v>
      </c>
      <c r="BE2917" t="str">
        <f>T("판타지 웹소설 &gt; 현대 판타지")</f>
        <v>판타지 웹소설 &gt; 현대 판타지</v>
      </c>
    </row>
    <row r="2918" spans="1:57" x14ac:dyDescent="0.3">
      <c r="A2918">
        <v>1525001540</v>
      </c>
      <c r="B2918">
        <v>1525001542</v>
      </c>
      <c r="C2918" t="str">
        <f>T("[e북]철중쟁쟁 3권")</f>
        <v>[e북]철중쟁쟁 3권</v>
      </c>
      <c r="D2918" t="str">
        <f>T("3")</f>
        <v>3</v>
      </c>
      <c r="E2918" t="str">
        <f>T("권용찬")</f>
        <v>권용찬</v>
      </c>
      <c r="H2918" t="str">
        <f>T("스토리위즈")</f>
        <v>스토리위즈</v>
      </c>
      <c r="I2918" t="str">
        <f>T("[e북]철중쟁쟁")</f>
        <v>[e북]철중쟁쟁</v>
      </c>
      <c r="J2918">
        <v>3200</v>
      </c>
      <c r="K2918">
        <v>0</v>
      </c>
      <c r="L2918">
        <v>0</v>
      </c>
      <c r="M2918">
        <v>0</v>
      </c>
      <c r="N2918">
        <v>8100</v>
      </c>
      <c r="O2918">
        <v>9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8100</v>
      </c>
      <c r="AH2918">
        <v>9</v>
      </c>
      <c r="AI2918">
        <v>0</v>
      </c>
      <c r="AJ2918">
        <v>0</v>
      </c>
      <c r="AK2918">
        <v>6400</v>
      </c>
      <c r="AL2918">
        <v>0</v>
      </c>
      <c r="AM2918">
        <v>2040</v>
      </c>
      <c r="AN2918">
        <v>-420</v>
      </c>
      <c r="AO2918">
        <v>0</v>
      </c>
      <c r="AQ2918">
        <v>0</v>
      </c>
      <c r="AR2918">
        <v>0</v>
      </c>
      <c r="AS2918">
        <v>2040</v>
      </c>
      <c r="AT2918">
        <v>-420</v>
      </c>
      <c r="AU2918">
        <v>0</v>
      </c>
      <c r="AW2918">
        <v>0</v>
      </c>
      <c r="AX2918">
        <v>0</v>
      </c>
      <c r="AY2918">
        <v>5614</v>
      </c>
      <c r="BC2918" t="str">
        <f>T("9791159282294")</f>
        <v>9791159282294</v>
      </c>
      <c r="BE2918" t="str">
        <f>T("판타지 e북 &gt; 전통 무협")</f>
        <v>판타지 e북 &gt; 전통 무협</v>
      </c>
    </row>
    <row r="2919" spans="1:57" x14ac:dyDescent="0.3">
      <c r="A2919">
        <v>1525002864</v>
      </c>
      <c r="B2919">
        <v>1525002871</v>
      </c>
      <c r="C2919" t="str">
        <f>T("소드마스터의 환생 8화")</f>
        <v>소드마스터의 환생 8화</v>
      </c>
      <c r="D2919" t="str">
        <f>T("8")</f>
        <v>8</v>
      </c>
      <c r="E2919" t="str">
        <f>T("파란영")</f>
        <v>파란영</v>
      </c>
      <c r="H2919" t="str">
        <f>T("스토리위즈")</f>
        <v>스토리위즈</v>
      </c>
      <c r="I2919" t="str">
        <f>T("소드마스터의 환생")</f>
        <v>소드마스터의 환생</v>
      </c>
      <c r="J2919">
        <v>0</v>
      </c>
      <c r="K2919">
        <v>0</v>
      </c>
      <c r="L2919">
        <v>0</v>
      </c>
      <c r="M2919">
        <v>4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4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Q2919">
        <v>0</v>
      </c>
      <c r="AR2919">
        <v>0</v>
      </c>
      <c r="AT2919">
        <v>0</v>
      </c>
      <c r="AU2919">
        <v>0</v>
      </c>
      <c r="AW2919">
        <v>0</v>
      </c>
      <c r="AX2919">
        <v>0</v>
      </c>
      <c r="AY2919">
        <v>0</v>
      </c>
      <c r="BC2919" t="str">
        <f>T("9791159287527")</f>
        <v>9791159287527</v>
      </c>
      <c r="BE2919" t="str">
        <f>T("판타지 웹소설 &gt; 정통 판타지")</f>
        <v>판타지 웹소설 &gt; 정통 판타지</v>
      </c>
    </row>
    <row r="2920" spans="1:57" x14ac:dyDescent="0.3">
      <c r="A2920">
        <v>1525007923</v>
      </c>
      <c r="B2920">
        <v>1525007967</v>
      </c>
      <c r="C2920" t="str">
        <f>T("운상연담: 화불능귀일락 5화")</f>
        <v>운상연담: 화불능귀일락 5화</v>
      </c>
      <c r="D2920" t="str">
        <f>T("5")</f>
        <v>5</v>
      </c>
      <c r="E2920" t="str">
        <f>T("피모")</f>
        <v>피모</v>
      </c>
      <c r="H2920" t="str">
        <f>T("쉬라즈")</f>
        <v>쉬라즈</v>
      </c>
      <c r="I2920" t="str">
        <f>T("운상연담: 화불능귀일락")</f>
        <v>운상연담: 화불능귀일락</v>
      </c>
      <c r="J2920">
        <v>0</v>
      </c>
      <c r="K2920">
        <v>0</v>
      </c>
      <c r="L2920">
        <v>0</v>
      </c>
      <c r="M2920">
        <v>7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7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Q2920">
        <v>0</v>
      </c>
      <c r="AR2920">
        <v>0</v>
      </c>
      <c r="AT2920">
        <v>0</v>
      </c>
      <c r="AU2920">
        <v>0</v>
      </c>
      <c r="AW2920">
        <v>0</v>
      </c>
      <c r="AX2920">
        <v>0</v>
      </c>
      <c r="AY2920">
        <v>0</v>
      </c>
      <c r="BC2920" t="str">
        <f>T("9791164896646")</f>
        <v>9791164896646</v>
      </c>
      <c r="BE2920" t="str">
        <f>T("로맨스 웹소설 &gt; 역사/시대물")</f>
        <v>로맨스 웹소설 &gt; 역사/시대물</v>
      </c>
    </row>
    <row r="2921" spans="1:57" x14ac:dyDescent="0.3">
      <c r="A2921">
        <v>1525012202</v>
      </c>
      <c r="B2921">
        <v>1525012179</v>
      </c>
      <c r="C2921" t="str">
        <f>T("이세계 최강 군바리 24화")</f>
        <v>이세계 최강 군바리 24화</v>
      </c>
      <c r="D2921" t="str">
        <f>T("24")</f>
        <v>24</v>
      </c>
      <c r="E2921" t="str">
        <f>T("협행마")</f>
        <v>협행마</v>
      </c>
      <c r="H2921" t="str">
        <f>T("에필로그")</f>
        <v>에필로그</v>
      </c>
      <c r="I2921" t="str">
        <f>T("이세계 최강 군바리")</f>
        <v>이세계 최강 군바리</v>
      </c>
      <c r="J2921">
        <v>0</v>
      </c>
      <c r="K2921">
        <v>0</v>
      </c>
      <c r="L2921">
        <v>0</v>
      </c>
      <c r="M2921">
        <v>1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1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Q2921">
        <v>0</v>
      </c>
      <c r="AR2921">
        <v>0</v>
      </c>
      <c r="AT2921">
        <v>0</v>
      </c>
      <c r="AU2921">
        <v>0</v>
      </c>
      <c r="AW2921">
        <v>0</v>
      </c>
      <c r="AX2921">
        <v>0</v>
      </c>
      <c r="AY2921">
        <v>0</v>
      </c>
      <c r="BC2921" t="str">
        <f>T("9791164480159")</f>
        <v>9791164480159</v>
      </c>
      <c r="BE2921" t="str">
        <f>T("판타지 웹소설 &gt; 퓨전 판타지")</f>
        <v>판타지 웹소설 &gt; 퓨전 판타지</v>
      </c>
    </row>
    <row r="2922" spans="1:57" x14ac:dyDescent="0.3">
      <c r="A2922">
        <v>1525000924</v>
      </c>
      <c r="B2922">
        <v>1525000946</v>
      </c>
      <c r="C2922" t="str">
        <f>T("스피릿 소드 23화")</f>
        <v>스피릿 소드 23화</v>
      </c>
      <c r="D2922" t="str">
        <f>T("23")</f>
        <v>23</v>
      </c>
      <c r="E2922" t="str">
        <f>T("김정률")</f>
        <v>김정률</v>
      </c>
      <c r="H2922" t="str">
        <f>T("스토리위즈")</f>
        <v>스토리위즈</v>
      </c>
      <c r="I2922" t="str">
        <f>T("스피릿 소드")</f>
        <v>스피릿 소드</v>
      </c>
      <c r="J2922">
        <v>0</v>
      </c>
      <c r="K2922">
        <v>0</v>
      </c>
      <c r="L2922">
        <v>0</v>
      </c>
      <c r="M2922">
        <v>1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Q2922">
        <v>0</v>
      </c>
      <c r="AR2922">
        <v>0</v>
      </c>
      <c r="AT2922">
        <v>0</v>
      </c>
      <c r="AU2922">
        <v>0</v>
      </c>
      <c r="AW2922">
        <v>0</v>
      </c>
      <c r="AX2922">
        <v>0</v>
      </c>
      <c r="AY2922">
        <v>0</v>
      </c>
      <c r="BA2922" t="str">
        <f>T("9791159282713")</f>
        <v>9791159282713</v>
      </c>
      <c r="BC2922" t="str">
        <f>T("9791159282713")</f>
        <v>9791159282713</v>
      </c>
      <c r="BE2922" t="str">
        <f>T("판타지 웹소설 &gt; 정통 판타지")</f>
        <v>판타지 웹소설 &gt; 정통 판타지</v>
      </c>
    </row>
    <row r="2923" spans="1:57" x14ac:dyDescent="0.3">
      <c r="A2923">
        <v>1525012551</v>
      </c>
      <c r="B2923">
        <v>1525012572</v>
      </c>
      <c r="C2923" t="str">
        <f>T("개정판 | 바보가 만드는 멋진 세상 22화")</f>
        <v>개정판 | 바보가 만드는 멋진 세상 22화</v>
      </c>
      <c r="D2923" t="str">
        <f>T("22")</f>
        <v>22</v>
      </c>
      <c r="E2923" t="str">
        <f>T("백범(白帆)")</f>
        <v>백범(白帆)</v>
      </c>
      <c r="H2923" t="str">
        <f>T("에필로그")</f>
        <v>에필로그</v>
      </c>
      <c r="I2923" t="str">
        <f>T("개정판 | 바보가 만드는 멋진 세상")</f>
        <v>개정판 | 바보가 만드는 멋진 세상</v>
      </c>
      <c r="J2923">
        <v>0</v>
      </c>
      <c r="K2923">
        <v>0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1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Q2923">
        <v>0</v>
      </c>
      <c r="AR2923">
        <v>0</v>
      </c>
      <c r="AT2923">
        <v>0</v>
      </c>
      <c r="AU2923">
        <v>0</v>
      </c>
      <c r="AW2923">
        <v>0</v>
      </c>
      <c r="AX2923">
        <v>0</v>
      </c>
      <c r="AY2923">
        <v>0</v>
      </c>
      <c r="BC2923" t="str">
        <f>T("9791166003493")</f>
        <v>9791166003493</v>
      </c>
      <c r="BE2923" t="str">
        <f>T("판타지 웹소설 &gt; 현대 판타지")</f>
        <v>판타지 웹소설 &gt; 현대 판타지</v>
      </c>
    </row>
    <row r="2924" spans="1:57" x14ac:dyDescent="0.3">
      <c r="A2924">
        <v>1525014480</v>
      </c>
      <c r="B2924">
        <v>1525014481</v>
      </c>
      <c r="C2924" t="str">
        <f>T("언더독 크라이스 2화")</f>
        <v>언더독 크라이스 2화</v>
      </c>
      <c r="D2924" t="str">
        <f>T("2")</f>
        <v>2</v>
      </c>
      <c r="E2924" t="str">
        <f>T("라이큐")</f>
        <v>라이큐</v>
      </c>
      <c r="H2924" t="str">
        <f>T("스토리아크")</f>
        <v>스토리아크</v>
      </c>
      <c r="I2924" t="str">
        <f>T("언더독 크라이스")</f>
        <v>언더독 크라이스</v>
      </c>
      <c r="J2924">
        <v>0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1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Q2924">
        <v>0</v>
      </c>
      <c r="AR2924">
        <v>0</v>
      </c>
      <c r="AT2924">
        <v>0</v>
      </c>
      <c r="AU2924">
        <v>0</v>
      </c>
      <c r="AW2924">
        <v>0</v>
      </c>
      <c r="AX2924">
        <v>0</v>
      </c>
      <c r="AY2924">
        <v>0</v>
      </c>
      <c r="BC2924" t="str">
        <f>T("9791191039139")</f>
        <v>9791191039139</v>
      </c>
      <c r="BE2924" t="str">
        <f>T("판타지 웹소설 &gt; 퓨전 판타지")</f>
        <v>판타지 웹소설 &gt; 퓨전 판타지</v>
      </c>
    </row>
    <row r="2925" spans="1:57" x14ac:dyDescent="0.3">
      <c r="A2925">
        <v>1525001493</v>
      </c>
      <c r="B2925">
        <v>1525001494</v>
      </c>
      <c r="C2925" t="str">
        <f>T("[e북]수적왕 2권")</f>
        <v>[e북]수적왕 2권</v>
      </c>
      <c r="D2925" t="str">
        <f>T("2")</f>
        <v>2</v>
      </c>
      <c r="E2925" t="str">
        <f>T("권용찬")</f>
        <v>권용찬</v>
      </c>
      <c r="H2925" t="str">
        <f>T("스토리위즈")</f>
        <v>스토리위즈</v>
      </c>
      <c r="I2925" t="str">
        <f>T("[e북]수적왕")</f>
        <v>[e북]수적왕</v>
      </c>
      <c r="J2925">
        <v>3200</v>
      </c>
      <c r="K2925">
        <v>0</v>
      </c>
      <c r="L2925">
        <v>0</v>
      </c>
      <c r="M2925">
        <v>0</v>
      </c>
      <c r="N2925">
        <v>900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900</v>
      </c>
      <c r="AH2925">
        <v>1</v>
      </c>
      <c r="AI2925">
        <v>0</v>
      </c>
      <c r="AJ2925">
        <v>0</v>
      </c>
      <c r="AK2925">
        <v>900</v>
      </c>
      <c r="AL2925">
        <v>0</v>
      </c>
      <c r="AM2925">
        <v>0</v>
      </c>
      <c r="AN2925">
        <v>0</v>
      </c>
      <c r="AO2925">
        <v>0</v>
      </c>
      <c r="AQ2925">
        <v>0</v>
      </c>
      <c r="AR2925">
        <v>0</v>
      </c>
      <c r="AT2925">
        <v>0</v>
      </c>
      <c r="AU2925">
        <v>0</v>
      </c>
      <c r="AW2925">
        <v>0</v>
      </c>
      <c r="AX2925">
        <v>0</v>
      </c>
      <c r="AY2925">
        <v>630</v>
      </c>
      <c r="BC2925" t="str">
        <f>T("9791159282218")</f>
        <v>9791159282218</v>
      </c>
      <c r="BE2925" t="str">
        <f>T("판타지 e북 &gt; 신무협")</f>
        <v>판타지 e북 &gt; 신무협</v>
      </c>
    </row>
    <row r="2926" spans="1:57" x14ac:dyDescent="0.3">
      <c r="A2926">
        <v>1525002848</v>
      </c>
      <c r="B2926">
        <v>1525002848</v>
      </c>
      <c r="C2926" t="str">
        <f>T("[e북]신을 죽이러 갑니다 1권")</f>
        <v>[e북]신을 죽이러 갑니다 1권</v>
      </c>
      <c r="D2926" t="str">
        <f>T("1")</f>
        <v>1</v>
      </c>
      <c r="E2926" t="str">
        <f>T("독고진")</f>
        <v>독고진</v>
      </c>
      <c r="H2926" t="str">
        <f>T("스토리위즈")</f>
        <v>스토리위즈</v>
      </c>
      <c r="I2926" t="str">
        <f>T("[e북]신을 죽이러 갑니다")</f>
        <v>[e북]신을 죽이러 갑니다</v>
      </c>
      <c r="J2926">
        <v>0</v>
      </c>
      <c r="K2926">
        <v>0</v>
      </c>
      <c r="L2926">
        <v>0</v>
      </c>
      <c r="M2926">
        <v>2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2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Q2926">
        <v>0</v>
      </c>
      <c r="AR2926">
        <v>0</v>
      </c>
      <c r="AT2926">
        <v>0</v>
      </c>
      <c r="AU2926">
        <v>0</v>
      </c>
      <c r="AW2926">
        <v>0</v>
      </c>
      <c r="AX2926">
        <v>0</v>
      </c>
      <c r="AY2926">
        <v>0</v>
      </c>
      <c r="BC2926" t="str">
        <f>T("9791159287992")</f>
        <v>9791159287992</v>
      </c>
      <c r="BE2926" t="str">
        <f>T("판타지 e북 &gt; 퓨전 판타지")</f>
        <v>판타지 e북 &gt; 퓨전 판타지</v>
      </c>
    </row>
    <row r="2927" spans="1:57" x14ac:dyDescent="0.3">
      <c r="A2927">
        <v>1525014938</v>
      </c>
      <c r="B2927">
        <v>1525014940</v>
      </c>
      <c r="C2927" t="str">
        <f>T("우리는 아직 죽지 않았다 3화")</f>
        <v>우리는 아직 죽지 않았다 3화</v>
      </c>
      <c r="D2927" t="str">
        <f>T("3")</f>
        <v>3</v>
      </c>
      <c r="E2927" t="str">
        <f>T("라이큐")</f>
        <v>라이큐</v>
      </c>
      <c r="H2927" t="str">
        <f>T("스토리아크")</f>
        <v>스토리아크</v>
      </c>
      <c r="I2927" t="str">
        <f>T("우리는 아직 죽지 않았다")</f>
        <v>우리는 아직 죽지 않았다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1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Q2927">
        <v>0</v>
      </c>
      <c r="AR2927">
        <v>0</v>
      </c>
      <c r="AT2927">
        <v>0</v>
      </c>
      <c r="AU2927">
        <v>0</v>
      </c>
      <c r="AW2927">
        <v>0</v>
      </c>
      <c r="AX2927">
        <v>0</v>
      </c>
      <c r="AY2927">
        <v>0</v>
      </c>
      <c r="BC2927" t="str">
        <f>T("9791191039092")</f>
        <v>9791191039092</v>
      </c>
      <c r="BE2927" t="str">
        <f>T("판타지 웹소설 &gt; 현대 판타지")</f>
        <v>판타지 웹소설 &gt; 현대 판타지</v>
      </c>
    </row>
    <row r="2928" spans="1:57" x14ac:dyDescent="0.3">
      <c r="A2928">
        <v>1525001908</v>
      </c>
      <c r="B2928">
        <v>1525001913</v>
      </c>
      <c r="C2928" t="str">
        <f>T("[e북]상왕 진우몽 6권")</f>
        <v>[e북]상왕 진우몽 6권</v>
      </c>
      <c r="D2928" t="str">
        <f>T("6")</f>
        <v>6</v>
      </c>
      <c r="E2928" t="str">
        <f>T("권용찬")</f>
        <v>권용찬</v>
      </c>
      <c r="H2928" t="str">
        <f>T("스토리위즈")</f>
        <v>스토리위즈</v>
      </c>
      <c r="I2928" t="str">
        <f>T("[e북]상왕 진우몽")</f>
        <v>[e북]상왕 진우몽</v>
      </c>
      <c r="J2928">
        <v>3200</v>
      </c>
      <c r="K2928">
        <v>0</v>
      </c>
      <c r="L2928">
        <v>0</v>
      </c>
      <c r="M2928">
        <v>0</v>
      </c>
      <c r="N2928">
        <v>900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900</v>
      </c>
      <c r="AH2928">
        <v>1</v>
      </c>
      <c r="AI2928">
        <v>0</v>
      </c>
      <c r="AJ2928">
        <v>0</v>
      </c>
      <c r="AK2928">
        <v>900</v>
      </c>
      <c r="AL2928">
        <v>0</v>
      </c>
      <c r="AM2928">
        <v>0</v>
      </c>
      <c r="AN2928">
        <v>0</v>
      </c>
      <c r="AO2928">
        <v>0</v>
      </c>
      <c r="AQ2928">
        <v>0</v>
      </c>
      <c r="AR2928">
        <v>0</v>
      </c>
      <c r="AT2928">
        <v>0</v>
      </c>
      <c r="AU2928">
        <v>0</v>
      </c>
      <c r="AW2928">
        <v>0</v>
      </c>
      <c r="AX2928">
        <v>0</v>
      </c>
      <c r="AY2928">
        <v>630</v>
      </c>
      <c r="BC2928" t="str">
        <f>T("9791159285882")</f>
        <v>9791159285882</v>
      </c>
      <c r="BE2928" t="str">
        <f>T("판타지 e북 &gt; 신무협")</f>
        <v>판타지 e북 &gt; 신무협</v>
      </c>
    </row>
    <row r="2929" spans="1:57" x14ac:dyDescent="0.3">
      <c r="A2929">
        <v>1525010579</v>
      </c>
      <c r="B2929">
        <v>1525010567</v>
      </c>
      <c r="C2929" t="str">
        <f>T("법보다 주먹 11화")</f>
        <v>법보다 주먹 11화</v>
      </c>
      <c r="D2929" t="str">
        <f>T("11")</f>
        <v>11</v>
      </c>
      <c r="E2929" t="str">
        <f>T("백범(白帆)")</f>
        <v>백범(白帆)</v>
      </c>
      <c r="H2929" t="str">
        <f>T("에필로그")</f>
        <v>에필로그</v>
      </c>
      <c r="I2929" t="str">
        <f>T("법보다 주먹")</f>
        <v>법보다 주먹</v>
      </c>
      <c r="J2929">
        <v>0</v>
      </c>
      <c r="K2929">
        <v>0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1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Q2929">
        <v>0</v>
      </c>
      <c r="AR2929">
        <v>0</v>
      </c>
      <c r="AT2929">
        <v>0</v>
      </c>
      <c r="AU2929">
        <v>0</v>
      </c>
      <c r="AW2929">
        <v>0</v>
      </c>
      <c r="AX2929">
        <v>0</v>
      </c>
      <c r="AY2929">
        <v>0</v>
      </c>
      <c r="BC2929" t="str">
        <f>T("9791164489367")</f>
        <v>9791164489367</v>
      </c>
      <c r="BE2929" t="str">
        <f>T("판타지 웹소설 &gt; 현대 판타지")</f>
        <v>판타지 웹소설 &gt; 현대 판타지</v>
      </c>
    </row>
    <row r="2930" spans="1:57" x14ac:dyDescent="0.3">
      <c r="A2930">
        <v>1525013020</v>
      </c>
      <c r="B2930">
        <v>1525013028</v>
      </c>
      <c r="C2930" t="str">
        <f>T("악당의 리턴 9화")</f>
        <v>악당의 리턴 9화</v>
      </c>
      <c r="D2930" t="str">
        <f>T("9")</f>
        <v>9</v>
      </c>
      <c r="E2930" t="str">
        <f>T("백범(白帆)")</f>
        <v>백범(白帆)</v>
      </c>
      <c r="H2930" t="str">
        <f>T("에필로그")</f>
        <v>에필로그</v>
      </c>
      <c r="I2930" t="str">
        <f>T("악당의 리턴")</f>
        <v>악당의 리턴</v>
      </c>
      <c r="J2930">
        <v>0</v>
      </c>
      <c r="K2930">
        <v>0</v>
      </c>
      <c r="L2930">
        <v>0</v>
      </c>
      <c r="M2930">
        <v>6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6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Q2930">
        <v>0</v>
      </c>
      <c r="AR2930">
        <v>0</v>
      </c>
      <c r="AT2930">
        <v>0</v>
      </c>
      <c r="AU2930">
        <v>0</v>
      </c>
      <c r="AW2930">
        <v>0</v>
      </c>
      <c r="AX2930">
        <v>0</v>
      </c>
      <c r="AY2930">
        <v>0</v>
      </c>
      <c r="BC2930" t="str">
        <f>T("9791196538927")</f>
        <v>9791196538927</v>
      </c>
      <c r="BE2930" t="str">
        <f>T("판타지 웹소설 &gt; 현대 판타지")</f>
        <v>판타지 웹소설 &gt; 현대 판타지</v>
      </c>
    </row>
    <row r="2931" spans="1:57" x14ac:dyDescent="0.3">
      <c r="A2931">
        <v>1525000146</v>
      </c>
      <c r="B2931">
        <v>1525000154</v>
      </c>
      <c r="C2931" t="str">
        <f>T("[e북]트루베니아 연대기 9권")</f>
        <v>[e북]트루베니아 연대기 9권</v>
      </c>
      <c r="D2931" t="str">
        <f>T("9")</f>
        <v>9</v>
      </c>
      <c r="E2931" t="str">
        <f>T("김정률")</f>
        <v>김정률</v>
      </c>
      <c r="H2931" t="str">
        <f>T("스토리위즈")</f>
        <v>스토리위즈</v>
      </c>
      <c r="I2931" t="str">
        <f>T("[e북]트루베니아 연대기")</f>
        <v>[e북]트루베니아 연대기</v>
      </c>
      <c r="J2931">
        <v>3200</v>
      </c>
      <c r="K2931">
        <v>0</v>
      </c>
      <c r="L2931">
        <v>0</v>
      </c>
      <c r="M2931">
        <v>0</v>
      </c>
      <c r="N2931">
        <v>9000</v>
      </c>
      <c r="O2931">
        <v>10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9000</v>
      </c>
      <c r="AH2931">
        <v>10</v>
      </c>
      <c r="AI2931">
        <v>0</v>
      </c>
      <c r="AJ2931">
        <v>0</v>
      </c>
      <c r="AK2931">
        <v>4050</v>
      </c>
      <c r="AL2931">
        <v>0</v>
      </c>
      <c r="AM2931">
        <v>5940</v>
      </c>
      <c r="AN2931">
        <v>-1242</v>
      </c>
      <c r="AO2931">
        <v>0</v>
      </c>
      <c r="AP2931">
        <v>2160</v>
      </c>
      <c r="AQ2931">
        <v>-648</v>
      </c>
      <c r="AR2931">
        <v>0</v>
      </c>
      <c r="AS2931">
        <v>3780</v>
      </c>
      <c r="AT2931">
        <v>-594</v>
      </c>
      <c r="AU2931">
        <v>0</v>
      </c>
      <c r="AW2931">
        <v>0</v>
      </c>
      <c r="AX2931">
        <v>0</v>
      </c>
      <c r="AY2931">
        <v>6123.6</v>
      </c>
      <c r="BE2931" t="str">
        <f>T("판타지 e북 &gt; 정통 판타지")</f>
        <v>판타지 e북 &gt; 정통 판타지</v>
      </c>
    </row>
    <row r="2932" spans="1:57" x14ac:dyDescent="0.3">
      <c r="A2932">
        <v>1525000411</v>
      </c>
      <c r="B2932">
        <v>1525000429</v>
      </c>
      <c r="C2932" t="str">
        <f>T("레이드 만물상점 19화")</f>
        <v>레이드 만물상점 19화</v>
      </c>
      <c r="D2932" t="str">
        <f>T("19")</f>
        <v>19</v>
      </c>
      <c r="E2932" t="str">
        <f>T("전혁")</f>
        <v>전혁</v>
      </c>
      <c r="H2932" t="str">
        <f>T("스토리위즈")</f>
        <v>스토리위즈</v>
      </c>
      <c r="I2932" t="str">
        <f>T("레이드 만물상점")</f>
        <v>레이드 만물상점</v>
      </c>
      <c r="J2932">
        <v>0</v>
      </c>
      <c r="K2932">
        <v>0</v>
      </c>
      <c r="L2932">
        <v>0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1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Q2932">
        <v>0</v>
      </c>
      <c r="AR2932">
        <v>0</v>
      </c>
      <c r="AT2932">
        <v>0</v>
      </c>
      <c r="AU2932">
        <v>0</v>
      </c>
      <c r="AW2932">
        <v>0</v>
      </c>
      <c r="AX2932">
        <v>0</v>
      </c>
      <c r="AY2932">
        <v>0</v>
      </c>
      <c r="BC2932" t="str">
        <f>T("9791170151432")</f>
        <v>9791170151432</v>
      </c>
      <c r="BE2932" t="str">
        <f>T("판타지 웹소설 &gt; 현대 판타지")</f>
        <v>판타지 웹소설 &gt; 현대 판타지</v>
      </c>
    </row>
    <row r="2933" spans="1:57" x14ac:dyDescent="0.3">
      <c r="A2933">
        <v>1525010944</v>
      </c>
      <c r="B2933">
        <v>1525010929</v>
      </c>
      <c r="C2933" t="str">
        <f>T("[e북]법보다 주먹 16권")</f>
        <v>[e북]법보다 주먹 16권</v>
      </c>
      <c r="D2933" t="str">
        <f>T("16")</f>
        <v>16</v>
      </c>
      <c r="E2933" t="str">
        <f>T("백범(白帆)")</f>
        <v>백범(白帆)</v>
      </c>
      <c r="H2933" t="str">
        <f>T("에필로그")</f>
        <v>에필로그</v>
      </c>
      <c r="I2933" t="str">
        <f>T("[e북]법보다 주먹")</f>
        <v>[e북]법보다 주먹</v>
      </c>
      <c r="J2933">
        <v>2000</v>
      </c>
      <c r="K2933">
        <v>0</v>
      </c>
      <c r="L2933">
        <v>0</v>
      </c>
      <c r="M2933">
        <v>0</v>
      </c>
      <c r="N2933">
        <v>1800</v>
      </c>
      <c r="O2933">
        <v>2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1800</v>
      </c>
      <c r="AH2933">
        <v>2</v>
      </c>
      <c r="AI2933">
        <v>0</v>
      </c>
      <c r="AJ2933">
        <v>0</v>
      </c>
      <c r="AK2933">
        <v>900</v>
      </c>
      <c r="AL2933">
        <v>0</v>
      </c>
      <c r="AM2933">
        <v>1080</v>
      </c>
      <c r="AN2933">
        <v>-324</v>
      </c>
      <c r="AO2933">
        <v>0</v>
      </c>
      <c r="AQ2933">
        <v>0</v>
      </c>
      <c r="AR2933">
        <v>0</v>
      </c>
      <c r="AS2933">
        <v>1080</v>
      </c>
      <c r="AT2933">
        <v>-324</v>
      </c>
      <c r="AU2933">
        <v>0</v>
      </c>
      <c r="AW2933">
        <v>0</v>
      </c>
      <c r="AX2933">
        <v>0</v>
      </c>
      <c r="AY2933">
        <v>1159.2</v>
      </c>
      <c r="BC2933" t="str">
        <f>T("9791164480142")</f>
        <v>9791164480142</v>
      </c>
      <c r="BE2933" t="str">
        <f>T("판타지 e북 &gt; 현대 판타지")</f>
        <v>판타지 e북 &gt; 현대 판타지</v>
      </c>
    </row>
    <row r="2934" spans="1:57" x14ac:dyDescent="0.3">
      <c r="A2934">
        <v>1525010579</v>
      </c>
      <c r="B2934">
        <v>1525010558</v>
      </c>
      <c r="C2934" t="str">
        <f>T("법보다 주먹 20화")</f>
        <v>법보다 주먹 20화</v>
      </c>
      <c r="D2934" t="str">
        <f>T("20")</f>
        <v>20</v>
      </c>
      <c r="E2934" t="str">
        <f>T("백범(白帆)")</f>
        <v>백범(白帆)</v>
      </c>
      <c r="H2934" t="str">
        <f>T("에필로그")</f>
        <v>에필로그</v>
      </c>
      <c r="I2934" t="str">
        <f>T("법보다 주먹")</f>
        <v>법보다 주먹</v>
      </c>
      <c r="J2934">
        <v>0</v>
      </c>
      <c r="K2934">
        <v>0</v>
      </c>
      <c r="L2934">
        <v>0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1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Q2934">
        <v>0</v>
      </c>
      <c r="AR2934">
        <v>0</v>
      </c>
      <c r="AT2934">
        <v>0</v>
      </c>
      <c r="AU2934">
        <v>0</v>
      </c>
      <c r="AW2934">
        <v>0</v>
      </c>
      <c r="AX2934">
        <v>0</v>
      </c>
      <c r="AY2934">
        <v>0</v>
      </c>
      <c r="BC2934" t="str">
        <f>T("9791164489367")</f>
        <v>9791164489367</v>
      </c>
      <c r="BE2934" t="str">
        <f>T("판타지 웹소설 &gt; 현대 판타지")</f>
        <v>판타지 웹소설 &gt; 현대 판타지</v>
      </c>
    </row>
    <row r="2935" spans="1:57" x14ac:dyDescent="0.3">
      <c r="A2935">
        <v>1525000001</v>
      </c>
      <c r="B2935">
        <v>1525000002</v>
      </c>
      <c r="C2935" t="str">
        <f>T("[e북]마스터 K 2권")</f>
        <v>[e북]마스터 K 2권</v>
      </c>
      <c r="D2935" t="str">
        <f>T("2")</f>
        <v>2</v>
      </c>
      <c r="E2935" t="str">
        <f>T("김광수")</f>
        <v>김광수</v>
      </c>
      <c r="H2935" t="str">
        <f>T("스토리위즈")</f>
        <v>스토리위즈</v>
      </c>
      <c r="I2935" t="str">
        <f>T("[e북]마스터 K")</f>
        <v>[e북]마스터 K</v>
      </c>
      <c r="J2935">
        <v>3200</v>
      </c>
      <c r="K2935">
        <v>0</v>
      </c>
      <c r="L2935">
        <v>0</v>
      </c>
      <c r="M2935">
        <v>0</v>
      </c>
      <c r="N2935">
        <v>900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900</v>
      </c>
      <c r="AH2935">
        <v>1</v>
      </c>
      <c r="AI2935">
        <v>0</v>
      </c>
      <c r="AJ2935">
        <v>0</v>
      </c>
      <c r="AK2935">
        <v>900</v>
      </c>
      <c r="AL2935">
        <v>0</v>
      </c>
      <c r="AM2935">
        <v>0</v>
      </c>
      <c r="AN2935">
        <v>0</v>
      </c>
      <c r="AO2935">
        <v>0</v>
      </c>
      <c r="AQ2935">
        <v>0</v>
      </c>
      <c r="AR2935">
        <v>0</v>
      </c>
      <c r="AT2935">
        <v>0</v>
      </c>
      <c r="AU2935">
        <v>0</v>
      </c>
      <c r="AW2935">
        <v>0</v>
      </c>
      <c r="AX2935">
        <v>0</v>
      </c>
      <c r="AY2935">
        <v>630</v>
      </c>
      <c r="BE2935" t="str">
        <f>T("판타지 e북 &gt; 스포츠물")</f>
        <v>판타지 e북 &gt; 스포츠물</v>
      </c>
    </row>
    <row r="2936" spans="1:57" x14ac:dyDescent="0.3">
      <c r="A2936">
        <v>1525000924</v>
      </c>
      <c r="B2936">
        <v>1525000929</v>
      </c>
      <c r="C2936" t="str">
        <f>T("스피릿 소드 6화")</f>
        <v>스피릿 소드 6화</v>
      </c>
      <c r="D2936" t="str">
        <f>T("6")</f>
        <v>6</v>
      </c>
      <c r="E2936" t="str">
        <f>T("김정률")</f>
        <v>김정률</v>
      </c>
      <c r="H2936" t="str">
        <f>T("스토리위즈")</f>
        <v>스토리위즈</v>
      </c>
      <c r="I2936" t="str">
        <f>T("스피릿 소드")</f>
        <v>스피릿 소드</v>
      </c>
      <c r="J2936">
        <v>0</v>
      </c>
      <c r="K2936">
        <v>0</v>
      </c>
      <c r="L2936">
        <v>0</v>
      </c>
      <c r="M2936">
        <v>1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1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Q2936">
        <v>0</v>
      </c>
      <c r="AR2936">
        <v>0</v>
      </c>
      <c r="AT2936">
        <v>0</v>
      </c>
      <c r="AU2936">
        <v>0</v>
      </c>
      <c r="AW2936">
        <v>0</v>
      </c>
      <c r="AX2936">
        <v>0</v>
      </c>
      <c r="AY2936">
        <v>0</v>
      </c>
      <c r="BA2936" t="str">
        <f>T("9791159282713")</f>
        <v>9791159282713</v>
      </c>
      <c r="BC2936" t="str">
        <f>T("9791159282713")</f>
        <v>9791159282713</v>
      </c>
      <c r="BE2936" t="str">
        <f>T("판타지 웹소설 &gt; 정통 판타지")</f>
        <v>판타지 웹소설 &gt; 정통 판타지</v>
      </c>
    </row>
    <row r="2937" spans="1:57" x14ac:dyDescent="0.3">
      <c r="A2937">
        <v>1525013368</v>
      </c>
      <c r="B2937">
        <v>1525013378</v>
      </c>
      <c r="C2937" t="str">
        <f>T("[e북]기획에 산다 10권 (완결)")</f>
        <v>[e북]기획에 산다 10권 (완결)</v>
      </c>
      <c r="D2937" t="str">
        <f>T("10")</f>
        <v>10</v>
      </c>
      <c r="E2937" t="str">
        <f>T("백범(白帆)")</f>
        <v>백범(白帆)</v>
      </c>
      <c r="H2937" t="str">
        <f>T("에필로그")</f>
        <v>에필로그</v>
      </c>
      <c r="I2937" t="str">
        <f>T("[e북]기획에 산다")</f>
        <v>[e북]기획에 산다</v>
      </c>
      <c r="J2937">
        <v>2000</v>
      </c>
      <c r="K2937">
        <v>0</v>
      </c>
      <c r="L2937">
        <v>0</v>
      </c>
      <c r="M2937">
        <v>0</v>
      </c>
      <c r="N2937">
        <v>900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900</v>
      </c>
      <c r="AH2937">
        <v>1</v>
      </c>
      <c r="AI2937">
        <v>0</v>
      </c>
      <c r="AJ2937">
        <v>0</v>
      </c>
      <c r="AK2937">
        <v>900</v>
      </c>
      <c r="AL2937">
        <v>0</v>
      </c>
      <c r="AM2937">
        <v>0</v>
      </c>
      <c r="AN2937">
        <v>0</v>
      </c>
      <c r="AO2937">
        <v>0</v>
      </c>
      <c r="AQ2937">
        <v>0</v>
      </c>
      <c r="AR2937">
        <v>0</v>
      </c>
      <c r="AT2937">
        <v>0</v>
      </c>
      <c r="AU2937">
        <v>0</v>
      </c>
      <c r="AW2937">
        <v>0</v>
      </c>
      <c r="AX2937">
        <v>0</v>
      </c>
      <c r="AY2937">
        <v>630</v>
      </c>
      <c r="BC2937" t="str">
        <f>T("9791189867508")</f>
        <v>9791189867508</v>
      </c>
      <c r="BE2937" t="str">
        <f>T("판타지 e북 &gt; 현대 판타지")</f>
        <v>판타지 e북 &gt; 현대 판타지</v>
      </c>
    </row>
    <row r="2938" spans="1:57" x14ac:dyDescent="0.3">
      <c r="A2938">
        <v>1525000022</v>
      </c>
      <c r="B2938">
        <v>1525000044</v>
      </c>
      <c r="C2938" t="str">
        <f>T("[e북]마계대공 연대기 22권")</f>
        <v>[e북]마계대공 연대기 22권</v>
      </c>
      <c r="D2938" t="str">
        <f>T("22")</f>
        <v>22</v>
      </c>
      <c r="E2938" t="str">
        <f>T("김광수")</f>
        <v>김광수</v>
      </c>
      <c r="H2938" t="str">
        <f>T("스토리위즈")</f>
        <v>스토리위즈</v>
      </c>
      <c r="I2938" t="str">
        <f>T("[e북]마계대공 연대기")</f>
        <v>[e북]마계대공 연대기</v>
      </c>
      <c r="J2938">
        <v>3200</v>
      </c>
      <c r="K2938">
        <v>0</v>
      </c>
      <c r="L2938">
        <v>0</v>
      </c>
      <c r="M2938">
        <v>0</v>
      </c>
      <c r="N2938">
        <v>2700</v>
      </c>
      <c r="O2938">
        <v>3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2700</v>
      </c>
      <c r="AH2938">
        <v>3</v>
      </c>
      <c r="AI2938">
        <v>0</v>
      </c>
      <c r="AJ2938">
        <v>0</v>
      </c>
      <c r="AK2938">
        <v>1800</v>
      </c>
      <c r="AL2938">
        <v>0</v>
      </c>
      <c r="AM2938">
        <v>1080</v>
      </c>
      <c r="AN2938">
        <v>-108</v>
      </c>
      <c r="AO2938">
        <v>0</v>
      </c>
      <c r="AQ2938">
        <v>0</v>
      </c>
      <c r="AR2938">
        <v>0</v>
      </c>
      <c r="AS2938">
        <v>1080</v>
      </c>
      <c r="AT2938">
        <v>-108</v>
      </c>
      <c r="AU2938">
        <v>0</v>
      </c>
      <c r="AW2938">
        <v>0</v>
      </c>
      <c r="AX2938">
        <v>0</v>
      </c>
      <c r="AY2938">
        <v>1940.4</v>
      </c>
      <c r="BE2938" t="str">
        <f>T("판타지 e북 &gt; 퓨전 판타지")</f>
        <v>판타지 e북 &gt; 퓨전 판타지</v>
      </c>
    </row>
    <row r="2939" spans="1:57" x14ac:dyDescent="0.3">
      <c r="A2939">
        <v>1525005640</v>
      </c>
      <c r="B2939">
        <v>1525005640</v>
      </c>
      <c r="C2939" t="str">
        <f>T("[e북]회귀의 전설 1부 1권")</f>
        <v>[e북]회귀의 전설 1부 1권</v>
      </c>
      <c r="D2939" t="str">
        <f>T("1")</f>
        <v>1</v>
      </c>
      <c r="E2939" t="str">
        <f>T("김광수")</f>
        <v>김광수</v>
      </c>
      <c r="H2939" t="str">
        <f>T("스토리위즈")</f>
        <v>스토리위즈</v>
      </c>
      <c r="I2939" t="str">
        <f>T("[e북]회귀의 전설")</f>
        <v>[e북]회귀의 전설</v>
      </c>
      <c r="J2939">
        <v>0</v>
      </c>
      <c r="K2939">
        <v>0</v>
      </c>
      <c r="L2939">
        <v>0</v>
      </c>
      <c r="M2939">
        <v>14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14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Q2939">
        <v>0</v>
      </c>
      <c r="AR2939">
        <v>0</v>
      </c>
      <c r="AT2939">
        <v>0</v>
      </c>
      <c r="AU2939">
        <v>0</v>
      </c>
      <c r="AW2939">
        <v>0</v>
      </c>
      <c r="AX2939">
        <v>0</v>
      </c>
      <c r="AY2939">
        <v>0</v>
      </c>
      <c r="BC2939" t="str">
        <f>T("9791190937764")</f>
        <v>9791190937764</v>
      </c>
      <c r="BE2939" t="str">
        <f>T("판타지 e북 &gt; 현대 판타지")</f>
        <v>판타지 e북 &gt; 현대 판타지</v>
      </c>
    </row>
    <row r="2940" spans="1:57" x14ac:dyDescent="0.3">
      <c r="A2940">
        <v>1525004030</v>
      </c>
      <c r="B2940">
        <v>1525004035</v>
      </c>
      <c r="C2940" t="str">
        <f>T("회귀의 전설 6화")</f>
        <v>회귀의 전설 6화</v>
      </c>
      <c r="D2940" t="str">
        <f>T("6")</f>
        <v>6</v>
      </c>
      <c r="E2940" t="str">
        <f>T("김광수")</f>
        <v>김광수</v>
      </c>
      <c r="H2940" t="str">
        <f>T("스토리위즈")</f>
        <v>스토리위즈</v>
      </c>
      <c r="I2940" t="str">
        <f>T("회귀의 전설")</f>
        <v>회귀의 전설</v>
      </c>
      <c r="J2940">
        <v>0</v>
      </c>
      <c r="K2940">
        <v>0</v>
      </c>
      <c r="L2940">
        <v>0</v>
      </c>
      <c r="M2940">
        <v>6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6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Q2940">
        <v>0</v>
      </c>
      <c r="AR2940">
        <v>0</v>
      </c>
      <c r="AT2940">
        <v>0</v>
      </c>
      <c r="AU2940">
        <v>0</v>
      </c>
      <c r="AW2940">
        <v>0</v>
      </c>
      <c r="AX2940">
        <v>0</v>
      </c>
      <c r="AY2940">
        <v>0</v>
      </c>
      <c r="BC2940" t="str">
        <f>T("9788997946006")</f>
        <v>9788997946006</v>
      </c>
      <c r="BE2940" t="str">
        <f>T("판타지 웹소설 &gt; 현대 판타지")</f>
        <v>판타지 웹소설 &gt; 현대 판타지</v>
      </c>
    </row>
    <row r="2941" spans="1:57" x14ac:dyDescent="0.3">
      <c r="A2941">
        <v>1525000906</v>
      </c>
      <c r="B2941">
        <v>1525000909</v>
      </c>
      <c r="C2941" t="str">
        <f>T("[e북]완전판 | 레이드 만물상점 4권")</f>
        <v>[e북]완전판 | 레이드 만물상점 4권</v>
      </c>
      <c r="D2941" t="str">
        <f>T("4")</f>
        <v>4</v>
      </c>
      <c r="E2941" t="str">
        <f>T("전혁")</f>
        <v>전혁</v>
      </c>
      <c r="H2941" t="str">
        <f>T("스토리위즈")</f>
        <v>스토리위즈</v>
      </c>
      <c r="I2941" t="str">
        <f>T("[e북]완전판 | 레이드 만물상점")</f>
        <v>[e북]완전판 | 레이드 만물상점</v>
      </c>
      <c r="J2941">
        <v>3200</v>
      </c>
      <c r="K2941">
        <v>0</v>
      </c>
      <c r="L2941">
        <v>0</v>
      </c>
      <c r="M2941">
        <v>0</v>
      </c>
      <c r="N2941">
        <v>6300</v>
      </c>
      <c r="O2941">
        <v>7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6300</v>
      </c>
      <c r="AH2941">
        <v>7</v>
      </c>
      <c r="AI2941">
        <v>0</v>
      </c>
      <c r="AJ2941">
        <v>0</v>
      </c>
      <c r="AK2941">
        <v>4500</v>
      </c>
      <c r="AL2941">
        <v>0</v>
      </c>
      <c r="AM2941">
        <v>2160</v>
      </c>
      <c r="AN2941">
        <v>-648</v>
      </c>
      <c r="AO2941">
        <v>0</v>
      </c>
      <c r="AQ2941">
        <v>0</v>
      </c>
      <c r="AR2941">
        <v>0</v>
      </c>
      <c r="AS2941">
        <v>2160</v>
      </c>
      <c r="AT2941">
        <v>-648</v>
      </c>
      <c r="AU2941">
        <v>0</v>
      </c>
      <c r="AW2941">
        <v>0</v>
      </c>
      <c r="AX2941">
        <v>0</v>
      </c>
      <c r="AY2941">
        <v>4208.3999999999996</v>
      </c>
      <c r="BC2941" t="str">
        <f>T("9791159282645")</f>
        <v>9791159282645</v>
      </c>
      <c r="BE2941" t="str">
        <f>T("판타지 e북 &gt; 현대 판타지")</f>
        <v>판타지 e북 &gt; 현대 판타지</v>
      </c>
    </row>
    <row r="2942" spans="1:57" x14ac:dyDescent="0.3">
      <c r="A2942">
        <v>1525012202</v>
      </c>
      <c r="B2942">
        <v>1525012193</v>
      </c>
      <c r="C2942" t="str">
        <f>T("이세계 최강 군바리 10화")</f>
        <v>이세계 최강 군바리 10화</v>
      </c>
      <c r="D2942" t="str">
        <f>T("10")</f>
        <v>10</v>
      </c>
      <c r="E2942" t="str">
        <f>T("협행마")</f>
        <v>협행마</v>
      </c>
      <c r="H2942" t="str">
        <f>T("에필로그")</f>
        <v>에필로그</v>
      </c>
      <c r="I2942" t="str">
        <f>T("이세계 최강 군바리")</f>
        <v>이세계 최강 군바리</v>
      </c>
      <c r="J2942">
        <v>0</v>
      </c>
      <c r="K2942">
        <v>0</v>
      </c>
      <c r="L2942">
        <v>0</v>
      </c>
      <c r="M2942">
        <v>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1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Q2942">
        <v>0</v>
      </c>
      <c r="AR2942">
        <v>0</v>
      </c>
      <c r="AT2942">
        <v>0</v>
      </c>
      <c r="AU2942">
        <v>0</v>
      </c>
      <c r="AW2942">
        <v>0</v>
      </c>
      <c r="AX2942">
        <v>0</v>
      </c>
      <c r="AY2942">
        <v>0</v>
      </c>
      <c r="BC2942" t="str">
        <f>T("9791164480159")</f>
        <v>9791164480159</v>
      </c>
      <c r="BE2942" t="str">
        <f>T("판타지 웹소설 &gt; 퓨전 판타지")</f>
        <v>판타지 웹소설 &gt; 퓨전 판타지</v>
      </c>
    </row>
    <row r="2943" spans="1:57" x14ac:dyDescent="0.3">
      <c r="A2943">
        <v>1525000569</v>
      </c>
      <c r="B2943">
        <v>1525000583</v>
      </c>
      <c r="C2943" t="str">
        <f>T("스트라이커 15화")</f>
        <v>스트라이커 15화</v>
      </c>
      <c r="D2943" t="str">
        <f>T("15")</f>
        <v>15</v>
      </c>
      <c r="E2943" t="str">
        <f>T("독고진")</f>
        <v>독고진</v>
      </c>
      <c r="H2943" t="str">
        <f>T("스토리위즈")</f>
        <v>스토리위즈</v>
      </c>
      <c r="I2943" t="str">
        <f>T("스트라이커")</f>
        <v>스트라이커</v>
      </c>
      <c r="J2943">
        <v>0</v>
      </c>
      <c r="K2943">
        <v>0</v>
      </c>
      <c r="L2943">
        <v>0</v>
      </c>
      <c r="M2943">
        <v>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1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Q2943">
        <v>0</v>
      </c>
      <c r="AR2943">
        <v>0</v>
      </c>
      <c r="AT2943">
        <v>0</v>
      </c>
      <c r="AU2943">
        <v>0</v>
      </c>
      <c r="AW2943">
        <v>0</v>
      </c>
      <c r="AX2943">
        <v>0</v>
      </c>
      <c r="AY2943">
        <v>0</v>
      </c>
      <c r="BC2943" t="str">
        <f>T("9791170151678")</f>
        <v>9791170151678</v>
      </c>
      <c r="BE2943" t="str">
        <f>T("판타지 웹소설 &gt; 현대 판타지")</f>
        <v>판타지 웹소설 &gt; 현대 판타지</v>
      </c>
    </row>
    <row r="2944" spans="1:57" x14ac:dyDescent="0.3">
      <c r="A2944">
        <v>1525010974</v>
      </c>
      <c r="B2944">
        <v>1525010971</v>
      </c>
      <c r="C2944" t="str">
        <f>T("[e북]위사무적 4권")</f>
        <v>[e북]위사무적 4권</v>
      </c>
      <c r="D2944" t="str">
        <f>T("4")</f>
        <v>4</v>
      </c>
      <c r="E2944" t="str">
        <f>T("협행마")</f>
        <v>협행마</v>
      </c>
      <c r="H2944" t="str">
        <f>T("에필로그")</f>
        <v>에필로그</v>
      </c>
      <c r="I2944" t="str">
        <f>T("[e북]위사무적")</f>
        <v>[e북]위사무적</v>
      </c>
      <c r="J2944">
        <v>2000</v>
      </c>
      <c r="K2944">
        <v>0</v>
      </c>
      <c r="L2944">
        <v>0</v>
      </c>
      <c r="M2944">
        <v>0</v>
      </c>
      <c r="N2944">
        <v>1330</v>
      </c>
      <c r="O2944">
        <v>2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1330</v>
      </c>
      <c r="AH2944">
        <v>2</v>
      </c>
      <c r="AI2944">
        <v>0</v>
      </c>
      <c r="AJ2944">
        <v>0</v>
      </c>
      <c r="AK2944">
        <v>1330</v>
      </c>
      <c r="AL2944">
        <v>0</v>
      </c>
      <c r="AM2944">
        <v>0</v>
      </c>
      <c r="AN2944">
        <v>0</v>
      </c>
      <c r="AO2944">
        <v>0</v>
      </c>
      <c r="AQ2944">
        <v>0</v>
      </c>
      <c r="AR2944">
        <v>0</v>
      </c>
      <c r="AT2944">
        <v>0</v>
      </c>
      <c r="AU2944">
        <v>0</v>
      </c>
      <c r="AW2944">
        <v>0</v>
      </c>
      <c r="AX2944">
        <v>0</v>
      </c>
      <c r="AY2944">
        <v>931</v>
      </c>
      <c r="BC2944" t="str">
        <f>T("9791164489015")</f>
        <v>9791164489015</v>
      </c>
      <c r="BE2944" t="str">
        <f>T("판타지 e북 &gt; 신무협")</f>
        <v>판타지 e북 &gt; 신무협</v>
      </c>
    </row>
    <row r="2945" spans="1:57" x14ac:dyDescent="0.3">
      <c r="A2945">
        <v>1525000022</v>
      </c>
      <c r="B2945">
        <v>1525000033</v>
      </c>
      <c r="C2945" t="str">
        <f>T("[e북]마계대공 연대기 11권")</f>
        <v>[e북]마계대공 연대기 11권</v>
      </c>
      <c r="D2945" t="str">
        <f>T("11")</f>
        <v>11</v>
      </c>
      <c r="E2945" t="str">
        <f>T("김광수")</f>
        <v>김광수</v>
      </c>
      <c r="H2945" t="str">
        <f>T("스토리위즈")</f>
        <v>스토리위즈</v>
      </c>
      <c r="I2945" t="str">
        <f>T("[e북]마계대공 연대기")</f>
        <v>[e북]마계대공 연대기</v>
      </c>
      <c r="J2945">
        <v>3200</v>
      </c>
      <c r="K2945">
        <v>0</v>
      </c>
      <c r="L2945">
        <v>0</v>
      </c>
      <c r="M2945">
        <v>0</v>
      </c>
      <c r="N2945">
        <v>1800</v>
      </c>
      <c r="O2945">
        <v>2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1800</v>
      </c>
      <c r="AH2945">
        <v>2</v>
      </c>
      <c r="AI2945">
        <v>0</v>
      </c>
      <c r="AJ2945">
        <v>0</v>
      </c>
      <c r="AK2945">
        <v>900</v>
      </c>
      <c r="AL2945">
        <v>0</v>
      </c>
      <c r="AM2945">
        <v>1080</v>
      </c>
      <c r="AN2945">
        <v>-108</v>
      </c>
      <c r="AO2945">
        <v>0</v>
      </c>
      <c r="AQ2945">
        <v>0</v>
      </c>
      <c r="AR2945">
        <v>0</v>
      </c>
      <c r="AS2945">
        <v>1080</v>
      </c>
      <c r="AT2945">
        <v>-108</v>
      </c>
      <c r="AU2945">
        <v>0</v>
      </c>
      <c r="AW2945">
        <v>0</v>
      </c>
      <c r="AX2945">
        <v>0</v>
      </c>
      <c r="AY2945">
        <v>1310.4000000000001</v>
      </c>
      <c r="BE2945" t="str">
        <f>T("판타지 e북 &gt; 퓨전 판타지")</f>
        <v>판타지 e북 &gt; 퓨전 판타지</v>
      </c>
    </row>
    <row r="2946" spans="1:57" x14ac:dyDescent="0.3">
      <c r="A2946">
        <v>1525004988</v>
      </c>
      <c r="B2946">
        <v>1525005302</v>
      </c>
      <c r="C2946" t="str">
        <f>T("용무쌍 15화")</f>
        <v>용무쌍 15화</v>
      </c>
      <c r="D2946" t="str">
        <f>T("15")</f>
        <v>15</v>
      </c>
      <c r="E2946" t="str">
        <f>T("권용찬")</f>
        <v>권용찬</v>
      </c>
      <c r="H2946" t="str">
        <f>T("스토리위즈")</f>
        <v>스토리위즈</v>
      </c>
      <c r="I2946" t="str">
        <f>T("용무쌍")</f>
        <v>용무쌍</v>
      </c>
      <c r="J2946">
        <v>0</v>
      </c>
      <c r="K2946">
        <v>0</v>
      </c>
      <c r="L2946">
        <v>0</v>
      </c>
      <c r="M2946">
        <v>2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2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Q2946">
        <v>0</v>
      </c>
      <c r="AR2946">
        <v>0</v>
      </c>
      <c r="AT2946">
        <v>0</v>
      </c>
      <c r="AU2946">
        <v>0</v>
      </c>
      <c r="AW2946">
        <v>0</v>
      </c>
      <c r="AX2946">
        <v>0</v>
      </c>
      <c r="AY2946">
        <v>0</v>
      </c>
      <c r="BC2946" t="str">
        <f>T("9791159284861")</f>
        <v>9791159284861</v>
      </c>
      <c r="BE2946" t="str">
        <f>T("판타지 웹소설 &gt; 무협 소설")</f>
        <v>판타지 웹소설 &gt; 무협 소설</v>
      </c>
    </row>
    <row r="2947" spans="1:57" x14ac:dyDescent="0.3">
      <c r="A2947">
        <v>1525011523</v>
      </c>
      <c r="B2947">
        <v>1525011503</v>
      </c>
      <c r="C2947" t="str">
        <f>T("남창목가 21화")</f>
        <v>남창목가 21화</v>
      </c>
      <c r="D2947" t="str">
        <f>T("21")</f>
        <v>21</v>
      </c>
      <c r="E2947" t="str">
        <f>T("최재봉")</f>
        <v>최재봉</v>
      </c>
      <c r="H2947" t="str">
        <f>T("에필로그")</f>
        <v>에필로그</v>
      </c>
      <c r="I2947" t="str">
        <f>T("남창목가")</f>
        <v>남창목가</v>
      </c>
      <c r="J2947">
        <v>100</v>
      </c>
      <c r="K2947">
        <v>0</v>
      </c>
      <c r="L2947">
        <v>0</v>
      </c>
      <c r="M2947">
        <v>0</v>
      </c>
      <c r="N2947">
        <v>100</v>
      </c>
      <c r="O2947">
        <v>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100</v>
      </c>
      <c r="AH2947">
        <v>1</v>
      </c>
      <c r="AI2947">
        <v>0</v>
      </c>
      <c r="AJ2947">
        <v>0</v>
      </c>
      <c r="AK2947">
        <v>100</v>
      </c>
      <c r="AL2947">
        <v>0</v>
      </c>
      <c r="AM2947">
        <v>0</v>
      </c>
      <c r="AN2947">
        <v>0</v>
      </c>
      <c r="AO2947">
        <v>0</v>
      </c>
      <c r="AQ2947">
        <v>0</v>
      </c>
      <c r="AR2947">
        <v>0</v>
      </c>
      <c r="AT2947">
        <v>0</v>
      </c>
      <c r="AU2947">
        <v>0</v>
      </c>
      <c r="AW2947">
        <v>0</v>
      </c>
      <c r="AX2947">
        <v>0</v>
      </c>
      <c r="AY2947">
        <v>70</v>
      </c>
      <c r="BC2947" t="str">
        <f>T("9791164482849")</f>
        <v>9791164482849</v>
      </c>
      <c r="BE2947" t="str">
        <f>T("판타지 웹소설 &gt; 무협 소설")</f>
        <v>판타지 웹소설 &gt; 무협 소설</v>
      </c>
    </row>
    <row r="2948" spans="1:57" x14ac:dyDescent="0.3">
      <c r="A2948">
        <v>1525012551</v>
      </c>
      <c r="B2948">
        <v>1525012561</v>
      </c>
      <c r="C2948" t="str">
        <f>T("개정판 | 바보가 만드는 멋진 세상 11화")</f>
        <v>개정판 | 바보가 만드는 멋진 세상 11화</v>
      </c>
      <c r="D2948" t="str">
        <f>T("11")</f>
        <v>11</v>
      </c>
      <c r="E2948" t="str">
        <f>T("백범(白帆)")</f>
        <v>백범(白帆)</v>
      </c>
      <c r="H2948" t="str">
        <f>T("에필로그")</f>
        <v>에필로그</v>
      </c>
      <c r="I2948" t="str">
        <f>T("개정판 | 바보가 만드는 멋진 세상")</f>
        <v>개정판 | 바보가 만드는 멋진 세상</v>
      </c>
      <c r="J2948">
        <v>0</v>
      </c>
      <c r="K2948">
        <v>0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1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Q2948">
        <v>0</v>
      </c>
      <c r="AR2948">
        <v>0</v>
      </c>
      <c r="AT2948">
        <v>0</v>
      </c>
      <c r="AU2948">
        <v>0</v>
      </c>
      <c r="AW2948">
        <v>0</v>
      </c>
      <c r="AX2948">
        <v>0</v>
      </c>
      <c r="AY2948">
        <v>0</v>
      </c>
      <c r="BC2948" t="str">
        <f>T("9791166003493")</f>
        <v>9791166003493</v>
      </c>
      <c r="BE2948" t="str">
        <f>T("판타지 웹소설 &gt; 현대 판타지")</f>
        <v>판타지 웹소설 &gt; 현대 판타지</v>
      </c>
    </row>
    <row r="2949" spans="1:57" x14ac:dyDescent="0.3">
      <c r="A2949">
        <v>1525000055</v>
      </c>
      <c r="B2949">
        <v>1525000068</v>
      </c>
      <c r="C2949" t="str">
        <f>T("[e북]21세기 대마법사 13권")</f>
        <v>[e북]21세기 대마법사 13권</v>
      </c>
      <c r="D2949" t="str">
        <f>T("13")</f>
        <v>13</v>
      </c>
      <c r="E2949" t="str">
        <f>T("김광수")</f>
        <v>김광수</v>
      </c>
      <c r="H2949" t="str">
        <f>T("스토리위즈")</f>
        <v>스토리위즈</v>
      </c>
      <c r="I2949" t="str">
        <f>T("[e북]21세기 대마법사")</f>
        <v>[e북]21세기 대마법사</v>
      </c>
      <c r="J2949">
        <v>3200</v>
      </c>
      <c r="K2949">
        <v>0</v>
      </c>
      <c r="L2949">
        <v>0</v>
      </c>
      <c r="M2949">
        <v>0</v>
      </c>
      <c r="N2949">
        <v>2700</v>
      </c>
      <c r="O2949">
        <v>3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2700</v>
      </c>
      <c r="AH2949">
        <v>3</v>
      </c>
      <c r="AI2949">
        <v>0</v>
      </c>
      <c r="AJ2949">
        <v>0</v>
      </c>
      <c r="AK2949">
        <v>0</v>
      </c>
      <c r="AL2949">
        <v>0</v>
      </c>
      <c r="AM2949">
        <v>3240</v>
      </c>
      <c r="AN2949">
        <v>-540</v>
      </c>
      <c r="AO2949">
        <v>0</v>
      </c>
      <c r="AQ2949">
        <v>0</v>
      </c>
      <c r="AR2949">
        <v>0</v>
      </c>
      <c r="AS2949">
        <v>3240</v>
      </c>
      <c r="AT2949">
        <v>-540</v>
      </c>
      <c r="AU2949">
        <v>0</v>
      </c>
      <c r="AW2949">
        <v>0</v>
      </c>
      <c r="AX2949">
        <v>0</v>
      </c>
      <c r="AY2949">
        <v>1890</v>
      </c>
      <c r="BC2949" t="str">
        <f>T("9788925119434")</f>
        <v>9788925119434</v>
      </c>
      <c r="BE2949" t="str">
        <f>T("판타지 e북 &gt; 퓨전 판타지")</f>
        <v>판타지 e북 &gt; 퓨전 판타지</v>
      </c>
    </row>
    <row r="2950" spans="1:57" x14ac:dyDescent="0.3">
      <c r="A2950">
        <v>1525004799</v>
      </c>
      <c r="B2950">
        <v>1525004814</v>
      </c>
      <c r="C2950" t="str">
        <f>T("검산도해 16화")</f>
        <v>검산도해 16화</v>
      </c>
      <c r="D2950" t="str">
        <f>T("16")</f>
        <v>16</v>
      </c>
      <c r="E2950" t="str">
        <f>T("권용찬")</f>
        <v>권용찬</v>
      </c>
      <c r="H2950" t="str">
        <f>T("스토리위즈")</f>
        <v>스토리위즈</v>
      </c>
      <c r="I2950" t="str">
        <f>T("검산도해")</f>
        <v>검산도해</v>
      </c>
      <c r="J2950">
        <v>0</v>
      </c>
      <c r="K2950">
        <v>0</v>
      </c>
      <c r="L2950">
        <v>0</v>
      </c>
      <c r="M2950">
        <v>2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2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Q2950">
        <v>0</v>
      </c>
      <c r="AR2950">
        <v>0</v>
      </c>
      <c r="AT2950">
        <v>0</v>
      </c>
      <c r="AU2950">
        <v>0</v>
      </c>
      <c r="AW2950">
        <v>0</v>
      </c>
      <c r="AX2950">
        <v>0</v>
      </c>
      <c r="AY2950">
        <v>0</v>
      </c>
      <c r="BC2950" t="str">
        <f>T("9791159285936")</f>
        <v>9791159285936</v>
      </c>
      <c r="BE2950" t="str">
        <f>T("판타지 웹소설 &gt; 무협 소설")</f>
        <v>판타지 웹소설 &gt; 무협 소설</v>
      </c>
    </row>
    <row r="2951" spans="1:57" x14ac:dyDescent="0.3">
      <c r="A2951">
        <v>1525002864</v>
      </c>
      <c r="B2951">
        <v>1525002881</v>
      </c>
      <c r="C2951" t="str">
        <f>T("소드마스터의 환생 18화")</f>
        <v>소드마스터의 환생 18화</v>
      </c>
      <c r="D2951" t="str">
        <f>T("18")</f>
        <v>18</v>
      </c>
      <c r="E2951" t="str">
        <f>T("파란영")</f>
        <v>파란영</v>
      </c>
      <c r="H2951" t="str">
        <f>T("스토리위즈")</f>
        <v>스토리위즈</v>
      </c>
      <c r="I2951" t="str">
        <f>T("소드마스터의 환생")</f>
        <v>소드마스터의 환생</v>
      </c>
      <c r="J2951">
        <v>0</v>
      </c>
      <c r="K2951">
        <v>0</v>
      </c>
      <c r="L2951">
        <v>0</v>
      </c>
      <c r="M2951">
        <v>4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4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Q2951">
        <v>0</v>
      </c>
      <c r="AR2951">
        <v>0</v>
      </c>
      <c r="AT2951">
        <v>0</v>
      </c>
      <c r="AU2951">
        <v>0</v>
      </c>
      <c r="AW2951">
        <v>0</v>
      </c>
      <c r="AX2951">
        <v>0</v>
      </c>
      <c r="AY2951">
        <v>0</v>
      </c>
      <c r="BC2951" t="str">
        <f>T("9791159287527")</f>
        <v>9791159287527</v>
      </c>
      <c r="BE2951" t="str">
        <f>T("판타지 웹소설 &gt; 정통 판타지")</f>
        <v>판타지 웹소설 &gt; 정통 판타지</v>
      </c>
    </row>
    <row r="2952" spans="1:57" x14ac:dyDescent="0.3">
      <c r="A2952">
        <v>1525001317</v>
      </c>
      <c r="B2952">
        <v>1525001330</v>
      </c>
      <c r="C2952" t="str">
        <f>T("[e북]완전판 | 스트라이커 14권")</f>
        <v>[e북]완전판 | 스트라이커 14권</v>
      </c>
      <c r="D2952" t="str">
        <f>T("14")</f>
        <v>14</v>
      </c>
      <c r="E2952" t="str">
        <f>T("독고진")</f>
        <v>독고진</v>
      </c>
      <c r="H2952" t="str">
        <f>T("스토리위즈")</f>
        <v>스토리위즈</v>
      </c>
      <c r="I2952" t="str">
        <f>T("[e북]완전판 | 스트라이커")</f>
        <v>[e북]완전판 | 스트라이커</v>
      </c>
      <c r="J2952">
        <v>3200</v>
      </c>
      <c r="K2952">
        <v>0</v>
      </c>
      <c r="L2952">
        <v>0</v>
      </c>
      <c r="M2952">
        <v>0</v>
      </c>
      <c r="N2952">
        <v>900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900</v>
      </c>
      <c r="AH2952">
        <v>1</v>
      </c>
      <c r="AI2952">
        <v>0</v>
      </c>
      <c r="AJ2952">
        <v>0</v>
      </c>
      <c r="AK2952">
        <v>900</v>
      </c>
      <c r="AL2952">
        <v>0</v>
      </c>
      <c r="AM2952">
        <v>0</v>
      </c>
      <c r="AN2952">
        <v>0</v>
      </c>
      <c r="AO2952">
        <v>0</v>
      </c>
      <c r="AQ2952">
        <v>0</v>
      </c>
      <c r="AR2952">
        <v>0</v>
      </c>
      <c r="AT2952">
        <v>0</v>
      </c>
      <c r="AU2952">
        <v>0</v>
      </c>
      <c r="AW2952">
        <v>0</v>
      </c>
      <c r="AX2952">
        <v>0</v>
      </c>
      <c r="AY2952">
        <v>630</v>
      </c>
      <c r="BA2952" t="str">
        <f>T("9791159282966")</f>
        <v>9791159282966</v>
      </c>
      <c r="BC2952" t="str">
        <f>T("9791159282966")</f>
        <v>9791159282966</v>
      </c>
      <c r="BE2952" t="str">
        <f>T("판타지 e북 &gt; 스포츠물")</f>
        <v>판타지 e북 &gt; 스포츠물</v>
      </c>
    </row>
    <row r="2953" spans="1:57" x14ac:dyDescent="0.3">
      <c r="A2953">
        <v>1525004799</v>
      </c>
      <c r="B2953">
        <v>1525004805</v>
      </c>
      <c r="C2953" t="str">
        <f>T("검산도해 7화")</f>
        <v>검산도해 7화</v>
      </c>
      <c r="D2953" t="str">
        <f>T("7")</f>
        <v>7</v>
      </c>
      <c r="E2953" t="str">
        <f>T("권용찬")</f>
        <v>권용찬</v>
      </c>
      <c r="H2953" t="str">
        <f>T("스토리위즈")</f>
        <v>스토리위즈</v>
      </c>
      <c r="I2953" t="str">
        <f>T("검산도해")</f>
        <v>검산도해</v>
      </c>
      <c r="J2953">
        <v>0</v>
      </c>
      <c r="K2953">
        <v>0</v>
      </c>
      <c r="L2953">
        <v>0</v>
      </c>
      <c r="M2953">
        <v>4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4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Q2953">
        <v>0</v>
      </c>
      <c r="AR2953">
        <v>0</v>
      </c>
      <c r="AT2953">
        <v>0</v>
      </c>
      <c r="AU2953">
        <v>0</v>
      </c>
      <c r="AW2953">
        <v>0</v>
      </c>
      <c r="AX2953">
        <v>0</v>
      </c>
      <c r="AY2953">
        <v>0</v>
      </c>
      <c r="BC2953" t="str">
        <f>T("9791159285936")</f>
        <v>9791159285936</v>
      </c>
      <c r="BE2953" t="str">
        <f>T("판타지 웹소설 &gt; 무협 소설")</f>
        <v>판타지 웹소설 &gt; 무협 소설</v>
      </c>
    </row>
    <row r="2954" spans="1:57" x14ac:dyDescent="0.3">
      <c r="A2954">
        <v>1525010982</v>
      </c>
      <c r="B2954">
        <v>1525010980</v>
      </c>
      <c r="C2954" t="str">
        <f>T("[e북]이 맛에 회장한다 3권")</f>
        <v>[e북]이 맛에 회장한다 3권</v>
      </c>
      <c r="D2954" t="str">
        <f>T("3")</f>
        <v>3</v>
      </c>
      <c r="E2954" t="str">
        <f>T("협행마")</f>
        <v>협행마</v>
      </c>
      <c r="H2954" t="str">
        <f>T("에필로그")</f>
        <v>에필로그</v>
      </c>
      <c r="I2954" t="str">
        <f>T("[e북]이 맛에 회장한다")</f>
        <v>[e북]이 맛에 회장한다</v>
      </c>
      <c r="J2954">
        <v>2500</v>
      </c>
      <c r="K2954">
        <v>0</v>
      </c>
      <c r="L2954">
        <v>0</v>
      </c>
      <c r="M2954">
        <v>0</v>
      </c>
      <c r="N2954">
        <v>2520</v>
      </c>
      <c r="O2954">
        <v>3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2520</v>
      </c>
      <c r="AH2954">
        <v>3</v>
      </c>
      <c r="AI2954">
        <v>0</v>
      </c>
      <c r="AJ2954">
        <v>0</v>
      </c>
      <c r="AK2954">
        <v>2520</v>
      </c>
      <c r="AL2954">
        <v>0</v>
      </c>
      <c r="AM2954">
        <v>0</v>
      </c>
      <c r="AN2954">
        <v>0</v>
      </c>
      <c r="AO2954">
        <v>0</v>
      </c>
      <c r="AQ2954">
        <v>0</v>
      </c>
      <c r="AR2954">
        <v>0</v>
      </c>
      <c r="AT2954">
        <v>0</v>
      </c>
      <c r="AU2954">
        <v>0</v>
      </c>
      <c r="AW2954">
        <v>0</v>
      </c>
      <c r="AX2954">
        <v>0</v>
      </c>
      <c r="AY2954">
        <v>1764</v>
      </c>
      <c r="BC2954" t="str">
        <f>T("9791164486083")</f>
        <v>9791164486083</v>
      </c>
      <c r="BE2954" t="str">
        <f>T("판타지 e북 &gt; 현대 판타지")</f>
        <v>판타지 e북 &gt; 현대 판타지</v>
      </c>
    </row>
    <row r="2955" spans="1:57" x14ac:dyDescent="0.3">
      <c r="A2955">
        <v>1525000411</v>
      </c>
      <c r="B2955">
        <v>1525000418</v>
      </c>
      <c r="C2955" t="str">
        <f>T("레이드 만물상점 8화")</f>
        <v>레이드 만물상점 8화</v>
      </c>
      <c r="D2955" t="str">
        <f>T("8")</f>
        <v>8</v>
      </c>
      <c r="E2955" t="str">
        <f>T("전혁")</f>
        <v>전혁</v>
      </c>
      <c r="H2955" t="str">
        <f>T("스토리위즈")</f>
        <v>스토리위즈</v>
      </c>
      <c r="I2955" t="str">
        <f>T("레이드 만물상점")</f>
        <v>레이드 만물상점</v>
      </c>
      <c r="J2955">
        <v>0</v>
      </c>
      <c r="K2955">
        <v>0</v>
      </c>
      <c r="L2955">
        <v>0</v>
      </c>
      <c r="M2955">
        <v>1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Q2955">
        <v>0</v>
      </c>
      <c r="AR2955">
        <v>0</v>
      </c>
      <c r="AT2955">
        <v>0</v>
      </c>
      <c r="AU2955">
        <v>0</v>
      </c>
      <c r="AW2955">
        <v>0</v>
      </c>
      <c r="AX2955">
        <v>0</v>
      </c>
      <c r="AY2955">
        <v>0</v>
      </c>
      <c r="BC2955" t="str">
        <f>T("9791170151432")</f>
        <v>9791170151432</v>
      </c>
      <c r="BE2955" t="str">
        <f>T("판타지 웹소설 &gt; 현대 판타지")</f>
        <v>판타지 웹소설 &gt; 현대 판타지</v>
      </c>
    </row>
    <row r="2956" spans="1:57" x14ac:dyDescent="0.3">
      <c r="A2956">
        <v>1525010944</v>
      </c>
      <c r="B2956">
        <v>1525010918</v>
      </c>
      <c r="C2956" t="str">
        <f>T("[e북]법보다 주먹 27권")</f>
        <v>[e북]법보다 주먹 27권</v>
      </c>
      <c r="D2956" t="str">
        <f>T("27")</f>
        <v>27</v>
      </c>
      <c r="E2956" t="str">
        <f>T("백범(白帆)")</f>
        <v>백범(白帆)</v>
      </c>
      <c r="H2956" t="str">
        <f>T("에필로그")</f>
        <v>에필로그</v>
      </c>
      <c r="I2956" t="str">
        <f>T("[e북]법보다 주먹")</f>
        <v>[e북]법보다 주먹</v>
      </c>
      <c r="J2956">
        <v>2000</v>
      </c>
      <c r="K2956">
        <v>0</v>
      </c>
      <c r="L2956">
        <v>0</v>
      </c>
      <c r="M2956">
        <v>0</v>
      </c>
      <c r="N2956">
        <v>900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900</v>
      </c>
      <c r="AH2956">
        <v>1</v>
      </c>
      <c r="AI2956">
        <v>0</v>
      </c>
      <c r="AJ2956">
        <v>0</v>
      </c>
      <c r="AK2956">
        <v>900</v>
      </c>
      <c r="AL2956">
        <v>0</v>
      </c>
      <c r="AM2956">
        <v>0</v>
      </c>
      <c r="AN2956">
        <v>0</v>
      </c>
      <c r="AO2956">
        <v>0</v>
      </c>
      <c r="AQ2956">
        <v>0</v>
      </c>
      <c r="AR2956">
        <v>0</v>
      </c>
      <c r="AT2956">
        <v>0</v>
      </c>
      <c r="AU2956">
        <v>0</v>
      </c>
      <c r="AW2956">
        <v>0</v>
      </c>
      <c r="AX2956">
        <v>0</v>
      </c>
      <c r="AY2956">
        <v>630</v>
      </c>
      <c r="BC2956" t="str">
        <f>T("9791164480142")</f>
        <v>9791164480142</v>
      </c>
      <c r="BE2956" t="str">
        <f>T("판타지 e북 &gt; 현대 판타지")</f>
        <v>판타지 e북 &gt; 현대 판타지</v>
      </c>
    </row>
    <row r="2957" spans="1:57" x14ac:dyDescent="0.3">
      <c r="A2957">
        <v>1525000190</v>
      </c>
      <c r="B2957">
        <v>1525000191</v>
      </c>
      <c r="C2957" t="str">
        <f>T("[e북]프리나이트 2권")</f>
        <v>[e북]프리나이트 2권</v>
      </c>
      <c r="D2957" t="str">
        <f>T("2")</f>
        <v>2</v>
      </c>
      <c r="E2957" t="str">
        <f>T("김광수")</f>
        <v>김광수</v>
      </c>
      <c r="H2957" t="str">
        <f>T("스토리위즈")</f>
        <v>스토리위즈</v>
      </c>
      <c r="I2957" t="str">
        <f>T("[e북]프리나이트")</f>
        <v>[e북]프리나이트</v>
      </c>
      <c r="J2957">
        <v>3200</v>
      </c>
      <c r="K2957">
        <v>0</v>
      </c>
      <c r="L2957">
        <v>0</v>
      </c>
      <c r="M2957">
        <v>0</v>
      </c>
      <c r="N2957">
        <v>900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900</v>
      </c>
      <c r="AH2957">
        <v>1</v>
      </c>
      <c r="AI2957">
        <v>0</v>
      </c>
      <c r="AJ2957">
        <v>0</v>
      </c>
      <c r="AK2957">
        <v>900</v>
      </c>
      <c r="AL2957">
        <v>0</v>
      </c>
      <c r="AM2957">
        <v>0</v>
      </c>
      <c r="AN2957">
        <v>0</v>
      </c>
      <c r="AO2957">
        <v>0</v>
      </c>
      <c r="AQ2957">
        <v>0</v>
      </c>
      <c r="AR2957">
        <v>0</v>
      </c>
      <c r="AT2957">
        <v>0</v>
      </c>
      <c r="AU2957">
        <v>0</v>
      </c>
      <c r="AW2957">
        <v>0</v>
      </c>
      <c r="AX2957">
        <v>0</v>
      </c>
      <c r="AY2957">
        <v>630</v>
      </c>
      <c r="BE2957" t="str">
        <f>T("판타지 e북 &gt; 퓨전 판타지")</f>
        <v>판타지 e북 &gt; 퓨전 판타지</v>
      </c>
    </row>
    <row r="2958" spans="1:57" x14ac:dyDescent="0.3">
      <c r="A2958">
        <v>1525000209</v>
      </c>
      <c r="B2958">
        <v>1525000212</v>
      </c>
      <c r="C2958" t="str">
        <f>T("[e북]독종무쌍 4권")</f>
        <v>[e북]독종무쌍 4권</v>
      </c>
      <c r="D2958" t="str">
        <f>T("4")</f>
        <v>4</v>
      </c>
      <c r="E2958" t="str">
        <f>T("전혁")</f>
        <v>전혁</v>
      </c>
      <c r="H2958" t="str">
        <f>T("스토리위즈")</f>
        <v>스토리위즈</v>
      </c>
      <c r="I2958" t="str">
        <f>T("[e북]독종무쌍")</f>
        <v>[e북]독종무쌍</v>
      </c>
      <c r="J2958">
        <v>3200</v>
      </c>
      <c r="K2958">
        <v>0</v>
      </c>
      <c r="L2958">
        <v>0</v>
      </c>
      <c r="M2958">
        <v>0</v>
      </c>
      <c r="N2958">
        <v>900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900</v>
      </c>
      <c r="AH2958">
        <v>1</v>
      </c>
      <c r="AI2958">
        <v>0</v>
      </c>
      <c r="AJ2958">
        <v>0</v>
      </c>
      <c r="AK2958">
        <v>0</v>
      </c>
      <c r="AL2958">
        <v>0</v>
      </c>
      <c r="AM2958">
        <v>1080</v>
      </c>
      <c r="AN2958">
        <v>-108</v>
      </c>
      <c r="AO2958">
        <v>0</v>
      </c>
      <c r="AQ2958">
        <v>0</v>
      </c>
      <c r="AR2958">
        <v>0</v>
      </c>
      <c r="AS2958">
        <v>1080</v>
      </c>
      <c r="AT2958">
        <v>-108</v>
      </c>
      <c r="AU2958">
        <v>0</v>
      </c>
      <c r="AW2958">
        <v>0</v>
      </c>
      <c r="AX2958">
        <v>0</v>
      </c>
      <c r="AY2958">
        <v>680.4</v>
      </c>
      <c r="BC2958" t="str">
        <f>T("9791195310067")</f>
        <v>9791195310067</v>
      </c>
      <c r="BE2958" t="str">
        <f>T("판타지 e북 &gt; 신무협")</f>
        <v>판타지 e북 &gt; 신무협</v>
      </c>
    </row>
    <row r="2959" spans="1:57" x14ac:dyDescent="0.3">
      <c r="A2959">
        <v>1525010579</v>
      </c>
      <c r="B2959">
        <v>1525010579</v>
      </c>
      <c r="C2959" t="str">
        <f>T("법보다 주먹 1화")</f>
        <v>법보다 주먹 1화</v>
      </c>
      <c r="D2959" t="str">
        <f>T("1")</f>
        <v>1</v>
      </c>
      <c r="E2959" t="str">
        <f>T("백범(白帆)")</f>
        <v>백범(白帆)</v>
      </c>
      <c r="H2959" t="str">
        <f>T("에필로그")</f>
        <v>에필로그</v>
      </c>
      <c r="I2959" t="str">
        <f>T("법보다 주먹")</f>
        <v>법보다 주먹</v>
      </c>
      <c r="J2959">
        <v>0</v>
      </c>
      <c r="K2959">
        <v>0</v>
      </c>
      <c r="L2959">
        <v>0</v>
      </c>
      <c r="M2959">
        <v>2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2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Q2959">
        <v>0</v>
      </c>
      <c r="AR2959">
        <v>0</v>
      </c>
      <c r="AT2959">
        <v>0</v>
      </c>
      <c r="AU2959">
        <v>0</v>
      </c>
      <c r="AW2959">
        <v>0</v>
      </c>
      <c r="AX2959">
        <v>0</v>
      </c>
      <c r="AY2959">
        <v>0</v>
      </c>
      <c r="BC2959" t="str">
        <f>T("9791164489367")</f>
        <v>9791164489367</v>
      </c>
      <c r="BE2959" t="str">
        <f>T("판타지 웹소설 &gt; 현대 판타지")</f>
        <v>판타지 웹소설 &gt; 현대 판타지</v>
      </c>
    </row>
    <row r="2960" spans="1:57" x14ac:dyDescent="0.3">
      <c r="A2960">
        <v>1525013020</v>
      </c>
      <c r="B2960">
        <v>1525013038</v>
      </c>
      <c r="C2960" t="str">
        <f>T("악당의 리턴 19화")</f>
        <v>악당의 리턴 19화</v>
      </c>
      <c r="D2960" t="str">
        <f>T("19")</f>
        <v>19</v>
      </c>
      <c r="E2960" t="str">
        <f>T("백범(白帆)")</f>
        <v>백범(白帆)</v>
      </c>
      <c r="H2960" t="str">
        <f>T("에필로그")</f>
        <v>에필로그</v>
      </c>
      <c r="I2960" t="str">
        <f>T("악당의 리턴")</f>
        <v>악당의 리턴</v>
      </c>
      <c r="J2960">
        <v>0</v>
      </c>
      <c r="K2960">
        <v>0</v>
      </c>
      <c r="L2960">
        <v>0</v>
      </c>
      <c r="M2960">
        <v>6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6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Q2960">
        <v>0</v>
      </c>
      <c r="AR2960">
        <v>0</v>
      </c>
      <c r="AT2960">
        <v>0</v>
      </c>
      <c r="AU2960">
        <v>0</v>
      </c>
      <c r="AW2960">
        <v>0</v>
      </c>
      <c r="AX2960">
        <v>0</v>
      </c>
      <c r="AY2960">
        <v>0</v>
      </c>
      <c r="BC2960" t="str">
        <f>T("9791196538927")</f>
        <v>9791196538927</v>
      </c>
      <c r="BE2960" t="str">
        <f>T("판타지 웹소설 &gt; 현대 판타지")</f>
        <v>판타지 웹소설 &gt; 현대 판타지</v>
      </c>
    </row>
    <row r="2961" spans="1:57" x14ac:dyDescent="0.3">
      <c r="A2961">
        <v>1525008229</v>
      </c>
      <c r="B2961">
        <v>1525008229</v>
      </c>
      <c r="C2961" t="str">
        <f>T("뉴욕 키스 스캔들 1화")</f>
        <v>뉴욕 키스 스캔들 1화</v>
      </c>
      <c r="D2961" t="str">
        <f>T("1")</f>
        <v>1</v>
      </c>
      <c r="E2961" t="str">
        <f>T("용가리맛쿠키")</f>
        <v>용가리맛쿠키</v>
      </c>
      <c r="H2961" t="str">
        <f>T("블러쉬")</f>
        <v>블러쉬</v>
      </c>
      <c r="I2961" t="str">
        <f>T("뉴욕 키스 스캔들")</f>
        <v>뉴욕 키스 스캔들</v>
      </c>
      <c r="J2961">
        <v>0</v>
      </c>
      <c r="K2961">
        <v>0</v>
      </c>
      <c r="L2961">
        <v>0</v>
      </c>
      <c r="M2961">
        <v>2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2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Q2961">
        <v>0</v>
      </c>
      <c r="AR2961">
        <v>0</v>
      </c>
      <c r="AT2961">
        <v>0</v>
      </c>
      <c r="AU2961">
        <v>0</v>
      </c>
      <c r="AW2961">
        <v>0</v>
      </c>
      <c r="AX2961">
        <v>0</v>
      </c>
      <c r="AY2961">
        <v>0</v>
      </c>
      <c r="BA2961" t="str">
        <f>T("0000000000000")</f>
        <v>0000000000000</v>
      </c>
      <c r="BC2961" t="str">
        <f>T("9791164896677")</f>
        <v>9791164896677</v>
      </c>
      <c r="BD2961" t="str">
        <f>T("B11")</f>
        <v>B11</v>
      </c>
      <c r="BE2961" t="str">
        <f>T("BL 웹소설 &gt; 현대물")</f>
        <v>BL 웹소설 &gt; 현대물</v>
      </c>
    </row>
    <row r="2962" spans="1:57" x14ac:dyDescent="0.3">
      <c r="A2962">
        <v>1525000569</v>
      </c>
      <c r="B2962">
        <v>1525000572</v>
      </c>
      <c r="C2962" t="str">
        <f>T("스트라이커 4화")</f>
        <v>스트라이커 4화</v>
      </c>
      <c r="D2962" t="str">
        <f>T("4")</f>
        <v>4</v>
      </c>
      <c r="E2962" t="str">
        <f>T("독고진")</f>
        <v>독고진</v>
      </c>
      <c r="H2962" t="str">
        <f>T("스토리위즈")</f>
        <v>스토리위즈</v>
      </c>
      <c r="I2962" t="str">
        <f>T("스트라이커")</f>
        <v>스트라이커</v>
      </c>
      <c r="J2962">
        <v>0</v>
      </c>
      <c r="K2962">
        <v>0</v>
      </c>
      <c r="L2962">
        <v>0</v>
      </c>
      <c r="M2962">
        <v>2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2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Q2962">
        <v>0</v>
      </c>
      <c r="AR2962">
        <v>0</v>
      </c>
      <c r="AT2962">
        <v>0</v>
      </c>
      <c r="AU2962">
        <v>0</v>
      </c>
      <c r="AW2962">
        <v>0</v>
      </c>
      <c r="AX2962">
        <v>0</v>
      </c>
      <c r="AY2962">
        <v>0</v>
      </c>
      <c r="BC2962" t="str">
        <f>T("9791170151678")</f>
        <v>9791170151678</v>
      </c>
      <c r="BE2962" t="str">
        <f>T("판타지 웹소설 &gt; 현대 판타지")</f>
        <v>판타지 웹소설 &gt; 현대 판타지</v>
      </c>
    </row>
    <row r="2963" spans="1:57" x14ac:dyDescent="0.3">
      <c r="A2963">
        <v>1525013344</v>
      </c>
      <c r="B2963">
        <v>1525013345</v>
      </c>
      <c r="C2963" t="str">
        <f>T("[e북]진짜 사나이 2권")</f>
        <v>[e북]진짜 사나이 2권</v>
      </c>
      <c r="D2963" t="str">
        <f>T("2")</f>
        <v>2</v>
      </c>
      <c r="E2963" t="str">
        <f>T("백범(白帆)")</f>
        <v>백범(白帆)</v>
      </c>
      <c r="H2963" t="str">
        <f>T("에필로그")</f>
        <v>에필로그</v>
      </c>
      <c r="I2963" t="str">
        <f>T("[e북]진짜 사나이")</f>
        <v>[e북]진짜 사나이</v>
      </c>
      <c r="J2963">
        <v>2000</v>
      </c>
      <c r="K2963">
        <v>0</v>
      </c>
      <c r="L2963">
        <v>0</v>
      </c>
      <c r="M2963">
        <v>0</v>
      </c>
      <c r="N2963">
        <v>900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900</v>
      </c>
      <c r="AH2963">
        <v>1</v>
      </c>
      <c r="AI2963">
        <v>0</v>
      </c>
      <c r="AJ2963">
        <v>0</v>
      </c>
      <c r="AK2963">
        <v>900</v>
      </c>
      <c r="AL2963">
        <v>0</v>
      </c>
      <c r="AM2963">
        <v>0</v>
      </c>
      <c r="AN2963">
        <v>0</v>
      </c>
      <c r="AO2963">
        <v>0</v>
      </c>
      <c r="AQ2963">
        <v>0</v>
      </c>
      <c r="AR2963">
        <v>0</v>
      </c>
      <c r="AT2963">
        <v>0</v>
      </c>
      <c r="AU2963">
        <v>0</v>
      </c>
      <c r="AW2963">
        <v>0</v>
      </c>
      <c r="AX2963">
        <v>0</v>
      </c>
      <c r="AY2963">
        <v>630</v>
      </c>
      <c r="BC2963" t="str">
        <f>T("9791164480531")</f>
        <v>9791164480531</v>
      </c>
      <c r="BE2963" t="str">
        <f>T("판타지 e북 &gt; 퓨전 판타지")</f>
        <v>판타지 e북 &gt; 퓨전 판타지</v>
      </c>
    </row>
    <row r="2964" spans="1:57" x14ac:dyDescent="0.3">
      <c r="A2964">
        <v>1525010944</v>
      </c>
      <c r="B2964">
        <v>1525010939</v>
      </c>
      <c r="C2964" t="str">
        <f>T("[e북]법보다 주먹 6권")</f>
        <v>[e북]법보다 주먹 6권</v>
      </c>
      <c r="D2964" t="str">
        <f>T("6")</f>
        <v>6</v>
      </c>
      <c r="E2964" t="str">
        <f>T("백범(白帆)")</f>
        <v>백범(白帆)</v>
      </c>
      <c r="H2964" t="str">
        <f>T("에필로그")</f>
        <v>에필로그</v>
      </c>
      <c r="I2964" t="str">
        <f>T("[e북]법보다 주먹")</f>
        <v>[e북]법보다 주먹</v>
      </c>
      <c r="J2964">
        <v>2000</v>
      </c>
      <c r="K2964">
        <v>0</v>
      </c>
      <c r="L2964">
        <v>0</v>
      </c>
      <c r="M2964">
        <v>0</v>
      </c>
      <c r="N2964">
        <v>1800</v>
      </c>
      <c r="O2964">
        <v>2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1800</v>
      </c>
      <c r="AH2964">
        <v>2</v>
      </c>
      <c r="AI2964">
        <v>0</v>
      </c>
      <c r="AJ2964">
        <v>0</v>
      </c>
      <c r="AK2964">
        <v>0</v>
      </c>
      <c r="AL2964">
        <v>0</v>
      </c>
      <c r="AM2964">
        <v>2160</v>
      </c>
      <c r="AN2964">
        <v>-432</v>
      </c>
      <c r="AO2964">
        <v>0</v>
      </c>
      <c r="AQ2964">
        <v>0</v>
      </c>
      <c r="AR2964">
        <v>0</v>
      </c>
      <c r="AS2964">
        <v>2160</v>
      </c>
      <c r="AT2964">
        <v>-432</v>
      </c>
      <c r="AU2964">
        <v>0</v>
      </c>
      <c r="AW2964">
        <v>0</v>
      </c>
      <c r="AX2964">
        <v>0</v>
      </c>
      <c r="AY2964">
        <v>1209.5999999999999</v>
      </c>
      <c r="BC2964" t="str">
        <f>T("9791164480142")</f>
        <v>9791164480142</v>
      </c>
      <c r="BE2964" t="str">
        <f>T("판타지 e북 &gt; 현대 판타지")</f>
        <v>판타지 e북 &gt; 현대 판타지</v>
      </c>
    </row>
    <row r="2965" spans="1:57" x14ac:dyDescent="0.3">
      <c r="A2965">
        <v>1525000001</v>
      </c>
      <c r="B2965">
        <v>1525000012</v>
      </c>
      <c r="C2965" t="str">
        <f>T("[e북]마스터 K 12권")</f>
        <v>[e북]마스터 K 12권</v>
      </c>
      <c r="D2965" t="str">
        <f>T("12")</f>
        <v>12</v>
      </c>
      <c r="E2965" t="str">
        <f>T("김광수")</f>
        <v>김광수</v>
      </c>
      <c r="H2965" t="str">
        <f>T("스토리위즈")</f>
        <v>스토리위즈</v>
      </c>
      <c r="I2965" t="str">
        <f>T("[e북]마스터 K")</f>
        <v>[e북]마스터 K</v>
      </c>
      <c r="J2965">
        <v>3200</v>
      </c>
      <c r="K2965">
        <v>0</v>
      </c>
      <c r="L2965">
        <v>0</v>
      </c>
      <c r="M2965">
        <v>0</v>
      </c>
      <c r="N2965">
        <v>900</v>
      </c>
      <c r="O2965">
        <v>1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900</v>
      </c>
      <c r="AH2965">
        <v>1</v>
      </c>
      <c r="AI2965">
        <v>0</v>
      </c>
      <c r="AJ2965">
        <v>0</v>
      </c>
      <c r="AK2965">
        <v>900</v>
      </c>
      <c r="AL2965">
        <v>0</v>
      </c>
      <c r="AM2965">
        <v>0</v>
      </c>
      <c r="AN2965">
        <v>0</v>
      </c>
      <c r="AO2965">
        <v>0</v>
      </c>
      <c r="AQ2965">
        <v>0</v>
      </c>
      <c r="AR2965">
        <v>0</v>
      </c>
      <c r="AT2965">
        <v>0</v>
      </c>
      <c r="AU2965">
        <v>0</v>
      </c>
      <c r="AW2965">
        <v>0</v>
      </c>
      <c r="AX2965">
        <v>0</v>
      </c>
      <c r="AY2965">
        <v>630</v>
      </c>
      <c r="BE2965" t="str">
        <f>T("판타지 e북 &gt; 스포츠물")</f>
        <v>판타지 e북 &gt; 스포츠물</v>
      </c>
    </row>
    <row r="2966" spans="1:57" x14ac:dyDescent="0.3">
      <c r="A2966">
        <v>1525004988</v>
      </c>
      <c r="B2966">
        <v>1525005291</v>
      </c>
      <c r="C2966" t="str">
        <f>T("용무쌍 4화")</f>
        <v>용무쌍 4화</v>
      </c>
      <c r="D2966" t="str">
        <f>T("4")</f>
        <v>4</v>
      </c>
      <c r="E2966" t="str">
        <f>T("권용찬")</f>
        <v>권용찬</v>
      </c>
      <c r="H2966" t="str">
        <f>T("스토리위즈")</f>
        <v>스토리위즈</v>
      </c>
      <c r="I2966" t="str">
        <f>T("용무쌍")</f>
        <v>용무쌍</v>
      </c>
      <c r="J2966">
        <v>0</v>
      </c>
      <c r="K2966">
        <v>0</v>
      </c>
      <c r="L2966">
        <v>0</v>
      </c>
      <c r="M2966">
        <v>2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2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Q2966">
        <v>0</v>
      </c>
      <c r="AR2966">
        <v>0</v>
      </c>
      <c r="AT2966">
        <v>0</v>
      </c>
      <c r="AU2966">
        <v>0</v>
      </c>
      <c r="AW2966">
        <v>0</v>
      </c>
      <c r="AX2966">
        <v>0</v>
      </c>
      <c r="AY2966">
        <v>0</v>
      </c>
      <c r="BC2966" t="str">
        <f>T("9791159284861")</f>
        <v>9791159284861</v>
      </c>
      <c r="BE2966" t="str">
        <f>T("판타지 웹소설 &gt; 무협 소설")</f>
        <v>판타지 웹소설 &gt; 무협 소설</v>
      </c>
    </row>
    <row r="2967" spans="1:57" x14ac:dyDescent="0.3">
      <c r="A2967">
        <v>1525003477</v>
      </c>
      <c r="B2967">
        <v>1525003477</v>
      </c>
      <c r="C2967" t="str">
        <f>T("[e북]신규무사 1권")</f>
        <v>[e북]신규무사 1권</v>
      </c>
      <c r="D2967" t="str">
        <f>T("1")</f>
        <v>1</v>
      </c>
      <c r="E2967" t="str">
        <f>T("권용찬")</f>
        <v>권용찬</v>
      </c>
      <c r="H2967" t="str">
        <f>T("스토리위즈")</f>
        <v>스토리위즈</v>
      </c>
      <c r="I2967" t="str">
        <f>T("[e북]신규무사")</f>
        <v>[e북]신규무사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7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7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Q2967">
        <v>0</v>
      </c>
      <c r="AR2967">
        <v>0</v>
      </c>
      <c r="AT2967">
        <v>0</v>
      </c>
      <c r="AU2967">
        <v>0</v>
      </c>
      <c r="AW2967">
        <v>0</v>
      </c>
      <c r="AX2967">
        <v>0</v>
      </c>
      <c r="AY2967">
        <v>0</v>
      </c>
      <c r="BC2967" t="str">
        <f>T("9791159288500")</f>
        <v>9791159288500</v>
      </c>
      <c r="BE2967" t="str">
        <f>T("판타지 e북 &gt; 신무협")</f>
        <v>판타지 e북 &gt; 신무협</v>
      </c>
    </row>
    <row r="2968" spans="1:57" x14ac:dyDescent="0.3">
      <c r="A2968">
        <v>1525000924</v>
      </c>
      <c r="B2968">
        <v>1525000939</v>
      </c>
      <c r="C2968" t="str">
        <f>T("스피릿 소드 16화")</f>
        <v>스피릿 소드 16화</v>
      </c>
      <c r="D2968" t="str">
        <f>T("16")</f>
        <v>16</v>
      </c>
      <c r="E2968" t="str">
        <f>T("김정률")</f>
        <v>김정률</v>
      </c>
      <c r="H2968" t="str">
        <f>T("스토리위즈")</f>
        <v>스토리위즈</v>
      </c>
      <c r="I2968" t="str">
        <f>T("스피릿 소드")</f>
        <v>스피릿 소드</v>
      </c>
      <c r="J2968">
        <v>0</v>
      </c>
      <c r="K2968">
        <v>0</v>
      </c>
      <c r="L2968">
        <v>0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1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Q2968">
        <v>0</v>
      </c>
      <c r="AR2968">
        <v>0</v>
      </c>
      <c r="AT2968">
        <v>0</v>
      </c>
      <c r="AU2968">
        <v>0</v>
      </c>
      <c r="AW2968">
        <v>0</v>
      </c>
      <c r="AX2968">
        <v>0</v>
      </c>
      <c r="AY2968">
        <v>0</v>
      </c>
      <c r="BA2968" t="str">
        <f>T("9791159282713")</f>
        <v>9791159282713</v>
      </c>
      <c r="BC2968" t="str">
        <f>T("9791159282713")</f>
        <v>9791159282713</v>
      </c>
      <c r="BE2968" t="str">
        <f>T("판타지 웹소설 &gt; 정통 판타지")</f>
        <v>판타지 웹소설 &gt; 정통 판타지</v>
      </c>
    </row>
    <row r="2969" spans="1:57" x14ac:dyDescent="0.3">
      <c r="A2969">
        <v>1525012539</v>
      </c>
      <c r="B2969">
        <v>1525012539</v>
      </c>
      <c r="C2969" t="str">
        <f>T("[e북]개정판 | 바보가 만드는 멋진 세상 1권")</f>
        <v>[e북]개정판 | 바보가 만드는 멋진 세상 1권</v>
      </c>
      <c r="D2969" t="str">
        <f>T("1")</f>
        <v>1</v>
      </c>
      <c r="E2969" t="str">
        <f>T("백범(白帆)")</f>
        <v>백범(白帆)</v>
      </c>
      <c r="H2969" t="str">
        <f>T("에필로그")</f>
        <v>에필로그</v>
      </c>
      <c r="I2969" t="str">
        <f>T("[e북]개정판 | 바보가 만드는 멋진 세상")</f>
        <v>[e북]개정판 | 바보가 만드는 멋진 세상</v>
      </c>
      <c r="J2969">
        <v>0</v>
      </c>
      <c r="K2969">
        <v>0</v>
      </c>
      <c r="L2969">
        <v>0</v>
      </c>
      <c r="M2969">
        <v>1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2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Q2969">
        <v>0</v>
      </c>
      <c r="AR2969">
        <v>0</v>
      </c>
      <c r="AT2969">
        <v>0</v>
      </c>
      <c r="AU2969">
        <v>0</v>
      </c>
      <c r="AW2969">
        <v>0</v>
      </c>
      <c r="AX2969">
        <v>0</v>
      </c>
      <c r="AY2969">
        <v>0</v>
      </c>
      <c r="BC2969" t="str">
        <f>T("9791166003509")</f>
        <v>9791166003509</v>
      </c>
      <c r="BE2969" t="str">
        <f>T("판타지 e북 &gt; 스포츠물")</f>
        <v>판타지 e북 &gt; 스포츠물</v>
      </c>
    </row>
    <row r="2970" spans="1:57" x14ac:dyDescent="0.3">
      <c r="A2970">
        <v>1525002692</v>
      </c>
      <c r="B2970">
        <v>1525002696</v>
      </c>
      <c r="C2970" t="str">
        <f>T("신규무사 5화")</f>
        <v>신규무사 5화</v>
      </c>
      <c r="D2970" t="str">
        <f>T("5")</f>
        <v>5</v>
      </c>
      <c r="E2970" t="str">
        <f>T("권용찬")</f>
        <v>권용찬</v>
      </c>
      <c r="H2970" t="str">
        <f>T("스토리위즈")</f>
        <v>스토리위즈</v>
      </c>
      <c r="I2970" t="str">
        <f>T("신규무사")</f>
        <v>신규무사</v>
      </c>
      <c r="J2970">
        <v>0</v>
      </c>
      <c r="K2970">
        <v>0</v>
      </c>
      <c r="L2970">
        <v>0</v>
      </c>
      <c r="M2970">
        <v>1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1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Q2970">
        <v>0</v>
      </c>
      <c r="AR2970">
        <v>0</v>
      </c>
      <c r="AT2970">
        <v>0</v>
      </c>
      <c r="AU2970">
        <v>0</v>
      </c>
      <c r="AW2970">
        <v>0</v>
      </c>
      <c r="AX2970">
        <v>0</v>
      </c>
      <c r="AY2970">
        <v>0</v>
      </c>
      <c r="BC2970" t="str">
        <f>T("9791159287480")</f>
        <v>9791159287480</v>
      </c>
      <c r="BE2970" t="str">
        <f>T("판타지 웹소설 &gt; 무협 소설")</f>
        <v>판타지 웹소설 &gt; 무협 소설</v>
      </c>
    </row>
    <row r="2971" spans="1:57" x14ac:dyDescent="0.3">
      <c r="A2971">
        <v>1525000055</v>
      </c>
      <c r="B2971">
        <v>1525000057</v>
      </c>
      <c r="C2971" t="str">
        <f>T("[e북]21세기 대마법사 2권")</f>
        <v>[e북]21세기 대마법사 2권</v>
      </c>
      <c r="D2971" t="str">
        <f>T("2")</f>
        <v>2</v>
      </c>
      <c r="E2971" t="str">
        <f>T("김광수")</f>
        <v>김광수</v>
      </c>
      <c r="H2971" t="str">
        <f>T("스토리위즈")</f>
        <v>스토리위즈</v>
      </c>
      <c r="I2971" t="str">
        <f>T("[e북]21세기 대마법사")</f>
        <v>[e북]21세기 대마법사</v>
      </c>
      <c r="J2971">
        <v>3200</v>
      </c>
      <c r="K2971">
        <v>0</v>
      </c>
      <c r="L2971">
        <v>0</v>
      </c>
      <c r="M2971">
        <v>0</v>
      </c>
      <c r="N2971">
        <v>3600</v>
      </c>
      <c r="O2971">
        <v>4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3600</v>
      </c>
      <c r="AH2971">
        <v>4</v>
      </c>
      <c r="AI2971">
        <v>0</v>
      </c>
      <c r="AJ2971">
        <v>0</v>
      </c>
      <c r="AK2971">
        <v>1100</v>
      </c>
      <c r="AL2971">
        <v>0</v>
      </c>
      <c r="AM2971">
        <v>3000</v>
      </c>
      <c r="AN2971">
        <v>-516</v>
      </c>
      <c r="AO2971">
        <v>0</v>
      </c>
      <c r="AQ2971">
        <v>0</v>
      </c>
      <c r="AR2971">
        <v>0</v>
      </c>
      <c r="AS2971">
        <v>3000</v>
      </c>
      <c r="AT2971">
        <v>-516</v>
      </c>
      <c r="AU2971">
        <v>0</v>
      </c>
      <c r="AW2971">
        <v>0</v>
      </c>
      <c r="AX2971">
        <v>0</v>
      </c>
      <c r="AY2971">
        <v>2508.8000000000002</v>
      </c>
      <c r="BC2971" t="str">
        <f>T("9788925116112")</f>
        <v>9788925116112</v>
      </c>
      <c r="BE2971" t="str">
        <f>T("판타지 e북 &gt; 퓨전 판타지")</f>
        <v>판타지 e북 &gt; 퓨전 판타지</v>
      </c>
    </row>
    <row r="2972" spans="1:57" x14ac:dyDescent="0.3">
      <c r="A2972">
        <v>1525004030</v>
      </c>
      <c r="B2972">
        <v>1525004045</v>
      </c>
      <c r="C2972" t="str">
        <f>T("회귀의 전설 16화")</f>
        <v>회귀의 전설 16화</v>
      </c>
      <c r="D2972" t="str">
        <f>T("16")</f>
        <v>16</v>
      </c>
      <c r="E2972" t="str">
        <f>T("김광수")</f>
        <v>김광수</v>
      </c>
      <c r="H2972" t="str">
        <f>T("스토리위즈")</f>
        <v>스토리위즈</v>
      </c>
      <c r="I2972" t="str">
        <f>T("회귀의 전설")</f>
        <v>회귀의 전설</v>
      </c>
      <c r="J2972">
        <v>0</v>
      </c>
      <c r="K2972">
        <v>0</v>
      </c>
      <c r="L2972">
        <v>0</v>
      </c>
      <c r="M2972">
        <v>6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6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Q2972">
        <v>0</v>
      </c>
      <c r="AR2972">
        <v>0</v>
      </c>
      <c r="AT2972">
        <v>0</v>
      </c>
      <c r="AU2972">
        <v>0</v>
      </c>
      <c r="AW2972">
        <v>0</v>
      </c>
      <c r="AX2972">
        <v>0</v>
      </c>
      <c r="AY2972">
        <v>0</v>
      </c>
      <c r="BC2972" t="str">
        <f>T("9788997946006")</f>
        <v>9788997946006</v>
      </c>
      <c r="BE2972" t="str">
        <f>T("판타지 웹소설 &gt; 현대 판타지")</f>
        <v>판타지 웹소설 &gt; 현대 판타지</v>
      </c>
    </row>
    <row r="2973" spans="1:57" x14ac:dyDescent="0.3">
      <c r="A2973">
        <v>1525014780</v>
      </c>
      <c r="B2973">
        <v>1525014785</v>
      </c>
      <c r="C2973" t="str">
        <f>T("크랭키 걸즈 6화")</f>
        <v>크랭키 걸즈 6화</v>
      </c>
      <c r="D2973" t="str">
        <f>T("6")</f>
        <v>6</v>
      </c>
      <c r="E2973" t="str">
        <f>T("곽도우")</f>
        <v>곽도우</v>
      </c>
      <c r="H2973" t="str">
        <f>T("스토리아크")</f>
        <v>스토리아크</v>
      </c>
      <c r="I2973" t="str">
        <f>T("크랭키 걸즈")</f>
        <v>크랭키 걸즈</v>
      </c>
      <c r="J2973">
        <v>0</v>
      </c>
      <c r="K2973">
        <v>0</v>
      </c>
      <c r="L2973">
        <v>0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1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Q2973">
        <v>0</v>
      </c>
      <c r="AR2973">
        <v>0</v>
      </c>
      <c r="AT2973">
        <v>0</v>
      </c>
      <c r="AU2973">
        <v>0</v>
      </c>
      <c r="AW2973">
        <v>0</v>
      </c>
      <c r="AX2973">
        <v>0</v>
      </c>
      <c r="AY2973">
        <v>0</v>
      </c>
      <c r="BC2973" t="str">
        <f>T("9791191039276")</f>
        <v>9791191039276</v>
      </c>
      <c r="BE2973" t="str">
        <f>T("판타지 웹소설 &gt; 현대 판타지")</f>
        <v>판타지 웹소설 &gt; 현대 판타지</v>
      </c>
    </row>
    <row r="2974" spans="1:57" x14ac:dyDescent="0.3">
      <c r="A2974">
        <v>1525001540</v>
      </c>
      <c r="B2974">
        <v>1525001541</v>
      </c>
      <c r="C2974" t="str">
        <f>T("[e북]철중쟁쟁 2권")</f>
        <v>[e북]철중쟁쟁 2권</v>
      </c>
      <c r="D2974" t="str">
        <f>T("2")</f>
        <v>2</v>
      </c>
      <c r="E2974" t="str">
        <f>T("권용찬")</f>
        <v>권용찬</v>
      </c>
      <c r="H2974" t="str">
        <f>T("스토리위즈")</f>
        <v>스토리위즈</v>
      </c>
      <c r="I2974" t="str">
        <f>T("[e북]철중쟁쟁")</f>
        <v>[e북]철중쟁쟁</v>
      </c>
      <c r="J2974">
        <v>3200</v>
      </c>
      <c r="K2974">
        <v>0</v>
      </c>
      <c r="L2974">
        <v>0</v>
      </c>
      <c r="M2974">
        <v>0</v>
      </c>
      <c r="N2974">
        <v>7200</v>
      </c>
      <c r="O2974">
        <v>8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7200</v>
      </c>
      <c r="AH2974">
        <v>8</v>
      </c>
      <c r="AI2974">
        <v>0</v>
      </c>
      <c r="AJ2974">
        <v>0</v>
      </c>
      <c r="AK2974">
        <v>6300</v>
      </c>
      <c r="AL2974">
        <v>0</v>
      </c>
      <c r="AM2974">
        <v>1080</v>
      </c>
      <c r="AN2974">
        <v>-324</v>
      </c>
      <c r="AO2974">
        <v>0</v>
      </c>
      <c r="AQ2974">
        <v>0</v>
      </c>
      <c r="AR2974">
        <v>0</v>
      </c>
      <c r="AS2974">
        <v>1080</v>
      </c>
      <c r="AT2974">
        <v>-324</v>
      </c>
      <c r="AU2974">
        <v>0</v>
      </c>
      <c r="AW2974">
        <v>0</v>
      </c>
      <c r="AX2974">
        <v>0</v>
      </c>
      <c r="AY2974">
        <v>4939.2</v>
      </c>
      <c r="BC2974" t="str">
        <f>T("9791159282287")</f>
        <v>9791159282287</v>
      </c>
      <c r="BE2974" t="str">
        <f>T("판타지 e북 &gt; 전통 무협")</f>
        <v>판타지 e북 &gt; 전통 무협</v>
      </c>
    </row>
    <row r="2975" spans="1:57" x14ac:dyDescent="0.3">
      <c r="A2975">
        <v>1525002864</v>
      </c>
      <c r="B2975">
        <v>1525002870</v>
      </c>
      <c r="C2975" t="str">
        <f>T("소드마스터의 환생 7화")</f>
        <v>소드마스터의 환생 7화</v>
      </c>
      <c r="D2975" t="str">
        <f>T("7")</f>
        <v>7</v>
      </c>
      <c r="E2975" t="str">
        <f>T("파란영")</f>
        <v>파란영</v>
      </c>
      <c r="H2975" t="str">
        <f>T("스토리위즈")</f>
        <v>스토리위즈</v>
      </c>
      <c r="I2975" t="str">
        <f>T("소드마스터의 환생")</f>
        <v>소드마스터의 환생</v>
      </c>
      <c r="J2975">
        <v>0</v>
      </c>
      <c r="K2975">
        <v>0</v>
      </c>
      <c r="L2975">
        <v>0</v>
      </c>
      <c r="M2975">
        <v>4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4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Q2975">
        <v>0</v>
      </c>
      <c r="AR2975">
        <v>0</v>
      </c>
      <c r="AT2975">
        <v>0</v>
      </c>
      <c r="AU2975">
        <v>0</v>
      </c>
      <c r="AW2975">
        <v>0</v>
      </c>
      <c r="AX2975">
        <v>0</v>
      </c>
      <c r="AY2975">
        <v>0</v>
      </c>
      <c r="BC2975" t="str">
        <f>T("9791159287527")</f>
        <v>9791159287527</v>
      </c>
      <c r="BE2975" t="str">
        <f>T("판타지 웹소설 &gt; 정통 판타지")</f>
        <v>판타지 웹소설 &gt; 정통 판타지</v>
      </c>
    </row>
    <row r="2976" spans="1:57" x14ac:dyDescent="0.3">
      <c r="A2976">
        <v>1525007923</v>
      </c>
      <c r="B2976">
        <v>1525007956</v>
      </c>
      <c r="C2976" t="str">
        <f>T("운상연담: 화불능귀일락 4화")</f>
        <v>운상연담: 화불능귀일락 4화</v>
      </c>
      <c r="D2976" t="str">
        <f>T("4")</f>
        <v>4</v>
      </c>
      <c r="E2976" t="str">
        <f>T("피모")</f>
        <v>피모</v>
      </c>
      <c r="H2976" t="str">
        <f>T("쉬라즈")</f>
        <v>쉬라즈</v>
      </c>
      <c r="I2976" t="str">
        <f>T("운상연담: 화불능귀일락")</f>
        <v>운상연담: 화불능귀일락</v>
      </c>
      <c r="J2976">
        <v>0</v>
      </c>
      <c r="K2976">
        <v>0</v>
      </c>
      <c r="L2976">
        <v>0</v>
      </c>
      <c r="M2976">
        <v>4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4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Q2976">
        <v>0</v>
      </c>
      <c r="AR2976">
        <v>0</v>
      </c>
      <c r="AT2976">
        <v>0</v>
      </c>
      <c r="AU2976">
        <v>0</v>
      </c>
      <c r="AW2976">
        <v>0</v>
      </c>
      <c r="AX2976">
        <v>0</v>
      </c>
      <c r="AY2976">
        <v>0</v>
      </c>
      <c r="BC2976" t="str">
        <f>T("9791164896646")</f>
        <v>9791164896646</v>
      </c>
      <c r="BE2976" t="str">
        <f>T("로맨스 웹소설 &gt; 역사/시대물")</f>
        <v>로맨스 웹소설 &gt; 역사/시대물</v>
      </c>
    </row>
    <row r="2977" spans="1:57" x14ac:dyDescent="0.3">
      <c r="A2977">
        <v>1525001317</v>
      </c>
      <c r="B2977">
        <v>1525001319</v>
      </c>
      <c r="C2977" t="str">
        <f>T("[e북]완전판 | 스트라이커 3권")</f>
        <v>[e북]완전판 | 스트라이커 3권</v>
      </c>
      <c r="D2977" t="str">
        <f>T("3")</f>
        <v>3</v>
      </c>
      <c r="E2977" t="str">
        <f>T("독고진")</f>
        <v>독고진</v>
      </c>
      <c r="H2977" t="str">
        <f>T("스토리위즈")</f>
        <v>스토리위즈</v>
      </c>
      <c r="I2977" t="str">
        <f>T("[e북]완전판 | 스트라이커")</f>
        <v>[e북]완전판 | 스트라이커</v>
      </c>
      <c r="J2977">
        <v>3200</v>
      </c>
      <c r="K2977">
        <v>0</v>
      </c>
      <c r="L2977">
        <v>0</v>
      </c>
      <c r="M2977">
        <v>0</v>
      </c>
      <c r="N2977">
        <v>2700</v>
      </c>
      <c r="O2977">
        <v>3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2700</v>
      </c>
      <c r="AH2977">
        <v>3</v>
      </c>
      <c r="AI2977">
        <v>0</v>
      </c>
      <c r="AJ2977">
        <v>0</v>
      </c>
      <c r="AK2977">
        <v>2700</v>
      </c>
      <c r="AL2977">
        <v>0</v>
      </c>
      <c r="AM2977">
        <v>0</v>
      </c>
      <c r="AN2977">
        <v>0</v>
      </c>
      <c r="AO2977">
        <v>0</v>
      </c>
      <c r="AQ2977">
        <v>0</v>
      </c>
      <c r="AR2977">
        <v>0</v>
      </c>
      <c r="AT2977">
        <v>0</v>
      </c>
      <c r="AU2977">
        <v>0</v>
      </c>
      <c r="AW2977">
        <v>0</v>
      </c>
      <c r="AX2977">
        <v>0</v>
      </c>
      <c r="AY2977">
        <v>1890</v>
      </c>
      <c r="BA2977" t="str">
        <f>T("9791159282850")</f>
        <v>9791159282850</v>
      </c>
      <c r="BC2977" t="str">
        <f>T("9791159282850")</f>
        <v>9791159282850</v>
      </c>
      <c r="BE2977" t="str">
        <f>T("판타지 e북 &gt; 스포츠물")</f>
        <v>판타지 e북 &gt; 스포츠물</v>
      </c>
    </row>
    <row r="2978" spans="1:57" x14ac:dyDescent="0.3">
      <c r="A2978">
        <v>1525001493</v>
      </c>
      <c r="B2978">
        <v>1525001493</v>
      </c>
      <c r="C2978" t="str">
        <f>T("[e북]수적왕 1권")</f>
        <v>[e북]수적왕 1권</v>
      </c>
      <c r="D2978" t="str">
        <f>T("1")</f>
        <v>1</v>
      </c>
      <c r="E2978" t="str">
        <f>T("권용찬")</f>
        <v>권용찬</v>
      </c>
      <c r="H2978" t="str">
        <f>T("스토리위즈")</f>
        <v>스토리위즈</v>
      </c>
      <c r="I2978" t="str">
        <f>T("[e북]수적왕")</f>
        <v>[e북]수적왕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3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3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Q2978">
        <v>0</v>
      </c>
      <c r="AR2978">
        <v>0</v>
      </c>
      <c r="AT2978">
        <v>0</v>
      </c>
      <c r="AU2978">
        <v>0</v>
      </c>
      <c r="AW2978">
        <v>0</v>
      </c>
      <c r="AX2978">
        <v>0</v>
      </c>
      <c r="AY2978">
        <v>0</v>
      </c>
      <c r="BC2978" t="str">
        <f>T("9791159282201")</f>
        <v>9791159282201</v>
      </c>
      <c r="BE2978" t="str">
        <f>T("판타지 e북 &gt; 신무협")</f>
        <v>판타지 e북 &gt; 신무협</v>
      </c>
    </row>
    <row r="2979" spans="1:57" x14ac:dyDescent="0.3">
      <c r="A2979">
        <v>1525014938</v>
      </c>
      <c r="B2979">
        <v>1525014939</v>
      </c>
      <c r="C2979" t="str">
        <f>T("우리는 아직 죽지 않았다 2화")</f>
        <v>우리는 아직 죽지 않았다 2화</v>
      </c>
      <c r="D2979" t="str">
        <f>T("2")</f>
        <v>2</v>
      </c>
      <c r="E2979" t="str">
        <f>T("라이큐")</f>
        <v>라이큐</v>
      </c>
      <c r="H2979" t="str">
        <f>T("스토리아크")</f>
        <v>스토리아크</v>
      </c>
      <c r="I2979" t="str">
        <f>T("우리는 아직 죽지 않았다")</f>
        <v>우리는 아직 죽지 않았다</v>
      </c>
      <c r="J2979">
        <v>0</v>
      </c>
      <c r="K2979">
        <v>0</v>
      </c>
      <c r="L2979">
        <v>0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1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Q2979">
        <v>0</v>
      </c>
      <c r="AR2979">
        <v>0</v>
      </c>
      <c r="AT2979">
        <v>0</v>
      </c>
      <c r="AU2979">
        <v>0</v>
      </c>
      <c r="AW2979">
        <v>0</v>
      </c>
      <c r="AX2979">
        <v>0</v>
      </c>
      <c r="AY2979">
        <v>0</v>
      </c>
      <c r="BC2979" t="str">
        <f>T("9791191039092")</f>
        <v>9791191039092</v>
      </c>
      <c r="BE2979" t="str">
        <f>T("판타지 웹소설 &gt; 현대 판타지")</f>
        <v>판타지 웹소설 &gt; 현대 판타지</v>
      </c>
    </row>
    <row r="2980" spans="1:57" x14ac:dyDescent="0.3">
      <c r="A2980">
        <v>1525001908</v>
      </c>
      <c r="B2980">
        <v>1525001912</v>
      </c>
      <c r="C2980" t="str">
        <f>T("[e북]상왕 진우몽 5권")</f>
        <v>[e북]상왕 진우몽 5권</v>
      </c>
      <c r="D2980" t="str">
        <f>T("5")</f>
        <v>5</v>
      </c>
      <c r="E2980" t="str">
        <f>T("권용찬")</f>
        <v>권용찬</v>
      </c>
      <c r="H2980" t="str">
        <f>T("스토리위즈")</f>
        <v>스토리위즈</v>
      </c>
      <c r="I2980" t="str">
        <f>T("[e북]상왕 진우몽")</f>
        <v>[e북]상왕 진우몽</v>
      </c>
      <c r="J2980">
        <v>3200</v>
      </c>
      <c r="K2980">
        <v>0</v>
      </c>
      <c r="L2980">
        <v>0</v>
      </c>
      <c r="M2980">
        <v>0</v>
      </c>
      <c r="N2980">
        <v>900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900</v>
      </c>
      <c r="AH2980">
        <v>1</v>
      </c>
      <c r="AI2980">
        <v>0</v>
      </c>
      <c r="AJ2980">
        <v>0</v>
      </c>
      <c r="AK2980">
        <v>900</v>
      </c>
      <c r="AL2980">
        <v>0</v>
      </c>
      <c r="AM2980">
        <v>0</v>
      </c>
      <c r="AN2980">
        <v>0</v>
      </c>
      <c r="AO2980">
        <v>0</v>
      </c>
      <c r="AQ2980">
        <v>0</v>
      </c>
      <c r="AR2980">
        <v>0</v>
      </c>
      <c r="AT2980">
        <v>0</v>
      </c>
      <c r="AU2980">
        <v>0</v>
      </c>
      <c r="AW2980">
        <v>0</v>
      </c>
      <c r="AX2980">
        <v>0</v>
      </c>
      <c r="AY2980">
        <v>630</v>
      </c>
      <c r="BC2980" t="str">
        <f>T("9791159285875")</f>
        <v>9791159285875</v>
      </c>
      <c r="BE2980" t="str">
        <f>T("판타지 e북 &gt; 신무협")</f>
        <v>판타지 e북 &gt; 신무협</v>
      </c>
    </row>
    <row r="2981" spans="1:57" x14ac:dyDescent="0.3">
      <c r="A2981">
        <v>1525010579</v>
      </c>
      <c r="B2981">
        <v>1525010566</v>
      </c>
      <c r="C2981" t="str">
        <f>T("법보다 주먹 12화")</f>
        <v>법보다 주먹 12화</v>
      </c>
      <c r="D2981" t="str">
        <f>T("12")</f>
        <v>12</v>
      </c>
      <c r="E2981" t="str">
        <f>T("백범(白帆)")</f>
        <v>백범(白帆)</v>
      </c>
      <c r="H2981" t="str">
        <f>T("에필로그")</f>
        <v>에필로그</v>
      </c>
      <c r="I2981" t="str">
        <f>T("법보다 주먹")</f>
        <v>법보다 주먹</v>
      </c>
      <c r="J2981">
        <v>0</v>
      </c>
      <c r="K2981">
        <v>0</v>
      </c>
      <c r="L2981">
        <v>0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1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Q2981">
        <v>0</v>
      </c>
      <c r="AR2981">
        <v>0</v>
      </c>
      <c r="AT2981">
        <v>0</v>
      </c>
      <c r="AU2981">
        <v>0</v>
      </c>
      <c r="AW2981">
        <v>0</v>
      </c>
      <c r="AX2981">
        <v>0</v>
      </c>
      <c r="AY2981">
        <v>0</v>
      </c>
      <c r="BC2981" t="str">
        <f>T("9791164489367")</f>
        <v>9791164489367</v>
      </c>
      <c r="BE2981" t="str">
        <f>T("판타지 웹소설 &gt; 현대 판타지")</f>
        <v>판타지 웹소설 &gt; 현대 판타지</v>
      </c>
    </row>
    <row r="2982" spans="1:57" x14ac:dyDescent="0.3">
      <c r="A2982">
        <v>1525013020</v>
      </c>
      <c r="B2982">
        <v>1525013027</v>
      </c>
      <c r="C2982" t="str">
        <f>T("악당의 리턴 8화")</f>
        <v>악당의 리턴 8화</v>
      </c>
      <c r="D2982" t="str">
        <f>T("8")</f>
        <v>8</v>
      </c>
      <c r="E2982" t="str">
        <f>T("백범(白帆)")</f>
        <v>백범(白帆)</v>
      </c>
      <c r="H2982" t="str">
        <f>T("에필로그")</f>
        <v>에필로그</v>
      </c>
      <c r="I2982" t="str">
        <f>T("악당의 리턴")</f>
        <v>악당의 리턴</v>
      </c>
      <c r="J2982">
        <v>0</v>
      </c>
      <c r="K2982">
        <v>0</v>
      </c>
      <c r="L2982">
        <v>0</v>
      </c>
      <c r="M2982">
        <v>6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6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Q2982">
        <v>0</v>
      </c>
      <c r="AR2982">
        <v>0</v>
      </c>
      <c r="AT2982">
        <v>0</v>
      </c>
      <c r="AU2982">
        <v>0</v>
      </c>
      <c r="AW2982">
        <v>0</v>
      </c>
      <c r="AX2982">
        <v>0</v>
      </c>
      <c r="AY2982">
        <v>0</v>
      </c>
      <c r="BC2982" t="str">
        <f>T("9791196538927")</f>
        <v>9791196538927</v>
      </c>
      <c r="BE2982" t="str">
        <f>T("판타지 웹소설 &gt; 현대 판타지")</f>
        <v>판타지 웹소설 &gt; 현대 판타지</v>
      </c>
    </row>
    <row r="2983" spans="1:57" x14ac:dyDescent="0.3">
      <c r="A2983">
        <v>1525000411</v>
      </c>
      <c r="B2983">
        <v>1525000428</v>
      </c>
      <c r="C2983" t="str">
        <f>T("레이드 만물상점 18화")</f>
        <v>레이드 만물상점 18화</v>
      </c>
      <c r="D2983" t="str">
        <f>T("18")</f>
        <v>18</v>
      </c>
      <c r="E2983" t="str">
        <f>T("전혁")</f>
        <v>전혁</v>
      </c>
      <c r="H2983" t="str">
        <f>T("스토리위즈")</f>
        <v>스토리위즈</v>
      </c>
      <c r="I2983" t="str">
        <f>T("레이드 만물상점")</f>
        <v>레이드 만물상점</v>
      </c>
      <c r="J2983">
        <v>0</v>
      </c>
      <c r="K2983">
        <v>0</v>
      </c>
      <c r="L2983">
        <v>0</v>
      </c>
      <c r="M2983">
        <v>1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1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Q2983">
        <v>0</v>
      </c>
      <c r="AR2983">
        <v>0</v>
      </c>
      <c r="AT2983">
        <v>0</v>
      </c>
      <c r="AU2983">
        <v>0</v>
      </c>
      <c r="AW2983">
        <v>0</v>
      </c>
      <c r="AX2983">
        <v>0</v>
      </c>
      <c r="AY2983">
        <v>0</v>
      </c>
      <c r="BC2983" t="str">
        <f>T("9791170151432")</f>
        <v>9791170151432</v>
      </c>
      <c r="BE2983" t="str">
        <f>T("판타지 웹소설 &gt; 현대 판타지")</f>
        <v>판타지 웹소설 &gt; 현대 판타지</v>
      </c>
    </row>
    <row r="2984" spans="1:57" x14ac:dyDescent="0.3">
      <c r="A2984">
        <v>1525010944</v>
      </c>
      <c r="B2984">
        <v>1525010928</v>
      </c>
      <c r="C2984" t="str">
        <f>T("[e북]법보다 주먹 17권")</f>
        <v>[e북]법보다 주먹 17권</v>
      </c>
      <c r="D2984" t="str">
        <f>T("17")</f>
        <v>17</v>
      </c>
      <c r="E2984" t="str">
        <f>T("백범(白帆)")</f>
        <v>백범(白帆)</v>
      </c>
      <c r="H2984" t="str">
        <f>T("에필로그")</f>
        <v>에필로그</v>
      </c>
      <c r="I2984" t="str">
        <f>T("[e북]법보다 주먹")</f>
        <v>[e북]법보다 주먹</v>
      </c>
      <c r="J2984">
        <v>2000</v>
      </c>
      <c r="K2984">
        <v>0</v>
      </c>
      <c r="L2984">
        <v>0</v>
      </c>
      <c r="M2984">
        <v>0</v>
      </c>
      <c r="N2984">
        <v>1800</v>
      </c>
      <c r="O2984">
        <v>2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1800</v>
      </c>
      <c r="AH2984">
        <v>2</v>
      </c>
      <c r="AI2984">
        <v>0</v>
      </c>
      <c r="AJ2984">
        <v>0</v>
      </c>
      <c r="AK2984">
        <v>900</v>
      </c>
      <c r="AL2984">
        <v>0</v>
      </c>
      <c r="AM2984">
        <v>1080</v>
      </c>
      <c r="AN2984">
        <v>-324</v>
      </c>
      <c r="AO2984">
        <v>0</v>
      </c>
      <c r="AQ2984">
        <v>0</v>
      </c>
      <c r="AR2984">
        <v>0</v>
      </c>
      <c r="AS2984">
        <v>1080</v>
      </c>
      <c r="AT2984">
        <v>-324</v>
      </c>
      <c r="AU2984">
        <v>0</v>
      </c>
      <c r="AW2984">
        <v>0</v>
      </c>
      <c r="AX2984">
        <v>0</v>
      </c>
      <c r="AY2984">
        <v>1159.2</v>
      </c>
      <c r="BC2984" t="str">
        <f>T("9791164480142")</f>
        <v>9791164480142</v>
      </c>
      <c r="BE2984" t="str">
        <f>T("판타지 e북 &gt; 현대 판타지")</f>
        <v>판타지 e북 &gt; 현대 판타지</v>
      </c>
    </row>
    <row r="2985" spans="1:57" x14ac:dyDescent="0.3">
      <c r="A2985">
        <v>1525010579</v>
      </c>
      <c r="B2985">
        <v>1525010557</v>
      </c>
      <c r="C2985" t="str">
        <f>T("법보다 주먹 21화")</f>
        <v>법보다 주먹 21화</v>
      </c>
      <c r="D2985" t="str">
        <f>T("21")</f>
        <v>21</v>
      </c>
      <c r="E2985" t="str">
        <f>T("백범(白帆)")</f>
        <v>백범(白帆)</v>
      </c>
      <c r="H2985" t="str">
        <f>T("에필로그")</f>
        <v>에필로그</v>
      </c>
      <c r="I2985" t="str">
        <f>T("법보다 주먹")</f>
        <v>법보다 주먹</v>
      </c>
      <c r="J2985">
        <v>0</v>
      </c>
      <c r="K2985">
        <v>0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1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Q2985">
        <v>0</v>
      </c>
      <c r="AR2985">
        <v>0</v>
      </c>
      <c r="AT2985">
        <v>0</v>
      </c>
      <c r="AU2985">
        <v>0</v>
      </c>
      <c r="AW2985">
        <v>0</v>
      </c>
      <c r="AX2985">
        <v>0</v>
      </c>
      <c r="AY2985">
        <v>0</v>
      </c>
      <c r="BC2985" t="str">
        <f>T("9791164489367")</f>
        <v>9791164489367</v>
      </c>
      <c r="BE2985" t="str">
        <f>T("판타지 웹소설 &gt; 현대 판타지")</f>
        <v>판타지 웹소설 &gt; 현대 판타지</v>
      </c>
    </row>
    <row r="2986" spans="1:57" x14ac:dyDescent="0.3">
      <c r="A2986">
        <v>1525000001</v>
      </c>
      <c r="B2986">
        <v>1525000001</v>
      </c>
      <c r="C2986" t="str">
        <f>T("[e북]마스터 K 1권")</f>
        <v>[e북]마스터 K 1권</v>
      </c>
      <c r="D2986" t="str">
        <f>T("1")</f>
        <v>1</v>
      </c>
      <c r="E2986" t="str">
        <f>T("김광수")</f>
        <v>김광수</v>
      </c>
      <c r="H2986" t="str">
        <f t="shared" ref="H2986:H2992" si="186">T("스토리위즈")</f>
        <v>스토리위즈</v>
      </c>
      <c r="I2986" t="str">
        <f>T("[e북]마스터 K")</f>
        <v>[e북]마스터 K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2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2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Q2986">
        <v>0</v>
      </c>
      <c r="AR2986">
        <v>0</v>
      </c>
      <c r="AT2986">
        <v>0</v>
      </c>
      <c r="AU2986">
        <v>0</v>
      </c>
      <c r="AW2986">
        <v>0</v>
      </c>
      <c r="AX2986">
        <v>0</v>
      </c>
      <c r="AY2986">
        <v>0</v>
      </c>
      <c r="BE2986" t="str">
        <f>T("판타지 e북 &gt; 스포츠물")</f>
        <v>판타지 e북 &gt; 스포츠물</v>
      </c>
    </row>
    <row r="2987" spans="1:57" x14ac:dyDescent="0.3">
      <c r="A2987">
        <v>1525000199</v>
      </c>
      <c r="B2987">
        <v>1525000207</v>
      </c>
      <c r="C2987" t="str">
        <f>T("[e북]화산지애 9권 (완결)")</f>
        <v>[e북]화산지애 9권 (완결)</v>
      </c>
      <c r="D2987" t="str">
        <f>T("9")</f>
        <v>9</v>
      </c>
      <c r="E2987" t="str">
        <f>T("김광수")</f>
        <v>김광수</v>
      </c>
      <c r="H2987" t="str">
        <f t="shared" si="186"/>
        <v>스토리위즈</v>
      </c>
      <c r="I2987" t="str">
        <f>T("[e북]화산지애")</f>
        <v>[e북]화산지애</v>
      </c>
      <c r="J2987">
        <v>3200</v>
      </c>
      <c r="K2987">
        <v>0</v>
      </c>
      <c r="L2987">
        <v>0</v>
      </c>
      <c r="M2987">
        <v>0</v>
      </c>
      <c r="N2987">
        <v>900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900</v>
      </c>
      <c r="AH2987">
        <v>1</v>
      </c>
      <c r="AI2987">
        <v>0</v>
      </c>
      <c r="AJ2987">
        <v>0</v>
      </c>
      <c r="AK2987">
        <v>900</v>
      </c>
      <c r="AL2987">
        <v>0</v>
      </c>
      <c r="AM2987">
        <v>0</v>
      </c>
      <c r="AN2987">
        <v>0</v>
      </c>
      <c r="AO2987">
        <v>0</v>
      </c>
      <c r="AQ2987">
        <v>0</v>
      </c>
      <c r="AR2987">
        <v>0</v>
      </c>
      <c r="AT2987">
        <v>0</v>
      </c>
      <c r="AU2987">
        <v>0</v>
      </c>
      <c r="AW2987">
        <v>0</v>
      </c>
      <c r="AX2987">
        <v>0</v>
      </c>
      <c r="AY2987">
        <v>630</v>
      </c>
      <c r="BE2987" t="str">
        <f>T("판타지 e북 &gt; 신무협")</f>
        <v>판타지 e북 &gt; 신무협</v>
      </c>
    </row>
    <row r="2988" spans="1:57" x14ac:dyDescent="0.3">
      <c r="A2988">
        <v>1525000924</v>
      </c>
      <c r="B2988">
        <v>1525000928</v>
      </c>
      <c r="C2988" t="str">
        <f>T("스피릿 소드 5화")</f>
        <v>스피릿 소드 5화</v>
      </c>
      <c r="D2988" t="str">
        <f>T("5")</f>
        <v>5</v>
      </c>
      <c r="E2988" t="str">
        <f>T("김정률")</f>
        <v>김정률</v>
      </c>
      <c r="H2988" t="str">
        <f t="shared" si="186"/>
        <v>스토리위즈</v>
      </c>
      <c r="I2988" t="str">
        <f>T("스피릿 소드")</f>
        <v>스피릿 소드</v>
      </c>
      <c r="J2988">
        <v>0</v>
      </c>
      <c r="K2988">
        <v>0</v>
      </c>
      <c r="L2988">
        <v>0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1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Q2988">
        <v>0</v>
      </c>
      <c r="AR2988">
        <v>0</v>
      </c>
      <c r="AT2988">
        <v>0</v>
      </c>
      <c r="AU2988">
        <v>0</v>
      </c>
      <c r="AW2988">
        <v>0</v>
      </c>
      <c r="AX2988">
        <v>0</v>
      </c>
      <c r="AY2988">
        <v>0</v>
      </c>
      <c r="BA2988" t="str">
        <f>T("9791159282713")</f>
        <v>9791159282713</v>
      </c>
      <c r="BC2988" t="str">
        <f>T("9791159282713")</f>
        <v>9791159282713</v>
      </c>
      <c r="BE2988" t="str">
        <f>T("판타지 웹소설 &gt; 정통 판타지")</f>
        <v>판타지 웹소설 &gt; 정통 판타지</v>
      </c>
    </row>
    <row r="2989" spans="1:57" x14ac:dyDescent="0.3">
      <c r="A2989">
        <v>1525000569</v>
      </c>
      <c r="B2989">
        <v>1525000593</v>
      </c>
      <c r="C2989" t="str">
        <f>T("스트라이커 25화")</f>
        <v>스트라이커 25화</v>
      </c>
      <c r="D2989" t="str">
        <f>T("25")</f>
        <v>25</v>
      </c>
      <c r="E2989" t="str">
        <f>T("독고진")</f>
        <v>독고진</v>
      </c>
      <c r="H2989" t="str">
        <f t="shared" si="186"/>
        <v>스토리위즈</v>
      </c>
      <c r="I2989" t="str">
        <f>T("스트라이커")</f>
        <v>스트라이커</v>
      </c>
      <c r="J2989">
        <v>0</v>
      </c>
      <c r="K2989">
        <v>0</v>
      </c>
      <c r="L2989">
        <v>0</v>
      </c>
      <c r="M2989">
        <v>2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2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Q2989">
        <v>0</v>
      </c>
      <c r="AR2989">
        <v>0</v>
      </c>
      <c r="AT2989">
        <v>0</v>
      </c>
      <c r="AU2989">
        <v>0</v>
      </c>
      <c r="AW2989">
        <v>0</v>
      </c>
      <c r="AX2989">
        <v>0</v>
      </c>
      <c r="AY2989">
        <v>0</v>
      </c>
      <c r="BC2989" t="str">
        <f>T("9791170151678")</f>
        <v>9791170151678</v>
      </c>
      <c r="BE2989" t="str">
        <f>T("판타지 웹소설 &gt; 현대 판타지")</f>
        <v>판타지 웹소설 &gt; 현대 판타지</v>
      </c>
    </row>
    <row r="2990" spans="1:57" x14ac:dyDescent="0.3">
      <c r="A2990">
        <v>1525000022</v>
      </c>
      <c r="B2990">
        <v>1525000043</v>
      </c>
      <c r="C2990" t="str">
        <f>T("[e북]마계대공 연대기 21권")</f>
        <v>[e북]마계대공 연대기 21권</v>
      </c>
      <c r="D2990" t="str">
        <f>T("21")</f>
        <v>21</v>
      </c>
      <c r="E2990" t="str">
        <f>T("김광수")</f>
        <v>김광수</v>
      </c>
      <c r="H2990" t="str">
        <f t="shared" si="186"/>
        <v>스토리위즈</v>
      </c>
      <c r="I2990" t="str">
        <f>T("[e북]마계대공 연대기")</f>
        <v>[e북]마계대공 연대기</v>
      </c>
      <c r="J2990">
        <v>3200</v>
      </c>
      <c r="K2990">
        <v>0</v>
      </c>
      <c r="L2990">
        <v>0</v>
      </c>
      <c r="M2990">
        <v>0</v>
      </c>
      <c r="N2990">
        <v>2700</v>
      </c>
      <c r="O2990">
        <v>3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2700</v>
      </c>
      <c r="AH2990">
        <v>3</v>
      </c>
      <c r="AI2990">
        <v>0</v>
      </c>
      <c r="AJ2990">
        <v>0</v>
      </c>
      <c r="AK2990">
        <v>1800</v>
      </c>
      <c r="AL2990">
        <v>0</v>
      </c>
      <c r="AM2990">
        <v>1080</v>
      </c>
      <c r="AN2990">
        <v>-108</v>
      </c>
      <c r="AO2990">
        <v>0</v>
      </c>
      <c r="AQ2990">
        <v>0</v>
      </c>
      <c r="AR2990">
        <v>0</v>
      </c>
      <c r="AS2990">
        <v>1080</v>
      </c>
      <c r="AT2990">
        <v>-108</v>
      </c>
      <c r="AU2990">
        <v>0</v>
      </c>
      <c r="AW2990">
        <v>0</v>
      </c>
      <c r="AX2990">
        <v>0</v>
      </c>
      <c r="AY2990">
        <v>1940.4</v>
      </c>
      <c r="BE2990" t="str">
        <f>T("판타지 e북 &gt; 퓨전 판타지")</f>
        <v>판타지 e북 &gt; 퓨전 판타지</v>
      </c>
    </row>
    <row r="2991" spans="1:57" x14ac:dyDescent="0.3">
      <c r="A2991">
        <v>1525004988</v>
      </c>
      <c r="B2991">
        <v>1525005312</v>
      </c>
      <c r="C2991" t="str">
        <f>T("용무쌍 25화")</f>
        <v>용무쌍 25화</v>
      </c>
      <c r="D2991" t="str">
        <f>T("25")</f>
        <v>25</v>
      </c>
      <c r="E2991" t="str">
        <f>T("권용찬")</f>
        <v>권용찬</v>
      </c>
      <c r="H2991" t="str">
        <f t="shared" si="186"/>
        <v>스토리위즈</v>
      </c>
      <c r="I2991" t="str">
        <f>T("용무쌍")</f>
        <v>용무쌍</v>
      </c>
      <c r="J2991">
        <v>0</v>
      </c>
      <c r="K2991">
        <v>0</v>
      </c>
      <c r="L2991">
        <v>0</v>
      </c>
      <c r="M2991">
        <v>2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2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Q2991">
        <v>0</v>
      </c>
      <c r="AR2991">
        <v>0</v>
      </c>
      <c r="AT2991">
        <v>0</v>
      </c>
      <c r="AU2991">
        <v>0</v>
      </c>
      <c r="AW2991">
        <v>0</v>
      </c>
      <c r="AX2991">
        <v>0</v>
      </c>
      <c r="AY2991">
        <v>0</v>
      </c>
      <c r="BC2991" t="str">
        <f>T("9791159284861")</f>
        <v>9791159284861</v>
      </c>
      <c r="BE2991" t="str">
        <f>T("판타지 웹소설 &gt; 무협 소설")</f>
        <v>판타지 웹소설 &gt; 무협 소설</v>
      </c>
    </row>
    <row r="2992" spans="1:57" x14ac:dyDescent="0.3">
      <c r="A2992">
        <v>1525004030</v>
      </c>
      <c r="B2992">
        <v>1525004034</v>
      </c>
      <c r="C2992" t="str">
        <f>T("회귀의 전설 5화")</f>
        <v>회귀의 전설 5화</v>
      </c>
      <c r="D2992" t="str">
        <f>T("5")</f>
        <v>5</v>
      </c>
      <c r="E2992" t="str">
        <f>T("김광수")</f>
        <v>김광수</v>
      </c>
      <c r="H2992" t="str">
        <f t="shared" si="186"/>
        <v>스토리위즈</v>
      </c>
      <c r="I2992" t="str">
        <f>T("회귀의 전설")</f>
        <v>회귀의 전설</v>
      </c>
      <c r="J2992">
        <v>0</v>
      </c>
      <c r="K2992">
        <v>0</v>
      </c>
      <c r="L2992">
        <v>0</v>
      </c>
      <c r="M2992">
        <v>7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7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Q2992">
        <v>0</v>
      </c>
      <c r="AR2992">
        <v>0</v>
      </c>
      <c r="AT2992">
        <v>0</v>
      </c>
      <c r="AU2992">
        <v>0</v>
      </c>
      <c r="AW2992">
        <v>0</v>
      </c>
      <c r="AX2992">
        <v>0</v>
      </c>
      <c r="AY2992">
        <v>0</v>
      </c>
      <c r="BC2992" t="str">
        <f>T("9788997946006")</f>
        <v>9788997946006</v>
      </c>
      <c r="BE2992" t="str">
        <f>T("판타지 웹소설 &gt; 현대 판타지")</f>
        <v>판타지 웹소설 &gt; 현대 판타지</v>
      </c>
    </row>
    <row r="2993" spans="1:57" x14ac:dyDescent="0.3">
      <c r="A2993">
        <v>1525012202</v>
      </c>
      <c r="B2993">
        <v>1525012178</v>
      </c>
      <c r="C2993" t="str">
        <f>T("이세계 최강 군바리 25화")</f>
        <v>이세계 최강 군바리 25화</v>
      </c>
      <c r="D2993" t="str">
        <f>T("25")</f>
        <v>25</v>
      </c>
      <c r="E2993" t="str">
        <f>T("협행마")</f>
        <v>협행마</v>
      </c>
      <c r="H2993" t="str">
        <f>T("에필로그")</f>
        <v>에필로그</v>
      </c>
      <c r="I2993" t="str">
        <f>T("이세계 최강 군바리")</f>
        <v>이세계 최강 군바리</v>
      </c>
      <c r="J2993">
        <v>0</v>
      </c>
      <c r="K2993">
        <v>0</v>
      </c>
      <c r="L2993">
        <v>0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1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Q2993">
        <v>0</v>
      </c>
      <c r="AR2993">
        <v>0</v>
      </c>
      <c r="AT2993">
        <v>0</v>
      </c>
      <c r="AU2993">
        <v>0</v>
      </c>
      <c r="AW2993">
        <v>0</v>
      </c>
      <c r="AX2993">
        <v>0</v>
      </c>
      <c r="AY2993">
        <v>0</v>
      </c>
      <c r="BC2993" t="str">
        <f>T("9791164480159")</f>
        <v>9791164480159</v>
      </c>
      <c r="BE2993" t="str">
        <f>T("판타지 웹소설 &gt; 퓨전 판타지")</f>
        <v>판타지 웹소설 &gt; 퓨전 판타지</v>
      </c>
    </row>
    <row r="2994" spans="1:57" x14ac:dyDescent="0.3">
      <c r="A2994">
        <v>1525000924</v>
      </c>
      <c r="B2994">
        <v>1525000945</v>
      </c>
      <c r="C2994" t="str">
        <f>T("스피릿 소드 22화")</f>
        <v>스피릿 소드 22화</v>
      </c>
      <c r="D2994" t="str">
        <f>T("22")</f>
        <v>22</v>
      </c>
      <c r="E2994" t="str">
        <f>T("김정률")</f>
        <v>김정률</v>
      </c>
      <c r="H2994" t="str">
        <f>T("스토리위즈")</f>
        <v>스토리위즈</v>
      </c>
      <c r="I2994" t="str">
        <f>T("스피릿 소드")</f>
        <v>스피릿 소드</v>
      </c>
      <c r="J2994">
        <v>0</v>
      </c>
      <c r="K2994">
        <v>0</v>
      </c>
      <c r="L2994">
        <v>0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1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Q2994">
        <v>0</v>
      </c>
      <c r="AR2994">
        <v>0</v>
      </c>
      <c r="AT2994">
        <v>0</v>
      </c>
      <c r="AU2994">
        <v>0</v>
      </c>
      <c r="AW2994">
        <v>0</v>
      </c>
      <c r="AX2994">
        <v>0</v>
      </c>
      <c r="AY2994">
        <v>0</v>
      </c>
      <c r="BA2994" t="str">
        <f>T("9791159282713")</f>
        <v>9791159282713</v>
      </c>
      <c r="BC2994" t="str">
        <f>T("9791159282713")</f>
        <v>9791159282713</v>
      </c>
      <c r="BE2994" t="str">
        <f>T("판타지 웹소설 &gt; 정통 판타지")</f>
        <v>판타지 웹소설 &gt; 정통 판타지</v>
      </c>
    </row>
    <row r="2995" spans="1:57" x14ac:dyDescent="0.3">
      <c r="A2995">
        <v>1525012551</v>
      </c>
      <c r="B2995">
        <v>1525012571</v>
      </c>
      <c r="C2995" t="str">
        <f>T("개정판 | 바보가 만드는 멋진 세상 21화")</f>
        <v>개정판 | 바보가 만드는 멋진 세상 21화</v>
      </c>
      <c r="D2995" t="str">
        <f>T("21")</f>
        <v>21</v>
      </c>
      <c r="E2995" t="str">
        <f>T("백범(白帆)")</f>
        <v>백범(白帆)</v>
      </c>
      <c r="H2995" t="str">
        <f>T("에필로그")</f>
        <v>에필로그</v>
      </c>
      <c r="I2995" t="str">
        <f>T("개정판 | 바보가 만드는 멋진 세상")</f>
        <v>개정판 | 바보가 만드는 멋진 세상</v>
      </c>
      <c r="J2995">
        <v>0</v>
      </c>
      <c r="K2995">
        <v>0</v>
      </c>
      <c r="L2995">
        <v>0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1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Q2995">
        <v>0</v>
      </c>
      <c r="AR2995">
        <v>0</v>
      </c>
      <c r="AT2995">
        <v>0</v>
      </c>
      <c r="AU2995">
        <v>0</v>
      </c>
      <c r="AW2995">
        <v>0</v>
      </c>
      <c r="AX2995">
        <v>0</v>
      </c>
      <c r="AY2995">
        <v>0</v>
      </c>
      <c r="BC2995" t="str">
        <f>T("9791166003493")</f>
        <v>9791166003493</v>
      </c>
      <c r="BE2995" t="str">
        <f>T("판타지 웹소설 &gt; 현대 판타지")</f>
        <v>판타지 웹소설 &gt; 현대 판타지</v>
      </c>
    </row>
    <row r="2996" spans="1:57" x14ac:dyDescent="0.3">
      <c r="A2996">
        <v>1525014480</v>
      </c>
      <c r="B2996">
        <v>1525014480</v>
      </c>
      <c r="C2996" t="str">
        <f>T("언더독 크라이스 1화")</f>
        <v>언더독 크라이스 1화</v>
      </c>
      <c r="D2996" t="str">
        <f>T("1")</f>
        <v>1</v>
      </c>
      <c r="E2996" t="str">
        <f>T("라이큐")</f>
        <v>라이큐</v>
      </c>
      <c r="H2996" t="str">
        <f>T("스토리아크")</f>
        <v>스토리아크</v>
      </c>
      <c r="I2996" t="str">
        <f>T("언더독 크라이스")</f>
        <v>언더독 크라이스</v>
      </c>
      <c r="J2996">
        <v>0</v>
      </c>
      <c r="K2996">
        <v>0</v>
      </c>
      <c r="L2996">
        <v>0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1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Q2996">
        <v>0</v>
      </c>
      <c r="AR2996">
        <v>0</v>
      </c>
      <c r="AT2996">
        <v>0</v>
      </c>
      <c r="AU2996">
        <v>0</v>
      </c>
      <c r="AW2996">
        <v>0</v>
      </c>
      <c r="AX2996">
        <v>0</v>
      </c>
      <c r="AY2996">
        <v>0</v>
      </c>
      <c r="BC2996" t="str">
        <f>T("9791191039139")</f>
        <v>9791191039139</v>
      </c>
      <c r="BE2996" t="str">
        <f>T("판타지 웹소설 &gt; 퓨전 판타지")</f>
        <v>판타지 웹소설 &gt; 퓨전 판타지</v>
      </c>
    </row>
    <row r="2997" spans="1:57" x14ac:dyDescent="0.3">
      <c r="A2997">
        <v>1525010974</v>
      </c>
      <c r="B2997">
        <v>1525010970</v>
      </c>
      <c r="C2997" t="str">
        <f>T("[e북]위사무적 5권")</f>
        <v>[e북]위사무적 5권</v>
      </c>
      <c r="D2997" t="str">
        <f>T("5")</f>
        <v>5</v>
      </c>
      <c r="E2997" t="str">
        <f>T("협행마")</f>
        <v>협행마</v>
      </c>
      <c r="H2997" t="str">
        <f>T("에필로그")</f>
        <v>에필로그</v>
      </c>
      <c r="I2997" t="str">
        <f>T("[e북]위사무적")</f>
        <v>[e북]위사무적</v>
      </c>
      <c r="J2997">
        <v>2000</v>
      </c>
      <c r="K2997">
        <v>0</v>
      </c>
      <c r="L2997">
        <v>0</v>
      </c>
      <c r="M2997">
        <v>0</v>
      </c>
      <c r="N2997">
        <v>1330</v>
      </c>
      <c r="O2997">
        <v>2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1330</v>
      </c>
      <c r="AH2997">
        <v>2</v>
      </c>
      <c r="AI2997">
        <v>0</v>
      </c>
      <c r="AJ2997">
        <v>0</v>
      </c>
      <c r="AK2997">
        <v>1330</v>
      </c>
      <c r="AL2997">
        <v>0</v>
      </c>
      <c r="AM2997">
        <v>0</v>
      </c>
      <c r="AN2997">
        <v>0</v>
      </c>
      <c r="AO2997">
        <v>0</v>
      </c>
      <c r="AQ2997">
        <v>0</v>
      </c>
      <c r="AR2997">
        <v>0</v>
      </c>
      <c r="AT2997">
        <v>0</v>
      </c>
      <c r="AU2997">
        <v>0</v>
      </c>
      <c r="AW2997">
        <v>0</v>
      </c>
      <c r="AX2997">
        <v>0</v>
      </c>
      <c r="AY2997">
        <v>931</v>
      </c>
      <c r="BC2997" t="str">
        <f>T("9791164489015")</f>
        <v>9791164489015</v>
      </c>
      <c r="BE2997" t="str">
        <f>T("판타지 e북 &gt; 신무협")</f>
        <v>판타지 e북 &gt; 신무협</v>
      </c>
    </row>
    <row r="2998" spans="1:57" x14ac:dyDescent="0.3">
      <c r="A2998">
        <v>1525000022</v>
      </c>
      <c r="B2998">
        <v>1525000032</v>
      </c>
      <c r="C2998" t="str">
        <f>T("[e북]마계대공 연대기 10권")</f>
        <v>[e북]마계대공 연대기 10권</v>
      </c>
      <c r="D2998" t="str">
        <f>T("10")</f>
        <v>10</v>
      </c>
      <c r="E2998" t="str">
        <f>T("김광수")</f>
        <v>김광수</v>
      </c>
      <c r="H2998" t="str">
        <f>T("스토리위즈")</f>
        <v>스토리위즈</v>
      </c>
      <c r="I2998" t="str">
        <f>T("[e북]마계대공 연대기")</f>
        <v>[e북]마계대공 연대기</v>
      </c>
      <c r="J2998">
        <v>3200</v>
      </c>
      <c r="K2998">
        <v>0</v>
      </c>
      <c r="L2998">
        <v>0</v>
      </c>
      <c r="M2998">
        <v>0</v>
      </c>
      <c r="N2998">
        <v>1800</v>
      </c>
      <c r="O2998">
        <v>2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1800</v>
      </c>
      <c r="AH2998">
        <v>2</v>
      </c>
      <c r="AI2998">
        <v>0</v>
      </c>
      <c r="AJ2998">
        <v>0</v>
      </c>
      <c r="AK2998">
        <v>900</v>
      </c>
      <c r="AL2998">
        <v>0</v>
      </c>
      <c r="AM2998">
        <v>1080</v>
      </c>
      <c r="AN2998">
        <v>-108</v>
      </c>
      <c r="AO2998">
        <v>0</v>
      </c>
      <c r="AQ2998">
        <v>0</v>
      </c>
      <c r="AR2998">
        <v>0</v>
      </c>
      <c r="AS2998">
        <v>1080</v>
      </c>
      <c r="AT2998">
        <v>-108</v>
      </c>
      <c r="AU2998">
        <v>0</v>
      </c>
      <c r="AW2998">
        <v>0</v>
      </c>
      <c r="AX2998">
        <v>0</v>
      </c>
      <c r="AY2998">
        <v>1310.4000000000001</v>
      </c>
      <c r="BE2998" t="str">
        <f>T("판타지 e북 &gt; 퓨전 판타지")</f>
        <v>판타지 e북 &gt; 퓨전 판타지</v>
      </c>
    </row>
    <row r="2999" spans="1:57" x14ac:dyDescent="0.3">
      <c r="A2999">
        <v>1525004988</v>
      </c>
      <c r="B2999">
        <v>1525005301</v>
      </c>
      <c r="C2999" t="str">
        <f>T("용무쌍 14화")</f>
        <v>용무쌍 14화</v>
      </c>
      <c r="D2999" t="str">
        <f>T("14")</f>
        <v>14</v>
      </c>
      <c r="E2999" t="str">
        <f>T("권용찬")</f>
        <v>권용찬</v>
      </c>
      <c r="H2999" t="str">
        <f>T("스토리위즈")</f>
        <v>스토리위즈</v>
      </c>
      <c r="I2999" t="str">
        <f>T("용무쌍")</f>
        <v>용무쌍</v>
      </c>
      <c r="J2999">
        <v>0</v>
      </c>
      <c r="K2999">
        <v>0</v>
      </c>
      <c r="L2999">
        <v>0</v>
      </c>
      <c r="M2999">
        <v>2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2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Q2999">
        <v>0</v>
      </c>
      <c r="AR2999">
        <v>0</v>
      </c>
      <c r="AT2999">
        <v>0</v>
      </c>
      <c r="AU2999">
        <v>0</v>
      </c>
      <c r="AW2999">
        <v>0</v>
      </c>
      <c r="AX2999">
        <v>0</v>
      </c>
      <c r="AY2999">
        <v>0</v>
      </c>
      <c r="BC2999" t="str">
        <f>T("9791159284861")</f>
        <v>9791159284861</v>
      </c>
      <c r="BE2999" t="str">
        <f>T("판타지 웹소설 &gt; 무협 소설")</f>
        <v>판타지 웹소설 &gt; 무협 소설</v>
      </c>
    </row>
    <row r="3000" spans="1:57" x14ac:dyDescent="0.3">
      <c r="A3000">
        <v>1525011523</v>
      </c>
      <c r="B3000">
        <v>1525011502</v>
      </c>
      <c r="C3000" t="str">
        <f>T("남창목가 22화")</f>
        <v>남창목가 22화</v>
      </c>
      <c r="D3000" t="str">
        <f>T("22")</f>
        <v>22</v>
      </c>
      <c r="E3000" t="str">
        <f>T("최재봉")</f>
        <v>최재봉</v>
      </c>
      <c r="H3000" t="str">
        <f>T("에필로그")</f>
        <v>에필로그</v>
      </c>
      <c r="I3000" t="str">
        <f>T("남창목가")</f>
        <v>남창목가</v>
      </c>
      <c r="J3000">
        <v>100</v>
      </c>
      <c r="K3000">
        <v>0</v>
      </c>
      <c r="L3000">
        <v>0</v>
      </c>
      <c r="M3000">
        <v>0</v>
      </c>
      <c r="N3000">
        <v>100</v>
      </c>
      <c r="O3000">
        <v>1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100</v>
      </c>
      <c r="AH3000">
        <v>1</v>
      </c>
      <c r="AI3000">
        <v>0</v>
      </c>
      <c r="AJ3000">
        <v>0</v>
      </c>
      <c r="AK3000">
        <v>100</v>
      </c>
      <c r="AL3000">
        <v>0</v>
      </c>
      <c r="AM3000">
        <v>0</v>
      </c>
      <c r="AN3000">
        <v>0</v>
      </c>
      <c r="AO3000">
        <v>0</v>
      </c>
      <c r="AQ3000">
        <v>0</v>
      </c>
      <c r="AR3000">
        <v>0</v>
      </c>
      <c r="AT3000">
        <v>0</v>
      </c>
      <c r="AU3000">
        <v>0</v>
      </c>
      <c r="AW3000">
        <v>0</v>
      </c>
      <c r="AX3000">
        <v>0</v>
      </c>
      <c r="AY3000">
        <v>70</v>
      </c>
      <c r="BC3000" t="str">
        <f>T("9791164482849")</f>
        <v>9791164482849</v>
      </c>
      <c r="BE3000" t="str">
        <f>T("판타지 웹소설 &gt; 무협 소설")</f>
        <v>판타지 웹소설 &gt; 무협 소설</v>
      </c>
    </row>
    <row r="3001" spans="1:57" x14ac:dyDescent="0.3">
      <c r="A3001">
        <v>1525012551</v>
      </c>
      <c r="B3001">
        <v>1525012560</v>
      </c>
      <c r="C3001" t="str">
        <f>T("개정판 | 바보가 만드는 멋진 세상 10화")</f>
        <v>개정판 | 바보가 만드는 멋진 세상 10화</v>
      </c>
      <c r="D3001" t="str">
        <f>T("10")</f>
        <v>10</v>
      </c>
      <c r="E3001" t="str">
        <f>T("백범(白帆)")</f>
        <v>백범(白帆)</v>
      </c>
      <c r="H3001" t="str">
        <f>T("에필로그")</f>
        <v>에필로그</v>
      </c>
      <c r="I3001" t="str">
        <f>T("개정판 | 바보가 만드는 멋진 세상")</f>
        <v>개정판 | 바보가 만드는 멋진 세상</v>
      </c>
      <c r="J3001">
        <v>0</v>
      </c>
      <c r="K3001">
        <v>0</v>
      </c>
      <c r="L3001">
        <v>0</v>
      </c>
      <c r="M3001">
        <v>1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1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Q3001">
        <v>0</v>
      </c>
      <c r="AR3001">
        <v>0</v>
      </c>
      <c r="AT3001">
        <v>0</v>
      </c>
      <c r="AU3001">
        <v>0</v>
      </c>
      <c r="AW3001">
        <v>0</v>
      </c>
      <c r="AX3001">
        <v>0</v>
      </c>
      <c r="AY3001">
        <v>0</v>
      </c>
      <c r="BC3001" t="str">
        <f>T("9791166003493")</f>
        <v>9791166003493</v>
      </c>
      <c r="BE3001" t="str">
        <f>T("판타지 웹소설 &gt; 현대 판타지")</f>
        <v>판타지 웹소설 &gt; 현대 판타지</v>
      </c>
    </row>
    <row r="3002" spans="1:57" x14ac:dyDescent="0.3">
      <c r="A3002">
        <v>1525000055</v>
      </c>
      <c r="B3002">
        <v>1525000067</v>
      </c>
      <c r="C3002" t="str">
        <f>T("[e북]21세기 대마법사 12권")</f>
        <v>[e북]21세기 대마법사 12권</v>
      </c>
      <c r="D3002" t="str">
        <f>T("12")</f>
        <v>12</v>
      </c>
      <c r="E3002" t="str">
        <f>T("김광수")</f>
        <v>김광수</v>
      </c>
      <c r="H3002" t="str">
        <f>T("스토리위즈")</f>
        <v>스토리위즈</v>
      </c>
      <c r="I3002" t="str">
        <f>T("[e북]21세기 대마법사")</f>
        <v>[e북]21세기 대마법사</v>
      </c>
      <c r="J3002">
        <v>3200</v>
      </c>
      <c r="K3002">
        <v>0</v>
      </c>
      <c r="L3002">
        <v>0</v>
      </c>
      <c r="M3002">
        <v>0</v>
      </c>
      <c r="N3002">
        <v>2700</v>
      </c>
      <c r="O3002">
        <v>3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2700</v>
      </c>
      <c r="AH3002">
        <v>3</v>
      </c>
      <c r="AI3002">
        <v>0</v>
      </c>
      <c r="AJ3002">
        <v>0</v>
      </c>
      <c r="AK3002">
        <v>0</v>
      </c>
      <c r="AL3002">
        <v>0</v>
      </c>
      <c r="AM3002">
        <v>3240</v>
      </c>
      <c r="AN3002">
        <v>-540</v>
      </c>
      <c r="AO3002">
        <v>0</v>
      </c>
      <c r="AQ3002">
        <v>0</v>
      </c>
      <c r="AR3002">
        <v>0</v>
      </c>
      <c r="AS3002">
        <v>3240</v>
      </c>
      <c r="AT3002">
        <v>-540</v>
      </c>
      <c r="AU3002">
        <v>0</v>
      </c>
      <c r="AW3002">
        <v>0</v>
      </c>
      <c r="AX3002">
        <v>0</v>
      </c>
      <c r="AY3002">
        <v>1890</v>
      </c>
      <c r="BC3002" t="str">
        <f>T("9788925119151")</f>
        <v>9788925119151</v>
      </c>
      <c r="BE3002" t="str">
        <f>T("판타지 e북 &gt; 퓨전 판타지")</f>
        <v>판타지 e북 &gt; 퓨전 판타지</v>
      </c>
    </row>
    <row r="3003" spans="1:57" x14ac:dyDescent="0.3">
      <c r="A3003">
        <v>1525004799</v>
      </c>
      <c r="B3003">
        <v>1525004813</v>
      </c>
      <c r="C3003" t="str">
        <f>T("검산도해 15화")</f>
        <v>검산도해 15화</v>
      </c>
      <c r="D3003" t="str">
        <f>T("15")</f>
        <v>15</v>
      </c>
      <c r="E3003" t="str">
        <f>T("권용찬")</f>
        <v>권용찬</v>
      </c>
      <c r="H3003" t="str">
        <f>T("스토리위즈")</f>
        <v>스토리위즈</v>
      </c>
      <c r="I3003" t="str">
        <f>T("검산도해")</f>
        <v>검산도해</v>
      </c>
      <c r="J3003">
        <v>0</v>
      </c>
      <c r="K3003">
        <v>0</v>
      </c>
      <c r="L3003">
        <v>0</v>
      </c>
      <c r="M3003">
        <v>2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2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Q3003">
        <v>0</v>
      </c>
      <c r="AR3003">
        <v>0</v>
      </c>
      <c r="AT3003">
        <v>0</v>
      </c>
      <c r="AU3003">
        <v>0</v>
      </c>
      <c r="AW3003">
        <v>0</v>
      </c>
      <c r="AX3003">
        <v>0</v>
      </c>
      <c r="AY3003">
        <v>0</v>
      </c>
      <c r="BC3003" t="str">
        <f>T("9791159285936")</f>
        <v>9791159285936</v>
      </c>
      <c r="BE3003" t="str">
        <f>T("판타지 웹소설 &gt; 무협 소설")</f>
        <v>판타지 웹소설 &gt; 무협 소설</v>
      </c>
    </row>
    <row r="3004" spans="1:57" x14ac:dyDescent="0.3">
      <c r="A3004">
        <v>1525002864</v>
      </c>
      <c r="B3004">
        <v>1525002880</v>
      </c>
      <c r="C3004" t="str">
        <f>T("소드마스터의 환생 17화")</f>
        <v>소드마스터의 환생 17화</v>
      </c>
      <c r="D3004" t="str">
        <f>T("17")</f>
        <v>17</v>
      </c>
      <c r="E3004" t="str">
        <f>T("파란영")</f>
        <v>파란영</v>
      </c>
      <c r="H3004" t="str">
        <f>T("스토리위즈")</f>
        <v>스토리위즈</v>
      </c>
      <c r="I3004" t="str">
        <f>T("소드마스터의 환생")</f>
        <v>소드마스터의 환생</v>
      </c>
      <c r="J3004">
        <v>0</v>
      </c>
      <c r="K3004">
        <v>0</v>
      </c>
      <c r="L3004">
        <v>0</v>
      </c>
      <c r="M3004">
        <v>4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4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Q3004">
        <v>0</v>
      </c>
      <c r="AR3004">
        <v>0</v>
      </c>
      <c r="AT3004">
        <v>0</v>
      </c>
      <c r="AU3004">
        <v>0</v>
      </c>
      <c r="AW3004">
        <v>0</v>
      </c>
      <c r="AX3004">
        <v>0</v>
      </c>
      <c r="AY3004">
        <v>0</v>
      </c>
      <c r="BC3004" t="str">
        <f>T("9791159287527")</f>
        <v>9791159287527</v>
      </c>
      <c r="BE3004" t="str">
        <f>T("판타지 웹소설 &gt; 정통 판타지")</f>
        <v>판타지 웹소설 &gt; 정통 판타지</v>
      </c>
    </row>
    <row r="3005" spans="1:57" x14ac:dyDescent="0.3">
      <c r="A3005">
        <v>1525001317</v>
      </c>
      <c r="B3005">
        <v>1525001329</v>
      </c>
      <c r="C3005" t="str">
        <f>T("[e북]완전판 | 스트라이커 13권")</f>
        <v>[e북]완전판 | 스트라이커 13권</v>
      </c>
      <c r="D3005" t="str">
        <f>T("13")</f>
        <v>13</v>
      </c>
      <c r="E3005" t="str">
        <f>T("독고진")</f>
        <v>독고진</v>
      </c>
      <c r="H3005" t="str">
        <f>T("스토리위즈")</f>
        <v>스토리위즈</v>
      </c>
      <c r="I3005" t="str">
        <f>T("[e북]완전판 | 스트라이커")</f>
        <v>[e북]완전판 | 스트라이커</v>
      </c>
      <c r="J3005">
        <v>3200</v>
      </c>
      <c r="K3005">
        <v>0</v>
      </c>
      <c r="L3005">
        <v>0</v>
      </c>
      <c r="M3005">
        <v>0</v>
      </c>
      <c r="N3005">
        <v>900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900</v>
      </c>
      <c r="AH3005">
        <v>1</v>
      </c>
      <c r="AI3005">
        <v>0</v>
      </c>
      <c r="AJ3005">
        <v>0</v>
      </c>
      <c r="AK3005">
        <v>900</v>
      </c>
      <c r="AL3005">
        <v>0</v>
      </c>
      <c r="AM3005">
        <v>0</v>
      </c>
      <c r="AN3005">
        <v>0</v>
      </c>
      <c r="AO3005">
        <v>0</v>
      </c>
      <c r="AQ3005">
        <v>0</v>
      </c>
      <c r="AR3005">
        <v>0</v>
      </c>
      <c r="AT3005">
        <v>0</v>
      </c>
      <c r="AU3005">
        <v>0</v>
      </c>
      <c r="AW3005">
        <v>0</v>
      </c>
      <c r="AX3005">
        <v>0</v>
      </c>
      <c r="AY3005">
        <v>630</v>
      </c>
      <c r="BA3005" t="str">
        <f>T("9791159282959")</f>
        <v>9791159282959</v>
      </c>
      <c r="BC3005" t="str">
        <f>T("9791159282959")</f>
        <v>9791159282959</v>
      </c>
      <c r="BE3005" t="str">
        <f>T("판타지 e북 &gt; 스포츠물")</f>
        <v>판타지 e북 &gt; 스포츠물</v>
      </c>
    </row>
    <row r="3006" spans="1:57" x14ac:dyDescent="0.3">
      <c r="A3006">
        <v>1525004799</v>
      </c>
      <c r="B3006">
        <v>1525004804</v>
      </c>
      <c r="C3006" t="str">
        <f>T("검산도해 6화")</f>
        <v>검산도해 6화</v>
      </c>
      <c r="D3006" t="str">
        <f>T("6")</f>
        <v>6</v>
      </c>
      <c r="E3006" t="str">
        <f>T("권용찬")</f>
        <v>권용찬</v>
      </c>
      <c r="H3006" t="str">
        <f>T("스토리위즈")</f>
        <v>스토리위즈</v>
      </c>
      <c r="I3006" t="str">
        <f>T("검산도해")</f>
        <v>검산도해</v>
      </c>
      <c r="J3006">
        <v>0</v>
      </c>
      <c r="K3006">
        <v>0</v>
      </c>
      <c r="L3006">
        <v>0</v>
      </c>
      <c r="M3006">
        <v>4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4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Q3006">
        <v>0</v>
      </c>
      <c r="AR3006">
        <v>0</v>
      </c>
      <c r="AT3006">
        <v>0</v>
      </c>
      <c r="AU3006">
        <v>0</v>
      </c>
      <c r="AW3006">
        <v>0</v>
      </c>
      <c r="AX3006">
        <v>0</v>
      </c>
      <c r="AY3006">
        <v>0</v>
      </c>
      <c r="BC3006" t="str">
        <f>T("9791159285936")</f>
        <v>9791159285936</v>
      </c>
      <c r="BE3006" t="str">
        <f>T("판타지 웹소설 &gt; 무협 소설")</f>
        <v>판타지 웹소설 &gt; 무협 소설</v>
      </c>
    </row>
    <row r="3007" spans="1:57" x14ac:dyDescent="0.3">
      <c r="A3007">
        <v>1525010982</v>
      </c>
      <c r="B3007">
        <v>1525010979</v>
      </c>
      <c r="C3007" t="str">
        <f>T("[e북]이 맛에 회장한다 4권")</f>
        <v>[e북]이 맛에 회장한다 4권</v>
      </c>
      <c r="D3007" t="str">
        <f>T("4")</f>
        <v>4</v>
      </c>
      <c r="E3007" t="str">
        <f>T("협행마")</f>
        <v>협행마</v>
      </c>
      <c r="H3007" t="str">
        <f>T("에필로그")</f>
        <v>에필로그</v>
      </c>
      <c r="I3007" t="str">
        <f>T("[e북]이 맛에 회장한다")</f>
        <v>[e북]이 맛에 회장한다</v>
      </c>
      <c r="J3007">
        <v>2500</v>
      </c>
      <c r="K3007">
        <v>0</v>
      </c>
      <c r="L3007">
        <v>0</v>
      </c>
      <c r="M3007">
        <v>0</v>
      </c>
      <c r="N3007">
        <v>2520</v>
      </c>
      <c r="O3007">
        <v>3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2520</v>
      </c>
      <c r="AH3007">
        <v>3</v>
      </c>
      <c r="AI3007">
        <v>0</v>
      </c>
      <c r="AJ3007">
        <v>0</v>
      </c>
      <c r="AK3007">
        <v>2520</v>
      </c>
      <c r="AL3007">
        <v>0</v>
      </c>
      <c r="AM3007">
        <v>0</v>
      </c>
      <c r="AN3007">
        <v>0</v>
      </c>
      <c r="AO3007">
        <v>0</v>
      </c>
      <c r="AQ3007">
        <v>0</v>
      </c>
      <c r="AR3007">
        <v>0</v>
      </c>
      <c r="AT3007">
        <v>0</v>
      </c>
      <c r="AU3007">
        <v>0</v>
      </c>
      <c r="AW3007">
        <v>0</v>
      </c>
      <c r="AX3007">
        <v>0</v>
      </c>
      <c r="AY3007">
        <v>1764</v>
      </c>
      <c r="BC3007" t="str">
        <f>T("9791164486090")</f>
        <v>9791164486090</v>
      </c>
      <c r="BE3007" t="str">
        <f>T("판타지 e북 &gt; 현대 판타지")</f>
        <v>판타지 e북 &gt; 현대 판타지</v>
      </c>
    </row>
    <row r="3008" spans="1:57" x14ac:dyDescent="0.3">
      <c r="A3008">
        <v>1525000411</v>
      </c>
      <c r="B3008">
        <v>1525000417</v>
      </c>
      <c r="C3008" t="str">
        <f>T("레이드 만물상점 7화")</f>
        <v>레이드 만물상점 7화</v>
      </c>
      <c r="D3008" t="str">
        <f>T("7")</f>
        <v>7</v>
      </c>
      <c r="E3008" t="str">
        <f>T("전혁")</f>
        <v>전혁</v>
      </c>
      <c r="H3008" t="str">
        <f>T("스토리위즈")</f>
        <v>스토리위즈</v>
      </c>
      <c r="I3008" t="str">
        <f>T("레이드 만물상점")</f>
        <v>레이드 만물상점</v>
      </c>
      <c r="J3008">
        <v>0</v>
      </c>
      <c r="K3008">
        <v>0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1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Q3008">
        <v>0</v>
      </c>
      <c r="AR3008">
        <v>0</v>
      </c>
      <c r="AT3008">
        <v>0</v>
      </c>
      <c r="AU3008">
        <v>0</v>
      </c>
      <c r="AW3008">
        <v>0</v>
      </c>
      <c r="AX3008">
        <v>0</v>
      </c>
      <c r="AY3008">
        <v>0</v>
      </c>
      <c r="BC3008" t="str">
        <f>T("9791170151432")</f>
        <v>9791170151432</v>
      </c>
      <c r="BE3008" t="str">
        <f>T("판타지 웹소설 &gt; 현대 판타지")</f>
        <v>판타지 웹소설 &gt; 현대 판타지</v>
      </c>
    </row>
    <row r="3009" spans="1:57" x14ac:dyDescent="0.3">
      <c r="A3009">
        <v>1525015096</v>
      </c>
      <c r="B3009">
        <v>1525015096</v>
      </c>
      <c r="C3009" t="str">
        <f>T("[e북]전설이 돼라 [개정판] 1권")</f>
        <v>[e북]전설이 돼라 [개정판] 1권</v>
      </c>
      <c r="D3009" t="str">
        <f>T("1")</f>
        <v>1</v>
      </c>
      <c r="E3009" t="str">
        <f>T("백범(白帆)")</f>
        <v>백범(白帆)</v>
      </c>
      <c r="H3009" t="str">
        <f>T("에필로그")</f>
        <v>에필로그</v>
      </c>
      <c r="I3009" t="str">
        <f>T("[e북]전설이 돼라 [개정판]")</f>
        <v>[e북]전설이 돼라 [개정판]</v>
      </c>
      <c r="J3009">
        <v>0</v>
      </c>
      <c r="K3009">
        <v>0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1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Q3009">
        <v>0</v>
      </c>
      <c r="AR3009">
        <v>0</v>
      </c>
      <c r="AT3009">
        <v>0</v>
      </c>
      <c r="AU3009">
        <v>0</v>
      </c>
      <c r="AW3009">
        <v>0</v>
      </c>
      <c r="AX3009">
        <v>0</v>
      </c>
      <c r="AY3009">
        <v>0</v>
      </c>
      <c r="BC3009" t="str">
        <f>T("9791164480401")</f>
        <v>9791164480401</v>
      </c>
      <c r="BE3009" t="str">
        <f>T("판타지 e북 &gt; 퓨전 판타지")</f>
        <v>판타지 e북 &gt; 퓨전 판타지</v>
      </c>
    </row>
    <row r="3010" spans="1:57" x14ac:dyDescent="0.3">
      <c r="A3010">
        <v>1525010900</v>
      </c>
      <c r="B3010">
        <v>1525010900</v>
      </c>
      <c r="C3010" t="str">
        <f>T("[e북]무적살수 1권")</f>
        <v>[e북]무적살수 1권</v>
      </c>
      <c r="D3010" t="str">
        <f>T("1")</f>
        <v>1</v>
      </c>
      <c r="E3010" t="str">
        <f>T("협행마")</f>
        <v>협행마</v>
      </c>
      <c r="H3010" t="str">
        <f>T("에필로그")</f>
        <v>에필로그</v>
      </c>
      <c r="I3010" t="str">
        <f>T("[e북]무적살수")</f>
        <v>[e북]무적살수</v>
      </c>
      <c r="J3010">
        <v>0</v>
      </c>
      <c r="K3010">
        <v>0</v>
      </c>
      <c r="L3010">
        <v>0</v>
      </c>
      <c r="M3010">
        <v>4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5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Q3010">
        <v>0</v>
      </c>
      <c r="AR3010">
        <v>0</v>
      </c>
      <c r="AT3010">
        <v>0</v>
      </c>
      <c r="AU3010">
        <v>0</v>
      </c>
      <c r="AW3010">
        <v>0</v>
      </c>
      <c r="AX3010">
        <v>0</v>
      </c>
      <c r="AY3010">
        <v>0</v>
      </c>
      <c r="BC3010" t="str">
        <f>T("9791166000126")</f>
        <v>9791166000126</v>
      </c>
      <c r="BE3010" t="str">
        <f>T("판타지 e북 &gt; 전통 무협")</f>
        <v>판타지 e북 &gt; 전통 무협</v>
      </c>
    </row>
    <row r="3011" spans="1:57" x14ac:dyDescent="0.3">
      <c r="A3011">
        <v>1525000190</v>
      </c>
      <c r="B3011">
        <v>1525000190</v>
      </c>
      <c r="C3011" t="str">
        <f>T("[e북]프리나이트 1권")</f>
        <v>[e북]프리나이트 1권</v>
      </c>
      <c r="D3011" t="str">
        <f>T("1")</f>
        <v>1</v>
      </c>
      <c r="E3011" t="str">
        <f>T("김광수")</f>
        <v>김광수</v>
      </c>
      <c r="H3011" t="str">
        <f>T("스토리위즈")</f>
        <v>스토리위즈</v>
      </c>
      <c r="I3011" t="str">
        <f>T("[e북]프리나이트")</f>
        <v>[e북]프리나이트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2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2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Q3011">
        <v>0</v>
      </c>
      <c r="AR3011">
        <v>0</v>
      </c>
      <c r="AT3011">
        <v>0</v>
      </c>
      <c r="AU3011">
        <v>0</v>
      </c>
      <c r="AW3011">
        <v>0</v>
      </c>
      <c r="AX3011">
        <v>0</v>
      </c>
      <c r="AY3011">
        <v>0</v>
      </c>
      <c r="BE3011" t="str">
        <f>T("판타지 e북 &gt; 퓨전 판타지")</f>
        <v>판타지 e북 &gt; 퓨전 판타지</v>
      </c>
    </row>
    <row r="3012" spans="1:57" x14ac:dyDescent="0.3">
      <c r="A3012">
        <v>1525000906</v>
      </c>
      <c r="B3012">
        <v>1525000908</v>
      </c>
      <c r="C3012" t="str">
        <f>T("[e북]완전판 | 레이드 만물상점 3권")</f>
        <v>[e북]완전판 | 레이드 만물상점 3권</v>
      </c>
      <c r="D3012" t="str">
        <f>T("3")</f>
        <v>3</v>
      </c>
      <c r="E3012" t="str">
        <f>T("전혁")</f>
        <v>전혁</v>
      </c>
      <c r="H3012" t="str">
        <f>T("스토리위즈")</f>
        <v>스토리위즈</v>
      </c>
      <c r="I3012" t="str">
        <f>T("[e북]완전판 | 레이드 만물상점")</f>
        <v>[e북]완전판 | 레이드 만물상점</v>
      </c>
      <c r="J3012">
        <v>3200</v>
      </c>
      <c r="K3012">
        <v>0</v>
      </c>
      <c r="L3012">
        <v>0</v>
      </c>
      <c r="M3012">
        <v>0</v>
      </c>
      <c r="N3012">
        <v>6300</v>
      </c>
      <c r="O3012">
        <v>7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6300</v>
      </c>
      <c r="AH3012">
        <v>7</v>
      </c>
      <c r="AI3012">
        <v>0</v>
      </c>
      <c r="AJ3012">
        <v>0</v>
      </c>
      <c r="AK3012">
        <v>4400</v>
      </c>
      <c r="AL3012">
        <v>0</v>
      </c>
      <c r="AM3012">
        <v>2280</v>
      </c>
      <c r="AN3012">
        <v>-660</v>
      </c>
      <c r="AO3012">
        <v>0</v>
      </c>
      <c r="AQ3012">
        <v>0</v>
      </c>
      <c r="AR3012">
        <v>0</v>
      </c>
      <c r="AS3012">
        <v>2280</v>
      </c>
      <c r="AT3012">
        <v>-660</v>
      </c>
      <c r="AU3012">
        <v>0</v>
      </c>
      <c r="AW3012">
        <v>0</v>
      </c>
      <c r="AX3012">
        <v>0</v>
      </c>
      <c r="AY3012">
        <v>4214</v>
      </c>
      <c r="BC3012" t="str">
        <f>T("9791159282638")</f>
        <v>9791159282638</v>
      </c>
      <c r="BE3012" t="str">
        <f>T("판타지 e북 &gt; 현대 판타지")</f>
        <v>판타지 e북 &gt; 현대 판타지</v>
      </c>
    </row>
    <row r="3013" spans="1:57" x14ac:dyDescent="0.3">
      <c r="A3013">
        <v>1525012202</v>
      </c>
      <c r="B3013">
        <v>1525012192</v>
      </c>
      <c r="C3013" t="str">
        <f>T("이세계 최강 군바리 11화")</f>
        <v>이세계 최강 군바리 11화</v>
      </c>
      <c r="D3013" t="str">
        <f>T("11")</f>
        <v>11</v>
      </c>
      <c r="E3013" t="str">
        <f>T("협행마")</f>
        <v>협행마</v>
      </c>
      <c r="H3013" t="str">
        <f>T("에필로그")</f>
        <v>에필로그</v>
      </c>
      <c r="I3013" t="str">
        <f>T("이세계 최강 군바리")</f>
        <v>이세계 최강 군바리</v>
      </c>
      <c r="J3013">
        <v>0</v>
      </c>
      <c r="K3013">
        <v>0</v>
      </c>
      <c r="L3013">
        <v>0</v>
      </c>
      <c r="M3013">
        <v>1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1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Q3013">
        <v>0</v>
      </c>
      <c r="AR3013">
        <v>0</v>
      </c>
      <c r="AT3013">
        <v>0</v>
      </c>
      <c r="AU3013">
        <v>0</v>
      </c>
      <c r="AW3013">
        <v>0</v>
      </c>
      <c r="AX3013">
        <v>0</v>
      </c>
      <c r="AY3013">
        <v>0</v>
      </c>
      <c r="BC3013" t="str">
        <f>T("9791164480159")</f>
        <v>9791164480159</v>
      </c>
      <c r="BE3013" t="str">
        <f>T("판타지 웹소설 &gt; 퓨전 판타지")</f>
        <v>판타지 웹소설 &gt; 퓨전 판타지</v>
      </c>
    </row>
    <row r="3014" spans="1:57" x14ac:dyDescent="0.3">
      <c r="A3014">
        <v>1525000569</v>
      </c>
      <c r="B3014">
        <v>1525000582</v>
      </c>
      <c r="C3014" t="str">
        <f>T("스트라이커 14화")</f>
        <v>스트라이커 14화</v>
      </c>
      <c r="D3014" t="str">
        <f>T("14")</f>
        <v>14</v>
      </c>
      <c r="E3014" t="str">
        <f>T("독고진")</f>
        <v>독고진</v>
      </c>
      <c r="H3014" t="str">
        <f>T("스토리위즈")</f>
        <v>스토리위즈</v>
      </c>
      <c r="I3014" t="str">
        <f>T("스트라이커")</f>
        <v>스트라이커</v>
      </c>
      <c r="J3014">
        <v>0</v>
      </c>
      <c r="K3014">
        <v>0</v>
      </c>
      <c r="L3014">
        <v>0</v>
      </c>
      <c r="M3014">
        <v>1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1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Q3014">
        <v>0</v>
      </c>
      <c r="AR3014">
        <v>0</v>
      </c>
      <c r="AT3014">
        <v>0</v>
      </c>
      <c r="AU3014">
        <v>0</v>
      </c>
      <c r="AW3014">
        <v>0</v>
      </c>
      <c r="AX3014">
        <v>0</v>
      </c>
      <c r="AY3014">
        <v>0</v>
      </c>
      <c r="BC3014" t="str">
        <f>T("9791170151678")</f>
        <v>9791170151678</v>
      </c>
      <c r="BE3014" t="str">
        <f>T("판타지 웹소설 &gt; 현대 판타지")</f>
        <v>판타지 웹소설 &gt; 현대 판타지</v>
      </c>
    </row>
    <row r="3015" spans="1:57" x14ac:dyDescent="0.3">
      <c r="A3015">
        <v>1525010579</v>
      </c>
      <c r="B3015">
        <v>1525010576</v>
      </c>
      <c r="C3015" t="str">
        <f>T("법보다 주먹 2화")</f>
        <v>법보다 주먹 2화</v>
      </c>
      <c r="D3015" t="str">
        <f>T("2")</f>
        <v>2</v>
      </c>
      <c r="E3015" t="str">
        <f>T("백범(白帆)")</f>
        <v>백범(白帆)</v>
      </c>
      <c r="H3015" t="str">
        <f>T("에필로그")</f>
        <v>에필로그</v>
      </c>
      <c r="I3015" t="str">
        <f>T("법보다 주먹")</f>
        <v>법보다 주먹</v>
      </c>
      <c r="J3015">
        <v>0</v>
      </c>
      <c r="K3015">
        <v>0</v>
      </c>
      <c r="L3015">
        <v>0</v>
      </c>
      <c r="M3015">
        <v>2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2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Q3015">
        <v>0</v>
      </c>
      <c r="AR3015">
        <v>0</v>
      </c>
      <c r="AT3015">
        <v>0</v>
      </c>
      <c r="AU3015">
        <v>0</v>
      </c>
      <c r="AW3015">
        <v>0</v>
      </c>
      <c r="AX3015">
        <v>0</v>
      </c>
      <c r="AY3015">
        <v>0</v>
      </c>
      <c r="BC3015" t="str">
        <f>T("9791164489367")</f>
        <v>9791164489367</v>
      </c>
      <c r="BE3015" t="str">
        <f>T("판타지 웹소설 &gt; 현대 판타지")</f>
        <v>판타지 웹소설 &gt; 현대 판타지</v>
      </c>
    </row>
    <row r="3016" spans="1:57" x14ac:dyDescent="0.3">
      <c r="A3016">
        <v>1525013020</v>
      </c>
      <c r="B3016">
        <v>1525013037</v>
      </c>
      <c r="C3016" t="str">
        <f>T("악당의 리턴 18화")</f>
        <v>악당의 리턴 18화</v>
      </c>
      <c r="D3016" t="str">
        <f>T("18")</f>
        <v>18</v>
      </c>
      <c r="E3016" t="str">
        <f>T("백범(白帆)")</f>
        <v>백범(白帆)</v>
      </c>
      <c r="H3016" t="str">
        <f>T("에필로그")</f>
        <v>에필로그</v>
      </c>
      <c r="I3016" t="str">
        <f>T("악당의 리턴")</f>
        <v>악당의 리턴</v>
      </c>
      <c r="J3016">
        <v>0</v>
      </c>
      <c r="K3016">
        <v>0</v>
      </c>
      <c r="L3016">
        <v>0</v>
      </c>
      <c r="M3016">
        <v>6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6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Q3016">
        <v>0</v>
      </c>
      <c r="AR3016">
        <v>0</v>
      </c>
      <c r="AT3016">
        <v>0</v>
      </c>
      <c r="AU3016">
        <v>0</v>
      </c>
      <c r="AW3016">
        <v>0</v>
      </c>
      <c r="AX3016">
        <v>0</v>
      </c>
      <c r="AY3016">
        <v>0</v>
      </c>
      <c r="BC3016" t="str">
        <f>T("9791196538927")</f>
        <v>9791196538927</v>
      </c>
      <c r="BE3016" t="str">
        <f>T("판타지 웹소설 &gt; 현대 판타지")</f>
        <v>판타지 웹소설 &gt; 현대 판타지</v>
      </c>
    </row>
    <row r="3017" spans="1:57" x14ac:dyDescent="0.3">
      <c r="A3017">
        <v>1525000569</v>
      </c>
      <c r="B3017">
        <v>1525000571</v>
      </c>
      <c r="C3017" t="str">
        <f>T("스트라이커 3화")</f>
        <v>스트라이커 3화</v>
      </c>
      <c r="D3017" t="str">
        <f>T("3")</f>
        <v>3</v>
      </c>
      <c r="E3017" t="str">
        <f>T("독고진")</f>
        <v>독고진</v>
      </c>
      <c r="H3017" t="str">
        <f>T("스토리위즈")</f>
        <v>스토리위즈</v>
      </c>
      <c r="I3017" t="str">
        <f>T("스트라이커")</f>
        <v>스트라이커</v>
      </c>
      <c r="J3017">
        <v>0</v>
      </c>
      <c r="K3017">
        <v>0</v>
      </c>
      <c r="L3017">
        <v>0</v>
      </c>
      <c r="M3017">
        <v>2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2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Q3017">
        <v>0</v>
      </c>
      <c r="AR3017">
        <v>0</v>
      </c>
      <c r="AT3017">
        <v>0</v>
      </c>
      <c r="AU3017">
        <v>0</v>
      </c>
      <c r="AW3017">
        <v>0</v>
      </c>
      <c r="AX3017">
        <v>0</v>
      </c>
      <c r="AY3017">
        <v>0</v>
      </c>
      <c r="BC3017" t="str">
        <f>T("9791170151678")</f>
        <v>9791170151678</v>
      </c>
      <c r="BE3017" t="str">
        <f>T("판타지 웹소설 &gt; 현대 판타지")</f>
        <v>판타지 웹소설 &gt; 현대 판타지</v>
      </c>
    </row>
    <row r="3018" spans="1:57" x14ac:dyDescent="0.3">
      <c r="A3018">
        <v>1525013344</v>
      </c>
      <c r="B3018">
        <v>1525013344</v>
      </c>
      <c r="C3018" t="str">
        <f>T("[e북]진짜 사나이 1권")</f>
        <v>[e북]진짜 사나이 1권</v>
      </c>
      <c r="D3018" t="str">
        <f>T("1")</f>
        <v>1</v>
      </c>
      <c r="E3018" t="str">
        <f>T("백범(白帆)")</f>
        <v>백범(白帆)</v>
      </c>
      <c r="H3018" t="str">
        <f>T("에필로그")</f>
        <v>에필로그</v>
      </c>
      <c r="I3018" t="str">
        <f>T("[e북]진짜 사나이")</f>
        <v>[e북]진짜 사나이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2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2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Q3018">
        <v>0</v>
      </c>
      <c r="AR3018">
        <v>0</v>
      </c>
      <c r="AT3018">
        <v>0</v>
      </c>
      <c r="AU3018">
        <v>0</v>
      </c>
      <c r="AW3018">
        <v>0</v>
      </c>
      <c r="AX3018">
        <v>0</v>
      </c>
      <c r="AY3018">
        <v>0</v>
      </c>
      <c r="BC3018" t="str">
        <f>T("9791164480524")</f>
        <v>9791164480524</v>
      </c>
      <c r="BE3018" t="str">
        <f>T("판타지 e북 &gt; 퓨전 판타지")</f>
        <v>판타지 e북 &gt; 퓨전 판타지</v>
      </c>
    </row>
    <row r="3019" spans="1:57" x14ac:dyDescent="0.3">
      <c r="A3019">
        <v>1525010944</v>
      </c>
      <c r="B3019">
        <v>1525010938</v>
      </c>
      <c r="C3019" t="str">
        <f>T("[e북]법보다 주먹 7권")</f>
        <v>[e북]법보다 주먹 7권</v>
      </c>
      <c r="D3019" t="str">
        <f>T("7")</f>
        <v>7</v>
      </c>
      <c r="E3019" t="str">
        <f>T("백범(白帆)")</f>
        <v>백범(白帆)</v>
      </c>
      <c r="H3019" t="str">
        <f>T("에필로그")</f>
        <v>에필로그</v>
      </c>
      <c r="I3019" t="str">
        <f>T("[e북]법보다 주먹")</f>
        <v>[e북]법보다 주먹</v>
      </c>
      <c r="J3019">
        <v>2000</v>
      </c>
      <c r="K3019">
        <v>0</v>
      </c>
      <c r="L3019">
        <v>0</v>
      </c>
      <c r="M3019">
        <v>0</v>
      </c>
      <c r="N3019">
        <v>1800</v>
      </c>
      <c r="O3019">
        <v>2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1800</v>
      </c>
      <c r="AH3019">
        <v>2</v>
      </c>
      <c r="AI3019">
        <v>0</v>
      </c>
      <c r="AJ3019">
        <v>0</v>
      </c>
      <c r="AK3019">
        <v>0</v>
      </c>
      <c r="AL3019">
        <v>0</v>
      </c>
      <c r="AM3019">
        <v>2160</v>
      </c>
      <c r="AN3019">
        <v>-432</v>
      </c>
      <c r="AO3019">
        <v>0</v>
      </c>
      <c r="AQ3019">
        <v>0</v>
      </c>
      <c r="AR3019">
        <v>0</v>
      </c>
      <c r="AS3019">
        <v>2160</v>
      </c>
      <c r="AT3019">
        <v>-432</v>
      </c>
      <c r="AU3019">
        <v>0</v>
      </c>
      <c r="AW3019">
        <v>0</v>
      </c>
      <c r="AX3019">
        <v>0</v>
      </c>
      <c r="AY3019">
        <v>1209.5999999999999</v>
      </c>
      <c r="BC3019" t="str">
        <f>T("9791164480142")</f>
        <v>9791164480142</v>
      </c>
      <c r="BE3019" t="str">
        <f>T("판타지 e북 &gt; 현대 판타지")</f>
        <v>판타지 e북 &gt; 현대 판타지</v>
      </c>
    </row>
    <row r="3020" spans="1:57" x14ac:dyDescent="0.3">
      <c r="A3020">
        <v>1525000001</v>
      </c>
      <c r="B3020">
        <v>1525000011</v>
      </c>
      <c r="C3020" t="str">
        <f>T("[e북]마스터 K 11권")</f>
        <v>[e북]마스터 K 11권</v>
      </c>
      <c r="D3020" t="str">
        <f>T("11")</f>
        <v>11</v>
      </c>
      <c r="E3020" t="str">
        <f>T("김광수")</f>
        <v>김광수</v>
      </c>
      <c r="H3020" t="str">
        <f t="shared" ref="H3020:H3025" si="187">T("스토리위즈")</f>
        <v>스토리위즈</v>
      </c>
      <c r="I3020" t="str">
        <f>T("[e북]마스터 K")</f>
        <v>[e북]마스터 K</v>
      </c>
      <c r="J3020">
        <v>3200</v>
      </c>
      <c r="K3020">
        <v>0</v>
      </c>
      <c r="L3020">
        <v>0</v>
      </c>
      <c r="M3020">
        <v>0</v>
      </c>
      <c r="N3020">
        <v>900</v>
      </c>
      <c r="O3020">
        <v>1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900</v>
      </c>
      <c r="AH3020">
        <v>1</v>
      </c>
      <c r="AI3020">
        <v>0</v>
      </c>
      <c r="AJ3020">
        <v>0</v>
      </c>
      <c r="AK3020">
        <v>900</v>
      </c>
      <c r="AL3020">
        <v>0</v>
      </c>
      <c r="AM3020">
        <v>0</v>
      </c>
      <c r="AN3020">
        <v>0</v>
      </c>
      <c r="AO3020">
        <v>0</v>
      </c>
      <c r="AQ3020">
        <v>0</v>
      </c>
      <c r="AR3020">
        <v>0</v>
      </c>
      <c r="AT3020">
        <v>0</v>
      </c>
      <c r="AU3020">
        <v>0</v>
      </c>
      <c r="AW3020">
        <v>0</v>
      </c>
      <c r="AX3020">
        <v>0</v>
      </c>
      <c r="AY3020">
        <v>630</v>
      </c>
      <c r="BE3020" t="str">
        <f>T("판타지 e북 &gt; 스포츠물")</f>
        <v>판타지 e북 &gt; 스포츠물</v>
      </c>
    </row>
    <row r="3021" spans="1:57" x14ac:dyDescent="0.3">
      <c r="A3021">
        <v>1525004988</v>
      </c>
      <c r="B3021">
        <v>1525005290</v>
      </c>
      <c r="C3021" t="str">
        <f>T("용무쌍 3화")</f>
        <v>용무쌍 3화</v>
      </c>
      <c r="D3021" t="str">
        <f>T("3")</f>
        <v>3</v>
      </c>
      <c r="E3021" t="str">
        <f>T("권용찬")</f>
        <v>권용찬</v>
      </c>
      <c r="H3021" t="str">
        <f t="shared" si="187"/>
        <v>스토리위즈</v>
      </c>
      <c r="I3021" t="str">
        <f>T("용무쌍")</f>
        <v>용무쌍</v>
      </c>
      <c r="J3021">
        <v>0</v>
      </c>
      <c r="K3021">
        <v>0</v>
      </c>
      <c r="L3021">
        <v>0</v>
      </c>
      <c r="M3021">
        <v>2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2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Q3021">
        <v>0</v>
      </c>
      <c r="AR3021">
        <v>0</v>
      </c>
      <c r="AT3021">
        <v>0</v>
      </c>
      <c r="AU3021">
        <v>0</v>
      </c>
      <c r="AW3021">
        <v>0</v>
      </c>
      <c r="AX3021">
        <v>0</v>
      </c>
      <c r="AY3021">
        <v>0</v>
      </c>
      <c r="BC3021" t="str">
        <f>T("9791159284861")</f>
        <v>9791159284861</v>
      </c>
      <c r="BE3021" t="str">
        <f>T("판타지 웹소설 &gt; 무협 소설")</f>
        <v>판타지 웹소설 &gt; 무협 소설</v>
      </c>
    </row>
    <row r="3022" spans="1:57" x14ac:dyDescent="0.3">
      <c r="A3022">
        <v>1525000924</v>
      </c>
      <c r="B3022">
        <v>1525000938</v>
      </c>
      <c r="C3022" t="str">
        <f>T("스피릿 소드 15화")</f>
        <v>스피릿 소드 15화</v>
      </c>
      <c r="D3022" t="str">
        <f>T("15")</f>
        <v>15</v>
      </c>
      <c r="E3022" t="str">
        <f>T("김정률")</f>
        <v>김정률</v>
      </c>
      <c r="H3022" t="str">
        <f t="shared" si="187"/>
        <v>스토리위즈</v>
      </c>
      <c r="I3022" t="str">
        <f>T("스피릿 소드")</f>
        <v>스피릿 소드</v>
      </c>
      <c r="J3022">
        <v>0</v>
      </c>
      <c r="K3022">
        <v>0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1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Q3022">
        <v>0</v>
      </c>
      <c r="AR3022">
        <v>0</v>
      </c>
      <c r="AT3022">
        <v>0</v>
      </c>
      <c r="AU3022">
        <v>0</v>
      </c>
      <c r="AW3022">
        <v>0</v>
      </c>
      <c r="AX3022">
        <v>0</v>
      </c>
      <c r="AY3022">
        <v>0</v>
      </c>
      <c r="BA3022" t="str">
        <f>T("9791159282713")</f>
        <v>9791159282713</v>
      </c>
      <c r="BC3022" t="str">
        <f>T("9791159282713")</f>
        <v>9791159282713</v>
      </c>
      <c r="BE3022" t="str">
        <f>T("판타지 웹소설 &gt; 정통 판타지")</f>
        <v>판타지 웹소설 &gt; 정통 판타지</v>
      </c>
    </row>
    <row r="3023" spans="1:57" x14ac:dyDescent="0.3">
      <c r="A3023">
        <v>1525002692</v>
      </c>
      <c r="B3023">
        <v>1525002695</v>
      </c>
      <c r="C3023" t="str">
        <f>T("신규무사 4화")</f>
        <v>신규무사 4화</v>
      </c>
      <c r="D3023" t="str">
        <f>T("4")</f>
        <v>4</v>
      </c>
      <c r="E3023" t="str">
        <f>T("권용찬")</f>
        <v>권용찬</v>
      </c>
      <c r="H3023" t="str">
        <f t="shared" si="187"/>
        <v>스토리위즈</v>
      </c>
      <c r="I3023" t="str">
        <f>T("신규무사")</f>
        <v>신규무사</v>
      </c>
      <c r="J3023">
        <v>0</v>
      </c>
      <c r="K3023">
        <v>0</v>
      </c>
      <c r="L3023">
        <v>0</v>
      </c>
      <c r="M3023">
        <v>1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1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Q3023">
        <v>0</v>
      </c>
      <c r="AR3023">
        <v>0</v>
      </c>
      <c r="AT3023">
        <v>0</v>
      </c>
      <c r="AU3023">
        <v>0</v>
      </c>
      <c r="AW3023">
        <v>0</v>
      </c>
      <c r="AX3023">
        <v>0</v>
      </c>
      <c r="AY3023">
        <v>0</v>
      </c>
      <c r="BC3023" t="str">
        <f>T("9791159287480")</f>
        <v>9791159287480</v>
      </c>
      <c r="BE3023" t="str">
        <f>T("판타지 웹소설 &gt; 무협 소설")</f>
        <v>판타지 웹소설 &gt; 무협 소설</v>
      </c>
    </row>
    <row r="3024" spans="1:57" x14ac:dyDescent="0.3">
      <c r="A3024">
        <v>1525000055</v>
      </c>
      <c r="B3024">
        <v>1525000055</v>
      </c>
      <c r="C3024" t="str">
        <f>T("[e북]21세기 대마법사 1권")</f>
        <v>[e북]21세기 대마법사 1권</v>
      </c>
      <c r="D3024" t="str">
        <f>T("1")</f>
        <v>1</v>
      </c>
      <c r="E3024" t="str">
        <f>T("김광수")</f>
        <v>김광수</v>
      </c>
      <c r="H3024" t="str">
        <f t="shared" si="187"/>
        <v>스토리위즈</v>
      </c>
      <c r="I3024" t="str">
        <f>T("[e북]21세기 대마법사")</f>
        <v>[e북]21세기 대마법사</v>
      </c>
      <c r="J3024">
        <v>0</v>
      </c>
      <c r="K3024">
        <v>0</v>
      </c>
      <c r="L3024">
        <v>0</v>
      </c>
      <c r="M3024">
        <v>4</v>
      </c>
      <c r="N3024">
        <v>0</v>
      </c>
      <c r="O3024">
        <v>0</v>
      </c>
      <c r="P3024">
        <v>17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21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Q3024">
        <v>0</v>
      </c>
      <c r="AR3024">
        <v>0</v>
      </c>
      <c r="AT3024">
        <v>0</v>
      </c>
      <c r="AU3024">
        <v>0</v>
      </c>
      <c r="AW3024">
        <v>0</v>
      </c>
      <c r="AX3024">
        <v>0</v>
      </c>
      <c r="AY3024">
        <v>0</v>
      </c>
      <c r="BC3024" t="str">
        <f>T("9788925116105")</f>
        <v>9788925116105</v>
      </c>
      <c r="BE3024" t="str">
        <f>T("판타지 e북 &gt; 퓨전 판타지")</f>
        <v>판타지 e북 &gt; 퓨전 판타지</v>
      </c>
    </row>
    <row r="3025" spans="1:57" x14ac:dyDescent="0.3">
      <c r="A3025">
        <v>1525004030</v>
      </c>
      <c r="B3025">
        <v>1525004044</v>
      </c>
      <c r="C3025" t="str">
        <f>T("회귀의 전설 15화")</f>
        <v>회귀의 전설 15화</v>
      </c>
      <c r="D3025" t="str">
        <f>T("15")</f>
        <v>15</v>
      </c>
      <c r="E3025" t="str">
        <f>T("김광수")</f>
        <v>김광수</v>
      </c>
      <c r="H3025" t="str">
        <f t="shared" si="187"/>
        <v>스토리위즈</v>
      </c>
      <c r="I3025" t="str">
        <f>T("회귀의 전설")</f>
        <v>회귀의 전설</v>
      </c>
      <c r="J3025">
        <v>0</v>
      </c>
      <c r="K3025">
        <v>0</v>
      </c>
      <c r="L3025">
        <v>0</v>
      </c>
      <c r="M3025">
        <v>6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6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Q3025">
        <v>0</v>
      </c>
      <c r="AR3025">
        <v>0</v>
      </c>
      <c r="AT3025">
        <v>0</v>
      </c>
      <c r="AU3025">
        <v>0</v>
      </c>
      <c r="AW3025">
        <v>0</v>
      </c>
      <c r="AX3025">
        <v>0</v>
      </c>
      <c r="AY3025">
        <v>0</v>
      </c>
      <c r="BC3025" t="str">
        <f>T("9788997946006")</f>
        <v>9788997946006</v>
      </c>
      <c r="BE3025" t="str">
        <f>T("판타지 웹소설 &gt; 현대 판타지")</f>
        <v>판타지 웹소설 &gt; 현대 판타지</v>
      </c>
    </row>
    <row r="3026" spans="1:57" x14ac:dyDescent="0.3">
      <c r="A3026">
        <v>1525014780</v>
      </c>
      <c r="B3026">
        <v>1525014784</v>
      </c>
      <c r="C3026" t="str">
        <f>T("크랭키 걸즈 5화")</f>
        <v>크랭키 걸즈 5화</v>
      </c>
      <c r="D3026" t="str">
        <f>T("5")</f>
        <v>5</v>
      </c>
      <c r="E3026" t="str">
        <f>T("곽도우")</f>
        <v>곽도우</v>
      </c>
      <c r="H3026" t="str">
        <f>T("스토리아크")</f>
        <v>스토리아크</v>
      </c>
      <c r="I3026" t="str">
        <f>T("크랭키 걸즈")</f>
        <v>크랭키 걸즈</v>
      </c>
      <c r="J3026">
        <v>0</v>
      </c>
      <c r="K3026">
        <v>0</v>
      </c>
      <c r="L3026">
        <v>0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Q3026">
        <v>0</v>
      </c>
      <c r="AR3026">
        <v>0</v>
      </c>
      <c r="AT3026">
        <v>0</v>
      </c>
      <c r="AU3026">
        <v>0</v>
      </c>
      <c r="AW3026">
        <v>0</v>
      </c>
      <c r="AX3026">
        <v>0</v>
      </c>
      <c r="AY3026">
        <v>0</v>
      </c>
      <c r="BC3026" t="str">
        <f>T("9791191039276")</f>
        <v>9791191039276</v>
      </c>
      <c r="BE3026" t="str">
        <f>T("판타지 웹소설 &gt; 현대 판타지")</f>
        <v>판타지 웹소설 &gt; 현대 판타지</v>
      </c>
    </row>
    <row r="3027" spans="1:57" x14ac:dyDescent="0.3">
      <c r="A3027">
        <v>1525001540</v>
      </c>
      <c r="B3027">
        <v>1525001540</v>
      </c>
      <c r="C3027" t="str">
        <f>T("[e북]철중쟁쟁 1권")</f>
        <v>[e북]철중쟁쟁 1권</v>
      </c>
      <c r="D3027" t="str">
        <f>T("1")</f>
        <v>1</v>
      </c>
      <c r="E3027" t="str">
        <f>T("권용찬")</f>
        <v>권용찬</v>
      </c>
      <c r="H3027" t="str">
        <f>T("스토리위즈")</f>
        <v>스토리위즈</v>
      </c>
      <c r="I3027" t="str">
        <f>T("[e북]철중쟁쟁")</f>
        <v>[e북]철중쟁쟁</v>
      </c>
      <c r="J3027">
        <v>0</v>
      </c>
      <c r="K3027">
        <v>0</v>
      </c>
      <c r="L3027">
        <v>0</v>
      </c>
      <c r="M3027">
        <v>4</v>
      </c>
      <c r="N3027">
        <v>0</v>
      </c>
      <c r="O3027">
        <v>0</v>
      </c>
      <c r="P3027">
        <v>5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9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Q3027">
        <v>0</v>
      </c>
      <c r="AR3027">
        <v>0</v>
      </c>
      <c r="AT3027">
        <v>0</v>
      </c>
      <c r="AU3027">
        <v>0</v>
      </c>
      <c r="AW3027">
        <v>0</v>
      </c>
      <c r="AX3027">
        <v>0</v>
      </c>
      <c r="AY3027">
        <v>0</v>
      </c>
      <c r="BC3027" t="str">
        <f>T("9791159282270")</f>
        <v>9791159282270</v>
      </c>
      <c r="BE3027" t="str">
        <f>T("판타지 e북 &gt; 전통 무협")</f>
        <v>판타지 e북 &gt; 전통 무협</v>
      </c>
    </row>
    <row r="3028" spans="1:57" x14ac:dyDescent="0.3">
      <c r="A3028">
        <v>1525002864</v>
      </c>
      <c r="B3028">
        <v>1525002869</v>
      </c>
      <c r="C3028" t="str">
        <f>T("소드마스터의 환생 6화")</f>
        <v>소드마스터의 환생 6화</v>
      </c>
      <c r="D3028" t="str">
        <f>T("6")</f>
        <v>6</v>
      </c>
      <c r="E3028" t="str">
        <f>T("파란영")</f>
        <v>파란영</v>
      </c>
      <c r="H3028" t="str">
        <f>T("스토리위즈")</f>
        <v>스토리위즈</v>
      </c>
      <c r="I3028" t="str">
        <f>T("소드마스터의 환생")</f>
        <v>소드마스터의 환생</v>
      </c>
      <c r="J3028">
        <v>0</v>
      </c>
      <c r="K3028">
        <v>0</v>
      </c>
      <c r="L3028">
        <v>0</v>
      </c>
      <c r="M3028">
        <v>4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4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Q3028">
        <v>0</v>
      </c>
      <c r="AR3028">
        <v>0</v>
      </c>
      <c r="AT3028">
        <v>0</v>
      </c>
      <c r="AU3028">
        <v>0</v>
      </c>
      <c r="AW3028">
        <v>0</v>
      </c>
      <c r="AX3028">
        <v>0</v>
      </c>
      <c r="AY3028">
        <v>0</v>
      </c>
      <c r="BC3028" t="str">
        <f>T("9791159287527")</f>
        <v>9791159287527</v>
      </c>
      <c r="BE3028" t="str">
        <f>T("판타지 웹소설 &gt; 정통 판타지")</f>
        <v>판타지 웹소설 &gt; 정통 판타지</v>
      </c>
    </row>
    <row r="3029" spans="1:57" x14ac:dyDescent="0.3">
      <c r="A3029">
        <v>1525007923</v>
      </c>
      <c r="B3029">
        <v>1525007945</v>
      </c>
      <c r="C3029" t="str">
        <f>T("운상연담: 화불능귀일락 3화")</f>
        <v>운상연담: 화불능귀일락 3화</v>
      </c>
      <c r="D3029" t="str">
        <f>T("3")</f>
        <v>3</v>
      </c>
      <c r="E3029" t="str">
        <f>T("피모")</f>
        <v>피모</v>
      </c>
      <c r="H3029" t="str">
        <f>T("쉬라즈")</f>
        <v>쉬라즈</v>
      </c>
      <c r="I3029" t="str">
        <f>T("운상연담: 화불능귀일락")</f>
        <v>운상연담: 화불능귀일락</v>
      </c>
      <c r="J3029">
        <v>0</v>
      </c>
      <c r="K3029">
        <v>0</v>
      </c>
      <c r="L3029">
        <v>0</v>
      </c>
      <c r="M3029">
        <v>3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3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Q3029">
        <v>0</v>
      </c>
      <c r="AR3029">
        <v>0</v>
      </c>
      <c r="AT3029">
        <v>0</v>
      </c>
      <c r="AU3029">
        <v>0</v>
      </c>
      <c r="AW3029">
        <v>0</v>
      </c>
      <c r="AX3029">
        <v>0</v>
      </c>
      <c r="AY3029">
        <v>0</v>
      </c>
      <c r="BC3029" t="str">
        <f>T("9791164896646")</f>
        <v>9791164896646</v>
      </c>
      <c r="BE3029" t="str">
        <f>T("로맨스 웹소설 &gt; 역사/시대물")</f>
        <v>로맨스 웹소설 &gt; 역사/시대물</v>
      </c>
    </row>
    <row r="3030" spans="1:57" x14ac:dyDescent="0.3">
      <c r="A3030">
        <v>1525001317</v>
      </c>
      <c r="B3030">
        <v>1525001318</v>
      </c>
      <c r="C3030" t="str">
        <f>T("[e북]완전판 | 스트라이커 2권")</f>
        <v>[e북]완전판 | 스트라이커 2권</v>
      </c>
      <c r="D3030" t="str">
        <f>T("2")</f>
        <v>2</v>
      </c>
      <c r="E3030" t="str">
        <f>T("독고진")</f>
        <v>독고진</v>
      </c>
      <c r="H3030" t="str">
        <f>T("스토리위즈")</f>
        <v>스토리위즈</v>
      </c>
      <c r="I3030" t="str">
        <f>T("[e북]완전판 | 스트라이커")</f>
        <v>[e북]완전판 | 스트라이커</v>
      </c>
      <c r="J3030">
        <v>3200</v>
      </c>
      <c r="K3030">
        <v>0</v>
      </c>
      <c r="L3030">
        <v>0</v>
      </c>
      <c r="M3030">
        <v>0</v>
      </c>
      <c r="N3030">
        <v>3600</v>
      </c>
      <c r="O3030">
        <v>4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3600</v>
      </c>
      <c r="AH3030">
        <v>4</v>
      </c>
      <c r="AI3030">
        <v>0</v>
      </c>
      <c r="AJ3030">
        <v>0</v>
      </c>
      <c r="AK3030">
        <v>2700</v>
      </c>
      <c r="AL3030">
        <v>0</v>
      </c>
      <c r="AM3030">
        <v>1080</v>
      </c>
      <c r="AN3030">
        <v>-324</v>
      </c>
      <c r="AO3030">
        <v>0</v>
      </c>
      <c r="AQ3030">
        <v>0</v>
      </c>
      <c r="AR3030">
        <v>0</v>
      </c>
      <c r="AS3030">
        <v>1080</v>
      </c>
      <c r="AT3030">
        <v>-324</v>
      </c>
      <c r="AU3030">
        <v>0</v>
      </c>
      <c r="AW3030">
        <v>0</v>
      </c>
      <c r="AX3030">
        <v>0</v>
      </c>
      <c r="AY3030">
        <v>2419.1999999999998</v>
      </c>
      <c r="BA3030" t="str">
        <f>T("9791159282843")</f>
        <v>9791159282843</v>
      </c>
      <c r="BC3030" t="str">
        <f>T("9791159282843")</f>
        <v>9791159282843</v>
      </c>
      <c r="BE3030" t="str">
        <f>T("판타지 e북 &gt; 스포츠물")</f>
        <v>판타지 e북 &gt; 스포츠물</v>
      </c>
    </row>
    <row r="3031" spans="1:57" x14ac:dyDescent="0.3">
      <c r="A3031">
        <v>1525000209</v>
      </c>
      <c r="B3031">
        <v>1525000211</v>
      </c>
      <c r="C3031" t="str">
        <f>T("[e북]독종무쌍 3권")</f>
        <v>[e북]독종무쌍 3권</v>
      </c>
      <c r="D3031" t="str">
        <f>T("3")</f>
        <v>3</v>
      </c>
      <c r="E3031" t="str">
        <f>T("전혁")</f>
        <v>전혁</v>
      </c>
      <c r="H3031" t="str">
        <f>T("스토리위즈")</f>
        <v>스토리위즈</v>
      </c>
      <c r="I3031" t="str">
        <f>T("[e북]독종무쌍")</f>
        <v>[e북]독종무쌍</v>
      </c>
      <c r="J3031">
        <v>3200</v>
      </c>
      <c r="K3031">
        <v>0</v>
      </c>
      <c r="L3031">
        <v>0</v>
      </c>
      <c r="M3031">
        <v>0</v>
      </c>
      <c r="N3031">
        <v>900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900</v>
      </c>
      <c r="AH3031">
        <v>1</v>
      </c>
      <c r="AI3031">
        <v>0</v>
      </c>
      <c r="AJ3031">
        <v>0</v>
      </c>
      <c r="AK3031">
        <v>0</v>
      </c>
      <c r="AL3031">
        <v>0</v>
      </c>
      <c r="AM3031">
        <v>1080</v>
      </c>
      <c r="AN3031">
        <v>-108</v>
      </c>
      <c r="AO3031">
        <v>0</v>
      </c>
      <c r="AQ3031">
        <v>0</v>
      </c>
      <c r="AR3031">
        <v>0</v>
      </c>
      <c r="AS3031">
        <v>1080</v>
      </c>
      <c r="AT3031">
        <v>-108</v>
      </c>
      <c r="AU3031">
        <v>0</v>
      </c>
      <c r="AW3031">
        <v>0</v>
      </c>
      <c r="AX3031">
        <v>0</v>
      </c>
      <c r="AY3031">
        <v>680.4</v>
      </c>
      <c r="BC3031" t="str">
        <f>T("9791195310050")</f>
        <v>9791195310050</v>
      </c>
      <c r="BE3031" t="str">
        <f>T("판타지 e북 &gt; 신무협")</f>
        <v>판타지 e북 &gt; 신무협</v>
      </c>
    </row>
    <row r="3032" spans="1:57" x14ac:dyDescent="0.3">
      <c r="A3032">
        <v>1525014938</v>
      </c>
      <c r="B3032">
        <v>1525014938</v>
      </c>
      <c r="C3032" t="str">
        <f>T("우리는 아직 죽지 않았다 1화")</f>
        <v>우리는 아직 죽지 않았다 1화</v>
      </c>
      <c r="D3032" t="str">
        <f>T("1")</f>
        <v>1</v>
      </c>
      <c r="E3032" t="str">
        <f>T("라이큐")</f>
        <v>라이큐</v>
      </c>
      <c r="H3032" t="str">
        <f>T("스토리아크")</f>
        <v>스토리아크</v>
      </c>
      <c r="I3032" t="str">
        <f>T("우리는 아직 죽지 않았다")</f>
        <v>우리는 아직 죽지 않았다</v>
      </c>
      <c r="J3032">
        <v>0</v>
      </c>
      <c r="K3032">
        <v>0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1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Q3032">
        <v>0</v>
      </c>
      <c r="AR3032">
        <v>0</v>
      </c>
      <c r="AT3032">
        <v>0</v>
      </c>
      <c r="AU3032">
        <v>0</v>
      </c>
      <c r="AW3032">
        <v>0</v>
      </c>
      <c r="AX3032">
        <v>0</v>
      </c>
      <c r="AY3032">
        <v>0</v>
      </c>
      <c r="BC3032" t="str">
        <f>T("9791191039092")</f>
        <v>9791191039092</v>
      </c>
      <c r="BE3032" t="str">
        <f>T("판타지 웹소설 &gt; 현대 판타지")</f>
        <v>판타지 웹소설 &gt; 현대 판타지</v>
      </c>
    </row>
    <row r="3033" spans="1:57" x14ac:dyDescent="0.3">
      <c r="A3033">
        <v>1525001908</v>
      </c>
      <c r="B3033">
        <v>1525001911</v>
      </c>
      <c r="C3033" t="str">
        <f>T("[e북]상왕 진우몽 4권")</f>
        <v>[e북]상왕 진우몽 4권</v>
      </c>
      <c r="D3033" t="str">
        <f>T("4")</f>
        <v>4</v>
      </c>
      <c r="E3033" t="str">
        <f>T("권용찬")</f>
        <v>권용찬</v>
      </c>
      <c r="H3033" t="str">
        <f>T("스토리위즈")</f>
        <v>스토리위즈</v>
      </c>
      <c r="I3033" t="str">
        <f>T("[e북]상왕 진우몽")</f>
        <v>[e북]상왕 진우몽</v>
      </c>
      <c r="J3033">
        <v>3200</v>
      </c>
      <c r="K3033">
        <v>0</v>
      </c>
      <c r="L3033">
        <v>0</v>
      </c>
      <c r="M3033">
        <v>0</v>
      </c>
      <c r="N3033">
        <v>900</v>
      </c>
      <c r="O3033">
        <v>1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900</v>
      </c>
      <c r="AH3033">
        <v>1</v>
      </c>
      <c r="AI3033">
        <v>0</v>
      </c>
      <c r="AJ3033">
        <v>0</v>
      </c>
      <c r="AK3033">
        <v>900</v>
      </c>
      <c r="AL3033">
        <v>0</v>
      </c>
      <c r="AM3033">
        <v>0</v>
      </c>
      <c r="AN3033">
        <v>0</v>
      </c>
      <c r="AO3033">
        <v>0</v>
      </c>
      <c r="AQ3033">
        <v>0</v>
      </c>
      <c r="AR3033">
        <v>0</v>
      </c>
      <c r="AT3033">
        <v>0</v>
      </c>
      <c r="AU3033">
        <v>0</v>
      </c>
      <c r="AW3033">
        <v>0</v>
      </c>
      <c r="AX3033">
        <v>0</v>
      </c>
      <c r="AY3033">
        <v>630</v>
      </c>
      <c r="BC3033" t="str">
        <f>T("9791159285868")</f>
        <v>9791159285868</v>
      </c>
      <c r="BE3033" t="str">
        <f>T("판타지 e북 &gt; 신무협")</f>
        <v>판타지 e북 &gt; 신무협</v>
      </c>
    </row>
    <row r="3034" spans="1:57" x14ac:dyDescent="0.3">
      <c r="A3034">
        <v>1525013020</v>
      </c>
      <c r="B3034">
        <v>1525013026</v>
      </c>
      <c r="C3034" t="str">
        <f>T("악당의 리턴 7화")</f>
        <v>악당의 리턴 7화</v>
      </c>
      <c r="D3034" t="str">
        <f>T("7")</f>
        <v>7</v>
      </c>
      <c r="E3034" t="str">
        <f>T("백범(白帆)")</f>
        <v>백범(白帆)</v>
      </c>
      <c r="H3034" t="str">
        <f>T("에필로그")</f>
        <v>에필로그</v>
      </c>
      <c r="I3034" t="str">
        <f>T("악당의 리턴")</f>
        <v>악당의 리턴</v>
      </c>
      <c r="J3034">
        <v>0</v>
      </c>
      <c r="K3034">
        <v>0</v>
      </c>
      <c r="L3034">
        <v>0</v>
      </c>
      <c r="M3034">
        <v>6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6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Q3034">
        <v>0</v>
      </c>
      <c r="AR3034">
        <v>0</v>
      </c>
      <c r="AT3034">
        <v>0</v>
      </c>
      <c r="AU3034">
        <v>0</v>
      </c>
      <c r="AW3034">
        <v>0</v>
      </c>
      <c r="AX3034">
        <v>0</v>
      </c>
      <c r="AY3034">
        <v>0</v>
      </c>
      <c r="BC3034" t="str">
        <f>T("9791196538927")</f>
        <v>9791196538927</v>
      </c>
      <c r="BE3034" t="str">
        <f>T("판타지 웹소설 &gt; 현대 판타지")</f>
        <v>판타지 웹소설 &gt; 현대 판타지</v>
      </c>
    </row>
    <row r="3035" spans="1:57" x14ac:dyDescent="0.3">
      <c r="A3035">
        <v>1525000411</v>
      </c>
      <c r="B3035">
        <v>1525000427</v>
      </c>
      <c r="C3035" t="str">
        <f>T("레이드 만물상점 17화")</f>
        <v>레이드 만물상점 17화</v>
      </c>
      <c r="D3035" t="str">
        <f>T("17")</f>
        <v>17</v>
      </c>
      <c r="E3035" t="str">
        <f>T("전혁")</f>
        <v>전혁</v>
      </c>
      <c r="H3035" t="str">
        <f>T("스토리위즈")</f>
        <v>스토리위즈</v>
      </c>
      <c r="I3035" t="str">
        <f>T("레이드 만물상점")</f>
        <v>레이드 만물상점</v>
      </c>
      <c r="J3035">
        <v>0</v>
      </c>
      <c r="K3035">
        <v>0</v>
      </c>
      <c r="L3035">
        <v>0</v>
      </c>
      <c r="M3035">
        <v>1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1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Q3035">
        <v>0</v>
      </c>
      <c r="AR3035">
        <v>0</v>
      </c>
      <c r="AT3035">
        <v>0</v>
      </c>
      <c r="AU3035">
        <v>0</v>
      </c>
      <c r="AW3035">
        <v>0</v>
      </c>
      <c r="AX3035">
        <v>0</v>
      </c>
      <c r="AY3035">
        <v>0</v>
      </c>
      <c r="BC3035" t="str">
        <f>T("9791170151432")</f>
        <v>9791170151432</v>
      </c>
      <c r="BE3035" t="str">
        <f>T("판타지 웹소설 &gt; 현대 판타지")</f>
        <v>판타지 웹소설 &gt; 현대 판타지</v>
      </c>
    </row>
    <row r="3036" spans="1:57" x14ac:dyDescent="0.3">
      <c r="A3036">
        <v>1525013320</v>
      </c>
      <c r="B3036">
        <v>1525013323</v>
      </c>
      <c r="C3036" t="str">
        <f>T("[e북]악당의 리턴 4권")</f>
        <v>[e북]악당의 리턴 4권</v>
      </c>
      <c r="D3036" t="str">
        <f>T("4")</f>
        <v>4</v>
      </c>
      <c r="E3036" t="str">
        <f>T("백범(白帆)")</f>
        <v>백범(白帆)</v>
      </c>
      <c r="H3036" t="str">
        <f>T("에필로그")</f>
        <v>에필로그</v>
      </c>
      <c r="I3036" t="str">
        <f>T("[e북]악당의 리턴")</f>
        <v>[e북]악당의 리턴</v>
      </c>
      <c r="J3036">
        <v>3200</v>
      </c>
      <c r="K3036">
        <v>0</v>
      </c>
      <c r="L3036">
        <v>0</v>
      </c>
      <c r="M3036">
        <v>0</v>
      </c>
      <c r="N3036">
        <v>1800</v>
      </c>
      <c r="O3036">
        <v>2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1800</v>
      </c>
      <c r="AH3036">
        <v>2</v>
      </c>
      <c r="AI3036">
        <v>0</v>
      </c>
      <c r="AJ3036">
        <v>0</v>
      </c>
      <c r="AK3036">
        <v>1800</v>
      </c>
      <c r="AL3036">
        <v>0</v>
      </c>
      <c r="AM3036">
        <v>0</v>
      </c>
      <c r="AN3036">
        <v>0</v>
      </c>
      <c r="AO3036">
        <v>0</v>
      </c>
      <c r="AQ3036">
        <v>0</v>
      </c>
      <c r="AR3036">
        <v>0</v>
      </c>
      <c r="AT3036">
        <v>0</v>
      </c>
      <c r="AU3036">
        <v>0</v>
      </c>
      <c r="AW3036">
        <v>0</v>
      </c>
      <c r="AX3036">
        <v>0</v>
      </c>
      <c r="AY3036">
        <v>1260</v>
      </c>
      <c r="BC3036" t="str">
        <f>T("9791164482894")</f>
        <v>9791164482894</v>
      </c>
      <c r="BE3036" t="str">
        <f>T("판타지 e북 &gt; 현대 판타지")</f>
        <v>판타지 e북 &gt; 현대 판타지</v>
      </c>
    </row>
    <row r="3037" spans="1:57" x14ac:dyDescent="0.3">
      <c r="A3037">
        <v>1525010944</v>
      </c>
      <c r="B3037">
        <v>1525010927</v>
      </c>
      <c r="C3037" t="str">
        <f>T("[e북]법보다 주먹 18권")</f>
        <v>[e북]법보다 주먹 18권</v>
      </c>
      <c r="D3037" t="str">
        <f>T("18")</f>
        <v>18</v>
      </c>
      <c r="E3037" t="str">
        <f>T("백범(白帆)")</f>
        <v>백범(白帆)</v>
      </c>
      <c r="H3037" t="str">
        <f>T("에필로그")</f>
        <v>에필로그</v>
      </c>
      <c r="I3037" t="str">
        <f>T("[e북]법보다 주먹")</f>
        <v>[e북]법보다 주먹</v>
      </c>
      <c r="J3037">
        <v>2000</v>
      </c>
      <c r="K3037">
        <v>0</v>
      </c>
      <c r="L3037">
        <v>0</v>
      </c>
      <c r="M3037">
        <v>0</v>
      </c>
      <c r="N3037">
        <v>1800</v>
      </c>
      <c r="O3037">
        <v>2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1800</v>
      </c>
      <c r="AH3037">
        <v>2</v>
      </c>
      <c r="AI3037">
        <v>0</v>
      </c>
      <c r="AJ3037">
        <v>0</v>
      </c>
      <c r="AK3037">
        <v>900</v>
      </c>
      <c r="AL3037">
        <v>0</v>
      </c>
      <c r="AM3037">
        <v>1080</v>
      </c>
      <c r="AN3037">
        <v>-324</v>
      </c>
      <c r="AO3037">
        <v>0</v>
      </c>
      <c r="AQ3037">
        <v>0</v>
      </c>
      <c r="AR3037">
        <v>0</v>
      </c>
      <c r="AS3037">
        <v>1080</v>
      </c>
      <c r="AT3037">
        <v>-324</v>
      </c>
      <c r="AU3037">
        <v>0</v>
      </c>
      <c r="AW3037">
        <v>0</v>
      </c>
      <c r="AX3037">
        <v>0</v>
      </c>
      <c r="AY3037">
        <v>1159.2</v>
      </c>
      <c r="BC3037" t="str">
        <f>T("9791164480142")</f>
        <v>9791164480142</v>
      </c>
      <c r="BE3037" t="str">
        <f>T("판타지 e북 &gt; 현대 판타지")</f>
        <v>판타지 e북 &gt; 현대 판타지</v>
      </c>
    </row>
    <row r="3038" spans="1:57" x14ac:dyDescent="0.3">
      <c r="A3038">
        <v>1525010579</v>
      </c>
      <c r="B3038">
        <v>1525010556</v>
      </c>
      <c r="C3038" t="str">
        <f>T("법보다 주먹 22화")</f>
        <v>법보다 주먹 22화</v>
      </c>
      <c r="D3038" t="str">
        <f>T("22")</f>
        <v>22</v>
      </c>
      <c r="E3038" t="str">
        <f>T("백범(白帆)")</f>
        <v>백범(白帆)</v>
      </c>
      <c r="H3038" t="str">
        <f>T("에필로그")</f>
        <v>에필로그</v>
      </c>
      <c r="I3038" t="str">
        <f>T("법보다 주먹")</f>
        <v>법보다 주먹</v>
      </c>
      <c r="J3038">
        <v>0</v>
      </c>
      <c r="K3038">
        <v>0</v>
      </c>
      <c r="L3038">
        <v>0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1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Q3038">
        <v>0</v>
      </c>
      <c r="AR3038">
        <v>0</v>
      </c>
      <c r="AT3038">
        <v>0</v>
      </c>
      <c r="AU3038">
        <v>0</v>
      </c>
      <c r="AW3038">
        <v>0</v>
      </c>
      <c r="AX3038">
        <v>0</v>
      </c>
      <c r="AY3038">
        <v>0</v>
      </c>
      <c r="BC3038" t="str">
        <f>T("9791164489367")</f>
        <v>9791164489367</v>
      </c>
      <c r="BE3038" t="str">
        <f>T("판타지 웹소설 &gt; 현대 판타지")</f>
        <v>판타지 웹소설 &gt; 현대 판타지</v>
      </c>
    </row>
    <row r="3039" spans="1:57" x14ac:dyDescent="0.3">
      <c r="A3039">
        <v>1525000199</v>
      </c>
      <c r="B3039">
        <v>1525000206</v>
      </c>
      <c r="C3039" t="str">
        <f>T("[e북]화산지애 8권")</f>
        <v>[e북]화산지애 8권</v>
      </c>
      <c r="D3039" t="str">
        <f>T("8")</f>
        <v>8</v>
      </c>
      <c r="E3039" t="str">
        <f>T("김광수")</f>
        <v>김광수</v>
      </c>
      <c r="H3039" t="str">
        <f>T("스토리위즈")</f>
        <v>스토리위즈</v>
      </c>
      <c r="I3039" t="str">
        <f>T("[e북]화산지애")</f>
        <v>[e북]화산지애</v>
      </c>
      <c r="J3039">
        <v>3200</v>
      </c>
      <c r="K3039">
        <v>0</v>
      </c>
      <c r="L3039">
        <v>0</v>
      </c>
      <c r="M3039">
        <v>0</v>
      </c>
      <c r="N3039">
        <v>900</v>
      </c>
      <c r="O3039">
        <v>1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900</v>
      </c>
      <c r="AH3039">
        <v>1</v>
      </c>
      <c r="AI3039">
        <v>0</v>
      </c>
      <c r="AJ3039">
        <v>0</v>
      </c>
      <c r="AK3039">
        <v>900</v>
      </c>
      <c r="AL3039">
        <v>0</v>
      </c>
      <c r="AM3039">
        <v>0</v>
      </c>
      <c r="AN3039">
        <v>0</v>
      </c>
      <c r="AO3039">
        <v>0</v>
      </c>
      <c r="AQ3039">
        <v>0</v>
      </c>
      <c r="AR3039">
        <v>0</v>
      </c>
      <c r="AT3039">
        <v>0</v>
      </c>
      <c r="AU3039">
        <v>0</v>
      </c>
      <c r="AW3039">
        <v>0</v>
      </c>
      <c r="AX3039">
        <v>0</v>
      </c>
      <c r="AY3039">
        <v>630</v>
      </c>
      <c r="BE3039" t="str">
        <f>T("판타지 e북 &gt; 신무협")</f>
        <v>판타지 e북 &gt; 신무협</v>
      </c>
    </row>
    <row r="3040" spans="1:57" x14ac:dyDescent="0.3">
      <c r="A3040">
        <v>1525000924</v>
      </c>
      <c r="B3040">
        <v>1525000927</v>
      </c>
      <c r="C3040" t="str">
        <f>T("스피릿 소드 4화")</f>
        <v>스피릿 소드 4화</v>
      </c>
      <c r="D3040" t="str">
        <f>T("4")</f>
        <v>4</v>
      </c>
      <c r="E3040" t="str">
        <f>T("김정률")</f>
        <v>김정률</v>
      </c>
      <c r="H3040" t="str">
        <f>T("스토리위즈")</f>
        <v>스토리위즈</v>
      </c>
      <c r="I3040" t="str">
        <f>T("스피릿 소드")</f>
        <v>스피릿 소드</v>
      </c>
      <c r="J3040">
        <v>0</v>
      </c>
      <c r="K3040">
        <v>0</v>
      </c>
      <c r="L3040">
        <v>0</v>
      </c>
      <c r="M3040">
        <v>1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1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Q3040">
        <v>0</v>
      </c>
      <c r="AR3040">
        <v>0</v>
      </c>
      <c r="AT3040">
        <v>0</v>
      </c>
      <c r="AU3040">
        <v>0</v>
      </c>
      <c r="AW3040">
        <v>0</v>
      </c>
      <c r="AX3040">
        <v>0</v>
      </c>
      <c r="AY3040">
        <v>0</v>
      </c>
      <c r="BA3040" t="str">
        <f>T("9791159282713")</f>
        <v>9791159282713</v>
      </c>
      <c r="BC3040" t="str">
        <f>T("9791159282713")</f>
        <v>9791159282713</v>
      </c>
      <c r="BE3040" t="str">
        <f>T("판타지 웹소설 &gt; 정통 판타지")</f>
        <v>판타지 웹소설 &gt; 정통 판타지</v>
      </c>
    </row>
    <row r="3041" spans="1:57" x14ac:dyDescent="0.3">
      <c r="A3041">
        <v>1525012202</v>
      </c>
      <c r="B3041">
        <v>1525012202</v>
      </c>
      <c r="C3041" t="str">
        <f>T("이세계 최강 군바리 1화")</f>
        <v>이세계 최강 군바리 1화</v>
      </c>
      <c r="D3041" t="str">
        <f>T("1")</f>
        <v>1</v>
      </c>
      <c r="E3041" t="str">
        <f>T("협행마")</f>
        <v>협행마</v>
      </c>
      <c r="H3041" t="str">
        <f>T("에필로그")</f>
        <v>에필로그</v>
      </c>
      <c r="I3041" t="str">
        <f>T("이세계 최강 군바리")</f>
        <v>이세계 최강 군바리</v>
      </c>
      <c r="J3041">
        <v>0</v>
      </c>
      <c r="K3041">
        <v>0</v>
      </c>
      <c r="L3041">
        <v>0</v>
      </c>
      <c r="M3041">
        <v>2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2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Q3041">
        <v>0</v>
      </c>
      <c r="AR3041">
        <v>0</v>
      </c>
      <c r="AT3041">
        <v>0</v>
      </c>
      <c r="AU3041">
        <v>0</v>
      </c>
      <c r="AW3041">
        <v>0</v>
      </c>
      <c r="AX3041">
        <v>0</v>
      </c>
      <c r="AY3041">
        <v>0</v>
      </c>
      <c r="BC3041" t="str">
        <f>T("9791164480159")</f>
        <v>9791164480159</v>
      </c>
      <c r="BE3041" t="str">
        <f>T("판타지 웹소설 &gt; 퓨전 판타지")</f>
        <v>판타지 웹소설 &gt; 퓨전 판타지</v>
      </c>
    </row>
    <row r="3042" spans="1:57" x14ac:dyDescent="0.3">
      <c r="A3042">
        <v>1525000569</v>
      </c>
      <c r="B3042">
        <v>1525000592</v>
      </c>
      <c r="C3042" t="str">
        <f>T("스트라이커 24화")</f>
        <v>스트라이커 24화</v>
      </c>
      <c r="D3042" t="str">
        <f>T("24")</f>
        <v>24</v>
      </c>
      <c r="E3042" t="str">
        <f>T("독고진")</f>
        <v>독고진</v>
      </c>
      <c r="H3042" t="str">
        <f>T("스토리위즈")</f>
        <v>스토리위즈</v>
      </c>
      <c r="I3042" t="str">
        <f>T("스트라이커")</f>
        <v>스트라이커</v>
      </c>
      <c r="J3042">
        <v>0</v>
      </c>
      <c r="K3042">
        <v>0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1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Q3042">
        <v>0</v>
      </c>
      <c r="AR3042">
        <v>0</v>
      </c>
      <c r="AT3042">
        <v>0</v>
      </c>
      <c r="AU3042">
        <v>0</v>
      </c>
      <c r="AW3042">
        <v>0</v>
      </c>
      <c r="AX3042">
        <v>0</v>
      </c>
      <c r="AY3042">
        <v>0</v>
      </c>
      <c r="BC3042" t="str">
        <f>T("9791170151678")</f>
        <v>9791170151678</v>
      </c>
      <c r="BE3042" t="str">
        <f>T("판타지 웹소설 &gt; 현대 판타지")</f>
        <v>판타지 웹소설 &gt; 현대 판타지</v>
      </c>
    </row>
    <row r="3043" spans="1:57" x14ac:dyDescent="0.3">
      <c r="A3043">
        <v>1525000022</v>
      </c>
      <c r="B3043">
        <v>1525000042</v>
      </c>
      <c r="C3043" t="str">
        <f>T("[e북]마계대공 연대기 20권")</f>
        <v>[e북]마계대공 연대기 20권</v>
      </c>
      <c r="D3043" t="str">
        <f>T("20")</f>
        <v>20</v>
      </c>
      <c r="E3043" t="str">
        <f>T("김광수")</f>
        <v>김광수</v>
      </c>
      <c r="H3043" t="str">
        <f>T("스토리위즈")</f>
        <v>스토리위즈</v>
      </c>
      <c r="I3043" t="str">
        <f>T("[e북]마계대공 연대기")</f>
        <v>[e북]마계대공 연대기</v>
      </c>
      <c r="J3043">
        <v>3200</v>
      </c>
      <c r="K3043">
        <v>0</v>
      </c>
      <c r="L3043">
        <v>0</v>
      </c>
      <c r="M3043">
        <v>0</v>
      </c>
      <c r="N3043">
        <v>2700</v>
      </c>
      <c r="O3043">
        <v>3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2700</v>
      </c>
      <c r="AH3043">
        <v>3</v>
      </c>
      <c r="AI3043">
        <v>0</v>
      </c>
      <c r="AJ3043">
        <v>0</v>
      </c>
      <c r="AK3043">
        <v>1800</v>
      </c>
      <c r="AL3043">
        <v>0</v>
      </c>
      <c r="AM3043">
        <v>1080</v>
      </c>
      <c r="AN3043">
        <v>-108</v>
      </c>
      <c r="AO3043">
        <v>0</v>
      </c>
      <c r="AQ3043">
        <v>0</v>
      </c>
      <c r="AR3043">
        <v>0</v>
      </c>
      <c r="AS3043">
        <v>1080</v>
      </c>
      <c r="AT3043">
        <v>-108</v>
      </c>
      <c r="AU3043">
        <v>0</v>
      </c>
      <c r="AW3043">
        <v>0</v>
      </c>
      <c r="AX3043">
        <v>0</v>
      </c>
      <c r="AY3043">
        <v>1940.4</v>
      </c>
      <c r="BE3043" t="str">
        <f>T("판타지 e북 &gt; 퓨전 판타지")</f>
        <v>판타지 e북 &gt; 퓨전 판타지</v>
      </c>
    </row>
    <row r="3044" spans="1:57" x14ac:dyDescent="0.3">
      <c r="A3044">
        <v>1525004988</v>
      </c>
      <c r="B3044">
        <v>1525005311</v>
      </c>
      <c r="C3044" t="str">
        <f>T("용무쌍 24화")</f>
        <v>용무쌍 24화</v>
      </c>
      <c r="D3044" t="str">
        <f>T("24")</f>
        <v>24</v>
      </c>
      <c r="E3044" t="str">
        <f>T("권용찬")</f>
        <v>권용찬</v>
      </c>
      <c r="H3044" t="str">
        <f>T("스토리위즈")</f>
        <v>스토리위즈</v>
      </c>
      <c r="I3044" t="str">
        <f>T("용무쌍")</f>
        <v>용무쌍</v>
      </c>
      <c r="J3044">
        <v>0</v>
      </c>
      <c r="K3044">
        <v>0</v>
      </c>
      <c r="L3044">
        <v>0</v>
      </c>
      <c r="M3044">
        <v>2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2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Q3044">
        <v>0</v>
      </c>
      <c r="AR3044">
        <v>0</v>
      </c>
      <c r="AT3044">
        <v>0</v>
      </c>
      <c r="AU3044">
        <v>0</v>
      </c>
      <c r="AW3044">
        <v>0</v>
      </c>
      <c r="AX3044">
        <v>0</v>
      </c>
      <c r="AY3044">
        <v>0</v>
      </c>
      <c r="BC3044" t="str">
        <f>T("9791159284861")</f>
        <v>9791159284861</v>
      </c>
      <c r="BE3044" t="str">
        <f>T("판타지 웹소설 &gt; 무협 소설")</f>
        <v>판타지 웹소설 &gt; 무협 소설</v>
      </c>
    </row>
    <row r="3045" spans="1:57" x14ac:dyDescent="0.3">
      <c r="A3045">
        <v>1525004030</v>
      </c>
      <c r="B3045">
        <v>1525004033</v>
      </c>
      <c r="C3045" t="str">
        <f>T("회귀의 전설 4화")</f>
        <v>회귀의 전설 4화</v>
      </c>
      <c r="D3045" t="str">
        <f>T("4")</f>
        <v>4</v>
      </c>
      <c r="E3045" t="str">
        <f>T("김광수")</f>
        <v>김광수</v>
      </c>
      <c r="H3045" t="str">
        <f>T("스토리위즈")</f>
        <v>스토리위즈</v>
      </c>
      <c r="I3045" t="str">
        <f>T("회귀의 전설")</f>
        <v>회귀의 전설</v>
      </c>
      <c r="J3045">
        <v>0</v>
      </c>
      <c r="K3045">
        <v>0</v>
      </c>
      <c r="L3045">
        <v>0</v>
      </c>
      <c r="M3045">
        <v>5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5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Q3045">
        <v>0</v>
      </c>
      <c r="AR3045">
        <v>0</v>
      </c>
      <c r="AT3045">
        <v>0</v>
      </c>
      <c r="AU3045">
        <v>0</v>
      </c>
      <c r="AW3045">
        <v>0</v>
      </c>
      <c r="AX3045">
        <v>0</v>
      </c>
      <c r="AY3045">
        <v>0</v>
      </c>
      <c r="BC3045" t="str">
        <f>T("9788997946006")</f>
        <v>9788997946006</v>
      </c>
      <c r="BE3045" t="str">
        <f>T("판타지 웹소설 &gt; 현대 판타지")</f>
        <v>판타지 웹소설 &gt; 현대 판타지</v>
      </c>
    </row>
    <row r="3046" spans="1:57" x14ac:dyDescent="0.3">
      <c r="A3046">
        <v>1525012005</v>
      </c>
      <c r="B3046">
        <v>1525012005</v>
      </c>
      <c r="C3046" t="str">
        <f>T("[e북]남궁세가 건달공자 1권")</f>
        <v>[e북]남궁세가 건달공자 1권</v>
      </c>
      <c r="D3046" t="str">
        <f>T("1")</f>
        <v>1</v>
      </c>
      <c r="E3046" t="str">
        <f>T("협행마")</f>
        <v>협행마</v>
      </c>
      <c r="H3046" t="str">
        <f>T("에필로그")</f>
        <v>에필로그</v>
      </c>
      <c r="I3046" t="str">
        <f>T("[e북]남궁세가 건달공자")</f>
        <v>[e북]남궁세가 건달공자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2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2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Q3046">
        <v>0</v>
      </c>
      <c r="AR3046">
        <v>0</v>
      </c>
      <c r="AT3046">
        <v>0</v>
      </c>
      <c r="AU3046">
        <v>0</v>
      </c>
      <c r="AW3046">
        <v>0</v>
      </c>
      <c r="AX3046">
        <v>0</v>
      </c>
      <c r="AY3046">
        <v>0</v>
      </c>
      <c r="BC3046" t="str">
        <f>T("9791164481552")</f>
        <v>9791164481552</v>
      </c>
      <c r="BE3046" t="str">
        <f>T("판타지 e북 &gt; 신무협")</f>
        <v>판타지 e북 &gt; 신무협</v>
      </c>
    </row>
    <row r="3047" spans="1:57" x14ac:dyDescent="0.3">
      <c r="A3047">
        <v>1525012551</v>
      </c>
      <c r="B3047">
        <v>1525012570</v>
      </c>
      <c r="C3047" t="str">
        <f>T("개정판 | 바보가 만드는 멋진 세상 20화")</f>
        <v>개정판 | 바보가 만드는 멋진 세상 20화</v>
      </c>
      <c r="D3047" t="str">
        <f>T("20")</f>
        <v>20</v>
      </c>
      <c r="E3047" t="str">
        <f>T("백범(白帆)")</f>
        <v>백범(白帆)</v>
      </c>
      <c r="H3047" t="str">
        <f>T("에필로그")</f>
        <v>에필로그</v>
      </c>
      <c r="I3047" t="str">
        <f>T("개정판 | 바보가 만드는 멋진 세상")</f>
        <v>개정판 | 바보가 만드는 멋진 세상</v>
      </c>
      <c r="J3047">
        <v>0</v>
      </c>
      <c r="K3047">
        <v>0</v>
      </c>
      <c r="L3047">
        <v>0</v>
      </c>
      <c r="M3047">
        <v>1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1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Q3047">
        <v>0</v>
      </c>
      <c r="AR3047">
        <v>0</v>
      </c>
      <c r="AT3047">
        <v>0</v>
      </c>
      <c r="AU3047">
        <v>0</v>
      </c>
      <c r="AW3047">
        <v>0</v>
      </c>
      <c r="AX3047">
        <v>0</v>
      </c>
      <c r="AY3047">
        <v>0</v>
      </c>
      <c r="BC3047" t="str">
        <f>T("9791166003493")</f>
        <v>9791166003493</v>
      </c>
      <c r="BE3047" t="str">
        <f>T("판타지 웹소설 &gt; 현대 판타지")</f>
        <v>판타지 웹소설 &gt; 현대 판타지</v>
      </c>
    </row>
    <row r="3048" spans="1:57" x14ac:dyDescent="0.3">
      <c r="A3048">
        <v>1525010974</v>
      </c>
      <c r="B3048">
        <v>1525010969</v>
      </c>
      <c r="C3048" t="str">
        <f>T("[e북]위사무적 6권")</f>
        <v>[e북]위사무적 6권</v>
      </c>
      <c r="D3048" t="str">
        <f>T("6")</f>
        <v>6</v>
      </c>
      <c r="E3048" t="str">
        <f>T("협행마")</f>
        <v>협행마</v>
      </c>
      <c r="H3048" t="str">
        <f>T("에필로그")</f>
        <v>에필로그</v>
      </c>
      <c r="I3048" t="str">
        <f>T("[e북]위사무적")</f>
        <v>[e북]위사무적</v>
      </c>
      <c r="J3048">
        <v>2000</v>
      </c>
      <c r="K3048">
        <v>0</v>
      </c>
      <c r="L3048">
        <v>0</v>
      </c>
      <c r="M3048">
        <v>0</v>
      </c>
      <c r="N3048">
        <v>1330</v>
      </c>
      <c r="O3048">
        <v>2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1330</v>
      </c>
      <c r="AH3048">
        <v>2</v>
      </c>
      <c r="AI3048">
        <v>0</v>
      </c>
      <c r="AJ3048">
        <v>0</v>
      </c>
      <c r="AK3048">
        <v>1330</v>
      </c>
      <c r="AL3048">
        <v>0</v>
      </c>
      <c r="AM3048">
        <v>0</v>
      </c>
      <c r="AN3048">
        <v>0</v>
      </c>
      <c r="AO3048">
        <v>0</v>
      </c>
      <c r="AQ3048">
        <v>0</v>
      </c>
      <c r="AR3048">
        <v>0</v>
      </c>
      <c r="AT3048">
        <v>0</v>
      </c>
      <c r="AU3048">
        <v>0</v>
      </c>
      <c r="AW3048">
        <v>0</v>
      </c>
      <c r="AX3048">
        <v>0</v>
      </c>
      <c r="AY3048">
        <v>931</v>
      </c>
      <c r="BC3048" t="str">
        <f>T("9791164489015")</f>
        <v>9791164489015</v>
      </c>
      <c r="BE3048" t="str">
        <f>T("판타지 e북 &gt; 신무협")</f>
        <v>판타지 e북 &gt; 신무협</v>
      </c>
    </row>
    <row r="3049" spans="1:57" x14ac:dyDescent="0.3">
      <c r="A3049">
        <v>1525000022</v>
      </c>
      <c r="B3049">
        <v>1525000031</v>
      </c>
      <c r="C3049" t="str">
        <f>T("[e북]마계대공 연대기 9권")</f>
        <v>[e북]마계대공 연대기 9권</v>
      </c>
      <c r="D3049" t="str">
        <f>T("9")</f>
        <v>9</v>
      </c>
      <c r="E3049" t="str">
        <f>T("김광수")</f>
        <v>김광수</v>
      </c>
      <c r="H3049" t="str">
        <f>T("스토리위즈")</f>
        <v>스토리위즈</v>
      </c>
      <c r="I3049" t="str">
        <f>T("[e북]마계대공 연대기")</f>
        <v>[e북]마계대공 연대기</v>
      </c>
      <c r="J3049">
        <v>3200</v>
      </c>
      <c r="K3049">
        <v>0</v>
      </c>
      <c r="L3049">
        <v>0</v>
      </c>
      <c r="M3049">
        <v>0</v>
      </c>
      <c r="N3049">
        <v>1800</v>
      </c>
      <c r="O3049">
        <v>2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1800</v>
      </c>
      <c r="AH3049">
        <v>2</v>
      </c>
      <c r="AI3049">
        <v>0</v>
      </c>
      <c r="AJ3049">
        <v>0</v>
      </c>
      <c r="AK3049">
        <v>900</v>
      </c>
      <c r="AL3049">
        <v>0</v>
      </c>
      <c r="AM3049">
        <v>1080</v>
      </c>
      <c r="AN3049">
        <v>-108</v>
      </c>
      <c r="AO3049">
        <v>0</v>
      </c>
      <c r="AQ3049">
        <v>0</v>
      </c>
      <c r="AR3049">
        <v>0</v>
      </c>
      <c r="AS3049">
        <v>1080</v>
      </c>
      <c r="AT3049">
        <v>-108</v>
      </c>
      <c r="AU3049">
        <v>0</v>
      </c>
      <c r="AW3049">
        <v>0</v>
      </c>
      <c r="AX3049">
        <v>0</v>
      </c>
      <c r="AY3049">
        <v>1310.4000000000001</v>
      </c>
      <c r="BE3049" t="str">
        <f>T("판타지 e북 &gt; 퓨전 판타지")</f>
        <v>판타지 e북 &gt; 퓨전 판타지</v>
      </c>
    </row>
    <row r="3050" spans="1:57" x14ac:dyDescent="0.3">
      <c r="A3050">
        <v>1525004988</v>
      </c>
      <c r="B3050">
        <v>1525005300</v>
      </c>
      <c r="C3050" t="str">
        <f>T("용무쌍 13화")</f>
        <v>용무쌍 13화</v>
      </c>
      <c r="D3050" t="str">
        <f>T("13")</f>
        <v>13</v>
      </c>
      <c r="E3050" t="str">
        <f>T("권용찬")</f>
        <v>권용찬</v>
      </c>
      <c r="H3050" t="str">
        <f>T("스토리위즈")</f>
        <v>스토리위즈</v>
      </c>
      <c r="I3050" t="str">
        <f>T("용무쌍")</f>
        <v>용무쌍</v>
      </c>
      <c r="J3050">
        <v>0</v>
      </c>
      <c r="K3050">
        <v>0</v>
      </c>
      <c r="L3050">
        <v>0</v>
      </c>
      <c r="M3050">
        <v>2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2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Q3050">
        <v>0</v>
      </c>
      <c r="AR3050">
        <v>0</v>
      </c>
      <c r="AT3050">
        <v>0</v>
      </c>
      <c r="AU3050">
        <v>0</v>
      </c>
      <c r="AW3050">
        <v>0</v>
      </c>
      <c r="AX3050">
        <v>0</v>
      </c>
      <c r="AY3050">
        <v>0</v>
      </c>
      <c r="BC3050" t="str">
        <f>T("9791159284861")</f>
        <v>9791159284861</v>
      </c>
      <c r="BE3050" t="str">
        <f>T("판타지 웹소설 &gt; 무협 소설")</f>
        <v>판타지 웹소설 &gt; 무협 소설</v>
      </c>
    </row>
    <row r="3051" spans="1:57" x14ac:dyDescent="0.3">
      <c r="A3051">
        <v>1525012551</v>
      </c>
      <c r="B3051">
        <v>1525012559</v>
      </c>
      <c r="C3051" t="str">
        <f>T("개정판 | 바보가 만드는 멋진 세상 9화")</f>
        <v>개정판 | 바보가 만드는 멋진 세상 9화</v>
      </c>
      <c r="D3051" t="str">
        <f>T("9")</f>
        <v>9</v>
      </c>
      <c r="E3051" t="str">
        <f>T("백범(白帆)")</f>
        <v>백범(白帆)</v>
      </c>
      <c r="H3051" t="str">
        <f>T("에필로그")</f>
        <v>에필로그</v>
      </c>
      <c r="I3051" t="str">
        <f>T("개정판 | 바보가 만드는 멋진 세상")</f>
        <v>개정판 | 바보가 만드는 멋진 세상</v>
      </c>
      <c r="J3051">
        <v>0</v>
      </c>
      <c r="K3051">
        <v>0</v>
      </c>
      <c r="L3051">
        <v>0</v>
      </c>
      <c r="M3051">
        <v>1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1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Q3051">
        <v>0</v>
      </c>
      <c r="AR3051">
        <v>0</v>
      </c>
      <c r="AT3051">
        <v>0</v>
      </c>
      <c r="AU3051">
        <v>0</v>
      </c>
      <c r="AW3051">
        <v>0</v>
      </c>
      <c r="AX3051">
        <v>0</v>
      </c>
      <c r="AY3051">
        <v>0</v>
      </c>
      <c r="BC3051" t="str">
        <f>T("9791166003493")</f>
        <v>9791166003493</v>
      </c>
      <c r="BE3051" t="str">
        <f>T("판타지 웹소설 &gt; 현대 판타지")</f>
        <v>판타지 웹소설 &gt; 현대 판타지</v>
      </c>
    </row>
    <row r="3052" spans="1:57" x14ac:dyDescent="0.3">
      <c r="A3052">
        <v>1525000055</v>
      </c>
      <c r="B3052">
        <v>1525000066</v>
      </c>
      <c r="C3052" t="str">
        <f>T("[e북]21세기 대마법사 11권")</f>
        <v>[e북]21세기 대마법사 11권</v>
      </c>
      <c r="D3052" t="str">
        <f>T("11")</f>
        <v>11</v>
      </c>
      <c r="E3052" t="str">
        <f>T("김광수")</f>
        <v>김광수</v>
      </c>
      <c r="H3052" t="str">
        <f>T("스토리위즈")</f>
        <v>스토리위즈</v>
      </c>
      <c r="I3052" t="str">
        <f>T("[e북]21세기 대마법사")</f>
        <v>[e북]21세기 대마법사</v>
      </c>
      <c r="J3052">
        <v>3200</v>
      </c>
      <c r="K3052">
        <v>0</v>
      </c>
      <c r="L3052">
        <v>0</v>
      </c>
      <c r="M3052">
        <v>0</v>
      </c>
      <c r="N3052">
        <v>2700</v>
      </c>
      <c r="O3052">
        <v>3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2700</v>
      </c>
      <c r="AH3052">
        <v>3</v>
      </c>
      <c r="AI3052">
        <v>0</v>
      </c>
      <c r="AJ3052">
        <v>0</v>
      </c>
      <c r="AK3052">
        <v>0</v>
      </c>
      <c r="AL3052">
        <v>0</v>
      </c>
      <c r="AM3052">
        <v>3240</v>
      </c>
      <c r="AN3052">
        <v>-540</v>
      </c>
      <c r="AO3052">
        <v>0</v>
      </c>
      <c r="AQ3052">
        <v>0</v>
      </c>
      <c r="AR3052">
        <v>0</v>
      </c>
      <c r="AS3052">
        <v>3240</v>
      </c>
      <c r="AT3052">
        <v>-540</v>
      </c>
      <c r="AU3052">
        <v>0</v>
      </c>
      <c r="AW3052">
        <v>0</v>
      </c>
      <c r="AX3052">
        <v>0</v>
      </c>
      <c r="AY3052">
        <v>1890</v>
      </c>
      <c r="BC3052" t="str">
        <f>T("9788925119144")</f>
        <v>9788925119144</v>
      </c>
      <c r="BE3052" t="str">
        <f>T("판타지 e북 &gt; 퓨전 판타지")</f>
        <v>판타지 e북 &gt; 퓨전 판타지</v>
      </c>
    </row>
    <row r="3053" spans="1:57" x14ac:dyDescent="0.3">
      <c r="A3053">
        <v>1525008545</v>
      </c>
      <c r="B3053">
        <v>1525008567</v>
      </c>
      <c r="C3053" t="str">
        <f>T("소년연애담 3화")</f>
        <v>소년연애담 3화</v>
      </c>
      <c r="D3053" t="str">
        <f>T("3")</f>
        <v>3</v>
      </c>
      <c r="E3053" t="str">
        <f>T("나나코")</f>
        <v>나나코</v>
      </c>
      <c r="H3053" t="str">
        <f>T("블러쉬")</f>
        <v>블러쉬</v>
      </c>
      <c r="I3053" t="str">
        <f>T("소년연애담")</f>
        <v>소년연애담</v>
      </c>
      <c r="J3053">
        <v>0</v>
      </c>
      <c r="K3053">
        <v>0</v>
      </c>
      <c r="L3053">
        <v>0</v>
      </c>
      <c r="M3053">
        <v>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1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Q3053">
        <v>0</v>
      </c>
      <c r="AR3053">
        <v>0</v>
      </c>
      <c r="AT3053">
        <v>0</v>
      </c>
      <c r="AU3053">
        <v>0</v>
      </c>
      <c r="AW3053">
        <v>0</v>
      </c>
      <c r="AX3053">
        <v>0</v>
      </c>
      <c r="AY3053">
        <v>0</v>
      </c>
      <c r="BA3053" t="str">
        <f>T("0000000000000")</f>
        <v>0000000000000</v>
      </c>
      <c r="BC3053" t="str">
        <f>T("9791164890729")</f>
        <v>9791164890729</v>
      </c>
      <c r="BD3053" t="str">
        <f>T("B12")</f>
        <v>B12</v>
      </c>
      <c r="BE3053" t="str">
        <f>T("BL 웹소설 &gt; 현대물")</f>
        <v>BL 웹소설 &gt; 현대물</v>
      </c>
    </row>
    <row r="3054" spans="1:57" x14ac:dyDescent="0.3">
      <c r="A3054">
        <v>1525004799</v>
      </c>
      <c r="B3054">
        <v>1525004812</v>
      </c>
      <c r="C3054" t="str">
        <f>T("검산도해 14화")</f>
        <v>검산도해 14화</v>
      </c>
      <c r="D3054" t="str">
        <f>T("14")</f>
        <v>14</v>
      </c>
      <c r="E3054" t="str">
        <f>T("권용찬")</f>
        <v>권용찬</v>
      </c>
      <c r="H3054" t="str">
        <f>T("스토리위즈")</f>
        <v>스토리위즈</v>
      </c>
      <c r="I3054" t="str">
        <f>T("검산도해")</f>
        <v>검산도해</v>
      </c>
      <c r="J3054">
        <v>0</v>
      </c>
      <c r="K3054">
        <v>0</v>
      </c>
      <c r="L3054">
        <v>0</v>
      </c>
      <c r="M3054">
        <v>2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2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Q3054">
        <v>0</v>
      </c>
      <c r="AR3054">
        <v>0</v>
      </c>
      <c r="AT3054">
        <v>0</v>
      </c>
      <c r="AU3054">
        <v>0</v>
      </c>
      <c r="AW3054">
        <v>0</v>
      </c>
      <c r="AX3054">
        <v>0</v>
      </c>
      <c r="AY3054">
        <v>0</v>
      </c>
      <c r="BC3054" t="str">
        <f>T("9791159285936")</f>
        <v>9791159285936</v>
      </c>
      <c r="BE3054" t="str">
        <f>T("판타지 웹소설 &gt; 무협 소설")</f>
        <v>판타지 웹소설 &gt; 무협 소설</v>
      </c>
    </row>
    <row r="3055" spans="1:57" x14ac:dyDescent="0.3">
      <c r="A3055">
        <v>1525014780</v>
      </c>
      <c r="B3055">
        <v>1525014794</v>
      </c>
      <c r="C3055" t="str">
        <f>T("크랭키 걸즈 15화")</f>
        <v>크랭키 걸즈 15화</v>
      </c>
      <c r="D3055" t="str">
        <f>T("15")</f>
        <v>15</v>
      </c>
      <c r="E3055" t="str">
        <f>T("곽도우")</f>
        <v>곽도우</v>
      </c>
      <c r="H3055" t="str">
        <f>T("스토리아크")</f>
        <v>스토리아크</v>
      </c>
      <c r="I3055" t="str">
        <f>T("크랭키 걸즈")</f>
        <v>크랭키 걸즈</v>
      </c>
      <c r="J3055">
        <v>0</v>
      </c>
      <c r="K3055">
        <v>0</v>
      </c>
      <c r="L3055">
        <v>0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1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Q3055">
        <v>0</v>
      </c>
      <c r="AR3055">
        <v>0</v>
      </c>
      <c r="AT3055">
        <v>0</v>
      </c>
      <c r="AU3055">
        <v>0</v>
      </c>
      <c r="AW3055">
        <v>0</v>
      </c>
      <c r="AX3055">
        <v>0</v>
      </c>
      <c r="AY3055">
        <v>0</v>
      </c>
      <c r="BC3055" t="str">
        <f>T("9791191039276")</f>
        <v>9791191039276</v>
      </c>
      <c r="BE3055" t="str">
        <f>T("판타지 웹소설 &gt; 현대 판타지")</f>
        <v>판타지 웹소설 &gt; 현대 판타지</v>
      </c>
    </row>
    <row r="3056" spans="1:57" x14ac:dyDescent="0.3">
      <c r="A3056">
        <v>1525002864</v>
      </c>
      <c r="B3056">
        <v>1525002879</v>
      </c>
      <c r="C3056" t="str">
        <f>T("소드마스터의 환생 16화")</f>
        <v>소드마스터의 환생 16화</v>
      </c>
      <c r="D3056" t="str">
        <f>T("16")</f>
        <v>16</v>
      </c>
      <c r="E3056" t="str">
        <f>T("파란영")</f>
        <v>파란영</v>
      </c>
      <c r="H3056" t="str">
        <f>T("스토리위즈")</f>
        <v>스토리위즈</v>
      </c>
      <c r="I3056" t="str">
        <f>T("소드마스터의 환생")</f>
        <v>소드마스터의 환생</v>
      </c>
      <c r="J3056">
        <v>0</v>
      </c>
      <c r="K3056">
        <v>0</v>
      </c>
      <c r="L3056">
        <v>0</v>
      </c>
      <c r="M3056">
        <v>4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4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Q3056">
        <v>0</v>
      </c>
      <c r="AR3056">
        <v>0</v>
      </c>
      <c r="AT3056">
        <v>0</v>
      </c>
      <c r="AU3056">
        <v>0</v>
      </c>
      <c r="AW3056">
        <v>0</v>
      </c>
      <c r="AX3056">
        <v>0</v>
      </c>
      <c r="AY3056">
        <v>0</v>
      </c>
      <c r="BC3056" t="str">
        <f>T("9791159287527")</f>
        <v>9791159287527</v>
      </c>
      <c r="BE3056" t="str">
        <f>T("판타지 웹소설 &gt; 정통 판타지")</f>
        <v>판타지 웹소설 &gt; 정통 판타지</v>
      </c>
    </row>
    <row r="3057" spans="1:57" x14ac:dyDescent="0.3">
      <c r="A3057">
        <v>1525001317</v>
      </c>
      <c r="B3057">
        <v>1525001328</v>
      </c>
      <c r="C3057" t="str">
        <f>T("[e북]완전판 | 스트라이커 12권")</f>
        <v>[e북]완전판 | 스트라이커 12권</v>
      </c>
      <c r="D3057" t="str">
        <f>T("12")</f>
        <v>12</v>
      </c>
      <c r="E3057" t="str">
        <f>T("독고진")</f>
        <v>독고진</v>
      </c>
      <c r="H3057" t="str">
        <f>T("스토리위즈")</f>
        <v>스토리위즈</v>
      </c>
      <c r="I3057" t="str">
        <f>T("[e북]완전판 | 스트라이커")</f>
        <v>[e북]완전판 | 스트라이커</v>
      </c>
      <c r="J3057">
        <v>3200</v>
      </c>
      <c r="K3057">
        <v>0</v>
      </c>
      <c r="L3057">
        <v>0</v>
      </c>
      <c r="M3057">
        <v>0</v>
      </c>
      <c r="N3057">
        <v>900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900</v>
      </c>
      <c r="AH3057">
        <v>1</v>
      </c>
      <c r="AI3057">
        <v>0</v>
      </c>
      <c r="AJ3057">
        <v>0</v>
      </c>
      <c r="AK3057">
        <v>900</v>
      </c>
      <c r="AL3057">
        <v>0</v>
      </c>
      <c r="AM3057">
        <v>0</v>
      </c>
      <c r="AN3057">
        <v>0</v>
      </c>
      <c r="AO3057">
        <v>0</v>
      </c>
      <c r="AQ3057">
        <v>0</v>
      </c>
      <c r="AR3057">
        <v>0</v>
      </c>
      <c r="AT3057">
        <v>0</v>
      </c>
      <c r="AU3057">
        <v>0</v>
      </c>
      <c r="AW3057">
        <v>0</v>
      </c>
      <c r="AX3057">
        <v>0</v>
      </c>
      <c r="AY3057">
        <v>630</v>
      </c>
      <c r="BA3057" t="str">
        <f>T("9791159282942")</f>
        <v>9791159282942</v>
      </c>
      <c r="BC3057" t="str">
        <f>T("9791159282942")</f>
        <v>9791159282942</v>
      </c>
      <c r="BE3057" t="str">
        <f>T("판타지 e북 &gt; 스포츠물")</f>
        <v>판타지 e북 &gt; 스포츠물</v>
      </c>
    </row>
    <row r="3058" spans="1:57" x14ac:dyDescent="0.3">
      <c r="A3058">
        <v>1525004799</v>
      </c>
      <c r="B3058">
        <v>1525004803</v>
      </c>
      <c r="C3058" t="str">
        <f>T("검산도해 5화")</f>
        <v>검산도해 5화</v>
      </c>
      <c r="D3058" t="str">
        <f>T("5")</f>
        <v>5</v>
      </c>
      <c r="E3058" t="str">
        <f>T("권용찬")</f>
        <v>권용찬</v>
      </c>
      <c r="H3058" t="str">
        <f>T("스토리위즈")</f>
        <v>스토리위즈</v>
      </c>
      <c r="I3058" t="str">
        <f>T("검산도해")</f>
        <v>검산도해</v>
      </c>
      <c r="J3058">
        <v>0</v>
      </c>
      <c r="K3058">
        <v>0</v>
      </c>
      <c r="L3058">
        <v>0</v>
      </c>
      <c r="M3058">
        <v>4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4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Q3058">
        <v>0</v>
      </c>
      <c r="AR3058">
        <v>0</v>
      </c>
      <c r="AT3058">
        <v>0</v>
      </c>
      <c r="AU3058">
        <v>0</v>
      </c>
      <c r="AW3058">
        <v>0</v>
      </c>
      <c r="AX3058">
        <v>0</v>
      </c>
      <c r="AY3058">
        <v>0</v>
      </c>
      <c r="BC3058" t="str">
        <f>T("9791159285936")</f>
        <v>9791159285936</v>
      </c>
      <c r="BE3058" t="str">
        <f>T("판타지 웹소설 &gt; 무협 소설")</f>
        <v>판타지 웹소설 &gt; 무협 소설</v>
      </c>
    </row>
    <row r="3059" spans="1:57" x14ac:dyDescent="0.3">
      <c r="A3059">
        <v>1525010982</v>
      </c>
      <c r="B3059">
        <v>1525010978</v>
      </c>
      <c r="C3059" t="str">
        <f>T("[e북]이 맛에 회장한다 5권")</f>
        <v>[e북]이 맛에 회장한다 5권</v>
      </c>
      <c r="D3059" t="str">
        <f>T("5")</f>
        <v>5</v>
      </c>
      <c r="E3059" t="str">
        <f>T("협행마")</f>
        <v>협행마</v>
      </c>
      <c r="H3059" t="str">
        <f>T("에필로그")</f>
        <v>에필로그</v>
      </c>
      <c r="I3059" t="str">
        <f>T("[e북]이 맛에 회장한다")</f>
        <v>[e북]이 맛에 회장한다</v>
      </c>
      <c r="J3059">
        <v>2500</v>
      </c>
      <c r="K3059">
        <v>0</v>
      </c>
      <c r="L3059">
        <v>0</v>
      </c>
      <c r="M3059">
        <v>0</v>
      </c>
      <c r="N3059">
        <v>2520</v>
      </c>
      <c r="O3059">
        <v>3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2520</v>
      </c>
      <c r="AH3059">
        <v>3</v>
      </c>
      <c r="AI3059">
        <v>0</v>
      </c>
      <c r="AJ3059">
        <v>0</v>
      </c>
      <c r="AK3059">
        <v>2520</v>
      </c>
      <c r="AL3059">
        <v>0</v>
      </c>
      <c r="AM3059">
        <v>0</v>
      </c>
      <c r="AN3059">
        <v>0</v>
      </c>
      <c r="AO3059">
        <v>0</v>
      </c>
      <c r="AQ3059">
        <v>0</v>
      </c>
      <c r="AR3059">
        <v>0</v>
      </c>
      <c r="AT3059">
        <v>0</v>
      </c>
      <c r="AU3059">
        <v>0</v>
      </c>
      <c r="AW3059">
        <v>0</v>
      </c>
      <c r="AX3059">
        <v>0</v>
      </c>
      <c r="AY3059">
        <v>1764</v>
      </c>
      <c r="BC3059" t="str">
        <f>T("9791164486106")</f>
        <v>9791164486106</v>
      </c>
      <c r="BE3059" t="str">
        <f>T("판타지 e북 &gt; 현대 판타지")</f>
        <v>판타지 e북 &gt; 현대 판타지</v>
      </c>
    </row>
    <row r="3060" spans="1:57" x14ac:dyDescent="0.3">
      <c r="A3060">
        <v>1525000411</v>
      </c>
      <c r="B3060">
        <v>1525000416</v>
      </c>
      <c r="C3060" t="str">
        <f>T("레이드 만물상점 6화")</f>
        <v>레이드 만물상점 6화</v>
      </c>
      <c r="D3060" t="str">
        <f>T("6")</f>
        <v>6</v>
      </c>
      <c r="E3060" t="str">
        <f>T("전혁")</f>
        <v>전혁</v>
      </c>
      <c r="H3060" t="str">
        <f>T("스토리위즈")</f>
        <v>스토리위즈</v>
      </c>
      <c r="I3060" t="str">
        <f>T("레이드 만물상점")</f>
        <v>레이드 만물상점</v>
      </c>
      <c r="J3060">
        <v>0</v>
      </c>
      <c r="K3060">
        <v>0</v>
      </c>
      <c r="L3060">
        <v>0</v>
      </c>
      <c r="M3060">
        <v>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1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Q3060">
        <v>0</v>
      </c>
      <c r="AR3060">
        <v>0</v>
      </c>
      <c r="AT3060">
        <v>0</v>
      </c>
      <c r="AU3060">
        <v>0</v>
      </c>
      <c r="AW3060">
        <v>0</v>
      </c>
      <c r="AX3060">
        <v>0</v>
      </c>
      <c r="AY3060">
        <v>0</v>
      </c>
      <c r="BC3060" t="str">
        <f>T("9791170151432")</f>
        <v>9791170151432</v>
      </c>
      <c r="BE3060" t="str">
        <f>T("판타지 웹소설 &gt; 현대 판타지")</f>
        <v>판타지 웹소설 &gt; 현대 판타지</v>
      </c>
    </row>
    <row r="3061" spans="1:57" x14ac:dyDescent="0.3">
      <c r="A3061">
        <v>1525010900</v>
      </c>
      <c r="B3061">
        <v>1525010897</v>
      </c>
      <c r="C3061" t="str">
        <f>T("[e북]무적살수 2권")</f>
        <v>[e북]무적살수 2권</v>
      </c>
      <c r="D3061" t="str">
        <f>T("2")</f>
        <v>2</v>
      </c>
      <c r="E3061" t="str">
        <f>T("협행마")</f>
        <v>협행마</v>
      </c>
      <c r="H3061" t="str">
        <f>T("에필로그")</f>
        <v>에필로그</v>
      </c>
      <c r="I3061" t="str">
        <f>T("[e북]무적살수")</f>
        <v>[e북]무적살수</v>
      </c>
      <c r="J3061">
        <v>2500</v>
      </c>
      <c r="K3061">
        <v>0</v>
      </c>
      <c r="L3061">
        <v>0</v>
      </c>
      <c r="M3061">
        <v>0</v>
      </c>
      <c r="N3061">
        <v>1710</v>
      </c>
      <c r="O3061">
        <v>2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1710</v>
      </c>
      <c r="AH3061">
        <v>2</v>
      </c>
      <c r="AI3061">
        <v>0</v>
      </c>
      <c r="AJ3061">
        <v>0</v>
      </c>
      <c r="AK3061">
        <v>1710</v>
      </c>
      <c r="AL3061">
        <v>0</v>
      </c>
      <c r="AM3061">
        <v>0</v>
      </c>
      <c r="AN3061">
        <v>0</v>
      </c>
      <c r="AO3061">
        <v>0</v>
      </c>
      <c r="AQ3061">
        <v>0</v>
      </c>
      <c r="AR3061">
        <v>0</v>
      </c>
      <c r="AT3061">
        <v>0</v>
      </c>
      <c r="AU3061">
        <v>0</v>
      </c>
      <c r="AW3061">
        <v>0</v>
      </c>
      <c r="AX3061">
        <v>0</v>
      </c>
      <c r="AY3061">
        <v>1197</v>
      </c>
      <c r="BC3061" t="str">
        <f>T("9791166000126")</f>
        <v>9791166000126</v>
      </c>
      <c r="BE3061" t="str">
        <f>T("판타지 e북 &gt; 전통 무협")</f>
        <v>판타지 e북 &gt; 전통 무협</v>
      </c>
    </row>
    <row r="3062" spans="1:57" x14ac:dyDescent="0.3">
      <c r="A3062">
        <v>1525000906</v>
      </c>
      <c r="B3062">
        <v>1525000907</v>
      </c>
      <c r="C3062" t="str">
        <f>T("[e북]완전판 | 레이드 만물상점 2권")</f>
        <v>[e북]완전판 | 레이드 만물상점 2권</v>
      </c>
      <c r="D3062" t="str">
        <f>T("2")</f>
        <v>2</v>
      </c>
      <c r="E3062" t="str">
        <f>T("전혁")</f>
        <v>전혁</v>
      </c>
      <c r="H3062" t="str">
        <f>T("스토리위즈")</f>
        <v>스토리위즈</v>
      </c>
      <c r="I3062" t="str">
        <f>T("[e북]완전판 | 레이드 만물상점")</f>
        <v>[e북]완전판 | 레이드 만물상점</v>
      </c>
      <c r="J3062">
        <v>3200</v>
      </c>
      <c r="K3062">
        <v>0</v>
      </c>
      <c r="L3062">
        <v>0</v>
      </c>
      <c r="M3062">
        <v>0</v>
      </c>
      <c r="N3062">
        <v>7200</v>
      </c>
      <c r="O3062">
        <v>8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7200</v>
      </c>
      <c r="AH3062">
        <v>8</v>
      </c>
      <c r="AI3062">
        <v>0</v>
      </c>
      <c r="AJ3062">
        <v>0</v>
      </c>
      <c r="AK3062">
        <v>4500</v>
      </c>
      <c r="AL3062">
        <v>0</v>
      </c>
      <c r="AM3062">
        <v>3240</v>
      </c>
      <c r="AN3062">
        <v>-756</v>
      </c>
      <c r="AO3062">
        <v>0</v>
      </c>
      <c r="AQ3062">
        <v>0</v>
      </c>
      <c r="AR3062">
        <v>0</v>
      </c>
      <c r="AS3062">
        <v>3240</v>
      </c>
      <c r="AT3062">
        <v>-756</v>
      </c>
      <c r="AU3062">
        <v>0</v>
      </c>
      <c r="AW3062">
        <v>0</v>
      </c>
      <c r="AX3062">
        <v>0</v>
      </c>
      <c r="AY3062">
        <v>4888.8</v>
      </c>
      <c r="BC3062" t="str">
        <f>T("9791159282621")</f>
        <v>9791159282621</v>
      </c>
      <c r="BE3062" t="str">
        <f>T("판타지 e북 &gt; 현대 판타지")</f>
        <v>판타지 e북 &gt; 현대 판타지</v>
      </c>
    </row>
    <row r="3063" spans="1:57" x14ac:dyDescent="0.3">
      <c r="A3063">
        <v>1525012202</v>
      </c>
      <c r="B3063">
        <v>1525012191</v>
      </c>
      <c r="C3063" t="str">
        <f>T("이세계 최강 군바리 12화")</f>
        <v>이세계 최강 군바리 12화</v>
      </c>
      <c r="D3063" t="str">
        <f>T("12")</f>
        <v>12</v>
      </c>
      <c r="E3063" t="str">
        <f>T("협행마")</f>
        <v>협행마</v>
      </c>
      <c r="H3063" t="str">
        <f>T("에필로그")</f>
        <v>에필로그</v>
      </c>
      <c r="I3063" t="str">
        <f>T("이세계 최강 군바리")</f>
        <v>이세계 최강 군바리</v>
      </c>
      <c r="J3063">
        <v>0</v>
      </c>
      <c r="K3063">
        <v>0</v>
      </c>
      <c r="L3063">
        <v>0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1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Q3063">
        <v>0</v>
      </c>
      <c r="AR3063">
        <v>0</v>
      </c>
      <c r="AT3063">
        <v>0</v>
      </c>
      <c r="AU3063">
        <v>0</v>
      </c>
      <c r="AW3063">
        <v>0</v>
      </c>
      <c r="AX3063">
        <v>0</v>
      </c>
      <c r="AY3063">
        <v>0</v>
      </c>
      <c r="BC3063" t="str">
        <f>T("9791164480159")</f>
        <v>9791164480159</v>
      </c>
      <c r="BE3063" t="str">
        <f>T("판타지 웹소설 &gt; 퓨전 판타지")</f>
        <v>판타지 웹소설 &gt; 퓨전 판타지</v>
      </c>
    </row>
    <row r="3064" spans="1:57" x14ac:dyDescent="0.3">
      <c r="A3064">
        <v>1525000569</v>
      </c>
      <c r="B3064">
        <v>1525000581</v>
      </c>
      <c r="C3064" t="str">
        <f>T("스트라이커 13화")</f>
        <v>스트라이커 13화</v>
      </c>
      <c r="D3064" t="str">
        <f>T("13")</f>
        <v>13</v>
      </c>
      <c r="E3064" t="str">
        <f>T("독고진")</f>
        <v>독고진</v>
      </c>
      <c r="H3064" t="str">
        <f>T("스토리위즈")</f>
        <v>스토리위즈</v>
      </c>
      <c r="I3064" t="str">
        <f>T("스트라이커")</f>
        <v>스트라이커</v>
      </c>
      <c r="J3064">
        <v>0</v>
      </c>
      <c r="K3064">
        <v>0</v>
      </c>
      <c r="L3064">
        <v>0</v>
      </c>
      <c r="M3064">
        <v>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1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Q3064">
        <v>0</v>
      </c>
      <c r="AR3064">
        <v>0</v>
      </c>
      <c r="AT3064">
        <v>0</v>
      </c>
      <c r="AU3064">
        <v>0</v>
      </c>
      <c r="AW3064">
        <v>0</v>
      </c>
      <c r="AX3064">
        <v>0</v>
      </c>
      <c r="AY3064">
        <v>0</v>
      </c>
      <c r="BC3064" t="str">
        <f>T("9791170151678")</f>
        <v>9791170151678</v>
      </c>
      <c r="BE3064" t="str">
        <f>T("판타지 웹소설 &gt; 현대 판타지")</f>
        <v>판타지 웹소설 &gt; 현대 판타지</v>
      </c>
    </row>
    <row r="3065" spans="1:57" x14ac:dyDescent="0.3">
      <c r="A3065">
        <v>1525013020</v>
      </c>
      <c r="B3065">
        <v>1525013036</v>
      </c>
      <c r="C3065" t="str">
        <f>T("악당의 리턴 17화")</f>
        <v>악당의 리턴 17화</v>
      </c>
      <c r="D3065" t="str">
        <f>T("17")</f>
        <v>17</v>
      </c>
      <c r="E3065" t="str">
        <f>T("백범(白帆)")</f>
        <v>백범(白帆)</v>
      </c>
      <c r="H3065" t="str">
        <f>T("에필로그")</f>
        <v>에필로그</v>
      </c>
      <c r="I3065" t="str">
        <f>T("악당의 리턴")</f>
        <v>악당의 리턴</v>
      </c>
      <c r="J3065">
        <v>0</v>
      </c>
      <c r="K3065">
        <v>0</v>
      </c>
      <c r="L3065">
        <v>0</v>
      </c>
      <c r="M3065">
        <v>6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6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Q3065">
        <v>0</v>
      </c>
      <c r="AR3065">
        <v>0</v>
      </c>
      <c r="AT3065">
        <v>0</v>
      </c>
      <c r="AU3065">
        <v>0</v>
      </c>
      <c r="AW3065">
        <v>0</v>
      </c>
      <c r="AX3065">
        <v>0</v>
      </c>
      <c r="AY3065">
        <v>0</v>
      </c>
      <c r="BC3065" t="str">
        <f>T("9791196538927")</f>
        <v>9791196538927</v>
      </c>
      <c r="BE3065" t="str">
        <f>T("판타지 웹소설 &gt; 현대 판타지")</f>
        <v>판타지 웹소설 &gt; 현대 판타지</v>
      </c>
    </row>
    <row r="3066" spans="1:57" x14ac:dyDescent="0.3">
      <c r="A3066">
        <v>1525000569</v>
      </c>
      <c r="B3066">
        <v>1525000570</v>
      </c>
      <c r="C3066" t="str">
        <f>T("스트라이커 2화")</f>
        <v>스트라이커 2화</v>
      </c>
      <c r="D3066" t="str">
        <f>T("2")</f>
        <v>2</v>
      </c>
      <c r="E3066" t="str">
        <f>T("독고진")</f>
        <v>독고진</v>
      </c>
      <c r="H3066" t="str">
        <f>T("스토리위즈")</f>
        <v>스토리위즈</v>
      </c>
      <c r="I3066" t="str">
        <f>T("스트라이커")</f>
        <v>스트라이커</v>
      </c>
      <c r="J3066">
        <v>0</v>
      </c>
      <c r="K3066">
        <v>0</v>
      </c>
      <c r="L3066">
        <v>0</v>
      </c>
      <c r="M3066">
        <v>2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2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Q3066">
        <v>0</v>
      </c>
      <c r="AR3066">
        <v>0</v>
      </c>
      <c r="AT3066">
        <v>0</v>
      </c>
      <c r="AU3066">
        <v>0</v>
      </c>
      <c r="AW3066">
        <v>0</v>
      </c>
      <c r="AX3066">
        <v>0</v>
      </c>
      <c r="AY3066">
        <v>0</v>
      </c>
      <c r="BC3066" t="str">
        <f>T("9791170151678")</f>
        <v>9791170151678</v>
      </c>
      <c r="BE3066" t="str">
        <f>T("판타지 웹소설 &gt; 현대 판타지")</f>
        <v>판타지 웹소설 &gt; 현대 판타지</v>
      </c>
    </row>
    <row r="3067" spans="1:57" x14ac:dyDescent="0.3">
      <c r="A3067">
        <v>1525010944</v>
      </c>
      <c r="B3067">
        <v>1525010937</v>
      </c>
      <c r="C3067" t="str">
        <f>T("[e북]법보다 주먹 8권")</f>
        <v>[e북]법보다 주먹 8권</v>
      </c>
      <c r="D3067" t="str">
        <f>T("8")</f>
        <v>8</v>
      </c>
      <c r="E3067" t="str">
        <f>T("백범(白帆)")</f>
        <v>백범(白帆)</v>
      </c>
      <c r="H3067" t="str">
        <f>T("에필로그")</f>
        <v>에필로그</v>
      </c>
      <c r="I3067" t="str">
        <f>T("[e북]법보다 주먹")</f>
        <v>[e북]법보다 주먹</v>
      </c>
      <c r="J3067">
        <v>2000</v>
      </c>
      <c r="K3067">
        <v>0</v>
      </c>
      <c r="L3067">
        <v>0</v>
      </c>
      <c r="M3067">
        <v>0</v>
      </c>
      <c r="N3067">
        <v>900</v>
      </c>
      <c r="O3067">
        <v>1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900</v>
      </c>
      <c r="AH3067">
        <v>1</v>
      </c>
      <c r="AI3067">
        <v>0</v>
      </c>
      <c r="AJ3067">
        <v>0</v>
      </c>
      <c r="AK3067">
        <v>0</v>
      </c>
      <c r="AL3067">
        <v>0</v>
      </c>
      <c r="AM3067">
        <v>1080</v>
      </c>
      <c r="AN3067">
        <v>-324</v>
      </c>
      <c r="AO3067">
        <v>0</v>
      </c>
      <c r="AQ3067">
        <v>0</v>
      </c>
      <c r="AR3067">
        <v>0</v>
      </c>
      <c r="AS3067">
        <v>1080</v>
      </c>
      <c r="AT3067">
        <v>-324</v>
      </c>
      <c r="AU3067">
        <v>0</v>
      </c>
      <c r="AW3067">
        <v>0</v>
      </c>
      <c r="AX3067">
        <v>0</v>
      </c>
      <c r="AY3067">
        <v>529.20000000000005</v>
      </c>
      <c r="BC3067" t="str">
        <f>T("9791164480142")</f>
        <v>9791164480142</v>
      </c>
      <c r="BE3067" t="str">
        <f>T("판타지 e북 &gt; 현대 판타지")</f>
        <v>판타지 e북 &gt; 현대 판타지</v>
      </c>
    </row>
    <row r="3068" spans="1:57" x14ac:dyDescent="0.3">
      <c r="A3068">
        <v>1525000001</v>
      </c>
      <c r="B3068">
        <v>1525000010</v>
      </c>
      <c r="C3068" t="str">
        <f>T("[e북]마스터 K 10권")</f>
        <v>[e북]마스터 K 10권</v>
      </c>
      <c r="D3068" t="str">
        <f>T("10")</f>
        <v>10</v>
      </c>
      <c r="E3068" t="str">
        <f>T("김광수")</f>
        <v>김광수</v>
      </c>
      <c r="H3068" t="str">
        <f>T("스토리위즈")</f>
        <v>스토리위즈</v>
      </c>
      <c r="I3068" t="str">
        <f>T("[e북]마스터 K")</f>
        <v>[e북]마스터 K</v>
      </c>
      <c r="J3068">
        <v>3200</v>
      </c>
      <c r="K3068">
        <v>0</v>
      </c>
      <c r="L3068">
        <v>0</v>
      </c>
      <c r="M3068">
        <v>0</v>
      </c>
      <c r="N3068">
        <v>900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900</v>
      </c>
      <c r="AH3068">
        <v>1</v>
      </c>
      <c r="AI3068">
        <v>0</v>
      </c>
      <c r="AJ3068">
        <v>0</v>
      </c>
      <c r="AK3068">
        <v>900</v>
      </c>
      <c r="AL3068">
        <v>0</v>
      </c>
      <c r="AM3068">
        <v>0</v>
      </c>
      <c r="AN3068">
        <v>0</v>
      </c>
      <c r="AO3068">
        <v>0</v>
      </c>
      <c r="AQ3068">
        <v>0</v>
      </c>
      <c r="AR3068">
        <v>0</v>
      </c>
      <c r="AT3068">
        <v>0</v>
      </c>
      <c r="AU3068">
        <v>0</v>
      </c>
      <c r="AW3068">
        <v>0</v>
      </c>
      <c r="AX3068">
        <v>0</v>
      </c>
      <c r="AY3068">
        <v>630</v>
      </c>
      <c r="BE3068" t="str">
        <f>T("판타지 e북 &gt; 스포츠물")</f>
        <v>판타지 e북 &gt; 스포츠물</v>
      </c>
    </row>
    <row r="3069" spans="1:57" x14ac:dyDescent="0.3">
      <c r="A3069">
        <v>1525004988</v>
      </c>
      <c r="B3069">
        <v>1525005289</v>
      </c>
      <c r="C3069" t="str">
        <f>T("용무쌍 2화")</f>
        <v>용무쌍 2화</v>
      </c>
      <c r="D3069" t="str">
        <f>T("2")</f>
        <v>2</v>
      </c>
      <c r="E3069" t="str">
        <f>T("권용찬")</f>
        <v>권용찬</v>
      </c>
      <c r="H3069" t="str">
        <f>T("스토리위즈")</f>
        <v>스토리위즈</v>
      </c>
      <c r="I3069" t="str">
        <f>T("용무쌍")</f>
        <v>용무쌍</v>
      </c>
      <c r="J3069">
        <v>0</v>
      </c>
      <c r="K3069">
        <v>0</v>
      </c>
      <c r="L3069">
        <v>0</v>
      </c>
      <c r="M3069">
        <v>2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2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Q3069">
        <v>0</v>
      </c>
      <c r="AR3069">
        <v>0</v>
      </c>
      <c r="AT3069">
        <v>0</v>
      </c>
      <c r="AU3069">
        <v>0</v>
      </c>
      <c r="AW3069">
        <v>0</v>
      </c>
      <c r="AX3069">
        <v>0</v>
      </c>
      <c r="AY3069">
        <v>0</v>
      </c>
      <c r="BC3069" t="str">
        <f>T("9791159284861")</f>
        <v>9791159284861</v>
      </c>
      <c r="BE3069" t="str">
        <f>T("판타지 웹소설 &gt; 무협 소설")</f>
        <v>판타지 웹소설 &gt; 무협 소설</v>
      </c>
    </row>
    <row r="3070" spans="1:57" x14ac:dyDescent="0.3">
      <c r="A3070">
        <v>1525000924</v>
      </c>
      <c r="B3070">
        <v>1525000937</v>
      </c>
      <c r="C3070" t="str">
        <f>T("스피릿 소드 14화")</f>
        <v>스피릿 소드 14화</v>
      </c>
      <c r="D3070" t="str">
        <f>T("14")</f>
        <v>14</v>
      </c>
      <c r="E3070" t="str">
        <f>T("김정률")</f>
        <v>김정률</v>
      </c>
      <c r="H3070" t="str">
        <f>T("스토리위즈")</f>
        <v>스토리위즈</v>
      </c>
      <c r="I3070" t="str">
        <f>T("스피릿 소드")</f>
        <v>스피릿 소드</v>
      </c>
      <c r="J3070">
        <v>0</v>
      </c>
      <c r="K3070">
        <v>0</v>
      </c>
      <c r="L3070">
        <v>0</v>
      </c>
      <c r="M3070">
        <v>1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1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Q3070">
        <v>0</v>
      </c>
      <c r="AR3070">
        <v>0</v>
      </c>
      <c r="AT3070">
        <v>0</v>
      </c>
      <c r="AU3070">
        <v>0</v>
      </c>
      <c r="AW3070">
        <v>0</v>
      </c>
      <c r="AX3070">
        <v>0</v>
      </c>
      <c r="AY3070">
        <v>0</v>
      </c>
      <c r="BA3070" t="str">
        <f>T("9791159282713")</f>
        <v>9791159282713</v>
      </c>
      <c r="BC3070" t="str">
        <f>T("9791159282713")</f>
        <v>9791159282713</v>
      </c>
      <c r="BE3070" t="str">
        <f>T("판타지 웹소설 &gt; 정통 판타지")</f>
        <v>판타지 웹소설 &gt; 정통 판타지</v>
      </c>
    </row>
    <row r="3071" spans="1:57" x14ac:dyDescent="0.3">
      <c r="A3071">
        <v>1525002692</v>
      </c>
      <c r="B3071">
        <v>1525002694</v>
      </c>
      <c r="C3071" t="str">
        <f>T("신규무사 3화")</f>
        <v>신규무사 3화</v>
      </c>
      <c r="D3071" t="str">
        <f>T("3")</f>
        <v>3</v>
      </c>
      <c r="E3071" t="str">
        <f>T("권용찬")</f>
        <v>권용찬</v>
      </c>
      <c r="H3071" t="str">
        <f>T("스토리위즈")</f>
        <v>스토리위즈</v>
      </c>
      <c r="I3071" t="str">
        <f>T("신규무사")</f>
        <v>신규무사</v>
      </c>
      <c r="J3071">
        <v>0</v>
      </c>
      <c r="K3071">
        <v>0</v>
      </c>
      <c r="L3071">
        <v>0</v>
      </c>
      <c r="M3071">
        <v>1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1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Q3071">
        <v>0</v>
      </c>
      <c r="AR3071">
        <v>0</v>
      </c>
      <c r="AT3071">
        <v>0</v>
      </c>
      <c r="AU3071">
        <v>0</v>
      </c>
      <c r="AW3071">
        <v>0</v>
      </c>
      <c r="AX3071">
        <v>0</v>
      </c>
      <c r="AY3071">
        <v>0</v>
      </c>
      <c r="BC3071" t="str">
        <f>T("9791159287480")</f>
        <v>9791159287480</v>
      </c>
      <c r="BE3071" t="str">
        <f>T("판타지 웹소설 &gt; 무협 소설")</f>
        <v>판타지 웹소설 &gt; 무협 소설</v>
      </c>
    </row>
    <row r="3072" spans="1:57" x14ac:dyDescent="0.3">
      <c r="A3072">
        <v>1525013418</v>
      </c>
      <c r="B3072">
        <v>1525013425</v>
      </c>
      <c r="C3072" t="str">
        <f>T("[e북]헌터 킹 8권 (완결)")</f>
        <v>[e북]헌터 킹 8권 (완결)</v>
      </c>
      <c r="D3072" t="str">
        <f>T("8")</f>
        <v>8</v>
      </c>
      <c r="E3072" t="str">
        <f>T("백범(白帆)")</f>
        <v>백범(白帆)</v>
      </c>
      <c r="H3072" t="str">
        <f>T("에필로그")</f>
        <v>에필로그</v>
      </c>
      <c r="I3072" t="str">
        <f>T("[e북]헌터 킹")</f>
        <v>[e북]헌터 킹</v>
      </c>
      <c r="J3072">
        <v>2000</v>
      </c>
      <c r="K3072">
        <v>0</v>
      </c>
      <c r="L3072">
        <v>0</v>
      </c>
      <c r="M3072">
        <v>0</v>
      </c>
      <c r="N3072">
        <v>1800</v>
      </c>
      <c r="O3072">
        <v>2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1800</v>
      </c>
      <c r="AH3072">
        <v>2</v>
      </c>
      <c r="AI3072">
        <v>0</v>
      </c>
      <c r="AJ3072">
        <v>0</v>
      </c>
      <c r="AK3072">
        <v>1800</v>
      </c>
      <c r="AL3072">
        <v>0</v>
      </c>
      <c r="AM3072">
        <v>0</v>
      </c>
      <c r="AN3072">
        <v>0</v>
      </c>
      <c r="AO3072">
        <v>0</v>
      </c>
      <c r="AQ3072">
        <v>0</v>
      </c>
      <c r="AR3072">
        <v>0</v>
      </c>
      <c r="AT3072">
        <v>0</v>
      </c>
      <c r="AU3072">
        <v>0</v>
      </c>
      <c r="AW3072">
        <v>0</v>
      </c>
      <c r="AX3072">
        <v>0</v>
      </c>
      <c r="AY3072">
        <v>1260</v>
      </c>
      <c r="BA3072" t="str">
        <f>T("0000000000000")</f>
        <v>0000000000000</v>
      </c>
      <c r="BC3072" t="str">
        <f>T("9791164480234")</f>
        <v>9791164480234</v>
      </c>
      <c r="BE3072" t="str">
        <f>T("판타지 e북 &gt; 퓨전 판타지")</f>
        <v>판타지 e북 &gt; 퓨전 판타지</v>
      </c>
    </row>
    <row r="3073" spans="1:57" x14ac:dyDescent="0.3">
      <c r="A3073">
        <v>1525000022</v>
      </c>
      <c r="B3073">
        <v>1525000052</v>
      </c>
      <c r="C3073" t="str">
        <f>T("[e북]마계대공 연대기 30권 (완결)")</f>
        <v>[e북]마계대공 연대기 30권 (완결)</v>
      </c>
      <c r="D3073" t="str">
        <f>T("30")</f>
        <v>30</v>
      </c>
      <c r="E3073" t="str">
        <f>T("김광수")</f>
        <v>김광수</v>
      </c>
      <c r="H3073" t="str">
        <f>T("스토리위즈")</f>
        <v>스토리위즈</v>
      </c>
      <c r="I3073" t="str">
        <f>T("[e북]마계대공 연대기")</f>
        <v>[e북]마계대공 연대기</v>
      </c>
      <c r="J3073">
        <v>3200</v>
      </c>
      <c r="K3073">
        <v>0</v>
      </c>
      <c r="L3073">
        <v>0</v>
      </c>
      <c r="M3073">
        <v>0</v>
      </c>
      <c r="N3073">
        <v>1800</v>
      </c>
      <c r="O3073">
        <v>2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1800</v>
      </c>
      <c r="AH3073">
        <v>2</v>
      </c>
      <c r="AI3073">
        <v>0</v>
      </c>
      <c r="AJ3073">
        <v>0</v>
      </c>
      <c r="AK3073">
        <v>900</v>
      </c>
      <c r="AL3073">
        <v>0</v>
      </c>
      <c r="AM3073">
        <v>1080</v>
      </c>
      <c r="AN3073">
        <v>-108</v>
      </c>
      <c r="AO3073">
        <v>0</v>
      </c>
      <c r="AQ3073">
        <v>0</v>
      </c>
      <c r="AR3073">
        <v>0</v>
      </c>
      <c r="AS3073">
        <v>1080</v>
      </c>
      <c r="AT3073">
        <v>-108</v>
      </c>
      <c r="AU3073">
        <v>0</v>
      </c>
      <c r="AW3073">
        <v>0</v>
      </c>
      <c r="AX3073">
        <v>0</v>
      </c>
      <c r="AY3073">
        <v>1310.4000000000001</v>
      </c>
      <c r="BC3073" t="str">
        <f>T("9788925125862")</f>
        <v>9788925125862</v>
      </c>
      <c r="BE3073" t="str">
        <f>T("판타지 e북 &gt; 퓨전 판타지")</f>
        <v>판타지 e북 &gt; 퓨전 판타지</v>
      </c>
    </row>
    <row r="3074" spans="1:57" x14ac:dyDescent="0.3">
      <c r="A3074">
        <v>1525008545</v>
      </c>
      <c r="B3074">
        <v>1525008556</v>
      </c>
      <c r="C3074" t="str">
        <f>T("소년연애담 2화")</f>
        <v>소년연애담 2화</v>
      </c>
      <c r="D3074" t="str">
        <f>T("2")</f>
        <v>2</v>
      </c>
      <c r="E3074" t="str">
        <f>T("나나코")</f>
        <v>나나코</v>
      </c>
      <c r="H3074" t="str">
        <f>T("블러쉬")</f>
        <v>블러쉬</v>
      </c>
      <c r="I3074" t="str">
        <f>T("소년연애담")</f>
        <v>소년연애담</v>
      </c>
      <c r="J3074">
        <v>0</v>
      </c>
      <c r="K3074">
        <v>0</v>
      </c>
      <c r="L3074">
        <v>0</v>
      </c>
      <c r="M3074">
        <v>1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1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Q3074">
        <v>0</v>
      </c>
      <c r="AR3074">
        <v>0</v>
      </c>
      <c r="AT3074">
        <v>0</v>
      </c>
      <c r="AU3074">
        <v>0</v>
      </c>
      <c r="AW3074">
        <v>0</v>
      </c>
      <c r="AX3074">
        <v>0</v>
      </c>
      <c r="AY3074">
        <v>0</v>
      </c>
      <c r="BA3074" t="str">
        <f>T("0000000000000")</f>
        <v>0000000000000</v>
      </c>
      <c r="BC3074" t="str">
        <f>T("9791164890729")</f>
        <v>9791164890729</v>
      </c>
      <c r="BD3074" t="str">
        <f>T("B12")</f>
        <v>B12</v>
      </c>
      <c r="BE3074" t="str">
        <f>T("BL 웹소설 &gt; 현대물")</f>
        <v>BL 웹소설 &gt; 현대물</v>
      </c>
    </row>
    <row r="3075" spans="1:57" x14ac:dyDescent="0.3">
      <c r="A3075">
        <v>1525004030</v>
      </c>
      <c r="B3075">
        <v>1525004043</v>
      </c>
      <c r="C3075" t="str">
        <f>T("회귀의 전설 14화")</f>
        <v>회귀의 전설 14화</v>
      </c>
      <c r="D3075" t="str">
        <f>T("14")</f>
        <v>14</v>
      </c>
      <c r="E3075" t="str">
        <f>T("김광수")</f>
        <v>김광수</v>
      </c>
      <c r="H3075" t="str">
        <f>T("스토리위즈")</f>
        <v>스토리위즈</v>
      </c>
      <c r="I3075" t="str">
        <f>T("회귀의 전설")</f>
        <v>회귀의 전설</v>
      </c>
      <c r="J3075">
        <v>0</v>
      </c>
      <c r="K3075">
        <v>0</v>
      </c>
      <c r="L3075">
        <v>0</v>
      </c>
      <c r="M3075">
        <v>7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7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Q3075">
        <v>0</v>
      </c>
      <c r="AR3075">
        <v>0</v>
      </c>
      <c r="AT3075">
        <v>0</v>
      </c>
      <c r="AU3075">
        <v>0</v>
      </c>
      <c r="AW3075">
        <v>0</v>
      </c>
      <c r="AX3075">
        <v>0</v>
      </c>
      <c r="AY3075">
        <v>0</v>
      </c>
      <c r="BC3075" t="str">
        <f>T("9788997946006")</f>
        <v>9788997946006</v>
      </c>
      <c r="BE3075" t="str">
        <f>T("판타지 웹소설 &gt; 현대 판타지")</f>
        <v>판타지 웹소설 &gt; 현대 판타지</v>
      </c>
    </row>
    <row r="3076" spans="1:57" x14ac:dyDescent="0.3">
      <c r="A3076">
        <v>1525014780</v>
      </c>
      <c r="B3076">
        <v>1525014783</v>
      </c>
      <c r="C3076" t="str">
        <f>T("크랭키 걸즈 4화")</f>
        <v>크랭키 걸즈 4화</v>
      </c>
      <c r="D3076" t="str">
        <f>T("4")</f>
        <v>4</v>
      </c>
      <c r="E3076" t="str">
        <f>T("곽도우")</f>
        <v>곽도우</v>
      </c>
      <c r="H3076" t="str">
        <f>T("스토리아크")</f>
        <v>스토리아크</v>
      </c>
      <c r="I3076" t="str">
        <f>T("크랭키 걸즈")</f>
        <v>크랭키 걸즈</v>
      </c>
      <c r="J3076">
        <v>0</v>
      </c>
      <c r="K3076">
        <v>0</v>
      </c>
      <c r="L3076">
        <v>0</v>
      </c>
      <c r="M3076">
        <v>1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1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Q3076">
        <v>0</v>
      </c>
      <c r="AR3076">
        <v>0</v>
      </c>
      <c r="AT3076">
        <v>0</v>
      </c>
      <c r="AU3076">
        <v>0</v>
      </c>
      <c r="AW3076">
        <v>0</v>
      </c>
      <c r="AX3076">
        <v>0</v>
      </c>
      <c r="AY3076">
        <v>0</v>
      </c>
      <c r="BC3076" t="str">
        <f>T("9791191039276")</f>
        <v>9791191039276</v>
      </c>
      <c r="BE3076" t="str">
        <f>T("판타지 웹소설 &gt; 현대 판타지")</f>
        <v>판타지 웹소설 &gt; 현대 판타지</v>
      </c>
    </row>
    <row r="3077" spans="1:57" x14ac:dyDescent="0.3">
      <c r="A3077">
        <v>1525001508</v>
      </c>
      <c r="B3077">
        <v>1525001509</v>
      </c>
      <c r="C3077" t="str">
        <f>T("[e북]칼 2권")</f>
        <v>[e북]칼 2권</v>
      </c>
      <c r="D3077" t="str">
        <f>T("2")</f>
        <v>2</v>
      </c>
      <c r="E3077" t="str">
        <f>T("권용찬")</f>
        <v>권용찬</v>
      </c>
      <c r="H3077" t="str">
        <f>T("스토리위즈")</f>
        <v>스토리위즈</v>
      </c>
      <c r="I3077" t="str">
        <f>T("[e북]칼")</f>
        <v>[e북]칼</v>
      </c>
      <c r="J3077">
        <v>3200</v>
      </c>
      <c r="K3077">
        <v>0</v>
      </c>
      <c r="L3077">
        <v>0</v>
      </c>
      <c r="M3077">
        <v>0</v>
      </c>
      <c r="N3077">
        <v>900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900</v>
      </c>
      <c r="AH3077">
        <v>1</v>
      </c>
      <c r="AI3077">
        <v>0</v>
      </c>
      <c r="AJ3077">
        <v>0</v>
      </c>
      <c r="AK3077">
        <v>900</v>
      </c>
      <c r="AL3077">
        <v>0</v>
      </c>
      <c r="AM3077">
        <v>0</v>
      </c>
      <c r="AN3077">
        <v>0</v>
      </c>
      <c r="AO3077">
        <v>0</v>
      </c>
      <c r="AQ3077">
        <v>0</v>
      </c>
      <c r="AR3077">
        <v>0</v>
      </c>
      <c r="AT3077">
        <v>0</v>
      </c>
      <c r="AU3077">
        <v>0</v>
      </c>
      <c r="AW3077">
        <v>0</v>
      </c>
      <c r="AX3077">
        <v>0</v>
      </c>
      <c r="AY3077">
        <v>630</v>
      </c>
      <c r="BC3077" t="str">
        <f>T("9791159282362")</f>
        <v>9791159282362</v>
      </c>
      <c r="BE3077" t="str">
        <f>T("판타지 e북 &gt; 신무협")</f>
        <v>판타지 e북 &gt; 신무협</v>
      </c>
    </row>
    <row r="3078" spans="1:57" x14ac:dyDescent="0.3">
      <c r="A3078">
        <v>1525002864</v>
      </c>
      <c r="B3078">
        <v>1525002868</v>
      </c>
      <c r="C3078" t="str">
        <f>T("소드마스터의 환생 5화")</f>
        <v>소드마스터의 환생 5화</v>
      </c>
      <c r="D3078" t="str">
        <f>T("5")</f>
        <v>5</v>
      </c>
      <c r="E3078" t="str">
        <f>T("파란영")</f>
        <v>파란영</v>
      </c>
      <c r="H3078" t="str">
        <f>T("스토리위즈")</f>
        <v>스토리위즈</v>
      </c>
      <c r="I3078" t="str">
        <f>T("소드마스터의 환생")</f>
        <v>소드마스터의 환생</v>
      </c>
      <c r="J3078">
        <v>0</v>
      </c>
      <c r="K3078">
        <v>0</v>
      </c>
      <c r="L3078">
        <v>0</v>
      </c>
      <c r="M3078">
        <v>3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3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Q3078">
        <v>0</v>
      </c>
      <c r="AR3078">
        <v>0</v>
      </c>
      <c r="AT3078">
        <v>0</v>
      </c>
      <c r="AU3078">
        <v>0</v>
      </c>
      <c r="AW3078">
        <v>0</v>
      </c>
      <c r="AX3078">
        <v>0</v>
      </c>
      <c r="AY3078">
        <v>0</v>
      </c>
      <c r="BC3078" t="str">
        <f>T("9791159287527")</f>
        <v>9791159287527</v>
      </c>
      <c r="BE3078" t="str">
        <f>T("판타지 웹소설 &gt; 정통 판타지")</f>
        <v>판타지 웹소설 &gt; 정통 판타지</v>
      </c>
    </row>
    <row r="3079" spans="1:57" x14ac:dyDescent="0.3">
      <c r="A3079">
        <v>1525007923</v>
      </c>
      <c r="B3079">
        <v>1525007934</v>
      </c>
      <c r="C3079" t="str">
        <f>T("운상연담: 화불능귀일락 2화")</f>
        <v>운상연담: 화불능귀일락 2화</v>
      </c>
      <c r="D3079" t="str">
        <f>T("2")</f>
        <v>2</v>
      </c>
      <c r="E3079" t="str">
        <f>T("피모")</f>
        <v>피모</v>
      </c>
      <c r="H3079" t="str">
        <f>T("쉬라즈")</f>
        <v>쉬라즈</v>
      </c>
      <c r="I3079" t="str">
        <f>T("운상연담: 화불능귀일락")</f>
        <v>운상연담: 화불능귀일락</v>
      </c>
      <c r="J3079">
        <v>0</v>
      </c>
      <c r="K3079">
        <v>0</v>
      </c>
      <c r="L3079">
        <v>0</v>
      </c>
      <c r="M3079">
        <v>5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5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Q3079">
        <v>0</v>
      </c>
      <c r="AR3079">
        <v>0</v>
      </c>
      <c r="AT3079">
        <v>0</v>
      </c>
      <c r="AU3079">
        <v>0</v>
      </c>
      <c r="AW3079">
        <v>0</v>
      </c>
      <c r="AX3079">
        <v>0</v>
      </c>
      <c r="AY3079">
        <v>0</v>
      </c>
      <c r="BC3079" t="str">
        <f>T("9791164896646")</f>
        <v>9791164896646</v>
      </c>
      <c r="BE3079" t="str">
        <f>T("로맨스 웹소설 &gt; 역사/시대물")</f>
        <v>로맨스 웹소설 &gt; 역사/시대물</v>
      </c>
    </row>
    <row r="3080" spans="1:57" x14ac:dyDescent="0.3">
      <c r="A3080">
        <v>1525001317</v>
      </c>
      <c r="B3080">
        <v>1525001317</v>
      </c>
      <c r="C3080" t="str">
        <f>T("[e북]완전판 | 스트라이커 1권")</f>
        <v>[e북]완전판 | 스트라이커 1권</v>
      </c>
      <c r="D3080" t="str">
        <f>T("1")</f>
        <v>1</v>
      </c>
      <c r="E3080" t="str">
        <f>T("독고진")</f>
        <v>독고진</v>
      </c>
      <c r="H3080" t="str">
        <f>T("스토리위즈")</f>
        <v>스토리위즈</v>
      </c>
      <c r="I3080" t="str">
        <f>T("[e북]완전판 | 스트라이커")</f>
        <v>[e북]완전판 | 스트라이커</v>
      </c>
      <c r="J3080">
        <v>0</v>
      </c>
      <c r="K3080">
        <v>0</v>
      </c>
      <c r="L3080">
        <v>0</v>
      </c>
      <c r="M3080">
        <v>3</v>
      </c>
      <c r="N3080">
        <v>0</v>
      </c>
      <c r="O3080">
        <v>0</v>
      </c>
      <c r="P3080">
        <v>4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7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Q3080">
        <v>0</v>
      </c>
      <c r="AR3080">
        <v>0</v>
      </c>
      <c r="AT3080">
        <v>0</v>
      </c>
      <c r="AU3080">
        <v>0</v>
      </c>
      <c r="AW3080">
        <v>0</v>
      </c>
      <c r="AX3080">
        <v>0</v>
      </c>
      <c r="AY3080">
        <v>0</v>
      </c>
      <c r="BA3080" t="str">
        <f>T("9791159282836")</f>
        <v>9791159282836</v>
      </c>
      <c r="BC3080" t="str">
        <f>T("9791159282836")</f>
        <v>9791159282836</v>
      </c>
      <c r="BE3080" t="str">
        <f>T("판타지 e북 &gt; 스포츠물")</f>
        <v>판타지 e북 &gt; 스포츠물</v>
      </c>
    </row>
    <row r="3081" spans="1:57" x14ac:dyDescent="0.3">
      <c r="A3081">
        <v>1525000209</v>
      </c>
      <c r="B3081">
        <v>1525000210</v>
      </c>
      <c r="C3081" t="str">
        <f>T("[e북]독종무쌍 2권")</f>
        <v>[e북]독종무쌍 2권</v>
      </c>
      <c r="D3081" t="str">
        <f>T("2")</f>
        <v>2</v>
      </c>
      <c r="E3081" t="str">
        <f>T("전혁")</f>
        <v>전혁</v>
      </c>
      <c r="H3081" t="str">
        <f>T("스토리위즈")</f>
        <v>스토리위즈</v>
      </c>
      <c r="I3081" t="str">
        <f>T("[e북]독종무쌍")</f>
        <v>[e북]독종무쌍</v>
      </c>
      <c r="J3081">
        <v>3200</v>
      </c>
      <c r="K3081">
        <v>0</v>
      </c>
      <c r="L3081">
        <v>0</v>
      </c>
      <c r="M3081">
        <v>0</v>
      </c>
      <c r="N3081">
        <v>1800</v>
      </c>
      <c r="O3081">
        <v>2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1800</v>
      </c>
      <c r="AH3081">
        <v>2</v>
      </c>
      <c r="AI3081">
        <v>0</v>
      </c>
      <c r="AJ3081">
        <v>0</v>
      </c>
      <c r="AK3081">
        <v>0</v>
      </c>
      <c r="AL3081">
        <v>0</v>
      </c>
      <c r="AM3081">
        <v>2160</v>
      </c>
      <c r="AN3081">
        <v>-216</v>
      </c>
      <c r="AO3081">
        <v>0</v>
      </c>
      <c r="AQ3081">
        <v>0</v>
      </c>
      <c r="AR3081">
        <v>0</v>
      </c>
      <c r="AS3081">
        <v>2160</v>
      </c>
      <c r="AT3081">
        <v>-216</v>
      </c>
      <c r="AU3081">
        <v>0</v>
      </c>
      <c r="AW3081">
        <v>0</v>
      </c>
      <c r="AX3081">
        <v>0</v>
      </c>
      <c r="AY3081">
        <v>1360.8</v>
      </c>
      <c r="BC3081" t="str">
        <f>T("9791195310043")</f>
        <v>9791195310043</v>
      </c>
      <c r="BE3081" t="str">
        <f>T("판타지 e북 &gt; 신무협")</f>
        <v>판타지 e북 &gt; 신무협</v>
      </c>
    </row>
    <row r="3082" spans="1:57" x14ac:dyDescent="0.3">
      <c r="A3082">
        <v>1525010579</v>
      </c>
      <c r="B3082">
        <v>1525010575</v>
      </c>
      <c r="C3082" t="str">
        <f>T("법보다 주먹 3화")</f>
        <v>법보다 주먹 3화</v>
      </c>
      <c r="D3082" t="str">
        <f>T("3")</f>
        <v>3</v>
      </c>
      <c r="E3082" t="str">
        <f>T("백범(白帆)")</f>
        <v>백범(白帆)</v>
      </c>
      <c r="H3082" t="str">
        <f>T("에필로그")</f>
        <v>에필로그</v>
      </c>
      <c r="I3082" t="str">
        <f>T("법보다 주먹")</f>
        <v>법보다 주먹</v>
      </c>
      <c r="J3082">
        <v>0</v>
      </c>
      <c r="K3082">
        <v>0</v>
      </c>
      <c r="L3082">
        <v>0</v>
      </c>
      <c r="M3082">
        <v>1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1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Q3082">
        <v>0</v>
      </c>
      <c r="AR3082">
        <v>0</v>
      </c>
      <c r="AT3082">
        <v>0</v>
      </c>
      <c r="AU3082">
        <v>0</v>
      </c>
      <c r="AW3082">
        <v>0</v>
      </c>
      <c r="AX3082">
        <v>0</v>
      </c>
      <c r="AY3082">
        <v>0</v>
      </c>
      <c r="BC3082" t="str">
        <f>T("9791164489367")</f>
        <v>9791164489367</v>
      </c>
      <c r="BE3082" t="str">
        <f>T("판타지 웹소설 &gt; 현대 판타지")</f>
        <v>판타지 웹소설 &gt; 현대 판타지</v>
      </c>
    </row>
    <row r="3083" spans="1:57" x14ac:dyDescent="0.3">
      <c r="A3083">
        <v>1525001908</v>
      </c>
      <c r="B3083">
        <v>1525001910</v>
      </c>
      <c r="C3083" t="str">
        <f>T("[e북]상왕 진우몽 3권")</f>
        <v>[e북]상왕 진우몽 3권</v>
      </c>
      <c r="D3083" t="str">
        <f>T("3")</f>
        <v>3</v>
      </c>
      <c r="E3083" t="str">
        <f>T("권용찬")</f>
        <v>권용찬</v>
      </c>
      <c r="H3083" t="str">
        <f>T("스토리위즈")</f>
        <v>스토리위즈</v>
      </c>
      <c r="I3083" t="str">
        <f>T("[e북]상왕 진우몽")</f>
        <v>[e북]상왕 진우몽</v>
      </c>
      <c r="J3083">
        <v>3200</v>
      </c>
      <c r="K3083">
        <v>0</v>
      </c>
      <c r="L3083">
        <v>0</v>
      </c>
      <c r="M3083">
        <v>0</v>
      </c>
      <c r="N3083">
        <v>1800</v>
      </c>
      <c r="O3083">
        <v>2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1800</v>
      </c>
      <c r="AH3083">
        <v>2</v>
      </c>
      <c r="AI3083">
        <v>0</v>
      </c>
      <c r="AJ3083">
        <v>0</v>
      </c>
      <c r="AK3083">
        <v>1700</v>
      </c>
      <c r="AL3083">
        <v>0</v>
      </c>
      <c r="AM3083">
        <v>120</v>
      </c>
      <c r="AN3083">
        <v>-36</v>
      </c>
      <c r="AO3083">
        <v>0</v>
      </c>
      <c r="AQ3083">
        <v>0</v>
      </c>
      <c r="AR3083">
        <v>0</v>
      </c>
      <c r="AS3083">
        <v>120</v>
      </c>
      <c r="AT3083">
        <v>-36</v>
      </c>
      <c r="AU3083">
        <v>0</v>
      </c>
      <c r="AW3083">
        <v>0</v>
      </c>
      <c r="AX3083">
        <v>0</v>
      </c>
      <c r="AY3083">
        <v>1248.8</v>
      </c>
      <c r="BC3083" t="str">
        <f>T("9791159285851")</f>
        <v>9791159285851</v>
      </c>
      <c r="BE3083" t="str">
        <f>T("판타지 e북 &gt; 신무협")</f>
        <v>판타지 e북 &gt; 신무협</v>
      </c>
    </row>
    <row r="3084" spans="1:57" x14ac:dyDescent="0.3">
      <c r="A3084">
        <v>1525008604</v>
      </c>
      <c r="B3084">
        <v>1525008604</v>
      </c>
      <c r="C3084" t="str">
        <f>T("우아한 곡선 1화")</f>
        <v>우아한 곡선 1화</v>
      </c>
      <c r="D3084" t="str">
        <f>T("1")</f>
        <v>1</v>
      </c>
      <c r="E3084" t="str">
        <f>T("용가리맛쿠키")</f>
        <v>용가리맛쿠키</v>
      </c>
      <c r="H3084" t="str">
        <f>T("블러쉬")</f>
        <v>블러쉬</v>
      </c>
      <c r="I3084" t="str">
        <f>T("우아한 곡선")</f>
        <v>우아한 곡선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1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Q3084">
        <v>0</v>
      </c>
      <c r="AR3084">
        <v>0</v>
      </c>
      <c r="AT3084">
        <v>0</v>
      </c>
      <c r="AU3084">
        <v>0</v>
      </c>
      <c r="AW3084">
        <v>0</v>
      </c>
      <c r="AX3084">
        <v>0</v>
      </c>
      <c r="AY3084">
        <v>0</v>
      </c>
      <c r="BA3084" t="str">
        <f>T("0000000000000")</f>
        <v>0000000000000</v>
      </c>
      <c r="BC3084" t="str">
        <f>T("9791164896615")</f>
        <v>9791164896615</v>
      </c>
      <c r="BE3084" t="str">
        <f>T("BL 웹소설 &gt; 현대물")</f>
        <v>BL 웹소설 &gt; 현대물</v>
      </c>
    </row>
    <row r="3085" spans="1:57" x14ac:dyDescent="0.3">
      <c r="A3085">
        <v>1525013020</v>
      </c>
      <c r="B3085">
        <v>1525013025</v>
      </c>
      <c r="C3085" t="str">
        <f>T("악당의 리턴 6화")</f>
        <v>악당의 리턴 6화</v>
      </c>
      <c r="D3085" t="str">
        <f>T("6")</f>
        <v>6</v>
      </c>
      <c r="E3085" t="str">
        <f>T("백범(白帆)")</f>
        <v>백범(白帆)</v>
      </c>
      <c r="H3085" t="str">
        <f>T("에필로그")</f>
        <v>에필로그</v>
      </c>
      <c r="I3085" t="str">
        <f>T("악당의 리턴")</f>
        <v>악당의 리턴</v>
      </c>
      <c r="J3085">
        <v>0</v>
      </c>
      <c r="K3085">
        <v>0</v>
      </c>
      <c r="L3085">
        <v>0</v>
      </c>
      <c r="M3085">
        <v>6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6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Q3085">
        <v>0</v>
      </c>
      <c r="AR3085">
        <v>0</v>
      </c>
      <c r="AT3085">
        <v>0</v>
      </c>
      <c r="AU3085">
        <v>0</v>
      </c>
      <c r="AW3085">
        <v>0</v>
      </c>
      <c r="AX3085">
        <v>0</v>
      </c>
      <c r="AY3085">
        <v>0</v>
      </c>
      <c r="BC3085" t="str">
        <f>T("9791196538927")</f>
        <v>9791196538927</v>
      </c>
      <c r="BE3085" t="str">
        <f>T("판타지 웹소설 &gt; 현대 판타지")</f>
        <v>판타지 웹소설 &gt; 현대 판타지</v>
      </c>
    </row>
    <row r="3086" spans="1:57" x14ac:dyDescent="0.3">
      <c r="A3086">
        <v>1525000411</v>
      </c>
      <c r="B3086">
        <v>1525000426</v>
      </c>
      <c r="C3086" t="str">
        <f>T("레이드 만물상점 16화")</f>
        <v>레이드 만물상점 16화</v>
      </c>
      <c r="D3086" t="str">
        <f>T("16")</f>
        <v>16</v>
      </c>
      <c r="E3086" t="str">
        <f>T("전혁")</f>
        <v>전혁</v>
      </c>
      <c r="H3086" t="str">
        <f>T("스토리위즈")</f>
        <v>스토리위즈</v>
      </c>
      <c r="I3086" t="str">
        <f>T("레이드 만물상점")</f>
        <v>레이드 만물상점</v>
      </c>
      <c r="J3086">
        <v>0</v>
      </c>
      <c r="K3086">
        <v>0</v>
      </c>
      <c r="L3086">
        <v>0</v>
      </c>
      <c r="M3086">
        <v>1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1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Q3086">
        <v>0</v>
      </c>
      <c r="AR3086">
        <v>0</v>
      </c>
      <c r="AT3086">
        <v>0</v>
      </c>
      <c r="AU3086">
        <v>0</v>
      </c>
      <c r="AW3086">
        <v>0</v>
      </c>
      <c r="AX3086">
        <v>0</v>
      </c>
      <c r="AY3086">
        <v>0</v>
      </c>
      <c r="BC3086" t="str">
        <f>T("9791170151432")</f>
        <v>9791170151432</v>
      </c>
      <c r="BE3086" t="str">
        <f>T("판타지 웹소설 &gt; 현대 판타지")</f>
        <v>판타지 웹소설 &gt; 현대 판타지</v>
      </c>
    </row>
    <row r="3087" spans="1:57" x14ac:dyDescent="0.3">
      <c r="A3087">
        <v>1525013320</v>
      </c>
      <c r="B3087">
        <v>1525013322</v>
      </c>
      <c r="C3087" t="str">
        <f>T("[e북]악당의 리턴 3권")</f>
        <v>[e북]악당의 리턴 3권</v>
      </c>
      <c r="D3087" t="str">
        <f>T("3")</f>
        <v>3</v>
      </c>
      <c r="E3087" t="str">
        <f>T("백범(白帆)")</f>
        <v>백범(白帆)</v>
      </c>
      <c r="H3087" t="str">
        <f>T("에필로그")</f>
        <v>에필로그</v>
      </c>
      <c r="I3087" t="str">
        <f>T("[e북]악당의 리턴")</f>
        <v>[e북]악당의 리턴</v>
      </c>
      <c r="J3087">
        <v>3200</v>
      </c>
      <c r="K3087">
        <v>0</v>
      </c>
      <c r="L3087">
        <v>0</v>
      </c>
      <c r="M3087">
        <v>0</v>
      </c>
      <c r="N3087">
        <v>1800</v>
      </c>
      <c r="O3087">
        <v>2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1800</v>
      </c>
      <c r="AH3087">
        <v>2</v>
      </c>
      <c r="AI3087">
        <v>0</v>
      </c>
      <c r="AJ3087">
        <v>0</v>
      </c>
      <c r="AK3087">
        <v>1800</v>
      </c>
      <c r="AL3087">
        <v>0</v>
      </c>
      <c r="AM3087">
        <v>0</v>
      </c>
      <c r="AN3087">
        <v>0</v>
      </c>
      <c r="AO3087">
        <v>0</v>
      </c>
      <c r="AQ3087">
        <v>0</v>
      </c>
      <c r="AR3087">
        <v>0</v>
      </c>
      <c r="AT3087">
        <v>0</v>
      </c>
      <c r="AU3087">
        <v>0</v>
      </c>
      <c r="AW3087">
        <v>0</v>
      </c>
      <c r="AX3087">
        <v>0</v>
      </c>
      <c r="AY3087">
        <v>1260</v>
      </c>
      <c r="BC3087" t="str">
        <f>T("9791164482870")</f>
        <v>9791164482870</v>
      </c>
      <c r="BE3087" t="str">
        <f>T("판타지 e북 &gt; 현대 판타지")</f>
        <v>판타지 e북 &gt; 현대 판타지</v>
      </c>
    </row>
    <row r="3088" spans="1:57" x14ac:dyDescent="0.3">
      <c r="A3088">
        <v>1525010944</v>
      </c>
      <c r="B3088">
        <v>1525010926</v>
      </c>
      <c r="C3088" t="str">
        <f>T("[e북]법보다 주먹 19권")</f>
        <v>[e북]법보다 주먹 19권</v>
      </c>
      <c r="D3088" t="str">
        <f>T("19")</f>
        <v>19</v>
      </c>
      <c r="E3088" t="str">
        <f>T("백범(白帆)")</f>
        <v>백범(白帆)</v>
      </c>
      <c r="H3088" t="str">
        <f>T("에필로그")</f>
        <v>에필로그</v>
      </c>
      <c r="I3088" t="str">
        <f>T("[e북]법보다 주먹")</f>
        <v>[e북]법보다 주먹</v>
      </c>
      <c r="J3088">
        <v>2000</v>
      </c>
      <c r="K3088">
        <v>0</v>
      </c>
      <c r="L3088">
        <v>0</v>
      </c>
      <c r="M3088">
        <v>0</v>
      </c>
      <c r="N3088">
        <v>1800</v>
      </c>
      <c r="O3088">
        <v>2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1800</v>
      </c>
      <c r="AH3088">
        <v>2</v>
      </c>
      <c r="AI3088">
        <v>0</v>
      </c>
      <c r="AJ3088">
        <v>0</v>
      </c>
      <c r="AK3088">
        <v>900</v>
      </c>
      <c r="AL3088">
        <v>0</v>
      </c>
      <c r="AM3088">
        <v>1080</v>
      </c>
      <c r="AN3088">
        <v>-324</v>
      </c>
      <c r="AO3088">
        <v>0</v>
      </c>
      <c r="AQ3088">
        <v>0</v>
      </c>
      <c r="AR3088">
        <v>0</v>
      </c>
      <c r="AS3088">
        <v>1080</v>
      </c>
      <c r="AT3088">
        <v>-324</v>
      </c>
      <c r="AU3088">
        <v>0</v>
      </c>
      <c r="AW3088">
        <v>0</v>
      </c>
      <c r="AX3088">
        <v>0</v>
      </c>
      <c r="AY3088">
        <v>1159.2</v>
      </c>
      <c r="BC3088" t="str">
        <f>T("9791164480142")</f>
        <v>9791164480142</v>
      </c>
      <c r="BE3088" t="str">
        <f>T("판타지 e북 &gt; 현대 판타지")</f>
        <v>판타지 e북 &gt; 현대 판타지</v>
      </c>
    </row>
    <row r="3089" spans="1:57" x14ac:dyDescent="0.3">
      <c r="A3089">
        <v>1525010579</v>
      </c>
      <c r="B3089">
        <v>1525010555</v>
      </c>
      <c r="C3089" t="str">
        <f>T("법보다 주먹 23화")</f>
        <v>법보다 주먹 23화</v>
      </c>
      <c r="D3089" t="str">
        <f>T("23")</f>
        <v>23</v>
      </c>
      <c r="E3089" t="str">
        <f>T("백범(白帆)")</f>
        <v>백범(白帆)</v>
      </c>
      <c r="H3089" t="str">
        <f>T("에필로그")</f>
        <v>에필로그</v>
      </c>
      <c r="I3089" t="str">
        <f>T("법보다 주먹")</f>
        <v>법보다 주먹</v>
      </c>
      <c r="J3089">
        <v>0</v>
      </c>
      <c r="K3089">
        <v>0</v>
      </c>
      <c r="L3089">
        <v>0</v>
      </c>
      <c r="M3089">
        <v>1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1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Q3089">
        <v>0</v>
      </c>
      <c r="AR3089">
        <v>0</v>
      </c>
      <c r="AT3089">
        <v>0</v>
      </c>
      <c r="AU3089">
        <v>0</v>
      </c>
      <c r="AW3089">
        <v>0</v>
      </c>
      <c r="AX3089">
        <v>0</v>
      </c>
      <c r="AY3089">
        <v>0</v>
      </c>
      <c r="BC3089" t="str">
        <f>T("9791164489367")</f>
        <v>9791164489367</v>
      </c>
      <c r="BE3089" t="str">
        <f>T("판타지 웹소설 &gt; 현대 판타지")</f>
        <v>판타지 웹소설 &gt; 현대 판타지</v>
      </c>
    </row>
    <row r="3090" spans="1:57" x14ac:dyDescent="0.3">
      <c r="A3090">
        <v>1525000199</v>
      </c>
      <c r="B3090">
        <v>1525000205</v>
      </c>
      <c r="C3090" t="str">
        <f>T("[e북]화산지애 7권")</f>
        <v>[e북]화산지애 7권</v>
      </c>
      <c r="D3090" t="str">
        <f>T("7")</f>
        <v>7</v>
      </c>
      <c r="E3090" t="str">
        <f>T("김광수")</f>
        <v>김광수</v>
      </c>
      <c r="H3090" t="str">
        <f>T("스토리위즈")</f>
        <v>스토리위즈</v>
      </c>
      <c r="I3090" t="str">
        <f>T("[e북]화산지애")</f>
        <v>[e북]화산지애</v>
      </c>
      <c r="J3090">
        <v>3200</v>
      </c>
      <c r="K3090">
        <v>0</v>
      </c>
      <c r="L3090">
        <v>0</v>
      </c>
      <c r="M3090">
        <v>0</v>
      </c>
      <c r="N3090">
        <v>900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900</v>
      </c>
      <c r="AH3090">
        <v>1</v>
      </c>
      <c r="AI3090">
        <v>0</v>
      </c>
      <c r="AJ3090">
        <v>0</v>
      </c>
      <c r="AK3090">
        <v>900</v>
      </c>
      <c r="AL3090">
        <v>0</v>
      </c>
      <c r="AM3090">
        <v>0</v>
      </c>
      <c r="AN3090">
        <v>0</v>
      </c>
      <c r="AO3090">
        <v>0</v>
      </c>
      <c r="AQ3090">
        <v>0</v>
      </c>
      <c r="AR3090">
        <v>0</v>
      </c>
      <c r="AT3090">
        <v>0</v>
      </c>
      <c r="AU3090">
        <v>0</v>
      </c>
      <c r="AW3090">
        <v>0</v>
      </c>
      <c r="AX3090">
        <v>0</v>
      </c>
      <c r="AY3090">
        <v>630</v>
      </c>
      <c r="BE3090" t="str">
        <f>T("판타지 e북 &gt; 신무협")</f>
        <v>판타지 e북 &gt; 신무협</v>
      </c>
    </row>
    <row r="3091" spans="1:57" x14ac:dyDescent="0.3">
      <c r="A3091">
        <v>1525000924</v>
      </c>
      <c r="B3091">
        <v>1525000926</v>
      </c>
      <c r="C3091" t="str">
        <f>T("스피릿 소드 3화")</f>
        <v>스피릿 소드 3화</v>
      </c>
      <c r="D3091" t="str">
        <f>T("3")</f>
        <v>3</v>
      </c>
      <c r="E3091" t="str">
        <f>T("김정률")</f>
        <v>김정률</v>
      </c>
      <c r="H3091" t="str">
        <f>T("스토리위즈")</f>
        <v>스토리위즈</v>
      </c>
      <c r="I3091" t="str">
        <f>T("스피릿 소드")</f>
        <v>스피릿 소드</v>
      </c>
      <c r="J3091">
        <v>0</v>
      </c>
      <c r="K3091">
        <v>0</v>
      </c>
      <c r="L3091">
        <v>0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1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Q3091">
        <v>0</v>
      </c>
      <c r="AR3091">
        <v>0</v>
      </c>
      <c r="AT3091">
        <v>0</v>
      </c>
      <c r="AU3091">
        <v>0</v>
      </c>
      <c r="AW3091">
        <v>0</v>
      </c>
      <c r="AX3091">
        <v>0</v>
      </c>
      <c r="AY3091">
        <v>0</v>
      </c>
      <c r="BA3091" t="str">
        <f>T("9791159282713")</f>
        <v>9791159282713</v>
      </c>
      <c r="BC3091" t="str">
        <f>T("9791159282713")</f>
        <v>9791159282713</v>
      </c>
      <c r="BE3091" t="str">
        <f>T("판타지 웹소설 &gt; 정통 판타지")</f>
        <v>판타지 웹소설 &gt; 정통 판타지</v>
      </c>
    </row>
    <row r="3092" spans="1:57" x14ac:dyDescent="0.3">
      <c r="A3092">
        <v>1525012202</v>
      </c>
      <c r="B3092">
        <v>1525012201</v>
      </c>
      <c r="C3092" t="str">
        <f>T("이세계 최강 군바리 2화")</f>
        <v>이세계 최강 군바리 2화</v>
      </c>
      <c r="D3092" t="str">
        <f>T("2")</f>
        <v>2</v>
      </c>
      <c r="E3092" t="str">
        <f>T("협행마")</f>
        <v>협행마</v>
      </c>
      <c r="H3092" t="str">
        <f>T("에필로그")</f>
        <v>에필로그</v>
      </c>
      <c r="I3092" t="str">
        <f>T("이세계 최강 군바리")</f>
        <v>이세계 최강 군바리</v>
      </c>
      <c r="J3092">
        <v>0</v>
      </c>
      <c r="K3092">
        <v>0</v>
      </c>
      <c r="L3092">
        <v>0</v>
      </c>
      <c r="M3092">
        <v>2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2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Q3092">
        <v>0</v>
      </c>
      <c r="AR3092">
        <v>0</v>
      </c>
      <c r="AT3092">
        <v>0</v>
      </c>
      <c r="AU3092">
        <v>0</v>
      </c>
      <c r="AW3092">
        <v>0</v>
      </c>
      <c r="AX3092">
        <v>0</v>
      </c>
      <c r="AY3092">
        <v>0</v>
      </c>
      <c r="BC3092" t="str">
        <f>T("9791164480159")</f>
        <v>9791164480159</v>
      </c>
      <c r="BE3092" t="str">
        <f>T("판타지 웹소설 &gt; 퓨전 판타지")</f>
        <v>판타지 웹소설 &gt; 퓨전 판타지</v>
      </c>
    </row>
    <row r="3093" spans="1:57" x14ac:dyDescent="0.3">
      <c r="A3093">
        <v>1525000569</v>
      </c>
      <c r="B3093">
        <v>1525000591</v>
      </c>
      <c r="C3093" t="str">
        <f>T("스트라이커 23화")</f>
        <v>스트라이커 23화</v>
      </c>
      <c r="D3093" t="str">
        <f>T("23")</f>
        <v>23</v>
      </c>
      <c r="E3093" t="str">
        <f>T("독고진")</f>
        <v>독고진</v>
      </c>
      <c r="H3093" t="str">
        <f>T("스토리위즈")</f>
        <v>스토리위즈</v>
      </c>
      <c r="I3093" t="str">
        <f>T("스트라이커")</f>
        <v>스트라이커</v>
      </c>
      <c r="J3093">
        <v>0</v>
      </c>
      <c r="K3093">
        <v>0</v>
      </c>
      <c r="L3093">
        <v>0</v>
      </c>
      <c r="M3093">
        <v>1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1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Q3093">
        <v>0</v>
      </c>
      <c r="AR3093">
        <v>0</v>
      </c>
      <c r="AT3093">
        <v>0</v>
      </c>
      <c r="AU3093">
        <v>0</v>
      </c>
      <c r="AW3093">
        <v>0</v>
      </c>
      <c r="AX3093">
        <v>0</v>
      </c>
      <c r="AY3093">
        <v>0</v>
      </c>
      <c r="BC3093" t="str">
        <f>T("9791170151678")</f>
        <v>9791170151678</v>
      </c>
      <c r="BE3093" t="str">
        <f>T("판타지 웹소설 &gt; 현대 판타지")</f>
        <v>판타지 웹소설 &gt; 현대 판타지</v>
      </c>
    </row>
    <row r="3094" spans="1:57" x14ac:dyDescent="0.3">
      <c r="A3094">
        <v>1525000022</v>
      </c>
      <c r="B3094">
        <v>1525000041</v>
      </c>
      <c r="C3094" t="str">
        <f>T("[e북]마계대공 연대기 19권")</f>
        <v>[e북]마계대공 연대기 19권</v>
      </c>
      <c r="D3094" t="str">
        <f>T("19")</f>
        <v>19</v>
      </c>
      <c r="E3094" t="str">
        <f>T("김광수")</f>
        <v>김광수</v>
      </c>
      <c r="H3094" t="str">
        <f>T("스토리위즈")</f>
        <v>스토리위즈</v>
      </c>
      <c r="I3094" t="str">
        <f>T("[e북]마계대공 연대기")</f>
        <v>[e북]마계대공 연대기</v>
      </c>
      <c r="J3094">
        <v>3200</v>
      </c>
      <c r="K3094">
        <v>0</v>
      </c>
      <c r="L3094">
        <v>0</v>
      </c>
      <c r="M3094">
        <v>0</v>
      </c>
      <c r="N3094">
        <v>2700</v>
      </c>
      <c r="O3094">
        <v>3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2700</v>
      </c>
      <c r="AH3094">
        <v>3</v>
      </c>
      <c r="AI3094">
        <v>0</v>
      </c>
      <c r="AJ3094">
        <v>0</v>
      </c>
      <c r="AK3094">
        <v>1800</v>
      </c>
      <c r="AL3094">
        <v>0</v>
      </c>
      <c r="AM3094">
        <v>1080</v>
      </c>
      <c r="AN3094">
        <v>-108</v>
      </c>
      <c r="AO3094">
        <v>0</v>
      </c>
      <c r="AQ3094">
        <v>0</v>
      </c>
      <c r="AR3094">
        <v>0</v>
      </c>
      <c r="AS3094">
        <v>1080</v>
      </c>
      <c r="AT3094">
        <v>-108</v>
      </c>
      <c r="AU3094">
        <v>0</v>
      </c>
      <c r="AW3094">
        <v>0</v>
      </c>
      <c r="AX3094">
        <v>0</v>
      </c>
      <c r="AY3094">
        <v>1940.4</v>
      </c>
      <c r="BE3094" t="str">
        <f>T("판타지 e북 &gt; 퓨전 판타지")</f>
        <v>판타지 e북 &gt; 퓨전 판타지</v>
      </c>
    </row>
    <row r="3095" spans="1:57" x14ac:dyDescent="0.3">
      <c r="A3095">
        <v>1525008545</v>
      </c>
      <c r="B3095">
        <v>1525008545</v>
      </c>
      <c r="C3095" t="str">
        <f>T("소년연애담 1화")</f>
        <v>소년연애담 1화</v>
      </c>
      <c r="D3095" t="str">
        <f>T("1")</f>
        <v>1</v>
      </c>
      <c r="E3095" t="str">
        <f>T("나나코")</f>
        <v>나나코</v>
      </c>
      <c r="H3095" t="str">
        <f>T("블러쉬")</f>
        <v>블러쉬</v>
      </c>
      <c r="I3095" t="str">
        <f>T("소년연애담")</f>
        <v>소년연애담</v>
      </c>
      <c r="J3095">
        <v>0</v>
      </c>
      <c r="K3095">
        <v>0</v>
      </c>
      <c r="L3095">
        <v>0</v>
      </c>
      <c r="M3095">
        <v>2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2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Q3095">
        <v>0</v>
      </c>
      <c r="AR3095">
        <v>0</v>
      </c>
      <c r="AT3095">
        <v>0</v>
      </c>
      <c r="AU3095">
        <v>0</v>
      </c>
      <c r="AW3095">
        <v>0</v>
      </c>
      <c r="AX3095">
        <v>0</v>
      </c>
      <c r="AY3095">
        <v>0</v>
      </c>
      <c r="BA3095" t="str">
        <f>T("0000000000000")</f>
        <v>0000000000000</v>
      </c>
      <c r="BC3095" t="str">
        <f>T("9791164890729")</f>
        <v>9791164890729</v>
      </c>
      <c r="BD3095" t="str">
        <f>T("B12")</f>
        <v>B12</v>
      </c>
      <c r="BE3095" t="str">
        <f>T("BL 웹소설 &gt; 현대물")</f>
        <v>BL 웹소설 &gt; 현대물</v>
      </c>
    </row>
    <row r="3096" spans="1:57" x14ac:dyDescent="0.3">
      <c r="A3096">
        <v>1525004988</v>
      </c>
      <c r="B3096">
        <v>1525005310</v>
      </c>
      <c r="C3096" t="str">
        <f>T("용무쌍 23화")</f>
        <v>용무쌍 23화</v>
      </c>
      <c r="D3096" t="str">
        <f>T("23")</f>
        <v>23</v>
      </c>
      <c r="E3096" t="str">
        <f>T("권용찬")</f>
        <v>권용찬</v>
      </c>
      <c r="H3096" t="str">
        <f>T("스토리위즈")</f>
        <v>스토리위즈</v>
      </c>
      <c r="I3096" t="str">
        <f>T("용무쌍")</f>
        <v>용무쌍</v>
      </c>
      <c r="J3096">
        <v>0</v>
      </c>
      <c r="K3096">
        <v>0</v>
      </c>
      <c r="L3096">
        <v>0</v>
      </c>
      <c r="M3096">
        <v>2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2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Q3096">
        <v>0</v>
      </c>
      <c r="AR3096">
        <v>0</v>
      </c>
      <c r="AT3096">
        <v>0</v>
      </c>
      <c r="AU3096">
        <v>0</v>
      </c>
      <c r="AW3096">
        <v>0</v>
      </c>
      <c r="AX3096">
        <v>0</v>
      </c>
      <c r="AY3096">
        <v>0</v>
      </c>
      <c r="BC3096" t="str">
        <f>T("9791159284861")</f>
        <v>9791159284861</v>
      </c>
      <c r="BE3096" t="str">
        <f>T("판타지 웹소설 &gt; 무협 소설")</f>
        <v>판타지 웹소설 &gt; 무협 소설</v>
      </c>
    </row>
    <row r="3097" spans="1:57" x14ac:dyDescent="0.3">
      <c r="A3097">
        <v>1525004030</v>
      </c>
      <c r="B3097">
        <v>1525004032</v>
      </c>
      <c r="C3097" t="str">
        <f>T("회귀의 전설 3화")</f>
        <v>회귀의 전설 3화</v>
      </c>
      <c r="D3097" t="str">
        <f>T("3")</f>
        <v>3</v>
      </c>
      <c r="E3097" t="str">
        <f>T("김광수")</f>
        <v>김광수</v>
      </c>
      <c r="H3097" t="str">
        <f>T("스토리위즈")</f>
        <v>스토리위즈</v>
      </c>
      <c r="I3097" t="str">
        <f>T("회귀의 전설")</f>
        <v>회귀의 전설</v>
      </c>
      <c r="J3097">
        <v>0</v>
      </c>
      <c r="K3097">
        <v>0</v>
      </c>
      <c r="L3097">
        <v>0</v>
      </c>
      <c r="M3097">
        <v>5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5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Q3097">
        <v>0</v>
      </c>
      <c r="AR3097">
        <v>0</v>
      </c>
      <c r="AT3097">
        <v>0</v>
      </c>
      <c r="AU3097">
        <v>0</v>
      </c>
      <c r="AW3097">
        <v>0</v>
      </c>
      <c r="AX3097">
        <v>0</v>
      </c>
      <c r="AY3097">
        <v>0</v>
      </c>
      <c r="BC3097" t="str">
        <f>T("9788997946006")</f>
        <v>9788997946006</v>
      </c>
      <c r="BE3097" t="str">
        <f>T("판타지 웹소설 &gt; 현대 판타지")</f>
        <v>판타지 웹소설 &gt; 현대 판타지</v>
      </c>
    </row>
    <row r="3098" spans="1:57" x14ac:dyDescent="0.3">
      <c r="A3098">
        <v>1525012551</v>
      </c>
      <c r="B3098">
        <v>1525012569</v>
      </c>
      <c r="C3098" t="str">
        <f>T("개정판 | 바보가 만드는 멋진 세상 19화")</f>
        <v>개정판 | 바보가 만드는 멋진 세상 19화</v>
      </c>
      <c r="D3098" t="str">
        <f>T("19")</f>
        <v>19</v>
      </c>
      <c r="E3098" t="str">
        <f>T("백범(白帆)")</f>
        <v>백범(白帆)</v>
      </c>
      <c r="H3098" t="str">
        <f>T("에필로그")</f>
        <v>에필로그</v>
      </c>
      <c r="I3098" t="str">
        <f>T("개정판 | 바보가 만드는 멋진 세상")</f>
        <v>개정판 | 바보가 만드는 멋진 세상</v>
      </c>
      <c r="J3098">
        <v>0</v>
      </c>
      <c r="K3098">
        <v>0</v>
      </c>
      <c r="L3098">
        <v>0</v>
      </c>
      <c r="M3098">
        <v>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1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Q3098">
        <v>0</v>
      </c>
      <c r="AR3098">
        <v>0</v>
      </c>
      <c r="AT3098">
        <v>0</v>
      </c>
      <c r="AU3098">
        <v>0</v>
      </c>
      <c r="AW3098">
        <v>0</v>
      </c>
      <c r="AX3098">
        <v>0</v>
      </c>
      <c r="AY3098">
        <v>0</v>
      </c>
      <c r="BC3098" t="str">
        <f>T("9791166003493")</f>
        <v>9791166003493</v>
      </c>
      <c r="BE3098" t="str">
        <f>T("판타지 웹소설 &gt; 현대 판타지")</f>
        <v>판타지 웹소설 &gt; 현대 판타지</v>
      </c>
    </row>
    <row r="3099" spans="1:57" x14ac:dyDescent="0.3">
      <c r="AY3099" s="1">
        <f>SUM(AY2:AY3098)</f>
        <v>7214386.7999998322</v>
      </c>
    </row>
  </sheetData>
  <phoneticPr fontId="18" type="noConversion"/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cp:lastPrinted>2020-12-21T04:53:15Z</cp:lastPrinted>
  <dcterms:created xsi:type="dcterms:W3CDTF">2019-02-21T06:29:33Z</dcterms:created>
  <dcterms:modified xsi:type="dcterms:W3CDTF">2022-12-20T05:26:53Z</dcterms:modified>
</cp:coreProperties>
</file>