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월중마감\"/>
    </mc:Choice>
  </mc:AlternateContent>
  <bookViews>
    <workbookView xWindow="0" yWindow="0" windowWidth="23040" windowHeight="8835"/>
  </bookViews>
  <sheets>
    <sheet name="합계(11)" sheetId="1" r:id="rId1"/>
  </sheets>
  <definedNames>
    <definedName name="_xlnm._FilterDatabase" localSheetId="0" hidden="1">'합계(11)'!$A$1:$AW$861</definedName>
  </definedNames>
  <calcPr calcId="152511"/>
</workbook>
</file>

<file path=xl/calcChain.xml><?xml version="1.0" encoding="utf-8"?>
<calcChain xmlns="http://schemas.openxmlformats.org/spreadsheetml/2006/main">
  <c r="AY761" i="1" l="1"/>
  <c r="BF760" i="1"/>
  <c r="BE760" i="1"/>
  <c r="BC760" i="1"/>
  <c r="BA760" i="1"/>
  <c r="I760" i="1"/>
  <c r="H760" i="1"/>
  <c r="G760" i="1"/>
  <c r="E760" i="1"/>
  <c r="D760" i="1"/>
  <c r="C760" i="1"/>
  <c r="BE759" i="1"/>
  <c r="BC759" i="1"/>
  <c r="BA759" i="1"/>
  <c r="I759" i="1"/>
  <c r="H759" i="1"/>
  <c r="G759" i="1"/>
  <c r="E759" i="1"/>
  <c r="D759" i="1"/>
  <c r="C759" i="1"/>
  <c r="BE758" i="1"/>
  <c r="BC758" i="1"/>
  <c r="I758" i="1"/>
  <c r="H758" i="1"/>
  <c r="G758" i="1"/>
  <c r="E758" i="1"/>
  <c r="D758" i="1"/>
  <c r="C758" i="1"/>
  <c r="BF757" i="1"/>
  <c r="BE757" i="1"/>
  <c r="BC757" i="1"/>
  <c r="BA757" i="1"/>
  <c r="I757" i="1"/>
  <c r="H757" i="1"/>
  <c r="G757" i="1"/>
  <c r="E757" i="1"/>
  <c r="D757" i="1"/>
  <c r="C757" i="1"/>
  <c r="BE756" i="1"/>
  <c r="BC756" i="1"/>
  <c r="BA756" i="1"/>
  <c r="I756" i="1"/>
  <c r="H756" i="1"/>
  <c r="G756" i="1"/>
  <c r="E756" i="1"/>
  <c r="D756" i="1"/>
  <c r="C756" i="1"/>
  <c r="BF755" i="1"/>
  <c r="BE755" i="1"/>
  <c r="BC755" i="1"/>
  <c r="BA755" i="1"/>
  <c r="I755" i="1"/>
  <c r="H755" i="1"/>
  <c r="G755" i="1"/>
  <c r="E755" i="1"/>
  <c r="D755" i="1"/>
  <c r="C755" i="1"/>
  <c r="BE754" i="1"/>
  <c r="BC754" i="1"/>
  <c r="I754" i="1"/>
  <c r="H754" i="1"/>
  <c r="G754" i="1"/>
  <c r="E754" i="1"/>
  <c r="D754" i="1"/>
  <c r="C754" i="1"/>
  <c r="BE753" i="1"/>
  <c r="BC753" i="1"/>
  <c r="BA753" i="1"/>
  <c r="I753" i="1"/>
  <c r="H753" i="1"/>
  <c r="E753" i="1"/>
  <c r="D753" i="1"/>
  <c r="C753" i="1"/>
  <c r="BE752" i="1"/>
  <c r="BC752" i="1"/>
  <c r="BA752" i="1"/>
  <c r="I752" i="1"/>
  <c r="H752" i="1"/>
  <c r="E752" i="1"/>
  <c r="D752" i="1"/>
  <c r="C752" i="1"/>
  <c r="BE751" i="1"/>
  <c r="BC751" i="1"/>
  <c r="BA751" i="1"/>
  <c r="I751" i="1"/>
  <c r="H751" i="1"/>
  <c r="G751" i="1"/>
  <c r="E751" i="1"/>
  <c r="D751" i="1"/>
  <c r="C751" i="1"/>
  <c r="BF750" i="1"/>
  <c r="BE750" i="1"/>
  <c r="BC750" i="1"/>
  <c r="BA750" i="1"/>
  <c r="I750" i="1"/>
  <c r="H750" i="1"/>
  <c r="G750" i="1"/>
  <c r="E750" i="1"/>
  <c r="D750" i="1"/>
  <c r="C750" i="1"/>
  <c r="BE749" i="1"/>
  <c r="BC749" i="1"/>
  <c r="I749" i="1"/>
  <c r="H749" i="1"/>
  <c r="E749" i="1"/>
  <c r="D749" i="1"/>
  <c r="C749" i="1"/>
  <c r="BE748" i="1"/>
  <c r="BC748" i="1"/>
  <c r="I748" i="1"/>
  <c r="H748" i="1"/>
  <c r="E748" i="1"/>
  <c r="D748" i="1"/>
  <c r="C748" i="1"/>
  <c r="BF747" i="1"/>
  <c r="BE747" i="1"/>
  <c r="BC747" i="1"/>
  <c r="BA747" i="1"/>
  <c r="I747" i="1"/>
  <c r="H747" i="1"/>
  <c r="G747" i="1"/>
  <c r="E747" i="1"/>
  <c r="D747" i="1"/>
  <c r="C747" i="1"/>
  <c r="BE746" i="1"/>
  <c r="BC746" i="1"/>
  <c r="I746" i="1"/>
  <c r="H746" i="1"/>
  <c r="E746" i="1"/>
  <c r="D746" i="1"/>
  <c r="C746" i="1"/>
  <c r="BE745" i="1"/>
  <c r="BC745" i="1"/>
  <c r="BA745" i="1"/>
  <c r="I745" i="1"/>
  <c r="H745" i="1"/>
  <c r="G745" i="1"/>
  <c r="E745" i="1"/>
  <c r="D745" i="1"/>
  <c r="C745" i="1"/>
  <c r="BE744" i="1"/>
  <c r="BC744" i="1"/>
  <c r="I744" i="1"/>
  <c r="H744" i="1"/>
  <c r="E744" i="1"/>
  <c r="D744" i="1"/>
  <c r="C744" i="1"/>
  <c r="BE743" i="1"/>
  <c r="BC743" i="1"/>
  <c r="BA743" i="1"/>
  <c r="I743" i="1"/>
  <c r="H743" i="1"/>
  <c r="G743" i="1"/>
  <c r="E743" i="1"/>
  <c r="D743" i="1"/>
  <c r="C743" i="1"/>
  <c r="BF742" i="1"/>
  <c r="BE742" i="1"/>
  <c r="BC742" i="1"/>
  <c r="BA742" i="1"/>
  <c r="I742" i="1"/>
  <c r="H742" i="1"/>
  <c r="G742" i="1"/>
  <c r="E742" i="1"/>
  <c r="D742" i="1"/>
  <c r="C742" i="1"/>
  <c r="BE741" i="1"/>
  <c r="BC741" i="1"/>
  <c r="BA741" i="1"/>
  <c r="I741" i="1"/>
  <c r="H741" i="1"/>
  <c r="G741" i="1"/>
  <c r="E741" i="1"/>
  <c r="D741" i="1"/>
  <c r="C741" i="1"/>
  <c r="BF740" i="1"/>
  <c r="BE740" i="1"/>
  <c r="BC740" i="1"/>
  <c r="BA740" i="1"/>
  <c r="I740" i="1"/>
  <c r="H740" i="1"/>
  <c r="G740" i="1"/>
  <c r="E740" i="1"/>
  <c r="D740" i="1"/>
  <c r="C740" i="1"/>
  <c r="BE739" i="1"/>
  <c r="BC739" i="1"/>
  <c r="BA739" i="1"/>
  <c r="I739" i="1"/>
  <c r="H739" i="1"/>
  <c r="E739" i="1"/>
  <c r="D739" i="1"/>
  <c r="C739" i="1"/>
  <c r="BE738" i="1"/>
  <c r="BC738" i="1"/>
  <c r="I738" i="1"/>
  <c r="H738" i="1"/>
  <c r="E738" i="1"/>
  <c r="D738" i="1"/>
  <c r="C738" i="1"/>
  <c r="BE737" i="1"/>
  <c r="BC737" i="1"/>
  <c r="I737" i="1"/>
  <c r="H737" i="1"/>
  <c r="G737" i="1"/>
  <c r="E737" i="1"/>
  <c r="D737" i="1"/>
  <c r="C737" i="1"/>
  <c r="BF736" i="1"/>
  <c r="BE736" i="1"/>
  <c r="BC736" i="1"/>
  <c r="BA736" i="1"/>
  <c r="I736" i="1"/>
  <c r="H736" i="1"/>
  <c r="G736" i="1"/>
  <c r="E736" i="1"/>
  <c r="D736" i="1"/>
  <c r="C736" i="1"/>
  <c r="BE735" i="1"/>
  <c r="BC735" i="1"/>
  <c r="BA735" i="1"/>
  <c r="I735" i="1"/>
  <c r="H735" i="1"/>
  <c r="G735" i="1"/>
  <c r="E735" i="1"/>
  <c r="D735" i="1"/>
  <c r="C735" i="1"/>
  <c r="BF734" i="1"/>
  <c r="BE734" i="1"/>
  <c r="BC734" i="1"/>
  <c r="BA734" i="1"/>
  <c r="I734" i="1"/>
  <c r="H734" i="1"/>
  <c r="G734" i="1"/>
  <c r="E734" i="1"/>
  <c r="D734" i="1"/>
  <c r="C734" i="1"/>
  <c r="BE733" i="1"/>
  <c r="BC733" i="1"/>
  <c r="I733" i="1"/>
  <c r="H733" i="1"/>
  <c r="G733" i="1"/>
  <c r="E733" i="1"/>
  <c r="D733" i="1"/>
  <c r="C733" i="1"/>
  <c r="BE732" i="1"/>
  <c r="BC732" i="1"/>
  <c r="BA732" i="1"/>
  <c r="I732" i="1"/>
  <c r="H732" i="1"/>
  <c r="G732" i="1"/>
  <c r="E732" i="1"/>
  <c r="D732" i="1"/>
  <c r="C732" i="1"/>
  <c r="BE731" i="1"/>
  <c r="BC731" i="1"/>
  <c r="BA731" i="1"/>
  <c r="I731" i="1"/>
  <c r="H731" i="1"/>
  <c r="E731" i="1"/>
  <c r="D731" i="1"/>
  <c r="C731" i="1"/>
  <c r="BF730" i="1"/>
  <c r="BE730" i="1"/>
  <c r="BC730" i="1"/>
  <c r="BA730" i="1"/>
  <c r="I730" i="1"/>
  <c r="H730" i="1"/>
  <c r="G730" i="1"/>
  <c r="E730" i="1"/>
  <c r="D730" i="1"/>
  <c r="C730" i="1"/>
  <c r="BE729" i="1"/>
  <c r="BC729" i="1"/>
  <c r="I729" i="1"/>
  <c r="H729" i="1"/>
  <c r="E729" i="1"/>
  <c r="D729" i="1"/>
  <c r="C729" i="1"/>
  <c r="BE728" i="1"/>
  <c r="BC728" i="1"/>
  <c r="BA728" i="1"/>
  <c r="I728" i="1"/>
  <c r="H728" i="1"/>
  <c r="G728" i="1"/>
  <c r="E728" i="1"/>
  <c r="D728" i="1"/>
  <c r="C728" i="1"/>
  <c r="BE727" i="1"/>
  <c r="BC727" i="1"/>
  <c r="I727" i="1"/>
  <c r="H727" i="1"/>
  <c r="E727" i="1"/>
  <c r="D727" i="1"/>
  <c r="C727" i="1"/>
  <c r="BE726" i="1"/>
  <c r="BC726" i="1"/>
  <c r="BA726" i="1"/>
  <c r="I726" i="1"/>
  <c r="H726" i="1"/>
  <c r="G726" i="1"/>
  <c r="E726" i="1"/>
  <c r="D726" i="1"/>
  <c r="C726" i="1"/>
  <c r="BE725" i="1"/>
  <c r="BC725" i="1"/>
  <c r="I725" i="1"/>
  <c r="H725" i="1"/>
  <c r="E725" i="1"/>
  <c r="D725" i="1"/>
  <c r="C725" i="1"/>
  <c r="BE724" i="1"/>
  <c r="BC724" i="1"/>
  <c r="BA724" i="1"/>
  <c r="I724" i="1"/>
  <c r="H724" i="1"/>
  <c r="G724" i="1"/>
  <c r="E724" i="1"/>
  <c r="D724" i="1"/>
  <c r="C724" i="1"/>
  <c r="BE723" i="1"/>
  <c r="BC723" i="1"/>
  <c r="I723" i="1"/>
  <c r="H723" i="1"/>
  <c r="E723" i="1"/>
  <c r="D723" i="1"/>
  <c r="C723" i="1"/>
  <c r="BF722" i="1"/>
  <c r="BE722" i="1"/>
  <c r="BC722" i="1"/>
  <c r="BA722" i="1"/>
  <c r="I722" i="1"/>
  <c r="H722" i="1"/>
  <c r="G722" i="1"/>
  <c r="E722" i="1"/>
  <c r="D722" i="1"/>
  <c r="C722" i="1"/>
  <c r="BE721" i="1"/>
  <c r="BC721" i="1"/>
  <c r="I721" i="1"/>
  <c r="H721" i="1"/>
  <c r="E721" i="1"/>
  <c r="D721" i="1"/>
  <c r="C721" i="1"/>
  <c r="BE720" i="1"/>
  <c r="BC720" i="1"/>
  <c r="I720" i="1"/>
  <c r="H720" i="1"/>
  <c r="E720" i="1"/>
  <c r="D720" i="1"/>
  <c r="C720" i="1"/>
  <c r="BF719" i="1"/>
  <c r="BE719" i="1"/>
  <c r="BC719" i="1"/>
  <c r="BA719" i="1"/>
  <c r="I719" i="1"/>
  <c r="H719" i="1"/>
  <c r="G719" i="1"/>
  <c r="E719" i="1"/>
  <c r="D719" i="1"/>
  <c r="C719" i="1"/>
  <c r="BF718" i="1"/>
  <c r="BE718" i="1"/>
  <c r="BC718" i="1"/>
  <c r="BA718" i="1"/>
  <c r="I718" i="1"/>
  <c r="H718" i="1"/>
  <c r="G718" i="1"/>
  <c r="E718" i="1"/>
  <c r="D718" i="1"/>
  <c r="C718" i="1"/>
  <c r="BE717" i="1"/>
  <c r="BC717" i="1"/>
  <c r="BA717" i="1"/>
  <c r="I717" i="1"/>
  <c r="H717" i="1"/>
  <c r="G717" i="1"/>
  <c r="E717" i="1"/>
  <c r="D717" i="1"/>
  <c r="C717" i="1"/>
  <c r="BE716" i="1"/>
  <c r="BC716" i="1"/>
  <c r="I716" i="1"/>
  <c r="H716" i="1"/>
  <c r="G716" i="1"/>
  <c r="E716" i="1"/>
  <c r="D716" i="1"/>
  <c r="C716" i="1"/>
  <c r="BE715" i="1"/>
  <c r="BC715" i="1"/>
  <c r="BA715" i="1"/>
  <c r="I715" i="1"/>
  <c r="H715" i="1"/>
  <c r="G715" i="1"/>
  <c r="E715" i="1"/>
  <c r="D715" i="1"/>
  <c r="C715" i="1"/>
  <c r="BE714" i="1"/>
  <c r="BC714" i="1"/>
  <c r="BA714" i="1"/>
  <c r="I714" i="1"/>
  <c r="H714" i="1"/>
  <c r="G714" i="1"/>
  <c r="E714" i="1"/>
  <c r="D714" i="1"/>
  <c r="C714" i="1"/>
  <c r="BE713" i="1"/>
  <c r="BC713" i="1"/>
  <c r="BA713" i="1"/>
  <c r="I713" i="1"/>
  <c r="H713" i="1"/>
  <c r="E713" i="1"/>
  <c r="D713" i="1"/>
  <c r="C713" i="1"/>
  <c r="BF712" i="1"/>
  <c r="BE712" i="1"/>
  <c r="BC712" i="1"/>
  <c r="BA712" i="1"/>
  <c r="I712" i="1"/>
  <c r="H712" i="1"/>
  <c r="E712" i="1"/>
  <c r="D712" i="1"/>
  <c r="C712" i="1"/>
  <c r="BE711" i="1"/>
  <c r="BC711" i="1"/>
  <c r="I711" i="1"/>
  <c r="H711" i="1"/>
  <c r="G711" i="1"/>
  <c r="E711" i="1"/>
  <c r="D711" i="1"/>
  <c r="C711" i="1"/>
  <c r="BF710" i="1"/>
  <c r="BE710" i="1"/>
  <c r="BC710" i="1"/>
  <c r="BA710" i="1"/>
  <c r="I710" i="1"/>
  <c r="H710" i="1"/>
  <c r="G710" i="1"/>
  <c r="E710" i="1"/>
  <c r="D710" i="1"/>
  <c r="C710" i="1"/>
  <c r="BE709" i="1"/>
  <c r="BC709" i="1"/>
  <c r="BA709" i="1"/>
  <c r="I709" i="1"/>
  <c r="H709" i="1"/>
  <c r="G709" i="1"/>
  <c r="E709" i="1"/>
  <c r="D709" i="1"/>
  <c r="C709" i="1"/>
  <c r="BE708" i="1"/>
  <c r="BC708" i="1"/>
  <c r="BA708" i="1"/>
  <c r="I708" i="1"/>
  <c r="H708" i="1"/>
  <c r="G708" i="1"/>
  <c r="E708" i="1"/>
  <c r="D708" i="1"/>
  <c r="C708" i="1"/>
  <c r="BF707" i="1"/>
  <c r="BE707" i="1"/>
  <c r="BC707" i="1"/>
  <c r="BA707" i="1"/>
  <c r="I707" i="1"/>
  <c r="H707" i="1"/>
  <c r="G707" i="1"/>
  <c r="E707" i="1"/>
  <c r="D707" i="1"/>
  <c r="C707" i="1"/>
  <c r="BE706" i="1"/>
  <c r="BC706" i="1"/>
  <c r="I706" i="1"/>
  <c r="H706" i="1"/>
  <c r="G706" i="1"/>
  <c r="E706" i="1"/>
  <c r="D706" i="1"/>
  <c r="C706" i="1"/>
  <c r="BE705" i="1"/>
  <c r="BC705" i="1"/>
  <c r="BA705" i="1"/>
  <c r="I705" i="1"/>
  <c r="H705" i="1"/>
  <c r="E705" i="1"/>
  <c r="D705" i="1"/>
  <c r="C705" i="1"/>
  <c r="BE704" i="1"/>
  <c r="BC704" i="1"/>
  <c r="BA704" i="1"/>
  <c r="I704" i="1"/>
  <c r="H704" i="1"/>
  <c r="E704" i="1"/>
  <c r="D704" i="1"/>
  <c r="C704" i="1"/>
  <c r="BE703" i="1"/>
  <c r="BC703" i="1"/>
  <c r="BA703" i="1"/>
  <c r="I703" i="1"/>
  <c r="H703" i="1"/>
  <c r="G703" i="1"/>
  <c r="E703" i="1"/>
  <c r="D703" i="1"/>
  <c r="C703" i="1"/>
  <c r="BE702" i="1"/>
  <c r="BC702" i="1"/>
  <c r="I702" i="1"/>
  <c r="H702" i="1"/>
  <c r="E702" i="1"/>
  <c r="D702" i="1"/>
  <c r="C702" i="1"/>
  <c r="BE701" i="1"/>
  <c r="BC701" i="1"/>
  <c r="I701" i="1"/>
  <c r="H701" i="1"/>
  <c r="E701" i="1"/>
  <c r="D701" i="1"/>
  <c r="C701" i="1"/>
  <c r="BF700" i="1"/>
  <c r="BE700" i="1"/>
  <c r="BC700" i="1"/>
  <c r="BA700" i="1"/>
  <c r="I700" i="1"/>
  <c r="H700" i="1"/>
  <c r="G700" i="1"/>
  <c r="E700" i="1"/>
  <c r="D700" i="1"/>
  <c r="C700" i="1"/>
  <c r="BF699" i="1"/>
  <c r="BE699" i="1"/>
  <c r="BC699" i="1"/>
  <c r="BA699" i="1"/>
  <c r="I699" i="1"/>
  <c r="H699" i="1"/>
  <c r="G699" i="1"/>
  <c r="E699" i="1"/>
  <c r="D699" i="1"/>
  <c r="C699" i="1"/>
  <c r="BE698" i="1"/>
  <c r="BC698" i="1"/>
  <c r="BA698" i="1"/>
  <c r="I698" i="1"/>
  <c r="H698" i="1"/>
  <c r="G698" i="1"/>
  <c r="E698" i="1"/>
  <c r="D698" i="1"/>
  <c r="C698" i="1"/>
  <c r="BE697" i="1"/>
  <c r="BC697" i="1"/>
  <c r="BA697" i="1"/>
  <c r="I697" i="1"/>
  <c r="H697" i="1"/>
  <c r="G697" i="1"/>
  <c r="E697" i="1"/>
  <c r="D697" i="1"/>
  <c r="C697" i="1"/>
  <c r="BE696" i="1"/>
  <c r="BC696" i="1"/>
  <c r="I696" i="1"/>
  <c r="H696" i="1"/>
  <c r="E696" i="1"/>
  <c r="D696" i="1"/>
  <c r="C696" i="1"/>
  <c r="BE695" i="1"/>
  <c r="BC695" i="1"/>
  <c r="BA695" i="1"/>
  <c r="I695" i="1"/>
  <c r="H695" i="1"/>
  <c r="G695" i="1"/>
  <c r="E695" i="1"/>
  <c r="D695" i="1"/>
  <c r="C695" i="1"/>
  <c r="BF694" i="1"/>
  <c r="BE694" i="1"/>
  <c r="BC694" i="1"/>
  <c r="BA694" i="1"/>
  <c r="I694" i="1"/>
  <c r="H694" i="1"/>
  <c r="G694" i="1"/>
  <c r="E694" i="1"/>
  <c r="D694" i="1"/>
  <c r="C694" i="1"/>
  <c r="BE693" i="1"/>
  <c r="BC693" i="1"/>
  <c r="BA693" i="1"/>
  <c r="I693" i="1"/>
  <c r="H693" i="1"/>
  <c r="G693" i="1"/>
  <c r="E693" i="1"/>
  <c r="D693" i="1"/>
  <c r="C693" i="1"/>
  <c r="BF692" i="1"/>
  <c r="BE692" i="1"/>
  <c r="BC692" i="1"/>
  <c r="BA692" i="1"/>
  <c r="I692" i="1"/>
  <c r="H692" i="1"/>
  <c r="G692" i="1"/>
  <c r="E692" i="1"/>
  <c r="D692" i="1"/>
  <c r="C692" i="1"/>
  <c r="BE691" i="1"/>
  <c r="BC691" i="1"/>
  <c r="BA691" i="1"/>
  <c r="I691" i="1"/>
  <c r="H691" i="1"/>
  <c r="E691" i="1"/>
  <c r="D691" i="1"/>
  <c r="C691" i="1"/>
  <c r="BE690" i="1"/>
  <c r="BC690" i="1"/>
  <c r="I690" i="1"/>
  <c r="H690" i="1"/>
  <c r="E690" i="1"/>
  <c r="D690" i="1"/>
  <c r="C690" i="1"/>
  <c r="BE689" i="1"/>
  <c r="BC689" i="1"/>
  <c r="I689" i="1"/>
  <c r="H689" i="1"/>
  <c r="G689" i="1"/>
  <c r="E689" i="1"/>
  <c r="D689" i="1"/>
  <c r="C689" i="1"/>
  <c r="BF688" i="1"/>
  <c r="BE688" i="1"/>
  <c r="BC688" i="1"/>
  <c r="BA688" i="1"/>
  <c r="I688" i="1"/>
  <c r="H688" i="1"/>
  <c r="G688" i="1"/>
  <c r="E688" i="1"/>
  <c r="D688" i="1"/>
  <c r="C688" i="1"/>
  <c r="BE687" i="1"/>
  <c r="BC687" i="1"/>
  <c r="BA687" i="1"/>
  <c r="I687" i="1"/>
  <c r="H687" i="1"/>
  <c r="G687" i="1"/>
  <c r="E687" i="1"/>
  <c r="D687" i="1"/>
  <c r="C687" i="1"/>
  <c r="BF686" i="1"/>
  <c r="BE686" i="1"/>
  <c r="BC686" i="1"/>
  <c r="BA686" i="1"/>
  <c r="I686" i="1"/>
  <c r="H686" i="1"/>
  <c r="G686" i="1"/>
  <c r="E686" i="1"/>
  <c r="D686" i="1"/>
  <c r="C686" i="1"/>
  <c r="BE685" i="1"/>
  <c r="BC685" i="1"/>
  <c r="I685" i="1"/>
  <c r="H685" i="1"/>
  <c r="G685" i="1"/>
  <c r="E685" i="1"/>
  <c r="D685" i="1"/>
  <c r="C685" i="1"/>
  <c r="BE684" i="1"/>
  <c r="BC684" i="1"/>
  <c r="BA684" i="1"/>
  <c r="I684" i="1"/>
  <c r="H684" i="1"/>
  <c r="G684" i="1"/>
  <c r="E684" i="1"/>
  <c r="D684" i="1"/>
  <c r="C684" i="1"/>
  <c r="BE683" i="1"/>
  <c r="BC683" i="1"/>
  <c r="BA683" i="1"/>
  <c r="I683" i="1"/>
  <c r="H683" i="1"/>
  <c r="E683" i="1"/>
  <c r="D683" i="1"/>
  <c r="C683" i="1"/>
  <c r="BF682" i="1"/>
  <c r="BE682" i="1"/>
  <c r="BC682" i="1"/>
  <c r="BA682" i="1"/>
  <c r="I682" i="1"/>
  <c r="H682" i="1"/>
  <c r="G682" i="1"/>
  <c r="E682" i="1"/>
  <c r="D682" i="1"/>
  <c r="C682" i="1"/>
  <c r="BE681" i="1"/>
  <c r="BC681" i="1"/>
  <c r="BA681" i="1"/>
  <c r="I681" i="1"/>
  <c r="H681" i="1"/>
  <c r="G681" i="1"/>
  <c r="E681" i="1"/>
  <c r="D681" i="1"/>
  <c r="C681" i="1"/>
  <c r="BE680" i="1"/>
  <c r="BC680" i="1"/>
  <c r="I680" i="1"/>
  <c r="H680" i="1"/>
  <c r="E680" i="1"/>
  <c r="D680" i="1"/>
  <c r="C680" i="1"/>
  <c r="BE679" i="1"/>
  <c r="BC679" i="1"/>
  <c r="BA679" i="1"/>
  <c r="I679" i="1"/>
  <c r="H679" i="1"/>
  <c r="G679" i="1"/>
  <c r="E679" i="1"/>
  <c r="D679" i="1"/>
  <c r="C679" i="1"/>
  <c r="BF678" i="1"/>
  <c r="BE678" i="1"/>
  <c r="BC678" i="1"/>
  <c r="BA678" i="1"/>
  <c r="I678" i="1"/>
  <c r="H678" i="1"/>
  <c r="G678" i="1"/>
  <c r="E678" i="1"/>
  <c r="D678" i="1"/>
  <c r="C678" i="1"/>
  <c r="BE677" i="1"/>
  <c r="BC677" i="1"/>
  <c r="I677" i="1"/>
  <c r="H677" i="1"/>
  <c r="E677" i="1"/>
  <c r="D677" i="1"/>
  <c r="C677" i="1"/>
  <c r="BE676" i="1"/>
  <c r="BC676" i="1"/>
  <c r="I676" i="1"/>
  <c r="H676" i="1"/>
  <c r="E676" i="1"/>
  <c r="D676" i="1"/>
  <c r="C676" i="1"/>
  <c r="BE675" i="1"/>
  <c r="BC675" i="1"/>
  <c r="BA675" i="1"/>
  <c r="I675" i="1"/>
  <c r="H675" i="1"/>
  <c r="G675" i="1"/>
  <c r="E675" i="1"/>
  <c r="D675" i="1"/>
  <c r="C675" i="1"/>
  <c r="BE674" i="1"/>
  <c r="BC674" i="1"/>
  <c r="I674" i="1"/>
  <c r="H674" i="1"/>
  <c r="E674" i="1"/>
  <c r="D674" i="1"/>
  <c r="C674" i="1"/>
  <c r="BE673" i="1"/>
  <c r="BC673" i="1"/>
  <c r="BA673" i="1"/>
  <c r="I673" i="1"/>
  <c r="H673" i="1"/>
  <c r="G673" i="1"/>
  <c r="E673" i="1"/>
  <c r="D673" i="1"/>
  <c r="C673" i="1"/>
  <c r="BE672" i="1"/>
  <c r="BC672" i="1"/>
  <c r="I672" i="1"/>
  <c r="H672" i="1"/>
  <c r="E672" i="1"/>
  <c r="D672" i="1"/>
  <c r="C672" i="1"/>
  <c r="BF671" i="1"/>
  <c r="BE671" i="1"/>
  <c r="BC671" i="1"/>
  <c r="BA671" i="1"/>
  <c r="I671" i="1"/>
  <c r="H671" i="1"/>
  <c r="G671" i="1"/>
  <c r="E671" i="1"/>
  <c r="D671" i="1"/>
  <c r="C671" i="1"/>
  <c r="BE670" i="1"/>
  <c r="BC670" i="1"/>
  <c r="I670" i="1"/>
  <c r="H670" i="1"/>
  <c r="E670" i="1"/>
  <c r="D670" i="1"/>
  <c r="C670" i="1"/>
  <c r="BE669" i="1"/>
  <c r="BC669" i="1"/>
  <c r="I669" i="1"/>
  <c r="H669" i="1"/>
  <c r="E669" i="1"/>
  <c r="D669" i="1"/>
  <c r="C669" i="1"/>
  <c r="BF668" i="1"/>
  <c r="BE668" i="1"/>
  <c r="BC668" i="1"/>
  <c r="BA668" i="1"/>
  <c r="I668" i="1"/>
  <c r="H668" i="1"/>
  <c r="G668" i="1"/>
  <c r="E668" i="1"/>
  <c r="D668" i="1"/>
  <c r="C668" i="1"/>
  <c r="BE667" i="1"/>
  <c r="BC667" i="1"/>
  <c r="BA667" i="1"/>
  <c r="I667" i="1"/>
  <c r="H667" i="1"/>
  <c r="G667" i="1"/>
  <c r="E667" i="1"/>
  <c r="D667" i="1"/>
  <c r="C667" i="1"/>
  <c r="BE666" i="1"/>
  <c r="BC666" i="1"/>
  <c r="I666" i="1"/>
  <c r="H666" i="1"/>
  <c r="G666" i="1"/>
  <c r="E666" i="1"/>
  <c r="D666" i="1"/>
  <c r="C666" i="1"/>
  <c r="BE665" i="1"/>
  <c r="BC665" i="1"/>
  <c r="BA665" i="1"/>
  <c r="I665" i="1"/>
  <c r="H665" i="1"/>
  <c r="G665" i="1"/>
  <c r="E665" i="1"/>
  <c r="D665" i="1"/>
  <c r="C665" i="1"/>
  <c r="BE664" i="1"/>
  <c r="BC664" i="1"/>
  <c r="BA664" i="1"/>
  <c r="I664" i="1"/>
  <c r="H664" i="1"/>
  <c r="G664" i="1"/>
  <c r="E664" i="1"/>
  <c r="D664" i="1"/>
  <c r="C664" i="1"/>
  <c r="BE663" i="1"/>
  <c r="BC663" i="1"/>
  <c r="BA663" i="1"/>
  <c r="I663" i="1"/>
  <c r="H663" i="1"/>
  <c r="E663" i="1"/>
  <c r="D663" i="1"/>
  <c r="C663" i="1"/>
  <c r="BF662" i="1"/>
  <c r="BE662" i="1"/>
  <c r="BC662" i="1"/>
  <c r="BA662" i="1"/>
  <c r="I662" i="1"/>
  <c r="H662" i="1"/>
  <c r="E662" i="1"/>
  <c r="D662" i="1"/>
  <c r="C662" i="1"/>
  <c r="BE661" i="1"/>
  <c r="BC661" i="1"/>
  <c r="I661" i="1"/>
  <c r="H661" i="1"/>
  <c r="G661" i="1"/>
  <c r="E661" i="1"/>
  <c r="D661" i="1"/>
  <c r="C661" i="1"/>
  <c r="BF660" i="1"/>
  <c r="BE660" i="1"/>
  <c r="BC660" i="1"/>
  <c r="BA660" i="1"/>
  <c r="I660" i="1"/>
  <c r="H660" i="1"/>
  <c r="G660" i="1"/>
  <c r="E660" i="1"/>
  <c r="D660" i="1"/>
  <c r="C660" i="1"/>
  <c r="BE659" i="1"/>
  <c r="BC659" i="1"/>
  <c r="BA659" i="1"/>
  <c r="I659" i="1"/>
  <c r="H659" i="1"/>
  <c r="G659" i="1"/>
  <c r="E659" i="1"/>
  <c r="D659" i="1"/>
  <c r="C659" i="1"/>
  <c r="BE658" i="1"/>
  <c r="BC658" i="1"/>
  <c r="BA658" i="1"/>
  <c r="I658" i="1"/>
  <c r="H658" i="1"/>
  <c r="E658" i="1"/>
  <c r="D658" i="1"/>
  <c r="C658" i="1"/>
  <c r="BE657" i="1"/>
  <c r="BC657" i="1"/>
  <c r="BA657" i="1"/>
  <c r="I657" i="1"/>
  <c r="H657" i="1"/>
  <c r="G657" i="1"/>
  <c r="E657" i="1"/>
  <c r="D657" i="1"/>
  <c r="C657" i="1"/>
  <c r="BF656" i="1"/>
  <c r="BE656" i="1"/>
  <c r="BC656" i="1"/>
  <c r="BA656" i="1"/>
  <c r="I656" i="1"/>
  <c r="H656" i="1"/>
  <c r="G656" i="1"/>
  <c r="E656" i="1"/>
  <c r="D656" i="1"/>
  <c r="C656" i="1"/>
  <c r="BE655" i="1"/>
  <c r="BC655" i="1"/>
  <c r="I655" i="1"/>
  <c r="H655" i="1"/>
  <c r="G655" i="1"/>
  <c r="E655" i="1"/>
  <c r="D655" i="1"/>
  <c r="C655" i="1"/>
  <c r="BE654" i="1"/>
  <c r="BC654" i="1"/>
  <c r="BA654" i="1"/>
  <c r="I654" i="1"/>
  <c r="H654" i="1"/>
  <c r="E654" i="1"/>
  <c r="D654" i="1"/>
  <c r="C654" i="1"/>
  <c r="BE653" i="1"/>
  <c r="BC653" i="1"/>
  <c r="BA653" i="1"/>
  <c r="I653" i="1"/>
  <c r="H653" i="1"/>
  <c r="E653" i="1"/>
  <c r="D653" i="1"/>
  <c r="C653" i="1"/>
  <c r="BE652" i="1"/>
  <c r="BC652" i="1"/>
  <c r="BA652" i="1"/>
  <c r="I652" i="1"/>
  <c r="H652" i="1"/>
  <c r="G652" i="1"/>
  <c r="E652" i="1"/>
  <c r="D652" i="1"/>
  <c r="C652" i="1"/>
  <c r="BE651" i="1"/>
  <c r="BC651" i="1"/>
  <c r="BA651" i="1"/>
  <c r="I651" i="1"/>
  <c r="H651" i="1"/>
  <c r="G651" i="1"/>
  <c r="E651" i="1"/>
  <c r="D651" i="1"/>
  <c r="C651" i="1"/>
  <c r="BF650" i="1"/>
  <c r="BE650" i="1"/>
  <c r="BC650" i="1"/>
  <c r="BA650" i="1"/>
  <c r="I650" i="1"/>
  <c r="H650" i="1"/>
  <c r="G650" i="1"/>
  <c r="E650" i="1"/>
  <c r="D650" i="1"/>
  <c r="C650" i="1"/>
  <c r="BE649" i="1"/>
  <c r="BC649" i="1"/>
  <c r="I649" i="1"/>
  <c r="H649" i="1"/>
  <c r="E649" i="1"/>
  <c r="D649" i="1"/>
  <c r="C649" i="1"/>
  <c r="BE648" i="1"/>
  <c r="BC648" i="1"/>
  <c r="BA648" i="1"/>
  <c r="I648" i="1"/>
  <c r="H648" i="1"/>
  <c r="G648" i="1"/>
  <c r="E648" i="1"/>
  <c r="D648" i="1"/>
  <c r="C648" i="1"/>
  <c r="BE647" i="1"/>
  <c r="BC647" i="1"/>
  <c r="I647" i="1"/>
  <c r="H647" i="1"/>
  <c r="E647" i="1"/>
  <c r="D647" i="1"/>
  <c r="C647" i="1"/>
  <c r="BE646" i="1"/>
  <c r="BC646" i="1"/>
  <c r="BA646" i="1"/>
  <c r="I646" i="1"/>
  <c r="H646" i="1"/>
  <c r="G646" i="1"/>
  <c r="E646" i="1"/>
  <c r="D646" i="1"/>
  <c r="C646" i="1"/>
  <c r="BF645" i="1"/>
  <c r="BE645" i="1"/>
  <c r="BC645" i="1"/>
  <c r="BA645" i="1"/>
  <c r="I645" i="1"/>
  <c r="H645" i="1"/>
  <c r="G645" i="1"/>
  <c r="E645" i="1"/>
  <c r="D645" i="1"/>
  <c r="C645" i="1"/>
  <c r="BF644" i="1"/>
  <c r="BE644" i="1"/>
  <c r="BC644" i="1"/>
  <c r="BA644" i="1"/>
  <c r="I644" i="1"/>
  <c r="H644" i="1"/>
  <c r="G644" i="1"/>
  <c r="E644" i="1"/>
  <c r="D644" i="1"/>
  <c r="C644" i="1"/>
  <c r="BE643" i="1"/>
  <c r="BC643" i="1"/>
  <c r="BA643" i="1"/>
  <c r="I643" i="1"/>
  <c r="H643" i="1"/>
  <c r="G643" i="1"/>
  <c r="E643" i="1"/>
  <c r="D643" i="1"/>
  <c r="C643" i="1"/>
  <c r="BE642" i="1"/>
  <c r="BC642" i="1"/>
  <c r="I642" i="1"/>
  <c r="H642" i="1"/>
  <c r="E642" i="1"/>
  <c r="D642" i="1"/>
  <c r="C642" i="1"/>
  <c r="BF641" i="1"/>
  <c r="BE641" i="1"/>
  <c r="BC641" i="1"/>
  <c r="BA641" i="1"/>
  <c r="I641" i="1"/>
  <c r="H641" i="1"/>
  <c r="G641" i="1"/>
  <c r="E641" i="1"/>
  <c r="D641" i="1"/>
  <c r="C641" i="1"/>
  <c r="BE640" i="1"/>
  <c r="BC640" i="1"/>
  <c r="BA640" i="1"/>
  <c r="I640" i="1"/>
  <c r="H640" i="1"/>
  <c r="G640" i="1"/>
  <c r="E640" i="1"/>
  <c r="D640" i="1"/>
  <c r="C640" i="1"/>
  <c r="BF639" i="1"/>
  <c r="BE639" i="1"/>
  <c r="BC639" i="1"/>
  <c r="BA639" i="1"/>
  <c r="I639" i="1"/>
  <c r="H639" i="1"/>
  <c r="G639" i="1"/>
  <c r="E639" i="1"/>
  <c r="D639" i="1"/>
  <c r="C639" i="1"/>
  <c r="BE638" i="1"/>
  <c r="BC638" i="1"/>
  <c r="BA638" i="1"/>
  <c r="I638" i="1"/>
  <c r="H638" i="1"/>
  <c r="E638" i="1"/>
  <c r="D638" i="1"/>
  <c r="C638" i="1"/>
  <c r="BE637" i="1"/>
  <c r="BC637" i="1"/>
  <c r="I637" i="1"/>
  <c r="H637" i="1"/>
  <c r="E637" i="1"/>
  <c r="D637" i="1"/>
  <c r="C637" i="1"/>
  <c r="BE636" i="1"/>
  <c r="BC636" i="1"/>
  <c r="I636" i="1"/>
  <c r="H636" i="1"/>
  <c r="G636" i="1"/>
  <c r="E636" i="1"/>
  <c r="D636" i="1"/>
  <c r="C636" i="1"/>
  <c r="BF635" i="1"/>
  <c r="BE635" i="1"/>
  <c r="BC635" i="1"/>
  <c r="BA635" i="1"/>
  <c r="I635" i="1"/>
  <c r="H635" i="1"/>
  <c r="G635" i="1"/>
  <c r="E635" i="1"/>
  <c r="D635" i="1"/>
  <c r="C635" i="1"/>
  <c r="BE634" i="1"/>
  <c r="BC634" i="1"/>
  <c r="BA634" i="1"/>
  <c r="I634" i="1"/>
  <c r="H634" i="1"/>
  <c r="G634" i="1"/>
  <c r="E634" i="1"/>
  <c r="D634" i="1"/>
  <c r="C634" i="1"/>
  <c r="BF633" i="1"/>
  <c r="BE633" i="1"/>
  <c r="BC633" i="1"/>
  <c r="BA633" i="1"/>
  <c r="I633" i="1"/>
  <c r="H633" i="1"/>
  <c r="G633" i="1"/>
  <c r="E633" i="1"/>
  <c r="D633" i="1"/>
  <c r="C633" i="1"/>
  <c r="BE632" i="1"/>
  <c r="BC632" i="1"/>
  <c r="I632" i="1"/>
  <c r="H632" i="1"/>
  <c r="G632" i="1"/>
  <c r="E632" i="1"/>
  <c r="D632" i="1"/>
  <c r="C632" i="1"/>
  <c r="BE631" i="1"/>
  <c r="BC631" i="1"/>
  <c r="BA631" i="1"/>
  <c r="I631" i="1"/>
  <c r="H631" i="1"/>
  <c r="G631" i="1"/>
  <c r="E631" i="1"/>
  <c r="D631" i="1"/>
  <c r="C631" i="1"/>
  <c r="BE630" i="1"/>
  <c r="BC630" i="1"/>
  <c r="BA630" i="1"/>
  <c r="I630" i="1"/>
  <c r="H630" i="1"/>
  <c r="E630" i="1"/>
  <c r="D630" i="1"/>
  <c r="C630" i="1"/>
  <c r="BF629" i="1"/>
  <c r="BE629" i="1"/>
  <c r="BC629" i="1"/>
  <c r="BA629" i="1"/>
  <c r="I629" i="1"/>
  <c r="H629" i="1"/>
  <c r="G629" i="1"/>
  <c r="E629" i="1"/>
  <c r="D629" i="1"/>
  <c r="C629" i="1"/>
  <c r="BE628" i="1"/>
  <c r="BC628" i="1"/>
  <c r="BA628" i="1"/>
  <c r="I628" i="1"/>
  <c r="H628" i="1"/>
  <c r="G628" i="1"/>
  <c r="E628" i="1"/>
  <c r="D628" i="1"/>
  <c r="C628" i="1"/>
  <c r="BE627" i="1"/>
  <c r="BC627" i="1"/>
  <c r="I627" i="1"/>
  <c r="H627" i="1"/>
  <c r="E627" i="1"/>
  <c r="D627" i="1"/>
  <c r="C627" i="1"/>
  <c r="BE626" i="1"/>
  <c r="BC626" i="1"/>
  <c r="BA626" i="1"/>
  <c r="I626" i="1"/>
  <c r="H626" i="1"/>
  <c r="G626" i="1"/>
  <c r="E626" i="1"/>
  <c r="D626" i="1"/>
  <c r="C626" i="1"/>
  <c r="BF625" i="1"/>
  <c r="BE625" i="1"/>
  <c r="BC625" i="1"/>
  <c r="BA625" i="1"/>
  <c r="I625" i="1"/>
  <c r="H625" i="1"/>
  <c r="G625" i="1"/>
  <c r="E625" i="1"/>
  <c r="D625" i="1"/>
  <c r="C625" i="1"/>
  <c r="BE624" i="1"/>
  <c r="BC624" i="1"/>
  <c r="I624" i="1"/>
  <c r="H624" i="1"/>
  <c r="E624" i="1"/>
  <c r="D624" i="1"/>
  <c r="C624" i="1"/>
  <c r="BE623" i="1"/>
  <c r="BC623" i="1"/>
  <c r="BA623" i="1"/>
  <c r="I623" i="1"/>
  <c r="H623" i="1"/>
  <c r="G623" i="1"/>
  <c r="E623" i="1"/>
  <c r="D623" i="1"/>
  <c r="C623" i="1"/>
  <c r="BE622" i="1"/>
  <c r="BC622" i="1"/>
  <c r="I622" i="1"/>
  <c r="H622" i="1"/>
  <c r="E622" i="1"/>
  <c r="D622" i="1"/>
  <c r="C622" i="1"/>
  <c r="BE621" i="1"/>
  <c r="BC621" i="1"/>
  <c r="BA621" i="1"/>
  <c r="I621" i="1"/>
  <c r="H621" i="1"/>
  <c r="G621" i="1"/>
  <c r="E621" i="1"/>
  <c r="D621" i="1"/>
  <c r="C621" i="1"/>
  <c r="BE620" i="1"/>
  <c r="BC620" i="1"/>
  <c r="I620" i="1"/>
  <c r="H620" i="1"/>
  <c r="E620" i="1"/>
  <c r="D620" i="1"/>
  <c r="C620" i="1"/>
  <c r="BE619" i="1"/>
  <c r="BC619" i="1"/>
  <c r="BA619" i="1"/>
  <c r="I619" i="1"/>
  <c r="H619" i="1"/>
  <c r="G619" i="1"/>
  <c r="E619" i="1"/>
  <c r="D619" i="1"/>
  <c r="C619" i="1"/>
  <c r="BE618" i="1"/>
  <c r="BC618" i="1"/>
  <c r="I618" i="1"/>
  <c r="H618" i="1"/>
  <c r="E618" i="1"/>
  <c r="D618" i="1"/>
  <c r="C618" i="1"/>
  <c r="BE617" i="1"/>
  <c r="BC617" i="1"/>
  <c r="I617" i="1"/>
  <c r="H617" i="1"/>
  <c r="E617" i="1"/>
  <c r="D617" i="1"/>
  <c r="C617" i="1"/>
  <c r="BF616" i="1"/>
  <c r="BE616" i="1"/>
  <c r="BC616" i="1"/>
  <c r="BA616" i="1"/>
  <c r="I616" i="1"/>
  <c r="H616" i="1"/>
  <c r="G616" i="1"/>
  <c r="E616" i="1"/>
  <c r="D616" i="1"/>
  <c r="C616" i="1"/>
  <c r="BE615" i="1"/>
  <c r="BC615" i="1"/>
  <c r="I615" i="1"/>
  <c r="H615" i="1"/>
  <c r="E615" i="1"/>
  <c r="D615" i="1"/>
  <c r="C615" i="1"/>
  <c r="BE614" i="1"/>
  <c r="BC614" i="1"/>
  <c r="I614" i="1"/>
  <c r="H614" i="1"/>
  <c r="E614" i="1"/>
  <c r="D614" i="1"/>
  <c r="C614" i="1"/>
  <c r="BF613" i="1"/>
  <c r="BE613" i="1"/>
  <c r="BC613" i="1"/>
  <c r="BA613" i="1"/>
  <c r="I613" i="1"/>
  <c r="H613" i="1"/>
  <c r="G613" i="1"/>
  <c r="E613" i="1"/>
  <c r="D613" i="1"/>
  <c r="C613" i="1"/>
  <c r="BF612" i="1"/>
  <c r="BE612" i="1"/>
  <c r="BC612" i="1"/>
  <c r="BA612" i="1"/>
  <c r="I612" i="1"/>
  <c r="H612" i="1"/>
  <c r="G612" i="1"/>
  <c r="E612" i="1"/>
  <c r="D612" i="1"/>
  <c r="C612" i="1"/>
  <c r="BE611" i="1"/>
  <c r="BC611" i="1"/>
  <c r="BA611" i="1"/>
  <c r="I611" i="1"/>
  <c r="H611" i="1"/>
  <c r="G611" i="1"/>
  <c r="E611" i="1"/>
  <c r="D611" i="1"/>
  <c r="C611" i="1"/>
  <c r="BE610" i="1"/>
  <c r="BC610" i="1"/>
  <c r="I610" i="1"/>
  <c r="H610" i="1"/>
  <c r="G610" i="1"/>
  <c r="E610" i="1"/>
  <c r="D610" i="1"/>
  <c r="C610" i="1"/>
  <c r="BE609" i="1"/>
  <c r="BC609" i="1"/>
  <c r="BA609" i="1"/>
  <c r="I609" i="1"/>
  <c r="H609" i="1"/>
  <c r="G609" i="1"/>
  <c r="E609" i="1"/>
  <c r="D609" i="1"/>
  <c r="C609" i="1"/>
  <c r="BE608" i="1"/>
  <c r="BC608" i="1"/>
  <c r="BA608" i="1"/>
  <c r="I608" i="1"/>
  <c r="H608" i="1"/>
  <c r="G608" i="1"/>
  <c r="E608" i="1"/>
  <c r="D608" i="1"/>
  <c r="C608" i="1"/>
  <c r="BE607" i="1"/>
  <c r="BC607" i="1"/>
  <c r="BA607" i="1"/>
  <c r="I607" i="1"/>
  <c r="H607" i="1"/>
  <c r="E607" i="1"/>
  <c r="D607" i="1"/>
  <c r="C607" i="1"/>
  <c r="BF606" i="1"/>
  <c r="BE606" i="1"/>
  <c r="BC606" i="1"/>
  <c r="BA606" i="1"/>
  <c r="I606" i="1"/>
  <c r="H606" i="1"/>
  <c r="E606" i="1"/>
  <c r="D606" i="1"/>
  <c r="C606" i="1"/>
  <c r="BE605" i="1"/>
  <c r="BC605" i="1"/>
  <c r="BA605" i="1"/>
  <c r="I605" i="1"/>
  <c r="H605" i="1"/>
  <c r="G605" i="1"/>
  <c r="E605" i="1"/>
  <c r="D605" i="1"/>
  <c r="C605" i="1"/>
  <c r="BE604" i="1"/>
  <c r="BC604" i="1"/>
  <c r="BA604" i="1"/>
  <c r="I604" i="1"/>
  <c r="H604" i="1"/>
  <c r="G604" i="1"/>
  <c r="E604" i="1"/>
  <c r="D604" i="1"/>
  <c r="C604" i="1"/>
  <c r="BF603" i="1"/>
  <c r="BE603" i="1"/>
  <c r="BC603" i="1"/>
  <c r="BA603" i="1"/>
  <c r="I603" i="1"/>
  <c r="H603" i="1"/>
  <c r="G603" i="1"/>
  <c r="E603" i="1"/>
  <c r="D603" i="1"/>
  <c r="C603" i="1"/>
  <c r="BE602" i="1"/>
  <c r="BC602" i="1"/>
  <c r="I602" i="1"/>
  <c r="H602" i="1"/>
  <c r="G602" i="1"/>
  <c r="E602" i="1"/>
  <c r="D602" i="1"/>
  <c r="C602" i="1"/>
  <c r="BE601" i="1"/>
  <c r="BC601" i="1"/>
  <c r="BA601" i="1"/>
  <c r="I601" i="1"/>
  <c r="H601" i="1"/>
  <c r="E601" i="1"/>
  <c r="D601" i="1"/>
  <c r="C601" i="1"/>
  <c r="BF600" i="1"/>
  <c r="BE600" i="1"/>
  <c r="BC600" i="1"/>
  <c r="BA600" i="1"/>
  <c r="I600" i="1"/>
  <c r="H600" i="1"/>
  <c r="G600" i="1"/>
  <c r="E600" i="1"/>
  <c r="D600" i="1"/>
  <c r="C600" i="1"/>
  <c r="BE599" i="1"/>
  <c r="BC599" i="1"/>
  <c r="BA599" i="1"/>
  <c r="I599" i="1"/>
  <c r="H599" i="1"/>
  <c r="G599" i="1"/>
  <c r="E599" i="1"/>
  <c r="D599" i="1"/>
  <c r="C599" i="1"/>
  <c r="BE598" i="1"/>
  <c r="BC598" i="1"/>
  <c r="I598" i="1"/>
  <c r="H598" i="1"/>
  <c r="E598" i="1"/>
  <c r="D598" i="1"/>
  <c r="C598" i="1"/>
  <c r="BE597" i="1"/>
  <c r="BC597" i="1"/>
  <c r="BA597" i="1"/>
  <c r="I597" i="1"/>
  <c r="H597" i="1"/>
  <c r="G597" i="1"/>
  <c r="E597" i="1"/>
  <c r="D597" i="1"/>
  <c r="C597" i="1"/>
  <c r="BE596" i="1"/>
  <c r="BC596" i="1"/>
  <c r="I596" i="1"/>
  <c r="H596" i="1"/>
  <c r="E596" i="1"/>
  <c r="D596" i="1"/>
  <c r="C596" i="1"/>
  <c r="BE595" i="1"/>
  <c r="BC595" i="1"/>
  <c r="BA595" i="1"/>
  <c r="I595" i="1"/>
  <c r="H595" i="1"/>
  <c r="G595" i="1"/>
  <c r="E595" i="1"/>
  <c r="D595" i="1"/>
  <c r="C595" i="1"/>
  <c r="BF594" i="1"/>
  <c r="BE594" i="1"/>
  <c r="BC594" i="1"/>
  <c r="BA594" i="1"/>
  <c r="I594" i="1"/>
  <c r="H594" i="1"/>
  <c r="G594" i="1"/>
  <c r="E594" i="1"/>
  <c r="D594" i="1"/>
  <c r="C594" i="1"/>
  <c r="BE593" i="1"/>
  <c r="BC593" i="1"/>
  <c r="BA593" i="1"/>
  <c r="I593" i="1"/>
  <c r="H593" i="1"/>
  <c r="G593" i="1"/>
  <c r="E593" i="1"/>
  <c r="D593" i="1"/>
  <c r="C593" i="1"/>
  <c r="BE592" i="1"/>
  <c r="BC592" i="1"/>
  <c r="I592" i="1"/>
  <c r="H592" i="1"/>
  <c r="E592" i="1"/>
  <c r="D592" i="1"/>
  <c r="C592" i="1"/>
  <c r="BE591" i="1"/>
  <c r="BC591" i="1"/>
  <c r="I591" i="1"/>
  <c r="H591" i="1"/>
  <c r="G591" i="1"/>
  <c r="E591" i="1"/>
  <c r="D591" i="1"/>
  <c r="C591" i="1"/>
  <c r="BF590" i="1"/>
  <c r="BE590" i="1"/>
  <c r="BC590" i="1"/>
  <c r="BA590" i="1"/>
  <c r="I590" i="1"/>
  <c r="H590" i="1"/>
  <c r="G590" i="1"/>
  <c r="E590" i="1"/>
  <c r="D590" i="1"/>
  <c r="C590" i="1"/>
  <c r="BE589" i="1"/>
  <c r="BC589" i="1"/>
  <c r="BA589" i="1"/>
  <c r="I589" i="1"/>
  <c r="H589" i="1"/>
  <c r="G589" i="1"/>
  <c r="E589" i="1"/>
  <c r="D589" i="1"/>
  <c r="C589" i="1"/>
  <c r="BE588" i="1"/>
  <c r="BC588" i="1"/>
  <c r="BA588" i="1"/>
  <c r="I588" i="1"/>
  <c r="H588" i="1"/>
  <c r="E588" i="1"/>
  <c r="D588" i="1"/>
  <c r="C588" i="1"/>
  <c r="BE587" i="1"/>
  <c r="BC587" i="1"/>
  <c r="I587" i="1"/>
  <c r="H587" i="1"/>
  <c r="E587" i="1"/>
  <c r="D587" i="1"/>
  <c r="C587" i="1"/>
  <c r="BE586" i="1"/>
  <c r="BC586" i="1"/>
  <c r="I586" i="1"/>
  <c r="H586" i="1"/>
  <c r="G586" i="1"/>
  <c r="E586" i="1"/>
  <c r="D586" i="1"/>
  <c r="C586" i="1"/>
  <c r="BF585" i="1"/>
  <c r="BE585" i="1"/>
  <c r="BC585" i="1"/>
  <c r="BA585" i="1"/>
  <c r="I585" i="1"/>
  <c r="H585" i="1"/>
  <c r="G585" i="1"/>
  <c r="E585" i="1"/>
  <c r="D585" i="1"/>
  <c r="C585" i="1"/>
  <c r="BE584" i="1"/>
  <c r="BC584" i="1"/>
  <c r="BA584" i="1"/>
  <c r="I584" i="1"/>
  <c r="H584" i="1"/>
  <c r="G584" i="1"/>
  <c r="E584" i="1"/>
  <c r="D584" i="1"/>
  <c r="C584" i="1"/>
  <c r="BF583" i="1"/>
  <c r="BE583" i="1"/>
  <c r="BC583" i="1"/>
  <c r="BA583" i="1"/>
  <c r="I583" i="1"/>
  <c r="H583" i="1"/>
  <c r="G583" i="1"/>
  <c r="E583" i="1"/>
  <c r="D583" i="1"/>
  <c r="C583" i="1"/>
  <c r="BE582" i="1"/>
  <c r="BC582" i="1"/>
  <c r="I582" i="1"/>
  <c r="H582" i="1"/>
  <c r="G582" i="1"/>
  <c r="E582" i="1"/>
  <c r="D582" i="1"/>
  <c r="C582" i="1"/>
  <c r="BE581" i="1"/>
  <c r="BC581" i="1"/>
  <c r="BA581" i="1"/>
  <c r="I581" i="1"/>
  <c r="H581" i="1"/>
  <c r="G581" i="1"/>
  <c r="E581" i="1"/>
  <c r="D581" i="1"/>
  <c r="C581" i="1"/>
  <c r="BE580" i="1"/>
  <c r="BC580" i="1"/>
  <c r="BA580" i="1"/>
  <c r="I580" i="1"/>
  <c r="H580" i="1"/>
  <c r="E580" i="1"/>
  <c r="D580" i="1"/>
  <c r="C580" i="1"/>
  <c r="BE579" i="1"/>
  <c r="BC579" i="1"/>
  <c r="I579" i="1"/>
  <c r="H579" i="1"/>
  <c r="E579" i="1"/>
  <c r="D579" i="1"/>
  <c r="C579" i="1"/>
  <c r="BE578" i="1"/>
  <c r="BC578" i="1"/>
  <c r="BA578" i="1"/>
  <c r="I578" i="1"/>
  <c r="H578" i="1"/>
  <c r="G578" i="1"/>
  <c r="E578" i="1"/>
  <c r="D578" i="1"/>
  <c r="C578" i="1"/>
  <c r="BF577" i="1"/>
  <c r="BE577" i="1"/>
  <c r="BC577" i="1"/>
  <c r="BA577" i="1"/>
  <c r="I577" i="1"/>
  <c r="H577" i="1"/>
  <c r="G577" i="1"/>
  <c r="E577" i="1"/>
  <c r="D577" i="1"/>
  <c r="C577" i="1"/>
  <c r="BE576" i="1"/>
  <c r="BC576" i="1"/>
  <c r="I576" i="1"/>
  <c r="H576" i="1"/>
  <c r="E576" i="1"/>
  <c r="D576" i="1"/>
  <c r="C576" i="1"/>
  <c r="BE575" i="1"/>
  <c r="BC575" i="1"/>
  <c r="BA575" i="1"/>
  <c r="I575" i="1"/>
  <c r="H575" i="1"/>
  <c r="G575" i="1"/>
  <c r="E575" i="1"/>
  <c r="D575" i="1"/>
  <c r="C575" i="1"/>
  <c r="BE574" i="1"/>
  <c r="BC574" i="1"/>
  <c r="I574" i="1"/>
  <c r="H574" i="1"/>
  <c r="E574" i="1"/>
  <c r="D574" i="1"/>
  <c r="C574" i="1"/>
  <c r="BF573" i="1"/>
  <c r="BE573" i="1"/>
  <c r="BC573" i="1"/>
  <c r="BA573" i="1"/>
  <c r="I573" i="1"/>
  <c r="H573" i="1"/>
  <c r="G573" i="1"/>
  <c r="E573" i="1"/>
  <c r="D573" i="1"/>
  <c r="C573" i="1"/>
  <c r="BE572" i="1"/>
  <c r="BC572" i="1"/>
  <c r="BA572" i="1"/>
  <c r="I572" i="1"/>
  <c r="H572" i="1"/>
  <c r="E572" i="1"/>
  <c r="D572" i="1"/>
  <c r="C572" i="1"/>
  <c r="BE571" i="1"/>
  <c r="BC571" i="1"/>
  <c r="BA571" i="1"/>
  <c r="I571" i="1"/>
  <c r="H571" i="1"/>
  <c r="G571" i="1"/>
  <c r="E571" i="1"/>
  <c r="D571" i="1"/>
  <c r="C571" i="1"/>
  <c r="BE570" i="1"/>
  <c r="BC570" i="1"/>
  <c r="I570" i="1"/>
  <c r="H570" i="1"/>
  <c r="E570" i="1"/>
  <c r="D570" i="1"/>
  <c r="C570" i="1"/>
  <c r="BF569" i="1"/>
  <c r="BE569" i="1"/>
  <c r="BC569" i="1"/>
  <c r="BA569" i="1"/>
  <c r="I569" i="1"/>
  <c r="H569" i="1"/>
  <c r="G569" i="1"/>
  <c r="E569" i="1"/>
  <c r="D569" i="1"/>
  <c r="C569" i="1"/>
  <c r="BE568" i="1"/>
  <c r="BC568" i="1"/>
  <c r="I568" i="1"/>
  <c r="H568" i="1"/>
  <c r="E568" i="1"/>
  <c r="D568" i="1"/>
  <c r="C568" i="1"/>
  <c r="BE567" i="1"/>
  <c r="BC567" i="1"/>
  <c r="I567" i="1"/>
  <c r="H567" i="1"/>
  <c r="E567" i="1"/>
  <c r="D567" i="1"/>
  <c r="C567" i="1"/>
  <c r="BE566" i="1"/>
  <c r="BC566" i="1"/>
  <c r="I566" i="1"/>
  <c r="H566" i="1"/>
  <c r="E566" i="1"/>
  <c r="D566" i="1"/>
  <c r="C566" i="1"/>
  <c r="BF565" i="1"/>
  <c r="BE565" i="1"/>
  <c r="BC565" i="1"/>
  <c r="BA565" i="1"/>
  <c r="I565" i="1"/>
  <c r="H565" i="1"/>
  <c r="G565" i="1"/>
  <c r="E565" i="1"/>
  <c r="D565" i="1"/>
  <c r="C565" i="1"/>
  <c r="BF564" i="1"/>
  <c r="BE564" i="1"/>
  <c r="BC564" i="1"/>
  <c r="BA564" i="1"/>
  <c r="I564" i="1"/>
  <c r="H564" i="1"/>
  <c r="G564" i="1"/>
  <c r="E564" i="1"/>
  <c r="D564" i="1"/>
  <c r="C564" i="1"/>
  <c r="BE563" i="1"/>
  <c r="BC563" i="1"/>
  <c r="BA563" i="1"/>
  <c r="I563" i="1"/>
  <c r="H563" i="1"/>
  <c r="G563" i="1"/>
  <c r="E563" i="1"/>
  <c r="D563" i="1"/>
  <c r="C563" i="1"/>
  <c r="BF562" i="1"/>
  <c r="BE562" i="1"/>
  <c r="BC562" i="1"/>
  <c r="BA562" i="1"/>
  <c r="I562" i="1"/>
  <c r="H562" i="1"/>
  <c r="G562" i="1"/>
  <c r="E562" i="1"/>
  <c r="D562" i="1"/>
  <c r="C562" i="1"/>
  <c r="BE561" i="1"/>
  <c r="BC561" i="1"/>
  <c r="I561" i="1"/>
  <c r="H561" i="1"/>
  <c r="G561" i="1"/>
  <c r="E561" i="1"/>
  <c r="D561" i="1"/>
  <c r="C561" i="1"/>
  <c r="BE560" i="1"/>
  <c r="BC560" i="1"/>
  <c r="BA560" i="1"/>
  <c r="I560" i="1"/>
  <c r="H560" i="1"/>
  <c r="G560" i="1"/>
  <c r="E560" i="1"/>
  <c r="D560" i="1"/>
  <c r="C560" i="1"/>
  <c r="BE559" i="1"/>
  <c r="BC559" i="1"/>
  <c r="BA559" i="1"/>
  <c r="I559" i="1"/>
  <c r="H559" i="1"/>
  <c r="E559" i="1"/>
  <c r="D559" i="1"/>
  <c r="C559" i="1"/>
  <c r="BE558" i="1"/>
  <c r="BC558" i="1"/>
  <c r="BA558" i="1"/>
  <c r="I558" i="1"/>
  <c r="H558" i="1"/>
  <c r="G558" i="1"/>
  <c r="E558" i="1"/>
  <c r="C558" i="1"/>
  <c r="BE557" i="1"/>
  <c r="BC557" i="1"/>
  <c r="I557" i="1"/>
  <c r="H557" i="1"/>
  <c r="G557" i="1"/>
  <c r="E557" i="1"/>
  <c r="D557" i="1"/>
  <c r="C557" i="1"/>
  <c r="BE556" i="1"/>
  <c r="BC556" i="1"/>
  <c r="BA556" i="1"/>
  <c r="I556" i="1"/>
  <c r="H556" i="1"/>
  <c r="E556" i="1"/>
  <c r="D556" i="1"/>
  <c r="C556" i="1"/>
  <c r="BE555" i="1"/>
  <c r="BC555" i="1"/>
  <c r="BA555" i="1"/>
  <c r="I555" i="1"/>
  <c r="H555" i="1"/>
  <c r="G555" i="1"/>
  <c r="E555" i="1"/>
  <c r="D555" i="1"/>
  <c r="C555" i="1"/>
  <c r="BE554" i="1"/>
  <c r="BC554" i="1"/>
  <c r="BA554" i="1"/>
  <c r="I554" i="1"/>
  <c r="H554" i="1"/>
  <c r="G554" i="1"/>
  <c r="E554" i="1"/>
  <c r="D554" i="1"/>
  <c r="C554" i="1"/>
  <c r="BE553" i="1"/>
  <c r="BC553" i="1"/>
  <c r="I553" i="1"/>
  <c r="H553" i="1"/>
  <c r="E553" i="1"/>
  <c r="D553" i="1"/>
  <c r="C553" i="1"/>
  <c r="BE552" i="1"/>
  <c r="BC552" i="1"/>
  <c r="BA552" i="1"/>
  <c r="I552" i="1"/>
  <c r="H552" i="1"/>
  <c r="G552" i="1"/>
  <c r="E552" i="1"/>
  <c r="D552" i="1"/>
  <c r="C552" i="1"/>
  <c r="BE551" i="1"/>
  <c r="BC551" i="1"/>
  <c r="I551" i="1"/>
  <c r="H551" i="1"/>
  <c r="E551" i="1"/>
  <c r="D551" i="1"/>
  <c r="C551" i="1"/>
  <c r="BE550" i="1"/>
  <c r="BC550" i="1"/>
  <c r="BA550" i="1"/>
  <c r="I550" i="1"/>
  <c r="H550" i="1"/>
  <c r="G550" i="1"/>
  <c r="E550" i="1"/>
  <c r="D550" i="1"/>
  <c r="C550" i="1"/>
  <c r="BF549" i="1"/>
  <c r="BE549" i="1"/>
  <c r="BC549" i="1"/>
  <c r="BA549" i="1"/>
  <c r="I549" i="1"/>
  <c r="H549" i="1"/>
  <c r="G549" i="1"/>
  <c r="E549" i="1"/>
  <c r="D549" i="1"/>
  <c r="C549" i="1"/>
  <c r="BF548" i="1"/>
  <c r="BE548" i="1"/>
  <c r="BC548" i="1"/>
  <c r="BA548" i="1"/>
  <c r="I548" i="1"/>
  <c r="H548" i="1"/>
  <c r="G548" i="1"/>
  <c r="E548" i="1"/>
  <c r="D548" i="1"/>
  <c r="C548" i="1"/>
  <c r="BF547" i="1"/>
  <c r="BE547" i="1"/>
  <c r="BC547" i="1"/>
  <c r="BA547" i="1"/>
  <c r="I547" i="1"/>
  <c r="H547" i="1"/>
  <c r="G547" i="1"/>
  <c r="E547" i="1"/>
  <c r="D547" i="1"/>
  <c r="C547" i="1"/>
  <c r="BE546" i="1"/>
  <c r="BC546" i="1"/>
  <c r="BA546" i="1"/>
  <c r="I546" i="1"/>
  <c r="H546" i="1"/>
  <c r="G546" i="1"/>
  <c r="E546" i="1"/>
  <c r="D546" i="1"/>
  <c r="C546" i="1"/>
  <c r="BE545" i="1"/>
  <c r="BC545" i="1"/>
  <c r="I545" i="1"/>
  <c r="H545" i="1"/>
  <c r="E545" i="1"/>
  <c r="D545" i="1"/>
  <c r="C545" i="1"/>
  <c r="BE544" i="1"/>
  <c r="BC544" i="1"/>
  <c r="I544" i="1"/>
  <c r="H544" i="1"/>
  <c r="G544" i="1"/>
  <c r="E544" i="1"/>
  <c r="D544" i="1"/>
  <c r="C544" i="1"/>
  <c r="BF543" i="1"/>
  <c r="BE543" i="1"/>
  <c r="BC543" i="1"/>
  <c r="BA543" i="1"/>
  <c r="I543" i="1"/>
  <c r="H543" i="1"/>
  <c r="G543" i="1"/>
  <c r="E543" i="1"/>
  <c r="D543" i="1"/>
  <c r="C543" i="1"/>
  <c r="BE542" i="1"/>
  <c r="BC542" i="1"/>
  <c r="BA542" i="1"/>
  <c r="I542" i="1"/>
  <c r="H542" i="1"/>
  <c r="G542" i="1"/>
  <c r="E542" i="1"/>
  <c r="D542" i="1"/>
  <c r="C542" i="1"/>
  <c r="BE541" i="1"/>
  <c r="BC541" i="1"/>
  <c r="BA541" i="1"/>
  <c r="I541" i="1"/>
  <c r="H541" i="1"/>
  <c r="G541" i="1"/>
  <c r="E541" i="1"/>
  <c r="D541" i="1"/>
  <c r="C541" i="1"/>
  <c r="BE540" i="1"/>
  <c r="BC540" i="1"/>
  <c r="I540" i="1"/>
  <c r="H540" i="1"/>
  <c r="E540" i="1"/>
  <c r="D540" i="1"/>
  <c r="C540" i="1"/>
  <c r="BE539" i="1"/>
  <c r="BC539" i="1"/>
  <c r="I539" i="1"/>
  <c r="H539" i="1"/>
  <c r="G539" i="1"/>
  <c r="E539" i="1"/>
  <c r="D539" i="1"/>
  <c r="C539" i="1"/>
  <c r="BF538" i="1"/>
  <c r="BE538" i="1"/>
  <c r="BC538" i="1"/>
  <c r="BA538" i="1"/>
  <c r="I538" i="1"/>
  <c r="H538" i="1"/>
  <c r="G538" i="1"/>
  <c r="E538" i="1"/>
  <c r="D538" i="1"/>
  <c r="C538" i="1"/>
  <c r="BE537" i="1"/>
  <c r="BC537" i="1"/>
  <c r="BA537" i="1"/>
  <c r="I537" i="1"/>
  <c r="H537" i="1"/>
  <c r="G537" i="1"/>
  <c r="E537" i="1"/>
  <c r="D537" i="1"/>
  <c r="C537" i="1"/>
  <c r="BF536" i="1"/>
  <c r="BE536" i="1"/>
  <c r="BC536" i="1"/>
  <c r="BA536" i="1"/>
  <c r="I536" i="1"/>
  <c r="H536" i="1"/>
  <c r="G536" i="1"/>
  <c r="E536" i="1"/>
  <c r="D536" i="1"/>
  <c r="C536" i="1"/>
  <c r="BE535" i="1"/>
  <c r="BC535" i="1"/>
  <c r="I535" i="1"/>
  <c r="H535" i="1"/>
  <c r="G535" i="1"/>
  <c r="E535" i="1"/>
  <c r="D535" i="1"/>
  <c r="C535" i="1"/>
  <c r="BE534" i="1"/>
  <c r="BC534" i="1"/>
  <c r="BA534" i="1"/>
  <c r="I534" i="1"/>
  <c r="H534" i="1"/>
  <c r="G534" i="1"/>
  <c r="E534" i="1"/>
  <c r="D534" i="1"/>
  <c r="C534" i="1"/>
  <c r="BE533" i="1"/>
  <c r="BC533" i="1"/>
  <c r="BA533" i="1"/>
  <c r="I533" i="1"/>
  <c r="H533" i="1"/>
  <c r="E533" i="1"/>
  <c r="D533" i="1"/>
  <c r="C533" i="1"/>
  <c r="BE532" i="1"/>
  <c r="BC532" i="1"/>
  <c r="BA532" i="1"/>
  <c r="I532" i="1"/>
  <c r="H532" i="1"/>
  <c r="G532" i="1"/>
  <c r="E532" i="1"/>
  <c r="D532" i="1"/>
  <c r="C532" i="1"/>
  <c r="BE531" i="1"/>
  <c r="BC531" i="1"/>
  <c r="I531" i="1"/>
  <c r="H531" i="1"/>
  <c r="E531" i="1"/>
  <c r="D531" i="1"/>
  <c r="C531" i="1"/>
  <c r="BE530" i="1"/>
  <c r="BC530" i="1"/>
  <c r="BA530" i="1"/>
  <c r="I530" i="1"/>
  <c r="H530" i="1"/>
  <c r="G530" i="1"/>
  <c r="E530" i="1"/>
  <c r="D530" i="1"/>
  <c r="C530" i="1"/>
  <c r="BE529" i="1"/>
  <c r="BC529" i="1"/>
  <c r="I529" i="1"/>
  <c r="H529" i="1"/>
  <c r="E529" i="1"/>
  <c r="D529" i="1"/>
  <c r="C529" i="1"/>
  <c r="BE528" i="1"/>
  <c r="BC528" i="1"/>
  <c r="BA528" i="1"/>
  <c r="I528" i="1"/>
  <c r="H528" i="1"/>
  <c r="G528" i="1"/>
  <c r="E528" i="1"/>
  <c r="D528" i="1"/>
  <c r="C528" i="1"/>
  <c r="BE527" i="1"/>
  <c r="BC527" i="1"/>
  <c r="BA527" i="1"/>
  <c r="I527" i="1"/>
  <c r="H527" i="1"/>
  <c r="G527" i="1"/>
  <c r="E527" i="1"/>
  <c r="D527" i="1"/>
  <c r="C527" i="1"/>
  <c r="BE526" i="1"/>
  <c r="BC526" i="1"/>
  <c r="I526" i="1"/>
  <c r="H526" i="1"/>
  <c r="E526" i="1"/>
  <c r="D526" i="1"/>
  <c r="C526" i="1"/>
  <c r="BF525" i="1"/>
  <c r="BE525" i="1"/>
  <c r="BC525" i="1"/>
  <c r="BA525" i="1"/>
  <c r="I525" i="1"/>
  <c r="H525" i="1"/>
  <c r="G525" i="1"/>
  <c r="E525" i="1"/>
  <c r="D525" i="1"/>
  <c r="C525" i="1"/>
  <c r="BE524" i="1"/>
  <c r="BC524" i="1"/>
  <c r="I524" i="1"/>
  <c r="H524" i="1"/>
  <c r="E524" i="1"/>
  <c r="D524" i="1"/>
  <c r="C524" i="1"/>
  <c r="BF523" i="1"/>
  <c r="BE523" i="1"/>
  <c r="BC523" i="1"/>
  <c r="BA523" i="1"/>
  <c r="I523" i="1"/>
  <c r="H523" i="1"/>
  <c r="G523" i="1"/>
  <c r="E523" i="1"/>
  <c r="D523" i="1"/>
  <c r="C523" i="1"/>
  <c r="BE522" i="1"/>
  <c r="BC522" i="1"/>
  <c r="I522" i="1"/>
  <c r="H522" i="1"/>
  <c r="E522" i="1"/>
  <c r="D522" i="1"/>
  <c r="C522" i="1"/>
  <c r="BE521" i="1"/>
  <c r="BC521" i="1"/>
  <c r="I521" i="1"/>
  <c r="H521" i="1"/>
  <c r="E521" i="1"/>
  <c r="D521" i="1"/>
  <c r="C521" i="1"/>
  <c r="BE520" i="1"/>
  <c r="BC520" i="1"/>
  <c r="I520" i="1"/>
  <c r="H520" i="1"/>
  <c r="E520" i="1"/>
  <c r="D520" i="1"/>
  <c r="C520" i="1"/>
  <c r="BF519" i="1"/>
  <c r="BE519" i="1"/>
  <c r="BC519" i="1"/>
  <c r="BA519" i="1"/>
  <c r="I519" i="1"/>
  <c r="H519" i="1"/>
  <c r="G519" i="1"/>
  <c r="E519" i="1"/>
  <c r="D519" i="1"/>
  <c r="C519" i="1"/>
  <c r="BF518" i="1"/>
  <c r="BE518" i="1"/>
  <c r="BC518" i="1"/>
  <c r="BA518" i="1"/>
  <c r="I518" i="1"/>
  <c r="H518" i="1"/>
  <c r="G518" i="1"/>
  <c r="E518" i="1"/>
  <c r="D518" i="1"/>
  <c r="C518" i="1"/>
  <c r="BE517" i="1"/>
  <c r="BC517" i="1"/>
  <c r="BA517" i="1"/>
  <c r="I517" i="1"/>
  <c r="H517" i="1"/>
  <c r="G517" i="1"/>
  <c r="E517" i="1"/>
  <c r="D517" i="1"/>
  <c r="C517" i="1"/>
  <c r="BF516" i="1"/>
  <c r="BE516" i="1"/>
  <c r="BC516" i="1"/>
  <c r="BA516" i="1"/>
  <c r="I516" i="1"/>
  <c r="H516" i="1"/>
  <c r="G516" i="1"/>
  <c r="E516" i="1"/>
  <c r="D516" i="1"/>
  <c r="C516" i="1"/>
  <c r="BE515" i="1"/>
  <c r="BC515" i="1"/>
  <c r="I515" i="1"/>
  <c r="H515" i="1"/>
  <c r="G515" i="1"/>
  <c r="E515" i="1"/>
  <c r="D515" i="1"/>
  <c r="C515" i="1"/>
  <c r="BF514" i="1"/>
  <c r="BE514" i="1"/>
  <c r="BC514" i="1"/>
  <c r="BA514" i="1"/>
  <c r="I514" i="1"/>
  <c r="H514" i="1"/>
  <c r="G514" i="1"/>
  <c r="E514" i="1"/>
  <c r="D514" i="1"/>
  <c r="C514" i="1"/>
  <c r="BE513" i="1"/>
  <c r="BC513" i="1"/>
  <c r="BA513" i="1"/>
  <c r="I513" i="1"/>
  <c r="H513" i="1"/>
  <c r="E513" i="1"/>
  <c r="D513" i="1"/>
  <c r="C513" i="1"/>
  <c r="BE512" i="1"/>
  <c r="BC512" i="1"/>
  <c r="BA512" i="1"/>
  <c r="I512" i="1"/>
  <c r="H512" i="1"/>
  <c r="G512" i="1"/>
  <c r="E512" i="1"/>
  <c r="D512" i="1"/>
  <c r="C512" i="1"/>
  <c r="BF511" i="1"/>
  <c r="BE511" i="1"/>
  <c r="BC511" i="1"/>
  <c r="BA511" i="1"/>
  <c r="I511" i="1"/>
  <c r="H511" i="1"/>
  <c r="G511" i="1"/>
  <c r="E511" i="1"/>
  <c r="D511" i="1"/>
  <c r="C511" i="1"/>
  <c r="BE510" i="1"/>
  <c r="BC510" i="1"/>
  <c r="I510" i="1"/>
  <c r="H510" i="1"/>
  <c r="G510" i="1"/>
  <c r="E510" i="1"/>
  <c r="D510" i="1"/>
  <c r="C510" i="1"/>
  <c r="BE509" i="1"/>
  <c r="BC509" i="1"/>
  <c r="I509" i="1"/>
  <c r="H509" i="1"/>
  <c r="E509" i="1"/>
  <c r="D509" i="1"/>
  <c r="C509" i="1"/>
  <c r="BE508" i="1"/>
  <c r="BC508" i="1"/>
  <c r="BA508" i="1"/>
  <c r="I508" i="1"/>
  <c r="H508" i="1"/>
  <c r="E508" i="1"/>
  <c r="D508" i="1"/>
  <c r="C508" i="1"/>
  <c r="BE507" i="1"/>
  <c r="BC507" i="1"/>
  <c r="BA507" i="1"/>
  <c r="I507" i="1"/>
  <c r="H507" i="1"/>
  <c r="G507" i="1"/>
  <c r="E507" i="1"/>
  <c r="D507" i="1"/>
  <c r="C507" i="1"/>
  <c r="BE506" i="1"/>
  <c r="BC506" i="1"/>
  <c r="I506" i="1"/>
  <c r="H506" i="1"/>
  <c r="G506" i="1"/>
  <c r="E506" i="1"/>
  <c r="D506" i="1"/>
  <c r="C506" i="1"/>
  <c r="BE505" i="1"/>
  <c r="BC505" i="1"/>
  <c r="BA505" i="1"/>
  <c r="I505" i="1"/>
  <c r="H505" i="1"/>
  <c r="E505" i="1"/>
  <c r="D505" i="1"/>
  <c r="C505" i="1"/>
  <c r="BE504" i="1"/>
  <c r="BC504" i="1"/>
  <c r="BA504" i="1"/>
  <c r="I504" i="1"/>
  <c r="H504" i="1"/>
  <c r="G504" i="1"/>
  <c r="E504" i="1"/>
  <c r="D504" i="1"/>
  <c r="C504" i="1"/>
  <c r="BE503" i="1"/>
  <c r="BC503" i="1"/>
  <c r="BA503" i="1"/>
  <c r="I503" i="1"/>
  <c r="H503" i="1"/>
  <c r="G503" i="1"/>
  <c r="E503" i="1"/>
  <c r="D503" i="1"/>
  <c r="C503" i="1"/>
  <c r="BE502" i="1"/>
  <c r="BC502" i="1"/>
  <c r="I502" i="1"/>
  <c r="H502" i="1"/>
  <c r="E502" i="1"/>
  <c r="D502" i="1"/>
  <c r="C502" i="1"/>
  <c r="BE501" i="1"/>
  <c r="BC501" i="1"/>
  <c r="BA501" i="1"/>
  <c r="I501" i="1"/>
  <c r="H501" i="1"/>
  <c r="G501" i="1"/>
  <c r="E501" i="1"/>
  <c r="D501" i="1"/>
  <c r="C501" i="1"/>
  <c r="BE500" i="1"/>
  <c r="BC500" i="1"/>
  <c r="I500" i="1"/>
  <c r="H500" i="1"/>
  <c r="E500" i="1"/>
  <c r="D500" i="1"/>
  <c r="C500" i="1"/>
  <c r="BE499" i="1"/>
  <c r="BC499" i="1"/>
  <c r="BA499" i="1"/>
  <c r="I499" i="1"/>
  <c r="H499" i="1"/>
  <c r="G499" i="1"/>
  <c r="E499" i="1"/>
  <c r="D499" i="1"/>
  <c r="C499" i="1"/>
  <c r="BF498" i="1"/>
  <c r="BE498" i="1"/>
  <c r="BC498" i="1"/>
  <c r="BA498" i="1"/>
  <c r="I498" i="1"/>
  <c r="H498" i="1"/>
  <c r="G498" i="1"/>
  <c r="E498" i="1"/>
  <c r="D498" i="1"/>
  <c r="C498" i="1"/>
  <c r="BF497" i="1"/>
  <c r="BE497" i="1"/>
  <c r="BC497" i="1"/>
  <c r="BA497" i="1"/>
  <c r="I497" i="1"/>
  <c r="H497" i="1"/>
  <c r="G497" i="1"/>
  <c r="E497" i="1"/>
  <c r="D497" i="1"/>
  <c r="C497" i="1"/>
  <c r="BE496" i="1"/>
  <c r="BC496" i="1"/>
  <c r="BA496" i="1"/>
  <c r="I496" i="1"/>
  <c r="H496" i="1"/>
  <c r="G496" i="1"/>
  <c r="E496" i="1"/>
  <c r="D496" i="1"/>
  <c r="C496" i="1"/>
  <c r="BE495" i="1"/>
  <c r="BC495" i="1"/>
  <c r="I495" i="1"/>
  <c r="H495" i="1"/>
  <c r="E495" i="1"/>
  <c r="D495" i="1"/>
  <c r="C495" i="1"/>
  <c r="BE494" i="1"/>
  <c r="BC494" i="1"/>
  <c r="I494" i="1"/>
  <c r="H494" i="1"/>
  <c r="G494" i="1"/>
  <c r="E494" i="1"/>
  <c r="D494" i="1"/>
  <c r="C494" i="1"/>
  <c r="BF493" i="1"/>
  <c r="BE493" i="1"/>
  <c r="BC493" i="1"/>
  <c r="BA493" i="1"/>
  <c r="I493" i="1"/>
  <c r="H493" i="1"/>
  <c r="G493" i="1"/>
  <c r="E493" i="1"/>
  <c r="D493" i="1"/>
  <c r="C493" i="1"/>
  <c r="BE492" i="1"/>
  <c r="BC492" i="1"/>
  <c r="BA492" i="1"/>
  <c r="I492" i="1"/>
  <c r="H492" i="1"/>
  <c r="G492" i="1"/>
  <c r="E492" i="1"/>
  <c r="D492" i="1"/>
  <c r="C492" i="1"/>
  <c r="BE491" i="1"/>
  <c r="BC491" i="1"/>
  <c r="I491" i="1"/>
  <c r="H491" i="1"/>
  <c r="G491" i="1"/>
  <c r="E491" i="1"/>
  <c r="D491" i="1"/>
  <c r="C491" i="1"/>
  <c r="BF490" i="1"/>
  <c r="BE490" i="1"/>
  <c r="BC490" i="1"/>
  <c r="BA490" i="1"/>
  <c r="I490" i="1"/>
  <c r="H490" i="1"/>
  <c r="G490" i="1"/>
  <c r="E490" i="1"/>
  <c r="D490" i="1"/>
  <c r="C490" i="1"/>
  <c r="BE489" i="1"/>
  <c r="BC489" i="1"/>
  <c r="BA489" i="1"/>
  <c r="I489" i="1"/>
  <c r="H489" i="1"/>
  <c r="G489" i="1"/>
  <c r="E489" i="1"/>
  <c r="D489" i="1"/>
  <c r="C489" i="1"/>
  <c r="BF488" i="1"/>
  <c r="BE488" i="1"/>
  <c r="BC488" i="1"/>
  <c r="BA488" i="1"/>
  <c r="I488" i="1"/>
  <c r="H488" i="1"/>
  <c r="G488" i="1"/>
  <c r="E488" i="1"/>
  <c r="D488" i="1"/>
  <c r="C488" i="1"/>
  <c r="BE487" i="1"/>
  <c r="BC487" i="1"/>
  <c r="I487" i="1"/>
  <c r="H487" i="1"/>
  <c r="G487" i="1"/>
  <c r="E487" i="1"/>
  <c r="D487" i="1"/>
  <c r="C487" i="1"/>
  <c r="BE486" i="1"/>
  <c r="BC486" i="1"/>
  <c r="BA486" i="1"/>
  <c r="I486" i="1"/>
  <c r="H486" i="1"/>
  <c r="G486" i="1"/>
  <c r="E486" i="1"/>
  <c r="D486" i="1"/>
  <c r="C486" i="1"/>
  <c r="BE485" i="1"/>
  <c r="BC485" i="1"/>
  <c r="BA485" i="1"/>
  <c r="I485" i="1"/>
  <c r="H485" i="1"/>
  <c r="E485" i="1"/>
  <c r="D485" i="1"/>
  <c r="C485" i="1"/>
  <c r="BE484" i="1"/>
  <c r="BC484" i="1"/>
  <c r="BA484" i="1"/>
  <c r="I484" i="1"/>
  <c r="H484" i="1"/>
  <c r="G484" i="1"/>
  <c r="E484" i="1"/>
  <c r="D484" i="1"/>
  <c r="C484" i="1"/>
  <c r="BE483" i="1"/>
  <c r="BC483" i="1"/>
  <c r="I483" i="1"/>
  <c r="H483" i="1"/>
  <c r="E483" i="1"/>
  <c r="D483" i="1"/>
  <c r="C483" i="1"/>
  <c r="BE482" i="1"/>
  <c r="BC482" i="1"/>
  <c r="BA482" i="1"/>
  <c r="I482" i="1"/>
  <c r="H482" i="1"/>
  <c r="G482" i="1"/>
  <c r="E482" i="1"/>
  <c r="D482" i="1"/>
  <c r="C482" i="1"/>
  <c r="BE481" i="1"/>
  <c r="BC481" i="1"/>
  <c r="I481" i="1"/>
  <c r="H481" i="1"/>
  <c r="E481" i="1"/>
  <c r="D481" i="1"/>
  <c r="C481" i="1"/>
  <c r="BE480" i="1"/>
  <c r="BC480" i="1"/>
  <c r="BA480" i="1"/>
  <c r="I480" i="1"/>
  <c r="H480" i="1"/>
  <c r="G480" i="1"/>
  <c r="E480" i="1"/>
  <c r="D480" i="1"/>
  <c r="C480" i="1"/>
  <c r="BE479" i="1"/>
  <c r="BC479" i="1"/>
  <c r="I479" i="1"/>
  <c r="H479" i="1"/>
  <c r="E479" i="1"/>
  <c r="D479" i="1"/>
  <c r="C479" i="1"/>
  <c r="BF478" i="1"/>
  <c r="BE478" i="1"/>
  <c r="BC478" i="1"/>
  <c r="BA478" i="1"/>
  <c r="I478" i="1"/>
  <c r="H478" i="1"/>
  <c r="G478" i="1"/>
  <c r="E478" i="1"/>
  <c r="D478" i="1"/>
  <c r="C478" i="1"/>
  <c r="BE477" i="1"/>
  <c r="BC477" i="1"/>
  <c r="I477" i="1"/>
  <c r="H477" i="1"/>
  <c r="E477" i="1"/>
  <c r="D477" i="1"/>
  <c r="C477" i="1"/>
  <c r="BE476" i="1"/>
  <c r="BC476" i="1"/>
  <c r="I476" i="1"/>
  <c r="H476" i="1"/>
  <c r="E476" i="1"/>
  <c r="D476" i="1"/>
  <c r="C476" i="1"/>
  <c r="BF475" i="1"/>
  <c r="BE475" i="1"/>
  <c r="BC475" i="1"/>
  <c r="BA475" i="1"/>
  <c r="I475" i="1"/>
  <c r="H475" i="1"/>
  <c r="G475" i="1"/>
  <c r="E475" i="1"/>
  <c r="D475" i="1"/>
  <c r="C475" i="1"/>
  <c r="BE474" i="1"/>
  <c r="BC474" i="1"/>
  <c r="I474" i="1"/>
  <c r="H474" i="1"/>
  <c r="E474" i="1"/>
  <c r="D474" i="1"/>
  <c r="C474" i="1"/>
  <c r="BF473" i="1"/>
  <c r="BE473" i="1"/>
  <c r="BC473" i="1"/>
  <c r="BA473" i="1"/>
  <c r="I473" i="1"/>
  <c r="H473" i="1"/>
  <c r="G473" i="1"/>
  <c r="E473" i="1"/>
  <c r="D473" i="1"/>
  <c r="C473" i="1"/>
  <c r="BF472" i="1"/>
  <c r="BE472" i="1"/>
  <c r="BC472" i="1"/>
  <c r="BA472" i="1"/>
  <c r="I472" i="1"/>
  <c r="H472" i="1"/>
  <c r="G472" i="1"/>
  <c r="E472" i="1"/>
  <c r="D472" i="1"/>
  <c r="C472" i="1"/>
  <c r="BE471" i="1"/>
  <c r="BC471" i="1"/>
  <c r="BA471" i="1"/>
  <c r="I471" i="1"/>
  <c r="H471" i="1"/>
  <c r="G471" i="1"/>
  <c r="E471" i="1"/>
  <c r="D471" i="1"/>
  <c r="C471" i="1"/>
  <c r="BE470" i="1"/>
  <c r="BC470" i="1"/>
  <c r="I470" i="1"/>
  <c r="H470" i="1"/>
  <c r="G470" i="1"/>
  <c r="E470" i="1"/>
  <c r="D470" i="1"/>
  <c r="C470" i="1"/>
  <c r="BF469" i="1"/>
  <c r="BE469" i="1"/>
  <c r="BC469" i="1"/>
  <c r="BA469" i="1"/>
  <c r="I469" i="1"/>
  <c r="H469" i="1"/>
  <c r="G469" i="1"/>
  <c r="E469" i="1"/>
  <c r="D469" i="1"/>
  <c r="C469" i="1"/>
  <c r="BE468" i="1"/>
  <c r="BC468" i="1"/>
  <c r="BA468" i="1"/>
  <c r="I468" i="1"/>
  <c r="H468" i="1"/>
  <c r="E468" i="1"/>
  <c r="D468" i="1"/>
  <c r="C468" i="1"/>
  <c r="BE467" i="1"/>
  <c r="BC467" i="1"/>
  <c r="BA467" i="1"/>
  <c r="I467" i="1"/>
  <c r="H467" i="1"/>
  <c r="G467" i="1"/>
  <c r="E467" i="1"/>
  <c r="D467" i="1"/>
  <c r="C467" i="1"/>
  <c r="BF466" i="1"/>
  <c r="BE466" i="1"/>
  <c r="BC466" i="1"/>
  <c r="BA466" i="1"/>
  <c r="I466" i="1"/>
  <c r="H466" i="1"/>
  <c r="G466" i="1"/>
  <c r="E466" i="1"/>
  <c r="D466" i="1"/>
  <c r="C466" i="1"/>
  <c r="BE465" i="1"/>
  <c r="BC465" i="1"/>
  <c r="I465" i="1"/>
  <c r="H465" i="1"/>
  <c r="E465" i="1"/>
  <c r="D465" i="1"/>
  <c r="C465" i="1"/>
  <c r="BE464" i="1"/>
  <c r="BC464" i="1"/>
  <c r="I464" i="1"/>
  <c r="H464" i="1"/>
  <c r="E464" i="1"/>
  <c r="D464" i="1"/>
  <c r="C464" i="1"/>
  <c r="BE463" i="1"/>
  <c r="BC463" i="1"/>
  <c r="BA463" i="1"/>
  <c r="I463" i="1"/>
  <c r="H463" i="1"/>
  <c r="E463" i="1"/>
  <c r="D463" i="1"/>
  <c r="C463" i="1"/>
  <c r="BF462" i="1"/>
  <c r="BE462" i="1"/>
  <c r="BC462" i="1"/>
  <c r="BA462" i="1"/>
  <c r="I462" i="1"/>
  <c r="H462" i="1"/>
  <c r="G462" i="1"/>
  <c r="E462" i="1"/>
  <c r="D462" i="1"/>
  <c r="C462" i="1"/>
  <c r="BE461" i="1"/>
  <c r="BC461" i="1"/>
  <c r="BA461" i="1"/>
  <c r="I461" i="1"/>
  <c r="H461" i="1"/>
  <c r="G461" i="1"/>
  <c r="E461" i="1"/>
  <c r="D461" i="1"/>
  <c r="C461" i="1"/>
  <c r="BE460" i="1"/>
  <c r="BC460" i="1"/>
  <c r="BA460" i="1"/>
  <c r="I460" i="1"/>
  <c r="H460" i="1"/>
  <c r="E460" i="1"/>
  <c r="D460" i="1"/>
  <c r="C460" i="1"/>
  <c r="BE459" i="1"/>
  <c r="BC459" i="1"/>
  <c r="BA459" i="1"/>
  <c r="I459" i="1"/>
  <c r="H459" i="1"/>
  <c r="G459" i="1"/>
  <c r="E459" i="1"/>
  <c r="D459" i="1"/>
  <c r="C459" i="1"/>
  <c r="BE458" i="1"/>
  <c r="BC458" i="1"/>
  <c r="BA458" i="1"/>
  <c r="I458" i="1"/>
  <c r="H458" i="1"/>
  <c r="G458" i="1"/>
  <c r="E458" i="1"/>
  <c r="D458" i="1"/>
  <c r="C458" i="1"/>
  <c r="BE457" i="1"/>
  <c r="BC457" i="1"/>
  <c r="BA457" i="1"/>
  <c r="I457" i="1"/>
  <c r="H457" i="1"/>
  <c r="G457" i="1"/>
  <c r="E457" i="1"/>
  <c r="D457" i="1"/>
  <c r="C457" i="1"/>
  <c r="BF456" i="1"/>
  <c r="BE456" i="1"/>
  <c r="BC456" i="1"/>
  <c r="BA456" i="1"/>
  <c r="I456" i="1"/>
  <c r="H456" i="1"/>
  <c r="G456" i="1"/>
  <c r="E456" i="1"/>
  <c r="D456" i="1"/>
  <c r="C456" i="1"/>
  <c r="BE455" i="1"/>
  <c r="BC455" i="1"/>
  <c r="I455" i="1"/>
  <c r="H455" i="1"/>
  <c r="E455" i="1"/>
  <c r="D455" i="1"/>
  <c r="C455" i="1"/>
  <c r="BE454" i="1"/>
  <c r="BC454" i="1"/>
  <c r="BA454" i="1"/>
  <c r="I454" i="1"/>
  <c r="H454" i="1"/>
  <c r="G454" i="1"/>
  <c r="E454" i="1"/>
  <c r="D454" i="1"/>
  <c r="C454" i="1"/>
  <c r="BE453" i="1"/>
  <c r="BC453" i="1"/>
  <c r="I453" i="1"/>
  <c r="H453" i="1"/>
  <c r="E453" i="1"/>
  <c r="D453" i="1"/>
  <c r="C453" i="1"/>
  <c r="BE452" i="1"/>
  <c r="BC452" i="1"/>
  <c r="BA452" i="1"/>
  <c r="I452" i="1"/>
  <c r="H452" i="1"/>
  <c r="G452" i="1"/>
  <c r="E452" i="1"/>
  <c r="D452" i="1"/>
  <c r="C452" i="1"/>
  <c r="BF451" i="1"/>
  <c r="BE451" i="1"/>
  <c r="BC451" i="1"/>
  <c r="BA451" i="1"/>
  <c r="I451" i="1"/>
  <c r="H451" i="1"/>
  <c r="G451" i="1"/>
  <c r="E451" i="1"/>
  <c r="D451" i="1"/>
  <c r="C451" i="1"/>
  <c r="BE450" i="1"/>
  <c r="BC450" i="1"/>
  <c r="BA450" i="1"/>
  <c r="I450" i="1"/>
  <c r="H450" i="1"/>
  <c r="G450" i="1"/>
  <c r="E450" i="1"/>
  <c r="D450" i="1"/>
  <c r="C450" i="1"/>
  <c r="BE449" i="1"/>
  <c r="BC449" i="1"/>
  <c r="BA449" i="1"/>
  <c r="I449" i="1"/>
  <c r="H449" i="1"/>
  <c r="G449" i="1"/>
  <c r="E449" i="1"/>
  <c r="D449" i="1"/>
  <c r="C449" i="1"/>
  <c r="BE448" i="1"/>
  <c r="BC448" i="1"/>
  <c r="I448" i="1"/>
  <c r="H448" i="1"/>
  <c r="E448" i="1"/>
  <c r="D448" i="1"/>
  <c r="C448" i="1"/>
  <c r="BE447" i="1"/>
  <c r="BC447" i="1"/>
  <c r="I447" i="1"/>
  <c r="H447" i="1"/>
  <c r="G447" i="1"/>
  <c r="E447" i="1"/>
  <c r="D447" i="1"/>
  <c r="C447" i="1"/>
  <c r="BF446" i="1"/>
  <c r="BE446" i="1"/>
  <c r="BC446" i="1"/>
  <c r="BA446" i="1"/>
  <c r="I446" i="1"/>
  <c r="H446" i="1"/>
  <c r="G446" i="1"/>
  <c r="E446" i="1"/>
  <c r="D446" i="1"/>
  <c r="C446" i="1"/>
  <c r="BE445" i="1"/>
  <c r="BC445" i="1"/>
  <c r="BA445" i="1"/>
  <c r="I445" i="1"/>
  <c r="H445" i="1"/>
  <c r="G445" i="1"/>
  <c r="E445" i="1"/>
  <c r="D445" i="1"/>
  <c r="C445" i="1"/>
  <c r="BE444" i="1"/>
  <c r="BC444" i="1"/>
  <c r="BA444" i="1"/>
  <c r="I444" i="1"/>
  <c r="H444" i="1"/>
  <c r="G444" i="1"/>
  <c r="E444" i="1"/>
  <c r="D444" i="1"/>
  <c r="C444" i="1"/>
  <c r="BF443" i="1"/>
  <c r="BE443" i="1"/>
  <c r="BC443" i="1"/>
  <c r="BA443" i="1"/>
  <c r="I443" i="1"/>
  <c r="H443" i="1"/>
  <c r="G443" i="1"/>
  <c r="E443" i="1"/>
  <c r="D443" i="1"/>
  <c r="C443" i="1"/>
  <c r="BE442" i="1"/>
  <c r="BC442" i="1"/>
  <c r="I442" i="1"/>
  <c r="H442" i="1"/>
  <c r="G442" i="1"/>
  <c r="E442" i="1"/>
  <c r="D442" i="1"/>
  <c r="C442" i="1"/>
  <c r="BE441" i="1"/>
  <c r="BC441" i="1"/>
  <c r="BA441" i="1"/>
  <c r="I441" i="1"/>
  <c r="H441" i="1"/>
  <c r="G441" i="1"/>
  <c r="E441" i="1"/>
  <c r="D441" i="1"/>
  <c r="C441" i="1"/>
  <c r="BE440" i="1"/>
  <c r="BC440" i="1"/>
  <c r="BA440" i="1"/>
  <c r="I440" i="1"/>
  <c r="H440" i="1"/>
  <c r="G440" i="1"/>
  <c r="E440" i="1"/>
  <c r="D440" i="1"/>
  <c r="C440" i="1"/>
  <c r="BE439" i="1"/>
  <c r="BC439" i="1"/>
  <c r="BA439" i="1"/>
  <c r="I439" i="1"/>
  <c r="H439" i="1"/>
  <c r="G439" i="1"/>
  <c r="E439" i="1"/>
  <c r="D439" i="1"/>
  <c r="C439" i="1"/>
  <c r="BE438" i="1"/>
  <c r="BC438" i="1"/>
  <c r="BA438" i="1"/>
  <c r="I438" i="1"/>
  <c r="H438" i="1"/>
  <c r="E438" i="1"/>
  <c r="D438" i="1"/>
  <c r="C438" i="1"/>
  <c r="BE437" i="1"/>
  <c r="BC437" i="1"/>
  <c r="BA437" i="1"/>
  <c r="I437" i="1"/>
  <c r="H437" i="1"/>
  <c r="G437" i="1"/>
  <c r="E437" i="1"/>
  <c r="D437" i="1"/>
  <c r="C437" i="1"/>
  <c r="BE436" i="1"/>
  <c r="BC436" i="1"/>
  <c r="I436" i="1"/>
  <c r="H436" i="1"/>
  <c r="E436" i="1"/>
  <c r="D436" i="1"/>
  <c r="C436" i="1"/>
  <c r="BE435" i="1"/>
  <c r="BC435" i="1"/>
  <c r="BA435" i="1"/>
  <c r="I435" i="1"/>
  <c r="H435" i="1"/>
  <c r="G435" i="1"/>
  <c r="E435" i="1"/>
  <c r="D435" i="1"/>
  <c r="C435" i="1"/>
  <c r="BE434" i="1"/>
  <c r="BC434" i="1"/>
  <c r="I434" i="1"/>
  <c r="H434" i="1"/>
  <c r="E434" i="1"/>
  <c r="D434" i="1"/>
  <c r="C434" i="1"/>
  <c r="BF433" i="1"/>
  <c r="BE433" i="1"/>
  <c r="BC433" i="1"/>
  <c r="BA433" i="1"/>
  <c r="I433" i="1"/>
  <c r="H433" i="1"/>
  <c r="G433" i="1"/>
  <c r="E433" i="1"/>
  <c r="D433" i="1"/>
  <c r="C433" i="1"/>
  <c r="BE432" i="1"/>
  <c r="BC432" i="1"/>
  <c r="I432" i="1"/>
  <c r="H432" i="1"/>
  <c r="E432" i="1"/>
  <c r="D432" i="1"/>
  <c r="C432" i="1"/>
  <c r="BE431" i="1"/>
  <c r="BC431" i="1"/>
  <c r="I431" i="1"/>
  <c r="H431" i="1"/>
  <c r="E431" i="1"/>
  <c r="D431" i="1"/>
  <c r="C431" i="1"/>
  <c r="BF430" i="1"/>
  <c r="BE430" i="1"/>
  <c r="BC430" i="1"/>
  <c r="BA430" i="1"/>
  <c r="I430" i="1"/>
  <c r="H430" i="1"/>
  <c r="G430" i="1"/>
  <c r="E430" i="1"/>
  <c r="D430" i="1"/>
  <c r="C430" i="1"/>
  <c r="BF429" i="1"/>
  <c r="BE429" i="1"/>
  <c r="BC429" i="1"/>
  <c r="BA429" i="1"/>
  <c r="I429" i="1"/>
  <c r="H429" i="1"/>
  <c r="G429" i="1"/>
  <c r="E429" i="1"/>
  <c r="D429" i="1"/>
  <c r="C429" i="1"/>
  <c r="BE428" i="1"/>
  <c r="BC428" i="1"/>
  <c r="I428" i="1"/>
  <c r="H428" i="1"/>
  <c r="E428" i="1"/>
  <c r="D428" i="1"/>
  <c r="C428" i="1"/>
  <c r="BE427" i="1"/>
  <c r="BC427" i="1"/>
  <c r="I427" i="1"/>
  <c r="H427" i="1"/>
  <c r="E427" i="1"/>
  <c r="D427" i="1"/>
  <c r="C427" i="1"/>
  <c r="BF426" i="1"/>
  <c r="BE426" i="1"/>
  <c r="BC426" i="1"/>
  <c r="BA426" i="1"/>
  <c r="I426" i="1"/>
  <c r="H426" i="1"/>
  <c r="G426" i="1"/>
  <c r="E426" i="1"/>
  <c r="D426" i="1"/>
  <c r="C426" i="1"/>
  <c r="BF425" i="1"/>
  <c r="BE425" i="1"/>
  <c r="BC425" i="1"/>
  <c r="BA425" i="1"/>
  <c r="I425" i="1"/>
  <c r="H425" i="1"/>
  <c r="G425" i="1"/>
  <c r="E425" i="1"/>
  <c r="D425" i="1"/>
  <c r="C425" i="1"/>
  <c r="BF424" i="1"/>
  <c r="BE424" i="1"/>
  <c r="BC424" i="1"/>
  <c r="BA424" i="1"/>
  <c r="I424" i="1"/>
  <c r="H424" i="1"/>
  <c r="G424" i="1"/>
  <c r="E424" i="1"/>
  <c r="D424" i="1"/>
  <c r="C424" i="1"/>
  <c r="BE423" i="1"/>
  <c r="BC423" i="1"/>
  <c r="BA423" i="1"/>
  <c r="I423" i="1"/>
  <c r="H423" i="1"/>
  <c r="G423" i="1"/>
  <c r="E423" i="1"/>
  <c r="D423" i="1"/>
  <c r="C423" i="1"/>
  <c r="BE422" i="1"/>
  <c r="BC422" i="1"/>
  <c r="I422" i="1"/>
  <c r="H422" i="1"/>
  <c r="G422" i="1"/>
  <c r="E422" i="1"/>
  <c r="D422" i="1"/>
  <c r="C422" i="1"/>
  <c r="BF421" i="1"/>
  <c r="BE421" i="1"/>
  <c r="BC421" i="1"/>
  <c r="BA421" i="1"/>
  <c r="I421" i="1"/>
  <c r="H421" i="1"/>
  <c r="G421" i="1"/>
  <c r="E421" i="1"/>
  <c r="D421" i="1"/>
  <c r="C421" i="1"/>
  <c r="BE420" i="1"/>
  <c r="BC420" i="1"/>
  <c r="BA420" i="1"/>
  <c r="I420" i="1"/>
  <c r="H420" i="1"/>
  <c r="E420" i="1"/>
  <c r="D420" i="1"/>
  <c r="C420" i="1"/>
  <c r="BE419" i="1"/>
  <c r="BC419" i="1"/>
  <c r="BA419" i="1"/>
  <c r="I419" i="1"/>
  <c r="H419" i="1"/>
  <c r="G419" i="1"/>
  <c r="E419" i="1"/>
  <c r="D419" i="1"/>
  <c r="C419" i="1"/>
  <c r="BF418" i="1"/>
  <c r="BE418" i="1"/>
  <c r="BC418" i="1"/>
  <c r="BA418" i="1"/>
  <c r="I418" i="1"/>
  <c r="H418" i="1"/>
  <c r="G418" i="1"/>
  <c r="E418" i="1"/>
  <c r="D418" i="1"/>
  <c r="C418" i="1"/>
  <c r="BE417" i="1"/>
  <c r="BC417" i="1"/>
  <c r="I417" i="1"/>
  <c r="H417" i="1"/>
  <c r="G417" i="1"/>
  <c r="E417" i="1"/>
  <c r="D417" i="1"/>
  <c r="C417" i="1"/>
  <c r="BE416" i="1"/>
  <c r="BC416" i="1"/>
  <c r="I416" i="1"/>
  <c r="H416" i="1"/>
  <c r="E416" i="1"/>
  <c r="D416" i="1"/>
  <c r="C416" i="1"/>
  <c r="BF415" i="1"/>
  <c r="BE415" i="1"/>
  <c r="BC415" i="1"/>
  <c r="BA415" i="1"/>
  <c r="I415" i="1"/>
  <c r="H415" i="1"/>
  <c r="G415" i="1"/>
  <c r="E415" i="1"/>
  <c r="D415" i="1"/>
  <c r="C415" i="1"/>
  <c r="BF414" i="1"/>
  <c r="BE414" i="1"/>
  <c r="BC414" i="1"/>
  <c r="BA414" i="1"/>
  <c r="I414" i="1"/>
  <c r="H414" i="1"/>
  <c r="G414" i="1"/>
  <c r="E414" i="1"/>
  <c r="D414" i="1"/>
  <c r="C414" i="1"/>
  <c r="BE413" i="1"/>
  <c r="BC413" i="1"/>
  <c r="BA413" i="1"/>
  <c r="I413" i="1"/>
  <c r="H413" i="1"/>
  <c r="E413" i="1"/>
  <c r="D413" i="1"/>
  <c r="C413" i="1"/>
  <c r="BF412" i="1"/>
  <c r="BE412" i="1"/>
  <c r="BC412" i="1"/>
  <c r="BA412" i="1"/>
  <c r="I412" i="1"/>
  <c r="H412" i="1"/>
  <c r="G412" i="1"/>
  <c r="E412" i="1"/>
  <c r="D412" i="1"/>
  <c r="C412" i="1"/>
  <c r="BE411" i="1"/>
  <c r="BC411" i="1"/>
  <c r="BA411" i="1"/>
  <c r="I411" i="1"/>
  <c r="H411" i="1"/>
  <c r="G411" i="1"/>
  <c r="E411" i="1"/>
  <c r="D411" i="1"/>
  <c r="C411" i="1"/>
  <c r="BF410" i="1"/>
  <c r="BE410" i="1"/>
  <c r="BC410" i="1"/>
  <c r="BA410" i="1"/>
  <c r="I410" i="1"/>
  <c r="H410" i="1"/>
  <c r="G410" i="1"/>
  <c r="E410" i="1"/>
  <c r="D410" i="1"/>
  <c r="C410" i="1"/>
  <c r="BE409" i="1"/>
  <c r="BC409" i="1"/>
  <c r="I409" i="1"/>
  <c r="H409" i="1"/>
  <c r="E409" i="1"/>
  <c r="D409" i="1"/>
  <c r="C409" i="1"/>
  <c r="BE408" i="1"/>
  <c r="BC408" i="1"/>
  <c r="BA408" i="1"/>
  <c r="I408" i="1"/>
  <c r="H408" i="1"/>
  <c r="G408" i="1"/>
  <c r="E408" i="1"/>
  <c r="D408" i="1"/>
  <c r="C408" i="1"/>
  <c r="BE407" i="1"/>
  <c r="BC407" i="1"/>
  <c r="I407" i="1"/>
  <c r="H407" i="1"/>
  <c r="E407" i="1"/>
  <c r="D407" i="1"/>
  <c r="C407" i="1"/>
  <c r="BE406" i="1"/>
  <c r="BC406" i="1"/>
  <c r="BA406" i="1"/>
  <c r="I406" i="1"/>
  <c r="H406" i="1"/>
  <c r="G406" i="1"/>
  <c r="E406" i="1"/>
  <c r="D406" i="1"/>
  <c r="C406" i="1"/>
  <c r="BF405" i="1"/>
  <c r="BE405" i="1"/>
  <c r="BC405" i="1"/>
  <c r="BA405" i="1"/>
  <c r="I405" i="1"/>
  <c r="H405" i="1"/>
  <c r="G405" i="1"/>
  <c r="E405" i="1"/>
  <c r="D405" i="1"/>
  <c r="C405" i="1"/>
  <c r="BE404" i="1"/>
  <c r="BC404" i="1"/>
  <c r="BA404" i="1"/>
  <c r="I404" i="1"/>
  <c r="H404" i="1"/>
  <c r="G404" i="1"/>
  <c r="E404" i="1"/>
  <c r="D404" i="1"/>
  <c r="C404" i="1"/>
  <c r="BE403" i="1"/>
  <c r="BC403" i="1"/>
  <c r="BA403" i="1"/>
  <c r="I403" i="1"/>
  <c r="H403" i="1"/>
  <c r="G403" i="1"/>
  <c r="E403" i="1"/>
  <c r="D403" i="1"/>
  <c r="C403" i="1"/>
  <c r="BE402" i="1"/>
  <c r="BC402" i="1"/>
  <c r="BA402" i="1"/>
  <c r="I402" i="1"/>
  <c r="H402" i="1"/>
  <c r="G402" i="1"/>
  <c r="E402" i="1"/>
  <c r="D402" i="1"/>
  <c r="C402" i="1"/>
  <c r="BE401" i="1"/>
  <c r="BC401" i="1"/>
  <c r="I401" i="1"/>
  <c r="H401" i="1"/>
  <c r="E401" i="1"/>
  <c r="D401" i="1"/>
  <c r="C401" i="1"/>
  <c r="BE400" i="1"/>
  <c r="BC400" i="1"/>
  <c r="I400" i="1"/>
  <c r="H400" i="1"/>
  <c r="G400" i="1"/>
  <c r="E400" i="1"/>
  <c r="D400" i="1"/>
  <c r="C400" i="1"/>
  <c r="BF399" i="1"/>
  <c r="BE399" i="1"/>
  <c r="BC399" i="1"/>
  <c r="BA399" i="1"/>
  <c r="I399" i="1"/>
  <c r="H399" i="1"/>
  <c r="G399" i="1"/>
  <c r="E399" i="1"/>
  <c r="D399" i="1"/>
  <c r="C399" i="1"/>
  <c r="BE398" i="1"/>
  <c r="BC398" i="1"/>
  <c r="BA398" i="1"/>
  <c r="I398" i="1"/>
  <c r="H398" i="1"/>
  <c r="G398" i="1"/>
  <c r="E398" i="1"/>
  <c r="D398" i="1"/>
  <c r="C398" i="1"/>
  <c r="BE397" i="1"/>
  <c r="BC397" i="1"/>
  <c r="I397" i="1"/>
  <c r="H397" i="1"/>
  <c r="G397" i="1"/>
  <c r="E397" i="1"/>
  <c r="D397" i="1"/>
  <c r="C397" i="1"/>
  <c r="BE396" i="1"/>
  <c r="BC396" i="1"/>
  <c r="BA396" i="1"/>
  <c r="I396" i="1"/>
  <c r="H396" i="1"/>
  <c r="G396" i="1"/>
  <c r="E396" i="1"/>
  <c r="D396" i="1"/>
  <c r="C396" i="1"/>
  <c r="BE395" i="1"/>
  <c r="BC395" i="1"/>
  <c r="BA395" i="1"/>
  <c r="I395" i="1"/>
  <c r="H395" i="1"/>
  <c r="G395" i="1"/>
  <c r="E395" i="1"/>
  <c r="D395" i="1"/>
  <c r="C395" i="1"/>
  <c r="BF394" i="1"/>
  <c r="BE394" i="1"/>
  <c r="BC394" i="1"/>
  <c r="BA394" i="1"/>
  <c r="I394" i="1"/>
  <c r="H394" i="1"/>
  <c r="G394" i="1"/>
  <c r="E394" i="1"/>
  <c r="D394" i="1"/>
  <c r="C394" i="1"/>
  <c r="BE393" i="1"/>
  <c r="BC393" i="1"/>
  <c r="I393" i="1"/>
  <c r="H393" i="1"/>
  <c r="G393" i="1"/>
  <c r="E393" i="1"/>
  <c r="D393" i="1"/>
  <c r="C393" i="1"/>
  <c r="BE392" i="1"/>
  <c r="BC392" i="1"/>
  <c r="BA392" i="1"/>
  <c r="I392" i="1"/>
  <c r="H392" i="1"/>
  <c r="G392" i="1"/>
  <c r="E392" i="1"/>
  <c r="D392" i="1"/>
  <c r="C392" i="1"/>
  <c r="BE391" i="1"/>
  <c r="BC391" i="1"/>
  <c r="BA391" i="1"/>
  <c r="I391" i="1"/>
  <c r="H391" i="1"/>
  <c r="G391" i="1"/>
  <c r="E391" i="1"/>
  <c r="D391" i="1"/>
  <c r="C391" i="1"/>
  <c r="BE390" i="1"/>
  <c r="BC390" i="1"/>
  <c r="BA390" i="1"/>
  <c r="I390" i="1"/>
  <c r="H390" i="1"/>
  <c r="E390" i="1"/>
  <c r="D390" i="1"/>
  <c r="C390" i="1"/>
  <c r="BF389" i="1"/>
  <c r="BE389" i="1"/>
  <c r="BC389" i="1"/>
  <c r="BA389" i="1"/>
  <c r="I389" i="1"/>
  <c r="H389" i="1"/>
  <c r="E389" i="1"/>
  <c r="D389" i="1"/>
  <c r="C389" i="1"/>
  <c r="BF388" i="1"/>
  <c r="BE388" i="1"/>
  <c r="BC388" i="1"/>
  <c r="BA388" i="1"/>
  <c r="I388" i="1"/>
  <c r="H388" i="1"/>
  <c r="G388" i="1"/>
  <c r="E388" i="1"/>
  <c r="D388" i="1"/>
  <c r="C388" i="1"/>
  <c r="BE387" i="1"/>
  <c r="BC387" i="1"/>
  <c r="BA387" i="1"/>
  <c r="I387" i="1"/>
  <c r="H387" i="1"/>
  <c r="E387" i="1"/>
  <c r="D387" i="1"/>
  <c r="C387" i="1"/>
  <c r="BE386" i="1"/>
  <c r="BC386" i="1"/>
  <c r="BA386" i="1"/>
  <c r="I386" i="1"/>
  <c r="H386" i="1"/>
  <c r="G386" i="1"/>
  <c r="E386" i="1"/>
  <c r="D386" i="1"/>
  <c r="C386" i="1"/>
  <c r="BE385" i="1"/>
  <c r="BC385" i="1"/>
  <c r="I385" i="1"/>
  <c r="H385" i="1"/>
  <c r="E385" i="1"/>
  <c r="D385" i="1"/>
  <c r="C385" i="1"/>
  <c r="BE384" i="1"/>
  <c r="BC384" i="1"/>
  <c r="BA384" i="1"/>
  <c r="I384" i="1"/>
  <c r="H384" i="1"/>
  <c r="G384" i="1"/>
  <c r="E384" i="1"/>
  <c r="D384" i="1"/>
  <c r="C384" i="1"/>
  <c r="BE383" i="1"/>
  <c r="BC383" i="1"/>
  <c r="I383" i="1"/>
  <c r="H383" i="1"/>
  <c r="E383" i="1"/>
  <c r="D383" i="1"/>
  <c r="C383" i="1"/>
  <c r="BF382" i="1"/>
  <c r="BE382" i="1"/>
  <c r="BC382" i="1"/>
  <c r="BA382" i="1"/>
  <c r="I382" i="1"/>
  <c r="H382" i="1"/>
  <c r="G382" i="1"/>
  <c r="E382" i="1"/>
  <c r="D382" i="1"/>
  <c r="C382" i="1"/>
  <c r="BE381" i="1"/>
  <c r="BC381" i="1"/>
  <c r="BA381" i="1"/>
  <c r="I381" i="1"/>
  <c r="H381" i="1"/>
  <c r="G381" i="1"/>
  <c r="E381" i="1"/>
  <c r="D381" i="1"/>
  <c r="C381" i="1"/>
  <c r="BF380" i="1"/>
  <c r="BE380" i="1"/>
  <c r="BC380" i="1"/>
  <c r="BA380" i="1"/>
  <c r="I380" i="1"/>
  <c r="H380" i="1"/>
  <c r="G380" i="1"/>
  <c r="E380" i="1"/>
  <c r="D380" i="1"/>
  <c r="C380" i="1"/>
  <c r="BE379" i="1"/>
  <c r="BC379" i="1"/>
  <c r="I379" i="1"/>
  <c r="H379" i="1"/>
  <c r="E379" i="1"/>
  <c r="D379" i="1"/>
  <c r="C379" i="1"/>
  <c r="BE378" i="1"/>
  <c r="BC378" i="1"/>
  <c r="I378" i="1"/>
  <c r="H378" i="1"/>
  <c r="E378" i="1"/>
  <c r="D378" i="1"/>
  <c r="C378" i="1"/>
  <c r="BF377" i="1"/>
  <c r="BE377" i="1"/>
  <c r="BC377" i="1"/>
  <c r="BA377" i="1"/>
  <c r="I377" i="1"/>
  <c r="H377" i="1"/>
  <c r="G377" i="1"/>
  <c r="E377" i="1"/>
  <c r="D377" i="1"/>
  <c r="C377" i="1"/>
  <c r="BF376" i="1"/>
  <c r="BE376" i="1"/>
  <c r="BC376" i="1"/>
  <c r="BA376" i="1"/>
  <c r="I376" i="1"/>
  <c r="H376" i="1"/>
  <c r="G376" i="1"/>
  <c r="E376" i="1"/>
  <c r="D376" i="1"/>
  <c r="C376" i="1"/>
  <c r="BF375" i="1"/>
  <c r="BE375" i="1"/>
  <c r="BC375" i="1"/>
  <c r="BA375" i="1"/>
  <c r="I375" i="1"/>
  <c r="H375" i="1"/>
  <c r="G375" i="1"/>
  <c r="E375" i="1"/>
  <c r="D375" i="1"/>
  <c r="C375" i="1"/>
  <c r="BE374" i="1"/>
  <c r="BC374" i="1"/>
  <c r="I374" i="1"/>
  <c r="H374" i="1"/>
  <c r="E374" i="1"/>
  <c r="D374" i="1"/>
  <c r="C374" i="1"/>
  <c r="BE373" i="1"/>
  <c r="BC373" i="1"/>
  <c r="I373" i="1"/>
  <c r="H373" i="1"/>
  <c r="E373" i="1"/>
  <c r="D373" i="1"/>
  <c r="C373" i="1"/>
  <c r="BF372" i="1"/>
  <c r="BE372" i="1"/>
  <c r="BC372" i="1"/>
  <c r="BA372" i="1"/>
  <c r="I372" i="1"/>
  <c r="H372" i="1"/>
  <c r="G372" i="1"/>
  <c r="E372" i="1"/>
  <c r="D372" i="1"/>
  <c r="C372" i="1"/>
  <c r="BF371" i="1"/>
  <c r="BE371" i="1"/>
  <c r="BC371" i="1"/>
  <c r="BA371" i="1"/>
  <c r="I371" i="1"/>
  <c r="H371" i="1"/>
  <c r="G371" i="1"/>
  <c r="E371" i="1"/>
  <c r="D371" i="1"/>
  <c r="C371" i="1"/>
  <c r="BF370" i="1"/>
  <c r="BE370" i="1"/>
  <c r="BC370" i="1"/>
  <c r="BA370" i="1"/>
  <c r="I370" i="1"/>
  <c r="H370" i="1"/>
  <c r="G370" i="1"/>
  <c r="E370" i="1"/>
  <c r="D370" i="1"/>
  <c r="C370" i="1"/>
  <c r="BE369" i="1"/>
  <c r="BC369" i="1"/>
  <c r="BA369" i="1"/>
  <c r="I369" i="1"/>
  <c r="H369" i="1"/>
  <c r="G369" i="1"/>
  <c r="E369" i="1"/>
  <c r="D369" i="1"/>
  <c r="C369" i="1"/>
  <c r="BE368" i="1"/>
  <c r="BC368" i="1"/>
  <c r="I368" i="1"/>
  <c r="H368" i="1"/>
  <c r="G368" i="1"/>
  <c r="E368" i="1"/>
  <c r="D368" i="1"/>
  <c r="C368" i="1"/>
  <c r="BF367" i="1"/>
  <c r="BE367" i="1"/>
  <c r="BC367" i="1"/>
  <c r="BA367" i="1"/>
  <c r="I367" i="1"/>
  <c r="H367" i="1"/>
  <c r="G367" i="1"/>
  <c r="E367" i="1"/>
  <c r="D367" i="1"/>
  <c r="C367" i="1"/>
  <c r="BE366" i="1"/>
  <c r="BC366" i="1"/>
  <c r="BA366" i="1"/>
  <c r="I366" i="1"/>
  <c r="H366" i="1"/>
  <c r="E366" i="1"/>
  <c r="D366" i="1"/>
  <c r="C366" i="1"/>
  <c r="BE365" i="1"/>
  <c r="BC365" i="1"/>
  <c r="BA365" i="1"/>
  <c r="I365" i="1"/>
  <c r="H365" i="1"/>
  <c r="G365" i="1"/>
  <c r="E365" i="1"/>
  <c r="D365" i="1"/>
  <c r="C365" i="1"/>
  <c r="BF364" i="1"/>
  <c r="BE364" i="1"/>
  <c r="BC364" i="1"/>
  <c r="BA364" i="1"/>
  <c r="I364" i="1"/>
  <c r="H364" i="1"/>
  <c r="G364" i="1"/>
  <c r="E364" i="1"/>
  <c r="D364" i="1"/>
  <c r="C364" i="1"/>
  <c r="BE363" i="1"/>
  <c r="BC363" i="1"/>
  <c r="I363" i="1"/>
  <c r="H363" i="1"/>
  <c r="G363" i="1"/>
  <c r="E363" i="1"/>
  <c r="D363" i="1"/>
  <c r="C363" i="1"/>
  <c r="BE362" i="1"/>
  <c r="BC362" i="1"/>
  <c r="BA362" i="1"/>
  <c r="I362" i="1"/>
  <c r="H362" i="1"/>
  <c r="E362" i="1"/>
  <c r="D362" i="1"/>
  <c r="C362" i="1"/>
  <c r="BF361" i="1"/>
  <c r="BE361" i="1"/>
  <c r="BC361" i="1"/>
  <c r="BA361" i="1"/>
  <c r="I361" i="1"/>
  <c r="H361" i="1"/>
  <c r="G361" i="1"/>
  <c r="E361" i="1"/>
  <c r="D361" i="1"/>
  <c r="C361" i="1"/>
  <c r="BF360" i="1"/>
  <c r="BE360" i="1"/>
  <c r="BC360" i="1"/>
  <c r="BA360" i="1"/>
  <c r="I360" i="1"/>
  <c r="H360" i="1"/>
  <c r="G360" i="1"/>
  <c r="E360" i="1"/>
  <c r="D360" i="1"/>
  <c r="C360" i="1"/>
  <c r="BE359" i="1"/>
  <c r="BC359" i="1"/>
  <c r="BA359" i="1"/>
  <c r="I359" i="1"/>
  <c r="H359" i="1"/>
  <c r="G359" i="1"/>
  <c r="E359" i="1"/>
  <c r="D359" i="1"/>
  <c r="C359" i="1"/>
  <c r="BE358" i="1"/>
  <c r="BC358" i="1"/>
  <c r="BA358" i="1"/>
  <c r="I358" i="1"/>
  <c r="H358" i="1"/>
  <c r="G358" i="1"/>
  <c r="E358" i="1"/>
  <c r="D358" i="1"/>
  <c r="C358" i="1"/>
  <c r="BF357" i="1"/>
  <c r="BE357" i="1"/>
  <c r="BC357" i="1"/>
  <c r="BA357" i="1"/>
  <c r="I357" i="1"/>
  <c r="H357" i="1"/>
  <c r="G357" i="1"/>
  <c r="E357" i="1"/>
  <c r="D357" i="1"/>
  <c r="C357" i="1"/>
  <c r="BE356" i="1"/>
  <c r="BC356" i="1"/>
  <c r="BA356" i="1"/>
  <c r="I356" i="1"/>
  <c r="H356" i="1"/>
  <c r="G356" i="1"/>
  <c r="E356" i="1"/>
  <c r="D356" i="1"/>
  <c r="C356" i="1"/>
  <c r="BE355" i="1"/>
  <c r="BC355" i="1"/>
  <c r="BA355" i="1"/>
  <c r="I355" i="1"/>
  <c r="H355" i="1"/>
  <c r="G355" i="1"/>
  <c r="E355" i="1"/>
  <c r="C355" i="1"/>
  <c r="BF354" i="1"/>
  <c r="BE354" i="1"/>
  <c r="BC354" i="1"/>
  <c r="BA354" i="1"/>
  <c r="I354" i="1"/>
  <c r="H354" i="1"/>
  <c r="G354" i="1"/>
  <c r="E354" i="1"/>
  <c r="D354" i="1"/>
  <c r="C354" i="1"/>
  <c r="BE353" i="1"/>
  <c r="BC353" i="1"/>
  <c r="I353" i="1"/>
  <c r="H353" i="1"/>
  <c r="E353" i="1"/>
  <c r="D353" i="1"/>
  <c r="C353" i="1"/>
  <c r="BE352" i="1"/>
  <c r="BC352" i="1"/>
  <c r="BA352" i="1"/>
  <c r="I352" i="1"/>
  <c r="H352" i="1"/>
  <c r="G352" i="1"/>
  <c r="E352" i="1"/>
  <c r="D352" i="1"/>
  <c r="C352" i="1"/>
  <c r="BE351" i="1"/>
  <c r="BC351" i="1"/>
  <c r="I351" i="1"/>
  <c r="H351" i="1"/>
  <c r="E351" i="1"/>
  <c r="D351" i="1"/>
  <c r="C351" i="1"/>
  <c r="BE350" i="1"/>
  <c r="BC350" i="1"/>
  <c r="BA350" i="1"/>
  <c r="I350" i="1"/>
  <c r="H350" i="1"/>
  <c r="G350" i="1"/>
  <c r="E350" i="1"/>
  <c r="D350" i="1"/>
  <c r="C350" i="1"/>
  <c r="BE349" i="1"/>
  <c r="BC349" i="1"/>
  <c r="BA349" i="1"/>
  <c r="I349" i="1"/>
  <c r="H349" i="1"/>
  <c r="G349" i="1"/>
  <c r="E349" i="1"/>
  <c r="D349" i="1"/>
  <c r="C349" i="1"/>
  <c r="BE348" i="1"/>
  <c r="BC348" i="1"/>
  <c r="BA348" i="1"/>
  <c r="I348" i="1"/>
  <c r="H348" i="1"/>
  <c r="G348" i="1"/>
  <c r="E348" i="1"/>
  <c r="D348" i="1"/>
  <c r="C348" i="1"/>
  <c r="BE347" i="1"/>
  <c r="BC347" i="1"/>
  <c r="BA347" i="1"/>
  <c r="I347" i="1"/>
  <c r="H347" i="1"/>
  <c r="G347" i="1"/>
  <c r="E347" i="1"/>
  <c r="D347" i="1"/>
  <c r="C347" i="1"/>
  <c r="BE346" i="1"/>
  <c r="BC346" i="1"/>
  <c r="I346" i="1"/>
  <c r="H346" i="1"/>
  <c r="E346" i="1"/>
  <c r="D346" i="1"/>
  <c r="C346" i="1"/>
  <c r="BE345" i="1"/>
  <c r="BC345" i="1"/>
  <c r="I345" i="1"/>
  <c r="H345" i="1"/>
  <c r="G345" i="1"/>
  <c r="E345" i="1"/>
  <c r="D345" i="1"/>
  <c r="C345" i="1"/>
  <c r="BF344" i="1"/>
  <c r="BE344" i="1"/>
  <c r="BC344" i="1"/>
  <c r="BA344" i="1"/>
  <c r="I344" i="1"/>
  <c r="H344" i="1"/>
  <c r="G344" i="1"/>
  <c r="E344" i="1"/>
  <c r="D344" i="1"/>
  <c r="C344" i="1"/>
  <c r="BE343" i="1"/>
  <c r="BC343" i="1"/>
  <c r="BA343" i="1"/>
  <c r="I343" i="1"/>
  <c r="H343" i="1"/>
  <c r="G343" i="1"/>
  <c r="E343" i="1"/>
  <c r="D343" i="1"/>
  <c r="C343" i="1"/>
  <c r="BE342" i="1"/>
  <c r="BC342" i="1"/>
  <c r="BA342" i="1"/>
  <c r="I342" i="1"/>
  <c r="H342" i="1"/>
  <c r="G342" i="1"/>
  <c r="E342" i="1"/>
  <c r="D342" i="1"/>
  <c r="C342" i="1"/>
  <c r="BE341" i="1"/>
  <c r="BC341" i="1"/>
  <c r="I341" i="1"/>
  <c r="H341" i="1"/>
  <c r="G341" i="1"/>
  <c r="E341" i="1"/>
  <c r="D341" i="1"/>
  <c r="C341" i="1"/>
  <c r="BE340" i="1"/>
  <c r="BC340" i="1"/>
  <c r="BA340" i="1"/>
  <c r="I340" i="1"/>
  <c r="H340" i="1"/>
  <c r="G340" i="1"/>
  <c r="E340" i="1"/>
  <c r="D340" i="1"/>
  <c r="C340" i="1"/>
  <c r="BE339" i="1"/>
  <c r="BC339" i="1"/>
  <c r="BA339" i="1"/>
  <c r="I339" i="1"/>
  <c r="H339" i="1"/>
  <c r="E339" i="1"/>
  <c r="D339" i="1"/>
  <c r="C339" i="1"/>
  <c r="BE338" i="1"/>
  <c r="BC338" i="1"/>
  <c r="I338" i="1"/>
  <c r="H338" i="1"/>
  <c r="G338" i="1"/>
  <c r="E338" i="1"/>
  <c r="D338" i="1"/>
  <c r="C338" i="1"/>
  <c r="BE337" i="1"/>
  <c r="BC337" i="1"/>
  <c r="BA337" i="1"/>
  <c r="I337" i="1"/>
  <c r="H337" i="1"/>
  <c r="G337" i="1"/>
  <c r="E337" i="1"/>
  <c r="D337" i="1"/>
  <c r="C337" i="1"/>
  <c r="BE336" i="1"/>
  <c r="BC336" i="1"/>
  <c r="BA336" i="1"/>
  <c r="I336" i="1"/>
  <c r="H336" i="1"/>
  <c r="G336" i="1"/>
  <c r="E336" i="1"/>
  <c r="D336" i="1"/>
  <c r="C336" i="1"/>
  <c r="BE335" i="1"/>
  <c r="BC335" i="1"/>
  <c r="BA335" i="1"/>
  <c r="I335" i="1"/>
  <c r="H335" i="1"/>
  <c r="E335" i="1"/>
  <c r="D335" i="1"/>
  <c r="C335" i="1"/>
  <c r="BF334" i="1"/>
  <c r="BE334" i="1"/>
  <c r="BC334" i="1"/>
  <c r="BA334" i="1"/>
  <c r="I334" i="1"/>
  <c r="H334" i="1"/>
  <c r="E334" i="1"/>
  <c r="D334" i="1"/>
  <c r="C334" i="1"/>
  <c r="BF333" i="1"/>
  <c r="BE333" i="1"/>
  <c r="BC333" i="1"/>
  <c r="BA333" i="1"/>
  <c r="I333" i="1"/>
  <c r="H333" i="1"/>
  <c r="G333" i="1"/>
  <c r="E333" i="1"/>
  <c r="D333" i="1"/>
  <c r="C333" i="1"/>
  <c r="BE332" i="1"/>
  <c r="BC332" i="1"/>
  <c r="BA332" i="1"/>
  <c r="I332" i="1"/>
  <c r="H332" i="1"/>
  <c r="G332" i="1"/>
  <c r="E332" i="1"/>
  <c r="D332" i="1"/>
  <c r="C332" i="1"/>
  <c r="BE331" i="1"/>
  <c r="BC331" i="1"/>
  <c r="BA331" i="1"/>
  <c r="I331" i="1"/>
  <c r="H331" i="1"/>
  <c r="E331" i="1"/>
  <c r="D331" i="1"/>
  <c r="C331" i="1"/>
  <c r="BE330" i="1"/>
  <c r="BC330" i="1"/>
  <c r="BA330" i="1"/>
  <c r="I330" i="1"/>
  <c r="H330" i="1"/>
  <c r="G330" i="1"/>
  <c r="E330" i="1"/>
  <c r="D330" i="1"/>
  <c r="C330" i="1"/>
  <c r="BE329" i="1"/>
  <c r="BC329" i="1"/>
  <c r="I329" i="1"/>
  <c r="H329" i="1"/>
  <c r="E329" i="1"/>
  <c r="D329" i="1"/>
  <c r="C329" i="1"/>
  <c r="BE328" i="1"/>
  <c r="BC328" i="1"/>
  <c r="BA328" i="1"/>
  <c r="I328" i="1"/>
  <c r="H328" i="1"/>
  <c r="G328" i="1"/>
  <c r="E328" i="1"/>
  <c r="D328" i="1"/>
  <c r="C328" i="1"/>
  <c r="BE327" i="1"/>
  <c r="BC327" i="1"/>
  <c r="I327" i="1"/>
  <c r="H327" i="1"/>
  <c r="E327" i="1"/>
  <c r="D327" i="1"/>
  <c r="C327" i="1"/>
  <c r="BE326" i="1"/>
  <c r="BC326" i="1"/>
  <c r="BA326" i="1"/>
  <c r="I326" i="1"/>
  <c r="H326" i="1"/>
  <c r="G326" i="1"/>
  <c r="E326" i="1"/>
  <c r="D326" i="1"/>
  <c r="C326" i="1"/>
  <c r="BF325" i="1"/>
  <c r="BE325" i="1"/>
  <c r="BC325" i="1"/>
  <c r="BA325" i="1"/>
  <c r="I325" i="1"/>
  <c r="H325" i="1"/>
  <c r="G325" i="1"/>
  <c r="E325" i="1"/>
  <c r="D325" i="1"/>
  <c r="C325" i="1"/>
  <c r="BE324" i="1"/>
  <c r="BC324" i="1"/>
  <c r="I324" i="1"/>
  <c r="H324" i="1"/>
  <c r="E324" i="1"/>
  <c r="D324" i="1"/>
  <c r="C324" i="1"/>
  <c r="BE323" i="1"/>
  <c r="BC323" i="1"/>
  <c r="I323" i="1"/>
  <c r="H323" i="1"/>
  <c r="E323" i="1"/>
  <c r="D323" i="1"/>
  <c r="C323" i="1"/>
  <c r="BF322" i="1"/>
  <c r="BE322" i="1"/>
  <c r="BC322" i="1"/>
  <c r="BA322" i="1"/>
  <c r="I322" i="1"/>
  <c r="H322" i="1"/>
  <c r="G322" i="1"/>
  <c r="E322" i="1"/>
  <c r="D322" i="1"/>
  <c r="C322" i="1"/>
  <c r="BF321" i="1"/>
  <c r="BE321" i="1"/>
  <c r="BC321" i="1"/>
  <c r="BA321" i="1"/>
  <c r="I321" i="1"/>
  <c r="H321" i="1"/>
  <c r="G321" i="1"/>
  <c r="E321" i="1"/>
  <c r="D321" i="1"/>
  <c r="C321" i="1"/>
  <c r="BE320" i="1"/>
  <c r="BC320" i="1"/>
  <c r="BA320" i="1"/>
  <c r="I320" i="1"/>
  <c r="H320" i="1"/>
  <c r="G320" i="1"/>
  <c r="E320" i="1"/>
  <c r="D320" i="1"/>
  <c r="C320" i="1"/>
  <c r="BE319" i="1"/>
  <c r="BC319" i="1"/>
  <c r="I319" i="1"/>
  <c r="H319" i="1"/>
  <c r="E319" i="1"/>
  <c r="D319" i="1"/>
  <c r="C319" i="1"/>
  <c r="BF318" i="1"/>
  <c r="BE318" i="1"/>
  <c r="BC318" i="1"/>
  <c r="BA318" i="1"/>
  <c r="I318" i="1"/>
  <c r="H318" i="1"/>
  <c r="G318" i="1"/>
  <c r="E318" i="1"/>
  <c r="D318" i="1"/>
  <c r="C318" i="1"/>
  <c r="BF317" i="1"/>
  <c r="BE317" i="1"/>
  <c r="BC317" i="1"/>
  <c r="BA317" i="1"/>
  <c r="I317" i="1"/>
  <c r="H317" i="1"/>
  <c r="G317" i="1"/>
  <c r="E317" i="1"/>
  <c r="D317" i="1"/>
  <c r="C317" i="1"/>
  <c r="BE316" i="1"/>
  <c r="BC316" i="1"/>
  <c r="BA316" i="1"/>
  <c r="I316" i="1"/>
  <c r="H316" i="1"/>
  <c r="G316" i="1"/>
  <c r="E316" i="1"/>
  <c r="D316" i="1"/>
  <c r="C316" i="1"/>
  <c r="BE315" i="1"/>
  <c r="BC315" i="1"/>
  <c r="I315" i="1"/>
  <c r="H315" i="1"/>
  <c r="G315" i="1"/>
  <c r="E315" i="1"/>
  <c r="D315" i="1"/>
  <c r="C315" i="1"/>
  <c r="BF314" i="1"/>
  <c r="BE314" i="1"/>
  <c r="BC314" i="1"/>
  <c r="BA314" i="1"/>
  <c r="I314" i="1"/>
  <c r="H314" i="1"/>
  <c r="G314" i="1"/>
  <c r="E314" i="1"/>
  <c r="D314" i="1"/>
  <c r="C314" i="1"/>
  <c r="BE313" i="1"/>
  <c r="BC313" i="1"/>
  <c r="BA313" i="1"/>
  <c r="I313" i="1"/>
  <c r="H313" i="1"/>
  <c r="G313" i="1"/>
  <c r="E313" i="1"/>
  <c r="D313" i="1"/>
  <c r="C313" i="1"/>
  <c r="BF312" i="1"/>
  <c r="BE312" i="1"/>
  <c r="BC312" i="1"/>
  <c r="BA312" i="1"/>
  <c r="I312" i="1"/>
  <c r="H312" i="1"/>
  <c r="G312" i="1"/>
  <c r="E312" i="1"/>
  <c r="D312" i="1"/>
  <c r="C312" i="1"/>
  <c r="BE311" i="1"/>
  <c r="BC311" i="1"/>
  <c r="I311" i="1"/>
  <c r="H311" i="1"/>
  <c r="G311" i="1"/>
  <c r="E311" i="1"/>
  <c r="D311" i="1"/>
  <c r="C311" i="1"/>
  <c r="BF310" i="1"/>
  <c r="BE310" i="1"/>
  <c r="BC310" i="1"/>
  <c r="BA310" i="1"/>
  <c r="I310" i="1"/>
  <c r="H310" i="1"/>
  <c r="G310" i="1"/>
  <c r="E310" i="1"/>
  <c r="D310" i="1"/>
  <c r="C310" i="1"/>
  <c r="BE309" i="1"/>
  <c r="BC309" i="1"/>
  <c r="BA309" i="1"/>
  <c r="I309" i="1"/>
  <c r="H309" i="1"/>
  <c r="G309" i="1"/>
  <c r="E309" i="1"/>
  <c r="D309" i="1"/>
  <c r="C309" i="1"/>
  <c r="BE308" i="1"/>
  <c r="BC308" i="1"/>
  <c r="BA308" i="1"/>
  <c r="I308" i="1"/>
  <c r="H308" i="1"/>
  <c r="G308" i="1"/>
  <c r="E308" i="1"/>
  <c r="D308" i="1"/>
  <c r="C308" i="1"/>
  <c r="BF307" i="1"/>
  <c r="BE307" i="1"/>
  <c r="BC307" i="1"/>
  <c r="BA307" i="1"/>
  <c r="I307" i="1"/>
  <c r="H307" i="1"/>
  <c r="G307" i="1"/>
  <c r="E307" i="1"/>
  <c r="D307" i="1"/>
  <c r="C307" i="1"/>
  <c r="BE306" i="1"/>
  <c r="BC306" i="1"/>
  <c r="I306" i="1"/>
  <c r="H306" i="1"/>
  <c r="E306" i="1"/>
  <c r="D306" i="1"/>
  <c r="C306" i="1"/>
  <c r="BE305" i="1"/>
  <c r="BC305" i="1"/>
  <c r="BA305" i="1"/>
  <c r="I305" i="1"/>
  <c r="H305" i="1"/>
  <c r="G305" i="1"/>
  <c r="E305" i="1"/>
  <c r="D305" i="1"/>
  <c r="C305" i="1"/>
  <c r="BE304" i="1"/>
  <c r="BC304" i="1"/>
  <c r="BA304" i="1"/>
  <c r="I304" i="1"/>
  <c r="H304" i="1"/>
  <c r="G304" i="1"/>
  <c r="E304" i="1"/>
  <c r="D304" i="1"/>
  <c r="C304" i="1"/>
  <c r="BF303" i="1"/>
  <c r="BE303" i="1"/>
  <c r="BC303" i="1"/>
  <c r="BA303" i="1"/>
  <c r="I303" i="1"/>
  <c r="H303" i="1"/>
  <c r="G303" i="1"/>
  <c r="E303" i="1"/>
  <c r="D303" i="1"/>
  <c r="C303" i="1"/>
  <c r="BE302" i="1"/>
  <c r="BC302" i="1"/>
  <c r="I302" i="1"/>
  <c r="H302" i="1"/>
  <c r="E302" i="1"/>
  <c r="D302" i="1"/>
  <c r="C302" i="1"/>
  <c r="BE301" i="1"/>
  <c r="BC301" i="1"/>
  <c r="BA301" i="1"/>
  <c r="I301" i="1"/>
  <c r="H301" i="1"/>
  <c r="G301" i="1"/>
  <c r="E301" i="1"/>
  <c r="D301" i="1"/>
  <c r="C301" i="1"/>
  <c r="BE300" i="1"/>
  <c r="BC300" i="1"/>
  <c r="I300" i="1"/>
  <c r="H300" i="1"/>
  <c r="E300" i="1"/>
  <c r="D300" i="1"/>
  <c r="C300" i="1"/>
  <c r="BE299" i="1"/>
  <c r="BC299" i="1"/>
  <c r="BA299" i="1"/>
  <c r="I299" i="1"/>
  <c r="H299" i="1"/>
  <c r="G299" i="1"/>
  <c r="E299" i="1"/>
  <c r="D299" i="1"/>
  <c r="C299" i="1"/>
  <c r="BF298" i="1"/>
  <c r="BE298" i="1"/>
  <c r="BC298" i="1"/>
  <c r="BA298" i="1"/>
  <c r="I298" i="1"/>
  <c r="H298" i="1"/>
  <c r="G298" i="1"/>
  <c r="E298" i="1"/>
  <c r="D298" i="1"/>
  <c r="C298" i="1"/>
  <c r="BE297" i="1"/>
  <c r="BC297" i="1"/>
  <c r="BA297" i="1"/>
  <c r="I297" i="1"/>
  <c r="H297" i="1"/>
  <c r="G297" i="1"/>
  <c r="E297" i="1"/>
  <c r="D297" i="1"/>
  <c r="C297" i="1"/>
  <c r="BE296" i="1"/>
  <c r="BC296" i="1"/>
  <c r="BA296" i="1"/>
  <c r="I296" i="1"/>
  <c r="H296" i="1"/>
  <c r="G296" i="1"/>
  <c r="E296" i="1"/>
  <c r="D296" i="1"/>
  <c r="C296" i="1"/>
  <c r="BE295" i="1"/>
  <c r="BC295" i="1"/>
  <c r="BA295" i="1"/>
  <c r="I295" i="1"/>
  <c r="H295" i="1"/>
  <c r="G295" i="1"/>
  <c r="E295" i="1"/>
  <c r="D295" i="1"/>
  <c r="C295" i="1"/>
  <c r="BE294" i="1"/>
  <c r="BC294" i="1"/>
  <c r="I294" i="1"/>
  <c r="H294" i="1"/>
  <c r="E294" i="1"/>
  <c r="D294" i="1"/>
  <c r="C294" i="1"/>
  <c r="BE293" i="1"/>
  <c r="BC293" i="1"/>
  <c r="I293" i="1"/>
  <c r="H293" i="1"/>
  <c r="G293" i="1"/>
  <c r="E293" i="1"/>
  <c r="D293" i="1"/>
  <c r="C293" i="1"/>
  <c r="BF292" i="1"/>
  <c r="BE292" i="1"/>
  <c r="BC292" i="1"/>
  <c r="BA292" i="1"/>
  <c r="I292" i="1"/>
  <c r="H292" i="1"/>
  <c r="G292" i="1"/>
  <c r="E292" i="1"/>
  <c r="D292" i="1"/>
  <c r="C292" i="1"/>
  <c r="BE291" i="1"/>
  <c r="BC291" i="1"/>
  <c r="BA291" i="1"/>
  <c r="I291" i="1"/>
  <c r="H291" i="1"/>
  <c r="G291" i="1"/>
  <c r="E291" i="1"/>
  <c r="D291" i="1"/>
  <c r="C291" i="1"/>
  <c r="BE290" i="1"/>
  <c r="BC290" i="1"/>
  <c r="BA290" i="1"/>
  <c r="I290" i="1"/>
  <c r="H290" i="1"/>
  <c r="G290" i="1"/>
  <c r="E290" i="1"/>
  <c r="D290" i="1"/>
  <c r="C290" i="1"/>
  <c r="BE289" i="1"/>
  <c r="BC289" i="1"/>
  <c r="I289" i="1"/>
  <c r="H289" i="1"/>
  <c r="G289" i="1"/>
  <c r="E289" i="1"/>
  <c r="D289" i="1"/>
  <c r="C289" i="1"/>
  <c r="BE288" i="1"/>
  <c r="BC288" i="1"/>
  <c r="BA288" i="1"/>
  <c r="I288" i="1"/>
  <c r="H288" i="1"/>
  <c r="E288" i="1"/>
  <c r="D288" i="1"/>
  <c r="C288" i="1"/>
  <c r="BE287" i="1"/>
  <c r="BC287" i="1"/>
  <c r="BA287" i="1"/>
  <c r="I287" i="1"/>
  <c r="H287" i="1"/>
  <c r="G287" i="1"/>
  <c r="E287" i="1"/>
  <c r="D287" i="1"/>
  <c r="C287" i="1"/>
  <c r="BE286" i="1"/>
  <c r="BC286" i="1"/>
  <c r="BA286" i="1"/>
  <c r="I286" i="1"/>
  <c r="H286" i="1"/>
  <c r="E286" i="1"/>
  <c r="D286" i="1"/>
  <c r="C286" i="1"/>
  <c r="BF285" i="1"/>
  <c r="BE285" i="1"/>
  <c r="BC285" i="1"/>
  <c r="BA285" i="1"/>
  <c r="I285" i="1"/>
  <c r="H285" i="1"/>
  <c r="E285" i="1"/>
  <c r="D285" i="1"/>
  <c r="C285" i="1"/>
  <c r="BF284" i="1"/>
  <c r="BE284" i="1"/>
  <c r="BC284" i="1"/>
  <c r="BA284" i="1"/>
  <c r="I284" i="1"/>
  <c r="H284" i="1"/>
  <c r="G284" i="1"/>
  <c r="E284" i="1"/>
  <c r="D284" i="1"/>
  <c r="C284" i="1"/>
  <c r="BE283" i="1"/>
  <c r="BC283" i="1"/>
  <c r="BA283" i="1"/>
  <c r="I283" i="1"/>
  <c r="H283" i="1"/>
  <c r="G283" i="1"/>
  <c r="E283" i="1"/>
  <c r="D283" i="1"/>
  <c r="C283" i="1"/>
  <c r="BE282" i="1"/>
  <c r="BC282" i="1"/>
  <c r="I282" i="1"/>
  <c r="H282" i="1"/>
  <c r="E282" i="1"/>
  <c r="D282" i="1"/>
  <c r="C282" i="1"/>
  <c r="BE281" i="1"/>
  <c r="BC281" i="1"/>
  <c r="BA281" i="1"/>
  <c r="I281" i="1"/>
  <c r="H281" i="1"/>
  <c r="G281" i="1"/>
  <c r="E281" i="1"/>
  <c r="D281" i="1"/>
  <c r="C281" i="1"/>
  <c r="BE280" i="1"/>
  <c r="BC280" i="1"/>
  <c r="I280" i="1"/>
  <c r="H280" i="1"/>
  <c r="E280" i="1"/>
  <c r="D280" i="1"/>
  <c r="C280" i="1"/>
  <c r="BE279" i="1"/>
  <c r="BC279" i="1"/>
  <c r="BA279" i="1"/>
  <c r="I279" i="1"/>
  <c r="H279" i="1"/>
  <c r="G279" i="1"/>
  <c r="E279" i="1"/>
  <c r="D279" i="1"/>
  <c r="C279" i="1"/>
  <c r="BE278" i="1"/>
  <c r="BC278" i="1"/>
  <c r="I278" i="1"/>
  <c r="H278" i="1"/>
  <c r="E278" i="1"/>
  <c r="D278" i="1"/>
  <c r="C278" i="1"/>
  <c r="BE277" i="1"/>
  <c r="BC277" i="1"/>
  <c r="BA277" i="1"/>
  <c r="I277" i="1"/>
  <c r="H277" i="1"/>
  <c r="G277" i="1"/>
  <c r="E277" i="1"/>
  <c r="D277" i="1"/>
  <c r="C277" i="1"/>
  <c r="BF276" i="1"/>
  <c r="BE276" i="1"/>
  <c r="BC276" i="1"/>
  <c r="BA276" i="1"/>
  <c r="I276" i="1"/>
  <c r="H276" i="1"/>
  <c r="G276" i="1"/>
  <c r="E276" i="1"/>
  <c r="D276" i="1"/>
  <c r="C276" i="1"/>
  <c r="BE275" i="1"/>
  <c r="BC275" i="1"/>
  <c r="I275" i="1"/>
  <c r="H275" i="1"/>
  <c r="E275" i="1"/>
  <c r="D275" i="1"/>
  <c r="C275" i="1"/>
  <c r="BE274" i="1"/>
  <c r="BC274" i="1"/>
  <c r="I274" i="1"/>
  <c r="H274" i="1"/>
  <c r="E274" i="1"/>
  <c r="D274" i="1"/>
  <c r="C274" i="1"/>
  <c r="BF273" i="1"/>
  <c r="BE273" i="1"/>
  <c r="BC273" i="1"/>
  <c r="BA273" i="1"/>
  <c r="I273" i="1"/>
  <c r="H273" i="1"/>
  <c r="G273" i="1"/>
  <c r="E273" i="1"/>
  <c r="D273" i="1"/>
  <c r="C273" i="1"/>
  <c r="BE272" i="1"/>
  <c r="BC272" i="1"/>
  <c r="BA272" i="1"/>
  <c r="I272" i="1"/>
  <c r="H272" i="1"/>
  <c r="G272" i="1"/>
  <c r="E272" i="1"/>
  <c r="D272" i="1"/>
  <c r="C272" i="1"/>
  <c r="BE271" i="1"/>
  <c r="BC271" i="1"/>
  <c r="I271" i="1"/>
  <c r="H271" i="1"/>
  <c r="G271" i="1"/>
  <c r="E271" i="1"/>
  <c r="D271" i="1"/>
  <c r="C271" i="1"/>
  <c r="BE270" i="1"/>
  <c r="BC270" i="1"/>
  <c r="BA270" i="1"/>
  <c r="I270" i="1"/>
  <c r="H270" i="1"/>
  <c r="G270" i="1"/>
  <c r="E270" i="1"/>
  <c r="C270" i="1"/>
  <c r="BE269" i="1"/>
  <c r="BC269" i="1"/>
  <c r="BA269" i="1"/>
  <c r="I269" i="1"/>
  <c r="H269" i="1"/>
  <c r="G269" i="1"/>
  <c r="E269" i="1"/>
  <c r="D269" i="1"/>
  <c r="C269" i="1"/>
  <c r="BE268" i="1"/>
  <c r="BC268" i="1"/>
  <c r="I268" i="1"/>
  <c r="H268" i="1"/>
  <c r="G268" i="1"/>
  <c r="E268" i="1"/>
  <c r="D268" i="1"/>
  <c r="C268" i="1"/>
  <c r="BF267" i="1"/>
  <c r="BE267" i="1"/>
  <c r="BC267" i="1"/>
  <c r="BA267" i="1"/>
  <c r="I267" i="1"/>
  <c r="H267" i="1"/>
  <c r="G267" i="1"/>
  <c r="E267" i="1"/>
  <c r="C267" i="1"/>
  <c r="BE266" i="1"/>
  <c r="BC266" i="1"/>
  <c r="BA266" i="1"/>
  <c r="I266" i="1"/>
  <c r="H266" i="1"/>
  <c r="G266" i="1"/>
  <c r="E266" i="1"/>
  <c r="D266" i="1"/>
  <c r="C266" i="1"/>
  <c r="BF265" i="1"/>
  <c r="BE265" i="1"/>
  <c r="BC265" i="1"/>
  <c r="BA265" i="1"/>
  <c r="I265" i="1"/>
  <c r="H265" i="1"/>
  <c r="G265" i="1"/>
  <c r="E265" i="1"/>
  <c r="D265" i="1"/>
  <c r="C265" i="1"/>
  <c r="BE264" i="1"/>
  <c r="BC264" i="1"/>
  <c r="I264" i="1"/>
  <c r="H264" i="1"/>
  <c r="G264" i="1"/>
  <c r="E264" i="1"/>
  <c r="D264" i="1"/>
  <c r="C264" i="1"/>
  <c r="BE263" i="1"/>
  <c r="BC263" i="1"/>
  <c r="BA263" i="1"/>
  <c r="I263" i="1"/>
  <c r="H263" i="1"/>
  <c r="E263" i="1"/>
  <c r="D263" i="1"/>
  <c r="C263" i="1"/>
  <c r="BF262" i="1"/>
  <c r="BE262" i="1"/>
  <c r="BC262" i="1"/>
  <c r="BA262" i="1"/>
  <c r="I262" i="1"/>
  <c r="H262" i="1"/>
  <c r="G262" i="1"/>
  <c r="E262" i="1"/>
  <c r="D262" i="1"/>
  <c r="C262" i="1"/>
  <c r="BE261" i="1"/>
  <c r="BC261" i="1"/>
  <c r="BA261" i="1"/>
  <c r="I261" i="1"/>
  <c r="H261" i="1"/>
  <c r="G261" i="1"/>
  <c r="E261" i="1"/>
  <c r="D261" i="1"/>
  <c r="C261" i="1"/>
  <c r="BF260" i="1"/>
  <c r="BE260" i="1"/>
  <c r="BC260" i="1"/>
  <c r="BA260" i="1"/>
  <c r="I260" i="1"/>
  <c r="H260" i="1"/>
  <c r="G260" i="1"/>
  <c r="E260" i="1"/>
  <c r="D260" i="1"/>
  <c r="C260" i="1"/>
  <c r="BE259" i="1"/>
  <c r="BC259" i="1"/>
  <c r="I259" i="1"/>
  <c r="H259" i="1"/>
  <c r="E259" i="1"/>
  <c r="D259" i="1"/>
  <c r="C259" i="1"/>
  <c r="BE258" i="1"/>
  <c r="BC258" i="1"/>
  <c r="I258" i="1"/>
  <c r="H258" i="1"/>
  <c r="E258" i="1"/>
  <c r="D258" i="1"/>
  <c r="C258" i="1"/>
  <c r="BF257" i="1"/>
  <c r="BE257" i="1"/>
  <c r="BC257" i="1"/>
  <c r="BA257" i="1"/>
  <c r="I257" i="1"/>
  <c r="H257" i="1"/>
  <c r="G257" i="1"/>
  <c r="E257" i="1"/>
  <c r="D257" i="1"/>
  <c r="C257" i="1"/>
  <c r="BE256" i="1"/>
  <c r="BC256" i="1"/>
  <c r="I256" i="1"/>
  <c r="H256" i="1"/>
  <c r="E256" i="1"/>
  <c r="D256" i="1"/>
  <c r="C256" i="1"/>
  <c r="BE255" i="1"/>
  <c r="BC255" i="1"/>
  <c r="BA255" i="1"/>
  <c r="I255" i="1"/>
  <c r="H255" i="1"/>
  <c r="G255" i="1"/>
  <c r="E255" i="1"/>
  <c r="D255" i="1"/>
  <c r="C255" i="1"/>
  <c r="BE254" i="1"/>
  <c r="BC254" i="1"/>
  <c r="I254" i="1"/>
  <c r="H254" i="1"/>
  <c r="E254" i="1"/>
  <c r="D254" i="1"/>
  <c r="C254" i="1"/>
  <c r="BE253" i="1"/>
  <c r="BC253" i="1"/>
  <c r="BA253" i="1"/>
  <c r="I253" i="1"/>
  <c r="H253" i="1"/>
  <c r="G253" i="1"/>
  <c r="E253" i="1"/>
  <c r="D253" i="1"/>
  <c r="C253" i="1"/>
  <c r="BE252" i="1"/>
  <c r="BC252" i="1"/>
  <c r="I252" i="1"/>
  <c r="H252" i="1"/>
  <c r="E252" i="1"/>
  <c r="D252" i="1"/>
  <c r="C252" i="1"/>
  <c r="BE251" i="1"/>
  <c r="BC251" i="1"/>
  <c r="BA251" i="1"/>
  <c r="I251" i="1"/>
  <c r="H251" i="1"/>
  <c r="G251" i="1"/>
  <c r="E251" i="1"/>
  <c r="D251" i="1"/>
  <c r="C251" i="1"/>
  <c r="BF250" i="1"/>
  <c r="BE250" i="1"/>
  <c r="BC250" i="1"/>
  <c r="BA250" i="1"/>
  <c r="I250" i="1"/>
  <c r="H250" i="1"/>
  <c r="G250" i="1"/>
  <c r="E250" i="1"/>
  <c r="D250" i="1"/>
  <c r="C250" i="1"/>
  <c r="BE249" i="1"/>
  <c r="BC249" i="1"/>
  <c r="BA249" i="1"/>
  <c r="I249" i="1"/>
  <c r="H249" i="1"/>
  <c r="G249" i="1"/>
  <c r="E249" i="1"/>
  <c r="D249" i="1"/>
  <c r="C249" i="1"/>
  <c r="BF248" i="1"/>
  <c r="BE248" i="1"/>
  <c r="BC248" i="1"/>
  <c r="BA248" i="1"/>
  <c r="I248" i="1"/>
  <c r="H248" i="1"/>
  <c r="G248" i="1"/>
  <c r="E248" i="1"/>
  <c r="D248" i="1"/>
  <c r="C248" i="1"/>
  <c r="BE247" i="1"/>
  <c r="BC247" i="1"/>
  <c r="BA247" i="1"/>
  <c r="I247" i="1"/>
  <c r="H247" i="1"/>
  <c r="G247" i="1"/>
  <c r="E247" i="1"/>
  <c r="D247" i="1"/>
  <c r="C247" i="1"/>
  <c r="BE246" i="1"/>
  <c r="BC246" i="1"/>
  <c r="BA246" i="1"/>
  <c r="I246" i="1"/>
  <c r="H246" i="1"/>
  <c r="G246" i="1"/>
  <c r="E246" i="1"/>
  <c r="D246" i="1"/>
  <c r="C246" i="1"/>
  <c r="BE245" i="1"/>
  <c r="BC245" i="1"/>
  <c r="I245" i="1"/>
  <c r="H245" i="1"/>
  <c r="E245" i="1"/>
  <c r="D245" i="1"/>
  <c r="C245" i="1"/>
  <c r="BE244" i="1"/>
  <c r="BC244" i="1"/>
  <c r="I244" i="1"/>
  <c r="H244" i="1"/>
  <c r="G244" i="1"/>
  <c r="E244" i="1"/>
  <c r="D244" i="1"/>
  <c r="C244" i="1"/>
  <c r="BF243" i="1"/>
  <c r="BE243" i="1"/>
  <c r="BC243" i="1"/>
  <c r="BA243" i="1"/>
  <c r="I243" i="1"/>
  <c r="H243" i="1"/>
  <c r="G243" i="1"/>
  <c r="E243" i="1"/>
  <c r="D243" i="1"/>
  <c r="C243" i="1"/>
  <c r="BE242" i="1"/>
  <c r="BC242" i="1"/>
  <c r="BA242" i="1"/>
  <c r="I242" i="1"/>
  <c r="H242" i="1"/>
  <c r="G242" i="1"/>
  <c r="E242" i="1"/>
  <c r="D242" i="1"/>
  <c r="C242" i="1"/>
  <c r="BE241" i="1"/>
  <c r="BC241" i="1"/>
  <c r="BA241" i="1"/>
  <c r="I241" i="1"/>
  <c r="H241" i="1"/>
  <c r="G241" i="1"/>
  <c r="E241" i="1"/>
  <c r="D241" i="1"/>
  <c r="C241" i="1"/>
  <c r="BE240" i="1"/>
  <c r="BC240" i="1"/>
  <c r="I240" i="1"/>
  <c r="H240" i="1"/>
  <c r="G240" i="1"/>
  <c r="E240" i="1"/>
  <c r="D240" i="1"/>
  <c r="C240" i="1"/>
  <c r="BE239" i="1"/>
  <c r="BC239" i="1"/>
  <c r="BA239" i="1"/>
  <c r="I239" i="1"/>
  <c r="H239" i="1"/>
  <c r="G239" i="1"/>
  <c r="E239" i="1"/>
  <c r="D239" i="1"/>
  <c r="C239" i="1"/>
  <c r="BE238" i="1"/>
  <c r="BC238" i="1"/>
  <c r="BA238" i="1"/>
  <c r="I238" i="1"/>
  <c r="H238" i="1"/>
  <c r="E238" i="1"/>
  <c r="D238" i="1"/>
  <c r="C238" i="1"/>
  <c r="BE237" i="1"/>
  <c r="BC237" i="1"/>
  <c r="BA237" i="1"/>
  <c r="I237" i="1"/>
  <c r="H237" i="1"/>
  <c r="G237" i="1"/>
  <c r="E237" i="1"/>
  <c r="D237" i="1"/>
  <c r="C237" i="1"/>
  <c r="BE236" i="1"/>
  <c r="BC236" i="1"/>
  <c r="BA236" i="1"/>
  <c r="I236" i="1"/>
  <c r="H236" i="1"/>
  <c r="E236" i="1"/>
  <c r="D236" i="1"/>
  <c r="C236" i="1"/>
  <c r="BF235" i="1"/>
  <c r="BE235" i="1"/>
  <c r="BC235" i="1"/>
  <c r="BA235" i="1"/>
  <c r="I235" i="1"/>
  <c r="H235" i="1"/>
  <c r="E235" i="1"/>
  <c r="D235" i="1"/>
  <c r="C235" i="1"/>
  <c r="BF234" i="1"/>
  <c r="BE234" i="1"/>
  <c r="BC234" i="1"/>
  <c r="BA234" i="1"/>
  <c r="I234" i="1"/>
  <c r="H234" i="1"/>
  <c r="G234" i="1"/>
  <c r="E234" i="1"/>
  <c r="D234" i="1"/>
  <c r="C234" i="1"/>
  <c r="BE233" i="1"/>
  <c r="BC233" i="1"/>
  <c r="BA233" i="1"/>
  <c r="I233" i="1"/>
  <c r="H233" i="1"/>
  <c r="G233" i="1"/>
  <c r="E233" i="1"/>
  <c r="D233" i="1"/>
  <c r="C233" i="1"/>
  <c r="BE232" i="1"/>
  <c r="BC232" i="1"/>
  <c r="I232" i="1"/>
  <c r="H232" i="1"/>
  <c r="E232" i="1"/>
  <c r="D232" i="1"/>
  <c r="C232" i="1"/>
  <c r="BE231" i="1"/>
  <c r="BC231" i="1"/>
  <c r="BA231" i="1"/>
  <c r="I231" i="1"/>
  <c r="H231" i="1"/>
  <c r="G231" i="1"/>
  <c r="E231" i="1"/>
  <c r="D231" i="1"/>
  <c r="C231" i="1"/>
  <c r="BE230" i="1"/>
  <c r="BC230" i="1"/>
  <c r="I230" i="1"/>
  <c r="H230" i="1"/>
  <c r="E230" i="1"/>
  <c r="D230" i="1"/>
  <c r="C230" i="1"/>
  <c r="BE229" i="1"/>
  <c r="BC229" i="1"/>
  <c r="BA229" i="1"/>
  <c r="I229" i="1"/>
  <c r="H229" i="1"/>
  <c r="G229" i="1"/>
  <c r="E229" i="1"/>
  <c r="D229" i="1"/>
  <c r="C229" i="1"/>
  <c r="BE228" i="1"/>
  <c r="BC228" i="1"/>
  <c r="I228" i="1"/>
  <c r="H228" i="1"/>
  <c r="E228" i="1"/>
  <c r="D228" i="1"/>
  <c r="C228" i="1"/>
  <c r="BF227" i="1"/>
  <c r="BE227" i="1"/>
  <c r="BC227" i="1"/>
  <c r="BA227" i="1"/>
  <c r="I227" i="1"/>
  <c r="H227" i="1"/>
  <c r="G227" i="1"/>
  <c r="E227" i="1"/>
  <c r="D227" i="1"/>
  <c r="C227" i="1"/>
  <c r="BE226" i="1"/>
  <c r="BC226" i="1"/>
  <c r="I226" i="1"/>
  <c r="H226" i="1"/>
  <c r="E226" i="1"/>
  <c r="D226" i="1"/>
  <c r="C226" i="1"/>
  <c r="BE225" i="1"/>
  <c r="BC225" i="1"/>
  <c r="I225" i="1"/>
  <c r="H225" i="1"/>
  <c r="E225" i="1"/>
  <c r="D225" i="1"/>
  <c r="C225" i="1"/>
  <c r="BF224" i="1"/>
  <c r="BE224" i="1"/>
  <c r="BC224" i="1"/>
  <c r="BA224" i="1"/>
  <c r="I224" i="1"/>
  <c r="H224" i="1"/>
  <c r="G224" i="1"/>
  <c r="E224" i="1"/>
  <c r="D224" i="1"/>
  <c r="C224" i="1"/>
  <c r="BF223" i="1"/>
  <c r="BE223" i="1"/>
  <c r="BC223" i="1"/>
  <c r="BA223" i="1"/>
  <c r="I223" i="1"/>
  <c r="H223" i="1"/>
  <c r="G223" i="1"/>
  <c r="E223" i="1"/>
  <c r="D223" i="1"/>
  <c r="C223" i="1"/>
  <c r="BE222" i="1"/>
  <c r="BC222" i="1"/>
  <c r="BA222" i="1"/>
  <c r="I222" i="1"/>
  <c r="H222" i="1"/>
  <c r="G222" i="1"/>
  <c r="E222" i="1"/>
  <c r="D222" i="1"/>
  <c r="C222" i="1"/>
  <c r="BE221" i="1"/>
  <c r="BC221" i="1"/>
  <c r="I221" i="1"/>
  <c r="H221" i="1"/>
  <c r="G221" i="1"/>
  <c r="E221" i="1"/>
  <c r="D221" i="1"/>
  <c r="C221" i="1"/>
  <c r="BE220" i="1"/>
  <c r="BC220" i="1"/>
  <c r="BA220" i="1"/>
  <c r="I220" i="1"/>
  <c r="H220" i="1"/>
  <c r="G220" i="1"/>
  <c r="E220" i="1"/>
  <c r="D220" i="1"/>
  <c r="C220" i="1"/>
  <c r="BE219" i="1"/>
  <c r="BC219" i="1"/>
  <c r="BA219" i="1"/>
  <c r="I219" i="1"/>
  <c r="H219" i="1"/>
  <c r="G219" i="1"/>
  <c r="E219" i="1"/>
  <c r="D219" i="1"/>
  <c r="C219" i="1"/>
  <c r="BF218" i="1"/>
  <c r="BE218" i="1"/>
  <c r="BC218" i="1"/>
  <c r="BA218" i="1"/>
  <c r="I218" i="1"/>
  <c r="H218" i="1"/>
  <c r="G218" i="1"/>
  <c r="E218" i="1"/>
  <c r="D218" i="1"/>
  <c r="C218" i="1"/>
  <c r="BF217" i="1"/>
  <c r="BE217" i="1"/>
  <c r="BC217" i="1"/>
  <c r="BA217" i="1"/>
  <c r="I217" i="1"/>
  <c r="H217" i="1"/>
  <c r="G217" i="1"/>
  <c r="E217" i="1"/>
  <c r="D217" i="1"/>
  <c r="C217" i="1"/>
  <c r="BF216" i="1"/>
  <c r="BE216" i="1"/>
  <c r="BC216" i="1"/>
  <c r="BA216" i="1"/>
  <c r="I216" i="1"/>
  <c r="H216" i="1"/>
  <c r="G216" i="1"/>
  <c r="E216" i="1"/>
  <c r="D216" i="1"/>
  <c r="C216" i="1"/>
  <c r="BF215" i="1"/>
  <c r="BE215" i="1"/>
  <c r="BC215" i="1"/>
  <c r="BA215" i="1"/>
  <c r="I215" i="1"/>
  <c r="H215" i="1"/>
  <c r="G215" i="1"/>
  <c r="E215" i="1"/>
  <c r="D215" i="1"/>
  <c r="C215" i="1"/>
  <c r="BF214" i="1"/>
  <c r="BE214" i="1"/>
  <c r="BC214" i="1"/>
  <c r="BA214" i="1"/>
  <c r="I214" i="1"/>
  <c r="H214" i="1"/>
  <c r="G214" i="1"/>
  <c r="E214" i="1"/>
  <c r="D214" i="1"/>
  <c r="C214" i="1"/>
  <c r="BF213" i="1"/>
  <c r="BE213" i="1"/>
  <c r="BC213" i="1"/>
  <c r="BA213" i="1"/>
  <c r="I213" i="1"/>
  <c r="H213" i="1"/>
  <c r="G213" i="1"/>
  <c r="E213" i="1"/>
  <c r="D213" i="1"/>
  <c r="C213" i="1"/>
  <c r="BF212" i="1"/>
  <c r="BE212" i="1"/>
  <c r="BC212" i="1"/>
  <c r="BA212" i="1"/>
  <c r="I212" i="1"/>
  <c r="H212" i="1"/>
  <c r="G212" i="1"/>
  <c r="E212" i="1"/>
  <c r="D212" i="1"/>
  <c r="C212" i="1"/>
  <c r="BF211" i="1"/>
  <c r="BE211" i="1"/>
  <c r="BC211" i="1"/>
  <c r="BA211" i="1"/>
  <c r="I211" i="1"/>
  <c r="H211" i="1"/>
  <c r="G211" i="1"/>
  <c r="E211" i="1"/>
  <c r="D211" i="1"/>
  <c r="C211" i="1"/>
  <c r="BF210" i="1"/>
  <c r="BE210" i="1"/>
  <c r="BC210" i="1"/>
  <c r="BA210" i="1"/>
  <c r="I210" i="1"/>
  <c r="H210" i="1"/>
  <c r="G210" i="1"/>
  <c r="E210" i="1"/>
  <c r="D210" i="1"/>
  <c r="C210" i="1"/>
  <c r="BF209" i="1"/>
  <c r="BE209" i="1"/>
  <c r="BC209" i="1"/>
  <c r="BA209" i="1"/>
  <c r="I209" i="1"/>
  <c r="H209" i="1"/>
  <c r="G209" i="1"/>
  <c r="E209" i="1"/>
  <c r="D209" i="1"/>
  <c r="C209" i="1"/>
  <c r="BF208" i="1"/>
  <c r="BE208" i="1"/>
  <c r="BC208" i="1"/>
  <c r="BA208" i="1"/>
  <c r="I208" i="1"/>
  <c r="H208" i="1"/>
  <c r="G208" i="1"/>
  <c r="E208" i="1"/>
  <c r="D208" i="1"/>
  <c r="C208" i="1"/>
  <c r="BF207" i="1"/>
  <c r="BE207" i="1"/>
  <c r="BC207" i="1"/>
  <c r="BA207" i="1"/>
  <c r="I207" i="1"/>
  <c r="H207" i="1"/>
  <c r="G207" i="1"/>
  <c r="E207" i="1"/>
  <c r="D207" i="1"/>
  <c r="C207" i="1"/>
  <c r="BF206" i="1"/>
  <c r="BE206" i="1"/>
  <c r="BC206" i="1"/>
  <c r="BA206" i="1"/>
  <c r="I206" i="1"/>
  <c r="H206" i="1"/>
  <c r="G206" i="1"/>
  <c r="E206" i="1"/>
  <c r="D206" i="1"/>
  <c r="C206" i="1"/>
  <c r="BF205" i="1"/>
  <c r="BE205" i="1"/>
  <c r="BC205" i="1"/>
  <c r="BA205" i="1"/>
  <c r="I205" i="1"/>
  <c r="H205" i="1"/>
  <c r="G205" i="1"/>
  <c r="E205" i="1"/>
  <c r="D205" i="1"/>
  <c r="C205" i="1"/>
  <c r="BF204" i="1"/>
  <c r="BE204" i="1"/>
  <c r="BC204" i="1"/>
  <c r="BA204" i="1"/>
  <c r="I204" i="1"/>
  <c r="H204" i="1"/>
  <c r="G204" i="1"/>
  <c r="E204" i="1"/>
  <c r="D204" i="1"/>
  <c r="C204" i="1"/>
  <c r="BF203" i="1"/>
  <c r="BE203" i="1"/>
  <c r="BC203" i="1"/>
  <c r="BA203" i="1"/>
  <c r="I203" i="1"/>
  <c r="H203" i="1"/>
  <c r="G203" i="1"/>
  <c r="E203" i="1"/>
  <c r="D203" i="1"/>
  <c r="C203" i="1"/>
  <c r="BF202" i="1"/>
  <c r="BE202" i="1"/>
  <c r="BC202" i="1"/>
  <c r="BA202" i="1"/>
  <c r="I202" i="1"/>
  <c r="H202" i="1"/>
  <c r="G202" i="1"/>
  <c r="E202" i="1"/>
  <c r="D202" i="1"/>
  <c r="C202" i="1"/>
  <c r="BF201" i="1"/>
  <c r="BE201" i="1"/>
  <c r="BC201" i="1"/>
  <c r="BA201" i="1"/>
  <c r="I201" i="1"/>
  <c r="H201" i="1"/>
  <c r="G201" i="1"/>
  <c r="E201" i="1"/>
  <c r="D201" i="1"/>
  <c r="C201" i="1"/>
  <c r="BF200" i="1"/>
  <c r="BE200" i="1"/>
  <c r="BC200" i="1"/>
  <c r="BA200" i="1"/>
  <c r="I200" i="1"/>
  <c r="H200" i="1"/>
  <c r="G200" i="1"/>
  <c r="E200" i="1"/>
  <c r="D200" i="1"/>
  <c r="C200" i="1"/>
  <c r="BF199" i="1"/>
  <c r="BE199" i="1"/>
  <c r="BC199" i="1"/>
  <c r="BA199" i="1"/>
  <c r="I199" i="1"/>
  <c r="H199" i="1"/>
  <c r="G199" i="1"/>
  <c r="E199" i="1"/>
  <c r="D199" i="1"/>
  <c r="C199" i="1"/>
  <c r="BF198" i="1"/>
  <c r="BE198" i="1"/>
  <c r="BC198" i="1"/>
  <c r="BA198" i="1"/>
  <c r="I198" i="1"/>
  <c r="H198" i="1"/>
  <c r="G198" i="1"/>
  <c r="E198" i="1"/>
  <c r="D198" i="1"/>
  <c r="C198" i="1"/>
  <c r="BF197" i="1"/>
  <c r="BE197" i="1"/>
  <c r="BC197" i="1"/>
  <c r="BA197" i="1"/>
  <c r="I197" i="1"/>
  <c r="H197" i="1"/>
  <c r="G197" i="1"/>
  <c r="E197" i="1"/>
  <c r="D197" i="1"/>
  <c r="C197" i="1"/>
  <c r="BF196" i="1"/>
  <c r="BE196" i="1"/>
  <c r="BC196" i="1"/>
  <c r="BA196" i="1"/>
  <c r="I196" i="1"/>
  <c r="H196" i="1"/>
  <c r="G196" i="1"/>
  <c r="E196" i="1"/>
  <c r="D196" i="1"/>
  <c r="C196" i="1"/>
  <c r="BF195" i="1"/>
  <c r="BE195" i="1"/>
  <c r="BC195" i="1"/>
  <c r="BA195" i="1"/>
  <c r="I195" i="1"/>
  <c r="H195" i="1"/>
  <c r="G195" i="1"/>
  <c r="E195" i="1"/>
  <c r="D195" i="1"/>
  <c r="C195" i="1"/>
  <c r="BF194" i="1"/>
  <c r="BE194" i="1"/>
  <c r="BC194" i="1"/>
  <c r="BA194" i="1"/>
  <c r="I194" i="1"/>
  <c r="H194" i="1"/>
  <c r="G194" i="1"/>
  <c r="E194" i="1"/>
  <c r="D194" i="1"/>
  <c r="C194" i="1"/>
  <c r="BF193" i="1"/>
  <c r="BE193" i="1"/>
  <c r="BC193" i="1"/>
  <c r="BA193" i="1"/>
  <c r="I193" i="1"/>
  <c r="H193" i="1"/>
  <c r="G193" i="1"/>
  <c r="E193" i="1"/>
  <c r="D193" i="1"/>
  <c r="C193" i="1"/>
  <c r="BF192" i="1"/>
  <c r="BE192" i="1"/>
  <c r="BC192" i="1"/>
  <c r="BA192" i="1"/>
  <c r="I192" i="1"/>
  <c r="H192" i="1"/>
  <c r="G192" i="1"/>
  <c r="E192" i="1"/>
  <c r="D192" i="1"/>
  <c r="C192" i="1"/>
  <c r="BF191" i="1"/>
  <c r="BE191" i="1"/>
  <c r="BC191" i="1"/>
  <c r="BA191" i="1"/>
  <c r="I191" i="1"/>
  <c r="H191" i="1"/>
  <c r="G191" i="1"/>
  <c r="E191" i="1"/>
  <c r="D191" i="1"/>
  <c r="C191" i="1"/>
  <c r="BF190" i="1"/>
  <c r="BE190" i="1"/>
  <c r="BC190" i="1"/>
  <c r="BA190" i="1"/>
  <c r="I190" i="1"/>
  <c r="H190" i="1"/>
  <c r="G190" i="1"/>
  <c r="E190" i="1"/>
  <c r="D190" i="1"/>
  <c r="C190" i="1"/>
  <c r="BF189" i="1"/>
  <c r="BE189" i="1"/>
  <c r="BC189" i="1"/>
  <c r="BA189" i="1"/>
  <c r="I189" i="1"/>
  <c r="H189" i="1"/>
  <c r="G189" i="1"/>
  <c r="E189" i="1"/>
  <c r="D189" i="1"/>
  <c r="C189" i="1"/>
  <c r="BF188" i="1"/>
  <c r="BE188" i="1"/>
  <c r="BC188" i="1"/>
  <c r="BA188" i="1"/>
  <c r="I188" i="1"/>
  <c r="H188" i="1"/>
  <c r="G188" i="1"/>
  <c r="E188" i="1"/>
  <c r="D188" i="1"/>
  <c r="C188" i="1"/>
  <c r="BF187" i="1"/>
  <c r="BE187" i="1"/>
  <c r="BC187" i="1"/>
  <c r="BA187" i="1"/>
  <c r="I187" i="1"/>
  <c r="H187" i="1"/>
  <c r="G187" i="1"/>
  <c r="E187" i="1"/>
  <c r="D187" i="1"/>
  <c r="C187" i="1"/>
  <c r="BF186" i="1"/>
  <c r="BE186" i="1"/>
  <c r="BC186" i="1"/>
  <c r="BA186" i="1"/>
  <c r="I186" i="1"/>
  <c r="H186" i="1"/>
  <c r="G186" i="1"/>
  <c r="E186" i="1"/>
  <c r="D186" i="1"/>
  <c r="C186" i="1"/>
  <c r="BF185" i="1"/>
  <c r="BE185" i="1"/>
  <c r="BC185" i="1"/>
  <c r="BA185" i="1"/>
  <c r="I185" i="1"/>
  <c r="H185" i="1"/>
  <c r="G185" i="1"/>
  <c r="E185" i="1"/>
  <c r="D185" i="1"/>
  <c r="C185" i="1"/>
  <c r="BF184" i="1"/>
  <c r="BE184" i="1"/>
  <c r="BC184" i="1"/>
  <c r="BA184" i="1"/>
  <c r="I184" i="1"/>
  <c r="H184" i="1"/>
  <c r="G184" i="1"/>
  <c r="E184" i="1"/>
  <c r="D184" i="1"/>
  <c r="C184" i="1"/>
  <c r="BF183" i="1"/>
  <c r="BE183" i="1"/>
  <c r="BC183" i="1"/>
  <c r="BA183" i="1"/>
  <c r="I183" i="1"/>
  <c r="H183" i="1"/>
  <c r="G183" i="1"/>
  <c r="E183" i="1"/>
  <c r="D183" i="1"/>
  <c r="C183" i="1"/>
  <c r="BF182" i="1"/>
  <c r="BE182" i="1"/>
  <c r="BC182" i="1"/>
  <c r="BA182" i="1"/>
  <c r="I182" i="1"/>
  <c r="H182" i="1"/>
  <c r="G182" i="1"/>
  <c r="E182" i="1"/>
  <c r="D182" i="1"/>
  <c r="C182" i="1"/>
  <c r="BF181" i="1"/>
  <c r="BE181" i="1"/>
  <c r="BC181" i="1"/>
  <c r="BA181" i="1"/>
  <c r="I181" i="1"/>
  <c r="H181" i="1"/>
  <c r="G181" i="1"/>
  <c r="E181" i="1"/>
  <c r="D181" i="1"/>
  <c r="C181" i="1"/>
  <c r="BF180" i="1"/>
  <c r="BE180" i="1"/>
  <c r="BC180" i="1"/>
  <c r="BA180" i="1"/>
  <c r="I180" i="1"/>
  <c r="H180" i="1"/>
  <c r="G180" i="1"/>
  <c r="E180" i="1"/>
  <c r="D180" i="1"/>
  <c r="C180" i="1"/>
  <c r="BF179" i="1"/>
  <c r="BE179" i="1"/>
  <c r="BC179" i="1"/>
  <c r="BA179" i="1"/>
  <c r="I179" i="1"/>
  <c r="H179" i="1"/>
  <c r="G179" i="1"/>
  <c r="E179" i="1"/>
  <c r="D179" i="1"/>
  <c r="C179" i="1"/>
  <c r="BF178" i="1"/>
  <c r="BE178" i="1"/>
  <c r="BC178" i="1"/>
  <c r="BA178" i="1"/>
  <c r="I178" i="1"/>
  <c r="H178" i="1"/>
  <c r="G178" i="1"/>
  <c r="E178" i="1"/>
  <c r="D178" i="1"/>
  <c r="C178" i="1"/>
  <c r="BF177" i="1"/>
  <c r="BE177" i="1"/>
  <c r="BC177" i="1"/>
  <c r="BA177" i="1"/>
  <c r="I177" i="1"/>
  <c r="H177" i="1"/>
  <c r="G177" i="1"/>
  <c r="E177" i="1"/>
  <c r="D177" i="1"/>
  <c r="C177" i="1"/>
  <c r="BF176" i="1"/>
  <c r="BE176" i="1"/>
  <c r="BC176" i="1"/>
  <c r="BA176" i="1"/>
  <c r="I176" i="1"/>
  <c r="H176" i="1"/>
  <c r="G176" i="1"/>
  <c r="E176" i="1"/>
  <c r="D176" i="1"/>
  <c r="C176" i="1"/>
  <c r="BF175" i="1"/>
  <c r="BE175" i="1"/>
  <c r="BC175" i="1"/>
  <c r="BA175" i="1"/>
  <c r="I175" i="1"/>
  <c r="H175" i="1"/>
  <c r="G175" i="1"/>
  <c r="E175" i="1"/>
  <c r="D175" i="1"/>
  <c r="C175" i="1"/>
  <c r="BE174" i="1"/>
  <c r="BC174" i="1"/>
  <c r="BA174" i="1"/>
  <c r="I174" i="1"/>
  <c r="H174" i="1"/>
  <c r="E174" i="1"/>
  <c r="D174" i="1"/>
  <c r="C174" i="1"/>
  <c r="BE173" i="1"/>
  <c r="BC173" i="1"/>
  <c r="BA173" i="1"/>
  <c r="I173" i="1"/>
  <c r="H173" i="1"/>
  <c r="E173" i="1"/>
  <c r="D173" i="1"/>
  <c r="C173" i="1"/>
  <c r="BE172" i="1"/>
  <c r="BC172" i="1"/>
  <c r="BA172" i="1"/>
  <c r="I172" i="1"/>
  <c r="H172" i="1"/>
  <c r="E172" i="1"/>
  <c r="D172" i="1"/>
  <c r="C172" i="1"/>
  <c r="BE171" i="1"/>
  <c r="BC171" i="1"/>
  <c r="I171" i="1"/>
  <c r="H171" i="1"/>
  <c r="E171" i="1"/>
  <c r="D171" i="1"/>
  <c r="C171" i="1"/>
  <c r="BE170" i="1"/>
  <c r="BC170" i="1"/>
  <c r="I170" i="1"/>
  <c r="H170" i="1"/>
  <c r="G170" i="1"/>
  <c r="E170" i="1"/>
  <c r="D170" i="1"/>
  <c r="C170" i="1"/>
  <c r="BE169" i="1"/>
  <c r="BC169" i="1"/>
  <c r="BA169" i="1"/>
  <c r="I169" i="1"/>
  <c r="H169" i="1"/>
  <c r="E169" i="1"/>
  <c r="D169" i="1"/>
  <c r="C169" i="1"/>
  <c r="BE168" i="1"/>
  <c r="BC168" i="1"/>
  <c r="BA168" i="1"/>
  <c r="I168" i="1"/>
  <c r="H168" i="1"/>
  <c r="E168" i="1"/>
  <c r="D168" i="1"/>
  <c r="C168" i="1"/>
  <c r="BE167" i="1"/>
  <c r="BC167" i="1"/>
  <c r="BA167" i="1"/>
  <c r="I167" i="1"/>
  <c r="H167" i="1"/>
  <c r="E167" i="1"/>
  <c r="D167" i="1"/>
  <c r="C167" i="1"/>
  <c r="BE166" i="1"/>
  <c r="BC166" i="1"/>
  <c r="I166" i="1"/>
  <c r="H166" i="1"/>
  <c r="E166" i="1"/>
  <c r="D166" i="1"/>
  <c r="C166" i="1"/>
  <c r="BE165" i="1"/>
  <c r="BC165" i="1"/>
  <c r="BA165" i="1"/>
  <c r="I165" i="1"/>
  <c r="H165" i="1"/>
  <c r="E165" i="1"/>
  <c r="D165" i="1"/>
  <c r="C165" i="1"/>
  <c r="BE164" i="1"/>
  <c r="BC164" i="1"/>
  <c r="BA164" i="1"/>
  <c r="I164" i="1"/>
  <c r="H164" i="1"/>
  <c r="E164" i="1"/>
  <c r="D164" i="1"/>
  <c r="C164" i="1"/>
  <c r="BE163" i="1"/>
  <c r="BC163" i="1"/>
  <c r="I163" i="1"/>
  <c r="H163" i="1"/>
  <c r="E163" i="1"/>
  <c r="D163" i="1"/>
  <c r="C163" i="1"/>
  <c r="BE162" i="1"/>
  <c r="BC162" i="1"/>
  <c r="BA162" i="1"/>
  <c r="I162" i="1"/>
  <c r="H162" i="1"/>
  <c r="G162" i="1"/>
  <c r="E162" i="1"/>
  <c r="D162" i="1"/>
  <c r="C162" i="1"/>
  <c r="BF161" i="1"/>
  <c r="BE161" i="1"/>
  <c r="BC161" i="1"/>
  <c r="BA161" i="1"/>
  <c r="I161" i="1"/>
  <c r="H161" i="1"/>
  <c r="G161" i="1"/>
  <c r="E161" i="1"/>
  <c r="D161" i="1"/>
  <c r="C161" i="1"/>
  <c r="BF160" i="1"/>
  <c r="BE160" i="1"/>
  <c r="BC160" i="1"/>
  <c r="BA160" i="1"/>
  <c r="I160" i="1"/>
  <c r="H160" i="1"/>
  <c r="G160" i="1"/>
  <c r="E160" i="1"/>
  <c r="D160" i="1"/>
  <c r="C160" i="1"/>
  <c r="BF159" i="1"/>
  <c r="BE159" i="1"/>
  <c r="BC159" i="1"/>
  <c r="BA159" i="1"/>
  <c r="I159" i="1"/>
  <c r="H159" i="1"/>
  <c r="G159" i="1"/>
  <c r="E159" i="1"/>
  <c r="D159" i="1"/>
  <c r="C159" i="1"/>
  <c r="BF158" i="1"/>
  <c r="BE158" i="1"/>
  <c r="BC158" i="1"/>
  <c r="BA158" i="1"/>
  <c r="I158" i="1"/>
  <c r="H158" i="1"/>
  <c r="G158" i="1"/>
  <c r="E158" i="1"/>
  <c r="D158" i="1"/>
  <c r="C158" i="1"/>
  <c r="BF157" i="1"/>
  <c r="BE157" i="1"/>
  <c r="BC157" i="1"/>
  <c r="BA157" i="1"/>
  <c r="I157" i="1"/>
  <c r="H157" i="1"/>
  <c r="G157" i="1"/>
  <c r="E157" i="1"/>
  <c r="D157" i="1"/>
  <c r="C157" i="1"/>
  <c r="BF156" i="1"/>
  <c r="BE156" i="1"/>
  <c r="BC156" i="1"/>
  <c r="BA156" i="1"/>
  <c r="I156" i="1"/>
  <c r="H156" i="1"/>
  <c r="G156" i="1"/>
  <c r="E156" i="1"/>
  <c r="D156" i="1"/>
  <c r="C156" i="1"/>
  <c r="BF155" i="1"/>
  <c r="BE155" i="1"/>
  <c r="BC155" i="1"/>
  <c r="BA155" i="1"/>
  <c r="I155" i="1"/>
  <c r="H155" i="1"/>
  <c r="G155" i="1"/>
  <c r="E155" i="1"/>
  <c r="D155" i="1"/>
  <c r="C155" i="1"/>
  <c r="BF154" i="1"/>
  <c r="BE154" i="1"/>
  <c r="BC154" i="1"/>
  <c r="BA154" i="1"/>
  <c r="I154" i="1"/>
  <c r="H154" i="1"/>
  <c r="G154" i="1"/>
  <c r="E154" i="1"/>
  <c r="D154" i="1"/>
  <c r="C154" i="1"/>
  <c r="BF153" i="1"/>
  <c r="BE153" i="1"/>
  <c r="BC153" i="1"/>
  <c r="BA153" i="1"/>
  <c r="I153" i="1"/>
  <c r="H153" i="1"/>
  <c r="G153" i="1"/>
  <c r="E153" i="1"/>
  <c r="D153" i="1"/>
  <c r="C153" i="1"/>
  <c r="BF152" i="1"/>
  <c r="BE152" i="1"/>
  <c r="BC152" i="1"/>
  <c r="BA152" i="1"/>
  <c r="I152" i="1"/>
  <c r="H152" i="1"/>
  <c r="G152" i="1"/>
  <c r="E152" i="1"/>
  <c r="D152" i="1"/>
  <c r="C152" i="1"/>
  <c r="BF151" i="1"/>
  <c r="BE151" i="1"/>
  <c r="BC151" i="1"/>
  <c r="BA151" i="1"/>
  <c r="I151" i="1"/>
  <c r="H151" i="1"/>
  <c r="G151" i="1"/>
  <c r="E151" i="1"/>
  <c r="D151" i="1"/>
  <c r="C151" i="1"/>
  <c r="BF150" i="1"/>
  <c r="BE150" i="1"/>
  <c r="BC150" i="1"/>
  <c r="BA150" i="1"/>
  <c r="I150" i="1"/>
  <c r="H150" i="1"/>
  <c r="G150" i="1"/>
  <c r="E150" i="1"/>
  <c r="D150" i="1"/>
  <c r="C150" i="1"/>
  <c r="BE149" i="1"/>
  <c r="BC149" i="1"/>
  <c r="BA149" i="1"/>
  <c r="I149" i="1"/>
  <c r="H149" i="1"/>
  <c r="G149" i="1"/>
  <c r="E149" i="1"/>
  <c r="D149" i="1"/>
  <c r="C149" i="1"/>
  <c r="BE148" i="1"/>
  <c r="BC148" i="1"/>
  <c r="I148" i="1"/>
  <c r="H148" i="1"/>
  <c r="E148" i="1"/>
  <c r="D148" i="1"/>
  <c r="C148" i="1"/>
  <c r="BF147" i="1"/>
  <c r="BE147" i="1"/>
  <c r="BC147" i="1"/>
  <c r="BA147" i="1"/>
  <c r="I147" i="1"/>
  <c r="H147" i="1"/>
  <c r="G147" i="1"/>
  <c r="E147" i="1"/>
  <c r="D147" i="1"/>
  <c r="C147" i="1"/>
  <c r="BF146" i="1"/>
  <c r="BE146" i="1"/>
  <c r="BC146" i="1"/>
  <c r="BA146" i="1"/>
  <c r="I146" i="1"/>
  <c r="H146" i="1"/>
  <c r="G146" i="1"/>
  <c r="E146" i="1"/>
  <c r="D146" i="1"/>
  <c r="C146" i="1"/>
  <c r="BF145" i="1"/>
  <c r="BE145" i="1"/>
  <c r="BC145" i="1"/>
  <c r="BA145" i="1"/>
  <c r="I145" i="1"/>
  <c r="H145" i="1"/>
  <c r="G145" i="1"/>
  <c r="E145" i="1"/>
  <c r="D145" i="1"/>
  <c r="C145" i="1"/>
  <c r="BF144" i="1"/>
  <c r="BE144" i="1"/>
  <c r="BC144" i="1"/>
  <c r="BA144" i="1"/>
  <c r="I144" i="1"/>
  <c r="H144" i="1"/>
  <c r="G144" i="1"/>
  <c r="E144" i="1"/>
  <c r="D144" i="1"/>
  <c r="C144" i="1"/>
  <c r="BF143" i="1"/>
  <c r="BE143" i="1"/>
  <c r="BC143" i="1"/>
  <c r="BA143" i="1"/>
  <c r="I143" i="1"/>
  <c r="H143" i="1"/>
  <c r="G143" i="1"/>
  <c r="E143" i="1"/>
  <c r="D143" i="1"/>
  <c r="C143" i="1"/>
  <c r="BF142" i="1"/>
  <c r="BE142" i="1"/>
  <c r="BC142" i="1"/>
  <c r="BA142" i="1"/>
  <c r="I142" i="1"/>
  <c r="H142" i="1"/>
  <c r="G142" i="1"/>
  <c r="E142" i="1"/>
  <c r="D142" i="1"/>
  <c r="C142" i="1"/>
  <c r="BF141" i="1"/>
  <c r="BE141" i="1"/>
  <c r="BC141" i="1"/>
  <c r="BA141" i="1"/>
  <c r="I141" i="1"/>
  <c r="H141" i="1"/>
  <c r="G141" i="1"/>
  <c r="E141" i="1"/>
  <c r="D141" i="1"/>
  <c r="C141" i="1"/>
  <c r="BF140" i="1"/>
  <c r="BE140" i="1"/>
  <c r="BC140" i="1"/>
  <c r="BA140" i="1"/>
  <c r="I140" i="1"/>
  <c r="H140" i="1"/>
  <c r="G140" i="1"/>
  <c r="E140" i="1"/>
  <c r="D140" i="1"/>
  <c r="C140" i="1"/>
  <c r="BF139" i="1"/>
  <c r="BE139" i="1"/>
  <c r="BC139" i="1"/>
  <c r="BA139" i="1"/>
  <c r="I139" i="1"/>
  <c r="H139" i="1"/>
  <c r="G139" i="1"/>
  <c r="E139" i="1"/>
  <c r="D139" i="1"/>
  <c r="C139" i="1"/>
  <c r="BF138" i="1"/>
  <c r="BE138" i="1"/>
  <c r="BC138" i="1"/>
  <c r="BA138" i="1"/>
  <c r="I138" i="1"/>
  <c r="H138" i="1"/>
  <c r="G138" i="1"/>
  <c r="E138" i="1"/>
  <c r="D138" i="1"/>
  <c r="C138" i="1"/>
  <c r="BF137" i="1"/>
  <c r="BE137" i="1"/>
  <c r="BC137" i="1"/>
  <c r="BA137" i="1"/>
  <c r="I137" i="1"/>
  <c r="H137" i="1"/>
  <c r="G137" i="1"/>
  <c r="E137" i="1"/>
  <c r="D137" i="1"/>
  <c r="C137" i="1"/>
  <c r="BF136" i="1"/>
  <c r="BE136" i="1"/>
  <c r="BC136" i="1"/>
  <c r="BA136" i="1"/>
  <c r="I136" i="1"/>
  <c r="H136" i="1"/>
  <c r="G136" i="1"/>
  <c r="E136" i="1"/>
  <c r="D136" i="1"/>
  <c r="C136" i="1"/>
  <c r="BF135" i="1"/>
  <c r="BE135" i="1"/>
  <c r="BC135" i="1"/>
  <c r="BA135" i="1"/>
  <c r="I135" i="1"/>
  <c r="H135" i="1"/>
  <c r="G135" i="1"/>
  <c r="E135" i="1"/>
  <c r="D135" i="1"/>
  <c r="C135" i="1"/>
  <c r="BF134" i="1"/>
  <c r="BE134" i="1"/>
  <c r="BC134" i="1"/>
  <c r="BA134" i="1"/>
  <c r="I134" i="1"/>
  <c r="H134" i="1"/>
  <c r="G134" i="1"/>
  <c r="E134" i="1"/>
  <c r="D134" i="1"/>
  <c r="C134" i="1"/>
  <c r="BF133" i="1"/>
  <c r="BE133" i="1"/>
  <c r="BC133" i="1"/>
  <c r="BA133" i="1"/>
  <c r="I133" i="1"/>
  <c r="H133" i="1"/>
  <c r="G133" i="1"/>
  <c r="E133" i="1"/>
  <c r="D133" i="1"/>
  <c r="C133" i="1"/>
  <c r="BF132" i="1"/>
  <c r="BE132" i="1"/>
  <c r="BC132" i="1"/>
  <c r="BA132" i="1"/>
  <c r="I132" i="1"/>
  <c r="H132" i="1"/>
  <c r="G132" i="1"/>
  <c r="E132" i="1"/>
  <c r="D132" i="1"/>
  <c r="C132" i="1"/>
  <c r="BF131" i="1"/>
  <c r="BE131" i="1"/>
  <c r="BC131" i="1"/>
  <c r="BA131" i="1"/>
  <c r="I131" i="1"/>
  <c r="H131" i="1"/>
  <c r="G131" i="1"/>
  <c r="E131" i="1"/>
  <c r="D131" i="1"/>
  <c r="C131" i="1"/>
  <c r="BF130" i="1"/>
  <c r="BE130" i="1"/>
  <c r="BC130" i="1"/>
  <c r="BA130" i="1"/>
  <c r="I130" i="1"/>
  <c r="H130" i="1"/>
  <c r="G130" i="1"/>
  <c r="E130" i="1"/>
  <c r="D130" i="1"/>
  <c r="C130" i="1"/>
  <c r="BF129" i="1"/>
  <c r="BE129" i="1"/>
  <c r="BC129" i="1"/>
  <c r="BA129" i="1"/>
  <c r="I129" i="1"/>
  <c r="H129" i="1"/>
  <c r="G129" i="1"/>
  <c r="E129" i="1"/>
  <c r="D129" i="1"/>
  <c r="C129" i="1"/>
  <c r="BF128" i="1"/>
  <c r="BE128" i="1"/>
  <c r="BC128" i="1"/>
  <c r="BA128" i="1"/>
  <c r="I128" i="1"/>
  <c r="H128" i="1"/>
  <c r="G128" i="1"/>
  <c r="E128" i="1"/>
  <c r="D128" i="1"/>
  <c r="C128" i="1"/>
  <c r="BF127" i="1"/>
  <c r="BE127" i="1"/>
  <c r="BC127" i="1"/>
  <c r="BA127" i="1"/>
  <c r="I127" i="1"/>
  <c r="H127" i="1"/>
  <c r="G127" i="1"/>
  <c r="E127" i="1"/>
  <c r="D127" i="1"/>
  <c r="C127" i="1"/>
  <c r="BF126" i="1"/>
  <c r="BE126" i="1"/>
  <c r="BC126" i="1"/>
  <c r="BA126" i="1"/>
  <c r="I126" i="1"/>
  <c r="H126" i="1"/>
  <c r="G126" i="1"/>
  <c r="E126" i="1"/>
  <c r="D126" i="1"/>
  <c r="C126" i="1"/>
  <c r="BF125" i="1"/>
  <c r="BE125" i="1"/>
  <c r="BC125" i="1"/>
  <c r="BA125" i="1"/>
  <c r="I125" i="1"/>
  <c r="H125" i="1"/>
  <c r="G125" i="1"/>
  <c r="E125" i="1"/>
  <c r="D125" i="1"/>
  <c r="C125" i="1"/>
  <c r="BF124" i="1"/>
  <c r="BE124" i="1"/>
  <c r="BC124" i="1"/>
  <c r="BA124" i="1"/>
  <c r="I124" i="1"/>
  <c r="H124" i="1"/>
  <c r="G124" i="1"/>
  <c r="E124" i="1"/>
  <c r="D124" i="1"/>
  <c r="C124" i="1"/>
  <c r="BF123" i="1"/>
  <c r="BE123" i="1"/>
  <c r="BC123" i="1"/>
  <c r="BA123" i="1"/>
  <c r="I123" i="1"/>
  <c r="H123" i="1"/>
  <c r="G123" i="1"/>
  <c r="E123" i="1"/>
  <c r="D123" i="1"/>
  <c r="C123" i="1"/>
  <c r="BF122" i="1"/>
  <c r="BE122" i="1"/>
  <c r="BC122" i="1"/>
  <c r="BA122" i="1"/>
  <c r="I122" i="1"/>
  <c r="H122" i="1"/>
  <c r="G122" i="1"/>
  <c r="E122" i="1"/>
  <c r="D122" i="1"/>
  <c r="C122" i="1"/>
  <c r="BF121" i="1"/>
  <c r="BE121" i="1"/>
  <c r="BC121" i="1"/>
  <c r="BA121" i="1"/>
  <c r="I121" i="1"/>
  <c r="H121" i="1"/>
  <c r="G121" i="1"/>
  <c r="E121" i="1"/>
  <c r="D121" i="1"/>
  <c r="C121" i="1"/>
  <c r="BF120" i="1"/>
  <c r="BE120" i="1"/>
  <c r="BC120" i="1"/>
  <c r="BA120" i="1"/>
  <c r="I120" i="1"/>
  <c r="H120" i="1"/>
  <c r="G120" i="1"/>
  <c r="E120" i="1"/>
  <c r="D120" i="1"/>
  <c r="C120" i="1"/>
  <c r="BF119" i="1"/>
  <c r="BE119" i="1"/>
  <c r="BC119" i="1"/>
  <c r="BA119" i="1"/>
  <c r="I119" i="1"/>
  <c r="H119" i="1"/>
  <c r="G119" i="1"/>
  <c r="E119" i="1"/>
  <c r="D119" i="1"/>
  <c r="C119" i="1"/>
  <c r="BF118" i="1"/>
  <c r="BE118" i="1"/>
  <c r="BC118" i="1"/>
  <c r="BA118" i="1"/>
  <c r="I118" i="1"/>
  <c r="H118" i="1"/>
  <c r="G118" i="1"/>
  <c r="E118" i="1"/>
  <c r="D118" i="1"/>
  <c r="C118" i="1"/>
  <c r="BF117" i="1"/>
  <c r="BE117" i="1"/>
  <c r="BC117" i="1"/>
  <c r="BA117" i="1"/>
  <c r="I117" i="1"/>
  <c r="H117" i="1"/>
  <c r="G117" i="1"/>
  <c r="E117" i="1"/>
  <c r="D117" i="1"/>
  <c r="C117" i="1"/>
  <c r="BF116" i="1"/>
  <c r="BE116" i="1"/>
  <c r="BC116" i="1"/>
  <c r="BA116" i="1"/>
  <c r="I116" i="1"/>
  <c r="H116" i="1"/>
  <c r="G116" i="1"/>
  <c r="E116" i="1"/>
  <c r="D116" i="1"/>
  <c r="C116" i="1"/>
  <c r="BF115" i="1"/>
  <c r="BE115" i="1"/>
  <c r="BC115" i="1"/>
  <c r="BA115" i="1"/>
  <c r="I115" i="1"/>
  <c r="H115" i="1"/>
  <c r="G115" i="1"/>
  <c r="E115" i="1"/>
  <c r="D115" i="1"/>
  <c r="C115" i="1"/>
  <c r="BF114" i="1"/>
  <c r="BE114" i="1"/>
  <c r="BC114" i="1"/>
  <c r="BA114" i="1"/>
  <c r="I114" i="1"/>
  <c r="H114" i="1"/>
  <c r="G114" i="1"/>
  <c r="E114" i="1"/>
  <c r="D114" i="1"/>
  <c r="C114" i="1"/>
  <c r="BF113" i="1"/>
  <c r="BE113" i="1"/>
  <c r="BC113" i="1"/>
  <c r="BA113" i="1"/>
  <c r="I113" i="1"/>
  <c r="H113" i="1"/>
  <c r="G113" i="1"/>
  <c r="E113" i="1"/>
  <c r="D113" i="1"/>
  <c r="C113" i="1"/>
  <c r="BF112" i="1"/>
  <c r="BE112" i="1"/>
  <c r="BC112" i="1"/>
  <c r="BA112" i="1"/>
  <c r="I112" i="1"/>
  <c r="H112" i="1"/>
  <c r="G112" i="1"/>
  <c r="E112" i="1"/>
  <c r="D112" i="1"/>
  <c r="C112" i="1"/>
  <c r="BE111" i="1"/>
  <c r="BC111" i="1"/>
  <c r="BA111" i="1"/>
  <c r="I111" i="1"/>
  <c r="H111" i="1"/>
  <c r="G111" i="1"/>
  <c r="E111" i="1"/>
  <c r="D111" i="1"/>
  <c r="C111" i="1"/>
  <c r="BF110" i="1"/>
  <c r="BE110" i="1"/>
  <c r="BC110" i="1"/>
  <c r="BA110" i="1"/>
  <c r="I110" i="1"/>
  <c r="H110" i="1"/>
  <c r="G110" i="1"/>
  <c r="E110" i="1"/>
  <c r="D110" i="1"/>
  <c r="C110" i="1"/>
  <c r="BF109" i="1"/>
  <c r="BE109" i="1"/>
  <c r="BC109" i="1"/>
  <c r="BA109" i="1"/>
  <c r="I109" i="1"/>
  <c r="H109" i="1"/>
  <c r="G109" i="1"/>
  <c r="E109" i="1"/>
  <c r="D109" i="1"/>
  <c r="C109" i="1"/>
  <c r="BF108" i="1"/>
  <c r="BE108" i="1"/>
  <c r="BC108" i="1"/>
  <c r="BA108" i="1"/>
  <c r="I108" i="1"/>
  <c r="H108" i="1"/>
  <c r="G108" i="1"/>
  <c r="E108" i="1"/>
  <c r="D108" i="1"/>
  <c r="C108" i="1"/>
  <c r="BF107" i="1"/>
  <c r="BE107" i="1"/>
  <c r="BC107" i="1"/>
  <c r="BA107" i="1"/>
  <c r="I107" i="1"/>
  <c r="H107" i="1"/>
  <c r="G107" i="1"/>
  <c r="E107" i="1"/>
  <c r="D107" i="1"/>
  <c r="C107" i="1"/>
  <c r="BF106" i="1"/>
  <c r="BE106" i="1"/>
  <c r="BC106" i="1"/>
  <c r="BA106" i="1"/>
  <c r="I106" i="1"/>
  <c r="H106" i="1"/>
  <c r="G106" i="1"/>
  <c r="E106" i="1"/>
  <c r="D106" i="1"/>
  <c r="C106" i="1"/>
  <c r="BF105" i="1"/>
  <c r="BE105" i="1"/>
  <c r="BC105" i="1"/>
  <c r="BA105" i="1"/>
  <c r="I105" i="1"/>
  <c r="H105" i="1"/>
  <c r="G105" i="1"/>
  <c r="E105" i="1"/>
  <c r="D105" i="1"/>
  <c r="C105" i="1"/>
  <c r="BF104" i="1"/>
  <c r="BE104" i="1"/>
  <c r="BC104" i="1"/>
  <c r="BA104" i="1"/>
  <c r="I104" i="1"/>
  <c r="H104" i="1"/>
  <c r="G104" i="1"/>
  <c r="E104" i="1"/>
  <c r="D104" i="1"/>
  <c r="C104" i="1"/>
  <c r="BF103" i="1"/>
  <c r="BE103" i="1"/>
  <c r="BC103" i="1"/>
  <c r="BA103" i="1"/>
  <c r="I103" i="1"/>
  <c r="H103" i="1"/>
  <c r="G103" i="1"/>
  <c r="E103" i="1"/>
  <c r="D103" i="1"/>
  <c r="C103" i="1"/>
  <c r="BF102" i="1"/>
  <c r="BE102" i="1"/>
  <c r="BC102" i="1"/>
  <c r="BA102" i="1"/>
  <c r="I102" i="1"/>
  <c r="H102" i="1"/>
  <c r="G102" i="1"/>
  <c r="E102" i="1"/>
  <c r="D102" i="1"/>
  <c r="C102" i="1"/>
  <c r="BF101" i="1"/>
  <c r="BE101" i="1"/>
  <c r="BC101" i="1"/>
  <c r="BA101" i="1"/>
  <c r="I101" i="1"/>
  <c r="H101" i="1"/>
  <c r="G101" i="1"/>
  <c r="E101" i="1"/>
  <c r="D101" i="1"/>
  <c r="C101" i="1"/>
  <c r="BF100" i="1"/>
  <c r="BE100" i="1"/>
  <c r="BC100" i="1"/>
  <c r="BA100" i="1"/>
  <c r="I100" i="1"/>
  <c r="H100" i="1"/>
  <c r="G100" i="1"/>
  <c r="E100" i="1"/>
  <c r="D100" i="1"/>
  <c r="C100" i="1"/>
  <c r="BF99" i="1"/>
  <c r="BE99" i="1"/>
  <c r="BC99" i="1"/>
  <c r="BA99" i="1"/>
  <c r="I99" i="1"/>
  <c r="H99" i="1"/>
  <c r="G99" i="1"/>
  <c r="E99" i="1"/>
  <c r="D99" i="1"/>
  <c r="C99" i="1"/>
  <c r="BF98" i="1"/>
  <c r="BE98" i="1"/>
  <c r="BC98" i="1"/>
  <c r="BA98" i="1"/>
  <c r="I98" i="1"/>
  <c r="H98" i="1"/>
  <c r="G98" i="1"/>
  <c r="E98" i="1"/>
  <c r="D98" i="1"/>
  <c r="C98" i="1"/>
  <c r="BF97" i="1"/>
  <c r="BE97" i="1"/>
  <c r="BC97" i="1"/>
  <c r="BA97" i="1"/>
  <c r="I97" i="1"/>
  <c r="H97" i="1"/>
  <c r="G97" i="1"/>
  <c r="E97" i="1"/>
  <c r="D97" i="1"/>
  <c r="C97" i="1"/>
  <c r="BF96" i="1"/>
  <c r="BE96" i="1"/>
  <c r="BC96" i="1"/>
  <c r="BA96" i="1"/>
  <c r="I96" i="1"/>
  <c r="H96" i="1"/>
  <c r="G96" i="1"/>
  <c r="E96" i="1"/>
  <c r="D96" i="1"/>
  <c r="C96" i="1"/>
  <c r="BF95" i="1"/>
  <c r="BE95" i="1"/>
  <c r="BC95" i="1"/>
  <c r="BA95" i="1"/>
  <c r="I95" i="1"/>
  <c r="H95" i="1"/>
  <c r="G95" i="1"/>
  <c r="E95" i="1"/>
  <c r="D95" i="1"/>
  <c r="C95" i="1"/>
  <c r="BF94" i="1"/>
  <c r="BE94" i="1"/>
  <c r="BC94" i="1"/>
  <c r="BA94" i="1"/>
  <c r="I94" i="1"/>
  <c r="H94" i="1"/>
  <c r="G94" i="1"/>
  <c r="E94" i="1"/>
  <c r="D94" i="1"/>
  <c r="C94" i="1"/>
  <c r="BF93" i="1"/>
  <c r="BE93" i="1"/>
  <c r="BC93" i="1"/>
  <c r="BA93" i="1"/>
  <c r="I93" i="1"/>
  <c r="H93" i="1"/>
  <c r="G93" i="1"/>
  <c r="E93" i="1"/>
  <c r="D93" i="1"/>
  <c r="C93" i="1"/>
  <c r="BF92" i="1"/>
  <c r="BE92" i="1"/>
  <c r="BC92" i="1"/>
  <c r="BA92" i="1"/>
  <c r="I92" i="1"/>
  <c r="H92" i="1"/>
  <c r="G92" i="1"/>
  <c r="E92" i="1"/>
  <c r="D92" i="1"/>
  <c r="C92" i="1"/>
  <c r="BF91" i="1"/>
  <c r="BE91" i="1"/>
  <c r="BC91" i="1"/>
  <c r="BA91" i="1"/>
  <c r="I91" i="1"/>
  <c r="H91" i="1"/>
  <c r="G91" i="1"/>
  <c r="E91" i="1"/>
  <c r="D91" i="1"/>
  <c r="C91" i="1"/>
  <c r="BF90" i="1"/>
  <c r="BE90" i="1"/>
  <c r="BC90" i="1"/>
  <c r="BA90" i="1"/>
  <c r="I90" i="1"/>
  <c r="H90" i="1"/>
  <c r="G90" i="1"/>
  <c r="E90" i="1"/>
  <c r="D90" i="1"/>
  <c r="C90" i="1"/>
  <c r="BF89" i="1"/>
  <c r="BE89" i="1"/>
  <c r="BC89" i="1"/>
  <c r="BA89" i="1"/>
  <c r="I89" i="1"/>
  <c r="H89" i="1"/>
  <c r="G89" i="1"/>
  <c r="E89" i="1"/>
  <c r="D89" i="1"/>
  <c r="C89" i="1"/>
  <c r="BF88" i="1"/>
  <c r="BE88" i="1"/>
  <c r="BC88" i="1"/>
  <c r="BA88" i="1"/>
  <c r="I88" i="1"/>
  <c r="H88" i="1"/>
  <c r="G88" i="1"/>
  <c r="E88" i="1"/>
  <c r="D88" i="1"/>
  <c r="C88" i="1"/>
  <c r="BF87" i="1"/>
  <c r="BE87" i="1"/>
  <c r="BC87" i="1"/>
  <c r="BA87" i="1"/>
  <c r="I87" i="1"/>
  <c r="H87" i="1"/>
  <c r="G87" i="1"/>
  <c r="E87" i="1"/>
  <c r="D87" i="1"/>
  <c r="C87" i="1"/>
  <c r="BF86" i="1"/>
  <c r="BE86" i="1"/>
  <c r="BC86" i="1"/>
  <c r="BA86" i="1"/>
  <c r="I86" i="1"/>
  <c r="H86" i="1"/>
  <c r="G86" i="1"/>
  <c r="E86" i="1"/>
  <c r="D86" i="1"/>
  <c r="C86" i="1"/>
  <c r="BF85" i="1"/>
  <c r="BE85" i="1"/>
  <c r="BC85" i="1"/>
  <c r="BA85" i="1"/>
  <c r="I85" i="1"/>
  <c r="H85" i="1"/>
  <c r="G85" i="1"/>
  <c r="E85" i="1"/>
  <c r="D85" i="1"/>
  <c r="C85" i="1"/>
  <c r="BF84" i="1"/>
  <c r="BE84" i="1"/>
  <c r="BC84" i="1"/>
  <c r="BA84" i="1"/>
  <c r="I84" i="1"/>
  <c r="H84" i="1"/>
  <c r="G84" i="1"/>
  <c r="E84" i="1"/>
  <c r="D84" i="1"/>
  <c r="C84" i="1"/>
  <c r="BF83" i="1"/>
  <c r="BE83" i="1"/>
  <c r="BC83" i="1"/>
  <c r="BA83" i="1"/>
  <c r="I83" i="1"/>
  <c r="H83" i="1"/>
  <c r="G83" i="1"/>
  <c r="E83" i="1"/>
  <c r="D83" i="1"/>
  <c r="C83" i="1"/>
  <c r="BF82" i="1"/>
  <c r="BE82" i="1"/>
  <c r="BC82" i="1"/>
  <c r="BA82" i="1"/>
  <c r="I82" i="1"/>
  <c r="H82" i="1"/>
  <c r="G82" i="1"/>
  <c r="E82" i="1"/>
  <c r="D82" i="1"/>
  <c r="C82" i="1"/>
  <c r="BF81" i="1"/>
  <c r="BE81" i="1"/>
  <c r="BC81" i="1"/>
  <c r="BA81" i="1"/>
  <c r="I81" i="1"/>
  <c r="H81" i="1"/>
  <c r="G81" i="1"/>
  <c r="E81" i="1"/>
  <c r="D81" i="1"/>
  <c r="C81" i="1"/>
  <c r="BF80" i="1"/>
  <c r="BE80" i="1"/>
  <c r="BC80" i="1"/>
  <c r="BA80" i="1"/>
  <c r="I80" i="1"/>
  <c r="H80" i="1"/>
  <c r="G80" i="1"/>
  <c r="E80" i="1"/>
  <c r="D80" i="1"/>
  <c r="C80" i="1"/>
  <c r="BF79" i="1"/>
  <c r="BE79" i="1"/>
  <c r="BC79" i="1"/>
  <c r="BA79" i="1"/>
  <c r="I79" i="1"/>
  <c r="H79" i="1"/>
  <c r="G79" i="1"/>
  <c r="E79" i="1"/>
  <c r="D79" i="1"/>
  <c r="C79" i="1"/>
  <c r="BF78" i="1"/>
  <c r="BE78" i="1"/>
  <c r="BC78" i="1"/>
  <c r="BA78" i="1"/>
  <c r="I78" i="1"/>
  <c r="H78" i="1"/>
  <c r="G78" i="1"/>
  <c r="E78" i="1"/>
  <c r="D78" i="1"/>
  <c r="C78" i="1"/>
  <c r="BF77" i="1"/>
  <c r="BE77" i="1"/>
  <c r="BC77" i="1"/>
  <c r="BA77" i="1"/>
  <c r="I77" i="1"/>
  <c r="H77" i="1"/>
  <c r="G77" i="1"/>
  <c r="E77" i="1"/>
  <c r="D77" i="1"/>
  <c r="C77" i="1"/>
  <c r="BF76" i="1"/>
  <c r="BE76" i="1"/>
  <c r="BC76" i="1"/>
  <c r="BA76" i="1"/>
  <c r="I76" i="1"/>
  <c r="H76" i="1"/>
  <c r="G76" i="1"/>
  <c r="E76" i="1"/>
  <c r="D76" i="1"/>
  <c r="C76" i="1"/>
  <c r="BF75" i="1"/>
  <c r="BE75" i="1"/>
  <c r="BC75" i="1"/>
  <c r="BA75" i="1"/>
  <c r="I75" i="1"/>
  <c r="H75" i="1"/>
  <c r="G75" i="1"/>
  <c r="E75" i="1"/>
  <c r="D75" i="1"/>
  <c r="C75" i="1"/>
  <c r="BF74" i="1"/>
  <c r="BE74" i="1"/>
  <c r="BC74" i="1"/>
  <c r="BA74" i="1"/>
  <c r="I74" i="1"/>
  <c r="H74" i="1"/>
  <c r="G74" i="1"/>
  <c r="E74" i="1"/>
  <c r="D74" i="1"/>
  <c r="C74" i="1"/>
  <c r="BF73" i="1"/>
  <c r="BE73" i="1"/>
  <c r="BC73" i="1"/>
  <c r="BA73" i="1"/>
  <c r="I73" i="1"/>
  <c r="H73" i="1"/>
  <c r="G73" i="1"/>
  <c r="E73" i="1"/>
  <c r="D73" i="1"/>
  <c r="C73" i="1"/>
  <c r="BF72" i="1"/>
  <c r="BE72" i="1"/>
  <c r="BC72" i="1"/>
  <c r="BA72" i="1"/>
  <c r="I72" i="1"/>
  <c r="H72" i="1"/>
  <c r="G72" i="1"/>
  <c r="E72" i="1"/>
  <c r="D72" i="1"/>
  <c r="C72" i="1"/>
  <c r="BF71" i="1"/>
  <c r="BE71" i="1"/>
  <c r="BC71" i="1"/>
  <c r="BA71" i="1"/>
  <c r="I71" i="1"/>
  <c r="H71" i="1"/>
  <c r="G71" i="1"/>
  <c r="E71" i="1"/>
  <c r="D71" i="1"/>
  <c r="C71" i="1"/>
  <c r="BF70" i="1"/>
  <c r="BE70" i="1"/>
  <c r="BC70" i="1"/>
  <c r="BA70" i="1"/>
  <c r="I70" i="1"/>
  <c r="H70" i="1"/>
  <c r="G70" i="1"/>
  <c r="E70" i="1"/>
  <c r="D70" i="1"/>
  <c r="C70" i="1"/>
  <c r="BF69" i="1"/>
  <c r="BE69" i="1"/>
  <c r="BC69" i="1"/>
  <c r="BA69" i="1"/>
  <c r="I69" i="1"/>
  <c r="H69" i="1"/>
  <c r="G69" i="1"/>
  <c r="E69" i="1"/>
  <c r="D69" i="1"/>
  <c r="C69" i="1"/>
  <c r="BF68" i="1"/>
  <c r="BE68" i="1"/>
  <c r="BC68" i="1"/>
  <c r="BA68" i="1"/>
  <c r="I68" i="1"/>
  <c r="H68" i="1"/>
  <c r="G68" i="1"/>
  <c r="E68" i="1"/>
  <c r="D68" i="1"/>
  <c r="C68" i="1"/>
  <c r="BF67" i="1"/>
  <c r="BE67" i="1"/>
  <c r="BC67" i="1"/>
  <c r="BA67" i="1"/>
  <c r="I67" i="1"/>
  <c r="H67" i="1"/>
  <c r="G67" i="1"/>
  <c r="E67" i="1"/>
  <c r="D67" i="1"/>
  <c r="C67" i="1"/>
  <c r="BF66" i="1"/>
  <c r="BE66" i="1"/>
  <c r="BC66" i="1"/>
  <c r="BA66" i="1"/>
  <c r="I66" i="1"/>
  <c r="H66" i="1"/>
  <c r="G66" i="1"/>
  <c r="E66" i="1"/>
  <c r="D66" i="1"/>
  <c r="C66" i="1"/>
  <c r="BF65" i="1"/>
  <c r="BE65" i="1"/>
  <c r="BC65" i="1"/>
  <c r="BA65" i="1"/>
  <c r="I65" i="1"/>
  <c r="H65" i="1"/>
  <c r="G65" i="1"/>
  <c r="E65" i="1"/>
  <c r="D65" i="1"/>
  <c r="C65" i="1"/>
  <c r="BF64" i="1"/>
  <c r="BE64" i="1"/>
  <c r="BC64" i="1"/>
  <c r="BA64" i="1"/>
  <c r="I64" i="1"/>
  <c r="H64" i="1"/>
  <c r="G64" i="1"/>
  <c r="E64" i="1"/>
  <c r="D64" i="1"/>
  <c r="C64" i="1"/>
  <c r="BF63" i="1"/>
  <c r="BE63" i="1"/>
  <c r="BC63" i="1"/>
  <c r="BA63" i="1"/>
  <c r="I63" i="1"/>
  <c r="H63" i="1"/>
  <c r="G63" i="1"/>
  <c r="E63" i="1"/>
  <c r="D63" i="1"/>
  <c r="C63" i="1"/>
  <c r="BF62" i="1"/>
  <c r="BE62" i="1"/>
  <c r="BC62" i="1"/>
  <c r="BA62" i="1"/>
  <c r="I62" i="1"/>
  <c r="H62" i="1"/>
  <c r="G62" i="1"/>
  <c r="E62" i="1"/>
  <c r="D62" i="1"/>
  <c r="C62" i="1"/>
  <c r="BF61" i="1"/>
  <c r="BE61" i="1"/>
  <c r="BC61" i="1"/>
  <c r="BA61" i="1"/>
  <c r="I61" i="1"/>
  <c r="H61" i="1"/>
  <c r="G61" i="1"/>
  <c r="E61" i="1"/>
  <c r="D61" i="1"/>
  <c r="C61" i="1"/>
  <c r="BF60" i="1"/>
  <c r="BE60" i="1"/>
  <c r="BC60" i="1"/>
  <c r="BA60" i="1"/>
  <c r="I60" i="1"/>
  <c r="H60" i="1"/>
  <c r="G60" i="1"/>
  <c r="E60" i="1"/>
  <c r="D60" i="1"/>
  <c r="C60" i="1"/>
  <c r="BF59" i="1"/>
  <c r="BE59" i="1"/>
  <c r="BC59" i="1"/>
  <c r="BA59" i="1"/>
  <c r="I59" i="1"/>
  <c r="H59" i="1"/>
  <c r="G59" i="1"/>
  <c r="E59" i="1"/>
  <c r="D59" i="1"/>
  <c r="C59" i="1"/>
  <c r="BF58" i="1"/>
  <c r="BE58" i="1"/>
  <c r="BC58" i="1"/>
  <c r="BA58" i="1"/>
  <c r="I58" i="1"/>
  <c r="H58" i="1"/>
  <c r="G58" i="1"/>
  <c r="E58" i="1"/>
  <c r="D58" i="1"/>
  <c r="C58" i="1"/>
  <c r="BF57" i="1"/>
  <c r="BE57" i="1"/>
  <c r="BC57" i="1"/>
  <c r="BA57" i="1"/>
  <c r="I57" i="1"/>
  <c r="H57" i="1"/>
  <c r="G57" i="1"/>
  <c r="E57" i="1"/>
  <c r="D57" i="1"/>
  <c r="C57" i="1"/>
  <c r="BF56" i="1"/>
  <c r="BE56" i="1"/>
  <c r="BC56" i="1"/>
  <c r="BA56" i="1"/>
  <c r="I56" i="1"/>
  <c r="H56" i="1"/>
  <c r="G56" i="1"/>
  <c r="E56" i="1"/>
  <c r="D56" i="1"/>
  <c r="C56" i="1"/>
  <c r="BF55" i="1"/>
  <c r="BE55" i="1"/>
  <c r="BC55" i="1"/>
  <c r="BA55" i="1"/>
  <c r="I55" i="1"/>
  <c r="H55" i="1"/>
  <c r="G55" i="1"/>
  <c r="E55" i="1"/>
  <c r="D55" i="1"/>
  <c r="C55" i="1"/>
  <c r="BF54" i="1"/>
  <c r="BE54" i="1"/>
  <c r="BC54" i="1"/>
  <c r="BA54" i="1"/>
  <c r="I54" i="1"/>
  <c r="H54" i="1"/>
  <c r="G54" i="1"/>
  <c r="E54" i="1"/>
  <c r="D54" i="1"/>
  <c r="C54" i="1"/>
  <c r="BF53" i="1"/>
  <c r="BE53" i="1"/>
  <c r="BC53" i="1"/>
  <c r="BA53" i="1"/>
  <c r="I53" i="1"/>
  <c r="H53" i="1"/>
  <c r="G53" i="1"/>
  <c r="E53" i="1"/>
  <c r="D53" i="1"/>
  <c r="C53" i="1"/>
  <c r="BF52" i="1"/>
  <c r="BE52" i="1"/>
  <c r="BC52" i="1"/>
  <c r="BA52" i="1"/>
  <c r="I52" i="1"/>
  <c r="H52" i="1"/>
  <c r="G52" i="1"/>
  <c r="E52" i="1"/>
  <c r="D52" i="1"/>
  <c r="C52" i="1"/>
  <c r="BE51" i="1"/>
  <c r="BC51" i="1"/>
  <c r="BA51" i="1"/>
  <c r="I51" i="1"/>
  <c r="H51" i="1"/>
  <c r="G51" i="1"/>
  <c r="E51" i="1"/>
  <c r="D51" i="1"/>
  <c r="C51" i="1"/>
  <c r="BF50" i="1"/>
  <c r="BE50" i="1"/>
  <c r="BC50" i="1"/>
  <c r="BA50" i="1"/>
  <c r="I50" i="1"/>
  <c r="H50" i="1"/>
  <c r="G50" i="1"/>
  <c r="E50" i="1"/>
  <c r="D50" i="1"/>
  <c r="C50" i="1"/>
  <c r="BE49" i="1"/>
  <c r="BC49" i="1"/>
  <c r="BA49" i="1"/>
  <c r="I49" i="1"/>
  <c r="H49" i="1"/>
  <c r="G49" i="1"/>
  <c r="E49" i="1"/>
  <c r="D49" i="1"/>
  <c r="C49" i="1"/>
  <c r="BE48" i="1"/>
  <c r="BC48" i="1"/>
  <c r="BA48" i="1"/>
  <c r="I48" i="1"/>
  <c r="H48" i="1"/>
  <c r="G48" i="1"/>
  <c r="E48" i="1"/>
  <c r="D48" i="1"/>
  <c r="C48" i="1"/>
  <c r="BE47" i="1"/>
  <c r="BC47" i="1"/>
  <c r="BA47" i="1"/>
  <c r="I47" i="1"/>
  <c r="H47" i="1"/>
  <c r="G47" i="1"/>
  <c r="E47" i="1"/>
  <c r="D47" i="1"/>
  <c r="C47" i="1"/>
  <c r="BF46" i="1"/>
  <c r="BE46" i="1"/>
  <c r="BC46" i="1"/>
  <c r="BA46" i="1"/>
  <c r="I46" i="1"/>
  <c r="H46" i="1"/>
  <c r="G46" i="1"/>
  <c r="E46" i="1"/>
  <c r="D46" i="1"/>
  <c r="C46" i="1"/>
  <c r="BE45" i="1"/>
  <c r="BC45" i="1"/>
  <c r="BA45" i="1"/>
  <c r="I45" i="1"/>
  <c r="H45" i="1"/>
  <c r="G45" i="1"/>
  <c r="E45" i="1"/>
  <c r="D45" i="1"/>
  <c r="C45" i="1"/>
  <c r="BF44" i="1"/>
  <c r="BE44" i="1"/>
  <c r="BC44" i="1"/>
  <c r="BA44" i="1"/>
  <c r="I44" i="1"/>
  <c r="H44" i="1"/>
  <c r="G44" i="1"/>
  <c r="E44" i="1"/>
  <c r="D44" i="1"/>
  <c r="C44" i="1"/>
  <c r="BE43" i="1"/>
  <c r="BC43" i="1"/>
  <c r="BA43" i="1"/>
  <c r="I43" i="1"/>
  <c r="H43" i="1"/>
  <c r="G43" i="1"/>
  <c r="E43" i="1"/>
  <c r="D43" i="1"/>
  <c r="C43" i="1"/>
  <c r="BF42" i="1"/>
  <c r="BE42" i="1"/>
  <c r="BC42" i="1"/>
  <c r="BA42" i="1"/>
  <c r="I42" i="1"/>
  <c r="H42" i="1"/>
  <c r="G42" i="1"/>
  <c r="E42" i="1"/>
  <c r="D42" i="1"/>
  <c r="C42" i="1"/>
  <c r="BF41" i="1"/>
  <c r="BE41" i="1"/>
  <c r="BC41" i="1"/>
  <c r="BA41" i="1"/>
  <c r="I41" i="1"/>
  <c r="H41" i="1"/>
  <c r="G41" i="1"/>
  <c r="E41" i="1"/>
  <c r="D41" i="1"/>
  <c r="C41" i="1"/>
  <c r="BF40" i="1"/>
  <c r="BE40" i="1"/>
  <c r="BC40" i="1"/>
  <c r="BA40" i="1"/>
  <c r="I40" i="1"/>
  <c r="H40" i="1"/>
  <c r="G40" i="1"/>
  <c r="E40" i="1"/>
  <c r="D40" i="1"/>
  <c r="C40" i="1"/>
  <c r="BF39" i="1"/>
  <c r="BE39" i="1"/>
  <c r="BC39" i="1"/>
  <c r="BA39" i="1"/>
  <c r="I39" i="1"/>
  <c r="H39" i="1"/>
  <c r="G39" i="1"/>
  <c r="E39" i="1"/>
  <c r="D39" i="1"/>
  <c r="C39" i="1"/>
  <c r="BF38" i="1"/>
  <c r="BE38" i="1"/>
  <c r="BC38" i="1"/>
  <c r="BA38" i="1"/>
  <c r="I38" i="1"/>
  <c r="H38" i="1"/>
  <c r="G38" i="1"/>
  <c r="E38" i="1"/>
  <c r="D38" i="1"/>
  <c r="C38" i="1"/>
  <c r="BF37" i="1"/>
  <c r="BE37" i="1"/>
  <c r="BC37" i="1"/>
  <c r="BA37" i="1"/>
  <c r="I37" i="1"/>
  <c r="H37" i="1"/>
  <c r="G37" i="1"/>
  <c r="E37" i="1"/>
  <c r="D37" i="1"/>
  <c r="C37" i="1"/>
  <c r="BF36" i="1"/>
  <c r="BE36" i="1"/>
  <c r="BC36" i="1"/>
  <c r="BA36" i="1"/>
  <c r="I36" i="1"/>
  <c r="H36" i="1"/>
  <c r="G36" i="1"/>
  <c r="E36" i="1"/>
  <c r="D36" i="1"/>
  <c r="C36" i="1"/>
  <c r="BF35" i="1"/>
  <c r="BE35" i="1"/>
  <c r="BC35" i="1"/>
  <c r="BA35" i="1"/>
  <c r="I35" i="1"/>
  <c r="H35" i="1"/>
  <c r="G35" i="1"/>
  <c r="E35" i="1"/>
  <c r="D35" i="1"/>
  <c r="C35" i="1"/>
  <c r="BE34" i="1"/>
  <c r="BC34" i="1"/>
  <c r="BA34" i="1"/>
  <c r="I34" i="1"/>
  <c r="H34" i="1"/>
  <c r="G34" i="1"/>
  <c r="E34" i="1"/>
  <c r="D34" i="1"/>
  <c r="C34" i="1"/>
  <c r="BE33" i="1"/>
  <c r="BC33" i="1"/>
  <c r="BA33" i="1"/>
  <c r="I33" i="1"/>
  <c r="H33" i="1"/>
  <c r="G33" i="1"/>
  <c r="E33" i="1"/>
  <c r="D33" i="1"/>
  <c r="C33" i="1"/>
  <c r="BE32" i="1"/>
  <c r="BC32" i="1"/>
  <c r="BA32" i="1"/>
  <c r="I32" i="1"/>
  <c r="H32" i="1"/>
  <c r="G32" i="1"/>
  <c r="E32" i="1"/>
  <c r="D32" i="1"/>
  <c r="C32" i="1"/>
  <c r="BE31" i="1"/>
  <c r="BC31" i="1"/>
  <c r="BA31" i="1"/>
  <c r="I31" i="1"/>
  <c r="H31" i="1"/>
  <c r="G31" i="1"/>
  <c r="E31" i="1"/>
  <c r="D31" i="1"/>
  <c r="C31" i="1"/>
  <c r="BE30" i="1"/>
  <c r="BC30" i="1"/>
  <c r="BA30" i="1"/>
  <c r="I30" i="1"/>
  <c r="H30" i="1"/>
  <c r="G30" i="1"/>
  <c r="E30" i="1"/>
  <c r="D30" i="1"/>
  <c r="C30" i="1"/>
  <c r="BE29" i="1"/>
  <c r="BC29" i="1"/>
  <c r="BA29" i="1"/>
  <c r="I29" i="1"/>
  <c r="H29" i="1"/>
  <c r="G29" i="1"/>
  <c r="E29" i="1"/>
  <c r="D29" i="1"/>
  <c r="C29" i="1"/>
  <c r="BE28" i="1"/>
  <c r="BC28" i="1"/>
  <c r="BA28" i="1"/>
  <c r="I28" i="1"/>
  <c r="H28" i="1"/>
  <c r="G28" i="1"/>
  <c r="E28" i="1"/>
  <c r="D28" i="1"/>
  <c r="C28" i="1"/>
  <c r="BE27" i="1"/>
  <c r="BC27" i="1"/>
  <c r="BA27" i="1"/>
  <c r="I27" i="1"/>
  <c r="H27" i="1"/>
  <c r="G27" i="1"/>
  <c r="E27" i="1"/>
  <c r="D27" i="1"/>
  <c r="C27" i="1"/>
  <c r="BE26" i="1"/>
  <c r="BC26" i="1"/>
  <c r="BA26" i="1"/>
  <c r="I26" i="1"/>
  <c r="H26" i="1"/>
  <c r="G26" i="1"/>
  <c r="E26" i="1"/>
  <c r="D26" i="1"/>
  <c r="C26" i="1"/>
  <c r="BE25" i="1"/>
  <c r="BC25" i="1"/>
  <c r="BA25" i="1"/>
  <c r="I25" i="1"/>
  <c r="H25" i="1"/>
  <c r="G25" i="1"/>
  <c r="E25" i="1"/>
  <c r="D25" i="1"/>
  <c r="C25" i="1"/>
  <c r="BE24" i="1"/>
  <c r="BC24" i="1"/>
  <c r="BA24" i="1"/>
  <c r="I24" i="1"/>
  <c r="H24" i="1"/>
  <c r="G24" i="1"/>
  <c r="E24" i="1"/>
  <c r="D24" i="1"/>
  <c r="C24" i="1"/>
  <c r="BE23" i="1"/>
  <c r="BC23" i="1"/>
  <c r="BA23" i="1"/>
  <c r="I23" i="1"/>
  <c r="H23" i="1"/>
  <c r="G23" i="1"/>
  <c r="E23" i="1"/>
  <c r="D23" i="1"/>
  <c r="C23" i="1"/>
  <c r="BE22" i="1"/>
  <c r="BC22" i="1"/>
  <c r="BA22" i="1"/>
  <c r="I22" i="1"/>
  <c r="H22" i="1"/>
  <c r="G22" i="1"/>
  <c r="E22" i="1"/>
  <c r="D22" i="1"/>
  <c r="C22" i="1"/>
  <c r="BE21" i="1"/>
  <c r="BC21" i="1"/>
  <c r="BA21" i="1"/>
  <c r="I21" i="1"/>
  <c r="H21" i="1"/>
  <c r="G21" i="1"/>
  <c r="E21" i="1"/>
  <c r="D21" i="1"/>
  <c r="C21" i="1"/>
  <c r="BE20" i="1"/>
  <c r="BC20" i="1"/>
  <c r="BA20" i="1"/>
  <c r="I20" i="1"/>
  <c r="H20" i="1"/>
  <c r="G20" i="1"/>
  <c r="E20" i="1"/>
  <c r="D20" i="1"/>
  <c r="C20" i="1"/>
  <c r="BE19" i="1"/>
  <c r="BC19" i="1"/>
  <c r="BA19" i="1"/>
  <c r="I19" i="1"/>
  <c r="H19" i="1"/>
  <c r="G19" i="1"/>
  <c r="E19" i="1"/>
  <c r="D19" i="1"/>
  <c r="C19" i="1"/>
  <c r="BE18" i="1"/>
  <c r="BC18" i="1"/>
  <c r="BA18" i="1"/>
  <c r="I18" i="1"/>
  <c r="H18" i="1"/>
  <c r="G18" i="1"/>
  <c r="E18" i="1"/>
  <c r="D18" i="1"/>
  <c r="C18" i="1"/>
  <c r="BE17" i="1"/>
  <c r="BC17" i="1"/>
  <c r="BA17" i="1"/>
  <c r="I17" i="1"/>
  <c r="H17" i="1"/>
  <c r="G17" i="1"/>
  <c r="E17" i="1"/>
  <c r="D17" i="1"/>
  <c r="C17" i="1"/>
  <c r="BE16" i="1"/>
  <c r="BC16" i="1"/>
  <c r="BA16" i="1"/>
  <c r="I16" i="1"/>
  <c r="H16" i="1"/>
  <c r="G16" i="1"/>
  <c r="E16" i="1"/>
  <c r="D16" i="1"/>
  <c r="C16" i="1"/>
  <c r="BE15" i="1"/>
  <c r="BC15" i="1"/>
  <c r="BA15" i="1"/>
  <c r="I15" i="1"/>
  <c r="H15" i="1"/>
  <c r="G15" i="1"/>
  <c r="E15" i="1"/>
  <c r="D15" i="1"/>
  <c r="C15" i="1"/>
  <c r="BE14" i="1"/>
  <c r="BC14" i="1"/>
  <c r="BA14" i="1"/>
  <c r="I14" i="1"/>
  <c r="H14" i="1"/>
  <c r="G14" i="1"/>
  <c r="E14" i="1"/>
  <c r="D14" i="1"/>
  <c r="C14" i="1"/>
  <c r="BE13" i="1"/>
  <c r="BC13" i="1"/>
  <c r="BA13" i="1"/>
  <c r="I13" i="1"/>
  <c r="H13" i="1"/>
  <c r="G13" i="1"/>
  <c r="E13" i="1"/>
  <c r="D13" i="1"/>
  <c r="C13" i="1"/>
  <c r="BE12" i="1"/>
  <c r="BC12" i="1"/>
  <c r="BA12" i="1"/>
  <c r="I12" i="1"/>
  <c r="H12" i="1"/>
  <c r="G12" i="1"/>
  <c r="E12" i="1"/>
  <c r="D12" i="1"/>
  <c r="C12" i="1"/>
  <c r="BE11" i="1"/>
  <c r="BC11" i="1"/>
  <c r="BA11" i="1"/>
  <c r="I11" i="1"/>
  <c r="H11" i="1"/>
  <c r="G11" i="1"/>
  <c r="E11" i="1"/>
  <c r="D11" i="1"/>
  <c r="C11" i="1"/>
  <c r="BE10" i="1"/>
  <c r="BC10" i="1"/>
  <c r="BA10" i="1"/>
  <c r="I10" i="1"/>
  <c r="H10" i="1"/>
  <c r="G10" i="1"/>
  <c r="E10" i="1"/>
  <c r="D10" i="1"/>
  <c r="C10" i="1"/>
  <c r="BE9" i="1"/>
  <c r="BC9" i="1"/>
  <c r="BA9" i="1"/>
  <c r="I9" i="1"/>
  <c r="H9" i="1"/>
  <c r="G9" i="1"/>
  <c r="E9" i="1"/>
  <c r="D9" i="1"/>
  <c r="C9" i="1"/>
  <c r="BE8" i="1"/>
  <c r="BC8" i="1"/>
  <c r="BA8" i="1"/>
  <c r="I8" i="1"/>
  <c r="H8" i="1"/>
  <c r="G8" i="1"/>
  <c r="E8" i="1"/>
  <c r="D8" i="1"/>
  <c r="C8" i="1"/>
  <c r="BE7" i="1"/>
  <c r="BC7" i="1"/>
  <c r="BA7" i="1"/>
  <c r="I7" i="1"/>
  <c r="H7" i="1"/>
  <c r="G7" i="1"/>
  <c r="E7" i="1"/>
  <c r="D7" i="1"/>
  <c r="C7" i="1"/>
  <c r="BE6" i="1"/>
  <c r="BC6" i="1"/>
  <c r="BA6" i="1"/>
  <c r="I6" i="1"/>
  <c r="H6" i="1"/>
  <c r="G6" i="1"/>
  <c r="E6" i="1"/>
  <c r="D6" i="1"/>
  <c r="C6" i="1"/>
  <c r="BE5" i="1"/>
  <c r="BC5" i="1"/>
  <c r="BA5" i="1"/>
  <c r="I5" i="1"/>
  <c r="H5" i="1"/>
  <c r="G5" i="1"/>
  <c r="E5" i="1"/>
  <c r="D5" i="1"/>
  <c r="C5" i="1"/>
  <c r="BE4" i="1"/>
  <c r="BC4" i="1"/>
  <c r="BA4" i="1"/>
  <c r="I4" i="1"/>
  <c r="H4" i="1"/>
  <c r="G4" i="1"/>
  <c r="E4" i="1"/>
  <c r="D4" i="1"/>
  <c r="C4" i="1"/>
  <c r="BE3" i="1"/>
  <c r="BC3" i="1"/>
  <c r="BA3" i="1"/>
  <c r="I3" i="1"/>
  <c r="H3" i="1"/>
  <c r="G3" i="1"/>
  <c r="E3" i="1"/>
  <c r="D3" i="1"/>
  <c r="C3" i="1"/>
  <c r="BE2" i="1"/>
  <c r="BC2" i="1"/>
  <c r="BA2" i="1"/>
  <c r="I2" i="1"/>
  <c r="H2" i="1"/>
  <c r="G2" i="1"/>
  <c r="E2" i="1"/>
  <c r="D2" i="1"/>
  <c r="C2" i="1"/>
</calcChain>
</file>

<file path=xl/sharedStrings.xml><?xml version="1.0" encoding="utf-8"?>
<sst xmlns="http://schemas.openxmlformats.org/spreadsheetml/2006/main" count="58" uniqueCount="58">
  <si>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</si>
  <si>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</si>
  <si>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</si>
  <si>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</si>
  <si>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</si>
  <si>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</si>
  <si>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</si>
  <si>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</si>
  <si>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</si>
  <si>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</si>
  <si>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</si>
  <si>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</si>
  <si>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</si>
  <si>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</si>
  <si>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</si>
  <si>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</si>
  <si>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</si>
  <si>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</si>
  <si>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</si>
  <si>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</si>
  <si>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</si>
  <si>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</si>
  <si>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</si>
  <si>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</si>
  <si>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</si>
  <si>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</si>
  <si>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</si>
  <si>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</si>
  <si>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</si>
  <si>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</si>
  <si>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</si>
  <si>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</si>
  <si>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</si>
  <si>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</si>
  <si>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</si>
  <si>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</si>
  <si>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</si>
  <si>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</si>
  <si>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</si>
  <si>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</si>
  <si>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</si>
  <si>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</si>
  <si>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</si>
  <si>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</si>
  <si>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</si>
  <si>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</si>
  <si>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</si>
  <si>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</si>
  <si>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</si>
  <si>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iOS 정산대상액</t>
  </si>
  <si>
    <t>iOS 수수료</t>
  </si>
  <si>
    <t>iOS 취소액</t>
  </si>
  <si>
    <t>Android 정산대상액</t>
  </si>
  <si>
    <t>Android 수수료</t>
  </si>
  <si>
    <t>Android 취소액</t>
  </si>
  <si>
    <t>OneStore 정산대상액</t>
  </si>
  <si>
    <t>OneStore 수수료</t>
  </si>
  <si>
    <t>OneStore 취소액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</si>
</sst>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3" fillId="0" borderId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41" fontId="24" fillId="33" borderId="0" xfId="1" applyFont="1" applyFill="1">
      <alignment vertical="center"/>
    </xf>
    <xf numFmtId="41" fontId="19" fillId="33" borderId="0" xfId="1" applyFont="1" applyFill="1">
      <alignment vertical="center"/>
    </xf>
    <xf numFmtId="41" fontId="20" fillId="0" borderId="0" xfId="1" applyFont="1" applyAlignment="1">
      <alignment horizontal="center" vertical="center"/>
    </xf>
    <xf numFmtId="41" fontId="21" fillId="0" borderId="0" xfId="1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61"/>
  <sheetViews>
    <sheetView tabSelected="1" topLeftCell="AD726" zoomScale="70" zoomScaleNormal="70" workbookViewId="0">
      <selection activeCell="AY761" sqref="AY761"/>
    </sheetView>
  </sheetViews>
  <sheetFormatPr defaultRowHeight="16.5" x14ac:dyDescent="0.3"/>
  <cols>
    <col min="8" max="8" width="10.375" bestFit="1" customWidth="1"/>
    <col min="9" max="9" width="31.125" bestFit="1" customWidth="1"/>
    <col min="33" max="33" width="9.5" style="3" bestFit="1" customWidth="1"/>
    <col min="34" max="36" width="8.875" style="3" bestFit="1" customWidth="1"/>
    <col min="37" max="37" width="9.5" style="3" bestFit="1" customWidth="1"/>
    <col min="38" max="41" width="8.875" style="3" bestFit="1" customWidth="1"/>
    <col min="42" max="42" width="12.375" style="3" bestFit="1" customWidth="1"/>
    <col min="51" max="51" width="12.3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s="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</row>
    <row r="2" spans="1:58" x14ac:dyDescent="0.3">
      <c r="A2">
        <v>4421003051</v>
      </c>
      <c r="B2">
        <v>4421003072</v>
      </c>
      <c r="C2" t="str">
        <f>T("막상막하 9화")</f>
        <v>막상막하 9화</v>
      </c>
      <c r="D2" t="str">
        <f>T("9")</f>
        <v>9</v>
      </c>
      <c r="E2" t="str">
        <f>T("마뇽")</f>
        <v>마뇽</v>
      </c>
      <c r="G2" t="str">
        <f>T("쭈웅")</f>
        <v>쭈웅</v>
      </c>
      <c r="H2" t="str">
        <f t="shared" ref="H2:H65" si="0">T("스토리위즈")</f>
        <v>스토리위즈</v>
      </c>
      <c r="I2" t="str">
        <f>T("막상막하")</f>
        <v>막상막하</v>
      </c>
      <c r="J2">
        <v>500</v>
      </c>
      <c r="K2">
        <v>242000</v>
      </c>
      <c r="L2">
        <v>484</v>
      </c>
      <c r="M2">
        <v>0</v>
      </c>
      <c r="N2">
        <v>183900</v>
      </c>
      <c r="O2">
        <v>613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-500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425900</v>
      </c>
      <c r="AH2">
        <v>1097</v>
      </c>
      <c r="AI2">
        <v>-500</v>
      </c>
      <c r="AJ2">
        <v>1</v>
      </c>
      <c r="AK2">
        <v>393680</v>
      </c>
      <c r="AL2">
        <v>-500</v>
      </c>
      <c r="AM2">
        <v>38664</v>
      </c>
      <c r="AN2">
        <v>-7977.6</v>
      </c>
      <c r="AO2">
        <v>0</v>
      </c>
      <c r="AP2">
        <v>6240</v>
      </c>
      <c r="AQ2">
        <v>-1872</v>
      </c>
      <c r="AR2">
        <v>0</v>
      </c>
      <c r="AS2">
        <v>32424</v>
      </c>
      <c r="AT2">
        <v>-6105.6</v>
      </c>
      <c r="AU2">
        <v>0</v>
      </c>
      <c r="AW2">
        <v>0</v>
      </c>
      <c r="AX2">
        <v>0</v>
      </c>
      <c r="AY2">
        <v>296706.48</v>
      </c>
      <c r="BA2" t="str">
        <f t="shared" ref="BA2:BA65" si="1">T("0000000000000")</f>
        <v>0000000000000</v>
      </c>
      <c r="BC2" t="str">
        <f>T("9791137607293")</f>
        <v>9791137607293</v>
      </c>
      <c r="BE2" t="str">
        <f t="shared" ref="BE2:BE34" si="2">T("BL 웹툰 &gt; 웹툰")</f>
        <v>BL 웹툰 &gt; 웹툰</v>
      </c>
    </row>
    <row r="3" spans="1:58" x14ac:dyDescent="0.3">
      <c r="A3">
        <v>4421003051</v>
      </c>
      <c r="B3">
        <v>4421003073</v>
      </c>
      <c r="C3" t="str">
        <f>T("막상막하 10화")</f>
        <v>막상막하 10화</v>
      </c>
      <c r="D3" t="str">
        <f>T("10")</f>
        <v>10</v>
      </c>
      <c r="E3" t="str">
        <f>T("마뇽")</f>
        <v>마뇽</v>
      </c>
      <c r="G3" t="str">
        <f>T("쭈웅")</f>
        <v>쭈웅</v>
      </c>
      <c r="H3" t="str">
        <f t="shared" si="0"/>
        <v>스토리위즈</v>
      </c>
      <c r="I3" t="str">
        <f>T("막상막하")</f>
        <v>막상막하</v>
      </c>
      <c r="J3">
        <v>500</v>
      </c>
      <c r="K3">
        <v>202500</v>
      </c>
      <c r="L3">
        <v>405</v>
      </c>
      <c r="M3">
        <v>0</v>
      </c>
      <c r="N3">
        <v>153000</v>
      </c>
      <c r="O3">
        <v>510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-500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355500</v>
      </c>
      <c r="AH3">
        <v>915</v>
      </c>
      <c r="AI3">
        <v>-500</v>
      </c>
      <c r="AJ3">
        <v>1</v>
      </c>
      <c r="AK3">
        <v>324150</v>
      </c>
      <c r="AL3">
        <v>-500</v>
      </c>
      <c r="AM3">
        <v>37620</v>
      </c>
      <c r="AN3">
        <v>-5766</v>
      </c>
      <c r="AO3">
        <v>0</v>
      </c>
      <c r="AP3">
        <v>7380</v>
      </c>
      <c r="AQ3">
        <v>-2214</v>
      </c>
      <c r="AR3">
        <v>0</v>
      </c>
      <c r="AS3">
        <v>30240</v>
      </c>
      <c r="AT3">
        <v>-3552</v>
      </c>
      <c r="AU3">
        <v>0</v>
      </c>
      <c r="AW3">
        <v>0</v>
      </c>
      <c r="AX3">
        <v>0</v>
      </c>
      <c r="AY3">
        <v>248852.8</v>
      </c>
      <c r="BA3" t="str">
        <f t="shared" si="1"/>
        <v>0000000000000</v>
      </c>
      <c r="BC3" t="str">
        <f>T("9791137607293")</f>
        <v>9791137607293</v>
      </c>
      <c r="BE3" t="str">
        <f t="shared" si="2"/>
        <v>BL 웹툰 &gt; 웹툰</v>
      </c>
    </row>
    <row r="4" spans="1:58" x14ac:dyDescent="0.3">
      <c r="A4">
        <v>4421002825</v>
      </c>
      <c r="B4">
        <v>4421003112</v>
      </c>
      <c r="C4" t="str">
        <f>T("테두리는 주시하지 않는다 24화")</f>
        <v>테두리는 주시하지 않는다 24화</v>
      </c>
      <c r="D4" t="str">
        <f>T("24")</f>
        <v>24</v>
      </c>
      <c r="E4" t="str">
        <f>T("토찌, 키로즈")</f>
        <v>토찌, 키로즈</v>
      </c>
      <c r="G4" t="str">
        <f>T("마린")</f>
        <v>마린</v>
      </c>
      <c r="H4" t="str">
        <f t="shared" si="0"/>
        <v>스토리위즈</v>
      </c>
      <c r="I4" t="str">
        <f>T("테두리는 주시하지 않는다")</f>
        <v>테두리는 주시하지 않는다</v>
      </c>
      <c r="J4">
        <v>500</v>
      </c>
      <c r="K4">
        <v>176500</v>
      </c>
      <c r="L4">
        <v>353</v>
      </c>
      <c r="M4">
        <v>0</v>
      </c>
      <c r="N4">
        <v>140400</v>
      </c>
      <c r="O4">
        <v>468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-300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316900</v>
      </c>
      <c r="AH4">
        <v>821</v>
      </c>
      <c r="AI4">
        <v>-300</v>
      </c>
      <c r="AJ4">
        <v>1</v>
      </c>
      <c r="AK4">
        <v>293921</v>
      </c>
      <c r="AL4">
        <v>-300</v>
      </c>
      <c r="AM4">
        <v>27575.8</v>
      </c>
      <c r="AN4">
        <v>-5320.74</v>
      </c>
      <c r="AO4">
        <v>0</v>
      </c>
      <c r="AP4">
        <v>6349</v>
      </c>
      <c r="AQ4">
        <v>-1904.7</v>
      </c>
      <c r="AR4">
        <v>0</v>
      </c>
      <c r="AS4">
        <v>21226.799999999999</v>
      </c>
      <c r="AT4">
        <v>-3416.04</v>
      </c>
      <c r="AU4">
        <v>0</v>
      </c>
      <c r="AW4">
        <v>0</v>
      </c>
      <c r="AX4">
        <v>0</v>
      </c>
      <c r="AY4">
        <v>221113.24</v>
      </c>
      <c r="BA4" t="str">
        <f t="shared" si="1"/>
        <v>0000000000000</v>
      </c>
      <c r="BC4" t="str">
        <f>T("9791137604674")</f>
        <v>9791137604674</v>
      </c>
      <c r="BE4" t="str">
        <f t="shared" si="2"/>
        <v>BL 웹툰 &gt; 웹툰</v>
      </c>
    </row>
    <row r="5" spans="1:58" x14ac:dyDescent="0.3">
      <c r="A5">
        <v>4421002825</v>
      </c>
      <c r="B5">
        <v>4421003115</v>
      </c>
      <c r="C5" t="str">
        <f>T("테두리는 주시하지 않는다 25화")</f>
        <v>테두리는 주시하지 않는다 25화</v>
      </c>
      <c r="D5" t="str">
        <f>T("25")</f>
        <v>25</v>
      </c>
      <c r="E5" t="str">
        <f>T("토찌, 키로즈")</f>
        <v>토찌, 키로즈</v>
      </c>
      <c r="G5" t="str">
        <f>T("마린")</f>
        <v>마린</v>
      </c>
      <c r="H5" t="str">
        <f t="shared" si="0"/>
        <v>스토리위즈</v>
      </c>
      <c r="I5" t="str">
        <f>T("테두리는 주시하지 않는다")</f>
        <v>테두리는 주시하지 않는다</v>
      </c>
      <c r="J5">
        <v>500</v>
      </c>
      <c r="K5">
        <v>163500</v>
      </c>
      <c r="L5">
        <v>327</v>
      </c>
      <c r="M5">
        <v>0</v>
      </c>
      <c r="N5">
        <v>126900</v>
      </c>
      <c r="O5">
        <v>423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290400</v>
      </c>
      <c r="AH5">
        <v>750</v>
      </c>
      <c r="AI5">
        <v>0</v>
      </c>
      <c r="AJ5">
        <v>0</v>
      </c>
      <c r="AK5">
        <v>267570</v>
      </c>
      <c r="AL5">
        <v>0</v>
      </c>
      <c r="AM5">
        <v>27397</v>
      </c>
      <c r="AN5">
        <v>-4563.8999999999996</v>
      </c>
      <c r="AO5">
        <v>0</v>
      </c>
      <c r="AP5">
        <v>5641</v>
      </c>
      <c r="AQ5">
        <v>-1692.3</v>
      </c>
      <c r="AR5">
        <v>0</v>
      </c>
      <c r="AS5">
        <v>21756</v>
      </c>
      <c r="AT5">
        <v>-2871.6</v>
      </c>
      <c r="AU5">
        <v>0</v>
      </c>
      <c r="AW5">
        <v>0</v>
      </c>
      <c r="AX5">
        <v>0</v>
      </c>
      <c r="AY5">
        <v>203282.17</v>
      </c>
      <c r="BA5" t="str">
        <f t="shared" si="1"/>
        <v>0000000000000</v>
      </c>
      <c r="BC5" t="str">
        <f>T("9791137604674")</f>
        <v>9791137604674</v>
      </c>
      <c r="BE5" t="str">
        <f t="shared" si="2"/>
        <v>BL 웹툰 &gt; 웹툰</v>
      </c>
    </row>
    <row r="6" spans="1:58" x14ac:dyDescent="0.3">
      <c r="A6">
        <v>4421003051</v>
      </c>
      <c r="B6">
        <v>4421003093</v>
      </c>
      <c r="C6" t="str">
        <f>T("막상막하 11화")</f>
        <v>막상막하 11화</v>
      </c>
      <c r="D6" t="str">
        <f>T("11")</f>
        <v>11</v>
      </c>
      <c r="E6" t="str">
        <f>T("마뇽")</f>
        <v>마뇽</v>
      </c>
      <c r="G6" t="str">
        <f>T("쭈웅")</f>
        <v>쭈웅</v>
      </c>
      <c r="H6" t="str">
        <f t="shared" si="0"/>
        <v>스토리위즈</v>
      </c>
      <c r="I6" t="str">
        <f>T("막상막하")</f>
        <v>막상막하</v>
      </c>
      <c r="J6">
        <v>500</v>
      </c>
      <c r="K6">
        <v>151000</v>
      </c>
      <c r="L6">
        <v>302</v>
      </c>
      <c r="M6">
        <v>0</v>
      </c>
      <c r="N6">
        <v>114600</v>
      </c>
      <c r="O6">
        <v>382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265600</v>
      </c>
      <c r="AH6">
        <v>684</v>
      </c>
      <c r="AI6">
        <v>0</v>
      </c>
      <c r="AJ6">
        <v>0</v>
      </c>
      <c r="AK6">
        <v>245138</v>
      </c>
      <c r="AL6">
        <v>0</v>
      </c>
      <c r="AM6">
        <v>24554.400000000001</v>
      </c>
      <c r="AN6">
        <v>-3307.44</v>
      </c>
      <c r="AO6">
        <v>0</v>
      </c>
      <c r="AP6">
        <v>3180</v>
      </c>
      <c r="AQ6">
        <v>-954</v>
      </c>
      <c r="AR6">
        <v>0</v>
      </c>
      <c r="AS6">
        <v>21374.400000000001</v>
      </c>
      <c r="AT6">
        <v>-2353.44</v>
      </c>
      <c r="AU6">
        <v>0</v>
      </c>
      <c r="AW6">
        <v>0</v>
      </c>
      <c r="AX6">
        <v>0</v>
      </c>
      <c r="AY6">
        <v>186469.47</v>
      </c>
      <c r="BA6" t="str">
        <f t="shared" si="1"/>
        <v>0000000000000</v>
      </c>
      <c r="BC6" t="str">
        <f>T("9791137607293")</f>
        <v>9791137607293</v>
      </c>
      <c r="BE6" t="str">
        <f t="shared" si="2"/>
        <v>BL 웹툰 &gt; 웹툰</v>
      </c>
    </row>
    <row r="7" spans="1:58" x14ac:dyDescent="0.3">
      <c r="A7">
        <v>4421002825</v>
      </c>
      <c r="B7">
        <v>4421003130</v>
      </c>
      <c r="C7" t="str">
        <f>T("테두리는 주시하지 않는다 26화")</f>
        <v>테두리는 주시하지 않는다 26화</v>
      </c>
      <c r="D7" t="str">
        <f>T("26")</f>
        <v>26</v>
      </c>
      <c r="E7" t="str">
        <f>T("토찌, 키로즈")</f>
        <v>토찌, 키로즈</v>
      </c>
      <c r="G7" t="str">
        <f>T("마린")</f>
        <v>마린</v>
      </c>
      <c r="H7" t="str">
        <f t="shared" si="0"/>
        <v>스토리위즈</v>
      </c>
      <c r="I7" t="str">
        <f>T("테두리는 주시하지 않는다")</f>
        <v>테두리는 주시하지 않는다</v>
      </c>
      <c r="J7">
        <v>500</v>
      </c>
      <c r="K7">
        <v>88500</v>
      </c>
      <c r="L7">
        <v>177</v>
      </c>
      <c r="M7">
        <v>0</v>
      </c>
      <c r="N7">
        <v>60600</v>
      </c>
      <c r="O7">
        <v>202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149100</v>
      </c>
      <c r="AH7">
        <v>379</v>
      </c>
      <c r="AI7">
        <v>0</v>
      </c>
      <c r="AJ7">
        <v>0</v>
      </c>
      <c r="AK7">
        <v>136900</v>
      </c>
      <c r="AL7">
        <v>0</v>
      </c>
      <c r="AM7">
        <v>14640</v>
      </c>
      <c r="AN7">
        <v>-2400</v>
      </c>
      <c r="AO7">
        <v>0</v>
      </c>
      <c r="AP7">
        <v>3480</v>
      </c>
      <c r="AQ7">
        <v>-1044</v>
      </c>
      <c r="AR7">
        <v>0</v>
      </c>
      <c r="AS7">
        <v>11160</v>
      </c>
      <c r="AT7">
        <v>-1356</v>
      </c>
      <c r="AU7">
        <v>0</v>
      </c>
      <c r="AW7">
        <v>0</v>
      </c>
      <c r="AX7">
        <v>0</v>
      </c>
      <c r="AY7">
        <v>104398</v>
      </c>
      <c r="BA7" t="str">
        <f t="shared" si="1"/>
        <v>0000000000000</v>
      </c>
      <c r="BC7" t="str">
        <f>T("9791137604674")</f>
        <v>9791137604674</v>
      </c>
      <c r="BE7" t="str">
        <f t="shared" si="2"/>
        <v>BL 웹툰 &gt; 웹툰</v>
      </c>
    </row>
    <row r="8" spans="1:58" x14ac:dyDescent="0.3">
      <c r="A8">
        <v>4421003051</v>
      </c>
      <c r="B8">
        <v>4421003071</v>
      </c>
      <c r="C8" t="str">
        <f>T("막상막하 8화")</f>
        <v>막상막하 8화</v>
      </c>
      <c r="D8" t="str">
        <f>T("8")</f>
        <v>8</v>
      </c>
      <c r="E8" t="str">
        <f>T("마뇽")</f>
        <v>마뇽</v>
      </c>
      <c r="G8" t="str">
        <f>T("쭈웅")</f>
        <v>쭈웅</v>
      </c>
      <c r="H8" t="str">
        <f t="shared" si="0"/>
        <v>스토리위즈</v>
      </c>
      <c r="I8" t="str">
        <f>T("막상막하")</f>
        <v>막상막하</v>
      </c>
      <c r="J8">
        <v>500</v>
      </c>
      <c r="K8">
        <v>77500</v>
      </c>
      <c r="L8">
        <v>155</v>
      </c>
      <c r="M8">
        <v>0</v>
      </c>
      <c r="N8">
        <v>72000</v>
      </c>
      <c r="O8">
        <v>240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149500</v>
      </c>
      <c r="AH8">
        <v>395</v>
      </c>
      <c r="AI8">
        <v>0</v>
      </c>
      <c r="AJ8">
        <v>0</v>
      </c>
      <c r="AK8">
        <v>131450</v>
      </c>
      <c r="AL8">
        <v>0</v>
      </c>
      <c r="AM8">
        <v>21660</v>
      </c>
      <c r="AN8">
        <v>-3510</v>
      </c>
      <c r="AO8">
        <v>0</v>
      </c>
      <c r="AP8">
        <v>2760</v>
      </c>
      <c r="AQ8">
        <v>-828</v>
      </c>
      <c r="AR8">
        <v>0</v>
      </c>
      <c r="AS8">
        <v>18900</v>
      </c>
      <c r="AT8">
        <v>-2682</v>
      </c>
      <c r="AU8">
        <v>0</v>
      </c>
      <c r="AW8">
        <v>0</v>
      </c>
      <c r="AX8">
        <v>0</v>
      </c>
      <c r="AY8">
        <v>104720</v>
      </c>
      <c r="BA8" t="str">
        <f t="shared" si="1"/>
        <v>0000000000000</v>
      </c>
      <c r="BC8" t="str">
        <f>T("9791137607293")</f>
        <v>9791137607293</v>
      </c>
      <c r="BE8" t="str">
        <f t="shared" si="2"/>
        <v>BL 웹툰 &gt; 웹툰</v>
      </c>
    </row>
    <row r="9" spans="1:58" x14ac:dyDescent="0.3">
      <c r="A9">
        <v>4421002825</v>
      </c>
      <c r="B9">
        <v>4421003091</v>
      </c>
      <c r="C9" t="str">
        <f>T("테두리는 주시하지 않는다 23화")</f>
        <v>테두리는 주시하지 않는다 23화</v>
      </c>
      <c r="D9" t="str">
        <f>T("23")</f>
        <v>23</v>
      </c>
      <c r="E9" t="str">
        <f>T("토찌, 키로즈")</f>
        <v>토찌, 키로즈</v>
      </c>
      <c r="G9" t="str">
        <f>T("마린")</f>
        <v>마린</v>
      </c>
      <c r="H9" t="str">
        <f t="shared" si="0"/>
        <v>스토리위즈</v>
      </c>
      <c r="I9" t="str">
        <f>T("테두리는 주시하지 않는다")</f>
        <v>테두리는 주시하지 않는다</v>
      </c>
      <c r="J9">
        <v>500</v>
      </c>
      <c r="K9">
        <v>71500</v>
      </c>
      <c r="L9">
        <v>143</v>
      </c>
      <c r="M9">
        <v>0</v>
      </c>
      <c r="N9">
        <v>59700</v>
      </c>
      <c r="O9">
        <v>199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131200</v>
      </c>
      <c r="AH9">
        <v>342</v>
      </c>
      <c r="AI9">
        <v>-300</v>
      </c>
      <c r="AJ9">
        <v>1</v>
      </c>
      <c r="AK9">
        <v>115600</v>
      </c>
      <c r="AL9">
        <v>-300</v>
      </c>
      <c r="AM9">
        <v>18721</v>
      </c>
      <c r="AN9">
        <v>-4008.3</v>
      </c>
      <c r="AO9">
        <v>0</v>
      </c>
      <c r="AP9">
        <v>4561</v>
      </c>
      <c r="AQ9">
        <v>-1368.3</v>
      </c>
      <c r="AR9">
        <v>0</v>
      </c>
      <c r="AS9">
        <v>14160</v>
      </c>
      <c r="AT9">
        <v>-2640</v>
      </c>
      <c r="AU9">
        <v>0</v>
      </c>
      <c r="AW9">
        <v>0</v>
      </c>
      <c r="AX9">
        <v>0</v>
      </c>
      <c r="AY9">
        <v>91008.89</v>
      </c>
      <c r="BA9" t="str">
        <f t="shared" si="1"/>
        <v>0000000000000</v>
      </c>
      <c r="BC9" t="str">
        <f>T("9791137604674")</f>
        <v>9791137604674</v>
      </c>
      <c r="BE9" t="str">
        <f t="shared" si="2"/>
        <v>BL 웹툰 &gt; 웹툰</v>
      </c>
    </row>
    <row r="10" spans="1:58" x14ac:dyDescent="0.3">
      <c r="A10">
        <v>4421003051</v>
      </c>
      <c r="B10">
        <v>4421003055</v>
      </c>
      <c r="C10" t="str">
        <f>T("막상막하 5화")</f>
        <v>막상막하 5화</v>
      </c>
      <c r="D10" t="str">
        <f>T("5")</f>
        <v>5</v>
      </c>
      <c r="E10" t="str">
        <f>T("마뇽")</f>
        <v>마뇽</v>
      </c>
      <c r="G10" t="str">
        <f>T("쭈웅")</f>
        <v>쭈웅</v>
      </c>
      <c r="H10" t="str">
        <f t="shared" si="0"/>
        <v>스토리위즈</v>
      </c>
      <c r="I10" t="str">
        <f>T("막상막하")</f>
        <v>막상막하</v>
      </c>
      <c r="J10">
        <v>500</v>
      </c>
      <c r="K10">
        <v>62500</v>
      </c>
      <c r="L10">
        <v>125</v>
      </c>
      <c r="M10">
        <v>0</v>
      </c>
      <c r="N10">
        <v>108900</v>
      </c>
      <c r="O10">
        <v>363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-500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171400</v>
      </c>
      <c r="AH10">
        <v>488</v>
      </c>
      <c r="AI10">
        <v>-500</v>
      </c>
      <c r="AJ10">
        <v>1</v>
      </c>
      <c r="AK10">
        <v>145029</v>
      </c>
      <c r="AL10">
        <v>-500</v>
      </c>
      <c r="AM10">
        <v>31642.35</v>
      </c>
      <c r="AN10">
        <v>-5256.71</v>
      </c>
      <c r="AO10">
        <v>0</v>
      </c>
      <c r="AP10">
        <v>5422.35</v>
      </c>
      <c r="AQ10">
        <v>-1626.71</v>
      </c>
      <c r="AR10">
        <v>0</v>
      </c>
      <c r="AS10">
        <v>26220</v>
      </c>
      <c r="AT10">
        <v>-3630</v>
      </c>
      <c r="AU10">
        <v>0</v>
      </c>
      <c r="AW10">
        <v>0</v>
      </c>
      <c r="AX10">
        <v>0</v>
      </c>
      <c r="AY10">
        <v>119640.25</v>
      </c>
      <c r="BA10" t="str">
        <f t="shared" si="1"/>
        <v>0000000000000</v>
      </c>
      <c r="BC10" t="str">
        <f>T("9791137607293")</f>
        <v>9791137607293</v>
      </c>
      <c r="BE10" t="str">
        <f t="shared" si="2"/>
        <v>BL 웹툰 &gt; 웹툰</v>
      </c>
    </row>
    <row r="11" spans="1:58" x14ac:dyDescent="0.3">
      <c r="A11">
        <v>4421003051</v>
      </c>
      <c r="B11">
        <v>4421003054</v>
      </c>
      <c r="C11" t="str">
        <f>T("막상막하 4화")</f>
        <v>막상막하 4화</v>
      </c>
      <c r="D11" t="str">
        <f>T("4")</f>
        <v>4</v>
      </c>
      <c r="E11" t="str">
        <f>T("마뇽")</f>
        <v>마뇽</v>
      </c>
      <c r="G11" t="str">
        <f>T("쭈웅")</f>
        <v>쭈웅</v>
      </c>
      <c r="H11" t="str">
        <f t="shared" si="0"/>
        <v>스토리위즈</v>
      </c>
      <c r="I11" t="str">
        <f>T("막상막하")</f>
        <v>막상막하</v>
      </c>
      <c r="J11">
        <v>500</v>
      </c>
      <c r="K11">
        <v>60500</v>
      </c>
      <c r="L11">
        <v>121</v>
      </c>
      <c r="M11">
        <v>0</v>
      </c>
      <c r="N11">
        <v>124200</v>
      </c>
      <c r="O11">
        <v>414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184700</v>
      </c>
      <c r="AH11">
        <v>535</v>
      </c>
      <c r="AI11">
        <v>-500</v>
      </c>
      <c r="AJ11">
        <v>1</v>
      </c>
      <c r="AK11">
        <v>156579</v>
      </c>
      <c r="AL11">
        <v>-500</v>
      </c>
      <c r="AM11">
        <v>33745.199999999997</v>
      </c>
      <c r="AN11">
        <v>-5695.56</v>
      </c>
      <c r="AO11">
        <v>0</v>
      </c>
      <c r="AP11">
        <v>5605.2</v>
      </c>
      <c r="AQ11">
        <v>-1681.56</v>
      </c>
      <c r="AR11">
        <v>0</v>
      </c>
      <c r="AS11">
        <v>28140</v>
      </c>
      <c r="AT11">
        <v>-4014</v>
      </c>
      <c r="AU11">
        <v>0</v>
      </c>
      <c r="AW11">
        <v>0</v>
      </c>
      <c r="AX11">
        <v>0</v>
      </c>
      <c r="AY11">
        <v>128890.05</v>
      </c>
      <c r="BA11" t="str">
        <f t="shared" si="1"/>
        <v>0000000000000</v>
      </c>
      <c r="BC11" t="str">
        <f>T("9791137607293")</f>
        <v>9791137607293</v>
      </c>
      <c r="BE11" t="str">
        <f t="shared" si="2"/>
        <v>BL 웹툰 &gt; 웹툰</v>
      </c>
    </row>
    <row r="12" spans="1:58" x14ac:dyDescent="0.3">
      <c r="A12">
        <v>4421003051</v>
      </c>
      <c r="B12">
        <v>4421003057</v>
      </c>
      <c r="C12" t="str">
        <f>T("막상막하 7화")</f>
        <v>막상막하 7화</v>
      </c>
      <c r="D12" t="str">
        <f>T("7")</f>
        <v>7</v>
      </c>
      <c r="E12" t="str">
        <f>T("마뇽")</f>
        <v>마뇽</v>
      </c>
      <c r="G12" t="str">
        <f>T("쭈웅")</f>
        <v>쭈웅</v>
      </c>
      <c r="H12" t="str">
        <f t="shared" si="0"/>
        <v>스토리위즈</v>
      </c>
      <c r="I12" t="str">
        <f>T("막상막하")</f>
        <v>막상막하</v>
      </c>
      <c r="J12">
        <v>500</v>
      </c>
      <c r="K12">
        <v>59000</v>
      </c>
      <c r="L12">
        <v>118</v>
      </c>
      <c r="M12">
        <v>0</v>
      </c>
      <c r="N12">
        <v>73200</v>
      </c>
      <c r="O12">
        <v>244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132200</v>
      </c>
      <c r="AH12">
        <v>362</v>
      </c>
      <c r="AI12">
        <v>0</v>
      </c>
      <c r="AJ12">
        <v>0</v>
      </c>
      <c r="AK12">
        <v>111599</v>
      </c>
      <c r="AL12">
        <v>0</v>
      </c>
      <c r="AM12">
        <v>24718.35</v>
      </c>
      <c r="AN12">
        <v>-4163.51</v>
      </c>
      <c r="AO12">
        <v>0</v>
      </c>
      <c r="AP12">
        <v>3418.35</v>
      </c>
      <c r="AQ12">
        <v>-1025.51</v>
      </c>
      <c r="AR12">
        <v>0</v>
      </c>
      <c r="AS12">
        <v>21300</v>
      </c>
      <c r="AT12">
        <v>-3138</v>
      </c>
      <c r="AU12">
        <v>0</v>
      </c>
      <c r="AW12">
        <v>0</v>
      </c>
      <c r="AX12">
        <v>0</v>
      </c>
      <c r="AY12">
        <v>92507.69</v>
      </c>
      <c r="BA12" t="str">
        <f t="shared" si="1"/>
        <v>0000000000000</v>
      </c>
      <c r="BC12" t="str">
        <f>T("9791137607293")</f>
        <v>9791137607293</v>
      </c>
      <c r="BE12" t="str">
        <f t="shared" si="2"/>
        <v>BL 웹툰 &gt; 웹툰</v>
      </c>
    </row>
    <row r="13" spans="1:58" x14ac:dyDescent="0.3">
      <c r="A13">
        <v>4421003051</v>
      </c>
      <c r="B13">
        <v>4421003056</v>
      </c>
      <c r="C13" t="str">
        <f>T("막상막하 6화")</f>
        <v>막상막하 6화</v>
      </c>
      <c r="D13" t="str">
        <f>T("6")</f>
        <v>6</v>
      </c>
      <c r="E13" t="str">
        <f>T("마뇽")</f>
        <v>마뇽</v>
      </c>
      <c r="G13" t="str">
        <f>T("쭈웅")</f>
        <v>쭈웅</v>
      </c>
      <c r="H13" t="str">
        <f t="shared" si="0"/>
        <v>스토리위즈</v>
      </c>
      <c r="I13" t="str">
        <f>T("막상막하")</f>
        <v>막상막하</v>
      </c>
      <c r="J13">
        <v>500</v>
      </c>
      <c r="K13">
        <v>38500</v>
      </c>
      <c r="L13">
        <v>77</v>
      </c>
      <c r="M13">
        <v>0</v>
      </c>
      <c r="N13">
        <v>52200</v>
      </c>
      <c r="O13">
        <v>174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90700</v>
      </c>
      <c r="AH13">
        <v>251</v>
      </c>
      <c r="AI13">
        <v>0</v>
      </c>
      <c r="AJ13">
        <v>0</v>
      </c>
      <c r="AK13">
        <v>76250</v>
      </c>
      <c r="AL13">
        <v>0</v>
      </c>
      <c r="AM13">
        <v>17340</v>
      </c>
      <c r="AN13">
        <v>-2742</v>
      </c>
      <c r="AO13">
        <v>0</v>
      </c>
      <c r="AP13">
        <v>2640</v>
      </c>
      <c r="AQ13">
        <v>-792</v>
      </c>
      <c r="AR13">
        <v>0</v>
      </c>
      <c r="AS13">
        <v>14700</v>
      </c>
      <c r="AT13">
        <v>-1950</v>
      </c>
      <c r="AU13">
        <v>0</v>
      </c>
      <c r="AW13">
        <v>0</v>
      </c>
      <c r="AX13">
        <v>0</v>
      </c>
      <c r="AY13">
        <v>63593.599999999999</v>
      </c>
      <c r="BA13" t="str">
        <f t="shared" si="1"/>
        <v>0000000000000</v>
      </c>
      <c r="BC13" t="str">
        <f>T("9791137607293")</f>
        <v>9791137607293</v>
      </c>
      <c r="BE13" t="str">
        <f t="shared" si="2"/>
        <v>BL 웹툰 &gt; 웹툰</v>
      </c>
    </row>
    <row r="14" spans="1:58" x14ac:dyDescent="0.3">
      <c r="A14">
        <v>4421002825</v>
      </c>
      <c r="B14">
        <v>4421003081</v>
      </c>
      <c r="C14" t="str">
        <f>T("테두리는 주시하지 않는다 22화")</f>
        <v>테두리는 주시하지 않는다 22화</v>
      </c>
      <c r="D14" t="str">
        <f>T("22")</f>
        <v>22</v>
      </c>
      <c r="E14" t="str">
        <f t="shared" ref="E14:E19" si="3">T("토찌, 키로즈")</f>
        <v>토찌, 키로즈</v>
      </c>
      <c r="G14" t="str">
        <f t="shared" ref="G14:G19" si="4">T("마린")</f>
        <v>마린</v>
      </c>
      <c r="H14" t="str">
        <f t="shared" si="0"/>
        <v>스토리위즈</v>
      </c>
      <c r="I14" t="str">
        <f t="shared" ref="I14:I19" si="5">T("테두리는 주시하지 않는다")</f>
        <v>테두리는 주시하지 않는다</v>
      </c>
      <c r="J14">
        <v>500</v>
      </c>
      <c r="K14">
        <v>28500</v>
      </c>
      <c r="L14">
        <v>57</v>
      </c>
      <c r="M14">
        <v>0</v>
      </c>
      <c r="N14">
        <v>34200</v>
      </c>
      <c r="O14">
        <v>114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-300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62700</v>
      </c>
      <c r="AH14">
        <v>171</v>
      </c>
      <c r="AI14">
        <v>-300</v>
      </c>
      <c r="AJ14">
        <v>1</v>
      </c>
      <c r="AK14">
        <v>52900</v>
      </c>
      <c r="AL14">
        <v>-300</v>
      </c>
      <c r="AM14">
        <v>11760.4</v>
      </c>
      <c r="AN14">
        <v>-2376.12</v>
      </c>
      <c r="AO14">
        <v>0</v>
      </c>
      <c r="AP14">
        <v>2640.4</v>
      </c>
      <c r="AQ14">
        <v>-792.12</v>
      </c>
      <c r="AR14">
        <v>0</v>
      </c>
      <c r="AS14">
        <v>9120</v>
      </c>
      <c r="AT14">
        <v>-1584</v>
      </c>
      <c r="AU14">
        <v>0</v>
      </c>
      <c r="AW14">
        <v>0</v>
      </c>
      <c r="AX14">
        <v>0</v>
      </c>
      <c r="AY14">
        <v>43389</v>
      </c>
      <c r="BA14" t="str">
        <f t="shared" si="1"/>
        <v>0000000000000</v>
      </c>
      <c r="BC14" t="str">
        <f t="shared" ref="BC14:BC19" si="6">T("9791137604674")</f>
        <v>9791137604674</v>
      </c>
      <c r="BE14" t="str">
        <f t="shared" si="2"/>
        <v>BL 웹툰 &gt; 웹툰</v>
      </c>
    </row>
    <row r="15" spans="1:58" x14ac:dyDescent="0.3">
      <c r="A15">
        <v>4421002825</v>
      </c>
      <c r="B15">
        <v>4421003078</v>
      </c>
      <c r="C15" t="str">
        <f>T("테두리는 주시하지 않는다 21화")</f>
        <v>테두리는 주시하지 않는다 21화</v>
      </c>
      <c r="D15" t="str">
        <f>T("21")</f>
        <v>21</v>
      </c>
      <c r="E15" t="str">
        <f t="shared" si="3"/>
        <v>토찌, 키로즈</v>
      </c>
      <c r="G15" t="str">
        <f t="shared" si="4"/>
        <v>마린</v>
      </c>
      <c r="H15" t="str">
        <f t="shared" si="0"/>
        <v>스토리위즈</v>
      </c>
      <c r="I15" t="str">
        <f t="shared" si="5"/>
        <v>테두리는 주시하지 않는다</v>
      </c>
      <c r="J15">
        <v>500</v>
      </c>
      <c r="K15">
        <v>23000</v>
      </c>
      <c r="L15">
        <v>46</v>
      </c>
      <c r="M15">
        <v>0</v>
      </c>
      <c r="N15">
        <v>27900</v>
      </c>
      <c r="O15">
        <v>93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-300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50900</v>
      </c>
      <c r="AH15">
        <v>139</v>
      </c>
      <c r="AI15">
        <v>-300</v>
      </c>
      <c r="AJ15">
        <v>1</v>
      </c>
      <c r="AK15">
        <v>41820</v>
      </c>
      <c r="AL15">
        <v>-300</v>
      </c>
      <c r="AM15">
        <v>10896</v>
      </c>
      <c r="AN15">
        <v>-2164.8000000000002</v>
      </c>
      <c r="AO15">
        <v>0</v>
      </c>
      <c r="AP15">
        <v>2376</v>
      </c>
      <c r="AQ15">
        <v>-712.8</v>
      </c>
      <c r="AR15">
        <v>0</v>
      </c>
      <c r="AS15">
        <v>8520</v>
      </c>
      <c r="AT15">
        <v>-1452</v>
      </c>
      <c r="AU15">
        <v>0</v>
      </c>
      <c r="AW15">
        <v>0</v>
      </c>
      <c r="AX15">
        <v>0</v>
      </c>
      <c r="AY15">
        <v>35175.839999999997</v>
      </c>
      <c r="BA15" t="str">
        <f t="shared" si="1"/>
        <v>0000000000000</v>
      </c>
      <c r="BC15" t="str">
        <f t="shared" si="6"/>
        <v>9791137604674</v>
      </c>
      <c r="BE15" t="str">
        <f t="shared" si="2"/>
        <v>BL 웹툰 &gt; 웹툰</v>
      </c>
    </row>
    <row r="16" spans="1:58" x14ac:dyDescent="0.3">
      <c r="A16">
        <v>4421002825</v>
      </c>
      <c r="B16">
        <v>4421002994</v>
      </c>
      <c r="C16" t="str">
        <f>T("테두리는 주시하지 않는다 20화")</f>
        <v>테두리는 주시하지 않는다 20화</v>
      </c>
      <c r="D16" t="str">
        <f>T("20")</f>
        <v>20</v>
      </c>
      <c r="E16" t="str">
        <f t="shared" si="3"/>
        <v>토찌, 키로즈</v>
      </c>
      <c r="G16" t="str">
        <f t="shared" si="4"/>
        <v>마린</v>
      </c>
      <c r="H16" t="str">
        <f t="shared" si="0"/>
        <v>스토리위즈</v>
      </c>
      <c r="I16" t="str">
        <f t="shared" si="5"/>
        <v>테두리는 주시하지 않는다</v>
      </c>
      <c r="J16">
        <v>500</v>
      </c>
      <c r="K16">
        <v>22500</v>
      </c>
      <c r="L16">
        <v>45</v>
      </c>
      <c r="M16">
        <v>0</v>
      </c>
      <c r="N16">
        <v>23400</v>
      </c>
      <c r="O16">
        <v>78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45900</v>
      </c>
      <c r="AH16">
        <v>123</v>
      </c>
      <c r="AI16">
        <v>0</v>
      </c>
      <c r="AJ16">
        <v>0</v>
      </c>
      <c r="AK16">
        <v>37820</v>
      </c>
      <c r="AL16">
        <v>0</v>
      </c>
      <c r="AM16">
        <v>9696</v>
      </c>
      <c r="AN16">
        <v>-1833.6</v>
      </c>
      <c r="AO16">
        <v>0</v>
      </c>
      <c r="AP16">
        <v>1680</v>
      </c>
      <c r="AQ16">
        <v>-504</v>
      </c>
      <c r="AR16">
        <v>0</v>
      </c>
      <c r="AS16">
        <v>8016</v>
      </c>
      <c r="AT16">
        <v>-1329.6</v>
      </c>
      <c r="AU16">
        <v>0</v>
      </c>
      <c r="AW16">
        <v>0</v>
      </c>
      <c r="AX16">
        <v>0</v>
      </c>
      <c r="AY16">
        <v>31977.68</v>
      </c>
      <c r="BA16" t="str">
        <f t="shared" si="1"/>
        <v>0000000000000</v>
      </c>
      <c r="BC16" t="str">
        <f t="shared" si="6"/>
        <v>9791137604674</v>
      </c>
      <c r="BE16" t="str">
        <f t="shared" si="2"/>
        <v>BL 웹툰 &gt; 웹툰</v>
      </c>
    </row>
    <row r="17" spans="1:57" x14ac:dyDescent="0.3">
      <c r="A17">
        <v>4421002825</v>
      </c>
      <c r="B17">
        <v>4421002993</v>
      </c>
      <c r="C17" t="str">
        <f>T("테두리는 주시하지 않는다 19화")</f>
        <v>테두리는 주시하지 않는다 19화</v>
      </c>
      <c r="D17" t="str">
        <f>T("19")</f>
        <v>19</v>
      </c>
      <c r="E17" t="str">
        <f t="shared" si="3"/>
        <v>토찌, 키로즈</v>
      </c>
      <c r="G17" t="str">
        <f t="shared" si="4"/>
        <v>마린</v>
      </c>
      <c r="H17" t="str">
        <f t="shared" si="0"/>
        <v>스토리위즈</v>
      </c>
      <c r="I17" t="str">
        <f t="shared" si="5"/>
        <v>테두리는 주시하지 않는다</v>
      </c>
      <c r="J17">
        <v>500</v>
      </c>
      <c r="K17">
        <v>18500</v>
      </c>
      <c r="L17">
        <v>37</v>
      </c>
      <c r="M17">
        <v>0</v>
      </c>
      <c r="N17">
        <v>22500</v>
      </c>
      <c r="O17">
        <v>75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41000</v>
      </c>
      <c r="AH17">
        <v>112</v>
      </c>
      <c r="AI17">
        <v>0</v>
      </c>
      <c r="AJ17">
        <v>0</v>
      </c>
      <c r="AK17">
        <v>33130</v>
      </c>
      <c r="AL17">
        <v>0</v>
      </c>
      <c r="AM17">
        <v>9444</v>
      </c>
      <c r="AN17">
        <v>-1808.4</v>
      </c>
      <c r="AO17">
        <v>0</v>
      </c>
      <c r="AP17">
        <v>1680</v>
      </c>
      <c r="AQ17">
        <v>-504</v>
      </c>
      <c r="AR17">
        <v>0</v>
      </c>
      <c r="AS17">
        <v>7764</v>
      </c>
      <c r="AT17">
        <v>-1304.4000000000001</v>
      </c>
      <c r="AU17">
        <v>0</v>
      </c>
      <c r="AW17">
        <v>0</v>
      </c>
      <c r="AX17">
        <v>0</v>
      </c>
      <c r="AY17">
        <v>28535.919999999998</v>
      </c>
      <c r="BA17" t="str">
        <f t="shared" si="1"/>
        <v>0000000000000</v>
      </c>
      <c r="BC17" t="str">
        <f t="shared" si="6"/>
        <v>9791137604674</v>
      </c>
      <c r="BE17" t="str">
        <f t="shared" si="2"/>
        <v>BL 웹툰 &gt; 웹툰</v>
      </c>
    </row>
    <row r="18" spans="1:57" x14ac:dyDescent="0.3">
      <c r="A18">
        <v>4421002825</v>
      </c>
      <c r="B18">
        <v>4421002992</v>
      </c>
      <c r="C18" t="str">
        <f>T("테두리는 주시하지 않는다 18화")</f>
        <v>테두리는 주시하지 않는다 18화</v>
      </c>
      <c r="D18" t="str">
        <f>T("18")</f>
        <v>18</v>
      </c>
      <c r="E18" t="str">
        <f t="shared" si="3"/>
        <v>토찌, 키로즈</v>
      </c>
      <c r="G18" t="str">
        <f t="shared" si="4"/>
        <v>마린</v>
      </c>
      <c r="H18" t="str">
        <f t="shared" si="0"/>
        <v>스토리위즈</v>
      </c>
      <c r="I18" t="str">
        <f t="shared" si="5"/>
        <v>테두리는 주시하지 않는다</v>
      </c>
      <c r="J18">
        <v>500</v>
      </c>
      <c r="K18">
        <v>17000</v>
      </c>
      <c r="L18">
        <v>34</v>
      </c>
      <c r="M18">
        <v>0</v>
      </c>
      <c r="N18">
        <v>21600</v>
      </c>
      <c r="O18">
        <v>72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38600</v>
      </c>
      <c r="AH18">
        <v>106</v>
      </c>
      <c r="AI18">
        <v>0</v>
      </c>
      <c r="AJ18">
        <v>0</v>
      </c>
      <c r="AK18">
        <v>29900</v>
      </c>
      <c r="AL18">
        <v>0</v>
      </c>
      <c r="AM18">
        <v>10440</v>
      </c>
      <c r="AN18">
        <v>-2028</v>
      </c>
      <c r="AO18">
        <v>0</v>
      </c>
      <c r="AP18">
        <v>2280</v>
      </c>
      <c r="AQ18">
        <v>-684</v>
      </c>
      <c r="AR18">
        <v>0</v>
      </c>
      <c r="AS18">
        <v>8160</v>
      </c>
      <c r="AT18">
        <v>-1344</v>
      </c>
      <c r="AU18">
        <v>0</v>
      </c>
      <c r="AW18">
        <v>0</v>
      </c>
      <c r="AX18">
        <v>0</v>
      </c>
      <c r="AY18">
        <v>26818.400000000001</v>
      </c>
      <c r="BA18" t="str">
        <f t="shared" si="1"/>
        <v>0000000000000</v>
      </c>
      <c r="BC18" t="str">
        <f t="shared" si="6"/>
        <v>9791137604674</v>
      </c>
      <c r="BE18" t="str">
        <f t="shared" si="2"/>
        <v>BL 웹툰 &gt; 웹툰</v>
      </c>
    </row>
    <row r="19" spans="1:57" x14ac:dyDescent="0.3">
      <c r="A19">
        <v>4421002825</v>
      </c>
      <c r="B19">
        <v>4421002919</v>
      </c>
      <c r="C19" t="str">
        <f>T("테두리는 주시하지 않는다 12화")</f>
        <v>테두리는 주시하지 않는다 12화</v>
      </c>
      <c r="D19" t="str">
        <f>T("12")</f>
        <v>12</v>
      </c>
      <c r="E19" t="str">
        <f t="shared" si="3"/>
        <v>토찌, 키로즈</v>
      </c>
      <c r="G19" t="str">
        <f t="shared" si="4"/>
        <v>마린</v>
      </c>
      <c r="H19" t="str">
        <f t="shared" si="0"/>
        <v>스토리위즈</v>
      </c>
      <c r="I19" t="str">
        <f t="shared" si="5"/>
        <v>테두리는 주시하지 않는다</v>
      </c>
      <c r="J19">
        <v>500</v>
      </c>
      <c r="K19">
        <v>15500</v>
      </c>
      <c r="L19">
        <v>31</v>
      </c>
      <c r="M19">
        <v>0</v>
      </c>
      <c r="N19">
        <v>19800</v>
      </c>
      <c r="O19">
        <v>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35300</v>
      </c>
      <c r="AH19">
        <v>97</v>
      </c>
      <c r="AI19">
        <v>0</v>
      </c>
      <c r="AJ19">
        <v>0</v>
      </c>
      <c r="AK19">
        <v>27700</v>
      </c>
      <c r="AL19">
        <v>0</v>
      </c>
      <c r="AM19">
        <v>9120</v>
      </c>
      <c r="AN19">
        <v>-1584</v>
      </c>
      <c r="AO19">
        <v>0</v>
      </c>
      <c r="AP19">
        <v>1080</v>
      </c>
      <c r="AQ19">
        <v>-324</v>
      </c>
      <c r="AR19">
        <v>0</v>
      </c>
      <c r="AS19">
        <v>8040</v>
      </c>
      <c r="AT19">
        <v>-1260</v>
      </c>
      <c r="AU19">
        <v>0</v>
      </c>
      <c r="AW19">
        <v>0</v>
      </c>
      <c r="AX19">
        <v>0</v>
      </c>
      <c r="AY19">
        <v>24665.200000000001</v>
      </c>
      <c r="BA19" t="str">
        <f t="shared" si="1"/>
        <v>0000000000000</v>
      </c>
      <c r="BC19" t="str">
        <f t="shared" si="6"/>
        <v>9791137604674</v>
      </c>
      <c r="BE19" t="str">
        <f t="shared" si="2"/>
        <v>BL 웹툰 &gt; 웹툰</v>
      </c>
    </row>
    <row r="20" spans="1:57" x14ac:dyDescent="0.3">
      <c r="A20">
        <v>4421003051</v>
      </c>
      <c r="B20">
        <v>4421003053</v>
      </c>
      <c r="C20" t="str">
        <f>T("막상막하 3화")</f>
        <v>막상막하 3화</v>
      </c>
      <c r="D20" t="str">
        <f>T("3")</f>
        <v>3</v>
      </c>
      <c r="E20" t="str">
        <f>T("마뇽")</f>
        <v>마뇽</v>
      </c>
      <c r="G20" t="str">
        <f>T("쭈웅")</f>
        <v>쭈웅</v>
      </c>
      <c r="H20" t="str">
        <f t="shared" si="0"/>
        <v>스토리위즈</v>
      </c>
      <c r="I20" t="str">
        <f>T("막상막하")</f>
        <v>막상막하</v>
      </c>
      <c r="J20">
        <v>500</v>
      </c>
      <c r="K20">
        <v>14000</v>
      </c>
      <c r="L20">
        <v>28</v>
      </c>
      <c r="M20">
        <v>0</v>
      </c>
      <c r="N20">
        <v>16200</v>
      </c>
      <c r="O20">
        <v>54</v>
      </c>
      <c r="P20">
        <v>1915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30200</v>
      </c>
      <c r="AH20">
        <v>1997</v>
      </c>
      <c r="AI20">
        <v>0</v>
      </c>
      <c r="AJ20">
        <v>0</v>
      </c>
      <c r="AK20">
        <v>24277</v>
      </c>
      <c r="AL20">
        <v>0</v>
      </c>
      <c r="AM20">
        <v>7107.6</v>
      </c>
      <c r="AN20">
        <v>-1628.28</v>
      </c>
      <c r="AO20">
        <v>0</v>
      </c>
      <c r="AP20">
        <v>1227.5999999999999</v>
      </c>
      <c r="AQ20">
        <v>-368.28</v>
      </c>
      <c r="AR20">
        <v>0</v>
      </c>
      <c r="AS20">
        <v>5880</v>
      </c>
      <c r="AT20">
        <v>-1260</v>
      </c>
      <c r="AU20">
        <v>0</v>
      </c>
      <c r="AW20">
        <v>0</v>
      </c>
      <c r="AX20">
        <v>0</v>
      </c>
      <c r="AY20">
        <v>20829.43</v>
      </c>
      <c r="BA20" t="str">
        <f t="shared" si="1"/>
        <v>0000000000000</v>
      </c>
      <c r="BC20" t="str">
        <f>T("9791137607293")</f>
        <v>9791137607293</v>
      </c>
      <c r="BE20" t="str">
        <f t="shared" si="2"/>
        <v>BL 웹툰 &gt; 웹툰</v>
      </c>
    </row>
    <row r="21" spans="1:57" x14ac:dyDescent="0.3">
      <c r="A21">
        <v>4421002825</v>
      </c>
      <c r="B21">
        <v>4421002839</v>
      </c>
      <c r="C21" t="str">
        <f>T("테두리는 주시하지 않는다 11화")</f>
        <v>테두리는 주시하지 않는다 11화</v>
      </c>
      <c r="D21" t="str">
        <f>T("11")</f>
        <v>11</v>
      </c>
      <c r="E21" t="str">
        <f t="shared" ref="E21:E32" si="7">T("토찌, 키로즈")</f>
        <v>토찌, 키로즈</v>
      </c>
      <c r="G21" t="str">
        <f t="shared" ref="G21:G32" si="8">T("마린")</f>
        <v>마린</v>
      </c>
      <c r="H21" t="str">
        <f t="shared" si="0"/>
        <v>스토리위즈</v>
      </c>
      <c r="I21" t="str">
        <f t="shared" ref="I21:I32" si="9">T("테두리는 주시하지 않는다")</f>
        <v>테두리는 주시하지 않는다</v>
      </c>
      <c r="J21">
        <v>500</v>
      </c>
      <c r="K21">
        <v>14000</v>
      </c>
      <c r="L21">
        <v>28</v>
      </c>
      <c r="M21">
        <v>0</v>
      </c>
      <c r="N21">
        <v>21600</v>
      </c>
      <c r="O21">
        <v>72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35600</v>
      </c>
      <c r="AH21">
        <v>100</v>
      </c>
      <c r="AI21">
        <v>0</v>
      </c>
      <c r="AJ21">
        <v>0</v>
      </c>
      <c r="AK21">
        <v>28200</v>
      </c>
      <c r="AL21">
        <v>0</v>
      </c>
      <c r="AM21">
        <v>8880</v>
      </c>
      <c r="AN21">
        <v>-1560</v>
      </c>
      <c r="AO21">
        <v>0</v>
      </c>
      <c r="AP21">
        <v>1080</v>
      </c>
      <c r="AQ21">
        <v>-324</v>
      </c>
      <c r="AR21">
        <v>0</v>
      </c>
      <c r="AS21">
        <v>7800</v>
      </c>
      <c r="AT21">
        <v>-1236</v>
      </c>
      <c r="AU21">
        <v>0</v>
      </c>
      <c r="AW21">
        <v>0</v>
      </c>
      <c r="AX21">
        <v>0</v>
      </c>
      <c r="AY21">
        <v>24864</v>
      </c>
      <c r="BA21" t="str">
        <f t="shared" si="1"/>
        <v>0000000000000</v>
      </c>
      <c r="BC21" t="str">
        <f t="shared" ref="BC21:BC32" si="10">T("9791137604674")</f>
        <v>9791137604674</v>
      </c>
      <c r="BE21" t="str">
        <f t="shared" si="2"/>
        <v>BL 웹툰 &gt; 웹툰</v>
      </c>
    </row>
    <row r="22" spans="1:57" x14ac:dyDescent="0.3">
      <c r="A22">
        <v>4421002825</v>
      </c>
      <c r="B22">
        <v>4421002920</v>
      </c>
      <c r="C22" t="str">
        <f>T("테두리는 주시하지 않는다 13화")</f>
        <v>테두리는 주시하지 않는다 13화</v>
      </c>
      <c r="D22" t="str">
        <f>T("13")</f>
        <v>13</v>
      </c>
      <c r="E22" t="str">
        <f t="shared" si="7"/>
        <v>토찌, 키로즈</v>
      </c>
      <c r="G22" t="str">
        <f t="shared" si="8"/>
        <v>마린</v>
      </c>
      <c r="H22" t="str">
        <f t="shared" si="0"/>
        <v>스토리위즈</v>
      </c>
      <c r="I22" t="str">
        <f t="shared" si="9"/>
        <v>테두리는 주시하지 않는다</v>
      </c>
      <c r="J22">
        <v>500</v>
      </c>
      <c r="K22">
        <v>14000</v>
      </c>
      <c r="L22">
        <v>28</v>
      </c>
      <c r="M22">
        <v>0</v>
      </c>
      <c r="N22">
        <v>18600</v>
      </c>
      <c r="O22">
        <v>62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32600</v>
      </c>
      <c r="AH22">
        <v>90</v>
      </c>
      <c r="AI22">
        <v>0</v>
      </c>
      <c r="AJ22">
        <v>0</v>
      </c>
      <c r="AK22">
        <v>25500</v>
      </c>
      <c r="AL22">
        <v>0</v>
      </c>
      <c r="AM22">
        <v>8520</v>
      </c>
      <c r="AN22">
        <v>-1524</v>
      </c>
      <c r="AO22">
        <v>0</v>
      </c>
      <c r="AP22">
        <v>1080</v>
      </c>
      <c r="AQ22">
        <v>-324</v>
      </c>
      <c r="AR22">
        <v>0</v>
      </c>
      <c r="AS22">
        <v>7440</v>
      </c>
      <c r="AT22">
        <v>-1200</v>
      </c>
      <c r="AU22">
        <v>0</v>
      </c>
      <c r="AW22">
        <v>0</v>
      </c>
      <c r="AX22">
        <v>0</v>
      </c>
      <c r="AY22">
        <v>22747.200000000001</v>
      </c>
      <c r="BA22" t="str">
        <f t="shared" si="1"/>
        <v>0000000000000</v>
      </c>
      <c r="BC22" t="str">
        <f t="shared" si="10"/>
        <v>9791137604674</v>
      </c>
      <c r="BE22" t="str">
        <f t="shared" si="2"/>
        <v>BL 웹툰 &gt; 웹툰</v>
      </c>
    </row>
    <row r="23" spans="1:57" x14ac:dyDescent="0.3">
      <c r="A23">
        <v>4421002825</v>
      </c>
      <c r="B23">
        <v>4421002976</v>
      </c>
      <c r="C23" t="str">
        <f>T("테두리는 주시하지 않는다 17화")</f>
        <v>테두리는 주시하지 않는다 17화</v>
      </c>
      <c r="D23" t="str">
        <f>T("17")</f>
        <v>17</v>
      </c>
      <c r="E23" t="str">
        <f t="shared" si="7"/>
        <v>토찌, 키로즈</v>
      </c>
      <c r="G23" t="str">
        <f t="shared" si="8"/>
        <v>마린</v>
      </c>
      <c r="H23" t="str">
        <f t="shared" si="0"/>
        <v>스토리위즈</v>
      </c>
      <c r="I23" t="str">
        <f t="shared" si="9"/>
        <v>테두리는 주시하지 않는다</v>
      </c>
      <c r="J23">
        <v>500</v>
      </c>
      <c r="K23">
        <v>13500</v>
      </c>
      <c r="L23">
        <v>27</v>
      </c>
      <c r="M23">
        <v>0</v>
      </c>
      <c r="N23">
        <v>20400</v>
      </c>
      <c r="O23">
        <v>68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33900</v>
      </c>
      <c r="AH23">
        <v>95</v>
      </c>
      <c r="AI23">
        <v>0</v>
      </c>
      <c r="AJ23">
        <v>0</v>
      </c>
      <c r="AK23">
        <v>26400</v>
      </c>
      <c r="AL23">
        <v>0</v>
      </c>
      <c r="AM23">
        <v>9000</v>
      </c>
      <c r="AN23">
        <v>-1644</v>
      </c>
      <c r="AO23">
        <v>0</v>
      </c>
      <c r="AP23">
        <v>1080</v>
      </c>
      <c r="AQ23">
        <v>-324</v>
      </c>
      <c r="AR23">
        <v>0</v>
      </c>
      <c r="AS23">
        <v>7920</v>
      </c>
      <c r="AT23">
        <v>-1320</v>
      </c>
      <c r="AU23">
        <v>0</v>
      </c>
      <c r="AW23">
        <v>0</v>
      </c>
      <c r="AX23">
        <v>0</v>
      </c>
      <c r="AY23">
        <v>23629.200000000001</v>
      </c>
      <c r="BA23" t="str">
        <f t="shared" si="1"/>
        <v>0000000000000</v>
      </c>
      <c r="BC23" t="str">
        <f t="shared" si="10"/>
        <v>9791137604674</v>
      </c>
      <c r="BE23" t="str">
        <f t="shared" si="2"/>
        <v>BL 웹툰 &gt; 웹툰</v>
      </c>
    </row>
    <row r="24" spans="1:57" x14ac:dyDescent="0.3">
      <c r="A24">
        <v>4421002825</v>
      </c>
      <c r="B24">
        <v>4421002921</v>
      </c>
      <c r="C24" t="str">
        <f>T("테두리는 주시하지 않는다 14화")</f>
        <v>테두리는 주시하지 않는다 14화</v>
      </c>
      <c r="D24" t="str">
        <f>T("14")</f>
        <v>14</v>
      </c>
      <c r="E24" t="str">
        <f t="shared" si="7"/>
        <v>토찌, 키로즈</v>
      </c>
      <c r="G24" t="str">
        <f t="shared" si="8"/>
        <v>마린</v>
      </c>
      <c r="H24" t="str">
        <f t="shared" si="0"/>
        <v>스토리위즈</v>
      </c>
      <c r="I24" t="str">
        <f t="shared" si="9"/>
        <v>테두리는 주시하지 않는다</v>
      </c>
      <c r="J24">
        <v>500</v>
      </c>
      <c r="K24">
        <v>13500</v>
      </c>
      <c r="L24">
        <v>27</v>
      </c>
      <c r="M24">
        <v>0</v>
      </c>
      <c r="N24">
        <v>18900</v>
      </c>
      <c r="O24">
        <v>63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32400</v>
      </c>
      <c r="AH24">
        <v>90</v>
      </c>
      <c r="AI24">
        <v>0</v>
      </c>
      <c r="AJ24">
        <v>0</v>
      </c>
      <c r="AK24">
        <v>25600</v>
      </c>
      <c r="AL24">
        <v>0</v>
      </c>
      <c r="AM24">
        <v>8160</v>
      </c>
      <c r="AN24">
        <v>-1488</v>
      </c>
      <c r="AO24">
        <v>0</v>
      </c>
      <c r="AP24">
        <v>1080</v>
      </c>
      <c r="AQ24">
        <v>-324</v>
      </c>
      <c r="AR24">
        <v>0</v>
      </c>
      <c r="AS24">
        <v>7080</v>
      </c>
      <c r="AT24">
        <v>-1164</v>
      </c>
      <c r="AU24">
        <v>0</v>
      </c>
      <c r="AW24">
        <v>0</v>
      </c>
      <c r="AX24">
        <v>0</v>
      </c>
      <c r="AY24">
        <v>22590.400000000001</v>
      </c>
      <c r="BA24" t="str">
        <f t="shared" si="1"/>
        <v>0000000000000</v>
      </c>
      <c r="BC24" t="str">
        <f t="shared" si="10"/>
        <v>9791137604674</v>
      </c>
      <c r="BE24" t="str">
        <f t="shared" si="2"/>
        <v>BL 웹툰 &gt; 웹툰</v>
      </c>
    </row>
    <row r="25" spans="1:57" x14ac:dyDescent="0.3">
      <c r="A25">
        <v>4421002825</v>
      </c>
      <c r="B25">
        <v>4421002975</v>
      </c>
      <c r="C25" t="str">
        <f>T("테두리는 주시하지 않는다 16화")</f>
        <v>테두리는 주시하지 않는다 16화</v>
      </c>
      <c r="D25" t="str">
        <f>T("16")</f>
        <v>16</v>
      </c>
      <c r="E25" t="str">
        <f t="shared" si="7"/>
        <v>토찌, 키로즈</v>
      </c>
      <c r="G25" t="str">
        <f t="shared" si="8"/>
        <v>마린</v>
      </c>
      <c r="H25" t="str">
        <f t="shared" si="0"/>
        <v>스토리위즈</v>
      </c>
      <c r="I25" t="str">
        <f t="shared" si="9"/>
        <v>테두리는 주시하지 않는다</v>
      </c>
      <c r="J25">
        <v>500</v>
      </c>
      <c r="K25">
        <v>13000</v>
      </c>
      <c r="L25">
        <v>26</v>
      </c>
      <c r="M25">
        <v>0</v>
      </c>
      <c r="N25">
        <v>20400</v>
      </c>
      <c r="O25">
        <v>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33400</v>
      </c>
      <c r="AH25">
        <v>94</v>
      </c>
      <c r="AI25">
        <v>0</v>
      </c>
      <c r="AJ25">
        <v>0</v>
      </c>
      <c r="AK25">
        <v>26990</v>
      </c>
      <c r="AL25">
        <v>0</v>
      </c>
      <c r="AM25">
        <v>7692</v>
      </c>
      <c r="AN25">
        <v>-1371.6</v>
      </c>
      <c r="AO25">
        <v>0</v>
      </c>
      <c r="AP25">
        <v>756</v>
      </c>
      <c r="AQ25">
        <v>-226.8</v>
      </c>
      <c r="AR25">
        <v>0</v>
      </c>
      <c r="AS25">
        <v>6936</v>
      </c>
      <c r="AT25">
        <v>-1144.8</v>
      </c>
      <c r="AU25">
        <v>0</v>
      </c>
      <c r="AW25">
        <v>0</v>
      </c>
      <c r="AX25">
        <v>0</v>
      </c>
      <c r="AY25">
        <v>23317.279999999999</v>
      </c>
      <c r="BA25" t="str">
        <f t="shared" si="1"/>
        <v>0000000000000</v>
      </c>
      <c r="BC25" t="str">
        <f t="shared" si="10"/>
        <v>9791137604674</v>
      </c>
      <c r="BE25" t="str">
        <f t="shared" si="2"/>
        <v>BL 웹툰 &gt; 웹툰</v>
      </c>
    </row>
    <row r="26" spans="1:57" x14ac:dyDescent="0.3">
      <c r="A26">
        <v>4421002825</v>
      </c>
      <c r="B26">
        <v>4421002974</v>
      </c>
      <c r="C26" t="str">
        <f>T("테두리는 주시하지 않는다 15화")</f>
        <v>테두리는 주시하지 않는다 15화</v>
      </c>
      <c r="D26" t="str">
        <f>T("15")</f>
        <v>15</v>
      </c>
      <c r="E26" t="str">
        <f t="shared" si="7"/>
        <v>토찌, 키로즈</v>
      </c>
      <c r="G26" t="str">
        <f t="shared" si="8"/>
        <v>마린</v>
      </c>
      <c r="H26" t="str">
        <f t="shared" si="0"/>
        <v>스토리위즈</v>
      </c>
      <c r="I26" t="str">
        <f t="shared" si="9"/>
        <v>테두리는 주시하지 않는다</v>
      </c>
      <c r="J26">
        <v>500</v>
      </c>
      <c r="K26">
        <v>13000</v>
      </c>
      <c r="L26">
        <v>26</v>
      </c>
      <c r="M26">
        <v>0</v>
      </c>
      <c r="N26">
        <v>18600</v>
      </c>
      <c r="O26">
        <v>62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31600</v>
      </c>
      <c r="AH26">
        <v>88</v>
      </c>
      <c r="AI26">
        <v>0</v>
      </c>
      <c r="AJ26">
        <v>0</v>
      </c>
      <c r="AK26">
        <v>25300</v>
      </c>
      <c r="AL26">
        <v>0</v>
      </c>
      <c r="AM26">
        <v>7560</v>
      </c>
      <c r="AN26">
        <v>-1356</v>
      </c>
      <c r="AO26">
        <v>0</v>
      </c>
      <c r="AP26">
        <v>1080</v>
      </c>
      <c r="AQ26">
        <v>-324</v>
      </c>
      <c r="AR26">
        <v>0</v>
      </c>
      <c r="AS26">
        <v>6480</v>
      </c>
      <c r="AT26">
        <v>-1032</v>
      </c>
      <c r="AU26">
        <v>0</v>
      </c>
      <c r="AW26">
        <v>0</v>
      </c>
      <c r="AX26">
        <v>0</v>
      </c>
      <c r="AY26">
        <v>22052.799999999999</v>
      </c>
      <c r="BA26" t="str">
        <f t="shared" si="1"/>
        <v>0000000000000</v>
      </c>
      <c r="BC26" t="str">
        <f t="shared" si="10"/>
        <v>9791137604674</v>
      </c>
      <c r="BE26" t="str">
        <f t="shared" si="2"/>
        <v>BL 웹툰 &gt; 웹툰</v>
      </c>
    </row>
    <row r="27" spans="1:57" x14ac:dyDescent="0.3">
      <c r="A27">
        <v>4421002825</v>
      </c>
      <c r="B27">
        <v>4421002838</v>
      </c>
      <c r="C27" t="str">
        <f>T("테두리는 주시하지 않는다 10화")</f>
        <v>테두리는 주시하지 않는다 10화</v>
      </c>
      <c r="D27" t="str">
        <f>T("10")</f>
        <v>10</v>
      </c>
      <c r="E27" t="str">
        <f t="shared" si="7"/>
        <v>토찌, 키로즈</v>
      </c>
      <c r="G27" t="str">
        <f t="shared" si="8"/>
        <v>마린</v>
      </c>
      <c r="H27" t="str">
        <f t="shared" si="0"/>
        <v>스토리위즈</v>
      </c>
      <c r="I27" t="str">
        <f t="shared" si="9"/>
        <v>테두리는 주시하지 않는다</v>
      </c>
      <c r="J27">
        <v>500</v>
      </c>
      <c r="K27">
        <v>13000</v>
      </c>
      <c r="L27">
        <v>26</v>
      </c>
      <c r="M27">
        <v>0</v>
      </c>
      <c r="N27">
        <v>20400</v>
      </c>
      <c r="O27">
        <v>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33400</v>
      </c>
      <c r="AH27">
        <v>94</v>
      </c>
      <c r="AI27">
        <v>0</v>
      </c>
      <c r="AJ27">
        <v>0</v>
      </c>
      <c r="AK27">
        <v>26700</v>
      </c>
      <c r="AL27">
        <v>0</v>
      </c>
      <c r="AM27">
        <v>8040</v>
      </c>
      <c r="AN27">
        <v>-1476</v>
      </c>
      <c r="AO27">
        <v>0</v>
      </c>
      <c r="AP27">
        <v>1080</v>
      </c>
      <c r="AQ27">
        <v>-324</v>
      </c>
      <c r="AR27">
        <v>0</v>
      </c>
      <c r="AS27">
        <v>6960</v>
      </c>
      <c r="AT27">
        <v>-1152</v>
      </c>
      <c r="AU27">
        <v>0</v>
      </c>
      <c r="AW27">
        <v>0</v>
      </c>
      <c r="AX27">
        <v>0</v>
      </c>
      <c r="AY27">
        <v>23284.799999999999</v>
      </c>
      <c r="BA27" t="str">
        <f t="shared" si="1"/>
        <v>0000000000000</v>
      </c>
      <c r="BC27" t="str">
        <f t="shared" si="10"/>
        <v>9791137604674</v>
      </c>
      <c r="BE27" t="str">
        <f t="shared" si="2"/>
        <v>BL 웹툰 &gt; 웹툰</v>
      </c>
    </row>
    <row r="28" spans="1:57" x14ac:dyDescent="0.3">
      <c r="A28">
        <v>4421002825</v>
      </c>
      <c r="B28">
        <v>4421002836</v>
      </c>
      <c r="C28" t="str">
        <f>T("테두리는 주시하지 않는다 8화")</f>
        <v>테두리는 주시하지 않는다 8화</v>
      </c>
      <c r="D28" t="str">
        <f>T("8")</f>
        <v>8</v>
      </c>
      <c r="E28" t="str">
        <f t="shared" si="7"/>
        <v>토찌, 키로즈</v>
      </c>
      <c r="G28" t="str">
        <f t="shared" si="8"/>
        <v>마린</v>
      </c>
      <c r="H28" t="str">
        <f t="shared" si="0"/>
        <v>스토리위즈</v>
      </c>
      <c r="I28" t="str">
        <f t="shared" si="9"/>
        <v>테두리는 주시하지 않는다</v>
      </c>
      <c r="J28">
        <v>500</v>
      </c>
      <c r="K28">
        <v>10500</v>
      </c>
      <c r="L28">
        <v>21</v>
      </c>
      <c r="M28">
        <v>0</v>
      </c>
      <c r="N28">
        <v>22800</v>
      </c>
      <c r="O28">
        <v>76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33300</v>
      </c>
      <c r="AH28">
        <v>97</v>
      </c>
      <c r="AI28">
        <v>0</v>
      </c>
      <c r="AJ28">
        <v>0</v>
      </c>
      <c r="AK28">
        <v>25770</v>
      </c>
      <c r="AL28">
        <v>0</v>
      </c>
      <c r="AM28">
        <v>9036</v>
      </c>
      <c r="AN28">
        <v>-1606.8</v>
      </c>
      <c r="AO28">
        <v>0</v>
      </c>
      <c r="AP28">
        <v>876</v>
      </c>
      <c r="AQ28">
        <v>-262.8</v>
      </c>
      <c r="AR28">
        <v>0</v>
      </c>
      <c r="AS28">
        <v>8160</v>
      </c>
      <c r="AT28">
        <v>-1344</v>
      </c>
      <c r="AU28">
        <v>0</v>
      </c>
      <c r="AW28">
        <v>0</v>
      </c>
      <c r="AX28">
        <v>0</v>
      </c>
      <c r="AY28">
        <v>23239.439999999999</v>
      </c>
      <c r="BA28" t="str">
        <f t="shared" si="1"/>
        <v>0000000000000</v>
      </c>
      <c r="BC28" t="str">
        <f t="shared" si="10"/>
        <v>9791137604674</v>
      </c>
      <c r="BE28" t="str">
        <f t="shared" si="2"/>
        <v>BL 웹툰 &gt; 웹툰</v>
      </c>
    </row>
    <row r="29" spans="1:57" x14ac:dyDescent="0.3">
      <c r="A29">
        <v>4421002825</v>
      </c>
      <c r="B29">
        <v>4421002835</v>
      </c>
      <c r="C29" t="str">
        <f>T("테두리는 주시하지 않는다 7화")</f>
        <v>테두리는 주시하지 않는다 7화</v>
      </c>
      <c r="D29" t="str">
        <f>T("7")</f>
        <v>7</v>
      </c>
      <c r="E29" t="str">
        <f t="shared" si="7"/>
        <v>토찌, 키로즈</v>
      </c>
      <c r="G29" t="str">
        <f t="shared" si="8"/>
        <v>마린</v>
      </c>
      <c r="H29" t="str">
        <f t="shared" si="0"/>
        <v>스토리위즈</v>
      </c>
      <c r="I29" t="str">
        <f t="shared" si="9"/>
        <v>테두리는 주시하지 않는다</v>
      </c>
      <c r="J29">
        <v>500</v>
      </c>
      <c r="K29">
        <v>10500</v>
      </c>
      <c r="L29">
        <v>21</v>
      </c>
      <c r="M29">
        <v>0</v>
      </c>
      <c r="N29">
        <v>22200</v>
      </c>
      <c r="O29">
        <v>74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32700</v>
      </c>
      <c r="AH29">
        <v>95</v>
      </c>
      <c r="AI29">
        <v>0</v>
      </c>
      <c r="AJ29">
        <v>0</v>
      </c>
      <c r="AK29">
        <v>25650</v>
      </c>
      <c r="AL29">
        <v>0</v>
      </c>
      <c r="AM29">
        <v>8460</v>
      </c>
      <c r="AN29">
        <v>-1578</v>
      </c>
      <c r="AO29">
        <v>0</v>
      </c>
      <c r="AP29">
        <v>780</v>
      </c>
      <c r="AQ29">
        <v>-234</v>
      </c>
      <c r="AR29">
        <v>0</v>
      </c>
      <c r="AS29">
        <v>7680</v>
      </c>
      <c r="AT29">
        <v>-1344</v>
      </c>
      <c r="AU29">
        <v>0</v>
      </c>
      <c r="AW29">
        <v>0</v>
      </c>
      <c r="AX29">
        <v>0</v>
      </c>
      <c r="AY29">
        <v>22772.400000000001</v>
      </c>
      <c r="BA29" t="str">
        <f t="shared" si="1"/>
        <v>0000000000000</v>
      </c>
      <c r="BC29" t="str">
        <f t="shared" si="10"/>
        <v>9791137604674</v>
      </c>
      <c r="BE29" t="str">
        <f t="shared" si="2"/>
        <v>BL 웹툰 &gt; 웹툰</v>
      </c>
    </row>
    <row r="30" spans="1:57" x14ac:dyDescent="0.3">
      <c r="A30">
        <v>4421002825</v>
      </c>
      <c r="B30">
        <v>4421002837</v>
      </c>
      <c r="C30" t="str">
        <f>T("테두리는 주시하지 않는다 9화")</f>
        <v>테두리는 주시하지 않는다 9화</v>
      </c>
      <c r="D30" t="str">
        <f>T("9")</f>
        <v>9</v>
      </c>
      <c r="E30" t="str">
        <f t="shared" si="7"/>
        <v>토찌, 키로즈</v>
      </c>
      <c r="G30" t="str">
        <f t="shared" si="8"/>
        <v>마린</v>
      </c>
      <c r="H30" t="str">
        <f t="shared" si="0"/>
        <v>스토리위즈</v>
      </c>
      <c r="I30" t="str">
        <f t="shared" si="9"/>
        <v>테두리는 주시하지 않는다</v>
      </c>
      <c r="J30">
        <v>500</v>
      </c>
      <c r="K30">
        <v>10000</v>
      </c>
      <c r="L30">
        <v>20</v>
      </c>
      <c r="M30">
        <v>0</v>
      </c>
      <c r="N30">
        <v>21600</v>
      </c>
      <c r="O30">
        <v>72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31600</v>
      </c>
      <c r="AH30">
        <v>92</v>
      </c>
      <c r="AI30">
        <v>0</v>
      </c>
      <c r="AJ30">
        <v>0</v>
      </c>
      <c r="AK30">
        <v>24910</v>
      </c>
      <c r="AL30">
        <v>0</v>
      </c>
      <c r="AM30">
        <v>8028</v>
      </c>
      <c r="AN30">
        <v>-1474.8</v>
      </c>
      <c r="AO30">
        <v>0</v>
      </c>
      <c r="AP30">
        <v>1080</v>
      </c>
      <c r="AQ30">
        <v>-324</v>
      </c>
      <c r="AR30">
        <v>0</v>
      </c>
      <c r="AS30">
        <v>6948</v>
      </c>
      <c r="AT30">
        <v>-1150.8</v>
      </c>
      <c r="AU30">
        <v>0</v>
      </c>
      <c r="AW30">
        <v>0</v>
      </c>
      <c r="AX30">
        <v>0</v>
      </c>
      <c r="AY30">
        <v>22024.240000000002</v>
      </c>
      <c r="BA30" t="str">
        <f t="shared" si="1"/>
        <v>0000000000000</v>
      </c>
      <c r="BC30" t="str">
        <f t="shared" si="10"/>
        <v>9791137604674</v>
      </c>
      <c r="BE30" t="str">
        <f t="shared" si="2"/>
        <v>BL 웹툰 &gt; 웹툰</v>
      </c>
    </row>
    <row r="31" spans="1:57" x14ac:dyDescent="0.3">
      <c r="A31">
        <v>4421002825</v>
      </c>
      <c r="B31">
        <v>4421002834</v>
      </c>
      <c r="C31" t="str">
        <f>T("테두리는 주시하지 않는다 6화")</f>
        <v>테두리는 주시하지 않는다 6화</v>
      </c>
      <c r="D31" t="str">
        <f>T("6")</f>
        <v>6</v>
      </c>
      <c r="E31" t="str">
        <f t="shared" si="7"/>
        <v>토찌, 키로즈</v>
      </c>
      <c r="G31" t="str">
        <f t="shared" si="8"/>
        <v>마린</v>
      </c>
      <c r="H31" t="str">
        <f t="shared" si="0"/>
        <v>스토리위즈</v>
      </c>
      <c r="I31" t="str">
        <f t="shared" si="9"/>
        <v>테두리는 주시하지 않는다</v>
      </c>
      <c r="J31">
        <v>500</v>
      </c>
      <c r="K31">
        <v>10000</v>
      </c>
      <c r="L31">
        <v>20</v>
      </c>
      <c r="M31">
        <v>0</v>
      </c>
      <c r="N31">
        <v>22200</v>
      </c>
      <c r="O31">
        <v>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32200</v>
      </c>
      <c r="AH31">
        <v>94</v>
      </c>
      <c r="AI31">
        <v>0</v>
      </c>
      <c r="AJ31">
        <v>0</v>
      </c>
      <c r="AK31">
        <v>25500</v>
      </c>
      <c r="AL31">
        <v>0</v>
      </c>
      <c r="AM31">
        <v>8040</v>
      </c>
      <c r="AN31">
        <v>-1548</v>
      </c>
      <c r="AO31">
        <v>0</v>
      </c>
      <c r="AP31">
        <v>1080</v>
      </c>
      <c r="AQ31">
        <v>-324</v>
      </c>
      <c r="AR31">
        <v>0</v>
      </c>
      <c r="AS31">
        <v>6960</v>
      </c>
      <c r="AT31">
        <v>-1224</v>
      </c>
      <c r="AU31">
        <v>0</v>
      </c>
      <c r="AW31">
        <v>0</v>
      </c>
      <c r="AX31">
        <v>0</v>
      </c>
      <c r="AY31">
        <v>22394.400000000001</v>
      </c>
      <c r="BA31" t="str">
        <f t="shared" si="1"/>
        <v>0000000000000</v>
      </c>
      <c r="BC31" t="str">
        <f t="shared" si="10"/>
        <v>9791137604674</v>
      </c>
      <c r="BE31" t="str">
        <f t="shared" si="2"/>
        <v>BL 웹툰 &gt; 웹툰</v>
      </c>
    </row>
    <row r="32" spans="1:57" x14ac:dyDescent="0.3">
      <c r="A32">
        <v>4421002825</v>
      </c>
      <c r="B32">
        <v>4421002833</v>
      </c>
      <c r="C32" t="str">
        <f>T("테두리는 주시하지 않는다 5화")</f>
        <v>테두리는 주시하지 않는다 5화</v>
      </c>
      <c r="D32" t="str">
        <f>T("5")</f>
        <v>5</v>
      </c>
      <c r="E32" t="str">
        <f t="shared" si="7"/>
        <v>토찌, 키로즈</v>
      </c>
      <c r="G32" t="str">
        <f t="shared" si="8"/>
        <v>마린</v>
      </c>
      <c r="H32" t="str">
        <f t="shared" si="0"/>
        <v>스토리위즈</v>
      </c>
      <c r="I32" t="str">
        <f t="shared" si="9"/>
        <v>테두리는 주시하지 않는다</v>
      </c>
      <c r="J32">
        <v>500</v>
      </c>
      <c r="K32">
        <v>9500</v>
      </c>
      <c r="L32">
        <v>19</v>
      </c>
      <c r="M32">
        <v>0</v>
      </c>
      <c r="N32">
        <v>18300</v>
      </c>
      <c r="O32">
        <v>61</v>
      </c>
      <c r="P32">
        <v>72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27800</v>
      </c>
      <c r="AH32">
        <v>152</v>
      </c>
      <c r="AI32">
        <v>0</v>
      </c>
      <c r="AJ32">
        <v>0</v>
      </c>
      <c r="AK32">
        <v>22700</v>
      </c>
      <c r="AL32">
        <v>0</v>
      </c>
      <c r="AM32">
        <v>6120</v>
      </c>
      <c r="AN32">
        <v>-1140</v>
      </c>
      <c r="AO32">
        <v>0</v>
      </c>
      <c r="AP32">
        <v>1080</v>
      </c>
      <c r="AQ32">
        <v>-324</v>
      </c>
      <c r="AR32">
        <v>0</v>
      </c>
      <c r="AS32">
        <v>5040</v>
      </c>
      <c r="AT32">
        <v>-816</v>
      </c>
      <c r="AU32">
        <v>0</v>
      </c>
      <c r="AW32">
        <v>0</v>
      </c>
      <c r="AX32">
        <v>0</v>
      </c>
      <c r="AY32">
        <v>19376</v>
      </c>
      <c r="BA32" t="str">
        <f t="shared" si="1"/>
        <v>0000000000000</v>
      </c>
      <c r="BC32" t="str">
        <f t="shared" si="10"/>
        <v>9791137604674</v>
      </c>
      <c r="BE32" t="str">
        <f t="shared" si="2"/>
        <v>BL 웹툰 &gt; 웹툰</v>
      </c>
    </row>
    <row r="33" spans="1:58" x14ac:dyDescent="0.3">
      <c r="A33">
        <v>4421003051</v>
      </c>
      <c r="B33">
        <v>4421003052</v>
      </c>
      <c r="C33" t="str">
        <f>T("막상막하 2화")</f>
        <v>막상막하 2화</v>
      </c>
      <c r="D33" t="str">
        <f>T("2")</f>
        <v>2</v>
      </c>
      <c r="E33" t="str">
        <f>T("마뇽")</f>
        <v>마뇽</v>
      </c>
      <c r="G33" t="str">
        <f>T("쭈웅")</f>
        <v>쭈웅</v>
      </c>
      <c r="H33" t="str">
        <f t="shared" si="0"/>
        <v>스토리위즈</v>
      </c>
      <c r="I33" t="str">
        <f>T("막상막하")</f>
        <v>막상막하</v>
      </c>
      <c r="J33">
        <v>500</v>
      </c>
      <c r="K33">
        <v>8000</v>
      </c>
      <c r="L33">
        <v>16</v>
      </c>
      <c r="M33">
        <v>0</v>
      </c>
      <c r="N33">
        <v>0</v>
      </c>
      <c r="O33">
        <v>0</v>
      </c>
      <c r="P33">
        <v>1551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8000</v>
      </c>
      <c r="AH33">
        <v>1567</v>
      </c>
      <c r="AI33">
        <v>0</v>
      </c>
      <c r="AJ33">
        <v>0</v>
      </c>
      <c r="AK33">
        <v>7500</v>
      </c>
      <c r="AL33">
        <v>0</v>
      </c>
      <c r="AM33">
        <v>600</v>
      </c>
      <c r="AN33">
        <v>-60</v>
      </c>
      <c r="AO33">
        <v>0</v>
      </c>
      <c r="AP33"/>
      <c r="AQ33">
        <v>0</v>
      </c>
      <c r="AR33">
        <v>0</v>
      </c>
      <c r="AS33">
        <v>600</v>
      </c>
      <c r="AT33">
        <v>-60</v>
      </c>
      <c r="AU33">
        <v>0</v>
      </c>
      <c r="AW33">
        <v>0</v>
      </c>
      <c r="AX33">
        <v>0</v>
      </c>
      <c r="AY33">
        <v>5628</v>
      </c>
      <c r="BA33" t="str">
        <f t="shared" si="1"/>
        <v>0000000000000</v>
      </c>
      <c r="BC33" t="str">
        <f>T("9791137607293")</f>
        <v>9791137607293</v>
      </c>
      <c r="BE33" t="str">
        <f t="shared" si="2"/>
        <v>BL 웹툰 &gt; 웹툰</v>
      </c>
    </row>
    <row r="34" spans="1:58" x14ac:dyDescent="0.3">
      <c r="A34">
        <v>4421003051</v>
      </c>
      <c r="B34">
        <v>4421003051</v>
      </c>
      <c r="C34" t="str">
        <f>T("막상막하 1화")</f>
        <v>막상막하 1화</v>
      </c>
      <c r="D34" t="str">
        <f>T("1")</f>
        <v>1</v>
      </c>
      <c r="E34" t="str">
        <f>T("마뇽")</f>
        <v>마뇽</v>
      </c>
      <c r="G34" t="str">
        <f>T("쭈웅")</f>
        <v>쭈웅</v>
      </c>
      <c r="H34" t="str">
        <f t="shared" si="0"/>
        <v>스토리위즈</v>
      </c>
      <c r="I34" t="str">
        <f>T("막상막하")</f>
        <v>막상막하</v>
      </c>
      <c r="J34">
        <v>500</v>
      </c>
      <c r="K34">
        <v>8000</v>
      </c>
      <c r="L34">
        <v>16</v>
      </c>
      <c r="M34">
        <v>0</v>
      </c>
      <c r="N34">
        <v>0</v>
      </c>
      <c r="O34">
        <v>0</v>
      </c>
      <c r="P34">
        <v>1933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8000</v>
      </c>
      <c r="AH34">
        <v>1949</v>
      </c>
      <c r="AI34">
        <v>0</v>
      </c>
      <c r="AJ34">
        <v>0</v>
      </c>
      <c r="AK34">
        <v>7500</v>
      </c>
      <c r="AL34">
        <v>0</v>
      </c>
      <c r="AM34">
        <v>600</v>
      </c>
      <c r="AN34">
        <v>-60</v>
      </c>
      <c r="AO34">
        <v>0</v>
      </c>
      <c r="AP34"/>
      <c r="AQ34">
        <v>0</v>
      </c>
      <c r="AR34">
        <v>0</v>
      </c>
      <c r="AS34">
        <v>600</v>
      </c>
      <c r="AT34">
        <v>-60</v>
      </c>
      <c r="AU34">
        <v>0</v>
      </c>
      <c r="AW34">
        <v>0</v>
      </c>
      <c r="AX34">
        <v>0</v>
      </c>
      <c r="AY34">
        <v>5628</v>
      </c>
      <c r="BA34" t="str">
        <f t="shared" si="1"/>
        <v>0000000000000</v>
      </c>
      <c r="BC34" t="str">
        <f>T("9791137607293")</f>
        <v>9791137607293</v>
      </c>
      <c r="BE34" t="str">
        <f t="shared" si="2"/>
        <v>BL 웹툰 &gt; 웹툰</v>
      </c>
    </row>
    <row r="35" spans="1:58" x14ac:dyDescent="0.3">
      <c r="A35">
        <v>4421001305</v>
      </c>
      <c r="B35">
        <v>4421003108</v>
      </c>
      <c r="C35" t="str">
        <f>T("악역이지만, 남주는 꼬시지 않아요 51화")</f>
        <v>악역이지만, 남주는 꼬시지 않아요 51화</v>
      </c>
      <c r="D35" t="str">
        <f>T("51")</f>
        <v>51</v>
      </c>
      <c r="E35" t="str">
        <f>T("마북명")</f>
        <v>마북명</v>
      </c>
      <c r="G35" t="str">
        <f>T("kuri")</f>
        <v>kuri</v>
      </c>
      <c r="H35" t="str">
        <f t="shared" si="0"/>
        <v>스토리위즈</v>
      </c>
      <c r="I35" t="str">
        <f>T("악역이지만, 남주는 꼬시지 않아요")</f>
        <v>악역이지만, 남주는 꼬시지 않아요</v>
      </c>
      <c r="J35">
        <v>400</v>
      </c>
      <c r="K35">
        <v>4800</v>
      </c>
      <c r="L35">
        <v>12</v>
      </c>
      <c r="M35">
        <v>0</v>
      </c>
      <c r="N35">
        <v>6800</v>
      </c>
      <c r="O35">
        <v>34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11600</v>
      </c>
      <c r="AH35">
        <v>46</v>
      </c>
      <c r="AI35">
        <v>0</v>
      </c>
      <c r="AJ35">
        <v>0</v>
      </c>
      <c r="AK35">
        <v>9280</v>
      </c>
      <c r="AL35">
        <v>0</v>
      </c>
      <c r="AM35">
        <v>2784.82</v>
      </c>
      <c r="AN35">
        <v>-662.65</v>
      </c>
      <c r="AO35">
        <v>0</v>
      </c>
      <c r="AP35">
        <v>960.82</v>
      </c>
      <c r="AQ35">
        <v>-288.25</v>
      </c>
      <c r="AR35">
        <v>0</v>
      </c>
      <c r="AS35">
        <v>1824</v>
      </c>
      <c r="AT35">
        <v>-374.4</v>
      </c>
      <c r="AU35">
        <v>0</v>
      </c>
      <c r="AW35">
        <v>0</v>
      </c>
      <c r="AX35">
        <v>0</v>
      </c>
      <c r="AY35">
        <v>7981.52</v>
      </c>
      <c r="BA35" t="str">
        <f t="shared" si="1"/>
        <v>0000000000000</v>
      </c>
      <c r="BC35" t="str">
        <f>T("9791137603882")</f>
        <v>9791137603882</v>
      </c>
      <c r="BE35" t="str">
        <f t="shared" ref="BE35:BE42" si="11">T("웹툰 &gt; 해외 순정")</f>
        <v>웹툰 &gt; 해외 순정</v>
      </c>
      <c r="BF35" t="str">
        <f>T("웹툰 &gt; 로판")</f>
        <v>웹툰 &gt; 로판</v>
      </c>
    </row>
    <row r="36" spans="1:58" x14ac:dyDescent="0.3">
      <c r="A36">
        <v>4421001305</v>
      </c>
      <c r="B36">
        <v>4421003102</v>
      </c>
      <c r="C36" t="str">
        <f>T("악역이지만, 남주는 꼬시지 않아요 50화")</f>
        <v>악역이지만, 남주는 꼬시지 않아요 50화</v>
      </c>
      <c r="D36" t="str">
        <f>T("50")</f>
        <v>50</v>
      </c>
      <c r="E36" t="str">
        <f>T("마북명")</f>
        <v>마북명</v>
      </c>
      <c r="G36" t="str">
        <f>T("kuri")</f>
        <v>kuri</v>
      </c>
      <c r="H36" t="str">
        <f t="shared" si="0"/>
        <v>스토리위즈</v>
      </c>
      <c r="I36" t="str">
        <f>T("악역이지만, 남주는 꼬시지 않아요")</f>
        <v>악역이지만, 남주는 꼬시지 않아요</v>
      </c>
      <c r="J36">
        <v>400</v>
      </c>
      <c r="K36">
        <v>4800</v>
      </c>
      <c r="L36">
        <v>12</v>
      </c>
      <c r="M36">
        <v>0</v>
      </c>
      <c r="N36">
        <v>7200</v>
      </c>
      <c r="O36">
        <v>36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12000</v>
      </c>
      <c r="AH36">
        <v>48</v>
      </c>
      <c r="AI36">
        <v>0</v>
      </c>
      <c r="AJ36">
        <v>0</v>
      </c>
      <c r="AK36">
        <v>9620</v>
      </c>
      <c r="AL36">
        <v>0</v>
      </c>
      <c r="AM36">
        <v>2856.82</v>
      </c>
      <c r="AN36">
        <v>-669.85</v>
      </c>
      <c r="AO36">
        <v>0</v>
      </c>
      <c r="AP36">
        <v>960.82</v>
      </c>
      <c r="AQ36">
        <v>-288.25</v>
      </c>
      <c r="AR36">
        <v>0</v>
      </c>
      <c r="AS36">
        <v>1896</v>
      </c>
      <c r="AT36">
        <v>-381.6</v>
      </c>
      <c r="AU36">
        <v>0</v>
      </c>
      <c r="AW36">
        <v>0</v>
      </c>
      <c r="AX36">
        <v>0</v>
      </c>
      <c r="AY36">
        <v>8264.8799999999992</v>
      </c>
      <c r="BA36" t="str">
        <f t="shared" si="1"/>
        <v>0000000000000</v>
      </c>
      <c r="BC36" t="str">
        <f>T("9791137603882")</f>
        <v>9791137603882</v>
      </c>
      <c r="BE36" t="str">
        <f t="shared" si="11"/>
        <v>웹툰 &gt; 해외 순정</v>
      </c>
      <c r="BF36" t="str">
        <f>T("웹툰 &gt; 로판")</f>
        <v>웹툰 &gt; 로판</v>
      </c>
    </row>
    <row r="37" spans="1:58" x14ac:dyDescent="0.3">
      <c r="A37">
        <v>4421001305</v>
      </c>
      <c r="B37">
        <v>4421003116</v>
      </c>
      <c r="C37" t="str">
        <f>T("악역이지만, 남주는 꼬시지 않아요 52화")</f>
        <v>악역이지만, 남주는 꼬시지 않아요 52화</v>
      </c>
      <c r="D37" t="str">
        <f>T("52")</f>
        <v>52</v>
      </c>
      <c r="E37" t="str">
        <f>T("마북명")</f>
        <v>마북명</v>
      </c>
      <c r="G37" t="str">
        <f>T("kuri")</f>
        <v>kuri</v>
      </c>
      <c r="H37" t="str">
        <f t="shared" si="0"/>
        <v>스토리위즈</v>
      </c>
      <c r="I37" t="str">
        <f>T("악역이지만, 남주는 꼬시지 않아요")</f>
        <v>악역이지만, 남주는 꼬시지 않아요</v>
      </c>
      <c r="J37">
        <v>400</v>
      </c>
      <c r="K37">
        <v>4000</v>
      </c>
      <c r="L37">
        <v>10</v>
      </c>
      <c r="M37">
        <v>0</v>
      </c>
      <c r="N37">
        <v>6600</v>
      </c>
      <c r="O37">
        <v>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10600</v>
      </c>
      <c r="AH37">
        <v>43</v>
      </c>
      <c r="AI37">
        <v>0</v>
      </c>
      <c r="AJ37">
        <v>0</v>
      </c>
      <c r="AK37">
        <v>8400</v>
      </c>
      <c r="AL37">
        <v>0</v>
      </c>
      <c r="AM37">
        <v>2640.82</v>
      </c>
      <c r="AN37">
        <v>-648.25</v>
      </c>
      <c r="AO37">
        <v>0</v>
      </c>
      <c r="AP37">
        <v>1200.82</v>
      </c>
      <c r="AQ37">
        <v>-360.25</v>
      </c>
      <c r="AR37">
        <v>0</v>
      </c>
      <c r="AS37">
        <v>1440</v>
      </c>
      <c r="AT37">
        <v>-288</v>
      </c>
      <c r="AU37">
        <v>0</v>
      </c>
      <c r="AW37">
        <v>0</v>
      </c>
      <c r="AX37">
        <v>0</v>
      </c>
      <c r="AY37">
        <v>7274.8</v>
      </c>
      <c r="BA37" t="str">
        <f t="shared" si="1"/>
        <v>0000000000000</v>
      </c>
      <c r="BC37" t="str">
        <f>T("9791137603882")</f>
        <v>9791137603882</v>
      </c>
      <c r="BE37" t="str">
        <f t="shared" si="11"/>
        <v>웹툰 &gt; 해외 순정</v>
      </c>
      <c r="BF37" t="str">
        <f>T("웹툰 &gt; 로판")</f>
        <v>웹툰 &gt; 로판</v>
      </c>
    </row>
    <row r="38" spans="1:58" x14ac:dyDescent="0.3">
      <c r="A38">
        <v>4421000916</v>
      </c>
      <c r="B38">
        <v>4421003110</v>
      </c>
      <c r="C38" t="str">
        <f>T("별빛 아래 우리 99화")</f>
        <v>별빛 아래 우리 99화</v>
      </c>
      <c r="D38" t="str">
        <f>T("100")</f>
        <v>100</v>
      </c>
      <c r="E38" t="str">
        <f>T("건일")</f>
        <v>건일</v>
      </c>
      <c r="G38" t="str">
        <f>T("건일")</f>
        <v>건일</v>
      </c>
      <c r="H38" t="str">
        <f t="shared" si="0"/>
        <v>스토리위즈</v>
      </c>
      <c r="I38" t="str">
        <f>T("별빛 아래 우리")</f>
        <v>별빛 아래 우리</v>
      </c>
      <c r="J38">
        <v>400</v>
      </c>
      <c r="K38">
        <v>4000</v>
      </c>
      <c r="L38">
        <v>10</v>
      </c>
      <c r="M38">
        <v>0</v>
      </c>
      <c r="N38">
        <v>6600</v>
      </c>
      <c r="O38">
        <v>33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10600</v>
      </c>
      <c r="AH38">
        <v>43</v>
      </c>
      <c r="AI38">
        <v>0</v>
      </c>
      <c r="AJ38">
        <v>0</v>
      </c>
      <c r="AK38">
        <v>7582</v>
      </c>
      <c r="AL38">
        <v>0</v>
      </c>
      <c r="AM38">
        <v>3621.6</v>
      </c>
      <c r="AN38">
        <v>-784.56</v>
      </c>
      <c r="AO38">
        <v>0</v>
      </c>
      <c r="AP38">
        <v>1392</v>
      </c>
      <c r="AQ38">
        <v>-417.6</v>
      </c>
      <c r="AR38">
        <v>0</v>
      </c>
      <c r="AS38">
        <v>2229.6</v>
      </c>
      <c r="AT38">
        <v>-366.96</v>
      </c>
      <c r="AU38">
        <v>0</v>
      </c>
      <c r="AW38">
        <v>0</v>
      </c>
      <c r="AX38">
        <v>0</v>
      </c>
      <c r="AY38">
        <v>7293.33</v>
      </c>
      <c r="BA38" t="str">
        <f t="shared" si="1"/>
        <v>0000000000000</v>
      </c>
      <c r="BC38" t="str">
        <f>T("9791137601413")</f>
        <v>9791137601413</v>
      </c>
      <c r="BE38" t="str">
        <f t="shared" si="11"/>
        <v>웹툰 &gt; 해외 순정</v>
      </c>
      <c r="BF38" t="str">
        <f>T("웹툰 &gt; 로맨스")</f>
        <v>웹툰 &gt; 로맨스</v>
      </c>
    </row>
    <row r="39" spans="1:58" x14ac:dyDescent="0.3">
      <c r="A39">
        <v>4421000916</v>
      </c>
      <c r="B39">
        <v>4421003104</v>
      </c>
      <c r="C39" t="str">
        <f>T("별빛 아래 우리 특별편")</f>
        <v>별빛 아래 우리 특별편</v>
      </c>
      <c r="D39" t="str">
        <f>T("99")</f>
        <v>99</v>
      </c>
      <c r="E39" t="str">
        <f>T("건일")</f>
        <v>건일</v>
      </c>
      <c r="G39" t="str">
        <f>T("건일")</f>
        <v>건일</v>
      </c>
      <c r="H39" t="str">
        <f t="shared" si="0"/>
        <v>스토리위즈</v>
      </c>
      <c r="I39" t="str">
        <f>T("별빛 아래 우리")</f>
        <v>별빛 아래 우리</v>
      </c>
      <c r="J39">
        <v>400</v>
      </c>
      <c r="K39">
        <v>4000</v>
      </c>
      <c r="L39">
        <v>10</v>
      </c>
      <c r="M39">
        <v>0</v>
      </c>
      <c r="N39">
        <v>7400</v>
      </c>
      <c r="O39">
        <v>37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11400</v>
      </c>
      <c r="AH39">
        <v>47</v>
      </c>
      <c r="AI39">
        <v>0</v>
      </c>
      <c r="AJ39">
        <v>0</v>
      </c>
      <c r="AK39">
        <v>8182</v>
      </c>
      <c r="AL39">
        <v>0</v>
      </c>
      <c r="AM39">
        <v>3861.6</v>
      </c>
      <c r="AN39">
        <v>-916.56</v>
      </c>
      <c r="AO39">
        <v>0</v>
      </c>
      <c r="AP39">
        <v>1452</v>
      </c>
      <c r="AQ39">
        <v>-435.6</v>
      </c>
      <c r="AR39">
        <v>0</v>
      </c>
      <c r="AS39">
        <v>2409.6</v>
      </c>
      <c r="AT39">
        <v>-480.96</v>
      </c>
      <c r="AU39">
        <v>0</v>
      </c>
      <c r="AW39">
        <v>0</v>
      </c>
      <c r="AX39">
        <v>0</v>
      </c>
      <c r="AY39">
        <v>7788.93</v>
      </c>
      <c r="BA39" t="str">
        <f t="shared" si="1"/>
        <v>0000000000000</v>
      </c>
      <c r="BC39" t="str">
        <f>T("9791137601413")</f>
        <v>9791137601413</v>
      </c>
      <c r="BE39" t="str">
        <f t="shared" si="11"/>
        <v>웹툰 &gt; 해외 순정</v>
      </c>
      <c r="BF39" t="str">
        <f>T("웹툰 &gt; 로맨스")</f>
        <v>웹툰 &gt; 로맨스</v>
      </c>
    </row>
    <row r="40" spans="1:58" x14ac:dyDescent="0.3">
      <c r="A40">
        <v>4421000916</v>
      </c>
      <c r="B40">
        <v>4421003119</v>
      </c>
      <c r="C40" t="str">
        <f>T("별빛 아래 우리 100화")</f>
        <v>별빛 아래 우리 100화</v>
      </c>
      <c r="D40" t="str">
        <f>T("101")</f>
        <v>101</v>
      </c>
      <c r="E40" t="str">
        <f>T("건일")</f>
        <v>건일</v>
      </c>
      <c r="G40" t="str">
        <f>T("건일")</f>
        <v>건일</v>
      </c>
      <c r="H40" t="str">
        <f t="shared" si="0"/>
        <v>스토리위즈</v>
      </c>
      <c r="I40" t="str">
        <f>T("별빛 아래 우리")</f>
        <v>별빛 아래 우리</v>
      </c>
      <c r="J40">
        <v>400</v>
      </c>
      <c r="K40">
        <v>4000</v>
      </c>
      <c r="L40">
        <v>10</v>
      </c>
      <c r="M40">
        <v>0</v>
      </c>
      <c r="N40">
        <v>6200</v>
      </c>
      <c r="O40">
        <v>31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10200</v>
      </c>
      <c r="AH40">
        <v>41</v>
      </c>
      <c r="AI40">
        <v>0</v>
      </c>
      <c r="AJ40">
        <v>0</v>
      </c>
      <c r="AK40">
        <v>7142</v>
      </c>
      <c r="AL40">
        <v>0</v>
      </c>
      <c r="AM40">
        <v>3669.6</v>
      </c>
      <c r="AN40">
        <v>-846.96</v>
      </c>
      <c r="AO40">
        <v>0</v>
      </c>
      <c r="AP40">
        <v>1440</v>
      </c>
      <c r="AQ40">
        <v>-432</v>
      </c>
      <c r="AR40">
        <v>0</v>
      </c>
      <c r="AS40">
        <v>2229.6</v>
      </c>
      <c r="AT40">
        <v>-414.96</v>
      </c>
      <c r="AU40">
        <v>0</v>
      </c>
      <c r="AW40">
        <v>0</v>
      </c>
      <c r="AX40">
        <v>0</v>
      </c>
      <c r="AY40">
        <v>6975.25</v>
      </c>
      <c r="BA40" t="str">
        <f t="shared" si="1"/>
        <v>0000000000000</v>
      </c>
      <c r="BC40" t="str">
        <f>T("9791137601413")</f>
        <v>9791137601413</v>
      </c>
      <c r="BE40" t="str">
        <f t="shared" si="11"/>
        <v>웹툰 &gt; 해외 순정</v>
      </c>
      <c r="BF40" t="str">
        <f>T("웹툰 &gt; 로맨스")</f>
        <v>웹툰 &gt; 로맨스</v>
      </c>
    </row>
    <row r="41" spans="1:58" x14ac:dyDescent="0.3">
      <c r="A41">
        <v>4421001305</v>
      </c>
      <c r="B41">
        <v>4421003117</v>
      </c>
      <c r="C41" t="str">
        <f>T("악역이지만, 남주는 꼬시지 않아요 53화")</f>
        <v>악역이지만, 남주는 꼬시지 않아요 53화</v>
      </c>
      <c r="D41" t="str">
        <f>T("53")</f>
        <v>53</v>
      </c>
      <c r="E41" t="str">
        <f>T("마북명")</f>
        <v>마북명</v>
      </c>
      <c r="G41" t="str">
        <f>T("kuri")</f>
        <v>kuri</v>
      </c>
      <c r="H41" t="str">
        <f t="shared" si="0"/>
        <v>스토리위즈</v>
      </c>
      <c r="I41" t="str">
        <f>T("악역이지만, 남주는 꼬시지 않아요")</f>
        <v>악역이지만, 남주는 꼬시지 않아요</v>
      </c>
      <c r="J41">
        <v>400</v>
      </c>
      <c r="K41">
        <v>4000</v>
      </c>
      <c r="L41">
        <v>10</v>
      </c>
      <c r="M41">
        <v>0</v>
      </c>
      <c r="N41">
        <v>4600</v>
      </c>
      <c r="O41">
        <v>23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8600</v>
      </c>
      <c r="AH41">
        <v>33</v>
      </c>
      <c r="AI41">
        <v>0</v>
      </c>
      <c r="AJ41">
        <v>0</v>
      </c>
      <c r="AK41">
        <v>6400</v>
      </c>
      <c r="AL41">
        <v>0</v>
      </c>
      <c r="AM41">
        <v>2640.82</v>
      </c>
      <c r="AN41">
        <v>-552.25</v>
      </c>
      <c r="AO41">
        <v>0</v>
      </c>
      <c r="AP41">
        <v>960.82</v>
      </c>
      <c r="AQ41">
        <v>-288.25</v>
      </c>
      <c r="AR41">
        <v>0</v>
      </c>
      <c r="AS41">
        <v>1680</v>
      </c>
      <c r="AT41">
        <v>-264</v>
      </c>
      <c r="AU41">
        <v>0</v>
      </c>
      <c r="AW41">
        <v>0</v>
      </c>
      <c r="AX41">
        <v>0</v>
      </c>
      <c r="AY41">
        <v>5942</v>
      </c>
      <c r="BA41" t="str">
        <f t="shared" si="1"/>
        <v>0000000000000</v>
      </c>
      <c r="BC41" t="str">
        <f>T("9791137603882")</f>
        <v>9791137603882</v>
      </c>
      <c r="BE41" t="str">
        <f t="shared" si="11"/>
        <v>웹툰 &gt; 해외 순정</v>
      </c>
      <c r="BF41" t="str">
        <f>T("웹툰 &gt; 로판")</f>
        <v>웹툰 &gt; 로판</v>
      </c>
    </row>
    <row r="42" spans="1:58" x14ac:dyDescent="0.3">
      <c r="A42">
        <v>4421000916</v>
      </c>
      <c r="B42">
        <v>4421003120</v>
      </c>
      <c r="C42" t="str">
        <f>T("별빛 아래 우리 101화")</f>
        <v>별빛 아래 우리 101화</v>
      </c>
      <c r="D42" t="str">
        <f>T("102")</f>
        <v>102</v>
      </c>
      <c r="E42" t="str">
        <f>T("건일")</f>
        <v>건일</v>
      </c>
      <c r="G42" t="str">
        <f>T("건일")</f>
        <v>건일</v>
      </c>
      <c r="H42" t="str">
        <f t="shared" si="0"/>
        <v>스토리위즈</v>
      </c>
      <c r="I42" t="str">
        <f>T("별빛 아래 우리")</f>
        <v>별빛 아래 우리</v>
      </c>
      <c r="J42">
        <v>400</v>
      </c>
      <c r="K42">
        <v>3600</v>
      </c>
      <c r="L42">
        <v>9</v>
      </c>
      <c r="M42">
        <v>0</v>
      </c>
      <c r="N42">
        <v>4800</v>
      </c>
      <c r="O42">
        <v>24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8400</v>
      </c>
      <c r="AH42">
        <v>33</v>
      </c>
      <c r="AI42">
        <v>0</v>
      </c>
      <c r="AJ42">
        <v>0</v>
      </c>
      <c r="AK42">
        <v>5200</v>
      </c>
      <c r="AL42">
        <v>0</v>
      </c>
      <c r="AM42">
        <v>3840</v>
      </c>
      <c r="AN42">
        <v>-960</v>
      </c>
      <c r="AO42">
        <v>0</v>
      </c>
      <c r="AP42">
        <v>1920</v>
      </c>
      <c r="AQ42">
        <v>-576</v>
      </c>
      <c r="AR42">
        <v>0</v>
      </c>
      <c r="AS42">
        <v>1920</v>
      </c>
      <c r="AT42">
        <v>-384</v>
      </c>
      <c r="AU42">
        <v>0</v>
      </c>
      <c r="AW42">
        <v>0</v>
      </c>
      <c r="AX42">
        <v>0</v>
      </c>
      <c r="AY42">
        <v>5656</v>
      </c>
      <c r="BA42" t="str">
        <f t="shared" si="1"/>
        <v>0000000000000</v>
      </c>
      <c r="BC42" t="str">
        <f>T("9791137601413")</f>
        <v>9791137601413</v>
      </c>
      <c r="BE42" t="str">
        <f t="shared" si="11"/>
        <v>웹툰 &gt; 해외 순정</v>
      </c>
      <c r="BF42" t="str">
        <f>T("웹툰 &gt; 로맨스")</f>
        <v>웹툰 &gt; 로맨스</v>
      </c>
    </row>
    <row r="43" spans="1:58" x14ac:dyDescent="0.3">
      <c r="A43">
        <v>4421002829</v>
      </c>
      <c r="B43">
        <v>4421003114</v>
      </c>
      <c r="C43" t="str">
        <f>T("테두리는 주시하지 않는다 (개정판) 25화")</f>
        <v>테두리는 주시하지 않는다 (개정판) 25화</v>
      </c>
      <c r="D43" t="str">
        <f>T("25")</f>
        <v>25</v>
      </c>
      <c r="E43" t="str">
        <f>T("토찌, 키로즈")</f>
        <v>토찌, 키로즈</v>
      </c>
      <c r="G43" t="str">
        <f>T("마린")</f>
        <v>마린</v>
      </c>
      <c r="H43" t="str">
        <f t="shared" si="0"/>
        <v>스토리위즈</v>
      </c>
      <c r="I43" t="str">
        <f>T("테두리는 주시하지 않는다 (개정판)")</f>
        <v>테두리는 주시하지 않는다 (개정판)</v>
      </c>
      <c r="J43">
        <v>500</v>
      </c>
      <c r="K43">
        <v>3500</v>
      </c>
      <c r="L43">
        <v>7</v>
      </c>
      <c r="M43">
        <v>0</v>
      </c>
      <c r="N43">
        <v>10500</v>
      </c>
      <c r="O43">
        <v>35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14000</v>
      </c>
      <c r="AH43">
        <v>42</v>
      </c>
      <c r="AI43">
        <v>0</v>
      </c>
      <c r="AJ43">
        <v>0</v>
      </c>
      <c r="AK43">
        <v>8500</v>
      </c>
      <c r="AL43">
        <v>0</v>
      </c>
      <c r="AM43">
        <v>6600</v>
      </c>
      <c r="AN43">
        <v>-1020</v>
      </c>
      <c r="AO43">
        <v>0</v>
      </c>
      <c r="AP43">
        <v>1440</v>
      </c>
      <c r="AQ43">
        <v>-432</v>
      </c>
      <c r="AR43">
        <v>0</v>
      </c>
      <c r="AS43">
        <v>5160</v>
      </c>
      <c r="AT43">
        <v>-588</v>
      </c>
      <c r="AU43">
        <v>0</v>
      </c>
      <c r="AW43">
        <v>0</v>
      </c>
      <c r="AX43">
        <v>0</v>
      </c>
      <c r="AY43">
        <v>9856</v>
      </c>
      <c r="BA43" t="str">
        <f t="shared" si="1"/>
        <v>0000000000000</v>
      </c>
      <c r="BC43" t="str">
        <f>T("9791137604681")</f>
        <v>9791137604681</v>
      </c>
      <c r="BE43" t="str">
        <f>T("BL 웹툰 &gt; 웹툰")</f>
        <v>BL 웹툰 &gt; 웹툰</v>
      </c>
    </row>
    <row r="44" spans="1:58" x14ac:dyDescent="0.3">
      <c r="A44">
        <v>4421000916</v>
      </c>
      <c r="B44">
        <v>4421003096</v>
      </c>
      <c r="C44" t="str">
        <f>T("별빛 아래 우리 98화")</f>
        <v>별빛 아래 우리 98화</v>
      </c>
      <c r="D44" t="str">
        <f>T("98")</f>
        <v>98</v>
      </c>
      <c r="E44" t="str">
        <f>T("건일")</f>
        <v>건일</v>
      </c>
      <c r="G44" t="str">
        <f>T("건일")</f>
        <v>건일</v>
      </c>
      <c r="H44" t="str">
        <f t="shared" si="0"/>
        <v>스토리위즈</v>
      </c>
      <c r="I44" t="str">
        <f>T("별빛 아래 우리")</f>
        <v>별빛 아래 우리</v>
      </c>
      <c r="J44">
        <v>400</v>
      </c>
      <c r="K44">
        <v>3200</v>
      </c>
      <c r="L44">
        <v>8</v>
      </c>
      <c r="M44">
        <v>0</v>
      </c>
      <c r="N44">
        <v>3600</v>
      </c>
      <c r="O44">
        <v>18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6800</v>
      </c>
      <c r="AH44">
        <v>26</v>
      </c>
      <c r="AI44">
        <v>0</v>
      </c>
      <c r="AJ44">
        <v>0</v>
      </c>
      <c r="AK44">
        <v>5142</v>
      </c>
      <c r="AL44">
        <v>0</v>
      </c>
      <c r="AM44">
        <v>1989.6</v>
      </c>
      <c r="AN44">
        <v>-486.96</v>
      </c>
      <c r="AO44">
        <v>0</v>
      </c>
      <c r="AP44">
        <v>960</v>
      </c>
      <c r="AQ44">
        <v>-288</v>
      </c>
      <c r="AR44">
        <v>0</v>
      </c>
      <c r="AS44">
        <v>1029.5999999999999</v>
      </c>
      <c r="AT44">
        <v>-198.96</v>
      </c>
      <c r="AU44">
        <v>0</v>
      </c>
      <c r="AW44">
        <v>0</v>
      </c>
      <c r="AX44">
        <v>0</v>
      </c>
      <c r="AY44">
        <v>4651.25</v>
      </c>
      <c r="BA44" t="str">
        <f t="shared" si="1"/>
        <v>0000000000000</v>
      </c>
      <c r="BC44" t="str">
        <f>T("9791137601413")</f>
        <v>9791137601413</v>
      </c>
      <c r="BE44" t="str">
        <f>T("웹툰 &gt; 해외 순정")</f>
        <v>웹툰 &gt; 해외 순정</v>
      </c>
      <c r="BF44" t="str">
        <f>T("웹툰 &gt; 로맨스")</f>
        <v>웹툰 &gt; 로맨스</v>
      </c>
    </row>
    <row r="45" spans="1:58" x14ac:dyDescent="0.3">
      <c r="A45">
        <v>4421002829</v>
      </c>
      <c r="B45">
        <v>4421003113</v>
      </c>
      <c r="C45" t="str">
        <f>T("테두리는 주시하지 않는다 (개정판) 24화")</f>
        <v>테두리는 주시하지 않는다 (개정판) 24화</v>
      </c>
      <c r="D45" t="str">
        <f>T("24")</f>
        <v>24</v>
      </c>
      <c r="E45" t="str">
        <f>T("토찌, 키로즈")</f>
        <v>토찌, 키로즈</v>
      </c>
      <c r="G45" t="str">
        <f>T("마린")</f>
        <v>마린</v>
      </c>
      <c r="H45" t="str">
        <f t="shared" si="0"/>
        <v>스토리위즈</v>
      </c>
      <c r="I45" t="str">
        <f>T("테두리는 주시하지 않는다 (개정판)")</f>
        <v>테두리는 주시하지 않는다 (개정판)</v>
      </c>
      <c r="J45">
        <v>500</v>
      </c>
      <c r="K45">
        <v>3000</v>
      </c>
      <c r="L45">
        <v>6</v>
      </c>
      <c r="M45">
        <v>0</v>
      </c>
      <c r="N45">
        <v>13500</v>
      </c>
      <c r="O45">
        <v>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16500</v>
      </c>
      <c r="AH45">
        <v>51</v>
      </c>
      <c r="AI45">
        <v>0</v>
      </c>
      <c r="AJ45">
        <v>0</v>
      </c>
      <c r="AK45">
        <v>9460</v>
      </c>
      <c r="AL45">
        <v>0</v>
      </c>
      <c r="AM45">
        <v>8448</v>
      </c>
      <c r="AN45">
        <v>-1468.8</v>
      </c>
      <c r="AO45">
        <v>0</v>
      </c>
      <c r="AP45">
        <v>2760</v>
      </c>
      <c r="AQ45">
        <v>-828</v>
      </c>
      <c r="AR45">
        <v>0</v>
      </c>
      <c r="AS45">
        <v>5688</v>
      </c>
      <c r="AT45">
        <v>-640.79999999999995</v>
      </c>
      <c r="AU45">
        <v>0</v>
      </c>
      <c r="AW45">
        <v>0</v>
      </c>
      <c r="AX45">
        <v>0</v>
      </c>
      <c r="AY45">
        <v>11507.44</v>
      </c>
      <c r="BA45" t="str">
        <f t="shared" si="1"/>
        <v>0000000000000</v>
      </c>
      <c r="BC45" t="str">
        <f>T("9791137604681")</f>
        <v>9791137604681</v>
      </c>
      <c r="BE45" t="str">
        <f>T("BL 웹툰 &gt; 웹툰")</f>
        <v>BL 웹툰 &gt; 웹툰</v>
      </c>
    </row>
    <row r="46" spans="1:58" x14ac:dyDescent="0.3">
      <c r="A46">
        <v>4421000916</v>
      </c>
      <c r="B46">
        <v>4421003063</v>
      </c>
      <c r="C46" t="str">
        <f>T("별빛 아래 우리 97화")</f>
        <v>별빛 아래 우리 97화</v>
      </c>
      <c r="D46" t="str">
        <f>T("97")</f>
        <v>97</v>
      </c>
      <c r="E46" t="str">
        <f>T("건일")</f>
        <v>건일</v>
      </c>
      <c r="G46" t="str">
        <f>T("건일")</f>
        <v>건일</v>
      </c>
      <c r="H46" t="str">
        <f t="shared" si="0"/>
        <v>스토리위즈</v>
      </c>
      <c r="I46" t="str">
        <f>T("별빛 아래 우리")</f>
        <v>별빛 아래 우리</v>
      </c>
      <c r="J46">
        <v>400</v>
      </c>
      <c r="K46">
        <v>2800</v>
      </c>
      <c r="L46">
        <v>7</v>
      </c>
      <c r="M46">
        <v>0</v>
      </c>
      <c r="N46">
        <v>3400</v>
      </c>
      <c r="O46">
        <v>17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6200</v>
      </c>
      <c r="AH46">
        <v>24</v>
      </c>
      <c r="AI46">
        <v>0</v>
      </c>
      <c r="AJ46">
        <v>0</v>
      </c>
      <c r="AK46">
        <v>4342</v>
      </c>
      <c r="AL46">
        <v>0</v>
      </c>
      <c r="AM46">
        <v>2229.6</v>
      </c>
      <c r="AN46">
        <v>-558.96</v>
      </c>
      <c r="AO46">
        <v>0</v>
      </c>
      <c r="AP46">
        <v>1200</v>
      </c>
      <c r="AQ46">
        <v>-360</v>
      </c>
      <c r="AR46">
        <v>0</v>
      </c>
      <c r="AS46">
        <v>1029.5999999999999</v>
      </c>
      <c r="AT46">
        <v>-198.96</v>
      </c>
      <c r="AU46">
        <v>0</v>
      </c>
      <c r="AW46">
        <v>0</v>
      </c>
      <c r="AX46">
        <v>0</v>
      </c>
      <c r="AY46">
        <v>4208.8500000000004</v>
      </c>
      <c r="BA46" t="str">
        <f t="shared" si="1"/>
        <v>0000000000000</v>
      </c>
      <c r="BC46" t="str">
        <f>T("9791137601413")</f>
        <v>9791137601413</v>
      </c>
      <c r="BE46" t="str">
        <f>T("웹툰 &gt; 해외 순정")</f>
        <v>웹툰 &gt; 해외 순정</v>
      </c>
      <c r="BF46" t="str">
        <f>T("웹툰 &gt; 로맨스")</f>
        <v>웹툰 &gt; 로맨스</v>
      </c>
    </row>
    <row r="47" spans="1:58" x14ac:dyDescent="0.3">
      <c r="A47">
        <v>4421002825</v>
      </c>
      <c r="B47">
        <v>4421002826</v>
      </c>
      <c r="C47" t="str">
        <f>T("테두리는 주시하지 않는다 2화")</f>
        <v>테두리는 주시하지 않는다 2화</v>
      </c>
      <c r="D47" t="str">
        <f>T("2")</f>
        <v>2</v>
      </c>
      <c r="E47" t="str">
        <f>T("토찌, 키로즈")</f>
        <v>토찌, 키로즈</v>
      </c>
      <c r="G47" t="str">
        <f>T("마린")</f>
        <v>마린</v>
      </c>
      <c r="H47" t="str">
        <f t="shared" si="0"/>
        <v>스토리위즈</v>
      </c>
      <c r="I47" t="str">
        <f>T("테두리는 주시하지 않는다")</f>
        <v>테두리는 주시하지 않는다</v>
      </c>
      <c r="J47">
        <v>500</v>
      </c>
      <c r="K47">
        <v>2500</v>
      </c>
      <c r="L47">
        <v>5</v>
      </c>
      <c r="M47">
        <v>0</v>
      </c>
      <c r="N47">
        <v>0</v>
      </c>
      <c r="O47">
        <v>0</v>
      </c>
      <c r="P47">
        <v>628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2500</v>
      </c>
      <c r="AH47">
        <v>633</v>
      </c>
      <c r="AI47">
        <v>0</v>
      </c>
      <c r="AJ47">
        <v>0</v>
      </c>
      <c r="AK47">
        <v>2500</v>
      </c>
      <c r="AL47">
        <v>0</v>
      </c>
      <c r="AM47">
        <v>0</v>
      </c>
      <c r="AN47">
        <v>0</v>
      </c>
      <c r="AO47">
        <v>0</v>
      </c>
      <c r="AP47"/>
      <c r="AQ47">
        <v>0</v>
      </c>
      <c r="AR47">
        <v>0</v>
      </c>
      <c r="AT47">
        <v>0</v>
      </c>
      <c r="AU47">
        <v>0</v>
      </c>
      <c r="AW47">
        <v>0</v>
      </c>
      <c r="AX47">
        <v>0</v>
      </c>
      <c r="AY47">
        <v>1750</v>
      </c>
      <c r="BA47" t="str">
        <f t="shared" si="1"/>
        <v>0000000000000</v>
      </c>
      <c r="BC47" t="str">
        <f>T("9791137604674")</f>
        <v>9791137604674</v>
      </c>
      <c r="BE47" t="str">
        <f>T("BL 웹툰 &gt; 웹툰")</f>
        <v>BL 웹툰 &gt; 웹툰</v>
      </c>
    </row>
    <row r="48" spans="1:58" x14ac:dyDescent="0.3">
      <c r="A48">
        <v>4421002825</v>
      </c>
      <c r="B48">
        <v>4421002825</v>
      </c>
      <c r="C48" t="str">
        <f>T("테두리는 주시하지 않는다 1화")</f>
        <v>테두리는 주시하지 않는다 1화</v>
      </c>
      <c r="D48" t="str">
        <f>T("1")</f>
        <v>1</v>
      </c>
      <c r="E48" t="str">
        <f>T("토찌, 키로즈")</f>
        <v>토찌, 키로즈</v>
      </c>
      <c r="G48" t="str">
        <f>T("마린")</f>
        <v>마린</v>
      </c>
      <c r="H48" t="str">
        <f t="shared" si="0"/>
        <v>스토리위즈</v>
      </c>
      <c r="I48" t="str">
        <f>T("테두리는 주시하지 않는다")</f>
        <v>테두리는 주시하지 않는다</v>
      </c>
      <c r="J48">
        <v>500</v>
      </c>
      <c r="K48">
        <v>2500</v>
      </c>
      <c r="L48">
        <v>5</v>
      </c>
      <c r="M48">
        <v>0</v>
      </c>
      <c r="N48">
        <v>0</v>
      </c>
      <c r="O48">
        <v>0</v>
      </c>
      <c r="P48">
        <v>903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2500</v>
      </c>
      <c r="AH48">
        <v>908</v>
      </c>
      <c r="AI48">
        <v>0</v>
      </c>
      <c r="AJ48">
        <v>0</v>
      </c>
      <c r="AK48">
        <v>2500</v>
      </c>
      <c r="AL48">
        <v>0</v>
      </c>
      <c r="AM48">
        <v>0</v>
      </c>
      <c r="AN48">
        <v>0</v>
      </c>
      <c r="AO48">
        <v>0</v>
      </c>
      <c r="AP48"/>
      <c r="AQ48">
        <v>0</v>
      </c>
      <c r="AR48">
        <v>0</v>
      </c>
      <c r="AT48">
        <v>0</v>
      </c>
      <c r="AU48">
        <v>0</v>
      </c>
      <c r="AW48">
        <v>0</v>
      </c>
      <c r="AX48">
        <v>0</v>
      </c>
      <c r="AY48">
        <v>1750</v>
      </c>
      <c r="BA48" t="str">
        <f t="shared" si="1"/>
        <v>0000000000000</v>
      </c>
      <c r="BC48" t="str">
        <f>T("9791137604674")</f>
        <v>9791137604674</v>
      </c>
      <c r="BE48" t="str">
        <f>T("BL 웹툰 &gt; 웹툰")</f>
        <v>BL 웹툰 &gt; 웹툰</v>
      </c>
    </row>
    <row r="49" spans="1:58" x14ac:dyDescent="0.3">
      <c r="A49">
        <v>4421002825</v>
      </c>
      <c r="B49">
        <v>4421002832</v>
      </c>
      <c r="C49" t="str">
        <f>T("테두리는 주시하지 않는다 4화")</f>
        <v>테두리는 주시하지 않는다 4화</v>
      </c>
      <c r="D49" t="str">
        <f>T("4")</f>
        <v>4</v>
      </c>
      <c r="E49" t="str">
        <f>T("토찌, 키로즈")</f>
        <v>토찌, 키로즈</v>
      </c>
      <c r="G49" t="str">
        <f>T("마린")</f>
        <v>마린</v>
      </c>
      <c r="H49" t="str">
        <f t="shared" si="0"/>
        <v>스토리위즈</v>
      </c>
      <c r="I49" t="str">
        <f>T("테두리는 주시하지 않는다")</f>
        <v>테두리는 주시하지 않는다</v>
      </c>
      <c r="J49">
        <v>500</v>
      </c>
      <c r="K49">
        <v>2000</v>
      </c>
      <c r="L49">
        <v>4</v>
      </c>
      <c r="M49">
        <v>0</v>
      </c>
      <c r="N49">
        <v>0</v>
      </c>
      <c r="O49">
        <v>0</v>
      </c>
      <c r="P49">
        <v>598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2000</v>
      </c>
      <c r="AH49">
        <v>602</v>
      </c>
      <c r="AI49">
        <v>0</v>
      </c>
      <c r="AJ49">
        <v>0</v>
      </c>
      <c r="AK49">
        <v>2000</v>
      </c>
      <c r="AL49">
        <v>0</v>
      </c>
      <c r="AM49">
        <v>0</v>
      </c>
      <c r="AN49">
        <v>0</v>
      </c>
      <c r="AO49">
        <v>0</v>
      </c>
      <c r="AP49"/>
      <c r="AQ49">
        <v>0</v>
      </c>
      <c r="AR49">
        <v>0</v>
      </c>
      <c r="AT49">
        <v>0</v>
      </c>
      <c r="AU49">
        <v>0</v>
      </c>
      <c r="AW49">
        <v>0</v>
      </c>
      <c r="AX49">
        <v>0</v>
      </c>
      <c r="AY49">
        <v>1400</v>
      </c>
      <c r="BA49" t="str">
        <f t="shared" si="1"/>
        <v>0000000000000</v>
      </c>
      <c r="BC49" t="str">
        <f>T("9791137604674")</f>
        <v>9791137604674</v>
      </c>
      <c r="BE49" t="str">
        <f>T("BL 웹툰 &gt; 웹툰")</f>
        <v>BL 웹툰 &gt; 웹툰</v>
      </c>
    </row>
    <row r="50" spans="1:58" x14ac:dyDescent="0.3">
      <c r="A50">
        <v>4421001305</v>
      </c>
      <c r="B50">
        <v>4421003094</v>
      </c>
      <c r="C50" t="str">
        <f>T("악역이지만, 남주는 꼬시지 않아요 49화")</f>
        <v>악역이지만, 남주는 꼬시지 않아요 49화</v>
      </c>
      <c r="D50" t="str">
        <f>T("49")</f>
        <v>49</v>
      </c>
      <c r="E50" t="str">
        <f>T("마북명")</f>
        <v>마북명</v>
      </c>
      <c r="G50" t="str">
        <f>T("kuri")</f>
        <v>kuri</v>
      </c>
      <c r="H50" t="str">
        <f t="shared" si="0"/>
        <v>스토리위즈</v>
      </c>
      <c r="I50" t="str">
        <f>T("악역이지만, 남주는 꼬시지 않아요")</f>
        <v>악역이지만, 남주는 꼬시지 않아요</v>
      </c>
      <c r="J50">
        <v>400</v>
      </c>
      <c r="K50">
        <v>2000</v>
      </c>
      <c r="L50">
        <v>5</v>
      </c>
      <c r="M50">
        <v>0</v>
      </c>
      <c r="N50">
        <v>4400</v>
      </c>
      <c r="O50">
        <v>22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6400</v>
      </c>
      <c r="AH50">
        <v>27</v>
      </c>
      <c r="AI50">
        <v>0</v>
      </c>
      <c r="AJ50">
        <v>0</v>
      </c>
      <c r="AK50">
        <v>5400</v>
      </c>
      <c r="AL50">
        <v>0</v>
      </c>
      <c r="AM50">
        <v>1200.82</v>
      </c>
      <c r="AN50">
        <v>-312.25</v>
      </c>
      <c r="AO50">
        <v>0</v>
      </c>
      <c r="AP50">
        <v>720.82</v>
      </c>
      <c r="AQ50">
        <v>-216.25</v>
      </c>
      <c r="AR50">
        <v>0</v>
      </c>
      <c r="AS50">
        <v>480</v>
      </c>
      <c r="AT50">
        <v>-96</v>
      </c>
      <c r="AU50">
        <v>0</v>
      </c>
      <c r="AW50">
        <v>0</v>
      </c>
      <c r="AX50">
        <v>0</v>
      </c>
      <c r="AY50">
        <v>4402</v>
      </c>
      <c r="BA50" t="str">
        <f t="shared" si="1"/>
        <v>0000000000000</v>
      </c>
      <c r="BC50" t="str">
        <f>T("9791137603882")</f>
        <v>9791137603882</v>
      </c>
      <c r="BE50" t="str">
        <f>T("웹툰 &gt; 해외 순정")</f>
        <v>웹툰 &gt; 해외 순정</v>
      </c>
      <c r="BF50" t="str">
        <f>T("웹툰 &gt; 로판")</f>
        <v>웹툰 &gt; 로판</v>
      </c>
    </row>
    <row r="51" spans="1:58" x14ac:dyDescent="0.3">
      <c r="A51">
        <v>4421002825</v>
      </c>
      <c r="B51">
        <v>4421002827</v>
      </c>
      <c r="C51" t="str">
        <f>T("테두리는 주시하지 않는다 3화")</f>
        <v>테두리는 주시하지 않는다 3화</v>
      </c>
      <c r="D51" t="str">
        <f>T("3")</f>
        <v>3</v>
      </c>
      <c r="E51" t="str">
        <f>T("토찌, 키로즈")</f>
        <v>토찌, 키로즈</v>
      </c>
      <c r="G51" t="str">
        <f>T("마린")</f>
        <v>마린</v>
      </c>
      <c r="H51" t="str">
        <f t="shared" si="0"/>
        <v>스토리위즈</v>
      </c>
      <c r="I51" t="str">
        <f>T("테두리는 주시하지 않는다")</f>
        <v>테두리는 주시하지 않는다</v>
      </c>
      <c r="J51">
        <v>500</v>
      </c>
      <c r="K51">
        <v>2000</v>
      </c>
      <c r="L51">
        <v>4</v>
      </c>
      <c r="M51">
        <v>0</v>
      </c>
      <c r="N51">
        <v>0</v>
      </c>
      <c r="O51">
        <v>0</v>
      </c>
      <c r="P51">
        <v>651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2000</v>
      </c>
      <c r="AH51">
        <v>655</v>
      </c>
      <c r="AI51">
        <v>0</v>
      </c>
      <c r="AJ51">
        <v>0</v>
      </c>
      <c r="AK51">
        <v>2000</v>
      </c>
      <c r="AL51">
        <v>0</v>
      </c>
      <c r="AM51">
        <v>0</v>
      </c>
      <c r="AN51">
        <v>0</v>
      </c>
      <c r="AO51">
        <v>0</v>
      </c>
      <c r="AP51"/>
      <c r="AQ51">
        <v>0</v>
      </c>
      <c r="AR51">
        <v>0</v>
      </c>
      <c r="AT51">
        <v>0</v>
      </c>
      <c r="AU51">
        <v>0</v>
      </c>
      <c r="AW51">
        <v>0</v>
      </c>
      <c r="AX51">
        <v>0</v>
      </c>
      <c r="AY51">
        <v>1400</v>
      </c>
      <c r="BA51" t="str">
        <f t="shared" si="1"/>
        <v>0000000000000</v>
      </c>
      <c r="BC51" t="str">
        <f>T("9791137604674")</f>
        <v>9791137604674</v>
      </c>
      <c r="BE51" t="str">
        <f>T("BL 웹툰 &gt; 웹툰")</f>
        <v>BL 웹툰 &gt; 웹툰</v>
      </c>
    </row>
    <row r="52" spans="1:58" x14ac:dyDescent="0.3">
      <c r="A52">
        <v>4421000916</v>
      </c>
      <c r="B52">
        <v>4421000939</v>
      </c>
      <c r="C52" t="str">
        <f>T("별빛 아래 우리 24화")</f>
        <v>별빛 아래 우리 24화</v>
      </c>
      <c r="D52" t="str">
        <f>T("24")</f>
        <v>24</v>
      </c>
      <c r="E52" t="str">
        <f t="shared" ref="E52:E110" si="12">T("건일")</f>
        <v>건일</v>
      </c>
      <c r="G52" t="str">
        <f t="shared" ref="G52:G110" si="13">T("건일")</f>
        <v>건일</v>
      </c>
      <c r="H52" t="str">
        <f t="shared" si="0"/>
        <v>스토리위즈</v>
      </c>
      <c r="I52" t="str">
        <f t="shared" ref="I52:I110" si="14">T("별빛 아래 우리")</f>
        <v>별빛 아래 우리</v>
      </c>
      <c r="J52">
        <v>400</v>
      </c>
      <c r="K52">
        <v>2000</v>
      </c>
      <c r="L52">
        <v>5</v>
      </c>
      <c r="M52">
        <v>0</v>
      </c>
      <c r="N52">
        <v>1400</v>
      </c>
      <c r="O52">
        <v>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3400</v>
      </c>
      <c r="AH52">
        <v>12</v>
      </c>
      <c r="AI52">
        <v>0</v>
      </c>
      <c r="AJ52">
        <v>0</v>
      </c>
      <c r="AK52">
        <v>2141</v>
      </c>
      <c r="AL52">
        <v>0</v>
      </c>
      <c r="AM52">
        <v>1510.8</v>
      </c>
      <c r="AN52">
        <v>-343.08</v>
      </c>
      <c r="AO52">
        <v>0</v>
      </c>
      <c r="AP52">
        <v>720</v>
      </c>
      <c r="AQ52">
        <v>-216</v>
      </c>
      <c r="AR52">
        <v>0</v>
      </c>
      <c r="AS52">
        <v>790.8</v>
      </c>
      <c r="AT52">
        <v>-127.08</v>
      </c>
      <c r="AU52">
        <v>0</v>
      </c>
      <c r="AW52">
        <v>0</v>
      </c>
      <c r="AX52">
        <v>0</v>
      </c>
      <c r="AY52">
        <v>2316.1</v>
      </c>
      <c r="BA52" t="str">
        <f t="shared" si="1"/>
        <v>0000000000000</v>
      </c>
      <c r="BC52" t="str">
        <f t="shared" ref="BC52:BC110" si="15">T("9791137601413")</f>
        <v>9791137601413</v>
      </c>
      <c r="BE52" t="str">
        <f t="shared" ref="BE52:BE110" si="16">T("웹툰 &gt; 해외 순정")</f>
        <v>웹툰 &gt; 해외 순정</v>
      </c>
      <c r="BF52" t="str">
        <f t="shared" ref="BF52:BF110" si="17">T("웹툰 &gt; 로맨스")</f>
        <v>웹툰 &gt; 로맨스</v>
      </c>
    </row>
    <row r="53" spans="1:58" x14ac:dyDescent="0.3">
      <c r="A53">
        <v>4421000916</v>
      </c>
      <c r="B53">
        <v>4421001166</v>
      </c>
      <c r="C53" t="str">
        <f>T("별빛 아래 우리 35화")</f>
        <v>별빛 아래 우리 35화</v>
      </c>
      <c r="D53" t="str">
        <f>T("35")</f>
        <v>35</v>
      </c>
      <c r="E53" t="str">
        <f t="shared" si="12"/>
        <v>건일</v>
      </c>
      <c r="G53" t="str">
        <f t="shared" si="13"/>
        <v>건일</v>
      </c>
      <c r="H53" t="str">
        <f t="shared" si="0"/>
        <v>스토리위즈</v>
      </c>
      <c r="I53" t="str">
        <f t="shared" si="14"/>
        <v>별빛 아래 우리</v>
      </c>
      <c r="J53">
        <v>400</v>
      </c>
      <c r="K53">
        <v>1600</v>
      </c>
      <c r="L53">
        <v>4</v>
      </c>
      <c r="M53">
        <v>0</v>
      </c>
      <c r="N53">
        <v>1200</v>
      </c>
      <c r="O53">
        <v>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2800</v>
      </c>
      <c r="AH53">
        <v>10</v>
      </c>
      <c r="AI53">
        <v>0</v>
      </c>
      <c r="AJ53">
        <v>0</v>
      </c>
      <c r="AK53">
        <v>1741</v>
      </c>
      <c r="AL53">
        <v>0</v>
      </c>
      <c r="AM53">
        <v>1270.8</v>
      </c>
      <c r="AN53">
        <v>-271.08</v>
      </c>
      <c r="AO53">
        <v>0</v>
      </c>
      <c r="AP53">
        <v>480</v>
      </c>
      <c r="AQ53">
        <v>-144</v>
      </c>
      <c r="AR53">
        <v>0</v>
      </c>
      <c r="AS53">
        <v>790.8</v>
      </c>
      <c r="AT53">
        <v>-127.08</v>
      </c>
      <c r="AU53">
        <v>0</v>
      </c>
      <c r="AW53">
        <v>0</v>
      </c>
      <c r="AX53">
        <v>0</v>
      </c>
      <c r="AY53">
        <v>1918.5</v>
      </c>
      <c r="BA53" t="str">
        <f t="shared" si="1"/>
        <v>0000000000000</v>
      </c>
      <c r="BC53" t="str">
        <f t="shared" si="15"/>
        <v>9791137601413</v>
      </c>
      <c r="BE53" t="str">
        <f t="shared" si="16"/>
        <v>웹툰 &gt; 해외 순정</v>
      </c>
      <c r="BF53" t="str">
        <f t="shared" si="17"/>
        <v>웹툰 &gt; 로맨스</v>
      </c>
    </row>
    <row r="54" spans="1:58" x14ac:dyDescent="0.3">
      <c r="A54">
        <v>4421000916</v>
      </c>
      <c r="B54">
        <v>4421000937</v>
      </c>
      <c r="C54" t="str">
        <f>T("별빛 아래 우리 22화")</f>
        <v>별빛 아래 우리 22화</v>
      </c>
      <c r="D54" t="str">
        <f>T("22")</f>
        <v>22</v>
      </c>
      <c r="E54" t="str">
        <f t="shared" si="12"/>
        <v>건일</v>
      </c>
      <c r="G54" t="str">
        <f t="shared" si="13"/>
        <v>건일</v>
      </c>
      <c r="H54" t="str">
        <f t="shared" si="0"/>
        <v>스토리위즈</v>
      </c>
      <c r="I54" t="str">
        <f t="shared" si="14"/>
        <v>별빛 아래 우리</v>
      </c>
      <c r="J54">
        <v>400</v>
      </c>
      <c r="K54">
        <v>1600</v>
      </c>
      <c r="L54">
        <v>4</v>
      </c>
      <c r="M54">
        <v>0</v>
      </c>
      <c r="N54">
        <v>1400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3000</v>
      </c>
      <c r="AH54">
        <v>11</v>
      </c>
      <c r="AI54">
        <v>0</v>
      </c>
      <c r="AJ54">
        <v>0</v>
      </c>
      <c r="AK54">
        <v>2041</v>
      </c>
      <c r="AL54">
        <v>0</v>
      </c>
      <c r="AM54">
        <v>1150.8</v>
      </c>
      <c r="AN54">
        <v>-235.08</v>
      </c>
      <c r="AO54">
        <v>0</v>
      </c>
      <c r="AP54">
        <v>360</v>
      </c>
      <c r="AQ54">
        <v>-108</v>
      </c>
      <c r="AR54">
        <v>0</v>
      </c>
      <c r="AS54">
        <v>790.8</v>
      </c>
      <c r="AT54">
        <v>-127.08</v>
      </c>
      <c r="AU54">
        <v>0</v>
      </c>
      <c r="AW54">
        <v>0</v>
      </c>
      <c r="AX54">
        <v>0</v>
      </c>
      <c r="AY54">
        <v>2069.6999999999998</v>
      </c>
      <c r="BA54" t="str">
        <f t="shared" si="1"/>
        <v>0000000000000</v>
      </c>
      <c r="BC54" t="str">
        <f t="shared" si="15"/>
        <v>9791137601413</v>
      </c>
      <c r="BE54" t="str">
        <f t="shared" si="16"/>
        <v>웹툰 &gt; 해외 순정</v>
      </c>
      <c r="BF54" t="str">
        <f t="shared" si="17"/>
        <v>웹툰 &gt; 로맨스</v>
      </c>
    </row>
    <row r="55" spans="1:58" x14ac:dyDescent="0.3">
      <c r="A55">
        <v>4421000916</v>
      </c>
      <c r="B55">
        <v>4421000926</v>
      </c>
      <c r="C55" t="str">
        <f>T("별빛 아래 우리 11화")</f>
        <v>별빛 아래 우리 11화</v>
      </c>
      <c r="D55" t="str">
        <f>T("11")</f>
        <v>11</v>
      </c>
      <c r="E55" t="str">
        <f t="shared" si="12"/>
        <v>건일</v>
      </c>
      <c r="G55" t="str">
        <f t="shared" si="13"/>
        <v>건일</v>
      </c>
      <c r="H55" t="str">
        <f t="shared" si="0"/>
        <v>스토리위즈</v>
      </c>
      <c r="I55" t="str">
        <f t="shared" si="14"/>
        <v>별빛 아래 우리</v>
      </c>
      <c r="J55">
        <v>400</v>
      </c>
      <c r="K55">
        <v>1600</v>
      </c>
      <c r="L55">
        <v>4</v>
      </c>
      <c r="M55">
        <v>0</v>
      </c>
      <c r="N55">
        <v>1600</v>
      </c>
      <c r="O55">
        <v>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3200</v>
      </c>
      <c r="AH55">
        <v>12</v>
      </c>
      <c r="AI55">
        <v>0</v>
      </c>
      <c r="AJ55">
        <v>0</v>
      </c>
      <c r="AK55">
        <v>1941</v>
      </c>
      <c r="AL55">
        <v>0</v>
      </c>
      <c r="AM55">
        <v>1510.8</v>
      </c>
      <c r="AN55">
        <v>-343.08</v>
      </c>
      <c r="AO55">
        <v>0</v>
      </c>
      <c r="AP55">
        <v>480</v>
      </c>
      <c r="AQ55">
        <v>-144</v>
      </c>
      <c r="AR55">
        <v>0</v>
      </c>
      <c r="AS55">
        <v>1030.8</v>
      </c>
      <c r="AT55">
        <v>-199.08</v>
      </c>
      <c r="AU55">
        <v>0</v>
      </c>
      <c r="AW55">
        <v>0</v>
      </c>
      <c r="AX55">
        <v>0</v>
      </c>
      <c r="AY55">
        <v>2176.1</v>
      </c>
      <c r="BA55" t="str">
        <f t="shared" si="1"/>
        <v>0000000000000</v>
      </c>
      <c r="BC55" t="str">
        <f t="shared" si="15"/>
        <v>9791137601413</v>
      </c>
      <c r="BE55" t="str">
        <f t="shared" si="16"/>
        <v>웹툰 &gt; 해외 순정</v>
      </c>
      <c r="BF55" t="str">
        <f t="shared" si="17"/>
        <v>웹툰 &gt; 로맨스</v>
      </c>
    </row>
    <row r="56" spans="1:58" x14ac:dyDescent="0.3">
      <c r="A56">
        <v>4421000916</v>
      </c>
      <c r="B56">
        <v>4421001190</v>
      </c>
      <c r="C56" t="str">
        <f>T("별빛 아래 우리 40화")</f>
        <v>별빛 아래 우리 40화</v>
      </c>
      <c r="D56" t="str">
        <f>T("40")</f>
        <v>40</v>
      </c>
      <c r="E56" t="str">
        <f t="shared" si="12"/>
        <v>건일</v>
      </c>
      <c r="G56" t="str">
        <f t="shared" si="13"/>
        <v>건일</v>
      </c>
      <c r="H56" t="str">
        <f t="shared" si="0"/>
        <v>스토리위즈</v>
      </c>
      <c r="I56" t="str">
        <f t="shared" si="14"/>
        <v>별빛 아래 우리</v>
      </c>
      <c r="J56">
        <v>400</v>
      </c>
      <c r="K56">
        <v>1600</v>
      </c>
      <c r="L56">
        <v>4</v>
      </c>
      <c r="M56">
        <v>0</v>
      </c>
      <c r="N56">
        <v>1200</v>
      </c>
      <c r="O56">
        <v>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2800</v>
      </c>
      <c r="AH56">
        <v>10</v>
      </c>
      <c r="AI56">
        <v>0</v>
      </c>
      <c r="AJ56">
        <v>0</v>
      </c>
      <c r="AK56">
        <v>1741</v>
      </c>
      <c r="AL56">
        <v>0</v>
      </c>
      <c r="AM56">
        <v>1270.8</v>
      </c>
      <c r="AN56">
        <v>-271.08</v>
      </c>
      <c r="AO56">
        <v>0</v>
      </c>
      <c r="AP56">
        <v>480</v>
      </c>
      <c r="AQ56">
        <v>-144</v>
      </c>
      <c r="AR56">
        <v>0</v>
      </c>
      <c r="AS56">
        <v>790.8</v>
      </c>
      <c r="AT56">
        <v>-127.08</v>
      </c>
      <c r="AU56">
        <v>0</v>
      </c>
      <c r="AW56">
        <v>0</v>
      </c>
      <c r="AX56">
        <v>0</v>
      </c>
      <c r="AY56">
        <v>1918.5</v>
      </c>
      <c r="BA56" t="str">
        <f t="shared" si="1"/>
        <v>0000000000000</v>
      </c>
      <c r="BC56" t="str">
        <f t="shared" si="15"/>
        <v>9791137601413</v>
      </c>
      <c r="BE56" t="str">
        <f t="shared" si="16"/>
        <v>웹툰 &gt; 해외 순정</v>
      </c>
      <c r="BF56" t="str">
        <f t="shared" si="17"/>
        <v>웹툰 &gt; 로맨스</v>
      </c>
    </row>
    <row r="57" spans="1:58" x14ac:dyDescent="0.3">
      <c r="A57">
        <v>4421000916</v>
      </c>
      <c r="B57">
        <v>4421001279</v>
      </c>
      <c r="C57" t="str">
        <f>T("별빛 아래 우리 62화")</f>
        <v>별빛 아래 우리 62화</v>
      </c>
      <c r="D57" t="str">
        <f>T("62")</f>
        <v>62</v>
      </c>
      <c r="E57" t="str">
        <f t="shared" si="12"/>
        <v>건일</v>
      </c>
      <c r="G57" t="str">
        <f t="shared" si="13"/>
        <v>건일</v>
      </c>
      <c r="H57" t="str">
        <f t="shared" si="0"/>
        <v>스토리위즈</v>
      </c>
      <c r="I57" t="str">
        <f t="shared" si="14"/>
        <v>별빛 아래 우리</v>
      </c>
      <c r="J57">
        <v>400</v>
      </c>
      <c r="K57">
        <v>1600</v>
      </c>
      <c r="L57">
        <v>4</v>
      </c>
      <c r="M57">
        <v>0</v>
      </c>
      <c r="N57">
        <v>1000</v>
      </c>
      <c r="O57">
        <v>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2600</v>
      </c>
      <c r="AH57">
        <v>9</v>
      </c>
      <c r="AI57">
        <v>0</v>
      </c>
      <c r="AJ57">
        <v>0</v>
      </c>
      <c r="AK57">
        <v>1741</v>
      </c>
      <c r="AL57">
        <v>0</v>
      </c>
      <c r="AM57">
        <v>1030.8</v>
      </c>
      <c r="AN57">
        <v>-199.08</v>
      </c>
      <c r="AO57">
        <v>0</v>
      </c>
      <c r="AP57">
        <v>240</v>
      </c>
      <c r="AQ57">
        <v>-72</v>
      </c>
      <c r="AR57">
        <v>0</v>
      </c>
      <c r="AS57">
        <v>790.8</v>
      </c>
      <c r="AT57">
        <v>-127.08</v>
      </c>
      <c r="AU57">
        <v>0</v>
      </c>
      <c r="AW57">
        <v>0</v>
      </c>
      <c r="AX57">
        <v>0</v>
      </c>
      <c r="AY57">
        <v>1800.9</v>
      </c>
      <c r="BA57" t="str">
        <f t="shared" si="1"/>
        <v>0000000000000</v>
      </c>
      <c r="BC57" t="str">
        <f t="shared" si="15"/>
        <v>9791137601413</v>
      </c>
      <c r="BE57" t="str">
        <f t="shared" si="16"/>
        <v>웹툰 &gt; 해외 순정</v>
      </c>
      <c r="BF57" t="str">
        <f t="shared" si="17"/>
        <v>웹툰 &gt; 로맨스</v>
      </c>
    </row>
    <row r="58" spans="1:58" x14ac:dyDescent="0.3">
      <c r="A58">
        <v>4421000916</v>
      </c>
      <c r="B58">
        <v>4421000936</v>
      </c>
      <c r="C58" t="str">
        <f>T("별빛 아래 우리 21화")</f>
        <v>별빛 아래 우리 21화</v>
      </c>
      <c r="D58" t="str">
        <f>T("21")</f>
        <v>21</v>
      </c>
      <c r="E58" t="str">
        <f t="shared" si="12"/>
        <v>건일</v>
      </c>
      <c r="G58" t="str">
        <f t="shared" si="13"/>
        <v>건일</v>
      </c>
      <c r="H58" t="str">
        <f t="shared" si="0"/>
        <v>스토리위즈</v>
      </c>
      <c r="I58" t="str">
        <f t="shared" si="14"/>
        <v>별빛 아래 우리</v>
      </c>
      <c r="J58">
        <v>400</v>
      </c>
      <c r="K58">
        <v>1600</v>
      </c>
      <c r="L58">
        <v>4</v>
      </c>
      <c r="M58">
        <v>0</v>
      </c>
      <c r="N58">
        <v>1800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3400</v>
      </c>
      <c r="AH58">
        <v>13</v>
      </c>
      <c r="AI58">
        <v>0</v>
      </c>
      <c r="AJ58">
        <v>0</v>
      </c>
      <c r="AK58">
        <v>1941</v>
      </c>
      <c r="AL58">
        <v>0</v>
      </c>
      <c r="AM58">
        <v>1750.8</v>
      </c>
      <c r="AN58">
        <v>-415.08</v>
      </c>
      <c r="AO58">
        <v>0</v>
      </c>
      <c r="AP58">
        <v>720</v>
      </c>
      <c r="AQ58">
        <v>-216</v>
      </c>
      <c r="AR58">
        <v>0</v>
      </c>
      <c r="AS58">
        <v>1030.8</v>
      </c>
      <c r="AT58">
        <v>-199.08</v>
      </c>
      <c r="AU58">
        <v>0</v>
      </c>
      <c r="AW58">
        <v>0</v>
      </c>
      <c r="AX58">
        <v>0</v>
      </c>
      <c r="AY58">
        <v>2293.6999999999998</v>
      </c>
      <c r="BA58" t="str">
        <f t="shared" si="1"/>
        <v>0000000000000</v>
      </c>
      <c r="BC58" t="str">
        <f t="shared" si="15"/>
        <v>9791137601413</v>
      </c>
      <c r="BE58" t="str">
        <f t="shared" si="16"/>
        <v>웹툰 &gt; 해외 순정</v>
      </c>
      <c r="BF58" t="str">
        <f t="shared" si="17"/>
        <v>웹툰 &gt; 로맨스</v>
      </c>
    </row>
    <row r="59" spans="1:58" x14ac:dyDescent="0.3">
      <c r="A59">
        <v>4421000916</v>
      </c>
      <c r="B59">
        <v>4421000925</v>
      </c>
      <c r="C59" t="str">
        <f>T("별빛 아래 우리 10화")</f>
        <v>별빛 아래 우리 10화</v>
      </c>
      <c r="D59" t="str">
        <f>T("10")</f>
        <v>10</v>
      </c>
      <c r="E59" t="str">
        <f t="shared" si="12"/>
        <v>건일</v>
      </c>
      <c r="G59" t="str">
        <f t="shared" si="13"/>
        <v>건일</v>
      </c>
      <c r="H59" t="str">
        <f t="shared" si="0"/>
        <v>스토리위즈</v>
      </c>
      <c r="I59" t="str">
        <f t="shared" si="14"/>
        <v>별빛 아래 우리</v>
      </c>
      <c r="J59">
        <v>400</v>
      </c>
      <c r="K59">
        <v>1600</v>
      </c>
      <c r="L59">
        <v>4</v>
      </c>
      <c r="M59">
        <v>0</v>
      </c>
      <c r="N59">
        <v>2000</v>
      </c>
      <c r="O59">
        <v>10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3600</v>
      </c>
      <c r="AH59">
        <v>14</v>
      </c>
      <c r="AI59">
        <v>0</v>
      </c>
      <c r="AJ59">
        <v>0</v>
      </c>
      <c r="AK59">
        <v>2341</v>
      </c>
      <c r="AL59">
        <v>0</v>
      </c>
      <c r="AM59">
        <v>1510.8</v>
      </c>
      <c r="AN59">
        <v>-343.08</v>
      </c>
      <c r="AO59">
        <v>0</v>
      </c>
      <c r="AP59">
        <v>480</v>
      </c>
      <c r="AQ59">
        <v>-144</v>
      </c>
      <c r="AR59">
        <v>0</v>
      </c>
      <c r="AS59">
        <v>1030.8</v>
      </c>
      <c r="AT59">
        <v>-199.08</v>
      </c>
      <c r="AU59">
        <v>0</v>
      </c>
      <c r="AW59">
        <v>0</v>
      </c>
      <c r="AX59">
        <v>0</v>
      </c>
      <c r="AY59">
        <v>2456.1</v>
      </c>
      <c r="BA59" t="str">
        <f t="shared" si="1"/>
        <v>0000000000000</v>
      </c>
      <c r="BC59" t="str">
        <f t="shared" si="15"/>
        <v>9791137601413</v>
      </c>
      <c r="BE59" t="str">
        <f t="shared" si="16"/>
        <v>웹툰 &gt; 해외 순정</v>
      </c>
      <c r="BF59" t="str">
        <f t="shared" si="17"/>
        <v>웹툰 &gt; 로맨스</v>
      </c>
    </row>
    <row r="60" spans="1:58" x14ac:dyDescent="0.3">
      <c r="A60">
        <v>4421000916</v>
      </c>
      <c r="B60">
        <v>4421001200</v>
      </c>
      <c r="C60" t="str">
        <f>T("별빛 아래 우리 46화")</f>
        <v>별빛 아래 우리 46화</v>
      </c>
      <c r="D60" t="str">
        <f>T("46")</f>
        <v>46</v>
      </c>
      <c r="E60" t="str">
        <f t="shared" si="12"/>
        <v>건일</v>
      </c>
      <c r="G60" t="str">
        <f t="shared" si="13"/>
        <v>건일</v>
      </c>
      <c r="H60" t="str">
        <f t="shared" si="0"/>
        <v>스토리위즈</v>
      </c>
      <c r="I60" t="str">
        <f t="shared" si="14"/>
        <v>별빛 아래 우리</v>
      </c>
      <c r="J60">
        <v>400</v>
      </c>
      <c r="K60">
        <v>1600</v>
      </c>
      <c r="L60">
        <v>4</v>
      </c>
      <c r="M60">
        <v>0</v>
      </c>
      <c r="N60">
        <v>1200</v>
      </c>
      <c r="O60">
        <v>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2800</v>
      </c>
      <c r="AH60">
        <v>10</v>
      </c>
      <c r="AI60">
        <v>0</v>
      </c>
      <c r="AJ60">
        <v>0</v>
      </c>
      <c r="AK60">
        <v>1741</v>
      </c>
      <c r="AL60">
        <v>0</v>
      </c>
      <c r="AM60">
        <v>1270.8</v>
      </c>
      <c r="AN60">
        <v>-271.08</v>
      </c>
      <c r="AO60">
        <v>0</v>
      </c>
      <c r="AP60">
        <v>480</v>
      </c>
      <c r="AQ60">
        <v>-144</v>
      </c>
      <c r="AR60">
        <v>0</v>
      </c>
      <c r="AS60">
        <v>790.8</v>
      </c>
      <c r="AT60">
        <v>-127.08</v>
      </c>
      <c r="AU60">
        <v>0</v>
      </c>
      <c r="AW60">
        <v>0</v>
      </c>
      <c r="AX60">
        <v>0</v>
      </c>
      <c r="AY60">
        <v>1918.5</v>
      </c>
      <c r="BA60" t="str">
        <f t="shared" si="1"/>
        <v>0000000000000</v>
      </c>
      <c r="BC60" t="str">
        <f t="shared" si="15"/>
        <v>9791137601413</v>
      </c>
      <c r="BE60" t="str">
        <f t="shared" si="16"/>
        <v>웹툰 &gt; 해외 순정</v>
      </c>
      <c r="BF60" t="str">
        <f t="shared" si="17"/>
        <v>웹툰 &gt; 로맨스</v>
      </c>
    </row>
    <row r="61" spans="1:58" x14ac:dyDescent="0.3">
      <c r="A61">
        <v>4421000916</v>
      </c>
      <c r="B61">
        <v>4421001189</v>
      </c>
      <c r="C61" t="str">
        <f>T("별빛 아래 우리 39화")</f>
        <v>별빛 아래 우리 39화</v>
      </c>
      <c r="D61" t="str">
        <f>T("39")</f>
        <v>39</v>
      </c>
      <c r="E61" t="str">
        <f t="shared" si="12"/>
        <v>건일</v>
      </c>
      <c r="G61" t="str">
        <f t="shared" si="13"/>
        <v>건일</v>
      </c>
      <c r="H61" t="str">
        <f t="shared" si="0"/>
        <v>스토리위즈</v>
      </c>
      <c r="I61" t="str">
        <f t="shared" si="14"/>
        <v>별빛 아래 우리</v>
      </c>
      <c r="J61">
        <v>400</v>
      </c>
      <c r="K61">
        <v>1600</v>
      </c>
      <c r="L61">
        <v>4</v>
      </c>
      <c r="M61">
        <v>0</v>
      </c>
      <c r="N61">
        <v>1000</v>
      </c>
      <c r="O61">
        <v>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2600</v>
      </c>
      <c r="AH61">
        <v>9</v>
      </c>
      <c r="AI61">
        <v>0</v>
      </c>
      <c r="AJ61">
        <v>0</v>
      </c>
      <c r="AK61">
        <v>1741</v>
      </c>
      <c r="AL61">
        <v>0</v>
      </c>
      <c r="AM61">
        <v>1030.8</v>
      </c>
      <c r="AN61">
        <v>-199.08</v>
      </c>
      <c r="AO61">
        <v>0</v>
      </c>
      <c r="AP61">
        <v>240</v>
      </c>
      <c r="AQ61">
        <v>-72</v>
      </c>
      <c r="AR61">
        <v>0</v>
      </c>
      <c r="AS61">
        <v>790.8</v>
      </c>
      <c r="AT61">
        <v>-127.08</v>
      </c>
      <c r="AU61">
        <v>0</v>
      </c>
      <c r="AW61">
        <v>0</v>
      </c>
      <c r="AX61">
        <v>0</v>
      </c>
      <c r="AY61">
        <v>1800.9</v>
      </c>
      <c r="BA61" t="str">
        <f t="shared" si="1"/>
        <v>0000000000000</v>
      </c>
      <c r="BC61" t="str">
        <f t="shared" si="15"/>
        <v>9791137601413</v>
      </c>
      <c r="BE61" t="str">
        <f t="shared" si="16"/>
        <v>웹툰 &gt; 해외 순정</v>
      </c>
      <c r="BF61" t="str">
        <f t="shared" si="17"/>
        <v>웹툰 &gt; 로맨스</v>
      </c>
    </row>
    <row r="62" spans="1:58" x14ac:dyDescent="0.3">
      <c r="A62">
        <v>4421000916</v>
      </c>
      <c r="B62">
        <v>4421000935</v>
      </c>
      <c r="C62" t="str">
        <f>T("별빛 아래 우리 20화")</f>
        <v>별빛 아래 우리 20화</v>
      </c>
      <c r="D62" t="str">
        <f>T("20")</f>
        <v>20</v>
      </c>
      <c r="E62" t="str">
        <f t="shared" si="12"/>
        <v>건일</v>
      </c>
      <c r="G62" t="str">
        <f t="shared" si="13"/>
        <v>건일</v>
      </c>
      <c r="H62" t="str">
        <f t="shared" si="0"/>
        <v>스토리위즈</v>
      </c>
      <c r="I62" t="str">
        <f t="shared" si="14"/>
        <v>별빛 아래 우리</v>
      </c>
      <c r="J62">
        <v>400</v>
      </c>
      <c r="K62">
        <v>1600</v>
      </c>
      <c r="L62">
        <v>4</v>
      </c>
      <c r="M62">
        <v>0</v>
      </c>
      <c r="N62">
        <v>1800</v>
      </c>
      <c r="O62">
        <v>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3400</v>
      </c>
      <c r="AH62">
        <v>13</v>
      </c>
      <c r="AI62">
        <v>0</v>
      </c>
      <c r="AJ62">
        <v>0</v>
      </c>
      <c r="AK62">
        <v>2141</v>
      </c>
      <c r="AL62">
        <v>0</v>
      </c>
      <c r="AM62">
        <v>1510.8</v>
      </c>
      <c r="AN62">
        <v>-343.08</v>
      </c>
      <c r="AO62">
        <v>0</v>
      </c>
      <c r="AP62">
        <v>480</v>
      </c>
      <c r="AQ62">
        <v>-144</v>
      </c>
      <c r="AR62">
        <v>0</v>
      </c>
      <c r="AS62">
        <v>1030.8</v>
      </c>
      <c r="AT62">
        <v>-199.08</v>
      </c>
      <c r="AU62">
        <v>0</v>
      </c>
      <c r="AW62">
        <v>0</v>
      </c>
      <c r="AX62">
        <v>0</v>
      </c>
      <c r="AY62">
        <v>2316.1</v>
      </c>
      <c r="BA62" t="str">
        <f t="shared" si="1"/>
        <v>0000000000000</v>
      </c>
      <c r="BC62" t="str">
        <f t="shared" si="15"/>
        <v>9791137601413</v>
      </c>
      <c r="BE62" t="str">
        <f t="shared" si="16"/>
        <v>웹툰 &gt; 해외 순정</v>
      </c>
      <c r="BF62" t="str">
        <f t="shared" si="17"/>
        <v>웹툰 &gt; 로맨스</v>
      </c>
    </row>
    <row r="63" spans="1:58" x14ac:dyDescent="0.3">
      <c r="A63">
        <v>4421000916</v>
      </c>
      <c r="B63">
        <v>4421000980</v>
      </c>
      <c r="C63" t="str">
        <f>T("별빛 아래 우리 31화")</f>
        <v>별빛 아래 우리 31화</v>
      </c>
      <c r="D63" t="str">
        <f>T("31")</f>
        <v>31</v>
      </c>
      <c r="E63" t="str">
        <f t="shared" si="12"/>
        <v>건일</v>
      </c>
      <c r="G63" t="str">
        <f t="shared" si="13"/>
        <v>건일</v>
      </c>
      <c r="H63" t="str">
        <f t="shared" si="0"/>
        <v>스토리위즈</v>
      </c>
      <c r="I63" t="str">
        <f t="shared" si="14"/>
        <v>별빛 아래 우리</v>
      </c>
      <c r="J63">
        <v>400</v>
      </c>
      <c r="K63">
        <v>1600</v>
      </c>
      <c r="L63">
        <v>4</v>
      </c>
      <c r="M63">
        <v>0</v>
      </c>
      <c r="N63">
        <v>1400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3000</v>
      </c>
      <c r="AH63">
        <v>11</v>
      </c>
      <c r="AI63">
        <v>0</v>
      </c>
      <c r="AJ63">
        <v>0</v>
      </c>
      <c r="AK63">
        <v>1741</v>
      </c>
      <c r="AL63">
        <v>0</v>
      </c>
      <c r="AM63">
        <v>1510.8</v>
      </c>
      <c r="AN63">
        <v>-343.08</v>
      </c>
      <c r="AO63">
        <v>0</v>
      </c>
      <c r="AP63">
        <v>720</v>
      </c>
      <c r="AQ63">
        <v>-216</v>
      </c>
      <c r="AR63">
        <v>0</v>
      </c>
      <c r="AS63">
        <v>790.8</v>
      </c>
      <c r="AT63">
        <v>-127.08</v>
      </c>
      <c r="AU63">
        <v>0</v>
      </c>
      <c r="AW63">
        <v>0</v>
      </c>
      <c r="AX63">
        <v>0</v>
      </c>
      <c r="AY63">
        <v>2036.1</v>
      </c>
      <c r="BA63" t="str">
        <f t="shared" si="1"/>
        <v>0000000000000</v>
      </c>
      <c r="BC63" t="str">
        <f t="shared" si="15"/>
        <v>9791137601413</v>
      </c>
      <c r="BE63" t="str">
        <f t="shared" si="16"/>
        <v>웹툰 &gt; 해외 순정</v>
      </c>
      <c r="BF63" t="str">
        <f t="shared" si="17"/>
        <v>웹툰 &gt; 로맨스</v>
      </c>
    </row>
    <row r="64" spans="1:58" x14ac:dyDescent="0.3">
      <c r="A64">
        <v>4421000916</v>
      </c>
      <c r="B64">
        <v>4421001199</v>
      </c>
      <c r="C64" t="str">
        <f>T("별빛 아래 우리 45화")</f>
        <v>별빛 아래 우리 45화</v>
      </c>
      <c r="D64" t="str">
        <f>T("45")</f>
        <v>45</v>
      </c>
      <c r="E64" t="str">
        <f t="shared" si="12"/>
        <v>건일</v>
      </c>
      <c r="G64" t="str">
        <f t="shared" si="13"/>
        <v>건일</v>
      </c>
      <c r="H64" t="str">
        <f t="shared" si="0"/>
        <v>스토리위즈</v>
      </c>
      <c r="I64" t="str">
        <f t="shared" si="14"/>
        <v>별빛 아래 우리</v>
      </c>
      <c r="J64">
        <v>400</v>
      </c>
      <c r="K64">
        <v>1600</v>
      </c>
      <c r="L64">
        <v>4</v>
      </c>
      <c r="M64">
        <v>0</v>
      </c>
      <c r="N64">
        <v>1200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2800</v>
      </c>
      <c r="AH64">
        <v>10</v>
      </c>
      <c r="AI64">
        <v>0</v>
      </c>
      <c r="AJ64">
        <v>0</v>
      </c>
      <c r="AK64">
        <v>1741</v>
      </c>
      <c r="AL64">
        <v>0</v>
      </c>
      <c r="AM64">
        <v>1270.8</v>
      </c>
      <c r="AN64">
        <v>-271.08</v>
      </c>
      <c r="AO64">
        <v>0</v>
      </c>
      <c r="AP64">
        <v>480</v>
      </c>
      <c r="AQ64">
        <v>-144</v>
      </c>
      <c r="AR64">
        <v>0</v>
      </c>
      <c r="AS64">
        <v>790.8</v>
      </c>
      <c r="AT64">
        <v>-127.08</v>
      </c>
      <c r="AU64">
        <v>0</v>
      </c>
      <c r="AW64">
        <v>0</v>
      </c>
      <c r="AX64">
        <v>0</v>
      </c>
      <c r="AY64">
        <v>1918.5</v>
      </c>
      <c r="BA64" t="str">
        <f t="shared" si="1"/>
        <v>0000000000000</v>
      </c>
      <c r="BC64" t="str">
        <f t="shared" si="15"/>
        <v>9791137601413</v>
      </c>
      <c r="BE64" t="str">
        <f t="shared" si="16"/>
        <v>웹툰 &gt; 해외 순정</v>
      </c>
      <c r="BF64" t="str">
        <f t="shared" si="17"/>
        <v>웹툰 &gt; 로맨스</v>
      </c>
    </row>
    <row r="65" spans="1:58" x14ac:dyDescent="0.3">
      <c r="A65">
        <v>4421000916</v>
      </c>
      <c r="B65">
        <v>4421000924</v>
      </c>
      <c r="C65" t="str">
        <f>T("별빛 아래 우리 9화")</f>
        <v>별빛 아래 우리 9화</v>
      </c>
      <c r="D65" t="str">
        <f>T("9")</f>
        <v>9</v>
      </c>
      <c r="E65" t="str">
        <f t="shared" si="12"/>
        <v>건일</v>
      </c>
      <c r="G65" t="str">
        <f t="shared" si="13"/>
        <v>건일</v>
      </c>
      <c r="H65" t="str">
        <f t="shared" si="0"/>
        <v>스토리위즈</v>
      </c>
      <c r="I65" t="str">
        <f t="shared" si="14"/>
        <v>별빛 아래 우리</v>
      </c>
      <c r="J65">
        <v>400</v>
      </c>
      <c r="K65">
        <v>1600</v>
      </c>
      <c r="L65">
        <v>4</v>
      </c>
      <c r="M65">
        <v>0</v>
      </c>
      <c r="N65">
        <v>2000</v>
      </c>
      <c r="O65">
        <v>10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3600</v>
      </c>
      <c r="AH65">
        <v>14</v>
      </c>
      <c r="AI65">
        <v>0</v>
      </c>
      <c r="AJ65">
        <v>0</v>
      </c>
      <c r="AK65">
        <v>2341</v>
      </c>
      <c r="AL65">
        <v>0</v>
      </c>
      <c r="AM65">
        <v>1510.8</v>
      </c>
      <c r="AN65">
        <v>-343.08</v>
      </c>
      <c r="AO65">
        <v>0</v>
      </c>
      <c r="AP65">
        <v>480</v>
      </c>
      <c r="AQ65">
        <v>-144</v>
      </c>
      <c r="AR65">
        <v>0</v>
      </c>
      <c r="AS65">
        <v>1030.8</v>
      </c>
      <c r="AT65">
        <v>-199.08</v>
      </c>
      <c r="AU65">
        <v>0</v>
      </c>
      <c r="AW65">
        <v>0</v>
      </c>
      <c r="AX65">
        <v>0</v>
      </c>
      <c r="AY65">
        <v>2456.1</v>
      </c>
      <c r="BA65" t="str">
        <f t="shared" si="1"/>
        <v>0000000000000</v>
      </c>
      <c r="BC65" t="str">
        <f t="shared" si="15"/>
        <v>9791137601413</v>
      </c>
      <c r="BE65" t="str">
        <f t="shared" si="16"/>
        <v>웹툰 &gt; 해외 순정</v>
      </c>
      <c r="BF65" t="str">
        <f t="shared" si="17"/>
        <v>웹툰 &gt; 로맨스</v>
      </c>
    </row>
    <row r="66" spans="1:58" x14ac:dyDescent="0.3">
      <c r="A66">
        <v>4421000916</v>
      </c>
      <c r="B66">
        <v>4421001233</v>
      </c>
      <c r="C66" t="str">
        <f>T("별빛 아래 우리 55화")</f>
        <v>별빛 아래 우리 55화</v>
      </c>
      <c r="D66" t="str">
        <f>T("55")</f>
        <v>55</v>
      </c>
      <c r="E66" t="str">
        <f t="shared" si="12"/>
        <v>건일</v>
      </c>
      <c r="G66" t="str">
        <f t="shared" si="13"/>
        <v>건일</v>
      </c>
      <c r="H66" t="str">
        <f t="shared" ref="H66:H129" si="18">T("스토리위즈")</f>
        <v>스토리위즈</v>
      </c>
      <c r="I66" t="str">
        <f t="shared" si="14"/>
        <v>별빛 아래 우리</v>
      </c>
      <c r="J66">
        <v>400</v>
      </c>
      <c r="K66">
        <v>1600</v>
      </c>
      <c r="L66">
        <v>4</v>
      </c>
      <c r="M66">
        <v>0</v>
      </c>
      <c r="N66">
        <v>1000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2600</v>
      </c>
      <c r="AH66">
        <v>9</v>
      </c>
      <c r="AI66">
        <v>0</v>
      </c>
      <c r="AJ66">
        <v>0</v>
      </c>
      <c r="AK66">
        <v>1541</v>
      </c>
      <c r="AL66">
        <v>0</v>
      </c>
      <c r="AM66">
        <v>1270.8</v>
      </c>
      <c r="AN66">
        <v>-271.08</v>
      </c>
      <c r="AO66">
        <v>0</v>
      </c>
      <c r="AP66">
        <v>480</v>
      </c>
      <c r="AQ66">
        <v>-144</v>
      </c>
      <c r="AR66">
        <v>0</v>
      </c>
      <c r="AS66">
        <v>790.8</v>
      </c>
      <c r="AT66">
        <v>-127.08</v>
      </c>
      <c r="AU66">
        <v>0</v>
      </c>
      <c r="AW66">
        <v>0</v>
      </c>
      <c r="AX66">
        <v>0</v>
      </c>
      <c r="AY66">
        <v>1778.5</v>
      </c>
      <c r="BA66" t="str">
        <f t="shared" ref="BA66:BA129" si="19">T("0000000000000")</f>
        <v>0000000000000</v>
      </c>
      <c r="BC66" t="str">
        <f t="shared" si="15"/>
        <v>9791137601413</v>
      </c>
      <c r="BE66" t="str">
        <f t="shared" si="16"/>
        <v>웹툰 &gt; 해외 순정</v>
      </c>
      <c r="BF66" t="str">
        <f t="shared" si="17"/>
        <v>웹툰 &gt; 로맨스</v>
      </c>
    </row>
    <row r="67" spans="1:58" x14ac:dyDescent="0.3">
      <c r="A67">
        <v>4421000916</v>
      </c>
      <c r="B67">
        <v>4421001276</v>
      </c>
      <c r="C67" t="str">
        <f>T("별빛 아래 우리 61화")</f>
        <v>별빛 아래 우리 61화</v>
      </c>
      <c r="D67" t="str">
        <f>T("61")</f>
        <v>61</v>
      </c>
      <c r="E67" t="str">
        <f t="shared" si="12"/>
        <v>건일</v>
      </c>
      <c r="G67" t="str">
        <f t="shared" si="13"/>
        <v>건일</v>
      </c>
      <c r="H67" t="str">
        <f t="shared" si="18"/>
        <v>스토리위즈</v>
      </c>
      <c r="I67" t="str">
        <f t="shared" si="14"/>
        <v>별빛 아래 우리</v>
      </c>
      <c r="J67">
        <v>400</v>
      </c>
      <c r="K67">
        <v>1600</v>
      </c>
      <c r="L67">
        <v>4</v>
      </c>
      <c r="M67">
        <v>0</v>
      </c>
      <c r="N67">
        <v>800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2400</v>
      </c>
      <c r="AH67">
        <v>8</v>
      </c>
      <c r="AI67">
        <v>0</v>
      </c>
      <c r="AJ67">
        <v>0</v>
      </c>
      <c r="AK67">
        <v>1541</v>
      </c>
      <c r="AL67">
        <v>0</v>
      </c>
      <c r="AM67">
        <v>1030.8</v>
      </c>
      <c r="AN67">
        <v>-199.08</v>
      </c>
      <c r="AO67">
        <v>0</v>
      </c>
      <c r="AP67">
        <v>240</v>
      </c>
      <c r="AQ67">
        <v>-72</v>
      </c>
      <c r="AR67">
        <v>0</v>
      </c>
      <c r="AS67">
        <v>790.8</v>
      </c>
      <c r="AT67">
        <v>-127.08</v>
      </c>
      <c r="AU67">
        <v>0</v>
      </c>
      <c r="AW67">
        <v>0</v>
      </c>
      <c r="AX67">
        <v>0</v>
      </c>
      <c r="AY67">
        <v>1660.9</v>
      </c>
      <c r="BA67" t="str">
        <f t="shared" si="19"/>
        <v>0000000000000</v>
      </c>
      <c r="BC67" t="str">
        <f t="shared" si="15"/>
        <v>9791137601413</v>
      </c>
      <c r="BE67" t="str">
        <f t="shared" si="16"/>
        <v>웹툰 &gt; 해외 순정</v>
      </c>
      <c r="BF67" t="str">
        <f t="shared" si="17"/>
        <v>웹툰 &gt; 로맨스</v>
      </c>
    </row>
    <row r="68" spans="1:58" x14ac:dyDescent="0.3">
      <c r="A68">
        <v>4421000916</v>
      </c>
      <c r="B68">
        <v>4421000934</v>
      </c>
      <c r="C68" t="str">
        <f>T("별빛 아래 우리 19화")</f>
        <v>별빛 아래 우리 19화</v>
      </c>
      <c r="D68" t="str">
        <f>T("19")</f>
        <v>19</v>
      </c>
      <c r="E68" t="str">
        <f t="shared" si="12"/>
        <v>건일</v>
      </c>
      <c r="G68" t="str">
        <f t="shared" si="13"/>
        <v>건일</v>
      </c>
      <c r="H68" t="str">
        <f t="shared" si="18"/>
        <v>스토리위즈</v>
      </c>
      <c r="I68" t="str">
        <f t="shared" si="14"/>
        <v>별빛 아래 우리</v>
      </c>
      <c r="J68">
        <v>400</v>
      </c>
      <c r="K68">
        <v>1600</v>
      </c>
      <c r="L68">
        <v>4</v>
      </c>
      <c r="M68">
        <v>0</v>
      </c>
      <c r="N68">
        <v>2000</v>
      </c>
      <c r="O68">
        <v>10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3600</v>
      </c>
      <c r="AH68">
        <v>14</v>
      </c>
      <c r="AI68">
        <v>0</v>
      </c>
      <c r="AJ68">
        <v>0</v>
      </c>
      <c r="AK68">
        <v>2141</v>
      </c>
      <c r="AL68">
        <v>0</v>
      </c>
      <c r="AM68">
        <v>1750.8</v>
      </c>
      <c r="AN68">
        <v>-415.08</v>
      </c>
      <c r="AO68">
        <v>0</v>
      </c>
      <c r="AP68">
        <v>720</v>
      </c>
      <c r="AQ68">
        <v>-216</v>
      </c>
      <c r="AR68">
        <v>0</v>
      </c>
      <c r="AS68">
        <v>1030.8</v>
      </c>
      <c r="AT68">
        <v>-199.08</v>
      </c>
      <c r="AU68">
        <v>0</v>
      </c>
      <c r="AW68">
        <v>0</v>
      </c>
      <c r="AX68">
        <v>0</v>
      </c>
      <c r="AY68">
        <v>2433.6999999999998</v>
      </c>
      <c r="BA68" t="str">
        <f t="shared" si="19"/>
        <v>0000000000000</v>
      </c>
      <c r="BC68" t="str">
        <f t="shared" si="15"/>
        <v>9791137601413</v>
      </c>
      <c r="BE68" t="str">
        <f t="shared" si="16"/>
        <v>웹툰 &gt; 해외 순정</v>
      </c>
      <c r="BF68" t="str">
        <f t="shared" si="17"/>
        <v>웹툰 &gt; 로맨스</v>
      </c>
    </row>
    <row r="69" spans="1:58" x14ac:dyDescent="0.3">
      <c r="A69">
        <v>4421000916</v>
      </c>
      <c r="B69">
        <v>4421000979</v>
      </c>
      <c r="C69" t="str">
        <f>T("별빛 아래 우리 30화")</f>
        <v>별빛 아래 우리 30화</v>
      </c>
      <c r="D69" t="str">
        <f>T("30")</f>
        <v>30</v>
      </c>
      <c r="E69" t="str">
        <f t="shared" si="12"/>
        <v>건일</v>
      </c>
      <c r="G69" t="str">
        <f t="shared" si="13"/>
        <v>건일</v>
      </c>
      <c r="H69" t="str">
        <f t="shared" si="18"/>
        <v>스토리위즈</v>
      </c>
      <c r="I69" t="str">
        <f t="shared" si="14"/>
        <v>별빛 아래 우리</v>
      </c>
      <c r="J69">
        <v>400</v>
      </c>
      <c r="K69">
        <v>1600</v>
      </c>
      <c r="L69">
        <v>4</v>
      </c>
      <c r="M69">
        <v>0</v>
      </c>
      <c r="N69">
        <v>1400</v>
      </c>
      <c r="O69">
        <v>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3000</v>
      </c>
      <c r="AH69">
        <v>11</v>
      </c>
      <c r="AI69">
        <v>0</v>
      </c>
      <c r="AJ69">
        <v>0</v>
      </c>
      <c r="AK69">
        <v>1741</v>
      </c>
      <c r="AL69">
        <v>0</v>
      </c>
      <c r="AM69">
        <v>1510.8</v>
      </c>
      <c r="AN69">
        <v>-343.08</v>
      </c>
      <c r="AO69">
        <v>0</v>
      </c>
      <c r="AP69">
        <v>720</v>
      </c>
      <c r="AQ69">
        <v>-216</v>
      </c>
      <c r="AR69">
        <v>0</v>
      </c>
      <c r="AS69">
        <v>790.8</v>
      </c>
      <c r="AT69">
        <v>-127.08</v>
      </c>
      <c r="AU69">
        <v>0</v>
      </c>
      <c r="AW69">
        <v>0</v>
      </c>
      <c r="AX69">
        <v>0</v>
      </c>
      <c r="AY69">
        <v>2036.1</v>
      </c>
      <c r="BA69" t="str">
        <f t="shared" si="19"/>
        <v>0000000000000</v>
      </c>
      <c r="BC69" t="str">
        <f t="shared" si="15"/>
        <v>9791137601413</v>
      </c>
      <c r="BE69" t="str">
        <f t="shared" si="16"/>
        <v>웹툰 &gt; 해외 순정</v>
      </c>
      <c r="BF69" t="str">
        <f t="shared" si="17"/>
        <v>웹툰 &gt; 로맨스</v>
      </c>
    </row>
    <row r="70" spans="1:58" x14ac:dyDescent="0.3">
      <c r="A70">
        <v>4421000916</v>
      </c>
      <c r="B70">
        <v>4421001198</v>
      </c>
      <c r="C70" t="str">
        <f>T("별빛 아래 우리 44화")</f>
        <v>별빛 아래 우리 44화</v>
      </c>
      <c r="D70" t="str">
        <f>T("44")</f>
        <v>44</v>
      </c>
      <c r="E70" t="str">
        <f t="shared" si="12"/>
        <v>건일</v>
      </c>
      <c r="G70" t="str">
        <f t="shared" si="13"/>
        <v>건일</v>
      </c>
      <c r="H70" t="str">
        <f t="shared" si="18"/>
        <v>스토리위즈</v>
      </c>
      <c r="I70" t="str">
        <f t="shared" si="14"/>
        <v>별빛 아래 우리</v>
      </c>
      <c r="J70">
        <v>400</v>
      </c>
      <c r="K70">
        <v>1600</v>
      </c>
      <c r="L70">
        <v>4</v>
      </c>
      <c r="M70">
        <v>0</v>
      </c>
      <c r="N70">
        <v>1200</v>
      </c>
      <c r="O70">
        <v>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2800</v>
      </c>
      <c r="AH70">
        <v>10</v>
      </c>
      <c r="AI70">
        <v>0</v>
      </c>
      <c r="AJ70">
        <v>0</v>
      </c>
      <c r="AK70">
        <v>1741</v>
      </c>
      <c r="AL70">
        <v>0</v>
      </c>
      <c r="AM70">
        <v>1270.8</v>
      </c>
      <c r="AN70">
        <v>-271.08</v>
      </c>
      <c r="AO70">
        <v>0</v>
      </c>
      <c r="AP70">
        <v>480</v>
      </c>
      <c r="AQ70">
        <v>-144</v>
      </c>
      <c r="AR70">
        <v>0</v>
      </c>
      <c r="AS70">
        <v>790.8</v>
      </c>
      <c r="AT70">
        <v>-127.08</v>
      </c>
      <c r="AU70">
        <v>0</v>
      </c>
      <c r="AW70">
        <v>0</v>
      </c>
      <c r="AX70">
        <v>0</v>
      </c>
      <c r="AY70">
        <v>1918.5</v>
      </c>
      <c r="BA70" t="str">
        <f t="shared" si="19"/>
        <v>0000000000000</v>
      </c>
      <c r="BC70" t="str">
        <f t="shared" si="15"/>
        <v>9791137601413</v>
      </c>
      <c r="BE70" t="str">
        <f t="shared" si="16"/>
        <v>웹툰 &gt; 해외 순정</v>
      </c>
      <c r="BF70" t="str">
        <f t="shared" si="17"/>
        <v>웹툰 &gt; 로맨스</v>
      </c>
    </row>
    <row r="71" spans="1:58" x14ac:dyDescent="0.3">
      <c r="A71">
        <v>4421000916</v>
      </c>
      <c r="B71">
        <v>4421000923</v>
      </c>
      <c r="C71" t="str">
        <f>T("별빛 아래 우리 8화")</f>
        <v>별빛 아래 우리 8화</v>
      </c>
      <c r="D71" t="str">
        <f>T("8")</f>
        <v>8</v>
      </c>
      <c r="E71" t="str">
        <f t="shared" si="12"/>
        <v>건일</v>
      </c>
      <c r="G71" t="str">
        <f t="shared" si="13"/>
        <v>건일</v>
      </c>
      <c r="H71" t="str">
        <f t="shared" si="18"/>
        <v>스토리위즈</v>
      </c>
      <c r="I71" t="str">
        <f t="shared" si="14"/>
        <v>별빛 아래 우리</v>
      </c>
      <c r="J71">
        <v>400</v>
      </c>
      <c r="K71">
        <v>1600</v>
      </c>
      <c r="L71">
        <v>4</v>
      </c>
      <c r="M71">
        <v>0</v>
      </c>
      <c r="N71">
        <v>2200</v>
      </c>
      <c r="O71">
        <v>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3800</v>
      </c>
      <c r="AH71">
        <v>15</v>
      </c>
      <c r="AI71">
        <v>0</v>
      </c>
      <c r="AJ71">
        <v>0</v>
      </c>
      <c r="AK71">
        <v>2341</v>
      </c>
      <c r="AL71">
        <v>0</v>
      </c>
      <c r="AM71">
        <v>1750.8</v>
      </c>
      <c r="AN71">
        <v>-415.08</v>
      </c>
      <c r="AO71">
        <v>0</v>
      </c>
      <c r="AP71">
        <v>720</v>
      </c>
      <c r="AQ71">
        <v>-216</v>
      </c>
      <c r="AR71">
        <v>0</v>
      </c>
      <c r="AS71">
        <v>1030.8</v>
      </c>
      <c r="AT71">
        <v>-199.08</v>
      </c>
      <c r="AU71">
        <v>0</v>
      </c>
      <c r="AW71">
        <v>0</v>
      </c>
      <c r="AX71">
        <v>0</v>
      </c>
      <c r="AY71">
        <v>2573.6999999999998</v>
      </c>
      <c r="BA71" t="str">
        <f t="shared" si="19"/>
        <v>0000000000000</v>
      </c>
      <c r="BC71" t="str">
        <f t="shared" si="15"/>
        <v>9791137601413</v>
      </c>
      <c r="BE71" t="str">
        <f t="shared" si="16"/>
        <v>웹툰 &gt; 해외 순정</v>
      </c>
      <c r="BF71" t="str">
        <f t="shared" si="17"/>
        <v>웹툰 &gt; 로맨스</v>
      </c>
    </row>
    <row r="72" spans="1:58" x14ac:dyDescent="0.3">
      <c r="A72">
        <v>4421000916</v>
      </c>
      <c r="B72">
        <v>4421001232</v>
      </c>
      <c r="C72" t="str">
        <f>T("별빛 아래 우리 54화")</f>
        <v>별빛 아래 우리 54화</v>
      </c>
      <c r="D72" t="str">
        <f>T("54")</f>
        <v>54</v>
      </c>
      <c r="E72" t="str">
        <f t="shared" si="12"/>
        <v>건일</v>
      </c>
      <c r="G72" t="str">
        <f t="shared" si="13"/>
        <v>건일</v>
      </c>
      <c r="H72" t="str">
        <f t="shared" si="18"/>
        <v>스토리위즈</v>
      </c>
      <c r="I72" t="str">
        <f t="shared" si="14"/>
        <v>별빛 아래 우리</v>
      </c>
      <c r="J72">
        <v>400</v>
      </c>
      <c r="K72">
        <v>1600</v>
      </c>
      <c r="L72">
        <v>4</v>
      </c>
      <c r="M72">
        <v>0</v>
      </c>
      <c r="N72">
        <v>1000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2600</v>
      </c>
      <c r="AH72">
        <v>9</v>
      </c>
      <c r="AI72">
        <v>0</v>
      </c>
      <c r="AJ72">
        <v>0</v>
      </c>
      <c r="AK72">
        <v>1541</v>
      </c>
      <c r="AL72">
        <v>0</v>
      </c>
      <c r="AM72">
        <v>1270.8</v>
      </c>
      <c r="AN72">
        <v>-271.08</v>
      </c>
      <c r="AO72">
        <v>0</v>
      </c>
      <c r="AP72">
        <v>480</v>
      </c>
      <c r="AQ72">
        <v>-144</v>
      </c>
      <c r="AR72">
        <v>0</v>
      </c>
      <c r="AS72">
        <v>790.8</v>
      </c>
      <c r="AT72">
        <v>-127.08</v>
      </c>
      <c r="AU72">
        <v>0</v>
      </c>
      <c r="AW72">
        <v>0</v>
      </c>
      <c r="AX72">
        <v>0</v>
      </c>
      <c r="AY72">
        <v>1778.5</v>
      </c>
      <c r="BA72" t="str">
        <f t="shared" si="19"/>
        <v>0000000000000</v>
      </c>
      <c r="BC72" t="str">
        <f t="shared" si="15"/>
        <v>9791137601413</v>
      </c>
      <c r="BE72" t="str">
        <f t="shared" si="16"/>
        <v>웹툰 &gt; 해외 순정</v>
      </c>
      <c r="BF72" t="str">
        <f t="shared" si="17"/>
        <v>웹툰 &gt; 로맨스</v>
      </c>
    </row>
    <row r="73" spans="1:58" x14ac:dyDescent="0.3">
      <c r="A73">
        <v>4421000916</v>
      </c>
      <c r="B73">
        <v>4421001213</v>
      </c>
      <c r="C73" t="str">
        <f>T("별빛 아래 우리 50화")</f>
        <v>별빛 아래 우리 50화</v>
      </c>
      <c r="D73" t="str">
        <f>T("50")</f>
        <v>50</v>
      </c>
      <c r="E73" t="str">
        <f t="shared" si="12"/>
        <v>건일</v>
      </c>
      <c r="G73" t="str">
        <f t="shared" si="13"/>
        <v>건일</v>
      </c>
      <c r="H73" t="str">
        <f t="shared" si="18"/>
        <v>스토리위즈</v>
      </c>
      <c r="I73" t="str">
        <f t="shared" si="14"/>
        <v>별빛 아래 우리</v>
      </c>
      <c r="J73">
        <v>400</v>
      </c>
      <c r="K73">
        <v>1600</v>
      </c>
      <c r="L73">
        <v>4</v>
      </c>
      <c r="M73">
        <v>0</v>
      </c>
      <c r="N73">
        <v>1200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2800</v>
      </c>
      <c r="AH73">
        <v>10</v>
      </c>
      <c r="AI73">
        <v>0</v>
      </c>
      <c r="AJ73">
        <v>0</v>
      </c>
      <c r="AK73">
        <v>1741</v>
      </c>
      <c r="AL73">
        <v>0</v>
      </c>
      <c r="AM73">
        <v>1270.8</v>
      </c>
      <c r="AN73">
        <v>-271.08</v>
      </c>
      <c r="AO73">
        <v>0</v>
      </c>
      <c r="AP73">
        <v>480</v>
      </c>
      <c r="AQ73">
        <v>-144</v>
      </c>
      <c r="AR73">
        <v>0</v>
      </c>
      <c r="AS73">
        <v>790.8</v>
      </c>
      <c r="AT73">
        <v>-127.08</v>
      </c>
      <c r="AU73">
        <v>0</v>
      </c>
      <c r="AW73">
        <v>0</v>
      </c>
      <c r="AX73">
        <v>0</v>
      </c>
      <c r="AY73">
        <v>1918.5</v>
      </c>
      <c r="BA73" t="str">
        <f t="shared" si="19"/>
        <v>0000000000000</v>
      </c>
      <c r="BC73" t="str">
        <f t="shared" si="15"/>
        <v>9791137601413</v>
      </c>
      <c r="BE73" t="str">
        <f t="shared" si="16"/>
        <v>웹툰 &gt; 해외 순정</v>
      </c>
      <c r="BF73" t="str">
        <f t="shared" si="17"/>
        <v>웹툰 &gt; 로맨스</v>
      </c>
    </row>
    <row r="74" spans="1:58" x14ac:dyDescent="0.3">
      <c r="A74">
        <v>4421000916</v>
      </c>
      <c r="B74">
        <v>4421000933</v>
      </c>
      <c r="C74" t="str">
        <f>T("별빛 아래 우리 18화")</f>
        <v>별빛 아래 우리 18화</v>
      </c>
      <c r="D74" t="str">
        <f>T("18")</f>
        <v>18</v>
      </c>
      <c r="E74" t="str">
        <f t="shared" si="12"/>
        <v>건일</v>
      </c>
      <c r="G74" t="str">
        <f t="shared" si="13"/>
        <v>건일</v>
      </c>
      <c r="H74" t="str">
        <f t="shared" si="18"/>
        <v>스토리위즈</v>
      </c>
      <c r="I74" t="str">
        <f t="shared" si="14"/>
        <v>별빛 아래 우리</v>
      </c>
      <c r="J74">
        <v>400</v>
      </c>
      <c r="K74">
        <v>1600</v>
      </c>
      <c r="L74">
        <v>4</v>
      </c>
      <c r="M74">
        <v>0</v>
      </c>
      <c r="N74">
        <v>1800</v>
      </c>
      <c r="O74">
        <v>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3400</v>
      </c>
      <c r="AH74">
        <v>13</v>
      </c>
      <c r="AI74">
        <v>0</v>
      </c>
      <c r="AJ74">
        <v>0</v>
      </c>
      <c r="AK74">
        <v>2141</v>
      </c>
      <c r="AL74">
        <v>0</v>
      </c>
      <c r="AM74">
        <v>1510.8</v>
      </c>
      <c r="AN74">
        <v>-343.08</v>
      </c>
      <c r="AO74">
        <v>0</v>
      </c>
      <c r="AP74">
        <v>480</v>
      </c>
      <c r="AQ74">
        <v>-144</v>
      </c>
      <c r="AR74">
        <v>0</v>
      </c>
      <c r="AS74">
        <v>1030.8</v>
      </c>
      <c r="AT74">
        <v>-199.08</v>
      </c>
      <c r="AU74">
        <v>0</v>
      </c>
      <c r="AW74">
        <v>0</v>
      </c>
      <c r="AX74">
        <v>0</v>
      </c>
      <c r="AY74">
        <v>2316.1</v>
      </c>
      <c r="BA74" t="str">
        <f t="shared" si="19"/>
        <v>0000000000000</v>
      </c>
      <c r="BC74" t="str">
        <f t="shared" si="15"/>
        <v>9791137601413</v>
      </c>
      <c r="BE74" t="str">
        <f t="shared" si="16"/>
        <v>웹툰 &gt; 해외 순정</v>
      </c>
      <c r="BF74" t="str">
        <f t="shared" si="17"/>
        <v>웹툰 &gt; 로맨스</v>
      </c>
    </row>
    <row r="75" spans="1:58" x14ac:dyDescent="0.3">
      <c r="A75">
        <v>4421000916</v>
      </c>
      <c r="B75">
        <v>4421000978</v>
      </c>
      <c r="C75" t="str">
        <f>T("별빛 아래 우리 29화")</f>
        <v>별빛 아래 우리 29화</v>
      </c>
      <c r="D75" t="str">
        <f>T("29")</f>
        <v>29</v>
      </c>
      <c r="E75" t="str">
        <f t="shared" si="12"/>
        <v>건일</v>
      </c>
      <c r="G75" t="str">
        <f t="shared" si="13"/>
        <v>건일</v>
      </c>
      <c r="H75" t="str">
        <f t="shared" si="18"/>
        <v>스토리위즈</v>
      </c>
      <c r="I75" t="str">
        <f t="shared" si="14"/>
        <v>별빛 아래 우리</v>
      </c>
      <c r="J75">
        <v>400</v>
      </c>
      <c r="K75">
        <v>1600</v>
      </c>
      <c r="L75">
        <v>4</v>
      </c>
      <c r="M75">
        <v>0</v>
      </c>
      <c r="N75">
        <v>1600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3200</v>
      </c>
      <c r="AH75">
        <v>12</v>
      </c>
      <c r="AI75">
        <v>0</v>
      </c>
      <c r="AJ75">
        <v>0</v>
      </c>
      <c r="AK75">
        <v>1941</v>
      </c>
      <c r="AL75">
        <v>0</v>
      </c>
      <c r="AM75">
        <v>1510.8</v>
      </c>
      <c r="AN75">
        <v>-343.08</v>
      </c>
      <c r="AO75">
        <v>0</v>
      </c>
      <c r="AP75">
        <v>720</v>
      </c>
      <c r="AQ75">
        <v>-216</v>
      </c>
      <c r="AR75">
        <v>0</v>
      </c>
      <c r="AS75">
        <v>790.8</v>
      </c>
      <c r="AT75">
        <v>-127.08</v>
      </c>
      <c r="AU75">
        <v>0</v>
      </c>
      <c r="AW75">
        <v>0</v>
      </c>
      <c r="AX75">
        <v>0</v>
      </c>
      <c r="AY75">
        <v>2176.1</v>
      </c>
      <c r="BA75" t="str">
        <f t="shared" si="19"/>
        <v>0000000000000</v>
      </c>
      <c r="BC75" t="str">
        <f t="shared" si="15"/>
        <v>9791137601413</v>
      </c>
      <c r="BE75" t="str">
        <f t="shared" si="16"/>
        <v>웹툰 &gt; 해외 순정</v>
      </c>
      <c r="BF75" t="str">
        <f t="shared" si="17"/>
        <v>웹툰 &gt; 로맨스</v>
      </c>
    </row>
    <row r="76" spans="1:58" x14ac:dyDescent="0.3">
      <c r="A76">
        <v>4421000916</v>
      </c>
      <c r="B76">
        <v>4421001197</v>
      </c>
      <c r="C76" t="str">
        <f>T("별빛 아래 우리 43화")</f>
        <v>별빛 아래 우리 43화</v>
      </c>
      <c r="D76" t="str">
        <f>T("43")</f>
        <v>43</v>
      </c>
      <c r="E76" t="str">
        <f t="shared" si="12"/>
        <v>건일</v>
      </c>
      <c r="G76" t="str">
        <f t="shared" si="13"/>
        <v>건일</v>
      </c>
      <c r="H76" t="str">
        <f t="shared" si="18"/>
        <v>스토리위즈</v>
      </c>
      <c r="I76" t="str">
        <f t="shared" si="14"/>
        <v>별빛 아래 우리</v>
      </c>
      <c r="J76">
        <v>400</v>
      </c>
      <c r="K76">
        <v>1600</v>
      </c>
      <c r="L76">
        <v>4</v>
      </c>
      <c r="M76">
        <v>0</v>
      </c>
      <c r="N76">
        <v>1400</v>
      </c>
      <c r="O76">
        <v>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3000</v>
      </c>
      <c r="AH76">
        <v>11</v>
      </c>
      <c r="AI76">
        <v>0</v>
      </c>
      <c r="AJ76">
        <v>0</v>
      </c>
      <c r="AK76">
        <v>1941</v>
      </c>
      <c r="AL76">
        <v>0</v>
      </c>
      <c r="AM76">
        <v>1270.8</v>
      </c>
      <c r="AN76">
        <v>-271.08</v>
      </c>
      <c r="AO76">
        <v>0</v>
      </c>
      <c r="AP76">
        <v>480</v>
      </c>
      <c r="AQ76">
        <v>-144</v>
      </c>
      <c r="AR76">
        <v>0</v>
      </c>
      <c r="AS76">
        <v>790.8</v>
      </c>
      <c r="AT76">
        <v>-127.08</v>
      </c>
      <c r="AU76">
        <v>0</v>
      </c>
      <c r="AW76">
        <v>0</v>
      </c>
      <c r="AX76">
        <v>0</v>
      </c>
      <c r="AY76">
        <v>2058.5</v>
      </c>
      <c r="BA76" t="str">
        <f t="shared" si="19"/>
        <v>0000000000000</v>
      </c>
      <c r="BC76" t="str">
        <f t="shared" si="15"/>
        <v>9791137601413</v>
      </c>
      <c r="BE76" t="str">
        <f t="shared" si="16"/>
        <v>웹툰 &gt; 해외 순정</v>
      </c>
      <c r="BF76" t="str">
        <f t="shared" si="17"/>
        <v>웹툰 &gt; 로맨스</v>
      </c>
    </row>
    <row r="77" spans="1:58" x14ac:dyDescent="0.3">
      <c r="A77">
        <v>4421000916</v>
      </c>
      <c r="B77">
        <v>4421000922</v>
      </c>
      <c r="C77" t="str">
        <f>T("별빛 아래 우리 7화")</f>
        <v>별빛 아래 우리 7화</v>
      </c>
      <c r="D77" t="str">
        <f>T("7")</f>
        <v>7</v>
      </c>
      <c r="E77" t="str">
        <f t="shared" si="12"/>
        <v>건일</v>
      </c>
      <c r="G77" t="str">
        <f t="shared" si="13"/>
        <v>건일</v>
      </c>
      <c r="H77" t="str">
        <f t="shared" si="18"/>
        <v>스토리위즈</v>
      </c>
      <c r="I77" t="str">
        <f t="shared" si="14"/>
        <v>별빛 아래 우리</v>
      </c>
      <c r="J77">
        <v>400</v>
      </c>
      <c r="K77">
        <v>1600</v>
      </c>
      <c r="L77">
        <v>4</v>
      </c>
      <c r="M77">
        <v>0</v>
      </c>
      <c r="N77">
        <v>2200</v>
      </c>
      <c r="O77">
        <v>11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3800</v>
      </c>
      <c r="AH77">
        <v>15</v>
      </c>
      <c r="AI77">
        <v>0</v>
      </c>
      <c r="AJ77">
        <v>0</v>
      </c>
      <c r="AK77">
        <v>2341</v>
      </c>
      <c r="AL77">
        <v>0</v>
      </c>
      <c r="AM77">
        <v>1750.8</v>
      </c>
      <c r="AN77">
        <v>-415.08</v>
      </c>
      <c r="AO77">
        <v>0</v>
      </c>
      <c r="AP77">
        <v>720</v>
      </c>
      <c r="AQ77">
        <v>-216</v>
      </c>
      <c r="AR77">
        <v>0</v>
      </c>
      <c r="AS77">
        <v>1030.8</v>
      </c>
      <c r="AT77">
        <v>-199.08</v>
      </c>
      <c r="AU77">
        <v>0</v>
      </c>
      <c r="AW77">
        <v>0</v>
      </c>
      <c r="AX77">
        <v>0</v>
      </c>
      <c r="AY77">
        <v>2573.6999999999998</v>
      </c>
      <c r="BA77" t="str">
        <f t="shared" si="19"/>
        <v>0000000000000</v>
      </c>
      <c r="BC77" t="str">
        <f t="shared" si="15"/>
        <v>9791137601413</v>
      </c>
      <c r="BE77" t="str">
        <f t="shared" si="16"/>
        <v>웹툰 &gt; 해외 순정</v>
      </c>
      <c r="BF77" t="str">
        <f t="shared" si="17"/>
        <v>웹툰 &gt; 로맨스</v>
      </c>
    </row>
    <row r="78" spans="1:58" x14ac:dyDescent="0.3">
      <c r="A78">
        <v>4421000916</v>
      </c>
      <c r="B78">
        <v>4421001231</v>
      </c>
      <c r="C78" t="str">
        <f>T("별빛 아래 우리 53화")</f>
        <v>별빛 아래 우리 53화</v>
      </c>
      <c r="D78" t="str">
        <f>T("53")</f>
        <v>53</v>
      </c>
      <c r="E78" t="str">
        <f t="shared" si="12"/>
        <v>건일</v>
      </c>
      <c r="G78" t="str">
        <f t="shared" si="13"/>
        <v>건일</v>
      </c>
      <c r="H78" t="str">
        <f t="shared" si="18"/>
        <v>스토리위즈</v>
      </c>
      <c r="I78" t="str">
        <f t="shared" si="14"/>
        <v>별빛 아래 우리</v>
      </c>
      <c r="J78">
        <v>400</v>
      </c>
      <c r="K78">
        <v>1600</v>
      </c>
      <c r="L78">
        <v>4</v>
      </c>
      <c r="M78">
        <v>0</v>
      </c>
      <c r="N78">
        <v>1200</v>
      </c>
      <c r="O78">
        <v>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2800</v>
      </c>
      <c r="AH78">
        <v>10</v>
      </c>
      <c r="AI78">
        <v>0</v>
      </c>
      <c r="AJ78">
        <v>0</v>
      </c>
      <c r="AK78">
        <v>1741</v>
      </c>
      <c r="AL78">
        <v>0</v>
      </c>
      <c r="AM78">
        <v>1270.8</v>
      </c>
      <c r="AN78">
        <v>-271.08</v>
      </c>
      <c r="AO78">
        <v>0</v>
      </c>
      <c r="AP78">
        <v>480</v>
      </c>
      <c r="AQ78">
        <v>-144</v>
      </c>
      <c r="AR78">
        <v>0</v>
      </c>
      <c r="AS78">
        <v>790.8</v>
      </c>
      <c r="AT78">
        <v>-127.08</v>
      </c>
      <c r="AU78">
        <v>0</v>
      </c>
      <c r="AW78">
        <v>0</v>
      </c>
      <c r="AX78">
        <v>0</v>
      </c>
      <c r="AY78">
        <v>1918.5</v>
      </c>
      <c r="BA78" t="str">
        <f t="shared" si="19"/>
        <v>0000000000000</v>
      </c>
      <c r="BC78" t="str">
        <f t="shared" si="15"/>
        <v>9791137601413</v>
      </c>
      <c r="BE78" t="str">
        <f t="shared" si="16"/>
        <v>웹툰 &gt; 해외 순정</v>
      </c>
      <c r="BF78" t="str">
        <f t="shared" si="17"/>
        <v>웹툰 &gt; 로맨스</v>
      </c>
    </row>
    <row r="79" spans="1:58" x14ac:dyDescent="0.3">
      <c r="A79">
        <v>4421000916</v>
      </c>
      <c r="B79">
        <v>4421001212</v>
      </c>
      <c r="C79" t="str">
        <f>T("별빛 아래 우리 49화")</f>
        <v>별빛 아래 우리 49화</v>
      </c>
      <c r="D79" t="str">
        <f>T("49")</f>
        <v>49</v>
      </c>
      <c r="E79" t="str">
        <f t="shared" si="12"/>
        <v>건일</v>
      </c>
      <c r="G79" t="str">
        <f t="shared" si="13"/>
        <v>건일</v>
      </c>
      <c r="H79" t="str">
        <f t="shared" si="18"/>
        <v>스토리위즈</v>
      </c>
      <c r="I79" t="str">
        <f t="shared" si="14"/>
        <v>별빛 아래 우리</v>
      </c>
      <c r="J79">
        <v>400</v>
      </c>
      <c r="K79">
        <v>1600</v>
      </c>
      <c r="L79">
        <v>4</v>
      </c>
      <c r="M79">
        <v>0</v>
      </c>
      <c r="N79">
        <v>1200</v>
      </c>
      <c r="O79">
        <v>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2800</v>
      </c>
      <c r="AH79">
        <v>10</v>
      </c>
      <c r="AI79">
        <v>0</v>
      </c>
      <c r="AJ79">
        <v>0</v>
      </c>
      <c r="AK79">
        <v>1741</v>
      </c>
      <c r="AL79">
        <v>0</v>
      </c>
      <c r="AM79">
        <v>1270.8</v>
      </c>
      <c r="AN79">
        <v>-271.08</v>
      </c>
      <c r="AO79">
        <v>0</v>
      </c>
      <c r="AP79">
        <v>480</v>
      </c>
      <c r="AQ79">
        <v>-144</v>
      </c>
      <c r="AR79">
        <v>0</v>
      </c>
      <c r="AS79">
        <v>790.8</v>
      </c>
      <c r="AT79">
        <v>-127.08</v>
      </c>
      <c r="AU79">
        <v>0</v>
      </c>
      <c r="AW79">
        <v>0</v>
      </c>
      <c r="AX79">
        <v>0</v>
      </c>
      <c r="AY79">
        <v>1918.5</v>
      </c>
      <c r="BA79" t="str">
        <f t="shared" si="19"/>
        <v>0000000000000</v>
      </c>
      <c r="BC79" t="str">
        <f t="shared" si="15"/>
        <v>9791137601413</v>
      </c>
      <c r="BE79" t="str">
        <f t="shared" si="16"/>
        <v>웹툰 &gt; 해외 순정</v>
      </c>
      <c r="BF79" t="str">
        <f t="shared" si="17"/>
        <v>웹툰 &gt; 로맨스</v>
      </c>
    </row>
    <row r="80" spans="1:58" x14ac:dyDescent="0.3">
      <c r="A80">
        <v>4421000916</v>
      </c>
      <c r="B80">
        <v>4421003122</v>
      </c>
      <c r="C80" t="str">
        <f>T("별빛 아래 우리 102화")</f>
        <v>별빛 아래 우리 102화</v>
      </c>
      <c r="D80" t="str">
        <f>T("103")</f>
        <v>103</v>
      </c>
      <c r="E80" t="str">
        <f t="shared" si="12"/>
        <v>건일</v>
      </c>
      <c r="G80" t="str">
        <f t="shared" si="13"/>
        <v>건일</v>
      </c>
      <c r="H80" t="str">
        <f t="shared" si="18"/>
        <v>스토리위즈</v>
      </c>
      <c r="I80" t="str">
        <f t="shared" si="14"/>
        <v>별빛 아래 우리</v>
      </c>
      <c r="J80">
        <v>400</v>
      </c>
      <c r="K80">
        <v>1600</v>
      </c>
      <c r="L80">
        <v>4</v>
      </c>
      <c r="M80">
        <v>0</v>
      </c>
      <c r="N80">
        <v>1200</v>
      </c>
      <c r="O80">
        <v>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2800</v>
      </c>
      <c r="AH80">
        <v>10</v>
      </c>
      <c r="AI80">
        <v>0</v>
      </c>
      <c r="AJ80">
        <v>0</v>
      </c>
      <c r="AK80">
        <v>1800</v>
      </c>
      <c r="AL80">
        <v>0</v>
      </c>
      <c r="AM80">
        <v>1200</v>
      </c>
      <c r="AN80">
        <v>-216</v>
      </c>
      <c r="AO80">
        <v>0</v>
      </c>
      <c r="AP80">
        <v>240</v>
      </c>
      <c r="AQ80">
        <v>-72</v>
      </c>
      <c r="AR80">
        <v>0</v>
      </c>
      <c r="AS80">
        <v>960</v>
      </c>
      <c r="AT80">
        <v>-144</v>
      </c>
      <c r="AU80">
        <v>0</v>
      </c>
      <c r="AW80">
        <v>0</v>
      </c>
      <c r="AX80">
        <v>0</v>
      </c>
      <c r="AY80">
        <v>1948.8</v>
      </c>
      <c r="BA80" t="str">
        <f t="shared" si="19"/>
        <v>0000000000000</v>
      </c>
      <c r="BC80" t="str">
        <f t="shared" si="15"/>
        <v>9791137601413</v>
      </c>
      <c r="BE80" t="str">
        <f t="shared" si="16"/>
        <v>웹툰 &gt; 해외 순정</v>
      </c>
      <c r="BF80" t="str">
        <f t="shared" si="17"/>
        <v>웹툰 &gt; 로맨스</v>
      </c>
    </row>
    <row r="81" spans="1:58" x14ac:dyDescent="0.3">
      <c r="A81">
        <v>4421000916</v>
      </c>
      <c r="B81">
        <v>4421001272</v>
      </c>
      <c r="C81" t="str">
        <f>T("별빛 아래 우리 60화")</f>
        <v>별빛 아래 우리 60화</v>
      </c>
      <c r="D81" t="str">
        <f>T("60")</f>
        <v>60</v>
      </c>
      <c r="E81" t="str">
        <f t="shared" si="12"/>
        <v>건일</v>
      </c>
      <c r="G81" t="str">
        <f t="shared" si="13"/>
        <v>건일</v>
      </c>
      <c r="H81" t="str">
        <f t="shared" si="18"/>
        <v>스토리위즈</v>
      </c>
      <c r="I81" t="str">
        <f t="shared" si="14"/>
        <v>별빛 아래 우리</v>
      </c>
      <c r="J81">
        <v>400</v>
      </c>
      <c r="K81">
        <v>1600</v>
      </c>
      <c r="L81">
        <v>4</v>
      </c>
      <c r="M81">
        <v>0</v>
      </c>
      <c r="N81">
        <v>1000</v>
      </c>
      <c r="O81">
        <v>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2600</v>
      </c>
      <c r="AH81">
        <v>9</v>
      </c>
      <c r="AI81">
        <v>0</v>
      </c>
      <c r="AJ81">
        <v>0</v>
      </c>
      <c r="AK81">
        <v>1541</v>
      </c>
      <c r="AL81">
        <v>0</v>
      </c>
      <c r="AM81">
        <v>1270.8</v>
      </c>
      <c r="AN81">
        <v>-271.08</v>
      </c>
      <c r="AO81">
        <v>0</v>
      </c>
      <c r="AP81">
        <v>480</v>
      </c>
      <c r="AQ81">
        <v>-144</v>
      </c>
      <c r="AR81">
        <v>0</v>
      </c>
      <c r="AS81">
        <v>790.8</v>
      </c>
      <c r="AT81">
        <v>-127.08</v>
      </c>
      <c r="AU81">
        <v>0</v>
      </c>
      <c r="AW81">
        <v>0</v>
      </c>
      <c r="AX81">
        <v>0</v>
      </c>
      <c r="AY81">
        <v>1778.5</v>
      </c>
      <c r="BA81" t="str">
        <f t="shared" si="19"/>
        <v>0000000000000</v>
      </c>
      <c r="BC81" t="str">
        <f t="shared" si="15"/>
        <v>9791137601413</v>
      </c>
      <c r="BE81" t="str">
        <f t="shared" si="16"/>
        <v>웹툰 &gt; 해외 순정</v>
      </c>
      <c r="BF81" t="str">
        <f t="shared" si="17"/>
        <v>웹툰 &gt; 로맨스</v>
      </c>
    </row>
    <row r="82" spans="1:58" x14ac:dyDescent="0.3">
      <c r="A82">
        <v>4421000916</v>
      </c>
      <c r="B82">
        <v>4421000932</v>
      </c>
      <c r="C82" t="str">
        <f>T("별빛 아래 우리 17화")</f>
        <v>별빛 아래 우리 17화</v>
      </c>
      <c r="D82" t="str">
        <f>T("17")</f>
        <v>17</v>
      </c>
      <c r="E82" t="str">
        <f t="shared" si="12"/>
        <v>건일</v>
      </c>
      <c r="G82" t="str">
        <f t="shared" si="13"/>
        <v>건일</v>
      </c>
      <c r="H82" t="str">
        <f t="shared" si="18"/>
        <v>스토리위즈</v>
      </c>
      <c r="I82" t="str">
        <f t="shared" si="14"/>
        <v>별빛 아래 우리</v>
      </c>
      <c r="J82">
        <v>400</v>
      </c>
      <c r="K82">
        <v>1600</v>
      </c>
      <c r="L82">
        <v>4</v>
      </c>
      <c r="M82">
        <v>0</v>
      </c>
      <c r="N82">
        <v>2000</v>
      </c>
      <c r="O82">
        <v>10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3600</v>
      </c>
      <c r="AH82">
        <v>14</v>
      </c>
      <c r="AI82">
        <v>0</v>
      </c>
      <c r="AJ82">
        <v>0</v>
      </c>
      <c r="AK82">
        <v>2341</v>
      </c>
      <c r="AL82">
        <v>0</v>
      </c>
      <c r="AM82">
        <v>1510.8</v>
      </c>
      <c r="AN82">
        <v>-343.08</v>
      </c>
      <c r="AO82">
        <v>0</v>
      </c>
      <c r="AP82">
        <v>480</v>
      </c>
      <c r="AQ82">
        <v>-144</v>
      </c>
      <c r="AR82">
        <v>0</v>
      </c>
      <c r="AS82">
        <v>1030.8</v>
      </c>
      <c r="AT82">
        <v>-199.08</v>
      </c>
      <c r="AU82">
        <v>0</v>
      </c>
      <c r="AW82">
        <v>0</v>
      </c>
      <c r="AX82">
        <v>0</v>
      </c>
      <c r="AY82">
        <v>2456.1</v>
      </c>
      <c r="BA82" t="str">
        <f t="shared" si="19"/>
        <v>0000000000000</v>
      </c>
      <c r="BC82" t="str">
        <f t="shared" si="15"/>
        <v>9791137601413</v>
      </c>
      <c r="BE82" t="str">
        <f t="shared" si="16"/>
        <v>웹툰 &gt; 해외 순정</v>
      </c>
      <c r="BF82" t="str">
        <f t="shared" si="17"/>
        <v>웹툰 &gt; 로맨스</v>
      </c>
    </row>
    <row r="83" spans="1:58" x14ac:dyDescent="0.3">
      <c r="A83">
        <v>4421000916</v>
      </c>
      <c r="B83">
        <v>4421001247</v>
      </c>
      <c r="C83" t="str">
        <f>T("별빛 아래 우리 58화")</f>
        <v>별빛 아래 우리 58화</v>
      </c>
      <c r="D83" t="str">
        <f>T("58")</f>
        <v>58</v>
      </c>
      <c r="E83" t="str">
        <f t="shared" si="12"/>
        <v>건일</v>
      </c>
      <c r="G83" t="str">
        <f t="shared" si="13"/>
        <v>건일</v>
      </c>
      <c r="H83" t="str">
        <f t="shared" si="18"/>
        <v>스토리위즈</v>
      </c>
      <c r="I83" t="str">
        <f t="shared" si="14"/>
        <v>별빛 아래 우리</v>
      </c>
      <c r="J83">
        <v>400</v>
      </c>
      <c r="K83">
        <v>1600</v>
      </c>
      <c r="L83">
        <v>4</v>
      </c>
      <c r="M83">
        <v>0</v>
      </c>
      <c r="N83">
        <v>1000</v>
      </c>
      <c r="O83">
        <v>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2600</v>
      </c>
      <c r="AH83">
        <v>9</v>
      </c>
      <c r="AI83">
        <v>0</v>
      </c>
      <c r="AJ83">
        <v>0</v>
      </c>
      <c r="AK83">
        <v>1541</v>
      </c>
      <c r="AL83">
        <v>0</v>
      </c>
      <c r="AM83">
        <v>1270.8</v>
      </c>
      <c r="AN83">
        <v>-271.08</v>
      </c>
      <c r="AO83">
        <v>0</v>
      </c>
      <c r="AP83">
        <v>480</v>
      </c>
      <c r="AQ83">
        <v>-144</v>
      </c>
      <c r="AR83">
        <v>0</v>
      </c>
      <c r="AS83">
        <v>790.8</v>
      </c>
      <c r="AT83">
        <v>-127.08</v>
      </c>
      <c r="AU83">
        <v>0</v>
      </c>
      <c r="AW83">
        <v>0</v>
      </c>
      <c r="AX83">
        <v>0</v>
      </c>
      <c r="AY83">
        <v>1778.5</v>
      </c>
      <c r="BA83" t="str">
        <f t="shared" si="19"/>
        <v>0000000000000</v>
      </c>
      <c r="BC83" t="str">
        <f t="shared" si="15"/>
        <v>9791137601413</v>
      </c>
      <c r="BE83" t="str">
        <f t="shared" si="16"/>
        <v>웹툰 &gt; 해외 순정</v>
      </c>
      <c r="BF83" t="str">
        <f t="shared" si="17"/>
        <v>웹툰 &gt; 로맨스</v>
      </c>
    </row>
    <row r="84" spans="1:58" x14ac:dyDescent="0.3">
      <c r="A84">
        <v>4421000916</v>
      </c>
      <c r="B84">
        <v>4421003010</v>
      </c>
      <c r="C84" t="str">
        <f>T("별빛 아래 우리 93화")</f>
        <v>별빛 아래 우리 93화</v>
      </c>
      <c r="D84" t="str">
        <f>T("93")</f>
        <v>93</v>
      </c>
      <c r="E84" t="str">
        <f t="shared" si="12"/>
        <v>건일</v>
      </c>
      <c r="G84" t="str">
        <f t="shared" si="13"/>
        <v>건일</v>
      </c>
      <c r="H84" t="str">
        <f t="shared" si="18"/>
        <v>스토리위즈</v>
      </c>
      <c r="I84" t="str">
        <f t="shared" si="14"/>
        <v>별빛 아래 우리</v>
      </c>
      <c r="J84">
        <v>400</v>
      </c>
      <c r="K84">
        <v>1600</v>
      </c>
      <c r="L84">
        <v>4</v>
      </c>
      <c r="M84">
        <v>0</v>
      </c>
      <c r="N84">
        <v>1200</v>
      </c>
      <c r="O84">
        <v>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2800</v>
      </c>
      <c r="AH84">
        <v>10</v>
      </c>
      <c r="AI84">
        <v>0</v>
      </c>
      <c r="AJ84">
        <v>0</v>
      </c>
      <c r="AK84">
        <v>1941</v>
      </c>
      <c r="AL84">
        <v>0</v>
      </c>
      <c r="AM84">
        <v>1030.8</v>
      </c>
      <c r="AN84">
        <v>-247.08</v>
      </c>
      <c r="AO84">
        <v>0</v>
      </c>
      <c r="AP84">
        <v>480</v>
      </c>
      <c r="AQ84">
        <v>-144</v>
      </c>
      <c r="AR84">
        <v>0</v>
      </c>
      <c r="AS84">
        <v>550.79999999999995</v>
      </c>
      <c r="AT84">
        <v>-103.08</v>
      </c>
      <c r="AU84">
        <v>0</v>
      </c>
      <c r="AW84">
        <v>0</v>
      </c>
      <c r="AX84">
        <v>0</v>
      </c>
      <c r="AY84">
        <v>1907.3</v>
      </c>
      <c r="BA84" t="str">
        <f t="shared" si="19"/>
        <v>0000000000000</v>
      </c>
      <c r="BC84" t="str">
        <f t="shared" si="15"/>
        <v>9791137601413</v>
      </c>
      <c r="BE84" t="str">
        <f t="shared" si="16"/>
        <v>웹툰 &gt; 해외 순정</v>
      </c>
      <c r="BF84" t="str">
        <f t="shared" si="17"/>
        <v>웹툰 &gt; 로맨스</v>
      </c>
    </row>
    <row r="85" spans="1:58" x14ac:dyDescent="0.3">
      <c r="A85">
        <v>4421000916</v>
      </c>
      <c r="B85">
        <v>4421000921</v>
      </c>
      <c r="C85" t="str">
        <f>T("별빛 아래 우리 6화")</f>
        <v>별빛 아래 우리 6화</v>
      </c>
      <c r="D85" t="str">
        <f>T("6")</f>
        <v>6</v>
      </c>
      <c r="E85" t="str">
        <f t="shared" si="12"/>
        <v>건일</v>
      </c>
      <c r="G85" t="str">
        <f t="shared" si="13"/>
        <v>건일</v>
      </c>
      <c r="H85" t="str">
        <f t="shared" si="18"/>
        <v>스토리위즈</v>
      </c>
      <c r="I85" t="str">
        <f t="shared" si="14"/>
        <v>별빛 아래 우리</v>
      </c>
      <c r="J85">
        <v>400</v>
      </c>
      <c r="K85">
        <v>1600</v>
      </c>
      <c r="L85">
        <v>4</v>
      </c>
      <c r="M85">
        <v>0</v>
      </c>
      <c r="N85">
        <v>2400</v>
      </c>
      <c r="O85">
        <v>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4000</v>
      </c>
      <c r="AH85">
        <v>16</v>
      </c>
      <c r="AI85">
        <v>0</v>
      </c>
      <c r="AJ85">
        <v>0</v>
      </c>
      <c r="AK85">
        <v>2400</v>
      </c>
      <c r="AL85">
        <v>0</v>
      </c>
      <c r="AM85">
        <v>1920</v>
      </c>
      <c r="AN85">
        <v>-432</v>
      </c>
      <c r="AO85">
        <v>0</v>
      </c>
      <c r="AP85">
        <v>720</v>
      </c>
      <c r="AQ85">
        <v>-216</v>
      </c>
      <c r="AR85">
        <v>0</v>
      </c>
      <c r="AS85">
        <v>1200</v>
      </c>
      <c r="AT85">
        <v>-216</v>
      </c>
      <c r="AU85">
        <v>0</v>
      </c>
      <c r="AW85">
        <v>0</v>
      </c>
      <c r="AX85">
        <v>0</v>
      </c>
      <c r="AY85">
        <v>2721.6</v>
      </c>
      <c r="BA85" t="str">
        <f t="shared" si="19"/>
        <v>0000000000000</v>
      </c>
      <c r="BC85" t="str">
        <f t="shared" si="15"/>
        <v>9791137601413</v>
      </c>
      <c r="BE85" t="str">
        <f t="shared" si="16"/>
        <v>웹툰 &gt; 해외 순정</v>
      </c>
      <c r="BF85" t="str">
        <f t="shared" si="17"/>
        <v>웹툰 &gt; 로맨스</v>
      </c>
    </row>
    <row r="86" spans="1:58" x14ac:dyDescent="0.3">
      <c r="A86">
        <v>4421000916</v>
      </c>
      <c r="B86">
        <v>4421000977</v>
      </c>
      <c r="C86" t="str">
        <f>T("별빛 아래 우리 28화")</f>
        <v>별빛 아래 우리 28화</v>
      </c>
      <c r="D86" t="str">
        <f>T("28")</f>
        <v>28</v>
      </c>
      <c r="E86" t="str">
        <f t="shared" si="12"/>
        <v>건일</v>
      </c>
      <c r="G86" t="str">
        <f t="shared" si="13"/>
        <v>건일</v>
      </c>
      <c r="H86" t="str">
        <f t="shared" si="18"/>
        <v>스토리위즈</v>
      </c>
      <c r="I86" t="str">
        <f t="shared" si="14"/>
        <v>별빛 아래 우리</v>
      </c>
      <c r="J86">
        <v>400</v>
      </c>
      <c r="K86">
        <v>1600</v>
      </c>
      <c r="L86">
        <v>4</v>
      </c>
      <c r="M86">
        <v>0</v>
      </c>
      <c r="N86">
        <v>1600</v>
      </c>
      <c r="O86">
        <v>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3200</v>
      </c>
      <c r="AH86">
        <v>12</v>
      </c>
      <c r="AI86">
        <v>0</v>
      </c>
      <c r="AJ86">
        <v>0</v>
      </c>
      <c r="AK86">
        <v>1941</v>
      </c>
      <c r="AL86">
        <v>0</v>
      </c>
      <c r="AM86">
        <v>1510.8</v>
      </c>
      <c r="AN86">
        <v>-343.08</v>
      </c>
      <c r="AO86">
        <v>0</v>
      </c>
      <c r="AP86">
        <v>720</v>
      </c>
      <c r="AQ86">
        <v>-216</v>
      </c>
      <c r="AR86">
        <v>0</v>
      </c>
      <c r="AS86">
        <v>790.8</v>
      </c>
      <c r="AT86">
        <v>-127.08</v>
      </c>
      <c r="AU86">
        <v>0</v>
      </c>
      <c r="AW86">
        <v>0</v>
      </c>
      <c r="AX86">
        <v>0</v>
      </c>
      <c r="AY86">
        <v>2176.1</v>
      </c>
      <c r="BA86" t="str">
        <f t="shared" si="19"/>
        <v>0000000000000</v>
      </c>
      <c r="BC86" t="str">
        <f t="shared" si="15"/>
        <v>9791137601413</v>
      </c>
      <c r="BE86" t="str">
        <f t="shared" si="16"/>
        <v>웹툰 &gt; 해외 순정</v>
      </c>
      <c r="BF86" t="str">
        <f t="shared" si="17"/>
        <v>웹툰 &gt; 로맨스</v>
      </c>
    </row>
    <row r="87" spans="1:58" x14ac:dyDescent="0.3">
      <c r="A87">
        <v>4421000916</v>
      </c>
      <c r="B87">
        <v>4421001230</v>
      </c>
      <c r="C87" t="str">
        <f>T("별빛 아래 우리 52화")</f>
        <v>별빛 아래 우리 52화</v>
      </c>
      <c r="D87" t="str">
        <f>T("52")</f>
        <v>52</v>
      </c>
      <c r="E87" t="str">
        <f t="shared" si="12"/>
        <v>건일</v>
      </c>
      <c r="G87" t="str">
        <f t="shared" si="13"/>
        <v>건일</v>
      </c>
      <c r="H87" t="str">
        <f t="shared" si="18"/>
        <v>스토리위즈</v>
      </c>
      <c r="I87" t="str">
        <f t="shared" si="14"/>
        <v>별빛 아래 우리</v>
      </c>
      <c r="J87">
        <v>400</v>
      </c>
      <c r="K87">
        <v>1600</v>
      </c>
      <c r="L87">
        <v>4</v>
      </c>
      <c r="M87">
        <v>0</v>
      </c>
      <c r="N87">
        <v>1000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2600</v>
      </c>
      <c r="AH87">
        <v>9</v>
      </c>
      <c r="AI87">
        <v>0</v>
      </c>
      <c r="AJ87">
        <v>0</v>
      </c>
      <c r="AK87">
        <v>1541</v>
      </c>
      <c r="AL87">
        <v>0</v>
      </c>
      <c r="AM87">
        <v>1270.8</v>
      </c>
      <c r="AN87">
        <v>-271.08</v>
      </c>
      <c r="AO87">
        <v>0</v>
      </c>
      <c r="AP87">
        <v>480</v>
      </c>
      <c r="AQ87">
        <v>-144</v>
      </c>
      <c r="AR87">
        <v>0</v>
      </c>
      <c r="AS87">
        <v>790.8</v>
      </c>
      <c r="AT87">
        <v>-127.08</v>
      </c>
      <c r="AU87">
        <v>0</v>
      </c>
      <c r="AW87">
        <v>0</v>
      </c>
      <c r="AX87">
        <v>0</v>
      </c>
      <c r="AY87">
        <v>1778.5</v>
      </c>
      <c r="BA87" t="str">
        <f t="shared" si="19"/>
        <v>0000000000000</v>
      </c>
      <c r="BC87" t="str">
        <f t="shared" si="15"/>
        <v>9791137601413</v>
      </c>
      <c r="BE87" t="str">
        <f t="shared" si="16"/>
        <v>웹툰 &gt; 해외 순정</v>
      </c>
      <c r="BF87" t="str">
        <f t="shared" si="17"/>
        <v>웹툰 &gt; 로맨스</v>
      </c>
    </row>
    <row r="88" spans="1:58" x14ac:dyDescent="0.3">
      <c r="A88">
        <v>4421000916</v>
      </c>
      <c r="B88">
        <v>4421001211</v>
      </c>
      <c r="C88" t="str">
        <f>T("별빛 아래 우리 48화")</f>
        <v>별빛 아래 우리 48화</v>
      </c>
      <c r="D88" t="str">
        <f>T("48")</f>
        <v>48</v>
      </c>
      <c r="E88" t="str">
        <f t="shared" si="12"/>
        <v>건일</v>
      </c>
      <c r="G88" t="str">
        <f t="shared" si="13"/>
        <v>건일</v>
      </c>
      <c r="H88" t="str">
        <f t="shared" si="18"/>
        <v>스토리위즈</v>
      </c>
      <c r="I88" t="str">
        <f t="shared" si="14"/>
        <v>별빛 아래 우리</v>
      </c>
      <c r="J88">
        <v>400</v>
      </c>
      <c r="K88">
        <v>1600</v>
      </c>
      <c r="L88">
        <v>4</v>
      </c>
      <c r="M88">
        <v>0</v>
      </c>
      <c r="N88">
        <v>1200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2800</v>
      </c>
      <c r="AH88">
        <v>10</v>
      </c>
      <c r="AI88">
        <v>0</v>
      </c>
      <c r="AJ88">
        <v>0</v>
      </c>
      <c r="AK88">
        <v>1741</v>
      </c>
      <c r="AL88">
        <v>0</v>
      </c>
      <c r="AM88">
        <v>1270.8</v>
      </c>
      <c r="AN88">
        <v>-271.08</v>
      </c>
      <c r="AO88">
        <v>0</v>
      </c>
      <c r="AP88">
        <v>480</v>
      </c>
      <c r="AQ88">
        <v>-144</v>
      </c>
      <c r="AR88">
        <v>0</v>
      </c>
      <c r="AS88">
        <v>790.8</v>
      </c>
      <c r="AT88">
        <v>-127.08</v>
      </c>
      <c r="AU88">
        <v>0</v>
      </c>
      <c r="AW88">
        <v>0</v>
      </c>
      <c r="AX88">
        <v>0</v>
      </c>
      <c r="AY88">
        <v>1918.5</v>
      </c>
      <c r="BA88" t="str">
        <f t="shared" si="19"/>
        <v>0000000000000</v>
      </c>
      <c r="BC88" t="str">
        <f t="shared" si="15"/>
        <v>9791137601413</v>
      </c>
      <c r="BE88" t="str">
        <f t="shared" si="16"/>
        <v>웹툰 &gt; 해외 순정</v>
      </c>
      <c r="BF88" t="str">
        <f t="shared" si="17"/>
        <v>웹툰 &gt; 로맨스</v>
      </c>
    </row>
    <row r="89" spans="1:58" x14ac:dyDescent="0.3">
      <c r="A89">
        <v>4421000916</v>
      </c>
      <c r="B89">
        <v>4421003048</v>
      </c>
      <c r="C89" t="str">
        <f>T("별빛 아래 우리 95화")</f>
        <v>별빛 아래 우리 95화</v>
      </c>
      <c r="D89" t="str">
        <f>T("95")</f>
        <v>95</v>
      </c>
      <c r="E89" t="str">
        <f t="shared" si="12"/>
        <v>건일</v>
      </c>
      <c r="G89" t="str">
        <f t="shared" si="13"/>
        <v>건일</v>
      </c>
      <c r="H89" t="str">
        <f t="shared" si="18"/>
        <v>스토리위즈</v>
      </c>
      <c r="I89" t="str">
        <f t="shared" si="14"/>
        <v>별빛 아래 우리</v>
      </c>
      <c r="J89">
        <v>400</v>
      </c>
      <c r="K89">
        <v>1600</v>
      </c>
      <c r="L89">
        <v>4</v>
      </c>
      <c r="M89">
        <v>0</v>
      </c>
      <c r="N89">
        <v>1200</v>
      </c>
      <c r="O89">
        <v>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2800</v>
      </c>
      <c r="AH89">
        <v>10</v>
      </c>
      <c r="AI89">
        <v>0</v>
      </c>
      <c r="AJ89">
        <v>0</v>
      </c>
      <c r="AK89">
        <v>1941</v>
      </c>
      <c r="AL89">
        <v>0</v>
      </c>
      <c r="AM89">
        <v>1030.8</v>
      </c>
      <c r="AN89">
        <v>-247.08</v>
      </c>
      <c r="AO89">
        <v>0</v>
      </c>
      <c r="AP89">
        <v>480</v>
      </c>
      <c r="AQ89">
        <v>-144</v>
      </c>
      <c r="AR89">
        <v>0</v>
      </c>
      <c r="AS89">
        <v>550.79999999999995</v>
      </c>
      <c r="AT89">
        <v>-103.08</v>
      </c>
      <c r="AU89">
        <v>0</v>
      </c>
      <c r="AW89">
        <v>0</v>
      </c>
      <c r="AX89">
        <v>0</v>
      </c>
      <c r="AY89">
        <v>1907.3</v>
      </c>
      <c r="BA89" t="str">
        <f t="shared" si="19"/>
        <v>0000000000000</v>
      </c>
      <c r="BC89" t="str">
        <f t="shared" si="15"/>
        <v>9791137601413</v>
      </c>
      <c r="BE89" t="str">
        <f t="shared" si="16"/>
        <v>웹툰 &gt; 해외 순정</v>
      </c>
      <c r="BF89" t="str">
        <f t="shared" si="17"/>
        <v>웹툰 &gt; 로맨스</v>
      </c>
    </row>
    <row r="90" spans="1:58" x14ac:dyDescent="0.3">
      <c r="A90">
        <v>4421000916</v>
      </c>
      <c r="B90">
        <v>4421001271</v>
      </c>
      <c r="C90" t="str">
        <f>T("별빛 아래 우리 59화")</f>
        <v>별빛 아래 우리 59화</v>
      </c>
      <c r="D90" t="str">
        <f>T("59")</f>
        <v>59</v>
      </c>
      <c r="E90" t="str">
        <f t="shared" si="12"/>
        <v>건일</v>
      </c>
      <c r="G90" t="str">
        <f t="shared" si="13"/>
        <v>건일</v>
      </c>
      <c r="H90" t="str">
        <f t="shared" si="18"/>
        <v>스토리위즈</v>
      </c>
      <c r="I90" t="str">
        <f t="shared" si="14"/>
        <v>별빛 아래 우리</v>
      </c>
      <c r="J90">
        <v>400</v>
      </c>
      <c r="K90">
        <v>1600</v>
      </c>
      <c r="L90">
        <v>4</v>
      </c>
      <c r="M90">
        <v>0</v>
      </c>
      <c r="N90">
        <v>1000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2600</v>
      </c>
      <c r="AH90">
        <v>9</v>
      </c>
      <c r="AI90">
        <v>0</v>
      </c>
      <c r="AJ90">
        <v>0</v>
      </c>
      <c r="AK90">
        <v>1541</v>
      </c>
      <c r="AL90">
        <v>0</v>
      </c>
      <c r="AM90">
        <v>1270.8</v>
      </c>
      <c r="AN90">
        <v>-271.08</v>
      </c>
      <c r="AO90">
        <v>0</v>
      </c>
      <c r="AP90">
        <v>480</v>
      </c>
      <c r="AQ90">
        <v>-144</v>
      </c>
      <c r="AR90">
        <v>0</v>
      </c>
      <c r="AS90">
        <v>790.8</v>
      </c>
      <c r="AT90">
        <v>-127.08</v>
      </c>
      <c r="AU90">
        <v>0</v>
      </c>
      <c r="AW90">
        <v>0</v>
      </c>
      <c r="AX90">
        <v>0</v>
      </c>
      <c r="AY90">
        <v>1778.5</v>
      </c>
      <c r="BA90" t="str">
        <f t="shared" si="19"/>
        <v>0000000000000</v>
      </c>
      <c r="BC90" t="str">
        <f t="shared" si="15"/>
        <v>9791137601413</v>
      </c>
      <c r="BE90" t="str">
        <f t="shared" si="16"/>
        <v>웹툰 &gt; 해외 순정</v>
      </c>
      <c r="BF90" t="str">
        <f t="shared" si="17"/>
        <v>웹툰 &gt; 로맨스</v>
      </c>
    </row>
    <row r="91" spans="1:58" x14ac:dyDescent="0.3">
      <c r="A91">
        <v>4421000916</v>
      </c>
      <c r="B91">
        <v>4421000931</v>
      </c>
      <c r="C91" t="str">
        <f>T("별빛 아래 우리 16화")</f>
        <v>별빛 아래 우리 16화</v>
      </c>
      <c r="D91" t="str">
        <f>T("16")</f>
        <v>16</v>
      </c>
      <c r="E91" t="str">
        <f t="shared" si="12"/>
        <v>건일</v>
      </c>
      <c r="G91" t="str">
        <f t="shared" si="13"/>
        <v>건일</v>
      </c>
      <c r="H91" t="str">
        <f t="shared" si="18"/>
        <v>스토리위즈</v>
      </c>
      <c r="I91" t="str">
        <f t="shared" si="14"/>
        <v>별빛 아래 우리</v>
      </c>
      <c r="J91">
        <v>400</v>
      </c>
      <c r="K91">
        <v>1600</v>
      </c>
      <c r="L91">
        <v>4</v>
      </c>
      <c r="M91">
        <v>0</v>
      </c>
      <c r="N91">
        <v>1800</v>
      </c>
      <c r="O91">
        <v>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3400</v>
      </c>
      <c r="AH91">
        <v>13</v>
      </c>
      <c r="AI91">
        <v>0</v>
      </c>
      <c r="AJ91">
        <v>0</v>
      </c>
      <c r="AK91">
        <v>2141</v>
      </c>
      <c r="AL91">
        <v>0</v>
      </c>
      <c r="AM91">
        <v>1510.8</v>
      </c>
      <c r="AN91">
        <v>-343.08</v>
      </c>
      <c r="AO91">
        <v>0</v>
      </c>
      <c r="AP91">
        <v>480</v>
      </c>
      <c r="AQ91">
        <v>-144</v>
      </c>
      <c r="AR91">
        <v>0</v>
      </c>
      <c r="AS91">
        <v>1030.8</v>
      </c>
      <c r="AT91">
        <v>-199.08</v>
      </c>
      <c r="AU91">
        <v>0</v>
      </c>
      <c r="AW91">
        <v>0</v>
      </c>
      <c r="AX91">
        <v>0</v>
      </c>
      <c r="AY91">
        <v>2316.1</v>
      </c>
      <c r="BA91" t="str">
        <f t="shared" si="19"/>
        <v>0000000000000</v>
      </c>
      <c r="BC91" t="str">
        <f t="shared" si="15"/>
        <v>9791137601413</v>
      </c>
      <c r="BE91" t="str">
        <f t="shared" si="16"/>
        <v>웹툰 &gt; 해외 순정</v>
      </c>
      <c r="BF91" t="str">
        <f t="shared" si="17"/>
        <v>웹툰 &gt; 로맨스</v>
      </c>
    </row>
    <row r="92" spans="1:58" x14ac:dyDescent="0.3">
      <c r="A92">
        <v>4421000916</v>
      </c>
      <c r="B92">
        <v>4421001246</v>
      </c>
      <c r="C92" t="str">
        <f>T("별빛 아래 우리 57화")</f>
        <v>별빛 아래 우리 57화</v>
      </c>
      <c r="D92" t="str">
        <f>T("57")</f>
        <v>57</v>
      </c>
      <c r="E92" t="str">
        <f t="shared" si="12"/>
        <v>건일</v>
      </c>
      <c r="G92" t="str">
        <f t="shared" si="13"/>
        <v>건일</v>
      </c>
      <c r="H92" t="str">
        <f t="shared" si="18"/>
        <v>스토리위즈</v>
      </c>
      <c r="I92" t="str">
        <f t="shared" si="14"/>
        <v>별빛 아래 우리</v>
      </c>
      <c r="J92">
        <v>400</v>
      </c>
      <c r="K92">
        <v>1600</v>
      </c>
      <c r="L92">
        <v>4</v>
      </c>
      <c r="M92">
        <v>0</v>
      </c>
      <c r="N92">
        <v>1200</v>
      </c>
      <c r="O92">
        <v>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2800</v>
      </c>
      <c r="AH92">
        <v>10</v>
      </c>
      <c r="AI92">
        <v>0</v>
      </c>
      <c r="AJ92">
        <v>0</v>
      </c>
      <c r="AK92">
        <v>1741</v>
      </c>
      <c r="AL92">
        <v>0</v>
      </c>
      <c r="AM92">
        <v>1270.8</v>
      </c>
      <c r="AN92">
        <v>-271.08</v>
      </c>
      <c r="AO92">
        <v>0</v>
      </c>
      <c r="AP92">
        <v>480</v>
      </c>
      <c r="AQ92">
        <v>-144</v>
      </c>
      <c r="AR92">
        <v>0</v>
      </c>
      <c r="AS92">
        <v>790.8</v>
      </c>
      <c r="AT92">
        <v>-127.08</v>
      </c>
      <c r="AU92">
        <v>0</v>
      </c>
      <c r="AW92">
        <v>0</v>
      </c>
      <c r="AX92">
        <v>0</v>
      </c>
      <c r="AY92">
        <v>1918.5</v>
      </c>
      <c r="BA92" t="str">
        <f t="shared" si="19"/>
        <v>0000000000000</v>
      </c>
      <c r="BC92" t="str">
        <f t="shared" si="15"/>
        <v>9791137601413</v>
      </c>
      <c r="BE92" t="str">
        <f t="shared" si="16"/>
        <v>웹툰 &gt; 해외 순정</v>
      </c>
      <c r="BF92" t="str">
        <f t="shared" si="17"/>
        <v>웹툰 &gt; 로맨스</v>
      </c>
    </row>
    <row r="93" spans="1:58" x14ac:dyDescent="0.3">
      <c r="A93">
        <v>4421000916</v>
      </c>
      <c r="B93">
        <v>4421000976</v>
      </c>
      <c r="C93" t="str">
        <f>T("별빛 아래 우리 27화")</f>
        <v>별빛 아래 우리 27화</v>
      </c>
      <c r="D93" t="str">
        <f>T("27")</f>
        <v>27</v>
      </c>
      <c r="E93" t="str">
        <f t="shared" si="12"/>
        <v>건일</v>
      </c>
      <c r="G93" t="str">
        <f t="shared" si="13"/>
        <v>건일</v>
      </c>
      <c r="H93" t="str">
        <f t="shared" si="18"/>
        <v>스토리위즈</v>
      </c>
      <c r="I93" t="str">
        <f t="shared" si="14"/>
        <v>별빛 아래 우리</v>
      </c>
      <c r="J93">
        <v>400</v>
      </c>
      <c r="K93">
        <v>1600</v>
      </c>
      <c r="L93">
        <v>4</v>
      </c>
      <c r="M93">
        <v>0</v>
      </c>
      <c r="N93">
        <v>1600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3200</v>
      </c>
      <c r="AH93">
        <v>12</v>
      </c>
      <c r="AI93">
        <v>0</v>
      </c>
      <c r="AJ93">
        <v>0</v>
      </c>
      <c r="AK93">
        <v>1941</v>
      </c>
      <c r="AL93">
        <v>0</v>
      </c>
      <c r="AM93">
        <v>1510.8</v>
      </c>
      <c r="AN93">
        <v>-343.08</v>
      </c>
      <c r="AO93">
        <v>0</v>
      </c>
      <c r="AP93">
        <v>720</v>
      </c>
      <c r="AQ93">
        <v>-216</v>
      </c>
      <c r="AR93">
        <v>0</v>
      </c>
      <c r="AS93">
        <v>790.8</v>
      </c>
      <c r="AT93">
        <v>-127.08</v>
      </c>
      <c r="AU93">
        <v>0</v>
      </c>
      <c r="AW93">
        <v>0</v>
      </c>
      <c r="AX93">
        <v>0</v>
      </c>
      <c r="AY93">
        <v>2176.1</v>
      </c>
      <c r="BA93" t="str">
        <f t="shared" si="19"/>
        <v>0000000000000</v>
      </c>
      <c r="BC93" t="str">
        <f t="shared" si="15"/>
        <v>9791137601413</v>
      </c>
      <c r="BE93" t="str">
        <f t="shared" si="16"/>
        <v>웹툰 &gt; 해외 순정</v>
      </c>
      <c r="BF93" t="str">
        <f t="shared" si="17"/>
        <v>웹툰 &gt; 로맨스</v>
      </c>
    </row>
    <row r="94" spans="1:58" x14ac:dyDescent="0.3">
      <c r="A94">
        <v>4421000916</v>
      </c>
      <c r="B94">
        <v>4421000941</v>
      </c>
      <c r="C94" t="str">
        <f>T("별빛 아래 우리 26화")</f>
        <v>별빛 아래 우리 26화</v>
      </c>
      <c r="D94" t="str">
        <f>T("26")</f>
        <v>26</v>
      </c>
      <c r="E94" t="str">
        <f t="shared" si="12"/>
        <v>건일</v>
      </c>
      <c r="G94" t="str">
        <f t="shared" si="13"/>
        <v>건일</v>
      </c>
      <c r="H94" t="str">
        <f t="shared" si="18"/>
        <v>스토리위즈</v>
      </c>
      <c r="I94" t="str">
        <f t="shared" si="14"/>
        <v>별빛 아래 우리</v>
      </c>
      <c r="J94">
        <v>400</v>
      </c>
      <c r="K94">
        <v>1600</v>
      </c>
      <c r="L94">
        <v>4</v>
      </c>
      <c r="M94">
        <v>0</v>
      </c>
      <c r="N94">
        <v>1400</v>
      </c>
      <c r="O94">
        <v>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3000</v>
      </c>
      <c r="AH94">
        <v>11</v>
      </c>
      <c r="AI94">
        <v>0</v>
      </c>
      <c r="AJ94">
        <v>0</v>
      </c>
      <c r="AK94">
        <v>1941</v>
      </c>
      <c r="AL94">
        <v>0</v>
      </c>
      <c r="AM94">
        <v>1270.8</v>
      </c>
      <c r="AN94">
        <v>-271.08</v>
      </c>
      <c r="AO94">
        <v>0</v>
      </c>
      <c r="AP94">
        <v>480</v>
      </c>
      <c r="AQ94">
        <v>-144</v>
      </c>
      <c r="AR94">
        <v>0</v>
      </c>
      <c r="AS94">
        <v>790.8</v>
      </c>
      <c r="AT94">
        <v>-127.08</v>
      </c>
      <c r="AU94">
        <v>0</v>
      </c>
      <c r="AW94">
        <v>0</v>
      </c>
      <c r="AX94">
        <v>0</v>
      </c>
      <c r="AY94">
        <v>2058.5</v>
      </c>
      <c r="BA94" t="str">
        <f t="shared" si="19"/>
        <v>0000000000000</v>
      </c>
      <c r="BC94" t="str">
        <f t="shared" si="15"/>
        <v>9791137601413</v>
      </c>
      <c r="BE94" t="str">
        <f t="shared" si="16"/>
        <v>웹툰 &gt; 해외 순정</v>
      </c>
      <c r="BF94" t="str">
        <f t="shared" si="17"/>
        <v>웹툰 &gt; 로맨스</v>
      </c>
    </row>
    <row r="95" spans="1:58" x14ac:dyDescent="0.3">
      <c r="A95">
        <v>4421000916</v>
      </c>
      <c r="B95">
        <v>4421001229</v>
      </c>
      <c r="C95" t="str">
        <f>T("별빛 아래 우리 51화")</f>
        <v>별빛 아래 우리 51화</v>
      </c>
      <c r="D95" t="str">
        <f>T("51")</f>
        <v>51</v>
      </c>
      <c r="E95" t="str">
        <f t="shared" si="12"/>
        <v>건일</v>
      </c>
      <c r="G95" t="str">
        <f t="shared" si="13"/>
        <v>건일</v>
      </c>
      <c r="H95" t="str">
        <f t="shared" si="18"/>
        <v>스토리위즈</v>
      </c>
      <c r="I95" t="str">
        <f t="shared" si="14"/>
        <v>별빛 아래 우리</v>
      </c>
      <c r="J95">
        <v>400</v>
      </c>
      <c r="K95">
        <v>1600</v>
      </c>
      <c r="L95">
        <v>4</v>
      </c>
      <c r="M95">
        <v>0</v>
      </c>
      <c r="N95">
        <v>1000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2600</v>
      </c>
      <c r="AH95">
        <v>9</v>
      </c>
      <c r="AI95">
        <v>0</v>
      </c>
      <c r="AJ95">
        <v>0</v>
      </c>
      <c r="AK95">
        <v>1541</v>
      </c>
      <c r="AL95">
        <v>0</v>
      </c>
      <c r="AM95">
        <v>1270.8</v>
      </c>
      <c r="AN95">
        <v>-271.08</v>
      </c>
      <c r="AO95">
        <v>0</v>
      </c>
      <c r="AP95">
        <v>480</v>
      </c>
      <c r="AQ95">
        <v>-144</v>
      </c>
      <c r="AR95">
        <v>0</v>
      </c>
      <c r="AS95">
        <v>790.8</v>
      </c>
      <c r="AT95">
        <v>-127.08</v>
      </c>
      <c r="AU95">
        <v>0</v>
      </c>
      <c r="AW95">
        <v>0</v>
      </c>
      <c r="AX95">
        <v>0</v>
      </c>
      <c r="AY95">
        <v>1778.5</v>
      </c>
      <c r="BA95" t="str">
        <f t="shared" si="19"/>
        <v>0000000000000</v>
      </c>
      <c r="BC95" t="str">
        <f t="shared" si="15"/>
        <v>9791137601413</v>
      </c>
      <c r="BE95" t="str">
        <f t="shared" si="16"/>
        <v>웹툰 &gt; 해외 순정</v>
      </c>
      <c r="BF95" t="str">
        <f t="shared" si="17"/>
        <v>웹툰 &gt; 로맨스</v>
      </c>
    </row>
    <row r="96" spans="1:58" x14ac:dyDescent="0.3">
      <c r="A96">
        <v>4421000916</v>
      </c>
      <c r="B96">
        <v>4421003062</v>
      </c>
      <c r="C96" t="str">
        <f>T("별빛 아래 우리 96화")</f>
        <v>별빛 아래 우리 96화</v>
      </c>
      <c r="D96" t="str">
        <f>T("96")</f>
        <v>96</v>
      </c>
      <c r="E96" t="str">
        <f t="shared" si="12"/>
        <v>건일</v>
      </c>
      <c r="G96" t="str">
        <f t="shared" si="13"/>
        <v>건일</v>
      </c>
      <c r="H96" t="str">
        <f t="shared" si="18"/>
        <v>스토리위즈</v>
      </c>
      <c r="I96" t="str">
        <f t="shared" si="14"/>
        <v>별빛 아래 우리</v>
      </c>
      <c r="J96">
        <v>400</v>
      </c>
      <c r="K96">
        <v>1600</v>
      </c>
      <c r="L96">
        <v>4</v>
      </c>
      <c r="M96">
        <v>0</v>
      </c>
      <c r="N96">
        <v>1400</v>
      </c>
      <c r="O96">
        <v>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3000</v>
      </c>
      <c r="AH96">
        <v>11</v>
      </c>
      <c r="AI96">
        <v>0</v>
      </c>
      <c r="AJ96">
        <v>0</v>
      </c>
      <c r="AK96">
        <v>2141</v>
      </c>
      <c r="AL96">
        <v>0</v>
      </c>
      <c r="AM96">
        <v>1030.8</v>
      </c>
      <c r="AN96">
        <v>-247.08</v>
      </c>
      <c r="AO96">
        <v>0</v>
      </c>
      <c r="AP96">
        <v>480</v>
      </c>
      <c r="AQ96">
        <v>-144</v>
      </c>
      <c r="AR96">
        <v>0</v>
      </c>
      <c r="AS96">
        <v>550.79999999999995</v>
      </c>
      <c r="AT96">
        <v>-103.08</v>
      </c>
      <c r="AU96">
        <v>0</v>
      </c>
      <c r="AW96">
        <v>0</v>
      </c>
      <c r="AX96">
        <v>0</v>
      </c>
      <c r="AY96">
        <v>2047.3</v>
      </c>
      <c r="BA96" t="str">
        <f t="shared" si="19"/>
        <v>0000000000000</v>
      </c>
      <c r="BC96" t="str">
        <f t="shared" si="15"/>
        <v>9791137601413</v>
      </c>
      <c r="BE96" t="str">
        <f t="shared" si="16"/>
        <v>웹툰 &gt; 해외 순정</v>
      </c>
      <c r="BF96" t="str">
        <f t="shared" si="17"/>
        <v>웹툰 &gt; 로맨스</v>
      </c>
    </row>
    <row r="97" spans="1:58" x14ac:dyDescent="0.3">
      <c r="A97">
        <v>4421000916</v>
      </c>
      <c r="B97">
        <v>4421003047</v>
      </c>
      <c r="C97" t="str">
        <f>T("별빛 아래 우리 94화")</f>
        <v>별빛 아래 우리 94화</v>
      </c>
      <c r="D97" t="str">
        <f>T("94")</f>
        <v>94</v>
      </c>
      <c r="E97" t="str">
        <f t="shared" si="12"/>
        <v>건일</v>
      </c>
      <c r="G97" t="str">
        <f t="shared" si="13"/>
        <v>건일</v>
      </c>
      <c r="H97" t="str">
        <f t="shared" si="18"/>
        <v>스토리위즈</v>
      </c>
      <c r="I97" t="str">
        <f t="shared" si="14"/>
        <v>별빛 아래 우리</v>
      </c>
      <c r="J97">
        <v>400</v>
      </c>
      <c r="K97">
        <v>1600</v>
      </c>
      <c r="L97">
        <v>4</v>
      </c>
      <c r="M97">
        <v>0</v>
      </c>
      <c r="N97">
        <v>1200</v>
      </c>
      <c r="O97">
        <v>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2800</v>
      </c>
      <c r="AH97">
        <v>10</v>
      </c>
      <c r="AI97">
        <v>0</v>
      </c>
      <c r="AJ97">
        <v>0</v>
      </c>
      <c r="AK97">
        <v>1941</v>
      </c>
      <c r="AL97">
        <v>0</v>
      </c>
      <c r="AM97">
        <v>1030.8</v>
      </c>
      <c r="AN97">
        <v>-247.08</v>
      </c>
      <c r="AO97">
        <v>0</v>
      </c>
      <c r="AP97">
        <v>480</v>
      </c>
      <c r="AQ97">
        <v>-144</v>
      </c>
      <c r="AR97">
        <v>0</v>
      </c>
      <c r="AS97">
        <v>550.79999999999995</v>
      </c>
      <c r="AT97">
        <v>-103.08</v>
      </c>
      <c r="AU97">
        <v>0</v>
      </c>
      <c r="AW97">
        <v>0</v>
      </c>
      <c r="AX97">
        <v>0</v>
      </c>
      <c r="AY97">
        <v>1907.3</v>
      </c>
      <c r="BA97" t="str">
        <f t="shared" si="19"/>
        <v>0000000000000</v>
      </c>
      <c r="BC97" t="str">
        <f t="shared" si="15"/>
        <v>9791137601413</v>
      </c>
      <c r="BE97" t="str">
        <f t="shared" si="16"/>
        <v>웹툰 &gt; 해외 순정</v>
      </c>
      <c r="BF97" t="str">
        <f t="shared" si="17"/>
        <v>웹툰 &gt; 로맨스</v>
      </c>
    </row>
    <row r="98" spans="1:58" x14ac:dyDescent="0.3">
      <c r="A98">
        <v>4421000916</v>
      </c>
      <c r="B98">
        <v>4421000930</v>
      </c>
      <c r="C98" t="str">
        <f>T("별빛 아래 우리 15화")</f>
        <v>별빛 아래 우리 15화</v>
      </c>
      <c r="D98" t="str">
        <f>T("15")</f>
        <v>15</v>
      </c>
      <c r="E98" t="str">
        <f t="shared" si="12"/>
        <v>건일</v>
      </c>
      <c r="G98" t="str">
        <f t="shared" si="13"/>
        <v>건일</v>
      </c>
      <c r="H98" t="str">
        <f t="shared" si="18"/>
        <v>스토리위즈</v>
      </c>
      <c r="I98" t="str">
        <f t="shared" si="14"/>
        <v>별빛 아래 우리</v>
      </c>
      <c r="J98">
        <v>400</v>
      </c>
      <c r="K98">
        <v>1600</v>
      </c>
      <c r="L98">
        <v>4</v>
      </c>
      <c r="M98">
        <v>0</v>
      </c>
      <c r="N98">
        <v>1600</v>
      </c>
      <c r="O98">
        <v>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3200</v>
      </c>
      <c r="AH98">
        <v>12</v>
      </c>
      <c r="AI98">
        <v>0</v>
      </c>
      <c r="AJ98">
        <v>0</v>
      </c>
      <c r="AK98">
        <v>1941</v>
      </c>
      <c r="AL98">
        <v>0</v>
      </c>
      <c r="AM98">
        <v>1510.8</v>
      </c>
      <c r="AN98">
        <v>-343.08</v>
      </c>
      <c r="AO98">
        <v>0</v>
      </c>
      <c r="AP98">
        <v>480</v>
      </c>
      <c r="AQ98">
        <v>-144</v>
      </c>
      <c r="AR98">
        <v>0</v>
      </c>
      <c r="AS98">
        <v>1030.8</v>
      </c>
      <c r="AT98">
        <v>-199.08</v>
      </c>
      <c r="AU98">
        <v>0</v>
      </c>
      <c r="AW98">
        <v>0</v>
      </c>
      <c r="AX98">
        <v>0</v>
      </c>
      <c r="AY98">
        <v>2176.1</v>
      </c>
      <c r="BA98" t="str">
        <f t="shared" si="19"/>
        <v>0000000000000</v>
      </c>
      <c r="BC98" t="str">
        <f t="shared" si="15"/>
        <v>9791137601413</v>
      </c>
      <c r="BE98" t="str">
        <f t="shared" si="16"/>
        <v>웹툰 &gt; 해외 순정</v>
      </c>
      <c r="BF98" t="str">
        <f t="shared" si="17"/>
        <v>웹툰 &gt; 로맨스</v>
      </c>
    </row>
    <row r="99" spans="1:58" x14ac:dyDescent="0.3">
      <c r="A99">
        <v>4421000916</v>
      </c>
      <c r="B99">
        <v>4421001210</v>
      </c>
      <c r="C99" t="str">
        <f>T("별빛 아래 우리 47화")</f>
        <v>별빛 아래 우리 47화</v>
      </c>
      <c r="D99" t="str">
        <f>T("47")</f>
        <v>47</v>
      </c>
      <c r="E99" t="str">
        <f t="shared" si="12"/>
        <v>건일</v>
      </c>
      <c r="G99" t="str">
        <f t="shared" si="13"/>
        <v>건일</v>
      </c>
      <c r="H99" t="str">
        <f t="shared" si="18"/>
        <v>스토리위즈</v>
      </c>
      <c r="I99" t="str">
        <f t="shared" si="14"/>
        <v>별빛 아래 우리</v>
      </c>
      <c r="J99">
        <v>400</v>
      </c>
      <c r="K99">
        <v>1600</v>
      </c>
      <c r="L99">
        <v>4</v>
      </c>
      <c r="M99">
        <v>0</v>
      </c>
      <c r="N99">
        <v>1200</v>
      </c>
      <c r="O99">
        <v>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2800</v>
      </c>
      <c r="AH99">
        <v>10</v>
      </c>
      <c r="AI99">
        <v>0</v>
      </c>
      <c r="AJ99">
        <v>0</v>
      </c>
      <c r="AK99">
        <v>1741</v>
      </c>
      <c r="AL99">
        <v>0</v>
      </c>
      <c r="AM99">
        <v>1270.8</v>
      </c>
      <c r="AN99">
        <v>-271.08</v>
      </c>
      <c r="AO99">
        <v>0</v>
      </c>
      <c r="AP99">
        <v>480</v>
      </c>
      <c r="AQ99">
        <v>-144</v>
      </c>
      <c r="AR99">
        <v>0</v>
      </c>
      <c r="AS99">
        <v>790.8</v>
      </c>
      <c r="AT99">
        <v>-127.08</v>
      </c>
      <c r="AU99">
        <v>0</v>
      </c>
      <c r="AW99">
        <v>0</v>
      </c>
      <c r="AX99">
        <v>0</v>
      </c>
      <c r="AY99">
        <v>1918.5</v>
      </c>
      <c r="BA99" t="str">
        <f t="shared" si="19"/>
        <v>0000000000000</v>
      </c>
      <c r="BC99" t="str">
        <f t="shared" si="15"/>
        <v>9791137601413</v>
      </c>
      <c r="BE99" t="str">
        <f t="shared" si="16"/>
        <v>웹툰 &gt; 해외 순정</v>
      </c>
      <c r="BF99" t="str">
        <f t="shared" si="17"/>
        <v>웹툰 &gt; 로맨스</v>
      </c>
    </row>
    <row r="100" spans="1:58" x14ac:dyDescent="0.3">
      <c r="A100">
        <v>4421000916</v>
      </c>
      <c r="B100">
        <v>4421001194</v>
      </c>
      <c r="C100" t="str">
        <f>T("별빛 아래 우리 42화")</f>
        <v>별빛 아래 우리 42화</v>
      </c>
      <c r="D100" t="str">
        <f>T("42")</f>
        <v>42</v>
      </c>
      <c r="E100" t="str">
        <f t="shared" si="12"/>
        <v>건일</v>
      </c>
      <c r="G100" t="str">
        <f t="shared" si="13"/>
        <v>건일</v>
      </c>
      <c r="H100" t="str">
        <f t="shared" si="18"/>
        <v>스토리위즈</v>
      </c>
      <c r="I100" t="str">
        <f t="shared" si="14"/>
        <v>별빛 아래 우리</v>
      </c>
      <c r="J100">
        <v>400</v>
      </c>
      <c r="K100">
        <v>1600</v>
      </c>
      <c r="L100">
        <v>4</v>
      </c>
      <c r="M100">
        <v>0</v>
      </c>
      <c r="N100">
        <v>1200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2800</v>
      </c>
      <c r="AH100">
        <v>10</v>
      </c>
      <c r="AI100">
        <v>0</v>
      </c>
      <c r="AJ100">
        <v>0</v>
      </c>
      <c r="AK100">
        <v>1741</v>
      </c>
      <c r="AL100">
        <v>0</v>
      </c>
      <c r="AM100">
        <v>1270.8</v>
      </c>
      <c r="AN100">
        <v>-271.08</v>
      </c>
      <c r="AO100">
        <v>0</v>
      </c>
      <c r="AP100">
        <v>480</v>
      </c>
      <c r="AQ100">
        <v>-144</v>
      </c>
      <c r="AR100">
        <v>0</v>
      </c>
      <c r="AS100">
        <v>790.8</v>
      </c>
      <c r="AT100">
        <v>-127.08</v>
      </c>
      <c r="AU100">
        <v>0</v>
      </c>
      <c r="AW100">
        <v>0</v>
      </c>
      <c r="AX100">
        <v>0</v>
      </c>
      <c r="AY100">
        <v>1918.5</v>
      </c>
      <c r="BA100" t="str">
        <f t="shared" si="19"/>
        <v>0000000000000</v>
      </c>
      <c r="BC100" t="str">
        <f t="shared" si="15"/>
        <v>9791137601413</v>
      </c>
      <c r="BE100" t="str">
        <f t="shared" si="16"/>
        <v>웹툰 &gt; 해외 순정</v>
      </c>
      <c r="BF100" t="str">
        <f t="shared" si="17"/>
        <v>웹툰 &gt; 로맨스</v>
      </c>
    </row>
    <row r="101" spans="1:58" x14ac:dyDescent="0.3">
      <c r="A101">
        <v>4421000916</v>
      </c>
      <c r="B101">
        <v>4421001245</v>
      </c>
      <c r="C101" t="str">
        <f>T("별빛 아래 우리 56화")</f>
        <v>별빛 아래 우리 56화</v>
      </c>
      <c r="D101" t="str">
        <f>T("56")</f>
        <v>56</v>
      </c>
      <c r="E101" t="str">
        <f t="shared" si="12"/>
        <v>건일</v>
      </c>
      <c r="G101" t="str">
        <f t="shared" si="13"/>
        <v>건일</v>
      </c>
      <c r="H101" t="str">
        <f t="shared" si="18"/>
        <v>스토리위즈</v>
      </c>
      <c r="I101" t="str">
        <f t="shared" si="14"/>
        <v>별빛 아래 우리</v>
      </c>
      <c r="J101">
        <v>400</v>
      </c>
      <c r="K101">
        <v>1600</v>
      </c>
      <c r="L101">
        <v>4</v>
      </c>
      <c r="M101">
        <v>0</v>
      </c>
      <c r="N101">
        <v>1200</v>
      </c>
      <c r="O101">
        <v>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2800</v>
      </c>
      <c r="AH101">
        <v>10</v>
      </c>
      <c r="AI101">
        <v>0</v>
      </c>
      <c r="AJ101">
        <v>0</v>
      </c>
      <c r="AK101">
        <v>1741</v>
      </c>
      <c r="AL101">
        <v>0</v>
      </c>
      <c r="AM101">
        <v>1270.8</v>
      </c>
      <c r="AN101">
        <v>-271.08</v>
      </c>
      <c r="AO101">
        <v>0</v>
      </c>
      <c r="AP101">
        <v>480</v>
      </c>
      <c r="AQ101">
        <v>-144</v>
      </c>
      <c r="AR101">
        <v>0</v>
      </c>
      <c r="AS101">
        <v>790.8</v>
      </c>
      <c r="AT101">
        <v>-127.08</v>
      </c>
      <c r="AU101">
        <v>0</v>
      </c>
      <c r="AW101">
        <v>0</v>
      </c>
      <c r="AX101">
        <v>0</v>
      </c>
      <c r="AY101">
        <v>1918.5</v>
      </c>
      <c r="BA101" t="str">
        <f t="shared" si="19"/>
        <v>0000000000000</v>
      </c>
      <c r="BC101" t="str">
        <f t="shared" si="15"/>
        <v>9791137601413</v>
      </c>
      <c r="BE101" t="str">
        <f t="shared" si="16"/>
        <v>웹툰 &gt; 해외 순정</v>
      </c>
      <c r="BF101" t="str">
        <f t="shared" si="17"/>
        <v>웹툰 &gt; 로맨스</v>
      </c>
    </row>
    <row r="102" spans="1:58" x14ac:dyDescent="0.3">
      <c r="A102">
        <v>4421000916</v>
      </c>
      <c r="B102">
        <v>4421000940</v>
      </c>
      <c r="C102" t="str">
        <f>T("별빛 아래 우리 25화")</f>
        <v>별빛 아래 우리 25화</v>
      </c>
      <c r="D102" t="str">
        <f>T("25")</f>
        <v>25</v>
      </c>
      <c r="E102" t="str">
        <f t="shared" si="12"/>
        <v>건일</v>
      </c>
      <c r="G102" t="str">
        <f t="shared" si="13"/>
        <v>건일</v>
      </c>
      <c r="H102" t="str">
        <f t="shared" si="18"/>
        <v>스토리위즈</v>
      </c>
      <c r="I102" t="str">
        <f t="shared" si="14"/>
        <v>별빛 아래 우리</v>
      </c>
      <c r="J102">
        <v>400</v>
      </c>
      <c r="K102">
        <v>1600</v>
      </c>
      <c r="L102">
        <v>4</v>
      </c>
      <c r="M102">
        <v>0</v>
      </c>
      <c r="N102">
        <v>1400</v>
      </c>
      <c r="O102">
        <v>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3000</v>
      </c>
      <c r="AH102">
        <v>11</v>
      </c>
      <c r="AI102">
        <v>0</v>
      </c>
      <c r="AJ102">
        <v>0</v>
      </c>
      <c r="AK102">
        <v>1941</v>
      </c>
      <c r="AL102">
        <v>0</v>
      </c>
      <c r="AM102">
        <v>1270.8</v>
      </c>
      <c r="AN102">
        <v>-271.08</v>
      </c>
      <c r="AO102">
        <v>0</v>
      </c>
      <c r="AP102">
        <v>480</v>
      </c>
      <c r="AQ102">
        <v>-144</v>
      </c>
      <c r="AR102">
        <v>0</v>
      </c>
      <c r="AS102">
        <v>790.8</v>
      </c>
      <c r="AT102">
        <v>-127.08</v>
      </c>
      <c r="AU102">
        <v>0</v>
      </c>
      <c r="AW102">
        <v>0</v>
      </c>
      <c r="AX102">
        <v>0</v>
      </c>
      <c r="AY102">
        <v>2058.5</v>
      </c>
      <c r="BA102" t="str">
        <f t="shared" si="19"/>
        <v>0000000000000</v>
      </c>
      <c r="BC102" t="str">
        <f t="shared" si="15"/>
        <v>9791137601413</v>
      </c>
      <c r="BE102" t="str">
        <f t="shared" si="16"/>
        <v>웹툰 &gt; 해외 순정</v>
      </c>
      <c r="BF102" t="str">
        <f t="shared" si="17"/>
        <v>웹툰 &gt; 로맨스</v>
      </c>
    </row>
    <row r="103" spans="1:58" x14ac:dyDescent="0.3">
      <c r="A103">
        <v>4421000916</v>
      </c>
      <c r="B103">
        <v>4421001169</v>
      </c>
      <c r="C103" t="str">
        <f>T("별빛 아래 우리 38화")</f>
        <v>별빛 아래 우리 38화</v>
      </c>
      <c r="D103" t="str">
        <f>T("38")</f>
        <v>38</v>
      </c>
      <c r="E103" t="str">
        <f t="shared" si="12"/>
        <v>건일</v>
      </c>
      <c r="G103" t="str">
        <f t="shared" si="13"/>
        <v>건일</v>
      </c>
      <c r="H103" t="str">
        <f t="shared" si="18"/>
        <v>스토리위즈</v>
      </c>
      <c r="I103" t="str">
        <f t="shared" si="14"/>
        <v>별빛 아래 우리</v>
      </c>
      <c r="J103">
        <v>400</v>
      </c>
      <c r="K103">
        <v>1600</v>
      </c>
      <c r="L103">
        <v>4</v>
      </c>
      <c r="M103">
        <v>0</v>
      </c>
      <c r="N103">
        <v>1200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2800</v>
      </c>
      <c r="AH103">
        <v>10</v>
      </c>
      <c r="AI103">
        <v>0</v>
      </c>
      <c r="AJ103">
        <v>0</v>
      </c>
      <c r="AK103">
        <v>1741</v>
      </c>
      <c r="AL103">
        <v>0</v>
      </c>
      <c r="AM103">
        <v>1270.8</v>
      </c>
      <c r="AN103">
        <v>-271.08</v>
      </c>
      <c r="AO103">
        <v>0</v>
      </c>
      <c r="AP103">
        <v>480</v>
      </c>
      <c r="AQ103">
        <v>-144</v>
      </c>
      <c r="AR103">
        <v>0</v>
      </c>
      <c r="AS103">
        <v>790.8</v>
      </c>
      <c r="AT103">
        <v>-127.08</v>
      </c>
      <c r="AU103">
        <v>0</v>
      </c>
      <c r="AW103">
        <v>0</v>
      </c>
      <c r="AX103">
        <v>0</v>
      </c>
      <c r="AY103">
        <v>1918.5</v>
      </c>
      <c r="BA103" t="str">
        <f t="shared" si="19"/>
        <v>0000000000000</v>
      </c>
      <c r="BC103" t="str">
        <f t="shared" si="15"/>
        <v>9791137601413</v>
      </c>
      <c r="BE103" t="str">
        <f t="shared" si="16"/>
        <v>웹툰 &gt; 해외 순정</v>
      </c>
      <c r="BF103" t="str">
        <f t="shared" si="17"/>
        <v>웹툰 &gt; 로맨스</v>
      </c>
    </row>
    <row r="104" spans="1:58" x14ac:dyDescent="0.3">
      <c r="A104">
        <v>4421000916</v>
      </c>
      <c r="B104">
        <v>4421000929</v>
      </c>
      <c r="C104" t="str">
        <f>T("별빛 아래 우리 14화")</f>
        <v>별빛 아래 우리 14화</v>
      </c>
      <c r="D104" t="str">
        <f>T("14")</f>
        <v>14</v>
      </c>
      <c r="E104" t="str">
        <f t="shared" si="12"/>
        <v>건일</v>
      </c>
      <c r="G104" t="str">
        <f t="shared" si="13"/>
        <v>건일</v>
      </c>
      <c r="H104" t="str">
        <f t="shared" si="18"/>
        <v>스토리위즈</v>
      </c>
      <c r="I104" t="str">
        <f t="shared" si="14"/>
        <v>별빛 아래 우리</v>
      </c>
      <c r="J104">
        <v>400</v>
      </c>
      <c r="K104">
        <v>1600</v>
      </c>
      <c r="L104">
        <v>4</v>
      </c>
      <c r="M104">
        <v>0</v>
      </c>
      <c r="N104">
        <v>1800</v>
      </c>
      <c r="O104">
        <v>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3400</v>
      </c>
      <c r="AH104">
        <v>13</v>
      </c>
      <c r="AI104">
        <v>0</v>
      </c>
      <c r="AJ104">
        <v>0</v>
      </c>
      <c r="AK104">
        <v>1941</v>
      </c>
      <c r="AL104">
        <v>0</v>
      </c>
      <c r="AM104">
        <v>1750.8</v>
      </c>
      <c r="AN104">
        <v>-415.08</v>
      </c>
      <c r="AO104">
        <v>0</v>
      </c>
      <c r="AP104">
        <v>720</v>
      </c>
      <c r="AQ104">
        <v>-216</v>
      </c>
      <c r="AR104">
        <v>0</v>
      </c>
      <c r="AS104">
        <v>1030.8</v>
      </c>
      <c r="AT104">
        <v>-199.08</v>
      </c>
      <c r="AU104">
        <v>0</v>
      </c>
      <c r="AW104">
        <v>0</v>
      </c>
      <c r="AX104">
        <v>0</v>
      </c>
      <c r="AY104">
        <v>2293.6999999999998</v>
      </c>
      <c r="BA104" t="str">
        <f t="shared" si="19"/>
        <v>0000000000000</v>
      </c>
      <c r="BC104" t="str">
        <f t="shared" si="15"/>
        <v>9791137601413</v>
      </c>
      <c r="BE104" t="str">
        <f t="shared" si="16"/>
        <v>웹툰 &gt; 해외 순정</v>
      </c>
      <c r="BF104" t="str">
        <f t="shared" si="17"/>
        <v>웹툰 &gt; 로맨스</v>
      </c>
    </row>
    <row r="105" spans="1:58" x14ac:dyDescent="0.3">
      <c r="A105">
        <v>4421000916</v>
      </c>
      <c r="B105">
        <v>4421001193</v>
      </c>
      <c r="C105" t="str">
        <f>T("별빛 아래 우리 41화")</f>
        <v>별빛 아래 우리 41화</v>
      </c>
      <c r="D105" t="str">
        <f>T("41")</f>
        <v>41</v>
      </c>
      <c r="E105" t="str">
        <f t="shared" si="12"/>
        <v>건일</v>
      </c>
      <c r="G105" t="str">
        <f t="shared" si="13"/>
        <v>건일</v>
      </c>
      <c r="H105" t="str">
        <f t="shared" si="18"/>
        <v>스토리위즈</v>
      </c>
      <c r="I105" t="str">
        <f t="shared" si="14"/>
        <v>별빛 아래 우리</v>
      </c>
      <c r="J105">
        <v>400</v>
      </c>
      <c r="K105">
        <v>1600</v>
      </c>
      <c r="L105">
        <v>4</v>
      </c>
      <c r="M105">
        <v>0</v>
      </c>
      <c r="N105">
        <v>1200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2800</v>
      </c>
      <c r="AH105">
        <v>10</v>
      </c>
      <c r="AI105">
        <v>0</v>
      </c>
      <c r="AJ105">
        <v>0</v>
      </c>
      <c r="AK105">
        <v>1741</v>
      </c>
      <c r="AL105">
        <v>0</v>
      </c>
      <c r="AM105">
        <v>1270.8</v>
      </c>
      <c r="AN105">
        <v>-271.08</v>
      </c>
      <c r="AO105">
        <v>0</v>
      </c>
      <c r="AP105">
        <v>480</v>
      </c>
      <c r="AQ105">
        <v>-144</v>
      </c>
      <c r="AR105">
        <v>0</v>
      </c>
      <c r="AS105">
        <v>790.8</v>
      </c>
      <c r="AT105">
        <v>-127.08</v>
      </c>
      <c r="AU105">
        <v>0</v>
      </c>
      <c r="AW105">
        <v>0</v>
      </c>
      <c r="AX105">
        <v>0</v>
      </c>
      <c r="AY105">
        <v>1918.5</v>
      </c>
      <c r="BA105" t="str">
        <f t="shared" si="19"/>
        <v>0000000000000</v>
      </c>
      <c r="BC105" t="str">
        <f t="shared" si="15"/>
        <v>9791137601413</v>
      </c>
      <c r="BE105" t="str">
        <f t="shared" si="16"/>
        <v>웹툰 &gt; 해외 순정</v>
      </c>
      <c r="BF105" t="str">
        <f t="shared" si="17"/>
        <v>웹툰 &gt; 로맨스</v>
      </c>
    </row>
    <row r="106" spans="1:58" x14ac:dyDescent="0.3">
      <c r="A106">
        <v>4421000916</v>
      </c>
      <c r="B106">
        <v>4421001168</v>
      </c>
      <c r="C106" t="str">
        <f>T("별빛 아래 우리 37화")</f>
        <v>별빛 아래 우리 37화</v>
      </c>
      <c r="D106" t="str">
        <f>T("37")</f>
        <v>37</v>
      </c>
      <c r="E106" t="str">
        <f t="shared" si="12"/>
        <v>건일</v>
      </c>
      <c r="G106" t="str">
        <f t="shared" si="13"/>
        <v>건일</v>
      </c>
      <c r="H106" t="str">
        <f t="shared" si="18"/>
        <v>스토리위즈</v>
      </c>
      <c r="I106" t="str">
        <f t="shared" si="14"/>
        <v>별빛 아래 우리</v>
      </c>
      <c r="J106">
        <v>400</v>
      </c>
      <c r="K106">
        <v>1600</v>
      </c>
      <c r="L106">
        <v>4</v>
      </c>
      <c r="M106">
        <v>0</v>
      </c>
      <c r="N106">
        <v>1200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2800</v>
      </c>
      <c r="AH106">
        <v>10</v>
      </c>
      <c r="AI106">
        <v>0</v>
      </c>
      <c r="AJ106">
        <v>0</v>
      </c>
      <c r="AK106">
        <v>1741</v>
      </c>
      <c r="AL106">
        <v>0</v>
      </c>
      <c r="AM106">
        <v>1270.8</v>
      </c>
      <c r="AN106">
        <v>-271.08</v>
      </c>
      <c r="AO106">
        <v>0</v>
      </c>
      <c r="AP106">
        <v>480</v>
      </c>
      <c r="AQ106">
        <v>-144</v>
      </c>
      <c r="AR106">
        <v>0</v>
      </c>
      <c r="AS106">
        <v>790.8</v>
      </c>
      <c r="AT106">
        <v>-127.08</v>
      </c>
      <c r="AU106">
        <v>0</v>
      </c>
      <c r="AW106">
        <v>0</v>
      </c>
      <c r="AX106">
        <v>0</v>
      </c>
      <c r="AY106">
        <v>1918.5</v>
      </c>
      <c r="BA106" t="str">
        <f t="shared" si="19"/>
        <v>0000000000000</v>
      </c>
      <c r="BC106" t="str">
        <f t="shared" si="15"/>
        <v>9791137601413</v>
      </c>
      <c r="BE106" t="str">
        <f t="shared" si="16"/>
        <v>웹툰 &gt; 해외 순정</v>
      </c>
      <c r="BF106" t="str">
        <f t="shared" si="17"/>
        <v>웹툰 &gt; 로맨스</v>
      </c>
    </row>
    <row r="107" spans="1:58" x14ac:dyDescent="0.3">
      <c r="A107">
        <v>4421000916</v>
      </c>
      <c r="B107">
        <v>4421000928</v>
      </c>
      <c r="C107" t="str">
        <f>T("별빛 아래 우리 13화")</f>
        <v>별빛 아래 우리 13화</v>
      </c>
      <c r="D107" t="str">
        <f>T("13")</f>
        <v>13</v>
      </c>
      <c r="E107" t="str">
        <f t="shared" si="12"/>
        <v>건일</v>
      </c>
      <c r="G107" t="str">
        <f t="shared" si="13"/>
        <v>건일</v>
      </c>
      <c r="H107" t="str">
        <f t="shared" si="18"/>
        <v>스토리위즈</v>
      </c>
      <c r="I107" t="str">
        <f t="shared" si="14"/>
        <v>별빛 아래 우리</v>
      </c>
      <c r="J107">
        <v>400</v>
      </c>
      <c r="K107">
        <v>1600</v>
      </c>
      <c r="L107">
        <v>4</v>
      </c>
      <c r="M107">
        <v>0</v>
      </c>
      <c r="N107">
        <v>1600</v>
      </c>
      <c r="O107">
        <v>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3200</v>
      </c>
      <c r="AH107">
        <v>12</v>
      </c>
      <c r="AI107">
        <v>0</v>
      </c>
      <c r="AJ107">
        <v>0</v>
      </c>
      <c r="AK107">
        <v>1991</v>
      </c>
      <c r="AL107">
        <v>0</v>
      </c>
      <c r="AM107">
        <v>1450.8</v>
      </c>
      <c r="AN107">
        <v>-337.08</v>
      </c>
      <c r="AO107">
        <v>0</v>
      </c>
      <c r="AP107">
        <v>480</v>
      </c>
      <c r="AQ107">
        <v>-144</v>
      </c>
      <c r="AR107">
        <v>0</v>
      </c>
      <c r="AS107">
        <v>970.8</v>
      </c>
      <c r="AT107">
        <v>-193.08</v>
      </c>
      <c r="AU107">
        <v>0</v>
      </c>
      <c r="AW107">
        <v>0</v>
      </c>
      <c r="AX107">
        <v>0</v>
      </c>
      <c r="AY107">
        <v>2173.3000000000002</v>
      </c>
      <c r="BA107" t="str">
        <f t="shared" si="19"/>
        <v>0000000000000</v>
      </c>
      <c r="BC107" t="str">
        <f t="shared" si="15"/>
        <v>9791137601413</v>
      </c>
      <c r="BE107" t="str">
        <f t="shared" si="16"/>
        <v>웹툰 &gt; 해외 순정</v>
      </c>
      <c r="BF107" t="str">
        <f t="shared" si="17"/>
        <v>웹툰 &gt; 로맨스</v>
      </c>
    </row>
    <row r="108" spans="1:58" x14ac:dyDescent="0.3">
      <c r="A108">
        <v>4421000916</v>
      </c>
      <c r="B108">
        <v>4421001167</v>
      </c>
      <c r="C108" t="str">
        <f>T("별빛 아래 우리 36화")</f>
        <v>별빛 아래 우리 36화</v>
      </c>
      <c r="D108" t="str">
        <f>T("36")</f>
        <v>36</v>
      </c>
      <c r="E108" t="str">
        <f t="shared" si="12"/>
        <v>건일</v>
      </c>
      <c r="G108" t="str">
        <f t="shared" si="13"/>
        <v>건일</v>
      </c>
      <c r="H108" t="str">
        <f t="shared" si="18"/>
        <v>스토리위즈</v>
      </c>
      <c r="I108" t="str">
        <f t="shared" si="14"/>
        <v>별빛 아래 우리</v>
      </c>
      <c r="J108">
        <v>400</v>
      </c>
      <c r="K108">
        <v>1600</v>
      </c>
      <c r="L108">
        <v>4</v>
      </c>
      <c r="M108">
        <v>0</v>
      </c>
      <c r="N108">
        <v>1000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2600</v>
      </c>
      <c r="AH108">
        <v>9</v>
      </c>
      <c r="AI108">
        <v>0</v>
      </c>
      <c r="AJ108">
        <v>0</v>
      </c>
      <c r="AK108">
        <v>1741</v>
      </c>
      <c r="AL108">
        <v>0</v>
      </c>
      <c r="AM108">
        <v>1030.8</v>
      </c>
      <c r="AN108">
        <v>-199.08</v>
      </c>
      <c r="AO108">
        <v>0</v>
      </c>
      <c r="AP108">
        <v>240</v>
      </c>
      <c r="AQ108">
        <v>-72</v>
      </c>
      <c r="AR108">
        <v>0</v>
      </c>
      <c r="AS108">
        <v>790.8</v>
      </c>
      <c r="AT108">
        <v>-127.08</v>
      </c>
      <c r="AU108">
        <v>0</v>
      </c>
      <c r="AW108">
        <v>0</v>
      </c>
      <c r="AX108">
        <v>0</v>
      </c>
      <c r="AY108">
        <v>1800.9</v>
      </c>
      <c r="BA108" t="str">
        <f t="shared" si="19"/>
        <v>0000000000000</v>
      </c>
      <c r="BC108" t="str">
        <f t="shared" si="15"/>
        <v>9791137601413</v>
      </c>
      <c r="BE108" t="str">
        <f t="shared" si="16"/>
        <v>웹툰 &gt; 해외 순정</v>
      </c>
      <c r="BF108" t="str">
        <f t="shared" si="17"/>
        <v>웹툰 &gt; 로맨스</v>
      </c>
    </row>
    <row r="109" spans="1:58" x14ac:dyDescent="0.3">
      <c r="A109">
        <v>4421000916</v>
      </c>
      <c r="B109">
        <v>4421000938</v>
      </c>
      <c r="C109" t="str">
        <f>T("별빛 아래 우리 23화")</f>
        <v>별빛 아래 우리 23화</v>
      </c>
      <c r="D109" t="str">
        <f>T("23")</f>
        <v>23</v>
      </c>
      <c r="E109" t="str">
        <f t="shared" si="12"/>
        <v>건일</v>
      </c>
      <c r="G109" t="str">
        <f t="shared" si="13"/>
        <v>건일</v>
      </c>
      <c r="H109" t="str">
        <f t="shared" si="18"/>
        <v>스토리위즈</v>
      </c>
      <c r="I109" t="str">
        <f t="shared" si="14"/>
        <v>별빛 아래 우리</v>
      </c>
      <c r="J109">
        <v>400</v>
      </c>
      <c r="K109">
        <v>1600</v>
      </c>
      <c r="L109">
        <v>4</v>
      </c>
      <c r="M109">
        <v>0</v>
      </c>
      <c r="N109">
        <v>1600</v>
      </c>
      <c r="O109">
        <v>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3200</v>
      </c>
      <c r="AH109">
        <v>12</v>
      </c>
      <c r="AI109">
        <v>0</v>
      </c>
      <c r="AJ109">
        <v>0</v>
      </c>
      <c r="AK109">
        <v>1941</v>
      </c>
      <c r="AL109">
        <v>0</v>
      </c>
      <c r="AM109">
        <v>1510.8</v>
      </c>
      <c r="AN109">
        <v>-343.08</v>
      </c>
      <c r="AO109">
        <v>0</v>
      </c>
      <c r="AP109">
        <v>720</v>
      </c>
      <c r="AQ109">
        <v>-216</v>
      </c>
      <c r="AR109">
        <v>0</v>
      </c>
      <c r="AS109">
        <v>790.8</v>
      </c>
      <c r="AT109">
        <v>-127.08</v>
      </c>
      <c r="AU109">
        <v>0</v>
      </c>
      <c r="AW109">
        <v>0</v>
      </c>
      <c r="AX109">
        <v>0</v>
      </c>
      <c r="AY109">
        <v>2176.1</v>
      </c>
      <c r="BA109" t="str">
        <f t="shared" si="19"/>
        <v>0000000000000</v>
      </c>
      <c r="BC109" t="str">
        <f t="shared" si="15"/>
        <v>9791137601413</v>
      </c>
      <c r="BE109" t="str">
        <f t="shared" si="16"/>
        <v>웹툰 &gt; 해외 순정</v>
      </c>
      <c r="BF109" t="str">
        <f t="shared" si="17"/>
        <v>웹툰 &gt; 로맨스</v>
      </c>
    </row>
    <row r="110" spans="1:58" x14ac:dyDescent="0.3">
      <c r="A110">
        <v>4421000916</v>
      </c>
      <c r="B110">
        <v>4421000927</v>
      </c>
      <c r="C110" t="str">
        <f>T("별빛 아래 우리 12화")</f>
        <v>별빛 아래 우리 12화</v>
      </c>
      <c r="D110" t="str">
        <f>T("12")</f>
        <v>12</v>
      </c>
      <c r="E110" t="str">
        <f t="shared" si="12"/>
        <v>건일</v>
      </c>
      <c r="G110" t="str">
        <f t="shared" si="13"/>
        <v>건일</v>
      </c>
      <c r="H110" t="str">
        <f t="shared" si="18"/>
        <v>스토리위즈</v>
      </c>
      <c r="I110" t="str">
        <f t="shared" si="14"/>
        <v>별빛 아래 우리</v>
      </c>
      <c r="J110">
        <v>400</v>
      </c>
      <c r="K110">
        <v>1600</v>
      </c>
      <c r="L110">
        <v>4</v>
      </c>
      <c r="M110">
        <v>0</v>
      </c>
      <c r="N110">
        <v>1600</v>
      </c>
      <c r="O110">
        <v>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3200</v>
      </c>
      <c r="AH110">
        <v>12</v>
      </c>
      <c r="AI110">
        <v>0</v>
      </c>
      <c r="AJ110">
        <v>0</v>
      </c>
      <c r="AK110">
        <v>1941</v>
      </c>
      <c r="AL110">
        <v>0</v>
      </c>
      <c r="AM110">
        <v>1510.8</v>
      </c>
      <c r="AN110">
        <v>-343.08</v>
      </c>
      <c r="AO110">
        <v>0</v>
      </c>
      <c r="AP110">
        <v>480</v>
      </c>
      <c r="AQ110">
        <v>-144</v>
      </c>
      <c r="AR110">
        <v>0</v>
      </c>
      <c r="AS110">
        <v>1030.8</v>
      </c>
      <c r="AT110">
        <v>-199.08</v>
      </c>
      <c r="AU110">
        <v>0</v>
      </c>
      <c r="AW110">
        <v>0</v>
      </c>
      <c r="AX110">
        <v>0</v>
      </c>
      <c r="AY110">
        <v>2176.1</v>
      </c>
      <c r="BA110" t="str">
        <f t="shared" si="19"/>
        <v>0000000000000</v>
      </c>
      <c r="BC110" t="str">
        <f t="shared" si="15"/>
        <v>9791137601413</v>
      </c>
      <c r="BE110" t="str">
        <f t="shared" si="16"/>
        <v>웹툰 &gt; 해외 순정</v>
      </c>
      <c r="BF110" t="str">
        <f t="shared" si="17"/>
        <v>웹툰 &gt; 로맨스</v>
      </c>
    </row>
    <row r="111" spans="1:58" x14ac:dyDescent="0.3">
      <c r="A111">
        <v>4421002829</v>
      </c>
      <c r="B111">
        <v>4421003092</v>
      </c>
      <c r="C111" t="str">
        <f>T("테두리는 주시하지 않는다 (개정판) 23화")</f>
        <v>테두리는 주시하지 않는다 (개정판) 23화</v>
      </c>
      <c r="D111" t="str">
        <f>T("23")</f>
        <v>23</v>
      </c>
      <c r="E111" t="str">
        <f>T("토찌, 키로즈")</f>
        <v>토찌, 키로즈</v>
      </c>
      <c r="G111" t="str">
        <f>T("마린")</f>
        <v>마린</v>
      </c>
      <c r="H111" t="str">
        <f t="shared" si="18"/>
        <v>스토리위즈</v>
      </c>
      <c r="I111" t="str">
        <f>T("테두리는 주시하지 않는다 (개정판)")</f>
        <v>테두리는 주시하지 않는다 (개정판)</v>
      </c>
      <c r="J111">
        <v>500</v>
      </c>
      <c r="K111">
        <v>1500</v>
      </c>
      <c r="L111">
        <v>3</v>
      </c>
      <c r="M111">
        <v>0</v>
      </c>
      <c r="N111">
        <v>10500</v>
      </c>
      <c r="O111">
        <v>35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12000</v>
      </c>
      <c r="AH111">
        <v>38</v>
      </c>
      <c r="AI111">
        <v>0</v>
      </c>
      <c r="AJ111">
        <v>0</v>
      </c>
      <c r="AK111">
        <v>5680</v>
      </c>
      <c r="AL111">
        <v>0</v>
      </c>
      <c r="AM111">
        <v>7584</v>
      </c>
      <c r="AN111">
        <v>-1382.4</v>
      </c>
      <c r="AO111">
        <v>0</v>
      </c>
      <c r="AP111">
        <v>2040</v>
      </c>
      <c r="AQ111">
        <v>-612</v>
      </c>
      <c r="AR111">
        <v>0</v>
      </c>
      <c r="AS111">
        <v>5544</v>
      </c>
      <c r="AT111">
        <v>-770.4</v>
      </c>
      <c r="AU111">
        <v>0</v>
      </c>
      <c r="AW111">
        <v>0</v>
      </c>
      <c r="AX111">
        <v>0</v>
      </c>
      <c r="AY111">
        <v>8317.1200000000008</v>
      </c>
      <c r="BA111" t="str">
        <f t="shared" si="19"/>
        <v>0000000000000</v>
      </c>
      <c r="BC111" t="str">
        <f>T("9791137604681")</f>
        <v>9791137604681</v>
      </c>
      <c r="BE111" t="str">
        <f>T("BL 웹툰 &gt; 웹툰")</f>
        <v>BL 웹툰 &gt; 웹툰</v>
      </c>
    </row>
    <row r="112" spans="1:58" x14ac:dyDescent="0.3">
      <c r="A112">
        <v>4421001305</v>
      </c>
      <c r="B112">
        <v>4421001317</v>
      </c>
      <c r="C112" t="str">
        <f>T("악역이지만, 남주는 꼬시지 않아요 13화")</f>
        <v>악역이지만, 남주는 꼬시지 않아요 13화</v>
      </c>
      <c r="D112" t="str">
        <f>T("13")</f>
        <v>13</v>
      </c>
      <c r="E112" t="str">
        <f>T("마북명")</f>
        <v>마북명</v>
      </c>
      <c r="G112" t="str">
        <f>T("kuri")</f>
        <v>kuri</v>
      </c>
      <c r="H112" t="str">
        <f t="shared" si="18"/>
        <v>스토리위즈</v>
      </c>
      <c r="I112" t="str">
        <f>T("악역이지만, 남주는 꼬시지 않아요")</f>
        <v>악역이지만, 남주는 꼬시지 않아요</v>
      </c>
      <c r="J112">
        <v>400</v>
      </c>
      <c r="K112">
        <v>1200</v>
      </c>
      <c r="L112">
        <v>3</v>
      </c>
      <c r="M112">
        <v>0</v>
      </c>
      <c r="N112">
        <v>3200</v>
      </c>
      <c r="O112">
        <v>16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4400</v>
      </c>
      <c r="AH112">
        <v>19</v>
      </c>
      <c r="AI112">
        <v>0</v>
      </c>
      <c r="AJ112">
        <v>0</v>
      </c>
      <c r="AK112">
        <v>4200</v>
      </c>
      <c r="AL112">
        <v>0</v>
      </c>
      <c r="AM112">
        <v>240</v>
      </c>
      <c r="AN112">
        <v>-72</v>
      </c>
      <c r="AO112">
        <v>0</v>
      </c>
      <c r="AP112">
        <v>240</v>
      </c>
      <c r="AQ112">
        <v>-72</v>
      </c>
      <c r="AR112">
        <v>0</v>
      </c>
      <c r="AT112">
        <v>0</v>
      </c>
      <c r="AU112">
        <v>0</v>
      </c>
      <c r="AW112">
        <v>0</v>
      </c>
      <c r="AX112">
        <v>0</v>
      </c>
      <c r="AY112">
        <v>3057.6</v>
      </c>
      <c r="BA112" t="str">
        <f t="shared" si="19"/>
        <v>0000000000000</v>
      </c>
      <c r="BC112" t="str">
        <f>T("9791137603882")</f>
        <v>9791137603882</v>
      </c>
      <c r="BE112" t="str">
        <f t="shared" ref="BE112:BE147" si="20">T("웹툰 &gt; 해외 순정")</f>
        <v>웹툰 &gt; 해외 순정</v>
      </c>
      <c r="BF112" t="str">
        <f>T("웹툰 &gt; 로판")</f>
        <v>웹툰 &gt; 로판</v>
      </c>
    </row>
    <row r="113" spans="1:58" x14ac:dyDescent="0.3">
      <c r="A113">
        <v>4421000916</v>
      </c>
      <c r="B113">
        <v>4421001295</v>
      </c>
      <c r="C113" t="str">
        <f>T("별빛 아래 우리 65화")</f>
        <v>별빛 아래 우리 65화</v>
      </c>
      <c r="D113" t="str">
        <f>T("65")</f>
        <v>65</v>
      </c>
      <c r="E113" t="str">
        <f t="shared" ref="E113:E137" si="21">T("건일")</f>
        <v>건일</v>
      </c>
      <c r="G113" t="str">
        <f t="shared" ref="G113:G137" si="22">T("건일")</f>
        <v>건일</v>
      </c>
      <c r="H113" t="str">
        <f t="shared" si="18"/>
        <v>스토리위즈</v>
      </c>
      <c r="I113" t="str">
        <f t="shared" ref="I113:I137" si="23">T("별빛 아래 우리")</f>
        <v>별빛 아래 우리</v>
      </c>
      <c r="J113">
        <v>400</v>
      </c>
      <c r="K113">
        <v>1200</v>
      </c>
      <c r="L113">
        <v>3</v>
      </c>
      <c r="M113">
        <v>0</v>
      </c>
      <c r="N113">
        <v>1400</v>
      </c>
      <c r="O113">
        <v>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2600</v>
      </c>
      <c r="AH113">
        <v>10</v>
      </c>
      <c r="AI113">
        <v>0</v>
      </c>
      <c r="AJ113">
        <v>0</v>
      </c>
      <c r="AK113">
        <v>1341</v>
      </c>
      <c r="AL113">
        <v>0</v>
      </c>
      <c r="AM113">
        <v>1510.8</v>
      </c>
      <c r="AN113">
        <v>-343.08</v>
      </c>
      <c r="AO113">
        <v>0</v>
      </c>
      <c r="AP113">
        <v>720</v>
      </c>
      <c r="AQ113">
        <v>-216</v>
      </c>
      <c r="AR113">
        <v>0</v>
      </c>
      <c r="AS113">
        <v>790.8</v>
      </c>
      <c r="AT113">
        <v>-127.08</v>
      </c>
      <c r="AU113">
        <v>0</v>
      </c>
      <c r="AW113">
        <v>0</v>
      </c>
      <c r="AX113">
        <v>0</v>
      </c>
      <c r="AY113">
        <v>1756.1</v>
      </c>
      <c r="BA113" t="str">
        <f t="shared" si="19"/>
        <v>0000000000000</v>
      </c>
      <c r="BC113" t="str">
        <f t="shared" ref="BC113:BC137" si="24">T("9791137601413")</f>
        <v>9791137601413</v>
      </c>
      <c r="BE113" t="str">
        <f t="shared" si="20"/>
        <v>웹툰 &gt; 해외 순정</v>
      </c>
      <c r="BF113" t="str">
        <f t="shared" ref="BF113:BF137" si="25">T("웹툰 &gt; 로맨스")</f>
        <v>웹툰 &gt; 로맨스</v>
      </c>
    </row>
    <row r="114" spans="1:58" x14ac:dyDescent="0.3">
      <c r="A114">
        <v>4421000916</v>
      </c>
      <c r="B114">
        <v>4421001165</v>
      </c>
      <c r="C114" t="str">
        <f>T("별빛 아래 우리 34화")</f>
        <v>별빛 아래 우리 34화</v>
      </c>
      <c r="D114" t="str">
        <f>T("34")</f>
        <v>34</v>
      </c>
      <c r="E114" t="str">
        <f t="shared" si="21"/>
        <v>건일</v>
      </c>
      <c r="G114" t="str">
        <f t="shared" si="22"/>
        <v>건일</v>
      </c>
      <c r="H114" t="str">
        <f t="shared" si="18"/>
        <v>스토리위즈</v>
      </c>
      <c r="I114" t="str">
        <f t="shared" si="23"/>
        <v>별빛 아래 우리</v>
      </c>
      <c r="J114">
        <v>400</v>
      </c>
      <c r="K114">
        <v>1200</v>
      </c>
      <c r="L114">
        <v>3</v>
      </c>
      <c r="M114">
        <v>0</v>
      </c>
      <c r="N114">
        <v>1200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2400</v>
      </c>
      <c r="AH114">
        <v>9</v>
      </c>
      <c r="AI114">
        <v>0</v>
      </c>
      <c r="AJ114">
        <v>0</v>
      </c>
      <c r="AK114">
        <v>1341</v>
      </c>
      <c r="AL114">
        <v>0</v>
      </c>
      <c r="AM114">
        <v>1270.8</v>
      </c>
      <c r="AN114">
        <v>-271.08</v>
      </c>
      <c r="AO114">
        <v>0</v>
      </c>
      <c r="AP114">
        <v>480</v>
      </c>
      <c r="AQ114">
        <v>-144</v>
      </c>
      <c r="AR114">
        <v>0</v>
      </c>
      <c r="AS114">
        <v>790.8</v>
      </c>
      <c r="AT114">
        <v>-127.08</v>
      </c>
      <c r="AU114">
        <v>0</v>
      </c>
      <c r="AW114">
        <v>0</v>
      </c>
      <c r="AX114">
        <v>0</v>
      </c>
      <c r="AY114">
        <v>1638.5</v>
      </c>
      <c r="BA114" t="str">
        <f t="shared" si="19"/>
        <v>0000000000000</v>
      </c>
      <c r="BC114" t="str">
        <f t="shared" si="24"/>
        <v>9791137601413</v>
      </c>
      <c r="BE114" t="str">
        <f t="shared" si="20"/>
        <v>웹툰 &gt; 해외 순정</v>
      </c>
      <c r="BF114" t="str">
        <f t="shared" si="25"/>
        <v>웹툰 &gt; 로맨스</v>
      </c>
    </row>
    <row r="115" spans="1:58" x14ac:dyDescent="0.3">
      <c r="A115">
        <v>4421000916</v>
      </c>
      <c r="B115">
        <v>4421001472</v>
      </c>
      <c r="C115" t="str">
        <f>T("별빛 아래 우리 73화")</f>
        <v>별빛 아래 우리 73화</v>
      </c>
      <c r="D115" t="str">
        <f>T("73")</f>
        <v>73</v>
      </c>
      <c r="E115" t="str">
        <f t="shared" si="21"/>
        <v>건일</v>
      </c>
      <c r="G115" t="str">
        <f t="shared" si="22"/>
        <v>건일</v>
      </c>
      <c r="H115" t="str">
        <f t="shared" si="18"/>
        <v>스토리위즈</v>
      </c>
      <c r="I115" t="str">
        <f t="shared" si="23"/>
        <v>별빛 아래 우리</v>
      </c>
      <c r="J115">
        <v>400</v>
      </c>
      <c r="K115">
        <v>1200</v>
      </c>
      <c r="L115">
        <v>3</v>
      </c>
      <c r="M115">
        <v>0</v>
      </c>
      <c r="N115">
        <v>1400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2600</v>
      </c>
      <c r="AH115">
        <v>10</v>
      </c>
      <c r="AI115">
        <v>0</v>
      </c>
      <c r="AJ115">
        <v>0</v>
      </c>
      <c r="AK115">
        <v>1341</v>
      </c>
      <c r="AL115">
        <v>0</v>
      </c>
      <c r="AM115">
        <v>1510.8</v>
      </c>
      <c r="AN115">
        <v>-343.08</v>
      </c>
      <c r="AO115">
        <v>0</v>
      </c>
      <c r="AP115">
        <v>720</v>
      </c>
      <c r="AQ115">
        <v>-216</v>
      </c>
      <c r="AR115">
        <v>0</v>
      </c>
      <c r="AS115">
        <v>790.8</v>
      </c>
      <c r="AT115">
        <v>-127.08</v>
      </c>
      <c r="AU115">
        <v>0</v>
      </c>
      <c r="AW115">
        <v>0</v>
      </c>
      <c r="AX115">
        <v>0</v>
      </c>
      <c r="AY115">
        <v>1756.1</v>
      </c>
      <c r="BA115" t="str">
        <f t="shared" si="19"/>
        <v>0000000000000</v>
      </c>
      <c r="BC115" t="str">
        <f t="shared" si="24"/>
        <v>9791137601413</v>
      </c>
      <c r="BE115" t="str">
        <f t="shared" si="20"/>
        <v>웹툰 &gt; 해외 순정</v>
      </c>
      <c r="BF115" t="str">
        <f t="shared" si="25"/>
        <v>웹툰 &gt; 로맨스</v>
      </c>
    </row>
    <row r="116" spans="1:58" x14ac:dyDescent="0.3">
      <c r="A116">
        <v>4421000916</v>
      </c>
      <c r="B116">
        <v>4421000981</v>
      </c>
      <c r="C116" t="str">
        <f>T("별빛 아래 우리 32화")</f>
        <v>별빛 아래 우리 32화</v>
      </c>
      <c r="D116" t="str">
        <f>T("32")</f>
        <v>32</v>
      </c>
      <c r="E116" t="str">
        <f t="shared" si="21"/>
        <v>건일</v>
      </c>
      <c r="G116" t="str">
        <f t="shared" si="22"/>
        <v>건일</v>
      </c>
      <c r="H116" t="str">
        <f t="shared" si="18"/>
        <v>스토리위즈</v>
      </c>
      <c r="I116" t="str">
        <f t="shared" si="23"/>
        <v>별빛 아래 우리</v>
      </c>
      <c r="J116">
        <v>400</v>
      </c>
      <c r="K116">
        <v>1200</v>
      </c>
      <c r="L116">
        <v>3</v>
      </c>
      <c r="M116">
        <v>0</v>
      </c>
      <c r="N116">
        <v>1200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2400</v>
      </c>
      <c r="AH116">
        <v>9</v>
      </c>
      <c r="AI116">
        <v>0</v>
      </c>
      <c r="AJ116">
        <v>0</v>
      </c>
      <c r="AK116">
        <v>1341</v>
      </c>
      <c r="AL116">
        <v>0</v>
      </c>
      <c r="AM116">
        <v>1270.8</v>
      </c>
      <c r="AN116">
        <v>-271.08</v>
      </c>
      <c r="AO116">
        <v>0</v>
      </c>
      <c r="AP116">
        <v>480</v>
      </c>
      <c r="AQ116">
        <v>-144</v>
      </c>
      <c r="AR116">
        <v>0</v>
      </c>
      <c r="AS116">
        <v>790.8</v>
      </c>
      <c r="AT116">
        <v>-127.08</v>
      </c>
      <c r="AU116">
        <v>0</v>
      </c>
      <c r="AW116">
        <v>0</v>
      </c>
      <c r="AX116">
        <v>0</v>
      </c>
      <c r="AY116">
        <v>1638.5</v>
      </c>
      <c r="BA116" t="str">
        <f t="shared" si="19"/>
        <v>0000000000000</v>
      </c>
      <c r="BC116" t="str">
        <f t="shared" si="24"/>
        <v>9791137601413</v>
      </c>
      <c r="BE116" t="str">
        <f t="shared" si="20"/>
        <v>웹툰 &gt; 해외 순정</v>
      </c>
      <c r="BF116" t="str">
        <f t="shared" si="25"/>
        <v>웹툰 &gt; 로맨스</v>
      </c>
    </row>
    <row r="117" spans="1:58" x14ac:dyDescent="0.3">
      <c r="A117">
        <v>4421000916</v>
      </c>
      <c r="B117">
        <v>4421002861</v>
      </c>
      <c r="C117" t="str">
        <f>T("별빛 아래 우리 82화")</f>
        <v>별빛 아래 우리 82화</v>
      </c>
      <c r="D117" t="str">
        <f>T("82")</f>
        <v>82</v>
      </c>
      <c r="E117" t="str">
        <f t="shared" si="21"/>
        <v>건일</v>
      </c>
      <c r="G117" t="str">
        <f t="shared" si="22"/>
        <v>건일</v>
      </c>
      <c r="H117" t="str">
        <f t="shared" si="18"/>
        <v>스토리위즈</v>
      </c>
      <c r="I117" t="str">
        <f t="shared" si="23"/>
        <v>별빛 아래 우리</v>
      </c>
      <c r="J117">
        <v>400</v>
      </c>
      <c r="K117">
        <v>1200</v>
      </c>
      <c r="L117">
        <v>3</v>
      </c>
      <c r="M117">
        <v>0</v>
      </c>
      <c r="N117">
        <v>800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2000</v>
      </c>
      <c r="AH117">
        <v>7</v>
      </c>
      <c r="AI117">
        <v>0</v>
      </c>
      <c r="AJ117">
        <v>0</v>
      </c>
      <c r="AK117">
        <v>1141</v>
      </c>
      <c r="AL117">
        <v>0</v>
      </c>
      <c r="AM117">
        <v>1030.8</v>
      </c>
      <c r="AN117">
        <v>-199.08</v>
      </c>
      <c r="AO117">
        <v>0</v>
      </c>
      <c r="AP117">
        <v>240</v>
      </c>
      <c r="AQ117">
        <v>-72</v>
      </c>
      <c r="AR117">
        <v>0</v>
      </c>
      <c r="AS117">
        <v>790.8</v>
      </c>
      <c r="AT117">
        <v>-127.08</v>
      </c>
      <c r="AU117">
        <v>0</v>
      </c>
      <c r="AW117">
        <v>0</v>
      </c>
      <c r="AX117">
        <v>0</v>
      </c>
      <c r="AY117">
        <v>1380.9</v>
      </c>
      <c r="BA117" t="str">
        <f t="shared" si="19"/>
        <v>0000000000000</v>
      </c>
      <c r="BC117" t="str">
        <f t="shared" si="24"/>
        <v>9791137601413</v>
      </c>
      <c r="BE117" t="str">
        <f t="shared" si="20"/>
        <v>웹툰 &gt; 해외 순정</v>
      </c>
      <c r="BF117" t="str">
        <f t="shared" si="25"/>
        <v>웹툰 &gt; 로맨스</v>
      </c>
    </row>
    <row r="118" spans="1:58" x14ac:dyDescent="0.3">
      <c r="A118">
        <v>4421000916</v>
      </c>
      <c r="B118">
        <v>4421001164</v>
      </c>
      <c r="C118" t="str">
        <f>T("별빛 아래 우리 33화")</f>
        <v>별빛 아래 우리 33화</v>
      </c>
      <c r="D118" t="str">
        <f>T("33")</f>
        <v>33</v>
      </c>
      <c r="E118" t="str">
        <f t="shared" si="21"/>
        <v>건일</v>
      </c>
      <c r="G118" t="str">
        <f t="shared" si="22"/>
        <v>건일</v>
      </c>
      <c r="H118" t="str">
        <f t="shared" si="18"/>
        <v>스토리위즈</v>
      </c>
      <c r="I118" t="str">
        <f t="shared" si="23"/>
        <v>별빛 아래 우리</v>
      </c>
      <c r="J118">
        <v>400</v>
      </c>
      <c r="K118">
        <v>1200</v>
      </c>
      <c r="L118">
        <v>3</v>
      </c>
      <c r="M118">
        <v>0</v>
      </c>
      <c r="N118">
        <v>1000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2200</v>
      </c>
      <c r="AH118">
        <v>8</v>
      </c>
      <c r="AI118">
        <v>0</v>
      </c>
      <c r="AJ118">
        <v>0</v>
      </c>
      <c r="AK118">
        <v>1341</v>
      </c>
      <c r="AL118">
        <v>0</v>
      </c>
      <c r="AM118">
        <v>1030.8</v>
      </c>
      <c r="AN118">
        <v>-199.08</v>
      </c>
      <c r="AO118">
        <v>0</v>
      </c>
      <c r="AP118">
        <v>240</v>
      </c>
      <c r="AQ118">
        <v>-72</v>
      </c>
      <c r="AR118">
        <v>0</v>
      </c>
      <c r="AS118">
        <v>790.8</v>
      </c>
      <c r="AT118">
        <v>-127.08</v>
      </c>
      <c r="AU118">
        <v>0</v>
      </c>
      <c r="AW118">
        <v>0</v>
      </c>
      <c r="AX118">
        <v>0</v>
      </c>
      <c r="AY118">
        <v>1520.9</v>
      </c>
      <c r="BA118" t="str">
        <f t="shared" si="19"/>
        <v>0000000000000</v>
      </c>
      <c r="BC118" t="str">
        <f t="shared" si="24"/>
        <v>9791137601413</v>
      </c>
      <c r="BE118" t="str">
        <f t="shared" si="20"/>
        <v>웹툰 &gt; 해외 순정</v>
      </c>
      <c r="BF118" t="str">
        <f t="shared" si="25"/>
        <v>웹툰 &gt; 로맨스</v>
      </c>
    </row>
    <row r="119" spans="1:58" x14ac:dyDescent="0.3">
      <c r="A119">
        <v>4421000916</v>
      </c>
      <c r="B119">
        <v>4421001304</v>
      </c>
      <c r="C119" t="str">
        <f>T("별빛 아래 우리 68화")</f>
        <v>별빛 아래 우리 68화</v>
      </c>
      <c r="D119" t="str">
        <f>T("68")</f>
        <v>68</v>
      </c>
      <c r="E119" t="str">
        <f t="shared" si="21"/>
        <v>건일</v>
      </c>
      <c r="G119" t="str">
        <f t="shared" si="22"/>
        <v>건일</v>
      </c>
      <c r="H119" t="str">
        <f t="shared" si="18"/>
        <v>스토리위즈</v>
      </c>
      <c r="I119" t="str">
        <f t="shared" si="23"/>
        <v>별빛 아래 우리</v>
      </c>
      <c r="J119">
        <v>400</v>
      </c>
      <c r="K119">
        <v>1200</v>
      </c>
      <c r="L119">
        <v>3</v>
      </c>
      <c r="M119">
        <v>0</v>
      </c>
      <c r="N119">
        <v>800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2000</v>
      </c>
      <c r="AH119">
        <v>7</v>
      </c>
      <c r="AI119">
        <v>0</v>
      </c>
      <c r="AJ119">
        <v>0</v>
      </c>
      <c r="AK119">
        <v>1141</v>
      </c>
      <c r="AL119">
        <v>0</v>
      </c>
      <c r="AM119">
        <v>1030.8</v>
      </c>
      <c r="AN119">
        <v>-247.08</v>
      </c>
      <c r="AO119">
        <v>0</v>
      </c>
      <c r="AP119">
        <v>480</v>
      </c>
      <c r="AQ119">
        <v>-144</v>
      </c>
      <c r="AR119">
        <v>0</v>
      </c>
      <c r="AS119">
        <v>550.79999999999995</v>
      </c>
      <c r="AT119">
        <v>-103.08</v>
      </c>
      <c r="AU119">
        <v>0</v>
      </c>
      <c r="AW119">
        <v>0</v>
      </c>
      <c r="AX119">
        <v>0</v>
      </c>
      <c r="AY119">
        <v>1347.3</v>
      </c>
      <c r="BA119" t="str">
        <f t="shared" si="19"/>
        <v>0000000000000</v>
      </c>
      <c r="BC119" t="str">
        <f t="shared" si="24"/>
        <v>9791137601413</v>
      </c>
      <c r="BE119" t="str">
        <f t="shared" si="20"/>
        <v>웹툰 &gt; 해외 순정</v>
      </c>
      <c r="BF119" t="str">
        <f t="shared" si="25"/>
        <v>웹툰 &gt; 로맨스</v>
      </c>
    </row>
    <row r="120" spans="1:58" x14ac:dyDescent="0.3">
      <c r="A120">
        <v>4421000916</v>
      </c>
      <c r="B120">
        <v>4421001471</v>
      </c>
      <c r="C120" t="str">
        <f>T("별빛 아래 우리 72화")</f>
        <v>별빛 아래 우리 72화</v>
      </c>
      <c r="D120" t="str">
        <f>T("72")</f>
        <v>72</v>
      </c>
      <c r="E120" t="str">
        <f t="shared" si="21"/>
        <v>건일</v>
      </c>
      <c r="G120" t="str">
        <f t="shared" si="22"/>
        <v>건일</v>
      </c>
      <c r="H120" t="str">
        <f t="shared" si="18"/>
        <v>스토리위즈</v>
      </c>
      <c r="I120" t="str">
        <f t="shared" si="23"/>
        <v>별빛 아래 우리</v>
      </c>
      <c r="J120">
        <v>400</v>
      </c>
      <c r="K120">
        <v>1200</v>
      </c>
      <c r="L120">
        <v>3</v>
      </c>
      <c r="M120">
        <v>0</v>
      </c>
      <c r="N120">
        <v>1600</v>
      </c>
      <c r="O120">
        <v>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2800</v>
      </c>
      <c r="AH120">
        <v>11</v>
      </c>
      <c r="AI120">
        <v>0</v>
      </c>
      <c r="AJ120">
        <v>0</v>
      </c>
      <c r="AK120">
        <v>1341</v>
      </c>
      <c r="AL120">
        <v>0</v>
      </c>
      <c r="AM120">
        <v>1750.8</v>
      </c>
      <c r="AN120">
        <v>-415.08</v>
      </c>
      <c r="AO120">
        <v>0</v>
      </c>
      <c r="AP120">
        <v>720</v>
      </c>
      <c r="AQ120">
        <v>-216</v>
      </c>
      <c r="AR120">
        <v>0</v>
      </c>
      <c r="AS120">
        <v>1030.8</v>
      </c>
      <c r="AT120">
        <v>-199.08</v>
      </c>
      <c r="AU120">
        <v>0</v>
      </c>
      <c r="AW120">
        <v>0</v>
      </c>
      <c r="AX120">
        <v>0</v>
      </c>
      <c r="AY120">
        <v>1873.7</v>
      </c>
      <c r="BA120" t="str">
        <f t="shared" si="19"/>
        <v>0000000000000</v>
      </c>
      <c r="BC120" t="str">
        <f t="shared" si="24"/>
        <v>9791137601413</v>
      </c>
      <c r="BE120" t="str">
        <f t="shared" si="20"/>
        <v>웹툰 &gt; 해외 순정</v>
      </c>
      <c r="BF120" t="str">
        <f t="shared" si="25"/>
        <v>웹툰 &gt; 로맨스</v>
      </c>
    </row>
    <row r="121" spans="1:58" x14ac:dyDescent="0.3">
      <c r="A121">
        <v>4421000916</v>
      </c>
      <c r="B121">
        <v>4421002860</v>
      </c>
      <c r="C121" t="str">
        <f>T("별빛 아래 우리 81화")</f>
        <v>별빛 아래 우리 81화</v>
      </c>
      <c r="D121" t="str">
        <f>T("81")</f>
        <v>81</v>
      </c>
      <c r="E121" t="str">
        <f t="shared" si="21"/>
        <v>건일</v>
      </c>
      <c r="G121" t="str">
        <f t="shared" si="22"/>
        <v>건일</v>
      </c>
      <c r="H121" t="str">
        <f t="shared" si="18"/>
        <v>스토리위즈</v>
      </c>
      <c r="I121" t="str">
        <f t="shared" si="23"/>
        <v>별빛 아래 우리</v>
      </c>
      <c r="J121">
        <v>400</v>
      </c>
      <c r="K121">
        <v>1200</v>
      </c>
      <c r="L121">
        <v>3</v>
      </c>
      <c r="M121">
        <v>0</v>
      </c>
      <c r="N121">
        <v>1400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2600</v>
      </c>
      <c r="AH121">
        <v>10</v>
      </c>
      <c r="AI121">
        <v>0</v>
      </c>
      <c r="AJ121">
        <v>0</v>
      </c>
      <c r="AK121">
        <v>1541</v>
      </c>
      <c r="AL121">
        <v>0</v>
      </c>
      <c r="AM121">
        <v>1270.8</v>
      </c>
      <c r="AN121">
        <v>-271.08</v>
      </c>
      <c r="AO121">
        <v>0</v>
      </c>
      <c r="AP121">
        <v>480</v>
      </c>
      <c r="AQ121">
        <v>-144</v>
      </c>
      <c r="AR121">
        <v>0</v>
      </c>
      <c r="AS121">
        <v>790.8</v>
      </c>
      <c r="AT121">
        <v>-127.08</v>
      </c>
      <c r="AU121">
        <v>0</v>
      </c>
      <c r="AW121">
        <v>0</v>
      </c>
      <c r="AX121">
        <v>0</v>
      </c>
      <c r="AY121">
        <v>1778.5</v>
      </c>
      <c r="BA121" t="str">
        <f t="shared" si="19"/>
        <v>0000000000000</v>
      </c>
      <c r="BC121" t="str">
        <f t="shared" si="24"/>
        <v>9791137601413</v>
      </c>
      <c r="BE121" t="str">
        <f t="shared" si="20"/>
        <v>웹툰 &gt; 해외 순정</v>
      </c>
      <c r="BF121" t="str">
        <f t="shared" si="25"/>
        <v>웹툰 &gt; 로맨스</v>
      </c>
    </row>
    <row r="122" spans="1:58" x14ac:dyDescent="0.3">
      <c r="A122">
        <v>4421000916</v>
      </c>
      <c r="B122">
        <v>4421002905</v>
      </c>
      <c r="C122" t="str">
        <f>T("별빛 아래 우리 85화")</f>
        <v>별빛 아래 우리 85화</v>
      </c>
      <c r="D122" t="str">
        <f>T("85")</f>
        <v>85</v>
      </c>
      <c r="E122" t="str">
        <f t="shared" si="21"/>
        <v>건일</v>
      </c>
      <c r="G122" t="str">
        <f t="shared" si="22"/>
        <v>건일</v>
      </c>
      <c r="H122" t="str">
        <f t="shared" si="18"/>
        <v>스토리위즈</v>
      </c>
      <c r="I122" t="str">
        <f t="shared" si="23"/>
        <v>별빛 아래 우리</v>
      </c>
      <c r="J122">
        <v>400</v>
      </c>
      <c r="K122">
        <v>1200</v>
      </c>
      <c r="L122">
        <v>3</v>
      </c>
      <c r="M122">
        <v>0</v>
      </c>
      <c r="N122">
        <v>1000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2200</v>
      </c>
      <c r="AH122">
        <v>8</v>
      </c>
      <c r="AI122">
        <v>0</v>
      </c>
      <c r="AJ122">
        <v>0</v>
      </c>
      <c r="AK122">
        <v>1141</v>
      </c>
      <c r="AL122">
        <v>0</v>
      </c>
      <c r="AM122">
        <v>1270.8</v>
      </c>
      <c r="AN122">
        <v>-271.08</v>
      </c>
      <c r="AO122">
        <v>0</v>
      </c>
      <c r="AP122">
        <v>480</v>
      </c>
      <c r="AQ122">
        <v>-144</v>
      </c>
      <c r="AR122">
        <v>0</v>
      </c>
      <c r="AS122">
        <v>790.8</v>
      </c>
      <c r="AT122">
        <v>-127.08</v>
      </c>
      <c r="AU122">
        <v>0</v>
      </c>
      <c r="AW122">
        <v>0</v>
      </c>
      <c r="AX122">
        <v>0</v>
      </c>
      <c r="AY122">
        <v>1498.5</v>
      </c>
      <c r="BA122" t="str">
        <f t="shared" si="19"/>
        <v>0000000000000</v>
      </c>
      <c r="BC122" t="str">
        <f t="shared" si="24"/>
        <v>9791137601413</v>
      </c>
      <c r="BE122" t="str">
        <f t="shared" si="20"/>
        <v>웹툰 &gt; 해외 순정</v>
      </c>
      <c r="BF122" t="str">
        <f t="shared" si="25"/>
        <v>웹툰 &gt; 로맨스</v>
      </c>
    </row>
    <row r="123" spans="1:58" x14ac:dyDescent="0.3">
      <c r="A123">
        <v>4421000916</v>
      </c>
      <c r="B123">
        <v>4421001470</v>
      </c>
      <c r="C123" t="str">
        <f>T("별빛 아래 우리 71화")</f>
        <v>별빛 아래 우리 71화</v>
      </c>
      <c r="D123" t="str">
        <f>T("71")</f>
        <v>71</v>
      </c>
      <c r="E123" t="str">
        <f t="shared" si="21"/>
        <v>건일</v>
      </c>
      <c r="G123" t="str">
        <f t="shared" si="22"/>
        <v>건일</v>
      </c>
      <c r="H123" t="str">
        <f t="shared" si="18"/>
        <v>스토리위즈</v>
      </c>
      <c r="I123" t="str">
        <f t="shared" si="23"/>
        <v>별빛 아래 우리</v>
      </c>
      <c r="J123">
        <v>400</v>
      </c>
      <c r="K123">
        <v>1200</v>
      </c>
      <c r="L123">
        <v>3</v>
      </c>
      <c r="M123">
        <v>0</v>
      </c>
      <c r="N123">
        <v>1400</v>
      </c>
      <c r="O123">
        <v>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2600</v>
      </c>
      <c r="AH123">
        <v>10</v>
      </c>
      <c r="AI123">
        <v>0</v>
      </c>
      <c r="AJ123">
        <v>0</v>
      </c>
      <c r="AK123">
        <v>1341</v>
      </c>
      <c r="AL123">
        <v>0</v>
      </c>
      <c r="AM123">
        <v>1510.8</v>
      </c>
      <c r="AN123">
        <v>-343.08</v>
      </c>
      <c r="AO123">
        <v>0</v>
      </c>
      <c r="AP123">
        <v>720</v>
      </c>
      <c r="AQ123">
        <v>-216</v>
      </c>
      <c r="AR123">
        <v>0</v>
      </c>
      <c r="AS123">
        <v>790.8</v>
      </c>
      <c r="AT123">
        <v>-127.08</v>
      </c>
      <c r="AU123">
        <v>0</v>
      </c>
      <c r="AW123">
        <v>0</v>
      </c>
      <c r="AX123">
        <v>0</v>
      </c>
      <c r="AY123">
        <v>1756.1</v>
      </c>
      <c r="BA123" t="str">
        <f t="shared" si="19"/>
        <v>0000000000000</v>
      </c>
      <c r="BC123" t="str">
        <f t="shared" si="24"/>
        <v>9791137601413</v>
      </c>
      <c r="BE123" t="str">
        <f t="shared" si="20"/>
        <v>웹툰 &gt; 해외 순정</v>
      </c>
      <c r="BF123" t="str">
        <f t="shared" si="25"/>
        <v>웹툰 &gt; 로맨스</v>
      </c>
    </row>
    <row r="124" spans="1:58" x14ac:dyDescent="0.3">
      <c r="A124">
        <v>4421000916</v>
      </c>
      <c r="B124">
        <v>4421002859</v>
      </c>
      <c r="C124" t="str">
        <f>T("별빛 아래 우리 80화")</f>
        <v>별빛 아래 우리 80화</v>
      </c>
      <c r="D124" t="str">
        <f>T("80")</f>
        <v>80</v>
      </c>
      <c r="E124" t="str">
        <f t="shared" si="21"/>
        <v>건일</v>
      </c>
      <c r="G124" t="str">
        <f t="shared" si="22"/>
        <v>건일</v>
      </c>
      <c r="H124" t="str">
        <f t="shared" si="18"/>
        <v>스토리위즈</v>
      </c>
      <c r="I124" t="str">
        <f t="shared" si="23"/>
        <v>별빛 아래 우리</v>
      </c>
      <c r="J124">
        <v>400</v>
      </c>
      <c r="K124">
        <v>1200</v>
      </c>
      <c r="L124">
        <v>3</v>
      </c>
      <c r="M124">
        <v>0</v>
      </c>
      <c r="N124">
        <v>1200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2400</v>
      </c>
      <c r="AH124">
        <v>9</v>
      </c>
      <c r="AI124">
        <v>0</v>
      </c>
      <c r="AJ124">
        <v>0</v>
      </c>
      <c r="AK124">
        <v>1341</v>
      </c>
      <c r="AL124">
        <v>0</v>
      </c>
      <c r="AM124">
        <v>1270.8</v>
      </c>
      <c r="AN124">
        <v>-271.08</v>
      </c>
      <c r="AO124">
        <v>0</v>
      </c>
      <c r="AP124">
        <v>480</v>
      </c>
      <c r="AQ124">
        <v>-144</v>
      </c>
      <c r="AR124">
        <v>0</v>
      </c>
      <c r="AS124">
        <v>790.8</v>
      </c>
      <c r="AT124">
        <v>-127.08</v>
      </c>
      <c r="AU124">
        <v>0</v>
      </c>
      <c r="AW124">
        <v>0</v>
      </c>
      <c r="AX124">
        <v>0</v>
      </c>
      <c r="AY124">
        <v>1638.5</v>
      </c>
      <c r="BA124" t="str">
        <f t="shared" si="19"/>
        <v>0000000000000</v>
      </c>
      <c r="BC124" t="str">
        <f t="shared" si="24"/>
        <v>9791137601413</v>
      </c>
      <c r="BE124" t="str">
        <f t="shared" si="20"/>
        <v>웹툰 &gt; 해외 순정</v>
      </c>
      <c r="BF124" t="str">
        <f t="shared" si="25"/>
        <v>웹툰 &gt; 로맨스</v>
      </c>
    </row>
    <row r="125" spans="1:58" x14ac:dyDescent="0.3">
      <c r="A125">
        <v>4421000916</v>
      </c>
      <c r="B125">
        <v>4421002904</v>
      </c>
      <c r="C125" t="str">
        <f>T("별빛 아래 우리 84화")</f>
        <v>별빛 아래 우리 84화</v>
      </c>
      <c r="D125" t="str">
        <f>T("84")</f>
        <v>84</v>
      </c>
      <c r="E125" t="str">
        <f t="shared" si="21"/>
        <v>건일</v>
      </c>
      <c r="G125" t="str">
        <f t="shared" si="22"/>
        <v>건일</v>
      </c>
      <c r="H125" t="str">
        <f t="shared" si="18"/>
        <v>스토리위즈</v>
      </c>
      <c r="I125" t="str">
        <f t="shared" si="23"/>
        <v>별빛 아래 우리</v>
      </c>
      <c r="J125">
        <v>400</v>
      </c>
      <c r="K125">
        <v>1200</v>
      </c>
      <c r="L125">
        <v>3</v>
      </c>
      <c r="M125">
        <v>0</v>
      </c>
      <c r="N125">
        <v>1000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2200</v>
      </c>
      <c r="AH125">
        <v>8</v>
      </c>
      <c r="AI125">
        <v>0</v>
      </c>
      <c r="AJ125">
        <v>0</v>
      </c>
      <c r="AK125">
        <v>1141</v>
      </c>
      <c r="AL125">
        <v>0</v>
      </c>
      <c r="AM125">
        <v>1270.8</v>
      </c>
      <c r="AN125">
        <v>-271.08</v>
      </c>
      <c r="AO125">
        <v>0</v>
      </c>
      <c r="AP125">
        <v>480</v>
      </c>
      <c r="AQ125">
        <v>-144</v>
      </c>
      <c r="AR125">
        <v>0</v>
      </c>
      <c r="AS125">
        <v>790.8</v>
      </c>
      <c r="AT125">
        <v>-127.08</v>
      </c>
      <c r="AU125">
        <v>0</v>
      </c>
      <c r="AW125">
        <v>0</v>
      </c>
      <c r="AX125">
        <v>0</v>
      </c>
      <c r="AY125">
        <v>1498.5</v>
      </c>
      <c r="BA125" t="str">
        <f t="shared" si="19"/>
        <v>0000000000000</v>
      </c>
      <c r="BC125" t="str">
        <f t="shared" si="24"/>
        <v>9791137601413</v>
      </c>
      <c r="BE125" t="str">
        <f t="shared" si="20"/>
        <v>웹툰 &gt; 해외 순정</v>
      </c>
      <c r="BF125" t="str">
        <f t="shared" si="25"/>
        <v>웹툰 &gt; 로맨스</v>
      </c>
    </row>
    <row r="126" spans="1:58" x14ac:dyDescent="0.3">
      <c r="A126">
        <v>4421000916</v>
      </c>
      <c r="B126">
        <v>4421002965</v>
      </c>
      <c r="C126" t="str">
        <f>T("별빛 아래 우리 87화")</f>
        <v>별빛 아래 우리 87화</v>
      </c>
      <c r="D126" t="str">
        <f>T("87")</f>
        <v>87</v>
      </c>
      <c r="E126" t="str">
        <f t="shared" si="21"/>
        <v>건일</v>
      </c>
      <c r="G126" t="str">
        <f t="shared" si="22"/>
        <v>건일</v>
      </c>
      <c r="H126" t="str">
        <f t="shared" si="18"/>
        <v>스토리위즈</v>
      </c>
      <c r="I126" t="str">
        <f t="shared" si="23"/>
        <v>별빛 아래 우리</v>
      </c>
      <c r="J126">
        <v>400</v>
      </c>
      <c r="K126">
        <v>1200</v>
      </c>
      <c r="L126">
        <v>3</v>
      </c>
      <c r="M126">
        <v>0</v>
      </c>
      <c r="N126">
        <v>1400</v>
      </c>
      <c r="O126">
        <v>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2600</v>
      </c>
      <c r="AH126">
        <v>10</v>
      </c>
      <c r="AI126">
        <v>0</v>
      </c>
      <c r="AJ126">
        <v>0</v>
      </c>
      <c r="AK126">
        <v>1741</v>
      </c>
      <c r="AL126">
        <v>0</v>
      </c>
      <c r="AM126">
        <v>1030.8</v>
      </c>
      <c r="AN126">
        <v>-247.08</v>
      </c>
      <c r="AO126">
        <v>0</v>
      </c>
      <c r="AP126">
        <v>480</v>
      </c>
      <c r="AQ126">
        <v>-144</v>
      </c>
      <c r="AR126">
        <v>0</v>
      </c>
      <c r="AS126">
        <v>550.79999999999995</v>
      </c>
      <c r="AT126">
        <v>-103.08</v>
      </c>
      <c r="AU126">
        <v>0</v>
      </c>
      <c r="AW126">
        <v>0</v>
      </c>
      <c r="AX126">
        <v>0</v>
      </c>
      <c r="AY126">
        <v>1767.3</v>
      </c>
      <c r="BA126" t="str">
        <f t="shared" si="19"/>
        <v>0000000000000</v>
      </c>
      <c r="BC126" t="str">
        <f t="shared" si="24"/>
        <v>9791137601413</v>
      </c>
      <c r="BE126" t="str">
        <f t="shared" si="20"/>
        <v>웹툰 &gt; 해외 순정</v>
      </c>
      <c r="BF126" t="str">
        <f t="shared" si="25"/>
        <v>웹툰 &gt; 로맨스</v>
      </c>
    </row>
    <row r="127" spans="1:58" x14ac:dyDescent="0.3">
      <c r="A127">
        <v>4421000916</v>
      </c>
      <c r="B127">
        <v>4421002858</v>
      </c>
      <c r="C127" t="str">
        <f>T("별빛 아래 우리 79화")</f>
        <v>별빛 아래 우리 79화</v>
      </c>
      <c r="D127" t="str">
        <f>T("79")</f>
        <v>79</v>
      </c>
      <c r="E127" t="str">
        <f t="shared" si="21"/>
        <v>건일</v>
      </c>
      <c r="G127" t="str">
        <f t="shared" si="22"/>
        <v>건일</v>
      </c>
      <c r="H127" t="str">
        <f t="shared" si="18"/>
        <v>스토리위즈</v>
      </c>
      <c r="I127" t="str">
        <f t="shared" si="23"/>
        <v>별빛 아래 우리</v>
      </c>
      <c r="J127">
        <v>400</v>
      </c>
      <c r="K127">
        <v>1200</v>
      </c>
      <c r="L127">
        <v>3</v>
      </c>
      <c r="M127">
        <v>0</v>
      </c>
      <c r="N127">
        <v>1000</v>
      </c>
      <c r="O127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2200</v>
      </c>
      <c r="AH127">
        <v>8</v>
      </c>
      <c r="AI127">
        <v>0</v>
      </c>
      <c r="AJ127">
        <v>0</v>
      </c>
      <c r="AK127">
        <v>1141</v>
      </c>
      <c r="AL127">
        <v>0</v>
      </c>
      <c r="AM127">
        <v>1270.8</v>
      </c>
      <c r="AN127">
        <v>-271.08</v>
      </c>
      <c r="AO127">
        <v>0</v>
      </c>
      <c r="AP127">
        <v>480</v>
      </c>
      <c r="AQ127">
        <v>-144</v>
      </c>
      <c r="AR127">
        <v>0</v>
      </c>
      <c r="AS127">
        <v>790.8</v>
      </c>
      <c r="AT127">
        <v>-127.08</v>
      </c>
      <c r="AU127">
        <v>0</v>
      </c>
      <c r="AW127">
        <v>0</v>
      </c>
      <c r="AX127">
        <v>0</v>
      </c>
      <c r="AY127">
        <v>1498.5</v>
      </c>
      <c r="BA127" t="str">
        <f t="shared" si="19"/>
        <v>0000000000000</v>
      </c>
      <c r="BC127" t="str">
        <f t="shared" si="24"/>
        <v>9791137601413</v>
      </c>
      <c r="BE127" t="str">
        <f t="shared" si="20"/>
        <v>웹툰 &gt; 해외 순정</v>
      </c>
      <c r="BF127" t="str">
        <f t="shared" si="25"/>
        <v>웹툰 &gt; 로맨스</v>
      </c>
    </row>
    <row r="128" spans="1:58" x14ac:dyDescent="0.3">
      <c r="A128">
        <v>4421000916</v>
      </c>
      <c r="B128">
        <v>4421001288</v>
      </c>
      <c r="C128" t="str">
        <f>T("별빛 아래 우리 64화")</f>
        <v>별빛 아래 우리 64화</v>
      </c>
      <c r="D128" t="str">
        <f>T("64")</f>
        <v>64</v>
      </c>
      <c r="E128" t="str">
        <f t="shared" si="21"/>
        <v>건일</v>
      </c>
      <c r="G128" t="str">
        <f t="shared" si="22"/>
        <v>건일</v>
      </c>
      <c r="H128" t="str">
        <f t="shared" si="18"/>
        <v>스토리위즈</v>
      </c>
      <c r="I128" t="str">
        <f t="shared" si="23"/>
        <v>별빛 아래 우리</v>
      </c>
      <c r="J128">
        <v>400</v>
      </c>
      <c r="K128">
        <v>1200</v>
      </c>
      <c r="L128">
        <v>3</v>
      </c>
      <c r="M128">
        <v>0</v>
      </c>
      <c r="N128">
        <v>1400</v>
      </c>
      <c r="O128">
        <v>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2600</v>
      </c>
      <c r="AH128">
        <v>10</v>
      </c>
      <c r="AI128">
        <v>0</v>
      </c>
      <c r="AJ128">
        <v>0</v>
      </c>
      <c r="AK128">
        <v>1341</v>
      </c>
      <c r="AL128">
        <v>0</v>
      </c>
      <c r="AM128">
        <v>1510.8</v>
      </c>
      <c r="AN128">
        <v>-343.08</v>
      </c>
      <c r="AO128">
        <v>0</v>
      </c>
      <c r="AP128">
        <v>720</v>
      </c>
      <c r="AQ128">
        <v>-216</v>
      </c>
      <c r="AR128">
        <v>0</v>
      </c>
      <c r="AS128">
        <v>790.8</v>
      </c>
      <c r="AT128">
        <v>-127.08</v>
      </c>
      <c r="AU128">
        <v>0</v>
      </c>
      <c r="AW128">
        <v>0</v>
      </c>
      <c r="AX128">
        <v>0</v>
      </c>
      <c r="AY128">
        <v>1756.1</v>
      </c>
      <c r="BA128" t="str">
        <f t="shared" si="19"/>
        <v>0000000000000</v>
      </c>
      <c r="BC128" t="str">
        <f t="shared" si="24"/>
        <v>9791137601413</v>
      </c>
      <c r="BE128" t="str">
        <f t="shared" si="20"/>
        <v>웹툰 &gt; 해외 순정</v>
      </c>
      <c r="BF128" t="str">
        <f t="shared" si="25"/>
        <v>웹툰 &gt; 로맨스</v>
      </c>
    </row>
    <row r="129" spans="1:58" x14ac:dyDescent="0.3">
      <c r="A129">
        <v>4421000916</v>
      </c>
      <c r="B129">
        <v>4421002903</v>
      </c>
      <c r="C129" t="str">
        <f>T("별빛 아래 우리 83화")</f>
        <v>별빛 아래 우리 83화</v>
      </c>
      <c r="D129" t="str">
        <f>T("83")</f>
        <v>83</v>
      </c>
      <c r="E129" t="str">
        <f t="shared" si="21"/>
        <v>건일</v>
      </c>
      <c r="G129" t="str">
        <f t="shared" si="22"/>
        <v>건일</v>
      </c>
      <c r="H129" t="str">
        <f t="shared" si="18"/>
        <v>스토리위즈</v>
      </c>
      <c r="I129" t="str">
        <f t="shared" si="23"/>
        <v>별빛 아래 우리</v>
      </c>
      <c r="J129">
        <v>400</v>
      </c>
      <c r="K129">
        <v>1200</v>
      </c>
      <c r="L129">
        <v>3</v>
      </c>
      <c r="M129">
        <v>0</v>
      </c>
      <c r="N129">
        <v>1000</v>
      </c>
      <c r="O129">
        <v>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2200</v>
      </c>
      <c r="AH129">
        <v>8</v>
      </c>
      <c r="AI129">
        <v>0</v>
      </c>
      <c r="AJ129">
        <v>0</v>
      </c>
      <c r="AK129">
        <v>1141</v>
      </c>
      <c r="AL129">
        <v>0</v>
      </c>
      <c r="AM129">
        <v>1270.8</v>
      </c>
      <c r="AN129">
        <v>-271.08</v>
      </c>
      <c r="AO129">
        <v>0</v>
      </c>
      <c r="AP129">
        <v>480</v>
      </c>
      <c r="AQ129">
        <v>-144</v>
      </c>
      <c r="AR129">
        <v>0</v>
      </c>
      <c r="AS129">
        <v>790.8</v>
      </c>
      <c r="AT129">
        <v>-127.08</v>
      </c>
      <c r="AU129">
        <v>0</v>
      </c>
      <c r="AW129">
        <v>0</v>
      </c>
      <c r="AX129">
        <v>0</v>
      </c>
      <c r="AY129">
        <v>1498.5</v>
      </c>
      <c r="BA129" t="str">
        <f t="shared" si="19"/>
        <v>0000000000000</v>
      </c>
      <c r="BC129" t="str">
        <f t="shared" si="24"/>
        <v>9791137601413</v>
      </c>
      <c r="BE129" t="str">
        <f t="shared" si="20"/>
        <v>웹툰 &gt; 해외 순정</v>
      </c>
      <c r="BF129" t="str">
        <f t="shared" si="25"/>
        <v>웹툰 &gt; 로맨스</v>
      </c>
    </row>
    <row r="130" spans="1:58" x14ac:dyDescent="0.3">
      <c r="A130">
        <v>4421000916</v>
      </c>
      <c r="B130">
        <v>4421001562</v>
      </c>
      <c r="C130" t="str">
        <f>T("별빛 아래 우리 78화")</f>
        <v>별빛 아래 우리 78화</v>
      </c>
      <c r="D130" t="str">
        <f>T("78")</f>
        <v>78</v>
      </c>
      <c r="E130" t="str">
        <f t="shared" si="21"/>
        <v>건일</v>
      </c>
      <c r="G130" t="str">
        <f t="shared" si="22"/>
        <v>건일</v>
      </c>
      <c r="H130" t="str">
        <f t="shared" ref="H130:H193" si="26">T("스토리위즈")</f>
        <v>스토리위즈</v>
      </c>
      <c r="I130" t="str">
        <f t="shared" si="23"/>
        <v>별빛 아래 우리</v>
      </c>
      <c r="J130">
        <v>400</v>
      </c>
      <c r="K130">
        <v>1200</v>
      </c>
      <c r="L130">
        <v>3</v>
      </c>
      <c r="M130">
        <v>0</v>
      </c>
      <c r="N130">
        <v>1000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2200</v>
      </c>
      <c r="AH130">
        <v>8</v>
      </c>
      <c r="AI130">
        <v>0</v>
      </c>
      <c r="AJ130">
        <v>0</v>
      </c>
      <c r="AK130">
        <v>1141</v>
      </c>
      <c r="AL130">
        <v>0</v>
      </c>
      <c r="AM130">
        <v>1270.8</v>
      </c>
      <c r="AN130">
        <v>-271.08</v>
      </c>
      <c r="AO130">
        <v>0</v>
      </c>
      <c r="AP130">
        <v>480</v>
      </c>
      <c r="AQ130">
        <v>-144</v>
      </c>
      <c r="AR130">
        <v>0</v>
      </c>
      <c r="AS130">
        <v>790.8</v>
      </c>
      <c r="AT130">
        <v>-127.08</v>
      </c>
      <c r="AU130">
        <v>0</v>
      </c>
      <c r="AW130">
        <v>0</v>
      </c>
      <c r="AX130">
        <v>0</v>
      </c>
      <c r="AY130">
        <v>1498.5</v>
      </c>
      <c r="BA130" t="str">
        <f t="shared" ref="BA130:BA147" si="27">T("0000000000000")</f>
        <v>0000000000000</v>
      </c>
      <c r="BC130" t="str">
        <f t="shared" si="24"/>
        <v>9791137601413</v>
      </c>
      <c r="BE130" t="str">
        <f t="shared" si="20"/>
        <v>웹툰 &gt; 해외 순정</v>
      </c>
      <c r="BF130" t="str">
        <f t="shared" si="25"/>
        <v>웹툰 &gt; 로맨스</v>
      </c>
    </row>
    <row r="131" spans="1:58" x14ac:dyDescent="0.3">
      <c r="A131">
        <v>4421000916</v>
      </c>
      <c r="B131">
        <v>4421002964</v>
      </c>
      <c r="C131" t="str">
        <f>T("별빛 아래 우리 86화")</f>
        <v>별빛 아래 우리 86화</v>
      </c>
      <c r="D131" t="str">
        <f>T("86")</f>
        <v>86</v>
      </c>
      <c r="E131" t="str">
        <f t="shared" si="21"/>
        <v>건일</v>
      </c>
      <c r="G131" t="str">
        <f t="shared" si="22"/>
        <v>건일</v>
      </c>
      <c r="H131" t="str">
        <f t="shared" si="26"/>
        <v>스토리위즈</v>
      </c>
      <c r="I131" t="str">
        <f t="shared" si="23"/>
        <v>별빛 아래 우리</v>
      </c>
      <c r="J131">
        <v>400</v>
      </c>
      <c r="K131">
        <v>1200</v>
      </c>
      <c r="L131">
        <v>3</v>
      </c>
      <c r="M131">
        <v>0</v>
      </c>
      <c r="N131">
        <v>1000</v>
      </c>
      <c r="O131">
        <v>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2200</v>
      </c>
      <c r="AH131">
        <v>8</v>
      </c>
      <c r="AI131">
        <v>0</v>
      </c>
      <c r="AJ131">
        <v>0</v>
      </c>
      <c r="AK131">
        <v>1341</v>
      </c>
      <c r="AL131">
        <v>0</v>
      </c>
      <c r="AM131">
        <v>1030.8</v>
      </c>
      <c r="AN131">
        <v>-247.08</v>
      </c>
      <c r="AO131">
        <v>0</v>
      </c>
      <c r="AP131">
        <v>480</v>
      </c>
      <c r="AQ131">
        <v>-144</v>
      </c>
      <c r="AR131">
        <v>0</v>
      </c>
      <c r="AS131">
        <v>550.79999999999995</v>
      </c>
      <c r="AT131">
        <v>-103.08</v>
      </c>
      <c r="AU131">
        <v>0</v>
      </c>
      <c r="AW131">
        <v>0</v>
      </c>
      <c r="AX131">
        <v>0</v>
      </c>
      <c r="AY131">
        <v>1487.3</v>
      </c>
      <c r="BA131" t="str">
        <f t="shared" si="27"/>
        <v>0000000000000</v>
      </c>
      <c r="BC131" t="str">
        <f t="shared" si="24"/>
        <v>9791137601413</v>
      </c>
      <c r="BE131" t="str">
        <f t="shared" si="20"/>
        <v>웹툰 &gt; 해외 순정</v>
      </c>
      <c r="BF131" t="str">
        <f t="shared" si="25"/>
        <v>웹툰 &gt; 로맨스</v>
      </c>
    </row>
    <row r="132" spans="1:58" x14ac:dyDescent="0.3">
      <c r="A132">
        <v>4421000916</v>
      </c>
      <c r="B132">
        <v>4421001287</v>
      </c>
      <c r="C132" t="str">
        <f>T("별빛 아래 우리 63화")</f>
        <v>별빛 아래 우리 63화</v>
      </c>
      <c r="D132" t="str">
        <f>T("63")</f>
        <v>63</v>
      </c>
      <c r="E132" t="str">
        <f t="shared" si="21"/>
        <v>건일</v>
      </c>
      <c r="G132" t="str">
        <f t="shared" si="22"/>
        <v>건일</v>
      </c>
      <c r="H132" t="str">
        <f t="shared" si="26"/>
        <v>스토리위즈</v>
      </c>
      <c r="I132" t="str">
        <f t="shared" si="23"/>
        <v>별빛 아래 우리</v>
      </c>
      <c r="J132">
        <v>400</v>
      </c>
      <c r="K132">
        <v>1200</v>
      </c>
      <c r="L132">
        <v>3</v>
      </c>
      <c r="M132">
        <v>0</v>
      </c>
      <c r="N132">
        <v>1000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2200</v>
      </c>
      <c r="AH132">
        <v>8</v>
      </c>
      <c r="AI132">
        <v>0</v>
      </c>
      <c r="AJ132">
        <v>0</v>
      </c>
      <c r="AK132">
        <v>1191</v>
      </c>
      <c r="AL132">
        <v>0</v>
      </c>
      <c r="AM132">
        <v>1210.8</v>
      </c>
      <c r="AN132">
        <v>-265.08</v>
      </c>
      <c r="AO132">
        <v>0</v>
      </c>
      <c r="AP132">
        <v>480</v>
      </c>
      <c r="AQ132">
        <v>-144</v>
      </c>
      <c r="AR132">
        <v>0</v>
      </c>
      <c r="AS132">
        <v>730.8</v>
      </c>
      <c r="AT132">
        <v>-121.08</v>
      </c>
      <c r="AU132">
        <v>0</v>
      </c>
      <c r="AW132">
        <v>0</v>
      </c>
      <c r="AX132">
        <v>0</v>
      </c>
      <c r="AY132">
        <v>1495.7</v>
      </c>
      <c r="BA132" t="str">
        <f t="shared" si="27"/>
        <v>0000000000000</v>
      </c>
      <c r="BC132" t="str">
        <f t="shared" si="24"/>
        <v>9791137601413</v>
      </c>
      <c r="BE132" t="str">
        <f t="shared" si="20"/>
        <v>웹툰 &gt; 해외 순정</v>
      </c>
      <c r="BF132" t="str">
        <f t="shared" si="25"/>
        <v>웹툰 &gt; 로맨스</v>
      </c>
    </row>
    <row r="133" spans="1:58" x14ac:dyDescent="0.3">
      <c r="A133">
        <v>4421000916</v>
      </c>
      <c r="B133">
        <v>4421001561</v>
      </c>
      <c r="C133" t="str">
        <f>T("별빛 아래 우리 77화")</f>
        <v>별빛 아래 우리 77화</v>
      </c>
      <c r="D133" t="str">
        <f>T("77")</f>
        <v>77</v>
      </c>
      <c r="E133" t="str">
        <f t="shared" si="21"/>
        <v>건일</v>
      </c>
      <c r="G133" t="str">
        <f t="shared" si="22"/>
        <v>건일</v>
      </c>
      <c r="H133" t="str">
        <f t="shared" si="26"/>
        <v>스토리위즈</v>
      </c>
      <c r="I133" t="str">
        <f t="shared" si="23"/>
        <v>별빛 아래 우리</v>
      </c>
      <c r="J133">
        <v>400</v>
      </c>
      <c r="K133">
        <v>1200</v>
      </c>
      <c r="L133">
        <v>3</v>
      </c>
      <c r="M133">
        <v>0</v>
      </c>
      <c r="N133">
        <v>1400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2600</v>
      </c>
      <c r="AH133">
        <v>10</v>
      </c>
      <c r="AI133">
        <v>0</v>
      </c>
      <c r="AJ133">
        <v>0</v>
      </c>
      <c r="AK133">
        <v>1541</v>
      </c>
      <c r="AL133">
        <v>0</v>
      </c>
      <c r="AM133">
        <v>1270.8</v>
      </c>
      <c r="AN133">
        <v>-271.08</v>
      </c>
      <c r="AO133">
        <v>0</v>
      </c>
      <c r="AP133">
        <v>480</v>
      </c>
      <c r="AQ133">
        <v>-144</v>
      </c>
      <c r="AR133">
        <v>0</v>
      </c>
      <c r="AS133">
        <v>790.8</v>
      </c>
      <c r="AT133">
        <v>-127.08</v>
      </c>
      <c r="AU133">
        <v>0</v>
      </c>
      <c r="AW133">
        <v>0</v>
      </c>
      <c r="AX133">
        <v>0</v>
      </c>
      <c r="AY133">
        <v>1778.5</v>
      </c>
      <c r="BA133" t="str">
        <f t="shared" si="27"/>
        <v>0000000000000</v>
      </c>
      <c r="BC133" t="str">
        <f t="shared" si="24"/>
        <v>9791137601413</v>
      </c>
      <c r="BE133" t="str">
        <f t="shared" si="20"/>
        <v>웹툰 &gt; 해외 순정</v>
      </c>
      <c r="BF133" t="str">
        <f t="shared" si="25"/>
        <v>웹툰 &gt; 로맨스</v>
      </c>
    </row>
    <row r="134" spans="1:58" x14ac:dyDescent="0.3">
      <c r="A134">
        <v>4421000916</v>
      </c>
      <c r="B134">
        <v>4421003009</v>
      </c>
      <c r="C134" t="str">
        <f>T("별빛 아래 우리 92화")</f>
        <v>별빛 아래 우리 92화</v>
      </c>
      <c r="D134" t="str">
        <f>T("92")</f>
        <v>92</v>
      </c>
      <c r="E134" t="str">
        <f t="shared" si="21"/>
        <v>건일</v>
      </c>
      <c r="G134" t="str">
        <f t="shared" si="22"/>
        <v>건일</v>
      </c>
      <c r="H134" t="str">
        <f t="shared" si="26"/>
        <v>스토리위즈</v>
      </c>
      <c r="I134" t="str">
        <f t="shared" si="23"/>
        <v>별빛 아래 우리</v>
      </c>
      <c r="J134">
        <v>400</v>
      </c>
      <c r="K134">
        <v>1200</v>
      </c>
      <c r="L134">
        <v>3</v>
      </c>
      <c r="M134">
        <v>0</v>
      </c>
      <c r="N134">
        <v>1200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2400</v>
      </c>
      <c r="AH134">
        <v>9</v>
      </c>
      <c r="AI134">
        <v>0</v>
      </c>
      <c r="AJ134">
        <v>0</v>
      </c>
      <c r="AK134">
        <v>1541</v>
      </c>
      <c r="AL134">
        <v>0</v>
      </c>
      <c r="AM134">
        <v>1030.8</v>
      </c>
      <c r="AN134">
        <v>-247.08</v>
      </c>
      <c r="AO134">
        <v>0</v>
      </c>
      <c r="AP134">
        <v>480</v>
      </c>
      <c r="AQ134">
        <v>-144</v>
      </c>
      <c r="AR134">
        <v>0</v>
      </c>
      <c r="AS134">
        <v>550.79999999999995</v>
      </c>
      <c r="AT134">
        <v>-103.08</v>
      </c>
      <c r="AU134">
        <v>0</v>
      </c>
      <c r="AW134">
        <v>0</v>
      </c>
      <c r="AX134">
        <v>0</v>
      </c>
      <c r="AY134">
        <v>1627.3</v>
      </c>
      <c r="BA134" t="str">
        <f t="shared" si="27"/>
        <v>0000000000000</v>
      </c>
      <c r="BC134" t="str">
        <f t="shared" si="24"/>
        <v>9791137601413</v>
      </c>
      <c r="BE134" t="str">
        <f t="shared" si="20"/>
        <v>웹툰 &gt; 해외 순정</v>
      </c>
      <c r="BF134" t="str">
        <f t="shared" si="25"/>
        <v>웹툰 &gt; 로맨스</v>
      </c>
    </row>
    <row r="135" spans="1:58" x14ac:dyDescent="0.3">
      <c r="A135">
        <v>4421000916</v>
      </c>
      <c r="B135">
        <v>4421001299</v>
      </c>
      <c r="C135" t="str">
        <f>T("별빛 아래 우리 67화")</f>
        <v>별빛 아래 우리 67화</v>
      </c>
      <c r="D135" t="str">
        <f>T("67")</f>
        <v>67</v>
      </c>
      <c r="E135" t="str">
        <f t="shared" si="21"/>
        <v>건일</v>
      </c>
      <c r="G135" t="str">
        <f t="shared" si="22"/>
        <v>건일</v>
      </c>
      <c r="H135" t="str">
        <f t="shared" si="26"/>
        <v>스토리위즈</v>
      </c>
      <c r="I135" t="str">
        <f t="shared" si="23"/>
        <v>별빛 아래 우리</v>
      </c>
      <c r="J135">
        <v>400</v>
      </c>
      <c r="K135">
        <v>1200</v>
      </c>
      <c r="L135">
        <v>3</v>
      </c>
      <c r="M135">
        <v>0</v>
      </c>
      <c r="N135">
        <v>1000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2200</v>
      </c>
      <c r="AH135">
        <v>8</v>
      </c>
      <c r="AI135">
        <v>0</v>
      </c>
      <c r="AJ135">
        <v>0</v>
      </c>
      <c r="AK135">
        <v>1141</v>
      </c>
      <c r="AL135">
        <v>0</v>
      </c>
      <c r="AM135">
        <v>1270.8</v>
      </c>
      <c r="AN135">
        <v>-319.08</v>
      </c>
      <c r="AO135">
        <v>0</v>
      </c>
      <c r="AP135">
        <v>720</v>
      </c>
      <c r="AQ135">
        <v>-216</v>
      </c>
      <c r="AR135">
        <v>0</v>
      </c>
      <c r="AS135">
        <v>550.79999999999995</v>
      </c>
      <c r="AT135">
        <v>-103.08</v>
      </c>
      <c r="AU135">
        <v>0</v>
      </c>
      <c r="AW135">
        <v>0</v>
      </c>
      <c r="AX135">
        <v>0</v>
      </c>
      <c r="AY135">
        <v>1464.9</v>
      </c>
      <c r="BA135" t="str">
        <f t="shared" si="27"/>
        <v>0000000000000</v>
      </c>
      <c r="BC135" t="str">
        <f t="shared" si="24"/>
        <v>9791137601413</v>
      </c>
      <c r="BE135" t="str">
        <f t="shared" si="20"/>
        <v>웹툰 &gt; 해외 순정</v>
      </c>
      <c r="BF135" t="str">
        <f t="shared" si="25"/>
        <v>웹툰 &gt; 로맨스</v>
      </c>
    </row>
    <row r="136" spans="1:58" x14ac:dyDescent="0.3">
      <c r="A136">
        <v>4421000916</v>
      </c>
      <c r="B136">
        <v>4421003002</v>
      </c>
      <c r="C136" t="str">
        <f>T("별빛 아래 우리 91화")</f>
        <v>별빛 아래 우리 91화</v>
      </c>
      <c r="D136" t="str">
        <f>T("91")</f>
        <v>91</v>
      </c>
      <c r="E136" t="str">
        <f t="shared" si="21"/>
        <v>건일</v>
      </c>
      <c r="G136" t="str">
        <f t="shared" si="22"/>
        <v>건일</v>
      </c>
      <c r="H136" t="str">
        <f t="shared" si="26"/>
        <v>스토리위즈</v>
      </c>
      <c r="I136" t="str">
        <f t="shared" si="23"/>
        <v>별빛 아래 우리</v>
      </c>
      <c r="J136">
        <v>400</v>
      </c>
      <c r="K136">
        <v>1200</v>
      </c>
      <c r="L136">
        <v>3</v>
      </c>
      <c r="M136">
        <v>0</v>
      </c>
      <c r="N136">
        <v>1000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2200</v>
      </c>
      <c r="AH136">
        <v>8</v>
      </c>
      <c r="AI136">
        <v>0</v>
      </c>
      <c r="AJ136">
        <v>0</v>
      </c>
      <c r="AK136">
        <v>1541</v>
      </c>
      <c r="AL136">
        <v>0</v>
      </c>
      <c r="AM136">
        <v>790.8</v>
      </c>
      <c r="AN136">
        <v>-175.08</v>
      </c>
      <c r="AO136">
        <v>0</v>
      </c>
      <c r="AP136">
        <v>240</v>
      </c>
      <c r="AQ136">
        <v>-72</v>
      </c>
      <c r="AR136">
        <v>0</v>
      </c>
      <c r="AS136">
        <v>550.79999999999995</v>
      </c>
      <c r="AT136">
        <v>-103.08</v>
      </c>
      <c r="AU136">
        <v>0</v>
      </c>
      <c r="AW136">
        <v>0</v>
      </c>
      <c r="AX136">
        <v>0</v>
      </c>
      <c r="AY136">
        <v>1509.7</v>
      </c>
      <c r="BA136" t="str">
        <f t="shared" si="27"/>
        <v>0000000000000</v>
      </c>
      <c r="BC136" t="str">
        <f t="shared" si="24"/>
        <v>9791137601413</v>
      </c>
      <c r="BE136" t="str">
        <f t="shared" si="20"/>
        <v>웹툰 &gt; 해외 순정</v>
      </c>
      <c r="BF136" t="str">
        <f t="shared" si="25"/>
        <v>웹툰 &gt; 로맨스</v>
      </c>
    </row>
    <row r="137" spans="1:58" x14ac:dyDescent="0.3">
      <c r="A137">
        <v>4421000916</v>
      </c>
      <c r="B137">
        <v>4421001538</v>
      </c>
      <c r="C137" t="str">
        <f>T("별빛 아래 우리 76화")</f>
        <v>별빛 아래 우리 76화</v>
      </c>
      <c r="D137" t="str">
        <f>T("76")</f>
        <v>76</v>
      </c>
      <c r="E137" t="str">
        <f t="shared" si="21"/>
        <v>건일</v>
      </c>
      <c r="G137" t="str">
        <f t="shared" si="22"/>
        <v>건일</v>
      </c>
      <c r="H137" t="str">
        <f t="shared" si="26"/>
        <v>스토리위즈</v>
      </c>
      <c r="I137" t="str">
        <f t="shared" si="23"/>
        <v>별빛 아래 우리</v>
      </c>
      <c r="J137">
        <v>400</v>
      </c>
      <c r="K137">
        <v>1200</v>
      </c>
      <c r="L137">
        <v>3</v>
      </c>
      <c r="M137">
        <v>0</v>
      </c>
      <c r="N137">
        <v>1000</v>
      </c>
      <c r="O137">
        <v>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2200</v>
      </c>
      <c r="AH137">
        <v>8</v>
      </c>
      <c r="AI137">
        <v>0</v>
      </c>
      <c r="AJ137">
        <v>0</v>
      </c>
      <c r="AK137">
        <v>1341</v>
      </c>
      <c r="AL137">
        <v>0</v>
      </c>
      <c r="AM137">
        <v>1030.8</v>
      </c>
      <c r="AN137">
        <v>-199.08</v>
      </c>
      <c r="AO137">
        <v>0</v>
      </c>
      <c r="AP137">
        <v>240</v>
      </c>
      <c r="AQ137">
        <v>-72</v>
      </c>
      <c r="AR137">
        <v>0</v>
      </c>
      <c r="AS137">
        <v>790.8</v>
      </c>
      <c r="AT137">
        <v>-127.08</v>
      </c>
      <c r="AU137">
        <v>0</v>
      </c>
      <c r="AW137">
        <v>0</v>
      </c>
      <c r="AX137">
        <v>0</v>
      </c>
      <c r="AY137">
        <v>1520.9</v>
      </c>
      <c r="BA137" t="str">
        <f t="shared" si="27"/>
        <v>0000000000000</v>
      </c>
      <c r="BC137" t="str">
        <f t="shared" si="24"/>
        <v>9791137601413</v>
      </c>
      <c r="BE137" t="str">
        <f t="shared" si="20"/>
        <v>웹툰 &gt; 해외 순정</v>
      </c>
      <c r="BF137" t="str">
        <f t="shared" si="25"/>
        <v>웹툰 &gt; 로맨스</v>
      </c>
    </row>
    <row r="138" spans="1:58" x14ac:dyDescent="0.3">
      <c r="A138">
        <v>4421001305</v>
      </c>
      <c r="B138">
        <v>4421001320</v>
      </c>
      <c r="C138" t="str">
        <f>T("악역이지만, 남주는 꼬시지 않아요 16화")</f>
        <v>악역이지만, 남주는 꼬시지 않아요 16화</v>
      </c>
      <c r="D138" t="str">
        <f>T("16")</f>
        <v>16</v>
      </c>
      <c r="E138" t="str">
        <f>T("마북명")</f>
        <v>마북명</v>
      </c>
      <c r="G138" t="str">
        <f>T("kuri")</f>
        <v>kuri</v>
      </c>
      <c r="H138" t="str">
        <f t="shared" si="26"/>
        <v>스토리위즈</v>
      </c>
      <c r="I138" t="str">
        <f>T("악역이지만, 남주는 꼬시지 않아요")</f>
        <v>악역이지만, 남주는 꼬시지 않아요</v>
      </c>
      <c r="J138">
        <v>400</v>
      </c>
      <c r="K138">
        <v>1200</v>
      </c>
      <c r="L138">
        <v>3</v>
      </c>
      <c r="M138">
        <v>0</v>
      </c>
      <c r="N138">
        <v>3000</v>
      </c>
      <c r="O138">
        <v>15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4200</v>
      </c>
      <c r="AH138">
        <v>18</v>
      </c>
      <c r="AI138">
        <v>0</v>
      </c>
      <c r="AJ138">
        <v>0</v>
      </c>
      <c r="AK138">
        <v>4000</v>
      </c>
      <c r="AL138">
        <v>0</v>
      </c>
      <c r="AM138">
        <v>240</v>
      </c>
      <c r="AN138">
        <v>-72</v>
      </c>
      <c r="AO138">
        <v>0</v>
      </c>
      <c r="AP138">
        <v>240</v>
      </c>
      <c r="AQ138">
        <v>-72</v>
      </c>
      <c r="AR138">
        <v>0</v>
      </c>
      <c r="AT138">
        <v>0</v>
      </c>
      <c r="AU138">
        <v>0</v>
      </c>
      <c r="AW138">
        <v>0</v>
      </c>
      <c r="AX138">
        <v>0</v>
      </c>
      <c r="AY138">
        <v>2917.6</v>
      </c>
      <c r="BA138" t="str">
        <f t="shared" si="27"/>
        <v>0000000000000</v>
      </c>
      <c r="BC138" t="str">
        <f>T("9791137603882")</f>
        <v>9791137603882</v>
      </c>
      <c r="BE138" t="str">
        <f t="shared" si="20"/>
        <v>웹툰 &gt; 해외 순정</v>
      </c>
      <c r="BF138" t="str">
        <f>T("웹툰 &gt; 로판")</f>
        <v>웹툰 &gt; 로판</v>
      </c>
    </row>
    <row r="139" spans="1:58" x14ac:dyDescent="0.3">
      <c r="A139">
        <v>4421001305</v>
      </c>
      <c r="B139">
        <v>4421003058</v>
      </c>
      <c r="C139" t="str">
        <f>T("악역이지만, 남주는 꼬시지 않아요 45화")</f>
        <v>악역이지만, 남주는 꼬시지 않아요 45화</v>
      </c>
      <c r="D139" t="str">
        <f>T("45")</f>
        <v>45</v>
      </c>
      <c r="E139" t="str">
        <f>T("마북명")</f>
        <v>마북명</v>
      </c>
      <c r="G139" t="str">
        <f>T("kuri")</f>
        <v>kuri</v>
      </c>
      <c r="H139" t="str">
        <f t="shared" si="26"/>
        <v>스토리위즈</v>
      </c>
      <c r="I139" t="str">
        <f>T("악역이지만, 남주는 꼬시지 않아요")</f>
        <v>악역이지만, 남주는 꼬시지 않아요</v>
      </c>
      <c r="J139">
        <v>400</v>
      </c>
      <c r="K139">
        <v>1200</v>
      </c>
      <c r="L139">
        <v>3</v>
      </c>
      <c r="M139">
        <v>0</v>
      </c>
      <c r="N139">
        <v>2400</v>
      </c>
      <c r="O139">
        <v>12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3600</v>
      </c>
      <c r="AH139">
        <v>15</v>
      </c>
      <c r="AI139">
        <v>0</v>
      </c>
      <c r="AJ139">
        <v>0</v>
      </c>
      <c r="AK139">
        <v>3000</v>
      </c>
      <c r="AL139">
        <v>0</v>
      </c>
      <c r="AM139">
        <v>720</v>
      </c>
      <c r="AN139">
        <v>-168</v>
      </c>
      <c r="AO139">
        <v>0</v>
      </c>
      <c r="AP139">
        <v>480</v>
      </c>
      <c r="AQ139">
        <v>-144</v>
      </c>
      <c r="AR139">
        <v>0</v>
      </c>
      <c r="AS139">
        <v>240</v>
      </c>
      <c r="AT139">
        <v>-24</v>
      </c>
      <c r="AU139">
        <v>0</v>
      </c>
      <c r="AW139">
        <v>0</v>
      </c>
      <c r="AX139">
        <v>0</v>
      </c>
      <c r="AY139">
        <v>2486.4</v>
      </c>
      <c r="BA139" t="str">
        <f t="shared" si="27"/>
        <v>0000000000000</v>
      </c>
      <c r="BC139" t="str">
        <f>T("9791137603882")</f>
        <v>9791137603882</v>
      </c>
      <c r="BE139" t="str">
        <f t="shared" si="20"/>
        <v>웹툰 &gt; 해외 순정</v>
      </c>
      <c r="BF139" t="str">
        <f>T("웹툰 &gt; 로판")</f>
        <v>웹툰 &gt; 로판</v>
      </c>
    </row>
    <row r="140" spans="1:58" x14ac:dyDescent="0.3">
      <c r="A140">
        <v>4421000916</v>
      </c>
      <c r="B140">
        <v>4421001375</v>
      </c>
      <c r="C140" t="str">
        <f>T("별빛 아래 우리 69화")</f>
        <v>별빛 아래 우리 69화</v>
      </c>
      <c r="D140" t="str">
        <f>T("69")</f>
        <v>69</v>
      </c>
      <c r="E140" t="str">
        <f t="shared" ref="E140:E147" si="28">T("건일")</f>
        <v>건일</v>
      </c>
      <c r="G140" t="str">
        <f t="shared" ref="G140:G147" si="29">T("건일")</f>
        <v>건일</v>
      </c>
      <c r="H140" t="str">
        <f t="shared" si="26"/>
        <v>스토리위즈</v>
      </c>
      <c r="I140" t="str">
        <f t="shared" ref="I140:I147" si="30">T("별빛 아래 우리")</f>
        <v>별빛 아래 우리</v>
      </c>
      <c r="J140">
        <v>400</v>
      </c>
      <c r="K140">
        <v>1200</v>
      </c>
      <c r="L140">
        <v>3</v>
      </c>
      <c r="M140">
        <v>0</v>
      </c>
      <c r="N140">
        <v>1000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2200</v>
      </c>
      <c r="AH140">
        <v>8</v>
      </c>
      <c r="AI140">
        <v>0</v>
      </c>
      <c r="AJ140">
        <v>0</v>
      </c>
      <c r="AK140">
        <v>1141</v>
      </c>
      <c r="AL140">
        <v>0</v>
      </c>
      <c r="AM140">
        <v>1270.8</v>
      </c>
      <c r="AN140">
        <v>-319.08</v>
      </c>
      <c r="AO140">
        <v>0</v>
      </c>
      <c r="AP140">
        <v>720</v>
      </c>
      <c r="AQ140">
        <v>-216</v>
      </c>
      <c r="AR140">
        <v>0</v>
      </c>
      <c r="AS140">
        <v>550.79999999999995</v>
      </c>
      <c r="AT140">
        <v>-103.08</v>
      </c>
      <c r="AU140">
        <v>0</v>
      </c>
      <c r="AW140">
        <v>0</v>
      </c>
      <c r="AX140">
        <v>0</v>
      </c>
      <c r="AY140">
        <v>1464.9</v>
      </c>
      <c r="BA140" t="str">
        <f t="shared" si="27"/>
        <v>0000000000000</v>
      </c>
      <c r="BC140" t="str">
        <f t="shared" ref="BC140:BC147" si="31">T("9791137601413")</f>
        <v>9791137601413</v>
      </c>
      <c r="BE140" t="str">
        <f t="shared" si="20"/>
        <v>웹툰 &gt; 해외 순정</v>
      </c>
      <c r="BF140" t="str">
        <f t="shared" ref="BF140:BF147" si="32">T("웹툰 &gt; 로맨스")</f>
        <v>웹툰 &gt; 로맨스</v>
      </c>
    </row>
    <row r="141" spans="1:58" x14ac:dyDescent="0.3">
      <c r="A141">
        <v>4421000916</v>
      </c>
      <c r="B141">
        <v>4421003001</v>
      </c>
      <c r="C141" t="str">
        <f>T("별빛 아래 우리 90화")</f>
        <v>별빛 아래 우리 90화</v>
      </c>
      <c r="D141" t="str">
        <f>T("90")</f>
        <v>90</v>
      </c>
      <c r="E141" t="str">
        <f t="shared" si="28"/>
        <v>건일</v>
      </c>
      <c r="G141" t="str">
        <f t="shared" si="29"/>
        <v>건일</v>
      </c>
      <c r="H141" t="str">
        <f t="shared" si="26"/>
        <v>스토리위즈</v>
      </c>
      <c r="I141" t="str">
        <f t="shared" si="30"/>
        <v>별빛 아래 우리</v>
      </c>
      <c r="J141">
        <v>400</v>
      </c>
      <c r="K141">
        <v>1200</v>
      </c>
      <c r="L141">
        <v>3</v>
      </c>
      <c r="M141">
        <v>0</v>
      </c>
      <c r="N141">
        <v>1200</v>
      </c>
      <c r="O141">
        <v>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2400</v>
      </c>
      <c r="AH141">
        <v>9</v>
      </c>
      <c r="AI141">
        <v>0</v>
      </c>
      <c r="AJ141">
        <v>0</v>
      </c>
      <c r="AK141">
        <v>1541</v>
      </c>
      <c r="AL141">
        <v>0</v>
      </c>
      <c r="AM141">
        <v>1030.8</v>
      </c>
      <c r="AN141">
        <v>-247.08</v>
      </c>
      <c r="AO141">
        <v>0</v>
      </c>
      <c r="AP141">
        <v>240</v>
      </c>
      <c r="AQ141">
        <v>-72</v>
      </c>
      <c r="AR141">
        <v>0</v>
      </c>
      <c r="AS141">
        <v>790.8</v>
      </c>
      <c r="AT141">
        <v>-175.08</v>
      </c>
      <c r="AU141">
        <v>0</v>
      </c>
      <c r="AW141">
        <v>0</v>
      </c>
      <c r="AX141">
        <v>0</v>
      </c>
      <c r="AY141">
        <v>1627.3</v>
      </c>
      <c r="BA141" t="str">
        <f t="shared" si="27"/>
        <v>0000000000000</v>
      </c>
      <c r="BC141" t="str">
        <f t="shared" si="31"/>
        <v>9791137601413</v>
      </c>
      <c r="BE141" t="str">
        <f t="shared" si="20"/>
        <v>웹툰 &gt; 해외 순정</v>
      </c>
      <c r="BF141" t="str">
        <f t="shared" si="32"/>
        <v>웹툰 &gt; 로맨스</v>
      </c>
    </row>
    <row r="142" spans="1:58" x14ac:dyDescent="0.3">
      <c r="A142">
        <v>4421000916</v>
      </c>
      <c r="B142">
        <v>4421001463</v>
      </c>
      <c r="C142" t="str">
        <f>T("별빛 아래 우리 70화")</f>
        <v>별빛 아래 우리 70화</v>
      </c>
      <c r="D142" t="str">
        <f>T("70")</f>
        <v>70</v>
      </c>
      <c r="E142" t="str">
        <f t="shared" si="28"/>
        <v>건일</v>
      </c>
      <c r="G142" t="str">
        <f t="shared" si="29"/>
        <v>건일</v>
      </c>
      <c r="H142" t="str">
        <f t="shared" si="26"/>
        <v>스토리위즈</v>
      </c>
      <c r="I142" t="str">
        <f t="shared" si="30"/>
        <v>별빛 아래 우리</v>
      </c>
      <c r="J142">
        <v>400</v>
      </c>
      <c r="K142">
        <v>1200</v>
      </c>
      <c r="L142">
        <v>3</v>
      </c>
      <c r="M142">
        <v>0</v>
      </c>
      <c r="N142">
        <v>1200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2400</v>
      </c>
      <c r="AH142">
        <v>9</v>
      </c>
      <c r="AI142">
        <v>0</v>
      </c>
      <c r="AJ142">
        <v>0</v>
      </c>
      <c r="AK142">
        <v>1141</v>
      </c>
      <c r="AL142">
        <v>0</v>
      </c>
      <c r="AM142">
        <v>1510.8</v>
      </c>
      <c r="AN142">
        <v>-343.08</v>
      </c>
      <c r="AO142">
        <v>0</v>
      </c>
      <c r="AP142">
        <v>720</v>
      </c>
      <c r="AQ142">
        <v>-216</v>
      </c>
      <c r="AR142">
        <v>0</v>
      </c>
      <c r="AS142">
        <v>790.8</v>
      </c>
      <c r="AT142">
        <v>-127.08</v>
      </c>
      <c r="AU142">
        <v>0</v>
      </c>
      <c r="AW142">
        <v>0</v>
      </c>
      <c r="AX142">
        <v>0</v>
      </c>
      <c r="AY142">
        <v>1616.1</v>
      </c>
      <c r="BA142" t="str">
        <f t="shared" si="27"/>
        <v>0000000000000</v>
      </c>
      <c r="BC142" t="str">
        <f t="shared" si="31"/>
        <v>9791137601413</v>
      </c>
      <c r="BE142" t="str">
        <f t="shared" si="20"/>
        <v>웹툰 &gt; 해외 순정</v>
      </c>
      <c r="BF142" t="str">
        <f t="shared" si="32"/>
        <v>웹툰 &gt; 로맨스</v>
      </c>
    </row>
    <row r="143" spans="1:58" x14ac:dyDescent="0.3">
      <c r="A143">
        <v>4421000916</v>
      </c>
      <c r="B143">
        <v>4421002984</v>
      </c>
      <c r="C143" t="str">
        <f>T("별빛 아래 우리 89화")</f>
        <v>별빛 아래 우리 89화</v>
      </c>
      <c r="D143" t="str">
        <f>T("89")</f>
        <v>89</v>
      </c>
      <c r="E143" t="str">
        <f t="shared" si="28"/>
        <v>건일</v>
      </c>
      <c r="G143" t="str">
        <f t="shared" si="29"/>
        <v>건일</v>
      </c>
      <c r="H143" t="str">
        <f t="shared" si="26"/>
        <v>스토리위즈</v>
      </c>
      <c r="I143" t="str">
        <f t="shared" si="30"/>
        <v>별빛 아래 우리</v>
      </c>
      <c r="J143">
        <v>400</v>
      </c>
      <c r="K143">
        <v>1200</v>
      </c>
      <c r="L143">
        <v>3</v>
      </c>
      <c r="M143">
        <v>0</v>
      </c>
      <c r="N143">
        <v>1800</v>
      </c>
      <c r="O143">
        <v>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3000</v>
      </c>
      <c r="AH143">
        <v>12</v>
      </c>
      <c r="AI143">
        <v>0</v>
      </c>
      <c r="AJ143">
        <v>0</v>
      </c>
      <c r="AK143">
        <v>1741</v>
      </c>
      <c r="AL143">
        <v>0</v>
      </c>
      <c r="AM143">
        <v>1510.8</v>
      </c>
      <c r="AN143">
        <v>-391.08</v>
      </c>
      <c r="AO143">
        <v>0</v>
      </c>
      <c r="AP143">
        <v>720</v>
      </c>
      <c r="AQ143">
        <v>-216</v>
      </c>
      <c r="AR143">
        <v>0</v>
      </c>
      <c r="AS143">
        <v>790.8</v>
      </c>
      <c r="AT143">
        <v>-175.08</v>
      </c>
      <c r="AU143">
        <v>0</v>
      </c>
      <c r="AW143">
        <v>0</v>
      </c>
      <c r="AX143">
        <v>0</v>
      </c>
      <c r="AY143">
        <v>2002.5</v>
      </c>
      <c r="BA143" t="str">
        <f t="shared" si="27"/>
        <v>0000000000000</v>
      </c>
      <c r="BC143" t="str">
        <f t="shared" si="31"/>
        <v>9791137601413</v>
      </c>
      <c r="BE143" t="str">
        <f t="shared" si="20"/>
        <v>웹툰 &gt; 해외 순정</v>
      </c>
      <c r="BF143" t="str">
        <f t="shared" si="32"/>
        <v>웹툰 &gt; 로맨스</v>
      </c>
    </row>
    <row r="144" spans="1:58" x14ac:dyDescent="0.3">
      <c r="A144">
        <v>4421000916</v>
      </c>
      <c r="B144">
        <v>4421001537</v>
      </c>
      <c r="C144" t="str">
        <f>T("별빛 아래 우리 75화")</f>
        <v>별빛 아래 우리 75화</v>
      </c>
      <c r="D144" t="str">
        <f>T("75")</f>
        <v>75</v>
      </c>
      <c r="E144" t="str">
        <f t="shared" si="28"/>
        <v>건일</v>
      </c>
      <c r="G144" t="str">
        <f t="shared" si="29"/>
        <v>건일</v>
      </c>
      <c r="H144" t="str">
        <f t="shared" si="26"/>
        <v>스토리위즈</v>
      </c>
      <c r="I144" t="str">
        <f t="shared" si="30"/>
        <v>별빛 아래 우리</v>
      </c>
      <c r="J144">
        <v>400</v>
      </c>
      <c r="K144">
        <v>1200</v>
      </c>
      <c r="L144">
        <v>3</v>
      </c>
      <c r="M144">
        <v>0</v>
      </c>
      <c r="N144">
        <v>1000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2200</v>
      </c>
      <c r="AH144">
        <v>8</v>
      </c>
      <c r="AI144">
        <v>0</v>
      </c>
      <c r="AJ144">
        <v>0</v>
      </c>
      <c r="AK144">
        <v>1341</v>
      </c>
      <c r="AL144">
        <v>0</v>
      </c>
      <c r="AM144">
        <v>1030.8</v>
      </c>
      <c r="AN144">
        <v>-199.08</v>
      </c>
      <c r="AO144">
        <v>0</v>
      </c>
      <c r="AP144">
        <v>240</v>
      </c>
      <c r="AQ144">
        <v>-72</v>
      </c>
      <c r="AR144">
        <v>0</v>
      </c>
      <c r="AS144">
        <v>790.8</v>
      </c>
      <c r="AT144">
        <v>-127.08</v>
      </c>
      <c r="AU144">
        <v>0</v>
      </c>
      <c r="AW144">
        <v>0</v>
      </c>
      <c r="AX144">
        <v>0</v>
      </c>
      <c r="AY144">
        <v>1520.9</v>
      </c>
      <c r="BA144" t="str">
        <f t="shared" si="27"/>
        <v>0000000000000</v>
      </c>
      <c r="BC144" t="str">
        <f t="shared" si="31"/>
        <v>9791137601413</v>
      </c>
      <c r="BE144" t="str">
        <f t="shared" si="20"/>
        <v>웹툰 &gt; 해외 순정</v>
      </c>
      <c r="BF144" t="str">
        <f t="shared" si="32"/>
        <v>웹툰 &gt; 로맨스</v>
      </c>
    </row>
    <row r="145" spans="1:58" x14ac:dyDescent="0.3">
      <c r="A145">
        <v>4421000916</v>
      </c>
      <c r="B145">
        <v>4421002983</v>
      </c>
      <c r="C145" t="str">
        <f>T("별빛 아래 우리 88화")</f>
        <v>별빛 아래 우리 88화</v>
      </c>
      <c r="D145" t="str">
        <f>T("88")</f>
        <v>88</v>
      </c>
      <c r="E145" t="str">
        <f t="shared" si="28"/>
        <v>건일</v>
      </c>
      <c r="G145" t="str">
        <f t="shared" si="29"/>
        <v>건일</v>
      </c>
      <c r="H145" t="str">
        <f t="shared" si="26"/>
        <v>스토리위즈</v>
      </c>
      <c r="I145" t="str">
        <f t="shared" si="30"/>
        <v>별빛 아래 우리</v>
      </c>
      <c r="J145">
        <v>400</v>
      </c>
      <c r="K145">
        <v>1200</v>
      </c>
      <c r="L145">
        <v>3</v>
      </c>
      <c r="M145">
        <v>0</v>
      </c>
      <c r="N145">
        <v>1400</v>
      </c>
      <c r="O145">
        <v>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2600</v>
      </c>
      <c r="AH145">
        <v>10</v>
      </c>
      <c r="AI145">
        <v>0</v>
      </c>
      <c r="AJ145">
        <v>0</v>
      </c>
      <c r="AK145">
        <v>1541</v>
      </c>
      <c r="AL145">
        <v>0</v>
      </c>
      <c r="AM145">
        <v>1270.8</v>
      </c>
      <c r="AN145">
        <v>-319.08</v>
      </c>
      <c r="AO145">
        <v>0</v>
      </c>
      <c r="AP145">
        <v>480</v>
      </c>
      <c r="AQ145">
        <v>-144</v>
      </c>
      <c r="AR145">
        <v>0</v>
      </c>
      <c r="AS145">
        <v>790.8</v>
      </c>
      <c r="AT145">
        <v>-175.08</v>
      </c>
      <c r="AU145">
        <v>0</v>
      </c>
      <c r="AW145">
        <v>0</v>
      </c>
      <c r="AX145">
        <v>0</v>
      </c>
      <c r="AY145">
        <v>1744.9</v>
      </c>
      <c r="BA145" t="str">
        <f t="shared" si="27"/>
        <v>0000000000000</v>
      </c>
      <c r="BC145" t="str">
        <f t="shared" si="31"/>
        <v>9791137601413</v>
      </c>
      <c r="BE145" t="str">
        <f t="shared" si="20"/>
        <v>웹툰 &gt; 해외 순정</v>
      </c>
      <c r="BF145" t="str">
        <f t="shared" si="32"/>
        <v>웹툰 &gt; 로맨스</v>
      </c>
    </row>
    <row r="146" spans="1:58" x14ac:dyDescent="0.3">
      <c r="A146">
        <v>4421000916</v>
      </c>
      <c r="B146">
        <v>4421001536</v>
      </c>
      <c r="C146" t="str">
        <f>T("별빛 아래 우리 74화")</f>
        <v>별빛 아래 우리 74화</v>
      </c>
      <c r="D146" t="str">
        <f>T("74")</f>
        <v>74</v>
      </c>
      <c r="E146" t="str">
        <f t="shared" si="28"/>
        <v>건일</v>
      </c>
      <c r="G146" t="str">
        <f t="shared" si="29"/>
        <v>건일</v>
      </c>
      <c r="H146" t="str">
        <f t="shared" si="26"/>
        <v>스토리위즈</v>
      </c>
      <c r="I146" t="str">
        <f t="shared" si="30"/>
        <v>별빛 아래 우리</v>
      </c>
      <c r="J146">
        <v>400</v>
      </c>
      <c r="K146">
        <v>1200</v>
      </c>
      <c r="L146">
        <v>3</v>
      </c>
      <c r="M146">
        <v>0</v>
      </c>
      <c r="N146">
        <v>1400</v>
      </c>
      <c r="O146">
        <v>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2600</v>
      </c>
      <c r="AH146">
        <v>10</v>
      </c>
      <c r="AI146">
        <v>0</v>
      </c>
      <c r="AJ146">
        <v>0</v>
      </c>
      <c r="AK146">
        <v>1341</v>
      </c>
      <c r="AL146">
        <v>0</v>
      </c>
      <c r="AM146">
        <v>1510.8</v>
      </c>
      <c r="AN146">
        <v>-343.08</v>
      </c>
      <c r="AO146">
        <v>0</v>
      </c>
      <c r="AP146">
        <v>720</v>
      </c>
      <c r="AQ146">
        <v>-216</v>
      </c>
      <c r="AR146">
        <v>0</v>
      </c>
      <c r="AS146">
        <v>790.8</v>
      </c>
      <c r="AT146">
        <v>-127.08</v>
      </c>
      <c r="AU146">
        <v>0</v>
      </c>
      <c r="AW146">
        <v>0</v>
      </c>
      <c r="AX146">
        <v>0</v>
      </c>
      <c r="AY146">
        <v>1756.1</v>
      </c>
      <c r="BA146" t="str">
        <f t="shared" si="27"/>
        <v>0000000000000</v>
      </c>
      <c r="BC146" t="str">
        <f t="shared" si="31"/>
        <v>9791137601413</v>
      </c>
      <c r="BE146" t="str">
        <f t="shared" si="20"/>
        <v>웹툰 &gt; 해외 순정</v>
      </c>
      <c r="BF146" t="str">
        <f t="shared" si="32"/>
        <v>웹툰 &gt; 로맨스</v>
      </c>
    </row>
    <row r="147" spans="1:58" x14ac:dyDescent="0.3">
      <c r="A147">
        <v>4421000916</v>
      </c>
      <c r="B147">
        <v>4421001296</v>
      </c>
      <c r="C147" t="str">
        <f>T("별빛 아래 우리 66화")</f>
        <v>별빛 아래 우리 66화</v>
      </c>
      <c r="D147" t="str">
        <f>T("66")</f>
        <v>66</v>
      </c>
      <c r="E147" t="str">
        <f t="shared" si="28"/>
        <v>건일</v>
      </c>
      <c r="G147" t="str">
        <f t="shared" si="29"/>
        <v>건일</v>
      </c>
      <c r="H147" t="str">
        <f t="shared" si="26"/>
        <v>스토리위즈</v>
      </c>
      <c r="I147" t="str">
        <f t="shared" si="30"/>
        <v>별빛 아래 우리</v>
      </c>
      <c r="J147">
        <v>400</v>
      </c>
      <c r="K147">
        <v>1200</v>
      </c>
      <c r="L147">
        <v>3</v>
      </c>
      <c r="M147">
        <v>0</v>
      </c>
      <c r="N147">
        <v>1200</v>
      </c>
      <c r="O147">
        <v>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2400</v>
      </c>
      <c r="AH147">
        <v>9</v>
      </c>
      <c r="AI147">
        <v>0</v>
      </c>
      <c r="AJ147">
        <v>0</v>
      </c>
      <c r="AK147">
        <v>1141</v>
      </c>
      <c r="AL147">
        <v>0</v>
      </c>
      <c r="AM147">
        <v>1510.8</v>
      </c>
      <c r="AN147">
        <v>-343.08</v>
      </c>
      <c r="AO147">
        <v>0</v>
      </c>
      <c r="AP147">
        <v>720</v>
      </c>
      <c r="AQ147">
        <v>-216</v>
      </c>
      <c r="AR147">
        <v>0</v>
      </c>
      <c r="AS147">
        <v>790.8</v>
      </c>
      <c r="AT147">
        <v>-127.08</v>
      </c>
      <c r="AU147">
        <v>0</v>
      </c>
      <c r="AW147">
        <v>0</v>
      </c>
      <c r="AX147">
        <v>0</v>
      </c>
      <c r="AY147">
        <v>1616.1</v>
      </c>
      <c r="BA147" t="str">
        <f t="shared" si="27"/>
        <v>0000000000000</v>
      </c>
      <c r="BC147" t="str">
        <f t="shared" si="31"/>
        <v>9791137601413</v>
      </c>
      <c r="BE147" t="str">
        <f t="shared" si="20"/>
        <v>웹툰 &gt; 해외 순정</v>
      </c>
      <c r="BF147" t="str">
        <f t="shared" si="32"/>
        <v>웹툰 &gt; 로맨스</v>
      </c>
    </row>
    <row r="148" spans="1:58" x14ac:dyDescent="0.3">
      <c r="A148">
        <v>4421001634</v>
      </c>
      <c r="B148">
        <v>4421002561</v>
      </c>
      <c r="C148" t="str">
        <f>T("그남자의 사랑방식 112화 (완결)")</f>
        <v>그남자의 사랑방식 112화 (완결)</v>
      </c>
      <c r="D148" t="str">
        <f>T("112")</f>
        <v>112</v>
      </c>
      <c r="E148" t="str">
        <f>T("웹티")</f>
        <v>웹티</v>
      </c>
      <c r="H148" t="str">
        <f t="shared" si="26"/>
        <v>스토리위즈</v>
      </c>
      <c r="I148" t="str">
        <f>T("그남자의 사랑방식")</f>
        <v>그남자의 사랑방식</v>
      </c>
      <c r="J148">
        <v>500</v>
      </c>
      <c r="K148">
        <v>1000</v>
      </c>
      <c r="L148">
        <v>2</v>
      </c>
      <c r="M148">
        <v>0</v>
      </c>
      <c r="N148">
        <v>1400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2400</v>
      </c>
      <c r="AH148">
        <v>9</v>
      </c>
      <c r="AI148">
        <v>0</v>
      </c>
      <c r="AJ148">
        <v>0</v>
      </c>
      <c r="AK148">
        <v>800</v>
      </c>
      <c r="AL148">
        <v>0</v>
      </c>
      <c r="AM148">
        <v>1920</v>
      </c>
      <c r="AN148">
        <v>-432</v>
      </c>
      <c r="AO148">
        <v>0</v>
      </c>
      <c r="AP148">
        <v>600</v>
      </c>
      <c r="AQ148">
        <v>-180</v>
      </c>
      <c r="AR148">
        <v>0</v>
      </c>
      <c r="AS148">
        <v>1320</v>
      </c>
      <c r="AT148">
        <v>-252</v>
      </c>
      <c r="AU148">
        <v>0</v>
      </c>
      <c r="AW148">
        <v>0</v>
      </c>
      <c r="AX148">
        <v>0</v>
      </c>
      <c r="AY148">
        <v>1601.6</v>
      </c>
      <c r="BC148" t="str">
        <f>T("9791190622004")</f>
        <v>9791190622004</v>
      </c>
      <c r="BE148" t="str">
        <f>T("BL 웹툰 &gt; 웹툰")</f>
        <v>BL 웹툰 &gt; 웹툰</v>
      </c>
    </row>
    <row r="149" spans="1:58" x14ac:dyDescent="0.3">
      <c r="A149">
        <v>4421002829</v>
      </c>
      <c r="B149">
        <v>4421003129</v>
      </c>
      <c r="C149" t="str">
        <f>T("테두리는 주시하지 않는다 (개정판) 26화")</f>
        <v>테두리는 주시하지 않는다 (개정판) 26화</v>
      </c>
      <c r="D149" t="str">
        <f>T("26")</f>
        <v>26</v>
      </c>
      <c r="E149" t="str">
        <f>T("토찌, 키로즈")</f>
        <v>토찌, 키로즈</v>
      </c>
      <c r="G149" t="str">
        <f>T("마린")</f>
        <v>마린</v>
      </c>
      <c r="H149" t="str">
        <f t="shared" si="26"/>
        <v>스토리위즈</v>
      </c>
      <c r="I149" t="str">
        <f>T("테두리는 주시하지 않는다 (개정판)")</f>
        <v>테두리는 주시하지 않는다 (개정판)</v>
      </c>
      <c r="J149">
        <v>500</v>
      </c>
      <c r="K149">
        <v>1000</v>
      </c>
      <c r="L149">
        <v>2</v>
      </c>
      <c r="M149">
        <v>0</v>
      </c>
      <c r="N149">
        <v>3900</v>
      </c>
      <c r="O149">
        <v>13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4900</v>
      </c>
      <c r="AH149">
        <v>15</v>
      </c>
      <c r="AI149">
        <v>0</v>
      </c>
      <c r="AJ149">
        <v>0</v>
      </c>
      <c r="AK149">
        <v>3400</v>
      </c>
      <c r="AL149">
        <v>0</v>
      </c>
      <c r="AM149">
        <v>1800</v>
      </c>
      <c r="AN149">
        <v>-324</v>
      </c>
      <c r="AO149">
        <v>0</v>
      </c>
      <c r="AP149">
        <v>720</v>
      </c>
      <c r="AQ149">
        <v>-216</v>
      </c>
      <c r="AR149">
        <v>0</v>
      </c>
      <c r="AS149">
        <v>1080</v>
      </c>
      <c r="AT149">
        <v>-108</v>
      </c>
      <c r="AU149">
        <v>0</v>
      </c>
      <c r="AW149">
        <v>0</v>
      </c>
      <c r="AX149">
        <v>0</v>
      </c>
      <c r="AY149">
        <v>3413.2</v>
      </c>
      <c r="BA149" t="str">
        <f t="shared" ref="BA149:BA162" si="33">T("0000000000000")</f>
        <v>0000000000000</v>
      </c>
      <c r="BC149" t="str">
        <f>T("9791137604681")</f>
        <v>9791137604681</v>
      </c>
      <c r="BE149" t="str">
        <f>T("BL 웹툰 &gt; 웹툰")</f>
        <v>BL 웹툰 &gt; 웹툰</v>
      </c>
    </row>
    <row r="150" spans="1:58" x14ac:dyDescent="0.3">
      <c r="A150">
        <v>4421001305</v>
      </c>
      <c r="B150">
        <v>4421001316</v>
      </c>
      <c r="C150" t="str">
        <f>T("악역이지만, 남주는 꼬시지 않아요 12화")</f>
        <v>악역이지만, 남주는 꼬시지 않아요 12화</v>
      </c>
      <c r="D150" t="str">
        <f>T("12")</f>
        <v>12</v>
      </c>
      <c r="E150" t="str">
        <f>T("마북명")</f>
        <v>마북명</v>
      </c>
      <c r="G150" t="str">
        <f>T("kuri")</f>
        <v>kuri</v>
      </c>
      <c r="H150" t="str">
        <f t="shared" si="26"/>
        <v>스토리위즈</v>
      </c>
      <c r="I150" t="str">
        <f>T("악역이지만, 남주는 꼬시지 않아요")</f>
        <v>악역이지만, 남주는 꼬시지 않아요</v>
      </c>
      <c r="J150">
        <v>400</v>
      </c>
      <c r="K150">
        <v>800</v>
      </c>
      <c r="L150">
        <v>2</v>
      </c>
      <c r="M150">
        <v>0</v>
      </c>
      <c r="N150">
        <v>3000</v>
      </c>
      <c r="O150">
        <v>15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3800</v>
      </c>
      <c r="AH150">
        <v>17</v>
      </c>
      <c r="AI150">
        <v>0</v>
      </c>
      <c r="AJ150">
        <v>0</v>
      </c>
      <c r="AK150">
        <v>3600</v>
      </c>
      <c r="AL150">
        <v>0</v>
      </c>
      <c r="AM150">
        <v>240</v>
      </c>
      <c r="AN150">
        <v>-72</v>
      </c>
      <c r="AO150">
        <v>0</v>
      </c>
      <c r="AP150">
        <v>240</v>
      </c>
      <c r="AQ150">
        <v>-72</v>
      </c>
      <c r="AR150">
        <v>0</v>
      </c>
      <c r="AT150">
        <v>0</v>
      </c>
      <c r="AU150">
        <v>0</v>
      </c>
      <c r="AW150">
        <v>0</v>
      </c>
      <c r="AX150">
        <v>0</v>
      </c>
      <c r="AY150">
        <v>2637.6</v>
      </c>
      <c r="BA150" t="str">
        <f t="shared" si="33"/>
        <v>0000000000000</v>
      </c>
      <c r="BC150" t="str">
        <f>T("9791137603882")</f>
        <v>9791137603882</v>
      </c>
      <c r="BE150" t="str">
        <f t="shared" ref="BE150:BE161" si="34">T("웹툰 &gt; 해외 순정")</f>
        <v>웹툰 &gt; 해외 순정</v>
      </c>
      <c r="BF150" t="str">
        <f>T("웹툰 &gt; 로판")</f>
        <v>웹툰 &gt; 로판</v>
      </c>
    </row>
    <row r="151" spans="1:58" x14ac:dyDescent="0.3">
      <c r="A151">
        <v>4421001305</v>
      </c>
      <c r="B151">
        <v>4421003049</v>
      </c>
      <c r="C151" t="str">
        <f>T("악역이지만, 남주는 꼬시지 않아요 44화")</f>
        <v>악역이지만, 남주는 꼬시지 않아요 44화</v>
      </c>
      <c r="D151" t="str">
        <f>T("44")</f>
        <v>44</v>
      </c>
      <c r="E151" t="str">
        <f>T("마북명")</f>
        <v>마북명</v>
      </c>
      <c r="G151" t="str">
        <f>T("kuri")</f>
        <v>kuri</v>
      </c>
      <c r="H151" t="str">
        <f t="shared" si="26"/>
        <v>스토리위즈</v>
      </c>
      <c r="I151" t="str">
        <f>T("악역이지만, 남주는 꼬시지 않아요")</f>
        <v>악역이지만, 남주는 꼬시지 않아요</v>
      </c>
      <c r="J151">
        <v>400</v>
      </c>
      <c r="K151">
        <v>800</v>
      </c>
      <c r="L151">
        <v>2</v>
      </c>
      <c r="M151">
        <v>0</v>
      </c>
      <c r="N151">
        <v>2800</v>
      </c>
      <c r="O151">
        <v>14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3600</v>
      </c>
      <c r="AH151">
        <v>16</v>
      </c>
      <c r="AI151">
        <v>0</v>
      </c>
      <c r="AJ151">
        <v>0</v>
      </c>
      <c r="AK151">
        <v>3000</v>
      </c>
      <c r="AL151">
        <v>0</v>
      </c>
      <c r="AM151">
        <v>720</v>
      </c>
      <c r="AN151">
        <v>-168</v>
      </c>
      <c r="AO151">
        <v>0</v>
      </c>
      <c r="AP151">
        <v>480</v>
      </c>
      <c r="AQ151">
        <v>-144</v>
      </c>
      <c r="AR151">
        <v>0</v>
      </c>
      <c r="AS151">
        <v>240</v>
      </c>
      <c r="AT151">
        <v>-24</v>
      </c>
      <c r="AU151">
        <v>0</v>
      </c>
      <c r="AW151">
        <v>0</v>
      </c>
      <c r="AX151">
        <v>0</v>
      </c>
      <c r="AY151">
        <v>2486.4</v>
      </c>
      <c r="BA151" t="str">
        <f t="shared" si="33"/>
        <v>0000000000000</v>
      </c>
      <c r="BC151" t="str">
        <f>T("9791137603882")</f>
        <v>9791137603882</v>
      </c>
      <c r="BE151" t="str">
        <f t="shared" si="34"/>
        <v>웹툰 &gt; 해외 순정</v>
      </c>
      <c r="BF151" t="str">
        <f>T("웹툰 &gt; 로판")</f>
        <v>웹툰 &gt; 로판</v>
      </c>
    </row>
    <row r="152" spans="1:58" x14ac:dyDescent="0.3">
      <c r="A152">
        <v>4421001305</v>
      </c>
      <c r="B152">
        <v>4421003079</v>
      </c>
      <c r="C152" t="str">
        <f>T("악역이지만, 남주는 꼬시지 않아요 47화")</f>
        <v>악역이지만, 남주는 꼬시지 않아요 47화</v>
      </c>
      <c r="D152" t="str">
        <f>T("47")</f>
        <v>47</v>
      </c>
      <c r="E152" t="str">
        <f>T("마북명")</f>
        <v>마북명</v>
      </c>
      <c r="G152" t="str">
        <f>T("kuri")</f>
        <v>kuri</v>
      </c>
      <c r="H152" t="str">
        <f t="shared" si="26"/>
        <v>스토리위즈</v>
      </c>
      <c r="I152" t="str">
        <f>T("악역이지만, 남주는 꼬시지 않아요")</f>
        <v>악역이지만, 남주는 꼬시지 않아요</v>
      </c>
      <c r="J152">
        <v>400</v>
      </c>
      <c r="K152">
        <v>800</v>
      </c>
      <c r="L152">
        <v>2</v>
      </c>
      <c r="M152">
        <v>0</v>
      </c>
      <c r="N152">
        <v>3200</v>
      </c>
      <c r="O152">
        <v>16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4000</v>
      </c>
      <c r="AH152">
        <v>18</v>
      </c>
      <c r="AI152">
        <v>0</v>
      </c>
      <c r="AJ152">
        <v>0</v>
      </c>
      <c r="AK152">
        <v>3200</v>
      </c>
      <c r="AL152">
        <v>0</v>
      </c>
      <c r="AM152">
        <v>960</v>
      </c>
      <c r="AN152">
        <v>-192</v>
      </c>
      <c r="AO152">
        <v>0</v>
      </c>
      <c r="AP152">
        <v>480</v>
      </c>
      <c r="AQ152">
        <v>-144</v>
      </c>
      <c r="AR152">
        <v>0</v>
      </c>
      <c r="AS152">
        <v>480</v>
      </c>
      <c r="AT152">
        <v>-48</v>
      </c>
      <c r="AU152">
        <v>0</v>
      </c>
      <c r="AW152">
        <v>0</v>
      </c>
      <c r="AX152">
        <v>0</v>
      </c>
      <c r="AY152">
        <v>2777.6</v>
      </c>
      <c r="BA152" t="str">
        <f t="shared" si="33"/>
        <v>0000000000000</v>
      </c>
      <c r="BC152" t="str">
        <f>T("9791137603882")</f>
        <v>9791137603882</v>
      </c>
      <c r="BE152" t="str">
        <f t="shared" si="34"/>
        <v>웹툰 &gt; 해외 순정</v>
      </c>
      <c r="BF152" t="str">
        <f>T("웹툰 &gt; 로판")</f>
        <v>웹툰 &gt; 로판</v>
      </c>
    </row>
    <row r="153" spans="1:58" x14ac:dyDescent="0.3">
      <c r="A153">
        <v>4421000916</v>
      </c>
      <c r="B153">
        <v>4421000920</v>
      </c>
      <c r="C153" t="str">
        <f>T("별빛 아래 우리 5화")</f>
        <v>별빛 아래 우리 5화</v>
      </c>
      <c r="D153" t="str">
        <f>T("5")</f>
        <v>5</v>
      </c>
      <c r="E153" t="str">
        <f>T("건일")</f>
        <v>건일</v>
      </c>
      <c r="G153" t="str">
        <f>T("건일")</f>
        <v>건일</v>
      </c>
      <c r="H153" t="str">
        <f t="shared" si="26"/>
        <v>스토리위즈</v>
      </c>
      <c r="I153" t="str">
        <f>T("별빛 아래 우리")</f>
        <v>별빛 아래 우리</v>
      </c>
      <c r="J153">
        <v>400</v>
      </c>
      <c r="K153">
        <v>800</v>
      </c>
      <c r="L153">
        <v>2</v>
      </c>
      <c r="M153">
        <v>0</v>
      </c>
      <c r="N153">
        <v>0</v>
      </c>
      <c r="O153">
        <v>0</v>
      </c>
      <c r="P153">
        <v>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800</v>
      </c>
      <c r="AH153">
        <v>46</v>
      </c>
      <c r="AI153">
        <v>0</v>
      </c>
      <c r="AJ153">
        <v>0</v>
      </c>
      <c r="AK153">
        <v>800</v>
      </c>
      <c r="AL153">
        <v>0</v>
      </c>
      <c r="AM153">
        <v>0</v>
      </c>
      <c r="AN153">
        <v>0</v>
      </c>
      <c r="AO153">
        <v>0</v>
      </c>
      <c r="AP153"/>
      <c r="AQ153">
        <v>0</v>
      </c>
      <c r="AR153">
        <v>0</v>
      </c>
      <c r="AT153">
        <v>0</v>
      </c>
      <c r="AU153">
        <v>0</v>
      </c>
      <c r="AW153">
        <v>0</v>
      </c>
      <c r="AX153">
        <v>0</v>
      </c>
      <c r="AY153">
        <v>560</v>
      </c>
      <c r="BA153" t="str">
        <f t="shared" si="33"/>
        <v>0000000000000</v>
      </c>
      <c r="BC153" t="str">
        <f>T("9791137601413")</f>
        <v>9791137601413</v>
      </c>
      <c r="BE153" t="str">
        <f t="shared" si="34"/>
        <v>웹툰 &gt; 해외 순정</v>
      </c>
      <c r="BF153" t="str">
        <f>T("웹툰 &gt; 로맨스")</f>
        <v>웹툰 &gt; 로맨스</v>
      </c>
    </row>
    <row r="154" spans="1:58" x14ac:dyDescent="0.3">
      <c r="A154">
        <v>4421001305</v>
      </c>
      <c r="B154">
        <v>4421001321</v>
      </c>
      <c r="C154" t="str">
        <f>T("악역이지만, 남주는 꼬시지 않아요 17화")</f>
        <v>악역이지만, 남주는 꼬시지 않아요 17화</v>
      </c>
      <c r="D154" t="str">
        <f>T("17")</f>
        <v>17</v>
      </c>
      <c r="E154" t="str">
        <f>T("마북명")</f>
        <v>마북명</v>
      </c>
      <c r="G154" t="str">
        <f>T("kuri")</f>
        <v>kuri</v>
      </c>
      <c r="H154" t="str">
        <f t="shared" si="26"/>
        <v>스토리위즈</v>
      </c>
      <c r="I154" t="str">
        <f>T("악역이지만, 남주는 꼬시지 않아요")</f>
        <v>악역이지만, 남주는 꼬시지 않아요</v>
      </c>
      <c r="J154">
        <v>400</v>
      </c>
      <c r="K154">
        <v>800</v>
      </c>
      <c r="L154">
        <v>2</v>
      </c>
      <c r="M154">
        <v>0</v>
      </c>
      <c r="N154">
        <v>3000</v>
      </c>
      <c r="O154">
        <v>15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3800</v>
      </c>
      <c r="AH154">
        <v>17</v>
      </c>
      <c r="AI154">
        <v>0</v>
      </c>
      <c r="AJ154">
        <v>0</v>
      </c>
      <c r="AK154">
        <v>3600</v>
      </c>
      <c r="AL154">
        <v>0</v>
      </c>
      <c r="AM154">
        <v>240</v>
      </c>
      <c r="AN154">
        <v>-72</v>
      </c>
      <c r="AO154">
        <v>0</v>
      </c>
      <c r="AP154">
        <v>240</v>
      </c>
      <c r="AQ154">
        <v>-72</v>
      </c>
      <c r="AR154">
        <v>0</v>
      </c>
      <c r="AT154">
        <v>0</v>
      </c>
      <c r="AU154">
        <v>0</v>
      </c>
      <c r="AW154">
        <v>0</v>
      </c>
      <c r="AX154">
        <v>0</v>
      </c>
      <c r="AY154">
        <v>2637.6</v>
      </c>
      <c r="BA154" t="str">
        <f t="shared" si="33"/>
        <v>0000000000000</v>
      </c>
      <c r="BC154" t="str">
        <f>T("9791137603882")</f>
        <v>9791137603882</v>
      </c>
      <c r="BE154" t="str">
        <f t="shared" si="34"/>
        <v>웹툰 &gt; 해외 순정</v>
      </c>
      <c r="BF154" t="str">
        <f>T("웹툰 &gt; 로판")</f>
        <v>웹툰 &gt; 로판</v>
      </c>
    </row>
    <row r="155" spans="1:58" x14ac:dyDescent="0.3">
      <c r="A155">
        <v>4421000916</v>
      </c>
      <c r="B155">
        <v>4421000919</v>
      </c>
      <c r="C155" t="str">
        <f>T("별빛 아래 우리 4화")</f>
        <v>별빛 아래 우리 4화</v>
      </c>
      <c r="D155" t="str">
        <f>T("4")</f>
        <v>4</v>
      </c>
      <c r="E155" t="str">
        <f>T("건일")</f>
        <v>건일</v>
      </c>
      <c r="G155" t="str">
        <f>T("건일")</f>
        <v>건일</v>
      </c>
      <c r="H155" t="str">
        <f t="shared" si="26"/>
        <v>스토리위즈</v>
      </c>
      <c r="I155" t="str">
        <f>T("별빛 아래 우리")</f>
        <v>별빛 아래 우리</v>
      </c>
      <c r="J155">
        <v>400</v>
      </c>
      <c r="K155">
        <v>800</v>
      </c>
      <c r="L155">
        <v>2</v>
      </c>
      <c r="M155">
        <v>0</v>
      </c>
      <c r="N155">
        <v>0</v>
      </c>
      <c r="O155">
        <v>0</v>
      </c>
      <c r="P155">
        <v>39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800</v>
      </c>
      <c r="AH155">
        <v>41</v>
      </c>
      <c r="AI155">
        <v>0</v>
      </c>
      <c r="AJ155">
        <v>0</v>
      </c>
      <c r="AK155">
        <v>800</v>
      </c>
      <c r="AL155">
        <v>0</v>
      </c>
      <c r="AM155">
        <v>0</v>
      </c>
      <c r="AN155">
        <v>0</v>
      </c>
      <c r="AO155">
        <v>0</v>
      </c>
      <c r="AP155"/>
      <c r="AQ155">
        <v>0</v>
      </c>
      <c r="AR155">
        <v>0</v>
      </c>
      <c r="AT155">
        <v>0</v>
      </c>
      <c r="AU155">
        <v>0</v>
      </c>
      <c r="AW155">
        <v>0</v>
      </c>
      <c r="AX155">
        <v>0</v>
      </c>
      <c r="AY155">
        <v>560</v>
      </c>
      <c r="BA155" t="str">
        <f t="shared" si="33"/>
        <v>0000000000000</v>
      </c>
      <c r="BC155" t="str">
        <f>T("9791137601413")</f>
        <v>9791137601413</v>
      </c>
      <c r="BE155" t="str">
        <f t="shared" si="34"/>
        <v>웹툰 &gt; 해외 순정</v>
      </c>
      <c r="BF155" t="str">
        <f>T("웹툰 &gt; 로맨스")</f>
        <v>웹툰 &gt; 로맨스</v>
      </c>
    </row>
    <row r="156" spans="1:58" x14ac:dyDescent="0.3">
      <c r="A156">
        <v>4421000916</v>
      </c>
      <c r="B156">
        <v>4421000917</v>
      </c>
      <c r="C156" t="str">
        <f>T("별빛 아래 우리 2화")</f>
        <v>별빛 아래 우리 2화</v>
      </c>
      <c r="D156" t="str">
        <f>T("2")</f>
        <v>2</v>
      </c>
      <c r="E156" t="str">
        <f>T("건일")</f>
        <v>건일</v>
      </c>
      <c r="G156" t="str">
        <f>T("건일")</f>
        <v>건일</v>
      </c>
      <c r="H156" t="str">
        <f t="shared" si="26"/>
        <v>스토리위즈</v>
      </c>
      <c r="I156" t="str">
        <f>T("별빛 아래 우리")</f>
        <v>별빛 아래 우리</v>
      </c>
      <c r="J156">
        <v>400</v>
      </c>
      <c r="K156">
        <v>800</v>
      </c>
      <c r="L156">
        <v>2</v>
      </c>
      <c r="M156">
        <v>0</v>
      </c>
      <c r="N156">
        <v>0</v>
      </c>
      <c r="O156">
        <v>0</v>
      </c>
      <c r="P156">
        <v>43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800</v>
      </c>
      <c r="AH156">
        <v>45</v>
      </c>
      <c r="AI156">
        <v>0</v>
      </c>
      <c r="AJ156">
        <v>0</v>
      </c>
      <c r="AK156">
        <v>800</v>
      </c>
      <c r="AL156">
        <v>0</v>
      </c>
      <c r="AM156">
        <v>0</v>
      </c>
      <c r="AN156">
        <v>0</v>
      </c>
      <c r="AO156">
        <v>0</v>
      </c>
      <c r="AP156"/>
      <c r="AQ156">
        <v>0</v>
      </c>
      <c r="AR156">
        <v>0</v>
      </c>
      <c r="AT156">
        <v>0</v>
      </c>
      <c r="AU156">
        <v>0</v>
      </c>
      <c r="AW156">
        <v>0</v>
      </c>
      <c r="AX156">
        <v>0</v>
      </c>
      <c r="AY156">
        <v>560</v>
      </c>
      <c r="BA156" t="str">
        <f t="shared" si="33"/>
        <v>0000000000000</v>
      </c>
      <c r="BC156" t="str">
        <f>T("9791137601413")</f>
        <v>9791137601413</v>
      </c>
      <c r="BE156" t="str">
        <f t="shared" si="34"/>
        <v>웹툰 &gt; 해외 순정</v>
      </c>
      <c r="BF156" t="str">
        <f>T("웹툰 &gt; 로맨스")</f>
        <v>웹툰 &gt; 로맨스</v>
      </c>
    </row>
    <row r="157" spans="1:58" x14ac:dyDescent="0.3">
      <c r="A157">
        <v>4421000916</v>
      </c>
      <c r="B157">
        <v>4421000918</v>
      </c>
      <c r="C157" t="str">
        <f>T("별빛 아래 우리 3화")</f>
        <v>별빛 아래 우리 3화</v>
      </c>
      <c r="D157" t="str">
        <f>T("3")</f>
        <v>3</v>
      </c>
      <c r="E157" t="str">
        <f>T("건일")</f>
        <v>건일</v>
      </c>
      <c r="G157" t="str">
        <f>T("건일")</f>
        <v>건일</v>
      </c>
      <c r="H157" t="str">
        <f t="shared" si="26"/>
        <v>스토리위즈</v>
      </c>
      <c r="I157" t="str">
        <f>T("별빛 아래 우리")</f>
        <v>별빛 아래 우리</v>
      </c>
      <c r="J157">
        <v>400</v>
      </c>
      <c r="K157">
        <v>800</v>
      </c>
      <c r="L157">
        <v>2</v>
      </c>
      <c r="M157">
        <v>0</v>
      </c>
      <c r="N157">
        <v>0</v>
      </c>
      <c r="O157">
        <v>0</v>
      </c>
      <c r="P157">
        <v>44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800</v>
      </c>
      <c r="AH157">
        <v>46</v>
      </c>
      <c r="AI157">
        <v>0</v>
      </c>
      <c r="AJ157">
        <v>0</v>
      </c>
      <c r="AK157">
        <v>800</v>
      </c>
      <c r="AL157">
        <v>0</v>
      </c>
      <c r="AM157">
        <v>0</v>
      </c>
      <c r="AN157">
        <v>0</v>
      </c>
      <c r="AO157">
        <v>0</v>
      </c>
      <c r="AP157"/>
      <c r="AQ157">
        <v>0</v>
      </c>
      <c r="AR157">
        <v>0</v>
      </c>
      <c r="AT157">
        <v>0</v>
      </c>
      <c r="AU157">
        <v>0</v>
      </c>
      <c r="AW157">
        <v>0</v>
      </c>
      <c r="AX157">
        <v>0</v>
      </c>
      <c r="AY157">
        <v>560</v>
      </c>
      <c r="BA157" t="str">
        <f t="shared" si="33"/>
        <v>0000000000000</v>
      </c>
      <c r="BC157" t="str">
        <f>T("9791137601413")</f>
        <v>9791137601413</v>
      </c>
      <c r="BE157" t="str">
        <f t="shared" si="34"/>
        <v>웹툰 &gt; 해외 순정</v>
      </c>
      <c r="BF157" t="str">
        <f>T("웹툰 &gt; 로맨스")</f>
        <v>웹툰 &gt; 로맨스</v>
      </c>
    </row>
    <row r="158" spans="1:58" x14ac:dyDescent="0.3">
      <c r="A158">
        <v>4421000916</v>
      </c>
      <c r="B158">
        <v>4421000916</v>
      </c>
      <c r="C158" t="str">
        <f>T("별빛 아래 우리 1화")</f>
        <v>별빛 아래 우리 1화</v>
      </c>
      <c r="D158" t="str">
        <f>T("1")</f>
        <v>1</v>
      </c>
      <c r="E158" t="str">
        <f>T("건일")</f>
        <v>건일</v>
      </c>
      <c r="G158" t="str">
        <f>T("건일")</f>
        <v>건일</v>
      </c>
      <c r="H158" t="str">
        <f t="shared" si="26"/>
        <v>스토리위즈</v>
      </c>
      <c r="I158" t="str">
        <f>T("별빛 아래 우리")</f>
        <v>별빛 아래 우리</v>
      </c>
      <c r="J158">
        <v>400</v>
      </c>
      <c r="K158">
        <v>800</v>
      </c>
      <c r="L158">
        <v>2</v>
      </c>
      <c r="M158">
        <v>0</v>
      </c>
      <c r="N158">
        <v>0</v>
      </c>
      <c r="O158">
        <v>0</v>
      </c>
      <c r="P158">
        <v>69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800</v>
      </c>
      <c r="AH158">
        <v>71</v>
      </c>
      <c r="AI158">
        <v>0</v>
      </c>
      <c r="AJ158">
        <v>0</v>
      </c>
      <c r="AK158">
        <v>800</v>
      </c>
      <c r="AL158">
        <v>0</v>
      </c>
      <c r="AM158">
        <v>0</v>
      </c>
      <c r="AN158">
        <v>0</v>
      </c>
      <c r="AO158">
        <v>0</v>
      </c>
      <c r="AP158"/>
      <c r="AQ158">
        <v>0</v>
      </c>
      <c r="AR158">
        <v>0</v>
      </c>
      <c r="AT158">
        <v>0</v>
      </c>
      <c r="AU158">
        <v>0</v>
      </c>
      <c r="AW158">
        <v>0</v>
      </c>
      <c r="AX158">
        <v>0</v>
      </c>
      <c r="AY158">
        <v>560</v>
      </c>
      <c r="BA158" t="str">
        <f t="shared" si="33"/>
        <v>0000000000000</v>
      </c>
      <c r="BC158" t="str">
        <f>T("9791137601413")</f>
        <v>9791137601413</v>
      </c>
      <c r="BE158" t="str">
        <f t="shared" si="34"/>
        <v>웹툰 &gt; 해외 순정</v>
      </c>
      <c r="BF158" t="str">
        <f>T("웹툰 &gt; 로맨스")</f>
        <v>웹툰 &gt; 로맨스</v>
      </c>
    </row>
    <row r="159" spans="1:58" x14ac:dyDescent="0.3">
      <c r="A159">
        <v>4421001305</v>
      </c>
      <c r="B159">
        <v>4421003074</v>
      </c>
      <c r="C159" t="str">
        <f>T("악역이지만, 남주는 꼬시지 않아요 46화")</f>
        <v>악역이지만, 남주는 꼬시지 않아요 46화</v>
      </c>
      <c r="D159" t="str">
        <f>T("46")</f>
        <v>46</v>
      </c>
      <c r="E159" t="str">
        <f>T("마북명")</f>
        <v>마북명</v>
      </c>
      <c r="G159" t="str">
        <f>T("kuri")</f>
        <v>kuri</v>
      </c>
      <c r="H159" t="str">
        <f t="shared" si="26"/>
        <v>스토리위즈</v>
      </c>
      <c r="I159" t="str">
        <f>T("악역이지만, 남주는 꼬시지 않아요")</f>
        <v>악역이지만, 남주는 꼬시지 않아요</v>
      </c>
      <c r="J159">
        <v>400</v>
      </c>
      <c r="K159">
        <v>800</v>
      </c>
      <c r="L159">
        <v>2</v>
      </c>
      <c r="M159">
        <v>0</v>
      </c>
      <c r="N159">
        <v>3000</v>
      </c>
      <c r="O159">
        <v>15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3800</v>
      </c>
      <c r="AH159">
        <v>17</v>
      </c>
      <c r="AI159">
        <v>0</v>
      </c>
      <c r="AJ159">
        <v>0</v>
      </c>
      <c r="AK159">
        <v>3200</v>
      </c>
      <c r="AL159">
        <v>0</v>
      </c>
      <c r="AM159">
        <v>720</v>
      </c>
      <c r="AN159">
        <v>-168</v>
      </c>
      <c r="AO159">
        <v>0</v>
      </c>
      <c r="AP159">
        <v>480</v>
      </c>
      <c r="AQ159">
        <v>-144</v>
      </c>
      <c r="AR159">
        <v>0</v>
      </c>
      <c r="AS159">
        <v>240</v>
      </c>
      <c r="AT159">
        <v>-24</v>
      </c>
      <c r="AU159">
        <v>0</v>
      </c>
      <c r="AW159">
        <v>0</v>
      </c>
      <c r="AX159">
        <v>0</v>
      </c>
      <c r="AY159">
        <v>2626.4</v>
      </c>
      <c r="BA159" t="str">
        <f t="shared" si="33"/>
        <v>0000000000000</v>
      </c>
      <c r="BC159" t="str">
        <f>T("9791137603882")</f>
        <v>9791137603882</v>
      </c>
      <c r="BE159" t="str">
        <f t="shared" si="34"/>
        <v>웹툰 &gt; 해외 순정</v>
      </c>
      <c r="BF159" t="str">
        <f>T("웹툰 &gt; 로판")</f>
        <v>웹툰 &gt; 로판</v>
      </c>
    </row>
    <row r="160" spans="1:58" x14ac:dyDescent="0.3">
      <c r="A160">
        <v>4421001305</v>
      </c>
      <c r="B160">
        <v>4421001318</v>
      </c>
      <c r="C160" t="str">
        <f>T("악역이지만, 남주는 꼬시지 않아요 14화")</f>
        <v>악역이지만, 남주는 꼬시지 않아요 14화</v>
      </c>
      <c r="D160" t="str">
        <f>T("14")</f>
        <v>14</v>
      </c>
      <c r="E160" t="str">
        <f>T("마북명")</f>
        <v>마북명</v>
      </c>
      <c r="G160" t="str">
        <f>T("kuri")</f>
        <v>kuri</v>
      </c>
      <c r="H160" t="str">
        <f t="shared" si="26"/>
        <v>스토리위즈</v>
      </c>
      <c r="I160" t="str">
        <f>T("악역이지만, 남주는 꼬시지 않아요")</f>
        <v>악역이지만, 남주는 꼬시지 않아요</v>
      </c>
      <c r="J160">
        <v>400</v>
      </c>
      <c r="K160">
        <v>800</v>
      </c>
      <c r="L160">
        <v>2</v>
      </c>
      <c r="M160">
        <v>0</v>
      </c>
      <c r="N160">
        <v>3400</v>
      </c>
      <c r="O160">
        <v>17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4200</v>
      </c>
      <c r="AH160">
        <v>19</v>
      </c>
      <c r="AI160">
        <v>0</v>
      </c>
      <c r="AJ160">
        <v>0</v>
      </c>
      <c r="AK160">
        <v>3800</v>
      </c>
      <c r="AL160">
        <v>0</v>
      </c>
      <c r="AM160">
        <v>480</v>
      </c>
      <c r="AN160">
        <v>-96</v>
      </c>
      <c r="AO160">
        <v>0</v>
      </c>
      <c r="AP160">
        <v>240</v>
      </c>
      <c r="AQ160">
        <v>-72</v>
      </c>
      <c r="AR160">
        <v>0</v>
      </c>
      <c r="AS160">
        <v>240</v>
      </c>
      <c r="AT160">
        <v>-24</v>
      </c>
      <c r="AU160">
        <v>0</v>
      </c>
      <c r="AW160">
        <v>0</v>
      </c>
      <c r="AX160">
        <v>0</v>
      </c>
      <c r="AY160">
        <v>2928.8</v>
      </c>
      <c r="BA160" t="str">
        <f t="shared" si="33"/>
        <v>0000000000000</v>
      </c>
      <c r="BC160" t="str">
        <f>T("9791137603882")</f>
        <v>9791137603882</v>
      </c>
      <c r="BE160" t="str">
        <f t="shared" si="34"/>
        <v>웹툰 &gt; 해외 순정</v>
      </c>
      <c r="BF160" t="str">
        <f>T("웹툰 &gt; 로판")</f>
        <v>웹툰 &gt; 로판</v>
      </c>
    </row>
    <row r="161" spans="1:58" x14ac:dyDescent="0.3">
      <c r="A161">
        <v>4421001305</v>
      </c>
      <c r="B161">
        <v>4421003087</v>
      </c>
      <c r="C161" t="str">
        <f>T("악역이지만, 남주는 꼬시지 않아요 48화")</f>
        <v>악역이지만, 남주는 꼬시지 않아요 48화</v>
      </c>
      <c r="D161" t="str">
        <f>T("48")</f>
        <v>48</v>
      </c>
      <c r="E161" t="str">
        <f>T("마북명")</f>
        <v>마북명</v>
      </c>
      <c r="G161" t="str">
        <f>T("kuri")</f>
        <v>kuri</v>
      </c>
      <c r="H161" t="str">
        <f t="shared" si="26"/>
        <v>스토리위즈</v>
      </c>
      <c r="I161" t="str">
        <f>T("악역이지만, 남주는 꼬시지 않아요")</f>
        <v>악역이지만, 남주는 꼬시지 않아요</v>
      </c>
      <c r="J161">
        <v>400</v>
      </c>
      <c r="K161">
        <v>800</v>
      </c>
      <c r="L161">
        <v>2</v>
      </c>
      <c r="M161">
        <v>0</v>
      </c>
      <c r="N161">
        <v>3600</v>
      </c>
      <c r="O161">
        <v>18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4400</v>
      </c>
      <c r="AH161">
        <v>20</v>
      </c>
      <c r="AI161">
        <v>0</v>
      </c>
      <c r="AJ161">
        <v>0</v>
      </c>
      <c r="AK161">
        <v>3600</v>
      </c>
      <c r="AL161">
        <v>0</v>
      </c>
      <c r="AM161">
        <v>960</v>
      </c>
      <c r="AN161">
        <v>-192</v>
      </c>
      <c r="AO161">
        <v>0</v>
      </c>
      <c r="AP161">
        <v>480</v>
      </c>
      <c r="AQ161">
        <v>-144</v>
      </c>
      <c r="AR161">
        <v>0</v>
      </c>
      <c r="AS161">
        <v>480</v>
      </c>
      <c r="AT161">
        <v>-48</v>
      </c>
      <c r="AU161">
        <v>0</v>
      </c>
      <c r="AW161">
        <v>0</v>
      </c>
      <c r="AX161">
        <v>0</v>
      </c>
      <c r="AY161">
        <v>3057.6</v>
      </c>
      <c r="BA161" t="str">
        <f t="shared" si="33"/>
        <v>0000000000000</v>
      </c>
      <c r="BC161" t="str">
        <f>T("9791137603882")</f>
        <v>9791137603882</v>
      </c>
      <c r="BE161" t="str">
        <f t="shared" si="34"/>
        <v>웹툰 &gt; 해외 순정</v>
      </c>
      <c r="BF161" t="str">
        <f>T("웹툰 &gt; 로판")</f>
        <v>웹툰 &gt; 로판</v>
      </c>
    </row>
    <row r="162" spans="1:58" x14ac:dyDescent="0.3">
      <c r="A162">
        <v>4421002829</v>
      </c>
      <c r="B162">
        <v>4421002997</v>
      </c>
      <c r="C162" t="str">
        <f>T("테두리는 주시하지 않는다 (개정판) 20화")</f>
        <v>테두리는 주시하지 않는다 (개정판) 20화</v>
      </c>
      <c r="D162" t="str">
        <f>T("20")</f>
        <v>20</v>
      </c>
      <c r="E162" t="str">
        <f>T("토찌, 키로즈")</f>
        <v>토찌, 키로즈</v>
      </c>
      <c r="G162" t="str">
        <f>T("마린")</f>
        <v>마린</v>
      </c>
      <c r="H162" t="str">
        <f t="shared" si="26"/>
        <v>스토리위즈</v>
      </c>
      <c r="I162" t="str">
        <f>T("테두리는 주시하지 않는다 (개정판)")</f>
        <v>테두리는 주시하지 않는다 (개정판)</v>
      </c>
      <c r="J162">
        <v>500</v>
      </c>
      <c r="K162">
        <v>500</v>
      </c>
      <c r="L162">
        <v>1</v>
      </c>
      <c r="M162">
        <v>0</v>
      </c>
      <c r="N162">
        <v>6300</v>
      </c>
      <c r="O162">
        <v>21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6800</v>
      </c>
      <c r="AH162">
        <v>22</v>
      </c>
      <c r="AI162">
        <v>0</v>
      </c>
      <c r="AJ162">
        <v>0</v>
      </c>
      <c r="AK162">
        <v>3000</v>
      </c>
      <c r="AL162">
        <v>0</v>
      </c>
      <c r="AM162">
        <v>4560</v>
      </c>
      <c r="AN162">
        <v>-864</v>
      </c>
      <c r="AO162">
        <v>0</v>
      </c>
      <c r="AP162">
        <v>1320</v>
      </c>
      <c r="AQ162">
        <v>-396</v>
      </c>
      <c r="AR162">
        <v>0</v>
      </c>
      <c r="AS162">
        <v>3240</v>
      </c>
      <c r="AT162">
        <v>-468</v>
      </c>
      <c r="AU162">
        <v>0</v>
      </c>
      <c r="AW162">
        <v>0</v>
      </c>
      <c r="AX162">
        <v>0</v>
      </c>
      <c r="AY162">
        <v>4687.2</v>
      </c>
      <c r="BA162" t="str">
        <f t="shared" si="33"/>
        <v>0000000000000</v>
      </c>
      <c r="BC162" t="str">
        <f>T("9791137604681")</f>
        <v>9791137604681</v>
      </c>
      <c r="BE162" t="str">
        <f>T("BL 웹툰 &gt; 웹툰")</f>
        <v>BL 웹툰 &gt; 웹툰</v>
      </c>
    </row>
    <row r="163" spans="1:58" x14ac:dyDescent="0.3">
      <c r="A163">
        <v>4421001936</v>
      </c>
      <c r="B163">
        <v>4421002755</v>
      </c>
      <c r="C163" t="str">
        <f>T("보스 오빠, 살살! 96화 (완결)")</f>
        <v>보스 오빠, 살살! 96화 (완결)</v>
      </c>
      <c r="D163" t="str">
        <f>T("96")</f>
        <v>96</v>
      </c>
      <c r="E163" t="str">
        <f t="shared" ref="E163:E169" si="35">T("웹티")</f>
        <v>웹티</v>
      </c>
      <c r="H163" t="str">
        <f t="shared" si="26"/>
        <v>스토리위즈</v>
      </c>
      <c r="I163" t="str">
        <f>T("보스 오빠, 살살!")</f>
        <v>보스 오빠, 살살!</v>
      </c>
      <c r="J163">
        <v>500</v>
      </c>
      <c r="K163">
        <v>500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500</v>
      </c>
      <c r="AH163">
        <v>1</v>
      </c>
      <c r="AI163">
        <v>0</v>
      </c>
      <c r="AJ163">
        <v>0</v>
      </c>
      <c r="AK163">
        <v>500</v>
      </c>
      <c r="AL163">
        <v>0</v>
      </c>
      <c r="AM163">
        <v>0</v>
      </c>
      <c r="AN163">
        <v>0</v>
      </c>
      <c r="AO163">
        <v>0</v>
      </c>
      <c r="AP163"/>
      <c r="AQ163">
        <v>0</v>
      </c>
      <c r="AR163">
        <v>0</v>
      </c>
      <c r="AT163">
        <v>0</v>
      </c>
      <c r="AU163">
        <v>0</v>
      </c>
      <c r="AW163">
        <v>0</v>
      </c>
      <c r="AX163">
        <v>0</v>
      </c>
      <c r="AY163">
        <v>350</v>
      </c>
      <c r="BC163" t="str">
        <f>T("9791190702331")</f>
        <v>9791190702331</v>
      </c>
      <c r="BE163" t="str">
        <f>T("웹툰 &gt; 로맨스")</f>
        <v>웹툰 &gt; 로맨스</v>
      </c>
    </row>
    <row r="164" spans="1:58" x14ac:dyDescent="0.3">
      <c r="A164">
        <v>4421002306</v>
      </c>
      <c r="B164">
        <v>4421002334</v>
      </c>
      <c r="C164" t="str">
        <f>T("지금은 여장중! 7화")</f>
        <v>지금은 여장중! 7화</v>
      </c>
      <c r="D164" t="str">
        <f>T("7")</f>
        <v>7</v>
      </c>
      <c r="E164" t="str">
        <f t="shared" si="35"/>
        <v>웹티</v>
      </c>
      <c r="H164" t="str">
        <f t="shared" si="26"/>
        <v>스토리위즈</v>
      </c>
      <c r="I164" t="str">
        <f>T("지금은 여장중!")</f>
        <v>지금은 여장중!</v>
      </c>
      <c r="J164">
        <v>500</v>
      </c>
      <c r="K164">
        <v>500</v>
      </c>
      <c r="L164">
        <v>1</v>
      </c>
      <c r="M164">
        <v>0</v>
      </c>
      <c r="N164">
        <v>200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700</v>
      </c>
      <c r="AH164">
        <v>2</v>
      </c>
      <c r="AI164">
        <v>0</v>
      </c>
      <c r="AJ164">
        <v>0</v>
      </c>
      <c r="AK164">
        <v>700</v>
      </c>
      <c r="AL164">
        <v>0</v>
      </c>
      <c r="AM164">
        <v>0</v>
      </c>
      <c r="AN164">
        <v>0</v>
      </c>
      <c r="AO164">
        <v>0</v>
      </c>
      <c r="AP164"/>
      <c r="AQ164">
        <v>0</v>
      </c>
      <c r="AR164">
        <v>0</v>
      </c>
      <c r="AT164">
        <v>0</v>
      </c>
      <c r="AU164">
        <v>0</v>
      </c>
      <c r="AW164">
        <v>0</v>
      </c>
      <c r="AX164">
        <v>0</v>
      </c>
      <c r="AY164">
        <v>490</v>
      </c>
      <c r="BA164" t="str">
        <f>T("0000000000000")</f>
        <v>0000000000000</v>
      </c>
      <c r="BC164" t="str">
        <f>T("9791196608354")</f>
        <v>9791196608354</v>
      </c>
      <c r="BE164" t="str">
        <f>T("웹툰 &gt; 로맨스")</f>
        <v>웹툰 &gt; 로맨스</v>
      </c>
    </row>
    <row r="165" spans="1:58" x14ac:dyDescent="0.3">
      <c r="A165">
        <v>4421002022</v>
      </c>
      <c r="B165">
        <v>4421002042</v>
      </c>
      <c r="C165" t="str">
        <f>T("대표님과 연애를 시작했습니다 21화")</f>
        <v>대표님과 연애를 시작했습니다 21화</v>
      </c>
      <c r="D165" t="str">
        <f>T("21")</f>
        <v>21</v>
      </c>
      <c r="E165" t="str">
        <f t="shared" si="35"/>
        <v>웹티</v>
      </c>
      <c r="H165" t="str">
        <f t="shared" si="26"/>
        <v>스토리위즈</v>
      </c>
      <c r="I165" t="str">
        <f>T("대표님과 연애를 시작했습니다")</f>
        <v>대표님과 연애를 시작했습니다</v>
      </c>
      <c r="J165">
        <v>500</v>
      </c>
      <c r="K165">
        <v>500</v>
      </c>
      <c r="L165">
        <v>1</v>
      </c>
      <c r="M165">
        <v>0</v>
      </c>
      <c r="N165">
        <v>600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-500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1100</v>
      </c>
      <c r="AH165">
        <v>4</v>
      </c>
      <c r="AI165">
        <v>-500</v>
      </c>
      <c r="AJ165">
        <v>1</v>
      </c>
      <c r="AK165">
        <v>1100</v>
      </c>
      <c r="AL165">
        <v>-500</v>
      </c>
      <c r="AM165">
        <v>0</v>
      </c>
      <c r="AN165">
        <v>0</v>
      </c>
      <c r="AO165">
        <v>0</v>
      </c>
      <c r="AP165"/>
      <c r="AQ165">
        <v>0</v>
      </c>
      <c r="AR165">
        <v>0</v>
      </c>
      <c r="AT165">
        <v>0</v>
      </c>
      <c r="AU165">
        <v>0</v>
      </c>
      <c r="AW165">
        <v>0</v>
      </c>
      <c r="AX165">
        <v>0</v>
      </c>
      <c r="AY165">
        <v>420</v>
      </c>
      <c r="BA165" t="str">
        <f>T("0000000000000")</f>
        <v>0000000000000</v>
      </c>
      <c r="BC165" t="str">
        <f>T("9791196660482")</f>
        <v>9791196660482</v>
      </c>
      <c r="BE165" t="str">
        <f>T("BL 웹툰 &gt; 웹툰")</f>
        <v>BL 웹툰 &gt; 웹툰</v>
      </c>
    </row>
    <row r="166" spans="1:58" x14ac:dyDescent="0.3">
      <c r="A166">
        <v>4421001936</v>
      </c>
      <c r="B166">
        <v>4421002754</v>
      </c>
      <c r="C166" t="str">
        <f>T("보스 오빠, 살살! 95화")</f>
        <v>보스 오빠, 살살! 95화</v>
      </c>
      <c r="D166" t="str">
        <f>T("95")</f>
        <v>95</v>
      </c>
      <c r="E166" t="str">
        <f t="shared" si="35"/>
        <v>웹티</v>
      </c>
      <c r="H166" t="str">
        <f t="shared" si="26"/>
        <v>스토리위즈</v>
      </c>
      <c r="I166" t="str">
        <f>T("보스 오빠, 살살!")</f>
        <v>보스 오빠, 살살!</v>
      </c>
      <c r="J166">
        <v>500</v>
      </c>
      <c r="K166">
        <v>500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500</v>
      </c>
      <c r="AH166">
        <v>1</v>
      </c>
      <c r="AI166">
        <v>0</v>
      </c>
      <c r="AJ166">
        <v>0</v>
      </c>
      <c r="AK166">
        <v>500</v>
      </c>
      <c r="AL166">
        <v>0</v>
      </c>
      <c r="AM166">
        <v>0</v>
      </c>
      <c r="AN166">
        <v>0</v>
      </c>
      <c r="AO166">
        <v>0</v>
      </c>
      <c r="AP166"/>
      <c r="AQ166">
        <v>0</v>
      </c>
      <c r="AR166">
        <v>0</v>
      </c>
      <c r="AT166">
        <v>0</v>
      </c>
      <c r="AU166">
        <v>0</v>
      </c>
      <c r="AW166">
        <v>0</v>
      </c>
      <c r="AX166">
        <v>0</v>
      </c>
      <c r="AY166">
        <v>350</v>
      </c>
      <c r="BC166" t="str">
        <f>T("9791190702331")</f>
        <v>9791190702331</v>
      </c>
      <c r="BE166" t="str">
        <f>T("웹툰 &gt; 로맨스")</f>
        <v>웹툰 &gt; 로맨스</v>
      </c>
    </row>
    <row r="167" spans="1:58" x14ac:dyDescent="0.3">
      <c r="A167">
        <v>4421002306</v>
      </c>
      <c r="B167">
        <v>4421002332</v>
      </c>
      <c r="C167" t="str">
        <f>T("지금은 여장중! 6화")</f>
        <v>지금은 여장중! 6화</v>
      </c>
      <c r="D167" t="str">
        <f>T("6")</f>
        <v>6</v>
      </c>
      <c r="E167" t="str">
        <f t="shared" si="35"/>
        <v>웹티</v>
      </c>
      <c r="H167" t="str">
        <f t="shared" si="26"/>
        <v>스토리위즈</v>
      </c>
      <c r="I167" t="str">
        <f>T("지금은 여장중!")</f>
        <v>지금은 여장중!</v>
      </c>
      <c r="J167">
        <v>500</v>
      </c>
      <c r="K167">
        <v>500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500</v>
      </c>
      <c r="AH167">
        <v>1</v>
      </c>
      <c r="AI167">
        <v>0</v>
      </c>
      <c r="AJ167">
        <v>0</v>
      </c>
      <c r="AK167">
        <v>500</v>
      </c>
      <c r="AL167">
        <v>0</v>
      </c>
      <c r="AM167">
        <v>0</v>
      </c>
      <c r="AN167">
        <v>0</v>
      </c>
      <c r="AO167">
        <v>0</v>
      </c>
      <c r="AP167"/>
      <c r="AQ167">
        <v>0</v>
      </c>
      <c r="AR167">
        <v>0</v>
      </c>
      <c r="AT167">
        <v>0</v>
      </c>
      <c r="AU167">
        <v>0</v>
      </c>
      <c r="AW167">
        <v>0</v>
      </c>
      <c r="AX167">
        <v>0</v>
      </c>
      <c r="AY167">
        <v>350</v>
      </c>
      <c r="BA167" t="str">
        <f>T("0000000000000")</f>
        <v>0000000000000</v>
      </c>
      <c r="BC167" t="str">
        <f>T("9791196608354")</f>
        <v>9791196608354</v>
      </c>
      <c r="BE167" t="str">
        <f>T("웹툰 &gt; 로맨스")</f>
        <v>웹툰 &gt; 로맨스</v>
      </c>
    </row>
    <row r="168" spans="1:58" x14ac:dyDescent="0.3">
      <c r="A168">
        <v>4421002022</v>
      </c>
      <c r="B168">
        <v>4421002025</v>
      </c>
      <c r="C168" t="str">
        <f>T("대표님과 연애를 시작했습니다 4화")</f>
        <v>대표님과 연애를 시작했습니다 4화</v>
      </c>
      <c r="D168" t="str">
        <f>T("4")</f>
        <v>4</v>
      </c>
      <c r="E168" t="str">
        <f t="shared" si="35"/>
        <v>웹티</v>
      </c>
      <c r="H168" t="str">
        <f t="shared" si="26"/>
        <v>스토리위즈</v>
      </c>
      <c r="I168" t="str">
        <f>T("대표님과 연애를 시작했습니다")</f>
        <v>대표님과 연애를 시작했습니다</v>
      </c>
      <c r="J168">
        <v>500</v>
      </c>
      <c r="K168">
        <v>500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500</v>
      </c>
      <c r="AH168">
        <v>1</v>
      </c>
      <c r="AI168">
        <v>0</v>
      </c>
      <c r="AJ168">
        <v>0</v>
      </c>
      <c r="AK168">
        <v>500</v>
      </c>
      <c r="AL168">
        <v>0</v>
      </c>
      <c r="AM168">
        <v>0</v>
      </c>
      <c r="AN168">
        <v>0</v>
      </c>
      <c r="AO168">
        <v>0</v>
      </c>
      <c r="AP168"/>
      <c r="AQ168">
        <v>0</v>
      </c>
      <c r="AR168">
        <v>0</v>
      </c>
      <c r="AT168">
        <v>0</v>
      </c>
      <c r="AU168">
        <v>0</v>
      </c>
      <c r="AW168">
        <v>0</v>
      </c>
      <c r="AX168">
        <v>0</v>
      </c>
      <c r="AY168">
        <v>350</v>
      </c>
      <c r="BA168" t="str">
        <f>T("0000000000000")</f>
        <v>0000000000000</v>
      </c>
      <c r="BC168" t="str">
        <f>T("9791196660482")</f>
        <v>9791196660482</v>
      </c>
      <c r="BE168" t="str">
        <f>T("BL 웹툰 &gt; 웹툰")</f>
        <v>BL 웹툰 &gt; 웹툰</v>
      </c>
    </row>
    <row r="169" spans="1:58" x14ac:dyDescent="0.3">
      <c r="A169">
        <v>4421002079</v>
      </c>
      <c r="B169">
        <v>4421002103</v>
      </c>
      <c r="C169" t="str">
        <f>T("황제의 사랑방식 25화")</f>
        <v>황제의 사랑방식 25화</v>
      </c>
      <c r="D169" t="str">
        <f>T("25")</f>
        <v>25</v>
      </c>
      <c r="E169" t="str">
        <f t="shared" si="35"/>
        <v>웹티</v>
      </c>
      <c r="H169" t="str">
        <f t="shared" si="26"/>
        <v>스토리위즈</v>
      </c>
      <c r="I169" t="str">
        <f>T("황제의 사랑방식")</f>
        <v>황제의 사랑방식</v>
      </c>
      <c r="J169">
        <v>500</v>
      </c>
      <c r="K169">
        <v>500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500</v>
      </c>
      <c r="AH169">
        <v>1</v>
      </c>
      <c r="AI169">
        <v>0</v>
      </c>
      <c r="AJ169">
        <v>0</v>
      </c>
      <c r="AK169">
        <v>500</v>
      </c>
      <c r="AL169">
        <v>0</v>
      </c>
      <c r="AM169">
        <v>0</v>
      </c>
      <c r="AN169">
        <v>0</v>
      </c>
      <c r="AO169">
        <v>0</v>
      </c>
      <c r="AP169"/>
      <c r="AQ169">
        <v>0</v>
      </c>
      <c r="AR169">
        <v>0</v>
      </c>
      <c r="AT169">
        <v>0</v>
      </c>
      <c r="AU169">
        <v>0</v>
      </c>
      <c r="AW169">
        <v>0</v>
      </c>
      <c r="AX169">
        <v>0</v>
      </c>
      <c r="AY169">
        <v>350</v>
      </c>
      <c r="BA169" t="str">
        <f>T("0000000000000")</f>
        <v>0000000000000</v>
      </c>
      <c r="BC169" t="str">
        <f>T("9791196650131")</f>
        <v>9791196650131</v>
      </c>
      <c r="BE169" t="str">
        <f>T("BL 웹툰 &gt; 웹툰")</f>
        <v>BL 웹툰 &gt; 웹툰</v>
      </c>
    </row>
    <row r="170" spans="1:58" x14ac:dyDescent="0.3">
      <c r="A170">
        <v>4421000001</v>
      </c>
      <c r="B170">
        <v>4421000022</v>
      </c>
      <c r="C170" t="str">
        <f>T("감옥실험 12화")</f>
        <v>감옥실험 12화</v>
      </c>
      <c r="D170" t="str">
        <f>T("12")</f>
        <v>12</v>
      </c>
      <c r="E170" t="str">
        <f>T("Kantetsu")</f>
        <v>Kantetsu</v>
      </c>
      <c r="G170" t="str">
        <f>T("Minase Chiho")</f>
        <v>Minase Chiho</v>
      </c>
      <c r="H170" t="str">
        <f t="shared" si="26"/>
        <v>스토리위즈</v>
      </c>
      <c r="I170" t="str">
        <f>T("감옥실험")</f>
        <v>감옥실험</v>
      </c>
      <c r="J170">
        <v>500</v>
      </c>
      <c r="K170">
        <v>500</v>
      </c>
      <c r="L170">
        <v>1</v>
      </c>
      <c r="M170">
        <v>0</v>
      </c>
      <c r="N170">
        <v>1500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2000</v>
      </c>
      <c r="AH170">
        <v>6</v>
      </c>
      <c r="AI170">
        <v>0</v>
      </c>
      <c r="AJ170">
        <v>0</v>
      </c>
      <c r="AK170">
        <v>900</v>
      </c>
      <c r="AL170">
        <v>0</v>
      </c>
      <c r="AM170">
        <v>1320</v>
      </c>
      <c r="AN170">
        <v>-324</v>
      </c>
      <c r="AO170">
        <v>0</v>
      </c>
      <c r="AP170">
        <v>360</v>
      </c>
      <c r="AQ170">
        <v>-108</v>
      </c>
      <c r="AR170">
        <v>0</v>
      </c>
      <c r="AS170">
        <v>960</v>
      </c>
      <c r="AT170">
        <v>-216</v>
      </c>
      <c r="AU170">
        <v>0</v>
      </c>
      <c r="AW170">
        <v>0</v>
      </c>
      <c r="AX170">
        <v>0</v>
      </c>
      <c r="AY170">
        <v>1327.2</v>
      </c>
      <c r="BC170" t="str">
        <f>T("9791166069406")</f>
        <v>9791166069406</v>
      </c>
      <c r="BE170" t="str">
        <f>T("웹툰 &gt; 드라마")</f>
        <v>웹툰 &gt; 드라마</v>
      </c>
    </row>
    <row r="171" spans="1:58" x14ac:dyDescent="0.3">
      <c r="A171">
        <v>4421001634</v>
      </c>
      <c r="B171">
        <v>4421001645</v>
      </c>
      <c r="C171" t="str">
        <f>T("그남자의 사랑방식 12화")</f>
        <v>그남자의 사랑방식 12화</v>
      </c>
      <c r="D171" t="str">
        <f>T("12")</f>
        <v>12</v>
      </c>
      <c r="E171" t="str">
        <f>T("웹티")</f>
        <v>웹티</v>
      </c>
      <c r="H171" t="str">
        <f t="shared" si="26"/>
        <v>스토리위즈</v>
      </c>
      <c r="I171" t="str">
        <f>T("그남자의 사랑방식")</f>
        <v>그남자의 사랑방식</v>
      </c>
      <c r="J171">
        <v>500</v>
      </c>
      <c r="K171">
        <v>500</v>
      </c>
      <c r="L171">
        <v>1</v>
      </c>
      <c r="M171">
        <v>0</v>
      </c>
      <c r="N171">
        <v>600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1100</v>
      </c>
      <c r="AH171">
        <v>4</v>
      </c>
      <c r="AI171">
        <v>0</v>
      </c>
      <c r="AJ171">
        <v>0</v>
      </c>
      <c r="AK171">
        <v>700</v>
      </c>
      <c r="AL171">
        <v>0</v>
      </c>
      <c r="AM171">
        <v>480</v>
      </c>
      <c r="AN171">
        <v>-48</v>
      </c>
      <c r="AO171">
        <v>0</v>
      </c>
      <c r="AP171"/>
      <c r="AQ171">
        <v>0</v>
      </c>
      <c r="AR171">
        <v>0</v>
      </c>
      <c r="AS171">
        <v>480</v>
      </c>
      <c r="AT171">
        <v>-48</v>
      </c>
      <c r="AU171">
        <v>0</v>
      </c>
      <c r="AW171">
        <v>0</v>
      </c>
      <c r="AX171">
        <v>0</v>
      </c>
      <c r="AY171">
        <v>792.4</v>
      </c>
      <c r="BC171" t="str">
        <f>T("9791190622004")</f>
        <v>9791190622004</v>
      </c>
      <c r="BE171" t="str">
        <f>T("BL 웹툰 &gt; 웹툰")</f>
        <v>BL 웹툰 &gt; 웹툰</v>
      </c>
    </row>
    <row r="172" spans="1:58" x14ac:dyDescent="0.3">
      <c r="A172">
        <v>4421001568</v>
      </c>
      <c r="B172">
        <v>4421001576</v>
      </c>
      <c r="C172" t="str">
        <f>T("구름의 연인 9화")</f>
        <v>구름의 연인 9화</v>
      </c>
      <c r="D172" t="str">
        <f>T("9")</f>
        <v>9</v>
      </c>
      <c r="E172" t="str">
        <f>T("웹티")</f>
        <v>웹티</v>
      </c>
      <c r="H172" t="str">
        <f t="shared" si="26"/>
        <v>스토리위즈</v>
      </c>
      <c r="I172" t="str">
        <f>T("구름의 연인")</f>
        <v>구름의 연인</v>
      </c>
      <c r="J172">
        <v>500</v>
      </c>
      <c r="K172">
        <v>500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500</v>
      </c>
      <c r="AH172">
        <v>1</v>
      </c>
      <c r="AI172">
        <v>0</v>
      </c>
      <c r="AJ172">
        <v>0</v>
      </c>
      <c r="AK172">
        <v>500</v>
      </c>
      <c r="AL172">
        <v>0</v>
      </c>
      <c r="AM172">
        <v>0</v>
      </c>
      <c r="AN172">
        <v>0</v>
      </c>
      <c r="AO172">
        <v>0</v>
      </c>
      <c r="AP172"/>
      <c r="AQ172">
        <v>0</v>
      </c>
      <c r="AR172">
        <v>0</v>
      </c>
      <c r="AT172">
        <v>0</v>
      </c>
      <c r="AU172">
        <v>0</v>
      </c>
      <c r="AW172">
        <v>0</v>
      </c>
      <c r="AX172">
        <v>0</v>
      </c>
      <c r="AY172">
        <v>350</v>
      </c>
      <c r="BA172" t="str">
        <f t="shared" ref="BA172:BA220" si="36">T("0000000000000")</f>
        <v>0000000000000</v>
      </c>
      <c r="BC172" t="str">
        <f>T("9791196402730")</f>
        <v>9791196402730</v>
      </c>
      <c r="BE172" t="str">
        <f>T("웹툰 &gt; 로맨스")</f>
        <v>웹툰 &gt; 로맨스</v>
      </c>
    </row>
    <row r="173" spans="1:58" x14ac:dyDescent="0.3">
      <c r="A173">
        <v>4421002306</v>
      </c>
      <c r="B173">
        <v>4421002338</v>
      </c>
      <c r="C173" t="str">
        <f>T("지금은 여장중! 9화")</f>
        <v>지금은 여장중! 9화</v>
      </c>
      <c r="D173" t="str">
        <f>T("9")</f>
        <v>9</v>
      </c>
      <c r="E173" t="str">
        <f>T("웹티")</f>
        <v>웹티</v>
      </c>
      <c r="H173" t="str">
        <f t="shared" si="26"/>
        <v>스토리위즈</v>
      </c>
      <c r="I173" t="str">
        <f>T("지금은 여장중!")</f>
        <v>지금은 여장중!</v>
      </c>
      <c r="J173">
        <v>500</v>
      </c>
      <c r="K173">
        <v>500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500</v>
      </c>
      <c r="AH173">
        <v>1</v>
      </c>
      <c r="AI173">
        <v>0</v>
      </c>
      <c r="AJ173">
        <v>0</v>
      </c>
      <c r="AK173">
        <v>500</v>
      </c>
      <c r="AL173">
        <v>0</v>
      </c>
      <c r="AM173">
        <v>0</v>
      </c>
      <c r="AN173">
        <v>0</v>
      </c>
      <c r="AO173">
        <v>0</v>
      </c>
      <c r="AP173"/>
      <c r="AQ173">
        <v>0</v>
      </c>
      <c r="AR173">
        <v>0</v>
      </c>
      <c r="AT173">
        <v>0</v>
      </c>
      <c r="AU173">
        <v>0</v>
      </c>
      <c r="AW173">
        <v>0</v>
      </c>
      <c r="AX173">
        <v>0</v>
      </c>
      <c r="AY173">
        <v>350</v>
      </c>
      <c r="BA173" t="str">
        <f t="shared" si="36"/>
        <v>0000000000000</v>
      </c>
      <c r="BC173" t="str">
        <f>T("9791196608354")</f>
        <v>9791196608354</v>
      </c>
      <c r="BE173" t="str">
        <f>T("웹툰 &gt; 로맨스")</f>
        <v>웹툰 &gt; 로맨스</v>
      </c>
    </row>
    <row r="174" spans="1:58" x14ac:dyDescent="0.3">
      <c r="A174">
        <v>4421002306</v>
      </c>
      <c r="B174">
        <v>4421002336</v>
      </c>
      <c r="C174" t="str">
        <f>T("지금은 여장중! 8화")</f>
        <v>지금은 여장중! 8화</v>
      </c>
      <c r="D174" t="str">
        <f>T("8")</f>
        <v>8</v>
      </c>
      <c r="E174" t="str">
        <f>T("웹티")</f>
        <v>웹티</v>
      </c>
      <c r="H174" t="str">
        <f t="shared" si="26"/>
        <v>스토리위즈</v>
      </c>
      <c r="I174" t="str">
        <f>T("지금은 여장중!")</f>
        <v>지금은 여장중!</v>
      </c>
      <c r="J174">
        <v>500</v>
      </c>
      <c r="K174">
        <v>500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500</v>
      </c>
      <c r="AH174">
        <v>1</v>
      </c>
      <c r="AI174">
        <v>0</v>
      </c>
      <c r="AJ174">
        <v>0</v>
      </c>
      <c r="AK174">
        <v>500</v>
      </c>
      <c r="AL174">
        <v>0</v>
      </c>
      <c r="AM174">
        <v>0</v>
      </c>
      <c r="AN174">
        <v>0</v>
      </c>
      <c r="AO174">
        <v>0</v>
      </c>
      <c r="AP174"/>
      <c r="AQ174">
        <v>0</v>
      </c>
      <c r="AR174">
        <v>0</v>
      </c>
      <c r="AT174">
        <v>0</v>
      </c>
      <c r="AU174">
        <v>0</v>
      </c>
      <c r="AW174">
        <v>0</v>
      </c>
      <c r="AX174">
        <v>0</v>
      </c>
      <c r="AY174">
        <v>350</v>
      </c>
      <c r="BA174" t="str">
        <f t="shared" si="36"/>
        <v>0000000000000</v>
      </c>
      <c r="BC174" t="str">
        <f>T("9791196608354")</f>
        <v>9791196608354</v>
      </c>
      <c r="BE174" t="str">
        <f>T("웹툰 &gt; 로맨스")</f>
        <v>웹툰 &gt; 로맨스</v>
      </c>
    </row>
    <row r="175" spans="1:58" x14ac:dyDescent="0.3">
      <c r="A175">
        <v>4421001305</v>
      </c>
      <c r="B175">
        <v>4421002981</v>
      </c>
      <c r="C175" t="str">
        <f>T("악역이지만, 남주는 꼬시지 않아요 37화")</f>
        <v>악역이지만, 남주는 꼬시지 않아요 37화</v>
      </c>
      <c r="D175" t="str">
        <f>T("37")</f>
        <v>37</v>
      </c>
      <c r="E175" t="str">
        <f>T("마북명")</f>
        <v>마북명</v>
      </c>
      <c r="G175" t="str">
        <f>T("kuri")</f>
        <v>kuri</v>
      </c>
      <c r="H175" t="str">
        <f t="shared" si="26"/>
        <v>스토리위즈</v>
      </c>
      <c r="I175" t="str">
        <f>T("악역이지만, 남주는 꼬시지 않아요")</f>
        <v>악역이지만, 남주는 꼬시지 않아요</v>
      </c>
      <c r="J175">
        <v>400</v>
      </c>
      <c r="K175">
        <v>400</v>
      </c>
      <c r="L175">
        <v>1</v>
      </c>
      <c r="M175">
        <v>0</v>
      </c>
      <c r="N175">
        <v>2000</v>
      </c>
      <c r="O175">
        <v>10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2400</v>
      </c>
      <c r="AH175">
        <v>11</v>
      </c>
      <c r="AI175">
        <v>0</v>
      </c>
      <c r="AJ175">
        <v>0</v>
      </c>
      <c r="AK175">
        <v>2200</v>
      </c>
      <c r="AL175">
        <v>0</v>
      </c>
      <c r="AM175">
        <v>240</v>
      </c>
      <c r="AN175">
        <v>-72</v>
      </c>
      <c r="AO175">
        <v>0</v>
      </c>
      <c r="AP175">
        <v>240</v>
      </c>
      <c r="AQ175">
        <v>-72</v>
      </c>
      <c r="AR175">
        <v>0</v>
      </c>
      <c r="AT175">
        <v>0</v>
      </c>
      <c r="AU175">
        <v>0</v>
      </c>
      <c r="AW175">
        <v>0</v>
      </c>
      <c r="AX175">
        <v>0</v>
      </c>
      <c r="AY175">
        <v>1657.6</v>
      </c>
      <c r="BA175" t="str">
        <f t="shared" si="36"/>
        <v>0000000000000</v>
      </c>
      <c r="BC175" t="str">
        <f>T("9791137603882")</f>
        <v>9791137603882</v>
      </c>
      <c r="BE175" t="str">
        <f t="shared" ref="BE175:BE218" si="37">T("웹툰 &gt; 해외 순정")</f>
        <v>웹툰 &gt; 해외 순정</v>
      </c>
      <c r="BF175" t="str">
        <f>T("웹툰 &gt; 로판")</f>
        <v>웹툰 &gt; 로판</v>
      </c>
    </row>
    <row r="176" spans="1:58" x14ac:dyDescent="0.3">
      <c r="A176">
        <v>4421000866</v>
      </c>
      <c r="B176">
        <v>4421003086</v>
      </c>
      <c r="C176" t="str">
        <f>T("최애에게 들켜버렸다 102화")</f>
        <v>최애에게 들켜버렸다 102화</v>
      </c>
      <c r="D176" t="str">
        <f>T("105")</f>
        <v>105</v>
      </c>
      <c r="E176" t="str">
        <f>T("Lv")</f>
        <v>Lv</v>
      </c>
      <c r="G176" t="str">
        <f>T("Lv")</f>
        <v>Lv</v>
      </c>
      <c r="H176" t="str">
        <f t="shared" si="26"/>
        <v>스토리위즈</v>
      </c>
      <c r="I176" t="str">
        <f>T("최애에게 들켜버렸다")</f>
        <v>최애에게 들켜버렸다</v>
      </c>
      <c r="J176">
        <v>400</v>
      </c>
      <c r="K176">
        <v>400</v>
      </c>
      <c r="L176">
        <v>1</v>
      </c>
      <c r="M176">
        <v>0</v>
      </c>
      <c r="N176">
        <v>800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1200</v>
      </c>
      <c r="AH176">
        <v>5</v>
      </c>
      <c r="AI176">
        <v>0</v>
      </c>
      <c r="AJ176">
        <v>0</v>
      </c>
      <c r="AK176">
        <v>200</v>
      </c>
      <c r="AL176">
        <v>0</v>
      </c>
      <c r="AM176">
        <v>1200</v>
      </c>
      <c r="AN176">
        <v>-264</v>
      </c>
      <c r="AO176">
        <v>0</v>
      </c>
      <c r="AP176">
        <v>240</v>
      </c>
      <c r="AQ176">
        <v>-72</v>
      </c>
      <c r="AR176">
        <v>0</v>
      </c>
      <c r="AS176">
        <v>960</v>
      </c>
      <c r="AT176">
        <v>-192</v>
      </c>
      <c r="AU176">
        <v>0</v>
      </c>
      <c r="AW176">
        <v>0</v>
      </c>
      <c r="AX176">
        <v>0</v>
      </c>
      <c r="AY176">
        <v>795.2</v>
      </c>
      <c r="BA176" t="str">
        <f t="shared" si="36"/>
        <v>0000000000000</v>
      </c>
      <c r="BC176" t="str">
        <f>T("9791137601253")</f>
        <v>9791137601253</v>
      </c>
      <c r="BE176" t="str">
        <f t="shared" si="37"/>
        <v>웹툰 &gt; 해외 순정</v>
      </c>
      <c r="BF176" t="str">
        <f>T("웹툰 &gt; 로맨스")</f>
        <v>웹툰 &gt; 로맨스</v>
      </c>
    </row>
    <row r="177" spans="1:58" x14ac:dyDescent="0.3">
      <c r="A177">
        <v>4421001305</v>
      </c>
      <c r="B177">
        <v>4421001473</v>
      </c>
      <c r="C177" t="str">
        <f>T("악역이지만, 남주는 꼬시지 않아요 23화")</f>
        <v>악역이지만, 남주는 꼬시지 않아요 23화</v>
      </c>
      <c r="D177" t="str">
        <f>T("23")</f>
        <v>23</v>
      </c>
      <c r="E177" t="str">
        <f>T("마북명")</f>
        <v>마북명</v>
      </c>
      <c r="G177" t="str">
        <f>T("kuri")</f>
        <v>kuri</v>
      </c>
      <c r="H177" t="str">
        <f t="shared" si="26"/>
        <v>스토리위즈</v>
      </c>
      <c r="I177" t="str">
        <f>T("악역이지만, 남주는 꼬시지 않아요")</f>
        <v>악역이지만, 남주는 꼬시지 않아요</v>
      </c>
      <c r="J177">
        <v>400</v>
      </c>
      <c r="K177">
        <v>400</v>
      </c>
      <c r="L177">
        <v>1</v>
      </c>
      <c r="M177">
        <v>0</v>
      </c>
      <c r="N177">
        <v>2800</v>
      </c>
      <c r="O177">
        <v>14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3200</v>
      </c>
      <c r="AH177">
        <v>15</v>
      </c>
      <c r="AI177">
        <v>0</v>
      </c>
      <c r="AJ177">
        <v>0</v>
      </c>
      <c r="AK177">
        <v>3000</v>
      </c>
      <c r="AL177">
        <v>0</v>
      </c>
      <c r="AM177">
        <v>240</v>
      </c>
      <c r="AN177">
        <v>-72</v>
      </c>
      <c r="AO177">
        <v>0</v>
      </c>
      <c r="AP177">
        <v>240</v>
      </c>
      <c r="AQ177">
        <v>-72</v>
      </c>
      <c r="AR177">
        <v>0</v>
      </c>
      <c r="AT177">
        <v>0</v>
      </c>
      <c r="AU177">
        <v>0</v>
      </c>
      <c r="AW177">
        <v>0</v>
      </c>
      <c r="AX177">
        <v>0</v>
      </c>
      <c r="AY177">
        <v>2217.6</v>
      </c>
      <c r="BA177" t="str">
        <f t="shared" si="36"/>
        <v>0000000000000</v>
      </c>
      <c r="BC177" t="str">
        <f>T("9791137603882")</f>
        <v>9791137603882</v>
      </c>
      <c r="BE177" t="str">
        <f t="shared" si="37"/>
        <v>웹툰 &gt; 해외 순정</v>
      </c>
      <c r="BF177" t="str">
        <f>T("웹툰 &gt; 로판")</f>
        <v>웹툰 &gt; 로판</v>
      </c>
    </row>
    <row r="178" spans="1:58" x14ac:dyDescent="0.3">
      <c r="A178">
        <v>4421000887</v>
      </c>
      <c r="B178">
        <v>4421000983</v>
      </c>
      <c r="C178" t="str">
        <f>T("폭군의 눈물 31화")</f>
        <v>폭군의 눈물 31화</v>
      </c>
      <c r="D178" t="str">
        <f>T("31")</f>
        <v>31</v>
      </c>
      <c r="E178" t="str">
        <f>T("Ice×FANFAN COMIC")</f>
        <v>Ice×FANFAN COMIC</v>
      </c>
      <c r="G178" t="str">
        <f>T("Ice×FANFAN COMIC")</f>
        <v>Ice×FANFAN COMIC</v>
      </c>
      <c r="H178" t="str">
        <f t="shared" si="26"/>
        <v>스토리위즈</v>
      </c>
      <c r="I178" t="str">
        <f>T("폭군의 눈물")</f>
        <v>폭군의 눈물</v>
      </c>
      <c r="J178">
        <v>400</v>
      </c>
      <c r="K178">
        <v>400</v>
      </c>
      <c r="L178">
        <v>1</v>
      </c>
      <c r="M178">
        <v>0</v>
      </c>
      <c r="N178">
        <v>200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600</v>
      </c>
      <c r="AH178">
        <v>2</v>
      </c>
      <c r="AI178">
        <v>0</v>
      </c>
      <c r="AJ178">
        <v>0</v>
      </c>
      <c r="AK178">
        <v>400</v>
      </c>
      <c r="AL178">
        <v>0</v>
      </c>
      <c r="AM178">
        <v>240</v>
      </c>
      <c r="AN178">
        <v>-24</v>
      </c>
      <c r="AO178">
        <v>0</v>
      </c>
      <c r="AP178"/>
      <c r="AQ178">
        <v>0</v>
      </c>
      <c r="AR178">
        <v>0</v>
      </c>
      <c r="AS178">
        <v>240</v>
      </c>
      <c r="AT178">
        <v>-24</v>
      </c>
      <c r="AU178">
        <v>0</v>
      </c>
      <c r="AW178">
        <v>0</v>
      </c>
      <c r="AX178">
        <v>0</v>
      </c>
      <c r="AY178">
        <v>431.2</v>
      </c>
      <c r="BA178" t="str">
        <f t="shared" si="36"/>
        <v>0000000000000</v>
      </c>
      <c r="BC178" t="str">
        <f>T("9791137601291")</f>
        <v>9791137601291</v>
      </c>
      <c r="BE178" t="str">
        <f t="shared" si="37"/>
        <v>웹툰 &gt; 해외 순정</v>
      </c>
      <c r="BF178" t="str">
        <f>T("웹툰 &gt; 로판")</f>
        <v>웹툰 &gt; 로판</v>
      </c>
    </row>
    <row r="179" spans="1:58" x14ac:dyDescent="0.3">
      <c r="A179">
        <v>4421000887</v>
      </c>
      <c r="B179">
        <v>4421001259</v>
      </c>
      <c r="C179" t="str">
        <f>T("폭군의 눈물 48화")</f>
        <v>폭군의 눈물 48화</v>
      </c>
      <c r="D179" t="str">
        <f>T("48")</f>
        <v>48</v>
      </c>
      <c r="E179" t="str">
        <f>T("Ice×FANFAN COMIC")</f>
        <v>Ice×FANFAN COMIC</v>
      </c>
      <c r="G179" t="str">
        <f>T("Ice×FANFAN COMIC")</f>
        <v>Ice×FANFAN COMIC</v>
      </c>
      <c r="H179" t="str">
        <f t="shared" si="26"/>
        <v>스토리위즈</v>
      </c>
      <c r="I179" t="str">
        <f>T("폭군의 눈물")</f>
        <v>폭군의 눈물</v>
      </c>
      <c r="J179">
        <v>400</v>
      </c>
      <c r="K179">
        <v>400</v>
      </c>
      <c r="L179">
        <v>1</v>
      </c>
      <c r="M179">
        <v>0</v>
      </c>
      <c r="N179">
        <v>200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600</v>
      </c>
      <c r="AH179">
        <v>2</v>
      </c>
      <c r="AI179">
        <v>0</v>
      </c>
      <c r="AJ179">
        <v>0</v>
      </c>
      <c r="AK179">
        <v>600</v>
      </c>
      <c r="AL179">
        <v>0</v>
      </c>
      <c r="AM179">
        <v>0</v>
      </c>
      <c r="AN179">
        <v>0</v>
      </c>
      <c r="AO179">
        <v>0</v>
      </c>
      <c r="AP179"/>
      <c r="AQ179">
        <v>0</v>
      </c>
      <c r="AR179">
        <v>0</v>
      </c>
      <c r="AT179">
        <v>0</v>
      </c>
      <c r="AU179">
        <v>0</v>
      </c>
      <c r="AW179">
        <v>0</v>
      </c>
      <c r="AX179">
        <v>0</v>
      </c>
      <c r="AY179">
        <v>420</v>
      </c>
      <c r="BA179" t="str">
        <f t="shared" si="36"/>
        <v>0000000000000</v>
      </c>
      <c r="BC179" t="str">
        <f>T("9791137601291")</f>
        <v>9791137601291</v>
      </c>
      <c r="BE179" t="str">
        <f t="shared" si="37"/>
        <v>웹툰 &gt; 해외 순정</v>
      </c>
      <c r="BF179" t="str">
        <f>T("웹툰 &gt; 로판")</f>
        <v>웹툰 &gt; 로판</v>
      </c>
    </row>
    <row r="180" spans="1:58" x14ac:dyDescent="0.3">
      <c r="A180">
        <v>4421001305</v>
      </c>
      <c r="B180">
        <v>4421002889</v>
      </c>
      <c r="C180" t="str">
        <f>T("악역이지만, 남주는 꼬시지 않아요 31화")</f>
        <v>악역이지만, 남주는 꼬시지 않아요 31화</v>
      </c>
      <c r="D180" t="str">
        <f>T("31")</f>
        <v>31</v>
      </c>
      <c r="E180" t="str">
        <f>T("마북명")</f>
        <v>마북명</v>
      </c>
      <c r="G180" t="str">
        <f>T("kuri")</f>
        <v>kuri</v>
      </c>
      <c r="H180" t="str">
        <f t="shared" si="26"/>
        <v>스토리위즈</v>
      </c>
      <c r="I180" t="str">
        <f>T("악역이지만, 남주는 꼬시지 않아요")</f>
        <v>악역이지만, 남주는 꼬시지 않아요</v>
      </c>
      <c r="J180">
        <v>400</v>
      </c>
      <c r="K180">
        <v>400</v>
      </c>
      <c r="L180">
        <v>1</v>
      </c>
      <c r="M180">
        <v>0</v>
      </c>
      <c r="N180">
        <v>2200</v>
      </c>
      <c r="O180">
        <v>11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2600</v>
      </c>
      <c r="AH180">
        <v>12</v>
      </c>
      <c r="AI180">
        <v>0</v>
      </c>
      <c r="AJ180">
        <v>0</v>
      </c>
      <c r="AK180">
        <v>2400</v>
      </c>
      <c r="AL180">
        <v>0</v>
      </c>
      <c r="AM180">
        <v>240</v>
      </c>
      <c r="AN180">
        <v>-72</v>
      </c>
      <c r="AO180">
        <v>0</v>
      </c>
      <c r="AP180">
        <v>240</v>
      </c>
      <c r="AQ180">
        <v>-72</v>
      </c>
      <c r="AR180">
        <v>0</v>
      </c>
      <c r="AT180">
        <v>0</v>
      </c>
      <c r="AU180">
        <v>0</v>
      </c>
      <c r="AW180">
        <v>0</v>
      </c>
      <c r="AX180">
        <v>0</v>
      </c>
      <c r="AY180">
        <v>1797.6</v>
      </c>
      <c r="BA180" t="str">
        <f t="shared" si="36"/>
        <v>0000000000000</v>
      </c>
      <c r="BC180" t="str">
        <f>T("9791137603882")</f>
        <v>9791137603882</v>
      </c>
      <c r="BE180" t="str">
        <f t="shared" si="37"/>
        <v>웹툰 &gt; 해외 순정</v>
      </c>
      <c r="BF180" t="str">
        <f>T("웹툰 &gt; 로판")</f>
        <v>웹툰 &gt; 로판</v>
      </c>
    </row>
    <row r="181" spans="1:58" x14ac:dyDescent="0.3">
      <c r="A181">
        <v>4421000866</v>
      </c>
      <c r="B181">
        <v>4421003085</v>
      </c>
      <c r="C181" t="str">
        <f>T("최애에게 들켜버렸다 101화")</f>
        <v>최애에게 들켜버렸다 101화</v>
      </c>
      <c r="D181" t="str">
        <f>T("104")</f>
        <v>104</v>
      </c>
      <c r="E181" t="str">
        <f>T("Lv")</f>
        <v>Lv</v>
      </c>
      <c r="G181" t="str">
        <f>T("Lv")</f>
        <v>Lv</v>
      </c>
      <c r="H181" t="str">
        <f t="shared" si="26"/>
        <v>스토리위즈</v>
      </c>
      <c r="I181" t="str">
        <f>T("최애에게 들켜버렸다")</f>
        <v>최애에게 들켜버렸다</v>
      </c>
      <c r="J181">
        <v>400</v>
      </c>
      <c r="K181">
        <v>400</v>
      </c>
      <c r="L181">
        <v>1</v>
      </c>
      <c r="M181">
        <v>0</v>
      </c>
      <c r="N181">
        <v>1000</v>
      </c>
      <c r="O181">
        <v>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1400</v>
      </c>
      <c r="AH181">
        <v>6</v>
      </c>
      <c r="AI181">
        <v>0</v>
      </c>
      <c r="AJ181">
        <v>0</v>
      </c>
      <c r="AK181">
        <v>400</v>
      </c>
      <c r="AL181">
        <v>0</v>
      </c>
      <c r="AM181">
        <v>1200</v>
      </c>
      <c r="AN181">
        <v>-312</v>
      </c>
      <c r="AO181">
        <v>0</v>
      </c>
      <c r="AP181">
        <v>480</v>
      </c>
      <c r="AQ181">
        <v>-144</v>
      </c>
      <c r="AR181">
        <v>0</v>
      </c>
      <c r="AS181">
        <v>720</v>
      </c>
      <c r="AT181">
        <v>-168</v>
      </c>
      <c r="AU181">
        <v>0</v>
      </c>
      <c r="AW181">
        <v>0</v>
      </c>
      <c r="AX181">
        <v>0</v>
      </c>
      <c r="AY181">
        <v>901.6</v>
      </c>
      <c r="BA181" t="str">
        <f t="shared" si="36"/>
        <v>0000000000000</v>
      </c>
      <c r="BC181" t="str">
        <f>T("9791137601253")</f>
        <v>9791137601253</v>
      </c>
      <c r="BE181" t="str">
        <f t="shared" si="37"/>
        <v>웹툰 &gt; 해외 순정</v>
      </c>
      <c r="BF181" t="str">
        <f>T("웹툰 &gt; 로맨스")</f>
        <v>웹툰 &gt; 로맨스</v>
      </c>
    </row>
    <row r="182" spans="1:58" x14ac:dyDescent="0.3">
      <c r="A182">
        <v>4421001305</v>
      </c>
      <c r="B182">
        <v>4421001315</v>
      </c>
      <c r="C182" t="str">
        <f>T("악역이지만, 남주는 꼬시지 않아요 11화")</f>
        <v>악역이지만, 남주는 꼬시지 않아요 11화</v>
      </c>
      <c r="D182" t="str">
        <f>T("11")</f>
        <v>11</v>
      </c>
      <c r="E182" t="str">
        <f>T("마북명")</f>
        <v>마북명</v>
      </c>
      <c r="G182" t="str">
        <f>T("kuri")</f>
        <v>kuri</v>
      </c>
      <c r="H182" t="str">
        <f t="shared" si="26"/>
        <v>스토리위즈</v>
      </c>
      <c r="I182" t="str">
        <f>T("악역이지만, 남주는 꼬시지 않아요")</f>
        <v>악역이지만, 남주는 꼬시지 않아요</v>
      </c>
      <c r="J182">
        <v>400</v>
      </c>
      <c r="K182">
        <v>400</v>
      </c>
      <c r="L182">
        <v>1</v>
      </c>
      <c r="M182">
        <v>0</v>
      </c>
      <c r="N182">
        <v>3000</v>
      </c>
      <c r="O182">
        <v>15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3400</v>
      </c>
      <c r="AH182">
        <v>16</v>
      </c>
      <c r="AI182">
        <v>0</v>
      </c>
      <c r="AJ182">
        <v>0</v>
      </c>
      <c r="AK182">
        <v>3200</v>
      </c>
      <c r="AL182">
        <v>0</v>
      </c>
      <c r="AM182">
        <v>240</v>
      </c>
      <c r="AN182">
        <v>-72</v>
      </c>
      <c r="AO182">
        <v>0</v>
      </c>
      <c r="AP182">
        <v>240</v>
      </c>
      <c r="AQ182">
        <v>-72</v>
      </c>
      <c r="AR182">
        <v>0</v>
      </c>
      <c r="AT182">
        <v>0</v>
      </c>
      <c r="AU182">
        <v>0</v>
      </c>
      <c r="AW182">
        <v>0</v>
      </c>
      <c r="AX182">
        <v>0</v>
      </c>
      <c r="AY182">
        <v>2357.6</v>
      </c>
      <c r="BA182" t="str">
        <f t="shared" si="36"/>
        <v>0000000000000</v>
      </c>
      <c r="BC182" t="str">
        <f>T("9791137603882")</f>
        <v>9791137603882</v>
      </c>
      <c r="BE182" t="str">
        <f t="shared" si="37"/>
        <v>웹툰 &gt; 해외 순정</v>
      </c>
      <c r="BF182" t="str">
        <f t="shared" ref="BF182:BF191" si="38">T("웹툰 &gt; 로판")</f>
        <v>웹툰 &gt; 로판</v>
      </c>
    </row>
    <row r="183" spans="1:58" x14ac:dyDescent="0.3">
      <c r="A183">
        <v>4421000887</v>
      </c>
      <c r="B183">
        <v>4421001275</v>
      </c>
      <c r="C183" t="str">
        <f>T("폭군의 눈물 51화")</f>
        <v>폭군의 눈물 51화</v>
      </c>
      <c r="D183" t="str">
        <f>T("51")</f>
        <v>51</v>
      </c>
      <c r="E183" t="str">
        <f>T("Ice×FANFAN COMIC")</f>
        <v>Ice×FANFAN COMIC</v>
      </c>
      <c r="G183" t="str">
        <f>T("Ice×FANFAN COMIC")</f>
        <v>Ice×FANFAN COMIC</v>
      </c>
      <c r="H183" t="str">
        <f t="shared" si="26"/>
        <v>스토리위즈</v>
      </c>
      <c r="I183" t="str">
        <f>T("폭군의 눈물")</f>
        <v>폭군의 눈물</v>
      </c>
      <c r="J183">
        <v>400</v>
      </c>
      <c r="K183">
        <v>400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400</v>
      </c>
      <c r="AH183">
        <v>1</v>
      </c>
      <c r="AI183">
        <v>0</v>
      </c>
      <c r="AJ183">
        <v>0</v>
      </c>
      <c r="AK183">
        <v>400</v>
      </c>
      <c r="AL183">
        <v>0</v>
      </c>
      <c r="AM183">
        <v>0</v>
      </c>
      <c r="AN183">
        <v>0</v>
      </c>
      <c r="AO183">
        <v>0</v>
      </c>
      <c r="AP183"/>
      <c r="AQ183">
        <v>0</v>
      </c>
      <c r="AR183">
        <v>0</v>
      </c>
      <c r="AT183">
        <v>0</v>
      </c>
      <c r="AU183">
        <v>0</v>
      </c>
      <c r="AW183">
        <v>0</v>
      </c>
      <c r="AX183">
        <v>0</v>
      </c>
      <c r="AY183">
        <v>280</v>
      </c>
      <c r="BA183" t="str">
        <f t="shared" si="36"/>
        <v>0000000000000</v>
      </c>
      <c r="BC183" t="str">
        <f>T("9791137601291")</f>
        <v>9791137601291</v>
      </c>
      <c r="BE183" t="str">
        <f t="shared" si="37"/>
        <v>웹툰 &gt; 해외 순정</v>
      </c>
      <c r="BF183" t="str">
        <f t="shared" si="38"/>
        <v>웹툰 &gt; 로판</v>
      </c>
    </row>
    <row r="184" spans="1:58" x14ac:dyDescent="0.3">
      <c r="A184">
        <v>4421001305</v>
      </c>
      <c r="B184">
        <v>4421003013</v>
      </c>
      <c r="C184" t="str">
        <f>T("악역이지만, 남주는 꼬시지 않아요 43화")</f>
        <v>악역이지만, 남주는 꼬시지 않아요 43화</v>
      </c>
      <c r="D184" t="str">
        <f>T("43")</f>
        <v>43</v>
      </c>
      <c r="E184" t="str">
        <f>T("마북명")</f>
        <v>마북명</v>
      </c>
      <c r="G184" t="str">
        <f>T("kuri")</f>
        <v>kuri</v>
      </c>
      <c r="H184" t="str">
        <f t="shared" si="26"/>
        <v>스토리위즈</v>
      </c>
      <c r="I184" t="str">
        <f>T("악역이지만, 남주는 꼬시지 않아요")</f>
        <v>악역이지만, 남주는 꼬시지 않아요</v>
      </c>
      <c r="J184">
        <v>400</v>
      </c>
      <c r="K184">
        <v>400</v>
      </c>
      <c r="L184">
        <v>1</v>
      </c>
      <c r="M184">
        <v>0</v>
      </c>
      <c r="N184">
        <v>2600</v>
      </c>
      <c r="O184">
        <v>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3000</v>
      </c>
      <c r="AH184">
        <v>14</v>
      </c>
      <c r="AI184">
        <v>0</v>
      </c>
      <c r="AJ184">
        <v>0</v>
      </c>
      <c r="AK184">
        <v>2600</v>
      </c>
      <c r="AL184">
        <v>0</v>
      </c>
      <c r="AM184">
        <v>480</v>
      </c>
      <c r="AN184">
        <v>-96</v>
      </c>
      <c r="AO184">
        <v>0</v>
      </c>
      <c r="AP184">
        <v>240</v>
      </c>
      <c r="AQ184">
        <v>-72</v>
      </c>
      <c r="AR184">
        <v>0</v>
      </c>
      <c r="AS184">
        <v>240</v>
      </c>
      <c r="AT184">
        <v>-24</v>
      </c>
      <c r="AU184">
        <v>0</v>
      </c>
      <c r="AW184">
        <v>0</v>
      </c>
      <c r="AX184">
        <v>0</v>
      </c>
      <c r="AY184">
        <v>2088.8000000000002</v>
      </c>
      <c r="BA184" t="str">
        <f t="shared" si="36"/>
        <v>0000000000000</v>
      </c>
      <c r="BC184" t="str">
        <f>T("9791137603882")</f>
        <v>9791137603882</v>
      </c>
      <c r="BE184" t="str">
        <f t="shared" si="37"/>
        <v>웹툰 &gt; 해외 순정</v>
      </c>
      <c r="BF184" t="str">
        <f t="shared" si="38"/>
        <v>웹툰 &gt; 로판</v>
      </c>
    </row>
    <row r="185" spans="1:58" x14ac:dyDescent="0.3">
      <c r="A185">
        <v>4421001305</v>
      </c>
      <c r="B185">
        <v>4421001324</v>
      </c>
      <c r="C185" t="str">
        <f>T("악역이지만, 남주는 꼬시지 않아요 20화")</f>
        <v>악역이지만, 남주는 꼬시지 않아요 20화</v>
      </c>
      <c r="D185" t="str">
        <f>T("20")</f>
        <v>20</v>
      </c>
      <c r="E185" t="str">
        <f>T("마북명")</f>
        <v>마북명</v>
      </c>
      <c r="G185" t="str">
        <f>T("kuri")</f>
        <v>kuri</v>
      </c>
      <c r="H185" t="str">
        <f t="shared" si="26"/>
        <v>스토리위즈</v>
      </c>
      <c r="I185" t="str">
        <f>T("악역이지만, 남주는 꼬시지 않아요")</f>
        <v>악역이지만, 남주는 꼬시지 않아요</v>
      </c>
      <c r="J185">
        <v>400</v>
      </c>
      <c r="K185">
        <v>400</v>
      </c>
      <c r="L185">
        <v>1</v>
      </c>
      <c r="M185">
        <v>0</v>
      </c>
      <c r="N185">
        <v>2600</v>
      </c>
      <c r="O185">
        <v>13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3000</v>
      </c>
      <c r="AH185">
        <v>14</v>
      </c>
      <c r="AI185">
        <v>0</v>
      </c>
      <c r="AJ185">
        <v>0</v>
      </c>
      <c r="AK185">
        <v>2800</v>
      </c>
      <c r="AL185">
        <v>0</v>
      </c>
      <c r="AM185">
        <v>240</v>
      </c>
      <c r="AN185">
        <v>-72</v>
      </c>
      <c r="AO185">
        <v>0</v>
      </c>
      <c r="AP185">
        <v>240</v>
      </c>
      <c r="AQ185">
        <v>-72</v>
      </c>
      <c r="AR185">
        <v>0</v>
      </c>
      <c r="AT185">
        <v>0</v>
      </c>
      <c r="AU185">
        <v>0</v>
      </c>
      <c r="AW185">
        <v>0</v>
      </c>
      <c r="AX185">
        <v>0</v>
      </c>
      <c r="AY185">
        <v>2077.6</v>
      </c>
      <c r="BA185" t="str">
        <f t="shared" si="36"/>
        <v>0000000000000</v>
      </c>
      <c r="BC185" t="str">
        <f>T("9791137603882")</f>
        <v>9791137603882</v>
      </c>
      <c r="BE185" t="str">
        <f t="shared" si="37"/>
        <v>웹툰 &gt; 해외 순정</v>
      </c>
      <c r="BF185" t="str">
        <f t="shared" si="38"/>
        <v>웹툰 &gt; 로판</v>
      </c>
    </row>
    <row r="186" spans="1:58" x14ac:dyDescent="0.3">
      <c r="A186">
        <v>4421001377</v>
      </c>
      <c r="B186">
        <v>4421003123</v>
      </c>
      <c r="C186" t="str">
        <f>T("요괴님은 수련중 53화")</f>
        <v>요괴님은 수련중 53화</v>
      </c>
      <c r="D186" t="str">
        <f>T("53")</f>
        <v>53</v>
      </c>
      <c r="E186" t="str">
        <f>T("화방")</f>
        <v>화방</v>
      </c>
      <c r="G186" t="str">
        <f>T("망북")</f>
        <v>망북</v>
      </c>
      <c r="H186" t="str">
        <f t="shared" si="26"/>
        <v>스토리위즈</v>
      </c>
      <c r="I186" t="str">
        <f>T("요괴님은 수련중")</f>
        <v>요괴님은 수련중</v>
      </c>
      <c r="J186">
        <v>400</v>
      </c>
      <c r="K186">
        <v>400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400</v>
      </c>
      <c r="AH186">
        <v>1</v>
      </c>
      <c r="AI186">
        <v>0</v>
      </c>
      <c r="AJ186">
        <v>0</v>
      </c>
      <c r="AK186">
        <v>400</v>
      </c>
      <c r="AL186">
        <v>0</v>
      </c>
      <c r="AM186">
        <v>0</v>
      </c>
      <c r="AN186">
        <v>0</v>
      </c>
      <c r="AO186">
        <v>0</v>
      </c>
      <c r="AP186"/>
      <c r="AQ186">
        <v>0</v>
      </c>
      <c r="AR186">
        <v>0</v>
      </c>
      <c r="AT186">
        <v>0</v>
      </c>
      <c r="AU186">
        <v>0</v>
      </c>
      <c r="AW186">
        <v>0</v>
      </c>
      <c r="AX186">
        <v>0</v>
      </c>
      <c r="AY186">
        <v>280</v>
      </c>
      <c r="BA186" t="str">
        <f t="shared" si="36"/>
        <v>0000000000000</v>
      </c>
      <c r="BC186" t="str">
        <f>T("9791137603899")</f>
        <v>9791137603899</v>
      </c>
      <c r="BE186" t="str">
        <f t="shared" si="37"/>
        <v>웹툰 &gt; 해외 순정</v>
      </c>
      <c r="BF186" t="str">
        <f t="shared" si="38"/>
        <v>웹툰 &gt; 로판</v>
      </c>
    </row>
    <row r="187" spans="1:58" x14ac:dyDescent="0.3">
      <c r="A187">
        <v>4421000887</v>
      </c>
      <c r="B187">
        <v>4421001273</v>
      </c>
      <c r="C187" t="str">
        <f>T("폭군의 눈물 50화")</f>
        <v>폭군의 눈물 50화</v>
      </c>
      <c r="D187" t="str">
        <f>T("50")</f>
        <v>50</v>
      </c>
      <c r="E187" t="str">
        <f>T("Ice×FANFAN COMIC")</f>
        <v>Ice×FANFAN COMIC</v>
      </c>
      <c r="G187" t="str">
        <f>T("Ice×FANFAN COMIC")</f>
        <v>Ice×FANFAN COMIC</v>
      </c>
      <c r="H187" t="str">
        <f t="shared" si="26"/>
        <v>스토리위즈</v>
      </c>
      <c r="I187" t="str">
        <f>T("폭군의 눈물")</f>
        <v>폭군의 눈물</v>
      </c>
      <c r="J187">
        <v>400</v>
      </c>
      <c r="K187">
        <v>400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400</v>
      </c>
      <c r="AH187">
        <v>1</v>
      </c>
      <c r="AI187">
        <v>0</v>
      </c>
      <c r="AJ187">
        <v>0</v>
      </c>
      <c r="AK187">
        <v>400</v>
      </c>
      <c r="AL187">
        <v>0</v>
      </c>
      <c r="AM187">
        <v>0</v>
      </c>
      <c r="AN187">
        <v>0</v>
      </c>
      <c r="AO187">
        <v>0</v>
      </c>
      <c r="AP187"/>
      <c r="AQ187">
        <v>0</v>
      </c>
      <c r="AR187">
        <v>0</v>
      </c>
      <c r="AT187">
        <v>0</v>
      </c>
      <c r="AU187">
        <v>0</v>
      </c>
      <c r="AW187">
        <v>0</v>
      </c>
      <c r="AX187">
        <v>0</v>
      </c>
      <c r="AY187">
        <v>280</v>
      </c>
      <c r="BA187" t="str">
        <f t="shared" si="36"/>
        <v>0000000000000</v>
      </c>
      <c r="BC187" t="str">
        <f>T("9791137601291")</f>
        <v>9791137601291</v>
      </c>
      <c r="BE187" t="str">
        <f t="shared" si="37"/>
        <v>웹툰 &gt; 해외 순정</v>
      </c>
      <c r="BF187" t="str">
        <f t="shared" si="38"/>
        <v>웹툰 &gt; 로판</v>
      </c>
    </row>
    <row r="188" spans="1:58" x14ac:dyDescent="0.3">
      <c r="A188">
        <v>4421001305</v>
      </c>
      <c r="B188">
        <v>4421002956</v>
      </c>
      <c r="C188" t="str">
        <f>T("악역이지만, 남주는 꼬시지 않아요 36화")</f>
        <v>악역이지만, 남주는 꼬시지 않아요 36화</v>
      </c>
      <c r="D188" t="str">
        <f>T("36")</f>
        <v>36</v>
      </c>
      <c r="E188" t="str">
        <f>T("마북명")</f>
        <v>마북명</v>
      </c>
      <c r="G188" t="str">
        <f>T("kuri")</f>
        <v>kuri</v>
      </c>
      <c r="H188" t="str">
        <f t="shared" si="26"/>
        <v>스토리위즈</v>
      </c>
      <c r="I188" t="str">
        <f>T("악역이지만, 남주는 꼬시지 않아요")</f>
        <v>악역이지만, 남주는 꼬시지 않아요</v>
      </c>
      <c r="J188">
        <v>400</v>
      </c>
      <c r="K188">
        <v>400</v>
      </c>
      <c r="L188">
        <v>1</v>
      </c>
      <c r="M188">
        <v>0</v>
      </c>
      <c r="N188">
        <v>2200</v>
      </c>
      <c r="O188">
        <v>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2600</v>
      </c>
      <c r="AH188">
        <v>12</v>
      </c>
      <c r="AI188">
        <v>0</v>
      </c>
      <c r="AJ188">
        <v>0</v>
      </c>
      <c r="AK188">
        <v>2400</v>
      </c>
      <c r="AL188">
        <v>0</v>
      </c>
      <c r="AM188">
        <v>240</v>
      </c>
      <c r="AN188">
        <v>-72</v>
      </c>
      <c r="AO188">
        <v>0</v>
      </c>
      <c r="AP188">
        <v>240</v>
      </c>
      <c r="AQ188">
        <v>-72</v>
      </c>
      <c r="AR188">
        <v>0</v>
      </c>
      <c r="AT188">
        <v>0</v>
      </c>
      <c r="AU188">
        <v>0</v>
      </c>
      <c r="AW188">
        <v>0</v>
      </c>
      <c r="AX188">
        <v>0</v>
      </c>
      <c r="AY188">
        <v>1797.6</v>
      </c>
      <c r="BA188" t="str">
        <f t="shared" si="36"/>
        <v>0000000000000</v>
      </c>
      <c r="BC188" t="str">
        <f>T("9791137603882")</f>
        <v>9791137603882</v>
      </c>
      <c r="BE188" t="str">
        <f t="shared" si="37"/>
        <v>웹툰 &gt; 해외 순정</v>
      </c>
      <c r="BF188" t="str">
        <f t="shared" si="38"/>
        <v>웹툰 &gt; 로판</v>
      </c>
    </row>
    <row r="189" spans="1:58" x14ac:dyDescent="0.3">
      <c r="A189">
        <v>4421001305</v>
      </c>
      <c r="B189">
        <v>4421003012</v>
      </c>
      <c r="C189" t="str">
        <f>T("악역이지만, 남주는 꼬시지 않아요 42화")</f>
        <v>악역이지만, 남주는 꼬시지 않아요 42화</v>
      </c>
      <c r="D189" t="str">
        <f>T("42")</f>
        <v>42</v>
      </c>
      <c r="E189" t="str">
        <f>T("마북명")</f>
        <v>마북명</v>
      </c>
      <c r="G189" t="str">
        <f>T("kuri")</f>
        <v>kuri</v>
      </c>
      <c r="H189" t="str">
        <f t="shared" si="26"/>
        <v>스토리위즈</v>
      </c>
      <c r="I189" t="str">
        <f>T("악역이지만, 남주는 꼬시지 않아요")</f>
        <v>악역이지만, 남주는 꼬시지 않아요</v>
      </c>
      <c r="J189">
        <v>400</v>
      </c>
      <c r="K189">
        <v>400</v>
      </c>
      <c r="L189">
        <v>1</v>
      </c>
      <c r="M189">
        <v>0</v>
      </c>
      <c r="N189">
        <v>3000</v>
      </c>
      <c r="O189">
        <v>15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3400</v>
      </c>
      <c r="AH189">
        <v>16</v>
      </c>
      <c r="AI189">
        <v>0</v>
      </c>
      <c r="AJ189">
        <v>0</v>
      </c>
      <c r="AK189">
        <v>2800</v>
      </c>
      <c r="AL189">
        <v>0</v>
      </c>
      <c r="AM189">
        <v>720</v>
      </c>
      <c r="AN189">
        <v>-120</v>
      </c>
      <c r="AO189">
        <v>0</v>
      </c>
      <c r="AP189">
        <v>240</v>
      </c>
      <c r="AQ189">
        <v>-72</v>
      </c>
      <c r="AR189">
        <v>0</v>
      </c>
      <c r="AS189">
        <v>480</v>
      </c>
      <c r="AT189">
        <v>-48</v>
      </c>
      <c r="AU189">
        <v>0</v>
      </c>
      <c r="AW189">
        <v>0</v>
      </c>
      <c r="AX189">
        <v>0</v>
      </c>
      <c r="AY189">
        <v>2380</v>
      </c>
      <c r="BA189" t="str">
        <f t="shared" si="36"/>
        <v>0000000000000</v>
      </c>
      <c r="BC189" t="str">
        <f>T("9791137603882")</f>
        <v>9791137603882</v>
      </c>
      <c r="BE189" t="str">
        <f t="shared" si="37"/>
        <v>웹툰 &gt; 해외 순정</v>
      </c>
      <c r="BF189" t="str">
        <f t="shared" si="38"/>
        <v>웹툰 &gt; 로판</v>
      </c>
    </row>
    <row r="190" spans="1:58" x14ac:dyDescent="0.3">
      <c r="A190">
        <v>4421001305</v>
      </c>
      <c r="B190">
        <v>4421001323</v>
      </c>
      <c r="C190" t="str">
        <f>T("악역이지만, 남주는 꼬시지 않아요 19화")</f>
        <v>악역이지만, 남주는 꼬시지 않아요 19화</v>
      </c>
      <c r="D190" t="str">
        <f>T("19")</f>
        <v>19</v>
      </c>
      <c r="E190" t="str">
        <f>T("마북명")</f>
        <v>마북명</v>
      </c>
      <c r="G190" t="str">
        <f>T("kuri")</f>
        <v>kuri</v>
      </c>
      <c r="H190" t="str">
        <f t="shared" si="26"/>
        <v>스토리위즈</v>
      </c>
      <c r="I190" t="str">
        <f>T("악역이지만, 남주는 꼬시지 않아요")</f>
        <v>악역이지만, 남주는 꼬시지 않아요</v>
      </c>
      <c r="J190">
        <v>400</v>
      </c>
      <c r="K190">
        <v>400</v>
      </c>
      <c r="L190">
        <v>1</v>
      </c>
      <c r="M190">
        <v>0</v>
      </c>
      <c r="N190">
        <v>2600</v>
      </c>
      <c r="O190">
        <v>13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3000</v>
      </c>
      <c r="AH190">
        <v>14</v>
      </c>
      <c r="AI190">
        <v>0</v>
      </c>
      <c r="AJ190">
        <v>0</v>
      </c>
      <c r="AK190">
        <v>2800</v>
      </c>
      <c r="AL190">
        <v>0</v>
      </c>
      <c r="AM190">
        <v>240</v>
      </c>
      <c r="AN190">
        <v>-72</v>
      </c>
      <c r="AO190">
        <v>0</v>
      </c>
      <c r="AP190">
        <v>240</v>
      </c>
      <c r="AQ190">
        <v>-72</v>
      </c>
      <c r="AR190">
        <v>0</v>
      </c>
      <c r="AT190">
        <v>0</v>
      </c>
      <c r="AU190">
        <v>0</v>
      </c>
      <c r="AW190">
        <v>0</v>
      </c>
      <c r="AX190">
        <v>0</v>
      </c>
      <c r="AY190">
        <v>2077.6</v>
      </c>
      <c r="BA190" t="str">
        <f t="shared" si="36"/>
        <v>0000000000000</v>
      </c>
      <c r="BC190" t="str">
        <f>T("9791137603882")</f>
        <v>9791137603882</v>
      </c>
      <c r="BE190" t="str">
        <f t="shared" si="37"/>
        <v>웹툰 &gt; 해외 순정</v>
      </c>
      <c r="BF190" t="str">
        <f t="shared" si="38"/>
        <v>웹툰 &gt; 로판</v>
      </c>
    </row>
    <row r="191" spans="1:58" x14ac:dyDescent="0.3">
      <c r="A191">
        <v>4421001305</v>
      </c>
      <c r="B191">
        <v>4421002955</v>
      </c>
      <c r="C191" t="str">
        <f>T("악역이지만, 남주는 꼬시지 않아요 35화")</f>
        <v>악역이지만, 남주는 꼬시지 않아요 35화</v>
      </c>
      <c r="D191" t="str">
        <f>T("35")</f>
        <v>35</v>
      </c>
      <c r="E191" t="str">
        <f>T("마북명")</f>
        <v>마북명</v>
      </c>
      <c r="G191" t="str">
        <f>T("kuri")</f>
        <v>kuri</v>
      </c>
      <c r="H191" t="str">
        <f t="shared" si="26"/>
        <v>스토리위즈</v>
      </c>
      <c r="I191" t="str">
        <f>T("악역이지만, 남주는 꼬시지 않아요")</f>
        <v>악역이지만, 남주는 꼬시지 않아요</v>
      </c>
      <c r="J191">
        <v>400</v>
      </c>
      <c r="K191">
        <v>400</v>
      </c>
      <c r="L191">
        <v>1</v>
      </c>
      <c r="M191">
        <v>0</v>
      </c>
      <c r="N191">
        <v>2000</v>
      </c>
      <c r="O191">
        <v>10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2400</v>
      </c>
      <c r="AH191">
        <v>11</v>
      </c>
      <c r="AI191">
        <v>0</v>
      </c>
      <c r="AJ191">
        <v>0</v>
      </c>
      <c r="AK191">
        <v>2200</v>
      </c>
      <c r="AL191">
        <v>0</v>
      </c>
      <c r="AM191">
        <v>240</v>
      </c>
      <c r="AN191">
        <v>-72</v>
      </c>
      <c r="AO191">
        <v>0</v>
      </c>
      <c r="AP191">
        <v>240</v>
      </c>
      <c r="AQ191">
        <v>-72</v>
      </c>
      <c r="AR191">
        <v>0</v>
      </c>
      <c r="AT191">
        <v>0</v>
      </c>
      <c r="AU191">
        <v>0</v>
      </c>
      <c r="AW191">
        <v>0</v>
      </c>
      <c r="AX191">
        <v>0</v>
      </c>
      <c r="AY191">
        <v>1657.6</v>
      </c>
      <c r="BA191" t="str">
        <f t="shared" si="36"/>
        <v>0000000000000</v>
      </c>
      <c r="BC191" t="str">
        <f>T("9791137603882")</f>
        <v>9791137603882</v>
      </c>
      <c r="BE191" t="str">
        <f t="shared" si="37"/>
        <v>웹툰 &gt; 해외 순정</v>
      </c>
      <c r="BF191" t="str">
        <f t="shared" si="38"/>
        <v>웹툰 &gt; 로판</v>
      </c>
    </row>
    <row r="192" spans="1:58" x14ac:dyDescent="0.3">
      <c r="A192">
        <v>4421000866</v>
      </c>
      <c r="B192">
        <v>4421003106</v>
      </c>
      <c r="C192" t="str">
        <f>T("최애에게 들켜버렸다 104화")</f>
        <v>최애에게 들켜버렸다 104화</v>
      </c>
      <c r="D192" t="str">
        <f>T("107")</f>
        <v>107</v>
      </c>
      <c r="E192" t="str">
        <f>T("Lv")</f>
        <v>Lv</v>
      </c>
      <c r="G192" t="str">
        <f>T("Lv")</f>
        <v>Lv</v>
      </c>
      <c r="H192" t="str">
        <f t="shared" si="26"/>
        <v>스토리위즈</v>
      </c>
      <c r="I192" t="str">
        <f>T("최애에게 들켜버렸다")</f>
        <v>최애에게 들켜버렸다</v>
      </c>
      <c r="J192">
        <v>400</v>
      </c>
      <c r="K192">
        <v>400</v>
      </c>
      <c r="L192">
        <v>1</v>
      </c>
      <c r="M192">
        <v>0</v>
      </c>
      <c r="N192">
        <v>800</v>
      </c>
      <c r="O192">
        <v>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1200</v>
      </c>
      <c r="AH192">
        <v>5</v>
      </c>
      <c r="AI192">
        <v>0</v>
      </c>
      <c r="AJ192">
        <v>0</v>
      </c>
      <c r="AK192">
        <v>600</v>
      </c>
      <c r="AL192">
        <v>0</v>
      </c>
      <c r="AM192">
        <v>720</v>
      </c>
      <c r="AN192">
        <v>-120</v>
      </c>
      <c r="AO192">
        <v>0</v>
      </c>
      <c r="AP192">
        <v>240</v>
      </c>
      <c r="AQ192">
        <v>-72</v>
      </c>
      <c r="AR192">
        <v>0</v>
      </c>
      <c r="AS192">
        <v>480</v>
      </c>
      <c r="AT192">
        <v>-48</v>
      </c>
      <c r="AU192">
        <v>0</v>
      </c>
      <c r="AW192">
        <v>0</v>
      </c>
      <c r="AX192">
        <v>0</v>
      </c>
      <c r="AY192">
        <v>840</v>
      </c>
      <c r="BA192" t="str">
        <f t="shared" si="36"/>
        <v>0000000000000</v>
      </c>
      <c r="BC192" t="str">
        <f>T("9791137601253")</f>
        <v>9791137601253</v>
      </c>
      <c r="BE192" t="str">
        <f t="shared" si="37"/>
        <v>웹툰 &gt; 해외 순정</v>
      </c>
      <c r="BF192" t="str">
        <f>T("웹툰 &gt; 로맨스")</f>
        <v>웹툰 &gt; 로맨스</v>
      </c>
    </row>
    <row r="193" spans="1:58" x14ac:dyDescent="0.3">
      <c r="A193">
        <v>4421001305</v>
      </c>
      <c r="B193">
        <v>4421001540</v>
      </c>
      <c r="C193" t="str">
        <f>T("악역이지만, 남주는 꼬시지 않아요 26화")</f>
        <v>악역이지만, 남주는 꼬시지 않아요 26화</v>
      </c>
      <c r="D193" t="str">
        <f>T("26")</f>
        <v>26</v>
      </c>
      <c r="E193" t="str">
        <f>T("마북명")</f>
        <v>마북명</v>
      </c>
      <c r="G193" t="str">
        <f>T("kuri")</f>
        <v>kuri</v>
      </c>
      <c r="H193" t="str">
        <f t="shared" si="26"/>
        <v>스토리위즈</v>
      </c>
      <c r="I193" t="str">
        <f>T("악역이지만, 남주는 꼬시지 않아요")</f>
        <v>악역이지만, 남주는 꼬시지 않아요</v>
      </c>
      <c r="J193">
        <v>400</v>
      </c>
      <c r="K193">
        <v>400</v>
      </c>
      <c r="L193">
        <v>1</v>
      </c>
      <c r="M193">
        <v>0</v>
      </c>
      <c r="N193">
        <v>2200</v>
      </c>
      <c r="O193">
        <v>11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2600</v>
      </c>
      <c r="AH193">
        <v>12</v>
      </c>
      <c r="AI193">
        <v>0</v>
      </c>
      <c r="AJ193">
        <v>0</v>
      </c>
      <c r="AK193">
        <v>2400</v>
      </c>
      <c r="AL193">
        <v>0</v>
      </c>
      <c r="AM193">
        <v>240</v>
      </c>
      <c r="AN193">
        <v>-72</v>
      </c>
      <c r="AO193">
        <v>0</v>
      </c>
      <c r="AP193">
        <v>240</v>
      </c>
      <c r="AQ193">
        <v>-72</v>
      </c>
      <c r="AR193">
        <v>0</v>
      </c>
      <c r="AT193">
        <v>0</v>
      </c>
      <c r="AU193">
        <v>0</v>
      </c>
      <c r="AW193">
        <v>0</v>
      </c>
      <c r="AX193">
        <v>0</v>
      </c>
      <c r="AY193">
        <v>1797.6</v>
      </c>
      <c r="BA193" t="str">
        <f t="shared" si="36"/>
        <v>0000000000000</v>
      </c>
      <c r="BC193" t="str">
        <f>T("9791137603882")</f>
        <v>9791137603882</v>
      </c>
      <c r="BE193" t="str">
        <f t="shared" si="37"/>
        <v>웹툰 &gt; 해외 순정</v>
      </c>
      <c r="BF193" t="str">
        <f>T("웹툰 &gt; 로판")</f>
        <v>웹툰 &gt; 로판</v>
      </c>
    </row>
    <row r="194" spans="1:58" x14ac:dyDescent="0.3">
      <c r="A194">
        <v>4421001305</v>
      </c>
      <c r="B194">
        <v>4421002851</v>
      </c>
      <c r="C194" t="str">
        <f>T("악역이지만, 남주는 꼬시지 않아요 30화")</f>
        <v>악역이지만, 남주는 꼬시지 않아요 30화</v>
      </c>
      <c r="D194" t="str">
        <f>T("30")</f>
        <v>30</v>
      </c>
      <c r="E194" t="str">
        <f>T("마북명")</f>
        <v>마북명</v>
      </c>
      <c r="G194" t="str">
        <f>T("kuri")</f>
        <v>kuri</v>
      </c>
      <c r="H194" t="str">
        <f t="shared" ref="H194:H257" si="39">T("스토리위즈")</f>
        <v>스토리위즈</v>
      </c>
      <c r="I194" t="str">
        <f>T("악역이지만, 남주는 꼬시지 않아요")</f>
        <v>악역이지만, 남주는 꼬시지 않아요</v>
      </c>
      <c r="J194">
        <v>400</v>
      </c>
      <c r="K194">
        <v>400</v>
      </c>
      <c r="L194">
        <v>1</v>
      </c>
      <c r="M194">
        <v>0</v>
      </c>
      <c r="N194">
        <v>2200</v>
      </c>
      <c r="O194">
        <v>11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2600</v>
      </c>
      <c r="AH194">
        <v>12</v>
      </c>
      <c r="AI194">
        <v>0</v>
      </c>
      <c r="AJ194">
        <v>0</v>
      </c>
      <c r="AK194">
        <v>2400</v>
      </c>
      <c r="AL194">
        <v>0</v>
      </c>
      <c r="AM194">
        <v>240</v>
      </c>
      <c r="AN194">
        <v>-72</v>
      </c>
      <c r="AO194">
        <v>0</v>
      </c>
      <c r="AP194">
        <v>240</v>
      </c>
      <c r="AQ194">
        <v>-72</v>
      </c>
      <c r="AR194">
        <v>0</v>
      </c>
      <c r="AT194">
        <v>0</v>
      </c>
      <c r="AU194">
        <v>0</v>
      </c>
      <c r="AW194">
        <v>0</v>
      </c>
      <c r="AX194">
        <v>0</v>
      </c>
      <c r="AY194">
        <v>1797.6</v>
      </c>
      <c r="BA194" t="str">
        <f t="shared" si="36"/>
        <v>0000000000000</v>
      </c>
      <c r="BC194" t="str">
        <f>T("9791137603882")</f>
        <v>9791137603882</v>
      </c>
      <c r="BE194" t="str">
        <f t="shared" si="37"/>
        <v>웹툰 &gt; 해외 순정</v>
      </c>
      <c r="BF194" t="str">
        <f>T("웹툰 &gt; 로판")</f>
        <v>웹툰 &gt; 로판</v>
      </c>
    </row>
    <row r="195" spans="1:58" x14ac:dyDescent="0.3">
      <c r="A195">
        <v>4421001305</v>
      </c>
      <c r="B195">
        <v>4421001322</v>
      </c>
      <c r="C195" t="str">
        <f>T("악역이지만, 남주는 꼬시지 않아요 18화")</f>
        <v>악역이지만, 남주는 꼬시지 않아요 18화</v>
      </c>
      <c r="D195" t="str">
        <f>T("18")</f>
        <v>18</v>
      </c>
      <c r="E195" t="str">
        <f>T("마북명")</f>
        <v>마북명</v>
      </c>
      <c r="G195" t="str">
        <f>T("kuri")</f>
        <v>kuri</v>
      </c>
      <c r="H195" t="str">
        <f t="shared" si="39"/>
        <v>스토리위즈</v>
      </c>
      <c r="I195" t="str">
        <f>T("악역이지만, 남주는 꼬시지 않아요")</f>
        <v>악역이지만, 남주는 꼬시지 않아요</v>
      </c>
      <c r="J195">
        <v>400</v>
      </c>
      <c r="K195">
        <v>400</v>
      </c>
      <c r="L195">
        <v>1</v>
      </c>
      <c r="M195">
        <v>0</v>
      </c>
      <c r="N195">
        <v>2800</v>
      </c>
      <c r="O195">
        <v>14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3200</v>
      </c>
      <c r="AH195">
        <v>15</v>
      </c>
      <c r="AI195">
        <v>0</v>
      </c>
      <c r="AJ195">
        <v>0</v>
      </c>
      <c r="AK195">
        <v>3000</v>
      </c>
      <c r="AL195">
        <v>0</v>
      </c>
      <c r="AM195">
        <v>240</v>
      </c>
      <c r="AN195">
        <v>-72</v>
      </c>
      <c r="AO195">
        <v>0</v>
      </c>
      <c r="AP195">
        <v>240</v>
      </c>
      <c r="AQ195">
        <v>-72</v>
      </c>
      <c r="AR195">
        <v>0</v>
      </c>
      <c r="AT195">
        <v>0</v>
      </c>
      <c r="AU195">
        <v>0</v>
      </c>
      <c r="AW195">
        <v>0</v>
      </c>
      <c r="AX195">
        <v>0</v>
      </c>
      <c r="AY195">
        <v>2217.6</v>
      </c>
      <c r="BA195" t="str">
        <f t="shared" si="36"/>
        <v>0000000000000</v>
      </c>
      <c r="BC195" t="str">
        <f>T("9791137603882")</f>
        <v>9791137603882</v>
      </c>
      <c r="BE195" t="str">
        <f t="shared" si="37"/>
        <v>웹툰 &gt; 해외 순정</v>
      </c>
      <c r="BF195" t="str">
        <f>T("웹툰 &gt; 로판")</f>
        <v>웹툰 &gt; 로판</v>
      </c>
    </row>
    <row r="196" spans="1:58" x14ac:dyDescent="0.3">
      <c r="A196">
        <v>4421001305</v>
      </c>
      <c r="B196">
        <v>4421002952</v>
      </c>
      <c r="C196" t="str">
        <f>T("악역이지만, 남주는 꼬시지 않아요 34화")</f>
        <v>악역이지만, 남주는 꼬시지 않아요 34화</v>
      </c>
      <c r="D196" t="str">
        <f>T("34")</f>
        <v>34</v>
      </c>
      <c r="E196" t="str">
        <f>T("마북명")</f>
        <v>마북명</v>
      </c>
      <c r="G196" t="str">
        <f>T("kuri")</f>
        <v>kuri</v>
      </c>
      <c r="H196" t="str">
        <f t="shared" si="39"/>
        <v>스토리위즈</v>
      </c>
      <c r="I196" t="str">
        <f>T("악역이지만, 남주는 꼬시지 않아요")</f>
        <v>악역이지만, 남주는 꼬시지 않아요</v>
      </c>
      <c r="J196">
        <v>400</v>
      </c>
      <c r="K196">
        <v>400</v>
      </c>
      <c r="L196">
        <v>1</v>
      </c>
      <c r="M196">
        <v>0</v>
      </c>
      <c r="N196">
        <v>2000</v>
      </c>
      <c r="O196">
        <v>10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2400</v>
      </c>
      <c r="AH196">
        <v>11</v>
      </c>
      <c r="AI196">
        <v>0</v>
      </c>
      <c r="AJ196">
        <v>0</v>
      </c>
      <c r="AK196">
        <v>2200</v>
      </c>
      <c r="AL196">
        <v>0</v>
      </c>
      <c r="AM196">
        <v>240</v>
      </c>
      <c r="AN196">
        <v>-72</v>
      </c>
      <c r="AO196">
        <v>0</v>
      </c>
      <c r="AP196">
        <v>240</v>
      </c>
      <c r="AQ196">
        <v>-72</v>
      </c>
      <c r="AR196">
        <v>0</v>
      </c>
      <c r="AT196">
        <v>0</v>
      </c>
      <c r="AU196">
        <v>0</v>
      </c>
      <c r="AW196">
        <v>0</v>
      </c>
      <c r="AX196">
        <v>0</v>
      </c>
      <c r="AY196">
        <v>1657.6</v>
      </c>
      <c r="BA196" t="str">
        <f t="shared" si="36"/>
        <v>0000000000000</v>
      </c>
      <c r="BC196" t="str">
        <f>T("9791137603882")</f>
        <v>9791137603882</v>
      </c>
      <c r="BE196" t="str">
        <f t="shared" si="37"/>
        <v>웹툰 &gt; 해외 순정</v>
      </c>
      <c r="BF196" t="str">
        <f>T("웹툰 &gt; 로판")</f>
        <v>웹툰 &gt; 로판</v>
      </c>
    </row>
    <row r="197" spans="1:58" x14ac:dyDescent="0.3">
      <c r="A197">
        <v>4421001377</v>
      </c>
      <c r="B197">
        <v>4421003109</v>
      </c>
      <c r="C197" t="str">
        <f>T("요괴님은 수련중 51화")</f>
        <v>요괴님은 수련중 51화</v>
      </c>
      <c r="D197" t="str">
        <f>T("51")</f>
        <v>51</v>
      </c>
      <c r="E197" t="str">
        <f>T("화방")</f>
        <v>화방</v>
      </c>
      <c r="G197" t="str">
        <f>T("망북")</f>
        <v>망북</v>
      </c>
      <c r="H197" t="str">
        <f t="shared" si="39"/>
        <v>스토리위즈</v>
      </c>
      <c r="I197" t="str">
        <f>T("요괴님은 수련중")</f>
        <v>요괴님은 수련중</v>
      </c>
      <c r="J197">
        <v>400</v>
      </c>
      <c r="K197">
        <v>400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</v>
      </c>
      <c r="AH197">
        <v>1</v>
      </c>
      <c r="AI197">
        <v>0</v>
      </c>
      <c r="AJ197">
        <v>0</v>
      </c>
      <c r="AK197">
        <v>400</v>
      </c>
      <c r="AL197">
        <v>0</v>
      </c>
      <c r="AM197">
        <v>0</v>
      </c>
      <c r="AN197">
        <v>0</v>
      </c>
      <c r="AO197">
        <v>0</v>
      </c>
      <c r="AP197"/>
      <c r="AQ197">
        <v>0</v>
      </c>
      <c r="AR197">
        <v>0</v>
      </c>
      <c r="AT197">
        <v>0</v>
      </c>
      <c r="AU197">
        <v>0</v>
      </c>
      <c r="AW197">
        <v>0</v>
      </c>
      <c r="AX197">
        <v>0</v>
      </c>
      <c r="AY197">
        <v>280</v>
      </c>
      <c r="BA197" t="str">
        <f t="shared" si="36"/>
        <v>0000000000000</v>
      </c>
      <c r="BC197" t="str">
        <f>T("9791137603899")</f>
        <v>9791137603899</v>
      </c>
      <c r="BE197" t="str">
        <f t="shared" si="37"/>
        <v>웹툰 &gt; 해외 순정</v>
      </c>
      <c r="BF197" t="str">
        <f>T("웹툰 &gt; 로판")</f>
        <v>웹툰 &gt; 로판</v>
      </c>
    </row>
    <row r="198" spans="1:58" x14ac:dyDescent="0.3">
      <c r="A198">
        <v>4421000866</v>
      </c>
      <c r="B198">
        <v>4421003105</v>
      </c>
      <c r="C198" t="str">
        <f>T("최애에게 들켜버렸다 103화")</f>
        <v>최애에게 들켜버렸다 103화</v>
      </c>
      <c r="D198" t="str">
        <f>T("106")</f>
        <v>106</v>
      </c>
      <c r="E198" t="str">
        <f>T("Lv")</f>
        <v>Lv</v>
      </c>
      <c r="G198" t="str">
        <f>T("Lv")</f>
        <v>Lv</v>
      </c>
      <c r="H198" t="str">
        <f t="shared" si="39"/>
        <v>스토리위즈</v>
      </c>
      <c r="I198" t="str">
        <f>T("최애에게 들켜버렸다")</f>
        <v>최애에게 들켜버렸다</v>
      </c>
      <c r="J198">
        <v>400</v>
      </c>
      <c r="K198">
        <v>400</v>
      </c>
      <c r="L198">
        <v>1</v>
      </c>
      <c r="M198">
        <v>0</v>
      </c>
      <c r="N198">
        <v>1200</v>
      </c>
      <c r="O198">
        <v>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1600</v>
      </c>
      <c r="AH198">
        <v>7</v>
      </c>
      <c r="AI198">
        <v>0</v>
      </c>
      <c r="AJ198">
        <v>0</v>
      </c>
      <c r="AK198">
        <v>400</v>
      </c>
      <c r="AL198">
        <v>0</v>
      </c>
      <c r="AM198">
        <v>1440</v>
      </c>
      <c r="AN198">
        <v>-336</v>
      </c>
      <c r="AO198">
        <v>0</v>
      </c>
      <c r="AP198">
        <v>480</v>
      </c>
      <c r="AQ198">
        <v>-144</v>
      </c>
      <c r="AR198">
        <v>0</v>
      </c>
      <c r="AS198">
        <v>960</v>
      </c>
      <c r="AT198">
        <v>-192</v>
      </c>
      <c r="AU198">
        <v>0</v>
      </c>
      <c r="AW198">
        <v>0</v>
      </c>
      <c r="AX198">
        <v>0</v>
      </c>
      <c r="AY198">
        <v>1052.8</v>
      </c>
      <c r="BA198" t="str">
        <f t="shared" si="36"/>
        <v>0000000000000</v>
      </c>
      <c r="BC198" t="str">
        <f>T("9791137601253")</f>
        <v>9791137601253</v>
      </c>
      <c r="BE198" t="str">
        <f t="shared" si="37"/>
        <v>웹툰 &gt; 해외 순정</v>
      </c>
      <c r="BF198" t="str">
        <f>T("웹툰 &gt; 로맨스")</f>
        <v>웹툰 &gt; 로맨스</v>
      </c>
    </row>
    <row r="199" spans="1:58" x14ac:dyDescent="0.3">
      <c r="A199">
        <v>4421001305</v>
      </c>
      <c r="B199">
        <v>4421001539</v>
      </c>
      <c r="C199" t="str">
        <f>T("악역이지만, 남주는 꼬시지 않아요 25화")</f>
        <v>악역이지만, 남주는 꼬시지 않아요 25화</v>
      </c>
      <c r="D199" t="str">
        <f>T("25")</f>
        <v>25</v>
      </c>
      <c r="E199" t="str">
        <f t="shared" ref="E199:E206" si="40">T("마북명")</f>
        <v>마북명</v>
      </c>
      <c r="G199" t="str">
        <f t="shared" ref="G199:G206" si="41">T("kuri")</f>
        <v>kuri</v>
      </c>
      <c r="H199" t="str">
        <f t="shared" si="39"/>
        <v>스토리위즈</v>
      </c>
      <c r="I199" t="str">
        <f t="shared" ref="I199:I206" si="42">T("악역이지만, 남주는 꼬시지 않아요")</f>
        <v>악역이지만, 남주는 꼬시지 않아요</v>
      </c>
      <c r="J199">
        <v>400</v>
      </c>
      <c r="K199">
        <v>400</v>
      </c>
      <c r="L199">
        <v>1</v>
      </c>
      <c r="M199">
        <v>0</v>
      </c>
      <c r="N199">
        <v>2400</v>
      </c>
      <c r="O199">
        <v>12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2800</v>
      </c>
      <c r="AH199">
        <v>13</v>
      </c>
      <c r="AI199">
        <v>0</v>
      </c>
      <c r="AJ199">
        <v>0</v>
      </c>
      <c r="AK199">
        <v>2600</v>
      </c>
      <c r="AL199">
        <v>0</v>
      </c>
      <c r="AM199">
        <v>240</v>
      </c>
      <c r="AN199">
        <v>-72</v>
      </c>
      <c r="AO199">
        <v>0</v>
      </c>
      <c r="AP199">
        <v>240</v>
      </c>
      <c r="AQ199">
        <v>-72</v>
      </c>
      <c r="AR199">
        <v>0</v>
      </c>
      <c r="AT199">
        <v>0</v>
      </c>
      <c r="AU199">
        <v>0</v>
      </c>
      <c r="AW199">
        <v>0</v>
      </c>
      <c r="AX199">
        <v>0</v>
      </c>
      <c r="AY199">
        <v>1937.6</v>
      </c>
      <c r="BA199" t="str">
        <f t="shared" si="36"/>
        <v>0000000000000</v>
      </c>
      <c r="BC199" t="str">
        <f t="shared" ref="BC199:BC206" si="43">T("9791137603882")</f>
        <v>9791137603882</v>
      </c>
      <c r="BE199" t="str">
        <f t="shared" si="37"/>
        <v>웹툰 &gt; 해외 순정</v>
      </c>
      <c r="BF199" t="str">
        <f t="shared" ref="BF199:BF206" si="44">T("웹툰 &gt; 로판")</f>
        <v>웹툰 &gt; 로판</v>
      </c>
    </row>
    <row r="200" spans="1:58" x14ac:dyDescent="0.3">
      <c r="A200">
        <v>4421001305</v>
      </c>
      <c r="B200">
        <v>4421002850</v>
      </c>
      <c r="C200" t="str">
        <f>T("악역이지만, 남주는 꼬시지 않아요 29화")</f>
        <v>악역이지만, 남주는 꼬시지 않아요 29화</v>
      </c>
      <c r="D200" t="str">
        <f>T("29")</f>
        <v>29</v>
      </c>
      <c r="E200" t="str">
        <f t="shared" si="40"/>
        <v>마북명</v>
      </c>
      <c r="G200" t="str">
        <f t="shared" si="41"/>
        <v>kuri</v>
      </c>
      <c r="H200" t="str">
        <f t="shared" si="39"/>
        <v>스토리위즈</v>
      </c>
      <c r="I200" t="str">
        <f t="shared" si="42"/>
        <v>악역이지만, 남주는 꼬시지 않아요</v>
      </c>
      <c r="J200">
        <v>400</v>
      </c>
      <c r="K200">
        <v>400</v>
      </c>
      <c r="L200">
        <v>1</v>
      </c>
      <c r="M200">
        <v>0</v>
      </c>
      <c r="N200">
        <v>2200</v>
      </c>
      <c r="O200">
        <v>11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2600</v>
      </c>
      <c r="AH200">
        <v>12</v>
      </c>
      <c r="AI200">
        <v>0</v>
      </c>
      <c r="AJ200">
        <v>0</v>
      </c>
      <c r="AK200">
        <v>2400</v>
      </c>
      <c r="AL200">
        <v>0</v>
      </c>
      <c r="AM200">
        <v>240</v>
      </c>
      <c r="AN200">
        <v>-72</v>
      </c>
      <c r="AO200">
        <v>0</v>
      </c>
      <c r="AP200">
        <v>240</v>
      </c>
      <c r="AQ200">
        <v>-72</v>
      </c>
      <c r="AR200">
        <v>0</v>
      </c>
      <c r="AT200">
        <v>0</v>
      </c>
      <c r="AU200">
        <v>0</v>
      </c>
      <c r="AW200">
        <v>0</v>
      </c>
      <c r="AX200">
        <v>0</v>
      </c>
      <c r="AY200">
        <v>1797.6</v>
      </c>
      <c r="BA200" t="str">
        <f t="shared" si="36"/>
        <v>0000000000000</v>
      </c>
      <c r="BC200" t="str">
        <f t="shared" si="43"/>
        <v>9791137603882</v>
      </c>
      <c r="BE200" t="str">
        <f t="shared" si="37"/>
        <v>웹툰 &gt; 해외 순정</v>
      </c>
      <c r="BF200" t="str">
        <f t="shared" si="44"/>
        <v>웹툰 &gt; 로판</v>
      </c>
    </row>
    <row r="201" spans="1:58" x14ac:dyDescent="0.3">
      <c r="A201">
        <v>4421001305</v>
      </c>
      <c r="B201">
        <v>4421002988</v>
      </c>
      <c r="C201" t="str">
        <f>T("악역이지만, 남주는 꼬시지 않아요 39화")</f>
        <v>악역이지만, 남주는 꼬시지 않아요 39화</v>
      </c>
      <c r="D201" t="str">
        <f>T("39")</f>
        <v>39</v>
      </c>
      <c r="E201" t="str">
        <f t="shared" si="40"/>
        <v>마북명</v>
      </c>
      <c r="G201" t="str">
        <f t="shared" si="41"/>
        <v>kuri</v>
      </c>
      <c r="H201" t="str">
        <f t="shared" si="39"/>
        <v>스토리위즈</v>
      </c>
      <c r="I201" t="str">
        <f t="shared" si="42"/>
        <v>악역이지만, 남주는 꼬시지 않아요</v>
      </c>
      <c r="J201">
        <v>400</v>
      </c>
      <c r="K201">
        <v>400</v>
      </c>
      <c r="L201">
        <v>1</v>
      </c>
      <c r="M201">
        <v>0</v>
      </c>
      <c r="N201">
        <v>2200</v>
      </c>
      <c r="O201">
        <v>11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2600</v>
      </c>
      <c r="AH201">
        <v>12</v>
      </c>
      <c r="AI201">
        <v>0</v>
      </c>
      <c r="AJ201">
        <v>0</v>
      </c>
      <c r="AK201">
        <v>2400</v>
      </c>
      <c r="AL201">
        <v>0</v>
      </c>
      <c r="AM201">
        <v>240</v>
      </c>
      <c r="AN201">
        <v>-72</v>
      </c>
      <c r="AO201">
        <v>0</v>
      </c>
      <c r="AP201">
        <v>240</v>
      </c>
      <c r="AQ201">
        <v>-72</v>
      </c>
      <c r="AR201">
        <v>0</v>
      </c>
      <c r="AT201">
        <v>0</v>
      </c>
      <c r="AU201">
        <v>0</v>
      </c>
      <c r="AW201">
        <v>0</v>
      </c>
      <c r="AX201">
        <v>0</v>
      </c>
      <c r="AY201">
        <v>1797.6</v>
      </c>
      <c r="BA201" t="str">
        <f t="shared" si="36"/>
        <v>0000000000000</v>
      </c>
      <c r="BC201" t="str">
        <f t="shared" si="43"/>
        <v>9791137603882</v>
      </c>
      <c r="BE201" t="str">
        <f t="shared" si="37"/>
        <v>웹툰 &gt; 해외 순정</v>
      </c>
      <c r="BF201" t="str">
        <f t="shared" si="44"/>
        <v>웹툰 &gt; 로판</v>
      </c>
    </row>
    <row r="202" spans="1:58" x14ac:dyDescent="0.3">
      <c r="A202">
        <v>4421001305</v>
      </c>
      <c r="B202">
        <v>4421001527</v>
      </c>
      <c r="C202" t="str">
        <f>T("악역이지만, 남주는 꼬시지 않아요 24화")</f>
        <v>악역이지만, 남주는 꼬시지 않아요 24화</v>
      </c>
      <c r="D202" t="str">
        <f>T("24")</f>
        <v>24</v>
      </c>
      <c r="E202" t="str">
        <f t="shared" si="40"/>
        <v>마북명</v>
      </c>
      <c r="G202" t="str">
        <f t="shared" si="41"/>
        <v>kuri</v>
      </c>
      <c r="H202" t="str">
        <f t="shared" si="39"/>
        <v>스토리위즈</v>
      </c>
      <c r="I202" t="str">
        <f t="shared" si="42"/>
        <v>악역이지만, 남주는 꼬시지 않아요</v>
      </c>
      <c r="J202">
        <v>400</v>
      </c>
      <c r="K202">
        <v>400</v>
      </c>
      <c r="L202">
        <v>1</v>
      </c>
      <c r="M202">
        <v>0</v>
      </c>
      <c r="N202">
        <v>2800</v>
      </c>
      <c r="O202">
        <v>14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3200</v>
      </c>
      <c r="AH202">
        <v>15</v>
      </c>
      <c r="AI202">
        <v>0</v>
      </c>
      <c r="AJ202">
        <v>0</v>
      </c>
      <c r="AK202">
        <v>3000</v>
      </c>
      <c r="AL202">
        <v>0</v>
      </c>
      <c r="AM202">
        <v>240</v>
      </c>
      <c r="AN202">
        <v>-72</v>
      </c>
      <c r="AO202">
        <v>0</v>
      </c>
      <c r="AP202">
        <v>240</v>
      </c>
      <c r="AQ202">
        <v>-72</v>
      </c>
      <c r="AR202">
        <v>0</v>
      </c>
      <c r="AT202">
        <v>0</v>
      </c>
      <c r="AU202">
        <v>0</v>
      </c>
      <c r="AW202">
        <v>0</v>
      </c>
      <c r="AX202">
        <v>0</v>
      </c>
      <c r="AY202">
        <v>2217.6</v>
      </c>
      <c r="BA202" t="str">
        <f t="shared" si="36"/>
        <v>0000000000000</v>
      </c>
      <c r="BC202" t="str">
        <f t="shared" si="43"/>
        <v>9791137603882</v>
      </c>
      <c r="BE202" t="str">
        <f t="shared" si="37"/>
        <v>웹툰 &gt; 해외 순정</v>
      </c>
      <c r="BF202" t="str">
        <f t="shared" si="44"/>
        <v>웹툰 &gt; 로판</v>
      </c>
    </row>
    <row r="203" spans="1:58" x14ac:dyDescent="0.3">
      <c r="A203">
        <v>4421001305</v>
      </c>
      <c r="B203">
        <v>4421002949</v>
      </c>
      <c r="C203" t="str">
        <f>T("악역이지만, 남주는 꼬시지 않아요 33화")</f>
        <v>악역이지만, 남주는 꼬시지 않아요 33화</v>
      </c>
      <c r="D203" t="str">
        <f>T("33")</f>
        <v>33</v>
      </c>
      <c r="E203" t="str">
        <f t="shared" si="40"/>
        <v>마북명</v>
      </c>
      <c r="G203" t="str">
        <f t="shared" si="41"/>
        <v>kuri</v>
      </c>
      <c r="H203" t="str">
        <f t="shared" si="39"/>
        <v>스토리위즈</v>
      </c>
      <c r="I203" t="str">
        <f t="shared" si="42"/>
        <v>악역이지만, 남주는 꼬시지 않아요</v>
      </c>
      <c r="J203">
        <v>400</v>
      </c>
      <c r="K203">
        <v>400</v>
      </c>
      <c r="L203">
        <v>1</v>
      </c>
      <c r="M203">
        <v>0</v>
      </c>
      <c r="N203">
        <v>2000</v>
      </c>
      <c r="O203">
        <v>10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2400</v>
      </c>
      <c r="AH203">
        <v>11</v>
      </c>
      <c r="AI203">
        <v>0</v>
      </c>
      <c r="AJ203">
        <v>0</v>
      </c>
      <c r="AK203">
        <v>2200</v>
      </c>
      <c r="AL203">
        <v>0</v>
      </c>
      <c r="AM203">
        <v>240</v>
      </c>
      <c r="AN203">
        <v>-72</v>
      </c>
      <c r="AO203">
        <v>0</v>
      </c>
      <c r="AP203">
        <v>240</v>
      </c>
      <c r="AQ203">
        <v>-72</v>
      </c>
      <c r="AR203">
        <v>0</v>
      </c>
      <c r="AT203">
        <v>0</v>
      </c>
      <c r="AU203">
        <v>0</v>
      </c>
      <c r="AW203">
        <v>0</v>
      </c>
      <c r="AX203">
        <v>0</v>
      </c>
      <c r="AY203">
        <v>1657.6</v>
      </c>
      <c r="BA203" t="str">
        <f t="shared" si="36"/>
        <v>0000000000000</v>
      </c>
      <c r="BC203" t="str">
        <f t="shared" si="43"/>
        <v>9791137603882</v>
      </c>
      <c r="BE203" t="str">
        <f t="shared" si="37"/>
        <v>웹툰 &gt; 해외 순정</v>
      </c>
      <c r="BF203" t="str">
        <f t="shared" si="44"/>
        <v>웹툰 &gt; 로판</v>
      </c>
    </row>
    <row r="204" spans="1:58" x14ac:dyDescent="0.3">
      <c r="A204">
        <v>4421001305</v>
      </c>
      <c r="B204">
        <v>4421001558</v>
      </c>
      <c r="C204" t="str">
        <f>T("악역이지만, 남주는 꼬시지 않아요 28화")</f>
        <v>악역이지만, 남주는 꼬시지 않아요 28화</v>
      </c>
      <c r="D204" t="str">
        <f>T("28")</f>
        <v>28</v>
      </c>
      <c r="E204" t="str">
        <f t="shared" si="40"/>
        <v>마북명</v>
      </c>
      <c r="G204" t="str">
        <f t="shared" si="41"/>
        <v>kuri</v>
      </c>
      <c r="H204" t="str">
        <f t="shared" si="39"/>
        <v>스토리위즈</v>
      </c>
      <c r="I204" t="str">
        <f t="shared" si="42"/>
        <v>악역이지만, 남주는 꼬시지 않아요</v>
      </c>
      <c r="J204">
        <v>400</v>
      </c>
      <c r="K204">
        <v>400</v>
      </c>
      <c r="L204">
        <v>1</v>
      </c>
      <c r="M204">
        <v>0</v>
      </c>
      <c r="N204">
        <v>2200</v>
      </c>
      <c r="O204">
        <v>11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2600</v>
      </c>
      <c r="AH204">
        <v>12</v>
      </c>
      <c r="AI204">
        <v>0</v>
      </c>
      <c r="AJ204">
        <v>0</v>
      </c>
      <c r="AK204">
        <v>2400</v>
      </c>
      <c r="AL204">
        <v>0</v>
      </c>
      <c r="AM204">
        <v>240</v>
      </c>
      <c r="AN204">
        <v>-72</v>
      </c>
      <c r="AO204">
        <v>0</v>
      </c>
      <c r="AP204">
        <v>240</v>
      </c>
      <c r="AQ204">
        <v>-72</v>
      </c>
      <c r="AR204">
        <v>0</v>
      </c>
      <c r="AT204">
        <v>0</v>
      </c>
      <c r="AU204">
        <v>0</v>
      </c>
      <c r="AW204">
        <v>0</v>
      </c>
      <c r="AX204">
        <v>0</v>
      </c>
      <c r="AY204">
        <v>1797.6</v>
      </c>
      <c r="BA204" t="str">
        <f t="shared" si="36"/>
        <v>0000000000000</v>
      </c>
      <c r="BC204" t="str">
        <f t="shared" si="43"/>
        <v>9791137603882</v>
      </c>
      <c r="BE204" t="str">
        <f t="shared" si="37"/>
        <v>웹툰 &gt; 해외 순정</v>
      </c>
      <c r="BF204" t="str">
        <f t="shared" si="44"/>
        <v>웹툰 &gt; 로판</v>
      </c>
    </row>
    <row r="205" spans="1:58" x14ac:dyDescent="0.3">
      <c r="A205">
        <v>4421001305</v>
      </c>
      <c r="B205">
        <v>4421002986</v>
      </c>
      <c r="C205" t="str">
        <f>T("악역이지만, 남주는 꼬시지 않아요 38화")</f>
        <v>악역이지만, 남주는 꼬시지 않아요 38화</v>
      </c>
      <c r="D205" t="str">
        <f>T("38")</f>
        <v>38</v>
      </c>
      <c r="E205" t="str">
        <f t="shared" si="40"/>
        <v>마북명</v>
      </c>
      <c r="G205" t="str">
        <f t="shared" si="41"/>
        <v>kuri</v>
      </c>
      <c r="H205" t="str">
        <f t="shared" si="39"/>
        <v>스토리위즈</v>
      </c>
      <c r="I205" t="str">
        <f t="shared" si="42"/>
        <v>악역이지만, 남주는 꼬시지 않아요</v>
      </c>
      <c r="J205">
        <v>400</v>
      </c>
      <c r="K205">
        <v>400</v>
      </c>
      <c r="L205">
        <v>1</v>
      </c>
      <c r="M205">
        <v>0</v>
      </c>
      <c r="N205">
        <v>2000</v>
      </c>
      <c r="O205">
        <v>10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2400</v>
      </c>
      <c r="AH205">
        <v>11</v>
      </c>
      <c r="AI205">
        <v>0</v>
      </c>
      <c r="AJ205">
        <v>0</v>
      </c>
      <c r="AK205">
        <v>2200</v>
      </c>
      <c r="AL205">
        <v>0</v>
      </c>
      <c r="AM205">
        <v>240</v>
      </c>
      <c r="AN205">
        <v>-72</v>
      </c>
      <c r="AO205">
        <v>0</v>
      </c>
      <c r="AP205">
        <v>240</v>
      </c>
      <c r="AQ205">
        <v>-72</v>
      </c>
      <c r="AR205">
        <v>0</v>
      </c>
      <c r="AT205">
        <v>0</v>
      </c>
      <c r="AU205">
        <v>0</v>
      </c>
      <c r="AW205">
        <v>0</v>
      </c>
      <c r="AX205">
        <v>0</v>
      </c>
      <c r="AY205">
        <v>1657.6</v>
      </c>
      <c r="BA205" t="str">
        <f t="shared" si="36"/>
        <v>0000000000000</v>
      </c>
      <c r="BC205" t="str">
        <f t="shared" si="43"/>
        <v>9791137603882</v>
      </c>
      <c r="BE205" t="str">
        <f t="shared" si="37"/>
        <v>웹툰 &gt; 해외 순정</v>
      </c>
      <c r="BF205" t="str">
        <f t="shared" si="44"/>
        <v>웹툰 &gt; 로판</v>
      </c>
    </row>
    <row r="206" spans="1:58" x14ac:dyDescent="0.3">
      <c r="A206">
        <v>4421001305</v>
      </c>
      <c r="B206">
        <v>4421001557</v>
      </c>
      <c r="C206" t="str">
        <f>T("악역이지만, 남주는 꼬시지 않아요 27화")</f>
        <v>악역이지만, 남주는 꼬시지 않아요 27화</v>
      </c>
      <c r="D206" t="str">
        <f>T("27")</f>
        <v>27</v>
      </c>
      <c r="E206" t="str">
        <f t="shared" si="40"/>
        <v>마북명</v>
      </c>
      <c r="G206" t="str">
        <f t="shared" si="41"/>
        <v>kuri</v>
      </c>
      <c r="H206" t="str">
        <f t="shared" si="39"/>
        <v>스토리위즈</v>
      </c>
      <c r="I206" t="str">
        <f t="shared" si="42"/>
        <v>악역이지만, 남주는 꼬시지 않아요</v>
      </c>
      <c r="J206">
        <v>400</v>
      </c>
      <c r="K206">
        <v>400</v>
      </c>
      <c r="L206">
        <v>1</v>
      </c>
      <c r="M206">
        <v>0</v>
      </c>
      <c r="N206">
        <v>2200</v>
      </c>
      <c r="O206">
        <v>11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2600</v>
      </c>
      <c r="AH206">
        <v>12</v>
      </c>
      <c r="AI206">
        <v>0</v>
      </c>
      <c r="AJ206">
        <v>0</v>
      </c>
      <c r="AK206">
        <v>2400</v>
      </c>
      <c r="AL206">
        <v>0</v>
      </c>
      <c r="AM206">
        <v>240</v>
      </c>
      <c r="AN206">
        <v>-72</v>
      </c>
      <c r="AO206">
        <v>0</v>
      </c>
      <c r="AP206">
        <v>240</v>
      </c>
      <c r="AQ206">
        <v>-72</v>
      </c>
      <c r="AR206">
        <v>0</v>
      </c>
      <c r="AT206">
        <v>0</v>
      </c>
      <c r="AU206">
        <v>0</v>
      </c>
      <c r="AW206">
        <v>0</v>
      </c>
      <c r="AX206">
        <v>0</v>
      </c>
      <c r="AY206">
        <v>1797.6</v>
      </c>
      <c r="BA206" t="str">
        <f t="shared" si="36"/>
        <v>0000000000000</v>
      </c>
      <c r="BC206" t="str">
        <f t="shared" si="43"/>
        <v>9791137603882</v>
      </c>
      <c r="BE206" t="str">
        <f t="shared" si="37"/>
        <v>웹툰 &gt; 해외 순정</v>
      </c>
      <c r="BF206" t="str">
        <f t="shared" si="44"/>
        <v>웹툰 &gt; 로판</v>
      </c>
    </row>
    <row r="207" spans="1:58" x14ac:dyDescent="0.3">
      <c r="A207">
        <v>4421000866</v>
      </c>
      <c r="B207">
        <v>4421003107</v>
      </c>
      <c r="C207" t="str">
        <f>T("최애에게 들켜버렸다 105화")</f>
        <v>최애에게 들켜버렸다 105화</v>
      </c>
      <c r="D207" t="str">
        <f>T("108")</f>
        <v>108</v>
      </c>
      <c r="E207" t="str">
        <f>T("Lv")</f>
        <v>Lv</v>
      </c>
      <c r="G207" t="str">
        <f>T("Lv")</f>
        <v>Lv</v>
      </c>
      <c r="H207" t="str">
        <f t="shared" si="39"/>
        <v>스토리위즈</v>
      </c>
      <c r="I207" t="str">
        <f>T("최애에게 들켜버렸다")</f>
        <v>최애에게 들켜버렸다</v>
      </c>
      <c r="J207">
        <v>400</v>
      </c>
      <c r="K207">
        <v>400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400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480</v>
      </c>
      <c r="AN207">
        <v>-144</v>
      </c>
      <c r="AO207">
        <v>0</v>
      </c>
      <c r="AP207"/>
      <c r="AQ207">
        <v>0</v>
      </c>
      <c r="AR207">
        <v>0</v>
      </c>
      <c r="AS207">
        <v>480</v>
      </c>
      <c r="AT207">
        <v>-144</v>
      </c>
      <c r="AU207">
        <v>0</v>
      </c>
      <c r="AW207">
        <v>0</v>
      </c>
      <c r="AX207">
        <v>0</v>
      </c>
      <c r="AY207">
        <v>235.2</v>
      </c>
      <c r="BA207" t="str">
        <f t="shared" si="36"/>
        <v>0000000000000</v>
      </c>
      <c r="BC207" t="str">
        <f>T("9791137601253")</f>
        <v>9791137601253</v>
      </c>
      <c r="BE207" t="str">
        <f t="shared" si="37"/>
        <v>웹툰 &gt; 해외 순정</v>
      </c>
      <c r="BF207" t="str">
        <f>T("웹툰 &gt; 로맨스")</f>
        <v>웹툰 &gt; 로맨스</v>
      </c>
    </row>
    <row r="208" spans="1:58" x14ac:dyDescent="0.3">
      <c r="A208">
        <v>4421000887</v>
      </c>
      <c r="B208">
        <v>4421001282</v>
      </c>
      <c r="C208" t="str">
        <f>T("폭군의 눈물 52화")</f>
        <v>폭군의 눈물 52화</v>
      </c>
      <c r="D208" t="str">
        <f>T("52")</f>
        <v>52</v>
      </c>
      <c r="E208" t="str">
        <f>T("Ice×FANFAN COMIC")</f>
        <v>Ice×FANFAN COMIC</v>
      </c>
      <c r="G208" t="str">
        <f>T("Ice×FANFAN COMIC")</f>
        <v>Ice×FANFAN COMIC</v>
      </c>
      <c r="H208" t="str">
        <f t="shared" si="39"/>
        <v>스토리위즈</v>
      </c>
      <c r="I208" t="str">
        <f>T("폭군의 눈물")</f>
        <v>폭군의 눈물</v>
      </c>
      <c r="J208">
        <v>400</v>
      </c>
      <c r="K208">
        <v>400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400</v>
      </c>
      <c r="AH208">
        <v>1</v>
      </c>
      <c r="AI208">
        <v>0</v>
      </c>
      <c r="AJ208">
        <v>0</v>
      </c>
      <c r="AK208">
        <v>400</v>
      </c>
      <c r="AL208">
        <v>0</v>
      </c>
      <c r="AM208">
        <v>0</v>
      </c>
      <c r="AN208">
        <v>0</v>
      </c>
      <c r="AO208">
        <v>0</v>
      </c>
      <c r="AP208"/>
      <c r="AQ208">
        <v>0</v>
      </c>
      <c r="AR208">
        <v>0</v>
      </c>
      <c r="AT208">
        <v>0</v>
      </c>
      <c r="AU208">
        <v>0</v>
      </c>
      <c r="AW208">
        <v>0</v>
      </c>
      <c r="AX208">
        <v>0</v>
      </c>
      <c r="AY208">
        <v>280</v>
      </c>
      <c r="BA208" t="str">
        <f t="shared" si="36"/>
        <v>0000000000000</v>
      </c>
      <c r="BC208" t="str">
        <f>T("9791137601291")</f>
        <v>9791137601291</v>
      </c>
      <c r="BE208" t="str">
        <f t="shared" si="37"/>
        <v>웹툰 &gt; 해외 순정</v>
      </c>
      <c r="BF208" t="str">
        <f t="shared" ref="BF208:BF218" si="45">T("웹툰 &gt; 로판")</f>
        <v>웹툰 &gt; 로판</v>
      </c>
    </row>
    <row r="209" spans="1:58" x14ac:dyDescent="0.3">
      <c r="A209">
        <v>4421001305</v>
      </c>
      <c r="B209">
        <v>4421001319</v>
      </c>
      <c r="C209" t="str">
        <f>T("악역이지만, 남주는 꼬시지 않아요 15화")</f>
        <v>악역이지만, 남주는 꼬시지 않아요 15화</v>
      </c>
      <c r="D209" t="str">
        <f>T("15")</f>
        <v>15</v>
      </c>
      <c r="E209" t="str">
        <f>T("마북명")</f>
        <v>마북명</v>
      </c>
      <c r="G209" t="str">
        <f>T("kuri")</f>
        <v>kuri</v>
      </c>
      <c r="H209" t="str">
        <f t="shared" si="39"/>
        <v>스토리위즈</v>
      </c>
      <c r="I209" t="str">
        <f>T("악역이지만, 남주는 꼬시지 않아요")</f>
        <v>악역이지만, 남주는 꼬시지 않아요</v>
      </c>
      <c r="J209">
        <v>400</v>
      </c>
      <c r="K209">
        <v>400</v>
      </c>
      <c r="L209">
        <v>1</v>
      </c>
      <c r="M209">
        <v>0</v>
      </c>
      <c r="N209">
        <v>3000</v>
      </c>
      <c r="O209">
        <v>15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3400</v>
      </c>
      <c r="AH209">
        <v>16</v>
      </c>
      <c r="AI209">
        <v>0</v>
      </c>
      <c r="AJ209">
        <v>0</v>
      </c>
      <c r="AK209">
        <v>3200</v>
      </c>
      <c r="AL209">
        <v>0</v>
      </c>
      <c r="AM209">
        <v>240</v>
      </c>
      <c r="AN209">
        <v>-72</v>
      </c>
      <c r="AO209">
        <v>0</v>
      </c>
      <c r="AP209">
        <v>240</v>
      </c>
      <c r="AQ209">
        <v>-72</v>
      </c>
      <c r="AR209">
        <v>0</v>
      </c>
      <c r="AT209">
        <v>0</v>
      </c>
      <c r="AU209">
        <v>0</v>
      </c>
      <c r="AW209">
        <v>0</v>
      </c>
      <c r="AX209">
        <v>0</v>
      </c>
      <c r="AY209">
        <v>2357.6</v>
      </c>
      <c r="BA209" t="str">
        <f t="shared" si="36"/>
        <v>0000000000000</v>
      </c>
      <c r="BC209" t="str">
        <f>T("9791137603882")</f>
        <v>9791137603882</v>
      </c>
      <c r="BE209" t="str">
        <f t="shared" si="37"/>
        <v>웹툰 &gt; 해외 순정</v>
      </c>
      <c r="BF209" t="str">
        <f t="shared" si="45"/>
        <v>웹툰 &gt; 로판</v>
      </c>
    </row>
    <row r="210" spans="1:58" x14ac:dyDescent="0.3">
      <c r="A210">
        <v>4421001377</v>
      </c>
      <c r="B210">
        <v>4421003103</v>
      </c>
      <c r="C210" t="str">
        <f>T("요괴님은 수련중 50화")</f>
        <v>요괴님은 수련중 50화</v>
      </c>
      <c r="D210" t="str">
        <f>T("50")</f>
        <v>50</v>
      </c>
      <c r="E210" t="str">
        <f>T("화방")</f>
        <v>화방</v>
      </c>
      <c r="G210" t="str">
        <f>T("망북")</f>
        <v>망북</v>
      </c>
      <c r="H210" t="str">
        <f t="shared" si="39"/>
        <v>스토리위즈</v>
      </c>
      <c r="I210" t="str">
        <f>T("요괴님은 수련중")</f>
        <v>요괴님은 수련중</v>
      </c>
      <c r="J210">
        <v>400</v>
      </c>
      <c r="K210">
        <v>400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400</v>
      </c>
      <c r="AH210">
        <v>1</v>
      </c>
      <c r="AI210">
        <v>0</v>
      </c>
      <c r="AJ210">
        <v>0</v>
      </c>
      <c r="AK210">
        <v>400</v>
      </c>
      <c r="AL210">
        <v>0</v>
      </c>
      <c r="AM210">
        <v>0</v>
      </c>
      <c r="AN210">
        <v>0</v>
      </c>
      <c r="AO210">
        <v>0</v>
      </c>
      <c r="AP210"/>
      <c r="AQ210">
        <v>0</v>
      </c>
      <c r="AR210">
        <v>0</v>
      </c>
      <c r="AT210">
        <v>0</v>
      </c>
      <c r="AU210">
        <v>0</v>
      </c>
      <c r="AW210">
        <v>0</v>
      </c>
      <c r="AX210">
        <v>0</v>
      </c>
      <c r="AY210">
        <v>280</v>
      </c>
      <c r="BA210" t="str">
        <f t="shared" si="36"/>
        <v>0000000000000</v>
      </c>
      <c r="BC210" t="str">
        <f>T("9791137603899")</f>
        <v>9791137603899</v>
      </c>
      <c r="BE210" t="str">
        <f t="shared" si="37"/>
        <v>웹툰 &gt; 해외 순정</v>
      </c>
      <c r="BF210" t="str">
        <f t="shared" si="45"/>
        <v>웹툰 &gt; 로판</v>
      </c>
    </row>
    <row r="211" spans="1:58" x14ac:dyDescent="0.3">
      <c r="A211">
        <v>4421001377</v>
      </c>
      <c r="B211">
        <v>4421003118</v>
      </c>
      <c r="C211" t="str">
        <f>T("요괴님은 수련중 52화")</f>
        <v>요괴님은 수련중 52화</v>
      </c>
      <c r="D211" t="str">
        <f>T("52")</f>
        <v>52</v>
      </c>
      <c r="E211" t="str">
        <f>T("화방")</f>
        <v>화방</v>
      </c>
      <c r="G211" t="str">
        <f>T("망북")</f>
        <v>망북</v>
      </c>
      <c r="H211" t="str">
        <f t="shared" si="39"/>
        <v>스토리위즈</v>
      </c>
      <c r="I211" t="str">
        <f>T("요괴님은 수련중")</f>
        <v>요괴님은 수련중</v>
      </c>
      <c r="J211">
        <v>400</v>
      </c>
      <c r="K211">
        <v>400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400</v>
      </c>
      <c r="AH211">
        <v>1</v>
      </c>
      <c r="AI211">
        <v>0</v>
      </c>
      <c r="AJ211">
        <v>0</v>
      </c>
      <c r="AK211">
        <v>400</v>
      </c>
      <c r="AL211">
        <v>0</v>
      </c>
      <c r="AM211">
        <v>0</v>
      </c>
      <c r="AN211">
        <v>0</v>
      </c>
      <c r="AO211">
        <v>0</v>
      </c>
      <c r="AP211"/>
      <c r="AQ211">
        <v>0</v>
      </c>
      <c r="AR211">
        <v>0</v>
      </c>
      <c r="AT211">
        <v>0</v>
      </c>
      <c r="AU211">
        <v>0</v>
      </c>
      <c r="AW211">
        <v>0</v>
      </c>
      <c r="AX211">
        <v>0</v>
      </c>
      <c r="AY211">
        <v>280</v>
      </c>
      <c r="BA211" t="str">
        <f t="shared" si="36"/>
        <v>0000000000000</v>
      </c>
      <c r="BC211" t="str">
        <f>T("9791137603899")</f>
        <v>9791137603899</v>
      </c>
      <c r="BE211" t="str">
        <f t="shared" si="37"/>
        <v>웹툰 &gt; 해외 순정</v>
      </c>
      <c r="BF211" t="str">
        <f t="shared" si="45"/>
        <v>웹툰 &gt; 로판</v>
      </c>
    </row>
    <row r="212" spans="1:58" x14ac:dyDescent="0.3">
      <c r="A212">
        <v>4421000887</v>
      </c>
      <c r="B212">
        <v>4421001241</v>
      </c>
      <c r="C212" t="str">
        <f>T("폭군의 눈물 44화")</f>
        <v>폭군의 눈물 44화</v>
      </c>
      <c r="D212" t="str">
        <f>T("44")</f>
        <v>44</v>
      </c>
      <c r="E212" t="str">
        <f>T("Ice×FANFAN COMIC")</f>
        <v>Ice×FANFAN COMIC</v>
      </c>
      <c r="G212" t="str">
        <f>T("Ice×FANFAN COMIC")</f>
        <v>Ice×FANFAN COMIC</v>
      </c>
      <c r="H212" t="str">
        <f t="shared" si="39"/>
        <v>스토리위즈</v>
      </c>
      <c r="I212" t="str">
        <f>T("폭군의 눈물")</f>
        <v>폭군의 눈물</v>
      </c>
      <c r="J212">
        <v>400</v>
      </c>
      <c r="K212">
        <v>400</v>
      </c>
      <c r="L212">
        <v>1</v>
      </c>
      <c r="M212">
        <v>0</v>
      </c>
      <c r="N212">
        <v>200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600</v>
      </c>
      <c r="AH212">
        <v>2</v>
      </c>
      <c r="AI212">
        <v>0</v>
      </c>
      <c r="AJ212">
        <v>0</v>
      </c>
      <c r="AK212">
        <v>600</v>
      </c>
      <c r="AL212">
        <v>0</v>
      </c>
      <c r="AM212">
        <v>0</v>
      </c>
      <c r="AN212">
        <v>0</v>
      </c>
      <c r="AO212">
        <v>0</v>
      </c>
      <c r="AP212"/>
      <c r="AQ212">
        <v>0</v>
      </c>
      <c r="AR212">
        <v>0</v>
      </c>
      <c r="AT212">
        <v>0</v>
      </c>
      <c r="AU212">
        <v>0</v>
      </c>
      <c r="AW212">
        <v>0</v>
      </c>
      <c r="AX212">
        <v>0</v>
      </c>
      <c r="AY212">
        <v>420</v>
      </c>
      <c r="BA212" t="str">
        <f t="shared" si="36"/>
        <v>0000000000000</v>
      </c>
      <c r="BC212" t="str">
        <f>T("9791137601291")</f>
        <v>9791137601291</v>
      </c>
      <c r="BE212" t="str">
        <f t="shared" si="37"/>
        <v>웹툰 &gt; 해외 순정</v>
      </c>
      <c r="BF212" t="str">
        <f t="shared" si="45"/>
        <v>웹툰 &gt; 로판</v>
      </c>
    </row>
    <row r="213" spans="1:58" x14ac:dyDescent="0.3">
      <c r="A213">
        <v>4421001305</v>
      </c>
      <c r="B213">
        <v>4421003000</v>
      </c>
      <c r="C213" t="str">
        <f>T("악역이지만, 남주는 꼬시지 않아요 41화")</f>
        <v>악역이지만, 남주는 꼬시지 않아요 41화</v>
      </c>
      <c r="D213" t="str">
        <f>T("41")</f>
        <v>41</v>
      </c>
      <c r="E213" t="str">
        <f>T("마북명")</f>
        <v>마북명</v>
      </c>
      <c r="G213" t="str">
        <f>T("kuri")</f>
        <v>kuri</v>
      </c>
      <c r="H213" t="str">
        <f t="shared" si="39"/>
        <v>스토리위즈</v>
      </c>
      <c r="I213" t="str">
        <f>T("악역이지만, 남주는 꼬시지 않아요")</f>
        <v>악역이지만, 남주는 꼬시지 않아요</v>
      </c>
      <c r="J213">
        <v>400</v>
      </c>
      <c r="K213">
        <v>400</v>
      </c>
      <c r="L213">
        <v>1</v>
      </c>
      <c r="M213">
        <v>0</v>
      </c>
      <c r="N213">
        <v>2400</v>
      </c>
      <c r="O213">
        <v>12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2800</v>
      </c>
      <c r="AH213">
        <v>13</v>
      </c>
      <c r="AI213">
        <v>0</v>
      </c>
      <c r="AJ213">
        <v>0</v>
      </c>
      <c r="AK213">
        <v>2400</v>
      </c>
      <c r="AL213">
        <v>0</v>
      </c>
      <c r="AM213">
        <v>480</v>
      </c>
      <c r="AN213">
        <v>-96</v>
      </c>
      <c r="AO213">
        <v>0</v>
      </c>
      <c r="AP213">
        <v>240</v>
      </c>
      <c r="AQ213">
        <v>-72</v>
      </c>
      <c r="AR213">
        <v>0</v>
      </c>
      <c r="AS213">
        <v>240</v>
      </c>
      <c r="AT213">
        <v>-24</v>
      </c>
      <c r="AU213">
        <v>0</v>
      </c>
      <c r="AW213">
        <v>0</v>
      </c>
      <c r="AX213">
        <v>0</v>
      </c>
      <c r="AY213">
        <v>1948.8</v>
      </c>
      <c r="BA213" t="str">
        <f t="shared" si="36"/>
        <v>0000000000000</v>
      </c>
      <c r="BC213" t="str">
        <f>T("9791137603882")</f>
        <v>9791137603882</v>
      </c>
      <c r="BE213" t="str">
        <f t="shared" si="37"/>
        <v>웹툰 &gt; 해외 순정</v>
      </c>
      <c r="BF213" t="str">
        <f t="shared" si="45"/>
        <v>웹툰 &gt; 로판</v>
      </c>
    </row>
    <row r="214" spans="1:58" x14ac:dyDescent="0.3">
      <c r="A214">
        <v>4421001305</v>
      </c>
      <c r="B214">
        <v>4421001458</v>
      </c>
      <c r="C214" t="str">
        <f>T("악역이지만, 남주는 꼬시지 않아요 22화")</f>
        <v>악역이지만, 남주는 꼬시지 않아요 22화</v>
      </c>
      <c r="D214" t="str">
        <f>T("22")</f>
        <v>22</v>
      </c>
      <c r="E214" t="str">
        <f>T("마북명")</f>
        <v>마북명</v>
      </c>
      <c r="G214" t="str">
        <f>T("kuri")</f>
        <v>kuri</v>
      </c>
      <c r="H214" t="str">
        <f t="shared" si="39"/>
        <v>스토리위즈</v>
      </c>
      <c r="I214" t="str">
        <f>T("악역이지만, 남주는 꼬시지 않아요")</f>
        <v>악역이지만, 남주는 꼬시지 않아요</v>
      </c>
      <c r="J214">
        <v>400</v>
      </c>
      <c r="K214">
        <v>400</v>
      </c>
      <c r="L214">
        <v>1</v>
      </c>
      <c r="M214">
        <v>0</v>
      </c>
      <c r="N214">
        <v>2800</v>
      </c>
      <c r="O214">
        <v>14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3200</v>
      </c>
      <c r="AH214">
        <v>15</v>
      </c>
      <c r="AI214">
        <v>0</v>
      </c>
      <c r="AJ214">
        <v>0</v>
      </c>
      <c r="AK214">
        <v>3000</v>
      </c>
      <c r="AL214">
        <v>0</v>
      </c>
      <c r="AM214">
        <v>240</v>
      </c>
      <c r="AN214">
        <v>-72</v>
      </c>
      <c r="AO214">
        <v>0</v>
      </c>
      <c r="AP214">
        <v>240</v>
      </c>
      <c r="AQ214">
        <v>-72</v>
      </c>
      <c r="AR214">
        <v>0</v>
      </c>
      <c r="AT214">
        <v>0</v>
      </c>
      <c r="AU214">
        <v>0</v>
      </c>
      <c r="AW214">
        <v>0</v>
      </c>
      <c r="AX214">
        <v>0</v>
      </c>
      <c r="AY214">
        <v>2217.6</v>
      </c>
      <c r="BA214" t="str">
        <f t="shared" si="36"/>
        <v>0000000000000</v>
      </c>
      <c r="BC214" t="str">
        <f>T("9791137603882")</f>
        <v>9791137603882</v>
      </c>
      <c r="BE214" t="str">
        <f t="shared" si="37"/>
        <v>웹툰 &gt; 해외 순정</v>
      </c>
      <c r="BF214" t="str">
        <f t="shared" si="45"/>
        <v>웹툰 &gt; 로판</v>
      </c>
    </row>
    <row r="215" spans="1:58" x14ac:dyDescent="0.3">
      <c r="A215">
        <v>4421000887</v>
      </c>
      <c r="B215">
        <v>4421001260</v>
      </c>
      <c r="C215" t="str">
        <f>T("폭군의 눈물 49화")</f>
        <v>폭군의 눈물 49화</v>
      </c>
      <c r="D215" t="str">
        <f>T("49")</f>
        <v>49</v>
      </c>
      <c r="E215" t="str">
        <f>T("Ice×FANFAN COMIC")</f>
        <v>Ice×FANFAN COMIC</v>
      </c>
      <c r="G215" t="str">
        <f>T("Ice×FANFAN COMIC")</f>
        <v>Ice×FANFAN COMIC</v>
      </c>
      <c r="H215" t="str">
        <f t="shared" si="39"/>
        <v>스토리위즈</v>
      </c>
      <c r="I215" t="str">
        <f>T("폭군의 눈물")</f>
        <v>폭군의 눈물</v>
      </c>
      <c r="J215">
        <v>400</v>
      </c>
      <c r="K215">
        <v>400</v>
      </c>
      <c r="L215">
        <v>1</v>
      </c>
      <c r="M215">
        <v>0</v>
      </c>
      <c r="N215">
        <v>200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600</v>
      </c>
      <c r="AH215">
        <v>2</v>
      </c>
      <c r="AI215">
        <v>0</v>
      </c>
      <c r="AJ215">
        <v>0</v>
      </c>
      <c r="AK215">
        <v>600</v>
      </c>
      <c r="AL215">
        <v>0</v>
      </c>
      <c r="AM215">
        <v>0</v>
      </c>
      <c r="AN215">
        <v>0</v>
      </c>
      <c r="AO215">
        <v>0</v>
      </c>
      <c r="AP215"/>
      <c r="AQ215">
        <v>0</v>
      </c>
      <c r="AR215">
        <v>0</v>
      </c>
      <c r="AT215">
        <v>0</v>
      </c>
      <c r="AU215">
        <v>0</v>
      </c>
      <c r="AW215">
        <v>0</v>
      </c>
      <c r="AX215">
        <v>0</v>
      </c>
      <c r="AY215">
        <v>420</v>
      </c>
      <c r="BA215" t="str">
        <f t="shared" si="36"/>
        <v>0000000000000</v>
      </c>
      <c r="BC215" t="str">
        <f>T("9791137601291")</f>
        <v>9791137601291</v>
      </c>
      <c r="BE215" t="str">
        <f t="shared" si="37"/>
        <v>웹툰 &gt; 해외 순정</v>
      </c>
      <c r="BF215" t="str">
        <f t="shared" si="45"/>
        <v>웹툰 &gt; 로판</v>
      </c>
    </row>
    <row r="216" spans="1:58" x14ac:dyDescent="0.3">
      <c r="A216">
        <v>4421001305</v>
      </c>
      <c r="B216">
        <v>4421002999</v>
      </c>
      <c r="C216" t="str">
        <f>T("악역이지만, 남주는 꼬시지 않아요 40화")</f>
        <v>악역이지만, 남주는 꼬시지 않아요 40화</v>
      </c>
      <c r="D216" t="str">
        <f>T("40")</f>
        <v>40</v>
      </c>
      <c r="E216" t="str">
        <f>T("마북명")</f>
        <v>마북명</v>
      </c>
      <c r="G216" t="str">
        <f>T("kuri")</f>
        <v>kuri</v>
      </c>
      <c r="H216" t="str">
        <f t="shared" si="39"/>
        <v>스토리위즈</v>
      </c>
      <c r="I216" t="str">
        <f>T("악역이지만, 남주는 꼬시지 않아요")</f>
        <v>악역이지만, 남주는 꼬시지 않아요</v>
      </c>
      <c r="J216">
        <v>400</v>
      </c>
      <c r="K216">
        <v>400</v>
      </c>
      <c r="L216">
        <v>1</v>
      </c>
      <c r="M216">
        <v>0</v>
      </c>
      <c r="N216">
        <v>2200</v>
      </c>
      <c r="O216">
        <v>11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2600</v>
      </c>
      <c r="AH216">
        <v>12</v>
      </c>
      <c r="AI216">
        <v>0</v>
      </c>
      <c r="AJ216">
        <v>0</v>
      </c>
      <c r="AK216">
        <v>2220</v>
      </c>
      <c r="AL216">
        <v>0</v>
      </c>
      <c r="AM216">
        <v>456</v>
      </c>
      <c r="AN216">
        <v>-93.6</v>
      </c>
      <c r="AO216">
        <v>0</v>
      </c>
      <c r="AP216">
        <v>240</v>
      </c>
      <c r="AQ216">
        <v>-72</v>
      </c>
      <c r="AR216">
        <v>0</v>
      </c>
      <c r="AS216">
        <v>216</v>
      </c>
      <c r="AT216">
        <v>-21.6</v>
      </c>
      <c r="AU216">
        <v>0</v>
      </c>
      <c r="AW216">
        <v>0</v>
      </c>
      <c r="AX216">
        <v>0</v>
      </c>
      <c r="AY216">
        <v>1807.68</v>
      </c>
      <c r="BA216" t="str">
        <f t="shared" si="36"/>
        <v>0000000000000</v>
      </c>
      <c r="BC216" t="str">
        <f>T("9791137603882")</f>
        <v>9791137603882</v>
      </c>
      <c r="BE216" t="str">
        <f t="shared" si="37"/>
        <v>웹툰 &gt; 해외 순정</v>
      </c>
      <c r="BF216" t="str">
        <f t="shared" si="45"/>
        <v>웹툰 &gt; 로판</v>
      </c>
    </row>
    <row r="217" spans="1:58" x14ac:dyDescent="0.3">
      <c r="A217">
        <v>4421001305</v>
      </c>
      <c r="B217">
        <v>4421001457</v>
      </c>
      <c r="C217" t="str">
        <f>T("악역이지만, 남주는 꼬시지 않아요 21화")</f>
        <v>악역이지만, 남주는 꼬시지 않아요 21화</v>
      </c>
      <c r="D217" t="str">
        <f>T("21")</f>
        <v>21</v>
      </c>
      <c r="E217" t="str">
        <f>T("마북명")</f>
        <v>마북명</v>
      </c>
      <c r="G217" t="str">
        <f>T("kuri")</f>
        <v>kuri</v>
      </c>
      <c r="H217" t="str">
        <f t="shared" si="39"/>
        <v>스토리위즈</v>
      </c>
      <c r="I217" t="str">
        <f>T("악역이지만, 남주는 꼬시지 않아요")</f>
        <v>악역이지만, 남주는 꼬시지 않아요</v>
      </c>
      <c r="J217">
        <v>400</v>
      </c>
      <c r="K217">
        <v>400</v>
      </c>
      <c r="L217">
        <v>1</v>
      </c>
      <c r="M217">
        <v>0</v>
      </c>
      <c r="N217">
        <v>2600</v>
      </c>
      <c r="O217">
        <v>13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3000</v>
      </c>
      <c r="AH217">
        <v>14</v>
      </c>
      <c r="AI217">
        <v>0</v>
      </c>
      <c r="AJ217">
        <v>0</v>
      </c>
      <c r="AK217">
        <v>2800</v>
      </c>
      <c r="AL217">
        <v>0</v>
      </c>
      <c r="AM217">
        <v>240</v>
      </c>
      <c r="AN217">
        <v>-72</v>
      </c>
      <c r="AO217">
        <v>0</v>
      </c>
      <c r="AP217">
        <v>240</v>
      </c>
      <c r="AQ217">
        <v>-72</v>
      </c>
      <c r="AR217">
        <v>0</v>
      </c>
      <c r="AT217">
        <v>0</v>
      </c>
      <c r="AU217">
        <v>0</v>
      </c>
      <c r="AW217">
        <v>0</v>
      </c>
      <c r="AX217">
        <v>0</v>
      </c>
      <c r="AY217">
        <v>2077.6</v>
      </c>
      <c r="BA217" t="str">
        <f t="shared" si="36"/>
        <v>0000000000000</v>
      </c>
      <c r="BC217" t="str">
        <f>T("9791137603882")</f>
        <v>9791137603882</v>
      </c>
      <c r="BE217" t="str">
        <f t="shared" si="37"/>
        <v>웹툰 &gt; 해외 순정</v>
      </c>
      <c r="BF217" t="str">
        <f t="shared" si="45"/>
        <v>웹툰 &gt; 로판</v>
      </c>
    </row>
    <row r="218" spans="1:58" x14ac:dyDescent="0.3">
      <c r="A218">
        <v>4421001305</v>
      </c>
      <c r="B218">
        <v>4421002890</v>
      </c>
      <c r="C218" t="str">
        <f>T("악역이지만, 남주는 꼬시지 않아요 32화")</f>
        <v>악역이지만, 남주는 꼬시지 않아요 32화</v>
      </c>
      <c r="D218" t="str">
        <f>T("32")</f>
        <v>32</v>
      </c>
      <c r="E218" t="str">
        <f>T("마북명")</f>
        <v>마북명</v>
      </c>
      <c r="G218" t="str">
        <f>T("kuri")</f>
        <v>kuri</v>
      </c>
      <c r="H218" t="str">
        <f t="shared" si="39"/>
        <v>스토리위즈</v>
      </c>
      <c r="I218" t="str">
        <f>T("악역이지만, 남주는 꼬시지 않아요")</f>
        <v>악역이지만, 남주는 꼬시지 않아요</v>
      </c>
      <c r="J218">
        <v>400</v>
      </c>
      <c r="K218">
        <v>400</v>
      </c>
      <c r="L218">
        <v>1</v>
      </c>
      <c r="M218">
        <v>0</v>
      </c>
      <c r="N218">
        <v>2200</v>
      </c>
      <c r="O218">
        <v>11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2600</v>
      </c>
      <c r="AH218">
        <v>12</v>
      </c>
      <c r="AI218">
        <v>0</v>
      </c>
      <c r="AJ218">
        <v>0</v>
      </c>
      <c r="AK218">
        <v>2400</v>
      </c>
      <c r="AL218">
        <v>0</v>
      </c>
      <c r="AM218">
        <v>240</v>
      </c>
      <c r="AN218">
        <v>-72</v>
      </c>
      <c r="AO218">
        <v>0</v>
      </c>
      <c r="AP218">
        <v>240</v>
      </c>
      <c r="AQ218">
        <v>-72</v>
      </c>
      <c r="AR218">
        <v>0</v>
      </c>
      <c r="AT218">
        <v>0</v>
      </c>
      <c r="AU218">
        <v>0</v>
      </c>
      <c r="AW218">
        <v>0</v>
      </c>
      <c r="AX218">
        <v>0</v>
      </c>
      <c r="AY218">
        <v>1797.6</v>
      </c>
      <c r="BA218" t="str">
        <f t="shared" si="36"/>
        <v>0000000000000</v>
      </c>
      <c r="BC218" t="str">
        <f>T("9791137603882")</f>
        <v>9791137603882</v>
      </c>
      <c r="BE218" t="str">
        <f t="shared" si="37"/>
        <v>웹툰 &gt; 해외 순정</v>
      </c>
      <c r="BF218" t="str">
        <f t="shared" si="45"/>
        <v>웹툰 &gt; 로판</v>
      </c>
    </row>
    <row r="219" spans="1:58" x14ac:dyDescent="0.3">
      <c r="A219">
        <v>4421002829</v>
      </c>
      <c r="B219">
        <v>4421002844</v>
      </c>
      <c r="C219" t="str">
        <f>T("테두리는 주시하지 않는다 (개정판) 8화")</f>
        <v>테두리는 주시하지 않는다 (개정판) 8화</v>
      </c>
      <c r="D219" t="str">
        <f>T("8")</f>
        <v>8</v>
      </c>
      <c r="E219" t="str">
        <f>T("토찌, 키로즈")</f>
        <v>토찌, 키로즈</v>
      </c>
      <c r="G219" t="str">
        <f>T("마린")</f>
        <v>마린</v>
      </c>
      <c r="H219" t="str">
        <f t="shared" si="39"/>
        <v>스토리위즈</v>
      </c>
      <c r="I219" t="str">
        <f>T("테두리는 주시하지 않는다 (개정판)")</f>
        <v>테두리는 주시하지 않는다 (개정판)</v>
      </c>
      <c r="J219">
        <v>500</v>
      </c>
      <c r="K219">
        <v>0</v>
      </c>
      <c r="L219">
        <v>0</v>
      </c>
      <c r="M219">
        <v>0</v>
      </c>
      <c r="N219">
        <v>6900</v>
      </c>
      <c r="O219">
        <v>23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6900</v>
      </c>
      <c r="AH219">
        <v>23</v>
      </c>
      <c r="AI219">
        <v>0</v>
      </c>
      <c r="AJ219">
        <v>0</v>
      </c>
      <c r="AK219">
        <v>3350</v>
      </c>
      <c r="AL219">
        <v>0</v>
      </c>
      <c r="AM219">
        <v>4260</v>
      </c>
      <c r="AN219">
        <v>-786</v>
      </c>
      <c r="AO219">
        <v>0</v>
      </c>
      <c r="AP219">
        <v>1080</v>
      </c>
      <c r="AQ219">
        <v>-324</v>
      </c>
      <c r="AR219">
        <v>0</v>
      </c>
      <c r="AS219">
        <v>3180</v>
      </c>
      <c r="AT219">
        <v>-462</v>
      </c>
      <c r="AU219">
        <v>0</v>
      </c>
      <c r="AW219">
        <v>0</v>
      </c>
      <c r="AX219">
        <v>0</v>
      </c>
      <c r="AY219">
        <v>4776.8</v>
      </c>
      <c r="BA219" t="str">
        <f t="shared" si="36"/>
        <v>0000000000000</v>
      </c>
      <c r="BC219" t="str">
        <f>T("9791137604681")</f>
        <v>9791137604681</v>
      </c>
      <c r="BE219" t="str">
        <f>T("BL 웹툰 &gt; 웹툰")</f>
        <v>BL 웹툰 &gt; 웹툰</v>
      </c>
    </row>
    <row r="220" spans="1:58" x14ac:dyDescent="0.3">
      <c r="A220">
        <v>4421000518</v>
      </c>
      <c r="B220">
        <v>4421000519</v>
      </c>
      <c r="C220" t="str">
        <f>T("백스테이지 키스신 1화")</f>
        <v>백스테이지 키스신 1화</v>
      </c>
      <c r="D220" t="str">
        <f>T("1")</f>
        <v>1</v>
      </c>
      <c r="E220" t="str">
        <f>T("최도비")</f>
        <v>최도비</v>
      </c>
      <c r="G220" t="str">
        <f>T("수정과")</f>
        <v>수정과</v>
      </c>
      <c r="H220" t="str">
        <f t="shared" si="39"/>
        <v>스토리위즈</v>
      </c>
      <c r="I220" t="str">
        <f>T("백스테이지 키스신")</f>
        <v>백스테이지 키스신</v>
      </c>
      <c r="J220">
        <v>400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/>
      <c r="AQ220">
        <v>0</v>
      </c>
      <c r="AR220">
        <v>0</v>
      </c>
      <c r="AT220">
        <v>0</v>
      </c>
      <c r="AU220">
        <v>0</v>
      </c>
      <c r="AW220">
        <v>0</v>
      </c>
      <c r="AX220">
        <v>0</v>
      </c>
      <c r="AY220">
        <v>0</v>
      </c>
      <c r="BA220" t="str">
        <f t="shared" si="36"/>
        <v>0000000000000</v>
      </c>
      <c r="BC220" t="str">
        <f>T("9791166067990")</f>
        <v>9791166067990</v>
      </c>
      <c r="BE220" t="str">
        <f>T("웹툰 &gt; 로맨스")</f>
        <v>웹툰 &gt; 로맨스</v>
      </c>
    </row>
    <row r="221" spans="1:58" x14ac:dyDescent="0.3">
      <c r="A221">
        <v>4421000001</v>
      </c>
      <c r="B221">
        <v>4421000047</v>
      </c>
      <c r="C221" t="str">
        <f>T("감옥실험 27화")</f>
        <v>감옥실험 27화</v>
      </c>
      <c r="D221" t="str">
        <f>T("27")</f>
        <v>27</v>
      </c>
      <c r="E221" t="str">
        <f>T("Kantetsu")</f>
        <v>Kantetsu</v>
      </c>
      <c r="G221" t="str">
        <f>T("Minase Chiho")</f>
        <v>Minase Chiho</v>
      </c>
      <c r="H221" t="str">
        <f t="shared" si="39"/>
        <v>스토리위즈</v>
      </c>
      <c r="I221" t="str">
        <f>T("감옥실험")</f>
        <v>감옥실험</v>
      </c>
      <c r="J221">
        <v>500</v>
      </c>
      <c r="K221">
        <v>0</v>
      </c>
      <c r="L221">
        <v>0</v>
      </c>
      <c r="M221">
        <v>0</v>
      </c>
      <c r="N221">
        <v>600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600</v>
      </c>
      <c r="AH221">
        <v>2</v>
      </c>
      <c r="AI221">
        <v>0</v>
      </c>
      <c r="AJ221">
        <v>0</v>
      </c>
      <c r="AK221">
        <v>600</v>
      </c>
      <c r="AL221">
        <v>0</v>
      </c>
      <c r="AM221">
        <v>0</v>
      </c>
      <c r="AN221">
        <v>0</v>
      </c>
      <c r="AO221">
        <v>0</v>
      </c>
      <c r="AP221"/>
      <c r="AQ221">
        <v>0</v>
      </c>
      <c r="AR221">
        <v>0</v>
      </c>
      <c r="AT221">
        <v>0</v>
      </c>
      <c r="AU221">
        <v>0</v>
      </c>
      <c r="AW221">
        <v>0</v>
      </c>
      <c r="AX221">
        <v>0</v>
      </c>
      <c r="AY221">
        <v>420</v>
      </c>
      <c r="BC221" t="str">
        <f>T("9791166069406")</f>
        <v>9791166069406</v>
      </c>
      <c r="BE221" t="str">
        <f>T("웹툰 &gt; 드라마")</f>
        <v>웹툰 &gt; 드라마</v>
      </c>
    </row>
    <row r="222" spans="1:58" x14ac:dyDescent="0.3">
      <c r="A222">
        <v>4421000450</v>
      </c>
      <c r="B222">
        <v>4421000486</v>
      </c>
      <c r="C222" t="str">
        <f>T("내 남편의 스토커 36화")</f>
        <v>내 남편의 스토커 36화</v>
      </c>
      <c r="D222" t="str">
        <f>T("36")</f>
        <v>36</v>
      </c>
      <c r="E222" t="str">
        <f>T("혜원")</f>
        <v>혜원</v>
      </c>
      <c r="G222" t="str">
        <f>T("혜원")</f>
        <v>혜원</v>
      </c>
      <c r="H222" t="str">
        <f t="shared" si="39"/>
        <v>스토리위즈</v>
      </c>
      <c r="I222" t="str">
        <f>T("내 남편의 스토커")</f>
        <v>내 남편의 스토커</v>
      </c>
      <c r="J222">
        <v>400</v>
      </c>
      <c r="K222">
        <v>0</v>
      </c>
      <c r="L222">
        <v>0</v>
      </c>
      <c r="M222">
        <v>0</v>
      </c>
      <c r="N222">
        <v>200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200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240</v>
      </c>
      <c r="AN222">
        <v>-24</v>
      </c>
      <c r="AO222">
        <v>0</v>
      </c>
      <c r="AP222"/>
      <c r="AQ222">
        <v>0</v>
      </c>
      <c r="AR222">
        <v>0</v>
      </c>
      <c r="AS222">
        <v>240</v>
      </c>
      <c r="AT222">
        <v>-24</v>
      </c>
      <c r="AU222">
        <v>0</v>
      </c>
      <c r="AW222">
        <v>0</v>
      </c>
      <c r="AX222">
        <v>0</v>
      </c>
      <c r="AY222">
        <v>151.19999999999999</v>
      </c>
      <c r="BA222" t="str">
        <f>T("0000000000000")</f>
        <v>0000000000000</v>
      </c>
      <c r="BC222" t="str">
        <f>T("9791166068034")</f>
        <v>9791166068034</v>
      </c>
      <c r="BE222" t="str">
        <f>T("웹툰 &gt; 로맨스")</f>
        <v>웹툰 &gt; 로맨스</v>
      </c>
    </row>
    <row r="223" spans="1:58" x14ac:dyDescent="0.3">
      <c r="A223">
        <v>4421000887</v>
      </c>
      <c r="B223">
        <v>4421000888</v>
      </c>
      <c r="C223" t="str">
        <f>T("폭군의 눈물 2화")</f>
        <v>폭군의 눈물 2화</v>
      </c>
      <c r="D223" t="str">
        <f>T("2")</f>
        <v>2</v>
      </c>
      <c r="E223" t="str">
        <f>T("Ice×FANFAN COMIC")</f>
        <v>Ice×FANFAN COMIC</v>
      </c>
      <c r="G223" t="str">
        <f>T("Ice×FANFAN COMIC")</f>
        <v>Ice×FANFAN COMIC</v>
      </c>
      <c r="H223" t="str">
        <f t="shared" si="39"/>
        <v>스토리위즈</v>
      </c>
      <c r="I223" t="str">
        <f>T("폭군의 눈물")</f>
        <v>폭군의 눈물</v>
      </c>
      <c r="J223">
        <v>400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/>
      <c r="AQ223">
        <v>0</v>
      </c>
      <c r="AR223">
        <v>0</v>
      </c>
      <c r="AT223">
        <v>0</v>
      </c>
      <c r="AU223">
        <v>0</v>
      </c>
      <c r="AW223">
        <v>0</v>
      </c>
      <c r="AX223">
        <v>0</v>
      </c>
      <c r="AY223">
        <v>0</v>
      </c>
      <c r="BA223" t="str">
        <f>T("0000000000000")</f>
        <v>0000000000000</v>
      </c>
      <c r="BC223" t="str">
        <f>T("9791137601291")</f>
        <v>9791137601291</v>
      </c>
      <c r="BE223" t="str">
        <f>T("웹툰 &gt; 해외 순정")</f>
        <v>웹툰 &gt; 해외 순정</v>
      </c>
      <c r="BF223" t="str">
        <f>T("웹툰 &gt; 로판")</f>
        <v>웹툰 &gt; 로판</v>
      </c>
    </row>
    <row r="224" spans="1:58" x14ac:dyDescent="0.3">
      <c r="A224">
        <v>4421000866</v>
      </c>
      <c r="B224">
        <v>4421001280</v>
      </c>
      <c r="C224" t="str">
        <f>T("최애에게 들켜버렸다 64화")</f>
        <v>최애에게 들켜버렸다 64화</v>
      </c>
      <c r="D224" t="str">
        <f>T("67")</f>
        <v>67</v>
      </c>
      <c r="E224" t="str">
        <f>T("Lv")</f>
        <v>Lv</v>
      </c>
      <c r="G224" t="str">
        <f>T("Lv")</f>
        <v>Lv</v>
      </c>
      <c r="H224" t="str">
        <f t="shared" si="39"/>
        <v>스토리위즈</v>
      </c>
      <c r="I224" t="str">
        <f>T("최애에게 들켜버렸다")</f>
        <v>최애에게 들켜버렸다</v>
      </c>
      <c r="J224">
        <v>400</v>
      </c>
      <c r="K224">
        <v>0</v>
      </c>
      <c r="L224">
        <v>0</v>
      </c>
      <c r="M224">
        <v>0</v>
      </c>
      <c r="N224">
        <v>200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240</v>
      </c>
      <c r="AN224">
        <v>-24</v>
      </c>
      <c r="AO224">
        <v>0</v>
      </c>
      <c r="AP224"/>
      <c r="AQ224">
        <v>0</v>
      </c>
      <c r="AR224">
        <v>0</v>
      </c>
      <c r="AS224">
        <v>240</v>
      </c>
      <c r="AT224">
        <v>-24</v>
      </c>
      <c r="AU224">
        <v>0</v>
      </c>
      <c r="AW224">
        <v>0</v>
      </c>
      <c r="AX224">
        <v>0</v>
      </c>
      <c r="AY224">
        <v>151.19999999999999</v>
      </c>
      <c r="BA224" t="str">
        <f>T("0000000000000")</f>
        <v>0000000000000</v>
      </c>
      <c r="BC224" t="str">
        <f>T("9791137601253")</f>
        <v>9791137601253</v>
      </c>
      <c r="BE224" t="str">
        <f>T("웹툰 &gt; 해외 순정")</f>
        <v>웹툰 &gt; 해외 순정</v>
      </c>
      <c r="BF224" t="str">
        <f>T("웹툰 &gt; 로맨스")</f>
        <v>웹툰 &gt; 로맨스</v>
      </c>
    </row>
    <row r="225" spans="1:58" x14ac:dyDescent="0.3">
      <c r="A225">
        <v>4421001634</v>
      </c>
      <c r="B225">
        <v>4421002520</v>
      </c>
      <c r="C225" t="str">
        <f>T("그남자의 사랑방식 71화")</f>
        <v>그남자의 사랑방식 71화</v>
      </c>
      <c r="D225" t="str">
        <f>T("71")</f>
        <v>71</v>
      </c>
      <c r="E225" t="str">
        <f>T("웹티")</f>
        <v>웹티</v>
      </c>
      <c r="H225" t="str">
        <f t="shared" si="39"/>
        <v>스토리위즈</v>
      </c>
      <c r="I225" t="str">
        <f>T("그남자의 사랑방식")</f>
        <v>그남자의 사랑방식</v>
      </c>
      <c r="J225">
        <v>500</v>
      </c>
      <c r="K225">
        <v>0</v>
      </c>
      <c r="L225">
        <v>0</v>
      </c>
      <c r="M225">
        <v>0</v>
      </c>
      <c r="N225">
        <v>200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240</v>
      </c>
      <c r="AN225">
        <v>-24</v>
      </c>
      <c r="AO225">
        <v>0</v>
      </c>
      <c r="AP225"/>
      <c r="AQ225">
        <v>0</v>
      </c>
      <c r="AR225">
        <v>0</v>
      </c>
      <c r="AS225">
        <v>240</v>
      </c>
      <c r="AT225">
        <v>-24</v>
      </c>
      <c r="AU225">
        <v>0</v>
      </c>
      <c r="AW225">
        <v>0</v>
      </c>
      <c r="AX225">
        <v>0</v>
      </c>
      <c r="AY225">
        <v>151.19999999999999</v>
      </c>
      <c r="BC225" t="str">
        <f>T("9791190622004")</f>
        <v>9791190622004</v>
      </c>
      <c r="BE225" t="str">
        <f>T("BL 웹툰 &gt; 웹툰")</f>
        <v>BL 웹툰 &gt; 웹툰</v>
      </c>
    </row>
    <row r="226" spans="1:58" x14ac:dyDescent="0.3">
      <c r="A226">
        <v>4421001634</v>
      </c>
      <c r="B226">
        <v>4421001639</v>
      </c>
      <c r="C226" t="str">
        <f>T("그남자의 사랑방식 6화")</f>
        <v>그남자의 사랑방식 6화</v>
      </c>
      <c r="D226" t="str">
        <f>T("6")</f>
        <v>6</v>
      </c>
      <c r="E226" t="str">
        <f>T("웹티")</f>
        <v>웹티</v>
      </c>
      <c r="H226" t="str">
        <f t="shared" si="39"/>
        <v>스토리위즈</v>
      </c>
      <c r="I226" t="str">
        <f>T("그남자의 사랑방식")</f>
        <v>그남자의 사랑방식</v>
      </c>
      <c r="J226">
        <v>500</v>
      </c>
      <c r="K226">
        <v>0</v>
      </c>
      <c r="L226">
        <v>0</v>
      </c>
      <c r="M226">
        <v>0</v>
      </c>
      <c r="N226">
        <v>1600</v>
      </c>
      <c r="O226">
        <v>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1600</v>
      </c>
      <c r="AH226">
        <v>8</v>
      </c>
      <c r="AI226">
        <v>0</v>
      </c>
      <c r="AJ226">
        <v>0</v>
      </c>
      <c r="AK226">
        <v>800</v>
      </c>
      <c r="AL226">
        <v>0</v>
      </c>
      <c r="AM226">
        <v>960</v>
      </c>
      <c r="AN226">
        <v>-96</v>
      </c>
      <c r="AO226">
        <v>0</v>
      </c>
      <c r="AP226"/>
      <c r="AQ226">
        <v>0</v>
      </c>
      <c r="AR226">
        <v>0</v>
      </c>
      <c r="AS226">
        <v>960</v>
      </c>
      <c r="AT226">
        <v>-96</v>
      </c>
      <c r="AU226">
        <v>0</v>
      </c>
      <c r="AW226">
        <v>0</v>
      </c>
      <c r="AX226">
        <v>0</v>
      </c>
      <c r="AY226">
        <v>1164.8</v>
      </c>
      <c r="BC226" t="str">
        <f>T("9791190622004")</f>
        <v>9791190622004</v>
      </c>
      <c r="BE226" t="str">
        <f>T("BL 웹툰 &gt; 웹툰")</f>
        <v>BL 웹툰 &gt; 웹툰</v>
      </c>
    </row>
    <row r="227" spans="1:58" x14ac:dyDescent="0.3">
      <c r="A227">
        <v>4421000866</v>
      </c>
      <c r="B227">
        <v>4421001217</v>
      </c>
      <c r="C227" t="str">
        <f>T("최애에게 들켜버렸다 51화")</f>
        <v>최애에게 들켜버렸다 51화</v>
      </c>
      <c r="D227" t="str">
        <f>T("54")</f>
        <v>54</v>
      </c>
      <c r="E227" t="str">
        <f>T("Lv")</f>
        <v>Lv</v>
      </c>
      <c r="G227" t="str">
        <f>T("Lv")</f>
        <v>Lv</v>
      </c>
      <c r="H227" t="str">
        <f t="shared" si="39"/>
        <v>스토리위즈</v>
      </c>
      <c r="I227" t="str">
        <f>T("최애에게 들켜버렸다")</f>
        <v>최애에게 들켜버렸다</v>
      </c>
      <c r="J227">
        <v>400</v>
      </c>
      <c r="K227">
        <v>0</v>
      </c>
      <c r="L227">
        <v>0</v>
      </c>
      <c r="M227">
        <v>0</v>
      </c>
      <c r="N227">
        <v>400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400</v>
      </c>
      <c r="AH227">
        <v>2</v>
      </c>
      <c r="AI227">
        <v>0</v>
      </c>
      <c r="AJ227">
        <v>0</v>
      </c>
      <c r="AK227">
        <v>200</v>
      </c>
      <c r="AL227">
        <v>0</v>
      </c>
      <c r="AM227">
        <v>240</v>
      </c>
      <c r="AN227">
        <v>-24</v>
      </c>
      <c r="AO227">
        <v>0</v>
      </c>
      <c r="AP227"/>
      <c r="AQ227">
        <v>0</v>
      </c>
      <c r="AR227">
        <v>0</v>
      </c>
      <c r="AS227">
        <v>240</v>
      </c>
      <c r="AT227">
        <v>-24</v>
      </c>
      <c r="AU227">
        <v>0</v>
      </c>
      <c r="AW227">
        <v>0</v>
      </c>
      <c r="AX227">
        <v>0</v>
      </c>
      <c r="AY227">
        <v>291.2</v>
      </c>
      <c r="BA227" t="str">
        <f>T("0000000000000")</f>
        <v>0000000000000</v>
      </c>
      <c r="BC227" t="str">
        <f>T("9791137601253")</f>
        <v>9791137601253</v>
      </c>
      <c r="BE227" t="str">
        <f>T("웹툰 &gt; 해외 순정")</f>
        <v>웹툰 &gt; 해외 순정</v>
      </c>
      <c r="BF227" t="str">
        <f>T("웹툰 &gt; 로맨스")</f>
        <v>웹툰 &gt; 로맨스</v>
      </c>
    </row>
    <row r="228" spans="1:58" x14ac:dyDescent="0.3">
      <c r="A228">
        <v>4421001634</v>
      </c>
      <c r="B228">
        <v>4421002552</v>
      </c>
      <c r="C228" t="str">
        <f>T("그남자의 사랑방식 103화")</f>
        <v>그남자의 사랑방식 103화</v>
      </c>
      <c r="D228" t="str">
        <f>T("103")</f>
        <v>103</v>
      </c>
      <c r="E228" t="str">
        <f>T("웹티")</f>
        <v>웹티</v>
      </c>
      <c r="H228" t="str">
        <f t="shared" si="39"/>
        <v>스토리위즈</v>
      </c>
      <c r="I228" t="str">
        <f>T("그남자의 사랑방식")</f>
        <v>그남자의 사랑방식</v>
      </c>
      <c r="J228">
        <v>500</v>
      </c>
      <c r="K228">
        <v>0</v>
      </c>
      <c r="L228">
        <v>0</v>
      </c>
      <c r="M228">
        <v>0</v>
      </c>
      <c r="N228">
        <v>400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400</v>
      </c>
      <c r="AH228">
        <v>2</v>
      </c>
      <c r="AI228">
        <v>0</v>
      </c>
      <c r="AJ228">
        <v>0</v>
      </c>
      <c r="AK228">
        <v>200</v>
      </c>
      <c r="AL228">
        <v>0</v>
      </c>
      <c r="AM228">
        <v>240</v>
      </c>
      <c r="AN228">
        <v>-24</v>
      </c>
      <c r="AO228">
        <v>0</v>
      </c>
      <c r="AP228"/>
      <c r="AQ228">
        <v>0</v>
      </c>
      <c r="AR228">
        <v>0</v>
      </c>
      <c r="AS228">
        <v>240</v>
      </c>
      <c r="AT228">
        <v>-24</v>
      </c>
      <c r="AU228">
        <v>0</v>
      </c>
      <c r="AW228">
        <v>0</v>
      </c>
      <c r="AX228">
        <v>0</v>
      </c>
      <c r="AY228">
        <v>291.2</v>
      </c>
      <c r="BC228" t="str">
        <f>T("9791190622004")</f>
        <v>9791190622004</v>
      </c>
      <c r="BE228" t="str">
        <f>T("BL 웹툰 &gt; 웹툰")</f>
        <v>BL 웹툰 &gt; 웹툰</v>
      </c>
    </row>
    <row r="229" spans="1:58" x14ac:dyDescent="0.3">
      <c r="A229">
        <v>4421001340</v>
      </c>
      <c r="B229">
        <v>4421001371</v>
      </c>
      <c r="C229" t="str">
        <f>T("가출천사 육성계약 32화")</f>
        <v>가출천사 육성계약 32화</v>
      </c>
      <c r="D229" t="str">
        <f>T("32")</f>
        <v>32</v>
      </c>
      <c r="E229" t="str">
        <f>T("Bae.C, IIAKI, 박제후")</f>
        <v>Bae.C, IIAKI, 박제후</v>
      </c>
      <c r="G229" t="str">
        <f>T("Bae.C, 조우")</f>
        <v>Bae.C, 조우</v>
      </c>
      <c r="H229" t="str">
        <f t="shared" si="39"/>
        <v>스토리위즈</v>
      </c>
      <c r="I229" t="str">
        <f>T("가출천사 육성계약")</f>
        <v>가출천사 육성계약</v>
      </c>
      <c r="J229">
        <v>400</v>
      </c>
      <c r="K229">
        <v>0</v>
      </c>
      <c r="L229">
        <v>0</v>
      </c>
      <c r="M229">
        <v>0</v>
      </c>
      <c r="N229">
        <v>200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200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240</v>
      </c>
      <c r="AN229">
        <v>-24</v>
      </c>
      <c r="AO229">
        <v>0</v>
      </c>
      <c r="AP229"/>
      <c r="AQ229">
        <v>0</v>
      </c>
      <c r="AR229">
        <v>0</v>
      </c>
      <c r="AS229">
        <v>240</v>
      </c>
      <c r="AT229">
        <v>-24</v>
      </c>
      <c r="AU229">
        <v>0</v>
      </c>
      <c r="AW229">
        <v>0</v>
      </c>
      <c r="AX229">
        <v>0</v>
      </c>
      <c r="AY229">
        <v>151.19999999999999</v>
      </c>
      <c r="BA229" t="str">
        <f>T("0000000000000")</f>
        <v>0000000000000</v>
      </c>
      <c r="BC229" t="str">
        <f>T("9791191765663")</f>
        <v>9791191765663</v>
      </c>
      <c r="BE229" t="str">
        <f>T("웹툰 &gt; 판타지/SF")</f>
        <v>웹툰 &gt; 판타지/SF</v>
      </c>
    </row>
    <row r="230" spans="1:58" x14ac:dyDescent="0.3">
      <c r="A230">
        <v>4421001634</v>
      </c>
      <c r="B230">
        <v>4421001671</v>
      </c>
      <c r="C230" t="str">
        <f>T("그남자의 사랑방식 38화")</f>
        <v>그남자의 사랑방식 38화</v>
      </c>
      <c r="D230" t="str">
        <f>T("38")</f>
        <v>38</v>
      </c>
      <c r="E230" t="str">
        <f>T("웹티")</f>
        <v>웹티</v>
      </c>
      <c r="H230" t="str">
        <f t="shared" si="39"/>
        <v>스토리위즈</v>
      </c>
      <c r="I230" t="str">
        <f>T("그남자의 사랑방식")</f>
        <v>그남자의 사랑방식</v>
      </c>
      <c r="J230">
        <v>500</v>
      </c>
      <c r="K230">
        <v>0</v>
      </c>
      <c r="L230">
        <v>0</v>
      </c>
      <c r="M230">
        <v>0</v>
      </c>
      <c r="N230">
        <v>800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800</v>
      </c>
      <c r="AH230">
        <v>4</v>
      </c>
      <c r="AI230">
        <v>0</v>
      </c>
      <c r="AJ230">
        <v>0</v>
      </c>
      <c r="AK230">
        <v>400</v>
      </c>
      <c r="AL230">
        <v>0</v>
      </c>
      <c r="AM230">
        <v>480</v>
      </c>
      <c r="AN230">
        <v>-48</v>
      </c>
      <c r="AO230">
        <v>0</v>
      </c>
      <c r="AP230"/>
      <c r="AQ230">
        <v>0</v>
      </c>
      <c r="AR230">
        <v>0</v>
      </c>
      <c r="AS230">
        <v>480</v>
      </c>
      <c r="AT230">
        <v>-48</v>
      </c>
      <c r="AU230">
        <v>0</v>
      </c>
      <c r="AW230">
        <v>0</v>
      </c>
      <c r="AX230">
        <v>0</v>
      </c>
      <c r="AY230">
        <v>582.4</v>
      </c>
      <c r="BC230" t="str">
        <f>T("9791190622004")</f>
        <v>9791190622004</v>
      </c>
      <c r="BE230" t="str">
        <f>T("BL 웹툰 &gt; 웹툰")</f>
        <v>BL 웹툰 &gt; 웹툰</v>
      </c>
    </row>
    <row r="231" spans="1:58" x14ac:dyDescent="0.3">
      <c r="A231">
        <v>4421003015</v>
      </c>
      <c r="B231">
        <v>4421003029</v>
      </c>
      <c r="C231" t="str">
        <f>T("일월성신 14화")</f>
        <v>일월성신 14화</v>
      </c>
      <c r="D231" t="str">
        <f>T("14")</f>
        <v>14</v>
      </c>
      <c r="E231" t="str">
        <f>T("김숙지")</f>
        <v>김숙지</v>
      </c>
      <c r="G231" t="str">
        <f>T("이름표")</f>
        <v>이름표</v>
      </c>
      <c r="H231" t="str">
        <f t="shared" si="39"/>
        <v>스토리위즈</v>
      </c>
      <c r="I231" t="str">
        <f>T("일월성신")</f>
        <v>일월성신</v>
      </c>
      <c r="J231">
        <v>400</v>
      </c>
      <c r="K231">
        <v>0</v>
      </c>
      <c r="L231">
        <v>0</v>
      </c>
      <c r="M231">
        <v>0</v>
      </c>
      <c r="N231">
        <v>600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</v>
      </c>
      <c r="AH231">
        <v>3</v>
      </c>
      <c r="AI231">
        <v>0</v>
      </c>
      <c r="AJ231">
        <v>0</v>
      </c>
      <c r="AK231">
        <v>200</v>
      </c>
      <c r="AL231">
        <v>0</v>
      </c>
      <c r="AM231">
        <v>480</v>
      </c>
      <c r="AN231">
        <v>-96</v>
      </c>
      <c r="AO231">
        <v>0</v>
      </c>
      <c r="AP231">
        <v>240</v>
      </c>
      <c r="AQ231">
        <v>-72</v>
      </c>
      <c r="AR231">
        <v>0</v>
      </c>
      <c r="AS231">
        <v>240</v>
      </c>
      <c r="AT231">
        <v>-24</v>
      </c>
      <c r="AU231">
        <v>0</v>
      </c>
      <c r="AW231">
        <v>0</v>
      </c>
      <c r="AX231">
        <v>0</v>
      </c>
      <c r="AY231">
        <v>408.8</v>
      </c>
      <c r="BA231" t="str">
        <f>T("0000000000000")</f>
        <v>0000000000000</v>
      </c>
      <c r="BC231" t="str">
        <f>T("9791137604605")</f>
        <v>9791137604605</v>
      </c>
      <c r="BE231" t="str">
        <f>T("웹툰 &gt; 드라마")</f>
        <v>웹툰 &gt; 드라마</v>
      </c>
    </row>
    <row r="232" spans="1:58" x14ac:dyDescent="0.3">
      <c r="A232">
        <v>4421001936</v>
      </c>
      <c r="B232">
        <v>4421001937</v>
      </c>
      <c r="C232" t="str">
        <f>T("보스 오빠, 살살! 2화")</f>
        <v>보스 오빠, 살살! 2화</v>
      </c>
      <c r="D232" t="str">
        <f>T("2")</f>
        <v>2</v>
      </c>
      <c r="E232" t="str">
        <f>T("웹티")</f>
        <v>웹티</v>
      </c>
      <c r="H232" t="str">
        <f t="shared" si="39"/>
        <v>스토리위즈</v>
      </c>
      <c r="I232" t="str">
        <f>T("보스 오빠, 살살!")</f>
        <v>보스 오빠, 살살!</v>
      </c>
      <c r="J232">
        <v>0</v>
      </c>
      <c r="K232">
        <v>0</v>
      </c>
      <c r="L232">
        <v>0</v>
      </c>
      <c r="M232">
        <v>17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17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/>
      <c r="AQ232">
        <v>0</v>
      </c>
      <c r="AR232">
        <v>0</v>
      </c>
      <c r="AT232">
        <v>0</v>
      </c>
      <c r="AU232">
        <v>0</v>
      </c>
      <c r="AW232">
        <v>0</v>
      </c>
      <c r="AX232">
        <v>0</v>
      </c>
      <c r="AY232">
        <v>0</v>
      </c>
      <c r="BC232" t="str">
        <f>T("9791190702331")</f>
        <v>9791190702331</v>
      </c>
      <c r="BE232" t="str">
        <f>T("웹툰 &gt; 로맨스")</f>
        <v>웹툰 &gt; 로맨스</v>
      </c>
    </row>
    <row r="233" spans="1:58" x14ac:dyDescent="0.3">
      <c r="A233">
        <v>4421003015</v>
      </c>
      <c r="B233">
        <v>4421003099</v>
      </c>
      <c r="C233" t="str">
        <f>T("일월성신 36화")</f>
        <v>일월성신 36화</v>
      </c>
      <c r="D233" t="str">
        <f>T("36")</f>
        <v>36</v>
      </c>
      <c r="E233" t="str">
        <f>T("김숙지")</f>
        <v>김숙지</v>
      </c>
      <c r="G233" t="str">
        <f>T("이름표")</f>
        <v>이름표</v>
      </c>
      <c r="H233" t="str">
        <f t="shared" si="39"/>
        <v>스토리위즈</v>
      </c>
      <c r="I233" t="str">
        <f>T("일월성신")</f>
        <v>일월성신</v>
      </c>
      <c r="J233">
        <v>400</v>
      </c>
      <c r="K233">
        <v>0</v>
      </c>
      <c r="L233">
        <v>0</v>
      </c>
      <c r="M233">
        <v>0</v>
      </c>
      <c r="N233">
        <v>600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</v>
      </c>
      <c r="AH233">
        <v>3</v>
      </c>
      <c r="AI233">
        <v>0</v>
      </c>
      <c r="AJ233">
        <v>0</v>
      </c>
      <c r="AK233">
        <v>200</v>
      </c>
      <c r="AL233">
        <v>0</v>
      </c>
      <c r="AM233">
        <v>480</v>
      </c>
      <c r="AN233">
        <v>-96</v>
      </c>
      <c r="AO233">
        <v>0</v>
      </c>
      <c r="AP233">
        <v>240</v>
      </c>
      <c r="AQ233">
        <v>-72</v>
      </c>
      <c r="AR233">
        <v>0</v>
      </c>
      <c r="AS233">
        <v>240</v>
      </c>
      <c r="AT233">
        <v>-24</v>
      </c>
      <c r="AU233">
        <v>0</v>
      </c>
      <c r="AW233">
        <v>0</v>
      </c>
      <c r="AX233">
        <v>0</v>
      </c>
      <c r="AY233">
        <v>408.8</v>
      </c>
      <c r="BA233" t="str">
        <f t="shared" ref="BA233:BA239" si="46">T("0000000000000")</f>
        <v>0000000000000</v>
      </c>
      <c r="BC233" t="str">
        <f>T("9791137604605")</f>
        <v>9791137604605</v>
      </c>
      <c r="BE233" t="str">
        <f>T("웹툰 &gt; 드라마")</f>
        <v>웹툰 &gt; 드라마</v>
      </c>
    </row>
    <row r="234" spans="1:58" x14ac:dyDescent="0.3">
      <c r="A234">
        <v>4421000866</v>
      </c>
      <c r="B234">
        <v>4421001534</v>
      </c>
      <c r="C234" t="str">
        <f>T("최애에게 들켜버렸다 79화")</f>
        <v>최애에게 들켜버렸다 79화</v>
      </c>
      <c r="D234" t="str">
        <f>T("82")</f>
        <v>82</v>
      </c>
      <c r="E234" t="str">
        <f>T("Lv")</f>
        <v>Lv</v>
      </c>
      <c r="G234" t="str">
        <f>T("Lv")</f>
        <v>Lv</v>
      </c>
      <c r="H234" t="str">
        <f t="shared" si="39"/>
        <v>스토리위즈</v>
      </c>
      <c r="I234" t="str">
        <f>T("최애에게 들켜버렸다")</f>
        <v>최애에게 들켜버렸다</v>
      </c>
      <c r="J234">
        <v>400</v>
      </c>
      <c r="K234">
        <v>0</v>
      </c>
      <c r="L234">
        <v>0</v>
      </c>
      <c r="M234">
        <v>0</v>
      </c>
      <c r="N234">
        <v>400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400</v>
      </c>
      <c r="AH234">
        <v>2</v>
      </c>
      <c r="AI234">
        <v>0</v>
      </c>
      <c r="AJ234">
        <v>0</v>
      </c>
      <c r="AK234">
        <v>400</v>
      </c>
      <c r="AL234">
        <v>0</v>
      </c>
      <c r="AM234">
        <v>0</v>
      </c>
      <c r="AN234">
        <v>0</v>
      </c>
      <c r="AO234">
        <v>0</v>
      </c>
      <c r="AP234"/>
      <c r="AQ234">
        <v>0</v>
      </c>
      <c r="AR234">
        <v>0</v>
      </c>
      <c r="AT234">
        <v>0</v>
      </c>
      <c r="AU234">
        <v>0</v>
      </c>
      <c r="AW234">
        <v>0</v>
      </c>
      <c r="AX234">
        <v>0</v>
      </c>
      <c r="AY234">
        <v>280</v>
      </c>
      <c r="BA234" t="str">
        <f t="shared" si="46"/>
        <v>0000000000000</v>
      </c>
      <c r="BC234" t="str">
        <f>T("9791137601253")</f>
        <v>9791137601253</v>
      </c>
      <c r="BE234" t="str">
        <f>T("웹툰 &gt; 해외 순정")</f>
        <v>웹툰 &gt; 해외 순정</v>
      </c>
      <c r="BF234" t="str">
        <f>T("웹툰 &gt; 로맨스")</f>
        <v>웹툰 &gt; 로맨스</v>
      </c>
    </row>
    <row r="235" spans="1:58" x14ac:dyDescent="0.3">
      <c r="A235">
        <v>4421000337</v>
      </c>
      <c r="B235">
        <v>4421000340</v>
      </c>
      <c r="C235" t="str">
        <f>T("계약연애, 오늘부터 1일 4화")</f>
        <v>계약연애, 오늘부터 1일 4화</v>
      </c>
      <c r="D235" t="str">
        <f>T("4")</f>
        <v>4</v>
      </c>
      <c r="E235" t="str">
        <f>T("원기공장")</f>
        <v>원기공장</v>
      </c>
      <c r="H235" t="str">
        <f t="shared" si="39"/>
        <v>스토리위즈</v>
      </c>
      <c r="I235" t="str">
        <f>T("계약연애, 오늘부터 1일")</f>
        <v>계약연애, 오늘부터 1일</v>
      </c>
      <c r="J235">
        <v>200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/>
      <c r="AQ235">
        <v>0</v>
      </c>
      <c r="AR235">
        <v>0</v>
      </c>
      <c r="AT235">
        <v>0</v>
      </c>
      <c r="AU235">
        <v>0</v>
      </c>
      <c r="AW235">
        <v>0</v>
      </c>
      <c r="AX235">
        <v>0</v>
      </c>
      <c r="AY235">
        <v>0</v>
      </c>
      <c r="BA235" t="str">
        <f t="shared" si="46"/>
        <v>0000000000000</v>
      </c>
      <c r="BC235" t="str">
        <f>T("9791166068027")</f>
        <v>9791166068027</v>
      </c>
      <c r="BE235" t="str">
        <f>T("웹툰 &gt; 해외 순정")</f>
        <v>웹툰 &gt; 해외 순정</v>
      </c>
      <c r="BF235" t="str">
        <f>T("웹툰 &gt; 로맨스")</f>
        <v>웹툰 &gt; 로맨스</v>
      </c>
    </row>
    <row r="236" spans="1:58" x14ac:dyDescent="0.3">
      <c r="A236">
        <v>4421002305</v>
      </c>
      <c r="B236">
        <v>4421002308</v>
      </c>
      <c r="C236" t="str">
        <f>T("천년의 사랑 3화")</f>
        <v>천년의 사랑 3화</v>
      </c>
      <c r="D236" t="str">
        <f>T("3")</f>
        <v>3</v>
      </c>
      <c r="E236" t="str">
        <f>T("웹티")</f>
        <v>웹티</v>
      </c>
      <c r="H236" t="str">
        <f t="shared" si="39"/>
        <v>스토리위즈</v>
      </c>
      <c r="I236" t="str">
        <f>T("천년의 사랑")</f>
        <v>천년의 사랑</v>
      </c>
      <c r="J236">
        <v>0</v>
      </c>
      <c r="K236">
        <v>0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/>
      <c r="AQ236">
        <v>0</v>
      </c>
      <c r="AR236">
        <v>0</v>
      </c>
      <c r="AT236">
        <v>0</v>
      </c>
      <c r="AU236">
        <v>0</v>
      </c>
      <c r="AW236">
        <v>0</v>
      </c>
      <c r="AX236">
        <v>0</v>
      </c>
      <c r="AY236">
        <v>0</v>
      </c>
      <c r="BA236" t="str">
        <f t="shared" si="46"/>
        <v>0000000000000</v>
      </c>
      <c r="BC236" t="str">
        <f>T("9791190622011")</f>
        <v>9791190622011</v>
      </c>
      <c r="BE236" t="str">
        <f>T("웹툰 &gt; 로맨스")</f>
        <v>웹툰 &gt; 로맨스</v>
      </c>
    </row>
    <row r="237" spans="1:58" x14ac:dyDescent="0.3">
      <c r="A237">
        <v>4421001340</v>
      </c>
      <c r="B237">
        <v>4421001351</v>
      </c>
      <c r="C237" t="str">
        <f>T("가출천사 육성계약 12화")</f>
        <v>가출천사 육성계약 12화</v>
      </c>
      <c r="D237" t="str">
        <f>T("12")</f>
        <v>12</v>
      </c>
      <c r="E237" t="str">
        <f>T("Bae.C, IIAKI, 박제후")</f>
        <v>Bae.C, IIAKI, 박제후</v>
      </c>
      <c r="G237" t="str">
        <f>T("Bae.C, 조우")</f>
        <v>Bae.C, 조우</v>
      </c>
      <c r="H237" t="str">
        <f t="shared" si="39"/>
        <v>스토리위즈</v>
      </c>
      <c r="I237" t="str">
        <f>T("가출천사 육성계약")</f>
        <v>가출천사 육성계약</v>
      </c>
      <c r="J237">
        <v>400</v>
      </c>
      <c r="K237">
        <v>0</v>
      </c>
      <c r="L237">
        <v>0</v>
      </c>
      <c r="M237">
        <v>0</v>
      </c>
      <c r="N237">
        <v>200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240</v>
      </c>
      <c r="AN237">
        <v>-24</v>
      </c>
      <c r="AO237">
        <v>0</v>
      </c>
      <c r="AP237"/>
      <c r="AQ237">
        <v>0</v>
      </c>
      <c r="AR237">
        <v>0</v>
      </c>
      <c r="AS237">
        <v>240</v>
      </c>
      <c r="AT237">
        <v>-24</v>
      </c>
      <c r="AU237">
        <v>0</v>
      </c>
      <c r="AW237">
        <v>0</v>
      </c>
      <c r="AX237">
        <v>0</v>
      </c>
      <c r="AY237">
        <v>151.19999999999999</v>
      </c>
      <c r="BA237" t="str">
        <f t="shared" si="46"/>
        <v>0000000000000</v>
      </c>
      <c r="BC237" t="str">
        <f>T("9791191765663")</f>
        <v>9791191765663</v>
      </c>
      <c r="BE237" t="str">
        <f>T("웹툰 &gt; 판타지/SF")</f>
        <v>웹툰 &gt; 판타지/SF</v>
      </c>
    </row>
    <row r="238" spans="1:58" x14ac:dyDescent="0.3">
      <c r="A238">
        <v>4421002022</v>
      </c>
      <c r="B238">
        <v>4421002054</v>
      </c>
      <c r="C238" t="str">
        <f>T("대표님과 연애를 시작했습니다 33화")</f>
        <v>대표님과 연애를 시작했습니다 33화</v>
      </c>
      <c r="D238" t="str">
        <f>T("33")</f>
        <v>33</v>
      </c>
      <c r="E238" t="str">
        <f>T("웹티")</f>
        <v>웹티</v>
      </c>
      <c r="H238" t="str">
        <f t="shared" si="39"/>
        <v>스토리위즈</v>
      </c>
      <c r="I238" t="str">
        <f>T("대표님과 연애를 시작했습니다")</f>
        <v>대표님과 연애를 시작했습니다</v>
      </c>
      <c r="J238">
        <v>500</v>
      </c>
      <c r="K238">
        <v>0</v>
      </c>
      <c r="L238">
        <v>0</v>
      </c>
      <c r="M238">
        <v>0</v>
      </c>
      <c r="N238">
        <v>200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200</v>
      </c>
      <c r="AH238">
        <v>1</v>
      </c>
      <c r="AI238">
        <v>0</v>
      </c>
      <c r="AJ238">
        <v>0</v>
      </c>
      <c r="AK238">
        <v>200</v>
      </c>
      <c r="AL238">
        <v>0</v>
      </c>
      <c r="AM238">
        <v>0</v>
      </c>
      <c r="AN238">
        <v>0</v>
      </c>
      <c r="AO238">
        <v>0</v>
      </c>
      <c r="AP238"/>
      <c r="AQ238">
        <v>0</v>
      </c>
      <c r="AR238">
        <v>0</v>
      </c>
      <c r="AT238">
        <v>0</v>
      </c>
      <c r="AU238">
        <v>0</v>
      </c>
      <c r="AW238">
        <v>0</v>
      </c>
      <c r="AX238">
        <v>0</v>
      </c>
      <c r="AY238">
        <v>140</v>
      </c>
      <c r="BA238" t="str">
        <f t="shared" si="46"/>
        <v>0000000000000</v>
      </c>
      <c r="BC238" t="str">
        <f>T("9791196660482")</f>
        <v>9791196660482</v>
      </c>
      <c r="BE238" t="str">
        <f>T("BL 웹툰 &gt; 웹툰")</f>
        <v>BL 웹툰 &gt; 웹툰</v>
      </c>
    </row>
    <row r="239" spans="1:58" x14ac:dyDescent="0.3">
      <c r="A239">
        <v>4421000450</v>
      </c>
      <c r="B239">
        <v>4421000508</v>
      </c>
      <c r="C239" t="str">
        <f>T("내 남편의 스토커 58화")</f>
        <v>내 남편의 스토커 58화</v>
      </c>
      <c r="D239" t="str">
        <f>T("58")</f>
        <v>58</v>
      </c>
      <c r="E239" t="str">
        <f>T("혜원")</f>
        <v>혜원</v>
      </c>
      <c r="G239" t="str">
        <f>T("혜원")</f>
        <v>혜원</v>
      </c>
      <c r="H239" t="str">
        <f t="shared" si="39"/>
        <v>스토리위즈</v>
      </c>
      <c r="I239" t="str">
        <f>T("내 남편의 스토커")</f>
        <v>내 남편의 스토커</v>
      </c>
      <c r="J239">
        <v>400</v>
      </c>
      <c r="K239">
        <v>0</v>
      </c>
      <c r="L239">
        <v>0</v>
      </c>
      <c r="M239">
        <v>0</v>
      </c>
      <c r="N239">
        <v>200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200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240</v>
      </c>
      <c r="AN239">
        <v>-24</v>
      </c>
      <c r="AO239">
        <v>0</v>
      </c>
      <c r="AP239"/>
      <c r="AQ239">
        <v>0</v>
      </c>
      <c r="AR239">
        <v>0</v>
      </c>
      <c r="AS239">
        <v>240</v>
      </c>
      <c r="AT239">
        <v>-24</v>
      </c>
      <c r="AU239">
        <v>0</v>
      </c>
      <c r="AW239">
        <v>0</v>
      </c>
      <c r="AX239">
        <v>0</v>
      </c>
      <c r="AY239">
        <v>151.19999999999999</v>
      </c>
      <c r="BA239" t="str">
        <f t="shared" si="46"/>
        <v>0000000000000</v>
      </c>
      <c r="BC239" t="str">
        <f>T("9791166068034")</f>
        <v>9791166068034</v>
      </c>
      <c r="BE239" t="str">
        <f>T("웹툰 &gt; 로맨스")</f>
        <v>웹툰 &gt; 로맨스</v>
      </c>
    </row>
    <row r="240" spans="1:58" x14ac:dyDescent="0.3">
      <c r="A240">
        <v>4421000001</v>
      </c>
      <c r="B240">
        <v>4421000026</v>
      </c>
      <c r="C240" t="str">
        <f>T("감옥실험 16화")</f>
        <v>감옥실험 16화</v>
      </c>
      <c r="D240" t="str">
        <f>T("16")</f>
        <v>16</v>
      </c>
      <c r="E240" t="str">
        <f>T("Kantetsu")</f>
        <v>Kantetsu</v>
      </c>
      <c r="G240" t="str">
        <f>T("Minase Chiho")</f>
        <v>Minase Chiho</v>
      </c>
      <c r="H240" t="str">
        <f t="shared" si="39"/>
        <v>스토리위즈</v>
      </c>
      <c r="I240" t="str">
        <f>T("감옥실험")</f>
        <v>감옥실험</v>
      </c>
      <c r="J240">
        <v>500</v>
      </c>
      <c r="K240">
        <v>0</v>
      </c>
      <c r="L240">
        <v>0</v>
      </c>
      <c r="M240">
        <v>0</v>
      </c>
      <c r="N240">
        <v>1500</v>
      </c>
      <c r="O240">
        <v>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1500</v>
      </c>
      <c r="AH240">
        <v>5</v>
      </c>
      <c r="AI240">
        <v>0</v>
      </c>
      <c r="AJ240">
        <v>0</v>
      </c>
      <c r="AK240">
        <v>700</v>
      </c>
      <c r="AL240">
        <v>0</v>
      </c>
      <c r="AM240">
        <v>960</v>
      </c>
      <c r="AN240">
        <v>-168</v>
      </c>
      <c r="AO240">
        <v>0</v>
      </c>
      <c r="AP240">
        <v>360</v>
      </c>
      <c r="AQ240">
        <v>-108</v>
      </c>
      <c r="AR240">
        <v>0</v>
      </c>
      <c r="AS240">
        <v>600</v>
      </c>
      <c r="AT240">
        <v>-60</v>
      </c>
      <c r="AU240">
        <v>0</v>
      </c>
      <c r="AW240">
        <v>0</v>
      </c>
      <c r="AX240">
        <v>0</v>
      </c>
      <c r="AY240">
        <v>1044.4000000000001</v>
      </c>
      <c r="BC240" t="str">
        <f>T("9791166069406")</f>
        <v>9791166069406</v>
      </c>
      <c r="BE240" t="str">
        <f>T("웹툰 &gt; 드라마")</f>
        <v>웹툰 &gt; 드라마</v>
      </c>
    </row>
    <row r="241" spans="1:58" x14ac:dyDescent="0.3">
      <c r="A241">
        <v>4421000450</v>
      </c>
      <c r="B241">
        <v>4421000475</v>
      </c>
      <c r="C241" t="str">
        <f>T("내 남편의 스토커 25화")</f>
        <v>내 남편의 스토커 25화</v>
      </c>
      <c r="D241" t="str">
        <f>T("25")</f>
        <v>25</v>
      </c>
      <c r="E241" t="str">
        <f>T("혜원")</f>
        <v>혜원</v>
      </c>
      <c r="G241" t="str">
        <f>T("혜원")</f>
        <v>혜원</v>
      </c>
      <c r="H241" t="str">
        <f t="shared" si="39"/>
        <v>스토리위즈</v>
      </c>
      <c r="I241" t="str">
        <f>T("내 남편의 스토커")</f>
        <v>내 남편의 스토커</v>
      </c>
      <c r="J241">
        <v>400</v>
      </c>
      <c r="K241">
        <v>0</v>
      </c>
      <c r="L241">
        <v>0</v>
      </c>
      <c r="M241">
        <v>0</v>
      </c>
      <c r="N241">
        <v>200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240</v>
      </c>
      <c r="AN241">
        <v>-24</v>
      </c>
      <c r="AO241">
        <v>0</v>
      </c>
      <c r="AP241"/>
      <c r="AQ241">
        <v>0</v>
      </c>
      <c r="AR241">
        <v>0</v>
      </c>
      <c r="AS241">
        <v>240</v>
      </c>
      <c r="AT241">
        <v>-24</v>
      </c>
      <c r="AU241">
        <v>0</v>
      </c>
      <c r="AW241">
        <v>0</v>
      </c>
      <c r="AX241">
        <v>0</v>
      </c>
      <c r="AY241">
        <v>151.19999999999999</v>
      </c>
      <c r="BA241" t="str">
        <f>T("0000000000000")</f>
        <v>0000000000000</v>
      </c>
      <c r="BC241" t="str">
        <f>T("9791166068034")</f>
        <v>9791166068034</v>
      </c>
      <c r="BE241" t="str">
        <f>T("웹툰 &gt; 로맨스")</f>
        <v>웹툰 &gt; 로맨스</v>
      </c>
    </row>
    <row r="242" spans="1:58" x14ac:dyDescent="0.3">
      <c r="A242">
        <v>4421002829</v>
      </c>
      <c r="B242">
        <v>4421002918</v>
      </c>
      <c r="C242" t="str">
        <f>T("테두리는 주시하지 않는다 (개정판) 14화")</f>
        <v>테두리는 주시하지 않는다 (개정판) 14화</v>
      </c>
      <c r="D242" t="str">
        <f>T("14")</f>
        <v>14</v>
      </c>
      <c r="E242" t="str">
        <f>T("토찌, 키로즈")</f>
        <v>토찌, 키로즈</v>
      </c>
      <c r="G242" t="str">
        <f>T("마린")</f>
        <v>마린</v>
      </c>
      <c r="H242" t="str">
        <f t="shared" si="39"/>
        <v>스토리위즈</v>
      </c>
      <c r="I242" t="str">
        <f>T("테두리는 주시하지 않는다 (개정판)")</f>
        <v>테두리는 주시하지 않는다 (개정판)</v>
      </c>
      <c r="J242">
        <v>500</v>
      </c>
      <c r="K242">
        <v>0</v>
      </c>
      <c r="L242">
        <v>0</v>
      </c>
      <c r="M242">
        <v>0</v>
      </c>
      <c r="N242">
        <v>4500</v>
      </c>
      <c r="O242">
        <v>15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4500</v>
      </c>
      <c r="AH242">
        <v>15</v>
      </c>
      <c r="AI242">
        <v>0</v>
      </c>
      <c r="AJ242">
        <v>0</v>
      </c>
      <c r="AK242">
        <v>2100</v>
      </c>
      <c r="AL242">
        <v>0</v>
      </c>
      <c r="AM242">
        <v>2880</v>
      </c>
      <c r="AN242">
        <v>-576</v>
      </c>
      <c r="AO242">
        <v>0</v>
      </c>
      <c r="AP242">
        <v>720</v>
      </c>
      <c r="AQ242">
        <v>-216</v>
      </c>
      <c r="AR242">
        <v>0</v>
      </c>
      <c r="AS242">
        <v>2160</v>
      </c>
      <c r="AT242">
        <v>-360</v>
      </c>
      <c r="AU242">
        <v>0</v>
      </c>
      <c r="AW242">
        <v>0</v>
      </c>
      <c r="AX242">
        <v>0</v>
      </c>
      <c r="AY242">
        <v>3082.8</v>
      </c>
      <c r="BA242" t="str">
        <f>T("0000000000000")</f>
        <v>0000000000000</v>
      </c>
      <c r="BC242" t="str">
        <f>T("9791137604681")</f>
        <v>9791137604681</v>
      </c>
      <c r="BE242" t="str">
        <f>T("BL 웹툰 &gt; 웹툰")</f>
        <v>BL 웹툰 &gt; 웹툰</v>
      </c>
    </row>
    <row r="243" spans="1:58" x14ac:dyDescent="0.3">
      <c r="A243">
        <v>4421000866</v>
      </c>
      <c r="B243">
        <v>4421000877</v>
      </c>
      <c r="C243" t="str">
        <f>T("최애에게 들켜버렸다 11화")</f>
        <v>최애에게 들켜버렸다 11화</v>
      </c>
      <c r="D243" t="str">
        <f>T("11")</f>
        <v>11</v>
      </c>
      <c r="E243" t="str">
        <f>T("Lv")</f>
        <v>Lv</v>
      </c>
      <c r="G243" t="str">
        <f>T("Lv")</f>
        <v>Lv</v>
      </c>
      <c r="H243" t="str">
        <f t="shared" si="39"/>
        <v>스토리위즈</v>
      </c>
      <c r="I243" t="str">
        <f>T("최애에게 들켜버렸다")</f>
        <v>최애에게 들켜버렸다</v>
      </c>
      <c r="J243">
        <v>400</v>
      </c>
      <c r="K243">
        <v>0</v>
      </c>
      <c r="L243">
        <v>0</v>
      </c>
      <c r="M243">
        <v>0</v>
      </c>
      <c r="N243">
        <v>800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800</v>
      </c>
      <c r="AH243">
        <v>4</v>
      </c>
      <c r="AI243">
        <v>0</v>
      </c>
      <c r="AJ243">
        <v>0</v>
      </c>
      <c r="AK243">
        <v>200</v>
      </c>
      <c r="AL243">
        <v>0</v>
      </c>
      <c r="AM243">
        <v>720</v>
      </c>
      <c r="AN243">
        <v>-120</v>
      </c>
      <c r="AO243">
        <v>0</v>
      </c>
      <c r="AP243"/>
      <c r="AQ243">
        <v>0</v>
      </c>
      <c r="AR243">
        <v>0</v>
      </c>
      <c r="AS243">
        <v>720</v>
      </c>
      <c r="AT243">
        <v>-120</v>
      </c>
      <c r="AU243">
        <v>0</v>
      </c>
      <c r="AW243">
        <v>0</v>
      </c>
      <c r="AX243">
        <v>0</v>
      </c>
      <c r="AY243">
        <v>560</v>
      </c>
      <c r="BA243" t="str">
        <f>T("0000000000000")</f>
        <v>0000000000000</v>
      </c>
      <c r="BC243" t="str">
        <f>T("9791137601253")</f>
        <v>9791137601253</v>
      </c>
      <c r="BE243" t="str">
        <f>T("웹툰 &gt; 해외 순정")</f>
        <v>웹툰 &gt; 해외 순정</v>
      </c>
      <c r="BF243" t="str">
        <f>T("웹툰 &gt; 로맨스")</f>
        <v>웹툰 &gt; 로맨스</v>
      </c>
    </row>
    <row r="244" spans="1:58" x14ac:dyDescent="0.3">
      <c r="A244">
        <v>4421000001</v>
      </c>
      <c r="B244">
        <v>4421000068</v>
      </c>
      <c r="C244" t="str">
        <f>T("감옥실험 48화")</f>
        <v>감옥실험 48화</v>
      </c>
      <c r="D244" t="str">
        <f>T("48")</f>
        <v>48</v>
      </c>
      <c r="E244" t="str">
        <f>T("Kantetsu")</f>
        <v>Kantetsu</v>
      </c>
      <c r="G244" t="str">
        <f>T("Minase Chiho")</f>
        <v>Minase Chiho</v>
      </c>
      <c r="H244" t="str">
        <f t="shared" si="39"/>
        <v>스토리위즈</v>
      </c>
      <c r="I244" t="str">
        <f>T("감옥실험")</f>
        <v>감옥실험</v>
      </c>
      <c r="J244">
        <v>500</v>
      </c>
      <c r="K244">
        <v>0</v>
      </c>
      <c r="L244">
        <v>0</v>
      </c>
      <c r="M244">
        <v>0</v>
      </c>
      <c r="N244">
        <v>900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900</v>
      </c>
      <c r="AH244">
        <v>3</v>
      </c>
      <c r="AI244">
        <v>0</v>
      </c>
      <c r="AJ244">
        <v>0</v>
      </c>
      <c r="AK244">
        <v>900</v>
      </c>
      <c r="AL244">
        <v>0</v>
      </c>
      <c r="AM244">
        <v>0</v>
      </c>
      <c r="AN244">
        <v>0</v>
      </c>
      <c r="AO244">
        <v>0</v>
      </c>
      <c r="AP244"/>
      <c r="AQ244">
        <v>0</v>
      </c>
      <c r="AR244">
        <v>0</v>
      </c>
      <c r="AT244">
        <v>0</v>
      </c>
      <c r="AU244">
        <v>0</v>
      </c>
      <c r="AW244">
        <v>0</v>
      </c>
      <c r="AX244">
        <v>0</v>
      </c>
      <c r="AY244">
        <v>630</v>
      </c>
      <c r="BC244" t="str">
        <f>T("9791166069406")</f>
        <v>9791166069406</v>
      </c>
      <c r="BE244" t="str">
        <f>T("웹툰 &gt; 드라마")</f>
        <v>웹툰 &gt; 드라마</v>
      </c>
    </row>
    <row r="245" spans="1:58" x14ac:dyDescent="0.3">
      <c r="A245">
        <v>4421001634</v>
      </c>
      <c r="B245">
        <v>4421002508</v>
      </c>
      <c r="C245" t="str">
        <f>T("그남자의 사랑방식 59화")</f>
        <v>그남자의 사랑방식 59화</v>
      </c>
      <c r="D245" t="str">
        <f>T("59")</f>
        <v>59</v>
      </c>
      <c r="E245" t="str">
        <f>T("웹티")</f>
        <v>웹티</v>
      </c>
      <c r="H245" t="str">
        <f t="shared" si="39"/>
        <v>스토리위즈</v>
      </c>
      <c r="I245" t="str">
        <f>T("그남자의 사랑방식")</f>
        <v>그남자의 사랑방식</v>
      </c>
      <c r="J245">
        <v>500</v>
      </c>
      <c r="K245">
        <v>0</v>
      </c>
      <c r="L245">
        <v>0</v>
      </c>
      <c r="M245">
        <v>0</v>
      </c>
      <c r="N245">
        <v>200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200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240</v>
      </c>
      <c r="AN245">
        <v>-24</v>
      </c>
      <c r="AO245">
        <v>0</v>
      </c>
      <c r="AP245"/>
      <c r="AQ245">
        <v>0</v>
      </c>
      <c r="AR245">
        <v>0</v>
      </c>
      <c r="AS245">
        <v>240</v>
      </c>
      <c r="AT245">
        <v>-24</v>
      </c>
      <c r="AU245">
        <v>0</v>
      </c>
      <c r="AW245">
        <v>0</v>
      </c>
      <c r="AX245">
        <v>0</v>
      </c>
      <c r="AY245">
        <v>151.19999999999999</v>
      </c>
      <c r="BC245" t="str">
        <f>T("9791190622004")</f>
        <v>9791190622004</v>
      </c>
      <c r="BE245" t="str">
        <f>T("BL 웹툰 &gt; 웹툰")</f>
        <v>BL 웹툰 &gt; 웹툰</v>
      </c>
    </row>
    <row r="246" spans="1:58" x14ac:dyDescent="0.3">
      <c r="A246">
        <v>4421001340</v>
      </c>
      <c r="B246">
        <v>4421001567</v>
      </c>
      <c r="C246" t="str">
        <f>T("가출천사 육성계약 45화")</f>
        <v>가출천사 육성계약 45화</v>
      </c>
      <c r="D246" t="str">
        <f>T("45")</f>
        <v>45</v>
      </c>
      <c r="E246" t="str">
        <f>T("Bae.C, IIAKI, 박제후")</f>
        <v>Bae.C, IIAKI, 박제후</v>
      </c>
      <c r="G246" t="str">
        <f>T("Bae.C, 조우")</f>
        <v>Bae.C, 조우</v>
      </c>
      <c r="H246" t="str">
        <f t="shared" si="39"/>
        <v>스토리위즈</v>
      </c>
      <c r="I246" t="str">
        <f>T("가출천사 육성계약")</f>
        <v>가출천사 육성계약</v>
      </c>
      <c r="J246">
        <v>400</v>
      </c>
      <c r="K246">
        <v>0</v>
      </c>
      <c r="L246">
        <v>0</v>
      </c>
      <c r="M246">
        <v>0</v>
      </c>
      <c r="N246">
        <v>200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200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240</v>
      </c>
      <c r="AN246">
        <v>-24</v>
      </c>
      <c r="AO246">
        <v>0</v>
      </c>
      <c r="AP246"/>
      <c r="AQ246">
        <v>0</v>
      </c>
      <c r="AR246">
        <v>0</v>
      </c>
      <c r="AS246">
        <v>240</v>
      </c>
      <c r="AT246">
        <v>-24</v>
      </c>
      <c r="AU246">
        <v>0</v>
      </c>
      <c r="AW246">
        <v>0</v>
      </c>
      <c r="AX246">
        <v>0</v>
      </c>
      <c r="AY246">
        <v>151.19999999999999</v>
      </c>
      <c r="BA246" t="str">
        <f t="shared" ref="BA246:BA251" si="47">T("0000000000000")</f>
        <v>0000000000000</v>
      </c>
      <c r="BC246" t="str">
        <f>T("9791191765663")</f>
        <v>9791191765663</v>
      </c>
      <c r="BE246" t="str">
        <f>T("웹툰 &gt; 판타지/SF")</f>
        <v>웹툰 &gt; 판타지/SF</v>
      </c>
    </row>
    <row r="247" spans="1:58" x14ac:dyDescent="0.3">
      <c r="A247">
        <v>4421000450</v>
      </c>
      <c r="B247">
        <v>4421000507</v>
      </c>
      <c r="C247" t="str">
        <f>T("내 남편의 스토커 57화")</f>
        <v>내 남편의 스토커 57화</v>
      </c>
      <c r="D247" t="str">
        <f>T("57")</f>
        <v>57</v>
      </c>
      <c r="E247" t="str">
        <f>T("혜원")</f>
        <v>혜원</v>
      </c>
      <c r="G247" t="str">
        <f>T("혜원")</f>
        <v>혜원</v>
      </c>
      <c r="H247" t="str">
        <f t="shared" si="39"/>
        <v>스토리위즈</v>
      </c>
      <c r="I247" t="str">
        <f>T("내 남편의 스토커")</f>
        <v>내 남편의 스토커</v>
      </c>
      <c r="J247">
        <v>400</v>
      </c>
      <c r="K247">
        <v>0</v>
      </c>
      <c r="L247">
        <v>0</v>
      </c>
      <c r="M247">
        <v>0</v>
      </c>
      <c r="N247">
        <v>200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200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240</v>
      </c>
      <c r="AN247">
        <v>-24</v>
      </c>
      <c r="AO247">
        <v>0</v>
      </c>
      <c r="AP247"/>
      <c r="AQ247">
        <v>0</v>
      </c>
      <c r="AR247">
        <v>0</v>
      </c>
      <c r="AS247">
        <v>240</v>
      </c>
      <c r="AT247">
        <v>-24</v>
      </c>
      <c r="AU247">
        <v>0</v>
      </c>
      <c r="AW247">
        <v>0</v>
      </c>
      <c r="AX247">
        <v>0</v>
      </c>
      <c r="AY247">
        <v>151.19999999999999</v>
      </c>
      <c r="BA247" t="str">
        <f t="shared" si="47"/>
        <v>0000000000000</v>
      </c>
      <c r="BC247" t="str">
        <f>T("9791166068034")</f>
        <v>9791166068034</v>
      </c>
      <c r="BE247" t="str">
        <f>T("웹툰 &gt; 로맨스")</f>
        <v>웹툰 &gt; 로맨스</v>
      </c>
    </row>
    <row r="248" spans="1:58" x14ac:dyDescent="0.3">
      <c r="A248">
        <v>4421000866</v>
      </c>
      <c r="B248">
        <v>4421001201</v>
      </c>
      <c r="C248" t="str">
        <f>T("최애에게 들켜버렸다 49화")</f>
        <v>최애에게 들켜버렸다 49화</v>
      </c>
      <c r="D248" t="str">
        <f>T("52")</f>
        <v>52</v>
      </c>
      <c r="E248" t="str">
        <f>T("Lv")</f>
        <v>Lv</v>
      </c>
      <c r="G248" t="str">
        <f>T("Lv")</f>
        <v>Lv</v>
      </c>
      <c r="H248" t="str">
        <f t="shared" si="39"/>
        <v>스토리위즈</v>
      </c>
      <c r="I248" t="str">
        <f>T("최애에게 들켜버렸다")</f>
        <v>최애에게 들켜버렸다</v>
      </c>
      <c r="J248">
        <v>400</v>
      </c>
      <c r="K248">
        <v>0</v>
      </c>
      <c r="L248">
        <v>0</v>
      </c>
      <c r="M248">
        <v>0</v>
      </c>
      <c r="N248">
        <v>400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400</v>
      </c>
      <c r="AH248">
        <v>2</v>
      </c>
      <c r="AI248">
        <v>0</v>
      </c>
      <c r="AJ248">
        <v>0</v>
      </c>
      <c r="AK248">
        <v>200</v>
      </c>
      <c r="AL248">
        <v>0</v>
      </c>
      <c r="AM248">
        <v>240</v>
      </c>
      <c r="AN248">
        <v>-24</v>
      </c>
      <c r="AO248">
        <v>0</v>
      </c>
      <c r="AP248"/>
      <c r="AQ248">
        <v>0</v>
      </c>
      <c r="AR248">
        <v>0</v>
      </c>
      <c r="AS248">
        <v>240</v>
      </c>
      <c r="AT248">
        <v>-24</v>
      </c>
      <c r="AU248">
        <v>0</v>
      </c>
      <c r="AW248">
        <v>0</v>
      </c>
      <c r="AX248">
        <v>0</v>
      </c>
      <c r="AY248">
        <v>291.2</v>
      </c>
      <c r="BA248" t="str">
        <f t="shared" si="47"/>
        <v>0000000000000</v>
      </c>
      <c r="BC248" t="str">
        <f>T("9791137601253")</f>
        <v>9791137601253</v>
      </c>
      <c r="BE248" t="str">
        <f>T("웹툰 &gt; 해외 순정")</f>
        <v>웹툰 &gt; 해외 순정</v>
      </c>
      <c r="BF248" t="str">
        <f>T("웹툰 &gt; 로맨스")</f>
        <v>웹툰 &gt; 로맨스</v>
      </c>
    </row>
    <row r="249" spans="1:58" x14ac:dyDescent="0.3">
      <c r="A249">
        <v>4421001340</v>
      </c>
      <c r="B249">
        <v>4421002969</v>
      </c>
      <c r="C249" t="str">
        <f>T("가출천사 육성계약 53화")</f>
        <v>가출천사 육성계약 53화</v>
      </c>
      <c r="D249" t="str">
        <f>T("53")</f>
        <v>53</v>
      </c>
      <c r="E249" t="str">
        <f>T("Bae.C, IIAKI, 박제후")</f>
        <v>Bae.C, IIAKI, 박제후</v>
      </c>
      <c r="G249" t="str">
        <f>T("Bae.C, 조우")</f>
        <v>Bae.C, 조우</v>
      </c>
      <c r="H249" t="str">
        <f t="shared" si="39"/>
        <v>스토리위즈</v>
      </c>
      <c r="I249" t="str">
        <f>T("가출천사 육성계약")</f>
        <v>가출천사 육성계약</v>
      </c>
      <c r="J249">
        <v>400</v>
      </c>
      <c r="K249">
        <v>0</v>
      </c>
      <c r="L249">
        <v>0</v>
      </c>
      <c r="M249">
        <v>0</v>
      </c>
      <c r="N249">
        <v>200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240</v>
      </c>
      <c r="AN249">
        <v>-24</v>
      </c>
      <c r="AO249">
        <v>0</v>
      </c>
      <c r="AP249"/>
      <c r="AQ249">
        <v>0</v>
      </c>
      <c r="AR249">
        <v>0</v>
      </c>
      <c r="AS249">
        <v>240</v>
      </c>
      <c r="AT249">
        <v>-24</v>
      </c>
      <c r="AU249">
        <v>0</v>
      </c>
      <c r="AW249">
        <v>0</v>
      </c>
      <c r="AX249">
        <v>0</v>
      </c>
      <c r="AY249">
        <v>151.19999999999999</v>
      </c>
      <c r="BA249" t="str">
        <f t="shared" si="47"/>
        <v>0000000000000</v>
      </c>
      <c r="BC249" t="str">
        <f>T("9791191765663")</f>
        <v>9791191765663</v>
      </c>
      <c r="BE249" t="str">
        <f>T("웹툰 &gt; 판타지/SF")</f>
        <v>웹툰 &gt; 판타지/SF</v>
      </c>
    </row>
    <row r="250" spans="1:58" x14ac:dyDescent="0.3">
      <c r="A250">
        <v>4421001305</v>
      </c>
      <c r="B250">
        <v>4421001306</v>
      </c>
      <c r="C250" t="str">
        <f>T("악역이지만, 남주는 꼬시지 않아요 2화")</f>
        <v>악역이지만, 남주는 꼬시지 않아요 2화</v>
      </c>
      <c r="D250" t="str">
        <f>T("2")</f>
        <v>2</v>
      </c>
      <c r="E250" t="str">
        <f>T("마북명")</f>
        <v>마북명</v>
      </c>
      <c r="G250" t="str">
        <f>T("kuri")</f>
        <v>kuri</v>
      </c>
      <c r="H250" t="str">
        <f t="shared" si="39"/>
        <v>스토리위즈</v>
      </c>
      <c r="I250" t="str">
        <f>T("악역이지만, 남주는 꼬시지 않아요")</f>
        <v>악역이지만, 남주는 꼬시지 않아요</v>
      </c>
      <c r="J250">
        <v>400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/>
      <c r="AQ250">
        <v>0</v>
      </c>
      <c r="AR250">
        <v>0</v>
      </c>
      <c r="AT250">
        <v>0</v>
      </c>
      <c r="AU250">
        <v>0</v>
      </c>
      <c r="AW250">
        <v>0</v>
      </c>
      <c r="AX250">
        <v>0</v>
      </c>
      <c r="AY250">
        <v>0</v>
      </c>
      <c r="BA250" t="str">
        <f t="shared" si="47"/>
        <v>0000000000000</v>
      </c>
      <c r="BC250" t="str">
        <f>T("9791137603882")</f>
        <v>9791137603882</v>
      </c>
      <c r="BE250" t="str">
        <f>T("웹툰 &gt; 해외 순정")</f>
        <v>웹툰 &gt; 해외 순정</v>
      </c>
      <c r="BF250" t="str">
        <f>T("웹툰 &gt; 로판")</f>
        <v>웹툰 &gt; 로판</v>
      </c>
    </row>
    <row r="251" spans="1:58" x14ac:dyDescent="0.3">
      <c r="A251">
        <v>4421003015</v>
      </c>
      <c r="B251">
        <v>4421003043</v>
      </c>
      <c r="C251" t="str">
        <f>T("일월성신 28화")</f>
        <v>일월성신 28화</v>
      </c>
      <c r="D251" t="str">
        <f>T("28")</f>
        <v>28</v>
      </c>
      <c r="E251" t="str">
        <f>T("김숙지")</f>
        <v>김숙지</v>
      </c>
      <c r="G251" t="str">
        <f>T("이름표")</f>
        <v>이름표</v>
      </c>
      <c r="H251" t="str">
        <f t="shared" si="39"/>
        <v>스토리위즈</v>
      </c>
      <c r="I251" t="str">
        <f>T("일월성신")</f>
        <v>일월성신</v>
      </c>
      <c r="J251">
        <v>400</v>
      </c>
      <c r="K251">
        <v>0</v>
      </c>
      <c r="L251">
        <v>0</v>
      </c>
      <c r="M251">
        <v>0</v>
      </c>
      <c r="N251">
        <v>600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600</v>
      </c>
      <c r="AH251">
        <v>3</v>
      </c>
      <c r="AI251">
        <v>0</v>
      </c>
      <c r="AJ251">
        <v>0</v>
      </c>
      <c r="AK251">
        <v>200</v>
      </c>
      <c r="AL251">
        <v>0</v>
      </c>
      <c r="AM251">
        <v>480</v>
      </c>
      <c r="AN251">
        <v>-96</v>
      </c>
      <c r="AO251">
        <v>0</v>
      </c>
      <c r="AP251">
        <v>240</v>
      </c>
      <c r="AQ251">
        <v>-72</v>
      </c>
      <c r="AR251">
        <v>0</v>
      </c>
      <c r="AS251">
        <v>240</v>
      </c>
      <c r="AT251">
        <v>-24</v>
      </c>
      <c r="AU251">
        <v>0</v>
      </c>
      <c r="AW251">
        <v>0</v>
      </c>
      <c r="AX251">
        <v>0</v>
      </c>
      <c r="AY251">
        <v>408.8</v>
      </c>
      <c r="BA251" t="str">
        <f t="shared" si="47"/>
        <v>0000000000000</v>
      </c>
      <c r="BC251" t="str">
        <f>T("9791137604605")</f>
        <v>9791137604605</v>
      </c>
      <c r="BE251" t="str">
        <f>T("웹툰 &gt; 드라마")</f>
        <v>웹툰 &gt; 드라마</v>
      </c>
    </row>
    <row r="252" spans="1:58" x14ac:dyDescent="0.3">
      <c r="A252">
        <v>4421001634</v>
      </c>
      <c r="B252">
        <v>4421002541</v>
      </c>
      <c r="C252" t="str">
        <f>T("그남자의 사랑방식 92화")</f>
        <v>그남자의 사랑방식 92화</v>
      </c>
      <c r="D252" t="str">
        <f>T("92")</f>
        <v>92</v>
      </c>
      <c r="E252" t="str">
        <f>T("웹티")</f>
        <v>웹티</v>
      </c>
      <c r="H252" t="str">
        <f t="shared" si="39"/>
        <v>스토리위즈</v>
      </c>
      <c r="I252" t="str">
        <f>T("그남자의 사랑방식")</f>
        <v>그남자의 사랑방식</v>
      </c>
      <c r="J252">
        <v>500</v>
      </c>
      <c r="K252">
        <v>0</v>
      </c>
      <c r="L252">
        <v>0</v>
      </c>
      <c r="M252">
        <v>0</v>
      </c>
      <c r="N252">
        <v>400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400</v>
      </c>
      <c r="AH252">
        <v>2</v>
      </c>
      <c r="AI252">
        <v>0</v>
      </c>
      <c r="AJ252">
        <v>0</v>
      </c>
      <c r="AK252">
        <v>200</v>
      </c>
      <c r="AL252">
        <v>0</v>
      </c>
      <c r="AM252">
        <v>240</v>
      </c>
      <c r="AN252">
        <v>-24</v>
      </c>
      <c r="AO252">
        <v>0</v>
      </c>
      <c r="AP252"/>
      <c r="AQ252">
        <v>0</v>
      </c>
      <c r="AR252">
        <v>0</v>
      </c>
      <c r="AS252">
        <v>240</v>
      </c>
      <c r="AT252">
        <v>-24</v>
      </c>
      <c r="AU252">
        <v>0</v>
      </c>
      <c r="AW252">
        <v>0</v>
      </c>
      <c r="AX252">
        <v>0</v>
      </c>
      <c r="AY252">
        <v>291.2</v>
      </c>
      <c r="BC252" t="str">
        <f>T("9791190622004")</f>
        <v>9791190622004</v>
      </c>
      <c r="BE252" t="str">
        <f>T("BL 웹툰 &gt; 웹툰")</f>
        <v>BL 웹툰 &gt; 웹툰</v>
      </c>
    </row>
    <row r="253" spans="1:58" x14ac:dyDescent="0.3">
      <c r="A253">
        <v>4421001340</v>
      </c>
      <c r="B253">
        <v>4421001360</v>
      </c>
      <c r="C253" t="str">
        <f>T("가출천사 육성계약 21화")</f>
        <v>가출천사 육성계약 21화</v>
      </c>
      <c r="D253" t="str">
        <f>T("21")</f>
        <v>21</v>
      </c>
      <c r="E253" t="str">
        <f>T("Bae.C, IIAKI, 박제후")</f>
        <v>Bae.C, IIAKI, 박제후</v>
      </c>
      <c r="G253" t="str">
        <f>T("Bae.C, 조우")</f>
        <v>Bae.C, 조우</v>
      </c>
      <c r="H253" t="str">
        <f t="shared" si="39"/>
        <v>스토리위즈</v>
      </c>
      <c r="I253" t="str">
        <f>T("가출천사 육성계약")</f>
        <v>가출천사 육성계약</v>
      </c>
      <c r="J253">
        <v>400</v>
      </c>
      <c r="K253">
        <v>0</v>
      </c>
      <c r="L253">
        <v>0</v>
      </c>
      <c r="M253">
        <v>0</v>
      </c>
      <c r="N253">
        <v>200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240</v>
      </c>
      <c r="AN253">
        <v>-24</v>
      </c>
      <c r="AO253">
        <v>0</v>
      </c>
      <c r="AP253"/>
      <c r="AQ253">
        <v>0</v>
      </c>
      <c r="AR253">
        <v>0</v>
      </c>
      <c r="AS253">
        <v>240</v>
      </c>
      <c r="AT253">
        <v>-24</v>
      </c>
      <c r="AU253">
        <v>0</v>
      </c>
      <c r="AW253">
        <v>0</v>
      </c>
      <c r="AX253">
        <v>0</v>
      </c>
      <c r="AY253">
        <v>151.19999999999999</v>
      </c>
      <c r="BA253" t="str">
        <f>T("0000000000000")</f>
        <v>0000000000000</v>
      </c>
      <c r="BC253" t="str">
        <f>T("9791191765663")</f>
        <v>9791191765663</v>
      </c>
      <c r="BE253" t="str">
        <f>T("웹툰 &gt; 판타지/SF")</f>
        <v>웹툰 &gt; 판타지/SF</v>
      </c>
    </row>
    <row r="254" spans="1:58" x14ac:dyDescent="0.3">
      <c r="A254">
        <v>4421001634</v>
      </c>
      <c r="B254">
        <v>4421001660</v>
      </c>
      <c r="C254" t="str">
        <f>T("그남자의 사랑방식 27화")</f>
        <v>그남자의 사랑방식 27화</v>
      </c>
      <c r="D254" t="str">
        <f>T("27")</f>
        <v>27</v>
      </c>
      <c r="E254" t="str">
        <f>T("웹티")</f>
        <v>웹티</v>
      </c>
      <c r="H254" t="str">
        <f t="shared" si="39"/>
        <v>스토리위즈</v>
      </c>
      <c r="I254" t="str">
        <f>T("그남자의 사랑방식")</f>
        <v>그남자의 사랑방식</v>
      </c>
      <c r="J254">
        <v>500</v>
      </c>
      <c r="K254">
        <v>0</v>
      </c>
      <c r="L254">
        <v>0</v>
      </c>
      <c r="M254">
        <v>0</v>
      </c>
      <c r="N254">
        <v>600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600</v>
      </c>
      <c r="AH254">
        <v>3</v>
      </c>
      <c r="AI254">
        <v>0</v>
      </c>
      <c r="AJ254">
        <v>0</v>
      </c>
      <c r="AK254">
        <v>200</v>
      </c>
      <c r="AL254">
        <v>0</v>
      </c>
      <c r="AM254">
        <v>480</v>
      </c>
      <c r="AN254">
        <v>-48</v>
      </c>
      <c r="AO254">
        <v>0</v>
      </c>
      <c r="AP254"/>
      <c r="AQ254">
        <v>0</v>
      </c>
      <c r="AR254">
        <v>0</v>
      </c>
      <c r="AS254">
        <v>480</v>
      </c>
      <c r="AT254">
        <v>-48</v>
      </c>
      <c r="AU254">
        <v>0</v>
      </c>
      <c r="AW254">
        <v>0</v>
      </c>
      <c r="AX254">
        <v>0</v>
      </c>
      <c r="AY254">
        <v>442.4</v>
      </c>
      <c r="BC254" t="str">
        <f>T("9791190622004")</f>
        <v>9791190622004</v>
      </c>
      <c r="BE254" t="str">
        <f>T("BL 웹툰 &gt; 웹툰")</f>
        <v>BL 웹툰 &gt; 웹툰</v>
      </c>
    </row>
    <row r="255" spans="1:58" x14ac:dyDescent="0.3">
      <c r="A255">
        <v>4421003015</v>
      </c>
      <c r="B255">
        <v>4421003017</v>
      </c>
      <c r="C255" t="str">
        <f>T("일월성신 2화")</f>
        <v>일월성신 2화</v>
      </c>
      <c r="D255" t="str">
        <f>T("2")</f>
        <v>2</v>
      </c>
      <c r="E255" t="str">
        <f>T("김숙지")</f>
        <v>김숙지</v>
      </c>
      <c r="G255" t="str">
        <f>T("이름표")</f>
        <v>이름표</v>
      </c>
      <c r="H255" t="str">
        <f t="shared" si="39"/>
        <v>스토리위즈</v>
      </c>
      <c r="I255" t="str">
        <f>T("일월성신")</f>
        <v>일월성신</v>
      </c>
      <c r="J255">
        <v>400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/>
      <c r="AQ255">
        <v>0</v>
      </c>
      <c r="AR255">
        <v>0</v>
      </c>
      <c r="AT255">
        <v>0</v>
      </c>
      <c r="AU255">
        <v>0</v>
      </c>
      <c r="AW255">
        <v>0</v>
      </c>
      <c r="AX255">
        <v>0</v>
      </c>
      <c r="AY255">
        <v>0</v>
      </c>
      <c r="BA255" t="str">
        <f>T("0000000000000")</f>
        <v>0000000000000</v>
      </c>
      <c r="BC255" t="str">
        <f>T("9791137604605")</f>
        <v>9791137604605</v>
      </c>
      <c r="BE255" t="str">
        <f>T("웹툰 &gt; 드라마")</f>
        <v>웹툰 &gt; 드라마</v>
      </c>
    </row>
    <row r="256" spans="1:58" x14ac:dyDescent="0.3">
      <c r="A256">
        <v>4421001634</v>
      </c>
      <c r="B256">
        <v>4421001677</v>
      </c>
      <c r="C256" t="str">
        <f>T("그남자의 사랑방식 44화")</f>
        <v>그남자의 사랑방식 44화</v>
      </c>
      <c r="D256" t="str">
        <f>T("44")</f>
        <v>44</v>
      </c>
      <c r="E256" t="str">
        <f>T("웹티")</f>
        <v>웹티</v>
      </c>
      <c r="H256" t="str">
        <f t="shared" si="39"/>
        <v>스토리위즈</v>
      </c>
      <c r="I256" t="str">
        <f>T("그남자의 사랑방식")</f>
        <v>그남자의 사랑방식</v>
      </c>
      <c r="J256">
        <v>500</v>
      </c>
      <c r="K256">
        <v>0</v>
      </c>
      <c r="L256">
        <v>0</v>
      </c>
      <c r="M256">
        <v>0</v>
      </c>
      <c r="N256">
        <v>800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800</v>
      </c>
      <c r="AH256">
        <v>4</v>
      </c>
      <c r="AI256">
        <v>0</v>
      </c>
      <c r="AJ256">
        <v>0</v>
      </c>
      <c r="AK256">
        <v>400</v>
      </c>
      <c r="AL256">
        <v>0</v>
      </c>
      <c r="AM256">
        <v>480</v>
      </c>
      <c r="AN256">
        <v>-48</v>
      </c>
      <c r="AO256">
        <v>0</v>
      </c>
      <c r="AP256"/>
      <c r="AQ256">
        <v>0</v>
      </c>
      <c r="AR256">
        <v>0</v>
      </c>
      <c r="AS256">
        <v>480</v>
      </c>
      <c r="AT256">
        <v>-48</v>
      </c>
      <c r="AU256">
        <v>0</v>
      </c>
      <c r="AW256">
        <v>0</v>
      </c>
      <c r="AX256">
        <v>0</v>
      </c>
      <c r="AY256">
        <v>582.4</v>
      </c>
      <c r="BC256" t="str">
        <f>T("9791190622004")</f>
        <v>9791190622004</v>
      </c>
      <c r="BE256" t="str">
        <f>T("BL 웹툰 &gt; 웹툰")</f>
        <v>BL 웹툰 &gt; 웹툰</v>
      </c>
    </row>
    <row r="257" spans="1:58" x14ac:dyDescent="0.3">
      <c r="A257">
        <v>4421000866</v>
      </c>
      <c r="B257">
        <v>4421000914</v>
      </c>
      <c r="C257" t="str">
        <f>T("최애에게 들켜버렸다 23화")</f>
        <v>최애에게 들켜버렸다 23화</v>
      </c>
      <c r="D257" t="str">
        <f>T("24")</f>
        <v>24</v>
      </c>
      <c r="E257" t="str">
        <f>T("Lv")</f>
        <v>Lv</v>
      </c>
      <c r="G257" t="str">
        <f>T("Lv")</f>
        <v>Lv</v>
      </c>
      <c r="H257" t="str">
        <f t="shared" si="39"/>
        <v>스토리위즈</v>
      </c>
      <c r="I257" t="str">
        <f>T("최애에게 들켜버렸다")</f>
        <v>최애에게 들켜버렸다</v>
      </c>
      <c r="J257">
        <v>400</v>
      </c>
      <c r="K257">
        <v>0</v>
      </c>
      <c r="L257">
        <v>0</v>
      </c>
      <c r="M257">
        <v>0</v>
      </c>
      <c r="N257">
        <v>200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200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240</v>
      </c>
      <c r="AN257">
        <v>-24</v>
      </c>
      <c r="AO257">
        <v>0</v>
      </c>
      <c r="AP257"/>
      <c r="AQ257">
        <v>0</v>
      </c>
      <c r="AR257">
        <v>0</v>
      </c>
      <c r="AS257">
        <v>240</v>
      </c>
      <c r="AT257">
        <v>-24</v>
      </c>
      <c r="AU257">
        <v>0</v>
      </c>
      <c r="AW257">
        <v>0</v>
      </c>
      <c r="AX257">
        <v>0</v>
      </c>
      <c r="AY257">
        <v>151.19999999999999</v>
      </c>
      <c r="BA257" t="str">
        <f>T("0000000000000")</f>
        <v>0000000000000</v>
      </c>
      <c r="BC257" t="str">
        <f>T("9791137601253")</f>
        <v>9791137601253</v>
      </c>
      <c r="BE257" t="str">
        <f>T("웹툰 &gt; 해외 순정")</f>
        <v>웹툰 &gt; 해외 순정</v>
      </c>
      <c r="BF257" t="str">
        <f>T("웹툰 &gt; 로맨스")</f>
        <v>웹툰 &gt; 로맨스</v>
      </c>
    </row>
    <row r="258" spans="1:58" x14ac:dyDescent="0.3">
      <c r="A258">
        <v>4421001634</v>
      </c>
      <c r="B258">
        <v>4421002530</v>
      </c>
      <c r="C258" t="str">
        <f>T("그남자의 사랑방식 81화")</f>
        <v>그남자의 사랑방식 81화</v>
      </c>
      <c r="D258" t="str">
        <f>T("81")</f>
        <v>81</v>
      </c>
      <c r="E258" t="str">
        <f>T("웹티")</f>
        <v>웹티</v>
      </c>
      <c r="H258" t="str">
        <f t="shared" ref="H258:H321" si="48">T("스토리위즈")</f>
        <v>스토리위즈</v>
      </c>
      <c r="I258" t="str">
        <f>T("그남자의 사랑방식")</f>
        <v>그남자의 사랑방식</v>
      </c>
      <c r="J258">
        <v>500</v>
      </c>
      <c r="K258">
        <v>0</v>
      </c>
      <c r="L258">
        <v>0</v>
      </c>
      <c r="M258">
        <v>0</v>
      </c>
      <c r="N258">
        <v>200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200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240</v>
      </c>
      <c r="AN258">
        <v>-24</v>
      </c>
      <c r="AO258">
        <v>0</v>
      </c>
      <c r="AP258"/>
      <c r="AQ258">
        <v>0</v>
      </c>
      <c r="AR258">
        <v>0</v>
      </c>
      <c r="AS258">
        <v>240</v>
      </c>
      <c r="AT258">
        <v>-24</v>
      </c>
      <c r="AU258">
        <v>0</v>
      </c>
      <c r="AW258">
        <v>0</v>
      </c>
      <c r="AX258">
        <v>0</v>
      </c>
      <c r="AY258">
        <v>151.19999999999999</v>
      </c>
      <c r="BC258" t="str">
        <f>T("9791190622004")</f>
        <v>9791190622004</v>
      </c>
      <c r="BE258" t="str">
        <f>T("BL 웹툰 &gt; 웹툰")</f>
        <v>BL 웹툰 &gt; 웹툰</v>
      </c>
    </row>
    <row r="259" spans="1:58" x14ac:dyDescent="0.3">
      <c r="A259">
        <v>4421001634</v>
      </c>
      <c r="B259">
        <v>4421001649</v>
      </c>
      <c r="C259" t="str">
        <f>T("그남자의 사랑방식 16화")</f>
        <v>그남자의 사랑방식 16화</v>
      </c>
      <c r="D259" t="str">
        <f>T("16")</f>
        <v>16</v>
      </c>
      <c r="E259" t="str">
        <f>T("웹티")</f>
        <v>웹티</v>
      </c>
      <c r="H259" t="str">
        <f t="shared" si="48"/>
        <v>스토리위즈</v>
      </c>
      <c r="I259" t="str">
        <f>T("그남자의 사랑방식")</f>
        <v>그남자의 사랑방식</v>
      </c>
      <c r="J259">
        <v>500</v>
      </c>
      <c r="K259">
        <v>0</v>
      </c>
      <c r="L259">
        <v>0</v>
      </c>
      <c r="M259">
        <v>0</v>
      </c>
      <c r="N259">
        <v>1000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1000</v>
      </c>
      <c r="AH259">
        <v>5</v>
      </c>
      <c r="AI259">
        <v>0</v>
      </c>
      <c r="AJ259">
        <v>0</v>
      </c>
      <c r="AK259">
        <v>400</v>
      </c>
      <c r="AL259">
        <v>0</v>
      </c>
      <c r="AM259">
        <v>720</v>
      </c>
      <c r="AN259">
        <v>-72</v>
      </c>
      <c r="AO259">
        <v>0</v>
      </c>
      <c r="AP259"/>
      <c r="AQ259">
        <v>0</v>
      </c>
      <c r="AR259">
        <v>0</v>
      </c>
      <c r="AS259">
        <v>720</v>
      </c>
      <c r="AT259">
        <v>-72</v>
      </c>
      <c r="AU259">
        <v>0</v>
      </c>
      <c r="AW259">
        <v>0</v>
      </c>
      <c r="AX259">
        <v>0</v>
      </c>
      <c r="AY259">
        <v>733.6</v>
      </c>
      <c r="BC259" t="str">
        <f>T("9791190622004")</f>
        <v>9791190622004</v>
      </c>
      <c r="BE259" t="str">
        <f>T("BL 웹툰 &gt; 웹툰")</f>
        <v>BL 웹툰 &gt; 웹툰</v>
      </c>
    </row>
    <row r="260" spans="1:58" x14ac:dyDescent="0.3">
      <c r="A260">
        <v>4421000866</v>
      </c>
      <c r="B260">
        <v>4421001239</v>
      </c>
      <c r="C260" t="str">
        <f>T("최애에게 들켜버렸다 56화")</f>
        <v>최애에게 들켜버렸다 56화</v>
      </c>
      <c r="D260" t="str">
        <f>T("59")</f>
        <v>59</v>
      </c>
      <c r="E260" t="str">
        <f>T("Lv")</f>
        <v>Lv</v>
      </c>
      <c r="G260" t="str">
        <f>T("Lv")</f>
        <v>Lv</v>
      </c>
      <c r="H260" t="str">
        <f t="shared" si="48"/>
        <v>스토리위즈</v>
      </c>
      <c r="I260" t="str">
        <f>T("최애에게 들켜버렸다")</f>
        <v>최애에게 들켜버렸다</v>
      </c>
      <c r="J260">
        <v>400</v>
      </c>
      <c r="K260">
        <v>0</v>
      </c>
      <c r="L260">
        <v>0</v>
      </c>
      <c r="M260">
        <v>0</v>
      </c>
      <c r="N260">
        <v>200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240</v>
      </c>
      <c r="AN260">
        <v>-24</v>
      </c>
      <c r="AO260">
        <v>0</v>
      </c>
      <c r="AP260"/>
      <c r="AQ260">
        <v>0</v>
      </c>
      <c r="AR260">
        <v>0</v>
      </c>
      <c r="AS260">
        <v>240</v>
      </c>
      <c r="AT260">
        <v>-24</v>
      </c>
      <c r="AU260">
        <v>0</v>
      </c>
      <c r="AW260">
        <v>0</v>
      </c>
      <c r="AX260">
        <v>0</v>
      </c>
      <c r="AY260">
        <v>151.19999999999999</v>
      </c>
      <c r="BA260" t="str">
        <f>T("0000000000000")</f>
        <v>0000000000000</v>
      </c>
      <c r="BC260" t="str">
        <f>T("9791137601253")</f>
        <v>9791137601253</v>
      </c>
      <c r="BE260" t="str">
        <f>T("웹툰 &gt; 해외 순정")</f>
        <v>웹툰 &gt; 해외 순정</v>
      </c>
      <c r="BF260" t="str">
        <f>T("웹툰 &gt; 로맨스")</f>
        <v>웹툰 &gt; 로맨스</v>
      </c>
    </row>
    <row r="261" spans="1:58" x14ac:dyDescent="0.3">
      <c r="A261">
        <v>4421001325</v>
      </c>
      <c r="B261">
        <v>4421001327</v>
      </c>
      <c r="C261" t="str">
        <f>T("커피여우 김삼월 3화")</f>
        <v>커피여우 김삼월 3화</v>
      </c>
      <c r="D261" t="str">
        <f>T("3")</f>
        <v>3</v>
      </c>
      <c r="E261" t="str">
        <f>T("Nica")</f>
        <v>Nica</v>
      </c>
      <c r="G261" t="str">
        <f>T("A.Noa, RK Studio")</f>
        <v>A.Noa, RK Studio</v>
      </c>
      <c r="H261" t="str">
        <f t="shared" si="48"/>
        <v>스토리위즈</v>
      </c>
      <c r="I261" t="str">
        <f>T("커피여우 김삼월")</f>
        <v>커피여우 김삼월</v>
      </c>
      <c r="J261">
        <v>500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/>
      <c r="AQ261">
        <v>0</v>
      </c>
      <c r="AR261">
        <v>0</v>
      </c>
      <c r="AT261">
        <v>0</v>
      </c>
      <c r="AU261">
        <v>0</v>
      </c>
      <c r="AW261">
        <v>0</v>
      </c>
      <c r="AX261">
        <v>0</v>
      </c>
      <c r="AY261">
        <v>0</v>
      </c>
      <c r="BA261" t="str">
        <f>T("0000000000000")</f>
        <v>0000000000000</v>
      </c>
      <c r="BC261" t="str">
        <f>T("9791191241792")</f>
        <v>9791191241792</v>
      </c>
      <c r="BE261" t="str">
        <f>T("웹툰 &gt; 로맨스")</f>
        <v>웹툰 &gt; 로맨스</v>
      </c>
    </row>
    <row r="262" spans="1:58" x14ac:dyDescent="0.3">
      <c r="A262">
        <v>4421001377</v>
      </c>
      <c r="B262">
        <v>4421001390</v>
      </c>
      <c r="C262" t="str">
        <f>T("요괴님은 수련중 14화")</f>
        <v>요괴님은 수련중 14화</v>
      </c>
      <c r="D262" t="str">
        <f>T("14")</f>
        <v>14</v>
      </c>
      <c r="E262" t="str">
        <f>T("화방")</f>
        <v>화방</v>
      </c>
      <c r="G262" t="str">
        <f>T("망북")</f>
        <v>망북</v>
      </c>
      <c r="H262" t="str">
        <f t="shared" si="48"/>
        <v>스토리위즈</v>
      </c>
      <c r="I262" t="str">
        <f>T("요괴님은 수련중")</f>
        <v>요괴님은 수련중</v>
      </c>
      <c r="J262">
        <v>400</v>
      </c>
      <c r="K262">
        <v>0</v>
      </c>
      <c r="L262">
        <v>0</v>
      </c>
      <c r="M262">
        <v>0</v>
      </c>
      <c r="N262">
        <v>200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240</v>
      </c>
      <c r="AN262">
        <v>-24</v>
      </c>
      <c r="AO262">
        <v>0</v>
      </c>
      <c r="AP262"/>
      <c r="AQ262">
        <v>0</v>
      </c>
      <c r="AR262">
        <v>0</v>
      </c>
      <c r="AS262">
        <v>240</v>
      </c>
      <c r="AT262">
        <v>-24</v>
      </c>
      <c r="AU262">
        <v>0</v>
      </c>
      <c r="AW262">
        <v>0</v>
      </c>
      <c r="AX262">
        <v>0</v>
      </c>
      <c r="AY262">
        <v>151.19999999999999</v>
      </c>
      <c r="BA262" t="str">
        <f>T("0000000000000")</f>
        <v>0000000000000</v>
      </c>
      <c r="BC262" t="str">
        <f>T("9791137603899")</f>
        <v>9791137603899</v>
      </c>
      <c r="BE262" t="str">
        <f>T("웹툰 &gt; 해외 순정")</f>
        <v>웹툰 &gt; 해외 순정</v>
      </c>
      <c r="BF262" t="str">
        <f>T("웹툰 &gt; 로판")</f>
        <v>웹툰 &gt; 로판</v>
      </c>
    </row>
    <row r="263" spans="1:58" x14ac:dyDescent="0.3">
      <c r="A263">
        <v>4421002022</v>
      </c>
      <c r="B263">
        <v>4421002043</v>
      </c>
      <c r="C263" t="str">
        <f>T("대표님과 연애를 시작했습니다 22화")</f>
        <v>대표님과 연애를 시작했습니다 22화</v>
      </c>
      <c r="D263" t="str">
        <f>T("22")</f>
        <v>22</v>
      </c>
      <c r="E263" t="str">
        <f>T("웹티")</f>
        <v>웹티</v>
      </c>
      <c r="H263" t="str">
        <f t="shared" si="48"/>
        <v>스토리위즈</v>
      </c>
      <c r="I263" t="str">
        <f>T("대표님과 연애를 시작했습니다")</f>
        <v>대표님과 연애를 시작했습니다</v>
      </c>
      <c r="J263">
        <v>500</v>
      </c>
      <c r="K263">
        <v>0</v>
      </c>
      <c r="L263">
        <v>0</v>
      </c>
      <c r="M263">
        <v>0</v>
      </c>
      <c r="N263">
        <v>200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200</v>
      </c>
      <c r="AH263">
        <v>1</v>
      </c>
      <c r="AI263">
        <v>0</v>
      </c>
      <c r="AJ263">
        <v>0</v>
      </c>
      <c r="AK263">
        <v>200</v>
      </c>
      <c r="AL263">
        <v>0</v>
      </c>
      <c r="AM263">
        <v>0</v>
      </c>
      <c r="AN263">
        <v>0</v>
      </c>
      <c r="AO263">
        <v>0</v>
      </c>
      <c r="AP263"/>
      <c r="AQ263">
        <v>0</v>
      </c>
      <c r="AR263">
        <v>0</v>
      </c>
      <c r="AT263">
        <v>0</v>
      </c>
      <c r="AU263">
        <v>0</v>
      </c>
      <c r="AW263">
        <v>0</v>
      </c>
      <c r="AX263">
        <v>0</v>
      </c>
      <c r="AY263">
        <v>140</v>
      </c>
      <c r="BA263" t="str">
        <f>T("0000000000000")</f>
        <v>0000000000000</v>
      </c>
      <c r="BC263" t="str">
        <f>T("9791196660482")</f>
        <v>9791196660482</v>
      </c>
      <c r="BE263" t="str">
        <f>T("BL 웹툰 &gt; 웹툰")</f>
        <v>BL 웹툰 &gt; 웹툰</v>
      </c>
    </row>
    <row r="264" spans="1:58" x14ac:dyDescent="0.3">
      <c r="A264">
        <v>4421000001</v>
      </c>
      <c r="B264">
        <v>4421000015</v>
      </c>
      <c r="C264" t="str">
        <f>T("감옥실험 5화")</f>
        <v>감옥실험 5화</v>
      </c>
      <c r="D264" t="str">
        <f>T("5")</f>
        <v>5</v>
      </c>
      <c r="E264" t="str">
        <f>T("Kantetsu")</f>
        <v>Kantetsu</v>
      </c>
      <c r="G264" t="str">
        <f>T("Minase Chiho")</f>
        <v>Minase Chiho</v>
      </c>
      <c r="H264" t="str">
        <f t="shared" si="48"/>
        <v>스토리위즈</v>
      </c>
      <c r="I264" t="str">
        <f>T("감옥실험")</f>
        <v>감옥실험</v>
      </c>
      <c r="J264">
        <v>500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7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/>
      <c r="AQ264">
        <v>0</v>
      </c>
      <c r="AR264">
        <v>0</v>
      </c>
      <c r="AT264">
        <v>0</v>
      </c>
      <c r="AU264">
        <v>0</v>
      </c>
      <c r="AW264">
        <v>0</v>
      </c>
      <c r="AX264">
        <v>0</v>
      </c>
      <c r="AY264">
        <v>0</v>
      </c>
      <c r="BC264" t="str">
        <f>T("9791166069406")</f>
        <v>9791166069406</v>
      </c>
      <c r="BE264" t="str">
        <f>T("웹툰 &gt; 드라마")</f>
        <v>웹툰 &gt; 드라마</v>
      </c>
    </row>
    <row r="265" spans="1:58" x14ac:dyDescent="0.3">
      <c r="A265">
        <v>4421000866</v>
      </c>
      <c r="B265">
        <v>4421000970</v>
      </c>
      <c r="C265" t="str">
        <f>T("최애에게 들켜버렸다 29화")</f>
        <v>최애에게 들켜버렸다 29화</v>
      </c>
      <c r="D265" t="str">
        <f>T("30")</f>
        <v>30</v>
      </c>
      <c r="E265" t="str">
        <f>T("Lv")</f>
        <v>Lv</v>
      </c>
      <c r="G265" t="str">
        <f>T("Lv")</f>
        <v>Lv</v>
      </c>
      <c r="H265" t="str">
        <f t="shared" si="48"/>
        <v>스토리위즈</v>
      </c>
      <c r="I265" t="str">
        <f>T("최애에게 들켜버렸다")</f>
        <v>최애에게 들켜버렸다</v>
      </c>
      <c r="J265">
        <v>400</v>
      </c>
      <c r="K265">
        <v>0</v>
      </c>
      <c r="L265">
        <v>0</v>
      </c>
      <c r="M265">
        <v>0</v>
      </c>
      <c r="N265">
        <v>400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400</v>
      </c>
      <c r="AH265">
        <v>2</v>
      </c>
      <c r="AI265">
        <v>0</v>
      </c>
      <c r="AJ265">
        <v>0</v>
      </c>
      <c r="AK265">
        <v>0</v>
      </c>
      <c r="AL265">
        <v>0</v>
      </c>
      <c r="AM265">
        <v>480</v>
      </c>
      <c r="AN265">
        <v>-48</v>
      </c>
      <c r="AO265">
        <v>0</v>
      </c>
      <c r="AP265"/>
      <c r="AQ265">
        <v>0</v>
      </c>
      <c r="AR265">
        <v>0</v>
      </c>
      <c r="AS265">
        <v>480</v>
      </c>
      <c r="AT265">
        <v>-48</v>
      </c>
      <c r="AU265">
        <v>0</v>
      </c>
      <c r="AW265">
        <v>0</v>
      </c>
      <c r="AX265">
        <v>0</v>
      </c>
      <c r="AY265">
        <v>302.39999999999998</v>
      </c>
      <c r="BA265" t="str">
        <f>T("0000000000000")</f>
        <v>0000000000000</v>
      </c>
      <c r="BC265" t="str">
        <f>T("9791137601253")</f>
        <v>9791137601253</v>
      </c>
      <c r="BE265" t="str">
        <f>T("웹툰 &gt; 해외 순정")</f>
        <v>웹툰 &gt; 해외 순정</v>
      </c>
      <c r="BF265" t="str">
        <f>T("웹툰 &gt; 로맨스")</f>
        <v>웹툰 &gt; 로맨스</v>
      </c>
    </row>
    <row r="266" spans="1:58" x14ac:dyDescent="0.3">
      <c r="A266">
        <v>4421000450</v>
      </c>
      <c r="B266">
        <v>4421000464</v>
      </c>
      <c r="C266" t="str">
        <f>T("내 남편의 스토커 14화")</f>
        <v>내 남편의 스토커 14화</v>
      </c>
      <c r="D266" t="str">
        <f>T("14")</f>
        <v>14</v>
      </c>
      <c r="E266" t="str">
        <f>T("혜원")</f>
        <v>혜원</v>
      </c>
      <c r="G266" t="str">
        <f>T("혜원")</f>
        <v>혜원</v>
      </c>
      <c r="H266" t="str">
        <f t="shared" si="48"/>
        <v>스토리위즈</v>
      </c>
      <c r="I266" t="str">
        <f>T("내 남편의 스토커")</f>
        <v>내 남편의 스토커</v>
      </c>
      <c r="J266">
        <v>400</v>
      </c>
      <c r="K266">
        <v>0</v>
      </c>
      <c r="L266">
        <v>0</v>
      </c>
      <c r="M266">
        <v>0</v>
      </c>
      <c r="N266">
        <v>200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200</v>
      </c>
      <c r="AH266">
        <v>1</v>
      </c>
      <c r="AI266">
        <v>0</v>
      </c>
      <c r="AJ266">
        <v>0</v>
      </c>
      <c r="AK266">
        <v>100</v>
      </c>
      <c r="AL266">
        <v>0</v>
      </c>
      <c r="AM266">
        <v>120</v>
      </c>
      <c r="AN266">
        <v>-36</v>
      </c>
      <c r="AO266">
        <v>0</v>
      </c>
      <c r="AP266"/>
      <c r="AQ266">
        <v>0</v>
      </c>
      <c r="AR266">
        <v>0</v>
      </c>
      <c r="AS266">
        <v>120</v>
      </c>
      <c r="AT266">
        <v>-36</v>
      </c>
      <c r="AU266">
        <v>0</v>
      </c>
      <c r="AW266">
        <v>0</v>
      </c>
      <c r="AX266">
        <v>0</v>
      </c>
      <c r="AY266">
        <v>128.80000000000001</v>
      </c>
      <c r="BA266" t="str">
        <f>T("0000000000000")</f>
        <v>0000000000000</v>
      </c>
      <c r="BC266" t="str">
        <f>T("9791166068034")</f>
        <v>9791166068034</v>
      </c>
      <c r="BE266" t="str">
        <f>T("웹툰 &gt; 로맨스")</f>
        <v>웹툰 &gt; 로맨스</v>
      </c>
    </row>
    <row r="267" spans="1:58" x14ac:dyDescent="0.3">
      <c r="A267">
        <v>4421000866</v>
      </c>
      <c r="B267">
        <v>4421000866</v>
      </c>
      <c r="C267" t="str">
        <f>T("최애에게 들켜버렸다 예고편")</f>
        <v>최애에게 들켜버렸다 예고편</v>
      </c>
      <c r="E267" t="str">
        <f>T("Lv")</f>
        <v>Lv</v>
      </c>
      <c r="G267" t="str">
        <f>T("Lv")</f>
        <v>Lv</v>
      </c>
      <c r="H267" t="str">
        <f t="shared" si="48"/>
        <v>스토리위즈</v>
      </c>
      <c r="I267" t="str">
        <f>T("최애에게 들켜버렸다")</f>
        <v>최애에게 들켜버렸다</v>
      </c>
      <c r="J267">
        <v>0</v>
      </c>
      <c r="K267">
        <v>0</v>
      </c>
      <c r="L267">
        <v>0</v>
      </c>
      <c r="M267">
        <v>15</v>
      </c>
      <c r="N267">
        <v>0</v>
      </c>
      <c r="O267">
        <v>0</v>
      </c>
      <c r="P267">
        <v>52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/>
      <c r="AQ267">
        <v>0</v>
      </c>
      <c r="AR267">
        <v>0</v>
      </c>
      <c r="AT267">
        <v>0</v>
      </c>
      <c r="AU267">
        <v>0</v>
      </c>
      <c r="AW267">
        <v>0</v>
      </c>
      <c r="AX267">
        <v>0</v>
      </c>
      <c r="AY267">
        <v>0</v>
      </c>
      <c r="BA267" t="str">
        <f>T("0000000000000")</f>
        <v>0000000000000</v>
      </c>
      <c r="BC267" t="str">
        <f>T("9791137601253")</f>
        <v>9791137601253</v>
      </c>
      <c r="BE267" t="str">
        <f>T("웹툰 &gt; 해외 순정")</f>
        <v>웹툰 &gt; 해외 순정</v>
      </c>
      <c r="BF267" t="str">
        <f>T("웹툰 &gt; 로맨스")</f>
        <v>웹툰 &gt; 로맨스</v>
      </c>
    </row>
    <row r="268" spans="1:58" x14ac:dyDescent="0.3">
      <c r="A268">
        <v>4421000001</v>
      </c>
      <c r="B268">
        <v>4421000057</v>
      </c>
      <c r="C268" t="str">
        <f>T("감옥실험 37화")</f>
        <v>감옥실험 37화</v>
      </c>
      <c r="D268" t="str">
        <f>T("37")</f>
        <v>37</v>
      </c>
      <c r="E268" t="str">
        <f>T("Kantetsu")</f>
        <v>Kantetsu</v>
      </c>
      <c r="G268" t="str">
        <f>T("Minase Chiho")</f>
        <v>Minase Chiho</v>
      </c>
      <c r="H268" t="str">
        <f t="shared" si="48"/>
        <v>스토리위즈</v>
      </c>
      <c r="I268" t="str">
        <f>T("감옥실험")</f>
        <v>감옥실험</v>
      </c>
      <c r="J268">
        <v>500</v>
      </c>
      <c r="K268">
        <v>0</v>
      </c>
      <c r="L268">
        <v>0</v>
      </c>
      <c r="M268">
        <v>0</v>
      </c>
      <c r="N268">
        <v>600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600</v>
      </c>
      <c r="AH268">
        <v>2</v>
      </c>
      <c r="AI268">
        <v>0</v>
      </c>
      <c r="AJ268">
        <v>0</v>
      </c>
      <c r="AK268">
        <v>600</v>
      </c>
      <c r="AL268">
        <v>0</v>
      </c>
      <c r="AM268">
        <v>0</v>
      </c>
      <c r="AN268">
        <v>0</v>
      </c>
      <c r="AO268">
        <v>0</v>
      </c>
      <c r="AP268"/>
      <c r="AQ268">
        <v>0</v>
      </c>
      <c r="AR268">
        <v>0</v>
      </c>
      <c r="AT268">
        <v>0</v>
      </c>
      <c r="AU268">
        <v>0</v>
      </c>
      <c r="AW268">
        <v>0</v>
      </c>
      <c r="AX268">
        <v>0</v>
      </c>
      <c r="AY268">
        <v>420</v>
      </c>
      <c r="BC268" t="str">
        <f>T("9791166069406")</f>
        <v>9791166069406</v>
      </c>
      <c r="BE268" t="str">
        <f>T("웹툰 &gt; 드라마")</f>
        <v>웹툰 &gt; 드라마</v>
      </c>
    </row>
    <row r="269" spans="1:58" x14ac:dyDescent="0.3">
      <c r="A269">
        <v>4421000450</v>
      </c>
      <c r="B269">
        <v>4421000496</v>
      </c>
      <c r="C269" t="str">
        <f>T("내 남편의 스토커 46화")</f>
        <v>내 남편의 스토커 46화</v>
      </c>
      <c r="D269" t="str">
        <f>T("46")</f>
        <v>46</v>
      </c>
      <c r="E269" t="str">
        <f>T("혜원")</f>
        <v>혜원</v>
      </c>
      <c r="G269" t="str">
        <f>T("혜원")</f>
        <v>혜원</v>
      </c>
      <c r="H269" t="str">
        <f t="shared" si="48"/>
        <v>스토리위즈</v>
      </c>
      <c r="I269" t="str">
        <f>T("내 남편의 스토커")</f>
        <v>내 남편의 스토커</v>
      </c>
      <c r="J269">
        <v>400</v>
      </c>
      <c r="K269">
        <v>0</v>
      </c>
      <c r="L269">
        <v>0</v>
      </c>
      <c r="M269">
        <v>0</v>
      </c>
      <c r="N269">
        <v>200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240</v>
      </c>
      <c r="AN269">
        <v>-24</v>
      </c>
      <c r="AO269">
        <v>0</v>
      </c>
      <c r="AP269"/>
      <c r="AQ269">
        <v>0</v>
      </c>
      <c r="AR269">
        <v>0</v>
      </c>
      <c r="AS269">
        <v>240</v>
      </c>
      <c r="AT269">
        <v>-24</v>
      </c>
      <c r="AU269">
        <v>0</v>
      </c>
      <c r="AW269">
        <v>0</v>
      </c>
      <c r="AX269">
        <v>0</v>
      </c>
      <c r="AY269">
        <v>151.19999999999999</v>
      </c>
      <c r="BA269" t="str">
        <f>T("0000000000000")</f>
        <v>0000000000000</v>
      </c>
      <c r="BC269" t="str">
        <f>T("9791166068034")</f>
        <v>9791166068034</v>
      </c>
      <c r="BE269" t="str">
        <f>T("웹툰 &gt; 로맨스")</f>
        <v>웹툰 &gt; 로맨스</v>
      </c>
    </row>
    <row r="270" spans="1:58" x14ac:dyDescent="0.3">
      <c r="A270">
        <v>4421000518</v>
      </c>
      <c r="B270">
        <v>4421000518</v>
      </c>
      <c r="C270" t="str">
        <f>T("백스테이지 키스신 프롤로그")</f>
        <v>백스테이지 키스신 프롤로그</v>
      </c>
      <c r="E270" t="str">
        <f>T("최도비")</f>
        <v>최도비</v>
      </c>
      <c r="G270" t="str">
        <f>T("수정과")</f>
        <v>수정과</v>
      </c>
      <c r="H270" t="str">
        <f t="shared" si="48"/>
        <v>스토리위즈</v>
      </c>
      <c r="I270" t="str">
        <f>T("백스테이지 키스신")</f>
        <v>백스테이지 키스신</v>
      </c>
      <c r="J270">
        <v>400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/>
      <c r="AQ270">
        <v>0</v>
      </c>
      <c r="AR270">
        <v>0</v>
      </c>
      <c r="AT270">
        <v>0</v>
      </c>
      <c r="AU270">
        <v>0</v>
      </c>
      <c r="AW270">
        <v>0</v>
      </c>
      <c r="AX270">
        <v>0</v>
      </c>
      <c r="AY270">
        <v>0</v>
      </c>
      <c r="BA270" t="str">
        <f>T("0000000000000")</f>
        <v>0000000000000</v>
      </c>
      <c r="BC270" t="str">
        <f>T("9791166067990")</f>
        <v>9791166067990</v>
      </c>
      <c r="BE270" t="str">
        <f>T("웹툰 &gt; 로맨스")</f>
        <v>웹툰 &gt; 로맨스</v>
      </c>
    </row>
    <row r="271" spans="1:58" x14ac:dyDescent="0.3">
      <c r="A271">
        <v>4421000001</v>
      </c>
      <c r="B271">
        <v>4421000046</v>
      </c>
      <c r="C271" t="str">
        <f>T("감옥실험 26화")</f>
        <v>감옥실험 26화</v>
      </c>
      <c r="D271" t="str">
        <f>T("26")</f>
        <v>26</v>
      </c>
      <c r="E271" t="str">
        <f>T("Kantetsu")</f>
        <v>Kantetsu</v>
      </c>
      <c r="G271" t="str">
        <f>T("Minase Chiho")</f>
        <v>Minase Chiho</v>
      </c>
      <c r="H271" t="str">
        <f t="shared" si="48"/>
        <v>스토리위즈</v>
      </c>
      <c r="I271" t="str">
        <f>T("감옥실험")</f>
        <v>감옥실험</v>
      </c>
      <c r="J271">
        <v>500</v>
      </c>
      <c r="K271">
        <v>0</v>
      </c>
      <c r="L271">
        <v>0</v>
      </c>
      <c r="M271">
        <v>0</v>
      </c>
      <c r="N271">
        <v>600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600</v>
      </c>
      <c r="AH271">
        <v>2</v>
      </c>
      <c r="AI271">
        <v>0</v>
      </c>
      <c r="AJ271">
        <v>0</v>
      </c>
      <c r="AK271">
        <v>600</v>
      </c>
      <c r="AL271">
        <v>0</v>
      </c>
      <c r="AM271">
        <v>0</v>
      </c>
      <c r="AN271">
        <v>0</v>
      </c>
      <c r="AO271">
        <v>0</v>
      </c>
      <c r="AP271"/>
      <c r="AQ271">
        <v>0</v>
      </c>
      <c r="AR271">
        <v>0</v>
      </c>
      <c r="AT271">
        <v>0</v>
      </c>
      <c r="AU271">
        <v>0</v>
      </c>
      <c r="AW271">
        <v>0</v>
      </c>
      <c r="AX271">
        <v>0</v>
      </c>
      <c r="AY271">
        <v>420</v>
      </c>
      <c r="BC271" t="str">
        <f>T("9791166069406")</f>
        <v>9791166069406</v>
      </c>
      <c r="BE271" t="str">
        <f>T("웹툰 &gt; 드라마")</f>
        <v>웹툰 &gt; 드라마</v>
      </c>
    </row>
    <row r="272" spans="1:58" x14ac:dyDescent="0.3">
      <c r="A272">
        <v>4421000450</v>
      </c>
      <c r="B272">
        <v>4421000485</v>
      </c>
      <c r="C272" t="str">
        <f>T("내 남편의 스토커 35화")</f>
        <v>내 남편의 스토커 35화</v>
      </c>
      <c r="D272" t="str">
        <f>T("35")</f>
        <v>35</v>
      </c>
      <c r="E272" t="str">
        <f>T("혜원")</f>
        <v>혜원</v>
      </c>
      <c r="G272" t="str">
        <f>T("혜원")</f>
        <v>혜원</v>
      </c>
      <c r="H272" t="str">
        <f t="shared" si="48"/>
        <v>스토리위즈</v>
      </c>
      <c r="I272" t="str">
        <f>T("내 남편의 스토커")</f>
        <v>내 남편의 스토커</v>
      </c>
      <c r="J272">
        <v>400</v>
      </c>
      <c r="K272">
        <v>0</v>
      </c>
      <c r="L272">
        <v>0</v>
      </c>
      <c r="M272">
        <v>0</v>
      </c>
      <c r="N272">
        <v>200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240</v>
      </c>
      <c r="AN272">
        <v>-24</v>
      </c>
      <c r="AO272">
        <v>0</v>
      </c>
      <c r="AP272"/>
      <c r="AQ272">
        <v>0</v>
      </c>
      <c r="AR272">
        <v>0</v>
      </c>
      <c r="AS272">
        <v>240</v>
      </c>
      <c r="AT272">
        <v>-24</v>
      </c>
      <c r="AU272">
        <v>0</v>
      </c>
      <c r="AW272">
        <v>0</v>
      </c>
      <c r="AX272">
        <v>0</v>
      </c>
      <c r="AY272">
        <v>151.19999999999999</v>
      </c>
      <c r="BA272" t="str">
        <f>T("0000000000000")</f>
        <v>0000000000000</v>
      </c>
      <c r="BC272" t="str">
        <f>T("9791166068034")</f>
        <v>9791166068034</v>
      </c>
      <c r="BE272" t="str">
        <f>T("웹툰 &gt; 로맨스")</f>
        <v>웹툰 &gt; 로맨스</v>
      </c>
    </row>
    <row r="273" spans="1:58" x14ac:dyDescent="0.3">
      <c r="A273">
        <v>4421000887</v>
      </c>
      <c r="B273">
        <v>4421000887</v>
      </c>
      <c r="C273" t="str">
        <f>T("폭군의 눈물 1화")</f>
        <v>폭군의 눈물 1화</v>
      </c>
      <c r="D273" t="str">
        <f>T("1")</f>
        <v>1</v>
      </c>
      <c r="E273" t="str">
        <f>T("Ice×FANFAN COMIC")</f>
        <v>Ice×FANFAN COMIC</v>
      </c>
      <c r="G273" t="str">
        <f>T("Ice×FANFAN COMIC")</f>
        <v>Ice×FANFAN COMIC</v>
      </c>
      <c r="H273" t="str">
        <f t="shared" si="48"/>
        <v>스토리위즈</v>
      </c>
      <c r="I273" t="str">
        <f>T("폭군의 눈물")</f>
        <v>폭군의 눈물</v>
      </c>
      <c r="J273">
        <v>400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/>
      <c r="AQ273">
        <v>0</v>
      </c>
      <c r="AR273">
        <v>0</v>
      </c>
      <c r="AT273">
        <v>0</v>
      </c>
      <c r="AU273">
        <v>0</v>
      </c>
      <c r="AW273">
        <v>0</v>
      </c>
      <c r="AX273">
        <v>0</v>
      </c>
      <c r="AY273">
        <v>0</v>
      </c>
      <c r="BA273" t="str">
        <f>T("0000000000000")</f>
        <v>0000000000000</v>
      </c>
      <c r="BC273" t="str">
        <f>T("9791137601291")</f>
        <v>9791137601291</v>
      </c>
      <c r="BE273" t="str">
        <f>T("웹툰 &gt; 해외 순정")</f>
        <v>웹툰 &gt; 해외 순정</v>
      </c>
      <c r="BF273" t="str">
        <f>T("웹툰 &gt; 로판")</f>
        <v>웹툰 &gt; 로판</v>
      </c>
    </row>
    <row r="274" spans="1:58" x14ac:dyDescent="0.3">
      <c r="A274">
        <v>4421001634</v>
      </c>
      <c r="B274">
        <v>4421002519</v>
      </c>
      <c r="C274" t="str">
        <f>T("그남자의 사랑방식 70화")</f>
        <v>그남자의 사랑방식 70화</v>
      </c>
      <c r="D274" t="str">
        <f>T("70")</f>
        <v>70</v>
      </c>
      <c r="E274" t="str">
        <f>T("웹티")</f>
        <v>웹티</v>
      </c>
      <c r="H274" t="str">
        <f t="shared" si="48"/>
        <v>스토리위즈</v>
      </c>
      <c r="I274" t="str">
        <f>T("그남자의 사랑방식")</f>
        <v>그남자의 사랑방식</v>
      </c>
      <c r="J274">
        <v>500</v>
      </c>
      <c r="K274">
        <v>0</v>
      </c>
      <c r="L274">
        <v>0</v>
      </c>
      <c r="M274">
        <v>0</v>
      </c>
      <c r="N274">
        <v>200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240</v>
      </c>
      <c r="AN274">
        <v>-24</v>
      </c>
      <c r="AO274">
        <v>0</v>
      </c>
      <c r="AP274"/>
      <c r="AQ274">
        <v>0</v>
      </c>
      <c r="AR274">
        <v>0</v>
      </c>
      <c r="AS274">
        <v>240</v>
      </c>
      <c r="AT274">
        <v>-24</v>
      </c>
      <c r="AU274">
        <v>0</v>
      </c>
      <c r="AW274">
        <v>0</v>
      </c>
      <c r="AX274">
        <v>0</v>
      </c>
      <c r="AY274">
        <v>151.19999999999999</v>
      </c>
      <c r="BC274" t="str">
        <f>T("9791190622004")</f>
        <v>9791190622004</v>
      </c>
      <c r="BE274" t="str">
        <f>T("BL 웹툰 &gt; 웹툰")</f>
        <v>BL 웹툰 &gt; 웹툰</v>
      </c>
    </row>
    <row r="275" spans="1:58" x14ac:dyDescent="0.3">
      <c r="A275">
        <v>4421001634</v>
      </c>
      <c r="B275">
        <v>4421001638</v>
      </c>
      <c r="C275" t="str">
        <f>T("그남자의 사랑방식 5화")</f>
        <v>그남자의 사랑방식 5화</v>
      </c>
      <c r="D275" t="str">
        <f>T("5")</f>
        <v>5</v>
      </c>
      <c r="E275" t="str">
        <f>T("웹티")</f>
        <v>웹티</v>
      </c>
      <c r="H275" t="str">
        <f t="shared" si="48"/>
        <v>스토리위즈</v>
      </c>
      <c r="I275" t="str">
        <f>T("그남자의 사랑방식")</f>
        <v>그남자의 사랑방식</v>
      </c>
      <c r="J275">
        <v>500</v>
      </c>
      <c r="K275">
        <v>0</v>
      </c>
      <c r="L275">
        <v>0</v>
      </c>
      <c r="M275">
        <v>0</v>
      </c>
      <c r="N275">
        <v>1400</v>
      </c>
      <c r="O275">
        <v>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1400</v>
      </c>
      <c r="AH275">
        <v>7</v>
      </c>
      <c r="AI275">
        <v>0</v>
      </c>
      <c r="AJ275">
        <v>0</v>
      </c>
      <c r="AK275">
        <v>600</v>
      </c>
      <c r="AL275">
        <v>0</v>
      </c>
      <c r="AM275">
        <v>960</v>
      </c>
      <c r="AN275">
        <v>-96</v>
      </c>
      <c r="AO275">
        <v>0</v>
      </c>
      <c r="AP275"/>
      <c r="AQ275">
        <v>0</v>
      </c>
      <c r="AR275">
        <v>0</v>
      </c>
      <c r="AS275">
        <v>960</v>
      </c>
      <c r="AT275">
        <v>-96</v>
      </c>
      <c r="AU275">
        <v>0</v>
      </c>
      <c r="AW275">
        <v>0</v>
      </c>
      <c r="AX275">
        <v>0</v>
      </c>
      <c r="AY275">
        <v>1024.8</v>
      </c>
      <c r="BC275" t="str">
        <f>T("9791190622004")</f>
        <v>9791190622004</v>
      </c>
      <c r="BE275" t="str">
        <f>T("BL 웹툰 &gt; 웹툰")</f>
        <v>BL 웹툰 &gt; 웹툰</v>
      </c>
    </row>
    <row r="276" spans="1:58" x14ac:dyDescent="0.3">
      <c r="A276">
        <v>4421000887</v>
      </c>
      <c r="B276">
        <v>4421001216</v>
      </c>
      <c r="C276" t="str">
        <f>T("폭군의 눈물 43화")</f>
        <v>폭군의 눈물 43화</v>
      </c>
      <c r="D276" t="str">
        <f>T("43")</f>
        <v>43</v>
      </c>
      <c r="E276" t="str">
        <f>T("Ice×FANFAN COMIC")</f>
        <v>Ice×FANFAN COMIC</v>
      </c>
      <c r="G276" t="str">
        <f>T("Ice×FANFAN COMIC")</f>
        <v>Ice×FANFAN COMIC</v>
      </c>
      <c r="H276" t="str">
        <f t="shared" si="48"/>
        <v>스토리위즈</v>
      </c>
      <c r="I276" t="str">
        <f>T("폭군의 눈물")</f>
        <v>폭군의 눈물</v>
      </c>
      <c r="J276">
        <v>400</v>
      </c>
      <c r="K276">
        <v>0</v>
      </c>
      <c r="L276">
        <v>0</v>
      </c>
      <c r="M276">
        <v>0</v>
      </c>
      <c r="N276">
        <v>200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200</v>
      </c>
      <c r="AH276">
        <v>1</v>
      </c>
      <c r="AI276">
        <v>0</v>
      </c>
      <c r="AJ276">
        <v>0</v>
      </c>
      <c r="AK276">
        <v>200</v>
      </c>
      <c r="AL276">
        <v>0</v>
      </c>
      <c r="AM276">
        <v>0</v>
      </c>
      <c r="AN276">
        <v>0</v>
      </c>
      <c r="AO276">
        <v>0</v>
      </c>
      <c r="AP276"/>
      <c r="AQ276">
        <v>0</v>
      </c>
      <c r="AR276">
        <v>0</v>
      </c>
      <c r="AT276">
        <v>0</v>
      </c>
      <c r="AU276">
        <v>0</v>
      </c>
      <c r="AW276">
        <v>0</v>
      </c>
      <c r="AX276">
        <v>0</v>
      </c>
      <c r="AY276">
        <v>140</v>
      </c>
      <c r="BA276" t="str">
        <f>T("0000000000000")</f>
        <v>0000000000000</v>
      </c>
      <c r="BC276" t="str">
        <f>T("9791137601291")</f>
        <v>9791137601291</v>
      </c>
      <c r="BE276" t="str">
        <f>T("웹툰 &gt; 해외 순정")</f>
        <v>웹툰 &gt; 해외 순정</v>
      </c>
      <c r="BF276" t="str">
        <f>T("웹툰 &gt; 로판")</f>
        <v>웹툰 &gt; 로판</v>
      </c>
    </row>
    <row r="277" spans="1:58" x14ac:dyDescent="0.3">
      <c r="A277">
        <v>4421002829</v>
      </c>
      <c r="B277">
        <v>4421002979</v>
      </c>
      <c r="C277" t="str">
        <f>T("테두리는 주시하지 않는다 (개정판) 17화")</f>
        <v>테두리는 주시하지 않는다 (개정판) 17화</v>
      </c>
      <c r="D277" t="str">
        <f>T("17")</f>
        <v>17</v>
      </c>
      <c r="E277" t="str">
        <f>T("토찌, 키로즈")</f>
        <v>토찌, 키로즈</v>
      </c>
      <c r="G277" t="str">
        <f>T("마린")</f>
        <v>마린</v>
      </c>
      <c r="H277" t="str">
        <f t="shared" si="48"/>
        <v>스토리위즈</v>
      </c>
      <c r="I277" t="str">
        <f>T("테두리는 주시하지 않는다 (개정판)")</f>
        <v>테두리는 주시하지 않는다 (개정판)</v>
      </c>
      <c r="J277">
        <v>500</v>
      </c>
      <c r="K277">
        <v>0</v>
      </c>
      <c r="L277">
        <v>0</v>
      </c>
      <c r="M277">
        <v>0</v>
      </c>
      <c r="N277">
        <v>4800</v>
      </c>
      <c r="O277">
        <v>16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4800</v>
      </c>
      <c r="AH277">
        <v>16</v>
      </c>
      <c r="AI277">
        <v>0</v>
      </c>
      <c r="AJ277">
        <v>0</v>
      </c>
      <c r="AK277">
        <v>2700</v>
      </c>
      <c r="AL277">
        <v>0</v>
      </c>
      <c r="AM277">
        <v>2520</v>
      </c>
      <c r="AN277">
        <v>-396</v>
      </c>
      <c r="AO277">
        <v>0</v>
      </c>
      <c r="AP277">
        <v>720</v>
      </c>
      <c r="AQ277">
        <v>-216</v>
      </c>
      <c r="AR277">
        <v>0</v>
      </c>
      <c r="AS277">
        <v>1800</v>
      </c>
      <c r="AT277">
        <v>-180</v>
      </c>
      <c r="AU277">
        <v>0</v>
      </c>
      <c r="AW277">
        <v>0</v>
      </c>
      <c r="AX277">
        <v>0</v>
      </c>
      <c r="AY277">
        <v>3376.8</v>
      </c>
      <c r="BA277" t="str">
        <f>T("0000000000000")</f>
        <v>0000000000000</v>
      </c>
      <c r="BC277" t="str">
        <f>T("9791137604681")</f>
        <v>9791137604681</v>
      </c>
      <c r="BE277" t="str">
        <f>T("BL 웹툰 &gt; 웹툰")</f>
        <v>BL 웹툰 &gt; 웹툰</v>
      </c>
    </row>
    <row r="278" spans="1:58" x14ac:dyDescent="0.3">
      <c r="A278">
        <v>4421001634</v>
      </c>
      <c r="B278">
        <v>4421002551</v>
      </c>
      <c r="C278" t="str">
        <f>T("그남자의 사랑방식 102화")</f>
        <v>그남자의 사랑방식 102화</v>
      </c>
      <c r="D278" t="str">
        <f>T("102")</f>
        <v>102</v>
      </c>
      <c r="E278" t="str">
        <f>T("웹티")</f>
        <v>웹티</v>
      </c>
      <c r="H278" t="str">
        <f t="shared" si="48"/>
        <v>스토리위즈</v>
      </c>
      <c r="I278" t="str">
        <f>T("그남자의 사랑방식")</f>
        <v>그남자의 사랑방식</v>
      </c>
      <c r="J278">
        <v>500</v>
      </c>
      <c r="K278">
        <v>0</v>
      </c>
      <c r="L278">
        <v>0</v>
      </c>
      <c r="M278">
        <v>0</v>
      </c>
      <c r="N278">
        <v>400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400</v>
      </c>
      <c r="AH278">
        <v>2</v>
      </c>
      <c r="AI278">
        <v>0</v>
      </c>
      <c r="AJ278">
        <v>0</v>
      </c>
      <c r="AK278">
        <v>200</v>
      </c>
      <c r="AL278">
        <v>0</v>
      </c>
      <c r="AM278">
        <v>240</v>
      </c>
      <c r="AN278">
        <v>-24</v>
      </c>
      <c r="AO278">
        <v>0</v>
      </c>
      <c r="AP278"/>
      <c r="AQ278">
        <v>0</v>
      </c>
      <c r="AR278">
        <v>0</v>
      </c>
      <c r="AS278">
        <v>240</v>
      </c>
      <c r="AT278">
        <v>-24</v>
      </c>
      <c r="AU278">
        <v>0</v>
      </c>
      <c r="AW278">
        <v>0</v>
      </c>
      <c r="AX278">
        <v>0</v>
      </c>
      <c r="AY278">
        <v>291.2</v>
      </c>
      <c r="BC278" t="str">
        <f>T("9791190622004")</f>
        <v>9791190622004</v>
      </c>
      <c r="BE278" t="str">
        <f>T("BL 웹툰 &gt; 웹툰")</f>
        <v>BL 웹툰 &gt; 웹툰</v>
      </c>
    </row>
    <row r="279" spans="1:58" x14ac:dyDescent="0.3">
      <c r="A279">
        <v>4421001340</v>
      </c>
      <c r="B279">
        <v>4421001370</v>
      </c>
      <c r="C279" t="str">
        <f>T("가출천사 육성계약 31화")</f>
        <v>가출천사 육성계약 31화</v>
      </c>
      <c r="D279" t="str">
        <f>T("31")</f>
        <v>31</v>
      </c>
      <c r="E279" t="str">
        <f>T("Bae.C, IIAKI, 박제후")</f>
        <v>Bae.C, IIAKI, 박제후</v>
      </c>
      <c r="G279" t="str">
        <f>T("Bae.C, 조우")</f>
        <v>Bae.C, 조우</v>
      </c>
      <c r="H279" t="str">
        <f t="shared" si="48"/>
        <v>스토리위즈</v>
      </c>
      <c r="I279" t="str">
        <f>T("가출천사 육성계약")</f>
        <v>가출천사 육성계약</v>
      </c>
      <c r="J279">
        <v>400</v>
      </c>
      <c r="K279">
        <v>0</v>
      </c>
      <c r="L279">
        <v>0</v>
      </c>
      <c r="M279">
        <v>0</v>
      </c>
      <c r="N279">
        <v>200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240</v>
      </c>
      <c r="AN279">
        <v>-24</v>
      </c>
      <c r="AO279">
        <v>0</v>
      </c>
      <c r="AP279"/>
      <c r="AQ279">
        <v>0</v>
      </c>
      <c r="AR279">
        <v>0</v>
      </c>
      <c r="AS279">
        <v>240</v>
      </c>
      <c r="AT279">
        <v>-24</v>
      </c>
      <c r="AU279">
        <v>0</v>
      </c>
      <c r="AW279">
        <v>0</v>
      </c>
      <c r="AX279">
        <v>0</v>
      </c>
      <c r="AY279">
        <v>151.19999999999999</v>
      </c>
      <c r="BA279" t="str">
        <f>T("0000000000000")</f>
        <v>0000000000000</v>
      </c>
      <c r="BC279" t="str">
        <f>T("9791191765663")</f>
        <v>9791191765663</v>
      </c>
      <c r="BE279" t="str">
        <f>T("웹툰 &gt; 판타지/SF")</f>
        <v>웹툰 &gt; 판타지/SF</v>
      </c>
    </row>
    <row r="280" spans="1:58" x14ac:dyDescent="0.3">
      <c r="A280">
        <v>4421001634</v>
      </c>
      <c r="B280">
        <v>4421001670</v>
      </c>
      <c r="C280" t="str">
        <f>T("그남자의 사랑방식 37화")</f>
        <v>그남자의 사랑방식 37화</v>
      </c>
      <c r="D280" t="str">
        <f>T("37")</f>
        <v>37</v>
      </c>
      <c r="E280" t="str">
        <f>T("웹티")</f>
        <v>웹티</v>
      </c>
      <c r="H280" t="str">
        <f t="shared" si="48"/>
        <v>스토리위즈</v>
      </c>
      <c r="I280" t="str">
        <f>T("그남자의 사랑방식")</f>
        <v>그남자의 사랑방식</v>
      </c>
      <c r="J280">
        <v>500</v>
      </c>
      <c r="K280">
        <v>0</v>
      </c>
      <c r="L280">
        <v>0</v>
      </c>
      <c r="M280">
        <v>0</v>
      </c>
      <c r="N280">
        <v>600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600</v>
      </c>
      <c r="AH280">
        <v>3</v>
      </c>
      <c r="AI280">
        <v>0</v>
      </c>
      <c r="AJ280">
        <v>0</v>
      </c>
      <c r="AK280">
        <v>200</v>
      </c>
      <c r="AL280">
        <v>0</v>
      </c>
      <c r="AM280">
        <v>480</v>
      </c>
      <c r="AN280">
        <v>-48</v>
      </c>
      <c r="AO280">
        <v>0</v>
      </c>
      <c r="AP280"/>
      <c r="AQ280">
        <v>0</v>
      </c>
      <c r="AR280">
        <v>0</v>
      </c>
      <c r="AS280">
        <v>480</v>
      </c>
      <c r="AT280">
        <v>-48</v>
      </c>
      <c r="AU280">
        <v>0</v>
      </c>
      <c r="AW280">
        <v>0</v>
      </c>
      <c r="AX280">
        <v>0</v>
      </c>
      <c r="AY280">
        <v>442.4</v>
      </c>
      <c r="BC280" t="str">
        <f>T("9791190622004")</f>
        <v>9791190622004</v>
      </c>
      <c r="BE280" t="str">
        <f>T("BL 웹툰 &gt; 웹툰")</f>
        <v>BL 웹툰 &gt; 웹툰</v>
      </c>
    </row>
    <row r="281" spans="1:58" x14ac:dyDescent="0.3">
      <c r="A281">
        <v>4421003015</v>
      </c>
      <c r="B281">
        <v>4421003028</v>
      </c>
      <c r="C281" t="str">
        <f>T("일월성신 13화")</f>
        <v>일월성신 13화</v>
      </c>
      <c r="D281" t="str">
        <f>T("13")</f>
        <v>13</v>
      </c>
      <c r="E281" t="str">
        <f>T("김숙지")</f>
        <v>김숙지</v>
      </c>
      <c r="G281" t="str">
        <f>T("이름표")</f>
        <v>이름표</v>
      </c>
      <c r="H281" t="str">
        <f t="shared" si="48"/>
        <v>스토리위즈</v>
      </c>
      <c r="I281" t="str">
        <f>T("일월성신")</f>
        <v>일월성신</v>
      </c>
      <c r="J281">
        <v>400</v>
      </c>
      <c r="K281">
        <v>0</v>
      </c>
      <c r="L281">
        <v>0</v>
      </c>
      <c r="M281">
        <v>0</v>
      </c>
      <c r="N281">
        <v>600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600</v>
      </c>
      <c r="AH281">
        <v>3</v>
      </c>
      <c r="AI281">
        <v>0</v>
      </c>
      <c r="AJ281">
        <v>0</v>
      </c>
      <c r="AK281">
        <v>200</v>
      </c>
      <c r="AL281">
        <v>0</v>
      </c>
      <c r="AM281">
        <v>480</v>
      </c>
      <c r="AN281">
        <v>-96</v>
      </c>
      <c r="AO281">
        <v>0</v>
      </c>
      <c r="AP281">
        <v>240</v>
      </c>
      <c r="AQ281">
        <v>-72</v>
      </c>
      <c r="AR281">
        <v>0</v>
      </c>
      <c r="AS281">
        <v>240</v>
      </c>
      <c r="AT281">
        <v>-24</v>
      </c>
      <c r="AU281">
        <v>0</v>
      </c>
      <c r="AW281">
        <v>0</v>
      </c>
      <c r="AX281">
        <v>0</v>
      </c>
      <c r="AY281">
        <v>408.8</v>
      </c>
      <c r="BA281" t="str">
        <f>T("0000000000000")</f>
        <v>0000000000000</v>
      </c>
      <c r="BC281" t="str">
        <f>T("9791137604605")</f>
        <v>9791137604605</v>
      </c>
      <c r="BE281" t="str">
        <f>T("웹툰 &gt; 드라마")</f>
        <v>웹툰 &gt; 드라마</v>
      </c>
    </row>
    <row r="282" spans="1:58" x14ac:dyDescent="0.3">
      <c r="A282">
        <v>4421001936</v>
      </c>
      <c r="B282">
        <v>4421001936</v>
      </c>
      <c r="C282" t="str">
        <f>T("보스 오빠, 살살! 1화")</f>
        <v>보스 오빠, 살살! 1화</v>
      </c>
      <c r="D282" t="str">
        <f>T("1")</f>
        <v>1</v>
      </c>
      <c r="E282" t="str">
        <f>T("웹티")</f>
        <v>웹티</v>
      </c>
      <c r="H282" t="str">
        <f t="shared" si="48"/>
        <v>스토리위즈</v>
      </c>
      <c r="I282" t="str">
        <f>T("보스 오빠, 살살!")</f>
        <v>보스 오빠, 살살!</v>
      </c>
      <c r="J282">
        <v>0</v>
      </c>
      <c r="K282">
        <v>0</v>
      </c>
      <c r="L282">
        <v>0</v>
      </c>
      <c r="M282">
        <v>5</v>
      </c>
      <c r="N282">
        <v>0</v>
      </c>
      <c r="O282">
        <v>0</v>
      </c>
      <c r="P282">
        <v>24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29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/>
      <c r="AQ282">
        <v>0</v>
      </c>
      <c r="AR282">
        <v>0</v>
      </c>
      <c r="AT282">
        <v>0</v>
      </c>
      <c r="AU282">
        <v>0</v>
      </c>
      <c r="AW282">
        <v>0</v>
      </c>
      <c r="AX282">
        <v>0</v>
      </c>
      <c r="AY282">
        <v>0</v>
      </c>
      <c r="BC282" t="str">
        <f>T("9791190702331")</f>
        <v>9791190702331</v>
      </c>
      <c r="BE282" t="str">
        <f>T("웹툰 &gt; 로맨스")</f>
        <v>웹툰 &gt; 로맨스</v>
      </c>
    </row>
    <row r="283" spans="1:58" x14ac:dyDescent="0.3">
      <c r="A283">
        <v>4421003015</v>
      </c>
      <c r="B283">
        <v>4421003098</v>
      </c>
      <c r="C283" t="str">
        <f>T("일월성신 35화")</f>
        <v>일월성신 35화</v>
      </c>
      <c r="D283" t="str">
        <f>T("35")</f>
        <v>35</v>
      </c>
      <c r="E283" t="str">
        <f>T("김숙지")</f>
        <v>김숙지</v>
      </c>
      <c r="G283" t="str">
        <f>T("이름표")</f>
        <v>이름표</v>
      </c>
      <c r="H283" t="str">
        <f t="shared" si="48"/>
        <v>스토리위즈</v>
      </c>
      <c r="I283" t="str">
        <f>T("일월성신")</f>
        <v>일월성신</v>
      </c>
      <c r="J283">
        <v>400</v>
      </c>
      <c r="K283">
        <v>0</v>
      </c>
      <c r="L283">
        <v>0</v>
      </c>
      <c r="M283">
        <v>0</v>
      </c>
      <c r="N283">
        <v>600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600</v>
      </c>
      <c r="AH283">
        <v>3</v>
      </c>
      <c r="AI283">
        <v>0</v>
      </c>
      <c r="AJ283">
        <v>0</v>
      </c>
      <c r="AK283">
        <v>200</v>
      </c>
      <c r="AL283">
        <v>0</v>
      </c>
      <c r="AM283">
        <v>480</v>
      </c>
      <c r="AN283">
        <v>-96</v>
      </c>
      <c r="AO283">
        <v>0</v>
      </c>
      <c r="AP283">
        <v>240</v>
      </c>
      <c r="AQ283">
        <v>-72</v>
      </c>
      <c r="AR283">
        <v>0</v>
      </c>
      <c r="AS283">
        <v>240</v>
      </c>
      <c r="AT283">
        <v>-24</v>
      </c>
      <c r="AU283">
        <v>0</v>
      </c>
      <c r="AW283">
        <v>0</v>
      </c>
      <c r="AX283">
        <v>0</v>
      </c>
      <c r="AY283">
        <v>408.8</v>
      </c>
      <c r="BA283" t="str">
        <f t="shared" ref="BA283:BA288" si="49">T("0000000000000")</f>
        <v>0000000000000</v>
      </c>
      <c r="BC283" t="str">
        <f>T("9791137604605")</f>
        <v>9791137604605</v>
      </c>
      <c r="BE283" t="str">
        <f>T("웹툰 &gt; 드라마")</f>
        <v>웹툰 &gt; 드라마</v>
      </c>
    </row>
    <row r="284" spans="1:58" x14ac:dyDescent="0.3">
      <c r="A284">
        <v>4421000866</v>
      </c>
      <c r="B284">
        <v>4421001533</v>
      </c>
      <c r="C284" t="str">
        <f>T("최애에게 들켜버렸다 78화")</f>
        <v>최애에게 들켜버렸다 78화</v>
      </c>
      <c r="D284" t="str">
        <f>T("81")</f>
        <v>81</v>
      </c>
      <c r="E284" t="str">
        <f>T("Lv")</f>
        <v>Lv</v>
      </c>
      <c r="G284" t="str">
        <f>T("Lv")</f>
        <v>Lv</v>
      </c>
      <c r="H284" t="str">
        <f t="shared" si="48"/>
        <v>스토리위즈</v>
      </c>
      <c r="I284" t="str">
        <f>T("최애에게 들켜버렸다")</f>
        <v>최애에게 들켜버렸다</v>
      </c>
      <c r="J284">
        <v>400</v>
      </c>
      <c r="K284">
        <v>0</v>
      </c>
      <c r="L284">
        <v>0</v>
      </c>
      <c r="M284">
        <v>0</v>
      </c>
      <c r="N284">
        <v>400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400</v>
      </c>
      <c r="AH284">
        <v>2</v>
      </c>
      <c r="AI284">
        <v>0</v>
      </c>
      <c r="AJ284">
        <v>0</v>
      </c>
      <c r="AK284">
        <v>200</v>
      </c>
      <c r="AL284">
        <v>0</v>
      </c>
      <c r="AM284">
        <v>240</v>
      </c>
      <c r="AN284">
        <v>-24</v>
      </c>
      <c r="AO284">
        <v>0</v>
      </c>
      <c r="AP284"/>
      <c r="AQ284">
        <v>0</v>
      </c>
      <c r="AR284">
        <v>0</v>
      </c>
      <c r="AS284">
        <v>240</v>
      </c>
      <c r="AT284">
        <v>-24</v>
      </c>
      <c r="AU284">
        <v>0</v>
      </c>
      <c r="AW284">
        <v>0</v>
      </c>
      <c r="AX284">
        <v>0</v>
      </c>
      <c r="AY284">
        <v>291.2</v>
      </c>
      <c r="BA284" t="str">
        <f t="shared" si="49"/>
        <v>0000000000000</v>
      </c>
      <c r="BC284" t="str">
        <f>T("9791137601253")</f>
        <v>9791137601253</v>
      </c>
      <c r="BE284" t="str">
        <f>T("웹툰 &gt; 해외 순정")</f>
        <v>웹툰 &gt; 해외 순정</v>
      </c>
      <c r="BF284" t="str">
        <f>T("웹툰 &gt; 로맨스")</f>
        <v>웹툰 &gt; 로맨스</v>
      </c>
    </row>
    <row r="285" spans="1:58" x14ac:dyDescent="0.3">
      <c r="A285">
        <v>4421000337</v>
      </c>
      <c r="B285">
        <v>4421000339</v>
      </c>
      <c r="C285" t="str">
        <f>T("계약연애, 오늘부터 1일 3화")</f>
        <v>계약연애, 오늘부터 1일 3화</v>
      </c>
      <c r="D285" t="str">
        <f>T("3")</f>
        <v>3</v>
      </c>
      <c r="E285" t="str">
        <f>T("원기공장")</f>
        <v>원기공장</v>
      </c>
      <c r="H285" t="str">
        <f t="shared" si="48"/>
        <v>스토리위즈</v>
      </c>
      <c r="I285" t="str">
        <f>T("계약연애, 오늘부터 1일")</f>
        <v>계약연애, 오늘부터 1일</v>
      </c>
      <c r="J285">
        <v>200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/>
      <c r="AQ285">
        <v>0</v>
      </c>
      <c r="AR285">
        <v>0</v>
      </c>
      <c r="AT285">
        <v>0</v>
      </c>
      <c r="AU285">
        <v>0</v>
      </c>
      <c r="AW285">
        <v>0</v>
      </c>
      <c r="AX285">
        <v>0</v>
      </c>
      <c r="AY285">
        <v>0</v>
      </c>
      <c r="BA285" t="str">
        <f t="shared" si="49"/>
        <v>0000000000000</v>
      </c>
      <c r="BC285" t="str">
        <f>T("9791166068027")</f>
        <v>9791166068027</v>
      </c>
      <c r="BE285" t="str">
        <f>T("웹툰 &gt; 해외 순정")</f>
        <v>웹툰 &gt; 해외 순정</v>
      </c>
      <c r="BF285" t="str">
        <f>T("웹툰 &gt; 로맨스")</f>
        <v>웹툰 &gt; 로맨스</v>
      </c>
    </row>
    <row r="286" spans="1:58" x14ac:dyDescent="0.3">
      <c r="A286">
        <v>4421002305</v>
      </c>
      <c r="B286">
        <v>4421002307</v>
      </c>
      <c r="C286" t="str">
        <f>T("천년의 사랑 2화")</f>
        <v>천년의 사랑 2화</v>
      </c>
      <c r="D286" t="str">
        <f>T("2")</f>
        <v>2</v>
      </c>
      <c r="E286" t="str">
        <f>T("웹티")</f>
        <v>웹티</v>
      </c>
      <c r="H286" t="str">
        <f t="shared" si="48"/>
        <v>스토리위즈</v>
      </c>
      <c r="I286" t="str">
        <f>T("천년의 사랑")</f>
        <v>천년의 사랑</v>
      </c>
      <c r="J286">
        <v>0</v>
      </c>
      <c r="K286">
        <v>0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/>
      <c r="AQ286">
        <v>0</v>
      </c>
      <c r="AR286">
        <v>0</v>
      </c>
      <c r="AT286">
        <v>0</v>
      </c>
      <c r="AU286">
        <v>0</v>
      </c>
      <c r="AW286">
        <v>0</v>
      </c>
      <c r="AX286">
        <v>0</v>
      </c>
      <c r="AY286">
        <v>0</v>
      </c>
      <c r="BA286" t="str">
        <f t="shared" si="49"/>
        <v>0000000000000</v>
      </c>
      <c r="BC286" t="str">
        <f>T("9791190622011")</f>
        <v>9791190622011</v>
      </c>
      <c r="BE286" t="str">
        <f>T("웹툰 &gt; 로맨스")</f>
        <v>웹툰 &gt; 로맨스</v>
      </c>
    </row>
    <row r="287" spans="1:58" x14ac:dyDescent="0.3">
      <c r="A287">
        <v>4421002829</v>
      </c>
      <c r="B287">
        <v>4421002843</v>
      </c>
      <c r="C287" t="str">
        <f>T("테두리는 주시하지 않는다 (개정판) 7화")</f>
        <v>테두리는 주시하지 않는다 (개정판) 7화</v>
      </c>
      <c r="D287" t="str">
        <f>T("7")</f>
        <v>7</v>
      </c>
      <c r="E287" t="str">
        <f>T("토찌, 키로즈")</f>
        <v>토찌, 키로즈</v>
      </c>
      <c r="G287" t="str">
        <f>T("마린")</f>
        <v>마린</v>
      </c>
      <c r="H287" t="str">
        <f t="shared" si="48"/>
        <v>스토리위즈</v>
      </c>
      <c r="I287" t="str">
        <f>T("테두리는 주시하지 않는다 (개정판)")</f>
        <v>테두리는 주시하지 않는다 (개정판)</v>
      </c>
      <c r="J287">
        <v>500</v>
      </c>
      <c r="K287">
        <v>0</v>
      </c>
      <c r="L287">
        <v>0</v>
      </c>
      <c r="M287">
        <v>0</v>
      </c>
      <c r="N287">
        <v>7200</v>
      </c>
      <c r="O287">
        <v>24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7200</v>
      </c>
      <c r="AH287">
        <v>24</v>
      </c>
      <c r="AI287">
        <v>0</v>
      </c>
      <c r="AJ287">
        <v>0</v>
      </c>
      <c r="AK287">
        <v>3000</v>
      </c>
      <c r="AL287">
        <v>0</v>
      </c>
      <c r="AM287">
        <v>5040</v>
      </c>
      <c r="AN287">
        <v>-936</v>
      </c>
      <c r="AO287">
        <v>0</v>
      </c>
      <c r="AP287">
        <v>1080</v>
      </c>
      <c r="AQ287">
        <v>-324</v>
      </c>
      <c r="AR287">
        <v>0</v>
      </c>
      <c r="AS287">
        <v>3960</v>
      </c>
      <c r="AT287">
        <v>-612</v>
      </c>
      <c r="AU287">
        <v>0</v>
      </c>
      <c r="AW287">
        <v>0</v>
      </c>
      <c r="AX287">
        <v>0</v>
      </c>
      <c r="AY287">
        <v>4972.8</v>
      </c>
      <c r="BA287" t="str">
        <f t="shared" si="49"/>
        <v>0000000000000</v>
      </c>
      <c r="BC287" t="str">
        <f>T("9791137604681")</f>
        <v>9791137604681</v>
      </c>
      <c r="BE287" t="str">
        <f>T("BL 웹툰 &gt; 웹툰")</f>
        <v>BL 웹툰 &gt; 웹툰</v>
      </c>
    </row>
    <row r="288" spans="1:58" x14ac:dyDescent="0.3">
      <c r="A288">
        <v>4421002022</v>
      </c>
      <c r="B288">
        <v>4421002053</v>
      </c>
      <c r="C288" t="str">
        <f>T("대표님과 연애를 시작했습니다 32화")</f>
        <v>대표님과 연애를 시작했습니다 32화</v>
      </c>
      <c r="D288" t="str">
        <f>T("32")</f>
        <v>32</v>
      </c>
      <c r="E288" t="str">
        <f>T("웹티")</f>
        <v>웹티</v>
      </c>
      <c r="H288" t="str">
        <f t="shared" si="48"/>
        <v>스토리위즈</v>
      </c>
      <c r="I288" t="str">
        <f>T("대표님과 연애를 시작했습니다")</f>
        <v>대표님과 연애를 시작했습니다</v>
      </c>
      <c r="J288">
        <v>500</v>
      </c>
      <c r="K288">
        <v>0</v>
      </c>
      <c r="L288">
        <v>0</v>
      </c>
      <c r="M288">
        <v>0</v>
      </c>
      <c r="N288">
        <v>200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200</v>
      </c>
      <c r="AH288">
        <v>1</v>
      </c>
      <c r="AI288">
        <v>0</v>
      </c>
      <c r="AJ288">
        <v>0</v>
      </c>
      <c r="AK288">
        <v>200</v>
      </c>
      <c r="AL288">
        <v>0</v>
      </c>
      <c r="AM288">
        <v>0</v>
      </c>
      <c r="AN288">
        <v>0</v>
      </c>
      <c r="AO288">
        <v>0</v>
      </c>
      <c r="AP288"/>
      <c r="AQ288">
        <v>0</v>
      </c>
      <c r="AR288">
        <v>0</v>
      </c>
      <c r="AT288">
        <v>0</v>
      </c>
      <c r="AU288">
        <v>0</v>
      </c>
      <c r="AW288">
        <v>0</v>
      </c>
      <c r="AX288">
        <v>0</v>
      </c>
      <c r="AY288">
        <v>140</v>
      </c>
      <c r="BA288" t="str">
        <f t="shared" si="49"/>
        <v>0000000000000</v>
      </c>
      <c r="BC288" t="str">
        <f>T("9791196660482")</f>
        <v>9791196660482</v>
      </c>
      <c r="BE288" t="str">
        <f>T("BL 웹툰 &gt; 웹툰")</f>
        <v>BL 웹툰 &gt; 웹툰</v>
      </c>
    </row>
    <row r="289" spans="1:58" x14ac:dyDescent="0.3">
      <c r="A289">
        <v>4421000001</v>
      </c>
      <c r="B289">
        <v>4421000025</v>
      </c>
      <c r="C289" t="str">
        <f>T("감옥실험 15화")</f>
        <v>감옥실험 15화</v>
      </c>
      <c r="D289" t="str">
        <f>T("15")</f>
        <v>15</v>
      </c>
      <c r="E289" t="str">
        <f>T("Kantetsu")</f>
        <v>Kantetsu</v>
      </c>
      <c r="G289" t="str">
        <f>T("Minase Chiho")</f>
        <v>Minase Chiho</v>
      </c>
      <c r="H289" t="str">
        <f t="shared" si="48"/>
        <v>스토리위즈</v>
      </c>
      <c r="I289" t="str">
        <f>T("감옥실험")</f>
        <v>감옥실험</v>
      </c>
      <c r="J289">
        <v>500</v>
      </c>
      <c r="K289">
        <v>0</v>
      </c>
      <c r="L289">
        <v>0</v>
      </c>
      <c r="M289">
        <v>0</v>
      </c>
      <c r="N289">
        <v>1500</v>
      </c>
      <c r="O289">
        <v>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1500</v>
      </c>
      <c r="AH289">
        <v>5</v>
      </c>
      <c r="AI289">
        <v>0</v>
      </c>
      <c r="AJ289">
        <v>0</v>
      </c>
      <c r="AK289">
        <v>600</v>
      </c>
      <c r="AL289">
        <v>0</v>
      </c>
      <c r="AM289">
        <v>1080</v>
      </c>
      <c r="AN289">
        <v>-252</v>
      </c>
      <c r="AO289">
        <v>0</v>
      </c>
      <c r="AP289">
        <v>360</v>
      </c>
      <c r="AQ289">
        <v>-108</v>
      </c>
      <c r="AR289">
        <v>0</v>
      </c>
      <c r="AS289">
        <v>720</v>
      </c>
      <c r="AT289">
        <v>-144</v>
      </c>
      <c r="AU289">
        <v>0</v>
      </c>
      <c r="AW289">
        <v>0</v>
      </c>
      <c r="AX289">
        <v>0</v>
      </c>
      <c r="AY289">
        <v>999.6</v>
      </c>
      <c r="BC289" t="str">
        <f>T("9791166069406")</f>
        <v>9791166069406</v>
      </c>
      <c r="BE289" t="str">
        <f>T("웹툰 &gt; 드라마")</f>
        <v>웹툰 &gt; 드라마</v>
      </c>
    </row>
    <row r="290" spans="1:58" x14ac:dyDescent="0.3">
      <c r="A290">
        <v>4421000450</v>
      </c>
      <c r="B290">
        <v>4421000474</v>
      </c>
      <c r="C290" t="str">
        <f>T("내 남편의 스토커 24화")</f>
        <v>내 남편의 스토커 24화</v>
      </c>
      <c r="D290" t="str">
        <f>T("24")</f>
        <v>24</v>
      </c>
      <c r="E290" t="str">
        <f>T("혜원")</f>
        <v>혜원</v>
      </c>
      <c r="G290" t="str">
        <f>T("혜원")</f>
        <v>혜원</v>
      </c>
      <c r="H290" t="str">
        <f t="shared" si="48"/>
        <v>스토리위즈</v>
      </c>
      <c r="I290" t="str">
        <f>T("내 남편의 스토커")</f>
        <v>내 남편의 스토커</v>
      </c>
      <c r="J290">
        <v>400</v>
      </c>
      <c r="K290">
        <v>0</v>
      </c>
      <c r="L290">
        <v>0</v>
      </c>
      <c r="M290">
        <v>0</v>
      </c>
      <c r="N290">
        <v>200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240</v>
      </c>
      <c r="AN290">
        <v>-24</v>
      </c>
      <c r="AO290">
        <v>0</v>
      </c>
      <c r="AP290"/>
      <c r="AQ290">
        <v>0</v>
      </c>
      <c r="AR290">
        <v>0</v>
      </c>
      <c r="AS290">
        <v>240</v>
      </c>
      <c r="AT290">
        <v>-24</v>
      </c>
      <c r="AU290">
        <v>0</v>
      </c>
      <c r="AW290">
        <v>0</v>
      </c>
      <c r="AX290">
        <v>0</v>
      </c>
      <c r="AY290">
        <v>151.19999999999999</v>
      </c>
      <c r="BA290" t="str">
        <f>T("0000000000000")</f>
        <v>0000000000000</v>
      </c>
      <c r="BC290" t="str">
        <f>T("9791166068034")</f>
        <v>9791166068034</v>
      </c>
      <c r="BE290" t="str">
        <f>T("웹툰 &gt; 로맨스")</f>
        <v>웹툰 &gt; 로맨스</v>
      </c>
    </row>
    <row r="291" spans="1:58" x14ac:dyDescent="0.3">
      <c r="A291">
        <v>4421002829</v>
      </c>
      <c r="B291">
        <v>4421002917</v>
      </c>
      <c r="C291" t="str">
        <f>T("테두리는 주시하지 않는다 (개정판) 13화")</f>
        <v>테두리는 주시하지 않는다 (개정판) 13화</v>
      </c>
      <c r="D291" t="str">
        <f>T("13")</f>
        <v>13</v>
      </c>
      <c r="E291" t="str">
        <f>T("토찌, 키로즈")</f>
        <v>토찌, 키로즈</v>
      </c>
      <c r="G291" t="str">
        <f>T("마린")</f>
        <v>마린</v>
      </c>
      <c r="H291" t="str">
        <f t="shared" si="48"/>
        <v>스토리위즈</v>
      </c>
      <c r="I291" t="str">
        <f>T("테두리는 주시하지 않는다 (개정판)")</f>
        <v>테두리는 주시하지 않는다 (개정판)</v>
      </c>
      <c r="J291">
        <v>500</v>
      </c>
      <c r="K291">
        <v>0</v>
      </c>
      <c r="L291">
        <v>0</v>
      </c>
      <c r="M291">
        <v>0</v>
      </c>
      <c r="N291">
        <v>4800</v>
      </c>
      <c r="O291">
        <v>16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4800</v>
      </c>
      <c r="AH291">
        <v>16</v>
      </c>
      <c r="AI291">
        <v>0</v>
      </c>
      <c r="AJ291">
        <v>0</v>
      </c>
      <c r="AK291">
        <v>2400</v>
      </c>
      <c r="AL291">
        <v>0</v>
      </c>
      <c r="AM291">
        <v>2880</v>
      </c>
      <c r="AN291">
        <v>-576</v>
      </c>
      <c r="AO291">
        <v>0</v>
      </c>
      <c r="AP291">
        <v>720</v>
      </c>
      <c r="AQ291">
        <v>-216</v>
      </c>
      <c r="AR291">
        <v>0</v>
      </c>
      <c r="AS291">
        <v>2160</v>
      </c>
      <c r="AT291">
        <v>-360</v>
      </c>
      <c r="AU291">
        <v>0</v>
      </c>
      <c r="AW291">
        <v>0</v>
      </c>
      <c r="AX291">
        <v>0</v>
      </c>
      <c r="AY291">
        <v>3292.8</v>
      </c>
      <c r="BA291" t="str">
        <f>T("0000000000000")</f>
        <v>0000000000000</v>
      </c>
      <c r="BC291" t="str">
        <f>T("9791137604681")</f>
        <v>9791137604681</v>
      </c>
      <c r="BE291" t="str">
        <f>T("BL 웹툰 &gt; 웹툰")</f>
        <v>BL 웹툰 &gt; 웹툰</v>
      </c>
    </row>
    <row r="292" spans="1:58" x14ac:dyDescent="0.3">
      <c r="A292">
        <v>4421000866</v>
      </c>
      <c r="B292">
        <v>4421000876</v>
      </c>
      <c r="C292" t="str">
        <f>T("최애에게 들켜버렸다 10화")</f>
        <v>최애에게 들켜버렸다 10화</v>
      </c>
      <c r="D292" t="str">
        <f>T("10")</f>
        <v>10</v>
      </c>
      <c r="E292" t="str">
        <f>T("Lv")</f>
        <v>Lv</v>
      </c>
      <c r="G292" t="str">
        <f>T("Lv")</f>
        <v>Lv</v>
      </c>
      <c r="H292" t="str">
        <f t="shared" si="48"/>
        <v>스토리위즈</v>
      </c>
      <c r="I292" t="str">
        <f>T("최애에게 들켜버렸다")</f>
        <v>최애에게 들켜버렸다</v>
      </c>
      <c r="J292">
        <v>400</v>
      </c>
      <c r="K292">
        <v>0</v>
      </c>
      <c r="L292">
        <v>0</v>
      </c>
      <c r="M292">
        <v>0</v>
      </c>
      <c r="N292">
        <v>1000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1000</v>
      </c>
      <c r="AH292">
        <v>5</v>
      </c>
      <c r="AI292">
        <v>0</v>
      </c>
      <c r="AJ292">
        <v>0</v>
      </c>
      <c r="AK292">
        <v>400</v>
      </c>
      <c r="AL292">
        <v>0</v>
      </c>
      <c r="AM292">
        <v>720</v>
      </c>
      <c r="AN292">
        <v>-120</v>
      </c>
      <c r="AO292">
        <v>0</v>
      </c>
      <c r="AP292"/>
      <c r="AQ292">
        <v>0</v>
      </c>
      <c r="AR292">
        <v>0</v>
      </c>
      <c r="AS292">
        <v>720</v>
      </c>
      <c r="AT292">
        <v>-120</v>
      </c>
      <c r="AU292">
        <v>0</v>
      </c>
      <c r="AW292">
        <v>0</v>
      </c>
      <c r="AX292">
        <v>0</v>
      </c>
      <c r="AY292">
        <v>700</v>
      </c>
      <c r="BA292" t="str">
        <f>T("0000000000000")</f>
        <v>0000000000000</v>
      </c>
      <c r="BC292" t="str">
        <f>T("9791137601253")</f>
        <v>9791137601253</v>
      </c>
      <c r="BE292" t="str">
        <f>T("웹툰 &gt; 해외 순정")</f>
        <v>웹툰 &gt; 해외 순정</v>
      </c>
      <c r="BF292" t="str">
        <f>T("웹툰 &gt; 로맨스")</f>
        <v>웹툰 &gt; 로맨스</v>
      </c>
    </row>
    <row r="293" spans="1:58" x14ac:dyDescent="0.3">
      <c r="A293">
        <v>4421000001</v>
      </c>
      <c r="B293">
        <v>4421000067</v>
      </c>
      <c r="C293" t="str">
        <f>T("감옥실험 47화")</f>
        <v>감옥실험 47화</v>
      </c>
      <c r="D293" t="str">
        <f>T("47")</f>
        <v>47</v>
      </c>
      <c r="E293" t="str">
        <f>T("Kantetsu")</f>
        <v>Kantetsu</v>
      </c>
      <c r="G293" t="str">
        <f>T("Minase Chiho")</f>
        <v>Minase Chiho</v>
      </c>
      <c r="H293" t="str">
        <f t="shared" si="48"/>
        <v>스토리위즈</v>
      </c>
      <c r="I293" t="str">
        <f>T("감옥실험")</f>
        <v>감옥실험</v>
      </c>
      <c r="J293">
        <v>500</v>
      </c>
      <c r="K293">
        <v>0</v>
      </c>
      <c r="L293">
        <v>0</v>
      </c>
      <c r="M293">
        <v>0</v>
      </c>
      <c r="N293">
        <v>600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600</v>
      </c>
      <c r="AH293">
        <v>2</v>
      </c>
      <c r="AI293">
        <v>0</v>
      </c>
      <c r="AJ293">
        <v>0</v>
      </c>
      <c r="AK293">
        <v>600</v>
      </c>
      <c r="AL293">
        <v>0</v>
      </c>
      <c r="AM293">
        <v>0</v>
      </c>
      <c r="AN293">
        <v>0</v>
      </c>
      <c r="AO293">
        <v>0</v>
      </c>
      <c r="AP293"/>
      <c r="AQ293">
        <v>0</v>
      </c>
      <c r="AR293">
        <v>0</v>
      </c>
      <c r="AT293">
        <v>0</v>
      </c>
      <c r="AU293">
        <v>0</v>
      </c>
      <c r="AW293">
        <v>0</v>
      </c>
      <c r="AX293">
        <v>0</v>
      </c>
      <c r="AY293">
        <v>420</v>
      </c>
      <c r="BC293" t="str">
        <f>T("9791166069406")</f>
        <v>9791166069406</v>
      </c>
      <c r="BE293" t="str">
        <f>T("웹툰 &gt; 드라마")</f>
        <v>웹툰 &gt; 드라마</v>
      </c>
    </row>
    <row r="294" spans="1:58" x14ac:dyDescent="0.3">
      <c r="A294">
        <v>4421001634</v>
      </c>
      <c r="B294">
        <v>4421002507</v>
      </c>
      <c r="C294" t="str">
        <f>T("그남자의 사랑방식 58화")</f>
        <v>그남자의 사랑방식 58화</v>
      </c>
      <c r="D294" t="str">
        <f>T("58")</f>
        <v>58</v>
      </c>
      <c r="E294" t="str">
        <f>T("웹티")</f>
        <v>웹티</v>
      </c>
      <c r="H294" t="str">
        <f t="shared" si="48"/>
        <v>스토리위즈</v>
      </c>
      <c r="I294" t="str">
        <f>T("그남자의 사랑방식")</f>
        <v>그남자의 사랑방식</v>
      </c>
      <c r="J294">
        <v>500</v>
      </c>
      <c r="K294">
        <v>0</v>
      </c>
      <c r="L294">
        <v>0</v>
      </c>
      <c r="M294">
        <v>0</v>
      </c>
      <c r="N294">
        <v>200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240</v>
      </c>
      <c r="AN294">
        <v>-24</v>
      </c>
      <c r="AO294">
        <v>0</v>
      </c>
      <c r="AP294"/>
      <c r="AQ294">
        <v>0</v>
      </c>
      <c r="AR294">
        <v>0</v>
      </c>
      <c r="AS294">
        <v>240</v>
      </c>
      <c r="AT294">
        <v>-24</v>
      </c>
      <c r="AU294">
        <v>0</v>
      </c>
      <c r="AW294">
        <v>0</v>
      </c>
      <c r="AX294">
        <v>0</v>
      </c>
      <c r="AY294">
        <v>151.19999999999999</v>
      </c>
      <c r="BC294" t="str">
        <f>T("9791190622004")</f>
        <v>9791190622004</v>
      </c>
      <c r="BE294" t="str">
        <f>T("BL 웹툰 &gt; 웹툰")</f>
        <v>BL 웹툰 &gt; 웹툰</v>
      </c>
    </row>
    <row r="295" spans="1:58" x14ac:dyDescent="0.3">
      <c r="A295">
        <v>4421001340</v>
      </c>
      <c r="B295">
        <v>4421001566</v>
      </c>
      <c r="C295" t="str">
        <f>T("가출천사 육성계약 44화")</f>
        <v>가출천사 육성계약 44화</v>
      </c>
      <c r="D295" t="str">
        <f>T("44")</f>
        <v>44</v>
      </c>
      <c r="E295" t="str">
        <f>T("Bae.C, IIAKI, 박제후")</f>
        <v>Bae.C, IIAKI, 박제후</v>
      </c>
      <c r="G295" t="str">
        <f>T("Bae.C, 조우")</f>
        <v>Bae.C, 조우</v>
      </c>
      <c r="H295" t="str">
        <f t="shared" si="48"/>
        <v>스토리위즈</v>
      </c>
      <c r="I295" t="str">
        <f>T("가출천사 육성계약")</f>
        <v>가출천사 육성계약</v>
      </c>
      <c r="J295">
        <v>400</v>
      </c>
      <c r="K295">
        <v>0</v>
      </c>
      <c r="L295">
        <v>0</v>
      </c>
      <c r="M295">
        <v>0</v>
      </c>
      <c r="N295">
        <v>200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240</v>
      </c>
      <c r="AN295">
        <v>-24</v>
      </c>
      <c r="AO295">
        <v>0</v>
      </c>
      <c r="AP295"/>
      <c r="AQ295">
        <v>0</v>
      </c>
      <c r="AR295">
        <v>0</v>
      </c>
      <c r="AS295">
        <v>240</v>
      </c>
      <c r="AT295">
        <v>-24</v>
      </c>
      <c r="AU295">
        <v>0</v>
      </c>
      <c r="AW295">
        <v>0</v>
      </c>
      <c r="AX295">
        <v>0</v>
      </c>
      <c r="AY295">
        <v>151.19999999999999</v>
      </c>
      <c r="BA295" t="str">
        <f>T("0000000000000")</f>
        <v>0000000000000</v>
      </c>
      <c r="BC295" t="str">
        <f>T("9791191765663")</f>
        <v>9791191765663</v>
      </c>
      <c r="BE295" t="str">
        <f>T("웹툰 &gt; 판타지/SF")</f>
        <v>웹툰 &gt; 판타지/SF</v>
      </c>
    </row>
    <row r="296" spans="1:58" x14ac:dyDescent="0.3">
      <c r="A296">
        <v>4421000450</v>
      </c>
      <c r="B296">
        <v>4421000506</v>
      </c>
      <c r="C296" t="str">
        <f>T("내 남편의 스토커 56화")</f>
        <v>내 남편의 스토커 56화</v>
      </c>
      <c r="D296" t="str">
        <f>T("56")</f>
        <v>56</v>
      </c>
      <c r="E296" t="str">
        <f>T("혜원")</f>
        <v>혜원</v>
      </c>
      <c r="G296" t="str">
        <f>T("혜원")</f>
        <v>혜원</v>
      </c>
      <c r="H296" t="str">
        <f t="shared" si="48"/>
        <v>스토리위즈</v>
      </c>
      <c r="I296" t="str">
        <f>T("내 남편의 스토커")</f>
        <v>내 남편의 스토커</v>
      </c>
      <c r="J296">
        <v>400</v>
      </c>
      <c r="K296">
        <v>0</v>
      </c>
      <c r="L296">
        <v>0</v>
      </c>
      <c r="M296">
        <v>0</v>
      </c>
      <c r="N296">
        <v>200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240</v>
      </c>
      <c r="AN296">
        <v>-24</v>
      </c>
      <c r="AO296">
        <v>0</v>
      </c>
      <c r="AP296"/>
      <c r="AQ296">
        <v>0</v>
      </c>
      <c r="AR296">
        <v>0</v>
      </c>
      <c r="AS296">
        <v>240</v>
      </c>
      <c r="AT296">
        <v>-24</v>
      </c>
      <c r="AU296">
        <v>0</v>
      </c>
      <c r="AW296">
        <v>0</v>
      </c>
      <c r="AX296">
        <v>0</v>
      </c>
      <c r="AY296">
        <v>151.19999999999999</v>
      </c>
      <c r="BA296" t="str">
        <f>T("0000000000000")</f>
        <v>0000000000000</v>
      </c>
      <c r="BC296" t="str">
        <f>T("9791166068034")</f>
        <v>9791166068034</v>
      </c>
      <c r="BE296" t="str">
        <f>T("웹툰 &gt; 로맨스")</f>
        <v>웹툰 &gt; 로맨스</v>
      </c>
    </row>
    <row r="297" spans="1:58" x14ac:dyDescent="0.3">
      <c r="A297">
        <v>4421001340</v>
      </c>
      <c r="B297">
        <v>4421002968</v>
      </c>
      <c r="C297" t="str">
        <f>T("가출천사 육성계약 52화")</f>
        <v>가출천사 육성계약 52화</v>
      </c>
      <c r="D297" t="str">
        <f>T("52")</f>
        <v>52</v>
      </c>
      <c r="E297" t="str">
        <f>T("Bae.C, IIAKI, 박제후")</f>
        <v>Bae.C, IIAKI, 박제후</v>
      </c>
      <c r="G297" t="str">
        <f>T("Bae.C, 조우")</f>
        <v>Bae.C, 조우</v>
      </c>
      <c r="H297" t="str">
        <f t="shared" si="48"/>
        <v>스토리위즈</v>
      </c>
      <c r="I297" t="str">
        <f>T("가출천사 육성계약")</f>
        <v>가출천사 육성계약</v>
      </c>
      <c r="J297">
        <v>400</v>
      </c>
      <c r="K297">
        <v>0</v>
      </c>
      <c r="L297">
        <v>0</v>
      </c>
      <c r="M297">
        <v>0</v>
      </c>
      <c r="N297">
        <v>200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240</v>
      </c>
      <c r="AN297">
        <v>-24</v>
      </c>
      <c r="AO297">
        <v>0</v>
      </c>
      <c r="AP297"/>
      <c r="AQ297">
        <v>0</v>
      </c>
      <c r="AR297">
        <v>0</v>
      </c>
      <c r="AS297">
        <v>240</v>
      </c>
      <c r="AT297">
        <v>-24</v>
      </c>
      <c r="AU297">
        <v>0</v>
      </c>
      <c r="AW297">
        <v>0</v>
      </c>
      <c r="AX297">
        <v>0</v>
      </c>
      <c r="AY297">
        <v>151.19999999999999</v>
      </c>
      <c r="BA297" t="str">
        <f>T("0000000000000")</f>
        <v>0000000000000</v>
      </c>
      <c r="BC297" t="str">
        <f>T("9791191765663")</f>
        <v>9791191765663</v>
      </c>
      <c r="BE297" t="str">
        <f>T("웹툰 &gt; 판타지/SF")</f>
        <v>웹툰 &gt; 판타지/SF</v>
      </c>
    </row>
    <row r="298" spans="1:58" x14ac:dyDescent="0.3">
      <c r="A298">
        <v>4421001305</v>
      </c>
      <c r="B298">
        <v>4421001305</v>
      </c>
      <c r="C298" t="str">
        <f>T("악역이지만, 남주는 꼬시지 않아요 1화")</f>
        <v>악역이지만, 남주는 꼬시지 않아요 1화</v>
      </c>
      <c r="D298" t="str">
        <f>T("1")</f>
        <v>1</v>
      </c>
      <c r="E298" t="str">
        <f>T("마북명")</f>
        <v>마북명</v>
      </c>
      <c r="G298" t="str">
        <f>T("kuri")</f>
        <v>kuri</v>
      </c>
      <c r="H298" t="str">
        <f t="shared" si="48"/>
        <v>스토리위즈</v>
      </c>
      <c r="I298" t="str">
        <f>T("악역이지만, 남주는 꼬시지 않아요")</f>
        <v>악역이지만, 남주는 꼬시지 않아요</v>
      </c>
      <c r="J298">
        <v>400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68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/>
      <c r="AQ298">
        <v>0</v>
      </c>
      <c r="AR298">
        <v>0</v>
      </c>
      <c r="AT298">
        <v>0</v>
      </c>
      <c r="AU298">
        <v>0</v>
      </c>
      <c r="AW298">
        <v>0</v>
      </c>
      <c r="AX298">
        <v>0</v>
      </c>
      <c r="AY298">
        <v>0</v>
      </c>
      <c r="BA298" t="str">
        <f>T("0000000000000")</f>
        <v>0000000000000</v>
      </c>
      <c r="BC298" t="str">
        <f>T("9791137603882")</f>
        <v>9791137603882</v>
      </c>
      <c r="BE298" t="str">
        <f>T("웹툰 &gt; 해외 순정")</f>
        <v>웹툰 &gt; 해외 순정</v>
      </c>
      <c r="BF298" t="str">
        <f>T("웹툰 &gt; 로판")</f>
        <v>웹툰 &gt; 로판</v>
      </c>
    </row>
    <row r="299" spans="1:58" x14ac:dyDescent="0.3">
      <c r="A299">
        <v>4421003015</v>
      </c>
      <c r="B299">
        <v>4421003042</v>
      </c>
      <c r="C299" t="str">
        <f>T("일월성신 27화")</f>
        <v>일월성신 27화</v>
      </c>
      <c r="D299" t="str">
        <f>T("27")</f>
        <v>27</v>
      </c>
      <c r="E299" t="str">
        <f>T("김숙지")</f>
        <v>김숙지</v>
      </c>
      <c r="G299" t="str">
        <f>T("이름표")</f>
        <v>이름표</v>
      </c>
      <c r="H299" t="str">
        <f t="shared" si="48"/>
        <v>스토리위즈</v>
      </c>
      <c r="I299" t="str">
        <f>T("일월성신")</f>
        <v>일월성신</v>
      </c>
      <c r="J299">
        <v>400</v>
      </c>
      <c r="K299">
        <v>0</v>
      </c>
      <c r="L299">
        <v>0</v>
      </c>
      <c r="M299">
        <v>0</v>
      </c>
      <c r="N299">
        <v>600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600</v>
      </c>
      <c r="AH299">
        <v>3</v>
      </c>
      <c r="AI299">
        <v>0</v>
      </c>
      <c r="AJ299">
        <v>0</v>
      </c>
      <c r="AK299">
        <v>200</v>
      </c>
      <c r="AL299">
        <v>0</v>
      </c>
      <c r="AM299">
        <v>480</v>
      </c>
      <c r="AN299">
        <v>-96</v>
      </c>
      <c r="AO299">
        <v>0</v>
      </c>
      <c r="AP299">
        <v>240</v>
      </c>
      <c r="AQ299">
        <v>-72</v>
      </c>
      <c r="AR299">
        <v>0</v>
      </c>
      <c r="AS299">
        <v>240</v>
      </c>
      <c r="AT299">
        <v>-24</v>
      </c>
      <c r="AU299">
        <v>0</v>
      </c>
      <c r="AW299">
        <v>0</v>
      </c>
      <c r="AX299">
        <v>0</v>
      </c>
      <c r="AY299">
        <v>408.8</v>
      </c>
      <c r="BA299" t="str">
        <f>T("0000000000000")</f>
        <v>0000000000000</v>
      </c>
      <c r="BC299" t="str">
        <f>T("9791137604605")</f>
        <v>9791137604605</v>
      </c>
      <c r="BE299" t="str">
        <f>T("웹툰 &gt; 드라마")</f>
        <v>웹툰 &gt; 드라마</v>
      </c>
    </row>
    <row r="300" spans="1:58" x14ac:dyDescent="0.3">
      <c r="A300">
        <v>4421001634</v>
      </c>
      <c r="B300">
        <v>4421002540</v>
      </c>
      <c r="C300" t="str">
        <f>T("그남자의 사랑방식 91화")</f>
        <v>그남자의 사랑방식 91화</v>
      </c>
      <c r="D300" t="str">
        <f>T("91")</f>
        <v>91</v>
      </c>
      <c r="E300" t="str">
        <f>T("웹티")</f>
        <v>웹티</v>
      </c>
      <c r="H300" t="str">
        <f t="shared" si="48"/>
        <v>스토리위즈</v>
      </c>
      <c r="I300" t="str">
        <f>T("그남자의 사랑방식")</f>
        <v>그남자의 사랑방식</v>
      </c>
      <c r="J300">
        <v>500</v>
      </c>
      <c r="K300">
        <v>0</v>
      </c>
      <c r="L300">
        <v>0</v>
      </c>
      <c r="M300">
        <v>0</v>
      </c>
      <c r="N300">
        <v>400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400</v>
      </c>
      <c r="AH300">
        <v>2</v>
      </c>
      <c r="AI300">
        <v>0</v>
      </c>
      <c r="AJ300">
        <v>0</v>
      </c>
      <c r="AK300">
        <v>200</v>
      </c>
      <c r="AL300">
        <v>0</v>
      </c>
      <c r="AM300">
        <v>240</v>
      </c>
      <c r="AN300">
        <v>-24</v>
      </c>
      <c r="AO300">
        <v>0</v>
      </c>
      <c r="AP300"/>
      <c r="AQ300">
        <v>0</v>
      </c>
      <c r="AR300">
        <v>0</v>
      </c>
      <c r="AS300">
        <v>240</v>
      </c>
      <c r="AT300">
        <v>-24</v>
      </c>
      <c r="AU300">
        <v>0</v>
      </c>
      <c r="AW300">
        <v>0</v>
      </c>
      <c r="AX300">
        <v>0</v>
      </c>
      <c r="AY300">
        <v>291.2</v>
      </c>
      <c r="BC300" t="str">
        <f>T("9791190622004")</f>
        <v>9791190622004</v>
      </c>
      <c r="BE300" t="str">
        <f>T("BL 웹툰 &gt; 웹툰")</f>
        <v>BL 웹툰 &gt; 웹툰</v>
      </c>
    </row>
    <row r="301" spans="1:58" x14ac:dyDescent="0.3">
      <c r="A301">
        <v>4421001340</v>
      </c>
      <c r="B301">
        <v>4421001359</v>
      </c>
      <c r="C301" t="str">
        <f>T("가출천사 육성계약 20화")</f>
        <v>가출천사 육성계약 20화</v>
      </c>
      <c r="D301" t="str">
        <f>T("20")</f>
        <v>20</v>
      </c>
      <c r="E301" t="str">
        <f>T("Bae.C, IIAKI, 박제후")</f>
        <v>Bae.C, IIAKI, 박제후</v>
      </c>
      <c r="G301" t="str">
        <f>T("Bae.C, 조우")</f>
        <v>Bae.C, 조우</v>
      </c>
      <c r="H301" t="str">
        <f t="shared" si="48"/>
        <v>스토리위즈</v>
      </c>
      <c r="I301" t="str">
        <f>T("가출천사 육성계약")</f>
        <v>가출천사 육성계약</v>
      </c>
      <c r="J301">
        <v>400</v>
      </c>
      <c r="K301">
        <v>0</v>
      </c>
      <c r="L301">
        <v>0</v>
      </c>
      <c r="M301">
        <v>0</v>
      </c>
      <c r="N301">
        <v>200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240</v>
      </c>
      <c r="AN301">
        <v>-24</v>
      </c>
      <c r="AO301">
        <v>0</v>
      </c>
      <c r="AP301"/>
      <c r="AQ301">
        <v>0</v>
      </c>
      <c r="AR301">
        <v>0</v>
      </c>
      <c r="AS301">
        <v>240</v>
      </c>
      <c r="AT301">
        <v>-24</v>
      </c>
      <c r="AU301">
        <v>0</v>
      </c>
      <c r="AW301">
        <v>0</v>
      </c>
      <c r="AX301">
        <v>0</v>
      </c>
      <c r="AY301">
        <v>151.19999999999999</v>
      </c>
      <c r="BA301" t="str">
        <f>T("0000000000000")</f>
        <v>0000000000000</v>
      </c>
      <c r="BC301" t="str">
        <f>T("9791191765663")</f>
        <v>9791191765663</v>
      </c>
      <c r="BE301" t="str">
        <f>T("웹툰 &gt; 판타지/SF")</f>
        <v>웹툰 &gt; 판타지/SF</v>
      </c>
    </row>
    <row r="302" spans="1:58" x14ac:dyDescent="0.3">
      <c r="A302">
        <v>4421001634</v>
      </c>
      <c r="B302">
        <v>4421001659</v>
      </c>
      <c r="C302" t="str">
        <f>T("그남자의 사랑방식 26화")</f>
        <v>그남자의 사랑방식 26화</v>
      </c>
      <c r="D302" t="str">
        <f>T("26")</f>
        <v>26</v>
      </c>
      <c r="E302" t="str">
        <f>T("웹티")</f>
        <v>웹티</v>
      </c>
      <c r="H302" t="str">
        <f t="shared" si="48"/>
        <v>스토리위즈</v>
      </c>
      <c r="I302" t="str">
        <f>T("그남자의 사랑방식")</f>
        <v>그남자의 사랑방식</v>
      </c>
      <c r="J302">
        <v>500</v>
      </c>
      <c r="K302">
        <v>0</v>
      </c>
      <c r="L302">
        <v>0</v>
      </c>
      <c r="M302">
        <v>0</v>
      </c>
      <c r="N302">
        <v>600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600</v>
      </c>
      <c r="AH302">
        <v>3</v>
      </c>
      <c r="AI302">
        <v>0</v>
      </c>
      <c r="AJ302">
        <v>0</v>
      </c>
      <c r="AK302">
        <v>200</v>
      </c>
      <c r="AL302">
        <v>0</v>
      </c>
      <c r="AM302">
        <v>480</v>
      </c>
      <c r="AN302">
        <v>-48</v>
      </c>
      <c r="AO302">
        <v>0</v>
      </c>
      <c r="AP302"/>
      <c r="AQ302">
        <v>0</v>
      </c>
      <c r="AR302">
        <v>0</v>
      </c>
      <c r="AS302">
        <v>480</v>
      </c>
      <c r="AT302">
        <v>-48</v>
      </c>
      <c r="AU302">
        <v>0</v>
      </c>
      <c r="AW302">
        <v>0</v>
      </c>
      <c r="AX302">
        <v>0</v>
      </c>
      <c r="AY302">
        <v>442.4</v>
      </c>
      <c r="BC302" t="str">
        <f>T("9791190622004")</f>
        <v>9791190622004</v>
      </c>
      <c r="BE302" t="str">
        <f>T("BL 웹툰 &gt; 웹툰")</f>
        <v>BL 웹툰 &gt; 웹툰</v>
      </c>
    </row>
    <row r="303" spans="1:58" x14ac:dyDescent="0.3">
      <c r="A303">
        <v>4421000887</v>
      </c>
      <c r="B303">
        <v>4421001258</v>
      </c>
      <c r="C303" t="str">
        <f>T("폭군의 눈물 47화")</f>
        <v>폭군의 눈물 47화</v>
      </c>
      <c r="D303" t="str">
        <f>T("47")</f>
        <v>47</v>
      </c>
      <c r="E303" t="str">
        <f>T("Ice×FANFAN COMIC")</f>
        <v>Ice×FANFAN COMIC</v>
      </c>
      <c r="G303" t="str">
        <f>T("Ice×FANFAN COMIC")</f>
        <v>Ice×FANFAN COMIC</v>
      </c>
      <c r="H303" t="str">
        <f t="shared" si="48"/>
        <v>스토리위즈</v>
      </c>
      <c r="I303" t="str">
        <f>T("폭군의 눈물")</f>
        <v>폭군의 눈물</v>
      </c>
      <c r="J303">
        <v>400</v>
      </c>
      <c r="K303">
        <v>0</v>
      </c>
      <c r="L303">
        <v>0</v>
      </c>
      <c r="M303">
        <v>0</v>
      </c>
      <c r="N303">
        <v>200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200</v>
      </c>
      <c r="AH303">
        <v>1</v>
      </c>
      <c r="AI303">
        <v>0</v>
      </c>
      <c r="AJ303">
        <v>0</v>
      </c>
      <c r="AK303">
        <v>200</v>
      </c>
      <c r="AL303">
        <v>0</v>
      </c>
      <c r="AM303">
        <v>0</v>
      </c>
      <c r="AN303">
        <v>0</v>
      </c>
      <c r="AO303">
        <v>0</v>
      </c>
      <c r="AP303"/>
      <c r="AQ303">
        <v>0</v>
      </c>
      <c r="AR303">
        <v>0</v>
      </c>
      <c r="AT303">
        <v>0</v>
      </c>
      <c r="AU303">
        <v>0</v>
      </c>
      <c r="AW303">
        <v>0</v>
      </c>
      <c r="AX303">
        <v>0</v>
      </c>
      <c r="AY303">
        <v>140</v>
      </c>
      <c r="BA303" t="str">
        <f>T("0000000000000")</f>
        <v>0000000000000</v>
      </c>
      <c r="BC303" t="str">
        <f>T("9791137601291")</f>
        <v>9791137601291</v>
      </c>
      <c r="BE303" t="str">
        <f>T("웹툰 &gt; 해외 순정")</f>
        <v>웹툰 &gt; 해외 순정</v>
      </c>
      <c r="BF303" t="str">
        <f>T("웹툰 &gt; 로판")</f>
        <v>웹툰 &gt; 로판</v>
      </c>
    </row>
    <row r="304" spans="1:58" x14ac:dyDescent="0.3">
      <c r="A304">
        <v>4421003015</v>
      </c>
      <c r="B304">
        <v>4421003016</v>
      </c>
      <c r="C304" t="str">
        <f>T("일월성신 1화")</f>
        <v>일월성신 1화</v>
      </c>
      <c r="D304" t="str">
        <f>T("1")</f>
        <v>1</v>
      </c>
      <c r="E304" t="str">
        <f>T("김숙지")</f>
        <v>김숙지</v>
      </c>
      <c r="G304" t="str">
        <f>T("이름표")</f>
        <v>이름표</v>
      </c>
      <c r="H304" t="str">
        <f t="shared" si="48"/>
        <v>스토리위즈</v>
      </c>
      <c r="I304" t="str">
        <f>T("일월성신")</f>
        <v>일월성신</v>
      </c>
      <c r="J304">
        <v>400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65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/>
      <c r="AQ304">
        <v>0</v>
      </c>
      <c r="AR304">
        <v>0</v>
      </c>
      <c r="AT304">
        <v>0</v>
      </c>
      <c r="AU304">
        <v>0</v>
      </c>
      <c r="AW304">
        <v>0</v>
      </c>
      <c r="AX304">
        <v>0</v>
      </c>
      <c r="AY304">
        <v>0</v>
      </c>
      <c r="BA304" t="str">
        <f>T("0000000000000")</f>
        <v>0000000000000</v>
      </c>
      <c r="BC304" t="str">
        <f>T("9791137604605")</f>
        <v>9791137604605</v>
      </c>
      <c r="BE304" t="str">
        <f>T("웹툰 &gt; 드라마")</f>
        <v>웹툰 &gt; 드라마</v>
      </c>
    </row>
    <row r="305" spans="1:58" x14ac:dyDescent="0.3">
      <c r="A305">
        <v>4421001340</v>
      </c>
      <c r="B305">
        <v>4421001350</v>
      </c>
      <c r="C305" t="str">
        <f>T("가출천사 육성계약 11화")</f>
        <v>가출천사 육성계약 11화</v>
      </c>
      <c r="D305" t="str">
        <f>T("11")</f>
        <v>11</v>
      </c>
      <c r="E305" t="str">
        <f>T("Bae.C, IIAKI, 박제후")</f>
        <v>Bae.C, IIAKI, 박제후</v>
      </c>
      <c r="G305" t="str">
        <f>T("Bae.C, 조우")</f>
        <v>Bae.C, 조우</v>
      </c>
      <c r="H305" t="str">
        <f t="shared" si="48"/>
        <v>스토리위즈</v>
      </c>
      <c r="I305" t="str">
        <f>T("가출천사 육성계약")</f>
        <v>가출천사 육성계약</v>
      </c>
      <c r="J305">
        <v>400</v>
      </c>
      <c r="K305">
        <v>0</v>
      </c>
      <c r="L305">
        <v>0</v>
      </c>
      <c r="M305">
        <v>0</v>
      </c>
      <c r="N305">
        <v>200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240</v>
      </c>
      <c r="AN305">
        <v>-24</v>
      </c>
      <c r="AO305">
        <v>0</v>
      </c>
      <c r="AP305"/>
      <c r="AQ305">
        <v>0</v>
      </c>
      <c r="AR305">
        <v>0</v>
      </c>
      <c r="AS305">
        <v>240</v>
      </c>
      <c r="AT305">
        <v>-24</v>
      </c>
      <c r="AU305">
        <v>0</v>
      </c>
      <c r="AW305">
        <v>0</v>
      </c>
      <c r="AX305">
        <v>0</v>
      </c>
      <c r="AY305">
        <v>151.19999999999999</v>
      </c>
      <c r="BA305" t="str">
        <f>T("0000000000000")</f>
        <v>0000000000000</v>
      </c>
      <c r="BC305" t="str">
        <f>T("9791191765663")</f>
        <v>9791191765663</v>
      </c>
      <c r="BE305" t="str">
        <f>T("웹툰 &gt; 판타지/SF")</f>
        <v>웹툰 &gt; 판타지/SF</v>
      </c>
    </row>
    <row r="306" spans="1:58" x14ac:dyDescent="0.3">
      <c r="A306">
        <v>4421001634</v>
      </c>
      <c r="B306">
        <v>4421001648</v>
      </c>
      <c r="C306" t="str">
        <f>T("그남자의 사랑방식 15화")</f>
        <v>그남자의 사랑방식 15화</v>
      </c>
      <c r="D306" t="str">
        <f>T("15")</f>
        <v>15</v>
      </c>
      <c r="E306" t="str">
        <f>T("웹티")</f>
        <v>웹티</v>
      </c>
      <c r="H306" t="str">
        <f t="shared" si="48"/>
        <v>스토리위즈</v>
      </c>
      <c r="I306" t="str">
        <f>T("그남자의 사랑방식")</f>
        <v>그남자의 사랑방식</v>
      </c>
      <c r="J306">
        <v>500</v>
      </c>
      <c r="K306">
        <v>0</v>
      </c>
      <c r="L306">
        <v>0</v>
      </c>
      <c r="M306">
        <v>0</v>
      </c>
      <c r="N306">
        <v>1000</v>
      </c>
      <c r="O306">
        <v>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1000</v>
      </c>
      <c r="AH306">
        <v>5</v>
      </c>
      <c r="AI306">
        <v>0</v>
      </c>
      <c r="AJ306">
        <v>0</v>
      </c>
      <c r="AK306">
        <v>400</v>
      </c>
      <c r="AL306">
        <v>0</v>
      </c>
      <c r="AM306">
        <v>720</v>
      </c>
      <c r="AN306">
        <v>-72</v>
      </c>
      <c r="AO306">
        <v>0</v>
      </c>
      <c r="AP306"/>
      <c r="AQ306">
        <v>0</v>
      </c>
      <c r="AR306">
        <v>0</v>
      </c>
      <c r="AS306">
        <v>720</v>
      </c>
      <c r="AT306">
        <v>-72</v>
      </c>
      <c r="AU306">
        <v>0</v>
      </c>
      <c r="AW306">
        <v>0</v>
      </c>
      <c r="AX306">
        <v>0</v>
      </c>
      <c r="AY306">
        <v>733.6</v>
      </c>
      <c r="BC306" t="str">
        <f>T("9791190622004")</f>
        <v>9791190622004</v>
      </c>
      <c r="BE306" t="str">
        <f>T("BL 웹툰 &gt; 웹툰")</f>
        <v>BL 웹툰 &gt; 웹툰</v>
      </c>
    </row>
    <row r="307" spans="1:58" x14ac:dyDescent="0.3">
      <c r="A307">
        <v>4421000866</v>
      </c>
      <c r="B307">
        <v>4421001238</v>
      </c>
      <c r="C307" t="str">
        <f>T("최애에게 들켜버렸다 55화")</f>
        <v>최애에게 들켜버렸다 55화</v>
      </c>
      <c r="D307" t="str">
        <f>T("58")</f>
        <v>58</v>
      </c>
      <c r="E307" t="str">
        <f>T("Lv")</f>
        <v>Lv</v>
      </c>
      <c r="G307" t="str">
        <f>T("Lv")</f>
        <v>Lv</v>
      </c>
      <c r="H307" t="str">
        <f t="shared" si="48"/>
        <v>스토리위즈</v>
      </c>
      <c r="I307" t="str">
        <f>T("최애에게 들켜버렸다")</f>
        <v>최애에게 들켜버렸다</v>
      </c>
      <c r="J307">
        <v>400</v>
      </c>
      <c r="K307">
        <v>0</v>
      </c>
      <c r="L307">
        <v>0</v>
      </c>
      <c r="M307">
        <v>0</v>
      </c>
      <c r="N307">
        <v>200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240</v>
      </c>
      <c r="AN307">
        <v>-24</v>
      </c>
      <c r="AO307">
        <v>0</v>
      </c>
      <c r="AP307"/>
      <c r="AQ307">
        <v>0</v>
      </c>
      <c r="AR307">
        <v>0</v>
      </c>
      <c r="AS307">
        <v>240</v>
      </c>
      <c r="AT307">
        <v>-24</v>
      </c>
      <c r="AU307">
        <v>0</v>
      </c>
      <c r="AW307">
        <v>0</v>
      </c>
      <c r="AX307">
        <v>0</v>
      </c>
      <c r="AY307">
        <v>151.19999999999999</v>
      </c>
      <c r="BA307" t="str">
        <f>T("0000000000000")</f>
        <v>0000000000000</v>
      </c>
      <c r="BC307" t="str">
        <f>T("9791137601253")</f>
        <v>9791137601253</v>
      </c>
      <c r="BE307" t="str">
        <f>T("웹툰 &gt; 해외 순정")</f>
        <v>웹툰 &gt; 해외 순정</v>
      </c>
      <c r="BF307" t="str">
        <f>T("웹툰 &gt; 로맨스")</f>
        <v>웹툰 &gt; 로맨스</v>
      </c>
    </row>
    <row r="308" spans="1:58" x14ac:dyDescent="0.3">
      <c r="A308">
        <v>4421002829</v>
      </c>
      <c r="B308">
        <v>4421002996</v>
      </c>
      <c r="C308" t="str">
        <f>T("테두리는 주시하지 않는다 (개정판) 19화")</f>
        <v>테두리는 주시하지 않는다 (개정판) 19화</v>
      </c>
      <c r="D308" t="str">
        <f>T("19")</f>
        <v>19</v>
      </c>
      <c r="E308" t="str">
        <f>T("토찌, 키로즈")</f>
        <v>토찌, 키로즈</v>
      </c>
      <c r="G308" t="str">
        <f>T("마린")</f>
        <v>마린</v>
      </c>
      <c r="H308" t="str">
        <f t="shared" si="48"/>
        <v>스토리위즈</v>
      </c>
      <c r="I308" t="str">
        <f>T("테두리는 주시하지 않는다 (개정판)")</f>
        <v>테두리는 주시하지 않는다 (개정판)</v>
      </c>
      <c r="J308">
        <v>500</v>
      </c>
      <c r="K308">
        <v>0</v>
      </c>
      <c r="L308">
        <v>0</v>
      </c>
      <c r="M308">
        <v>0</v>
      </c>
      <c r="N308">
        <v>5700</v>
      </c>
      <c r="O308">
        <v>19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5700</v>
      </c>
      <c r="AH308">
        <v>19</v>
      </c>
      <c r="AI308">
        <v>0</v>
      </c>
      <c r="AJ308">
        <v>0</v>
      </c>
      <c r="AK308">
        <v>2750</v>
      </c>
      <c r="AL308">
        <v>0</v>
      </c>
      <c r="AM308">
        <v>3540</v>
      </c>
      <c r="AN308">
        <v>-642</v>
      </c>
      <c r="AO308">
        <v>0</v>
      </c>
      <c r="AP308">
        <v>720</v>
      </c>
      <c r="AQ308">
        <v>-216</v>
      </c>
      <c r="AR308">
        <v>0</v>
      </c>
      <c r="AS308">
        <v>2820</v>
      </c>
      <c r="AT308">
        <v>-426</v>
      </c>
      <c r="AU308">
        <v>0</v>
      </c>
      <c r="AW308">
        <v>0</v>
      </c>
      <c r="AX308">
        <v>0</v>
      </c>
      <c r="AY308">
        <v>3953.6</v>
      </c>
      <c r="BA308" t="str">
        <f>T("0000000000000")</f>
        <v>0000000000000</v>
      </c>
      <c r="BC308" t="str">
        <f>T("9791137604681")</f>
        <v>9791137604681</v>
      </c>
      <c r="BE308" t="str">
        <f>T("BL 웹툰 &gt; 웹툰")</f>
        <v>BL 웹툰 &gt; 웹툰</v>
      </c>
    </row>
    <row r="309" spans="1:58" x14ac:dyDescent="0.3">
      <c r="A309">
        <v>4421001325</v>
      </c>
      <c r="B309">
        <v>4421001326</v>
      </c>
      <c r="C309" t="str">
        <f>T("커피여우 김삼월 2화")</f>
        <v>커피여우 김삼월 2화</v>
      </c>
      <c r="D309" t="str">
        <f>T("2")</f>
        <v>2</v>
      </c>
      <c r="E309" t="str">
        <f>T("Nica")</f>
        <v>Nica</v>
      </c>
      <c r="G309" t="str">
        <f>T("A.Noa, RK Studio")</f>
        <v>A.Noa, RK Studio</v>
      </c>
      <c r="H309" t="str">
        <f t="shared" si="48"/>
        <v>스토리위즈</v>
      </c>
      <c r="I309" t="str">
        <f>T("커피여우 김삼월")</f>
        <v>커피여우 김삼월</v>
      </c>
      <c r="J309">
        <v>500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/>
      <c r="AQ309">
        <v>0</v>
      </c>
      <c r="AR309">
        <v>0</v>
      </c>
      <c r="AT309">
        <v>0</v>
      </c>
      <c r="AU309">
        <v>0</v>
      </c>
      <c r="AW309">
        <v>0</v>
      </c>
      <c r="AX309">
        <v>0</v>
      </c>
      <c r="AY309">
        <v>0</v>
      </c>
      <c r="BA309" t="str">
        <f>T("0000000000000")</f>
        <v>0000000000000</v>
      </c>
      <c r="BC309" t="str">
        <f>T("9791191241792")</f>
        <v>9791191241792</v>
      </c>
      <c r="BE309" t="str">
        <f>T("웹툰 &gt; 로맨스")</f>
        <v>웹툰 &gt; 로맨스</v>
      </c>
    </row>
    <row r="310" spans="1:58" x14ac:dyDescent="0.3">
      <c r="A310">
        <v>4421001377</v>
      </c>
      <c r="B310">
        <v>4421001381</v>
      </c>
      <c r="C310" t="str">
        <f>T("요괴님은 수련중 5화")</f>
        <v>요괴님은 수련중 5화</v>
      </c>
      <c r="D310" t="str">
        <f>T("5")</f>
        <v>5</v>
      </c>
      <c r="E310" t="str">
        <f>T("화방")</f>
        <v>화방</v>
      </c>
      <c r="G310" t="str">
        <f>T("망북")</f>
        <v>망북</v>
      </c>
      <c r="H310" t="str">
        <f t="shared" si="48"/>
        <v>스토리위즈</v>
      </c>
      <c r="I310" t="str">
        <f>T("요괴님은 수련중")</f>
        <v>요괴님은 수련중</v>
      </c>
      <c r="J310">
        <v>400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/>
      <c r="AQ310">
        <v>0</v>
      </c>
      <c r="AR310">
        <v>0</v>
      </c>
      <c r="AT310">
        <v>0</v>
      </c>
      <c r="AU310">
        <v>0</v>
      </c>
      <c r="AW310">
        <v>0</v>
      </c>
      <c r="AX310">
        <v>0</v>
      </c>
      <c r="AY310">
        <v>0</v>
      </c>
      <c r="BA310" t="str">
        <f>T("0000000000000")</f>
        <v>0000000000000</v>
      </c>
      <c r="BC310" t="str">
        <f>T("9791137603899")</f>
        <v>9791137603899</v>
      </c>
      <c r="BE310" t="str">
        <f>T("웹툰 &gt; 해외 순정")</f>
        <v>웹툰 &gt; 해외 순정</v>
      </c>
      <c r="BF310" t="str">
        <f>T("웹툰 &gt; 로판")</f>
        <v>웹툰 &gt; 로판</v>
      </c>
    </row>
    <row r="311" spans="1:58" x14ac:dyDescent="0.3">
      <c r="A311">
        <v>4421000001</v>
      </c>
      <c r="B311">
        <v>4421000014</v>
      </c>
      <c r="C311" t="str">
        <f>T("감옥실험 4화")</f>
        <v>감옥실험 4화</v>
      </c>
      <c r="D311" t="str">
        <f>T("4")</f>
        <v>4</v>
      </c>
      <c r="E311" t="str">
        <f>T("Kantetsu")</f>
        <v>Kantetsu</v>
      </c>
      <c r="G311" t="str">
        <f>T("Minase Chiho")</f>
        <v>Minase Chiho</v>
      </c>
      <c r="H311" t="str">
        <f t="shared" si="48"/>
        <v>스토리위즈</v>
      </c>
      <c r="I311" t="str">
        <f>T("감옥실험")</f>
        <v>감옥실험</v>
      </c>
      <c r="J311">
        <v>500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6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/>
      <c r="AQ311">
        <v>0</v>
      </c>
      <c r="AR311">
        <v>0</v>
      </c>
      <c r="AT311">
        <v>0</v>
      </c>
      <c r="AU311">
        <v>0</v>
      </c>
      <c r="AW311">
        <v>0</v>
      </c>
      <c r="AX311">
        <v>0</v>
      </c>
      <c r="AY311">
        <v>0</v>
      </c>
      <c r="BC311" t="str">
        <f>T("9791166069406")</f>
        <v>9791166069406</v>
      </c>
      <c r="BE311" t="str">
        <f>T("웹툰 &gt; 드라마")</f>
        <v>웹툰 &gt; 드라마</v>
      </c>
    </row>
    <row r="312" spans="1:58" x14ac:dyDescent="0.3">
      <c r="A312">
        <v>4421000866</v>
      </c>
      <c r="B312">
        <v>4421000962</v>
      </c>
      <c r="C312" t="str">
        <f>T("최애에게 들켜버렸다 28화")</f>
        <v>최애에게 들켜버렸다 28화</v>
      </c>
      <c r="D312" t="str">
        <f>T("29")</f>
        <v>29</v>
      </c>
      <c r="E312" t="str">
        <f>T("Lv")</f>
        <v>Lv</v>
      </c>
      <c r="G312" t="str">
        <f>T("Lv")</f>
        <v>Lv</v>
      </c>
      <c r="H312" t="str">
        <f t="shared" si="48"/>
        <v>스토리위즈</v>
      </c>
      <c r="I312" t="str">
        <f>T("최애에게 들켜버렸다")</f>
        <v>최애에게 들켜버렸다</v>
      </c>
      <c r="J312">
        <v>400</v>
      </c>
      <c r="K312">
        <v>0</v>
      </c>
      <c r="L312">
        <v>0</v>
      </c>
      <c r="M312">
        <v>0</v>
      </c>
      <c r="N312">
        <v>400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400</v>
      </c>
      <c r="AH312">
        <v>2</v>
      </c>
      <c r="AI312">
        <v>0</v>
      </c>
      <c r="AJ312">
        <v>0</v>
      </c>
      <c r="AK312">
        <v>0</v>
      </c>
      <c r="AL312">
        <v>0</v>
      </c>
      <c r="AM312">
        <v>480</v>
      </c>
      <c r="AN312">
        <v>-48</v>
      </c>
      <c r="AO312">
        <v>0</v>
      </c>
      <c r="AP312"/>
      <c r="AQ312">
        <v>0</v>
      </c>
      <c r="AR312">
        <v>0</v>
      </c>
      <c r="AS312">
        <v>480</v>
      </c>
      <c r="AT312">
        <v>-48</v>
      </c>
      <c r="AU312">
        <v>0</v>
      </c>
      <c r="AW312">
        <v>0</v>
      </c>
      <c r="AX312">
        <v>0</v>
      </c>
      <c r="AY312">
        <v>302.39999999999998</v>
      </c>
      <c r="BA312" t="str">
        <f>T("0000000000000")</f>
        <v>0000000000000</v>
      </c>
      <c r="BC312" t="str">
        <f>T("9791137601253")</f>
        <v>9791137601253</v>
      </c>
      <c r="BE312" t="str">
        <f>T("웹툰 &gt; 해외 순정")</f>
        <v>웹툰 &gt; 해외 순정</v>
      </c>
      <c r="BF312" t="str">
        <f>T("웹툰 &gt; 로맨스")</f>
        <v>웹툰 &gt; 로맨스</v>
      </c>
    </row>
    <row r="313" spans="1:58" x14ac:dyDescent="0.3">
      <c r="A313">
        <v>4421000450</v>
      </c>
      <c r="B313">
        <v>4421000455</v>
      </c>
      <c r="C313" t="str">
        <f>T("내 남편의 스토커 5화")</f>
        <v>내 남편의 스토커 5화</v>
      </c>
      <c r="D313" t="str">
        <f>T("5")</f>
        <v>5</v>
      </c>
      <c r="E313" t="str">
        <f>T("혜원")</f>
        <v>혜원</v>
      </c>
      <c r="G313" t="str">
        <f>T("혜원")</f>
        <v>혜원</v>
      </c>
      <c r="H313" t="str">
        <f t="shared" si="48"/>
        <v>스토리위즈</v>
      </c>
      <c r="I313" t="str">
        <f>T("내 남편의 스토커")</f>
        <v>내 남편의 스토커</v>
      </c>
      <c r="J313">
        <v>400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/>
      <c r="AQ313">
        <v>0</v>
      </c>
      <c r="AR313">
        <v>0</v>
      </c>
      <c r="AT313">
        <v>0</v>
      </c>
      <c r="AU313">
        <v>0</v>
      </c>
      <c r="AW313">
        <v>0</v>
      </c>
      <c r="AX313">
        <v>0</v>
      </c>
      <c r="AY313">
        <v>0</v>
      </c>
      <c r="BA313" t="str">
        <f>T("0000000000000")</f>
        <v>0000000000000</v>
      </c>
      <c r="BC313" t="str">
        <f>T("9791166068034")</f>
        <v>9791166068034</v>
      </c>
      <c r="BE313" t="str">
        <f>T("웹툰 &gt; 로맨스")</f>
        <v>웹툰 &gt; 로맨스</v>
      </c>
    </row>
    <row r="314" spans="1:58" x14ac:dyDescent="0.3">
      <c r="A314">
        <v>4421000570</v>
      </c>
      <c r="B314">
        <v>4421000574</v>
      </c>
      <c r="C314" t="str">
        <f>T("폐하, 옥체 보존하세요! 5화")</f>
        <v>폐하, 옥체 보존하세요! 5화</v>
      </c>
      <c r="D314" t="str">
        <f>T("5")</f>
        <v>5</v>
      </c>
      <c r="E314" t="str">
        <f>T("Lvyeqianhe")</f>
        <v>Lvyeqianhe</v>
      </c>
      <c r="G314" t="str">
        <f>T("Youzhijiaozi")</f>
        <v>Youzhijiaozi</v>
      </c>
      <c r="H314" t="str">
        <f t="shared" si="48"/>
        <v>스토리위즈</v>
      </c>
      <c r="I314" t="str">
        <f>T("폐하, 옥체 보존하세요!")</f>
        <v>폐하, 옥체 보존하세요!</v>
      </c>
      <c r="J314">
        <v>200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/>
      <c r="AQ314">
        <v>0</v>
      </c>
      <c r="AR314">
        <v>0</v>
      </c>
      <c r="AT314">
        <v>0</v>
      </c>
      <c r="AU314">
        <v>0</v>
      </c>
      <c r="AW314">
        <v>0</v>
      </c>
      <c r="AX314">
        <v>0</v>
      </c>
      <c r="AY314">
        <v>0</v>
      </c>
      <c r="BA314" t="str">
        <f>T("0000000000000")</f>
        <v>0000000000000</v>
      </c>
      <c r="BC314" t="str">
        <f>T("9791166068003")</f>
        <v>9791166068003</v>
      </c>
      <c r="BE314" t="str">
        <f>T("웹툰 &gt; 해외 순정")</f>
        <v>웹툰 &gt; 해외 순정</v>
      </c>
      <c r="BF314" t="str">
        <f>T("웹툰 &gt; 로맨스")</f>
        <v>웹툰 &gt; 로맨스</v>
      </c>
    </row>
    <row r="315" spans="1:58" x14ac:dyDescent="0.3">
      <c r="A315">
        <v>4421000001</v>
      </c>
      <c r="B315">
        <v>4421000056</v>
      </c>
      <c r="C315" t="str">
        <f>T("감옥실험 36화")</f>
        <v>감옥실험 36화</v>
      </c>
      <c r="D315" t="str">
        <f>T("36")</f>
        <v>36</v>
      </c>
      <c r="E315" t="str">
        <f>T("Kantetsu")</f>
        <v>Kantetsu</v>
      </c>
      <c r="G315" t="str">
        <f>T("Minase Chiho")</f>
        <v>Minase Chiho</v>
      </c>
      <c r="H315" t="str">
        <f t="shared" si="48"/>
        <v>스토리위즈</v>
      </c>
      <c r="I315" t="str">
        <f>T("감옥실험")</f>
        <v>감옥실험</v>
      </c>
      <c r="J315">
        <v>500</v>
      </c>
      <c r="K315">
        <v>0</v>
      </c>
      <c r="L315">
        <v>0</v>
      </c>
      <c r="M315">
        <v>0</v>
      </c>
      <c r="N315">
        <v>600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600</v>
      </c>
      <c r="AH315">
        <v>2</v>
      </c>
      <c r="AI315">
        <v>0</v>
      </c>
      <c r="AJ315">
        <v>0</v>
      </c>
      <c r="AK315">
        <v>600</v>
      </c>
      <c r="AL315">
        <v>0</v>
      </c>
      <c r="AM315">
        <v>0</v>
      </c>
      <c r="AN315">
        <v>0</v>
      </c>
      <c r="AO315">
        <v>0</v>
      </c>
      <c r="AP315"/>
      <c r="AQ315">
        <v>0</v>
      </c>
      <c r="AR315">
        <v>0</v>
      </c>
      <c r="AT315">
        <v>0</v>
      </c>
      <c r="AU315">
        <v>0</v>
      </c>
      <c r="AW315">
        <v>0</v>
      </c>
      <c r="AX315">
        <v>0</v>
      </c>
      <c r="AY315">
        <v>420</v>
      </c>
      <c r="BC315" t="str">
        <f>T("9791166069406")</f>
        <v>9791166069406</v>
      </c>
      <c r="BE315" t="str">
        <f>T("웹툰 &gt; 드라마")</f>
        <v>웹툰 &gt; 드라마</v>
      </c>
    </row>
    <row r="316" spans="1:58" x14ac:dyDescent="0.3">
      <c r="A316">
        <v>4421000450</v>
      </c>
      <c r="B316">
        <v>4421000495</v>
      </c>
      <c r="C316" t="str">
        <f>T("내 남편의 스토커 45화")</f>
        <v>내 남편의 스토커 45화</v>
      </c>
      <c r="D316" t="str">
        <f>T("45")</f>
        <v>45</v>
      </c>
      <c r="E316" t="str">
        <f>T("혜원")</f>
        <v>혜원</v>
      </c>
      <c r="G316" t="str">
        <f>T("혜원")</f>
        <v>혜원</v>
      </c>
      <c r="H316" t="str">
        <f t="shared" si="48"/>
        <v>스토리위즈</v>
      </c>
      <c r="I316" t="str">
        <f>T("내 남편의 스토커")</f>
        <v>내 남편의 스토커</v>
      </c>
      <c r="J316">
        <v>400</v>
      </c>
      <c r="K316">
        <v>0</v>
      </c>
      <c r="L316">
        <v>0</v>
      </c>
      <c r="M316">
        <v>0</v>
      </c>
      <c r="N316">
        <v>200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240</v>
      </c>
      <c r="AN316">
        <v>-24</v>
      </c>
      <c r="AO316">
        <v>0</v>
      </c>
      <c r="AP316"/>
      <c r="AQ316">
        <v>0</v>
      </c>
      <c r="AR316">
        <v>0</v>
      </c>
      <c r="AS316">
        <v>240</v>
      </c>
      <c r="AT316">
        <v>-24</v>
      </c>
      <c r="AU316">
        <v>0</v>
      </c>
      <c r="AW316">
        <v>0</v>
      </c>
      <c r="AX316">
        <v>0</v>
      </c>
      <c r="AY316">
        <v>151.19999999999999</v>
      </c>
      <c r="BA316" t="str">
        <f>T("0000000000000")</f>
        <v>0000000000000</v>
      </c>
      <c r="BC316" t="str">
        <f>T("9791166068034")</f>
        <v>9791166068034</v>
      </c>
      <c r="BE316" t="str">
        <f>T("웹툰 &gt; 로맨스")</f>
        <v>웹툰 &gt; 로맨스</v>
      </c>
    </row>
    <row r="317" spans="1:58" x14ac:dyDescent="0.3">
      <c r="A317">
        <v>4421000866</v>
      </c>
      <c r="B317">
        <v>4421000913</v>
      </c>
      <c r="C317" t="str">
        <f>T("최애에게 들켜버렸다 22화")</f>
        <v>최애에게 들켜버렸다 22화</v>
      </c>
      <c r="D317" t="str">
        <f>T("23")</f>
        <v>23</v>
      </c>
      <c r="E317" t="str">
        <f>T("Lv")</f>
        <v>Lv</v>
      </c>
      <c r="G317" t="str">
        <f>T("Lv")</f>
        <v>Lv</v>
      </c>
      <c r="H317" t="str">
        <f t="shared" si="48"/>
        <v>스토리위즈</v>
      </c>
      <c r="I317" t="str">
        <f>T("최애에게 들켜버렸다")</f>
        <v>최애에게 들켜버렸다</v>
      </c>
      <c r="J317">
        <v>400</v>
      </c>
      <c r="K317">
        <v>0</v>
      </c>
      <c r="L317">
        <v>0</v>
      </c>
      <c r="M317">
        <v>0</v>
      </c>
      <c r="N317">
        <v>200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240</v>
      </c>
      <c r="AN317">
        <v>-24</v>
      </c>
      <c r="AO317">
        <v>0</v>
      </c>
      <c r="AP317"/>
      <c r="AQ317">
        <v>0</v>
      </c>
      <c r="AR317">
        <v>0</v>
      </c>
      <c r="AS317">
        <v>240</v>
      </c>
      <c r="AT317">
        <v>-24</v>
      </c>
      <c r="AU317">
        <v>0</v>
      </c>
      <c r="AW317">
        <v>0</v>
      </c>
      <c r="AX317">
        <v>0</v>
      </c>
      <c r="AY317">
        <v>151.19999999999999</v>
      </c>
      <c r="BA317" t="str">
        <f>T("0000000000000")</f>
        <v>0000000000000</v>
      </c>
      <c r="BC317" t="str">
        <f>T("9791137601253")</f>
        <v>9791137601253</v>
      </c>
      <c r="BE317" t="str">
        <f>T("웹툰 &gt; 해외 순정")</f>
        <v>웹툰 &gt; 해외 순정</v>
      </c>
      <c r="BF317" t="str">
        <f>T("웹툰 &gt; 로맨스")</f>
        <v>웹툰 &gt; 로맨스</v>
      </c>
    </row>
    <row r="318" spans="1:58" x14ac:dyDescent="0.3">
      <c r="A318">
        <v>4421000887</v>
      </c>
      <c r="B318">
        <v>4421001294</v>
      </c>
      <c r="C318" t="str">
        <f>T("폭군의 눈물 55화")</f>
        <v>폭군의 눈물 55화</v>
      </c>
      <c r="D318" t="str">
        <f>T("55")</f>
        <v>55</v>
      </c>
      <c r="E318" t="str">
        <f>T("Ice×FANFAN COMIC")</f>
        <v>Ice×FANFAN COMIC</v>
      </c>
      <c r="G318" t="str">
        <f>T("Ice×FANFAN COMIC")</f>
        <v>Ice×FANFAN COMIC</v>
      </c>
      <c r="H318" t="str">
        <f t="shared" si="48"/>
        <v>스토리위즈</v>
      </c>
      <c r="I318" t="str">
        <f>T("폭군의 눈물")</f>
        <v>폭군의 눈물</v>
      </c>
      <c r="J318">
        <v>400</v>
      </c>
      <c r="K318">
        <v>0</v>
      </c>
      <c r="L318">
        <v>0</v>
      </c>
      <c r="M318">
        <v>0</v>
      </c>
      <c r="N318">
        <v>200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</v>
      </c>
      <c r="AH318">
        <v>1</v>
      </c>
      <c r="AI318">
        <v>0</v>
      </c>
      <c r="AJ318">
        <v>0</v>
      </c>
      <c r="AK318">
        <v>200</v>
      </c>
      <c r="AL318">
        <v>0</v>
      </c>
      <c r="AM318">
        <v>0</v>
      </c>
      <c r="AN318">
        <v>0</v>
      </c>
      <c r="AO318">
        <v>0</v>
      </c>
      <c r="AP318"/>
      <c r="AQ318">
        <v>0</v>
      </c>
      <c r="AR318">
        <v>0</v>
      </c>
      <c r="AT318">
        <v>0</v>
      </c>
      <c r="AU318">
        <v>0</v>
      </c>
      <c r="AW318">
        <v>0</v>
      </c>
      <c r="AX318">
        <v>0</v>
      </c>
      <c r="AY318">
        <v>140</v>
      </c>
      <c r="BA318" t="str">
        <f>T("0000000000000")</f>
        <v>0000000000000</v>
      </c>
      <c r="BC318" t="str">
        <f>T("9791137601291")</f>
        <v>9791137601291</v>
      </c>
      <c r="BE318" t="str">
        <f>T("웹툰 &gt; 해외 순정")</f>
        <v>웹툰 &gt; 해외 순정</v>
      </c>
      <c r="BF318" t="str">
        <f>T("웹툰 &gt; 로판")</f>
        <v>웹툰 &gt; 로판</v>
      </c>
    </row>
    <row r="319" spans="1:58" x14ac:dyDescent="0.3">
      <c r="A319">
        <v>4421001634</v>
      </c>
      <c r="B319">
        <v>4421002529</v>
      </c>
      <c r="C319" t="str">
        <f>T("그남자의 사랑방식 80화")</f>
        <v>그남자의 사랑방식 80화</v>
      </c>
      <c r="D319" t="str">
        <f>T("80")</f>
        <v>80</v>
      </c>
      <c r="E319" t="str">
        <f>T("웹티")</f>
        <v>웹티</v>
      </c>
      <c r="H319" t="str">
        <f t="shared" si="48"/>
        <v>스토리위즈</v>
      </c>
      <c r="I319" t="str">
        <f>T("그남자의 사랑방식")</f>
        <v>그남자의 사랑방식</v>
      </c>
      <c r="J319">
        <v>500</v>
      </c>
      <c r="K319">
        <v>0</v>
      </c>
      <c r="L319">
        <v>0</v>
      </c>
      <c r="M319">
        <v>0</v>
      </c>
      <c r="N319">
        <v>200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240</v>
      </c>
      <c r="AN319">
        <v>-24</v>
      </c>
      <c r="AO319">
        <v>0</v>
      </c>
      <c r="AP319"/>
      <c r="AQ319">
        <v>0</v>
      </c>
      <c r="AR319">
        <v>0</v>
      </c>
      <c r="AS319">
        <v>240</v>
      </c>
      <c r="AT319">
        <v>-24</v>
      </c>
      <c r="AU319">
        <v>0</v>
      </c>
      <c r="AW319">
        <v>0</v>
      </c>
      <c r="AX319">
        <v>0</v>
      </c>
      <c r="AY319">
        <v>151.19999999999999</v>
      </c>
      <c r="BC319" t="str">
        <f>T("9791190622004")</f>
        <v>9791190622004</v>
      </c>
      <c r="BE319" t="str">
        <f>T("BL 웹툰 &gt; 웹툰")</f>
        <v>BL 웹툰 &gt; 웹툰</v>
      </c>
    </row>
    <row r="320" spans="1:58" x14ac:dyDescent="0.3">
      <c r="A320">
        <v>4421000450</v>
      </c>
      <c r="B320">
        <v>4421000484</v>
      </c>
      <c r="C320" t="str">
        <f>T("내 남편의 스토커 34화")</f>
        <v>내 남편의 스토커 34화</v>
      </c>
      <c r="D320" t="str">
        <f>T("34")</f>
        <v>34</v>
      </c>
      <c r="E320" t="str">
        <f>T("혜원")</f>
        <v>혜원</v>
      </c>
      <c r="G320" t="str">
        <f>T("혜원")</f>
        <v>혜원</v>
      </c>
      <c r="H320" t="str">
        <f t="shared" si="48"/>
        <v>스토리위즈</v>
      </c>
      <c r="I320" t="str">
        <f>T("내 남편의 스토커")</f>
        <v>내 남편의 스토커</v>
      </c>
      <c r="J320">
        <v>400</v>
      </c>
      <c r="K320">
        <v>0</v>
      </c>
      <c r="L320">
        <v>0</v>
      </c>
      <c r="M320">
        <v>0</v>
      </c>
      <c r="N320">
        <v>200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240</v>
      </c>
      <c r="AN320">
        <v>-24</v>
      </c>
      <c r="AO320">
        <v>0</v>
      </c>
      <c r="AP320"/>
      <c r="AQ320">
        <v>0</v>
      </c>
      <c r="AR320">
        <v>0</v>
      </c>
      <c r="AS320">
        <v>240</v>
      </c>
      <c r="AT320">
        <v>-24</v>
      </c>
      <c r="AU320">
        <v>0</v>
      </c>
      <c r="AW320">
        <v>0</v>
      </c>
      <c r="AX320">
        <v>0</v>
      </c>
      <c r="AY320">
        <v>151.19999999999999</v>
      </c>
      <c r="BA320" t="str">
        <f>T("0000000000000")</f>
        <v>0000000000000</v>
      </c>
      <c r="BC320" t="str">
        <f>T("9791166068034")</f>
        <v>9791166068034</v>
      </c>
      <c r="BE320" t="str">
        <f>T("웹툰 &gt; 로맨스")</f>
        <v>웹툰 &gt; 로맨스</v>
      </c>
    </row>
    <row r="321" spans="1:58" x14ac:dyDescent="0.3">
      <c r="A321">
        <v>4421000866</v>
      </c>
      <c r="B321">
        <v>4421000886</v>
      </c>
      <c r="C321" t="str">
        <f>T("최애에게 들켜버렸다 20화")</f>
        <v>최애에게 들켜버렸다 20화</v>
      </c>
      <c r="D321" t="str">
        <f>T("20")</f>
        <v>20</v>
      </c>
      <c r="E321" t="str">
        <f>T("Lv")</f>
        <v>Lv</v>
      </c>
      <c r="G321" t="str">
        <f>T("Lv")</f>
        <v>Lv</v>
      </c>
      <c r="H321" t="str">
        <f t="shared" si="48"/>
        <v>스토리위즈</v>
      </c>
      <c r="I321" t="str">
        <f>T("최애에게 들켜버렸다")</f>
        <v>최애에게 들켜버렸다</v>
      </c>
      <c r="J321">
        <v>400</v>
      </c>
      <c r="K321">
        <v>0</v>
      </c>
      <c r="L321">
        <v>0</v>
      </c>
      <c r="M321">
        <v>0</v>
      </c>
      <c r="N321">
        <v>200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240</v>
      </c>
      <c r="AN321">
        <v>-24</v>
      </c>
      <c r="AO321">
        <v>0</v>
      </c>
      <c r="AP321"/>
      <c r="AQ321">
        <v>0</v>
      </c>
      <c r="AR321">
        <v>0</v>
      </c>
      <c r="AS321">
        <v>240</v>
      </c>
      <c r="AT321">
        <v>-24</v>
      </c>
      <c r="AU321">
        <v>0</v>
      </c>
      <c r="AW321">
        <v>0</v>
      </c>
      <c r="AX321">
        <v>0</v>
      </c>
      <c r="AY321">
        <v>151.19999999999999</v>
      </c>
      <c r="BA321" t="str">
        <f>T("0000000000000")</f>
        <v>0000000000000</v>
      </c>
      <c r="BC321" t="str">
        <f>T("9791137601253")</f>
        <v>9791137601253</v>
      </c>
      <c r="BE321" t="str">
        <f>T("웹툰 &gt; 해외 순정")</f>
        <v>웹툰 &gt; 해외 순정</v>
      </c>
      <c r="BF321" t="str">
        <f>T("웹툰 &gt; 로맨스")</f>
        <v>웹툰 &gt; 로맨스</v>
      </c>
    </row>
    <row r="322" spans="1:58" x14ac:dyDescent="0.3">
      <c r="A322">
        <v>4421000866</v>
      </c>
      <c r="B322">
        <v>4421001277</v>
      </c>
      <c r="C322" t="str">
        <f>T("최애에게 들켜버렸다 63화")</f>
        <v>최애에게 들켜버렸다 63화</v>
      </c>
      <c r="D322" t="str">
        <f>T("66")</f>
        <v>66</v>
      </c>
      <c r="E322" t="str">
        <f>T("Lv")</f>
        <v>Lv</v>
      </c>
      <c r="G322" t="str">
        <f>T("Lv")</f>
        <v>Lv</v>
      </c>
      <c r="H322" t="str">
        <f t="shared" ref="H322:H385" si="50">T("스토리위즈")</f>
        <v>스토리위즈</v>
      </c>
      <c r="I322" t="str">
        <f>T("최애에게 들켜버렸다")</f>
        <v>최애에게 들켜버렸다</v>
      </c>
      <c r="J322">
        <v>400</v>
      </c>
      <c r="K322">
        <v>0</v>
      </c>
      <c r="L322">
        <v>0</v>
      </c>
      <c r="M322">
        <v>0</v>
      </c>
      <c r="N322">
        <v>200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240</v>
      </c>
      <c r="AN322">
        <v>-24</v>
      </c>
      <c r="AO322">
        <v>0</v>
      </c>
      <c r="AP322"/>
      <c r="AQ322">
        <v>0</v>
      </c>
      <c r="AR322">
        <v>0</v>
      </c>
      <c r="AS322">
        <v>240</v>
      </c>
      <c r="AT322">
        <v>-24</v>
      </c>
      <c r="AU322">
        <v>0</v>
      </c>
      <c r="AW322">
        <v>0</v>
      </c>
      <c r="AX322">
        <v>0</v>
      </c>
      <c r="AY322">
        <v>151.19999999999999</v>
      </c>
      <c r="BA322" t="str">
        <f>T("0000000000000")</f>
        <v>0000000000000</v>
      </c>
      <c r="BC322" t="str">
        <f>T("9791137601253")</f>
        <v>9791137601253</v>
      </c>
      <c r="BE322" t="str">
        <f>T("웹툰 &gt; 해외 순정")</f>
        <v>웹툰 &gt; 해외 순정</v>
      </c>
      <c r="BF322" t="str">
        <f>T("웹툰 &gt; 로맨스")</f>
        <v>웹툰 &gt; 로맨스</v>
      </c>
    </row>
    <row r="323" spans="1:58" x14ac:dyDescent="0.3">
      <c r="A323">
        <v>4421001634</v>
      </c>
      <c r="B323">
        <v>4421002518</v>
      </c>
      <c r="C323" t="str">
        <f>T("그남자의 사랑방식 69화")</f>
        <v>그남자의 사랑방식 69화</v>
      </c>
      <c r="D323" t="str">
        <f>T("69")</f>
        <v>69</v>
      </c>
      <c r="E323" t="str">
        <f>T("웹티")</f>
        <v>웹티</v>
      </c>
      <c r="H323" t="str">
        <f t="shared" si="50"/>
        <v>스토리위즈</v>
      </c>
      <c r="I323" t="str">
        <f>T("그남자의 사랑방식")</f>
        <v>그남자의 사랑방식</v>
      </c>
      <c r="J323">
        <v>500</v>
      </c>
      <c r="K323">
        <v>0</v>
      </c>
      <c r="L323">
        <v>0</v>
      </c>
      <c r="M323">
        <v>0</v>
      </c>
      <c r="N323">
        <v>200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240</v>
      </c>
      <c r="AN323">
        <v>-24</v>
      </c>
      <c r="AO323">
        <v>0</v>
      </c>
      <c r="AP323"/>
      <c r="AQ323">
        <v>0</v>
      </c>
      <c r="AR323">
        <v>0</v>
      </c>
      <c r="AS323">
        <v>240</v>
      </c>
      <c r="AT323">
        <v>-24</v>
      </c>
      <c r="AU323">
        <v>0</v>
      </c>
      <c r="AW323">
        <v>0</v>
      </c>
      <c r="AX323">
        <v>0</v>
      </c>
      <c r="AY323">
        <v>151.19999999999999</v>
      </c>
      <c r="BC323" t="str">
        <f>T("9791190622004")</f>
        <v>9791190622004</v>
      </c>
      <c r="BE323" t="str">
        <f>T("BL 웹툰 &gt; 웹툰")</f>
        <v>BL 웹툰 &gt; 웹툰</v>
      </c>
    </row>
    <row r="324" spans="1:58" x14ac:dyDescent="0.3">
      <c r="A324">
        <v>4421001634</v>
      </c>
      <c r="B324">
        <v>4421001637</v>
      </c>
      <c r="C324" t="str">
        <f>T("그남자의 사랑방식 4화")</f>
        <v>그남자의 사랑방식 4화</v>
      </c>
      <c r="D324" t="str">
        <f>T("4")</f>
        <v>4</v>
      </c>
      <c r="E324" t="str">
        <f>T("웹티")</f>
        <v>웹티</v>
      </c>
      <c r="H324" t="str">
        <f t="shared" si="50"/>
        <v>스토리위즈</v>
      </c>
      <c r="I324" t="str">
        <f>T("그남자의 사랑방식")</f>
        <v>그남자의 사랑방식</v>
      </c>
      <c r="J324">
        <v>500</v>
      </c>
      <c r="K324">
        <v>0</v>
      </c>
      <c r="L324">
        <v>0</v>
      </c>
      <c r="M324">
        <v>0</v>
      </c>
      <c r="N324">
        <v>200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200</v>
      </c>
      <c r="AH324">
        <v>1</v>
      </c>
      <c r="AI324">
        <v>0</v>
      </c>
      <c r="AJ324">
        <v>0</v>
      </c>
      <c r="AK324">
        <v>200</v>
      </c>
      <c r="AL324">
        <v>0</v>
      </c>
      <c r="AM324">
        <v>0</v>
      </c>
      <c r="AN324">
        <v>0</v>
      </c>
      <c r="AO324">
        <v>0</v>
      </c>
      <c r="AP324"/>
      <c r="AQ324">
        <v>0</v>
      </c>
      <c r="AR324">
        <v>0</v>
      </c>
      <c r="AT324">
        <v>0</v>
      </c>
      <c r="AU324">
        <v>0</v>
      </c>
      <c r="AW324">
        <v>0</v>
      </c>
      <c r="AX324">
        <v>0</v>
      </c>
      <c r="AY324">
        <v>140</v>
      </c>
      <c r="BC324" t="str">
        <f>T("9791190622004")</f>
        <v>9791190622004</v>
      </c>
      <c r="BE324" t="str">
        <f>T("BL 웹툰 &gt; 웹툰")</f>
        <v>BL 웹툰 &gt; 웹툰</v>
      </c>
    </row>
    <row r="325" spans="1:58" x14ac:dyDescent="0.3">
      <c r="A325">
        <v>4421000887</v>
      </c>
      <c r="B325">
        <v>4421001215</v>
      </c>
      <c r="C325" t="str">
        <f>T("폭군의 눈물 42화")</f>
        <v>폭군의 눈물 42화</v>
      </c>
      <c r="D325" t="str">
        <f>T("42")</f>
        <v>42</v>
      </c>
      <c r="E325" t="str">
        <f>T("Ice×FANFAN COMIC")</f>
        <v>Ice×FANFAN COMIC</v>
      </c>
      <c r="G325" t="str">
        <f>T("Ice×FANFAN COMIC")</f>
        <v>Ice×FANFAN COMIC</v>
      </c>
      <c r="H325" t="str">
        <f t="shared" si="50"/>
        <v>스토리위즈</v>
      </c>
      <c r="I325" t="str">
        <f>T("폭군의 눈물")</f>
        <v>폭군의 눈물</v>
      </c>
      <c r="J325">
        <v>400</v>
      </c>
      <c r="K325">
        <v>0</v>
      </c>
      <c r="L325">
        <v>0</v>
      </c>
      <c r="M325">
        <v>0</v>
      </c>
      <c r="N325">
        <v>200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1</v>
      </c>
      <c r="AI325">
        <v>0</v>
      </c>
      <c r="AJ325">
        <v>0</v>
      </c>
      <c r="AK325">
        <v>200</v>
      </c>
      <c r="AL325">
        <v>0</v>
      </c>
      <c r="AM325">
        <v>0</v>
      </c>
      <c r="AN325">
        <v>0</v>
      </c>
      <c r="AO325">
        <v>0</v>
      </c>
      <c r="AP325"/>
      <c r="AQ325">
        <v>0</v>
      </c>
      <c r="AR325">
        <v>0</v>
      </c>
      <c r="AT325">
        <v>0</v>
      </c>
      <c r="AU325">
        <v>0</v>
      </c>
      <c r="AW325">
        <v>0</v>
      </c>
      <c r="AX325">
        <v>0</v>
      </c>
      <c r="AY325">
        <v>140</v>
      </c>
      <c r="BA325" t="str">
        <f>T("0000000000000")</f>
        <v>0000000000000</v>
      </c>
      <c r="BC325" t="str">
        <f>T("9791137601291")</f>
        <v>9791137601291</v>
      </c>
      <c r="BE325" t="str">
        <f>T("웹툰 &gt; 해외 순정")</f>
        <v>웹툰 &gt; 해외 순정</v>
      </c>
      <c r="BF325" t="str">
        <f>T("웹툰 &gt; 로판")</f>
        <v>웹툰 &gt; 로판</v>
      </c>
    </row>
    <row r="326" spans="1:58" x14ac:dyDescent="0.3">
      <c r="A326">
        <v>4421002829</v>
      </c>
      <c r="B326">
        <v>4421002978</v>
      </c>
      <c r="C326" t="str">
        <f>T("테두리는 주시하지 않는다 (개정판) 16화")</f>
        <v>테두리는 주시하지 않는다 (개정판) 16화</v>
      </c>
      <c r="D326" t="str">
        <f>T("16")</f>
        <v>16</v>
      </c>
      <c r="E326" t="str">
        <f>T("토찌, 키로즈")</f>
        <v>토찌, 키로즈</v>
      </c>
      <c r="G326" t="str">
        <f>T("마린")</f>
        <v>마린</v>
      </c>
      <c r="H326" t="str">
        <f t="shared" si="50"/>
        <v>스토리위즈</v>
      </c>
      <c r="I326" t="str">
        <f>T("테두리는 주시하지 않는다 (개정판)")</f>
        <v>테두리는 주시하지 않는다 (개정판)</v>
      </c>
      <c r="J326">
        <v>500</v>
      </c>
      <c r="K326">
        <v>0</v>
      </c>
      <c r="L326">
        <v>0</v>
      </c>
      <c r="M326">
        <v>0</v>
      </c>
      <c r="N326">
        <v>6000</v>
      </c>
      <c r="O326">
        <v>20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6000</v>
      </c>
      <c r="AH326">
        <v>20</v>
      </c>
      <c r="AI326">
        <v>0</v>
      </c>
      <c r="AJ326">
        <v>0</v>
      </c>
      <c r="AK326">
        <v>2700</v>
      </c>
      <c r="AL326">
        <v>0</v>
      </c>
      <c r="AM326">
        <v>3960</v>
      </c>
      <c r="AN326">
        <v>-684</v>
      </c>
      <c r="AO326">
        <v>0</v>
      </c>
      <c r="AP326">
        <v>720</v>
      </c>
      <c r="AQ326">
        <v>-216</v>
      </c>
      <c r="AR326">
        <v>0</v>
      </c>
      <c r="AS326">
        <v>3240</v>
      </c>
      <c r="AT326">
        <v>-468</v>
      </c>
      <c r="AU326">
        <v>0</v>
      </c>
      <c r="AW326">
        <v>0</v>
      </c>
      <c r="AX326">
        <v>0</v>
      </c>
      <c r="AY326">
        <v>4183.2</v>
      </c>
      <c r="BA326" t="str">
        <f>T("0000000000000")</f>
        <v>0000000000000</v>
      </c>
      <c r="BC326" t="str">
        <f>T("9791137604681")</f>
        <v>9791137604681</v>
      </c>
      <c r="BE326" t="str">
        <f>T("BL 웹툰 &gt; 웹툰")</f>
        <v>BL 웹툰 &gt; 웹툰</v>
      </c>
    </row>
    <row r="327" spans="1:58" x14ac:dyDescent="0.3">
      <c r="A327">
        <v>4421001634</v>
      </c>
      <c r="B327">
        <v>4421002550</v>
      </c>
      <c r="C327" t="str">
        <f>T("그남자의 사랑방식 101화")</f>
        <v>그남자의 사랑방식 101화</v>
      </c>
      <c r="D327" t="str">
        <f>T("101")</f>
        <v>101</v>
      </c>
      <c r="E327" t="str">
        <f>T("웹티")</f>
        <v>웹티</v>
      </c>
      <c r="H327" t="str">
        <f t="shared" si="50"/>
        <v>스토리위즈</v>
      </c>
      <c r="I327" t="str">
        <f>T("그남자의 사랑방식")</f>
        <v>그남자의 사랑방식</v>
      </c>
      <c r="J327">
        <v>500</v>
      </c>
      <c r="K327">
        <v>0</v>
      </c>
      <c r="L327">
        <v>0</v>
      </c>
      <c r="M327">
        <v>0</v>
      </c>
      <c r="N327">
        <v>400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400</v>
      </c>
      <c r="AH327">
        <v>2</v>
      </c>
      <c r="AI327">
        <v>0</v>
      </c>
      <c r="AJ327">
        <v>0</v>
      </c>
      <c r="AK327">
        <v>200</v>
      </c>
      <c r="AL327">
        <v>0</v>
      </c>
      <c r="AM327">
        <v>240</v>
      </c>
      <c r="AN327">
        <v>-24</v>
      </c>
      <c r="AO327">
        <v>0</v>
      </c>
      <c r="AP327"/>
      <c r="AQ327">
        <v>0</v>
      </c>
      <c r="AR327">
        <v>0</v>
      </c>
      <c r="AS327">
        <v>240</v>
      </c>
      <c r="AT327">
        <v>-24</v>
      </c>
      <c r="AU327">
        <v>0</v>
      </c>
      <c r="AW327">
        <v>0</v>
      </c>
      <c r="AX327">
        <v>0</v>
      </c>
      <c r="AY327">
        <v>291.2</v>
      </c>
      <c r="BC327" t="str">
        <f>T("9791190622004")</f>
        <v>9791190622004</v>
      </c>
      <c r="BE327" t="str">
        <f>T("BL 웹툰 &gt; 웹툰")</f>
        <v>BL 웹툰 &gt; 웹툰</v>
      </c>
    </row>
    <row r="328" spans="1:58" x14ac:dyDescent="0.3">
      <c r="A328">
        <v>4421001340</v>
      </c>
      <c r="B328">
        <v>4421001369</v>
      </c>
      <c r="C328" t="str">
        <f>T("가출천사 육성계약 30화")</f>
        <v>가출천사 육성계약 30화</v>
      </c>
      <c r="D328" t="str">
        <f>T("30")</f>
        <v>30</v>
      </c>
      <c r="E328" t="str">
        <f>T("Bae.C, IIAKI, 박제후")</f>
        <v>Bae.C, IIAKI, 박제후</v>
      </c>
      <c r="G328" t="str">
        <f>T("Bae.C, 조우")</f>
        <v>Bae.C, 조우</v>
      </c>
      <c r="H328" t="str">
        <f t="shared" si="50"/>
        <v>스토리위즈</v>
      </c>
      <c r="I328" t="str">
        <f>T("가출천사 육성계약")</f>
        <v>가출천사 육성계약</v>
      </c>
      <c r="J328">
        <v>400</v>
      </c>
      <c r="K328">
        <v>0</v>
      </c>
      <c r="L328">
        <v>0</v>
      </c>
      <c r="M328">
        <v>0</v>
      </c>
      <c r="N328">
        <v>200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240</v>
      </c>
      <c r="AN328">
        <v>-24</v>
      </c>
      <c r="AO328">
        <v>0</v>
      </c>
      <c r="AP328"/>
      <c r="AQ328">
        <v>0</v>
      </c>
      <c r="AR328">
        <v>0</v>
      </c>
      <c r="AS328">
        <v>240</v>
      </c>
      <c r="AT328">
        <v>-24</v>
      </c>
      <c r="AU328">
        <v>0</v>
      </c>
      <c r="AW328">
        <v>0</v>
      </c>
      <c r="AX328">
        <v>0</v>
      </c>
      <c r="AY328">
        <v>151.19999999999999</v>
      </c>
      <c r="BA328" t="str">
        <f>T("0000000000000")</f>
        <v>0000000000000</v>
      </c>
      <c r="BC328" t="str">
        <f>T("9791191765663")</f>
        <v>9791191765663</v>
      </c>
      <c r="BE328" t="str">
        <f>T("웹툰 &gt; 판타지/SF")</f>
        <v>웹툰 &gt; 판타지/SF</v>
      </c>
    </row>
    <row r="329" spans="1:58" x14ac:dyDescent="0.3">
      <c r="A329">
        <v>4421001634</v>
      </c>
      <c r="B329">
        <v>4421001669</v>
      </c>
      <c r="C329" t="str">
        <f>T("그남자의 사랑방식 36화")</f>
        <v>그남자의 사랑방식 36화</v>
      </c>
      <c r="D329" t="str">
        <f>T("36")</f>
        <v>36</v>
      </c>
      <c r="E329" t="str">
        <f>T("웹티")</f>
        <v>웹티</v>
      </c>
      <c r="H329" t="str">
        <f t="shared" si="50"/>
        <v>스토리위즈</v>
      </c>
      <c r="I329" t="str">
        <f>T("그남자의 사랑방식")</f>
        <v>그남자의 사랑방식</v>
      </c>
      <c r="J329">
        <v>500</v>
      </c>
      <c r="K329">
        <v>0</v>
      </c>
      <c r="L329">
        <v>0</v>
      </c>
      <c r="M329">
        <v>0</v>
      </c>
      <c r="N329">
        <v>800</v>
      </c>
      <c r="O329">
        <v>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800</v>
      </c>
      <c r="AH329">
        <v>4</v>
      </c>
      <c r="AI329">
        <v>0</v>
      </c>
      <c r="AJ329">
        <v>0</v>
      </c>
      <c r="AK329">
        <v>400</v>
      </c>
      <c r="AL329">
        <v>0</v>
      </c>
      <c r="AM329">
        <v>480</v>
      </c>
      <c r="AN329">
        <v>-48</v>
      </c>
      <c r="AO329">
        <v>0</v>
      </c>
      <c r="AP329"/>
      <c r="AQ329">
        <v>0</v>
      </c>
      <c r="AR329">
        <v>0</v>
      </c>
      <c r="AS329">
        <v>480</v>
      </c>
      <c r="AT329">
        <v>-48</v>
      </c>
      <c r="AU329">
        <v>0</v>
      </c>
      <c r="AW329">
        <v>0</v>
      </c>
      <c r="AX329">
        <v>0</v>
      </c>
      <c r="AY329">
        <v>582.4</v>
      </c>
      <c r="BC329" t="str">
        <f>T("9791190622004")</f>
        <v>9791190622004</v>
      </c>
      <c r="BE329" t="str">
        <f>T("BL 웹툰 &gt; 웹툰")</f>
        <v>BL 웹툰 &gt; 웹툰</v>
      </c>
    </row>
    <row r="330" spans="1:58" x14ac:dyDescent="0.3">
      <c r="A330">
        <v>4421003015</v>
      </c>
      <c r="B330">
        <v>4421003027</v>
      </c>
      <c r="C330" t="str">
        <f>T("일월성신 12화")</f>
        <v>일월성신 12화</v>
      </c>
      <c r="D330" t="str">
        <f>T("12")</f>
        <v>12</v>
      </c>
      <c r="E330" t="str">
        <f>T("김숙지")</f>
        <v>김숙지</v>
      </c>
      <c r="G330" t="str">
        <f>T("이름표")</f>
        <v>이름표</v>
      </c>
      <c r="H330" t="str">
        <f t="shared" si="50"/>
        <v>스토리위즈</v>
      </c>
      <c r="I330" t="str">
        <f>T("일월성신")</f>
        <v>일월성신</v>
      </c>
      <c r="J330">
        <v>400</v>
      </c>
      <c r="K330">
        <v>0</v>
      </c>
      <c r="L330">
        <v>0</v>
      </c>
      <c r="M330">
        <v>0</v>
      </c>
      <c r="N330">
        <v>600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600</v>
      </c>
      <c r="AH330">
        <v>3</v>
      </c>
      <c r="AI330">
        <v>0</v>
      </c>
      <c r="AJ330">
        <v>0</v>
      </c>
      <c r="AK330">
        <v>200</v>
      </c>
      <c r="AL330">
        <v>0</v>
      </c>
      <c r="AM330">
        <v>480</v>
      </c>
      <c r="AN330">
        <v>-96</v>
      </c>
      <c r="AO330">
        <v>0</v>
      </c>
      <c r="AP330">
        <v>240</v>
      </c>
      <c r="AQ330">
        <v>-72</v>
      </c>
      <c r="AR330">
        <v>0</v>
      </c>
      <c r="AS330">
        <v>240</v>
      </c>
      <c r="AT330">
        <v>-24</v>
      </c>
      <c r="AU330">
        <v>0</v>
      </c>
      <c r="AW330">
        <v>0</v>
      </c>
      <c r="AX330">
        <v>0</v>
      </c>
      <c r="AY330">
        <v>408.8</v>
      </c>
      <c r="BA330" t="str">
        <f t="shared" ref="BA330:BA337" si="51">T("0000000000000")</f>
        <v>0000000000000</v>
      </c>
      <c r="BC330" t="str">
        <f>T("9791137604605")</f>
        <v>9791137604605</v>
      </c>
      <c r="BE330" t="str">
        <f>T("웹툰 &gt; 드라마")</f>
        <v>웹툰 &gt; 드라마</v>
      </c>
    </row>
    <row r="331" spans="1:58" x14ac:dyDescent="0.3">
      <c r="A331">
        <v>4421001764</v>
      </c>
      <c r="B331">
        <v>4421001766</v>
      </c>
      <c r="C331" t="str">
        <f>T("예쁜 남자 잘생긴 여자 3화")</f>
        <v>예쁜 남자 잘생긴 여자 3화</v>
      </c>
      <c r="D331" t="str">
        <f>T("3")</f>
        <v>3</v>
      </c>
      <c r="E331" t="str">
        <f>T("웹티")</f>
        <v>웹티</v>
      </c>
      <c r="H331" t="str">
        <f t="shared" si="50"/>
        <v>스토리위즈</v>
      </c>
      <c r="I331" t="str">
        <f>T("예쁜 남자 잘생긴 여자")</f>
        <v>예쁜 남자 잘생긴 여자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/>
      <c r="AQ331">
        <v>0</v>
      </c>
      <c r="AR331">
        <v>0</v>
      </c>
      <c r="AT331">
        <v>0</v>
      </c>
      <c r="AU331">
        <v>0</v>
      </c>
      <c r="AW331">
        <v>0</v>
      </c>
      <c r="AX331">
        <v>0</v>
      </c>
      <c r="AY331">
        <v>0</v>
      </c>
      <c r="BA331" t="str">
        <f t="shared" si="51"/>
        <v>0000000000000</v>
      </c>
      <c r="BC331" t="str">
        <f>T("9791190702164")</f>
        <v>9791190702164</v>
      </c>
      <c r="BE331" t="str">
        <f>T("웹툰 &gt; 로맨스")</f>
        <v>웹툰 &gt; 로맨스</v>
      </c>
    </row>
    <row r="332" spans="1:58" x14ac:dyDescent="0.3">
      <c r="A332">
        <v>4421003015</v>
      </c>
      <c r="B332">
        <v>4421003097</v>
      </c>
      <c r="C332" t="str">
        <f>T("일월성신 34화")</f>
        <v>일월성신 34화</v>
      </c>
      <c r="D332" t="str">
        <f>T("34")</f>
        <v>34</v>
      </c>
      <c r="E332" t="str">
        <f>T("김숙지")</f>
        <v>김숙지</v>
      </c>
      <c r="G332" t="str">
        <f>T("이름표")</f>
        <v>이름표</v>
      </c>
      <c r="H332" t="str">
        <f t="shared" si="50"/>
        <v>스토리위즈</v>
      </c>
      <c r="I332" t="str">
        <f>T("일월성신")</f>
        <v>일월성신</v>
      </c>
      <c r="J332">
        <v>400</v>
      </c>
      <c r="K332">
        <v>0</v>
      </c>
      <c r="L332">
        <v>0</v>
      </c>
      <c r="M332">
        <v>0</v>
      </c>
      <c r="N332">
        <v>1000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1000</v>
      </c>
      <c r="AH332">
        <v>5</v>
      </c>
      <c r="AI332">
        <v>0</v>
      </c>
      <c r="AJ332">
        <v>0</v>
      </c>
      <c r="AK332">
        <v>400</v>
      </c>
      <c r="AL332">
        <v>0</v>
      </c>
      <c r="AM332">
        <v>720</v>
      </c>
      <c r="AN332">
        <v>-120</v>
      </c>
      <c r="AO332">
        <v>0</v>
      </c>
      <c r="AP332">
        <v>240</v>
      </c>
      <c r="AQ332">
        <v>-72</v>
      </c>
      <c r="AR332">
        <v>0</v>
      </c>
      <c r="AS332">
        <v>480</v>
      </c>
      <c r="AT332">
        <v>-48</v>
      </c>
      <c r="AU332">
        <v>0</v>
      </c>
      <c r="AW332">
        <v>0</v>
      </c>
      <c r="AX332">
        <v>0</v>
      </c>
      <c r="AY332">
        <v>700</v>
      </c>
      <c r="BA332" t="str">
        <f t="shared" si="51"/>
        <v>0000000000000</v>
      </c>
      <c r="BC332" t="str">
        <f>T("9791137604605")</f>
        <v>9791137604605</v>
      </c>
      <c r="BE332" t="str">
        <f>T("웹툰 &gt; 드라마")</f>
        <v>웹툰 &gt; 드라마</v>
      </c>
    </row>
    <row r="333" spans="1:58" x14ac:dyDescent="0.3">
      <c r="A333">
        <v>4421000866</v>
      </c>
      <c r="B333">
        <v>4421001532</v>
      </c>
      <c r="C333" t="str">
        <f>T("최애에게 들켜버렸다 77화")</f>
        <v>최애에게 들켜버렸다 77화</v>
      </c>
      <c r="D333" t="str">
        <f>T("80")</f>
        <v>80</v>
      </c>
      <c r="E333" t="str">
        <f>T("Lv")</f>
        <v>Lv</v>
      </c>
      <c r="G333" t="str">
        <f>T("Lv")</f>
        <v>Lv</v>
      </c>
      <c r="H333" t="str">
        <f t="shared" si="50"/>
        <v>스토리위즈</v>
      </c>
      <c r="I333" t="str">
        <f>T("최애에게 들켜버렸다")</f>
        <v>최애에게 들켜버렸다</v>
      </c>
      <c r="J333">
        <v>400</v>
      </c>
      <c r="K333">
        <v>0</v>
      </c>
      <c r="L333">
        <v>0</v>
      </c>
      <c r="M333">
        <v>0</v>
      </c>
      <c r="N333">
        <v>200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240</v>
      </c>
      <c r="AN333">
        <v>-24</v>
      </c>
      <c r="AO333">
        <v>0</v>
      </c>
      <c r="AP333"/>
      <c r="AQ333">
        <v>0</v>
      </c>
      <c r="AR333">
        <v>0</v>
      </c>
      <c r="AS333">
        <v>240</v>
      </c>
      <c r="AT333">
        <v>-24</v>
      </c>
      <c r="AU333">
        <v>0</v>
      </c>
      <c r="AW333">
        <v>0</v>
      </c>
      <c r="AX333">
        <v>0</v>
      </c>
      <c r="AY333">
        <v>151.19999999999999</v>
      </c>
      <c r="BA333" t="str">
        <f t="shared" si="51"/>
        <v>0000000000000</v>
      </c>
      <c r="BC333" t="str">
        <f>T("9791137601253")</f>
        <v>9791137601253</v>
      </c>
      <c r="BE333" t="str">
        <f>T("웹툰 &gt; 해외 순정")</f>
        <v>웹툰 &gt; 해외 순정</v>
      </c>
      <c r="BF333" t="str">
        <f>T("웹툰 &gt; 로맨스")</f>
        <v>웹툰 &gt; 로맨스</v>
      </c>
    </row>
    <row r="334" spans="1:58" x14ac:dyDescent="0.3">
      <c r="A334">
        <v>4421000337</v>
      </c>
      <c r="B334">
        <v>4421000338</v>
      </c>
      <c r="C334" t="str">
        <f>T("계약연애, 오늘부터 1일 2화")</f>
        <v>계약연애, 오늘부터 1일 2화</v>
      </c>
      <c r="D334" t="str">
        <f>T("2")</f>
        <v>2</v>
      </c>
      <c r="E334" t="str">
        <f>T("원기공장")</f>
        <v>원기공장</v>
      </c>
      <c r="H334" t="str">
        <f t="shared" si="50"/>
        <v>스토리위즈</v>
      </c>
      <c r="I334" t="str">
        <f>T("계약연애, 오늘부터 1일")</f>
        <v>계약연애, 오늘부터 1일</v>
      </c>
      <c r="J334">
        <v>200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/>
      <c r="AQ334">
        <v>0</v>
      </c>
      <c r="AR334">
        <v>0</v>
      </c>
      <c r="AT334">
        <v>0</v>
      </c>
      <c r="AU334">
        <v>0</v>
      </c>
      <c r="AW334">
        <v>0</v>
      </c>
      <c r="AX334">
        <v>0</v>
      </c>
      <c r="AY334">
        <v>0</v>
      </c>
      <c r="BA334" t="str">
        <f t="shared" si="51"/>
        <v>0000000000000</v>
      </c>
      <c r="BC334" t="str">
        <f>T("9791166068027")</f>
        <v>9791166068027</v>
      </c>
      <c r="BE334" t="str">
        <f>T("웹툰 &gt; 해외 순정")</f>
        <v>웹툰 &gt; 해외 순정</v>
      </c>
      <c r="BF334" t="str">
        <f>T("웹툰 &gt; 로맨스")</f>
        <v>웹툰 &gt; 로맨스</v>
      </c>
    </row>
    <row r="335" spans="1:58" x14ac:dyDescent="0.3">
      <c r="A335">
        <v>4421002306</v>
      </c>
      <c r="B335">
        <v>4421002306</v>
      </c>
      <c r="C335" t="str">
        <f>T("지금은 여장중! 1화")</f>
        <v>지금은 여장중! 1화</v>
      </c>
      <c r="D335" t="str">
        <f>T("1")</f>
        <v>1</v>
      </c>
      <c r="E335" t="str">
        <f>T("웹티")</f>
        <v>웹티</v>
      </c>
      <c r="H335" t="str">
        <f t="shared" si="50"/>
        <v>스토리위즈</v>
      </c>
      <c r="I335" t="str">
        <f>T("지금은 여장중!")</f>
        <v>지금은 여장중!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/>
      <c r="AQ335">
        <v>0</v>
      </c>
      <c r="AR335">
        <v>0</v>
      </c>
      <c r="AT335">
        <v>0</v>
      </c>
      <c r="AU335">
        <v>0</v>
      </c>
      <c r="AW335">
        <v>0</v>
      </c>
      <c r="AX335">
        <v>0</v>
      </c>
      <c r="AY335">
        <v>0</v>
      </c>
      <c r="BA335" t="str">
        <f t="shared" si="51"/>
        <v>0000000000000</v>
      </c>
      <c r="BC335" t="str">
        <f>T("9791196608354")</f>
        <v>9791196608354</v>
      </c>
      <c r="BE335" t="str">
        <f>T("웹툰 &gt; 로맨스")</f>
        <v>웹툰 &gt; 로맨스</v>
      </c>
    </row>
    <row r="336" spans="1:58" x14ac:dyDescent="0.3">
      <c r="A336">
        <v>4421002829</v>
      </c>
      <c r="B336">
        <v>4421002842</v>
      </c>
      <c r="C336" t="str">
        <f>T("테두리는 주시하지 않는다 (개정판) 6화")</f>
        <v>테두리는 주시하지 않는다 (개정판) 6화</v>
      </c>
      <c r="D336" t="str">
        <f>T("6")</f>
        <v>6</v>
      </c>
      <c r="E336" t="str">
        <f>T("토찌, 키로즈")</f>
        <v>토찌, 키로즈</v>
      </c>
      <c r="G336" t="str">
        <f>T("마린")</f>
        <v>마린</v>
      </c>
      <c r="H336" t="str">
        <f t="shared" si="50"/>
        <v>스토리위즈</v>
      </c>
      <c r="I336" t="str">
        <f>T("테두리는 주시하지 않는다 (개정판)")</f>
        <v>테두리는 주시하지 않는다 (개정판)</v>
      </c>
      <c r="J336">
        <v>500</v>
      </c>
      <c r="K336">
        <v>0</v>
      </c>
      <c r="L336">
        <v>0</v>
      </c>
      <c r="M336">
        <v>0</v>
      </c>
      <c r="N336">
        <v>6600</v>
      </c>
      <c r="O336">
        <v>22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6600</v>
      </c>
      <c r="AH336">
        <v>22</v>
      </c>
      <c r="AI336">
        <v>0</v>
      </c>
      <c r="AJ336">
        <v>0</v>
      </c>
      <c r="AK336">
        <v>3500</v>
      </c>
      <c r="AL336">
        <v>0</v>
      </c>
      <c r="AM336">
        <v>3720</v>
      </c>
      <c r="AN336">
        <v>-756</v>
      </c>
      <c r="AO336">
        <v>0</v>
      </c>
      <c r="AP336">
        <v>1200</v>
      </c>
      <c r="AQ336">
        <v>-360</v>
      </c>
      <c r="AR336">
        <v>0</v>
      </c>
      <c r="AS336">
        <v>2520</v>
      </c>
      <c r="AT336">
        <v>-396</v>
      </c>
      <c r="AU336">
        <v>0</v>
      </c>
      <c r="AW336">
        <v>0</v>
      </c>
      <c r="AX336">
        <v>0</v>
      </c>
      <c r="AY336">
        <v>4524.8</v>
      </c>
      <c r="BA336" t="str">
        <f t="shared" si="51"/>
        <v>0000000000000</v>
      </c>
      <c r="BC336" t="str">
        <f>T("9791137604681")</f>
        <v>9791137604681</v>
      </c>
      <c r="BE336" t="str">
        <f>T("BL 웹툰 &gt; 웹툰")</f>
        <v>BL 웹툰 &gt; 웹툰</v>
      </c>
    </row>
    <row r="337" spans="1:58" x14ac:dyDescent="0.3">
      <c r="A337">
        <v>4421000450</v>
      </c>
      <c r="B337">
        <v>4421000517</v>
      </c>
      <c r="C337" t="str">
        <f>T("내 남편의 스토커 67화 (완결)")</f>
        <v>내 남편의 스토커 67화 (완결)</v>
      </c>
      <c r="D337" t="str">
        <f>T("67")</f>
        <v>67</v>
      </c>
      <c r="E337" t="str">
        <f>T("혜원")</f>
        <v>혜원</v>
      </c>
      <c r="G337" t="str">
        <f>T("혜원")</f>
        <v>혜원</v>
      </c>
      <c r="H337" t="str">
        <f t="shared" si="50"/>
        <v>스토리위즈</v>
      </c>
      <c r="I337" t="str">
        <f>T("내 남편의 스토커")</f>
        <v>내 남편의 스토커</v>
      </c>
      <c r="J337">
        <v>400</v>
      </c>
      <c r="K337">
        <v>0</v>
      </c>
      <c r="L337">
        <v>0</v>
      </c>
      <c r="M337">
        <v>0</v>
      </c>
      <c r="N337">
        <v>200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240</v>
      </c>
      <c r="AN337">
        <v>-24</v>
      </c>
      <c r="AO337">
        <v>0</v>
      </c>
      <c r="AP337"/>
      <c r="AQ337">
        <v>0</v>
      </c>
      <c r="AR337">
        <v>0</v>
      </c>
      <c r="AS337">
        <v>240</v>
      </c>
      <c r="AT337">
        <v>-24</v>
      </c>
      <c r="AU337">
        <v>0</v>
      </c>
      <c r="AW337">
        <v>0</v>
      </c>
      <c r="AX337">
        <v>0</v>
      </c>
      <c r="AY337">
        <v>151.19999999999999</v>
      </c>
      <c r="BA337" t="str">
        <f t="shared" si="51"/>
        <v>0000000000000</v>
      </c>
      <c r="BC337" t="str">
        <f>T("9791166068034")</f>
        <v>9791166068034</v>
      </c>
      <c r="BE337" t="str">
        <f>T("웹툰 &gt; 로맨스")</f>
        <v>웹툰 &gt; 로맨스</v>
      </c>
    </row>
    <row r="338" spans="1:58" x14ac:dyDescent="0.3">
      <c r="A338">
        <v>4421000001</v>
      </c>
      <c r="B338">
        <v>4421000045</v>
      </c>
      <c r="C338" t="str">
        <f>T("감옥실험 25화")</f>
        <v>감옥실험 25화</v>
      </c>
      <c r="D338" t="str">
        <f>T("25")</f>
        <v>25</v>
      </c>
      <c r="E338" t="str">
        <f>T("Kantetsu")</f>
        <v>Kantetsu</v>
      </c>
      <c r="G338" t="str">
        <f>T("Minase Chiho")</f>
        <v>Minase Chiho</v>
      </c>
      <c r="H338" t="str">
        <f t="shared" si="50"/>
        <v>스토리위즈</v>
      </c>
      <c r="I338" t="str">
        <f>T("감옥실험")</f>
        <v>감옥실험</v>
      </c>
      <c r="J338">
        <v>500</v>
      </c>
      <c r="K338">
        <v>0</v>
      </c>
      <c r="L338">
        <v>0</v>
      </c>
      <c r="M338">
        <v>0</v>
      </c>
      <c r="N338">
        <v>900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900</v>
      </c>
      <c r="AH338">
        <v>3</v>
      </c>
      <c r="AI338">
        <v>0</v>
      </c>
      <c r="AJ338">
        <v>0</v>
      </c>
      <c r="AK338">
        <v>600</v>
      </c>
      <c r="AL338">
        <v>0</v>
      </c>
      <c r="AM338">
        <v>360</v>
      </c>
      <c r="AN338">
        <v>-36</v>
      </c>
      <c r="AO338">
        <v>0</v>
      </c>
      <c r="AP338"/>
      <c r="AQ338">
        <v>0</v>
      </c>
      <c r="AR338">
        <v>0</v>
      </c>
      <c r="AS338">
        <v>360</v>
      </c>
      <c r="AT338">
        <v>-36</v>
      </c>
      <c r="AU338">
        <v>0</v>
      </c>
      <c r="AW338">
        <v>0</v>
      </c>
      <c r="AX338">
        <v>0</v>
      </c>
      <c r="AY338">
        <v>646.79999999999995</v>
      </c>
      <c r="BC338" t="str">
        <f>T("9791166069406")</f>
        <v>9791166069406</v>
      </c>
      <c r="BE338" t="str">
        <f>T("웹툰 &gt; 드라마")</f>
        <v>웹툰 &gt; 드라마</v>
      </c>
    </row>
    <row r="339" spans="1:58" x14ac:dyDescent="0.3">
      <c r="A339">
        <v>4421002022</v>
      </c>
      <c r="B339">
        <v>4421002052</v>
      </c>
      <c r="C339" t="str">
        <f>T("대표님과 연애를 시작했습니다 31화")</f>
        <v>대표님과 연애를 시작했습니다 31화</v>
      </c>
      <c r="D339" t="str">
        <f>T("31")</f>
        <v>31</v>
      </c>
      <c r="E339" t="str">
        <f>T("웹티")</f>
        <v>웹티</v>
      </c>
      <c r="H339" t="str">
        <f t="shared" si="50"/>
        <v>스토리위즈</v>
      </c>
      <c r="I339" t="str">
        <f>T("대표님과 연애를 시작했습니다")</f>
        <v>대표님과 연애를 시작했습니다</v>
      </c>
      <c r="J339">
        <v>500</v>
      </c>
      <c r="K339">
        <v>0</v>
      </c>
      <c r="L339">
        <v>0</v>
      </c>
      <c r="M339">
        <v>0</v>
      </c>
      <c r="N339">
        <v>200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200</v>
      </c>
      <c r="AH339">
        <v>1</v>
      </c>
      <c r="AI339">
        <v>0</v>
      </c>
      <c r="AJ339">
        <v>0</v>
      </c>
      <c r="AK339">
        <v>200</v>
      </c>
      <c r="AL339">
        <v>0</v>
      </c>
      <c r="AM339">
        <v>0</v>
      </c>
      <c r="AN339">
        <v>0</v>
      </c>
      <c r="AO339">
        <v>0</v>
      </c>
      <c r="AP339"/>
      <c r="AQ339">
        <v>0</v>
      </c>
      <c r="AR339">
        <v>0</v>
      </c>
      <c r="AT339">
        <v>0</v>
      </c>
      <c r="AU339">
        <v>0</v>
      </c>
      <c r="AW339">
        <v>0</v>
      </c>
      <c r="AX339">
        <v>0</v>
      </c>
      <c r="AY339">
        <v>140</v>
      </c>
      <c r="BA339" t="str">
        <f>T("0000000000000")</f>
        <v>0000000000000</v>
      </c>
      <c r="BC339" t="str">
        <f>T("9791196660482")</f>
        <v>9791196660482</v>
      </c>
      <c r="BE339" t="str">
        <f>T("BL 웹툰 &gt; 웹툰")</f>
        <v>BL 웹툰 &gt; 웹툰</v>
      </c>
    </row>
    <row r="340" spans="1:58" x14ac:dyDescent="0.3">
      <c r="A340">
        <v>4421002829</v>
      </c>
      <c r="B340">
        <v>4421002831</v>
      </c>
      <c r="C340" t="str">
        <f>T("테두리는 주시하지 않는다 (개정판) 3화")</f>
        <v>테두리는 주시하지 않는다 (개정판) 3화</v>
      </c>
      <c r="D340" t="str">
        <f>T("3")</f>
        <v>3</v>
      </c>
      <c r="E340" t="str">
        <f>T("토찌, 키로즈")</f>
        <v>토찌, 키로즈</v>
      </c>
      <c r="G340" t="str">
        <f>T("마린")</f>
        <v>마린</v>
      </c>
      <c r="H340" t="str">
        <f t="shared" si="50"/>
        <v>스토리위즈</v>
      </c>
      <c r="I340" t="str">
        <f>T("테두리는 주시하지 않는다 (개정판)")</f>
        <v>테두리는 주시하지 않는다 (개정판)</v>
      </c>
      <c r="J340">
        <v>500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159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/>
      <c r="AQ340">
        <v>0</v>
      </c>
      <c r="AR340">
        <v>0</v>
      </c>
      <c r="AT340">
        <v>0</v>
      </c>
      <c r="AU340">
        <v>0</v>
      </c>
      <c r="AW340">
        <v>0</v>
      </c>
      <c r="AX340">
        <v>0</v>
      </c>
      <c r="AY340">
        <v>0</v>
      </c>
      <c r="BA340" t="str">
        <f>T("0000000000000")</f>
        <v>0000000000000</v>
      </c>
      <c r="BC340" t="str">
        <f>T("9791137604681")</f>
        <v>9791137604681</v>
      </c>
      <c r="BE340" t="str">
        <f>T("BL 웹툰 &gt; 웹툰")</f>
        <v>BL 웹툰 &gt; 웹툰</v>
      </c>
    </row>
    <row r="341" spans="1:58" x14ac:dyDescent="0.3">
      <c r="A341">
        <v>4421000001</v>
      </c>
      <c r="B341">
        <v>4421000024</v>
      </c>
      <c r="C341" t="str">
        <f>T("감옥실험 14화")</f>
        <v>감옥실험 14화</v>
      </c>
      <c r="D341" t="str">
        <f>T("14")</f>
        <v>14</v>
      </c>
      <c r="E341" t="str">
        <f>T("Kantetsu")</f>
        <v>Kantetsu</v>
      </c>
      <c r="G341" t="str">
        <f>T("Minase Chiho")</f>
        <v>Minase Chiho</v>
      </c>
      <c r="H341" t="str">
        <f t="shared" si="50"/>
        <v>스토리위즈</v>
      </c>
      <c r="I341" t="str">
        <f>T("감옥실험")</f>
        <v>감옥실험</v>
      </c>
      <c r="J341">
        <v>500</v>
      </c>
      <c r="K341">
        <v>0</v>
      </c>
      <c r="L341">
        <v>0</v>
      </c>
      <c r="M341">
        <v>0</v>
      </c>
      <c r="N341">
        <v>1500</v>
      </c>
      <c r="O341">
        <v>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1500</v>
      </c>
      <c r="AH341">
        <v>5</v>
      </c>
      <c r="AI341">
        <v>0</v>
      </c>
      <c r="AJ341">
        <v>0</v>
      </c>
      <c r="AK341">
        <v>800</v>
      </c>
      <c r="AL341">
        <v>0</v>
      </c>
      <c r="AM341">
        <v>840</v>
      </c>
      <c r="AN341">
        <v>-228</v>
      </c>
      <c r="AO341">
        <v>0</v>
      </c>
      <c r="AP341">
        <v>360</v>
      </c>
      <c r="AQ341">
        <v>-108</v>
      </c>
      <c r="AR341">
        <v>0</v>
      </c>
      <c r="AS341">
        <v>480</v>
      </c>
      <c r="AT341">
        <v>-120</v>
      </c>
      <c r="AU341">
        <v>0</v>
      </c>
      <c r="AW341">
        <v>0</v>
      </c>
      <c r="AX341">
        <v>0</v>
      </c>
      <c r="AY341">
        <v>988.4</v>
      </c>
      <c r="BC341" t="str">
        <f>T("9791166069406")</f>
        <v>9791166069406</v>
      </c>
      <c r="BE341" t="str">
        <f>T("웹툰 &gt; 드라마")</f>
        <v>웹툰 &gt; 드라마</v>
      </c>
    </row>
    <row r="342" spans="1:58" x14ac:dyDescent="0.3">
      <c r="A342">
        <v>4421000450</v>
      </c>
      <c r="B342">
        <v>4421000473</v>
      </c>
      <c r="C342" t="str">
        <f>T("내 남편의 스토커 23화")</f>
        <v>내 남편의 스토커 23화</v>
      </c>
      <c r="D342" t="str">
        <f>T("23")</f>
        <v>23</v>
      </c>
      <c r="E342" t="str">
        <f>T("혜원")</f>
        <v>혜원</v>
      </c>
      <c r="G342" t="str">
        <f>T("혜원")</f>
        <v>혜원</v>
      </c>
      <c r="H342" t="str">
        <f t="shared" si="50"/>
        <v>스토리위즈</v>
      </c>
      <c r="I342" t="str">
        <f>T("내 남편의 스토커")</f>
        <v>내 남편의 스토커</v>
      </c>
      <c r="J342">
        <v>400</v>
      </c>
      <c r="K342">
        <v>0</v>
      </c>
      <c r="L342">
        <v>0</v>
      </c>
      <c r="M342">
        <v>0</v>
      </c>
      <c r="N342">
        <v>200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240</v>
      </c>
      <c r="AN342">
        <v>-24</v>
      </c>
      <c r="AO342">
        <v>0</v>
      </c>
      <c r="AP342"/>
      <c r="AQ342">
        <v>0</v>
      </c>
      <c r="AR342">
        <v>0</v>
      </c>
      <c r="AS342">
        <v>240</v>
      </c>
      <c r="AT342">
        <v>-24</v>
      </c>
      <c r="AU342">
        <v>0</v>
      </c>
      <c r="AW342">
        <v>0</v>
      </c>
      <c r="AX342">
        <v>0</v>
      </c>
      <c r="AY342">
        <v>151.19999999999999</v>
      </c>
      <c r="BA342" t="str">
        <f>T("0000000000000")</f>
        <v>0000000000000</v>
      </c>
      <c r="BC342" t="str">
        <f>T("9791166068034")</f>
        <v>9791166068034</v>
      </c>
      <c r="BE342" t="str">
        <f>T("웹툰 &gt; 로맨스")</f>
        <v>웹툰 &gt; 로맨스</v>
      </c>
    </row>
    <row r="343" spans="1:58" x14ac:dyDescent="0.3">
      <c r="A343">
        <v>4421002829</v>
      </c>
      <c r="B343">
        <v>4421002916</v>
      </c>
      <c r="C343" t="str">
        <f>T("테두리는 주시하지 않는다 (개정판) 12화")</f>
        <v>테두리는 주시하지 않는다 (개정판) 12화</v>
      </c>
      <c r="D343" t="str">
        <f>T("12")</f>
        <v>12</v>
      </c>
      <c r="E343" t="str">
        <f>T("토찌, 키로즈")</f>
        <v>토찌, 키로즈</v>
      </c>
      <c r="G343" t="str">
        <f>T("마린")</f>
        <v>마린</v>
      </c>
      <c r="H343" t="str">
        <f t="shared" si="50"/>
        <v>스토리위즈</v>
      </c>
      <c r="I343" t="str">
        <f>T("테두리는 주시하지 않는다 (개정판)")</f>
        <v>테두리는 주시하지 않는다 (개정판)</v>
      </c>
      <c r="J343">
        <v>500</v>
      </c>
      <c r="K343">
        <v>0</v>
      </c>
      <c r="L343">
        <v>0</v>
      </c>
      <c r="M343">
        <v>0</v>
      </c>
      <c r="N343">
        <v>6000</v>
      </c>
      <c r="O343">
        <v>20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6000</v>
      </c>
      <c r="AH343">
        <v>20</v>
      </c>
      <c r="AI343">
        <v>0</v>
      </c>
      <c r="AJ343">
        <v>0</v>
      </c>
      <c r="AK343">
        <v>3000</v>
      </c>
      <c r="AL343">
        <v>0</v>
      </c>
      <c r="AM343">
        <v>3600</v>
      </c>
      <c r="AN343">
        <v>-648</v>
      </c>
      <c r="AO343">
        <v>0</v>
      </c>
      <c r="AP343">
        <v>720</v>
      </c>
      <c r="AQ343">
        <v>-216</v>
      </c>
      <c r="AR343">
        <v>0</v>
      </c>
      <c r="AS343">
        <v>2880</v>
      </c>
      <c r="AT343">
        <v>-432</v>
      </c>
      <c r="AU343">
        <v>0</v>
      </c>
      <c r="AW343">
        <v>0</v>
      </c>
      <c r="AX343">
        <v>0</v>
      </c>
      <c r="AY343">
        <v>4166.3999999999996</v>
      </c>
      <c r="BA343" t="str">
        <f>T("0000000000000")</f>
        <v>0000000000000</v>
      </c>
      <c r="BC343" t="str">
        <f>T("9791137604681")</f>
        <v>9791137604681</v>
      </c>
      <c r="BE343" t="str">
        <f>T("BL 웹툰 &gt; 웹툰")</f>
        <v>BL 웹툰 &gt; 웹툰</v>
      </c>
    </row>
    <row r="344" spans="1:58" x14ac:dyDescent="0.3">
      <c r="A344">
        <v>4421000866</v>
      </c>
      <c r="B344">
        <v>4421000875</v>
      </c>
      <c r="C344" t="str">
        <f>T("최애에게 들켜버렸다 9화")</f>
        <v>최애에게 들켜버렸다 9화</v>
      </c>
      <c r="D344" t="str">
        <f>T("9")</f>
        <v>9</v>
      </c>
      <c r="E344" t="str">
        <f>T("Lv")</f>
        <v>Lv</v>
      </c>
      <c r="G344" t="str">
        <f>T("Lv")</f>
        <v>Lv</v>
      </c>
      <c r="H344" t="str">
        <f t="shared" si="50"/>
        <v>스토리위즈</v>
      </c>
      <c r="I344" t="str">
        <f>T("최애에게 들켜버렸다")</f>
        <v>최애에게 들켜버렸다</v>
      </c>
      <c r="J344">
        <v>400</v>
      </c>
      <c r="K344">
        <v>0</v>
      </c>
      <c r="L344">
        <v>0</v>
      </c>
      <c r="M344">
        <v>0</v>
      </c>
      <c r="N344">
        <v>800</v>
      </c>
      <c r="O344">
        <v>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800</v>
      </c>
      <c r="AH344">
        <v>4</v>
      </c>
      <c r="AI344">
        <v>0</v>
      </c>
      <c r="AJ344">
        <v>0</v>
      </c>
      <c r="AK344">
        <v>400</v>
      </c>
      <c r="AL344">
        <v>0</v>
      </c>
      <c r="AM344">
        <v>480</v>
      </c>
      <c r="AN344">
        <v>-96</v>
      </c>
      <c r="AO344">
        <v>0</v>
      </c>
      <c r="AP344"/>
      <c r="AQ344">
        <v>0</v>
      </c>
      <c r="AR344">
        <v>0</v>
      </c>
      <c r="AS344">
        <v>480</v>
      </c>
      <c r="AT344">
        <v>-96</v>
      </c>
      <c r="AU344">
        <v>0</v>
      </c>
      <c r="AW344">
        <v>0</v>
      </c>
      <c r="AX344">
        <v>0</v>
      </c>
      <c r="AY344">
        <v>548.79999999999995</v>
      </c>
      <c r="BA344" t="str">
        <f>T("0000000000000")</f>
        <v>0000000000000</v>
      </c>
      <c r="BC344" t="str">
        <f>T("9791137601253")</f>
        <v>9791137601253</v>
      </c>
      <c r="BE344" t="str">
        <f>T("웹툰 &gt; 해외 순정")</f>
        <v>웹툰 &gt; 해외 순정</v>
      </c>
      <c r="BF344" t="str">
        <f>T("웹툰 &gt; 로맨스")</f>
        <v>웹툰 &gt; 로맨스</v>
      </c>
    </row>
    <row r="345" spans="1:58" x14ac:dyDescent="0.3">
      <c r="A345">
        <v>4421000001</v>
      </c>
      <c r="B345">
        <v>4421000066</v>
      </c>
      <c r="C345" t="str">
        <f>T("감옥실험 46화")</f>
        <v>감옥실험 46화</v>
      </c>
      <c r="D345" t="str">
        <f>T("46")</f>
        <v>46</v>
      </c>
      <c r="E345" t="str">
        <f>T("Kantetsu")</f>
        <v>Kantetsu</v>
      </c>
      <c r="G345" t="str">
        <f>T("Minase Chiho")</f>
        <v>Minase Chiho</v>
      </c>
      <c r="H345" t="str">
        <f t="shared" si="50"/>
        <v>스토리위즈</v>
      </c>
      <c r="I345" t="str">
        <f>T("감옥실험")</f>
        <v>감옥실험</v>
      </c>
      <c r="J345">
        <v>500</v>
      </c>
      <c r="K345">
        <v>0</v>
      </c>
      <c r="L345">
        <v>0</v>
      </c>
      <c r="M345">
        <v>0</v>
      </c>
      <c r="N345">
        <v>600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600</v>
      </c>
      <c r="AH345">
        <v>2</v>
      </c>
      <c r="AI345">
        <v>0</v>
      </c>
      <c r="AJ345">
        <v>0</v>
      </c>
      <c r="AK345">
        <v>600</v>
      </c>
      <c r="AL345">
        <v>0</v>
      </c>
      <c r="AM345">
        <v>0</v>
      </c>
      <c r="AN345">
        <v>0</v>
      </c>
      <c r="AO345">
        <v>0</v>
      </c>
      <c r="AP345"/>
      <c r="AQ345">
        <v>0</v>
      </c>
      <c r="AR345">
        <v>0</v>
      </c>
      <c r="AT345">
        <v>0</v>
      </c>
      <c r="AU345">
        <v>0</v>
      </c>
      <c r="AW345">
        <v>0</v>
      </c>
      <c r="AX345">
        <v>0</v>
      </c>
      <c r="AY345">
        <v>420</v>
      </c>
      <c r="BC345" t="str">
        <f>T("9791166069406")</f>
        <v>9791166069406</v>
      </c>
      <c r="BE345" t="str">
        <f>T("웹툰 &gt; 드라마")</f>
        <v>웹툰 &gt; 드라마</v>
      </c>
    </row>
    <row r="346" spans="1:58" x14ac:dyDescent="0.3">
      <c r="A346">
        <v>4421001634</v>
      </c>
      <c r="B346">
        <v>4421002506</v>
      </c>
      <c r="C346" t="str">
        <f>T("그남자의 사랑방식 57화")</f>
        <v>그남자의 사랑방식 57화</v>
      </c>
      <c r="D346" t="str">
        <f>T("57")</f>
        <v>57</v>
      </c>
      <c r="E346" t="str">
        <f>T("웹티")</f>
        <v>웹티</v>
      </c>
      <c r="H346" t="str">
        <f t="shared" si="50"/>
        <v>스토리위즈</v>
      </c>
      <c r="I346" t="str">
        <f>T("그남자의 사랑방식")</f>
        <v>그남자의 사랑방식</v>
      </c>
      <c r="J346">
        <v>500</v>
      </c>
      <c r="K346">
        <v>0</v>
      </c>
      <c r="L346">
        <v>0</v>
      </c>
      <c r="M346">
        <v>0</v>
      </c>
      <c r="N346">
        <v>200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240</v>
      </c>
      <c r="AN346">
        <v>-24</v>
      </c>
      <c r="AO346">
        <v>0</v>
      </c>
      <c r="AP346"/>
      <c r="AQ346">
        <v>0</v>
      </c>
      <c r="AR346">
        <v>0</v>
      </c>
      <c r="AS346">
        <v>240</v>
      </c>
      <c r="AT346">
        <v>-24</v>
      </c>
      <c r="AU346">
        <v>0</v>
      </c>
      <c r="AW346">
        <v>0</v>
      </c>
      <c r="AX346">
        <v>0</v>
      </c>
      <c r="AY346">
        <v>151.19999999999999</v>
      </c>
      <c r="BC346" t="str">
        <f>T("9791190622004")</f>
        <v>9791190622004</v>
      </c>
      <c r="BE346" t="str">
        <f>T("BL 웹툰 &gt; 웹툰")</f>
        <v>BL 웹툰 &gt; 웹툰</v>
      </c>
    </row>
    <row r="347" spans="1:58" x14ac:dyDescent="0.3">
      <c r="A347">
        <v>4421001340</v>
      </c>
      <c r="B347">
        <v>4421001565</v>
      </c>
      <c r="C347" t="str">
        <f>T("가출천사 육성계약 43화")</f>
        <v>가출천사 육성계약 43화</v>
      </c>
      <c r="D347" t="str">
        <f>T("43")</f>
        <v>43</v>
      </c>
      <c r="E347" t="str">
        <f>T("Bae.C, IIAKI, 박제후")</f>
        <v>Bae.C, IIAKI, 박제후</v>
      </c>
      <c r="G347" t="str">
        <f>T("Bae.C, 조우")</f>
        <v>Bae.C, 조우</v>
      </c>
      <c r="H347" t="str">
        <f t="shared" si="50"/>
        <v>스토리위즈</v>
      </c>
      <c r="I347" t="str">
        <f>T("가출천사 육성계약")</f>
        <v>가출천사 육성계약</v>
      </c>
      <c r="J347">
        <v>400</v>
      </c>
      <c r="K347">
        <v>0</v>
      </c>
      <c r="L347">
        <v>0</v>
      </c>
      <c r="M347">
        <v>0</v>
      </c>
      <c r="N347">
        <v>200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240</v>
      </c>
      <c r="AN347">
        <v>-24</v>
      </c>
      <c r="AO347">
        <v>0</v>
      </c>
      <c r="AP347"/>
      <c r="AQ347">
        <v>0</v>
      </c>
      <c r="AR347">
        <v>0</v>
      </c>
      <c r="AS347">
        <v>240</v>
      </c>
      <c r="AT347">
        <v>-24</v>
      </c>
      <c r="AU347">
        <v>0</v>
      </c>
      <c r="AW347">
        <v>0</v>
      </c>
      <c r="AX347">
        <v>0</v>
      </c>
      <c r="AY347">
        <v>151.19999999999999</v>
      </c>
      <c r="BA347" t="str">
        <f>T("0000000000000")</f>
        <v>0000000000000</v>
      </c>
      <c r="BC347" t="str">
        <f>T("9791191765663")</f>
        <v>9791191765663</v>
      </c>
      <c r="BE347" t="str">
        <f>T("웹툰 &gt; 판타지/SF")</f>
        <v>웹툰 &gt; 판타지/SF</v>
      </c>
    </row>
    <row r="348" spans="1:58" x14ac:dyDescent="0.3">
      <c r="A348">
        <v>4421000450</v>
      </c>
      <c r="B348">
        <v>4421000505</v>
      </c>
      <c r="C348" t="str">
        <f>T("내 남편의 스토커 55화")</f>
        <v>내 남편의 스토커 55화</v>
      </c>
      <c r="D348" t="str">
        <f>T("55")</f>
        <v>55</v>
      </c>
      <c r="E348" t="str">
        <f>T("혜원")</f>
        <v>혜원</v>
      </c>
      <c r="G348" t="str">
        <f>T("혜원")</f>
        <v>혜원</v>
      </c>
      <c r="H348" t="str">
        <f t="shared" si="50"/>
        <v>스토리위즈</v>
      </c>
      <c r="I348" t="str">
        <f>T("내 남편의 스토커")</f>
        <v>내 남편의 스토커</v>
      </c>
      <c r="J348">
        <v>400</v>
      </c>
      <c r="K348">
        <v>0</v>
      </c>
      <c r="L348">
        <v>0</v>
      </c>
      <c r="M348">
        <v>0</v>
      </c>
      <c r="N348">
        <v>200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240</v>
      </c>
      <c r="AN348">
        <v>-24</v>
      </c>
      <c r="AO348">
        <v>0</v>
      </c>
      <c r="AP348"/>
      <c r="AQ348">
        <v>0</v>
      </c>
      <c r="AR348">
        <v>0</v>
      </c>
      <c r="AS348">
        <v>240</v>
      </c>
      <c r="AT348">
        <v>-24</v>
      </c>
      <c r="AU348">
        <v>0</v>
      </c>
      <c r="AW348">
        <v>0</v>
      </c>
      <c r="AX348">
        <v>0</v>
      </c>
      <c r="AY348">
        <v>151.19999999999999</v>
      </c>
      <c r="BA348" t="str">
        <f>T("0000000000000")</f>
        <v>0000000000000</v>
      </c>
      <c r="BC348" t="str">
        <f>T("9791166068034")</f>
        <v>9791166068034</v>
      </c>
      <c r="BE348" t="str">
        <f>T("웹툰 &gt; 로맨스")</f>
        <v>웹툰 &gt; 로맨스</v>
      </c>
    </row>
    <row r="349" spans="1:58" x14ac:dyDescent="0.3">
      <c r="A349">
        <v>4421001340</v>
      </c>
      <c r="B349">
        <v>4421002967</v>
      </c>
      <c r="C349" t="str">
        <f>T("가출천사 육성계약 51화")</f>
        <v>가출천사 육성계약 51화</v>
      </c>
      <c r="D349" t="str">
        <f>T("51")</f>
        <v>51</v>
      </c>
      <c r="E349" t="str">
        <f>T("Bae.C, IIAKI, 박제후")</f>
        <v>Bae.C, IIAKI, 박제후</v>
      </c>
      <c r="G349" t="str">
        <f>T("Bae.C, 조우")</f>
        <v>Bae.C, 조우</v>
      </c>
      <c r="H349" t="str">
        <f t="shared" si="50"/>
        <v>스토리위즈</v>
      </c>
      <c r="I349" t="str">
        <f>T("가출천사 육성계약")</f>
        <v>가출천사 육성계약</v>
      </c>
      <c r="J349">
        <v>400</v>
      </c>
      <c r="K349">
        <v>0</v>
      </c>
      <c r="L349">
        <v>0</v>
      </c>
      <c r="M349">
        <v>0</v>
      </c>
      <c r="N349">
        <v>200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240</v>
      </c>
      <c r="AN349">
        <v>-24</v>
      </c>
      <c r="AO349">
        <v>0</v>
      </c>
      <c r="AP349"/>
      <c r="AQ349">
        <v>0</v>
      </c>
      <c r="AR349">
        <v>0</v>
      </c>
      <c r="AS349">
        <v>240</v>
      </c>
      <c r="AT349">
        <v>-24</v>
      </c>
      <c r="AU349">
        <v>0</v>
      </c>
      <c r="AW349">
        <v>0</v>
      </c>
      <c r="AX349">
        <v>0</v>
      </c>
      <c r="AY349">
        <v>151.19999999999999</v>
      </c>
      <c r="BA349" t="str">
        <f>T("0000000000000")</f>
        <v>0000000000000</v>
      </c>
      <c r="BC349" t="str">
        <f>T("9791191765663")</f>
        <v>9791191765663</v>
      </c>
      <c r="BE349" t="str">
        <f>T("웹툰 &gt; 판타지/SF")</f>
        <v>웹툰 &gt; 판타지/SF</v>
      </c>
    </row>
    <row r="350" spans="1:58" x14ac:dyDescent="0.3">
      <c r="A350">
        <v>4421003015</v>
      </c>
      <c r="B350">
        <v>4421003041</v>
      </c>
      <c r="C350" t="str">
        <f>T("일월성신 26화")</f>
        <v>일월성신 26화</v>
      </c>
      <c r="D350" t="str">
        <f>T("26")</f>
        <v>26</v>
      </c>
      <c r="E350" t="str">
        <f>T("김숙지")</f>
        <v>김숙지</v>
      </c>
      <c r="G350" t="str">
        <f>T("이름표")</f>
        <v>이름표</v>
      </c>
      <c r="H350" t="str">
        <f t="shared" si="50"/>
        <v>스토리위즈</v>
      </c>
      <c r="I350" t="str">
        <f>T("일월성신")</f>
        <v>일월성신</v>
      </c>
      <c r="J350">
        <v>400</v>
      </c>
      <c r="K350">
        <v>0</v>
      </c>
      <c r="L350">
        <v>0</v>
      </c>
      <c r="M350">
        <v>0</v>
      </c>
      <c r="N350">
        <v>600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600</v>
      </c>
      <c r="AH350">
        <v>3</v>
      </c>
      <c r="AI350">
        <v>0</v>
      </c>
      <c r="AJ350">
        <v>0</v>
      </c>
      <c r="AK350">
        <v>200</v>
      </c>
      <c r="AL350">
        <v>0</v>
      </c>
      <c r="AM350">
        <v>480</v>
      </c>
      <c r="AN350">
        <v>-96</v>
      </c>
      <c r="AO350">
        <v>0</v>
      </c>
      <c r="AP350">
        <v>240</v>
      </c>
      <c r="AQ350">
        <v>-72</v>
      </c>
      <c r="AR350">
        <v>0</v>
      </c>
      <c r="AS350">
        <v>240</v>
      </c>
      <c r="AT350">
        <v>-24</v>
      </c>
      <c r="AU350">
        <v>0</v>
      </c>
      <c r="AW350">
        <v>0</v>
      </c>
      <c r="AX350">
        <v>0</v>
      </c>
      <c r="AY350">
        <v>408.8</v>
      </c>
      <c r="BA350" t="str">
        <f>T("0000000000000")</f>
        <v>0000000000000</v>
      </c>
      <c r="BC350" t="str">
        <f>T("9791137604605")</f>
        <v>9791137604605</v>
      </c>
      <c r="BE350" t="str">
        <f>T("웹툰 &gt; 드라마")</f>
        <v>웹툰 &gt; 드라마</v>
      </c>
    </row>
    <row r="351" spans="1:58" x14ac:dyDescent="0.3">
      <c r="A351">
        <v>4421001634</v>
      </c>
      <c r="B351">
        <v>4421002539</v>
      </c>
      <c r="C351" t="str">
        <f>T("그남자의 사랑방식 90화")</f>
        <v>그남자의 사랑방식 90화</v>
      </c>
      <c r="D351" t="str">
        <f>T("90")</f>
        <v>90</v>
      </c>
      <c r="E351" t="str">
        <f>T("웹티")</f>
        <v>웹티</v>
      </c>
      <c r="H351" t="str">
        <f t="shared" si="50"/>
        <v>스토리위즈</v>
      </c>
      <c r="I351" t="str">
        <f>T("그남자의 사랑방식")</f>
        <v>그남자의 사랑방식</v>
      </c>
      <c r="J351">
        <v>500</v>
      </c>
      <c r="K351">
        <v>0</v>
      </c>
      <c r="L351">
        <v>0</v>
      </c>
      <c r="M351">
        <v>0</v>
      </c>
      <c r="N351">
        <v>400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400</v>
      </c>
      <c r="AH351">
        <v>2</v>
      </c>
      <c r="AI351">
        <v>0</v>
      </c>
      <c r="AJ351">
        <v>0</v>
      </c>
      <c r="AK351">
        <v>200</v>
      </c>
      <c r="AL351">
        <v>0</v>
      </c>
      <c r="AM351">
        <v>240</v>
      </c>
      <c r="AN351">
        <v>-24</v>
      </c>
      <c r="AO351">
        <v>0</v>
      </c>
      <c r="AP351"/>
      <c r="AQ351">
        <v>0</v>
      </c>
      <c r="AR351">
        <v>0</v>
      </c>
      <c r="AS351">
        <v>240</v>
      </c>
      <c r="AT351">
        <v>-24</v>
      </c>
      <c r="AU351">
        <v>0</v>
      </c>
      <c r="AW351">
        <v>0</v>
      </c>
      <c r="AX351">
        <v>0</v>
      </c>
      <c r="AY351">
        <v>291.2</v>
      </c>
      <c r="BC351" t="str">
        <f>T("9791190622004")</f>
        <v>9791190622004</v>
      </c>
      <c r="BE351" t="str">
        <f>T("BL 웹툰 &gt; 웹툰")</f>
        <v>BL 웹툰 &gt; 웹툰</v>
      </c>
    </row>
    <row r="352" spans="1:58" x14ac:dyDescent="0.3">
      <c r="A352">
        <v>4421001340</v>
      </c>
      <c r="B352">
        <v>4421001358</v>
      </c>
      <c r="C352" t="str">
        <f>T("가출천사 육성계약 19화")</f>
        <v>가출천사 육성계약 19화</v>
      </c>
      <c r="D352" t="str">
        <f>T("19")</f>
        <v>19</v>
      </c>
      <c r="E352" t="str">
        <f>T("Bae.C, IIAKI, 박제후")</f>
        <v>Bae.C, IIAKI, 박제후</v>
      </c>
      <c r="G352" t="str">
        <f>T("Bae.C, 조우")</f>
        <v>Bae.C, 조우</v>
      </c>
      <c r="H352" t="str">
        <f t="shared" si="50"/>
        <v>스토리위즈</v>
      </c>
      <c r="I352" t="str">
        <f>T("가출천사 육성계약")</f>
        <v>가출천사 육성계약</v>
      </c>
      <c r="J352">
        <v>400</v>
      </c>
      <c r="K352">
        <v>0</v>
      </c>
      <c r="L352">
        <v>0</v>
      </c>
      <c r="M352">
        <v>0</v>
      </c>
      <c r="N352">
        <v>200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240</v>
      </c>
      <c r="AN352">
        <v>-24</v>
      </c>
      <c r="AO352">
        <v>0</v>
      </c>
      <c r="AP352"/>
      <c r="AQ352">
        <v>0</v>
      </c>
      <c r="AR352">
        <v>0</v>
      </c>
      <c r="AS352">
        <v>240</v>
      </c>
      <c r="AT352">
        <v>-24</v>
      </c>
      <c r="AU352">
        <v>0</v>
      </c>
      <c r="AW352">
        <v>0</v>
      </c>
      <c r="AX352">
        <v>0</v>
      </c>
      <c r="AY352">
        <v>151.19999999999999</v>
      </c>
      <c r="BA352" t="str">
        <f>T("0000000000000")</f>
        <v>0000000000000</v>
      </c>
      <c r="BC352" t="str">
        <f>T("9791191765663")</f>
        <v>9791191765663</v>
      </c>
      <c r="BE352" t="str">
        <f>T("웹툰 &gt; 판타지/SF")</f>
        <v>웹툰 &gt; 판타지/SF</v>
      </c>
    </row>
    <row r="353" spans="1:58" x14ac:dyDescent="0.3">
      <c r="A353">
        <v>4421001634</v>
      </c>
      <c r="B353">
        <v>4421001658</v>
      </c>
      <c r="C353" t="str">
        <f>T("그남자의 사랑방식 25화")</f>
        <v>그남자의 사랑방식 25화</v>
      </c>
      <c r="D353" t="str">
        <f>T("25")</f>
        <v>25</v>
      </c>
      <c r="E353" t="str">
        <f>T("웹티")</f>
        <v>웹티</v>
      </c>
      <c r="H353" t="str">
        <f t="shared" si="50"/>
        <v>스토리위즈</v>
      </c>
      <c r="I353" t="str">
        <f>T("그남자의 사랑방식")</f>
        <v>그남자의 사랑방식</v>
      </c>
      <c r="J353">
        <v>500</v>
      </c>
      <c r="K353">
        <v>0</v>
      </c>
      <c r="L353">
        <v>0</v>
      </c>
      <c r="M353">
        <v>0</v>
      </c>
      <c r="N353">
        <v>800</v>
      </c>
      <c r="O353">
        <v>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800</v>
      </c>
      <c r="AH353">
        <v>4</v>
      </c>
      <c r="AI353">
        <v>0</v>
      </c>
      <c r="AJ353">
        <v>0</v>
      </c>
      <c r="AK353">
        <v>0</v>
      </c>
      <c r="AL353">
        <v>0</v>
      </c>
      <c r="AM353">
        <v>960</v>
      </c>
      <c r="AN353">
        <v>-192</v>
      </c>
      <c r="AO353">
        <v>0</v>
      </c>
      <c r="AP353">
        <v>240</v>
      </c>
      <c r="AQ353">
        <v>-72</v>
      </c>
      <c r="AR353">
        <v>0</v>
      </c>
      <c r="AS353">
        <v>720</v>
      </c>
      <c r="AT353">
        <v>-120</v>
      </c>
      <c r="AU353">
        <v>0</v>
      </c>
      <c r="AW353">
        <v>0</v>
      </c>
      <c r="AX353">
        <v>0</v>
      </c>
      <c r="AY353">
        <v>537.6</v>
      </c>
      <c r="BC353" t="str">
        <f>T("9791190622004")</f>
        <v>9791190622004</v>
      </c>
      <c r="BE353" t="str">
        <f>T("BL 웹툰 &gt; 웹툰")</f>
        <v>BL 웹툰 &gt; 웹툰</v>
      </c>
    </row>
    <row r="354" spans="1:58" x14ac:dyDescent="0.3">
      <c r="A354">
        <v>4421000866</v>
      </c>
      <c r="B354">
        <v>4421001257</v>
      </c>
      <c r="C354" t="str">
        <f>T("최애에게 들켜버렸다 59화")</f>
        <v>최애에게 들켜버렸다 59화</v>
      </c>
      <c r="D354" t="str">
        <f>T("62")</f>
        <v>62</v>
      </c>
      <c r="E354" t="str">
        <f>T("Lv")</f>
        <v>Lv</v>
      </c>
      <c r="G354" t="str">
        <f>T("Lv")</f>
        <v>Lv</v>
      </c>
      <c r="H354" t="str">
        <f t="shared" si="50"/>
        <v>스토리위즈</v>
      </c>
      <c r="I354" t="str">
        <f>T("최애에게 들켜버렸다")</f>
        <v>최애에게 들켜버렸다</v>
      </c>
      <c r="J354">
        <v>400</v>
      </c>
      <c r="K354">
        <v>0</v>
      </c>
      <c r="L354">
        <v>0</v>
      </c>
      <c r="M354">
        <v>0</v>
      </c>
      <c r="N354">
        <v>200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240</v>
      </c>
      <c r="AN354">
        <v>-24</v>
      </c>
      <c r="AO354">
        <v>0</v>
      </c>
      <c r="AP354"/>
      <c r="AQ354">
        <v>0</v>
      </c>
      <c r="AR354">
        <v>0</v>
      </c>
      <c r="AS354">
        <v>240</v>
      </c>
      <c r="AT354">
        <v>-24</v>
      </c>
      <c r="AU354">
        <v>0</v>
      </c>
      <c r="AW354">
        <v>0</v>
      </c>
      <c r="AX354">
        <v>0</v>
      </c>
      <c r="AY354">
        <v>151.19999999999999</v>
      </c>
      <c r="BA354" t="str">
        <f t="shared" ref="BA354:BA362" si="52">T("0000000000000")</f>
        <v>0000000000000</v>
      </c>
      <c r="BC354" t="str">
        <f>T("9791137601253")</f>
        <v>9791137601253</v>
      </c>
      <c r="BE354" t="str">
        <f>T("웹툰 &gt; 해외 순정")</f>
        <v>웹툰 &gt; 해외 순정</v>
      </c>
      <c r="BF354" t="str">
        <f>T("웹툰 &gt; 로맨스")</f>
        <v>웹툰 &gt; 로맨스</v>
      </c>
    </row>
    <row r="355" spans="1:58" x14ac:dyDescent="0.3">
      <c r="A355">
        <v>4421003015</v>
      </c>
      <c r="B355">
        <v>4421003015</v>
      </c>
      <c r="C355" t="str">
        <f>T("일월성신 프롤로그")</f>
        <v>일월성신 프롤로그</v>
      </c>
      <c r="E355" t="str">
        <f>T("김숙지")</f>
        <v>김숙지</v>
      </c>
      <c r="G355" t="str">
        <f>T("이름표")</f>
        <v>이름표</v>
      </c>
      <c r="H355" t="str">
        <f t="shared" si="50"/>
        <v>스토리위즈</v>
      </c>
      <c r="I355" t="str">
        <f>T("일월성신")</f>
        <v>일월성신</v>
      </c>
      <c r="J355">
        <v>400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86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/>
      <c r="AQ355">
        <v>0</v>
      </c>
      <c r="AR355">
        <v>0</v>
      </c>
      <c r="AT355">
        <v>0</v>
      </c>
      <c r="AU355">
        <v>0</v>
      </c>
      <c r="AW355">
        <v>0</v>
      </c>
      <c r="AX355">
        <v>0</v>
      </c>
      <c r="AY355">
        <v>0</v>
      </c>
      <c r="BA355" t="str">
        <f t="shared" si="52"/>
        <v>0000000000000</v>
      </c>
      <c r="BC355" t="str">
        <f>T("9791137604605")</f>
        <v>9791137604605</v>
      </c>
      <c r="BE355" t="str">
        <f>T("웹툰 &gt; 드라마")</f>
        <v>웹툰 &gt; 드라마</v>
      </c>
    </row>
    <row r="356" spans="1:58" x14ac:dyDescent="0.3">
      <c r="A356">
        <v>4421001340</v>
      </c>
      <c r="B356">
        <v>4421001349</v>
      </c>
      <c r="C356" t="str">
        <f>T("가출천사 육성계약 10화")</f>
        <v>가출천사 육성계약 10화</v>
      </c>
      <c r="D356" t="str">
        <f>T("10")</f>
        <v>10</v>
      </c>
      <c r="E356" t="str">
        <f>T("Bae.C, IIAKI, 박제후")</f>
        <v>Bae.C, IIAKI, 박제후</v>
      </c>
      <c r="G356" t="str">
        <f>T("Bae.C, 조우")</f>
        <v>Bae.C, 조우</v>
      </c>
      <c r="H356" t="str">
        <f t="shared" si="50"/>
        <v>스토리위즈</v>
      </c>
      <c r="I356" t="str">
        <f>T("가출천사 육성계약")</f>
        <v>가출천사 육성계약</v>
      </c>
      <c r="J356">
        <v>400</v>
      </c>
      <c r="K356">
        <v>0</v>
      </c>
      <c r="L356">
        <v>0</v>
      </c>
      <c r="M356">
        <v>0</v>
      </c>
      <c r="N356">
        <v>200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240</v>
      </c>
      <c r="AN356">
        <v>-24</v>
      </c>
      <c r="AO356">
        <v>0</v>
      </c>
      <c r="AP356"/>
      <c r="AQ356">
        <v>0</v>
      </c>
      <c r="AR356">
        <v>0</v>
      </c>
      <c r="AS356">
        <v>240</v>
      </c>
      <c r="AT356">
        <v>-24</v>
      </c>
      <c r="AU356">
        <v>0</v>
      </c>
      <c r="AW356">
        <v>0</v>
      </c>
      <c r="AX356">
        <v>0</v>
      </c>
      <c r="AY356">
        <v>151.19999999999999</v>
      </c>
      <c r="BA356" t="str">
        <f t="shared" si="52"/>
        <v>0000000000000</v>
      </c>
      <c r="BC356" t="str">
        <f>T("9791191765663")</f>
        <v>9791191765663</v>
      </c>
      <c r="BE356" t="str">
        <f>T("웹툰 &gt; 판타지/SF")</f>
        <v>웹툰 &gt; 판타지/SF</v>
      </c>
    </row>
    <row r="357" spans="1:58" x14ac:dyDescent="0.3">
      <c r="A357">
        <v>4421000866</v>
      </c>
      <c r="B357">
        <v>4421003084</v>
      </c>
      <c r="C357" t="str">
        <f>T("최애에게 들켜버렸다 100화")</f>
        <v>최애에게 들켜버렸다 100화</v>
      </c>
      <c r="D357" t="str">
        <f>T("103")</f>
        <v>103</v>
      </c>
      <c r="E357" t="str">
        <f>T("Lv")</f>
        <v>Lv</v>
      </c>
      <c r="G357" t="str">
        <f>T("Lv")</f>
        <v>Lv</v>
      </c>
      <c r="H357" t="str">
        <f t="shared" si="50"/>
        <v>스토리위즈</v>
      </c>
      <c r="I357" t="str">
        <f>T("최애에게 들켜버렸다")</f>
        <v>최애에게 들켜버렸다</v>
      </c>
      <c r="J357">
        <v>400</v>
      </c>
      <c r="K357">
        <v>0</v>
      </c>
      <c r="L357">
        <v>0</v>
      </c>
      <c r="M357">
        <v>0</v>
      </c>
      <c r="N357">
        <v>400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400</v>
      </c>
      <c r="AH357">
        <v>2</v>
      </c>
      <c r="AI357">
        <v>0</v>
      </c>
      <c r="AJ357">
        <v>0</v>
      </c>
      <c r="AK357">
        <v>20</v>
      </c>
      <c r="AL357">
        <v>0</v>
      </c>
      <c r="AM357">
        <v>456</v>
      </c>
      <c r="AN357">
        <v>-88.8</v>
      </c>
      <c r="AO357">
        <v>0</v>
      </c>
      <c r="AP357">
        <v>216</v>
      </c>
      <c r="AQ357">
        <v>-64.8</v>
      </c>
      <c r="AR357">
        <v>0</v>
      </c>
      <c r="AS357">
        <v>240</v>
      </c>
      <c r="AT357">
        <v>-24</v>
      </c>
      <c r="AU357">
        <v>0</v>
      </c>
      <c r="AW357">
        <v>0</v>
      </c>
      <c r="AX357">
        <v>0</v>
      </c>
      <c r="AY357">
        <v>271.04000000000002</v>
      </c>
      <c r="BA357" t="str">
        <f t="shared" si="52"/>
        <v>0000000000000</v>
      </c>
      <c r="BC357" t="str">
        <f>T("9791137601253")</f>
        <v>9791137601253</v>
      </c>
      <c r="BE357" t="str">
        <f>T("웹툰 &gt; 해외 순정")</f>
        <v>웹툰 &gt; 해외 순정</v>
      </c>
      <c r="BF357" t="str">
        <f>T("웹툰 &gt; 로맨스")</f>
        <v>웹툰 &gt; 로맨스</v>
      </c>
    </row>
    <row r="358" spans="1:58" x14ac:dyDescent="0.3">
      <c r="A358">
        <v>4421002829</v>
      </c>
      <c r="B358">
        <v>4421002995</v>
      </c>
      <c r="C358" t="str">
        <f>T("테두리는 주시하지 않는다 (개정판) 18화")</f>
        <v>테두리는 주시하지 않는다 (개정판) 18화</v>
      </c>
      <c r="D358" t="str">
        <f>T("18")</f>
        <v>18</v>
      </c>
      <c r="E358" t="str">
        <f>T("토찌, 키로즈")</f>
        <v>토찌, 키로즈</v>
      </c>
      <c r="G358" t="str">
        <f>T("마린")</f>
        <v>마린</v>
      </c>
      <c r="H358" t="str">
        <f t="shared" si="50"/>
        <v>스토리위즈</v>
      </c>
      <c r="I358" t="str">
        <f>T("테두리는 주시하지 않는다 (개정판)")</f>
        <v>테두리는 주시하지 않는다 (개정판)</v>
      </c>
      <c r="J358">
        <v>500</v>
      </c>
      <c r="K358">
        <v>0</v>
      </c>
      <c r="L358">
        <v>0</v>
      </c>
      <c r="M358">
        <v>0</v>
      </c>
      <c r="N358">
        <v>6600</v>
      </c>
      <c r="O358">
        <v>22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6600</v>
      </c>
      <c r="AH358">
        <v>22</v>
      </c>
      <c r="AI358">
        <v>0</v>
      </c>
      <c r="AJ358">
        <v>0</v>
      </c>
      <c r="AK358">
        <v>3000</v>
      </c>
      <c r="AL358">
        <v>0</v>
      </c>
      <c r="AM358">
        <v>4320</v>
      </c>
      <c r="AN358">
        <v>-720</v>
      </c>
      <c r="AO358">
        <v>0</v>
      </c>
      <c r="AP358">
        <v>720</v>
      </c>
      <c r="AQ358">
        <v>-216</v>
      </c>
      <c r="AR358">
        <v>0</v>
      </c>
      <c r="AS358">
        <v>3600</v>
      </c>
      <c r="AT358">
        <v>-504</v>
      </c>
      <c r="AU358">
        <v>0</v>
      </c>
      <c r="AW358">
        <v>0</v>
      </c>
      <c r="AX358">
        <v>0</v>
      </c>
      <c r="AY358">
        <v>4620</v>
      </c>
      <c r="BA358" t="str">
        <f t="shared" si="52"/>
        <v>0000000000000</v>
      </c>
      <c r="BC358" t="str">
        <f>T("9791137604681")</f>
        <v>9791137604681</v>
      </c>
      <c r="BE358" t="str">
        <f>T("BL 웹툰 &gt; 웹툰")</f>
        <v>BL 웹툰 &gt; 웹툰</v>
      </c>
    </row>
    <row r="359" spans="1:58" x14ac:dyDescent="0.3">
      <c r="A359">
        <v>4421001325</v>
      </c>
      <c r="B359">
        <v>4421001325</v>
      </c>
      <c r="C359" t="str">
        <f>T("커피여우 김삼월 1화")</f>
        <v>커피여우 김삼월 1화</v>
      </c>
      <c r="D359" t="str">
        <f>T("1")</f>
        <v>1</v>
      </c>
      <c r="E359" t="str">
        <f>T("Nica")</f>
        <v>Nica</v>
      </c>
      <c r="G359" t="str">
        <f>T("A.Noa, RK Studio")</f>
        <v>A.Noa, RK Studio</v>
      </c>
      <c r="H359" t="str">
        <f t="shared" si="50"/>
        <v>스토리위즈</v>
      </c>
      <c r="I359" t="str">
        <f>T("커피여우 김삼월")</f>
        <v>커피여우 김삼월</v>
      </c>
      <c r="J359">
        <v>500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/>
      <c r="AQ359">
        <v>0</v>
      </c>
      <c r="AR359">
        <v>0</v>
      </c>
      <c r="AT359">
        <v>0</v>
      </c>
      <c r="AU359">
        <v>0</v>
      </c>
      <c r="AW359">
        <v>0</v>
      </c>
      <c r="AX359">
        <v>0</v>
      </c>
      <c r="AY359">
        <v>0</v>
      </c>
      <c r="BA359" t="str">
        <f t="shared" si="52"/>
        <v>0000000000000</v>
      </c>
      <c r="BC359" t="str">
        <f>T("9791191241792")</f>
        <v>9791191241792</v>
      </c>
      <c r="BE359" t="str">
        <f>T("웹툰 &gt; 로맨스")</f>
        <v>웹툰 &gt; 로맨스</v>
      </c>
    </row>
    <row r="360" spans="1:58" x14ac:dyDescent="0.3">
      <c r="A360">
        <v>4421000866</v>
      </c>
      <c r="B360">
        <v>4421003066</v>
      </c>
      <c r="C360" t="str">
        <f>T("최애에게 들켜버렸다 98화")</f>
        <v>최애에게 들켜버렸다 98화</v>
      </c>
      <c r="D360" t="str">
        <f>T("101")</f>
        <v>101</v>
      </c>
      <c r="E360" t="str">
        <f>T("Lv")</f>
        <v>Lv</v>
      </c>
      <c r="G360" t="str">
        <f>T("Lv")</f>
        <v>Lv</v>
      </c>
      <c r="H360" t="str">
        <f t="shared" si="50"/>
        <v>스토리위즈</v>
      </c>
      <c r="I360" t="str">
        <f>T("최애에게 들켜버렸다")</f>
        <v>최애에게 들켜버렸다</v>
      </c>
      <c r="J360">
        <v>400</v>
      </c>
      <c r="K360">
        <v>0</v>
      </c>
      <c r="L360">
        <v>0</v>
      </c>
      <c r="M360">
        <v>0</v>
      </c>
      <c r="N360">
        <v>400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</v>
      </c>
      <c r="AH360">
        <v>2</v>
      </c>
      <c r="AI360">
        <v>0</v>
      </c>
      <c r="AJ360">
        <v>0</v>
      </c>
      <c r="AK360">
        <v>200</v>
      </c>
      <c r="AL360">
        <v>0</v>
      </c>
      <c r="AM360">
        <v>240</v>
      </c>
      <c r="AN360">
        <v>-24</v>
      </c>
      <c r="AO360">
        <v>0</v>
      </c>
      <c r="AP360"/>
      <c r="AQ360">
        <v>0</v>
      </c>
      <c r="AR360">
        <v>0</v>
      </c>
      <c r="AS360">
        <v>240</v>
      </c>
      <c r="AT360">
        <v>-24</v>
      </c>
      <c r="AU360">
        <v>0</v>
      </c>
      <c r="AW360">
        <v>0</v>
      </c>
      <c r="AX360">
        <v>0</v>
      </c>
      <c r="AY360">
        <v>291.2</v>
      </c>
      <c r="BA360" t="str">
        <f t="shared" si="52"/>
        <v>0000000000000</v>
      </c>
      <c r="BC360" t="str">
        <f>T("9791137601253")</f>
        <v>9791137601253</v>
      </c>
      <c r="BE360" t="str">
        <f>T("웹툰 &gt; 해외 순정")</f>
        <v>웹툰 &gt; 해외 순정</v>
      </c>
      <c r="BF360" t="str">
        <f>T("웹툰 &gt; 로맨스")</f>
        <v>웹툰 &gt; 로맨스</v>
      </c>
    </row>
    <row r="361" spans="1:58" x14ac:dyDescent="0.3">
      <c r="A361">
        <v>4421001377</v>
      </c>
      <c r="B361">
        <v>4421001380</v>
      </c>
      <c r="C361" t="str">
        <f>T("요괴님은 수련중 4화")</f>
        <v>요괴님은 수련중 4화</v>
      </c>
      <c r="D361" t="str">
        <f>T("4")</f>
        <v>4</v>
      </c>
      <c r="E361" t="str">
        <f>T("화방")</f>
        <v>화방</v>
      </c>
      <c r="G361" t="str">
        <f>T("망북")</f>
        <v>망북</v>
      </c>
      <c r="H361" t="str">
        <f t="shared" si="50"/>
        <v>스토리위즈</v>
      </c>
      <c r="I361" t="str">
        <f>T("요괴님은 수련중")</f>
        <v>요괴님은 수련중</v>
      </c>
      <c r="J361">
        <v>400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/>
      <c r="AQ361">
        <v>0</v>
      </c>
      <c r="AR361">
        <v>0</v>
      </c>
      <c r="AT361">
        <v>0</v>
      </c>
      <c r="AU361">
        <v>0</v>
      </c>
      <c r="AW361">
        <v>0</v>
      </c>
      <c r="AX361">
        <v>0</v>
      </c>
      <c r="AY361">
        <v>0</v>
      </c>
      <c r="BA361" t="str">
        <f t="shared" si="52"/>
        <v>0000000000000</v>
      </c>
      <c r="BC361" t="str">
        <f>T("9791137603899")</f>
        <v>9791137603899</v>
      </c>
      <c r="BE361" t="str">
        <f>T("웹툰 &gt; 해외 순정")</f>
        <v>웹툰 &gt; 해외 순정</v>
      </c>
      <c r="BF361" t="str">
        <f>T("웹툰 &gt; 로판")</f>
        <v>웹툰 &gt; 로판</v>
      </c>
    </row>
    <row r="362" spans="1:58" x14ac:dyDescent="0.3">
      <c r="A362">
        <v>4421002022</v>
      </c>
      <c r="B362">
        <v>4421002027</v>
      </c>
      <c r="C362" t="str">
        <f>T("대표님과 연애를 시작했습니다 6화")</f>
        <v>대표님과 연애를 시작했습니다 6화</v>
      </c>
      <c r="D362" t="str">
        <f>T("6")</f>
        <v>6</v>
      </c>
      <c r="E362" t="str">
        <f>T("웹티")</f>
        <v>웹티</v>
      </c>
      <c r="H362" t="str">
        <f t="shared" si="50"/>
        <v>스토리위즈</v>
      </c>
      <c r="I362" t="str">
        <f>T("대표님과 연애를 시작했습니다")</f>
        <v>대표님과 연애를 시작했습니다</v>
      </c>
      <c r="J362">
        <v>500</v>
      </c>
      <c r="K362">
        <v>0</v>
      </c>
      <c r="L362">
        <v>0</v>
      </c>
      <c r="M362">
        <v>0</v>
      </c>
      <c r="N362">
        <v>200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200</v>
      </c>
      <c r="AH362">
        <v>1</v>
      </c>
      <c r="AI362">
        <v>0</v>
      </c>
      <c r="AJ362">
        <v>0</v>
      </c>
      <c r="AK362">
        <v>200</v>
      </c>
      <c r="AL362">
        <v>0</v>
      </c>
      <c r="AM362">
        <v>0</v>
      </c>
      <c r="AN362">
        <v>0</v>
      </c>
      <c r="AO362">
        <v>0</v>
      </c>
      <c r="AP362"/>
      <c r="AQ362">
        <v>0</v>
      </c>
      <c r="AR362">
        <v>0</v>
      </c>
      <c r="AT362">
        <v>0</v>
      </c>
      <c r="AU362">
        <v>0</v>
      </c>
      <c r="AW362">
        <v>0</v>
      </c>
      <c r="AX362">
        <v>0</v>
      </c>
      <c r="AY362">
        <v>140</v>
      </c>
      <c r="BA362" t="str">
        <f t="shared" si="52"/>
        <v>0000000000000</v>
      </c>
      <c r="BC362" t="str">
        <f>T("9791196660482")</f>
        <v>9791196660482</v>
      </c>
      <c r="BE362" t="str">
        <f>T("BL 웹툰 &gt; 웹툰")</f>
        <v>BL 웹툰 &gt; 웹툰</v>
      </c>
    </row>
    <row r="363" spans="1:58" x14ac:dyDescent="0.3">
      <c r="A363">
        <v>4421000001</v>
      </c>
      <c r="B363">
        <v>4421000013</v>
      </c>
      <c r="C363" t="str">
        <f>T("감옥실험 3화")</f>
        <v>감옥실험 3화</v>
      </c>
      <c r="D363" t="str">
        <f>T("3")</f>
        <v>3</v>
      </c>
      <c r="E363" t="str">
        <f>T("Kantetsu")</f>
        <v>Kantetsu</v>
      </c>
      <c r="G363" t="str">
        <f>T("Minase Chiho")</f>
        <v>Minase Chiho</v>
      </c>
      <c r="H363" t="str">
        <f t="shared" si="50"/>
        <v>스토리위즈</v>
      </c>
      <c r="I363" t="str">
        <f>T("감옥실험")</f>
        <v>감옥실험</v>
      </c>
      <c r="J363">
        <v>500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/>
      <c r="AQ363">
        <v>0</v>
      </c>
      <c r="AR363">
        <v>0</v>
      </c>
      <c r="AT363">
        <v>0</v>
      </c>
      <c r="AU363">
        <v>0</v>
      </c>
      <c r="AW363">
        <v>0</v>
      </c>
      <c r="AX363">
        <v>0</v>
      </c>
      <c r="AY363">
        <v>0</v>
      </c>
      <c r="BC363" t="str">
        <f>T("9791166069406")</f>
        <v>9791166069406</v>
      </c>
      <c r="BE363" t="str">
        <f>T("웹툰 &gt; 드라마")</f>
        <v>웹툰 &gt; 드라마</v>
      </c>
    </row>
    <row r="364" spans="1:58" x14ac:dyDescent="0.3">
      <c r="A364">
        <v>4421000866</v>
      </c>
      <c r="B364">
        <v>4421000961</v>
      </c>
      <c r="C364" t="str">
        <f>T("최애에게 들켜버렸다 27화")</f>
        <v>최애에게 들켜버렸다 27화</v>
      </c>
      <c r="D364" t="str">
        <f>T("28")</f>
        <v>28</v>
      </c>
      <c r="E364" t="str">
        <f>T("Lv")</f>
        <v>Lv</v>
      </c>
      <c r="G364" t="str">
        <f>T("Lv")</f>
        <v>Lv</v>
      </c>
      <c r="H364" t="str">
        <f t="shared" si="50"/>
        <v>스토리위즈</v>
      </c>
      <c r="I364" t="str">
        <f>T("최애에게 들켜버렸다")</f>
        <v>최애에게 들켜버렸다</v>
      </c>
      <c r="J364">
        <v>400</v>
      </c>
      <c r="K364">
        <v>0</v>
      </c>
      <c r="L364">
        <v>0</v>
      </c>
      <c r="M364">
        <v>0</v>
      </c>
      <c r="N364">
        <v>200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240</v>
      </c>
      <c r="AN364">
        <v>-24</v>
      </c>
      <c r="AO364">
        <v>0</v>
      </c>
      <c r="AP364"/>
      <c r="AQ364">
        <v>0</v>
      </c>
      <c r="AR364">
        <v>0</v>
      </c>
      <c r="AS364">
        <v>240</v>
      </c>
      <c r="AT364">
        <v>-24</v>
      </c>
      <c r="AU364">
        <v>0</v>
      </c>
      <c r="AW364">
        <v>0</v>
      </c>
      <c r="AX364">
        <v>0</v>
      </c>
      <c r="AY364">
        <v>151.19999999999999</v>
      </c>
      <c r="BA364" t="str">
        <f>T("0000000000000")</f>
        <v>0000000000000</v>
      </c>
      <c r="BC364" t="str">
        <f>T("9791137601253")</f>
        <v>9791137601253</v>
      </c>
      <c r="BE364" t="str">
        <f>T("웹툰 &gt; 해외 순정")</f>
        <v>웹툰 &gt; 해외 순정</v>
      </c>
      <c r="BF364" t="str">
        <f>T("웹툰 &gt; 로맨스")</f>
        <v>웹툰 &gt; 로맨스</v>
      </c>
    </row>
    <row r="365" spans="1:58" x14ac:dyDescent="0.3">
      <c r="A365">
        <v>4421000450</v>
      </c>
      <c r="B365">
        <v>4421000454</v>
      </c>
      <c r="C365" t="str">
        <f>T("내 남편의 스토커 4화")</f>
        <v>내 남편의 스토커 4화</v>
      </c>
      <c r="D365" t="str">
        <f>T("4")</f>
        <v>4</v>
      </c>
      <c r="E365" t="str">
        <f>T("혜원")</f>
        <v>혜원</v>
      </c>
      <c r="G365" t="str">
        <f>T("혜원")</f>
        <v>혜원</v>
      </c>
      <c r="H365" t="str">
        <f t="shared" si="50"/>
        <v>스토리위즈</v>
      </c>
      <c r="I365" t="str">
        <f>T("내 남편의 스토커")</f>
        <v>내 남편의 스토커</v>
      </c>
      <c r="J365">
        <v>400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/>
      <c r="AQ365">
        <v>0</v>
      </c>
      <c r="AR365">
        <v>0</v>
      </c>
      <c r="AT365">
        <v>0</v>
      </c>
      <c r="AU365">
        <v>0</v>
      </c>
      <c r="AW365">
        <v>0</v>
      </c>
      <c r="AX365">
        <v>0</v>
      </c>
      <c r="AY365">
        <v>0</v>
      </c>
      <c r="BA365" t="str">
        <f>T("0000000000000")</f>
        <v>0000000000000</v>
      </c>
      <c r="BC365" t="str">
        <f>T("9791166068034")</f>
        <v>9791166068034</v>
      </c>
      <c r="BE365" t="str">
        <f>T("웹툰 &gt; 로맨스")</f>
        <v>웹툰 &gt; 로맨스</v>
      </c>
    </row>
    <row r="366" spans="1:58" x14ac:dyDescent="0.3">
      <c r="A366">
        <v>4421002306</v>
      </c>
      <c r="B366">
        <v>4421002328</v>
      </c>
      <c r="C366" t="str">
        <f>T("지금은 여장중! 4화")</f>
        <v>지금은 여장중! 4화</v>
      </c>
      <c r="D366" t="str">
        <f>T("4")</f>
        <v>4</v>
      </c>
      <c r="E366" t="str">
        <f>T("웹티")</f>
        <v>웹티</v>
      </c>
      <c r="H366" t="str">
        <f t="shared" si="50"/>
        <v>스토리위즈</v>
      </c>
      <c r="I366" t="str">
        <f>T("지금은 여장중!")</f>
        <v>지금은 여장중!</v>
      </c>
      <c r="J366">
        <v>500</v>
      </c>
      <c r="K366">
        <v>0</v>
      </c>
      <c r="L366">
        <v>0</v>
      </c>
      <c r="M366">
        <v>0</v>
      </c>
      <c r="N366">
        <v>200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1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/>
      <c r="AQ366">
        <v>0</v>
      </c>
      <c r="AR366">
        <v>0</v>
      </c>
      <c r="AT366">
        <v>0</v>
      </c>
      <c r="AU366">
        <v>0</v>
      </c>
      <c r="AW366">
        <v>0</v>
      </c>
      <c r="AX366">
        <v>0</v>
      </c>
      <c r="AY366">
        <v>140</v>
      </c>
      <c r="BA366" t="str">
        <f>T("0000000000000")</f>
        <v>0000000000000</v>
      </c>
      <c r="BC366" t="str">
        <f>T("9791196608354")</f>
        <v>9791196608354</v>
      </c>
      <c r="BE366" t="str">
        <f>T("웹툰 &gt; 로맨스")</f>
        <v>웹툰 &gt; 로맨스</v>
      </c>
    </row>
    <row r="367" spans="1:58" x14ac:dyDescent="0.3">
      <c r="A367">
        <v>4421000570</v>
      </c>
      <c r="B367">
        <v>4421000573</v>
      </c>
      <c r="C367" t="str">
        <f>T("폐하, 옥체 보존하세요! 4화")</f>
        <v>폐하, 옥체 보존하세요! 4화</v>
      </c>
      <c r="D367" t="str">
        <f>T("4")</f>
        <v>4</v>
      </c>
      <c r="E367" t="str">
        <f>T("Lvyeqianhe")</f>
        <v>Lvyeqianhe</v>
      </c>
      <c r="G367" t="str">
        <f>T("Youzhijiaozi")</f>
        <v>Youzhijiaozi</v>
      </c>
      <c r="H367" t="str">
        <f t="shared" si="50"/>
        <v>스토리위즈</v>
      </c>
      <c r="I367" t="str">
        <f>T("폐하, 옥체 보존하세요!")</f>
        <v>폐하, 옥체 보존하세요!</v>
      </c>
      <c r="J367">
        <v>200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/>
      <c r="AQ367">
        <v>0</v>
      </c>
      <c r="AR367">
        <v>0</v>
      </c>
      <c r="AT367">
        <v>0</v>
      </c>
      <c r="AU367">
        <v>0</v>
      </c>
      <c r="AW367">
        <v>0</v>
      </c>
      <c r="AX367">
        <v>0</v>
      </c>
      <c r="AY367">
        <v>0</v>
      </c>
      <c r="BA367" t="str">
        <f>T("0000000000000")</f>
        <v>0000000000000</v>
      </c>
      <c r="BC367" t="str">
        <f>T("9791166068003")</f>
        <v>9791166068003</v>
      </c>
      <c r="BE367" t="str">
        <f>T("웹툰 &gt; 해외 순정")</f>
        <v>웹툰 &gt; 해외 순정</v>
      </c>
      <c r="BF367" t="str">
        <f>T("웹툰 &gt; 로맨스")</f>
        <v>웹툰 &gt; 로맨스</v>
      </c>
    </row>
    <row r="368" spans="1:58" x14ac:dyDescent="0.3">
      <c r="A368">
        <v>4421000001</v>
      </c>
      <c r="B368">
        <v>4421000055</v>
      </c>
      <c r="C368" t="str">
        <f>T("감옥실험 35화")</f>
        <v>감옥실험 35화</v>
      </c>
      <c r="D368" t="str">
        <f>T("35")</f>
        <v>35</v>
      </c>
      <c r="E368" t="str">
        <f>T("Kantetsu")</f>
        <v>Kantetsu</v>
      </c>
      <c r="G368" t="str">
        <f>T("Minase Chiho")</f>
        <v>Minase Chiho</v>
      </c>
      <c r="H368" t="str">
        <f t="shared" si="50"/>
        <v>스토리위즈</v>
      </c>
      <c r="I368" t="str">
        <f>T("감옥실험")</f>
        <v>감옥실험</v>
      </c>
      <c r="J368">
        <v>500</v>
      </c>
      <c r="K368">
        <v>0</v>
      </c>
      <c r="L368">
        <v>0</v>
      </c>
      <c r="M368">
        <v>0</v>
      </c>
      <c r="N368">
        <v>600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2</v>
      </c>
      <c r="AI368">
        <v>0</v>
      </c>
      <c r="AJ368">
        <v>0</v>
      </c>
      <c r="AK368">
        <v>600</v>
      </c>
      <c r="AL368">
        <v>0</v>
      </c>
      <c r="AM368">
        <v>0</v>
      </c>
      <c r="AN368">
        <v>0</v>
      </c>
      <c r="AO368">
        <v>0</v>
      </c>
      <c r="AP368"/>
      <c r="AQ368">
        <v>0</v>
      </c>
      <c r="AR368">
        <v>0</v>
      </c>
      <c r="AT368">
        <v>0</v>
      </c>
      <c r="AU368">
        <v>0</v>
      </c>
      <c r="AW368">
        <v>0</v>
      </c>
      <c r="AX368">
        <v>0</v>
      </c>
      <c r="AY368">
        <v>420</v>
      </c>
      <c r="BC368" t="str">
        <f>T("9791166069406")</f>
        <v>9791166069406</v>
      </c>
      <c r="BE368" t="str">
        <f>T("웹툰 &gt; 드라마")</f>
        <v>웹툰 &gt; 드라마</v>
      </c>
    </row>
    <row r="369" spans="1:58" x14ac:dyDescent="0.3">
      <c r="A369">
        <v>4421000450</v>
      </c>
      <c r="B369">
        <v>4421000494</v>
      </c>
      <c r="C369" t="str">
        <f>T("내 남편의 스토커 44화")</f>
        <v>내 남편의 스토커 44화</v>
      </c>
      <c r="D369" t="str">
        <f>T("44")</f>
        <v>44</v>
      </c>
      <c r="E369" t="str">
        <f>T("혜원")</f>
        <v>혜원</v>
      </c>
      <c r="G369" t="str">
        <f>T("혜원")</f>
        <v>혜원</v>
      </c>
      <c r="H369" t="str">
        <f t="shared" si="50"/>
        <v>스토리위즈</v>
      </c>
      <c r="I369" t="str">
        <f>T("내 남편의 스토커")</f>
        <v>내 남편의 스토커</v>
      </c>
      <c r="J369">
        <v>400</v>
      </c>
      <c r="K369">
        <v>0</v>
      </c>
      <c r="L369">
        <v>0</v>
      </c>
      <c r="M369">
        <v>0</v>
      </c>
      <c r="N369">
        <v>200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240</v>
      </c>
      <c r="AN369">
        <v>-24</v>
      </c>
      <c r="AO369">
        <v>0</v>
      </c>
      <c r="AP369"/>
      <c r="AQ369">
        <v>0</v>
      </c>
      <c r="AR369">
        <v>0</v>
      </c>
      <c r="AS369">
        <v>240</v>
      </c>
      <c r="AT369">
        <v>-24</v>
      </c>
      <c r="AU369">
        <v>0</v>
      </c>
      <c r="AW369">
        <v>0</v>
      </c>
      <c r="AX369">
        <v>0</v>
      </c>
      <c r="AY369">
        <v>151.19999999999999</v>
      </c>
      <c r="BA369" t="str">
        <f>T("0000000000000")</f>
        <v>0000000000000</v>
      </c>
      <c r="BC369" t="str">
        <f>T("9791166068034")</f>
        <v>9791166068034</v>
      </c>
      <c r="BE369" t="str">
        <f>T("웹툰 &gt; 로맨스")</f>
        <v>웹툰 &gt; 로맨스</v>
      </c>
    </row>
    <row r="370" spans="1:58" x14ac:dyDescent="0.3">
      <c r="A370">
        <v>4421000866</v>
      </c>
      <c r="B370">
        <v>4421001180</v>
      </c>
      <c r="C370" t="str">
        <f>T("최애에게 들켜버렸다 번외편 3화")</f>
        <v>최애에게 들켜버렸다 번외편 3화</v>
      </c>
      <c r="D370" t="str">
        <f>T("47")</f>
        <v>47</v>
      </c>
      <c r="E370" t="str">
        <f>T("Lv")</f>
        <v>Lv</v>
      </c>
      <c r="G370" t="str">
        <f>T("Lv")</f>
        <v>Lv</v>
      </c>
      <c r="H370" t="str">
        <f t="shared" si="50"/>
        <v>스토리위즈</v>
      </c>
      <c r="I370" t="str">
        <f>T("최애에게 들켜버렸다")</f>
        <v>최애에게 들켜버렸다</v>
      </c>
      <c r="J370">
        <v>400</v>
      </c>
      <c r="K370">
        <v>0</v>
      </c>
      <c r="L370">
        <v>0</v>
      </c>
      <c r="M370">
        <v>0</v>
      </c>
      <c r="N370">
        <v>200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240</v>
      </c>
      <c r="AN370">
        <v>-24</v>
      </c>
      <c r="AO370">
        <v>0</v>
      </c>
      <c r="AP370"/>
      <c r="AQ370">
        <v>0</v>
      </c>
      <c r="AR370">
        <v>0</v>
      </c>
      <c r="AS370">
        <v>240</v>
      </c>
      <c r="AT370">
        <v>-24</v>
      </c>
      <c r="AU370">
        <v>0</v>
      </c>
      <c r="AW370">
        <v>0</v>
      </c>
      <c r="AX370">
        <v>0</v>
      </c>
      <c r="AY370">
        <v>151.19999999999999</v>
      </c>
      <c r="BA370" t="str">
        <f>T("0000000000000")</f>
        <v>0000000000000</v>
      </c>
      <c r="BC370" t="str">
        <f>T("9791137601253")</f>
        <v>9791137601253</v>
      </c>
      <c r="BE370" t="str">
        <f>T("웹툰 &gt; 해외 순정")</f>
        <v>웹툰 &gt; 해외 순정</v>
      </c>
      <c r="BF370" t="str">
        <f>T("웹툰 &gt; 로맨스")</f>
        <v>웹툰 &gt; 로맨스</v>
      </c>
    </row>
    <row r="371" spans="1:58" x14ac:dyDescent="0.3">
      <c r="A371">
        <v>4421000866</v>
      </c>
      <c r="B371">
        <v>4421000912</v>
      </c>
      <c r="C371" t="str">
        <f>T("최애에게 들켜버렸다 21화")</f>
        <v>최애에게 들켜버렸다 21화</v>
      </c>
      <c r="D371" t="str">
        <f>T("22")</f>
        <v>22</v>
      </c>
      <c r="E371" t="str">
        <f>T("Lv")</f>
        <v>Lv</v>
      </c>
      <c r="G371" t="str">
        <f>T("Lv")</f>
        <v>Lv</v>
      </c>
      <c r="H371" t="str">
        <f t="shared" si="50"/>
        <v>스토리위즈</v>
      </c>
      <c r="I371" t="str">
        <f>T("최애에게 들켜버렸다")</f>
        <v>최애에게 들켜버렸다</v>
      </c>
      <c r="J371">
        <v>400</v>
      </c>
      <c r="K371">
        <v>0</v>
      </c>
      <c r="L371">
        <v>0</v>
      </c>
      <c r="M371">
        <v>0</v>
      </c>
      <c r="N371">
        <v>200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240</v>
      </c>
      <c r="AN371">
        <v>-24</v>
      </c>
      <c r="AO371">
        <v>0</v>
      </c>
      <c r="AP371"/>
      <c r="AQ371">
        <v>0</v>
      </c>
      <c r="AR371">
        <v>0</v>
      </c>
      <c r="AS371">
        <v>240</v>
      </c>
      <c r="AT371">
        <v>-24</v>
      </c>
      <c r="AU371">
        <v>0</v>
      </c>
      <c r="AW371">
        <v>0</v>
      </c>
      <c r="AX371">
        <v>0</v>
      </c>
      <c r="AY371">
        <v>151.19999999999999</v>
      </c>
      <c r="BA371" t="str">
        <f>T("0000000000000")</f>
        <v>0000000000000</v>
      </c>
      <c r="BC371" t="str">
        <f>T("9791137601253")</f>
        <v>9791137601253</v>
      </c>
      <c r="BE371" t="str">
        <f>T("웹툰 &gt; 해외 순정")</f>
        <v>웹툰 &gt; 해외 순정</v>
      </c>
      <c r="BF371" t="str">
        <f>T("웹툰 &gt; 로맨스")</f>
        <v>웹툰 &gt; 로맨스</v>
      </c>
    </row>
    <row r="372" spans="1:58" x14ac:dyDescent="0.3">
      <c r="A372">
        <v>4421000866</v>
      </c>
      <c r="B372">
        <v>4421001293</v>
      </c>
      <c r="C372" t="str">
        <f>T("최애에게 들켜버렸다 67화")</f>
        <v>최애에게 들켜버렸다 67화</v>
      </c>
      <c r="D372" t="str">
        <f>T("70")</f>
        <v>70</v>
      </c>
      <c r="E372" t="str">
        <f>T("Lv")</f>
        <v>Lv</v>
      </c>
      <c r="G372" t="str">
        <f>T("Lv")</f>
        <v>Lv</v>
      </c>
      <c r="H372" t="str">
        <f t="shared" si="50"/>
        <v>스토리위즈</v>
      </c>
      <c r="I372" t="str">
        <f>T("최애에게 들켜버렸다")</f>
        <v>최애에게 들켜버렸다</v>
      </c>
      <c r="J372">
        <v>400</v>
      </c>
      <c r="K372">
        <v>0</v>
      </c>
      <c r="L372">
        <v>0</v>
      </c>
      <c r="M372">
        <v>0</v>
      </c>
      <c r="N372">
        <v>200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240</v>
      </c>
      <c r="AN372">
        <v>-24</v>
      </c>
      <c r="AO372">
        <v>0</v>
      </c>
      <c r="AP372"/>
      <c r="AQ372">
        <v>0</v>
      </c>
      <c r="AR372">
        <v>0</v>
      </c>
      <c r="AS372">
        <v>240</v>
      </c>
      <c r="AT372">
        <v>-24</v>
      </c>
      <c r="AU372">
        <v>0</v>
      </c>
      <c r="AW372">
        <v>0</v>
      </c>
      <c r="AX372">
        <v>0</v>
      </c>
      <c r="AY372">
        <v>151.19999999999999</v>
      </c>
      <c r="BA372" t="str">
        <f>T("0000000000000")</f>
        <v>0000000000000</v>
      </c>
      <c r="BC372" t="str">
        <f>T("9791137601253")</f>
        <v>9791137601253</v>
      </c>
      <c r="BE372" t="str">
        <f>T("웹툰 &gt; 해외 순정")</f>
        <v>웹툰 &gt; 해외 순정</v>
      </c>
      <c r="BF372" t="str">
        <f>T("웹툰 &gt; 로맨스")</f>
        <v>웹툰 &gt; 로맨스</v>
      </c>
    </row>
    <row r="373" spans="1:58" x14ac:dyDescent="0.3">
      <c r="A373">
        <v>4421001634</v>
      </c>
      <c r="B373">
        <v>4421002528</v>
      </c>
      <c r="C373" t="str">
        <f>T("그남자의 사랑방식 79화")</f>
        <v>그남자의 사랑방식 79화</v>
      </c>
      <c r="D373" t="str">
        <f>T("79")</f>
        <v>79</v>
      </c>
      <c r="E373" t="str">
        <f>T("웹티")</f>
        <v>웹티</v>
      </c>
      <c r="H373" t="str">
        <f t="shared" si="50"/>
        <v>스토리위즈</v>
      </c>
      <c r="I373" t="str">
        <f>T("그남자의 사랑방식")</f>
        <v>그남자의 사랑방식</v>
      </c>
      <c r="J373">
        <v>500</v>
      </c>
      <c r="K373">
        <v>0</v>
      </c>
      <c r="L373">
        <v>0</v>
      </c>
      <c r="M373">
        <v>0</v>
      </c>
      <c r="N373">
        <v>200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240</v>
      </c>
      <c r="AN373">
        <v>-24</v>
      </c>
      <c r="AO373">
        <v>0</v>
      </c>
      <c r="AP373"/>
      <c r="AQ373">
        <v>0</v>
      </c>
      <c r="AR373">
        <v>0</v>
      </c>
      <c r="AS373">
        <v>240</v>
      </c>
      <c r="AT373">
        <v>-24</v>
      </c>
      <c r="AU373">
        <v>0</v>
      </c>
      <c r="AW373">
        <v>0</v>
      </c>
      <c r="AX373">
        <v>0</v>
      </c>
      <c r="AY373">
        <v>151.19999999999999</v>
      </c>
      <c r="BC373" t="str">
        <f>T("9791190622004")</f>
        <v>9791190622004</v>
      </c>
      <c r="BE373" t="str">
        <f>T("BL 웹툰 &gt; 웹툰")</f>
        <v>BL 웹툰 &gt; 웹툰</v>
      </c>
    </row>
    <row r="374" spans="1:58" x14ac:dyDescent="0.3">
      <c r="A374">
        <v>4421001634</v>
      </c>
      <c r="B374">
        <v>4421001647</v>
      </c>
      <c r="C374" t="str">
        <f>T("그남자의 사랑방식 14화")</f>
        <v>그남자의 사랑방식 14화</v>
      </c>
      <c r="D374" t="str">
        <f>T("14")</f>
        <v>14</v>
      </c>
      <c r="E374" t="str">
        <f>T("웹티")</f>
        <v>웹티</v>
      </c>
      <c r="H374" t="str">
        <f t="shared" si="50"/>
        <v>스토리위즈</v>
      </c>
      <c r="I374" t="str">
        <f>T("그남자의 사랑방식")</f>
        <v>그남자의 사랑방식</v>
      </c>
      <c r="J374">
        <v>500</v>
      </c>
      <c r="K374">
        <v>0</v>
      </c>
      <c r="L374">
        <v>0</v>
      </c>
      <c r="M374">
        <v>0</v>
      </c>
      <c r="N374">
        <v>1000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1000</v>
      </c>
      <c r="AH374">
        <v>5</v>
      </c>
      <c r="AI374">
        <v>0</v>
      </c>
      <c r="AJ374">
        <v>0</v>
      </c>
      <c r="AK374">
        <v>400</v>
      </c>
      <c r="AL374">
        <v>0</v>
      </c>
      <c r="AM374">
        <v>720</v>
      </c>
      <c r="AN374">
        <v>-72</v>
      </c>
      <c r="AO374">
        <v>0</v>
      </c>
      <c r="AP374"/>
      <c r="AQ374">
        <v>0</v>
      </c>
      <c r="AR374">
        <v>0</v>
      </c>
      <c r="AS374">
        <v>720</v>
      </c>
      <c r="AT374">
        <v>-72</v>
      </c>
      <c r="AU374">
        <v>0</v>
      </c>
      <c r="AW374">
        <v>0</v>
      </c>
      <c r="AX374">
        <v>0</v>
      </c>
      <c r="AY374">
        <v>733.6</v>
      </c>
      <c r="BC374" t="str">
        <f>T("9791190622004")</f>
        <v>9791190622004</v>
      </c>
      <c r="BE374" t="str">
        <f>T("BL 웹툰 &gt; 웹툰")</f>
        <v>BL 웹툰 &gt; 웹툰</v>
      </c>
    </row>
    <row r="375" spans="1:58" x14ac:dyDescent="0.3">
      <c r="A375">
        <v>4421000866</v>
      </c>
      <c r="B375">
        <v>4421002958</v>
      </c>
      <c r="C375" t="str">
        <f>T("최애에게 들켜버렸다 90화")</f>
        <v>최애에게 들켜버렸다 90화</v>
      </c>
      <c r="D375" t="str">
        <f>T("93")</f>
        <v>93</v>
      </c>
      <c r="E375" t="str">
        <f>T("Lv")</f>
        <v>Lv</v>
      </c>
      <c r="G375" t="str">
        <f>T("Lv")</f>
        <v>Lv</v>
      </c>
      <c r="H375" t="str">
        <f t="shared" si="50"/>
        <v>스토리위즈</v>
      </c>
      <c r="I375" t="str">
        <f>T("최애에게 들켜버렸다")</f>
        <v>최애에게 들켜버렸다</v>
      </c>
      <c r="J375">
        <v>400</v>
      </c>
      <c r="K375">
        <v>0</v>
      </c>
      <c r="L375">
        <v>0</v>
      </c>
      <c r="M375">
        <v>0</v>
      </c>
      <c r="N375">
        <v>400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</v>
      </c>
      <c r="AH375">
        <v>2</v>
      </c>
      <c r="AI375">
        <v>0</v>
      </c>
      <c r="AJ375">
        <v>0</v>
      </c>
      <c r="AK375">
        <v>200</v>
      </c>
      <c r="AL375">
        <v>0</v>
      </c>
      <c r="AM375">
        <v>240</v>
      </c>
      <c r="AN375">
        <v>-24</v>
      </c>
      <c r="AO375">
        <v>0</v>
      </c>
      <c r="AP375"/>
      <c r="AQ375">
        <v>0</v>
      </c>
      <c r="AR375">
        <v>0</v>
      </c>
      <c r="AS375">
        <v>240</v>
      </c>
      <c r="AT375">
        <v>-24</v>
      </c>
      <c r="AU375">
        <v>0</v>
      </c>
      <c r="AW375">
        <v>0</v>
      </c>
      <c r="AX375">
        <v>0</v>
      </c>
      <c r="AY375">
        <v>291.2</v>
      </c>
      <c r="BA375" t="str">
        <f>T("0000000000000")</f>
        <v>0000000000000</v>
      </c>
      <c r="BC375" t="str">
        <f>T("9791137601253")</f>
        <v>9791137601253</v>
      </c>
      <c r="BE375" t="str">
        <f>T("웹툰 &gt; 해외 순정")</f>
        <v>웹툰 &gt; 해외 순정</v>
      </c>
      <c r="BF375" t="str">
        <f>T("웹툰 &gt; 로맨스")</f>
        <v>웹툰 &gt; 로맨스</v>
      </c>
    </row>
    <row r="376" spans="1:58" x14ac:dyDescent="0.3">
      <c r="A376">
        <v>4421000866</v>
      </c>
      <c r="B376">
        <v>4421000885</v>
      </c>
      <c r="C376" t="str">
        <f>T("최애에게 들켜버렸다 19화")</f>
        <v>최애에게 들켜버렸다 19화</v>
      </c>
      <c r="D376" t="str">
        <f>T("19")</f>
        <v>19</v>
      </c>
      <c r="E376" t="str">
        <f>T("Lv")</f>
        <v>Lv</v>
      </c>
      <c r="G376" t="str">
        <f>T("Lv")</f>
        <v>Lv</v>
      </c>
      <c r="H376" t="str">
        <f t="shared" si="50"/>
        <v>스토리위즈</v>
      </c>
      <c r="I376" t="str">
        <f>T("최애에게 들켜버렸다")</f>
        <v>최애에게 들켜버렸다</v>
      </c>
      <c r="J376">
        <v>400</v>
      </c>
      <c r="K376">
        <v>0</v>
      </c>
      <c r="L376">
        <v>0</v>
      </c>
      <c r="M376">
        <v>0</v>
      </c>
      <c r="N376">
        <v>200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1</v>
      </c>
      <c r="AI376">
        <v>0</v>
      </c>
      <c r="AJ376">
        <v>0</v>
      </c>
      <c r="AK376">
        <v>140</v>
      </c>
      <c r="AL376">
        <v>0</v>
      </c>
      <c r="AM376">
        <v>72</v>
      </c>
      <c r="AN376">
        <v>-7.2</v>
      </c>
      <c r="AO376">
        <v>0</v>
      </c>
      <c r="AP376"/>
      <c r="AQ376">
        <v>0</v>
      </c>
      <c r="AR376">
        <v>0</v>
      </c>
      <c r="AS376">
        <v>72</v>
      </c>
      <c r="AT376">
        <v>-7.2</v>
      </c>
      <c r="AU376">
        <v>0</v>
      </c>
      <c r="AW376">
        <v>0</v>
      </c>
      <c r="AX376">
        <v>0</v>
      </c>
      <c r="AY376">
        <v>143.36000000000001</v>
      </c>
      <c r="BA376" t="str">
        <f>T("0000000000000")</f>
        <v>0000000000000</v>
      </c>
      <c r="BC376" t="str">
        <f>T("9791137601253")</f>
        <v>9791137601253</v>
      </c>
      <c r="BE376" t="str">
        <f>T("웹툰 &gt; 해외 순정")</f>
        <v>웹툰 &gt; 해외 순정</v>
      </c>
      <c r="BF376" t="str">
        <f>T("웹툰 &gt; 로맨스")</f>
        <v>웹툰 &gt; 로맨스</v>
      </c>
    </row>
    <row r="377" spans="1:58" x14ac:dyDescent="0.3">
      <c r="A377">
        <v>4421000198</v>
      </c>
      <c r="B377">
        <v>4421000202</v>
      </c>
      <c r="C377" t="str">
        <f>T("공주전쟁 5화")</f>
        <v>공주전쟁 5화</v>
      </c>
      <c r="D377" t="str">
        <f>T("5")</f>
        <v>5</v>
      </c>
      <c r="E377" t="str">
        <f>T("Hujing")</f>
        <v>Hujing</v>
      </c>
      <c r="G377" t="str">
        <f>T("Luojie")</f>
        <v>Luojie</v>
      </c>
      <c r="H377" t="str">
        <f t="shared" si="50"/>
        <v>스토리위즈</v>
      </c>
      <c r="I377" t="str">
        <f>T("공주전쟁")</f>
        <v>공주전쟁</v>
      </c>
      <c r="J377">
        <v>400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/>
      <c r="AQ377">
        <v>0</v>
      </c>
      <c r="AR377">
        <v>0</v>
      </c>
      <c r="AT377">
        <v>0</v>
      </c>
      <c r="AU377">
        <v>0</v>
      </c>
      <c r="AW377">
        <v>0</v>
      </c>
      <c r="AX377">
        <v>0</v>
      </c>
      <c r="AY377">
        <v>0</v>
      </c>
      <c r="BA377" t="str">
        <f>T("0000000000000")</f>
        <v>0000000000000</v>
      </c>
      <c r="BC377" t="str">
        <f>T("9791166069666")</f>
        <v>9791166069666</v>
      </c>
      <c r="BE377" t="str">
        <f>T("웹툰 &gt; 해외 순정")</f>
        <v>웹툰 &gt; 해외 순정</v>
      </c>
      <c r="BF377" t="str">
        <f>T("웹툰 &gt; 로판")</f>
        <v>웹툰 &gt; 로판</v>
      </c>
    </row>
    <row r="378" spans="1:58" x14ac:dyDescent="0.3">
      <c r="A378">
        <v>4421001634</v>
      </c>
      <c r="B378">
        <v>4421002517</v>
      </c>
      <c r="C378" t="str">
        <f>T("그남자의 사랑방식 68화")</f>
        <v>그남자의 사랑방식 68화</v>
      </c>
      <c r="D378" t="str">
        <f>T("68")</f>
        <v>68</v>
      </c>
      <c r="E378" t="str">
        <f>T("웹티")</f>
        <v>웹티</v>
      </c>
      <c r="H378" t="str">
        <f t="shared" si="50"/>
        <v>스토리위즈</v>
      </c>
      <c r="I378" t="str">
        <f>T("그남자의 사랑방식")</f>
        <v>그남자의 사랑방식</v>
      </c>
      <c r="J378">
        <v>500</v>
      </c>
      <c r="K378">
        <v>0</v>
      </c>
      <c r="L378">
        <v>0</v>
      </c>
      <c r="M378">
        <v>0</v>
      </c>
      <c r="N378">
        <v>200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240</v>
      </c>
      <c r="AN378">
        <v>-24</v>
      </c>
      <c r="AO378">
        <v>0</v>
      </c>
      <c r="AP378"/>
      <c r="AQ378">
        <v>0</v>
      </c>
      <c r="AR378">
        <v>0</v>
      </c>
      <c r="AS378">
        <v>240</v>
      </c>
      <c r="AT378">
        <v>-24</v>
      </c>
      <c r="AU378">
        <v>0</v>
      </c>
      <c r="AW378">
        <v>0</v>
      </c>
      <c r="AX378">
        <v>0</v>
      </c>
      <c r="AY378">
        <v>151.19999999999999</v>
      </c>
      <c r="BC378" t="str">
        <f>T("9791190622004")</f>
        <v>9791190622004</v>
      </c>
      <c r="BE378" t="str">
        <f>T("BL 웹툰 &gt; 웹툰")</f>
        <v>BL 웹툰 &gt; 웹툰</v>
      </c>
    </row>
    <row r="379" spans="1:58" x14ac:dyDescent="0.3">
      <c r="A379">
        <v>4421001634</v>
      </c>
      <c r="B379">
        <v>4421001636</v>
      </c>
      <c r="C379" t="str">
        <f>T("그남자의 사랑방식 3화")</f>
        <v>그남자의 사랑방식 3화</v>
      </c>
      <c r="D379" t="str">
        <f>T("3")</f>
        <v>3</v>
      </c>
      <c r="E379" t="str">
        <f>T("웹티")</f>
        <v>웹티</v>
      </c>
      <c r="H379" t="str">
        <f t="shared" si="50"/>
        <v>스토리위즈</v>
      </c>
      <c r="I379" t="str">
        <f>T("그남자의 사랑방식")</f>
        <v>그남자의 사랑방식</v>
      </c>
      <c r="J379">
        <v>0</v>
      </c>
      <c r="K379">
        <v>0</v>
      </c>
      <c r="L379">
        <v>0</v>
      </c>
      <c r="M379">
        <v>441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441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/>
      <c r="AQ379">
        <v>0</v>
      </c>
      <c r="AR379">
        <v>0</v>
      </c>
      <c r="AT379">
        <v>0</v>
      </c>
      <c r="AU379">
        <v>0</v>
      </c>
      <c r="AW379">
        <v>0</v>
      </c>
      <c r="AX379">
        <v>0</v>
      </c>
      <c r="AY379">
        <v>0</v>
      </c>
      <c r="BC379" t="str">
        <f>T("9791190622004")</f>
        <v>9791190622004</v>
      </c>
      <c r="BE379" t="str">
        <f>T("BL 웹툰 &gt; 웹툰")</f>
        <v>BL 웹툰 &gt; 웹툰</v>
      </c>
    </row>
    <row r="380" spans="1:58" x14ac:dyDescent="0.3">
      <c r="A380">
        <v>4421000887</v>
      </c>
      <c r="B380">
        <v>4421001214</v>
      </c>
      <c r="C380" t="str">
        <f>T("폭군의 눈물 41화")</f>
        <v>폭군의 눈물 41화</v>
      </c>
      <c r="D380" t="str">
        <f>T("41")</f>
        <v>41</v>
      </c>
      <c r="E380" t="str">
        <f>T("Ice×FANFAN COMIC")</f>
        <v>Ice×FANFAN COMIC</v>
      </c>
      <c r="G380" t="str">
        <f>T("Ice×FANFAN COMIC")</f>
        <v>Ice×FANFAN COMIC</v>
      </c>
      <c r="H380" t="str">
        <f t="shared" si="50"/>
        <v>스토리위즈</v>
      </c>
      <c r="I380" t="str">
        <f>T("폭군의 눈물")</f>
        <v>폭군의 눈물</v>
      </c>
      <c r="J380">
        <v>400</v>
      </c>
      <c r="K380">
        <v>0</v>
      </c>
      <c r="L380">
        <v>0</v>
      </c>
      <c r="M380">
        <v>0</v>
      </c>
      <c r="N380">
        <v>200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200</v>
      </c>
      <c r="AH380">
        <v>1</v>
      </c>
      <c r="AI380">
        <v>0</v>
      </c>
      <c r="AJ380">
        <v>0</v>
      </c>
      <c r="AK380">
        <v>200</v>
      </c>
      <c r="AL380">
        <v>0</v>
      </c>
      <c r="AM380">
        <v>0</v>
      </c>
      <c r="AN380">
        <v>0</v>
      </c>
      <c r="AO380">
        <v>0</v>
      </c>
      <c r="AP380"/>
      <c r="AQ380">
        <v>0</v>
      </c>
      <c r="AR380">
        <v>0</v>
      </c>
      <c r="AT380">
        <v>0</v>
      </c>
      <c r="AU380">
        <v>0</v>
      </c>
      <c r="AW380">
        <v>0</v>
      </c>
      <c r="AX380">
        <v>0</v>
      </c>
      <c r="AY380">
        <v>140</v>
      </c>
      <c r="BA380" t="str">
        <f>T("0000000000000")</f>
        <v>0000000000000</v>
      </c>
      <c r="BC380" t="str">
        <f>T("9791137601291")</f>
        <v>9791137601291</v>
      </c>
      <c r="BE380" t="str">
        <f>T("웹툰 &gt; 해외 순정")</f>
        <v>웹툰 &gt; 해외 순정</v>
      </c>
      <c r="BF380" t="str">
        <f>T("웹툰 &gt; 로판")</f>
        <v>웹툰 &gt; 로판</v>
      </c>
    </row>
    <row r="381" spans="1:58" x14ac:dyDescent="0.3">
      <c r="A381">
        <v>4421002829</v>
      </c>
      <c r="B381">
        <v>4421002977</v>
      </c>
      <c r="C381" t="str">
        <f>T("테두리는 주시하지 않는다 (개정판) 15화")</f>
        <v>테두리는 주시하지 않는다 (개정판) 15화</v>
      </c>
      <c r="D381" t="str">
        <f>T("15")</f>
        <v>15</v>
      </c>
      <c r="E381" t="str">
        <f>T("토찌, 키로즈")</f>
        <v>토찌, 키로즈</v>
      </c>
      <c r="G381" t="str">
        <f>T("마린")</f>
        <v>마린</v>
      </c>
      <c r="H381" t="str">
        <f t="shared" si="50"/>
        <v>스토리위즈</v>
      </c>
      <c r="I381" t="str">
        <f>T("테두리는 주시하지 않는다 (개정판)")</f>
        <v>테두리는 주시하지 않는다 (개정판)</v>
      </c>
      <c r="J381">
        <v>500</v>
      </c>
      <c r="K381">
        <v>0</v>
      </c>
      <c r="L381">
        <v>0</v>
      </c>
      <c r="M381">
        <v>0</v>
      </c>
      <c r="N381">
        <v>4500</v>
      </c>
      <c r="O381">
        <v>15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4500</v>
      </c>
      <c r="AH381">
        <v>15</v>
      </c>
      <c r="AI381">
        <v>0</v>
      </c>
      <c r="AJ381">
        <v>0</v>
      </c>
      <c r="AK381">
        <v>1800</v>
      </c>
      <c r="AL381">
        <v>0</v>
      </c>
      <c r="AM381">
        <v>3240</v>
      </c>
      <c r="AN381">
        <v>-612</v>
      </c>
      <c r="AO381">
        <v>0</v>
      </c>
      <c r="AP381">
        <v>720</v>
      </c>
      <c r="AQ381">
        <v>-216</v>
      </c>
      <c r="AR381">
        <v>0</v>
      </c>
      <c r="AS381">
        <v>2520</v>
      </c>
      <c r="AT381">
        <v>-396</v>
      </c>
      <c r="AU381">
        <v>0</v>
      </c>
      <c r="AW381">
        <v>0</v>
      </c>
      <c r="AX381">
        <v>0</v>
      </c>
      <c r="AY381">
        <v>3099.6</v>
      </c>
      <c r="BA381" t="str">
        <f>T("0000000000000")</f>
        <v>0000000000000</v>
      </c>
      <c r="BC381" t="str">
        <f>T("9791137604681")</f>
        <v>9791137604681</v>
      </c>
      <c r="BE381" t="str">
        <f>T("BL 웹툰 &gt; 웹툰")</f>
        <v>BL 웹툰 &gt; 웹툰</v>
      </c>
    </row>
    <row r="382" spans="1:58" x14ac:dyDescent="0.3">
      <c r="A382">
        <v>4421001305</v>
      </c>
      <c r="B382">
        <v>4421001314</v>
      </c>
      <c r="C382" t="str">
        <f>T("악역이지만, 남주는 꼬시지 않아요 10화")</f>
        <v>악역이지만, 남주는 꼬시지 않아요 10화</v>
      </c>
      <c r="D382" t="str">
        <f>T("10")</f>
        <v>10</v>
      </c>
      <c r="E382" t="str">
        <f>T("마북명")</f>
        <v>마북명</v>
      </c>
      <c r="G382" t="str">
        <f>T("kuri")</f>
        <v>kuri</v>
      </c>
      <c r="H382" t="str">
        <f t="shared" si="50"/>
        <v>스토리위즈</v>
      </c>
      <c r="I382" t="str">
        <f>T("악역이지만, 남주는 꼬시지 않아요")</f>
        <v>악역이지만, 남주는 꼬시지 않아요</v>
      </c>
      <c r="J382">
        <v>400</v>
      </c>
      <c r="K382">
        <v>0</v>
      </c>
      <c r="L382">
        <v>0</v>
      </c>
      <c r="M382">
        <v>0</v>
      </c>
      <c r="N382">
        <v>2000</v>
      </c>
      <c r="O382">
        <v>10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2000</v>
      </c>
      <c r="AH382">
        <v>10</v>
      </c>
      <c r="AI382">
        <v>0</v>
      </c>
      <c r="AJ382">
        <v>0</v>
      </c>
      <c r="AK382">
        <v>1800</v>
      </c>
      <c r="AL382">
        <v>0</v>
      </c>
      <c r="AM382">
        <v>240</v>
      </c>
      <c r="AN382">
        <v>-72</v>
      </c>
      <c r="AO382">
        <v>0</v>
      </c>
      <c r="AP382">
        <v>240</v>
      </c>
      <c r="AQ382">
        <v>-72</v>
      </c>
      <c r="AR382">
        <v>0</v>
      </c>
      <c r="AT382">
        <v>0</v>
      </c>
      <c r="AU382">
        <v>0</v>
      </c>
      <c r="AW382">
        <v>0</v>
      </c>
      <c r="AX382">
        <v>0</v>
      </c>
      <c r="AY382">
        <v>1377.6</v>
      </c>
      <c r="BA382" t="str">
        <f>T("0000000000000")</f>
        <v>0000000000000</v>
      </c>
      <c r="BC382" t="str">
        <f>T("9791137603882")</f>
        <v>9791137603882</v>
      </c>
      <c r="BE382" t="str">
        <f>T("웹툰 &gt; 해외 순정")</f>
        <v>웹툰 &gt; 해외 순정</v>
      </c>
      <c r="BF382" t="str">
        <f>T("웹툰 &gt; 로판")</f>
        <v>웹툰 &gt; 로판</v>
      </c>
    </row>
    <row r="383" spans="1:58" x14ac:dyDescent="0.3">
      <c r="A383">
        <v>4421001634</v>
      </c>
      <c r="B383">
        <v>4421002549</v>
      </c>
      <c r="C383" t="str">
        <f>T("그남자의 사랑방식 100화")</f>
        <v>그남자의 사랑방식 100화</v>
      </c>
      <c r="D383" t="str">
        <f>T("100")</f>
        <v>100</v>
      </c>
      <c r="E383" t="str">
        <f>T("웹티")</f>
        <v>웹티</v>
      </c>
      <c r="H383" t="str">
        <f t="shared" si="50"/>
        <v>스토리위즈</v>
      </c>
      <c r="I383" t="str">
        <f>T("그남자의 사랑방식")</f>
        <v>그남자의 사랑방식</v>
      </c>
      <c r="J383">
        <v>500</v>
      </c>
      <c r="K383">
        <v>0</v>
      </c>
      <c r="L383">
        <v>0</v>
      </c>
      <c r="M383">
        <v>0</v>
      </c>
      <c r="N383">
        <v>400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400</v>
      </c>
      <c r="AH383">
        <v>2</v>
      </c>
      <c r="AI383">
        <v>0</v>
      </c>
      <c r="AJ383">
        <v>0</v>
      </c>
      <c r="AK383">
        <v>200</v>
      </c>
      <c r="AL383">
        <v>0</v>
      </c>
      <c r="AM383">
        <v>240</v>
      </c>
      <c r="AN383">
        <v>-24</v>
      </c>
      <c r="AO383">
        <v>0</v>
      </c>
      <c r="AP383"/>
      <c r="AQ383">
        <v>0</v>
      </c>
      <c r="AR383">
        <v>0</v>
      </c>
      <c r="AS383">
        <v>240</v>
      </c>
      <c r="AT383">
        <v>-24</v>
      </c>
      <c r="AU383">
        <v>0</v>
      </c>
      <c r="AW383">
        <v>0</v>
      </c>
      <c r="AX383">
        <v>0</v>
      </c>
      <c r="AY383">
        <v>291.2</v>
      </c>
      <c r="BC383" t="str">
        <f>T("9791190622004")</f>
        <v>9791190622004</v>
      </c>
      <c r="BE383" t="str">
        <f>T("BL 웹툰 &gt; 웹툰")</f>
        <v>BL 웹툰 &gt; 웹툰</v>
      </c>
    </row>
    <row r="384" spans="1:58" x14ac:dyDescent="0.3">
      <c r="A384">
        <v>4421001340</v>
      </c>
      <c r="B384">
        <v>4421001368</v>
      </c>
      <c r="C384" t="str">
        <f>T("가출천사 육성계약 29화")</f>
        <v>가출천사 육성계약 29화</v>
      </c>
      <c r="D384" t="str">
        <f>T("29")</f>
        <v>29</v>
      </c>
      <c r="E384" t="str">
        <f>T("Bae.C, IIAKI, 박제후")</f>
        <v>Bae.C, IIAKI, 박제후</v>
      </c>
      <c r="G384" t="str">
        <f>T("Bae.C, 조우")</f>
        <v>Bae.C, 조우</v>
      </c>
      <c r="H384" t="str">
        <f t="shared" si="50"/>
        <v>스토리위즈</v>
      </c>
      <c r="I384" t="str">
        <f>T("가출천사 육성계약")</f>
        <v>가출천사 육성계약</v>
      </c>
      <c r="J384">
        <v>400</v>
      </c>
      <c r="K384">
        <v>0</v>
      </c>
      <c r="L384">
        <v>0</v>
      </c>
      <c r="M384">
        <v>0</v>
      </c>
      <c r="N384">
        <v>200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240</v>
      </c>
      <c r="AN384">
        <v>-24</v>
      </c>
      <c r="AO384">
        <v>0</v>
      </c>
      <c r="AP384"/>
      <c r="AQ384">
        <v>0</v>
      </c>
      <c r="AR384">
        <v>0</v>
      </c>
      <c r="AS384">
        <v>240</v>
      </c>
      <c r="AT384">
        <v>-24</v>
      </c>
      <c r="AU384">
        <v>0</v>
      </c>
      <c r="AW384">
        <v>0</v>
      </c>
      <c r="AX384">
        <v>0</v>
      </c>
      <c r="AY384">
        <v>151.19999999999999</v>
      </c>
      <c r="BA384" t="str">
        <f>T("0000000000000")</f>
        <v>0000000000000</v>
      </c>
      <c r="BC384" t="str">
        <f>T("9791191765663")</f>
        <v>9791191765663</v>
      </c>
      <c r="BE384" t="str">
        <f>T("웹툰 &gt; 판타지/SF")</f>
        <v>웹툰 &gt; 판타지/SF</v>
      </c>
    </row>
    <row r="385" spans="1:58" x14ac:dyDescent="0.3">
      <c r="A385">
        <v>4421001634</v>
      </c>
      <c r="B385">
        <v>4421001668</v>
      </c>
      <c r="C385" t="str">
        <f>T("그남자의 사랑방식 35화")</f>
        <v>그남자의 사랑방식 35화</v>
      </c>
      <c r="D385" t="str">
        <f>T("35")</f>
        <v>35</v>
      </c>
      <c r="E385" t="str">
        <f>T("웹티")</f>
        <v>웹티</v>
      </c>
      <c r="H385" t="str">
        <f t="shared" si="50"/>
        <v>스토리위즈</v>
      </c>
      <c r="I385" t="str">
        <f>T("그남자의 사랑방식")</f>
        <v>그남자의 사랑방식</v>
      </c>
      <c r="J385">
        <v>500</v>
      </c>
      <c r="K385">
        <v>0</v>
      </c>
      <c r="L385">
        <v>0</v>
      </c>
      <c r="M385">
        <v>0</v>
      </c>
      <c r="N385">
        <v>600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600</v>
      </c>
      <c r="AH385">
        <v>3</v>
      </c>
      <c r="AI385">
        <v>0</v>
      </c>
      <c r="AJ385">
        <v>0</v>
      </c>
      <c r="AK385">
        <v>200</v>
      </c>
      <c r="AL385">
        <v>0</v>
      </c>
      <c r="AM385">
        <v>480</v>
      </c>
      <c r="AN385">
        <v>-48</v>
      </c>
      <c r="AO385">
        <v>0</v>
      </c>
      <c r="AP385"/>
      <c r="AQ385">
        <v>0</v>
      </c>
      <c r="AR385">
        <v>0</v>
      </c>
      <c r="AS385">
        <v>480</v>
      </c>
      <c r="AT385">
        <v>-48</v>
      </c>
      <c r="AU385">
        <v>0</v>
      </c>
      <c r="AW385">
        <v>0</v>
      </c>
      <c r="AX385">
        <v>0</v>
      </c>
      <c r="AY385">
        <v>442.4</v>
      </c>
      <c r="BC385" t="str">
        <f>T("9791190622004")</f>
        <v>9791190622004</v>
      </c>
      <c r="BE385" t="str">
        <f>T("BL 웹툰 &gt; 웹툰")</f>
        <v>BL 웹툰 &gt; 웹툰</v>
      </c>
    </row>
    <row r="386" spans="1:58" x14ac:dyDescent="0.3">
      <c r="A386">
        <v>4421003015</v>
      </c>
      <c r="B386">
        <v>4421003026</v>
      </c>
      <c r="C386" t="str">
        <f>T("일월성신 11화")</f>
        <v>일월성신 11화</v>
      </c>
      <c r="D386" t="str">
        <f>T("11")</f>
        <v>11</v>
      </c>
      <c r="E386" t="str">
        <f>T("김숙지")</f>
        <v>김숙지</v>
      </c>
      <c r="G386" t="str">
        <f>T("이름표")</f>
        <v>이름표</v>
      </c>
      <c r="H386" t="str">
        <f t="shared" ref="H386:H449" si="53">T("스토리위즈")</f>
        <v>스토리위즈</v>
      </c>
      <c r="I386" t="str">
        <f>T("일월성신")</f>
        <v>일월성신</v>
      </c>
      <c r="J386">
        <v>400</v>
      </c>
      <c r="K386">
        <v>0</v>
      </c>
      <c r="L386">
        <v>0</v>
      </c>
      <c r="M386">
        <v>0</v>
      </c>
      <c r="N386">
        <v>1000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1000</v>
      </c>
      <c r="AH386">
        <v>5</v>
      </c>
      <c r="AI386">
        <v>0</v>
      </c>
      <c r="AJ386">
        <v>0</v>
      </c>
      <c r="AK386">
        <v>400</v>
      </c>
      <c r="AL386">
        <v>0</v>
      </c>
      <c r="AM386">
        <v>720</v>
      </c>
      <c r="AN386">
        <v>-120</v>
      </c>
      <c r="AO386">
        <v>0</v>
      </c>
      <c r="AP386">
        <v>240</v>
      </c>
      <c r="AQ386">
        <v>-72</v>
      </c>
      <c r="AR386">
        <v>0</v>
      </c>
      <c r="AS386">
        <v>480</v>
      </c>
      <c r="AT386">
        <v>-48</v>
      </c>
      <c r="AU386">
        <v>0</v>
      </c>
      <c r="AW386">
        <v>0</v>
      </c>
      <c r="AX386">
        <v>0</v>
      </c>
      <c r="AY386">
        <v>700</v>
      </c>
      <c r="BA386" t="str">
        <f t="shared" ref="BA386:BA392" si="54">T("0000000000000")</f>
        <v>0000000000000</v>
      </c>
      <c r="BC386" t="str">
        <f>T("9791137604605")</f>
        <v>9791137604605</v>
      </c>
      <c r="BE386" t="str">
        <f>T("웹툰 &gt; 드라마")</f>
        <v>웹툰 &gt; 드라마</v>
      </c>
    </row>
    <row r="387" spans="1:58" x14ac:dyDescent="0.3">
      <c r="A387">
        <v>4421001764</v>
      </c>
      <c r="B387">
        <v>4421001765</v>
      </c>
      <c r="C387" t="str">
        <f>T("예쁜 남자 잘생긴 여자 2화")</f>
        <v>예쁜 남자 잘생긴 여자 2화</v>
      </c>
      <c r="D387" t="str">
        <f>T("2")</f>
        <v>2</v>
      </c>
      <c r="E387" t="str">
        <f>T("웹티")</f>
        <v>웹티</v>
      </c>
      <c r="H387" t="str">
        <f t="shared" si="53"/>
        <v>스토리위즈</v>
      </c>
      <c r="I387" t="str">
        <f>T("예쁜 남자 잘생긴 여자")</f>
        <v>예쁜 남자 잘생긴 여자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3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/>
      <c r="AQ387">
        <v>0</v>
      </c>
      <c r="AR387">
        <v>0</v>
      </c>
      <c r="AT387">
        <v>0</v>
      </c>
      <c r="AU387">
        <v>0</v>
      </c>
      <c r="AW387">
        <v>0</v>
      </c>
      <c r="AX387">
        <v>0</v>
      </c>
      <c r="AY387">
        <v>0</v>
      </c>
      <c r="BA387" t="str">
        <f t="shared" si="54"/>
        <v>0000000000000</v>
      </c>
      <c r="BC387" t="str">
        <f>T("9791190702164")</f>
        <v>9791190702164</v>
      </c>
      <c r="BE387" t="str">
        <f>T("웹툰 &gt; 로맨스")</f>
        <v>웹툰 &gt; 로맨스</v>
      </c>
    </row>
    <row r="388" spans="1:58" x14ac:dyDescent="0.3">
      <c r="A388">
        <v>4421000866</v>
      </c>
      <c r="B388">
        <v>4421001531</v>
      </c>
      <c r="C388" t="str">
        <f>T("최애에게 들켜버렸다 76화")</f>
        <v>최애에게 들켜버렸다 76화</v>
      </c>
      <c r="D388" t="str">
        <f>T("79")</f>
        <v>79</v>
      </c>
      <c r="E388" t="str">
        <f>T("Lv")</f>
        <v>Lv</v>
      </c>
      <c r="G388" t="str">
        <f>T("Lv")</f>
        <v>Lv</v>
      </c>
      <c r="H388" t="str">
        <f t="shared" si="53"/>
        <v>스토리위즈</v>
      </c>
      <c r="I388" t="str">
        <f>T("최애에게 들켜버렸다")</f>
        <v>최애에게 들켜버렸다</v>
      </c>
      <c r="J388">
        <v>400</v>
      </c>
      <c r="K388">
        <v>0</v>
      </c>
      <c r="L388">
        <v>0</v>
      </c>
      <c r="M388">
        <v>0</v>
      </c>
      <c r="N388">
        <v>200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240</v>
      </c>
      <c r="AN388">
        <v>-24</v>
      </c>
      <c r="AO388">
        <v>0</v>
      </c>
      <c r="AP388"/>
      <c r="AQ388">
        <v>0</v>
      </c>
      <c r="AR388">
        <v>0</v>
      </c>
      <c r="AS388">
        <v>240</v>
      </c>
      <c r="AT388">
        <v>-24</v>
      </c>
      <c r="AU388">
        <v>0</v>
      </c>
      <c r="AW388">
        <v>0</v>
      </c>
      <c r="AX388">
        <v>0</v>
      </c>
      <c r="AY388">
        <v>151.19999999999999</v>
      </c>
      <c r="BA388" t="str">
        <f t="shared" si="54"/>
        <v>0000000000000</v>
      </c>
      <c r="BC388" t="str">
        <f>T("9791137601253")</f>
        <v>9791137601253</v>
      </c>
      <c r="BE388" t="str">
        <f>T("웹툰 &gt; 해외 순정")</f>
        <v>웹툰 &gt; 해외 순정</v>
      </c>
      <c r="BF388" t="str">
        <f>T("웹툰 &gt; 로맨스")</f>
        <v>웹툰 &gt; 로맨스</v>
      </c>
    </row>
    <row r="389" spans="1:58" x14ac:dyDescent="0.3">
      <c r="A389">
        <v>4421000337</v>
      </c>
      <c r="B389">
        <v>4421000337</v>
      </c>
      <c r="C389" t="str">
        <f>T("계약연애, 오늘부터 1일 1화")</f>
        <v>계약연애, 오늘부터 1일 1화</v>
      </c>
      <c r="D389" t="str">
        <f>T("1")</f>
        <v>1</v>
      </c>
      <c r="E389" t="str">
        <f>T("원기공장")</f>
        <v>원기공장</v>
      </c>
      <c r="H389" t="str">
        <f t="shared" si="53"/>
        <v>스토리위즈</v>
      </c>
      <c r="I389" t="str">
        <f>T("계약연애, 오늘부터 1일")</f>
        <v>계약연애, 오늘부터 1일</v>
      </c>
      <c r="J389">
        <v>200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/>
      <c r="AQ389">
        <v>0</v>
      </c>
      <c r="AR389">
        <v>0</v>
      </c>
      <c r="AT389">
        <v>0</v>
      </c>
      <c r="AU389">
        <v>0</v>
      </c>
      <c r="AW389">
        <v>0</v>
      </c>
      <c r="AX389">
        <v>0</v>
      </c>
      <c r="AY389">
        <v>0</v>
      </c>
      <c r="BA389" t="str">
        <f t="shared" si="54"/>
        <v>0000000000000</v>
      </c>
      <c r="BC389" t="str">
        <f>T("9791166068027")</f>
        <v>9791166068027</v>
      </c>
      <c r="BE389" t="str">
        <f>T("웹툰 &gt; 해외 순정")</f>
        <v>웹툰 &gt; 해외 순정</v>
      </c>
      <c r="BF389" t="str">
        <f>T("웹툰 &gt; 로맨스")</f>
        <v>웹툰 &gt; 로맨스</v>
      </c>
    </row>
    <row r="390" spans="1:58" x14ac:dyDescent="0.3">
      <c r="A390">
        <v>4421002305</v>
      </c>
      <c r="B390">
        <v>4421002305</v>
      </c>
      <c r="C390" t="str">
        <f>T("천년의 사랑 1화")</f>
        <v>천년의 사랑 1화</v>
      </c>
      <c r="D390" t="str">
        <f>T("1")</f>
        <v>1</v>
      </c>
      <c r="E390" t="str">
        <f>T("웹티")</f>
        <v>웹티</v>
      </c>
      <c r="H390" t="str">
        <f t="shared" si="53"/>
        <v>스토리위즈</v>
      </c>
      <c r="I390" t="str">
        <f>T("천년의 사랑")</f>
        <v>천년의 사랑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/>
      <c r="AQ390">
        <v>0</v>
      </c>
      <c r="AR390">
        <v>0</v>
      </c>
      <c r="AT390">
        <v>0</v>
      </c>
      <c r="AU390">
        <v>0</v>
      </c>
      <c r="AW390">
        <v>0</v>
      </c>
      <c r="AX390">
        <v>0</v>
      </c>
      <c r="AY390">
        <v>0</v>
      </c>
      <c r="BA390" t="str">
        <f t="shared" si="54"/>
        <v>0000000000000</v>
      </c>
      <c r="BC390" t="str">
        <f>T("9791190622011")</f>
        <v>9791190622011</v>
      </c>
      <c r="BE390" t="str">
        <f>T("웹툰 &gt; 로맨스")</f>
        <v>웹툰 &gt; 로맨스</v>
      </c>
    </row>
    <row r="391" spans="1:58" x14ac:dyDescent="0.3">
      <c r="A391">
        <v>4421002829</v>
      </c>
      <c r="B391">
        <v>4421002841</v>
      </c>
      <c r="C391" t="str">
        <f>T("테두리는 주시하지 않는다 (개정판) 5화")</f>
        <v>테두리는 주시하지 않는다 (개정판) 5화</v>
      </c>
      <c r="D391" t="str">
        <f>T("5")</f>
        <v>5</v>
      </c>
      <c r="E391" t="str">
        <f>T("토찌, 키로즈")</f>
        <v>토찌, 키로즈</v>
      </c>
      <c r="G391" t="str">
        <f>T("마린")</f>
        <v>마린</v>
      </c>
      <c r="H391" t="str">
        <f t="shared" si="53"/>
        <v>스토리위즈</v>
      </c>
      <c r="I391" t="str">
        <f>T("테두리는 주시하지 않는다 (개정판)")</f>
        <v>테두리는 주시하지 않는다 (개정판)</v>
      </c>
      <c r="J391">
        <v>500</v>
      </c>
      <c r="K391">
        <v>0</v>
      </c>
      <c r="L391">
        <v>0</v>
      </c>
      <c r="M391">
        <v>0</v>
      </c>
      <c r="N391">
        <v>7200</v>
      </c>
      <c r="O391">
        <v>24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7200</v>
      </c>
      <c r="AH391">
        <v>24</v>
      </c>
      <c r="AI391">
        <v>0</v>
      </c>
      <c r="AJ391">
        <v>0</v>
      </c>
      <c r="AK391">
        <v>4150</v>
      </c>
      <c r="AL391">
        <v>0</v>
      </c>
      <c r="AM391">
        <v>3660</v>
      </c>
      <c r="AN391">
        <v>-726</v>
      </c>
      <c r="AO391">
        <v>0</v>
      </c>
      <c r="AP391">
        <v>1440</v>
      </c>
      <c r="AQ391">
        <v>-432</v>
      </c>
      <c r="AR391">
        <v>0</v>
      </c>
      <c r="AS391">
        <v>2220</v>
      </c>
      <c r="AT391">
        <v>-294</v>
      </c>
      <c r="AU391">
        <v>0</v>
      </c>
      <c r="AW391">
        <v>0</v>
      </c>
      <c r="AX391">
        <v>0</v>
      </c>
      <c r="AY391">
        <v>4958.8</v>
      </c>
      <c r="BA391" t="str">
        <f t="shared" si="54"/>
        <v>0000000000000</v>
      </c>
      <c r="BC391" t="str">
        <f>T("9791137604681")</f>
        <v>9791137604681</v>
      </c>
      <c r="BE391" t="str">
        <f>T("BL 웹툰 &gt; 웹툰")</f>
        <v>BL 웹툰 &gt; 웹툰</v>
      </c>
    </row>
    <row r="392" spans="1:58" x14ac:dyDescent="0.3">
      <c r="A392">
        <v>4421000450</v>
      </c>
      <c r="B392">
        <v>4421000516</v>
      </c>
      <c r="C392" t="str">
        <f>T("내 남편의 스토커 66화")</f>
        <v>내 남편의 스토커 66화</v>
      </c>
      <c r="D392" t="str">
        <f>T("66")</f>
        <v>66</v>
      </c>
      <c r="E392" t="str">
        <f>T("혜원")</f>
        <v>혜원</v>
      </c>
      <c r="G392" t="str">
        <f>T("혜원")</f>
        <v>혜원</v>
      </c>
      <c r="H392" t="str">
        <f t="shared" si="53"/>
        <v>스토리위즈</v>
      </c>
      <c r="I392" t="str">
        <f>T("내 남편의 스토커")</f>
        <v>내 남편의 스토커</v>
      </c>
      <c r="J392">
        <v>400</v>
      </c>
      <c r="K392">
        <v>0</v>
      </c>
      <c r="L392">
        <v>0</v>
      </c>
      <c r="M392">
        <v>0</v>
      </c>
      <c r="N392">
        <v>200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240</v>
      </c>
      <c r="AN392">
        <v>-24</v>
      </c>
      <c r="AO392">
        <v>0</v>
      </c>
      <c r="AP392"/>
      <c r="AQ392">
        <v>0</v>
      </c>
      <c r="AR392">
        <v>0</v>
      </c>
      <c r="AS392">
        <v>240</v>
      </c>
      <c r="AT392">
        <v>-24</v>
      </c>
      <c r="AU392">
        <v>0</v>
      </c>
      <c r="AW392">
        <v>0</v>
      </c>
      <c r="AX392">
        <v>0</v>
      </c>
      <c r="AY392">
        <v>151.19999999999999</v>
      </c>
      <c r="BA392" t="str">
        <f t="shared" si="54"/>
        <v>0000000000000</v>
      </c>
      <c r="BC392" t="str">
        <f>T("9791166068034")</f>
        <v>9791166068034</v>
      </c>
      <c r="BE392" t="str">
        <f>T("웹툰 &gt; 로맨스")</f>
        <v>웹툰 &gt; 로맨스</v>
      </c>
    </row>
    <row r="393" spans="1:58" x14ac:dyDescent="0.3">
      <c r="A393">
        <v>4421000001</v>
      </c>
      <c r="B393">
        <v>4421000044</v>
      </c>
      <c r="C393" t="str">
        <f>T("감옥실험 24화")</f>
        <v>감옥실험 24화</v>
      </c>
      <c r="D393" t="str">
        <f>T("24")</f>
        <v>24</v>
      </c>
      <c r="E393" t="str">
        <f>T("Kantetsu")</f>
        <v>Kantetsu</v>
      </c>
      <c r="G393" t="str">
        <f>T("Minase Chiho")</f>
        <v>Minase Chiho</v>
      </c>
      <c r="H393" t="str">
        <f t="shared" si="53"/>
        <v>스토리위즈</v>
      </c>
      <c r="I393" t="str">
        <f>T("감옥실험")</f>
        <v>감옥실험</v>
      </c>
      <c r="J393">
        <v>500</v>
      </c>
      <c r="K393">
        <v>0</v>
      </c>
      <c r="L393">
        <v>0</v>
      </c>
      <c r="M393">
        <v>0</v>
      </c>
      <c r="N393">
        <v>900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900</v>
      </c>
      <c r="AH393">
        <v>3</v>
      </c>
      <c r="AI393">
        <v>0</v>
      </c>
      <c r="AJ393">
        <v>0</v>
      </c>
      <c r="AK393">
        <v>600</v>
      </c>
      <c r="AL393">
        <v>0</v>
      </c>
      <c r="AM393">
        <v>360</v>
      </c>
      <c r="AN393">
        <v>-36</v>
      </c>
      <c r="AO393">
        <v>0</v>
      </c>
      <c r="AP393"/>
      <c r="AQ393">
        <v>0</v>
      </c>
      <c r="AR393">
        <v>0</v>
      </c>
      <c r="AS393">
        <v>360</v>
      </c>
      <c r="AT393">
        <v>-36</v>
      </c>
      <c r="AU393">
        <v>0</v>
      </c>
      <c r="AW393">
        <v>0</v>
      </c>
      <c r="AX393">
        <v>0</v>
      </c>
      <c r="AY393">
        <v>646.79999999999995</v>
      </c>
      <c r="BC393" t="str">
        <f>T("9791166069406")</f>
        <v>9791166069406</v>
      </c>
      <c r="BE393" t="str">
        <f>T("웹툰 &gt; 드라마")</f>
        <v>웹툰 &gt; 드라마</v>
      </c>
    </row>
    <row r="394" spans="1:58" x14ac:dyDescent="0.3">
      <c r="A394">
        <v>4421000866</v>
      </c>
      <c r="B394">
        <v>4421000999</v>
      </c>
      <c r="C394" t="str">
        <f>T("최애에게 들켜버렸다 40화")</f>
        <v>최애에게 들켜버렸다 40화</v>
      </c>
      <c r="D394" t="str">
        <f>T("41")</f>
        <v>41</v>
      </c>
      <c r="E394" t="str">
        <f>T("Lv")</f>
        <v>Lv</v>
      </c>
      <c r="G394" t="str">
        <f>T("Lv")</f>
        <v>Lv</v>
      </c>
      <c r="H394" t="str">
        <f t="shared" si="53"/>
        <v>스토리위즈</v>
      </c>
      <c r="I394" t="str">
        <f>T("최애에게 들켜버렸다")</f>
        <v>최애에게 들켜버렸다</v>
      </c>
      <c r="J394">
        <v>400</v>
      </c>
      <c r="K394">
        <v>0</v>
      </c>
      <c r="L394">
        <v>0</v>
      </c>
      <c r="M394">
        <v>0</v>
      </c>
      <c r="N394">
        <v>600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600</v>
      </c>
      <c r="AH394">
        <v>3</v>
      </c>
      <c r="AI394">
        <v>0</v>
      </c>
      <c r="AJ394">
        <v>0</v>
      </c>
      <c r="AK394">
        <v>200</v>
      </c>
      <c r="AL394">
        <v>0</v>
      </c>
      <c r="AM394">
        <v>480</v>
      </c>
      <c r="AN394">
        <v>-48</v>
      </c>
      <c r="AO394">
        <v>0</v>
      </c>
      <c r="AP394"/>
      <c r="AQ394">
        <v>0</v>
      </c>
      <c r="AR394">
        <v>0</v>
      </c>
      <c r="AS394">
        <v>480</v>
      </c>
      <c r="AT394">
        <v>-48</v>
      </c>
      <c r="AU394">
        <v>0</v>
      </c>
      <c r="AW394">
        <v>0</v>
      </c>
      <c r="AX394">
        <v>0</v>
      </c>
      <c r="AY394">
        <v>442.4</v>
      </c>
      <c r="BA394" t="str">
        <f>T("0000000000000")</f>
        <v>0000000000000</v>
      </c>
      <c r="BC394" t="str">
        <f>T("9791137601253")</f>
        <v>9791137601253</v>
      </c>
      <c r="BE394" t="str">
        <f>T("웹툰 &gt; 해외 순정")</f>
        <v>웹툰 &gt; 해외 순정</v>
      </c>
      <c r="BF394" t="str">
        <f>T("웹툰 &gt; 로맨스")</f>
        <v>웹툰 &gt; 로맨스</v>
      </c>
    </row>
    <row r="395" spans="1:58" x14ac:dyDescent="0.3">
      <c r="A395">
        <v>4421000450</v>
      </c>
      <c r="B395">
        <v>4421000483</v>
      </c>
      <c r="C395" t="str">
        <f>T("내 남편의 스토커 33화")</f>
        <v>내 남편의 스토커 33화</v>
      </c>
      <c r="D395" t="str">
        <f>T("33")</f>
        <v>33</v>
      </c>
      <c r="E395" t="str">
        <f>T("혜원")</f>
        <v>혜원</v>
      </c>
      <c r="G395" t="str">
        <f>T("혜원")</f>
        <v>혜원</v>
      </c>
      <c r="H395" t="str">
        <f t="shared" si="53"/>
        <v>스토리위즈</v>
      </c>
      <c r="I395" t="str">
        <f>T("내 남편의 스토커")</f>
        <v>내 남편의 스토커</v>
      </c>
      <c r="J395">
        <v>400</v>
      </c>
      <c r="K395">
        <v>0</v>
      </c>
      <c r="L395">
        <v>0</v>
      </c>
      <c r="M395">
        <v>0</v>
      </c>
      <c r="N395">
        <v>200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240</v>
      </c>
      <c r="AN395">
        <v>-24</v>
      </c>
      <c r="AO395">
        <v>0</v>
      </c>
      <c r="AP395"/>
      <c r="AQ395">
        <v>0</v>
      </c>
      <c r="AR395">
        <v>0</v>
      </c>
      <c r="AS395">
        <v>240</v>
      </c>
      <c r="AT395">
        <v>-24</v>
      </c>
      <c r="AU395">
        <v>0</v>
      </c>
      <c r="AW395">
        <v>0</v>
      </c>
      <c r="AX395">
        <v>0</v>
      </c>
      <c r="AY395">
        <v>151.19999999999999</v>
      </c>
      <c r="BA395" t="str">
        <f>T("0000000000000")</f>
        <v>0000000000000</v>
      </c>
      <c r="BC395" t="str">
        <f>T("9791166068034")</f>
        <v>9791166068034</v>
      </c>
      <c r="BE395" t="str">
        <f>T("웹툰 &gt; 로맨스")</f>
        <v>웹툰 &gt; 로맨스</v>
      </c>
    </row>
    <row r="396" spans="1:58" x14ac:dyDescent="0.3">
      <c r="A396">
        <v>4421002829</v>
      </c>
      <c r="B396">
        <v>4421002830</v>
      </c>
      <c r="C396" t="str">
        <f>T("테두리는 주시하지 않는다 (개정판) 2화")</f>
        <v>테두리는 주시하지 않는다 (개정판) 2화</v>
      </c>
      <c r="D396" t="str">
        <f>T("2")</f>
        <v>2</v>
      </c>
      <c r="E396" t="str">
        <f>T("토찌, 키로즈")</f>
        <v>토찌, 키로즈</v>
      </c>
      <c r="G396" t="str">
        <f>T("마린")</f>
        <v>마린</v>
      </c>
      <c r="H396" t="str">
        <f t="shared" si="53"/>
        <v>스토리위즈</v>
      </c>
      <c r="I396" t="str">
        <f>T("테두리는 주시하지 않는다 (개정판)")</f>
        <v>테두리는 주시하지 않는다 (개정판)</v>
      </c>
      <c r="J396">
        <v>500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159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159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/>
      <c r="AQ396">
        <v>0</v>
      </c>
      <c r="AR396">
        <v>0</v>
      </c>
      <c r="AT396">
        <v>0</v>
      </c>
      <c r="AU396">
        <v>0</v>
      </c>
      <c r="AW396">
        <v>0</v>
      </c>
      <c r="AX396">
        <v>0</v>
      </c>
      <c r="AY396">
        <v>0</v>
      </c>
      <c r="BA396" t="str">
        <f>T("0000000000000")</f>
        <v>0000000000000</v>
      </c>
      <c r="BC396" t="str">
        <f>T("9791137604681")</f>
        <v>9791137604681</v>
      </c>
      <c r="BE396" t="str">
        <f>T("BL 웹툰 &gt; 웹툰")</f>
        <v>BL 웹툰 &gt; 웹툰</v>
      </c>
    </row>
    <row r="397" spans="1:58" x14ac:dyDescent="0.3">
      <c r="A397">
        <v>4421000001</v>
      </c>
      <c r="B397">
        <v>4421000023</v>
      </c>
      <c r="C397" t="str">
        <f>T("감옥실험 13화")</f>
        <v>감옥실험 13화</v>
      </c>
      <c r="D397" t="str">
        <f>T("13")</f>
        <v>13</v>
      </c>
      <c r="E397" t="str">
        <f>T("Kantetsu")</f>
        <v>Kantetsu</v>
      </c>
      <c r="G397" t="str">
        <f>T("Minase Chiho")</f>
        <v>Minase Chiho</v>
      </c>
      <c r="H397" t="str">
        <f t="shared" si="53"/>
        <v>스토리위즈</v>
      </c>
      <c r="I397" t="str">
        <f>T("감옥실험")</f>
        <v>감옥실험</v>
      </c>
      <c r="J397">
        <v>500</v>
      </c>
      <c r="K397">
        <v>0</v>
      </c>
      <c r="L397">
        <v>0</v>
      </c>
      <c r="M397">
        <v>0</v>
      </c>
      <c r="N397">
        <v>1800</v>
      </c>
      <c r="O397">
        <v>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1800</v>
      </c>
      <c r="AH397">
        <v>6</v>
      </c>
      <c r="AI397">
        <v>0</v>
      </c>
      <c r="AJ397">
        <v>0</v>
      </c>
      <c r="AK397">
        <v>900</v>
      </c>
      <c r="AL397">
        <v>0</v>
      </c>
      <c r="AM397">
        <v>1080</v>
      </c>
      <c r="AN397">
        <v>-252</v>
      </c>
      <c r="AO397">
        <v>0</v>
      </c>
      <c r="AP397">
        <v>360</v>
      </c>
      <c r="AQ397">
        <v>-108</v>
      </c>
      <c r="AR397">
        <v>0</v>
      </c>
      <c r="AS397">
        <v>720</v>
      </c>
      <c r="AT397">
        <v>-144</v>
      </c>
      <c r="AU397">
        <v>0</v>
      </c>
      <c r="AW397">
        <v>0</v>
      </c>
      <c r="AX397">
        <v>0</v>
      </c>
      <c r="AY397">
        <v>1209.5999999999999</v>
      </c>
      <c r="BC397" t="str">
        <f>T("9791166069406")</f>
        <v>9791166069406</v>
      </c>
      <c r="BE397" t="str">
        <f>T("웹툰 &gt; 드라마")</f>
        <v>웹툰 &gt; 드라마</v>
      </c>
    </row>
    <row r="398" spans="1:58" x14ac:dyDescent="0.3">
      <c r="A398">
        <v>4421000450</v>
      </c>
      <c r="B398">
        <v>4421000472</v>
      </c>
      <c r="C398" t="str">
        <f>T("내 남편의 스토커 22화")</f>
        <v>내 남편의 스토커 22화</v>
      </c>
      <c r="D398" t="str">
        <f>T("22")</f>
        <v>22</v>
      </c>
      <c r="E398" t="str">
        <f>T("혜원")</f>
        <v>혜원</v>
      </c>
      <c r="G398" t="str">
        <f>T("혜원")</f>
        <v>혜원</v>
      </c>
      <c r="H398" t="str">
        <f t="shared" si="53"/>
        <v>스토리위즈</v>
      </c>
      <c r="I398" t="str">
        <f>T("내 남편의 스토커")</f>
        <v>내 남편의 스토커</v>
      </c>
      <c r="J398">
        <v>400</v>
      </c>
      <c r="K398">
        <v>0</v>
      </c>
      <c r="L398">
        <v>0</v>
      </c>
      <c r="M398">
        <v>0</v>
      </c>
      <c r="N398">
        <v>200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240</v>
      </c>
      <c r="AN398">
        <v>-24</v>
      </c>
      <c r="AO398">
        <v>0</v>
      </c>
      <c r="AP398"/>
      <c r="AQ398">
        <v>0</v>
      </c>
      <c r="AR398">
        <v>0</v>
      </c>
      <c r="AS398">
        <v>240</v>
      </c>
      <c r="AT398">
        <v>-24</v>
      </c>
      <c r="AU398">
        <v>0</v>
      </c>
      <c r="AW398">
        <v>0</v>
      </c>
      <c r="AX398">
        <v>0</v>
      </c>
      <c r="AY398">
        <v>151.19999999999999</v>
      </c>
      <c r="BA398" t="str">
        <f>T("0000000000000")</f>
        <v>0000000000000</v>
      </c>
      <c r="BC398" t="str">
        <f>T("9791166068034")</f>
        <v>9791166068034</v>
      </c>
      <c r="BE398" t="str">
        <f>T("웹툰 &gt; 로맨스")</f>
        <v>웹툰 &gt; 로맨스</v>
      </c>
    </row>
    <row r="399" spans="1:58" x14ac:dyDescent="0.3">
      <c r="A399">
        <v>4421000866</v>
      </c>
      <c r="B399">
        <v>4421000874</v>
      </c>
      <c r="C399" t="str">
        <f>T("최애에게 들켜버렸다 8화")</f>
        <v>최애에게 들켜버렸다 8화</v>
      </c>
      <c r="D399" t="str">
        <f>T("8")</f>
        <v>8</v>
      </c>
      <c r="E399" t="str">
        <f>T("Lv")</f>
        <v>Lv</v>
      </c>
      <c r="G399" t="str">
        <f>T("Lv")</f>
        <v>Lv</v>
      </c>
      <c r="H399" t="str">
        <f t="shared" si="53"/>
        <v>스토리위즈</v>
      </c>
      <c r="I399" t="str">
        <f>T("최애에게 들켜버렸다")</f>
        <v>최애에게 들켜버렸다</v>
      </c>
      <c r="J399">
        <v>400</v>
      </c>
      <c r="K399">
        <v>0</v>
      </c>
      <c r="L399">
        <v>0</v>
      </c>
      <c r="M399">
        <v>0</v>
      </c>
      <c r="N399">
        <v>800</v>
      </c>
      <c r="O399">
        <v>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800</v>
      </c>
      <c r="AH399">
        <v>4</v>
      </c>
      <c r="AI399">
        <v>0</v>
      </c>
      <c r="AJ399">
        <v>0</v>
      </c>
      <c r="AK399">
        <v>400</v>
      </c>
      <c r="AL399">
        <v>0</v>
      </c>
      <c r="AM399">
        <v>480</v>
      </c>
      <c r="AN399">
        <v>-96</v>
      </c>
      <c r="AO399">
        <v>0</v>
      </c>
      <c r="AP399"/>
      <c r="AQ399">
        <v>0</v>
      </c>
      <c r="AR399">
        <v>0</v>
      </c>
      <c r="AS399">
        <v>480</v>
      </c>
      <c r="AT399">
        <v>-96</v>
      </c>
      <c r="AU399">
        <v>0</v>
      </c>
      <c r="AW399">
        <v>0</v>
      </c>
      <c r="AX399">
        <v>0</v>
      </c>
      <c r="AY399">
        <v>548.79999999999995</v>
      </c>
      <c r="BA399" t="str">
        <f>T("0000000000000")</f>
        <v>0000000000000</v>
      </c>
      <c r="BC399" t="str">
        <f>T("9791137601253")</f>
        <v>9791137601253</v>
      </c>
      <c r="BE399" t="str">
        <f>T("웹툰 &gt; 해외 순정")</f>
        <v>웹툰 &gt; 해외 순정</v>
      </c>
      <c r="BF399" t="str">
        <f>T("웹툰 &gt; 로맨스")</f>
        <v>웹툰 &gt; 로맨스</v>
      </c>
    </row>
    <row r="400" spans="1:58" x14ac:dyDescent="0.3">
      <c r="A400">
        <v>4421000001</v>
      </c>
      <c r="B400">
        <v>4421000065</v>
      </c>
      <c r="C400" t="str">
        <f>T("감옥실험 45화")</f>
        <v>감옥실험 45화</v>
      </c>
      <c r="D400" t="str">
        <f>T("45")</f>
        <v>45</v>
      </c>
      <c r="E400" t="str">
        <f>T("Kantetsu")</f>
        <v>Kantetsu</v>
      </c>
      <c r="G400" t="str">
        <f>T("Minase Chiho")</f>
        <v>Minase Chiho</v>
      </c>
      <c r="H400" t="str">
        <f t="shared" si="53"/>
        <v>스토리위즈</v>
      </c>
      <c r="I400" t="str">
        <f>T("감옥실험")</f>
        <v>감옥실험</v>
      </c>
      <c r="J400">
        <v>500</v>
      </c>
      <c r="K400">
        <v>0</v>
      </c>
      <c r="L400">
        <v>0</v>
      </c>
      <c r="M400">
        <v>0</v>
      </c>
      <c r="N400">
        <v>600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600</v>
      </c>
      <c r="AH400">
        <v>2</v>
      </c>
      <c r="AI400">
        <v>0</v>
      </c>
      <c r="AJ400">
        <v>0</v>
      </c>
      <c r="AK400">
        <v>600</v>
      </c>
      <c r="AL400">
        <v>0</v>
      </c>
      <c r="AM400">
        <v>0</v>
      </c>
      <c r="AN400">
        <v>0</v>
      </c>
      <c r="AO400">
        <v>0</v>
      </c>
      <c r="AP400"/>
      <c r="AQ400">
        <v>0</v>
      </c>
      <c r="AR400">
        <v>0</v>
      </c>
      <c r="AT400">
        <v>0</v>
      </c>
      <c r="AU400">
        <v>0</v>
      </c>
      <c r="AW400">
        <v>0</v>
      </c>
      <c r="AX400">
        <v>0</v>
      </c>
      <c r="AY400">
        <v>420</v>
      </c>
      <c r="BC400" t="str">
        <f>T("9791166069406")</f>
        <v>9791166069406</v>
      </c>
      <c r="BE400" t="str">
        <f>T("웹툰 &gt; 드라마")</f>
        <v>웹툰 &gt; 드라마</v>
      </c>
    </row>
    <row r="401" spans="1:58" x14ac:dyDescent="0.3">
      <c r="A401">
        <v>4421001634</v>
      </c>
      <c r="B401">
        <v>4421002505</v>
      </c>
      <c r="C401" t="str">
        <f>T("그남자의 사랑방식 56화")</f>
        <v>그남자의 사랑방식 56화</v>
      </c>
      <c r="D401" t="str">
        <f>T("56")</f>
        <v>56</v>
      </c>
      <c r="E401" t="str">
        <f>T("웹티")</f>
        <v>웹티</v>
      </c>
      <c r="H401" t="str">
        <f t="shared" si="53"/>
        <v>스토리위즈</v>
      </c>
      <c r="I401" t="str">
        <f>T("그남자의 사랑방식")</f>
        <v>그남자의 사랑방식</v>
      </c>
      <c r="J401">
        <v>500</v>
      </c>
      <c r="K401">
        <v>0</v>
      </c>
      <c r="L401">
        <v>0</v>
      </c>
      <c r="M401">
        <v>0</v>
      </c>
      <c r="N401">
        <v>400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400</v>
      </c>
      <c r="AH401">
        <v>2</v>
      </c>
      <c r="AI401">
        <v>0</v>
      </c>
      <c r="AJ401">
        <v>0</v>
      </c>
      <c r="AK401">
        <v>200</v>
      </c>
      <c r="AL401">
        <v>0</v>
      </c>
      <c r="AM401">
        <v>240</v>
      </c>
      <c r="AN401">
        <v>-24</v>
      </c>
      <c r="AO401">
        <v>0</v>
      </c>
      <c r="AP401"/>
      <c r="AQ401">
        <v>0</v>
      </c>
      <c r="AR401">
        <v>0</v>
      </c>
      <c r="AS401">
        <v>240</v>
      </c>
      <c r="AT401">
        <v>-24</v>
      </c>
      <c r="AU401">
        <v>0</v>
      </c>
      <c r="AW401">
        <v>0</v>
      </c>
      <c r="AX401">
        <v>0</v>
      </c>
      <c r="AY401">
        <v>291.2</v>
      </c>
      <c r="BC401" t="str">
        <f>T("9791190622004")</f>
        <v>9791190622004</v>
      </c>
      <c r="BE401" t="str">
        <f>T("BL 웹툰 &gt; 웹툰")</f>
        <v>BL 웹툰 &gt; 웹툰</v>
      </c>
    </row>
    <row r="402" spans="1:58" x14ac:dyDescent="0.3">
      <c r="A402">
        <v>4421001340</v>
      </c>
      <c r="B402">
        <v>4421001564</v>
      </c>
      <c r="C402" t="str">
        <f>T("가출천사 육성계약 42화")</f>
        <v>가출천사 육성계약 42화</v>
      </c>
      <c r="D402" t="str">
        <f>T("42")</f>
        <v>42</v>
      </c>
      <c r="E402" t="str">
        <f>T("Bae.C, IIAKI, 박제후")</f>
        <v>Bae.C, IIAKI, 박제후</v>
      </c>
      <c r="G402" t="str">
        <f>T("Bae.C, 조우")</f>
        <v>Bae.C, 조우</v>
      </c>
      <c r="H402" t="str">
        <f t="shared" si="53"/>
        <v>스토리위즈</v>
      </c>
      <c r="I402" t="str">
        <f>T("가출천사 육성계약")</f>
        <v>가출천사 육성계약</v>
      </c>
      <c r="J402">
        <v>400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240</v>
      </c>
      <c r="AN402">
        <v>-24</v>
      </c>
      <c r="AO402">
        <v>0</v>
      </c>
      <c r="AP402"/>
      <c r="AQ402">
        <v>0</v>
      </c>
      <c r="AR402">
        <v>0</v>
      </c>
      <c r="AS402">
        <v>240</v>
      </c>
      <c r="AT402">
        <v>-24</v>
      </c>
      <c r="AU402">
        <v>0</v>
      </c>
      <c r="AW402">
        <v>0</v>
      </c>
      <c r="AX402">
        <v>0</v>
      </c>
      <c r="AY402">
        <v>151.19999999999999</v>
      </c>
      <c r="BA402" t="str">
        <f>T("0000000000000")</f>
        <v>0000000000000</v>
      </c>
      <c r="BC402" t="str">
        <f>T("9791191765663")</f>
        <v>9791191765663</v>
      </c>
      <c r="BE402" t="str">
        <f>T("웹툰 &gt; 판타지/SF")</f>
        <v>웹툰 &gt; 판타지/SF</v>
      </c>
    </row>
    <row r="403" spans="1:58" x14ac:dyDescent="0.3">
      <c r="A403">
        <v>4421000450</v>
      </c>
      <c r="B403">
        <v>4421000504</v>
      </c>
      <c r="C403" t="str">
        <f>T("내 남편의 스토커 54화")</f>
        <v>내 남편의 스토커 54화</v>
      </c>
      <c r="D403" t="str">
        <f>T("54")</f>
        <v>54</v>
      </c>
      <c r="E403" t="str">
        <f>T("혜원")</f>
        <v>혜원</v>
      </c>
      <c r="G403" t="str">
        <f>T("혜원")</f>
        <v>혜원</v>
      </c>
      <c r="H403" t="str">
        <f t="shared" si="53"/>
        <v>스토리위즈</v>
      </c>
      <c r="I403" t="str">
        <f>T("내 남편의 스토커")</f>
        <v>내 남편의 스토커</v>
      </c>
      <c r="J403">
        <v>400</v>
      </c>
      <c r="K403">
        <v>0</v>
      </c>
      <c r="L403">
        <v>0</v>
      </c>
      <c r="M403">
        <v>0</v>
      </c>
      <c r="N403">
        <v>200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240</v>
      </c>
      <c r="AN403">
        <v>-24</v>
      </c>
      <c r="AO403">
        <v>0</v>
      </c>
      <c r="AP403"/>
      <c r="AQ403">
        <v>0</v>
      </c>
      <c r="AR403">
        <v>0</v>
      </c>
      <c r="AS403">
        <v>240</v>
      </c>
      <c r="AT403">
        <v>-24</v>
      </c>
      <c r="AU403">
        <v>0</v>
      </c>
      <c r="AW403">
        <v>0</v>
      </c>
      <c r="AX403">
        <v>0</v>
      </c>
      <c r="AY403">
        <v>151.19999999999999</v>
      </c>
      <c r="BA403" t="str">
        <f>T("0000000000000")</f>
        <v>0000000000000</v>
      </c>
      <c r="BC403" t="str">
        <f>T("9791166068034")</f>
        <v>9791166068034</v>
      </c>
      <c r="BE403" t="str">
        <f>T("웹툰 &gt; 로맨스")</f>
        <v>웹툰 &gt; 로맨스</v>
      </c>
    </row>
    <row r="404" spans="1:58" x14ac:dyDescent="0.3">
      <c r="A404">
        <v>4421001340</v>
      </c>
      <c r="B404">
        <v>4421002966</v>
      </c>
      <c r="C404" t="str">
        <f>T("가출천사 육성계약 50화")</f>
        <v>가출천사 육성계약 50화</v>
      </c>
      <c r="D404" t="str">
        <f>T("50")</f>
        <v>50</v>
      </c>
      <c r="E404" t="str">
        <f>T("Bae.C, IIAKI, 박제후")</f>
        <v>Bae.C, IIAKI, 박제후</v>
      </c>
      <c r="G404" t="str">
        <f>T("Bae.C, 조우")</f>
        <v>Bae.C, 조우</v>
      </c>
      <c r="H404" t="str">
        <f t="shared" si="53"/>
        <v>스토리위즈</v>
      </c>
      <c r="I404" t="str">
        <f>T("가출천사 육성계약")</f>
        <v>가출천사 육성계약</v>
      </c>
      <c r="J404">
        <v>400</v>
      </c>
      <c r="K404">
        <v>0</v>
      </c>
      <c r="L404">
        <v>0</v>
      </c>
      <c r="M404">
        <v>0</v>
      </c>
      <c r="N404">
        <v>200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240</v>
      </c>
      <c r="AN404">
        <v>-24</v>
      </c>
      <c r="AO404">
        <v>0</v>
      </c>
      <c r="AP404"/>
      <c r="AQ404">
        <v>0</v>
      </c>
      <c r="AR404">
        <v>0</v>
      </c>
      <c r="AS404">
        <v>240</v>
      </c>
      <c r="AT404">
        <v>-24</v>
      </c>
      <c r="AU404">
        <v>0</v>
      </c>
      <c r="AW404">
        <v>0</v>
      </c>
      <c r="AX404">
        <v>0</v>
      </c>
      <c r="AY404">
        <v>151.19999999999999</v>
      </c>
      <c r="BA404" t="str">
        <f>T("0000000000000")</f>
        <v>0000000000000</v>
      </c>
      <c r="BC404" t="str">
        <f>T("9791191765663")</f>
        <v>9791191765663</v>
      </c>
      <c r="BE404" t="str">
        <f>T("웹툰 &gt; 판타지/SF")</f>
        <v>웹툰 &gt; 판타지/SF</v>
      </c>
    </row>
    <row r="405" spans="1:58" x14ac:dyDescent="0.3">
      <c r="A405">
        <v>4421000198</v>
      </c>
      <c r="B405">
        <v>4421001303</v>
      </c>
      <c r="C405" t="str">
        <f>T("공주전쟁 91화")</f>
        <v>공주전쟁 91화</v>
      </c>
      <c r="D405" t="str">
        <f>T("91")</f>
        <v>91</v>
      </c>
      <c r="E405" t="str">
        <f>T("Hujing")</f>
        <v>Hujing</v>
      </c>
      <c r="G405" t="str">
        <f>T("Luojie")</f>
        <v>Luojie</v>
      </c>
      <c r="H405" t="str">
        <f t="shared" si="53"/>
        <v>스토리위즈</v>
      </c>
      <c r="I405" t="str">
        <f>T("공주전쟁")</f>
        <v>공주전쟁</v>
      </c>
      <c r="J405">
        <v>400</v>
      </c>
      <c r="K405">
        <v>0</v>
      </c>
      <c r="L405">
        <v>0</v>
      </c>
      <c r="M405">
        <v>0</v>
      </c>
      <c r="N405">
        <v>200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240</v>
      </c>
      <c r="AN405">
        <v>-24</v>
      </c>
      <c r="AO405">
        <v>0</v>
      </c>
      <c r="AP405"/>
      <c r="AQ405">
        <v>0</v>
      </c>
      <c r="AR405">
        <v>0</v>
      </c>
      <c r="AS405">
        <v>240</v>
      </c>
      <c r="AT405">
        <v>-24</v>
      </c>
      <c r="AU405">
        <v>0</v>
      </c>
      <c r="AW405">
        <v>0</v>
      </c>
      <c r="AX405">
        <v>0</v>
      </c>
      <c r="AY405">
        <v>151.19999999999999</v>
      </c>
      <c r="BA405" t="str">
        <f>T("0000000000000")</f>
        <v>0000000000000</v>
      </c>
      <c r="BC405" t="str">
        <f>T("9791166069666")</f>
        <v>9791166069666</v>
      </c>
      <c r="BE405" t="str">
        <f>T("웹툰 &gt; 해외 순정")</f>
        <v>웹툰 &gt; 해외 순정</v>
      </c>
      <c r="BF405" t="str">
        <f>T("웹툰 &gt; 로판")</f>
        <v>웹툰 &gt; 로판</v>
      </c>
    </row>
    <row r="406" spans="1:58" x14ac:dyDescent="0.3">
      <c r="A406">
        <v>4421003015</v>
      </c>
      <c r="B406">
        <v>4421003040</v>
      </c>
      <c r="C406" t="str">
        <f>T("일월성신 25화")</f>
        <v>일월성신 25화</v>
      </c>
      <c r="D406" t="str">
        <f>T("25")</f>
        <v>25</v>
      </c>
      <c r="E406" t="str">
        <f>T("김숙지")</f>
        <v>김숙지</v>
      </c>
      <c r="G406" t="str">
        <f>T("이름표")</f>
        <v>이름표</v>
      </c>
      <c r="H406" t="str">
        <f t="shared" si="53"/>
        <v>스토리위즈</v>
      </c>
      <c r="I406" t="str">
        <f>T("일월성신")</f>
        <v>일월성신</v>
      </c>
      <c r="J406">
        <v>400</v>
      </c>
      <c r="K406">
        <v>0</v>
      </c>
      <c r="L406">
        <v>0</v>
      </c>
      <c r="M406">
        <v>0</v>
      </c>
      <c r="N406">
        <v>600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600</v>
      </c>
      <c r="AH406">
        <v>3</v>
      </c>
      <c r="AI406">
        <v>0</v>
      </c>
      <c r="AJ406">
        <v>0</v>
      </c>
      <c r="AK406">
        <v>200</v>
      </c>
      <c r="AL406">
        <v>0</v>
      </c>
      <c r="AM406">
        <v>480</v>
      </c>
      <c r="AN406">
        <v>-96</v>
      </c>
      <c r="AO406">
        <v>0</v>
      </c>
      <c r="AP406">
        <v>240</v>
      </c>
      <c r="AQ406">
        <v>-72</v>
      </c>
      <c r="AR406">
        <v>0</v>
      </c>
      <c r="AS406">
        <v>240</v>
      </c>
      <c r="AT406">
        <v>-24</v>
      </c>
      <c r="AU406">
        <v>0</v>
      </c>
      <c r="AW406">
        <v>0</v>
      </c>
      <c r="AX406">
        <v>0</v>
      </c>
      <c r="AY406">
        <v>408.8</v>
      </c>
      <c r="BA406" t="str">
        <f>T("0000000000000")</f>
        <v>0000000000000</v>
      </c>
      <c r="BC406" t="str">
        <f>T("9791137604605")</f>
        <v>9791137604605</v>
      </c>
      <c r="BE406" t="str">
        <f>T("웹툰 &gt; 드라마")</f>
        <v>웹툰 &gt; 드라마</v>
      </c>
    </row>
    <row r="407" spans="1:58" x14ac:dyDescent="0.3">
      <c r="A407">
        <v>4421001634</v>
      </c>
      <c r="B407">
        <v>4421002538</v>
      </c>
      <c r="C407" t="str">
        <f>T("그남자의 사랑방식 89화")</f>
        <v>그남자의 사랑방식 89화</v>
      </c>
      <c r="D407" t="str">
        <f>T("89")</f>
        <v>89</v>
      </c>
      <c r="E407" t="str">
        <f>T("웹티")</f>
        <v>웹티</v>
      </c>
      <c r="H407" t="str">
        <f t="shared" si="53"/>
        <v>스토리위즈</v>
      </c>
      <c r="I407" t="str">
        <f>T("그남자의 사랑방식")</f>
        <v>그남자의 사랑방식</v>
      </c>
      <c r="J407">
        <v>500</v>
      </c>
      <c r="K407">
        <v>0</v>
      </c>
      <c r="L407">
        <v>0</v>
      </c>
      <c r="M407">
        <v>0</v>
      </c>
      <c r="N407">
        <v>200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240</v>
      </c>
      <c r="AN407">
        <v>-24</v>
      </c>
      <c r="AO407">
        <v>0</v>
      </c>
      <c r="AP407"/>
      <c r="AQ407">
        <v>0</v>
      </c>
      <c r="AR407">
        <v>0</v>
      </c>
      <c r="AS407">
        <v>240</v>
      </c>
      <c r="AT407">
        <v>-24</v>
      </c>
      <c r="AU407">
        <v>0</v>
      </c>
      <c r="AW407">
        <v>0</v>
      </c>
      <c r="AX407">
        <v>0</v>
      </c>
      <c r="AY407">
        <v>151.19999999999999</v>
      </c>
      <c r="BC407" t="str">
        <f>T("9791190622004")</f>
        <v>9791190622004</v>
      </c>
      <c r="BE407" t="str">
        <f>T("BL 웹툰 &gt; 웹툰")</f>
        <v>BL 웹툰 &gt; 웹툰</v>
      </c>
    </row>
    <row r="408" spans="1:58" x14ac:dyDescent="0.3">
      <c r="A408">
        <v>4421001340</v>
      </c>
      <c r="B408">
        <v>4421001357</v>
      </c>
      <c r="C408" t="str">
        <f>T("가출천사 육성계약 18화")</f>
        <v>가출천사 육성계약 18화</v>
      </c>
      <c r="D408" t="str">
        <f>T("18")</f>
        <v>18</v>
      </c>
      <c r="E408" t="str">
        <f>T("Bae.C, IIAKI, 박제후")</f>
        <v>Bae.C, IIAKI, 박제후</v>
      </c>
      <c r="G408" t="str">
        <f>T("Bae.C, 조우")</f>
        <v>Bae.C, 조우</v>
      </c>
      <c r="H408" t="str">
        <f t="shared" si="53"/>
        <v>스토리위즈</v>
      </c>
      <c r="I408" t="str">
        <f>T("가출천사 육성계약")</f>
        <v>가출천사 육성계약</v>
      </c>
      <c r="J408">
        <v>400</v>
      </c>
      <c r="K408">
        <v>0</v>
      </c>
      <c r="L408">
        <v>0</v>
      </c>
      <c r="M408">
        <v>0</v>
      </c>
      <c r="N408">
        <v>200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240</v>
      </c>
      <c r="AN408">
        <v>-24</v>
      </c>
      <c r="AO408">
        <v>0</v>
      </c>
      <c r="AP408"/>
      <c r="AQ408">
        <v>0</v>
      </c>
      <c r="AR408">
        <v>0</v>
      </c>
      <c r="AS408">
        <v>240</v>
      </c>
      <c r="AT408">
        <v>-24</v>
      </c>
      <c r="AU408">
        <v>0</v>
      </c>
      <c r="AW408">
        <v>0</v>
      </c>
      <c r="AX408">
        <v>0</v>
      </c>
      <c r="AY408">
        <v>151.19999999999999</v>
      </c>
      <c r="BA408" t="str">
        <f>T("0000000000000")</f>
        <v>0000000000000</v>
      </c>
      <c r="BC408" t="str">
        <f>T("9791191765663")</f>
        <v>9791191765663</v>
      </c>
      <c r="BE408" t="str">
        <f>T("웹툰 &gt; 판타지/SF")</f>
        <v>웹툰 &gt; 판타지/SF</v>
      </c>
    </row>
    <row r="409" spans="1:58" x14ac:dyDescent="0.3">
      <c r="A409">
        <v>4421001634</v>
      </c>
      <c r="B409">
        <v>4421001657</v>
      </c>
      <c r="C409" t="str">
        <f>T("그남자의 사랑방식 24화")</f>
        <v>그남자의 사랑방식 24화</v>
      </c>
      <c r="D409" t="str">
        <f>T("24")</f>
        <v>24</v>
      </c>
      <c r="E409" t="str">
        <f>T("웹티")</f>
        <v>웹티</v>
      </c>
      <c r="H409" t="str">
        <f t="shared" si="53"/>
        <v>스토리위즈</v>
      </c>
      <c r="I409" t="str">
        <f>T("그남자의 사랑방식")</f>
        <v>그남자의 사랑방식</v>
      </c>
      <c r="J409">
        <v>500</v>
      </c>
      <c r="K409">
        <v>0</v>
      </c>
      <c r="L409">
        <v>0</v>
      </c>
      <c r="M409">
        <v>0</v>
      </c>
      <c r="N409">
        <v>1000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1000</v>
      </c>
      <c r="AH409">
        <v>5</v>
      </c>
      <c r="AI409">
        <v>0</v>
      </c>
      <c r="AJ409">
        <v>0</v>
      </c>
      <c r="AK409">
        <v>200</v>
      </c>
      <c r="AL409">
        <v>0</v>
      </c>
      <c r="AM409">
        <v>960</v>
      </c>
      <c r="AN409">
        <v>-192</v>
      </c>
      <c r="AO409">
        <v>0</v>
      </c>
      <c r="AP409">
        <v>240</v>
      </c>
      <c r="AQ409">
        <v>-72</v>
      </c>
      <c r="AR409">
        <v>0</v>
      </c>
      <c r="AS409">
        <v>720</v>
      </c>
      <c r="AT409">
        <v>-120</v>
      </c>
      <c r="AU409">
        <v>0</v>
      </c>
      <c r="AW409">
        <v>0</v>
      </c>
      <c r="AX409">
        <v>0</v>
      </c>
      <c r="AY409">
        <v>677.6</v>
      </c>
      <c r="BC409" t="str">
        <f>T("9791190622004")</f>
        <v>9791190622004</v>
      </c>
      <c r="BE409" t="str">
        <f>T("BL 웹툰 &gt; 웹툰")</f>
        <v>BL 웹툰 &gt; 웹툰</v>
      </c>
    </row>
    <row r="410" spans="1:58" x14ac:dyDescent="0.3">
      <c r="A410">
        <v>4421000866</v>
      </c>
      <c r="B410">
        <v>4421001256</v>
      </c>
      <c r="C410" t="str">
        <f>T("최애에게 들켜버렸다 58화")</f>
        <v>최애에게 들켜버렸다 58화</v>
      </c>
      <c r="D410" t="str">
        <f>T("61")</f>
        <v>61</v>
      </c>
      <c r="E410" t="str">
        <f>T("Lv")</f>
        <v>Lv</v>
      </c>
      <c r="G410" t="str">
        <f>T("Lv")</f>
        <v>Lv</v>
      </c>
      <c r="H410" t="str">
        <f t="shared" si="53"/>
        <v>스토리위즈</v>
      </c>
      <c r="I410" t="str">
        <f>T("최애에게 들켜버렸다")</f>
        <v>최애에게 들켜버렸다</v>
      </c>
      <c r="J410">
        <v>400</v>
      </c>
      <c r="K410">
        <v>0</v>
      </c>
      <c r="L410">
        <v>0</v>
      </c>
      <c r="M410">
        <v>0</v>
      </c>
      <c r="N410">
        <v>200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240</v>
      </c>
      <c r="AN410">
        <v>-24</v>
      </c>
      <c r="AO410">
        <v>0</v>
      </c>
      <c r="AP410"/>
      <c r="AQ410">
        <v>0</v>
      </c>
      <c r="AR410">
        <v>0</v>
      </c>
      <c r="AS410">
        <v>240</v>
      </c>
      <c r="AT410">
        <v>-24</v>
      </c>
      <c r="AU410">
        <v>0</v>
      </c>
      <c r="AW410">
        <v>0</v>
      </c>
      <c r="AX410">
        <v>0</v>
      </c>
      <c r="AY410">
        <v>151.19999999999999</v>
      </c>
      <c r="BA410" t="str">
        <f t="shared" ref="BA410:BA415" si="55">T("0000000000000")</f>
        <v>0000000000000</v>
      </c>
      <c r="BC410" t="str">
        <f>T("9791137601253")</f>
        <v>9791137601253</v>
      </c>
      <c r="BE410" t="str">
        <f>T("웹툰 &gt; 해외 순정")</f>
        <v>웹툰 &gt; 해외 순정</v>
      </c>
      <c r="BF410" t="str">
        <f>T("웹툰 &gt; 로맨스")</f>
        <v>웹툰 &gt; 로맨스</v>
      </c>
    </row>
    <row r="411" spans="1:58" x14ac:dyDescent="0.3">
      <c r="A411">
        <v>4421001340</v>
      </c>
      <c r="B411">
        <v>4421001348</v>
      </c>
      <c r="C411" t="str">
        <f>T("가출천사 육성계약 9화")</f>
        <v>가출천사 육성계약 9화</v>
      </c>
      <c r="D411" t="str">
        <f>T("9")</f>
        <v>9</v>
      </c>
      <c r="E411" t="str">
        <f>T("Bae.C, IIAKI, 박제후")</f>
        <v>Bae.C, IIAKI, 박제후</v>
      </c>
      <c r="G411" t="str">
        <f>T("Bae.C, 조우")</f>
        <v>Bae.C, 조우</v>
      </c>
      <c r="H411" t="str">
        <f t="shared" si="53"/>
        <v>스토리위즈</v>
      </c>
      <c r="I411" t="str">
        <f>T("가출천사 육성계약")</f>
        <v>가출천사 육성계약</v>
      </c>
      <c r="J411">
        <v>400</v>
      </c>
      <c r="K411">
        <v>0</v>
      </c>
      <c r="L411">
        <v>0</v>
      </c>
      <c r="M411">
        <v>0</v>
      </c>
      <c r="N411">
        <v>200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240</v>
      </c>
      <c r="AN411">
        <v>-24</v>
      </c>
      <c r="AO411">
        <v>0</v>
      </c>
      <c r="AP411"/>
      <c r="AQ411">
        <v>0</v>
      </c>
      <c r="AR411">
        <v>0</v>
      </c>
      <c r="AS411">
        <v>240</v>
      </c>
      <c r="AT411">
        <v>-24</v>
      </c>
      <c r="AU411">
        <v>0</v>
      </c>
      <c r="AW411">
        <v>0</v>
      </c>
      <c r="AX411">
        <v>0</v>
      </c>
      <c r="AY411">
        <v>151.19999999999999</v>
      </c>
      <c r="BA411" t="str">
        <f t="shared" si="55"/>
        <v>0000000000000</v>
      </c>
      <c r="BC411" t="str">
        <f>T("9791191765663")</f>
        <v>9791191765663</v>
      </c>
      <c r="BE411" t="str">
        <f>T("웹툰 &gt; 판타지/SF")</f>
        <v>웹툰 &gt; 판타지/SF</v>
      </c>
    </row>
    <row r="412" spans="1:58" x14ac:dyDescent="0.3">
      <c r="A412">
        <v>4421000866</v>
      </c>
      <c r="B412">
        <v>4421003083</v>
      </c>
      <c r="C412" t="str">
        <f>T("최애에게 들켜버렸다 99화")</f>
        <v>최애에게 들켜버렸다 99화</v>
      </c>
      <c r="D412" t="str">
        <f>T("102")</f>
        <v>102</v>
      </c>
      <c r="E412" t="str">
        <f>T("Lv")</f>
        <v>Lv</v>
      </c>
      <c r="G412" t="str">
        <f>T("Lv")</f>
        <v>Lv</v>
      </c>
      <c r="H412" t="str">
        <f t="shared" si="53"/>
        <v>스토리위즈</v>
      </c>
      <c r="I412" t="str">
        <f>T("최애에게 들켜버렸다")</f>
        <v>최애에게 들켜버렸다</v>
      </c>
      <c r="J412">
        <v>400</v>
      </c>
      <c r="K412">
        <v>0</v>
      </c>
      <c r="L412">
        <v>0</v>
      </c>
      <c r="M412">
        <v>0</v>
      </c>
      <c r="N412">
        <v>1400</v>
      </c>
      <c r="O412">
        <v>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1400</v>
      </c>
      <c r="AH412">
        <v>7</v>
      </c>
      <c r="AI412">
        <v>0</v>
      </c>
      <c r="AJ412">
        <v>0</v>
      </c>
      <c r="AK412">
        <v>800</v>
      </c>
      <c r="AL412">
        <v>0</v>
      </c>
      <c r="AM412">
        <v>720</v>
      </c>
      <c r="AN412">
        <v>-72</v>
      </c>
      <c r="AO412">
        <v>0</v>
      </c>
      <c r="AP412"/>
      <c r="AQ412">
        <v>0</v>
      </c>
      <c r="AR412">
        <v>0</v>
      </c>
      <c r="AS412">
        <v>720</v>
      </c>
      <c r="AT412">
        <v>-72</v>
      </c>
      <c r="AU412">
        <v>0</v>
      </c>
      <c r="AW412">
        <v>0</v>
      </c>
      <c r="AX412">
        <v>0</v>
      </c>
      <c r="AY412">
        <v>1013.6</v>
      </c>
      <c r="BA412" t="str">
        <f t="shared" si="55"/>
        <v>0000000000000</v>
      </c>
      <c r="BC412" t="str">
        <f>T("9791137601253")</f>
        <v>9791137601253</v>
      </c>
      <c r="BE412" t="str">
        <f>T("웹툰 &gt; 해외 순정")</f>
        <v>웹툰 &gt; 해외 순정</v>
      </c>
      <c r="BF412" t="str">
        <f>T("웹툰 &gt; 로맨스")</f>
        <v>웹툰 &gt; 로맨스</v>
      </c>
    </row>
    <row r="413" spans="1:58" x14ac:dyDescent="0.3">
      <c r="A413">
        <v>4421002022</v>
      </c>
      <c r="B413">
        <v>4421002051</v>
      </c>
      <c r="C413" t="str">
        <f>T("대표님과 연애를 시작했습니다 30화")</f>
        <v>대표님과 연애를 시작했습니다 30화</v>
      </c>
      <c r="D413" t="str">
        <f>T("30")</f>
        <v>30</v>
      </c>
      <c r="E413" t="str">
        <f>T("웹티")</f>
        <v>웹티</v>
      </c>
      <c r="H413" t="str">
        <f t="shared" si="53"/>
        <v>스토리위즈</v>
      </c>
      <c r="I413" t="str">
        <f>T("대표님과 연애를 시작했습니다")</f>
        <v>대표님과 연애를 시작했습니다</v>
      </c>
      <c r="J413">
        <v>500</v>
      </c>
      <c r="K413">
        <v>0</v>
      </c>
      <c r="L413">
        <v>0</v>
      </c>
      <c r="M413">
        <v>0</v>
      </c>
      <c r="N413">
        <v>200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200</v>
      </c>
      <c r="AH413">
        <v>1</v>
      </c>
      <c r="AI413">
        <v>0</v>
      </c>
      <c r="AJ413">
        <v>0</v>
      </c>
      <c r="AK413">
        <v>200</v>
      </c>
      <c r="AL413">
        <v>0</v>
      </c>
      <c r="AM413">
        <v>0</v>
      </c>
      <c r="AN413">
        <v>0</v>
      </c>
      <c r="AO413">
        <v>0</v>
      </c>
      <c r="AP413"/>
      <c r="AQ413">
        <v>0</v>
      </c>
      <c r="AR413">
        <v>0</v>
      </c>
      <c r="AT413">
        <v>0</v>
      </c>
      <c r="AU413">
        <v>0</v>
      </c>
      <c r="AW413">
        <v>0</v>
      </c>
      <c r="AX413">
        <v>0</v>
      </c>
      <c r="AY413">
        <v>140</v>
      </c>
      <c r="BA413" t="str">
        <f t="shared" si="55"/>
        <v>0000000000000</v>
      </c>
      <c r="BC413" t="str">
        <f>T("9791196660482")</f>
        <v>9791196660482</v>
      </c>
      <c r="BE413" t="str">
        <f>T("BL 웹툰 &gt; 웹툰")</f>
        <v>BL 웹툰 &gt; 웹툰</v>
      </c>
    </row>
    <row r="414" spans="1:58" x14ac:dyDescent="0.3">
      <c r="A414">
        <v>4421000866</v>
      </c>
      <c r="B414">
        <v>4421003065</v>
      </c>
      <c r="C414" t="str">
        <f>T("최애에게 들켜버렸다 97화")</f>
        <v>최애에게 들켜버렸다 97화</v>
      </c>
      <c r="D414" t="str">
        <f>T("100")</f>
        <v>100</v>
      </c>
      <c r="E414" t="str">
        <f>T("Lv")</f>
        <v>Lv</v>
      </c>
      <c r="G414" t="str">
        <f>T("Lv")</f>
        <v>Lv</v>
      </c>
      <c r="H414" t="str">
        <f t="shared" si="53"/>
        <v>스토리위즈</v>
      </c>
      <c r="I414" t="str">
        <f>T("최애에게 들켜버렸다")</f>
        <v>최애에게 들켜버렸다</v>
      </c>
      <c r="J414">
        <v>400</v>
      </c>
      <c r="K414">
        <v>0</v>
      </c>
      <c r="L414">
        <v>0</v>
      </c>
      <c r="M414">
        <v>0</v>
      </c>
      <c r="N414">
        <v>200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240</v>
      </c>
      <c r="AN414">
        <v>-24</v>
      </c>
      <c r="AO414">
        <v>0</v>
      </c>
      <c r="AP414"/>
      <c r="AQ414">
        <v>0</v>
      </c>
      <c r="AR414">
        <v>0</v>
      </c>
      <c r="AS414">
        <v>240</v>
      </c>
      <c r="AT414">
        <v>-24</v>
      </c>
      <c r="AU414">
        <v>0</v>
      </c>
      <c r="AW414">
        <v>0</v>
      </c>
      <c r="AX414">
        <v>0</v>
      </c>
      <c r="AY414">
        <v>151.19999999999999</v>
      </c>
      <c r="BA414" t="str">
        <f t="shared" si="55"/>
        <v>0000000000000</v>
      </c>
      <c r="BC414" t="str">
        <f>T("9791137601253")</f>
        <v>9791137601253</v>
      </c>
      <c r="BE414" t="str">
        <f>T("웹툰 &gt; 해외 순정")</f>
        <v>웹툰 &gt; 해외 순정</v>
      </c>
      <c r="BF414" t="str">
        <f>T("웹툰 &gt; 로맨스")</f>
        <v>웹툰 &gt; 로맨스</v>
      </c>
    </row>
    <row r="415" spans="1:58" x14ac:dyDescent="0.3">
      <c r="A415">
        <v>4421001377</v>
      </c>
      <c r="B415">
        <v>4421001379</v>
      </c>
      <c r="C415" t="str">
        <f>T("요괴님은 수련중 3화")</f>
        <v>요괴님은 수련중 3화</v>
      </c>
      <c r="D415" t="str">
        <f>T("3")</f>
        <v>3</v>
      </c>
      <c r="E415" t="str">
        <f>T("화방")</f>
        <v>화방</v>
      </c>
      <c r="G415" t="str">
        <f>T("망북")</f>
        <v>망북</v>
      </c>
      <c r="H415" t="str">
        <f t="shared" si="53"/>
        <v>스토리위즈</v>
      </c>
      <c r="I415" t="str">
        <f>T("요괴님은 수련중")</f>
        <v>요괴님은 수련중</v>
      </c>
      <c r="J415">
        <v>400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/>
      <c r="AQ415">
        <v>0</v>
      </c>
      <c r="AR415">
        <v>0</v>
      </c>
      <c r="AT415">
        <v>0</v>
      </c>
      <c r="AU415">
        <v>0</v>
      </c>
      <c r="AW415">
        <v>0</v>
      </c>
      <c r="AX415">
        <v>0</v>
      </c>
      <c r="AY415">
        <v>0</v>
      </c>
      <c r="BA415" t="str">
        <f t="shared" si="55"/>
        <v>0000000000000</v>
      </c>
      <c r="BC415" t="str">
        <f>T("9791137603899")</f>
        <v>9791137603899</v>
      </c>
      <c r="BE415" t="str">
        <f>T("웹툰 &gt; 해외 순정")</f>
        <v>웹툰 &gt; 해외 순정</v>
      </c>
      <c r="BF415" t="str">
        <f>T("웹툰 &gt; 로판")</f>
        <v>웹툰 &gt; 로판</v>
      </c>
    </row>
    <row r="416" spans="1:58" x14ac:dyDescent="0.3">
      <c r="A416">
        <v>4421001634</v>
      </c>
      <c r="B416">
        <v>4421002560</v>
      </c>
      <c r="C416" t="str">
        <f>T("그남자의 사랑방식 111화")</f>
        <v>그남자의 사랑방식 111화</v>
      </c>
      <c r="D416" t="str">
        <f>T("111")</f>
        <v>111</v>
      </c>
      <c r="E416" t="str">
        <f>T("웹티")</f>
        <v>웹티</v>
      </c>
      <c r="H416" t="str">
        <f t="shared" si="53"/>
        <v>스토리위즈</v>
      </c>
      <c r="I416" t="str">
        <f>T("그남자의 사랑방식")</f>
        <v>그남자의 사랑방식</v>
      </c>
      <c r="J416">
        <v>500</v>
      </c>
      <c r="K416">
        <v>0</v>
      </c>
      <c r="L416">
        <v>0</v>
      </c>
      <c r="M416">
        <v>0</v>
      </c>
      <c r="N416">
        <v>800</v>
      </c>
      <c r="O416">
        <v>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800</v>
      </c>
      <c r="AH416">
        <v>4</v>
      </c>
      <c r="AI416">
        <v>0</v>
      </c>
      <c r="AJ416">
        <v>0</v>
      </c>
      <c r="AK416">
        <v>400</v>
      </c>
      <c r="AL416">
        <v>0</v>
      </c>
      <c r="AM416">
        <v>480</v>
      </c>
      <c r="AN416">
        <v>-48</v>
      </c>
      <c r="AO416">
        <v>0</v>
      </c>
      <c r="AP416"/>
      <c r="AQ416">
        <v>0</v>
      </c>
      <c r="AR416">
        <v>0</v>
      </c>
      <c r="AS416">
        <v>480</v>
      </c>
      <c r="AT416">
        <v>-48</v>
      </c>
      <c r="AU416">
        <v>0</v>
      </c>
      <c r="AW416">
        <v>0</v>
      </c>
      <c r="AX416">
        <v>0</v>
      </c>
      <c r="AY416">
        <v>582.4</v>
      </c>
      <c r="BC416" t="str">
        <f>T("9791190622004")</f>
        <v>9791190622004</v>
      </c>
      <c r="BE416" t="str">
        <f>T("BL 웹툰 &gt; 웹툰")</f>
        <v>BL 웹툰 &gt; 웹툰</v>
      </c>
    </row>
    <row r="417" spans="1:58" x14ac:dyDescent="0.3">
      <c r="A417">
        <v>4421000001</v>
      </c>
      <c r="B417">
        <v>4421000012</v>
      </c>
      <c r="C417" t="str">
        <f>T("감옥실험 2화")</f>
        <v>감옥실험 2화</v>
      </c>
      <c r="D417" t="str">
        <f>T("2")</f>
        <v>2</v>
      </c>
      <c r="E417" t="str">
        <f>T("Kantetsu")</f>
        <v>Kantetsu</v>
      </c>
      <c r="G417" t="str">
        <f>T("Minase Chiho")</f>
        <v>Minase Chiho</v>
      </c>
      <c r="H417" t="str">
        <f t="shared" si="53"/>
        <v>스토리위즈</v>
      </c>
      <c r="I417" t="str">
        <f>T("감옥실험")</f>
        <v>감옥실험</v>
      </c>
      <c r="J417">
        <v>500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/>
      <c r="AQ417">
        <v>0</v>
      </c>
      <c r="AR417">
        <v>0</v>
      </c>
      <c r="AT417">
        <v>0</v>
      </c>
      <c r="AU417">
        <v>0</v>
      </c>
      <c r="AW417">
        <v>0</v>
      </c>
      <c r="AX417">
        <v>0</v>
      </c>
      <c r="AY417">
        <v>0</v>
      </c>
      <c r="BC417" t="str">
        <f>T("9791166069406")</f>
        <v>9791166069406</v>
      </c>
      <c r="BE417" t="str">
        <f>T("웹툰 &gt; 드라마")</f>
        <v>웹툰 &gt; 드라마</v>
      </c>
    </row>
    <row r="418" spans="1:58" x14ac:dyDescent="0.3">
      <c r="A418">
        <v>4421000866</v>
      </c>
      <c r="B418">
        <v>4421000960</v>
      </c>
      <c r="C418" t="str">
        <f>T("최애에게 들켜버렸다 26화")</f>
        <v>최애에게 들켜버렸다 26화</v>
      </c>
      <c r="D418" t="str">
        <f>T("27")</f>
        <v>27</v>
      </c>
      <c r="E418" t="str">
        <f>T("Lv")</f>
        <v>Lv</v>
      </c>
      <c r="G418" t="str">
        <f>T("Lv")</f>
        <v>Lv</v>
      </c>
      <c r="H418" t="str">
        <f t="shared" si="53"/>
        <v>스토리위즈</v>
      </c>
      <c r="I418" t="str">
        <f>T("최애에게 들켜버렸다")</f>
        <v>최애에게 들켜버렸다</v>
      </c>
      <c r="J418">
        <v>400</v>
      </c>
      <c r="K418">
        <v>0</v>
      </c>
      <c r="L418">
        <v>0</v>
      </c>
      <c r="M418">
        <v>0</v>
      </c>
      <c r="N418">
        <v>600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600</v>
      </c>
      <c r="AH418">
        <v>3</v>
      </c>
      <c r="AI418">
        <v>0</v>
      </c>
      <c r="AJ418">
        <v>0</v>
      </c>
      <c r="AK418">
        <v>60</v>
      </c>
      <c r="AL418">
        <v>0</v>
      </c>
      <c r="AM418">
        <v>648</v>
      </c>
      <c r="AN418">
        <v>-64.8</v>
      </c>
      <c r="AO418">
        <v>0</v>
      </c>
      <c r="AP418"/>
      <c r="AQ418">
        <v>0</v>
      </c>
      <c r="AR418">
        <v>0</v>
      </c>
      <c r="AS418">
        <v>648</v>
      </c>
      <c r="AT418">
        <v>-64.8</v>
      </c>
      <c r="AU418">
        <v>0</v>
      </c>
      <c r="AW418">
        <v>0</v>
      </c>
      <c r="AX418">
        <v>0</v>
      </c>
      <c r="AY418">
        <v>450.24</v>
      </c>
      <c r="BA418" t="str">
        <f>T("0000000000000")</f>
        <v>0000000000000</v>
      </c>
      <c r="BC418" t="str">
        <f>T("9791137601253")</f>
        <v>9791137601253</v>
      </c>
      <c r="BE418" t="str">
        <f>T("웹툰 &gt; 해외 순정")</f>
        <v>웹툰 &gt; 해외 순정</v>
      </c>
      <c r="BF418" t="str">
        <f>T("웹툰 &gt; 로맨스")</f>
        <v>웹툰 &gt; 로맨스</v>
      </c>
    </row>
    <row r="419" spans="1:58" x14ac:dyDescent="0.3">
      <c r="A419">
        <v>4421000450</v>
      </c>
      <c r="B419">
        <v>4421000453</v>
      </c>
      <c r="C419" t="str">
        <f>T("내 남편의 스토커 3화")</f>
        <v>내 남편의 스토커 3화</v>
      </c>
      <c r="D419" t="str">
        <f>T("3")</f>
        <v>3</v>
      </c>
      <c r="E419" t="str">
        <f>T("혜원")</f>
        <v>혜원</v>
      </c>
      <c r="G419" t="str">
        <f>T("혜원")</f>
        <v>혜원</v>
      </c>
      <c r="H419" t="str">
        <f t="shared" si="53"/>
        <v>스토리위즈</v>
      </c>
      <c r="I419" t="str">
        <f>T("내 남편의 스토커")</f>
        <v>내 남편의 스토커</v>
      </c>
      <c r="J419">
        <v>400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2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/>
      <c r="AQ419">
        <v>0</v>
      </c>
      <c r="AR419">
        <v>0</v>
      </c>
      <c r="AT419">
        <v>0</v>
      </c>
      <c r="AU419">
        <v>0</v>
      </c>
      <c r="AW419">
        <v>0</v>
      </c>
      <c r="AX419">
        <v>0</v>
      </c>
      <c r="AY419">
        <v>0</v>
      </c>
      <c r="BA419" t="str">
        <f>T("0000000000000")</f>
        <v>0000000000000</v>
      </c>
      <c r="BC419" t="str">
        <f>T("9791166068034")</f>
        <v>9791166068034</v>
      </c>
      <c r="BE419" t="str">
        <f>T("웹툰 &gt; 로맨스")</f>
        <v>웹툰 &gt; 로맨스</v>
      </c>
    </row>
    <row r="420" spans="1:58" x14ac:dyDescent="0.3">
      <c r="A420">
        <v>4421002306</v>
      </c>
      <c r="B420">
        <v>4421002326</v>
      </c>
      <c r="C420" t="str">
        <f>T("지금은 여장중! 3화")</f>
        <v>지금은 여장중! 3화</v>
      </c>
      <c r="D420" t="str">
        <f>T("3")</f>
        <v>3</v>
      </c>
      <c r="E420" t="str">
        <f>T("웹티")</f>
        <v>웹티</v>
      </c>
      <c r="H420" t="str">
        <f t="shared" si="53"/>
        <v>스토리위즈</v>
      </c>
      <c r="I420" t="str">
        <f>T("지금은 여장중!")</f>
        <v>지금은 여장중!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/>
      <c r="AQ420">
        <v>0</v>
      </c>
      <c r="AR420">
        <v>0</v>
      </c>
      <c r="AT420">
        <v>0</v>
      </c>
      <c r="AU420">
        <v>0</v>
      </c>
      <c r="AW420">
        <v>0</v>
      </c>
      <c r="AX420">
        <v>0</v>
      </c>
      <c r="AY420">
        <v>0</v>
      </c>
      <c r="BA420" t="str">
        <f>T("0000000000000")</f>
        <v>0000000000000</v>
      </c>
      <c r="BC420" t="str">
        <f>T("9791196608354")</f>
        <v>9791196608354</v>
      </c>
      <c r="BE420" t="str">
        <f>T("웹툰 &gt; 로맨스")</f>
        <v>웹툰 &gt; 로맨스</v>
      </c>
    </row>
    <row r="421" spans="1:58" x14ac:dyDescent="0.3">
      <c r="A421">
        <v>4421000570</v>
      </c>
      <c r="B421">
        <v>4421000572</v>
      </c>
      <c r="C421" t="str">
        <f>T("폐하, 옥체 보존하세요! 3화")</f>
        <v>폐하, 옥체 보존하세요! 3화</v>
      </c>
      <c r="D421" t="str">
        <f>T("3")</f>
        <v>3</v>
      </c>
      <c r="E421" t="str">
        <f>T("Lvyeqianhe")</f>
        <v>Lvyeqianhe</v>
      </c>
      <c r="G421" t="str">
        <f>T("Youzhijiaozi")</f>
        <v>Youzhijiaozi</v>
      </c>
      <c r="H421" t="str">
        <f t="shared" si="53"/>
        <v>스토리위즈</v>
      </c>
      <c r="I421" t="str">
        <f>T("폐하, 옥체 보존하세요!")</f>
        <v>폐하, 옥체 보존하세요!</v>
      </c>
      <c r="J421">
        <v>200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/>
      <c r="AQ421">
        <v>0</v>
      </c>
      <c r="AR421">
        <v>0</v>
      </c>
      <c r="AT421">
        <v>0</v>
      </c>
      <c r="AU421">
        <v>0</v>
      </c>
      <c r="AW421">
        <v>0</v>
      </c>
      <c r="AX421">
        <v>0</v>
      </c>
      <c r="AY421">
        <v>0</v>
      </c>
      <c r="BA421" t="str">
        <f>T("0000000000000")</f>
        <v>0000000000000</v>
      </c>
      <c r="BC421" t="str">
        <f>T("9791166068003")</f>
        <v>9791166068003</v>
      </c>
      <c r="BE421" t="str">
        <f>T("웹툰 &gt; 해외 순정")</f>
        <v>웹툰 &gt; 해외 순정</v>
      </c>
      <c r="BF421" t="str">
        <f>T("웹툰 &gt; 로맨스")</f>
        <v>웹툰 &gt; 로맨스</v>
      </c>
    </row>
    <row r="422" spans="1:58" x14ac:dyDescent="0.3">
      <c r="A422">
        <v>4421000001</v>
      </c>
      <c r="B422">
        <v>4421000054</v>
      </c>
      <c r="C422" t="str">
        <f>T("감옥실험 34화")</f>
        <v>감옥실험 34화</v>
      </c>
      <c r="D422" t="str">
        <f>T("34")</f>
        <v>34</v>
      </c>
      <c r="E422" t="str">
        <f>T("Kantetsu")</f>
        <v>Kantetsu</v>
      </c>
      <c r="G422" t="str">
        <f>T("Minase Chiho")</f>
        <v>Minase Chiho</v>
      </c>
      <c r="H422" t="str">
        <f t="shared" si="53"/>
        <v>스토리위즈</v>
      </c>
      <c r="I422" t="str">
        <f>T("감옥실험")</f>
        <v>감옥실험</v>
      </c>
      <c r="J422">
        <v>500</v>
      </c>
      <c r="K422">
        <v>0</v>
      </c>
      <c r="L422">
        <v>0</v>
      </c>
      <c r="M422">
        <v>0</v>
      </c>
      <c r="N422">
        <v>600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600</v>
      </c>
      <c r="AH422">
        <v>2</v>
      </c>
      <c r="AI422">
        <v>0</v>
      </c>
      <c r="AJ422">
        <v>0</v>
      </c>
      <c r="AK422">
        <v>600</v>
      </c>
      <c r="AL422">
        <v>0</v>
      </c>
      <c r="AM422">
        <v>0</v>
      </c>
      <c r="AN422">
        <v>0</v>
      </c>
      <c r="AO422">
        <v>0</v>
      </c>
      <c r="AP422"/>
      <c r="AQ422">
        <v>0</v>
      </c>
      <c r="AR422">
        <v>0</v>
      </c>
      <c r="AT422">
        <v>0</v>
      </c>
      <c r="AU422">
        <v>0</v>
      </c>
      <c r="AW422">
        <v>0</v>
      </c>
      <c r="AX422">
        <v>0</v>
      </c>
      <c r="AY422">
        <v>420</v>
      </c>
      <c r="BC422" t="str">
        <f>T("9791166069406")</f>
        <v>9791166069406</v>
      </c>
      <c r="BE422" t="str">
        <f>T("웹툰 &gt; 드라마")</f>
        <v>웹툰 &gt; 드라마</v>
      </c>
    </row>
    <row r="423" spans="1:58" x14ac:dyDescent="0.3">
      <c r="A423">
        <v>4421000450</v>
      </c>
      <c r="B423">
        <v>4421000493</v>
      </c>
      <c r="C423" t="str">
        <f>T("내 남편의 스토커 43화")</f>
        <v>내 남편의 스토커 43화</v>
      </c>
      <c r="D423" t="str">
        <f>T("43")</f>
        <v>43</v>
      </c>
      <c r="E423" t="str">
        <f>T("혜원")</f>
        <v>혜원</v>
      </c>
      <c r="G423" t="str">
        <f>T("혜원")</f>
        <v>혜원</v>
      </c>
      <c r="H423" t="str">
        <f t="shared" si="53"/>
        <v>스토리위즈</v>
      </c>
      <c r="I423" t="str">
        <f>T("내 남편의 스토커")</f>
        <v>내 남편의 스토커</v>
      </c>
      <c r="J423">
        <v>400</v>
      </c>
      <c r="K423">
        <v>0</v>
      </c>
      <c r="L423">
        <v>0</v>
      </c>
      <c r="M423">
        <v>0</v>
      </c>
      <c r="N423">
        <v>200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240</v>
      </c>
      <c r="AN423">
        <v>-24</v>
      </c>
      <c r="AO423">
        <v>0</v>
      </c>
      <c r="AP423"/>
      <c r="AQ423">
        <v>0</v>
      </c>
      <c r="AR423">
        <v>0</v>
      </c>
      <c r="AS423">
        <v>240</v>
      </c>
      <c r="AT423">
        <v>-24</v>
      </c>
      <c r="AU423">
        <v>0</v>
      </c>
      <c r="AW423">
        <v>0</v>
      </c>
      <c r="AX423">
        <v>0</v>
      </c>
      <c r="AY423">
        <v>151.19999999999999</v>
      </c>
      <c r="BA423" t="str">
        <f>T("0000000000000")</f>
        <v>0000000000000</v>
      </c>
      <c r="BC423" t="str">
        <f>T("9791166068034")</f>
        <v>9791166068034</v>
      </c>
      <c r="BE423" t="str">
        <f>T("웹툰 &gt; 로맨스")</f>
        <v>웹툰 &gt; 로맨스</v>
      </c>
    </row>
    <row r="424" spans="1:58" x14ac:dyDescent="0.3">
      <c r="A424">
        <v>4421000866</v>
      </c>
      <c r="B424">
        <v>4421001179</v>
      </c>
      <c r="C424" t="str">
        <f>T("최애에게 들켜버렸다 번외편 2화")</f>
        <v>최애에게 들켜버렸다 번외편 2화</v>
      </c>
      <c r="D424" t="str">
        <f>T("46")</f>
        <v>46</v>
      </c>
      <c r="E424" t="str">
        <f>T("Lv")</f>
        <v>Lv</v>
      </c>
      <c r="G424" t="str">
        <f>T("Lv")</f>
        <v>Lv</v>
      </c>
      <c r="H424" t="str">
        <f t="shared" si="53"/>
        <v>스토리위즈</v>
      </c>
      <c r="I424" t="str">
        <f>T("최애에게 들켜버렸다")</f>
        <v>최애에게 들켜버렸다</v>
      </c>
      <c r="J424">
        <v>400</v>
      </c>
      <c r="K424">
        <v>0</v>
      </c>
      <c r="L424">
        <v>0</v>
      </c>
      <c r="M424">
        <v>0</v>
      </c>
      <c r="N424">
        <v>600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600</v>
      </c>
      <c r="AH424">
        <v>3</v>
      </c>
      <c r="AI424">
        <v>0</v>
      </c>
      <c r="AJ424">
        <v>0</v>
      </c>
      <c r="AK424">
        <v>200</v>
      </c>
      <c r="AL424">
        <v>0</v>
      </c>
      <c r="AM424">
        <v>480</v>
      </c>
      <c r="AN424">
        <v>-48</v>
      </c>
      <c r="AO424">
        <v>0</v>
      </c>
      <c r="AP424"/>
      <c r="AQ424">
        <v>0</v>
      </c>
      <c r="AR424">
        <v>0</v>
      </c>
      <c r="AS424">
        <v>480</v>
      </c>
      <c r="AT424">
        <v>-48</v>
      </c>
      <c r="AU424">
        <v>0</v>
      </c>
      <c r="AW424">
        <v>0</v>
      </c>
      <c r="AX424">
        <v>0</v>
      </c>
      <c r="AY424">
        <v>442.4</v>
      </c>
      <c r="BA424" t="str">
        <f>T("0000000000000")</f>
        <v>0000000000000</v>
      </c>
      <c r="BC424" t="str">
        <f>T("9791137601253")</f>
        <v>9791137601253</v>
      </c>
      <c r="BE424" t="str">
        <f>T("웹툰 &gt; 해외 순정")</f>
        <v>웹툰 &gt; 해외 순정</v>
      </c>
      <c r="BF424" t="str">
        <f>T("웹툰 &gt; 로맨스")</f>
        <v>웹툰 &gt; 로맨스</v>
      </c>
    </row>
    <row r="425" spans="1:58" x14ac:dyDescent="0.3">
      <c r="A425">
        <v>4421000866</v>
      </c>
      <c r="B425">
        <v>4421000911</v>
      </c>
      <c r="C425" t="str">
        <f>T("최애에게 들켜버렸다 번외편 1화")</f>
        <v>최애에게 들켜버렸다 번외편 1화</v>
      </c>
      <c r="D425" t="str">
        <f>T("21")</f>
        <v>21</v>
      </c>
      <c r="E425" t="str">
        <f>T("Lv")</f>
        <v>Lv</v>
      </c>
      <c r="G425" t="str">
        <f>T("Lv")</f>
        <v>Lv</v>
      </c>
      <c r="H425" t="str">
        <f t="shared" si="53"/>
        <v>스토리위즈</v>
      </c>
      <c r="I425" t="str">
        <f>T("최애에게 들켜버렸다")</f>
        <v>최애에게 들켜버렸다</v>
      </c>
      <c r="J425">
        <v>400</v>
      </c>
      <c r="K425">
        <v>0</v>
      </c>
      <c r="L425">
        <v>0</v>
      </c>
      <c r="M425">
        <v>0</v>
      </c>
      <c r="N425">
        <v>400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400</v>
      </c>
      <c r="AH425">
        <v>2</v>
      </c>
      <c r="AI425">
        <v>0</v>
      </c>
      <c r="AJ425">
        <v>0</v>
      </c>
      <c r="AK425">
        <v>0</v>
      </c>
      <c r="AL425">
        <v>0</v>
      </c>
      <c r="AM425">
        <v>480</v>
      </c>
      <c r="AN425">
        <v>-48</v>
      </c>
      <c r="AO425">
        <v>0</v>
      </c>
      <c r="AP425"/>
      <c r="AQ425">
        <v>0</v>
      </c>
      <c r="AR425">
        <v>0</v>
      </c>
      <c r="AS425">
        <v>480</v>
      </c>
      <c r="AT425">
        <v>-48</v>
      </c>
      <c r="AU425">
        <v>0</v>
      </c>
      <c r="AW425">
        <v>0</v>
      </c>
      <c r="AX425">
        <v>0</v>
      </c>
      <c r="AY425">
        <v>302.39999999999998</v>
      </c>
      <c r="BA425" t="str">
        <f>T("0000000000000")</f>
        <v>0000000000000</v>
      </c>
      <c r="BC425" t="str">
        <f>T("9791137601253")</f>
        <v>9791137601253</v>
      </c>
      <c r="BE425" t="str">
        <f>T("웹툰 &gt; 해외 순정")</f>
        <v>웹툰 &gt; 해외 순정</v>
      </c>
      <c r="BF425" t="str">
        <f>T("웹툰 &gt; 로맨스")</f>
        <v>웹툰 &gt; 로맨스</v>
      </c>
    </row>
    <row r="426" spans="1:58" x14ac:dyDescent="0.3">
      <c r="A426">
        <v>4421000866</v>
      </c>
      <c r="B426">
        <v>4421001292</v>
      </c>
      <c r="C426" t="str">
        <f>T("최애에게 들켜버렸다 66화")</f>
        <v>최애에게 들켜버렸다 66화</v>
      </c>
      <c r="D426" t="str">
        <f>T("69")</f>
        <v>69</v>
      </c>
      <c r="E426" t="str">
        <f>T("Lv")</f>
        <v>Lv</v>
      </c>
      <c r="G426" t="str">
        <f>T("Lv")</f>
        <v>Lv</v>
      </c>
      <c r="H426" t="str">
        <f t="shared" si="53"/>
        <v>스토리위즈</v>
      </c>
      <c r="I426" t="str">
        <f>T("최애에게 들켜버렸다")</f>
        <v>최애에게 들켜버렸다</v>
      </c>
      <c r="J426">
        <v>400</v>
      </c>
      <c r="K426">
        <v>0</v>
      </c>
      <c r="L426">
        <v>0</v>
      </c>
      <c r="M426">
        <v>0</v>
      </c>
      <c r="N426">
        <v>200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200</v>
      </c>
      <c r="AH426">
        <v>1</v>
      </c>
      <c r="AI426">
        <v>0</v>
      </c>
      <c r="AJ426">
        <v>0</v>
      </c>
      <c r="AK426">
        <v>140</v>
      </c>
      <c r="AL426">
        <v>0</v>
      </c>
      <c r="AM426">
        <v>72</v>
      </c>
      <c r="AN426">
        <v>-7.2</v>
      </c>
      <c r="AO426">
        <v>0</v>
      </c>
      <c r="AP426"/>
      <c r="AQ426">
        <v>0</v>
      </c>
      <c r="AR426">
        <v>0</v>
      </c>
      <c r="AS426">
        <v>72</v>
      </c>
      <c r="AT426">
        <v>-7.2</v>
      </c>
      <c r="AU426">
        <v>0</v>
      </c>
      <c r="AW426">
        <v>0</v>
      </c>
      <c r="AX426">
        <v>0</v>
      </c>
      <c r="AY426">
        <v>143.36000000000001</v>
      </c>
      <c r="BA426" t="str">
        <f>T("0000000000000")</f>
        <v>0000000000000</v>
      </c>
      <c r="BC426" t="str">
        <f>T("9791137601253")</f>
        <v>9791137601253</v>
      </c>
      <c r="BE426" t="str">
        <f>T("웹툰 &gt; 해외 순정")</f>
        <v>웹툰 &gt; 해외 순정</v>
      </c>
      <c r="BF426" t="str">
        <f>T("웹툰 &gt; 로맨스")</f>
        <v>웹툰 &gt; 로맨스</v>
      </c>
    </row>
    <row r="427" spans="1:58" x14ac:dyDescent="0.3">
      <c r="A427">
        <v>4421001634</v>
      </c>
      <c r="B427">
        <v>4421002527</v>
      </c>
      <c r="C427" t="str">
        <f>T("그남자의 사랑방식 78화")</f>
        <v>그남자의 사랑방식 78화</v>
      </c>
      <c r="D427" t="str">
        <f>T("78")</f>
        <v>78</v>
      </c>
      <c r="E427" t="str">
        <f>T("웹티")</f>
        <v>웹티</v>
      </c>
      <c r="H427" t="str">
        <f t="shared" si="53"/>
        <v>스토리위즈</v>
      </c>
      <c r="I427" t="str">
        <f>T("그남자의 사랑방식")</f>
        <v>그남자의 사랑방식</v>
      </c>
      <c r="J427">
        <v>500</v>
      </c>
      <c r="K427">
        <v>0</v>
      </c>
      <c r="L427">
        <v>0</v>
      </c>
      <c r="M427">
        <v>0</v>
      </c>
      <c r="N427">
        <v>200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240</v>
      </c>
      <c r="AN427">
        <v>-24</v>
      </c>
      <c r="AO427">
        <v>0</v>
      </c>
      <c r="AP427"/>
      <c r="AQ427">
        <v>0</v>
      </c>
      <c r="AR427">
        <v>0</v>
      </c>
      <c r="AS427">
        <v>240</v>
      </c>
      <c r="AT427">
        <v>-24</v>
      </c>
      <c r="AU427">
        <v>0</v>
      </c>
      <c r="AW427">
        <v>0</v>
      </c>
      <c r="AX427">
        <v>0</v>
      </c>
      <c r="AY427">
        <v>151.19999999999999</v>
      </c>
      <c r="BC427" t="str">
        <f>T("9791190622004")</f>
        <v>9791190622004</v>
      </c>
      <c r="BE427" t="str">
        <f>T("BL 웹툰 &gt; 웹툰")</f>
        <v>BL 웹툰 &gt; 웹툰</v>
      </c>
    </row>
    <row r="428" spans="1:58" x14ac:dyDescent="0.3">
      <c r="A428">
        <v>4421001634</v>
      </c>
      <c r="B428">
        <v>4421001646</v>
      </c>
      <c r="C428" t="str">
        <f>T("그남자의 사랑방식 13화")</f>
        <v>그남자의 사랑방식 13화</v>
      </c>
      <c r="D428" t="str">
        <f>T("13")</f>
        <v>13</v>
      </c>
      <c r="E428" t="str">
        <f>T("웹티")</f>
        <v>웹티</v>
      </c>
      <c r="H428" t="str">
        <f t="shared" si="53"/>
        <v>스토리위즈</v>
      </c>
      <c r="I428" t="str">
        <f>T("그남자의 사랑방식")</f>
        <v>그남자의 사랑방식</v>
      </c>
      <c r="J428">
        <v>500</v>
      </c>
      <c r="K428">
        <v>0</v>
      </c>
      <c r="L428">
        <v>0</v>
      </c>
      <c r="M428">
        <v>0</v>
      </c>
      <c r="N428">
        <v>600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600</v>
      </c>
      <c r="AH428">
        <v>3</v>
      </c>
      <c r="AI428">
        <v>0</v>
      </c>
      <c r="AJ428">
        <v>0</v>
      </c>
      <c r="AK428">
        <v>400</v>
      </c>
      <c r="AL428">
        <v>0</v>
      </c>
      <c r="AM428">
        <v>240</v>
      </c>
      <c r="AN428">
        <v>-24</v>
      </c>
      <c r="AO428">
        <v>0</v>
      </c>
      <c r="AP428"/>
      <c r="AQ428">
        <v>0</v>
      </c>
      <c r="AR428">
        <v>0</v>
      </c>
      <c r="AS428">
        <v>240</v>
      </c>
      <c r="AT428">
        <v>-24</v>
      </c>
      <c r="AU428">
        <v>0</v>
      </c>
      <c r="AW428">
        <v>0</v>
      </c>
      <c r="AX428">
        <v>0</v>
      </c>
      <c r="AY428">
        <v>431.2</v>
      </c>
      <c r="BC428" t="str">
        <f>T("9791190622004")</f>
        <v>9791190622004</v>
      </c>
      <c r="BE428" t="str">
        <f>T("BL 웹툰 &gt; 웹툰")</f>
        <v>BL 웹툰 &gt; 웹툰</v>
      </c>
    </row>
    <row r="429" spans="1:58" x14ac:dyDescent="0.3">
      <c r="A429">
        <v>4421000866</v>
      </c>
      <c r="B429">
        <v>4421000884</v>
      </c>
      <c r="C429" t="str">
        <f>T("최애에게 들켜버렸다 18화")</f>
        <v>최애에게 들켜버렸다 18화</v>
      </c>
      <c r="D429" t="str">
        <f>T("18")</f>
        <v>18</v>
      </c>
      <c r="E429" t="str">
        <f>T("Lv")</f>
        <v>Lv</v>
      </c>
      <c r="G429" t="str">
        <f>T("Lv")</f>
        <v>Lv</v>
      </c>
      <c r="H429" t="str">
        <f t="shared" si="53"/>
        <v>스토리위즈</v>
      </c>
      <c r="I429" t="str">
        <f>T("최애에게 들켜버렸다")</f>
        <v>최애에게 들켜버렸다</v>
      </c>
      <c r="J429">
        <v>400</v>
      </c>
      <c r="K429">
        <v>0</v>
      </c>
      <c r="L429">
        <v>0</v>
      </c>
      <c r="M429">
        <v>0</v>
      </c>
      <c r="N429">
        <v>200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240</v>
      </c>
      <c r="AN429">
        <v>-72</v>
      </c>
      <c r="AO429">
        <v>0</v>
      </c>
      <c r="AP429"/>
      <c r="AQ429">
        <v>0</v>
      </c>
      <c r="AR429">
        <v>0</v>
      </c>
      <c r="AS429">
        <v>240</v>
      </c>
      <c r="AT429">
        <v>-72</v>
      </c>
      <c r="AU429">
        <v>0</v>
      </c>
      <c r="AW429">
        <v>0</v>
      </c>
      <c r="AX429">
        <v>0</v>
      </c>
      <c r="AY429">
        <v>117.6</v>
      </c>
      <c r="BA429" t="str">
        <f>T("0000000000000")</f>
        <v>0000000000000</v>
      </c>
      <c r="BC429" t="str">
        <f>T("9791137601253")</f>
        <v>9791137601253</v>
      </c>
      <c r="BE429" t="str">
        <f>T("웹툰 &gt; 해외 순정")</f>
        <v>웹툰 &gt; 해외 순정</v>
      </c>
      <c r="BF429" t="str">
        <f>T("웹툰 &gt; 로맨스")</f>
        <v>웹툰 &gt; 로맨스</v>
      </c>
    </row>
    <row r="430" spans="1:58" x14ac:dyDescent="0.3">
      <c r="A430">
        <v>4421000198</v>
      </c>
      <c r="B430">
        <v>4421000198</v>
      </c>
      <c r="C430" t="str">
        <f>T("공주전쟁 1화")</f>
        <v>공주전쟁 1화</v>
      </c>
      <c r="D430" t="str">
        <f>T("1")</f>
        <v>1</v>
      </c>
      <c r="E430" t="str">
        <f>T("Hujing")</f>
        <v>Hujing</v>
      </c>
      <c r="G430" t="str">
        <f>T("Luojie")</f>
        <v>Luojie</v>
      </c>
      <c r="H430" t="str">
        <f t="shared" si="53"/>
        <v>스토리위즈</v>
      </c>
      <c r="I430" t="str">
        <f>T("공주전쟁")</f>
        <v>공주전쟁</v>
      </c>
      <c r="J430">
        <v>400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/>
      <c r="AQ430">
        <v>0</v>
      </c>
      <c r="AR430">
        <v>0</v>
      </c>
      <c r="AT430">
        <v>0</v>
      </c>
      <c r="AU430">
        <v>0</v>
      </c>
      <c r="AW430">
        <v>0</v>
      </c>
      <c r="AX430">
        <v>0</v>
      </c>
      <c r="AY430">
        <v>0</v>
      </c>
      <c r="BA430" t="str">
        <f>T("0000000000000")</f>
        <v>0000000000000</v>
      </c>
      <c r="BC430" t="str">
        <f>T("9791166069666")</f>
        <v>9791166069666</v>
      </c>
      <c r="BE430" t="str">
        <f>T("웹툰 &gt; 해외 순정")</f>
        <v>웹툰 &gt; 해외 순정</v>
      </c>
      <c r="BF430" t="str">
        <f>T("웹툰 &gt; 로판")</f>
        <v>웹툰 &gt; 로판</v>
      </c>
    </row>
    <row r="431" spans="1:58" x14ac:dyDescent="0.3">
      <c r="A431">
        <v>4421001634</v>
      </c>
      <c r="B431">
        <v>4421002516</v>
      </c>
      <c r="C431" t="str">
        <f>T("그남자의 사랑방식 67화")</f>
        <v>그남자의 사랑방식 67화</v>
      </c>
      <c r="D431" t="str">
        <f>T("67")</f>
        <v>67</v>
      </c>
      <c r="E431" t="str">
        <f>T("웹티")</f>
        <v>웹티</v>
      </c>
      <c r="H431" t="str">
        <f t="shared" si="53"/>
        <v>스토리위즈</v>
      </c>
      <c r="I431" t="str">
        <f>T("그남자의 사랑방식")</f>
        <v>그남자의 사랑방식</v>
      </c>
      <c r="J431">
        <v>500</v>
      </c>
      <c r="K431">
        <v>0</v>
      </c>
      <c r="L431">
        <v>0</v>
      </c>
      <c r="M431">
        <v>0</v>
      </c>
      <c r="N431">
        <v>200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240</v>
      </c>
      <c r="AN431">
        <v>-24</v>
      </c>
      <c r="AO431">
        <v>0</v>
      </c>
      <c r="AP431"/>
      <c r="AQ431">
        <v>0</v>
      </c>
      <c r="AR431">
        <v>0</v>
      </c>
      <c r="AS431">
        <v>240</v>
      </c>
      <c r="AT431">
        <v>-24</v>
      </c>
      <c r="AU431">
        <v>0</v>
      </c>
      <c r="AW431">
        <v>0</v>
      </c>
      <c r="AX431">
        <v>0</v>
      </c>
      <c r="AY431">
        <v>151.19999999999999</v>
      </c>
      <c r="BC431" t="str">
        <f>T("9791190622004")</f>
        <v>9791190622004</v>
      </c>
      <c r="BE431" t="str">
        <f>T("BL 웹툰 &gt; 웹툰")</f>
        <v>BL 웹툰 &gt; 웹툰</v>
      </c>
    </row>
    <row r="432" spans="1:58" x14ac:dyDescent="0.3">
      <c r="A432">
        <v>4421001634</v>
      </c>
      <c r="B432">
        <v>4421001635</v>
      </c>
      <c r="C432" t="str">
        <f>T("그남자의 사랑방식 2화")</f>
        <v>그남자의 사랑방식 2화</v>
      </c>
      <c r="D432" t="str">
        <f>T("2")</f>
        <v>2</v>
      </c>
      <c r="E432" t="str">
        <f>T("웹티")</f>
        <v>웹티</v>
      </c>
      <c r="H432" t="str">
        <f t="shared" si="53"/>
        <v>스토리위즈</v>
      </c>
      <c r="I432" t="str">
        <f>T("그남자의 사랑방식")</f>
        <v>그남자의 사랑방식</v>
      </c>
      <c r="J432">
        <v>0</v>
      </c>
      <c r="K432">
        <v>0</v>
      </c>
      <c r="L432">
        <v>0</v>
      </c>
      <c r="M432">
        <v>508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508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/>
      <c r="AQ432">
        <v>0</v>
      </c>
      <c r="AR432">
        <v>0</v>
      </c>
      <c r="AT432">
        <v>0</v>
      </c>
      <c r="AU432">
        <v>0</v>
      </c>
      <c r="AW432">
        <v>0</v>
      </c>
      <c r="AX432">
        <v>0</v>
      </c>
      <c r="AY432">
        <v>0</v>
      </c>
      <c r="BC432" t="str">
        <f>T("9791190622004")</f>
        <v>9791190622004</v>
      </c>
      <c r="BE432" t="str">
        <f>T("BL 웹툰 &gt; 웹툰")</f>
        <v>BL 웹툰 &gt; 웹툰</v>
      </c>
    </row>
    <row r="433" spans="1:58" x14ac:dyDescent="0.3">
      <c r="A433">
        <v>4421001305</v>
      </c>
      <c r="B433">
        <v>4421001313</v>
      </c>
      <c r="C433" t="str">
        <f>T("악역이지만, 남주는 꼬시지 않아요 9화")</f>
        <v>악역이지만, 남주는 꼬시지 않아요 9화</v>
      </c>
      <c r="D433" t="str">
        <f>T("9")</f>
        <v>9</v>
      </c>
      <c r="E433" t="str">
        <f>T("마북명")</f>
        <v>마북명</v>
      </c>
      <c r="G433" t="str">
        <f>T("kuri")</f>
        <v>kuri</v>
      </c>
      <c r="H433" t="str">
        <f t="shared" si="53"/>
        <v>스토리위즈</v>
      </c>
      <c r="I433" t="str">
        <f>T("악역이지만, 남주는 꼬시지 않아요")</f>
        <v>악역이지만, 남주는 꼬시지 않아요</v>
      </c>
      <c r="J433">
        <v>400</v>
      </c>
      <c r="K433">
        <v>0</v>
      </c>
      <c r="L433">
        <v>0</v>
      </c>
      <c r="M433">
        <v>0</v>
      </c>
      <c r="N433">
        <v>2000</v>
      </c>
      <c r="O433">
        <v>10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2000</v>
      </c>
      <c r="AH433">
        <v>10</v>
      </c>
      <c r="AI433">
        <v>0</v>
      </c>
      <c r="AJ433">
        <v>0</v>
      </c>
      <c r="AK433">
        <v>1600</v>
      </c>
      <c r="AL433">
        <v>0</v>
      </c>
      <c r="AM433">
        <v>480</v>
      </c>
      <c r="AN433">
        <v>-144</v>
      </c>
      <c r="AO433">
        <v>0</v>
      </c>
      <c r="AP433">
        <v>480</v>
      </c>
      <c r="AQ433">
        <v>-144</v>
      </c>
      <c r="AR433">
        <v>0</v>
      </c>
      <c r="AT433">
        <v>0</v>
      </c>
      <c r="AU433">
        <v>0</v>
      </c>
      <c r="AW433">
        <v>0</v>
      </c>
      <c r="AX433">
        <v>0</v>
      </c>
      <c r="AY433">
        <v>1355.2</v>
      </c>
      <c r="BA433" t="str">
        <f>T("0000000000000")</f>
        <v>0000000000000</v>
      </c>
      <c r="BC433" t="str">
        <f>T("9791137603882")</f>
        <v>9791137603882</v>
      </c>
      <c r="BE433" t="str">
        <f>T("웹툰 &gt; 해외 순정")</f>
        <v>웹툰 &gt; 해외 순정</v>
      </c>
      <c r="BF433" t="str">
        <f>T("웹툰 &gt; 로판")</f>
        <v>웹툰 &gt; 로판</v>
      </c>
    </row>
    <row r="434" spans="1:58" x14ac:dyDescent="0.3">
      <c r="A434">
        <v>4421001634</v>
      </c>
      <c r="B434">
        <v>4421002548</v>
      </c>
      <c r="C434" t="str">
        <f>T("그남자의 사랑방식 99화")</f>
        <v>그남자의 사랑방식 99화</v>
      </c>
      <c r="D434" t="str">
        <f>T("99")</f>
        <v>99</v>
      </c>
      <c r="E434" t="str">
        <f>T("웹티")</f>
        <v>웹티</v>
      </c>
      <c r="H434" t="str">
        <f t="shared" si="53"/>
        <v>스토리위즈</v>
      </c>
      <c r="I434" t="str">
        <f>T("그남자의 사랑방식")</f>
        <v>그남자의 사랑방식</v>
      </c>
      <c r="J434">
        <v>500</v>
      </c>
      <c r="K434">
        <v>0</v>
      </c>
      <c r="L434">
        <v>0</v>
      </c>
      <c r="M434">
        <v>0</v>
      </c>
      <c r="N434">
        <v>200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240</v>
      </c>
      <c r="AN434">
        <v>-24</v>
      </c>
      <c r="AO434">
        <v>0</v>
      </c>
      <c r="AP434"/>
      <c r="AQ434">
        <v>0</v>
      </c>
      <c r="AR434">
        <v>0</v>
      </c>
      <c r="AS434">
        <v>240</v>
      </c>
      <c r="AT434">
        <v>-24</v>
      </c>
      <c r="AU434">
        <v>0</v>
      </c>
      <c r="AW434">
        <v>0</v>
      </c>
      <c r="AX434">
        <v>0</v>
      </c>
      <c r="AY434">
        <v>151.19999999999999</v>
      </c>
      <c r="BC434" t="str">
        <f>T("9791190622004")</f>
        <v>9791190622004</v>
      </c>
      <c r="BE434" t="str">
        <f>T("BL 웹툰 &gt; 웹툰")</f>
        <v>BL 웹툰 &gt; 웹툰</v>
      </c>
    </row>
    <row r="435" spans="1:58" x14ac:dyDescent="0.3">
      <c r="A435">
        <v>4421001340</v>
      </c>
      <c r="B435">
        <v>4421001367</v>
      </c>
      <c r="C435" t="str">
        <f>T("가출천사 육성계약 28화")</f>
        <v>가출천사 육성계약 28화</v>
      </c>
      <c r="D435" t="str">
        <f>T("28")</f>
        <v>28</v>
      </c>
      <c r="E435" t="str">
        <f>T("Bae.C, IIAKI, 박제후")</f>
        <v>Bae.C, IIAKI, 박제후</v>
      </c>
      <c r="G435" t="str">
        <f>T("Bae.C, 조우")</f>
        <v>Bae.C, 조우</v>
      </c>
      <c r="H435" t="str">
        <f t="shared" si="53"/>
        <v>스토리위즈</v>
      </c>
      <c r="I435" t="str">
        <f>T("가출천사 육성계약")</f>
        <v>가출천사 육성계약</v>
      </c>
      <c r="J435">
        <v>400</v>
      </c>
      <c r="K435">
        <v>0</v>
      </c>
      <c r="L435">
        <v>0</v>
      </c>
      <c r="M435">
        <v>0</v>
      </c>
      <c r="N435">
        <v>200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240</v>
      </c>
      <c r="AN435">
        <v>-24</v>
      </c>
      <c r="AO435">
        <v>0</v>
      </c>
      <c r="AP435"/>
      <c r="AQ435">
        <v>0</v>
      </c>
      <c r="AR435">
        <v>0</v>
      </c>
      <c r="AS435">
        <v>240</v>
      </c>
      <c r="AT435">
        <v>-24</v>
      </c>
      <c r="AU435">
        <v>0</v>
      </c>
      <c r="AW435">
        <v>0</v>
      </c>
      <c r="AX435">
        <v>0</v>
      </c>
      <c r="AY435">
        <v>151.19999999999999</v>
      </c>
      <c r="BA435" t="str">
        <f>T("0000000000000")</f>
        <v>0000000000000</v>
      </c>
      <c r="BC435" t="str">
        <f>T("9791191765663")</f>
        <v>9791191765663</v>
      </c>
      <c r="BE435" t="str">
        <f>T("웹툰 &gt; 판타지/SF")</f>
        <v>웹툰 &gt; 판타지/SF</v>
      </c>
    </row>
    <row r="436" spans="1:58" x14ac:dyDescent="0.3">
      <c r="A436">
        <v>4421001634</v>
      </c>
      <c r="B436">
        <v>4421001667</v>
      </c>
      <c r="C436" t="str">
        <f>T("그남자의 사랑방식 34화")</f>
        <v>그남자의 사랑방식 34화</v>
      </c>
      <c r="D436" t="str">
        <f>T("34")</f>
        <v>34</v>
      </c>
      <c r="E436" t="str">
        <f>T("웹티")</f>
        <v>웹티</v>
      </c>
      <c r="H436" t="str">
        <f t="shared" si="53"/>
        <v>스토리위즈</v>
      </c>
      <c r="I436" t="str">
        <f>T("그남자의 사랑방식")</f>
        <v>그남자의 사랑방식</v>
      </c>
      <c r="J436">
        <v>500</v>
      </c>
      <c r="K436">
        <v>0</v>
      </c>
      <c r="L436">
        <v>0</v>
      </c>
      <c r="M436">
        <v>0</v>
      </c>
      <c r="N436">
        <v>600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600</v>
      </c>
      <c r="AH436">
        <v>3</v>
      </c>
      <c r="AI436">
        <v>0</v>
      </c>
      <c r="AJ436">
        <v>0</v>
      </c>
      <c r="AK436">
        <v>200</v>
      </c>
      <c r="AL436">
        <v>0</v>
      </c>
      <c r="AM436">
        <v>480</v>
      </c>
      <c r="AN436">
        <v>-48</v>
      </c>
      <c r="AO436">
        <v>0</v>
      </c>
      <c r="AP436"/>
      <c r="AQ436">
        <v>0</v>
      </c>
      <c r="AR436">
        <v>0</v>
      </c>
      <c r="AS436">
        <v>480</v>
      </c>
      <c r="AT436">
        <v>-48</v>
      </c>
      <c r="AU436">
        <v>0</v>
      </c>
      <c r="AW436">
        <v>0</v>
      </c>
      <c r="AX436">
        <v>0</v>
      </c>
      <c r="AY436">
        <v>442.4</v>
      </c>
      <c r="BC436" t="str">
        <f>T("9791190622004")</f>
        <v>9791190622004</v>
      </c>
      <c r="BE436" t="str">
        <f>T("BL 웹툰 &gt; 웹툰")</f>
        <v>BL 웹툰 &gt; 웹툰</v>
      </c>
    </row>
    <row r="437" spans="1:58" x14ac:dyDescent="0.3">
      <c r="A437">
        <v>4421003015</v>
      </c>
      <c r="B437">
        <v>4421003025</v>
      </c>
      <c r="C437" t="str">
        <f>T("일월성신 10화")</f>
        <v>일월성신 10화</v>
      </c>
      <c r="D437" t="str">
        <f>T("10")</f>
        <v>10</v>
      </c>
      <c r="E437" t="str">
        <f>T("김숙지")</f>
        <v>김숙지</v>
      </c>
      <c r="G437" t="str">
        <f>T("이름표")</f>
        <v>이름표</v>
      </c>
      <c r="H437" t="str">
        <f t="shared" si="53"/>
        <v>스토리위즈</v>
      </c>
      <c r="I437" t="str">
        <f>T("일월성신")</f>
        <v>일월성신</v>
      </c>
      <c r="J437">
        <v>400</v>
      </c>
      <c r="K437">
        <v>0</v>
      </c>
      <c r="L437">
        <v>0</v>
      </c>
      <c r="M437">
        <v>0</v>
      </c>
      <c r="N437">
        <v>1000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1000</v>
      </c>
      <c r="AH437">
        <v>5</v>
      </c>
      <c r="AI437">
        <v>0</v>
      </c>
      <c r="AJ437">
        <v>0</v>
      </c>
      <c r="AK437">
        <v>400</v>
      </c>
      <c r="AL437">
        <v>0</v>
      </c>
      <c r="AM437">
        <v>720</v>
      </c>
      <c r="AN437">
        <v>-120</v>
      </c>
      <c r="AO437">
        <v>0</v>
      </c>
      <c r="AP437">
        <v>240</v>
      </c>
      <c r="AQ437">
        <v>-72</v>
      </c>
      <c r="AR437">
        <v>0</v>
      </c>
      <c r="AS437">
        <v>480</v>
      </c>
      <c r="AT437">
        <v>-48</v>
      </c>
      <c r="AU437">
        <v>0</v>
      </c>
      <c r="AW437">
        <v>0</v>
      </c>
      <c r="AX437">
        <v>0</v>
      </c>
      <c r="AY437">
        <v>700</v>
      </c>
      <c r="BA437" t="str">
        <f>T("0000000000000")</f>
        <v>0000000000000</v>
      </c>
      <c r="BC437" t="str">
        <f>T("9791137604605")</f>
        <v>9791137604605</v>
      </c>
      <c r="BE437" t="str">
        <f>T("웹툰 &gt; 드라마")</f>
        <v>웹툰 &gt; 드라마</v>
      </c>
    </row>
    <row r="438" spans="1:58" x14ac:dyDescent="0.3">
      <c r="A438">
        <v>4421001764</v>
      </c>
      <c r="B438">
        <v>4421001764</v>
      </c>
      <c r="C438" t="str">
        <f>T("예쁜 남자 잘생긴 여자 1화")</f>
        <v>예쁜 남자 잘생긴 여자 1화</v>
      </c>
      <c r="D438" t="str">
        <f>T("1")</f>
        <v>1</v>
      </c>
      <c r="E438" t="str">
        <f>T("웹티")</f>
        <v>웹티</v>
      </c>
      <c r="H438" t="str">
        <f t="shared" si="53"/>
        <v>스토리위즈</v>
      </c>
      <c r="I438" t="str">
        <f>T("예쁜 남자 잘생긴 여자")</f>
        <v>예쁜 남자 잘생긴 여자</v>
      </c>
      <c r="J438">
        <v>0</v>
      </c>
      <c r="K438">
        <v>0</v>
      </c>
      <c r="L438">
        <v>0</v>
      </c>
      <c r="M438">
        <v>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/>
      <c r="AQ438">
        <v>0</v>
      </c>
      <c r="AR438">
        <v>0</v>
      </c>
      <c r="AT438">
        <v>0</v>
      </c>
      <c r="AU438">
        <v>0</v>
      </c>
      <c r="AW438">
        <v>0</v>
      </c>
      <c r="AX438">
        <v>0</v>
      </c>
      <c r="AY438">
        <v>0</v>
      </c>
      <c r="BA438" t="str">
        <f>T("0000000000000")</f>
        <v>0000000000000</v>
      </c>
      <c r="BC438" t="str">
        <f>T("9791190702164")</f>
        <v>9791190702164</v>
      </c>
      <c r="BE438" t="str">
        <f>T("웹툰 &gt; 로맨스")</f>
        <v>웹툰 &gt; 로맨스</v>
      </c>
    </row>
    <row r="439" spans="1:58" x14ac:dyDescent="0.3">
      <c r="A439">
        <v>4421001340</v>
      </c>
      <c r="B439">
        <v>4421001530</v>
      </c>
      <c r="C439" t="str">
        <f>T("가출천사 육성계약 40화")</f>
        <v>가출천사 육성계약 40화</v>
      </c>
      <c r="D439" t="str">
        <f>T("40")</f>
        <v>40</v>
      </c>
      <c r="E439" t="str">
        <f>T("Bae.C, IIAKI, 박제후")</f>
        <v>Bae.C, IIAKI, 박제후</v>
      </c>
      <c r="G439" t="str">
        <f>T("Bae.C, 조우")</f>
        <v>Bae.C, 조우</v>
      </c>
      <c r="H439" t="str">
        <f t="shared" si="53"/>
        <v>스토리위즈</v>
      </c>
      <c r="I439" t="str">
        <f>T("가출천사 육성계약")</f>
        <v>가출천사 육성계약</v>
      </c>
      <c r="J439">
        <v>400</v>
      </c>
      <c r="K439">
        <v>0</v>
      </c>
      <c r="L439">
        <v>0</v>
      </c>
      <c r="M439">
        <v>0</v>
      </c>
      <c r="N439">
        <v>200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240</v>
      </c>
      <c r="AN439">
        <v>-24</v>
      </c>
      <c r="AO439">
        <v>0</v>
      </c>
      <c r="AP439"/>
      <c r="AQ439">
        <v>0</v>
      </c>
      <c r="AR439">
        <v>0</v>
      </c>
      <c r="AS439">
        <v>240</v>
      </c>
      <c r="AT439">
        <v>-24</v>
      </c>
      <c r="AU439">
        <v>0</v>
      </c>
      <c r="AW439">
        <v>0</v>
      </c>
      <c r="AX439">
        <v>0</v>
      </c>
      <c r="AY439">
        <v>151.19999999999999</v>
      </c>
      <c r="BA439" t="str">
        <f>T("0000000000000")</f>
        <v>0000000000000</v>
      </c>
      <c r="BC439" t="str">
        <f>T("9791191765663")</f>
        <v>9791191765663</v>
      </c>
      <c r="BE439" t="str">
        <f>T("웹툰 &gt; 판타지/SF")</f>
        <v>웹툰 &gt; 판타지/SF</v>
      </c>
    </row>
    <row r="440" spans="1:58" x14ac:dyDescent="0.3">
      <c r="A440">
        <v>4421002829</v>
      </c>
      <c r="B440">
        <v>4421002840</v>
      </c>
      <c r="C440" t="str">
        <f>T("테두리는 주시하지 않는다 (개정판) 4화")</f>
        <v>테두리는 주시하지 않는다 (개정판) 4화</v>
      </c>
      <c r="D440" t="str">
        <f>T("4")</f>
        <v>4</v>
      </c>
      <c r="E440" t="str">
        <f>T("토찌, 키로즈")</f>
        <v>토찌, 키로즈</v>
      </c>
      <c r="G440" t="str">
        <f>T("마린")</f>
        <v>마린</v>
      </c>
      <c r="H440" t="str">
        <f t="shared" si="53"/>
        <v>스토리위즈</v>
      </c>
      <c r="I440" t="str">
        <f>T("테두리는 주시하지 않는다 (개정판)")</f>
        <v>테두리는 주시하지 않는다 (개정판)</v>
      </c>
      <c r="J440">
        <v>500</v>
      </c>
      <c r="K440">
        <v>0</v>
      </c>
      <c r="L440">
        <v>0</v>
      </c>
      <c r="M440">
        <v>0</v>
      </c>
      <c r="N440">
        <v>3900</v>
      </c>
      <c r="O440">
        <v>13</v>
      </c>
      <c r="P440">
        <v>74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3900</v>
      </c>
      <c r="AH440">
        <v>87</v>
      </c>
      <c r="AI440">
        <v>0</v>
      </c>
      <c r="AJ440">
        <v>0</v>
      </c>
      <c r="AK440">
        <v>2510</v>
      </c>
      <c r="AL440">
        <v>0</v>
      </c>
      <c r="AM440">
        <v>1668</v>
      </c>
      <c r="AN440">
        <v>-382.8</v>
      </c>
      <c r="AO440">
        <v>0</v>
      </c>
      <c r="AP440">
        <v>720</v>
      </c>
      <c r="AQ440">
        <v>-216</v>
      </c>
      <c r="AR440">
        <v>0</v>
      </c>
      <c r="AS440">
        <v>948</v>
      </c>
      <c r="AT440">
        <v>-166.8</v>
      </c>
      <c r="AU440">
        <v>0</v>
      </c>
      <c r="AW440">
        <v>0</v>
      </c>
      <c r="AX440">
        <v>0</v>
      </c>
      <c r="AY440">
        <v>2656.64</v>
      </c>
      <c r="BA440" t="str">
        <f>T("0000000000000")</f>
        <v>0000000000000</v>
      </c>
      <c r="BC440" t="str">
        <f>T("9791137604681")</f>
        <v>9791137604681</v>
      </c>
      <c r="BE440" t="str">
        <f>T("BL 웹툰 &gt; 웹툰")</f>
        <v>BL 웹툰 &gt; 웹툰</v>
      </c>
    </row>
    <row r="441" spans="1:58" x14ac:dyDescent="0.3">
      <c r="A441">
        <v>4421000450</v>
      </c>
      <c r="B441">
        <v>4421000515</v>
      </c>
      <c r="C441" t="str">
        <f>T("내 남편의 스토커 65화")</f>
        <v>내 남편의 스토커 65화</v>
      </c>
      <c r="D441" t="str">
        <f>T("65")</f>
        <v>65</v>
      </c>
      <c r="E441" t="str">
        <f>T("혜원")</f>
        <v>혜원</v>
      </c>
      <c r="G441" t="str">
        <f>T("혜원")</f>
        <v>혜원</v>
      </c>
      <c r="H441" t="str">
        <f t="shared" si="53"/>
        <v>스토리위즈</v>
      </c>
      <c r="I441" t="str">
        <f>T("내 남편의 스토커")</f>
        <v>내 남편의 스토커</v>
      </c>
      <c r="J441">
        <v>400</v>
      </c>
      <c r="K441">
        <v>0</v>
      </c>
      <c r="L441">
        <v>0</v>
      </c>
      <c r="M441">
        <v>0</v>
      </c>
      <c r="N441">
        <v>200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240</v>
      </c>
      <c r="AN441">
        <v>-24</v>
      </c>
      <c r="AO441">
        <v>0</v>
      </c>
      <c r="AP441"/>
      <c r="AQ441">
        <v>0</v>
      </c>
      <c r="AR441">
        <v>0</v>
      </c>
      <c r="AS441">
        <v>240</v>
      </c>
      <c r="AT441">
        <v>-24</v>
      </c>
      <c r="AU441">
        <v>0</v>
      </c>
      <c r="AW441">
        <v>0</v>
      </c>
      <c r="AX441">
        <v>0</v>
      </c>
      <c r="AY441">
        <v>151.19999999999999</v>
      </c>
      <c r="BA441" t="str">
        <f>T("0000000000000")</f>
        <v>0000000000000</v>
      </c>
      <c r="BC441" t="str">
        <f>T("9791166068034")</f>
        <v>9791166068034</v>
      </c>
      <c r="BE441" t="str">
        <f>T("웹툰 &gt; 로맨스")</f>
        <v>웹툰 &gt; 로맨스</v>
      </c>
    </row>
    <row r="442" spans="1:58" x14ac:dyDescent="0.3">
      <c r="A442">
        <v>4421000001</v>
      </c>
      <c r="B442">
        <v>4421000043</v>
      </c>
      <c r="C442" t="str">
        <f>T("감옥실험 23화")</f>
        <v>감옥실험 23화</v>
      </c>
      <c r="D442" t="str">
        <f>T("23")</f>
        <v>23</v>
      </c>
      <c r="E442" t="str">
        <f>T("Kantetsu")</f>
        <v>Kantetsu</v>
      </c>
      <c r="G442" t="str">
        <f>T("Minase Chiho")</f>
        <v>Minase Chiho</v>
      </c>
      <c r="H442" t="str">
        <f t="shared" si="53"/>
        <v>스토리위즈</v>
      </c>
      <c r="I442" t="str">
        <f>T("감옥실험")</f>
        <v>감옥실험</v>
      </c>
      <c r="J442">
        <v>500</v>
      </c>
      <c r="K442">
        <v>0</v>
      </c>
      <c r="L442">
        <v>0</v>
      </c>
      <c r="M442">
        <v>0</v>
      </c>
      <c r="N442">
        <v>1200</v>
      </c>
      <c r="O442">
        <v>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1200</v>
      </c>
      <c r="AH442">
        <v>4</v>
      </c>
      <c r="AI442">
        <v>0</v>
      </c>
      <c r="AJ442">
        <v>0</v>
      </c>
      <c r="AK442">
        <v>600</v>
      </c>
      <c r="AL442">
        <v>0</v>
      </c>
      <c r="AM442">
        <v>720</v>
      </c>
      <c r="AN442">
        <v>-72</v>
      </c>
      <c r="AO442">
        <v>0</v>
      </c>
      <c r="AP442"/>
      <c r="AQ442">
        <v>0</v>
      </c>
      <c r="AR442">
        <v>0</v>
      </c>
      <c r="AS442">
        <v>720</v>
      </c>
      <c r="AT442">
        <v>-72</v>
      </c>
      <c r="AU442">
        <v>0</v>
      </c>
      <c r="AW442">
        <v>0</v>
      </c>
      <c r="AX442">
        <v>0</v>
      </c>
      <c r="AY442">
        <v>873.6</v>
      </c>
      <c r="BC442" t="str">
        <f>T("9791166069406")</f>
        <v>9791166069406</v>
      </c>
      <c r="BE442" t="str">
        <f>T("웹툰 &gt; 드라마")</f>
        <v>웹툰 &gt; 드라마</v>
      </c>
    </row>
    <row r="443" spans="1:58" x14ac:dyDescent="0.3">
      <c r="A443">
        <v>4421000866</v>
      </c>
      <c r="B443">
        <v>4421000998</v>
      </c>
      <c r="C443" t="str">
        <f>T("최애에게 들켜버렸다 39화")</f>
        <v>최애에게 들켜버렸다 39화</v>
      </c>
      <c r="D443" t="str">
        <f>T("40")</f>
        <v>40</v>
      </c>
      <c r="E443" t="str">
        <f>T("Lv")</f>
        <v>Lv</v>
      </c>
      <c r="G443" t="str">
        <f>T("Lv")</f>
        <v>Lv</v>
      </c>
      <c r="H443" t="str">
        <f t="shared" si="53"/>
        <v>스토리위즈</v>
      </c>
      <c r="I443" t="str">
        <f>T("최애에게 들켜버렸다")</f>
        <v>최애에게 들켜버렸다</v>
      </c>
      <c r="J443">
        <v>400</v>
      </c>
      <c r="K443">
        <v>0</v>
      </c>
      <c r="L443">
        <v>0</v>
      </c>
      <c r="M443">
        <v>0</v>
      </c>
      <c r="N443">
        <v>600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600</v>
      </c>
      <c r="AH443">
        <v>3</v>
      </c>
      <c r="AI443">
        <v>0</v>
      </c>
      <c r="AJ443">
        <v>0</v>
      </c>
      <c r="AK443">
        <v>200</v>
      </c>
      <c r="AL443">
        <v>0</v>
      </c>
      <c r="AM443">
        <v>480</v>
      </c>
      <c r="AN443">
        <v>-48</v>
      </c>
      <c r="AO443">
        <v>0</v>
      </c>
      <c r="AP443"/>
      <c r="AQ443">
        <v>0</v>
      </c>
      <c r="AR443">
        <v>0</v>
      </c>
      <c r="AS443">
        <v>480</v>
      </c>
      <c r="AT443">
        <v>-48</v>
      </c>
      <c r="AU443">
        <v>0</v>
      </c>
      <c r="AW443">
        <v>0</v>
      </c>
      <c r="AX443">
        <v>0</v>
      </c>
      <c r="AY443">
        <v>442.4</v>
      </c>
      <c r="BA443" t="str">
        <f>T("0000000000000")</f>
        <v>0000000000000</v>
      </c>
      <c r="BC443" t="str">
        <f>T("9791137601253")</f>
        <v>9791137601253</v>
      </c>
      <c r="BE443" t="str">
        <f>T("웹툰 &gt; 해외 순정")</f>
        <v>웹툰 &gt; 해외 순정</v>
      </c>
      <c r="BF443" t="str">
        <f>T("웹툰 &gt; 로맨스")</f>
        <v>웹툰 &gt; 로맨스</v>
      </c>
    </row>
    <row r="444" spans="1:58" x14ac:dyDescent="0.3">
      <c r="A444">
        <v>4421000450</v>
      </c>
      <c r="B444">
        <v>4421000482</v>
      </c>
      <c r="C444" t="str">
        <f>T("내 남편의 스토커 32화")</f>
        <v>내 남편의 스토커 32화</v>
      </c>
      <c r="D444" t="str">
        <f>T("32")</f>
        <v>32</v>
      </c>
      <c r="E444" t="str">
        <f>T("혜원")</f>
        <v>혜원</v>
      </c>
      <c r="G444" t="str">
        <f>T("혜원")</f>
        <v>혜원</v>
      </c>
      <c r="H444" t="str">
        <f t="shared" si="53"/>
        <v>스토리위즈</v>
      </c>
      <c r="I444" t="str">
        <f>T("내 남편의 스토커")</f>
        <v>내 남편의 스토커</v>
      </c>
      <c r="J444">
        <v>400</v>
      </c>
      <c r="K444">
        <v>0</v>
      </c>
      <c r="L444">
        <v>0</v>
      </c>
      <c r="M444">
        <v>0</v>
      </c>
      <c r="N444">
        <v>200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240</v>
      </c>
      <c r="AN444">
        <v>-24</v>
      </c>
      <c r="AO444">
        <v>0</v>
      </c>
      <c r="AP444"/>
      <c r="AQ444">
        <v>0</v>
      </c>
      <c r="AR444">
        <v>0</v>
      </c>
      <c r="AS444">
        <v>240</v>
      </c>
      <c r="AT444">
        <v>-24</v>
      </c>
      <c r="AU444">
        <v>0</v>
      </c>
      <c r="AW444">
        <v>0</v>
      </c>
      <c r="AX444">
        <v>0</v>
      </c>
      <c r="AY444">
        <v>151.19999999999999</v>
      </c>
      <c r="BA444" t="str">
        <f>T("0000000000000")</f>
        <v>0000000000000</v>
      </c>
      <c r="BC444" t="str">
        <f>T("9791166068034")</f>
        <v>9791166068034</v>
      </c>
      <c r="BE444" t="str">
        <f>T("웹툰 &gt; 로맨스")</f>
        <v>웹툰 &gt; 로맨스</v>
      </c>
    </row>
    <row r="445" spans="1:58" x14ac:dyDescent="0.3">
      <c r="A445">
        <v>4421000450</v>
      </c>
      <c r="B445">
        <v>4421000471</v>
      </c>
      <c r="C445" t="str">
        <f>T("내 남편의 스토커 21화")</f>
        <v>내 남편의 스토커 21화</v>
      </c>
      <c r="D445" t="str">
        <f>T("21")</f>
        <v>21</v>
      </c>
      <c r="E445" t="str">
        <f>T("혜원")</f>
        <v>혜원</v>
      </c>
      <c r="G445" t="str">
        <f>T("혜원")</f>
        <v>혜원</v>
      </c>
      <c r="H445" t="str">
        <f t="shared" si="53"/>
        <v>스토리위즈</v>
      </c>
      <c r="I445" t="str">
        <f>T("내 남편의 스토커")</f>
        <v>내 남편의 스토커</v>
      </c>
      <c r="J445">
        <v>400</v>
      </c>
      <c r="K445">
        <v>0</v>
      </c>
      <c r="L445">
        <v>0</v>
      </c>
      <c r="M445">
        <v>0</v>
      </c>
      <c r="N445">
        <v>200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240</v>
      </c>
      <c r="AN445">
        <v>-24</v>
      </c>
      <c r="AO445">
        <v>0</v>
      </c>
      <c r="AP445"/>
      <c r="AQ445">
        <v>0</v>
      </c>
      <c r="AR445">
        <v>0</v>
      </c>
      <c r="AS445">
        <v>240</v>
      </c>
      <c r="AT445">
        <v>-24</v>
      </c>
      <c r="AU445">
        <v>0</v>
      </c>
      <c r="AW445">
        <v>0</v>
      </c>
      <c r="AX445">
        <v>0</v>
      </c>
      <c r="AY445">
        <v>151.19999999999999</v>
      </c>
      <c r="BA445" t="str">
        <f>T("0000000000000")</f>
        <v>0000000000000</v>
      </c>
      <c r="BC445" t="str">
        <f>T("9791166068034")</f>
        <v>9791166068034</v>
      </c>
      <c r="BE445" t="str">
        <f>T("웹툰 &gt; 로맨스")</f>
        <v>웹툰 &gt; 로맨스</v>
      </c>
    </row>
    <row r="446" spans="1:58" x14ac:dyDescent="0.3">
      <c r="A446">
        <v>4421000866</v>
      </c>
      <c r="B446">
        <v>4421000873</v>
      </c>
      <c r="C446" t="str">
        <f>T("최애에게 들켜버렸다 7화")</f>
        <v>최애에게 들켜버렸다 7화</v>
      </c>
      <c r="D446" t="str">
        <f>T("7")</f>
        <v>7</v>
      </c>
      <c r="E446" t="str">
        <f>T("Lv")</f>
        <v>Lv</v>
      </c>
      <c r="G446" t="str">
        <f>T("Lv")</f>
        <v>Lv</v>
      </c>
      <c r="H446" t="str">
        <f t="shared" si="53"/>
        <v>스토리위즈</v>
      </c>
      <c r="I446" t="str">
        <f>T("최애에게 들켜버렸다")</f>
        <v>최애에게 들켜버렸다</v>
      </c>
      <c r="J446">
        <v>400</v>
      </c>
      <c r="K446">
        <v>0</v>
      </c>
      <c r="L446">
        <v>0</v>
      </c>
      <c r="M446">
        <v>0</v>
      </c>
      <c r="N446">
        <v>1000</v>
      </c>
      <c r="O446">
        <v>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1000</v>
      </c>
      <c r="AH446">
        <v>5</v>
      </c>
      <c r="AI446">
        <v>0</v>
      </c>
      <c r="AJ446">
        <v>0</v>
      </c>
      <c r="AK446">
        <v>430</v>
      </c>
      <c r="AL446">
        <v>0</v>
      </c>
      <c r="AM446">
        <v>684</v>
      </c>
      <c r="AN446">
        <v>-116.4</v>
      </c>
      <c r="AO446">
        <v>0</v>
      </c>
      <c r="AP446"/>
      <c r="AQ446">
        <v>0</v>
      </c>
      <c r="AR446">
        <v>0</v>
      </c>
      <c r="AS446">
        <v>684</v>
      </c>
      <c r="AT446">
        <v>-116.4</v>
      </c>
      <c r="AU446">
        <v>0</v>
      </c>
      <c r="AW446">
        <v>0</v>
      </c>
      <c r="AX446">
        <v>0</v>
      </c>
      <c r="AY446">
        <v>698.32</v>
      </c>
      <c r="BA446" t="str">
        <f>T("0000000000000")</f>
        <v>0000000000000</v>
      </c>
      <c r="BC446" t="str">
        <f>T("9791137601253")</f>
        <v>9791137601253</v>
      </c>
      <c r="BE446" t="str">
        <f>T("웹툰 &gt; 해외 순정")</f>
        <v>웹툰 &gt; 해외 순정</v>
      </c>
      <c r="BF446" t="str">
        <f>T("웹툰 &gt; 로맨스")</f>
        <v>웹툰 &gt; 로맨스</v>
      </c>
    </row>
    <row r="447" spans="1:58" x14ac:dyDescent="0.3">
      <c r="A447">
        <v>4421000001</v>
      </c>
      <c r="B447">
        <v>4421000064</v>
      </c>
      <c r="C447" t="str">
        <f>T("감옥실험 44화")</f>
        <v>감옥실험 44화</v>
      </c>
      <c r="D447" t="str">
        <f>T("44")</f>
        <v>44</v>
      </c>
      <c r="E447" t="str">
        <f>T("Kantetsu")</f>
        <v>Kantetsu</v>
      </c>
      <c r="G447" t="str">
        <f>T("Minase Chiho")</f>
        <v>Minase Chiho</v>
      </c>
      <c r="H447" t="str">
        <f t="shared" si="53"/>
        <v>스토리위즈</v>
      </c>
      <c r="I447" t="str">
        <f>T("감옥실험")</f>
        <v>감옥실험</v>
      </c>
      <c r="J447">
        <v>500</v>
      </c>
      <c r="K447">
        <v>0</v>
      </c>
      <c r="L447">
        <v>0</v>
      </c>
      <c r="M447">
        <v>0</v>
      </c>
      <c r="N447">
        <v>600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600</v>
      </c>
      <c r="AH447">
        <v>2</v>
      </c>
      <c r="AI447">
        <v>0</v>
      </c>
      <c r="AJ447">
        <v>0</v>
      </c>
      <c r="AK447">
        <v>600</v>
      </c>
      <c r="AL447">
        <v>0</v>
      </c>
      <c r="AM447">
        <v>0</v>
      </c>
      <c r="AN447">
        <v>0</v>
      </c>
      <c r="AO447">
        <v>0</v>
      </c>
      <c r="AP447"/>
      <c r="AQ447">
        <v>0</v>
      </c>
      <c r="AR447">
        <v>0</v>
      </c>
      <c r="AT447">
        <v>0</v>
      </c>
      <c r="AU447">
        <v>0</v>
      </c>
      <c r="AW447">
        <v>0</v>
      </c>
      <c r="AX447">
        <v>0</v>
      </c>
      <c r="AY447">
        <v>420</v>
      </c>
      <c r="BC447" t="str">
        <f>T("9791166069406")</f>
        <v>9791166069406</v>
      </c>
      <c r="BE447" t="str">
        <f>T("웹툰 &gt; 드라마")</f>
        <v>웹툰 &gt; 드라마</v>
      </c>
    </row>
    <row r="448" spans="1:58" x14ac:dyDescent="0.3">
      <c r="A448">
        <v>4421001634</v>
      </c>
      <c r="B448">
        <v>4421002504</v>
      </c>
      <c r="C448" t="str">
        <f>T("그남자의 사랑방식 55화")</f>
        <v>그남자의 사랑방식 55화</v>
      </c>
      <c r="D448" t="str">
        <f>T("55")</f>
        <v>55</v>
      </c>
      <c r="E448" t="str">
        <f>T("웹티")</f>
        <v>웹티</v>
      </c>
      <c r="H448" t="str">
        <f t="shared" si="53"/>
        <v>스토리위즈</v>
      </c>
      <c r="I448" t="str">
        <f>T("그남자의 사랑방식")</f>
        <v>그남자의 사랑방식</v>
      </c>
      <c r="J448">
        <v>500</v>
      </c>
      <c r="K448">
        <v>0</v>
      </c>
      <c r="L448">
        <v>0</v>
      </c>
      <c r="M448">
        <v>0</v>
      </c>
      <c r="N448">
        <v>400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400</v>
      </c>
      <c r="AH448">
        <v>2</v>
      </c>
      <c r="AI448">
        <v>0</v>
      </c>
      <c r="AJ448">
        <v>0</v>
      </c>
      <c r="AK448">
        <v>200</v>
      </c>
      <c r="AL448">
        <v>0</v>
      </c>
      <c r="AM448">
        <v>240</v>
      </c>
      <c r="AN448">
        <v>-24</v>
      </c>
      <c r="AO448">
        <v>0</v>
      </c>
      <c r="AP448"/>
      <c r="AQ448">
        <v>0</v>
      </c>
      <c r="AR448">
        <v>0</v>
      </c>
      <c r="AS448">
        <v>240</v>
      </c>
      <c r="AT448">
        <v>-24</v>
      </c>
      <c r="AU448">
        <v>0</v>
      </c>
      <c r="AW448">
        <v>0</v>
      </c>
      <c r="AX448">
        <v>0</v>
      </c>
      <c r="AY448">
        <v>291.2</v>
      </c>
      <c r="BC448" t="str">
        <f>T("9791190622004")</f>
        <v>9791190622004</v>
      </c>
      <c r="BE448" t="str">
        <f>T("BL 웹툰 &gt; 웹툰")</f>
        <v>BL 웹툰 &gt; 웹툰</v>
      </c>
    </row>
    <row r="449" spans="1:58" x14ac:dyDescent="0.3">
      <c r="A449">
        <v>4421001340</v>
      </c>
      <c r="B449">
        <v>4421001563</v>
      </c>
      <c r="C449" t="str">
        <f>T("가출천사 육성계약 41화")</f>
        <v>가출천사 육성계약 41화</v>
      </c>
      <c r="D449" t="str">
        <f>T("41")</f>
        <v>41</v>
      </c>
      <c r="E449" t="str">
        <f>T("Bae.C, IIAKI, 박제후")</f>
        <v>Bae.C, IIAKI, 박제후</v>
      </c>
      <c r="G449" t="str">
        <f>T("Bae.C, 조우")</f>
        <v>Bae.C, 조우</v>
      </c>
      <c r="H449" t="str">
        <f t="shared" si="53"/>
        <v>스토리위즈</v>
      </c>
      <c r="I449" t="str">
        <f>T("가출천사 육성계약")</f>
        <v>가출천사 육성계약</v>
      </c>
      <c r="J449">
        <v>400</v>
      </c>
      <c r="K449">
        <v>0</v>
      </c>
      <c r="L449">
        <v>0</v>
      </c>
      <c r="M449">
        <v>0</v>
      </c>
      <c r="N449">
        <v>200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240</v>
      </c>
      <c r="AN449">
        <v>-24</v>
      </c>
      <c r="AO449">
        <v>0</v>
      </c>
      <c r="AP449"/>
      <c r="AQ449">
        <v>0</v>
      </c>
      <c r="AR449">
        <v>0</v>
      </c>
      <c r="AS449">
        <v>240</v>
      </c>
      <c r="AT449">
        <v>-24</v>
      </c>
      <c r="AU449">
        <v>0</v>
      </c>
      <c r="AW449">
        <v>0</v>
      </c>
      <c r="AX449">
        <v>0</v>
      </c>
      <c r="AY449">
        <v>151.19999999999999</v>
      </c>
      <c r="BA449" t="str">
        <f>T("0000000000000")</f>
        <v>0000000000000</v>
      </c>
      <c r="BC449" t="str">
        <f>T("9791191765663")</f>
        <v>9791191765663</v>
      </c>
      <c r="BE449" t="str">
        <f>T("웹툰 &gt; 판타지/SF")</f>
        <v>웹툰 &gt; 판타지/SF</v>
      </c>
    </row>
    <row r="450" spans="1:58" x14ac:dyDescent="0.3">
      <c r="A450">
        <v>4421000450</v>
      </c>
      <c r="B450">
        <v>4421000503</v>
      </c>
      <c r="C450" t="str">
        <f>T("내 남편의 스토커 53화")</f>
        <v>내 남편의 스토커 53화</v>
      </c>
      <c r="D450" t="str">
        <f>T("53")</f>
        <v>53</v>
      </c>
      <c r="E450" t="str">
        <f>T("혜원")</f>
        <v>혜원</v>
      </c>
      <c r="G450" t="str">
        <f>T("혜원")</f>
        <v>혜원</v>
      </c>
      <c r="H450" t="str">
        <f t="shared" ref="H450:H513" si="56">T("스토리위즈")</f>
        <v>스토리위즈</v>
      </c>
      <c r="I450" t="str">
        <f>T("내 남편의 스토커")</f>
        <v>내 남편의 스토커</v>
      </c>
      <c r="J450">
        <v>400</v>
      </c>
      <c r="K450">
        <v>0</v>
      </c>
      <c r="L450">
        <v>0</v>
      </c>
      <c r="M450">
        <v>0</v>
      </c>
      <c r="N450">
        <v>200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240</v>
      </c>
      <c r="AN450">
        <v>-24</v>
      </c>
      <c r="AO450">
        <v>0</v>
      </c>
      <c r="AP450"/>
      <c r="AQ450">
        <v>0</v>
      </c>
      <c r="AR450">
        <v>0</v>
      </c>
      <c r="AS450">
        <v>240</v>
      </c>
      <c r="AT450">
        <v>-24</v>
      </c>
      <c r="AU450">
        <v>0</v>
      </c>
      <c r="AW450">
        <v>0</v>
      </c>
      <c r="AX450">
        <v>0</v>
      </c>
      <c r="AY450">
        <v>151.19999999999999</v>
      </c>
      <c r="BA450" t="str">
        <f>T("0000000000000")</f>
        <v>0000000000000</v>
      </c>
      <c r="BC450" t="str">
        <f>T("9791166068034")</f>
        <v>9791166068034</v>
      </c>
      <c r="BE450" t="str">
        <f>T("웹툰 &gt; 로맨스")</f>
        <v>웹툰 &gt; 로맨스</v>
      </c>
    </row>
    <row r="451" spans="1:58" x14ac:dyDescent="0.3">
      <c r="A451">
        <v>4421000866</v>
      </c>
      <c r="B451">
        <v>4421001302</v>
      </c>
      <c r="C451" t="str">
        <f>T("최애에게 들켜버렸다 70화")</f>
        <v>최애에게 들켜버렸다 70화</v>
      </c>
      <c r="D451" t="str">
        <f>T("73")</f>
        <v>73</v>
      </c>
      <c r="E451" t="str">
        <f>T("Lv")</f>
        <v>Lv</v>
      </c>
      <c r="G451" t="str">
        <f>T("Lv")</f>
        <v>Lv</v>
      </c>
      <c r="H451" t="str">
        <f t="shared" si="56"/>
        <v>스토리위즈</v>
      </c>
      <c r="I451" t="str">
        <f>T("최애에게 들켜버렸다")</f>
        <v>최애에게 들켜버렸다</v>
      </c>
      <c r="J451">
        <v>400</v>
      </c>
      <c r="K451">
        <v>0</v>
      </c>
      <c r="L451">
        <v>0</v>
      </c>
      <c r="M451">
        <v>0</v>
      </c>
      <c r="N451">
        <v>200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240</v>
      </c>
      <c r="AN451">
        <v>-24</v>
      </c>
      <c r="AO451">
        <v>0</v>
      </c>
      <c r="AP451"/>
      <c r="AQ451">
        <v>0</v>
      </c>
      <c r="AR451">
        <v>0</v>
      </c>
      <c r="AS451">
        <v>240</v>
      </c>
      <c r="AT451">
        <v>-24</v>
      </c>
      <c r="AU451">
        <v>0</v>
      </c>
      <c r="AW451">
        <v>0</v>
      </c>
      <c r="AX451">
        <v>0</v>
      </c>
      <c r="AY451">
        <v>151.19999999999999</v>
      </c>
      <c r="BA451" t="str">
        <f>T("0000000000000")</f>
        <v>0000000000000</v>
      </c>
      <c r="BC451" t="str">
        <f>T("9791137601253")</f>
        <v>9791137601253</v>
      </c>
      <c r="BE451" t="str">
        <f>T("웹툰 &gt; 해외 순정")</f>
        <v>웹툰 &gt; 해외 순정</v>
      </c>
      <c r="BF451" t="str">
        <f>T("웹툰 &gt; 로맨스")</f>
        <v>웹툰 &gt; 로맨스</v>
      </c>
    </row>
    <row r="452" spans="1:58" x14ac:dyDescent="0.3">
      <c r="A452">
        <v>4421003015</v>
      </c>
      <c r="B452">
        <v>4421003039</v>
      </c>
      <c r="C452" t="str">
        <f>T("일월성신 24화")</f>
        <v>일월성신 24화</v>
      </c>
      <c r="D452" t="str">
        <f>T("24")</f>
        <v>24</v>
      </c>
      <c r="E452" t="str">
        <f>T("김숙지")</f>
        <v>김숙지</v>
      </c>
      <c r="G452" t="str">
        <f>T("이름표")</f>
        <v>이름표</v>
      </c>
      <c r="H452" t="str">
        <f t="shared" si="56"/>
        <v>스토리위즈</v>
      </c>
      <c r="I452" t="str">
        <f>T("일월성신")</f>
        <v>일월성신</v>
      </c>
      <c r="J452">
        <v>400</v>
      </c>
      <c r="K452">
        <v>0</v>
      </c>
      <c r="L452">
        <v>0</v>
      </c>
      <c r="M452">
        <v>0</v>
      </c>
      <c r="N452">
        <v>600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600</v>
      </c>
      <c r="AH452">
        <v>3</v>
      </c>
      <c r="AI452">
        <v>0</v>
      </c>
      <c r="AJ452">
        <v>0</v>
      </c>
      <c r="AK452">
        <v>200</v>
      </c>
      <c r="AL452">
        <v>0</v>
      </c>
      <c r="AM452">
        <v>480</v>
      </c>
      <c r="AN452">
        <v>-96</v>
      </c>
      <c r="AO452">
        <v>0</v>
      </c>
      <c r="AP452">
        <v>240</v>
      </c>
      <c r="AQ452">
        <v>-72</v>
      </c>
      <c r="AR452">
        <v>0</v>
      </c>
      <c r="AS452">
        <v>240</v>
      </c>
      <c r="AT452">
        <v>-24</v>
      </c>
      <c r="AU452">
        <v>0</v>
      </c>
      <c r="AW452">
        <v>0</v>
      </c>
      <c r="AX452">
        <v>0</v>
      </c>
      <c r="AY452">
        <v>408.8</v>
      </c>
      <c r="BA452" t="str">
        <f>T("0000000000000")</f>
        <v>0000000000000</v>
      </c>
      <c r="BC452" t="str">
        <f>T("9791137604605")</f>
        <v>9791137604605</v>
      </c>
      <c r="BE452" t="str">
        <f>T("웹툰 &gt; 드라마")</f>
        <v>웹툰 &gt; 드라마</v>
      </c>
    </row>
    <row r="453" spans="1:58" x14ac:dyDescent="0.3">
      <c r="A453">
        <v>4421001634</v>
      </c>
      <c r="B453">
        <v>4421002537</v>
      </c>
      <c r="C453" t="str">
        <f>T("그남자의 사랑방식 88화")</f>
        <v>그남자의 사랑방식 88화</v>
      </c>
      <c r="D453" t="str">
        <f>T("88")</f>
        <v>88</v>
      </c>
      <c r="E453" t="str">
        <f>T("웹티")</f>
        <v>웹티</v>
      </c>
      <c r="H453" t="str">
        <f t="shared" si="56"/>
        <v>스토리위즈</v>
      </c>
      <c r="I453" t="str">
        <f>T("그남자의 사랑방식")</f>
        <v>그남자의 사랑방식</v>
      </c>
      <c r="J453">
        <v>500</v>
      </c>
      <c r="K453">
        <v>0</v>
      </c>
      <c r="L453">
        <v>0</v>
      </c>
      <c r="M453">
        <v>0</v>
      </c>
      <c r="N453">
        <v>200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200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240</v>
      </c>
      <c r="AN453">
        <v>-24</v>
      </c>
      <c r="AO453">
        <v>0</v>
      </c>
      <c r="AP453"/>
      <c r="AQ453">
        <v>0</v>
      </c>
      <c r="AR453">
        <v>0</v>
      </c>
      <c r="AS453">
        <v>240</v>
      </c>
      <c r="AT453">
        <v>-24</v>
      </c>
      <c r="AU453">
        <v>0</v>
      </c>
      <c r="AW453">
        <v>0</v>
      </c>
      <c r="AX453">
        <v>0</v>
      </c>
      <c r="AY453">
        <v>151.19999999999999</v>
      </c>
      <c r="BC453" t="str">
        <f>T("9791190622004")</f>
        <v>9791190622004</v>
      </c>
      <c r="BE453" t="str">
        <f>T("BL 웹툰 &gt; 웹툰")</f>
        <v>BL 웹툰 &gt; 웹툰</v>
      </c>
    </row>
    <row r="454" spans="1:58" x14ac:dyDescent="0.3">
      <c r="A454">
        <v>4421001340</v>
      </c>
      <c r="B454">
        <v>4421001356</v>
      </c>
      <c r="C454" t="str">
        <f>T("가출천사 육성계약 17화")</f>
        <v>가출천사 육성계약 17화</v>
      </c>
      <c r="D454" t="str">
        <f>T("17")</f>
        <v>17</v>
      </c>
      <c r="E454" t="str">
        <f>T("Bae.C, IIAKI, 박제후")</f>
        <v>Bae.C, IIAKI, 박제후</v>
      </c>
      <c r="G454" t="str">
        <f>T("Bae.C, 조우")</f>
        <v>Bae.C, 조우</v>
      </c>
      <c r="H454" t="str">
        <f t="shared" si="56"/>
        <v>스토리위즈</v>
      </c>
      <c r="I454" t="str">
        <f>T("가출천사 육성계약")</f>
        <v>가출천사 육성계약</v>
      </c>
      <c r="J454">
        <v>400</v>
      </c>
      <c r="K454">
        <v>0</v>
      </c>
      <c r="L454">
        <v>0</v>
      </c>
      <c r="M454">
        <v>0</v>
      </c>
      <c r="N454">
        <v>200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240</v>
      </c>
      <c r="AN454">
        <v>-24</v>
      </c>
      <c r="AO454">
        <v>0</v>
      </c>
      <c r="AP454"/>
      <c r="AQ454">
        <v>0</v>
      </c>
      <c r="AR454">
        <v>0</v>
      </c>
      <c r="AS454">
        <v>240</v>
      </c>
      <c r="AT454">
        <v>-24</v>
      </c>
      <c r="AU454">
        <v>0</v>
      </c>
      <c r="AW454">
        <v>0</v>
      </c>
      <c r="AX454">
        <v>0</v>
      </c>
      <c r="AY454">
        <v>151.19999999999999</v>
      </c>
      <c r="BA454" t="str">
        <f>T("0000000000000")</f>
        <v>0000000000000</v>
      </c>
      <c r="BC454" t="str">
        <f>T("9791191765663")</f>
        <v>9791191765663</v>
      </c>
      <c r="BE454" t="str">
        <f>T("웹툰 &gt; 판타지/SF")</f>
        <v>웹툰 &gt; 판타지/SF</v>
      </c>
    </row>
    <row r="455" spans="1:58" x14ac:dyDescent="0.3">
      <c r="A455">
        <v>4421001634</v>
      </c>
      <c r="B455">
        <v>4421001656</v>
      </c>
      <c r="C455" t="str">
        <f>T("그남자의 사랑방식 23화")</f>
        <v>그남자의 사랑방식 23화</v>
      </c>
      <c r="D455" t="str">
        <f>T("23")</f>
        <v>23</v>
      </c>
      <c r="E455" t="str">
        <f>T("웹티")</f>
        <v>웹티</v>
      </c>
      <c r="H455" t="str">
        <f t="shared" si="56"/>
        <v>스토리위즈</v>
      </c>
      <c r="I455" t="str">
        <f>T("그남자의 사랑방식")</f>
        <v>그남자의 사랑방식</v>
      </c>
      <c r="J455">
        <v>500</v>
      </c>
      <c r="K455">
        <v>0</v>
      </c>
      <c r="L455">
        <v>0</v>
      </c>
      <c r="M455">
        <v>0</v>
      </c>
      <c r="N455">
        <v>1000</v>
      </c>
      <c r="O455">
        <v>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1000</v>
      </c>
      <c r="AH455">
        <v>5</v>
      </c>
      <c r="AI455">
        <v>0</v>
      </c>
      <c r="AJ455">
        <v>0</v>
      </c>
      <c r="AK455">
        <v>0</v>
      </c>
      <c r="AL455">
        <v>0</v>
      </c>
      <c r="AM455">
        <v>1200</v>
      </c>
      <c r="AN455">
        <v>-216</v>
      </c>
      <c r="AO455">
        <v>0</v>
      </c>
      <c r="AP455">
        <v>240</v>
      </c>
      <c r="AQ455">
        <v>-72</v>
      </c>
      <c r="AR455">
        <v>0</v>
      </c>
      <c r="AS455">
        <v>960</v>
      </c>
      <c r="AT455">
        <v>-144</v>
      </c>
      <c r="AU455">
        <v>0</v>
      </c>
      <c r="AW455">
        <v>0</v>
      </c>
      <c r="AX455">
        <v>0</v>
      </c>
      <c r="AY455">
        <v>688.8</v>
      </c>
      <c r="BC455" t="str">
        <f>T("9791190622004")</f>
        <v>9791190622004</v>
      </c>
      <c r="BE455" t="str">
        <f>T("BL 웹툰 &gt; 웹툰")</f>
        <v>BL 웹툰 &gt; 웹툰</v>
      </c>
    </row>
    <row r="456" spans="1:58" x14ac:dyDescent="0.3">
      <c r="A456">
        <v>4421000887</v>
      </c>
      <c r="B456">
        <v>4421001252</v>
      </c>
      <c r="C456" t="str">
        <f>T("폭군의 눈물 46화")</f>
        <v>폭군의 눈물 46화</v>
      </c>
      <c r="D456" t="str">
        <f>T("46")</f>
        <v>46</v>
      </c>
      <c r="E456" t="str">
        <f>T("Ice×FANFAN COMIC")</f>
        <v>Ice×FANFAN COMIC</v>
      </c>
      <c r="G456" t="str">
        <f>T("Ice×FANFAN COMIC")</f>
        <v>Ice×FANFAN COMIC</v>
      </c>
      <c r="H456" t="str">
        <f t="shared" si="56"/>
        <v>스토리위즈</v>
      </c>
      <c r="I456" t="str">
        <f>T("폭군의 눈물")</f>
        <v>폭군의 눈물</v>
      </c>
      <c r="J456">
        <v>400</v>
      </c>
      <c r="K456">
        <v>0</v>
      </c>
      <c r="L456">
        <v>0</v>
      </c>
      <c r="M456">
        <v>0</v>
      </c>
      <c r="N456">
        <v>200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200</v>
      </c>
      <c r="AH456">
        <v>1</v>
      </c>
      <c r="AI456">
        <v>0</v>
      </c>
      <c r="AJ456">
        <v>0</v>
      </c>
      <c r="AK456">
        <v>200</v>
      </c>
      <c r="AL456">
        <v>0</v>
      </c>
      <c r="AM456">
        <v>0</v>
      </c>
      <c r="AN456">
        <v>0</v>
      </c>
      <c r="AO456">
        <v>0</v>
      </c>
      <c r="AP456"/>
      <c r="AQ456">
        <v>0</v>
      </c>
      <c r="AR456">
        <v>0</v>
      </c>
      <c r="AT456">
        <v>0</v>
      </c>
      <c r="AU456">
        <v>0</v>
      </c>
      <c r="AW456">
        <v>0</v>
      </c>
      <c r="AX456">
        <v>0</v>
      </c>
      <c r="AY456">
        <v>140</v>
      </c>
      <c r="BA456" t="str">
        <f t="shared" ref="BA456:BA463" si="57">T("0000000000000")</f>
        <v>0000000000000</v>
      </c>
      <c r="BC456" t="str">
        <f>T("9791137601291")</f>
        <v>9791137601291</v>
      </c>
      <c r="BE456" t="str">
        <f>T("웹툰 &gt; 해외 순정")</f>
        <v>웹툰 &gt; 해외 순정</v>
      </c>
      <c r="BF456" t="str">
        <f>T("웹툰 &gt; 로판")</f>
        <v>웹툰 &gt; 로판</v>
      </c>
    </row>
    <row r="457" spans="1:58" x14ac:dyDescent="0.3">
      <c r="A457">
        <v>4421001340</v>
      </c>
      <c r="B457">
        <v>4421001344</v>
      </c>
      <c r="C457" t="str">
        <f>T("가출천사 육성계약 5화")</f>
        <v>가출천사 육성계약 5화</v>
      </c>
      <c r="D457" t="str">
        <f>T("5")</f>
        <v>5</v>
      </c>
      <c r="E457" t="str">
        <f>T("Bae.C, IIAKI, 박제후")</f>
        <v>Bae.C, IIAKI, 박제후</v>
      </c>
      <c r="G457" t="str">
        <f>T("Bae.C, 조우")</f>
        <v>Bae.C, 조우</v>
      </c>
      <c r="H457" t="str">
        <f t="shared" si="56"/>
        <v>스토리위즈</v>
      </c>
      <c r="I457" t="str">
        <f>T("가출천사 육성계약")</f>
        <v>가출천사 육성계약</v>
      </c>
      <c r="J457">
        <v>400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/>
      <c r="AQ457">
        <v>0</v>
      </c>
      <c r="AR457">
        <v>0</v>
      </c>
      <c r="AT457">
        <v>0</v>
      </c>
      <c r="AU457">
        <v>0</v>
      </c>
      <c r="AW457">
        <v>0</v>
      </c>
      <c r="AX457">
        <v>0</v>
      </c>
      <c r="AY457">
        <v>0</v>
      </c>
      <c r="BA457" t="str">
        <f t="shared" si="57"/>
        <v>0000000000000</v>
      </c>
      <c r="BC457" t="str">
        <f>T("9791191765663")</f>
        <v>9791191765663</v>
      </c>
      <c r="BE457" t="str">
        <f>T("웹툰 &gt; 판타지/SF")</f>
        <v>웹툰 &gt; 판타지/SF</v>
      </c>
    </row>
    <row r="458" spans="1:58" x14ac:dyDescent="0.3">
      <c r="A458">
        <v>4421002829</v>
      </c>
      <c r="B458">
        <v>4421003082</v>
      </c>
      <c r="C458" t="str">
        <f>T("테두리는 주시하지 않는다 (개정판) 22화")</f>
        <v>테두리는 주시하지 않는다 (개정판) 22화</v>
      </c>
      <c r="D458" t="str">
        <f>T("22")</f>
        <v>22</v>
      </c>
      <c r="E458" t="str">
        <f>T("토찌, 키로즈")</f>
        <v>토찌, 키로즈</v>
      </c>
      <c r="G458" t="str">
        <f>T("마린")</f>
        <v>마린</v>
      </c>
      <c r="H458" t="str">
        <f t="shared" si="56"/>
        <v>스토리위즈</v>
      </c>
      <c r="I458" t="str">
        <f>T("테두리는 주시하지 않는다 (개정판)")</f>
        <v>테두리는 주시하지 않는다 (개정판)</v>
      </c>
      <c r="J458">
        <v>500</v>
      </c>
      <c r="K458">
        <v>0</v>
      </c>
      <c r="L458">
        <v>0</v>
      </c>
      <c r="M458">
        <v>0</v>
      </c>
      <c r="N458">
        <v>7500</v>
      </c>
      <c r="O458">
        <v>25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7500</v>
      </c>
      <c r="AH458">
        <v>25</v>
      </c>
      <c r="AI458">
        <v>0</v>
      </c>
      <c r="AJ458">
        <v>0</v>
      </c>
      <c r="AK458">
        <v>3750</v>
      </c>
      <c r="AL458">
        <v>0</v>
      </c>
      <c r="AM458">
        <v>4500</v>
      </c>
      <c r="AN458">
        <v>-774</v>
      </c>
      <c r="AO458">
        <v>0</v>
      </c>
      <c r="AP458">
        <v>900</v>
      </c>
      <c r="AQ458">
        <v>-270</v>
      </c>
      <c r="AR458">
        <v>0</v>
      </c>
      <c r="AS458">
        <v>3600</v>
      </c>
      <c r="AT458">
        <v>-504</v>
      </c>
      <c r="AU458">
        <v>0</v>
      </c>
      <c r="AW458">
        <v>0</v>
      </c>
      <c r="AX458">
        <v>0</v>
      </c>
      <c r="AY458">
        <v>5233.2</v>
      </c>
      <c r="BA458" t="str">
        <f t="shared" si="57"/>
        <v>0000000000000</v>
      </c>
      <c r="BC458" t="str">
        <f>T("9791137604681")</f>
        <v>9791137604681</v>
      </c>
      <c r="BE458" t="str">
        <f>T("BL 웹툰 &gt; 웹툰")</f>
        <v>BL 웹툰 &gt; 웹툰</v>
      </c>
    </row>
    <row r="459" spans="1:58" x14ac:dyDescent="0.3">
      <c r="A459">
        <v>4421001340</v>
      </c>
      <c r="B459">
        <v>4421001469</v>
      </c>
      <c r="C459" t="str">
        <f>T("가출천사 육성계약 37화")</f>
        <v>가출천사 육성계약 37화</v>
      </c>
      <c r="D459" t="str">
        <f>T("37")</f>
        <v>37</v>
      </c>
      <c r="E459" t="str">
        <f>T("Bae.C, IIAKI, 박제후")</f>
        <v>Bae.C, IIAKI, 박제후</v>
      </c>
      <c r="G459" t="str">
        <f>T("Bae.C, 조우")</f>
        <v>Bae.C, 조우</v>
      </c>
      <c r="H459" t="str">
        <f t="shared" si="56"/>
        <v>스토리위즈</v>
      </c>
      <c r="I459" t="str">
        <f>T("가출천사 육성계약")</f>
        <v>가출천사 육성계약</v>
      </c>
      <c r="J459">
        <v>400</v>
      </c>
      <c r="K459">
        <v>0</v>
      </c>
      <c r="L459">
        <v>0</v>
      </c>
      <c r="M459">
        <v>0</v>
      </c>
      <c r="N459">
        <v>200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240</v>
      </c>
      <c r="AN459">
        <v>-24</v>
      </c>
      <c r="AO459">
        <v>0</v>
      </c>
      <c r="AP459"/>
      <c r="AQ459">
        <v>0</v>
      </c>
      <c r="AR459">
        <v>0</v>
      </c>
      <c r="AS459">
        <v>240</v>
      </c>
      <c r="AT459">
        <v>-24</v>
      </c>
      <c r="AU459">
        <v>0</v>
      </c>
      <c r="AW459">
        <v>0</v>
      </c>
      <c r="AX459">
        <v>0</v>
      </c>
      <c r="AY459">
        <v>151.19999999999999</v>
      </c>
      <c r="BA459" t="str">
        <f t="shared" si="57"/>
        <v>0000000000000</v>
      </c>
      <c r="BC459" t="str">
        <f>T("9791191765663")</f>
        <v>9791191765663</v>
      </c>
      <c r="BE459" t="str">
        <f>T("웹툰 &gt; 판타지/SF")</f>
        <v>웹툰 &gt; 판타지/SF</v>
      </c>
    </row>
    <row r="460" spans="1:58" x14ac:dyDescent="0.3">
      <c r="A460">
        <v>4421002022</v>
      </c>
      <c r="B460">
        <v>4421002050</v>
      </c>
      <c r="C460" t="str">
        <f>T("대표님과 연애를 시작했습니다 29화")</f>
        <v>대표님과 연애를 시작했습니다 29화</v>
      </c>
      <c r="D460" t="str">
        <f>T("29")</f>
        <v>29</v>
      </c>
      <c r="E460" t="str">
        <f>T("웹티")</f>
        <v>웹티</v>
      </c>
      <c r="H460" t="str">
        <f t="shared" si="56"/>
        <v>스토리위즈</v>
      </c>
      <c r="I460" t="str">
        <f>T("대표님과 연애를 시작했습니다")</f>
        <v>대표님과 연애를 시작했습니다</v>
      </c>
      <c r="J460">
        <v>500</v>
      </c>
      <c r="K460">
        <v>0</v>
      </c>
      <c r="L460">
        <v>0</v>
      </c>
      <c r="M460">
        <v>0</v>
      </c>
      <c r="N460">
        <v>200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200</v>
      </c>
      <c r="AH460">
        <v>1</v>
      </c>
      <c r="AI460">
        <v>0</v>
      </c>
      <c r="AJ460">
        <v>0</v>
      </c>
      <c r="AK460">
        <v>200</v>
      </c>
      <c r="AL460">
        <v>0</v>
      </c>
      <c r="AM460">
        <v>0</v>
      </c>
      <c r="AN460">
        <v>0</v>
      </c>
      <c r="AO460">
        <v>0</v>
      </c>
      <c r="AP460"/>
      <c r="AQ460">
        <v>0</v>
      </c>
      <c r="AR460">
        <v>0</v>
      </c>
      <c r="AT460">
        <v>0</v>
      </c>
      <c r="AU460">
        <v>0</v>
      </c>
      <c r="AW460">
        <v>0</v>
      </c>
      <c r="AX460">
        <v>0</v>
      </c>
      <c r="AY460">
        <v>140</v>
      </c>
      <c r="BA460" t="str">
        <f t="shared" si="57"/>
        <v>0000000000000</v>
      </c>
      <c r="BC460" t="str">
        <f>T("9791196660482")</f>
        <v>9791196660482</v>
      </c>
      <c r="BE460" t="str">
        <f>T("BL 웹툰 &gt; 웹툰")</f>
        <v>BL 웹툰 &gt; 웹툰</v>
      </c>
    </row>
    <row r="461" spans="1:58" x14ac:dyDescent="0.3">
      <c r="A461">
        <v>4421002829</v>
      </c>
      <c r="B461">
        <v>4421002829</v>
      </c>
      <c r="C461" t="str">
        <f>T("테두리는 주시하지 않는다 (개정판) 1화")</f>
        <v>테두리는 주시하지 않는다 (개정판) 1화</v>
      </c>
      <c r="D461" t="str">
        <f>T("1")</f>
        <v>1</v>
      </c>
      <c r="E461" t="str">
        <f>T("토찌, 키로즈")</f>
        <v>토찌, 키로즈</v>
      </c>
      <c r="G461" t="str">
        <f>T("마린")</f>
        <v>마린</v>
      </c>
      <c r="H461" t="str">
        <f t="shared" si="56"/>
        <v>스토리위즈</v>
      </c>
      <c r="I461" t="str">
        <f>T("테두리는 주시하지 않는다 (개정판)")</f>
        <v>테두리는 주시하지 않는다 (개정판)</v>
      </c>
      <c r="J461">
        <v>500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203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203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/>
      <c r="AQ461">
        <v>0</v>
      </c>
      <c r="AR461">
        <v>0</v>
      </c>
      <c r="AT461">
        <v>0</v>
      </c>
      <c r="AU461">
        <v>0</v>
      </c>
      <c r="AW461">
        <v>0</v>
      </c>
      <c r="AX461">
        <v>0</v>
      </c>
      <c r="AY461">
        <v>0</v>
      </c>
      <c r="BA461" t="str">
        <f t="shared" si="57"/>
        <v>0000000000000</v>
      </c>
      <c r="BC461" t="str">
        <f>T("9791137604681")</f>
        <v>9791137604681</v>
      </c>
      <c r="BE461" t="str">
        <f>T("BL 웹툰 &gt; 웹툰")</f>
        <v>BL 웹툰 &gt; 웹툰</v>
      </c>
    </row>
    <row r="462" spans="1:58" x14ac:dyDescent="0.3">
      <c r="A462">
        <v>4421001377</v>
      </c>
      <c r="B462">
        <v>4421001378</v>
      </c>
      <c r="C462" t="str">
        <f>T("요괴님은 수련중 2화")</f>
        <v>요괴님은 수련중 2화</v>
      </c>
      <c r="D462" t="str">
        <f>T("2")</f>
        <v>2</v>
      </c>
      <c r="E462" t="str">
        <f>T("화방")</f>
        <v>화방</v>
      </c>
      <c r="G462" t="str">
        <f>T("망북")</f>
        <v>망북</v>
      </c>
      <c r="H462" t="str">
        <f t="shared" si="56"/>
        <v>스토리위즈</v>
      </c>
      <c r="I462" t="str">
        <f>T("요괴님은 수련중")</f>
        <v>요괴님은 수련중</v>
      </c>
      <c r="J462">
        <v>400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/>
      <c r="AQ462">
        <v>0</v>
      </c>
      <c r="AR462">
        <v>0</v>
      </c>
      <c r="AT462">
        <v>0</v>
      </c>
      <c r="AU462">
        <v>0</v>
      </c>
      <c r="AW462">
        <v>0</v>
      </c>
      <c r="AX462">
        <v>0</v>
      </c>
      <c r="AY462">
        <v>0</v>
      </c>
      <c r="BA462" t="str">
        <f t="shared" si="57"/>
        <v>0000000000000</v>
      </c>
      <c r="BC462" t="str">
        <f>T("9791137603899")</f>
        <v>9791137603899</v>
      </c>
      <c r="BE462" t="str">
        <f>T("웹툰 &gt; 해외 순정")</f>
        <v>웹툰 &gt; 해외 순정</v>
      </c>
      <c r="BF462" t="str">
        <f>T("웹툰 &gt; 로판")</f>
        <v>웹툰 &gt; 로판</v>
      </c>
    </row>
    <row r="463" spans="1:58" x14ac:dyDescent="0.3">
      <c r="A463">
        <v>4421002022</v>
      </c>
      <c r="B463">
        <v>4421002024</v>
      </c>
      <c r="C463" t="str">
        <f>T("대표님과 연애를 시작했습니다 3화")</f>
        <v>대표님과 연애를 시작했습니다 3화</v>
      </c>
      <c r="D463" t="str">
        <f>T("3")</f>
        <v>3</v>
      </c>
      <c r="E463" t="str">
        <f>T("웹티")</f>
        <v>웹티</v>
      </c>
      <c r="H463" t="str">
        <f t="shared" si="56"/>
        <v>스토리위즈</v>
      </c>
      <c r="I463" t="str">
        <f>T("대표님과 연애를 시작했습니다")</f>
        <v>대표님과 연애를 시작했습니다</v>
      </c>
      <c r="J463">
        <v>0</v>
      </c>
      <c r="K463">
        <v>0</v>
      </c>
      <c r="L463">
        <v>0</v>
      </c>
      <c r="M463">
        <v>296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296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/>
      <c r="AQ463">
        <v>0</v>
      </c>
      <c r="AR463">
        <v>0</v>
      </c>
      <c r="AT463">
        <v>0</v>
      </c>
      <c r="AU463">
        <v>0</v>
      </c>
      <c r="AW463">
        <v>0</v>
      </c>
      <c r="AX463">
        <v>0</v>
      </c>
      <c r="AY463">
        <v>0</v>
      </c>
      <c r="BA463" t="str">
        <f t="shared" si="57"/>
        <v>0000000000000</v>
      </c>
      <c r="BC463" t="str">
        <f>T("9791196660482")</f>
        <v>9791196660482</v>
      </c>
      <c r="BE463" t="str">
        <f>T("BL 웹툰 &gt; 웹툰")</f>
        <v>BL 웹툰 &gt; 웹툰</v>
      </c>
    </row>
    <row r="464" spans="1:58" x14ac:dyDescent="0.3">
      <c r="A464">
        <v>4421001634</v>
      </c>
      <c r="B464">
        <v>4421002559</v>
      </c>
      <c r="C464" t="str">
        <f>T("그남자의 사랑방식 110화")</f>
        <v>그남자의 사랑방식 110화</v>
      </c>
      <c r="D464" t="str">
        <f>T("110")</f>
        <v>110</v>
      </c>
      <c r="E464" t="str">
        <f>T("웹티")</f>
        <v>웹티</v>
      </c>
      <c r="H464" t="str">
        <f t="shared" si="56"/>
        <v>스토리위즈</v>
      </c>
      <c r="I464" t="str">
        <f>T("그남자의 사랑방식")</f>
        <v>그남자의 사랑방식</v>
      </c>
      <c r="J464">
        <v>500</v>
      </c>
      <c r="K464">
        <v>0</v>
      </c>
      <c r="L464">
        <v>0</v>
      </c>
      <c r="M464">
        <v>0</v>
      </c>
      <c r="N464">
        <v>400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400</v>
      </c>
      <c r="AH464">
        <v>2</v>
      </c>
      <c r="AI464">
        <v>0</v>
      </c>
      <c r="AJ464">
        <v>0</v>
      </c>
      <c r="AK464">
        <v>200</v>
      </c>
      <c r="AL464">
        <v>0</v>
      </c>
      <c r="AM464">
        <v>240</v>
      </c>
      <c r="AN464">
        <v>-24</v>
      </c>
      <c r="AO464">
        <v>0</v>
      </c>
      <c r="AP464"/>
      <c r="AQ464">
        <v>0</v>
      </c>
      <c r="AR464">
        <v>0</v>
      </c>
      <c r="AS464">
        <v>240</v>
      </c>
      <c r="AT464">
        <v>-24</v>
      </c>
      <c r="AU464">
        <v>0</v>
      </c>
      <c r="AW464">
        <v>0</v>
      </c>
      <c r="AX464">
        <v>0</v>
      </c>
      <c r="AY464">
        <v>291.2</v>
      </c>
      <c r="BC464" t="str">
        <f>T("9791190622004")</f>
        <v>9791190622004</v>
      </c>
      <c r="BE464" t="str">
        <f>T("BL 웹툰 &gt; 웹툰")</f>
        <v>BL 웹툰 &gt; 웹툰</v>
      </c>
    </row>
    <row r="465" spans="1:58" x14ac:dyDescent="0.3">
      <c r="A465">
        <v>4421000002</v>
      </c>
      <c r="B465">
        <v>4421000002</v>
      </c>
      <c r="C465" t="str">
        <f>T("이세계 소환은 두 번째라구요 1화")</f>
        <v>이세계 소환은 두 번째라구요 1화</v>
      </c>
      <c r="D465" t="str">
        <f>T("1")</f>
        <v>1</v>
      </c>
      <c r="E465" t="str">
        <f>T("Arashiyama, Kishimoto Kazuha, Shimahara")</f>
        <v>Arashiyama, Kishimoto Kazuha, Shimahara</v>
      </c>
      <c r="H465" t="str">
        <f t="shared" si="56"/>
        <v>스토리위즈</v>
      </c>
      <c r="I465" t="str">
        <f>T("이세계 소환은 두 번째라구요")</f>
        <v>이세계 소환은 두 번째라구요</v>
      </c>
      <c r="J465">
        <v>500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/>
      <c r="AQ465">
        <v>0</v>
      </c>
      <c r="AR465">
        <v>0</v>
      </c>
      <c r="AT465">
        <v>0</v>
      </c>
      <c r="AU465">
        <v>0</v>
      </c>
      <c r="AW465">
        <v>0</v>
      </c>
      <c r="AX465">
        <v>0</v>
      </c>
      <c r="AY465">
        <v>0</v>
      </c>
      <c r="BC465" t="str">
        <f>T("9791166069390")</f>
        <v>9791166069390</v>
      </c>
      <c r="BE465" t="str">
        <f>T("웹툰 &gt; 판타지/SF")</f>
        <v>웹툰 &gt; 판타지/SF</v>
      </c>
    </row>
    <row r="466" spans="1:58" x14ac:dyDescent="0.3">
      <c r="A466">
        <v>4421000866</v>
      </c>
      <c r="B466">
        <v>4421000959</v>
      </c>
      <c r="C466" t="str">
        <f>T("최애에게 들켜버렸다 25화")</f>
        <v>최애에게 들켜버렸다 25화</v>
      </c>
      <c r="D466" t="str">
        <f>T("26")</f>
        <v>26</v>
      </c>
      <c r="E466" t="str">
        <f>T("Lv")</f>
        <v>Lv</v>
      </c>
      <c r="G466" t="str">
        <f>T("Lv")</f>
        <v>Lv</v>
      </c>
      <c r="H466" t="str">
        <f t="shared" si="56"/>
        <v>스토리위즈</v>
      </c>
      <c r="I466" t="str">
        <f>T("최애에게 들켜버렸다")</f>
        <v>최애에게 들켜버렸다</v>
      </c>
      <c r="J466">
        <v>400</v>
      </c>
      <c r="K466">
        <v>0</v>
      </c>
      <c r="L466">
        <v>0</v>
      </c>
      <c r="M466">
        <v>0</v>
      </c>
      <c r="N466">
        <v>400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400</v>
      </c>
      <c r="AH466">
        <v>2</v>
      </c>
      <c r="AI466">
        <v>0</v>
      </c>
      <c r="AJ466">
        <v>0</v>
      </c>
      <c r="AK466">
        <v>0</v>
      </c>
      <c r="AL466">
        <v>0</v>
      </c>
      <c r="AM466">
        <v>480</v>
      </c>
      <c r="AN466">
        <v>-48</v>
      </c>
      <c r="AO466">
        <v>0</v>
      </c>
      <c r="AP466"/>
      <c r="AQ466">
        <v>0</v>
      </c>
      <c r="AR466">
        <v>0</v>
      </c>
      <c r="AS466">
        <v>480</v>
      </c>
      <c r="AT466">
        <v>-48</v>
      </c>
      <c r="AU466">
        <v>0</v>
      </c>
      <c r="AW466">
        <v>0</v>
      </c>
      <c r="AX466">
        <v>0</v>
      </c>
      <c r="AY466">
        <v>302.39999999999998</v>
      </c>
      <c r="BA466" t="str">
        <f>T("0000000000000")</f>
        <v>0000000000000</v>
      </c>
      <c r="BC466" t="str">
        <f>T("9791137601253")</f>
        <v>9791137601253</v>
      </c>
      <c r="BE466" t="str">
        <f>T("웹툰 &gt; 해외 순정")</f>
        <v>웹툰 &gt; 해외 순정</v>
      </c>
      <c r="BF466" t="str">
        <f>T("웹툰 &gt; 로맨스")</f>
        <v>웹툰 &gt; 로맨스</v>
      </c>
    </row>
    <row r="467" spans="1:58" x14ac:dyDescent="0.3">
      <c r="A467">
        <v>4421000450</v>
      </c>
      <c r="B467">
        <v>4421000452</v>
      </c>
      <c r="C467" t="str">
        <f>T("내 남편의 스토커 2화")</f>
        <v>내 남편의 스토커 2화</v>
      </c>
      <c r="D467" t="str">
        <f>T("2")</f>
        <v>2</v>
      </c>
      <c r="E467" t="str">
        <f>T("혜원")</f>
        <v>혜원</v>
      </c>
      <c r="G467" t="str">
        <f>T("혜원")</f>
        <v>혜원</v>
      </c>
      <c r="H467" t="str">
        <f t="shared" si="56"/>
        <v>스토리위즈</v>
      </c>
      <c r="I467" t="str">
        <f>T("내 남편의 스토커")</f>
        <v>내 남편의 스토커</v>
      </c>
      <c r="J467">
        <v>400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/>
      <c r="AQ467">
        <v>0</v>
      </c>
      <c r="AR467">
        <v>0</v>
      </c>
      <c r="AT467">
        <v>0</v>
      </c>
      <c r="AU467">
        <v>0</v>
      </c>
      <c r="AW467">
        <v>0</v>
      </c>
      <c r="AX467">
        <v>0</v>
      </c>
      <c r="AY467">
        <v>0</v>
      </c>
      <c r="BA467" t="str">
        <f>T("0000000000000")</f>
        <v>0000000000000</v>
      </c>
      <c r="BC467" t="str">
        <f>T("9791166068034")</f>
        <v>9791166068034</v>
      </c>
      <c r="BE467" t="str">
        <f>T("웹툰 &gt; 로맨스")</f>
        <v>웹툰 &gt; 로맨스</v>
      </c>
    </row>
    <row r="468" spans="1:58" x14ac:dyDescent="0.3">
      <c r="A468">
        <v>4421002306</v>
      </c>
      <c r="B468">
        <v>4421002324</v>
      </c>
      <c r="C468" t="str">
        <f>T("지금은 여장중! 2화")</f>
        <v>지금은 여장중! 2화</v>
      </c>
      <c r="D468" t="str">
        <f>T("2")</f>
        <v>2</v>
      </c>
      <c r="E468" t="str">
        <f>T("웹티")</f>
        <v>웹티</v>
      </c>
      <c r="H468" t="str">
        <f t="shared" si="56"/>
        <v>스토리위즈</v>
      </c>
      <c r="I468" t="str">
        <f>T("지금은 여장중!")</f>
        <v>지금은 여장중!</v>
      </c>
      <c r="J468">
        <v>0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/>
      <c r="AQ468">
        <v>0</v>
      </c>
      <c r="AR468">
        <v>0</v>
      </c>
      <c r="AT468">
        <v>0</v>
      </c>
      <c r="AU468">
        <v>0</v>
      </c>
      <c r="AW468">
        <v>0</v>
      </c>
      <c r="AX468">
        <v>0</v>
      </c>
      <c r="AY468">
        <v>0</v>
      </c>
      <c r="BA468" t="str">
        <f>T("0000000000000")</f>
        <v>0000000000000</v>
      </c>
      <c r="BC468" t="str">
        <f>T("9791196608354")</f>
        <v>9791196608354</v>
      </c>
      <c r="BE468" t="str">
        <f>T("웹툰 &gt; 로맨스")</f>
        <v>웹툰 &gt; 로맨스</v>
      </c>
    </row>
    <row r="469" spans="1:58" x14ac:dyDescent="0.3">
      <c r="A469">
        <v>4421000570</v>
      </c>
      <c r="B469">
        <v>4421000571</v>
      </c>
      <c r="C469" t="str">
        <f>T("폐하, 옥체 보존하세요! 2화")</f>
        <v>폐하, 옥체 보존하세요! 2화</v>
      </c>
      <c r="D469" t="str">
        <f>T("2")</f>
        <v>2</v>
      </c>
      <c r="E469" t="str">
        <f>T("Lvyeqianhe")</f>
        <v>Lvyeqianhe</v>
      </c>
      <c r="G469" t="str">
        <f>T("Youzhijiaozi")</f>
        <v>Youzhijiaozi</v>
      </c>
      <c r="H469" t="str">
        <f t="shared" si="56"/>
        <v>스토리위즈</v>
      </c>
      <c r="I469" t="str">
        <f>T("폐하, 옥체 보존하세요!")</f>
        <v>폐하, 옥체 보존하세요!</v>
      </c>
      <c r="J469">
        <v>200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/>
      <c r="AQ469">
        <v>0</v>
      </c>
      <c r="AR469">
        <v>0</v>
      </c>
      <c r="AT469">
        <v>0</v>
      </c>
      <c r="AU469">
        <v>0</v>
      </c>
      <c r="AW469">
        <v>0</v>
      </c>
      <c r="AX469">
        <v>0</v>
      </c>
      <c r="AY469">
        <v>0</v>
      </c>
      <c r="BA469" t="str">
        <f>T("0000000000000")</f>
        <v>0000000000000</v>
      </c>
      <c r="BC469" t="str">
        <f>T("9791166068003")</f>
        <v>9791166068003</v>
      </c>
      <c r="BE469" t="str">
        <f>T("웹툰 &gt; 해외 순정")</f>
        <v>웹툰 &gt; 해외 순정</v>
      </c>
      <c r="BF469" t="str">
        <f>T("웹툰 &gt; 로맨스")</f>
        <v>웹툰 &gt; 로맨스</v>
      </c>
    </row>
    <row r="470" spans="1:58" x14ac:dyDescent="0.3">
      <c r="A470">
        <v>4421000001</v>
      </c>
      <c r="B470">
        <v>4421000053</v>
      </c>
      <c r="C470" t="str">
        <f>T("감옥실험 33화")</f>
        <v>감옥실험 33화</v>
      </c>
      <c r="D470" t="str">
        <f>T("33")</f>
        <v>33</v>
      </c>
      <c r="E470" t="str">
        <f>T("Kantetsu")</f>
        <v>Kantetsu</v>
      </c>
      <c r="G470" t="str">
        <f>T("Minase Chiho")</f>
        <v>Minase Chiho</v>
      </c>
      <c r="H470" t="str">
        <f t="shared" si="56"/>
        <v>스토리위즈</v>
      </c>
      <c r="I470" t="str">
        <f>T("감옥실험")</f>
        <v>감옥실험</v>
      </c>
      <c r="J470">
        <v>500</v>
      </c>
      <c r="K470">
        <v>0</v>
      </c>
      <c r="L470">
        <v>0</v>
      </c>
      <c r="M470">
        <v>0</v>
      </c>
      <c r="N470">
        <v>600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</v>
      </c>
      <c r="AH470">
        <v>2</v>
      </c>
      <c r="AI470">
        <v>0</v>
      </c>
      <c r="AJ470">
        <v>0</v>
      </c>
      <c r="AK470">
        <v>600</v>
      </c>
      <c r="AL470">
        <v>0</v>
      </c>
      <c r="AM470">
        <v>0</v>
      </c>
      <c r="AN470">
        <v>0</v>
      </c>
      <c r="AO470">
        <v>0</v>
      </c>
      <c r="AP470"/>
      <c r="AQ470">
        <v>0</v>
      </c>
      <c r="AR470">
        <v>0</v>
      </c>
      <c r="AT470">
        <v>0</v>
      </c>
      <c r="AU470">
        <v>0</v>
      </c>
      <c r="AW470">
        <v>0</v>
      </c>
      <c r="AX470">
        <v>0</v>
      </c>
      <c r="AY470">
        <v>420</v>
      </c>
      <c r="BC470" t="str">
        <f>T("9791166069406")</f>
        <v>9791166069406</v>
      </c>
      <c r="BE470" t="str">
        <f>T("웹툰 &gt; 드라마")</f>
        <v>웹툰 &gt; 드라마</v>
      </c>
    </row>
    <row r="471" spans="1:58" x14ac:dyDescent="0.3">
      <c r="A471">
        <v>4421000450</v>
      </c>
      <c r="B471">
        <v>4421000492</v>
      </c>
      <c r="C471" t="str">
        <f>T("내 남편의 스토커 42화")</f>
        <v>내 남편의 스토커 42화</v>
      </c>
      <c r="D471" t="str">
        <f>T("42")</f>
        <v>42</v>
      </c>
      <c r="E471" t="str">
        <f>T("혜원")</f>
        <v>혜원</v>
      </c>
      <c r="G471" t="str">
        <f>T("혜원")</f>
        <v>혜원</v>
      </c>
      <c r="H471" t="str">
        <f t="shared" si="56"/>
        <v>스토리위즈</v>
      </c>
      <c r="I471" t="str">
        <f>T("내 남편의 스토커")</f>
        <v>내 남편의 스토커</v>
      </c>
      <c r="J471">
        <v>400</v>
      </c>
      <c r="K471">
        <v>0</v>
      </c>
      <c r="L471">
        <v>0</v>
      </c>
      <c r="M471">
        <v>0</v>
      </c>
      <c r="N471">
        <v>200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240</v>
      </c>
      <c r="AN471">
        <v>-24</v>
      </c>
      <c r="AO471">
        <v>0</v>
      </c>
      <c r="AP471"/>
      <c r="AQ471">
        <v>0</v>
      </c>
      <c r="AR471">
        <v>0</v>
      </c>
      <c r="AS471">
        <v>240</v>
      </c>
      <c r="AT471">
        <v>-24</v>
      </c>
      <c r="AU471">
        <v>0</v>
      </c>
      <c r="AW471">
        <v>0</v>
      </c>
      <c r="AX471">
        <v>0</v>
      </c>
      <c r="AY471">
        <v>151.19999999999999</v>
      </c>
      <c r="BA471" t="str">
        <f>T("0000000000000")</f>
        <v>0000000000000</v>
      </c>
      <c r="BC471" t="str">
        <f>T("9791166068034")</f>
        <v>9791166068034</v>
      </c>
      <c r="BE471" t="str">
        <f>T("웹툰 &gt; 로맨스")</f>
        <v>웹툰 &gt; 로맨스</v>
      </c>
    </row>
    <row r="472" spans="1:58" x14ac:dyDescent="0.3">
      <c r="A472">
        <v>4421000866</v>
      </c>
      <c r="B472">
        <v>4421001173</v>
      </c>
      <c r="C472" t="str">
        <f>T("최애에게 들켜버렸다 44화")</f>
        <v>최애에게 들켜버렸다 44화</v>
      </c>
      <c r="D472" t="str">
        <f>T("45")</f>
        <v>45</v>
      </c>
      <c r="E472" t="str">
        <f>T("Lv")</f>
        <v>Lv</v>
      </c>
      <c r="G472" t="str">
        <f>T("Lv")</f>
        <v>Lv</v>
      </c>
      <c r="H472" t="str">
        <f t="shared" si="56"/>
        <v>스토리위즈</v>
      </c>
      <c r="I472" t="str">
        <f>T("최애에게 들켜버렸다")</f>
        <v>최애에게 들켜버렸다</v>
      </c>
      <c r="J472">
        <v>400</v>
      </c>
      <c r="K472">
        <v>0</v>
      </c>
      <c r="L472">
        <v>0</v>
      </c>
      <c r="M472">
        <v>0</v>
      </c>
      <c r="N472">
        <v>400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400</v>
      </c>
      <c r="AH472">
        <v>2</v>
      </c>
      <c r="AI472">
        <v>0</v>
      </c>
      <c r="AJ472">
        <v>0</v>
      </c>
      <c r="AK472">
        <v>200</v>
      </c>
      <c r="AL472">
        <v>0</v>
      </c>
      <c r="AM472">
        <v>240</v>
      </c>
      <c r="AN472">
        <v>-24</v>
      </c>
      <c r="AO472">
        <v>0</v>
      </c>
      <c r="AP472"/>
      <c r="AQ472">
        <v>0</v>
      </c>
      <c r="AR472">
        <v>0</v>
      </c>
      <c r="AS472">
        <v>240</v>
      </c>
      <c r="AT472">
        <v>-24</v>
      </c>
      <c r="AU472">
        <v>0</v>
      </c>
      <c r="AW472">
        <v>0</v>
      </c>
      <c r="AX472">
        <v>0</v>
      </c>
      <c r="AY472">
        <v>291.2</v>
      </c>
      <c r="BA472" t="str">
        <f>T("0000000000000")</f>
        <v>0000000000000</v>
      </c>
      <c r="BC472" t="str">
        <f>T("9791137601253")</f>
        <v>9791137601253</v>
      </c>
      <c r="BE472" t="str">
        <f>T("웹툰 &gt; 해외 순정")</f>
        <v>웹툰 &gt; 해외 순정</v>
      </c>
      <c r="BF472" t="str">
        <f>T("웹툰 &gt; 로맨스")</f>
        <v>웹툰 &gt; 로맨스</v>
      </c>
    </row>
    <row r="473" spans="1:58" x14ac:dyDescent="0.3">
      <c r="A473">
        <v>4421000887</v>
      </c>
      <c r="B473">
        <v>4421000909</v>
      </c>
      <c r="C473" t="str">
        <f>T("폭군의 눈물 23화")</f>
        <v>폭군의 눈물 23화</v>
      </c>
      <c r="D473" t="str">
        <f>T("23")</f>
        <v>23</v>
      </c>
      <c r="E473" t="str">
        <f>T("Ice×FANFAN COMIC")</f>
        <v>Ice×FANFAN COMIC</v>
      </c>
      <c r="G473" t="str">
        <f>T("Ice×FANFAN COMIC")</f>
        <v>Ice×FANFAN COMIC</v>
      </c>
      <c r="H473" t="str">
        <f t="shared" si="56"/>
        <v>스토리위즈</v>
      </c>
      <c r="I473" t="str">
        <f>T("폭군의 눈물")</f>
        <v>폭군의 눈물</v>
      </c>
      <c r="J473">
        <v>400</v>
      </c>
      <c r="K473">
        <v>0</v>
      </c>
      <c r="L473">
        <v>0</v>
      </c>
      <c r="M473">
        <v>0</v>
      </c>
      <c r="N473">
        <v>200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200</v>
      </c>
      <c r="AH473">
        <v>1</v>
      </c>
      <c r="AI473">
        <v>0</v>
      </c>
      <c r="AJ473">
        <v>0</v>
      </c>
      <c r="AK473">
        <v>200</v>
      </c>
      <c r="AL473">
        <v>0</v>
      </c>
      <c r="AM473">
        <v>0</v>
      </c>
      <c r="AN473">
        <v>0</v>
      </c>
      <c r="AO473">
        <v>0</v>
      </c>
      <c r="AP473"/>
      <c r="AQ473">
        <v>0</v>
      </c>
      <c r="AR473">
        <v>0</v>
      </c>
      <c r="AT473">
        <v>0</v>
      </c>
      <c r="AU473">
        <v>0</v>
      </c>
      <c r="AW473">
        <v>0</v>
      </c>
      <c r="AX473">
        <v>0</v>
      </c>
      <c r="AY473">
        <v>140</v>
      </c>
      <c r="BA473" t="str">
        <f>T("0000000000000")</f>
        <v>0000000000000</v>
      </c>
      <c r="BC473" t="str">
        <f>T("9791137601291")</f>
        <v>9791137601291</v>
      </c>
      <c r="BE473" t="str">
        <f>T("웹툰 &gt; 해외 순정")</f>
        <v>웹툰 &gt; 해외 순정</v>
      </c>
      <c r="BF473" t="str">
        <f>T("웹툰 &gt; 로판")</f>
        <v>웹툰 &gt; 로판</v>
      </c>
    </row>
    <row r="474" spans="1:58" x14ac:dyDescent="0.3">
      <c r="A474">
        <v>4421001634</v>
      </c>
      <c r="B474">
        <v>4421002526</v>
      </c>
      <c r="C474" t="str">
        <f>T("그남자의 사랑방식 77화")</f>
        <v>그남자의 사랑방식 77화</v>
      </c>
      <c r="D474" t="str">
        <f>T("77")</f>
        <v>77</v>
      </c>
      <c r="E474" t="str">
        <f>T("웹티")</f>
        <v>웹티</v>
      </c>
      <c r="H474" t="str">
        <f t="shared" si="56"/>
        <v>스토리위즈</v>
      </c>
      <c r="I474" t="str">
        <f>T("그남자의 사랑방식")</f>
        <v>그남자의 사랑방식</v>
      </c>
      <c r="J474">
        <v>500</v>
      </c>
      <c r="K474">
        <v>0</v>
      </c>
      <c r="L474">
        <v>0</v>
      </c>
      <c r="M474">
        <v>0</v>
      </c>
      <c r="N474">
        <v>200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240</v>
      </c>
      <c r="AN474">
        <v>-24</v>
      </c>
      <c r="AO474">
        <v>0</v>
      </c>
      <c r="AP474"/>
      <c r="AQ474">
        <v>0</v>
      </c>
      <c r="AR474">
        <v>0</v>
      </c>
      <c r="AS474">
        <v>240</v>
      </c>
      <c r="AT474">
        <v>-24</v>
      </c>
      <c r="AU474">
        <v>0</v>
      </c>
      <c r="AW474">
        <v>0</v>
      </c>
      <c r="AX474">
        <v>0</v>
      </c>
      <c r="AY474">
        <v>151.19999999999999</v>
      </c>
      <c r="BC474" t="str">
        <f>T("9791190622004")</f>
        <v>9791190622004</v>
      </c>
      <c r="BE474" t="str">
        <f>T("BL 웹툰 &gt; 웹툰")</f>
        <v>BL 웹툰 &gt; 웹툰</v>
      </c>
    </row>
    <row r="475" spans="1:58" x14ac:dyDescent="0.3">
      <c r="A475">
        <v>4421000866</v>
      </c>
      <c r="B475">
        <v>4421003064</v>
      </c>
      <c r="C475" t="str">
        <f>T("최애에게 들켜버렸다 96화")</f>
        <v>최애에게 들켜버렸다 96화</v>
      </c>
      <c r="D475" t="str">
        <f>T("99")</f>
        <v>99</v>
      </c>
      <c r="E475" t="str">
        <f>T("Lv")</f>
        <v>Lv</v>
      </c>
      <c r="G475" t="str">
        <f>T("Lv")</f>
        <v>Lv</v>
      </c>
      <c r="H475" t="str">
        <f t="shared" si="56"/>
        <v>스토리위즈</v>
      </c>
      <c r="I475" t="str">
        <f>T("최애에게 들켜버렸다")</f>
        <v>최애에게 들켜버렸다</v>
      </c>
      <c r="J475">
        <v>400</v>
      </c>
      <c r="K475">
        <v>0</v>
      </c>
      <c r="L475">
        <v>0</v>
      </c>
      <c r="M475">
        <v>0</v>
      </c>
      <c r="N475">
        <v>200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240</v>
      </c>
      <c r="AN475">
        <v>-24</v>
      </c>
      <c r="AO475">
        <v>0</v>
      </c>
      <c r="AP475"/>
      <c r="AQ475">
        <v>0</v>
      </c>
      <c r="AR475">
        <v>0</v>
      </c>
      <c r="AS475">
        <v>240</v>
      </c>
      <c r="AT475">
        <v>-24</v>
      </c>
      <c r="AU475">
        <v>0</v>
      </c>
      <c r="AW475">
        <v>0</v>
      </c>
      <c r="AX475">
        <v>0</v>
      </c>
      <c r="AY475">
        <v>151.19999999999999</v>
      </c>
      <c r="BA475" t="str">
        <f>T("0000000000000")</f>
        <v>0000000000000</v>
      </c>
      <c r="BC475" t="str">
        <f>T("9791137601253")</f>
        <v>9791137601253</v>
      </c>
      <c r="BE475" t="str">
        <f>T("웹툰 &gt; 해외 순정")</f>
        <v>웹툰 &gt; 해외 순정</v>
      </c>
      <c r="BF475" t="str">
        <f>T("웹툰 &gt; 로맨스")</f>
        <v>웹툰 &gt; 로맨스</v>
      </c>
    </row>
    <row r="476" spans="1:58" x14ac:dyDescent="0.3">
      <c r="A476">
        <v>4421001634</v>
      </c>
      <c r="B476">
        <v>4421002515</v>
      </c>
      <c r="C476" t="str">
        <f>T("그남자의 사랑방식 66화")</f>
        <v>그남자의 사랑방식 66화</v>
      </c>
      <c r="D476" t="str">
        <f>T("66")</f>
        <v>66</v>
      </c>
      <c r="E476" t="str">
        <f>T("웹티")</f>
        <v>웹티</v>
      </c>
      <c r="H476" t="str">
        <f t="shared" si="56"/>
        <v>스토리위즈</v>
      </c>
      <c r="I476" t="str">
        <f>T("그남자의 사랑방식")</f>
        <v>그남자의 사랑방식</v>
      </c>
      <c r="J476">
        <v>500</v>
      </c>
      <c r="K476">
        <v>0</v>
      </c>
      <c r="L476">
        <v>0</v>
      </c>
      <c r="M476">
        <v>0</v>
      </c>
      <c r="N476">
        <v>200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240</v>
      </c>
      <c r="AN476">
        <v>-24</v>
      </c>
      <c r="AO476">
        <v>0</v>
      </c>
      <c r="AP476"/>
      <c r="AQ476">
        <v>0</v>
      </c>
      <c r="AR476">
        <v>0</v>
      </c>
      <c r="AS476">
        <v>240</v>
      </c>
      <c r="AT476">
        <v>-24</v>
      </c>
      <c r="AU476">
        <v>0</v>
      </c>
      <c r="AW476">
        <v>0</v>
      </c>
      <c r="AX476">
        <v>0</v>
      </c>
      <c r="AY476">
        <v>151.19999999999999</v>
      </c>
      <c r="BC476" t="str">
        <f>T("9791190622004")</f>
        <v>9791190622004</v>
      </c>
      <c r="BE476" t="str">
        <f>T("BL 웹툰 &gt; 웹툰")</f>
        <v>BL 웹툰 &gt; 웹툰</v>
      </c>
    </row>
    <row r="477" spans="1:58" x14ac:dyDescent="0.3">
      <c r="A477">
        <v>4421001634</v>
      </c>
      <c r="B477">
        <v>4421001634</v>
      </c>
      <c r="C477" t="str">
        <f>T("그남자의 사랑방식 1화")</f>
        <v>그남자의 사랑방식 1화</v>
      </c>
      <c r="D477" t="str">
        <f>T("1")</f>
        <v>1</v>
      </c>
      <c r="E477" t="str">
        <f>T("웹티")</f>
        <v>웹티</v>
      </c>
      <c r="H477" t="str">
        <f t="shared" si="56"/>
        <v>스토리위즈</v>
      </c>
      <c r="I477" t="str">
        <f>T("그남자의 사랑방식")</f>
        <v>그남자의 사랑방식</v>
      </c>
      <c r="J477">
        <v>0</v>
      </c>
      <c r="K477">
        <v>0</v>
      </c>
      <c r="L477">
        <v>0</v>
      </c>
      <c r="M477">
        <v>203</v>
      </c>
      <c r="N477">
        <v>0</v>
      </c>
      <c r="O477">
        <v>0</v>
      </c>
      <c r="P477">
        <v>494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697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/>
      <c r="AQ477">
        <v>0</v>
      </c>
      <c r="AR477">
        <v>0</v>
      </c>
      <c r="AT477">
        <v>0</v>
      </c>
      <c r="AU477">
        <v>0</v>
      </c>
      <c r="AW477">
        <v>0</v>
      </c>
      <c r="AX477">
        <v>0</v>
      </c>
      <c r="AY477">
        <v>0</v>
      </c>
      <c r="BC477" t="str">
        <f>T("9791190622004")</f>
        <v>9791190622004</v>
      </c>
      <c r="BE477" t="str">
        <f>T("BL 웹툰 &gt; 웹툰")</f>
        <v>BL 웹툰 &gt; 웹툰</v>
      </c>
    </row>
    <row r="478" spans="1:58" x14ac:dyDescent="0.3">
      <c r="A478">
        <v>4421001305</v>
      </c>
      <c r="B478">
        <v>4421001312</v>
      </c>
      <c r="C478" t="str">
        <f>T("악역이지만, 남주는 꼬시지 않아요 8화")</f>
        <v>악역이지만, 남주는 꼬시지 않아요 8화</v>
      </c>
      <c r="D478" t="str">
        <f>T("8")</f>
        <v>8</v>
      </c>
      <c r="E478" t="str">
        <f>T("마북명")</f>
        <v>마북명</v>
      </c>
      <c r="G478" t="str">
        <f>T("kuri")</f>
        <v>kuri</v>
      </c>
      <c r="H478" t="str">
        <f t="shared" si="56"/>
        <v>스토리위즈</v>
      </c>
      <c r="I478" t="str">
        <f>T("악역이지만, 남주는 꼬시지 않아요")</f>
        <v>악역이지만, 남주는 꼬시지 않아요</v>
      </c>
      <c r="J478">
        <v>400</v>
      </c>
      <c r="K478">
        <v>0</v>
      </c>
      <c r="L478">
        <v>0</v>
      </c>
      <c r="M478">
        <v>0</v>
      </c>
      <c r="N478">
        <v>2200</v>
      </c>
      <c r="O478">
        <v>11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2200</v>
      </c>
      <c r="AH478">
        <v>11</v>
      </c>
      <c r="AI478">
        <v>0</v>
      </c>
      <c r="AJ478">
        <v>0</v>
      </c>
      <c r="AK478">
        <v>1800</v>
      </c>
      <c r="AL478">
        <v>0</v>
      </c>
      <c r="AM478">
        <v>480</v>
      </c>
      <c r="AN478">
        <v>-144</v>
      </c>
      <c r="AO478">
        <v>0</v>
      </c>
      <c r="AP478">
        <v>480</v>
      </c>
      <c r="AQ478">
        <v>-144</v>
      </c>
      <c r="AR478">
        <v>0</v>
      </c>
      <c r="AT478">
        <v>0</v>
      </c>
      <c r="AU478">
        <v>0</v>
      </c>
      <c r="AW478">
        <v>0</v>
      </c>
      <c r="AX478">
        <v>0</v>
      </c>
      <c r="AY478">
        <v>1495.2</v>
      </c>
      <c r="BA478" t="str">
        <f>T("0000000000000")</f>
        <v>0000000000000</v>
      </c>
      <c r="BC478" t="str">
        <f>T("9791137603882")</f>
        <v>9791137603882</v>
      </c>
      <c r="BE478" t="str">
        <f>T("웹툰 &gt; 해외 순정")</f>
        <v>웹툰 &gt; 해외 순정</v>
      </c>
      <c r="BF478" t="str">
        <f>T("웹툰 &gt; 로판")</f>
        <v>웹툰 &gt; 로판</v>
      </c>
    </row>
    <row r="479" spans="1:58" x14ac:dyDescent="0.3">
      <c r="A479">
        <v>4421001634</v>
      </c>
      <c r="B479">
        <v>4421002547</v>
      </c>
      <c r="C479" t="str">
        <f>T("그남자의 사랑방식 98화")</f>
        <v>그남자의 사랑방식 98화</v>
      </c>
      <c r="D479" t="str">
        <f>T("98")</f>
        <v>98</v>
      </c>
      <c r="E479" t="str">
        <f>T("웹티")</f>
        <v>웹티</v>
      </c>
      <c r="H479" t="str">
        <f t="shared" si="56"/>
        <v>스토리위즈</v>
      </c>
      <c r="I479" t="str">
        <f>T("그남자의 사랑방식")</f>
        <v>그남자의 사랑방식</v>
      </c>
      <c r="J479">
        <v>500</v>
      </c>
      <c r="K479">
        <v>0</v>
      </c>
      <c r="L479">
        <v>0</v>
      </c>
      <c r="M479">
        <v>0</v>
      </c>
      <c r="N479">
        <v>200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240</v>
      </c>
      <c r="AN479">
        <v>-24</v>
      </c>
      <c r="AO479">
        <v>0</v>
      </c>
      <c r="AP479"/>
      <c r="AQ479">
        <v>0</v>
      </c>
      <c r="AR479">
        <v>0</v>
      </c>
      <c r="AS479">
        <v>240</v>
      </c>
      <c r="AT479">
        <v>-24</v>
      </c>
      <c r="AU479">
        <v>0</v>
      </c>
      <c r="AW479">
        <v>0</v>
      </c>
      <c r="AX479">
        <v>0</v>
      </c>
      <c r="AY479">
        <v>151.19999999999999</v>
      </c>
      <c r="BC479" t="str">
        <f>T("9791190622004")</f>
        <v>9791190622004</v>
      </c>
      <c r="BE479" t="str">
        <f>T("BL 웹툰 &gt; 웹툰")</f>
        <v>BL 웹툰 &gt; 웹툰</v>
      </c>
    </row>
    <row r="480" spans="1:58" x14ac:dyDescent="0.3">
      <c r="A480">
        <v>4421001340</v>
      </c>
      <c r="B480">
        <v>4421001366</v>
      </c>
      <c r="C480" t="str">
        <f>T("가출천사 육성계약 27화")</f>
        <v>가출천사 육성계약 27화</v>
      </c>
      <c r="D480" t="str">
        <f>T("27")</f>
        <v>27</v>
      </c>
      <c r="E480" t="str">
        <f>T("Bae.C, IIAKI, 박제후")</f>
        <v>Bae.C, IIAKI, 박제후</v>
      </c>
      <c r="G480" t="str">
        <f>T("Bae.C, 조우")</f>
        <v>Bae.C, 조우</v>
      </c>
      <c r="H480" t="str">
        <f t="shared" si="56"/>
        <v>스토리위즈</v>
      </c>
      <c r="I480" t="str">
        <f>T("가출천사 육성계약")</f>
        <v>가출천사 육성계약</v>
      </c>
      <c r="J480">
        <v>400</v>
      </c>
      <c r="K480">
        <v>0</v>
      </c>
      <c r="L480">
        <v>0</v>
      </c>
      <c r="M480">
        <v>0</v>
      </c>
      <c r="N480">
        <v>200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240</v>
      </c>
      <c r="AN480">
        <v>-24</v>
      </c>
      <c r="AO480">
        <v>0</v>
      </c>
      <c r="AP480"/>
      <c r="AQ480">
        <v>0</v>
      </c>
      <c r="AR480">
        <v>0</v>
      </c>
      <c r="AS480">
        <v>240</v>
      </c>
      <c r="AT480">
        <v>-24</v>
      </c>
      <c r="AU480">
        <v>0</v>
      </c>
      <c r="AW480">
        <v>0</v>
      </c>
      <c r="AX480">
        <v>0</v>
      </c>
      <c r="AY480">
        <v>151.19999999999999</v>
      </c>
      <c r="BA480" t="str">
        <f>T("0000000000000")</f>
        <v>0000000000000</v>
      </c>
      <c r="BC480" t="str">
        <f>T("9791191765663")</f>
        <v>9791191765663</v>
      </c>
      <c r="BE480" t="str">
        <f>T("웹툰 &gt; 판타지/SF")</f>
        <v>웹툰 &gt; 판타지/SF</v>
      </c>
    </row>
    <row r="481" spans="1:58" x14ac:dyDescent="0.3">
      <c r="A481">
        <v>4421001634</v>
      </c>
      <c r="B481">
        <v>4421001666</v>
      </c>
      <c r="C481" t="str">
        <f>T("그남자의 사랑방식 33화")</f>
        <v>그남자의 사랑방식 33화</v>
      </c>
      <c r="D481" t="str">
        <f>T("33")</f>
        <v>33</v>
      </c>
      <c r="E481" t="str">
        <f>T("웹티")</f>
        <v>웹티</v>
      </c>
      <c r="H481" t="str">
        <f t="shared" si="56"/>
        <v>스토리위즈</v>
      </c>
      <c r="I481" t="str">
        <f>T("그남자의 사랑방식")</f>
        <v>그남자의 사랑방식</v>
      </c>
      <c r="J481">
        <v>500</v>
      </c>
      <c r="K481">
        <v>0</v>
      </c>
      <c r="L481">
        <v>0</v>
      </c>
      <c r="M481">
        <v>0</v>
      </c>
      <c r="N481">
        <v>800</v>
      </c>
      <c r="O481">
        <v>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800</v>
      </c>
      <c r="AH481">
        <v>4</v>
      </c>
      <c r="AI481">
        <v>0</v>
      </c>
      <c r="AJ481">
        <v>0</v>
      </c>
      <c r="AK481">
        <v>400</v>
      </c>
      <c r="AL481">
        <v>0</v>
      </c>
      <c r="AM481">
        <v>480</v>
      </c>
      <c r="AN481">
        <v>-48</v>
      </c>
      <c r="AO481">
        <v>0</v>
      </c>
      <c r="AP481"/>
      <c r="AQ481">
        <v>0</v>
      </c>
      <c r="AR481">
        <v>0</v>
      </c>
      <c r="AS481">
        <v>480</v>
      </c>
      <c r="AT481">
        <v>-48</v>
      </c>
      <c r="AU481">
        <v>0</v>
      </c>
      <c r="AW481">
        <v>0</v>
      </c>
      <c r="AX481">
        <v>0</v>
      </c>
      <c r="AY481">
        <v>582.4</v>
      </c>
      <c r="BC481" t="str">
        <f>T("9791190622004")</f>
        <v>9791190622004</v>
      </c>
      <c r="BE481" t="str">
        <f>T("BL 웹툰 &gt; 웹툰")</f>
        <v>BL 웹툰 &gt; 웹툰</v>
      </c>
    </row>
    <row r="482" spans="1:58" x14ac:dyDescent="0.3">
      <c r="A482">
        <v>4421003015</v>
      </c>
      <c r="B482">
        <v>4421003024</v>
      </c>
      <c r="C482" t="str">
        <f>T("일월성신 9화")</f>
        <v>일월성신 9화</v>
      </c>
      <c r="D482" t="str">
        <f>T("9")</f>
        <v>9</v>
      </c>
      <c r="E482" t="str">
        <f>T("김숙지")</f>
        <v>김숙지</v>
      </c>
      <c r="G482" t="str">
        <f>T("이름표")</f>
        <v>이름표</v>
      </c>
      <c r="H482" t="str">
        <f t="shared" si="56"/>
        <v>스토리위즈</v>
      </c>
      <c r="I482" t="str">
        <f>T("일월성신")</f>
        <v>일월성신</v>
      </c>
      <c r="J482">
        <v>400</v>
      </c>
      <c r="K482">
        <v>0</v>
      </c>
      <c r="L482">
        <v>0</v>
      </c>
      <c r="M482">
        <v>0</v>
      </c>
      <c r="N482">
        <v>1000</v>
      </c>
      <c r="O482">
        <v>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1000</v>
      </c>
      <c r="AH482">
        <v>5</v>
      </c>
      <c r="AI482">
        <v>0</v>
      </c>
      <c r="AJ482">
        <v>0</v>
      </c>
      <c r="AK482">
        <v>400</v>
      </c>
      <c r="AL482">
        <v>0</v>
      </c>
      <c r="AM482">
        <v>720</v>
      </c>
      <c r="AN482">
        <v>-120</v>
      </c>
      <c r="AO482">
        <v>0</v>
      </c>
      <c r="AP482">
        <v>240</v>
      </c>
      <c r="AQ482">
        <v>-72</v>
      </c>
      <c r="AR482">
        <v>0</v>
      </c>
      <c r="AS482">
        <v>480</v>
      </c>
      <c r="AT482">
        <v>-48</v>
      </c>
      <c r="AU482">
        <v>0</v>
      </c>
      <c r="AW482">
        <v>0</v>
      </c>
      <c r="AX482">
        <v>0</v>
      </c>
      <c r="AY482">
        <v>700</v>
      </c>
      <c r="BA482" t="str">
        <f>T("0000000000000")</f>
        <v>0000000000000</v>
      </c>
      <c r="BC482" t="str">
        <f>T("9791137604605")</f>
        <v>9791137604605</v>
      </c>
      <c r="BE482" t="str">
        <f>T("웹툰 &gt; 드라마")</f>
        <v>웹툰 &gt; 드라마</v>
      </c>
    </row>
    <row r="483" spans="1:58" x14ac:dyDescent="0.3">
      <c r="A483">
        <v>4421001634</v>
      </c>
      <c r="B483">
        <v>4421001683</v>
      </c>
      <c r="C483" t="str">
        <f>T("그남자의 사랑방식 50화")</f>
        <v>그남자의 사랑방식 50화</v>
      </c>
      <c r="D483" t="str">
        <f>T("50")</f>
        <v>50</v>
      </c>
      <c r="E483" t="str">
        <f>T("웹티")</f>
        <v>웹티</v>
      </c>
      <c r="H483" t="str">
        <f t="shared" si="56"/>
        <v>스토리위즈</v>
      </c>
      <c r="I483" t="str">
        <f>T("그남자의 사랑방식")</f>
        <v>그남자의 사랑방식</v>
      </c>
      <c r="J483">
        <v>500</v>
      </c>
      <c r="K483">
        <v>0</v>
      </c>
      <c r="L483">
        <v>0</v>
      </c>
      <c r="M483">
        <v>0</v>
      </c>
      <c r="N483">
        <v>600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600</v>
      </c>
      <c r="AH483">
        <v>3</v>
      </c>
      <c r="AI483">
        <v>0</v>
      </c>
      <c r="AJ483">
        <v>0</v>
      </c>
      <c r="AK483">
        <v>200</v>
      </c>
      <c r="AL483">
        <v>0</v>
      </c>
      <c r="AM483">
        <v>480</v>
      </c>
      <c r="AN483">
        <v>-96</v>
      </c>
      <c r="AO483">
        <v>0</v>
      </c>
      <c r="AP483">
        <v>240</v>
      </c>
      <c r="AQ483">
        <v>-72</v>
      </c>
      <c r="AR483">
        <v>0</v>
      </c>
      <c r="AS483">
        <v>240</v>
      </c>
      <c r="AT483">
        <v>-24</v>
      </c>
      <c r="AU483">
        <v>0</v>
      </c>
      <c r="AW483">
        <v>0</v>
      </c>
      <c r="AX483">
        <v>0</v>
      </c>
      <c r="AY483">
        <v>408.8</v>
      </c>
      <c r="BC483" t="str">
        <f>T("9791190622004")</f>
        <v>9791190622004</v>
      </c>
      <c r="BE483" t="str">
        <f>T("BL 웹툰 &gt; 웹툰")</f>
        <v>BL 웹툰 &gt; 웹툰</v>
      </c>
    </row>
    <row r="484" spans="1:58" x14ac:dyDescent="0.3">
      <c r="A484">
        <v>4421001340</v>
      </c>
      <c r="B484">
        <v>4421001529</v>
      </c>
      <c r="C484" t="str">
        <f>T("가출천사 육성계약 39화")</f>
        <v>가출천사 육성계약 39화</v>
      </c>
      <c r="D484" t="str">
        <f>T("39")</f>
        <v>39</v>
      </c>
      <c r="E484" t="str">
        <f>T("Bae.C, IIAKI, 박제후")</f>
        <v>Bae.C, IIAKI, 박제후</v>
      </c>
      <c r="G484" t="str">
        <f>T("Bae.C, 조우")</f>
        <v>Bae.C, 조우</v>
      </c>
      <c r="H484" t="str">
        <f t="shared" si="56"/>
        <v>스토리위즈</v>
      </c>
      <c r="I484" t="str">
        <f>T("가출천사 육성계약")</f>
        <v>가출천사 육성계약</v>
      </c>
      <c r="J484">
        <v>400</v>
      </c>
      <c r="K484">
        <v>0</v>
      </c>
      <c r="L484">
        <v>0</v>
      </c>
      <c r="M484">
        <v>0</v>
      </c>
      <c r="N484">
        <v>200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240</v>
      </c>
      <c r="AN484">
        <v>-24</v>
      </c>
      <c r="AO484">
        <v>0</v>
      </c>
      <c r="AP484"/>
      <c r="AQ484">
        <v>0</v>
      </c>
      <c r="AR484">
        <v>0</v>
      </c>
      <c r="AS484">
        <v>240</v>
      </c>
      <c r="AT484">
        <v>-24</v>
      </c>
      <c r="AU484">
        <v>0</v>
      </c>
      <c r="AW484">
        <v>0</v>
      </c>
      <c r="AX484">
        <v>0</v>
      </c>
      <c r="AY484">
        <v>151.19999999999999</v>
      </c>
      <c r="BA484" t="str">
        <f>T("0000000000000")</f>
        <v>0000000000000</v>
      </c>
      <c r="BC484" t="str">
        <f>T("9791191765663")</f>
        <v>9791191765663</v>
      </c>
      <c r="BE484" t="str">
        <f>T("웹툰 &gt; 판타지/SF")</f>
        <v>웹툰 &gt; 판타지/SF</v>
      </c>
    </row>
    <row r="485" spans="1:58" x14ac:dyDescent="0.3">
      <c r="A485">
        <v>4421002079</v>
      </c>
      <c r="B485">
        <v>4421002083</v>
      </c>
      <c r="C485" t="str">
        <f>T("황제의 사랑방식 5화")</f>
        <v>황제의 사랑방식 5화</v>
      </c>
      <c r="D485" t="str">
        <f>T("5")</f>
        <v>5</v>
      </c>
      <c r="E485" t="str">
        <f>T("웹티")</f>
        <v>웹티</v>
      </c>
      <c r="H485" t="str">
        <f t="shared" si="56"/>
        <v>스토리위즈</v>
      </c>
      <c r="I485" t="str">
        <f>T("황제의 사랑방식")</f>
        <v>황제의 사랑방식</v>
      </c>
      <c r="J485">
        <v>500</v>
      </c>
      <c r="K485">
        <v>0</v>
      </c>
      <c r="L485">
        <v>0</v>
      </c>
      <c r="M485">
        <v>0</v>
      </c>
      <c r="N485">
        <v>200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200</v>
      </c>
      <c r="AH485">
        <v>1</v>
      </c>
      <c r="AI485">
        <v>0</v>
      </c>
      <c r="AJ485">
        <v>0</v>
      </c>
      <c r="AK485">
        <v>200</v>
      </c>
      <c r="AL485">
        <v>0</v>
      </c>
      <c r="AM485">
        <v>0</v>
      </c>
      <c r="AN485">
        <v>0</v>
      </c>
      <c r="AO485">
        <v>0</v>
      </c>
      <c r="AP485"/>
      <c r="AQ485">
        <v>0</v>
      </c>
      <c r="AR485">
        <v>0</v>
      </c>
      <c r="AT485">
        <v>0</v>
      </c>
      <c r="AU485">
        <v>0</v>
      </c>
      <c r="AW485">
        <v>0</v>
      </c>
      <c r="AX485">
        <v>0</v>
      </c>
      <c r="AY485">
        <v>140</v>
      </c>
      <c r="BA485" t="str">
        <f>T("0000000000000")</f>
        <v>0000000000000</v>
      </c>
      <c r="BC485" t="str">
        <f>T("9791196650131")</f>
        <v>9791196650131</v>
      </c>
      <c r="BE485" t="str">
        <f>T("BL 웹툰 &gt; 웹툰")</f>
        <v>BL 웹툰 &gt; 웹툰</v>
      </c>
    </row>
    <row r="486" spans="1:58" x14ac:dyDescent="0.3">
      <c r="A486">
        <v>4421000450</v>
      </c>
      <c r="B486">
        <v>4421000514</v>
      </c>
      <c r="C486" t="str">
        <f>T("내 남편의 스토커 64화")</f>
        <v>내 남편의 스토커 64화</v>
      </c>
      <c r="D486" t="str">
        <f>T("64")</f>
        <v>64</v>
      </c>
      <c r="E486" t="str">
        <f>T("혜원")</f>
        <v>혜원</v>
      </c>
      <c r="G486" t="str">
        <f>T("혜원")</f>
        <v>혜원</v>
      </c>
      <c r="H486" t="str">
        <f t="shared" si="56"/>
        <v>스토리위즈</v>
      </c>
      <c r="I486" t="str">
        <f>T("내 남편의 스토커")</f>
        <v>내 남편의 스토커</v>
      </c>
      <c r="J486">
        <v>400</v>
      </c>
      <c r="K486">
        <v>0</v>
      </c>
      <c r="L486">
        <v>0</v>
      </c>
      <c r="M486">
        <v>0</v>
      </c>
      <c r="N486">
        <v>200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200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240</v>
      </c>
      <c r="AN486">
        <v>-24</v>
      </c>
      <c r="AO486">
        <v>0</v>
      </c>
      <c r="AP486"/>
      <c r="AQ486">
        <v>0</v>
      </c>
      <c r="AR486">
        <v>0</v>
      </c>
      <c r="AS486">
        <v>240</v>
      </c>
      <c r="AT486">
        <v>-24</v>
      </c>
      <c r="AU486">
        <v>0</v>
      </c>
      <c r="AW486">
        <v>0</v>
      </c>
      <c r="AX486">
        <v>0</v>
      </c>
      <c r="AY486">
        <v>151.19999999999999</v>
      </c>
      <c r="BA486" t="str">
        <f>T("0000000000000")</f>
        <v>0000000000000</v>
      </c>
      <c r="BC486" t="str">
        <f>T("9791166068034")</f>
        <v>9791166068034</v>
      </c>
      <c r="BE486" t="str">
        <f>T("웹툰 &gt; 로맨스")</f>
        <v>웹툰 &gt; 로맨스</v>
      </c>
    </row>
    <row r="487" spans="1:58" x14ac:dyDescent="0.3">
      <c r="A487">
        <v>4421000001</v>
      </c>
      <c r="B487">
        <v>4421000042</v>
      </c>
      <c r="C487" t="str">
        <f>T("감옥실험 22화")</f>
        <v>감옥실험 22화</v>
      </c>
      <c r="D487" t="str">
        <f>T("22")</f>
        <v>22</v>
      </c>
      <c r="E487" t="str">
        <f>T("Kantetsu")</f>
        <v>Kantetsu</v>
      </c>
      <c r="G487" t="str">
        <f>T("Minase Chiho")</f>
        <v>Minase Chiho</v>
      </c>
      <c r="H487" t="str">
        <f t="shared" si="56"/>
        <v>스토리위즈</v>
      </c>
      <c r="I487" t="str">
        <f>T("감옥실험")</f>
        <v>감옥실험</v>
      </c>
      <c r="J487">
        <v>500</v>
      </c>
      <c r="K487">
        <v>0</v>
      </c>
      <c r="L487">
        <v>0</v>
      </c>
      <c r="M487">
        <v>0</v>
      </c>
      <c r="N487">
        <v>1200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1200</v>
      </c>
      <c r="AH487">
        <v>4</v>
      </c>
      <c r="AI487">
        <v>0</v>
      </c>
      <c r="AJ487">
        <v>0</v>
      </c>
      <c r="AK487">
        <v>600</v>
      </c>
      <c r="AL487">
        <v>0</v>
      </c>
      <c r="AM487">
        <v>720</v>
      </c>
      <c r="AN487">
        <v>-72</v>
      </c>
      <c r="AO487">
        <v>0</v>
      </c>
      <c r="AP487"/>
      <c r="AQ487">
        <v>0</v>
      </c>
      <c r="AR487">
        <v>0</v>
      </c>
      <c r="AS487">
        <v>720</v>
      </c>
      <c r="AT487">
        <v>-72</v>
      </c>
      <c r="AU487">
        <v>0</v>
      </c>
      <c r="AW487">
        <v>0</v>
      </c>
      <c r="AX487">
        <v>0</v>
      </c>
      <c r="AY487">
        <v>873.6</v>
      </c>
      <c r="BC487" t="str">
        <f>T("9791166069406")</f>
        <v>9791166069406</v>
      </c>
      <c r="BE487" t="str">
        <f>T("웹툰 &gt; 드라마")</f>
        <v>웹툰 &gt; 드라마</v>
      </c>
    </row>
    <row r="488" spans="1:58" x14ac:dyDescent="0.3">
      <c r="A488">
        <v>4421000866</v>
      </c>
      <c r="B488">
        <v>4421000997</v>
      </c>
      <c r="C488" t="str">
        <f>T("최애에게 들켜버렸다 38화")</f>
        <v>최애에게 들켜버렸다 38화</v>
      </c>
      <c r="D488" t="str">
        <f>T("39")</f>
        <v>39</v>
      </c>
      <c r="E488" t="str">
        <f>T("Lv")</f>
        <v>Lv</v>
      </c>
      <c r="G488" t="str">
        <f>T("Lv")</f>
        <v>Lv</v>
      </c>
      <c r="H488" t="str">
        <f t="shared" si="56"/>
        <v>스토리위즈</v>
      </c>
      <c r="I488" t="str">
        <f>T("최애에게 들켜버렸다")</f>
        <v>최애에게 들켜버렸다</v>
      </c>
      <c r="J488">
        <v>400</v>
      </c>
      <c r="K488">
        <v>0</v>
      </c>
      <c r="L488">
        <v>0</v>
      </c>
      <c r="M488">
        <v>0</v>
      </c>
      <c r="N488">
        <v>600</v>
      </c>
      <c r="O488">
        <v>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600</v>
      </c>
      <c r="AH488">
        <v>3</v>
      </c>
      <c r="AI488">
        <v>0</v>
      </c>
      <c r="AJ488">
        <v>0</v>
      </c>
      <c r="AK488">
        <v>200</v>
      </c>
      <c r="AL488">
        <v>0</v>
      </c>
      <c r="AM488">
        <v>480</v>
      </c>
      <c r="AN488">
        <v>-48</v>
      </c>
      <c r="AO488">
        <v>0</v>
      </c>
      <c r="AP488"/>
      <c r="AQ488">
        <v>0</v>
      </c>
      <c r="AR488">
        <v>0</v>
      </c>
      <c r="AS488">
        <v>480</v>
      </c>
      <c r="AT488">
        <v>-48</v>
      </c>
      <c r="AU488">
        <v>0</v>
      </c>
      <c r="AW488">
        <v>0</v>
      </c>
      <c r="AX488">
        <v>0</v>
      </c>
      <c r="AY488">
        <v>442.4</v>
      </c>
      <c r="BA488" t="str">
        <f>T("0000000000000")</f>
        <v>0000000000000</v>
      </c>
      <c r="BC488" t="str">
        <f>T("9791137601253")</f>
        <v>9791137601253</v>
      </c>
      <c r="BE488" t="str">
        <f>T("웹툰 &gt; 해외 순정")</f>
        <v>웹툰 &gt; 해외 순정</v>
      </c>
      <c r="BF488" t="str">
        <f>T("웹툰 &gt; 로맨스")</f>
        <v>웹툰 &gt; 로맨스</v>
      </c>
    </row>
    <row r="489" spans="1:58" x14ac:dyDescent="0.3">
      <c r="A489">
        <v>4421000450</v>
      </c>
      <c r="B489">
        <v>4421000481</v>
      </c>
      <c r="C489" t="str">
        <f>T("내 남편의 스토커 31화")</f>
        <v>내 남편의 스토커 31화</v>
      </c>
      <c r="D489" t="str">
        <f>T("31")</f>
        <v>31</v>
      </c>
      <c r="E489" t="str">
        <f>T("혜원")</f>
        <v>혜원</v>
      </c>
      <c r="G489" t="str">
        <f>T("혜원")</f>
        <v>혜원</v>
      </c>
      <c r="H489" t="str">
        <f t="shared" si="56"/>
        <v>스토리위즈</v>
      </c>
      <c r="I489" t="str">
        <f>T("내 남편의 스토커")</f>
        <v>내 남편의 스토커</v>
      </c>
      <c r="J489">
        <v>400</v>
      </c>
      <c r="K489">
        <v>0</v>
      </c>
      <c r="L489">
        <v>0</v>
      </c>
      <c r="M489">
        <v>0</v>
      </c>
      <c r="N489">
        <v>200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240</v>
      </c>
      <c r="AN489">
        <v>-24</v>
      </c>
      <c r="AO489">
        <v>0</v>
      </c>
      <c r="AP489"/>
      <c r="AQ489">
        <v>0</v>
      </c>
      <c r="AR489">
        <v>0</v>
      </c>
      <c r="AS489">
        <v>240</v>
      </c>
      <c r="AT489">
        <v>-24</v>
      </c>
      <c r="AU489">
        <v>0</v>
      </c>
      <c r="AW489">
        <v>0</v>
      </c>
      <c r="AX489">
        <v>0</v>
      </c>
      <c r="AY489">
        <v>151.19999999999999</v>
      </c>
      <c r="BA489" t="str">
        <f>T("0000000000000")</f>
        <v>0000000000000</v>
      </c>
      <c r="BC489" t="str">
        <f>T("9791166068034")</f>
        <v>9791166068034</v>
      </c>
      <c r="BE489" t="str">
        <f>T("웹툰 &gt; 로맨스")</f>
        <v>웹툰 &gt; 로맨스</v>
      </c>
    </row>
    <row r="490" spans="1:58" x14ac:dyDescent="0.3">
      <c r="A490">
        <v>4421000866</v>
      </c>
      <c r="B490">
        <v>4421000883</v>
      </c>
      <c r="C490" t="str">
        <f>T("최애에게 들켜버렸다 17화")</f>
        <v>최애에게 들켜버렸다 17화</v>
      </c>
      <c r="D490" t="str">
        <f>T("17")</f>
        <v>17</v>
      </c>
      <c r="E490" t="str">
        <f>T("Lv")</f>
        <v>Lv</v>
      </c>
      <c r="G490" t="str">
        <f>T("Lv")</f>
        <v>Lv</v>
      </c>
      <c r="H490" t="str">
        <f t="shared" si="56"/>
        <v>스토리위즈</v>
      </c>
      <c r="I490" t="str">
        <f>T("최애에게 들켜버렸다")</f>
        <v>최애에게 들켜버렸다</v>
      </c>
      <c r="J490">
        <v>400</v>
      </c>
      <c r="K490">
        <v>0</v>
      </c>
      <c r="L490">
        <v>0</v>
      </c>
      <c r="M490">
        <v>0</v>
      </c>
      <c r="N490">
        <v>600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3</v>
      </c>
      <c r="AI490">
        <v>0</v>
      </c>
      <c r="AJ490">
        <v>0</v>
      </c>
      <c r="AK490">
        <v>0</v>
      </c>
      <c r="AL490">
        <v>0</v>
      </c>
      <c r="AM490">
        <v>720</v>
      </c>
      <c r="AN490">
        <v>-120</v>
      </c>
      <c r="AO490">
        <v>0</v>
      </c>
      <c r="AP490"/>
      <c r="AQ490">
        <v>0</v>
      </c>
      <c r="AR490">
        <v>0</v>
      </c>
      <c r="AS490">
        <v>720</v>
      </c>
      <c r="AT490">
        <v>-120</v>
      </c>
      <c r="AU490">
        <v>0</v>
      </c>
      <c r="AW490">
        <v>0</v>
      </c>
      <c r="AX490">
        <v>0</v>
      </c>
      <c r="AY490">
        <v>420</v>
      </c>
      <c r="BA490" t="str">
        <f>T("0000000000000")</f>
        <v>0000000000000</v>
      </c>
      <c r="BC490" t="str">
        <f>T("9791137601253")</f>
        <v>9791137601253</v>
      </c>
      <c r="BE490" t="str">
        <f>T("웹툰 &gt; 해외 순정")</f>
        <v>웹툰 &gt; 해외 순정</v>
      </c>
      <c r="BF490" t="str">
        <f>T("웹툰 &gt; 로맨스")</f>
        <v>웹툰 &gt; 로맨스</v>
      </c>
    </row>
    <row r="491" spans="1:58" x14ac:dyDescent="0.3">
      <c r="A491">
        <v>4421000001</v>
      </c>
      <c r="B491">
        <v>4421000175</v>
      </c>
      <c r="C491" t="str">
        <f>T("감옥실험 54화 (완결)")</f>
        <v>감옥실험 54화 (완결)</v>
      </c>
      <c r="D491" t="str">
        <f>T("54")</f>
        <v>54</v>
      </c>
      <c r="E491" t="str">
        <f>T("Kantetsu")</f>
        <v>Kantetsu</v>
      </c>
      <c r="G491" t="str">
        <f>T("Minase Chiho")</f>
        <v>Minase Chiho</v>
      </c>
      <c r="H491" t="str">
        <f t="shared" si="56"/>
        <v>스토리위즈</v>
      </c>
      <c r="I491" t="str">
        <f>T("감옥실험")</f>
        <v>감옥실험</v>
      </c>
      <c r="J491">
        <v>500</v>
      </c>
      <c r="K491">
        <v>0</v>
      </c>
      <c r="L491">
        <v>0</v>
      </c>
      <c r="M491">
        <v>0</v>
      </c>
      <c r="N491">
        <v>1500</v>
      </c>
      <c r="O491">
        <v>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1500</v>
      </c>
      <c r="AH491">
        <v>5</v>
      </c>
      <c r="AI491">
        <v>0</v>
      </c>
      <c r="AJ491">
        <v>0</v>
      </c>
      <c r="AK491">
        <v>1200</v>
      </c>
      <c r="AL491">
        <v>0</v>
      </c>
      <c r="AM491">
        <v>360</v>
      </c>
      <c r="AN491">
        <v>-108</v>
      </c>
      <c r="AO491">
        <v>0</v>
      </c>
      <c r="AP491"/>
      <c r="AQ491">
        <v>0</v>
      </c>
      <c r="AR491">
        <v>0</v>
      </c>
      <c r="AS491">
        <v>360</v>
      </c>
      <c r="AT491">
        <v>-108</v>
      </c>
      <c r="AU491">
        <v>0</v>
      </c>
      <c r="AW491">
        <v>0</v>
      </c>
      <c r="AX491">
        <v>0</v>
      </c>
      <c r="AY491">
        <v>1016.4</v>
      </c>
      <c r="BC491" t="str">
        <f>T("9791166069406")</f>
        <v>9791166069406</v>
      </c>
      <c r="BE491" t="str">
        <f>T("웹툰 &gt; 드라마")</f>
        <v>웹툰 &gt; 드라마</v>
      </c>
    </row>
    <row r="492" spans="1:58" x14ac:dyDescent="0.3">
      <c r="A492">
        <v>4421000450</v>
      </c>
      <c r="B492">
        <v>4421000470</v>
      </c>
      <c r="C492" t="str">
        <f>T("내 남편의 스토커 20화")</f>
        <v>내 남편의 스토커 20화</v>
      </c>
      <c r="D492" t="str">
        <f>T("20")</f>
        <v>20</v>
      </c>
      <c r="E492" t="str">
        <f>T("혜원")</f>
        <v>혜원</v>
      </c>
      <c r="G492" t="str">
        <f>T("혜원")</f>
        <v>혜원</v>
      </c>
      <c r="H492" t="str">
        <f t="shared" si="56"/>
        <v>스토리위즈</v>
      </c>
      <c r="I492" t="str">
        <f>T("내 남편의 스토커")</f>
        <v>내 남편의 스토커</v>
      </c>
      <c r="J492">
        <v>400</v>
      </c>
      <c r="K492">
        <v>0</v>
      </c>
      <c r="L492">
        <v>0</v>
      </c>
      <c r="M492">
        <v>0</v>
      </c>
      <c r="N492">
        <v>200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240</v>
      </c>
      <c r="AN492">
        <v>-24</v>
      </c>
      <c r="AO492">
        <v>0</v>
      </c>
      <c r="AP492"/>
      <c r="AQ492">
        <v>0</v>
      </c>
      <c r="AR492">
        <v>0</v>
      </c>
      <c r="AS492">
        <v>240</v>
      </c>
      <c r="AT492">
        <v>-24</v>
      </c>
      <c r="AU492">
        <v>0</v>
      </c>
      <c r="AW492">
        <v>0</v>
      </c>
      <c r="AX492">
        <v>0</v>
      </c>
      <c r="AY492">
        <v>151.19999999999999</v>
      </c>
      <c r="BA492" t="str">
        <f>T("0000000000000")</f>
        <v>0000000000000</v>
      </c>
      <c r="BC492" t="str">
        <f>T("9791166068034")</f>
        <v>9791166068034</v>
      </c>
      <c r="BE492" t="str">
        <f>T("웹툰 &gt; 로맨스")</f>
        <v>웹툰 &gt; 로맨스</v>
      </c>
    </row>
    <row r="493" spans="1:58" x14ac:dyDescent="0.3">
      <c r="A493">
        <v>4421000866</v>
      </c>
      <c r="B493">
        <v>4421000872</v>
      </c>
      <c r="C493" t="str">
        <f>T("최애에게 들켜버렸다 6화")</f>
        <v>최애에게 들켜버렸다 6화</v>
      </c>
      <c r="D493" t="str">
        <f>T("6")</f>
        <v>6</v>
      </c>
      <c r="E493" t="str">
        <f>T("Lv")</f>
        <v>Lv</v>
      </c>
      <c r="G493" t="str">
        <f>T("Lv")</f>
        <v>Lv</v>
      </c>
      <c r="H493" t="str">
        <f t="shared" si="56"/>
        <v>스토리위즈</v>
      </c>
      <c r="I493" t="str">
        <f>T("최애에게 들켜버렸다")</f>
        <v>최애에게 들켜버렸다</v>
      </c>
      <c r="J493">
        <v>400</v>
      </c>
      <c r="K493">
        <v>0</v>
      </c>
      <c r="L493">
        <v>0</v>
      </c>
      <c r="M493">
        <v>0</v>
      </c>
      <c r="N493">
        <v>1000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1000</v>
      </c>
      <c r="AH493">
        <v>5</v>
      </c>
      <c r="AI493">
        <v>0</v>
      </c>
      <c r="AJ493">
        <v>0</v>
      </c>
      <c r="AK493">
        <v>400</v>
      </c>
      <c r="AL493">
        <v>0</v>
      </c>
      <c r="AM493">
        <v>720</v>
      </c>
      <c r="AN493">
        <v>-120</v>
      </c>
      <c r="AO493">
        <v>0</v>
      </c>
      <c r="AP493"/>
      <c r="AQ493">
        <v>0</v>
      </c>
      <c r="AR493">
        <v>0</v>
      </c>
      <c r="AS493">
        <v>720</v>
      </c>
      <c r="AT493">
        <v>-120</v>
      </c>
      <c r="AU493">
        <v>0</v>
      </c>
      <c r="AW493">
        <v>0</v>
      </c>
      <c r="AX493">
        <v>0</v>
      </c>
      <c r="AY493">
        <v>700</v>
      </c>
      <c r="BA493" t="str">
        <f>T("0000000000000")</f>
        <v>0000000000000</v>
      </c>
      <c r="BC493" t="str">
        <f>T("9791137601253")</f>
        <v>9791137601253</v>
      </c>
      <c r="BE493" t="str">
        <f>T("웹툰 &gt; 해외 순정")</f>
        <v>웹툰 &gt; 해외 순정</v>
      </c>
      <c r="BF493" t="str">
        <f>T("웹툰 &gt; 로맨스")</f>
        <v>웹툰 &gt; 로맨스</v>
      </c>
    </row>
    <row r="494" spans="1:58" x14ac:dyDescent="0.3">
      <c r="A494">
        <v>4421000001</v>
      </c>
      <c r="B494">
        <v>4421000063</v>
      </c>
      <c r="C494" t="str">
        <f>T("감옥실험 43화")</f>
        <v>감옥실험 43화</v>
      </c>
      <c r="D494" t="str">
        <f>T("43")</f>
        <v>43</v>
      </c>
      <c r="E494" t="str">
        <f>T("Kantetsu")</f>
        <v>Kantetsu</v>
      </c>
      <c r="G494" t="str">
        <f>T("Minase Chiho")</f>
        <v>Minase Chiho</v>
      </c>
      <c r="H494" t="str">
        <f t="shared" si="56"/>
        <v>스토리위즈</v>
      </c>
      <c r="I494" t="str">
        <f>T("감옥실험")</f>
        <v>감옥실험</v>
      </c>
      <c r="J494">
        <v>500</v>
      </c>
      <c r="K494">
        <v>0</v>
      </c>
      <c r="L494">
        <v>0</v>
      </c>
      <c r="M494">
        <v>0</v>
      </c>
      <c r="N494">
        <v>600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600</v>
      </c>
      <c r="AH494">
        <v>2</v>
      </c>
      <c r="AI494">
        <v>0</v>
      </c>
      <c r="AJ494">
        <v>0</v>
      </c>
      <c r="AK494">
        <v>600</v>
      </c>
      <c r="AL494">
        <v>0</v>
      </c>
      <c r="AM494">
        <v>0</v>
      </c>
      <c r="AN494">
        <v>0</v>
      </c>
      <c r="AO494">
        <v>0</v>
      </c>
      <c r="AP494"/>
      <c r="AQ494">
        <v>0</v>
      </c>
      <c r="AR494">
        <v>0</v>
      </c>
      <c r="AT494">
        <v>0</v>
      </c>
      <c r="AU494">
        <v>0</v>
      </c>
      <c r="AW494">
        <v>0</v>
      </c>
      <c r="AX494">
        <v>0</v>
      </c>
      <c r="AY494">
        <v>420</v>
      </c>
      <c r="BC494" t="str">
        <f>T("9791166069406")</f>
        <v>9791166069406</v>
      </c>
      <c r="BE494" t="str">
        <f>T("웹툰 &gt; 드라마")</f>
        <v>웹툰 &gt; 드라마</v>
      </c>
    </row>
    <row r="495" spans="1:58" x14ac:dyDescent="0.3">
      <c r="A495">
        <v>4421001634</v>
      </c>
      <c r="B495">
        <v>4421002503</v>
      </c>
      <c r="C495" t="str">
        <f>T("그남자의 사랑방식 54화")</f>
        <v>그남자의 사랑방식 54화</v>
      </c>
      <c r="D495" t="str">
        <f>T("54")</f>
        <v>54</v>
      </c>
      <c r="E495" t="str">
        <f>T("웹티")</f>
        <v>웹티</v>
      </c>
      <c r="H495" t="str">
        <f t="shared" si="56"/>
        <v>스토리위즈</v>
      </c>
      <c r="I495" t="str">
        <f>T("그남자의 사랑방식")</f>
        <v>그남자의 사랑방식</v>
      </c>
      <c r="J495">
        <v>500</v>
      </c>
      <c r="K495">
        <v>0</v>
      </c>
      <c r="L495">
        <v>0</v>
      </c>
      <c r="M495">
        <v>0</v>
      </c>
      <c r="N495">
        <v>400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2</v>
      </c>
      <c r="AI495">
        <v>0</v>
      </c>
      <c r="AJ495">
        <v>0</v>
      </c>
      <c r="AK495">
        <v>200</v>
      </c>
      <c r="AL495">
        <v>0</v>
      </c>
      <c r="AM495">
        <v>240</v>
      </c>
      <c r="AN495">
        <v>-24</v>
      </c>
      <c r="AO495">
        <v>0</v>
      </c>
      <c r="AP495"/>
      <c r="AQ495">
        <v>0</v>
      </c>
      <c r="AR495">
        <v>0</v>
      </c>
      <c r="AS495">
        <v>240</v>
      </c>
      <c r="AT495">
        <v>-24</v>
      </c>
      <c r="AU495">
        <v>0</v>
      </c>
      <c r="AW495">
        <v>0</v>
      </c>
      <c r="AX495">
        <v>0</v>
      </c>
      <c r="AY495">
        <v>291.2</v>
      </c>
      <c r="BC495" t="str">
        <f>T("9791190622004")</f>
        <v>9791190622004</v>
      </c>
      <c r="BE495" t="str">
        <f>T("BL 웹툰 &gt; 웹툰")</f>
        <v>BL 웹툰 &gt; 웹툰</v>
      </c>
    </row>
    <row r="496" spans="1:58" x14ac:dyDescent="0.3">
      <c r="A496">
        <v>4421000450</v>
      </c>
      <c r="B496">
        <v>4421000502</v>
      </c>
      <c r="C496" t="str">
        <f>T("내 남편의 스토커 52화")</f>
        <v>내 남편의 스토커 52화</v>
      </c>
      <c r="D496" t="str">
        <f>T("52")</f>
        <v>52</v>
      </c>
      <c r="E496" t="str">
        <f>T("혜원")</f>
        <v>혜원</v>
      </c>
      <c r="G496" t="str">
        <f>T("혜원")</f>
        <v>혜원</v>
      </c>
      <c r="H496" t="str">
        <f t="shared" si="56"/>
        <v>스토리위즈</v>
      </c>
      <c r="I496" t="str">
        <f>T("내 남편의 스토커")</f>
        <v>내 남편의 스토커</v>
      </c>
      <c r="J496">
        <v>400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240</v>
      </c>
      <c r="AN496">
        <v>-24</v>
      </c>
      <c r="AO496">
        <v>0</v>
      </c>
      <c r="AP496"/>
      <c r="AQ496">
        <v>0</v>
      </c>
      <c r="AR496">
        <v>0</v>
      </c>
      <c r="AS496">
        <v>240</v>
      </c>
      <c r="AT496">
        <v>-24</v>
      </c>
      <c r="AU496">
        <v>0</v>
      </c>
      <c r="AW496">
        <v>0</v>
      </c>
      <c r="AX496">
        <v>0</v>
      </c>
      <c r="AY496">
        <v>151.19999999999999</v>
      </c>
      <c r="BA496" t="str">
        <f>T("0000000000000")</f>
        <v>0000000000000</v>
      </c>
      <c r="BC496" t="str">
        <f>T("9791166068034")</f>
        <v>9791166068034</v>
      </c>
      <c r="BE496" t="str">
        <f>T("웹툰 &gt; 로맨스")</f>
        <v>웹툰 &gt; 로맨스</v>
      </c>
    </row>
    <row r="497" spans="1:58" x14ac:dyDescent="0.3">
      <c r="A497">
        <v>4421000866</v>
      </c>
      <c r="B497">
        <v>4421001196</v>
      </c>
      <c r="C497" t="str">
        <f>T("최애에게 들켜버렸다 48화")</f>
        <v>최애에게 들켜버렸다 48화</v>
      </c>
      <c r="D497" t="str">
        <f>T("51")</f>
        <v>51</v>
      </c>
      <c r="E497" t="str">
        <f>T("Lv")</f>
        <v>Lv</v>
      </c>
      <c r="G497" t="str">
        <f>T("Lv")</f>
        <v>Lv</v>
      </c>
      <c r="H497" t="str">
        <f t="shared" si="56"/>
        <v>스토리위즈</v>
      </c>
      <c r="I497" t="str">
        <f>T("최애에게 들켜버렸다")</f>
        <v>최애에게 들켜버렸다</v>
      </c>
      <c r="J497">
        <v>400</v>
      </c>
      <c r="K497">
        <v>0</v>
      </c>
      <c r="L497">
        <v>0</v>
      </c>
      <c r="M497">
        <v>0</v>
      </c>
      <c r="N497">
        <v>400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400</v>
      </c>
      <c r="AH497">
        <v>2</v>
      </c>
      <c r="AI497">
        <v>0</v>
      </c>
      <c r="AJ497">
        <v>0</v>
      </c>
      <c r="AK497">
        <v>200</v>
      </c>
      <c r="AL497">
        <v>0</v>
      </c>
      <c r="AM497">
        <v>240</v>
      </c>
      <c r="AN497">
        <v>-24</v>
      </c>
      <c r="AO497">
        <v>0</v>
      </c>
      <c r="AP497"/>
      <c r="AQ497">
        <v>0</v>
      </c>
      <c r="AR497">
        <v>0</v>
      </c>
      <c r="AS497">
        <v>240</v>
      </c>
      <c r="AT497">
        <v>-24</v>
      </c>
      <c r="AU497">
        <v>0</v>
      </c>
      <c r="AW497">
        <v>0</v>
      </c>
      <c r="AX497">
        <v>0</v>
      </c>
      <c r="AY497">
        <v>291.2</v>
      </c>
      <c r="BA497" t="str">
        <f>T("0000000000000")</f>
        <v>0000000000000</v>
      </c>
      <c r="BC497" t="str">
        <f>T("9791137601253")</f>
        <v>9791137601253</v>
      </c>
      <c r="BE497" t="str">
        <f>T("웹툰 &gt; 해외 순정")</f>
        <v>웹툰 &gt; 해외 순정</v>
      </c>
      <c r="BF497" t="str">
        <f>T("웹툰 &gt; 로맨스")</f>
        <v>웹툰 &gt; 로맨스</v>
      </c>
    </row>
    <row r="498" spans="1:58" x14ac:dyDescent="0.3">
      <c r="A498">
        <v>4421000198</v>
      </c>
      <c r="B498">
        <v>4421001301</v>
      </c>
      <c r="C498" t="str">
        <f>T("공주전쟁 90화")</f>
        <v>공주전쟁 90화</v>
      </c>
      <c r="D498" t="str">
        <f>T("90")</f>
        <v>90</v>
      </c>
      <c r="E498" t="str">
        <f>T("Hujing")</f>
        <v>Hujing</v>
      </c>
      <c r="G498" t="str">
        <f>T("Luojie")</f>
        <v>Luojie</v>
      </c>
      <c r="H498" t="str">
        <f t="shared" si="56"/>
        <v>스토리위즈</v>
      </c>
      <c r="I498" t="str">
        <f>T("공주전쟁")</f>
        <v>공주전쟁</v>
      </c>
      <c r="J498">
        <v>400</v>
      </c>
      <c r="K498">
        <v>0</v>
      </c>
      <c r="L498">
        <v>0</v>
      </c>
      <c r="M498">
        <v>0</v>
      </c>
      <c r="N498">
        <v>200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240</v>
      </c>
      <c r="AN498">
        <v>-24</v>
      </c>
      <c r="AO498">
        <v>0</v>
      </c>
      <c r="AP498"/>
      <c r="AQ498">
        <v>0</v>
      </c>
      <c r="AR498">
        <v>0</v>
      </c>
      <c r="AS498">
        <v>240</v>
      </c>
      <c r="AT498">
        <v>-24</v>
      </c>
      <c r="AU498">
        <v>0</v>
      </c>
      <c r="AW498">
        <v>0</v>
      </c>
      <c r="AX498">
        <v>0</v>
      </c>
      <c r="AY498">
        <v>151.19999999999999</v>
      </c>
      <c r="BA498" t="str">
        <f>T("0000000000000")</f>
        <v>0000000000000</v>
      </c>
      <c r="BC498" t="str">
        <f>T("9791166069666")</f>
        <v>9791166069666</v>
      </c>
      <c r="BE498" t="str">
        <f>T("웹툰 &gt; 해외 순정")</f>
        <v>웹툰 &gt; 해외 순정</v>
      </c>
      <c r="BF498" t="str">
        <f>T("웹툰 &gt; 로판")</f>
        <v>웹툰 &gt; 로판</v>
      </c>
    </row>
    <row r="499" spans="1:58" x14ac:dyDescent="0.3">
      <c r="A499">
        <v>4421003015</v>
      </c>
      <c r="B499">
        <v>4421003038</v>
      </c>
      <c r="C499" t="str">
        <f>T("일월성신 23화")</f>
        <v>일월성신 23화</v>
      </c>
      <c r="D499" t="str">
        <f>T("23")</f>
        <v>23</v>
      </c>
      <c r="E499" t="str">
        <f>T("김숙지")</f>
        <v>김숙지</v>
      </c>
      <c r="G499" t="str">
        <f>T("이름표")</f>
        <v>이름표</v>
      </c>
      <c r="H499" t="str">
        <f t="shared" si="56"/>
        <v>스토리위즈</v>
      </c>
      <c r="I499" t="str">
        <f>T("일월성신")</f>
        <v>일월성신</v>
      </c>
      <c r="J499">
        <v>400</v>
      </c>
      <c r="K499">
        <v>0</v>
      </c>
      <c r="L499">
        <v>0</v>
      </c>
      <c r="M499">
        <v>0</v>
      </c>
      <c r="N499">
        <v>600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600</v>
      </c>
      <c r="AH499">
        <v>3</v>
      </c>
      <c r="AI499">
        <v>0</v>
      </c>
      <c r="AJ499">
        <v>0</v>
      </c>
      <c r="AK499">
        <v>200</v>
      </c>
      <c r="AL499">
        <v>0</v>
      </c>
      <c r="AM499">
        <v>480</v>
      </c>
      <c r="AN499">
        <v>-96</v>
      </c>
      <c r="AO499">
        <v>0</v>
      </c>
      <c r="AP499">
        <v>240</v>
      </c>
      <c r="AQ499">
        <v>-72</v>
      </c>
      <c r="AR499">
        <v>0</v>
      </c>
      <c r="AS499">
        <v>240</v>
      </c>
      <c r="AT499">
        <v>-24</v>
      </c>
      <c r="AU499">
        <v>0</v>
      </c>
      <c r="AW499">
        <v>0</v>
      </c>
      <c r="AX499">
        <v>0</v>
      </c>
      <c r="AY499">
        <v>408.8</v>
      </c>
      <c r="BA499" t="str">
        <f>T("0000000000000")</f>
        <v>0000000000000</v>
      </c>
      <c r="BC499" t="str">
        <f>T("9791137604605")</f>
        <v>9791137604605</v>
      </c>
      <c r="BE499" t="str">
        <f>T("웹툰 &gt; 드라마")</f>
        <v>웹툰 &gt; 드라마</v>
      </c>
    </row>
    <row r="500" spans="1:58" x14ac:dyDescent="0.3">
      <c r="A500">
        <v>4421001634</v>
      </c>
      <c r="B500">
        <v>4421002536</v>
      </c>
      <c r="C500" t="str">
        <f>T("그남자의 사랑방식 87화")</f>
        <v>그남자의 사랑방식 87화</v>
      </c>
      <c r="D500" t="str">
        <f>T("87")</f>
        <v>87</v>
      </c>
      <c r="E500" t="str">
        <f>T("웹티")</f>
        <v>웹티</v>
      </c>
      <c r="H500" t="str">
        <f t="shared" si="56"/>
        <v>스토리위즈</v>
      </c>
      <c r="I500" t="str">
        <f>T("그남자의 사랑방식")</f>
        <v>그남자의 사랑방식</v>
      </c>
      <c r="J500">
        <v>500</v>
      </c>
      <c r="K500">
        <v>0</v>
      </c>
      <c r="L500">
        <v>0</v>
      </c>
      <c r="M500">
        <v>0</v>
      </c>
      <c r="N500">
        <v>200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240</v>
      </c>
      <c r="AN500">
        <v>-24</v>
      </c>
      <c r="AO500">
        <v>0</v>
      </c>
      <c r="AP500"/>
      <c r="AQ500">
        <v>0</v>
      </c>
      <c r="AR500">
        <v>0</v>
      </c>
      <c r="AS500">
        <v>240</v>
      </c>
      <c r="AT500">
        <v>-24</v>
      </c>
      <c r="AU500">
        <v>0</v>
      </c>
      <c r="AW500">
        <v>0</v>
      </c>
      <c r="AX500">
        <v>0</v>
      </c>
      <c r="AY500">
        <v>151.19999999999999</v>
      </c>
      <c r="BC500" t="str">
        <f>T("9791190622004")</f>
        <v>9791190622004</v>
      </c>
      <c r="BE500" t="str">
        <f>T("BL 웹툰 &gt; 웹툰")</f>
        <v>BL 웹툰 &gt; 웹툰</v>
      </c>
    </row>
    <row r="501" spans="1:58" x14ac:dyDescent="0.3">
      <c r="A501">
        <v>4421001340</v>
      </c>
      <c r="B501">
        <v>4421001355</v>
      </c>
      <c r="C501" t="str">
        <f>T("가출천사 육성계약 16화")</f>
        <v>가출천사 육성계약 16화</v>
      </c>
      <c r="D501" t="str">
        <f>T("16")</f>
        <v>16</v>
      </c>
      <c r="E501" t="str">
        <f>T("Bae.C, IIAKI, 박제후")</f>
        <v>Bae.C, IIAKI, 박제후</v>
      </c>
      <c r="G501" t="str">
        <f>T("Bae.C, 조우")</f>
        <v>Bae.C, 조우</v>
      </c>
      <c r="H501" t="str">
        <f t="shared" si="56"/>
        <v>스토리위즈</v>
      </c>
      <c r="I501" t="str">
        <f>T("가출천사 육성계약")</f>
        <v>가출천사 육성계약</v>
      </c>
      <c r="J501">
        <v>400</v>
      </c>
      <c r="K501">
        <v>0</v>
      </c>
      <c r="L501">
        <v>0</v>
      </c>
      <c r="M501">
        <v>0</v>
      </c>
      <c r="N501">
        <v>200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240</v>
      </c>
      <c r="AN501">
        <v>-24</v>
      </c>
      <c r="AO501">
        <v>0</v>
      </c>
      <c r="AP501"/>
      <c r="AQ501">
        <v>0</v>
      </c>
      <c r="AR501">
        <v>0</v>
      </c>
      <c r="AS501">
        <v>240</v>
      </c>
      <c r="AT501">
        <v>-24</v>
      </c>
      <c r="AU501">
        <v>0</v>
      </c>
      <c r="AW501">
        <v>0</v>
      </c>
      <c r="AX501">
        <v>0</v>
      </c>
      <c r="AY501">
        <v>151.19999999999999</v>
      </c>
      <c r="BA501" t="str">
        <f>T("0000000000000")</f>
        <v>0000000000000</v>
      </c>
      <c r="BC501" t="str">
        <f>T("9791191765663")</f>
        <v>9791191765663</v>
      </c>
      <c r="BE501" t="str">
        <f>T("웹툰 &gt; 판타지/SF")</f>
        <v>웹툰 &gt; 판타지/SF</v>
      </c>
    </row>
    <row r="502" spans="1:58" x14ac:dyDescent="0.3">
      <c r="A502">
        <v>4421001634</v>
      </c>
      <c r="B502">
        <v>4421001655</v>
      </c>
      <c r="C502" t="str">
        <f>T("그남자의 사랑방식 22화")</f>
        <v>그남자의 사랑방식 22화</v>
      </c>
      <c r="D502" t="str">
        <f>T("22")</f>
        <v>22</v>
      </c>
      <c r="E502" t="str">
        <f>T("웹티")</f>
        <v>웹티</v>
      </c>
      <c r="H502" t="str">
        <f t="shared" si="56"/>
        <v>스토리위즈</v>
      </c>
      <c r="I502" t="str">
        <f>T("그남자의 사랑방식")</f>
        <v>그남자의 사랑방식</v>
      </c>
      <c r="J502">
        <v>500</v>
      </c>
      <c r="K502">
        <v>0</v>
      </c>
      <c r="L502">
        <v>0</v>
      </c>
      <c r="M502">
        <v>0</v>
      </c>
      <c r="N502">
        <v>1000</v>
      </c>
      <c r="O502">
        <v>5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1000</v>
      </c>
      <c r="AH502">
        <v>5</v>
      </c>
      <c r="AI502">
        <v>0</v>
      </c>
      <c r="AJ502">
        <v>0</v>
      </c>
      <c r="AK502">
        <v>200</v>
      </c>
      <c r="AL502">
        <v>0</v>
      </c>
      <c r="AM502">
        <v>960</v>
      </c>
      <c r="AN502">
        <v>-144</v>
      </c>
      <c r="AO502">
        <v>0</v>
      </c>
      <c r="AP502"/>
      <c r="AQ502">
        <v>0</v>
      </c>
      <c r="AR502">
        <v>0</v>
      </c>
      <c r="AS502">
        <v>960</v>
      </c>
      <c r="AT502">
        <v>-144</v>
      </c>
      <c r="AU502">
        <v>0</v>
      </c>
      <c r="AW502">
        <v>0</v>
      </c>
      <c r="AX502">
        <v>0</v>
      </c>
      <c r="AY502">
        <v>711.2</v>
      </c>
      <c r="BC502" t="str">
        <f>T("9791190622004")</f>
        <v>9791190622004</v>
      </c>
      <c r="BE502" t="str">
        <f>T("BL 웹툰 &gt; 웹툰")</f>
        <v>BL 웹툰 &gt; 웹툰</v>
      </c>
    </row>
    <row r="503" spans="1:58" x14ac:dyDescent="0.3">
      <c r="A503">
        <v>4421001340</v>
      </c>
      <c r="B503">
        <v>4421001343</v>
      </c>
      <c r="C503" t="str">
        <f>T("가출천사 육성계약 4화")</f>
        <v>가출천사 육성계약 4화</v>
      </c>
      <c r="D503" t="str">
        <f>T("4")</f>
        <v>4</v>
      </c>
      <c r="E503" t="str">
        <f>T("Bae.C, IIAKI, 박제후")</f>
        <v>Bae.C, IIAKI, 박제후</v>
      </c>
      <c r="G503" t="str">
        <f>T("Bae.C, 조우")</f>
        <v>Bae.C, 조우</v>
      </c>
      <c r="H503" t="str">
        <f t="shared" si="56"/>
        <v>스토리위즈</v>
      </c>
      <c r="I503" t="str">
        <f>T("가출천사 육성계약")</f>
        <v>가출천사 육성계약</v>
      </c>
      <c r="J503">
        <v>400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/>
      <c r="AQ503">
        <v>0</v>
      </c>
      <c r="AR503">
        <v>0</v>
      </c>
      <c r="AT503">
        <v>0</v>
      </c>
      <c r="AU503">
        <v>0</v>
      </c>
      <c r="AW503">
        <v>0</v>
      </c>
      <c r="AX503">
        <v>0</v>
      </c>
      <c r="AY503">
        <v>0</v>
      </c>
      <c r="BA503" t="str">
        <f>T("0000000000000")</f>
        <v>0000000000000</v>
      </c>
      <c r="BC503" t="str">
        <f>T("9791191765663")</f>
        <v>9791191765663</v>
      </c>
      <c r="BE503" t="str">
        <f>T("웹툰 &gt; 판타지/SF")</f>
        <v>웹툰 &gt; 판타지/SF</v>
      </c>
    </row>
    <row r="504" spans="1:58" x14ac:dyDescent="0.3">
      <c r="A504">
        <v>4421001340</v>
      </c>
      <c r="B504">
        <v>4421001468</v>
      </c>
      <c r="C504" t="str">
        <f>T("가출천사 육성계약 36화")</f>
        <v>가출천사 육성계약 36화</v>
      </c>
      <c r="D504" t="str">
        <f>T("36")</f>
        <v>36</v>
      </c>
      <c r="E504" t="str">
        <f>T("Bae.C, IIAKI, 박제후")</f>
        <v>Bae.C, IIAKI, 박제후</v>
      </c>
      <c r="G504" t="str">
        <f>T("Bae.C, 조우")</f>
        <v>Bae.C, 조우</v>
      </c>
      <c r="H504" t="str">
        <f t="shared" si="56"/>
        <v>스토리위즈</v>
      </c>
      <c r="I504" t="str">
        <f>T("가출천사 육성계약")</f>
        <v>가출천사 육성계약</v>
      </c>
      <c r="J504">
        <v>400</v>
      </c>
      <c r="K504">
        <v>0</v>
      </c>
      <c r="L504">
        <v>0</v>
      </c>
      <c r="M504">
        <v>0</v>
      </c>
      <c r="N504">
        <v>200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240</v>
      </c>
      <c r="AN504">
        <v>-24</v>
      </c>
      <c r="AO504">
        <v>0</v>
      </c>
      <c r="AP504"/>
      <c r="AQ504">
        <v>0</v>
      </c>
      <c r="AR504">
        <v>0</v>
      </c>
      <c r="AS504">
        <v>240</v>
      </c>
      <c r="AT504">
        <v>-24</v>
      </c>
      <c r="AU504">
        <v>0</v>
      </c>
      <c r="AW504">
        <v>0</v>
      </c>
      <c r="AX504">
        <v>0</v>
      </c>
      <c r="AY504">
        <v>151.19999999999999</v>
      </c>
      <c r="BA504" t="str">
        <f>T("0000000000000")</f>
        <v>0000000000000</v>
      </c>
      <c r="BC504" t="str">
        <f>T("9791191765663")</f>
        <v>9791191765663</v>
      </c>
      <c r="BE504" t="str">
        <f>T("웹툰 &gt; 판타지/SF")</f>
        <v>웹툰 &gt; 판타지/SF</v>
      </c>
    </row>
    <row r="505" spans="1:58" x14ac:dyDescent="0.3">
      <c r="A505">
        <v>4421002022</v>
      </c>
      <c r="B505">
        <v>4421002049</v>
      </c>
      <c r="C505" t="str">
        <f>T("대표님과 연애를 시작했습니다 28화")</f>
        <v>대표님과 연애를 시작했습니다 28화</v>
      </c>
      <c r="D505" t="str">
        <f>T("28")</f>
        <v>28</v>
      </c>
      <c r="E505" t="str">
        <f>T("웹티")</f>
        <v>웹티</v>
      </c>
      <c r="H505" t="str">
        <f t="shared" si="56"/>
        <v>스토리위즈</v>
      </c>
      <c r="I505" t="str">
        <f>T("대표님과 연애를 시작했습니다")</f>
        <v>대표님과 연애를 시작했습니다</v>
      </c>
      <c r="J505">
        <v>500</v>
      </c>
      <c r="K505">
        <v>0</v>
      </c>
      <c r="L505">
        <v>0</v>
      </c>
      <c r="M505">
        <v>0</v>
      </c>
      <c r="N505">
        <v>200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200</v>
      </c>
      <c r="AH505">
        <v>1</v>
      </c>
      <c r="AI505">
        <v>0</v>
      </c>
      <c r="AJ505">
        <v>0</v>
      </c>
      <c r="AK505">
        <v>200</v>
      </c>
      <c r="AL505">
        <v>0</v>
      </c>
      <c r="AM505">
        <v>0</v>
      </c>
      <c r="AN505">
        <v>0</v>
      </c>
      <c r="AO505">
        <v>0</v>
      </c>
      <c r="AP505"/>
      <c r="AQ505">
        <v>0</v>
      </c>
      <c r="AR505">
        <v>0</v>
      </c>
      <c r="AT505">
        <v>0</v>
      </c>
      <c r="AU505">
        <v>0</v>
      </c>
      <c r="AW505">
        <v>0</v>
      </c>
      <c r="AX505">
        <v>0</v>
      </c>
      <c r="AY505">
        <v>140</v>
      </c>
      <c r="BA505" t="str">
        <f>T("0000000000000")</f>
        <v>0000000000000</v>
      </c>
      <c r="BC505" t="str">
        <f>T("9791196660482")</f>
        <v>9791196660482</v>
      </c>
      <c r="BE505" t="str">
        <f>T("BL 웹툰 &gt; 웹툰")</f>
        <v>BL 웹툰 &gt; 웹툰</v>
      </c>
    </row>
    <row r="506" spans="1:58" x14ac:dyDescent="0.3">
      <c r="A506">
        <v>4421000001</v>
      </c>
      <c r="B506">
        <v>4421000021</v>
      </c>
      <c r="C506" t="str">
        <f>T("감옥실험 11화")</f>
        <v>감옥실험 11화</v>
      </c>
      <c r="D506" t="str">
        <f>T("11")</f>
        <v>11</v>
      </c>
      <c r="E506" t="str">
        <f>T("Kantetsu")</f>
        <v>Kantetsu</v>
      </c>
      <c r="G506" t="str">
        <f>T("Minase Chiho")</f>
        <v>Minase Chiho</v>
      </c>
      <c r="H506" t="str">
        <f t="shared" si="56"/>
        <v>스토리위즈</v>
      </c>
      <c r="I506" t="str">
        <f>T("감옥실험")</f>
        <v>감옥실험</v>
      </c>
      <c r="J506">
        <v>500</v>
      </c>
      <c r="K506">
        <v>0</v>
      </c>
      <c r="L506">
        <v>0</v>
      </c>
      <c r="M506">
        <v>0</v>
      </c>
      <c r="N506">
        <v>1800</v>
      </c>
      <c r="O506">
        <v>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1800</v>
      </c>
      <c r="AH506">
        <v>6</v>
      </c>
      <c r="AI506">
        <v>0</v>
      </c>
      <c r="AJ506">
        <v>0</v>
      </c>
      <c r="AK506">
        <v>1000</v>
      </c>
      <c r="AL506">
        <v>0</v>
      </c>
      <c r="AM506">
        <v>960</v>
      </c>
      <c r="AN506">
        <v>-240</v>
      </c>
      <c r="AO506">
        <v>0</v>
      </c>
      <c r="AP506">
        <v>360</v>
      </c>
      <c r="AQ506">
        <v>-108</v>
      </c>
      <c r="AR506">
        <v>0</v>
      </c>
      <c r="AS506">
        <v>600</v>
      </c>
      <c r="AT506">
        <v>-132</v>
      </c>
      <c r="AU506">
        <v>0</v>
      </c>
      <c r="AW506">
        <v>0</v>
      </c>
      <c r="AX506">
        <v>0</v>
      </c>
      <c r="AY506">
        <v>1204</v>
      </c>
      <c r="BC506" t="str">
        <f>T("9791166069406")</f>
        <v>9791166069406</v>
      </c>
      <c r="BE506" t="str">
        <f>T("웹툰 &gt; 드라마")</f>
        <v>웹툰 &gt; 드라마</v>
      </c>
    </row>
    <row r="507" spans="1:58" x14ac:dyDescent="0.3">
      <c r="A507">
        <v>4421003015</v>
      </c>
      <c r="B507">
        <v>4421003034</v>
      </c>
      <c r="C507" t="str">
        <f>T("일월성신 19화")</f>
        <v>일월성신 19화</v>
      </c>
      <c r="D507" t="str">
        <f>T("19")</f>
        <v>19</v>
      </c>
      <c r="E507" t="str">
        <f>T("김숙지")</f>
        <v>김숙지</v>
      </c>
      <c r="G507" t="str">
        <f>T("이름표")</f>
        <v>이름표</v>
      </c>
      <c r="H507" t="str">
        <f t="shared" si="56"/>
        <v>스토리위즈</v>
      </c>
      <c r="I507" t="str">
        <f>T("일월성신")</f>
        <v>일월성신</v>
      </c>
      <c r="J507">
        <v>400</v>
      </c>
      <c r="K507">
        <v>0</v>
      </c>
      <c r="L507">
        <v>0</v>
      </c>
      <c r="M507">
        <v>0</v>
      </c>
      <c r="N507">
        <v>600</v>
      </c>
      <c r="O507">
        <v>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3</v>
      </c>
      <c r="AI507">
        <v>0</v>
      </c>
      <c r="AJ507">
        <v>0</v>
      </c>
      <c r="AK507">
        <v>200</v>
      </c>
      <c r="AL507">
        <v>0</v>
      </c>
      <c r="AM507">
        <v>480</v>
      </c>
      <c r="AN507">
        <v>-96</v>
      </c>
      <c r="AO507">
        <v>0</v>
      </c>
      <c r="AP507">
        <v>240</v>
      </c>
      <c r="AQ507">
        <v>-72</v>
      </c>
      <c r="AR507">
        <v>0</v>
      </c>
      <c r="AS507">
        <v>240</v>
      </c>
      <c r="AT507">
        <v>-24</v>
      </c>
      <c r="AU507">
        <v>0</v>
      </c>
      <c r="AW507">
        <v>0</v>
      </c>
      <c r="AX507">
        <v>0</v>
      </c>
      <c r="AY507">
        <v>408.8</v>
      </c>
      <c r="BA507" t="str">
        <f>T("0000000000000")</f>
        <v>0000000000000</v>
      </c>
      <c r="BC507" t="str">
        <f>T("9791137604605")</f>
        <v>9791137604605</v>
      </c>
      <c r="BE507" t="str">
        <f>T("웹툰 &gt; 드라마")</f>
        <v>웹툰 &gt; 드라마</v>
      </c>
    </row>
    <row r="508" spans="1:58" x14ac:dyDescent="0.3">
      <c r="A508">
        <v>4421002022</v>
      </c>
      <c r="B508">
        <v>4421002023</v>
      </c>
      <c r="C508" t="str">
        <f>T("대표님과 연애를 시작했습니다 2화")</f>
        <v>대표님과 연애를 시작했습니다 2화</v>
      </c>
      <c r="D508" t="str">
        <f>T("2")</f>
        <v>2</v>
      </c>
      <c r="E508" t="str">
        <f>T("웹티")</f>
        <v>웹티</v>
      </c>
      <c r="H508" t="str">
        <f t="shared" si="56"/>
        <v>스토리위즈</v>
      </c>
      <c r="I508" t="str">
        <f>T("대표님과 연애를 시작했습니다")</f>
        <v>대표님과 연애를 시작했습니다</v>
      </c>
      <c r="J508">
        <v>0</v>
      </c>
      <c r="K508">
        <v>0</v>
      </c>
      <c r="L508">
        <v>0</v>
      </c>
      <c r="M508">
        <v>296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296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/>
      <c r="AQ508">
        <v>0</v>
      </c>
      <c r="AR508">
        <v>0</v>
      </c>
      <c r="AT508">
        <v>0</v>
      </c>
      <c r="AU508">
        <v>0</v>
      </c>
      <c r="AW508">
        <v>0</v>
      </c>
      <c r="AX508">
        <v>0</v>
      </c>
      <c r="AY508">
        <v>0</v>
      </c>
      <c r="BA508" t="str">
        <f>T("0000000000000")</f>
        <v>0000000000000</v>
      </c>
      <c r="BC508" t="str">
        <f>T("9791196660482")</f>
        <v>9791196660482</v>
      </c>
      <c r="BE508" t="str">
        <f>T("BL 웹툰 &gt; 웹툰")</f>
        <v>BL 웹툰 &gt; 웹툰</v>
      </c>
    </row>
    <row r="509" spans="1:58" x14ac:dyDescent="0.3">
      <c r="A509">
        <v>4421001634</v>
      </c>
      <c r="B509">
        <v>4421002558</v>
      </c>
      <c r="C509" t="str">
        <f>T("그남자의 사랑방식 109화")</f>
        <v>그남자의 사랑방식 109화</v>
      </c>
      <c r="D509" t="str">
        <f>T("109")</f>
        <v>109</v>
      </c>
      <c r="E509" t="str">
        <f>T("웹티")</f>
        <v>웹티</v>
      </c>
      <c r="H509" t="str">
        <f t="shared" si="56"/>
        <v>스토리위즈</v>
      </c>
      <c r="I509" t="str">
        <f>T("그남자의 사랑방식")</f>
        <v>그남자의 사랑방식</v>
      </c>
      <c r="J509">
        <v>500</v>
      </c>
      <c r="K509">
        <v>0</v>
      </c>
      <c r="L509">
        <v>0</v>
      </c>
      <c r="M509">
        <v>0</v>
      </c>
      <c r="N509">
        <v>400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2</v>
      </c>
      <c r="AI509">
        <v>0</v>
      </c>
      <c r="AJ509">
        <v>0</v>
      </c>
      <c r="AK509">
        <v>200</v>
      </c>
      <c r="AL509">
        <v>0</v>
      </c>
      <c r="AM509">
        <v>240</v>
      </c>
      <c r="AN509">
        <v>-24</v>
      </c>
      <c r="AO509">
        <v>0</v>
      </c>
      <c r="AP509"/>
      <c r="AQ509">
        <v>0</v>
      </c>
      <c r="AR509">
        <v>0</v>
      </c>
      <c r="AS509">
        <v>240</v>
      </c>
      <c r="AT509">
        <v>-24</v>
      </c>
      <c r="AU509">
        <v>0</v>
      </c>
      <c r="AW509">
        <v>0</v>
      </c>
      <c r="AX509">
        <v>0</v>
      </c>
      <c r="AY509">
        <v>291.2</v>
      </c>
      <c r="BC509" t="str">
        <f>T("9791190622004")</f>
        <v>9791190622004</v>
      </c>
      <c r="BE509" t="str">
        <f>T("BL 웹툰 &gt; 웹툰")</f>
        <v>BL 웹툰 &gt; 웹툰</v>
      </c>
    </row>
    <row r="510" spans="1:58" x14ac:dyDescent="0.3">
      <c r="A510">
        <v>4421000001</v>
      </c>
      <c r="B510">
        <v>4421000001</v>
      </c>
      <c r="C510" t="str">
        <f>T("감옥실험 1화")</f>
        <v>감옥실험 1화</v>
      </c>
      <c r="D510" t="str">
        <f>T("1")</f>
        <v>1</v>
      </c>
      <c r="E510" t="str">
        <f>T("Kantetsu")</f>
        <v>Kantetsu</v>
      </c>
      <c r="G510" t="str">
        <f>T("Minase Chiho")</f>
        <v>Minase Chiho</v>
      </c>
      <c r="H510" t="str">
        <f t="shared" si="56"/>
        <v>스토리위즈</v>
      </c>
      <c r="I510" t="str">
        <f>T("감옥실험")</f>
        <v>감옥실험</v>
      </c>
      <c r="J510">
        <v>500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/>
      <c r="AQ510">
        <v>0</v>
      </c>
      <c r="AR510">
        <v>0</v>
      </c>
      <c r="AT510">
        <v>0</v>
      </c>
      <c r="AU510">
        <v>0</v>
      </c>
      <c r="AW510">
        <v>0</v>
      </c>
      <c r="AX510">
        <v>0</v>
      </c>
      <c r="AY510">
        <v>0</v>
      </c>
      <c r="BC510" t="str">
        <f>T("9791166069406")</f>
        <v>9791166069406</v>
      </c>
      <c r="BE510" t="str">
        <f>T("웹툰 &gt; 드라마")</f>
        <v>웹툰 &gt; 드라마</v>
      </c>
    </row>
    <row r="511" spans="1:58" x14ac:dyDescent="0.3">
      <c r="A511">
        <v>4421000887</v>
      </c>
      <c r="B511">
        <v>4421000958</v>
      </c>
      <c r="C511" t="str">
        <f>T("폭군의 눈물 29화")</f>
        <v>폭군의 눈물 29화</v>
      </c>
      <c r="D511" t="str">
        <f>T("29")</f>
        <v>29</v>
      </c>
      <c r="E511" t="str">
        <f>T("Ice×FANFAN COMIC")</f>
        <v>Ice×FANFAN COMIC</v>
      </c>
      <c r="G511" t="str">
        <f>T("Ice×FANFAN COMIC")</f>
        <v>Ice×FANFAN COMIC</v>
      </c>
      <c r="H511" t="str">
        <f t="shared" si="56"/>
        <v>스토리위즈</v>
      </c>
      <c r="I511" t="str">
        <f>T("폭군의 눈물")</f>
        <v>폭군의 눈물</v>
      </c>
      <c r="J511">
        <v>400</v>
      </c>
      <c r="K511">
        <v>0</v>
      </c>
      <c r="L511">
        <v>0</v>
      </c>
      <c r="M511">
        <v>0</v>
      </c>
      <c r="N511">
        <v>200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1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/>
      <c r="AQ511">
        <v>0</v>
      </c>
      <c r="AR511">
        <v>0</v>
      </c>
      <c r="AT511">
        <v>0</v>
      </c>
      <c r="AU511">
        <v>0</v>
      </c>
      <c r="AW511">
        <v>0</v>
      </c>
      <c r="AX511">
        <v>0</v>
      </c>
      <c r="AY511">
        <v>140</v>
      </c>
      <c r="BA511" t="str">
        <f>T("0000000000000")</f>
        <v>0000000000000</v>
      </c>
      <c r="BC511" t="str">
        <f>T("9791137601291")</f>
        <v>9791137601291</v>
      </c>
      <c r="BE511" t="str">
        <f>T("웹툰 &gt; 해외 순정")</f>
        <v>웹툰 &gt; 해외 순정</v>
      </c>
      <c r="BF511" t="str">
        <f>T("웹툰 &gt; 로판")</f>
        <v>웹툰 &gt; 로판</v>
      </c>
    </row>
    <row r="512" spans="1:58" x14ac:dyDescent="0.3">
      <c r="A512">
        <v>4421000450</v>
      </c>
      <c r="B512">
        <v>4421000451</v>
      </c>
      <c r="C512" t="str">
        <f>T("내 남편의 스토커 1화")</f>
        <v>내 남편의 스토커 1화</v>
      </c>
      <c r="D512" t="str">
        <f>T("1")</f>
        <v>1</v>
      </c>
      <c r="E512" t="str">
        <f>T("혜원")</f>
        <v>혜원</v>
      </c>
      <c r="G512" t="str">
        <f>T("혜원")</f>
        <v>혜원</v>
      </c>
      <c r="H512" t="str">
        <f t="shared" si="56"/>
        <v>스토리위즈</v>
      </c>
      <c r="I512" t="str">
        <f>T("내 남편의 스토커")</f>
        <v>내 남편의 스토커</v>
      </c>
      <c r="J512">
        <v>400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/>
      <c r="AQ512">
        <v>0</v>
      </c>
      <c r="AR512">
        <v>0</v>
      </c>
      <c r="AT512">
        <v>0</v>
      </c>
      <c r="AU512">
        <v>0</v>
      </c>
      <c r="AW512">
        <v>0</v>
      </c>
      <c r="AX512">
        <v>0</v>
      </c>
      <c r="AY512">
        <v>0</v>
      </c>
      <c r="BA512" t="str">
        <f>T("0000000000000")</f>
        <v>0000000000000</v>
      </c>
      <c r="BC512" t="str">
        <f>T("9791166068034")</f>
        <v>9791166068034</v>
      </c>
      <c r="BE512" t="str">
        <f>T("웹툰 &gt; 로맨스")</f>
        <v>웹툰 &gt; 로맨스</v>
      </c>
    </row>
    <row r="513" spans="1:58" x14ac:dyDescent="0.3">
      <c r="A513">
        <v>4421002305</v>
      </c>
      <c r="B513">
        <v>4421002313</v>
      </c>
      <c r="C513" t="str">
        <f>T("천년의 사랑 8화")</f>
        <v>천년의 사랑 8화</v>
      </c>
      <c r="D513" t="str">
        <f>T("8")</f>
        <v>8</v>
      </c>
      <c r="E513" t="str">
        <f>T("웹티")</f>
        <v>웹티</v>
      </c>
      <c r="H513" t="str">
        <f t="shared" si="56"/>
        <v>스토리위즈</v>
      </c>
      <c r="I513" t="str">
        <f>T("천년의 사랑")</f>
        <v>천년의 사랑</v>
      </c>
      <c r="J513">
        <v>500</v>
      </c>
      <c r="K513">
        <v>0</v>
      </c>
      <c r="L513">
        <v>0</v>
      </c>
      <c r="M513">
        <v>0</v>
      </c>
      <c r="N513">
        <v>400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400</v>
      </c>
      <c r="AH513">
        <v>2</v>
      </c>
      <c r="AI513">
        <v>0</v>
      </c>
      <c r="AJ513">
        <v>0</v>
      </c>
      <c r="AK513">
        <v>400</v>
      </c>
      <c r="AL513">
        <v>0</v>
      </c>
      <c r="AM513">
        <v>0</v>
      </c>
      <c r="AN513">
        <v>0</v>
      </c>
      <c r="AO513">
        <v>0</v>
      </c>
      <c r="AP513"/>
      <c r="AQ513">
        <v>0</v>
      </c>
      <c r="AR513">
        <v>0</v>
      </c>
      <c r="AT513">
        <v>0</v>
      </c>
      <c r="AU513">
        <v>0</v>
      </c>
      <c r="AW513">
        <v>0</v>
      </c>
      <c r="AX513">
        <v>0</v>
      </c>
      <c r="AY513">
        <v>280</v>
      </c>
      <c r="BA513" t="str">
        <f>T("0000000000000")</f>
        <v>0000000000000</v>
      </c>
      <c r="BC513" t="str">
        <f>T("9791190622011")</f>
        <v>9791190622011</v>
      </c>
      <c r="BE513" t="str">
        <f>T("웹툰 &gt; 로맨스")</f>
        <v>웹툰 &gt; 로맨스</v>
      </c>
    </row>
    <row r="514" spans="1:58" x14ac:dyDescent="0.3">
      <c r="A514">
        <v>4421000570</v>
      </c>
      <c r="B514">
        <v>4421000570</v>
      </c>
      <c r="C514" t="str">
        <f>T("폐하, 옥체 보존하세요! 1화")</f>
        <v>폐하, 옥체 보존하세요! 1화</v>
      </c>
      <c r="D514" t="str">
        <f>T("1")</f>
        <v>1</v>
      </c>
      <c r="E514" t="str">
        <f>T("Lvyeqianhe")</f>
        <v>Lvyeqianhe</v>
      </c>
      <c r="G514" t="str">
        <f>T("Youzhijiaozi")</f>
        <v>Youzhijiaozi</v>
      </c>
      <c r="H514" t="str">
        <f t="shared" ref="H514:H577" si="58">T("스토리위즈")</f>
        <v>스토리위즈</v>
      </c>
      <c r="I514" t="str">
        <f>T("폐하, 옥체 보존하세요!")</f>
        <v>폐하, 옥체 보존하세요!</v>
      </c>
      <c r="J514">
        <v>200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/>
      <c r="AQ514">
        <v>0</v>
      </c>
      <c r="AR514">
        <v>0</v>
      </c>
      <c r="AT514">
        <v>0</v>
      </c>
      <c r="AU514">
        <v>0</v>
      </c>
      <c r="AW514">
        <v>0</v>
      </c>
      <c r="AX514">
        <v>0</v>
      </c>
      <c r="AY514">
        <v>0</v>
      </c>
      <c r="BA514" t="str">
        <f>T("0000000000000")</f>
        <v>0000000000000</v>
      </c>
      <c r="BC514" t="str">
        <f>T("9791166068003")</f>
        <v>9791166068003</v>
      </c>
      <c r="BE514" t="str">
        <f>T("웹툰 &gt; 해외 순정")</f>
        <v>웹툰 &gt; 해외 순정</v>
      </c>
      <c r="BF514" t="str">
        <f>T("웹툰 &gt; 로맨스")</f>
        <v>웹툰 &gt; 로맨스</v>
      </c>
    </row>
    <row r="515" spans="1:58" x14ac:dyDescent="0.3">
      <c r="A515">
        <v>4421000001</v>
      </c>
      <c r="B515">
        <v>4421000052</v>
      </c>
      <c r="C515" t="str">
        <f>T("감옥실험 32화")</f>
        <v>감옥실험 32화</v>
      </c>
      <c r="D515" t="str">
        <f>T("32")</f>
        <v>32</v>
      </c>
      <c r="E515" t="str">
        <f>T("Kantetsu")</f>
        <v>Kantetsu</v>
      </c>
      <c r="G515" t="str">
        <f>T("Minase Chiho")</f>
        <v>Minase Chiho</v>
      </c>
      <c r="H515" t="str">
        <f t="shared" si="58"/>
        <v>스토리위즈</v>
      </c>
      <c r="I515" t="str">
        <f>T("감옥실험")</f>
        <v>감옥실험</v>
      </c>
      <c r="J515">
        <v>500</v>
      </c>
      <c r="K515">
        <v>0</v>
      </c>
      <c r="L515">
        <v>0</v>
      </c>
      <c r="M515">
        <v>0</v>
      </c>
      <c r="N515">
        <v>600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600</v>
      </c>
      <c r="AH515">
        <v>2</v>
      </c>
      <c r="AI515">
        <v>0</v>
      </c>
      <c r="AJ515">
        <v>0</v>
      </c>
      <c r="AK515">
        <v>600</v>
      </c>
      <c r="AL515">
        <v>0</v>
      </c>
      <c r="AM515">
        <v>0</v>
      </c>
      <c r="AN515">
        <v>0</v>
      </c>
      <c r="AO515">
        <v>0</v>
      </c>
      <c r="AP515"/>
      <c r="AQ515">
        <v>0</v>
      </c>
      <c r="AR515">
        <v>0</v>
      </c>
      <c r="AT515">
        <v>0</v>
      </c>
      <c r="AU515">
        <v>0</v>
      </c>
      <c r="AW515">
        <v>0</v>
      </c>
      <c r="AX515">
        <v>0</v>
      </c>
      <c r="AY515">
        <v>420</v>
      </c>
      <c r="BC515" t="str">
        <f>T("9791166069406")</f>
        <v>9791166069406</v>
      </c>
      <c r="BE515" t="str">
        <f>T("웹툰 &gt; 드라마")</f>
        <v>웹툰 &gt; 드라마</v>
      </c>
    </row>
    <row r="516" spans="1:58" x14ac:dyDescent="0.3">
      <c r="A516">
        <v>4421000866</v>
      </c>
      <c r="B516">
        <v>4421001171</v>
      </c>
      <c r="C516" t="str">
        <f>T("최애에게 들켜버렸다 42화")</f>
        <v>최애에게 들켜버렸다 42화</v>
      </c>
      <c r="D516" t="str">
        <f>T("43")</f>
        <v>43</v>
      </c>
      <c r="E516" t="str">
        <f>T("Lv")</f>
        <v>Lv</v>
      </c>
      <c r="G516" t="str">
        <f>T("Lv")</f>
        <v>Lv</v>
      </c>
      <c r="H516" t="str">
        <f t="shared" si="58"/>
        <v>스토리위즈</v>
      </c>
      <c r="I516" t="str">
        <f>T("최애에게 들켜버렸다")</f>
        <v>최애에게 들켜버렸다</v>
      </c>
      <c r="J516">
        <v>400</v>
      </c>
      <c r="K516">
        <v>0</v>
      </c>
      <c r="L516">
        <v>0</v>
      </c>
      <c r="M516">
        <v>0</v>
      </c>
      <c r="N516">
        <v>400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400</v>
      </c>
      <c r="AH516">
        <v>2</v>
      </c>
      <c r="AI516">
        <v>0</v>
      </c>
      <c r="AJ516">
        <v>0</v>
      </c>
      <c r="AK516">
        <v>200</v>
      </c>
      <c r="AL516">
        <v>0</v>
      </c>
      <c r="AM516">
        <v>240</v>
      </c>
      <c r="AN516">
        <v>-24</v>
      </c>
      <c r="AO516">
        <v>0</v>
      </c>
      <c r="AP516"/>
      <c r="AQ516">
        <v>0</v>
      </c>
      <c r="AR516">
        <v>0</v>
      </c>
      <c r="AS516">
        <v>240</v>
      </c>
      <c r="AT516">
        <v>-24</v>
      </c>
      <c r="AU516">
        <v>0</v>
      </c>
      <c r="AW516">
        <v>0</v>
      </c>
      <c r="AX516">
        <v>0</v>
      </c>
      <c r="AY516">
        <v>291.2</v>
      </c>
      <c r="BA516" t="str">
        <f>T("0000000000000")</f>
        <v>0000000000000</v>
      </c>
      <c r="BC516" t="str">
        <f>T("9791137601253")</f>
        <v>9791137601253</v>
      </c>
      <c r="BE516" t="str">
        <f>T("웹툰 &gt; 해외 순정")</f>
        <v>웹툰 &gt; 해외 순정</v>
      </c>
      <c r="BF516" t="str">
        <f>T("웹툰 &gt; 로맨스")</f>
        <v>웹툰 &gt; 로맨스</v>
      </c>
    </row>
    <row r="517" spans="1:58" x14ac:dyDescent="0.3">
      <c r="A517">
        <v>4421000450</v>
      </c>
      <c r="B517">
        <v>4421000491</v>
      </c>
      <c r="C517" t="str">
        <f>T("내 남편의 스토커 41화")</f>
        <v>내 남편의 스토커 41화</v>
      </c>
      <c r="D517" t="str">
        <f>T("41")</f>
        <v>41</v>
      </c>
      <c r="E517" t="str">
        <f>T("혜원")</f>
        <v>혜원</v>
      </c>
      <c r="G517" t="str">
        <f>T("혜원")</f>
        <v>혜원</v>
      </c>
      <c r="H517" t="str">
        <f t="shared" si="58"/>
        <v>스토리위즈</v>
      </c>
      <c r="I517" t="str">
        <f>T("내 남편의 스토커")</f>
        <v>내 남편의 스토커</v>
      </c>
      <c r="J517">
        <v>400</v>
      </c>
      <c r="K517">
        <v>0</v>
      </c>
      <c r="L517">
        <v>0</v>
      </c>
      <c r="M517">
        <v>0</v>
      </c>
      <c r="N517">
        <v>200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240</v>
      </c>
      <c r="AN517">
        <v>-24</v>
      </c>
      <c r="AO517">
        <v>0</v>
      </c>
      <c r="AP517"/>
      <c r="AQ517">
        <v>0</v>
      </c>
      <c r="AR517">
        <v>0</v>
      </c>
      <c r="AS517">
        <v>240</v>
      </c>
      <c r="AT517">
        <v>-24</v>
      </c>
      <c r="AU517">
        <v>0</v>
      </c>
      <c r="AW517">
        <v>0</v>
      </c>
      <c r="AX517">
        <v>0</v>
      </c>
      <c r="AY517">
        <v>151.19999999999999</v>
      </c>
      <c r="BA517" t="str">
        <f>T("0000000000000")</f>
        <v>0000000000000</v>
      </c>
      <c r="BC517" t="str">
        <f>T("9791166068034")</f>
        <v>9791166068034</v>
      </c>
      <c r="BE517" t="str">
        <f>T("웹툰 &gt; 로맨스")</f>
        <v>웹툰 &gt; 로맨스</v>
      </c>
    </row>
    <row r="518" spans="1:58" x14ac:dyDescent="0.3">
      <c r="A518">
        <v>4421000866</v>
      </c>
      <c r="B518">
        <v>4421001172</v>
      </c>
      <c r="C518" t="str">
        <f>T("최애에게 들켜버렸다 43화")</f>
        <v>최애에게 들켜버렸다 43화</v>
      </c>
      <c r="D518" t="str">
        <f>T("44")</f>
        <v>44</v>
      </c>
      <c r="E518" t="str">
        <f>T("Lv")</f>
        <v>Lv</v>
      </c>
      <c r="G518" t="str">
        <f>T("Lv")</f>
        <v>Lv</v>
      </c>
      <c r="H518" t="str">
        <f t="shared" si="58"/>
        <v>스토리위즈</v>
      </c>
      <c r="I518" t="str">
        <f>T("최애에게 들켜버렸다")</f>
        <v>최애에게 들켜버렸다</v>
      </c>
      <c r="J518">
        <v>400</v>
      </c>
      <c r="K518">
        <v>0</v>
      </c>
      <c r="L518">
        <v>0</v>
      </c>
      <c r="M518">
        <v>0</v>
      </c>
      <c r="N518">
        <v>400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400</v>
      </c>
      <c r="AH518">
        <v>2</v>
      </c>
      <c r="AI518">
        <v>0</v>
      </c>
      <c r="AJ518">
        <v>0</v>
      </c>
      <c r="AK518">
        <v>340</v>
      </c>
      <c r="AL518">
        <v>0</v>
      </c>
      <c r="AM518">
        <v>72</v>
      </c>
      <c r="AN518">
        <v>-7.2</v>
      </c>
      <c r="AO518">
        <v>0</v>
      </c>
      <c r="AP518"/>
      <c r="AQ518">
        <v>0</v>
      </c>
      <c r="AR518">
        <v>0</v>
      </c>
      <c r="AS518">
        <v>72</v>
      </c>
      <c r="AT518">
        <v>-7.2</v>
      </c>
      <c r="AU518">
        <v>0</v>
      </c>
      <c r="AW518">
        <v>0</v>
      </c>
      <c r="AX518">
        <v>0</v>
      </c>
      <c r="AY518">
        <v>283.36</v>
      </c>
      <c r="BA518" t="str">
        <f>T("0000000000000")</f>
        <v>0000000000000</v>
      </c>
      <c r="BC518" t="str">
        <f>T("9791137601253")</f>
        <v>9791137601253</v>
      </c>
      <c r="BE518" t="str">
        <f>T("웹툰 &gt; 해외 순정")</f>
        <v>웹툰 &gt; 해외 순정</v>
      </c>
      <c r="BF518" t="str">
        <f>T("웹툰 &gt; 로맨스")</f>
        <v>웹툰 &gt; 로맨스</v>
      </c>
    </row>
    <row r="519" spans="1:58" x14ac:dyDescent="0.3">
      <c r="A519">
        <v>4421000887</v>
      </c>
      <c r="B519">
        <v>4421000893</v>
      </c>
      <c r="C519" t="str">
        <f>T("폭군의 눈물 7화")</f>
        <v>폭군의 눈물 7화</v>
      </c>
      <c r="D519" t="str">
        <f>T("7")</f>
        <v>7</v>
      </c>
      <c r="E519" t="str">
        <f>T("Ice×FANFAN COMIC")</f>
        <v>Ice×FANFAN COMIC</v>
      </c>
      <c r="G519" t="str">
        <f>T("Ice×FANFAN COMIC")</f>
        <v>Ice×FANFAN COMIC</v>
      </c>
      <c r="H519" t="str">
        <f t="shared" si="58"/>
        <v>스토리위즈</v>
      </c>
      <c r="I519" t="str">
        <f>T("폭군의 눈물")</f>
        <v>폭군의 눈물</v>
      </c>
      <c r="J519">
        <v>400</v>
      </c>
      <c r="K519">
        <v>0</v>
      </c>
      <c r="L519">
        <v>0</v>
      </c>
      <c r="M519">
        <v>0</v>
      </c>
      <c r="N519">
        <v>200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</v>
      </c>
      <c r="AH519">
        <v>1</v>
      </c>
      <c r="AI519">
        <v>0</v>
      </c>
      <c r="AJ519">
        <v>0</v>
      </c>
      <c r="AK519">
        <v>200</v>
      </c>
      <c r="AL519">
        <v>0</v>
      </c>
      <c r="AM519">
        <v>0</v>
      </c>
      <c r="AN519">
        <v>0</v>
      </c>
      <c r="AO519">
        <v>0</v>
      </c>
      <c r="AP519"/>
      <c r="AQ519">
        <v>0</v>
      </c>
      <c r="AR519">
        <v>0</v>
      </c>
      <c r="AT519">
        <v>0</v>
      </c>
      <c r="AU519">
        <v>0</v>
      </c>
      <c r="AW519">
        <v>0</v>
      </c>
      <c r="AX519">
        <v>0</v>
      </c>
      <c r="AY519">
        <v>140</v>
      </c>
      <c r="BA519" t="str">
        <f>T("0000000000000")</f>
        <v>0000000000000</v>
      </c>
      <c r="BC519" t="str">
        <f>T("9791137601291")</f>
        <v>9791137601291</v>
      </c>
      <c r="BE519" t="str">
        <f>T("웹툰 &gt; 해외 순정")</f>
        <v>웹툰 &gt; 해외 순정</v>
      </c>
      <c r="BF519" t="str">
        <f>T("웹툰 &gt; 로판")</f>
        <v>웹툰 &gt; 로판</v>
      </c>
    </row>
    <row r="520" spans="1:58" x14ac:dyDescent="0.3">
      <c r="A520">
        <v>4421001634</v>
      </c>
      <c r="B520">
        <v>4421002525</v>
      </c>
      <c r="C520" t="str">
        <f>T("그남자의 사랑방식 76화")</f>
        <v>그남자의 사랑방식 76화</v>
      </c>
      <c r="D520" t="str">
        <f>T("76")</f>
        <v>76</v>
      </c>
      <c r="E520" t="str">
        <f>T("웹티")</f>
        <v>웹티</v>
      </c>
      <c r="H520" t="str">
        <f t="shared" si="58"/>
        <v>스토리위즈</v>
      </c>
      <c r="I520" t="str">
        <f>T("그남자의 사랑방식")</f>
        <v>그남자의 사랑방식</v>
      </c>
      <c r="J520">
        <v>500</v>
      </c>
      <c r="K520">
        <v>0</v>
      </c>
      <c r="L520">
        <v>0</v>
      </c>
      <c r="M520">
        <v>0</v>
      </c>
      <c r="N520">
        <v>200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240</v>
      </c>
      <c r="AN520">
        <v>-24</v>
      </c>
      <c r="AO520">
        <v>0</v>
      </c>
      <c r="AP520"/>
      <c r="AQ520">
        <v>0</v>
      </c>
      <c r="AR520">
        <v>0</v>
      </c>
      <c r="AS520">
        <v>240</v>
      </c>
      <c r="AT520">
        <v>-24</v>
      </c>
      <c r="AU520">
        <v>0</v>
      </c>
      <c r="AW520">
        <v>0</v>
      </c>
      <c r="AX520">
        <v>0</v>
      </c>
      <c r="AY520">
        <v>151.19999999999999</v>
      </c>
      <c r="BC520" t="str">
        <f>T("9791190622004")</f>
        <v>9791190622004</v>
      </c>
      <c r="BE520" t="str">
        <f>T("BL 웹툰 &gt; 웹툰")</f>
        <v>BL 웹툰 &gt; 웹툰</v>
      </c>
    </row>
    <row r="521" spans="1:58" x14ac:dyDescent="0.3">
      <c r="A521">
        <v>4421001634</v>
      </c>
      <c r="B521">
        <v>4421001644</v>
      </c>
      <c r="C521" t="str">
        <f>T("그남자의 사랑방식 11화")</f>
        <v>그남자의 사랑방식 11화</v>
      </c>
      <c r="D521" t="str">
        <f>T("11")</f>
        <v>11</v>
      </c>
      <c r="E521" t="str">
        <f>T("웹티")</f>
        <v>웹티</v>
      </c>
      <c r="H521" t="str">
        <f t="shared" si="58"/>
        <v>스토리위즈</v>
      </c>
      <c r="I521" t="str">
        <f>T("그남자의 사랑방식")</f>
        <v>그남자의 사랑방식</v>
      </c>
      <c r="J521">
        <v>500</v>
      </c>
      <c r="K521">
        <v>0</v>
      </c>
      <c r="L521">
        <v>0</v>
      </c>
      <c r="M521">
        <v>0</v>
      </c>
      <c r="N521">
        <v>600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600</v>
      </c>
      <c r="AH521">
        <v>3</v>
      </c>
      <c r="AI521">
        <v>0</v>
      </c>
      <c r="AJ521">
        <v>0</v>
      </c>
      <c r="AK521">
        <v>400</v>
      </c>
      <c r="AL521">
        <v>0</v>
      </c>
      <c r="AM521">
        <v>240</v>
      </c>
      <c r="AN521">
        <v>-24</v>
      </c>
      <c r="AO521">
        <v>0</v>
      </c>
      <c r="AP521"/>
      <c r="AQ521">
        <v>0</v>
      </c>
      <c r="AR521">
        <v>0</v>
      </c>
      <c r="AS521">
        <v>240</v>
      </c>
      <c r="AT521">
        <v>-24</v>
      </c>
      <c r="AU521">
        <v>0</v>
      </c>
      <c r="AW521">
        <v>0</v>
      </c>
      <c r="AX521">
        <v>0</v>
      </c>
      <c r="AY521">
        <v>431.2</v>
      </c>
      <c r="BC521" t="str">
        <f>T("9791190622004")</f>
        <v>9791190622004</v>
      </c>
      <c r="BE521" t="str">
        <f>T("BL 웹툰 &gt; 웹툰")</f>
        <v>BL 웹툰 &gt; 웹툰</v>
      </c>
    </row>
    <row r="522" spans="1:58" x14ac:dyDescent="0.3">
      <c r="A522">
        <v>4421001634</v>
      </c>
      <c r="B522">
        <v>4421002557</v>
      </c>
      <c r="C522" t="str">
        <f>T("그남자의 사랑방식 108화")</f>
        <v>그남자의 사랑방식 108화</v>
      </c>
      <c r="D522" t="str">
        <f>T("108")</f>
        <v>108</v>
      </c>
      <c r="E522" t="str">
        <f>T("웹티")</f>
        <v>웹티</v>
      </c>
      <c r="H522" t="str">
        <f t="shared" si="58"/>
        <v>스토리위즈</v>
      </c>
      <c r="I522" t="str">
        <f>T("그남자의 사랑방식")</f>
        <v>그남자의 사랑방식</v>
      </c>
      <c r="J522">
        <v>500</v>
      </c>
      <c r="K522">
        <v>0</v>
      </c>
      <c r="L522">
        <v>0</v>
      </c>
      <c r="M522">
        <v>0</v>
      </c>
      <c r="N522">
        <v>400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400</v>
      </c>
      <c r="AH522">
        <v>2</v>
      </c>
      <c r="AI522">
        <v>0</v>
      </c>
      <c r="AJ522">
        <v>0</v>
      </c>
      <c r="AK522">
        <v>200</v>
      </c>
      <c r="AL522">
        <v>0</v>
      </c>
      <c r="AM522">
        <v>240</v>
      </c>
      <c r="AN522">
        <v>-24</v>
      </c>
      <c r="AO522">
        <v>0</v>
      </c>
      <c r="AP522"/>
      <c r="AQ522">
        <v>0</v>
      </c>
      <c r="AR522">
        <v>0</v>
      </c>
      <c r="AS522">
        <v>240</v>
      </c>
      <c r="AT522">
        <v>-24</v>
      </c>
      <c r="AU522">
        <v>0</v>
      </c>
      <c r="AW522">
        <v>0</v>
      </c>
      <c r="AX522">
        <v>0</v>
      </c>
      <c r="AY522">
        <v>291.2</v>
      </c>
      <c r="BC522" t="str">
        <f>T("9791190622004")</f>
        <v>9791190622004</v>
      </c>
      <c r="BE522" t="str">
        <f>T("BL 웹툰 &gt; 웹툰")</f>
        <v>BL 웹툰 &gt; 웹툰</v>
      </c>
    </row>
    <row r="523" spans="1:58" x14ac:dyDescent="0.3">
      <c r="A523">
        <v>4421001377</v>
      </c>
      <c r="B523">
        <v>4421001377</v>
      </c>
      <c r="C523" t="str">
        <f>T("요괴님은 수련중 1화")</f>
        <v>요괴님은 수련중 1화</v>
      </c>
      <c r="D523" t="str">
        <f>T("1")</f>
        <v>1</v>
      </c>
      <c r="E523" t="str">
        <f>T("화방")</f>
        <v>화방</v>
      </c>
      <c r="G523" t="str">
        <f>T("망북")</f>
        <v>망북</v>
      </c>
      <c r="H523" t="str">
        <f t="shared" si="58"/>
        <v>스토리위즈</v>
      </c>
      <c r="I523" t="str">
        <f>T("요괴님은 수련중")</f>
        <v>요괴님은 수련중</v>
      </c>
      <c r="J523">
        <v>400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16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/>
      <c r="AQ523">
        <v>0</v>
      </c>
      <c r="AR523">
        <v>0</v>
      </c>
      <c r="AT523">
        <v>0</v>
      </c>
      <c r="AU523">
        <v>0</v>
      </c>
      <c r="AW523">
        <v>0</v>
      </c>
      <c r="AX523">
        <v>0</v>
      </c>
      <c r="AY523">
        <v>0</v>
      </c>
      <c r="BA523" t="str">
        <f>T("0000000000000")</f>
        <v>0000000000000</v>
      </c>
      <c r="BC523" t="str">
        <f>T("9791137603899")</f>
        <v>9791137603899</v>
      </c>
      <c r="BE523" t="str">
        <f>T("웹툰 &gt; 해외 순정")</f>
        <v>웹툰 &gt; 해외 순정</v>
      </c>
      <c r="BF523" t="str">
        <f>T("웹툰 &gt; 로판")</f>
        <v>웹툰 &gt; 로판</v>
      </c>
    </row>
    <row r="524" spans="1:58" x14ac:dyDescent="0.3">
      <c r="A524">
        <v>4421001634</v>
      </c>
      <c r="B524">
        <v>4421001676</v>
      </c>
      <c r="C524" t="str">
        <f>T("그남자의 사랑방식 43화")</f>
        <v>그남자의 사랑방식 43화</v>
      </c>
      <c r="D524" t="str">
        <f>T("43")</f>
        <v>43</v>
      </c>
      <c r="E524" t="str">
        <f>T("웹티")</f>
        <v>웹티</v>
      </c>
      <c r="H524" t="str">
        <f t="shared" si="58"/>
        <v>스토리위즈</v>
      </c>
      <c r="I524" t="str">
        <f>T("그남자의 사랑방식")</f>
        <v>그남자의 사랑방식</v>
      </c>
      <c r="J524">
        <v>500</v>
      </c>
      <c r="K524">
        <v>0</v>
      </c>
      <c r="L524">
        <v>0</v>
      </c>
      <c r="M524">
        <v>0</v>
      </c>
      <c r="N524">
        <v>800</v>
      </c>
      <c r="O524">
        <v>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800</v>
      </c>
      <c r="AH524">
        <v>4</v>
      </c>
      <c r="AI524">
        <v>0</v>
      </c>
      <c r="AJ524">
        <v>0</v>
      </c>
      <c r="AK524">
        <v>400</v>
      </c>
      <c r="AL524">
        <v>0</v>
      </c>
      <c r="AM524">
        <v>480</v>
      </c>
      <c r="AN524">
        <v>-48</v>
      </c>
      <c r="AO524">
        <v>0</v>
      </c>
      <c r="AP524"/>
      <c r="AQ524">
        <v>0</v>
      </c>
      <c r="AR524">
        <v>0</v>
      </c>
      <c r="AS524">
        <v>480</v>
      </c>
      <c r="AT524">
        <v>-48</v>
      </c>
      <c r="AU524">
        <v>0</v>
      </c>
      <c r="AW524">
        <v>0</v>
      </c>
      <c r="AX524">
        <v>0</v>
      </c>
      <c r="AY524">
        <v>582.4</v>
      </c>
      <c r="BC524" t="str">
        <f>T("9791190622004")</f>
        <v>9791190622004</v>
      </c>
      <c r="BE524" t="str">
        <f>T("BL 웹툰 &gt; 웹툰")</f>
        <v>BL 웹툰 &gt; 웹툰</v>
      </c>
    </row>
    <row r="525" spans="1:58" x14ac:dyDescent="0.3">
      <c r="A525">
        <v>4421001305</v>
      </c>
      <c r="B525">
        <v>4421001311</v>
      </c>
      <c r="C525" t="str">
        <f>T("악역이지만, 남주는 꼬시지 않아요 7화")</f>
        <v>악역이지만, 남주는 꼬시지 않아요 7화</v>
      </c>
      <c r="D525" t="str">
        <f>T("7")</f>
        <v>7</v>
      </c>
      <c r="E525" t="str">
        <f>T("마북명")</f>
        <v>마북명</v>
      </c>
      <c r="G525" t="str">
        <f>T("kuri")</f>
        <v>kuri</v>
      </c>
      <c r="H525" t="str">
        <f t="shared" si="58"/>
        <v>스토리위즈</v>
      </c>
      <c r="I525" t="str">
        <f>T("악역이지만, 남주는 꼬시지 않아요")</f>
        <v>악역이지만, 남주는 꼬시지 않아요</v>
      </c>
      <c r="J525">
        <v>400</v>
      </c>
      <c r="K525">
        <v>0</v>
      </c>
      <c r="L525">
        <v>0</v>
      </c>
      <c r="M525">
        <v>0</v>
      </c>
      <c r="N525">
        <v>2200</v>
      </c>
      <c r="O525">
        <v>11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2200</v>
      </c>
      <c r="AH525">
        <v>11</v>
      </c>
      <c r="AI525">
        <v>0</v>
      </c>
      <c r="AJ525">
        <v>0</v>
      </c>
      <c r="AK525">
        <v>1800</v>
      </c>
      <c r="AL525">
        <v>0</v>
      </c>
      <c r="AM525">
        <v>480</v>
      </c>
      <c r="AN525">
        <v>-144</v>
      </c>
      <c r="AO525">
        <v>0</v>
      </c>
      <c r="AP525">
        <v>480</v>
      </c>
      <c r="AQ525">
        <v>-144</v>
      </c>
      <c r="AR525">
        <v>0</v>
      </c>
      <c r="AT525">
        <v>0</v>
      </c>
      <c r="AU525">
        <v>0</v>
      </c>
      <c r="AW525">
        <v>0</v>
      </c>
      <c r="AX525">
        <v>0</v>
      </c>
      <c r="AY525">
        <v>1495.2</v>
      </c>
      <c r="BA525" t="str">
        <f>T("0000000000000")</f>
        <v>0000000000000</v>
      </c>
      <c r="BC525" t="str">
        <f>T("9791137603882")</f>
        <v>9791137603882</v>
      </c>
      <c r="BE525" t="str">
        <f>T("웹툰 &gt; 해외 순정")</f>
        <v>웹툰 &gt; 해외 순정</v>
      </c>
      <c r="BF525" t="str">
        <f>T("웹툰 &gt; 로판")</f>
        <v>웹툰 &gt; 로판</v>
      </c>
    </row>
    <row r="526" spans="1:58" x14ac:dyDescent="0.3">
      <c r="A526">
        <v>4421001634</v>
      </c>
      <c r="B526">
        <v>4421002546</v>
      </c>
      <c r="C526" t="str">
        <f>T("그남자의 사랑방식 97화")</f>
        <v>그남자의 사랑방식 97화</v>
      </c>
      <c r="D526" t="str">
        <f>T("97")</f>
        <v>97</v>
      </c>
      <c r="E526" t="str">
        <f>T("웹티")</f>
        <v>웹티</v>
      </c>
      <c r="H526" t="str">
        <f t="shared" si="58"/>
        <v>스토리위즈</v>
      </c>
      <c r="I526" t="str">
        <f>T("그남자의 사랑방식")</f>
        <v>그남자의 사랑방식</v>
      </c>
      <c r="J526">
        <v>500</v>
      </c>
      <c r="K526">
        <v>0</v>
      </c>
      <c r="L526">
        <v>0</v>
      </c>
      <c r="M526">
        <v>0</v>
      </c>
      <c r="N526">
        <v>200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240</v>
      </c>
      <c r="AN526">
        <v>-24</v>
      </c>
      <c r="AO526">
        <v>0</v>
      </c>
      <c r="AP526"/>
      <c r="AQ526">
        <v>0</v>
      </c>
      <c r="AR526">
        <v>0</v>
      </c>
      <c r="AS526">
        <v>240</v>
      </c>
      <c r="AT526">
        <v>-24</v>
      </c>
      <c r="AU526">
        <v>0</v>
      </c>
      <c r="AW526">
        <v>0</v>
      </c>
      <c r="AX526">
        <v>0</v>
      </c>
      <c r="AY526">
        <v>151.19999999999999</v>
      </c>
      <c r="BC526" t="str">
        <f>T("9791190622004")</f>
        <v>9791190622004</v>
      </c>
      <c r="BE526" t="str">
        <f>T("BL 웹툰 &gt; 웹툰")</f>
        <v>BL 웹툰 &gt; 웹툰</v>
      </c>
    </row>
    <row r="527" spans="1:58" x14ac:dyDescent="0.3">
      <c r="A527">
        <v>4421001340</v>
      </c>
      <c r="B527">
        <v>4421001365</v>
      </c>
      <c r="C527" t="str">
        <f>T("가출천사 육성계약 26화")</f>
        <v>가출천사 육성계약 26화</v>
      </c>
      <c r="D527" t="str">
        <f>T("26")</f>
        <v>26</v>
      </c>
      <c r="E527" t="str">
        <f>T("Bae.C, IIAKI, 박제후")</f>
        <v>Bae.C, IIAKI, 박제후</v>
      </c>
      <c r="G527" t="str">
        <f>T("Bae.C, 조우")</f>
        <v>Bae.C, 조우</v>
      </c>
      <c r="H527" t="str">
        <f t="shared" si="58"/>
        <v>스토리위즈</v>
      </c>
      <c r="I527" t="str">
        <f>T("가출천사 육성계약")</f>
        <v>가출천사 육성계약</v>
      </c>
      <c r="J527">
        <v>400</v>
      </c>
      <c r="K527">
        <v>0</v>
      </c>
      <c r="L527">
        <v>0</v>
      </c>
      <c r="M527">
        <v>0</v>
      </c>
      <c r="N527">
        <v>200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240</v>
      </c>
      <c r="AN527">
        <v>-24</v>
      </c>
      <c r="AO527">
        <v>0</v>
      </c>
      <c r="AP527"/>
      <c r="AQ527">
        <v>0</v>
      </c>
      <c r="AR527">
        <v>0</v>
      </c>
      <c r="AS527">
        <v>240</v>
      </c>
      <c r="AT527">
        <v>-24</v>
      </c>
      <c r="AU527">
        <v>0</v>
      </c>
      <c r="AW527">
        <v>0</v>
      </c>
      <c r="AX527">
        <v>0</v>
      </c>
      <c r="AY527">
        <v>151.19999999999999</v>
      </c>
      <c r="BA527" t="str">
        <f>T("0000000000000")</f>
        <v>0000000000000</v>
      </c>
      <c r="BC527" t="str">
        <f>T("9791191765663")</f>
        <v>9791191765663</v>
      </c>
      <c r="BE527" t="str">
        <f>T("웹툰 &gt; 판타지/SF")</f>
        <v>웹툰 &gt; 판타지/SF</v>
      </c>
    </row>
    <row r="528" spans="1:58" x14ac:dyDescent="0.3">
      <c r="A528">
        <v>4421001325</v>
      </c>
      <c r="B528">
        <v>4421003121</v>
      </c>
      <c r="C528" t="str">
        <f>T("커피여우 김삼월 47화")</f>
        <v>커피여우 김삼월 47화</v>
      </c>
      <c r="D528" t="str">
        <f>T("47")</f>
        <v>47</v>
      </c>
      <c r="E528" t="str">
        <f>T("Nica")</f>
        <v>Nica</v>
      </c>
      <c r="G528" t="str">
        <f>T("A.Noa, RK Studio")</f>
        <v>A.Noa, RK Studio</v>
      </c>
      <c r="H528" t="str">
        <f t="shared" si="58"/>
        <v>스토리위즈</v>
      </c>
      <c r="I528" t="str">
        <f>T("커피여우 김삼월")</f>
        <v>커피여우 김삼월</v>
      </c>
      <c r="J528">
        <v>500</v>
      </c>
      <c r="K528">
        <v>0</v>
      </c>
      <c r="L528">
        <v>0</v>
      </c>
      <c r="M528">
        <v>0</v>
      </c>
      <c r="N528">
        <v>200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200</v>
      </c>
      <c r="AH528">
        <v>1</v>
      </c>
      <c r="AI528">
        <v>0</v>
      </c>
      <c r="AJ528">
        <v>0</v>
      </c>
      <c r="AK528">
        <v>200</v>
      </c>
      <c r="AL528">
        <v>0</v>
      </c>
      <c r="AM528">
        <v>0</v>
      </c>
      <c r="AN528">
        <v>0</v>
      </c>
      <c r="AO528">
        <v>0</v>
      </c>
      <c r="AP528"/>
      <c r="AQ528">
        <v>0</v>
      </c>
      <c r="AR528">
        <v>0</v>
      </c>
      <c r="AT528">
        <v>0</v>
      </c>
      <c r="AU528">
        <v>0</v>
      </c>
      <c r="AW528">
        <v>0</v>
      </c>
      <c r="AX528">
        <v>0</v>
      </c>
      <c r="AY528">
        <v>140</v>
      </c>
      <c r="BA528" t="str">
        <f>T("0000000000000")</f>
        <v>0000000000000</v>
      </c>
      <c r="BC528" t="str">
        <f>T("9791191241792")</f>
        <v>9791191241792</v>
      </c>
      <c r="BE528" t="str">
        <f>T("웹툰 &gt; 로맨스")</f>
        <v>웹툰 &gt; 로맨스</v>
      </c>
    </row>
    <row r="529" spans="1:58" x14ac:dyDescent="0.3">
      <c r="A529">
        <v>4421001634</v>
      </c>
      <c r="B529">
        <v>4421001665</v>
      </c>
      <c r="C529" t="str">
        <f>T("그남자의 사랑방식 32화")</f>
        <v>그남자의 사랑방식 32화</v>
      </c>
      <c r="D529" t="str">
        <f>T("32")</f>
        <v>32</v>
      </c>
      <c r="E529" t="str">
        <f>T("웹티")</f>
        <v>웹티</v>
      </c>
      <c r="H529" t="str">
        <f t="shared" si="58"/>
        <v>스토리위즈</v>
      </c>
      <c r="I529" t="str">
        <f>T("그남자의 사랑방식")</f>
        <v>그남자의 사랑방식</v>
      </c>
      <c r="J529">
        <v>500</v>
      </c>
      <c r="K529">
        <v>0</v>
      </c>
      <c r="L529">
        <v>0</v>
      </c>
      <c r="M529">
        <v>0</v>
      </c>
      <c r="N529">
        <v>800</v>
      </c>
      <c r="O529">
        <v>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800</v>
      </c>
      <c r="AH529">
        <v>4</v>
      </c>
      <c r="AI529">
        <v>0</v>
      </c>
      <c r="AJ529">
        <v>0</v>
      </c>
      <c r="AK529">
        <v>400</v>
      </c>
      <c r="AL529">
        <v>0</v>
      </c>
      <c r="AM529">
        <v>480</v>
      </c>
      <c r="AN529">
        <v>-48</v>
      </c>
      <c r="AO529">
        <v>0</v>
      </c>
      <c r="AP529"/>
      <c r="AQ529">
        <v>0</v>
      </c>
      <c r="AR529">
        <v>0</v>
      </c>
      <c r="AS529">
        <v>480</v>
      </c>
      <c r="AT529">
        <v>-48</v>
      </c>
      <c r="AU529">
        <v>0</v>
      </c>
      <c r="AW529">
        <v>0</v>
      </c>
      <c r="AX529">
        <v>0</v>
      </c>
      <c r="AY529">
        <v>582.4</v>
      </c>
      <c r="BC529" t="str">
        <f>T("9791190622004")</f>
        <v>9791190622004</v>
      </c>
      <c r="BE529" t="str">
        <f>T("BL 웹툰 &gt; 웹툰")</f>
        <v>BL 웹툰 &gt; 웹툰</v>
      </c>
    </row>
    <row r="530" spans="1:58" x14ac:dyDescent="0.3">
      <c r="A530">
        <v>4421003015</v>
      </c>
      <c r="B530">
        <v>4421003023</v>
      </c>
      <c r="C530" t="str">
        <f>T("일월성신 8화")</f>
        <v>일월성신 8화</v>
      </c>
      <c r="D530" t="str">
        <f>T("8")</f>
        <v>8</v>
      </c>
      <c r="E530" t="str">
        <f>T("김숙지")</f>
        <v>김숙지</v>
      </c>
      <c r="G530" t="str">
        <f>T("이름표")</f>
        <v>이름표</v>
      </c>
      <c r="H530" t="str">
        <f t="shared" si="58"/>
        <v>스토리위즈</v>
      </c>
      <c r="I530" t="str">
        <f>T("일월성신")</f>
        <v>일월성신</v>
      </c>
      <c r="J530">
        <v>400</v>
      </c>
      <c r="K530">
        <v>0</v>
      </c>
      <c r="L530">
        <v>0</v>
      </c>
      <c r="M530">
        <v>0</v>
      </c>
      <c r="N530">
        <v>1000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1000</v>
      </c>
      <c r="AH530">
        <v>5</v>
      </c>
      <c r="AI530">
        <v>0</v>
      </c>
      <c r="AJ530">
        <v>0</v>
      </c>
      <c r="AK530">
        <v>400</v>
      </c>
      <c r="AL530">
        <v>0</v>
      </c>
      <c r="AM530">
        <v>720</v>
      </c>
      <c r="AN530">
        <v>-120</v>
      </c>
      <c r="AO530">
        <v>0</v>
      </c>
      <c r="AP530">
        <v>240</v>
      </c>
      <c r="AQ530">
        <v>-72</v>
      </c>
      <c r="AR530">
        <v>0</v>
      </c>
      <c r="AS530">
        <v>480</v>
      </c>
      <c r="AT530">
        <v>-48</v>
      </c>
      <c r="AU530">
        <v>0</v>
      </c>
      <c r="AW530">
        <v>0</v>
      </c>
      <c r="AX530">
        <v>0</v>
      </c>
      <c r="AY530">
        <v>700</v>
      </c>
      <c r="BA530" t="str">
        <f>T("0000000000000")</f>
        <v>0000000000000</v>
      </c>
      <c r="BC530" t="str">
        <f>T("9791137604605")</f>
        <v>9791137604605</v>
      </c>
      <c r="BE530" t="str">
        <f>T("웹툰 &gt; 드라마")</f>
        <v>웹툰 &gt; 드라마</v>
      </c>
    </row>
    <row r="531" spans="1:58" x14ac:dyDescent="0.3">
      <c r="A531">
        <v>4421001634</v>
      </c>
      <c r="B531">
        <v>4421001682</v>
      </c>
      <c r="C531" t="str">
        <f>T("그남자의 사랑방식 49화")</f>
        <v>그남자의 사랑방식 49화</v>
      </c>
      <c r="D531" t="str">
        <f>T("49")</f>
        <v>49</v>
      </c>
      <c r="E531" t="str">
        <f>T("웹티")</f>
        <v>웹티</v>
      </c>
      <c r="H531" t="str">
        <f t="shared" si="58"/>
        <v>스토리위즈</v>
      </c>
      <c r="I531" t="str">
        <f>T("그남자의 사랑방식")</f>
        <v>그남자의 사랑방식</v>
      </c>
      <c r="J531">
        <v>500</v>
      </c>
      <c r="K531">
        <v>0</v>
      </c>
      <c r="L531">
        <v>0</v>
      </c>
      <c r="M531">
        <v>0</v>
      </c>
      <c r="N531">
        <v>600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600</v>
      </c>
      <c r="AH531">
        <v>3</v>
      </c>
      <c r="AI531">
        <v>0</v>
      </c>
      <c r="AJ531">
        <v>0</v>
      </c>
      <c r="AK531">
        <v>400</v>
      </c>
      <c r="AL531">
        <v>0</v>
      </c>
      <c r="AM531">
        <v>240</v>
      </c>
      <c r="AN531">
        <v>-24</v>
      </c>
      <c r="AO531">
        <v>0</v>
      </c>
      <c r="AP531"/>
      <c r="AQ531">
        <v>0</v>
      </c>
      <c r="AR531">
        <v>0</v>
      </c>
      <c r="AS531">
        <v>240</v>
      </c>
      <c r="AT531">
        <v>-24</v>
      </c>
      <c r="AU531">
        <v>0</v>
      </c>
      <c r="AW531">
        <v>0</v>
      </c>
      <c r="AX531">
        <v>0</v>
      </c>
      <c r="AY531">
        <v>431.2</v>
      </c>
      <c r="BC531" t="str">
        <f>T("9791190622004")</f>
        <v>9791190622004</v>
      </c>
      <c r="BE531" t="str">
        <f>T("BL 웹툰 &gt; 웹툰")</f>
        <v>BL 웹툰 &gt; 웹툰</v>
      </c>
    </row>
    <row r="532" spans="1:58" x14ac:dyDescent="0.3">
      <c r="A532">
        <v>4421001340</v>
      </c>
      <c r="B532">
        <v>4421001528</v>
      </c>
      <c r="C532" t="str">
        <f>T("가출천사 육성계약 38화")</f>
        <v>가출천사 육성계약 38화</v>
      </c>
      <c r="D532" t="str">
        <f>T("38")</f>
        <v>38</v>
      </c>
      <c r="E532" t="str">
        <f>T("Bae.C, IIAKI, 박제후")</f>
        <v>Bae.C, IIAKI, 박제후</v>
      </c>
      <c r="G532" t="str">
        <f>T("Bae.C, 조우")</f>
        <v>Bae.C, 조우</v>
      </c>
      <c r="H532" t="str">
        <f t="shared" si="58"/>
        <v>스토리위즈</v>
      </c>
      <c r="I532" t="str">
        <f>T("가출천사 육성계약")</f>
        <v>가출천사 육성계약</v>
      </c>
      <c r="J532">
        <v>400</v>
      </c>
      <c r="K532">
        <v>0</v>
      </c>
      <c r="L532">
        <v>0</v>
      </c>
      <c r="M532">
        <v>0</v>
      </c>
      <c r="N532">
        <v>200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240</v>
      </c>
      <c r="AN532">
        <v>-24</v>
      </c>
      <c r="AO532">
        <v>0</v>
      </c>
      <c r="AP532"/>
      <c r="AQ532">
        <v>0</v>
      </c>
      <c r="AR532">
        <v>0</v>
      </c>
      <c r="AS532">
        <v>240</v>
      </c>
      <c r="AT532">
        <v>-24</v>
      </c>
      <c r="AU532">
        <v>0</v>
      </c>
      <c r="AW532">
        <v>0</v>
      </c>
      <c r="AX532">
        <v>0</v>
      </c>
      <c r="AY532">
        <v>151.19999999999999</v>
      </c>
      <c r="BA532" t="str">
        <f>T("0000000000000")</f>
        <v>0000000000000</v>
      </c>
      <c r="BC532" t="str">
        <f>T("9791191765663")</f>
        <v>9791191765663</v>
      </c>
      <c r="BE532" t="str">
        <f>T("웹툰 &gt; 판타지/SF")</f>
        <v>웹툰 &gt; 판타지/SF</v>
      </c>
    </row>
    <row r="533" spans="1:58" x14ac:dyDescent="0.3">
      <c r="A533">
        <v>4421002079</v>
      </c>
      <c r="B533">
        <v>4421002081</v>
      </c>
      <c r="C533" t="str">
        <f>T("황제의 사랑방식 3화")</f>
        <v>황제의 사랑방식 3화</v>
      </c>
      <c r="D533" t="str">
        <f>T("3")</f>
        <v>3</v>
      </c>
      <c r="E533" t="str">
        <f>T("웹티")</f>
        <v>웹티</v>
      </c>
      <c r="H533" t="str">
        <f t="shared" si="58"/>
        <v>스토리위즈</v>
      </c>
      <c r="I533" t="str">
        <f>T("황제의 사랑방식")</f>
        <v>황제의 사랑방식</v>
      </c>
      <c r="J533">
        <v>0</v>
      </c>
      <c r="K533">
        <v>0</v>
      </c>
      <c r="L533">
        <v>0</v>
      </c>
      <c r="M533">
        <v>194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194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/>
      <c r="AQ533">
        <v>0</v>
      </c>
      <c r="AR533">
        <v>0</v>
      </c>
      <c r="AT533">
        <v>0</v>
      </c>
      <c r="AU533">
        <v>0</v>
      </c>
      <c r="AW533">
        <v>0</v>
      </c>
      <c r="AX533">
        <v>0</v>
      </c>
      <c r="AY533">
        <v>0</v>
      </c>
      <c r="BA533" t="str">
        <f>T("0000000000000")</f>
        <v>0000000000000</v>
      </c>
      <c r="BC533" t="str">
        <f>T("9791196650131")</f>
        <v>9791196650131</v>
      </c>
      <c r="BE533" t="str">
        <f>T("BL 웹툰 &gt; 웹툰")</f>
        <v>BL 웹툰 &gt; 웹툰</v>
      </c>
    </row>
    <row r="534" spans="1:58" x14ac:dyDescent="0.3">
      <c r="A534">
        <v>4421000450</v>
      </c>
      <c r="B534">
        <v>4421000513</v>
      </c>
      <c r="C534" t="str">
        <f>T("내 남편의 스토커 63화")</f>
        <v>내 남편의 스토커 63화</v>
      </c>
      <c r="D534" t="str">
        <f>T("63")</f>
        <v>63</v>
      </c>
      <c r="E534" t="str">
        <f>T("혜원")</f>
        <v>혜원</v>
      </c>
      <c r="G534" t="str">
        <f>T("혜원")</f>
        <v>혜원</v>
      </c>
      <c r="H534" t="str">
        <f t="shared" si="58"/>
        <v>스토리위즈</v>
      </c>
      <c r="I534" t="str">
        <f>T("내 남편의 스토커")</f>
        <v>내 남편의 스토커</v>
      </c>
      <c r="J534">
        <v>400</v>
      </c>
      <c r="K534">
        <v>0</v>
      </c>
      <c r="L534">
        <v>0</v>
      </c>
      <c r="M534">
        <v>0</v>
      </c>
      <c r="N534">
        <v>200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240</v>
      </c>
      <c r="AN534">
        <v>-24</v>
      </c>
      <c r="AO534">
        <v>0</v>
      </c>
      <c r="AP534"/>
      <c r="AQ534">
        <v>0</v>
      </c>
      <c r="AR534">
        <v>0</v>
      </c>
      <c r="AS534">
        <v>240</v>
      </c>
      <c r="AT534">
        <v>-24</v>
      </c>
      <c r="AU534">
        <v>0</v>
      </c>
      <c r="AW534">
        <v>0</v>
      </c>
      <c r="AX534">
        <v>0</v>
      </c>
      <c r="AY534">
        <v>151.19999999999999</v>
      </c>
      <c r="BA534" t="str">
        <f>T("0000000000000")</f>
        <v>0000000000000</v>
      </c>
      <c r="BC534" t="str">
        <f>T("9791166068034")</f>
        <v>9791166068034</v>
      </c>
      <c r="BE534" t="str">
        <f>T("웹툰 &gt; 로맨스")</f>
        <v>웹툰 &gt; 로맨스</v>
      </c>
    </row>
    <row r="535" spans="1:58" x14ac:dyDescent="0.3">
      <c r="A535">
        <v>4421000001</v>
      </c>
      <c r="B535">
        <v>4421000041</v>
      </c>
      <c r="C535" t="str">
        <f>T("감옥실험 21화")</f>
        <v>감옥실험 21화</v>
      </c>
      <c r="D535" t="str">
        <f>T("21")</f>
        <v>21</v>
      </c>
      <c r="E535" t="str">
        <f>T("Kantetsu")</f>
        <v>Kantetsu</v>
      </c>
      <c r="G535" t="str">
        <f>T("Minase Chiho")</f>
        <v>Minase Chiho</v>
      </c>
      <c r="H535" t="str">
        <f t="shared" si="58"/>
        <v>스토리위즈</v>
      </c>
      <c r="I535" t="str">
        <f>T("감옥실험")</f>
        <v>감옥실험</v>
      </c>
      <c r="J535">
        <v>500</v>
      </c>
      <c r="K535">
        <v>0</v>
      </c>
      <c r="L535">
        <v>0</v>
      </c>
      <c r="M535">
        <v>0</v>
      </c>
      <c r="N535">
        <v>1200</v>
      </c>
      <c r="O535">
        <v>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1200</v>
      </c>
      <c r="AH535">
        <v>4</v>
      </c>
      <c r="AI535">
        <v>0</v>
      </c>
      <c r="AJ535">
        <v>0</v>
      </c>
      <c r="AK535">
        <v>700</v>
      </c>
      <c r="AL535">
        <v>0</v>
      </c>
      <c r="AM535">
        <v>600</v>
      </c>
      <c r="AN535">
        <v>-60</v>
      </c>
      <c r="AO535">
        <v>0</v>
      </c>
      <c r="AP535"/>
      <c r="AQ535">
        <v>0</v>
      </c>
      <c r="AR535">
        <v>0</v>
      </c>
      <c r="AS535">
        <v>600</v>
      </c>
      <c r="AT535">
        <v>-60</v>
      </c>
      <c r="AU535">
        <v>0</v>
      </c>
      <c r="AW535">
        <v>0</v>
      </c>
      <c r="AX535">
        <v>0</v>
      </c>
      <c r="AY535">
        <v>868</v>
      </c>
      <c r="BC535" t="str">
        <f>T("9791166069406")</f>
        <v>9791166069406</v>
      </c>
      <c r="BE535" t="str">
        <f>T("웹툰 &gt; 드라마")</f>
        <v>웹툰 &gt; 드라마</v>
      </c>
    </row>
    <row r="536" spans="1:58" x14ac:dyDescent="0.3">
      <c r="A536">
        <v>4421000866</v>
      </c>
      <c r="B536">
        <v>4421000996</v>
      </c>
      <c r="C536" t="str">
        <f>T("최애에게 들켜버렸다 37화")</f>
        <v>최애에게 들켜버렸다 37화</v>
      </c>
      <c r="D536" t="str">
        <f>T("38")</f>
        <v>38</v>
      </c>
      <c r="E536" t="str">
        <f>T("Lv")</f>
        <v>Lv</v>
      </c>
      <c r="G536" t="str">
        <f>T("Lv")</f>
        <v>Lv</v>
      </c>
      <c r="H536" t="str">
        <f t="shared" si="58"/>
        <v>스토리위즈</v>
      </c>
      <c r="I536" t="str">
        <f>T("최애에게 들켜버렸다")</f>
        <v>최애에게 들켜버렸다</v>
      </c>
      <c r="J536">
        <v>400</v>
      </c>
      <c r="K536">
        <v>0</v>
      </c>
      <c r="L536">
        <v>0</v>
      </c>
      <c r="M536">
        <v>0</v>
      </c>
      <c r="N536">
        <v>400</v>
      </c>
      <c r="O536">
        <v>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400</v>
      </c>
      <c r="AH536">
        <v>2</v>
      </c>
      <c r="AI536">
        <v>0</v>
      </c>
      <c r="AJ536">
        <v>0</v>
      </c>
      <c r="AK536">
        <v>200</v>
      </c>
      <c r="AL536">
        <v>0</v>
      </c>
      <c r="AM536">
        <v>240</v>
      </c>
      <c r="AN536">
        <v>-24</v>
      </c>
      <c r="AO536">
        <v>0</v>
      </c>
      <c r="AP536"/>
      <c r="AQ536">
        <v>0</v>
      </c>
      <c r="AR536">
        <v>0</v>
      </c>
      <c r="AS536">
        <v>240</v>
      </c>
      <c r="AT536">
        <v>-24</v>
      </c>
      <c r="AU536">
        <v>0</v>
      </c>
      <c r="AW536">
        <v>0</v>
      </c>
      <c r="AX536">
        <v>0</v>
      </c>
      <c r="AY536">
        <v>291.2</v>
      </c>
      <c r="BA536" t="str">
        <f>T("0000000000000")</f>
        <v>0000000000000</v>
      </c>
      <c r="BC536" t="str">
        <f>T("9791137601253")</f>
        <v>9791137601253</v>
      </c>
      <c r="BE536" t="str">
        <f>T("웹툰 &gt; 해외 순정")</f>
        <v>웹툰 &gt; 해외 순정</v>
      </c>
      <c r="BF536" t="str">
        <f>T("웹툰 &gt; 로맨스")</f>
        <v>웹툰 &gt; 로맨스</v>
      </c>
    </row>
    <row r="537" spans="1:58" x14ac:dyDescent="0.3">
      <c r="A537">
        <v>4421000450</v>
      </c>
      <c r="B537">
        <v>4421000480</v>
      </c>
      <c r="C537" t="str">
        <f>T("내 남편의 스토커 30화")</f>
        <v>내 남편의 스토커 30화</v>
      </c>
      <c r="D537" t="str">
        <f>T("30")</f>
        <v>30</v>
      </c>
      <c r="E537" t="str">
        <f>T("혜원")</f>
        <v>혜원</v>
      </c>
      <c r="G537" t="str">
        <f>T("혜원")</f>
        <v>혜원</v>
      </c>
      <c r="H537" t="str">
        <f t="shared" si="58"/>
        <v>스토리위즈</v>
      </c>
      <c r="I537" t="str">
        <f>T("내 남편의 스토커")</f>
        <v>내 남편의 스토커</v>
      </c>
      <c r="J537">
        <v>400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240</v>
      </c>
      <c r="AN537">
        <v>-24</v>
      </c>
      <c r="AO537">
        <v>0</v>
      </c>
      <c r="AP537"/>
      <c r="AQ537">
        <v>0</v>
      </c>
      <c r="AR537">
        <v>0</v>
      </c>
      <c r="AS537">
        <v>240</v>
      </c>
      <c r="AT537">
        <v>-24</v>
      </c>
      <c r="AU537">
        <v>0</v>
      </c>
      <c r="AW537">
        <v>0</v>
      </c>
      <c r="AX537">
        <v>0</v>
      </c>
      <c r="AY537">
        <v>151.19999999999999</v>
      </c>
      <c r="BA537" t="str">
        <f>T("0000000000000")</f>
        <v>0000000000000</v>
      </c>
      <c r="BC537" t="str">
        <f>T("9791166068034")</f>
        <v>9791166068034</v>
      </c>
      <c r="BE537" t="str">
        <f>T("웹툰 &gt; 로맨스")</f>
        <v>웹툰 &gt; 로맨스</v>
      </c>
    </row>
    <row r="538" spans="1:58" x14ac:dyDescent="0.3">
      <c r="A538">
        <v>4421000866</v>
      </c>
      <c r="B538">
        <v>4421000882</v>
      </c>
      <c r="C538" t="str">
        <f>T("최애에게 들켜버렸다 16화")</f>
        <v>최애에게 들켜버렸다 16화</v>
      </c>
      <c r="D538" t="str">
        <f>T("16")</f>
        <v>16</v>
      </c>
      <c r="E538" t="str">
        <f>T("Lv")</f>
        <v>Lv</v>
      </c>
      <c r="G538" t="str">
        <f>T("Lv")</f>
        <v>Lv</v>
      </c>
      <c r="H538" t="str">
        <f t="shared" si="58"/>
        <v>스토리위즈</v>
      </c>
      <c r="I538" t="str">
        <f>T("최애에게 들켜버렸다")</f>
        <v>최애에게 들켜버렸다</v>
      </c>
      <c r="J538">
        <v>400</v>
      </c>
      <c r="K538">
        <v>0</v>
      </c>
      <c r="L538">
        <v>0</v>
      </c>
      <c r="M538">
        <v>0</v>
      </c>
      <c r="N538">
        <v>800</v>
      </c>
      <c r="O538">
        <v>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800</v>
      </c>
      <c r="AH538">
        <v>4</v>
      </c>
      <c r="AI538">
        <v>0</v>
      </c>
      <c r="AJ538">
        <v>0</v>
      </c>
      <c r="AK538">
        <v>200</v>
      </c>
      <c r="AL538">
        <v>0</v>
      </c>
      <c r="AM538">
        <v>720</v>
      </c>
      <c r="AN538">
        <v>-120</v>
      </c>
      <c r="AO538">
        <v>0</v>
      </c>
      <c r="AP538"/>
      <c r="AQ538">
        <v>0</v>
      </c>
      <c r="AR538">
        <v>0</v>
      </c>
      <c r="AS538">
        <v>720</v>
      </c>
      <c r="AT538">
        <v>-120</v>
      </c>
      <c r="AU538">
        <v>0</v>
      </c>
      <c r="AW538">
        <v>0</v>
      </c>
      <c r="AX538">
        <v>0</v>
      </c>
      <c r="AY538">
        <v>560</v>
      </c>
      <c r="BA538" t="str">
        <f>T("0000000000000")</f>
        <v>0000000000000</v>
      </c>
      <c r="BC538" t="str">
        <f>T("9791137601253")</f>
        <v>9791137601253</v>
      </c>
      <c r="BE538" t="str">
        <f>T("웹툰 &gt; 해외 순정")</f>
        <v>웹툰 &gt; 해외 순정</v>
      </c>
      <c r="BF538" t="str">
        <f>T("웹툰 &gt; 로맨스")</f>
        <v>웹툰 &gt; 로맨스</v>
      </c>
    </row>
    <row r="539" spans="1:58" x14ac:dyDescent="0.3">
      <c r="A539">
        <v>4421000001</v>
      </c>
      <c r="B539">
        <v>4421000174</v>
      </c>
      <c r="C539" t="str">
        <f>T("감옥실험 53화")</f>
        <v>감옥실험 53화</v>
      </c>
      <c r="D539" t="str">
        <f>T("53")</f>
        <v>53</v>
      </c>
      <c r="E539" t="str">
        <f>T("Kantetsu")</f>
        <v>Kantetsu</v>
      </c>
      <c r="G539" t="str">
        <f>T("Minase Chiho")</f>
        <v>Minase Chiho</v>
      </c>
      <c r="H539" t="str">
        <f t="shared" si="58"/>
        <v>스토리위즈</v>
      </c>
      <c r="I539" t="str">
        <f>T("감옥실험")</f>
        <v>감옥실험</v>
      </c>
      <c r="J539">
        <v>500</v>
      </c>
      <c r="K539">
        <v>0</v>
      </c>
      <c r="L539">
        <v>0</v>
      </c>
      <c r="M539">
        <v>0</v>
      </c>
      <c r="N539">
        <v>900</v>
      </c>
      <c r="O539">
        <v>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900</v>
      </c>
      <c r="AH539">
        <v>3</v>
      </c>
      <c r="AI539">
        <v>0</v>
      </c>
      <c r="AJ539">
        <v>0</v>
      </c>
      <c r="AK539">
        <v>900</v>
      </c>
      <c r="AL539">
        <v>0</v>
      </c>
      <c r="AM539">
        <v>0</v>
      </c>
      <c r="AN539">
        <v>0</v>
      </c>
      <c r="AO539">
        <v>0</v>
      </c>
      <c r="AP539"/>
      <c r="AQ539">
        <v>0</v>
      </c>
      <c r="AR539">
        <v>0</v>
      </c>
      <c r="AT539">
        <v>0</v>
      </c>
      <c r="AU539">
        <v>0</v>
      </c>
      <c r="AW539">
        <v>0</v>
      </c>
      <c r="AX539">
        <v>0</v>
      </c>
      <c r="AY539">
        <v>630</v>
      </c>
      <c r="BC539" t="str">
        <f>T("9791166069406")</f>
        <v>9791166069406</v>
      </c>
      <c r="BE539" t="str">
        <f>T("웹툰 &gt; 드라마")</f>
        <v>웹툰 &gt; 드라마</v>
      </c>
    </row>
    <row r="540" spans="1:58" x14ac:dyDescent="0.3">
      <c r="A540">
        <v>4421001634</v>
      </c>
      <c r="B540">
        <v>4421002514</v>
      </c>
      <c r="C540" t="str">
        <f>T("그남자의 사랑방식 65화")</f>
        <v>그남자의 사랑방식 65화</v>
      </c>
      <c r="D540" t="str">
        <f>T("65")</f>
        <v>65</v>
      </c>
      <c r="E540" t="str">
        <f>T("웹티")</f>
        <v>웹티</v>
      </c>
      <c r="H540" t="str">
        <f t="shared" si="58"/>
        <v>스토리위즈</v>
      </c>
      <c r="I540" t="str">
        <f>T("그남자의 사랑방식")</f>
        <v>그남자의 사랑방식</v>
      </c>
      <c r="J540">
        <v>500</v>
      </c>
      <c r="K540">
        <v>0</v>
      </c>
      <c r="L540">
        <v>0</v>
      </c>
      <c r="M540">
        <v>0</v>
      </c>
      <c r="N540">
        <v>200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240</v>
      </c>
      <c r="AN540">
        <v>-24</v>
      </c>
      <c r="AO540">
        <v>0</v>
      </c>
      <c r="AP540"/>
      <c r="AQ540">
        <v>0</v>
      </c>
      <c r="AR540">
        <v>0</v>
      </c>
      <c r="AS540">
        <v>240</v>
      </c>
      <c r="AT540">
        <v>-24</v>
      </c>
      <c r="AU540">
        <v>0</v>
      </c>
      <c r="AW540">
        <v>0</v>
      </c>
      <c r="AX540">
        <v>0</v>
      </c>
      <c r="AY540">
        <v>151.19999999999999</v>
      </c>
      <c r="BC540" t="str">
        <f>T("9791190622004")</f>
        <v>9791190622004</v>
      </c>
      <c r="BE540" t="str">
        <f>T("BL 웹툰 &gt; 웹툰")</f>
        <v>BL 웹툰 &gt; 웹툰</v>
      </c>
    </row>
    <row r="541" spans="1:58" x14ac:dyDescent="0.3">
      <c r="A541">
        <v>4421000450</v>
      </c>
      <c r="B541">
        <v>4421000469</v>
      </c>
      <c r="C541" t="str">
        <f>T("내 남편의 스토커 19화")</f>
        <v>내 남편의 스토커 19화</v>
      </c>
      <c r="D541" t="str">
        <f>T("19")</f>
        <v>19</v>
      </c>
      <c r="E541" t="str">
        <f>T("혜원")</f>
        <v>혜원</v>
      </c>
      <c r="G541" t="str">
        <f>T("혜원")</f>
        <v>혜원</v>
      </c>
      <c r="H541" t="str">
        <f t="shared" si="58"/>
        <v>스토리위즈</v>
      </c>
      <c r="I541" t="str">
        <f>T("내 남편의 스토커")</f>
        <v>내 남편의 스토커</v>
      </c>
      <c r="J541">
        <v>400</v>
      </c>
      <c r="K541">
        <v>0</v>
      </c>
      <c r="L541">
        <v>0</v>
      </c>
      <c r="M541">
        <v>0</v>
      </c>
      <c r="N541">
        <v>200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240</v>
      </c>
      <c r="AN541">
        <v>-24</v>
      </c>
      <c r="AO541">
        <v>0</v>
      </c>
      <c r="AP541"/>
      <c r="AQ541">
        <v>0</v>
      </c>
      <c r="AR541">
        <v>0</v>
      </c>
      <c r="AS541">
        <v>240</v>
      </c>
      <c r="AT541">
        <v>-24</v>
      </c>
      <c r="AU541">
        <v>0</v>
      </c>
      <c r="AW541">
        <v>0</v>
      </c>
      <c r="AX541">
        <v>0</v>
      </c>
      <c r="AY541">
        <v>151.19999999999999</v>
      </c>
      <c r="BA541" t="str">
        <f>T("0000000000000")</f>
        <v>0000000000000</v>
      </c>
      <c r="BC541" t="str">
        <f>T("9791166068034")</f>
        <v>9791166068034</v>
      </c>
      <c r="BE541" t="str">
        <f>T("웹툰 &gt; 로맨스")</f>
        <v>웹툰 &gt; 로맨스</v>
      </c>
    </row>
    <row r="542" spans="1:58" x14ac:dyDescent="0.3">
      <c r="A542">
        <v>4421001340</v>
      </c>
      <c r="B542">
        <v>4421002902</v>
      </c>
      <c r="C542" t="str">
        <f>T("가출천사 육성계약 49화")</f>
        <v>가출천사 육성계약 49화</v>
      </c>
      <c r="D542" t="str">
        <f>T("49")</f>
        <v>49</v>
      </c>
      <c r="E542" t="str">
        <f>T("Bae.C, IIAKI, 박제후")</f>
        <v>Bae.C, IIAKI, 박제후</v>
      </c>
      <c r="G542" t="str">
        <f>T("Bae.C, 조우")</f>
        <v>Bae.C, 조우</v>
      </c>
      <c r="H542" t="str">
        <f t="shared" si="58"/>
        <v>스토리위즈</v>
      </c>
      <c r="I542" t="str">
        <f>T("가출천사 육성계약")</f>
        <v>가출천사 육성계약</v>
      </c>
      <c r="J542">
        <v>400</v>
      </c>
      <c r="K542">
        <v>0</v>
      </c>
      <c r="L542">
        <v>0</v>
      </c>
      <c r="M542">
        <v>0</v>
      </c>
      <c r="N542">
        <v>200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240</v>
      </c>
      <c r="AN542">
        <v>-24</v>
      </c>
      <c r="AO542">
        <v>0</v>
      </c>
      <c r="AP542"/>
      <c r="AQ542">
        <v>0</v>
      </c>
      <c r="AR542">
        <v>0</v>
      </c>
      <c r="AS542">
        <v>240</v>
      </c>
      <c r="AT542">
        <v>-24</v>
      </c>
      <c r="AU542">
        <v>0</v>
      </c>
      <c r="AW542">
        <v>0</v>
      </c>
      <c r="AX542">
        <v>0</v>
      </c>
      <c r="AY542">
        <v>151.19999999999999</v>
      </c>
      <c r="BA542" t="str">
        <f>T("0000000000000")</f>
        <v>0000000000000</v>
      </c>
      <c r="BC542" t="str">
        <f>T("9791191765663")</f>
        <v>9791191765663</v>
      </c>
      <c r="BE542" t="str">
        <f>T("웹툰 &gt; 판타지/SF")</f>
        <v>웹툰 &gt; 판타지/SF</v>
      </c>
    </row>
    <row r="543" spans="1:58" x14ac:dyDescent="0.3">
      <c r="A543">
        <v>4421000866</v>
      </c>
      <c r="B543">
        <v>4421000871</v>
      </c>
      <c r="C543" t="str">
        <f>T("최애에게 들켜버렸다 5화")</f>
        <v>최애에게 들켜버렸다 5화</v>
      </c>
      <c r="D543" t="str">
        <f>T("5")</f>
        <v>5</v>
      </c>
      <c r="E543" t="str">
        <f>T("Lv")</f>
        <v>Lv</v>
      </c>
      <c r="G543" t="str">
        <f>T("Lv")</f>
        <v>Lv</v>
      </c>
      <c r="H543" t="str">
        <f t="shared" si="58"/>
        <v>스토리위즈</v>
      </c>
      <c r="I543" t="str">
        <f>T("최애에게 들켜버렸다")</f>
        <v>최애에게 들켜버렸다</v>
      </c>
      <c r="J543">
        <v>400</v>
      </c>
      <c r="K543">
        <v>0</v>
      </c>
      <c r="L543">
        <v>0</v>
      </c>
      <c r="M543">
        <v>0</v>
      </c>
      <c r="N543">
        <v>1600</v>
      </c>
      <c r="O543">
        <v>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1600</v>
      </c>
      <c r="AH543">
        <v>8</v>
      </c>
      <c r="AI543">
        <v>0</v>
      </c>
      <c r="AJ543">
        <v>0</v>
      </c>
      <c r="AK543">
        <v>800</v>
      </c>
      <c r="AL543">
        <v>0</v>
      </c>
      <c r="AM543">
        <v>960</v>
      </c>
      <c r="AN543">
        <v>-192</v>
      </c>
      <c r="AO543">
        <v>0</v>
      </c>
      <c r="AP543">
        <v>240</v>
      </c>
      <c r="AQ543">
        <v>-72</v>
      </c>
      <c r="AR543">
        <v>0</v>
      </c>
      <c r="AS543">
        <v>720</v>
      </c>
      <c r="AT543">
        <v>-120</v>
      </c>
      <c r="AU543">
        <v>0</v>
      </c>
      <c r="AW543">
        <v>0</v>
      </c>
      <c r="AX543">
        <v>0</v>
      </c>
      <c r="AY543">
        <v>1097.5999999999999</v>
      </c>
      <c r="BA543" t="str">
        <f>T("0000000000000")</f>
        <v>0000000000000</v>
      </c>
      <c r="BC543" t="str">
        <f>T("9791137601253")</f>
        <v>9791137601253</v>
      </c>
      <c r="BE543" t="str">
        <f>T("웹툰 &gt; 해외 순정")</f>
        <v>웹툰 &gt; 해외 순정</v>
      </c>
      <c r="BF543" t="str">
        <f>T("웹툰 &gt; 로맨스")</f>
        <v>웹툰 &gt; 로맨스</v>
      </c>
    </row>
    <row r="544" spans="1:58" x14ac:dyDescent="0.3">
      <c r="A544">
        <v>4421000001</v>
      </c>
      <c r="B544">
        <v>4421000062</v>
      </c>
      <c r="C544" t="str">
        <f>T("감옥실험 42화")</f>
        <v>감옥실험 42화</v>
      </c>
      <c r="D544" t="str">
        <f>T("42")</f>
        <v>42</v>
      </c>
      <c r="E544" t="str">
        <f>T("Kantetsu")</f>
        <v>Kantetsu</v>
      </c>
      <c r="G544" t="str">
        <f>T("Minase Chiho")</f>
        <v>Minase Chiho</v>
      </c>
      <c r="H544" t="str">
        <f t="shared" si="58"/>
        <v>스토리위즈</v>
      </c>
      <c r="I544" t="str">
        <f>T("감옥실험")</f>
        <v>감옥실험</v>
      </c>
      <c r="J544">
        <v>500</v>
      </c>
      <c r="K544">
        <v>0</v>
      </c>
      <c r="L544">
        <v>0</v>
      </c>
      <c r="M544">
        <v>0</v>
      </c>
      <c r="N544">
        <v>1200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1200</v>
      </c>
      <c r="AH544">
        <v>4</v>
      </c>
      <c r="AI544">
        <v>0</v>
      </c>
      <c r="AJ544">
        <v>0</v>
      </c>
      <c r="AK544">
        <v>900</v>
      </c>
      <c r="AL544">
        <v>0</v>
      </c>
      <c r="AM544">
        <v>360</v>
      </c>
      <c r="AN544">
        <v>-108</v>
      </c>
      <c r="AO544">
        <v>0</v>
      </c>
      <c r="AP544">
        <v>360</v>
      </c>
      <c r="AQ544">
        <v>-108</v>
      </c>
      <c r="AR544">
        <v>0</v>
      </c>
      <c r="AT544">
        <v>0</v>
      </c>
      <c r="AU544">
        <v>0</v>
      </c>
      <c r="AW544">
        <v>0</v>
      </c>
      <c r="AX544">
        <v>0</v>
      </c>
      <c r="AY544">
        <v>806.4</v>
      </c>
      <c r="BC544" t="str">
        <f>T("9791166069406")</f>
        <v>9791166069406</v>
      </c>
      <c r="BE544" t="str">
        <f>T("웹툰 &gt; 드라마")</f>
        <v>웹툰 &gt; 드라마</v>
      </c>
    </row>
    <row r="545" spans="1:58" x14ac:dyDescent="0.3">
      <c r="A545">
        <v>4421001634</v>
      </c>
      <c r="B545">
        <v>4421002502</v>
      </c>
      <c r="C545" t="str">
        <f>T("그남자의 사랑방식 53화")</f>
        <v>그남자의 사랑방식 53화</v>
      </c>
      <c r="D545" t="str">
        <f>T("53")</f>
        <v>53</v>
      </c>
      <c r="E545" t="str">
        <f>T("웹티")</f>
        <v>웹티</v>
      </c>
      <c r="H545" t="str">
        <f t="shared" si="58"/>
        <v>스토리위즈</v>
      </c>
      <c r="I545" t="str">
        <f>T("그남자의 사랑방식")</f>
        <v>그남자의 사랑방식</v>
      </c>
      <c r="J545">
        <v>500</v>
      </c>
      <c r="K545">
        <v>0</v>
      </c>
      <c r="L545">
        <v>0</v>
      </c>
      <c r="M545">
        <v>0</v>
      </c>
      <c r="N545">
        <v>600</v>
      </c>
      <c r="O545">
        <v>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600</v>
      </c>
      <c r="AH545">
        <v>3</v>
      </c>
      <c r="AI545">
        <v>0</v>
      </c>
      <c r="AJ545">
        <v>0</v>
      </c>
      <c r="AK545">
        <v>200</v>
      </c>
      <c r="AL545">
        <v>0</v>
      </c>
      <c r="AM545">
        <v>480</v>
      </c>
      <c r="AN545">
        <v>-48</v>
      </c>
      <c r="AO545">
        <v>0</v>
      </c>
      <c r="AP545"/>
      <c r="AQ545">
        <v>0</v>
      </c>
      <c r="AR545">
        <v>0</v>
      </c>
      <c r="AS545">
        <v>480</v>
      </c>
      <c r="AT545">
        <v>-48</v>
      </c>
      <c r="AU545">
        <v>0</v>
      </c>
      <c r="AW545">
        <v>0</v>
      </c>
      <c r="AX545">
        <v>0</v>
      </c>
      <c r="AY545">
        <v>442.4</v>
      </c>
      <c r="BC545" t="str">
        <f>T("9791190622004")</f>
        <v>9791190622004</v>
      </c>
      <c r="BE545" t="str">
        <f>T("BL 웹툰 &gt; 웹툰")</f>
        <v>BL 웹툰 &gt; 웹툰</v>
      </c>
    </row>
    <row r="546" spans="1:58" x14ac:dyDescent="0.3">
      <c r="A546">
        <v>4421000450</v>
      </c>
      <c r="B546">
        <v>4421000501</v>
      </c>
      <c r="C546" t="str">
        <f>T("내 남편의 스토커 51화")</f>
        <v>내 남편의 스토커 51화</v>
      </c>
      <c r="D546" t="str">
        <f>T("51")</f>
        <v>51</v>
      </c>
      <c r="E546" t="str">
        <f>T("혜원")</f>
        <v>혜원</v>
      </c>
      <c r="G546" t="str">
        <f>T("혜원")</f>
        <v>혜원</v>
      </c>
      <c r="H546" t="str">
        <f t="shared" si="58"/>
        <v>스토리위즈</v>
      </c>
      <c r="I546" t="str">
        <f>T("내 남편의 스토커")</f>
        <v>내 남편의 스토커</v>
      </c>
      <c r="J546">
        <v>400</v>
      </c>
      <c r="K546">
        <v>0</v>
      </c>
      <c r="L546">
        <v>0</v>
      </c>
      <c r="M546">
        <v>0</v>
      </c>
      <c r="N546">
        <v>200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240</v>
      </c>
      <c r="AN546">
        <v>-24</v>
      </c>
      <c r="AO546">
        <v>0</v>
      </c>
      <c r="AP546"/>
      <c r="AQ546">
        <v>0</v>
      </c>
      <c r="AR546">
        <v>0</v>
      </c>
      <c r="AS546">
        <v>240</v>
      </c>
      <c r="AT546">
        <v>-24</v>
      </c>
      <c r="AU546">
        <v>0</v>
      </c>
      <c r="AW546">
        <v>0</v>
      </c>
      <c r="AX546">
        <v>0</v>
      </c>
      <c r="AY546">
        <v>151.19999999999999</v>
      </c>
      <c r="BA546" t="str">
        <f>T("0000000000000")</f>
        <v>0000000000000</v>
      </c>
      <c r="BC546" t="str">
        <f>T("9791166068034")</f>
        <v>9791166068034</v>
      </c>
      <c r="BE546" t="str">
        <f>T("웹툰 &gt; 로맨스")</f>
        <v>웹툰 &gt; 로맨스</v>
      </c>
    </row>
    <row r="547" spans="1:58" x14ac:dyDescent="0.3">
      <c r="A547">
        <v>4421000866</v>
      </c>
      <c r="B547">
        <v>4421001195</v>
      </c>
      <c r="C547" t="str">
        <f>T("최애에게 들켜버렸다 47화")</f>
        <v>최애에게 들켜버렸다 47화</v>
      </c>
      <c r="D547" t="str">
        <f>T("50")</f>
        <v>50</v>
      </c>
      <c r="E547" t="str">
        <f>T("Lv")</f>
        <v>Lv</v>
      </c>
      <c r="G547" t="str">
        <f>T("Lv")</f>
        <v>Lv</v>
      </c>
      <c r="H547" t="str">
        <f t="shared" si="58"/>
        <v>스토리위즈</v>
      </c>
      <c r="I547" t="str">
        <f>T("최애에게 들켜버렸다")</f>
        <v>최애에게 들켜버렸다</v>
      </c>
      <c r="J547">
        <v>400</v>
      </c>
      <c r="K547">
        <v>0</v>
      </c>
      <c r="L547">
        <v>0</v>
      </c>
      <c r="M547">
        <v>0</v>
      </c>
      <c r="N547">
        <v>400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2</v>
      </c>
      <c r="AI547">
        <v>0</v>
      </c>
      <c r="AJ547">
        <v>0</v>
      </c>
      <c r="AK547">
        <v>200</v>
      </c>
      <c r="AL547">
        <v>0</v>
      </c>
      <c r="AM547">
        <v>240</v>
      </c>
      <c r="AN547">
        <v>-24</v>
      </c>
      <c r="AO547">
        <v>0</v>
      </c>
      <c r="AP547"/>
      <c r="AQ547">
        <v>0</v>
      </c>
      <c r="AR547">
        <v>0</v>
      </c>
      <c r="AS547">
        <v>240</v>
      </c>
      <c r="AT547">
        <v>-24</v>
      </c>
      <c r="AU547">
        <v>0</v>
      </c>
      <c r="AW547">
        <v>0</v>
      </c>
      <c r="AX547">
        <v>0</v>
      </c>
      <c r="AY547">
        <v>291.2</v>
      </c>
      <c r="BA547" t="str">
        <f>T("0000000000000")</f>
        <v>0000000000000</v>
      </c>
      <c r="BC547" t="str">
        <f>T("9791137601253")</f>
        <v>9791137601253</v>
      </c>
      <c r="BE547" t="str">
        <f>T("웹툰 &gt; 해외 순정")</f>
        <v>웹툰 &gt; 해외 순정</v>
      </c>
      <c r="BF547" t="str">
        <f>T("웹툰 &gt; 로맨스")</f>
        <v>웹툰 &gt; 로맨스</v>
      </c>
    </row>
    <row r="548" spans="1:58" x14ac:dyDescent="0.3">
      <c r="A548">
        <v>4421000866</v>
      </c>
      <c r="B548">
        <v>4421002961</v>
      </c>
      <c r="C548" t="str">
        <f>T("최애에게 들켜버렸다 93화")</f>
        <v>최애에게 들켜버렸다 93화</v>
      </c>
      <c r="D548" t="str">
        <f>T("96")</f>
        <v>96</v>
      </c>
      <c r="E548" t="str">
        <f>T("Lv")</f>
        <v>Lv</v>
      </c>
      <c r="G548" t="str">
        <f>T("Lv")</f>
        <v>Lv</v>
      </c>
      <c r="H548" t="str">
        <f t="shared" si="58"/>
        <v>스토리위즈</v>
      </c>
      <c r="I548" t="str">
        <f>T("최애에게 들켜버렸다")</f>
        <v>최애에게 들켜버렸다</v>
      </c>
      <c r="J548">
        <v>400</v>
      </c>
      <c r="K548">
        <v>0</v>
      </c>
      <c r="L548">
        <v>0</v>
      </c>
      <c r="M548">
        <v>0</v>
      </c>
      <c r="N548">
        <v>400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400</v>
      </c>
      <c r="AH548">
        <v>2</v>
      </c>
      <c r="AI548">
        <v>0</v>
      </c>
      <c r="AJ548">
        <v>0</v>
      </c>
      <c r="AK548">
        <v>200</v>
      </c>
      <c r="AL548">
        <v>0</v>
      </c>
      <c r="AM548">
        <v>240</v>
      </c>
      <c r="AN548">
        <v>-24</v>
      </c>
      <c r="AO548">
        <v>0</v>
      </c>
      <c r="AP548"/>
      <c r="AQ548">
        <v>0</v>
      </c>
      <c r="AR548">
        <v>0</v>
      </c>
      <c r="AS548">
        <v>240</v>
      </c>
      <c r="AT548">
        <v>-24</v>
      </c>
      <c r="AU548">
        <v>0</v>
      </c>
      <c r="AW548">
        <v>0</v>
      </c>
      <c r="AX548">
        <v>0</v>
      </c>
      <c r="AY548">
        <v>291.2</v>
      </c>
      <c r="BA548" t="str">
        <f>T("0000000000000")</f>
        <v>0000000000000</v>
      </c>
      <c r="BC548" t="str">
        <f>T("9791137601253")</f>
        <v>9791137601253</v>
      </c>
      <c r="BE548" t="str">
        <f>T("웹툰 &gt; 해외 순정")</f>
        <v>웹툰 &gt; 해외 순정</v>
      </c>
      <c r="BF548" t="str">
        <f>T("웹툰 &gt; 로맨스")</f>
        <v>웹툰 &gt; 로맨스</v>
      </c>
    </row>
    <row r="549" spans="1:58" x14ac:dyDescent="0.3">
      <c r="A549">
        <v>4421000866</v>
      </c>
      <c r="B549">
        <v>4421001300</v>
      </c>
      <c r="C549" t="str">
        <f>T("최애에게 들켜버렸다 69화")</f>
        <v>최애에게 들켜버렸다 69화</v>
      </c>
      <c r="D549" t="str">
        <f>T("72")</f>
        <v>72</v>
      </c>
      <c r="E549" t="str">
        <f>T("Lv")</f>
        <v>Lv</v>
      </c>
      <c r="G549" t="str">
        <f>T("Lv")</f>
        <v>Lv</v>
      </c>
      <c r="H549" t="str">
        <f t="shared" si="58"/>
        <v>스토리위즈</v>
      </c>
      <c r="I549" t="str">
        <f>T("최애에게 들켜버렸다")</f>
        <v>최애에게 들켜버렸다</v>
      </c>
      <c r="J549">
        <v>400</v>
      </c>
      <c r="K549">
        <v>0</v>
      </c>
      <c r="L549">
        <v>0</v>
      </c>
      <c r="M549">
        <v>0</v>
      </c>
      <c r="N549">
        <v>200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240</v>
      </c>
      <c r="AN549">
        <v>-24</v>
      </c>
      <c r="AO549">
        <v>0</v>
      </c>
      <c r="AP549"/>
      <c r="AQ549">
        <v>0</v>
      </c>
      <c r="AR549">
        <v>0</v>
      </c>
      <c r="AS549">
        <v>240</v>
      </c>
      <c r="AT549">
        <v>-24</v>
      </c>
      <c r="AU549">
        <v>0</v>
      </c>
      <c r="AW549">
        <v>0</v>
      </c>
      <c r="AX549">
        <v>0</v>
      </c>
      <c r="AY549">
        <v>151.19999999999999</v>
      </c>
      <c r="BA549" t="str">
        <f>T("0000000000000")</f>
        <v>0000000000000</v>
      </c>
      <c r="BC549" t="str">
        <f>T("9791137601253")</f>
        <v>9791137601253</v>
      </c>
      <c r="BE549" t="str">
        <f>T("웹툰 &gt; 해외 순정")</f>
        <v>웹툰 &gt; 해외 순정</v>
      </c>
      <c r="BF549" t="str">
        <f>T("웹툰 &gt; 로맨스")</f>
        <v>웹툰 &gt; 로맨스</v>
      </c>
    </row>
    <row r="550" spans="1:58" x14ac:dyDescent="0.3">
      <c r="A550">
        <v>4421003015</v>
      </c>
      <c r="B550">
        <v>4421003037</v>
      </c>
      <c r="C550" t="str">
        <f>T("일월성신 22화")</f>
        <v>일월성신 22화</v>
      </c>
      <c r="D550" t="str">
        <f>T("22")</f>
        <v>22</v>
      </c>
      <c r="E550" t="str">
        <f>T("김숙지")</f>
        <v>김숙지</v>
      </c>
      <c r="G550" t="str">
        <f>T("이름표")</f>
        <v>이름표</v>
      </c>
      <c r="H550" t="str">
        <f t="shared" si="58"/>
        <v>스토리위즈</v>
      </c>
      <c r="I550" t="str">
        <f>T("일월성신")</f>
        <v>일월성신</v>
      </c>
      <c r="J550">
        <v>400</v>
      </c>
      <c r="K550">
        <v>0</v>
      </c>
      <c r="L550">
        <v>0</v>
      </c>
      <c r="M550">
        <v>0</v>
      </c>
      <c r="N550">
        <v>600</v>
      </c>
      <c r="O550">
        <v>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600</v>
      </c>
      <c r="AH550">
        <v>3</v>
      </c>
      <c r="AI550">
        <v>0</v>
      </c>
      <c r="AJ550">
        <v>0</v>
      </c>
      <c r="AK550">
        <v>200</v>
      </c>
      <c r="AL550">
        <v>0</v>
      </c>
      <c r="AM550">
        <v>480</v>
      </c>
      <c r="AN550">
        <v>-96</v>
      </c>
      <c r="AO550">
        <v>0</v>
      </c>
      <c r="AP550">
        <v>240</v>
      </c>
      <c r="AQ550">
        <v>-72</v>
      </c>
      <c r="AR550">
        <v>0</v>
      </c>
      <c r="AS550">
        <v>240</v>
      </c>
      <c r="AT550">
        <v>-24</v>
      </c>
      <c r="AU550">
        <v>0</v>
      </c>
      <c r="AW550">
        <v>0</v>
      </c>
      <c r="AX550">
        <v>0</v>
      </c>
      <c r="AY550">
        <v>408.8</v>
      </c>
      <c r="BA550" t="str">
        <f>T("0000000000000")</f>
        <v>0000000000000</v>
      </c>
      <c r="BC550" t="str">
        <f>T("9791137604605")</f>
        <v>9791137604605</v>
      </c>
      <c r="BE550" t="str">
        <f>T("웹툰 &gt; 드라마")</f>
        <v>웹툰 &gt; 드라마</v>
      </c>
    </row>
    <row r="551" spans="1:58" x14ac:dyDescent="0.3">
      <c r="A551">
        <v>4421001634</v>
      </c>
      <c r="B551">
        <v>4421002535</v>
      </c>
      <c r="C551" t="str">
        <f>T("그남자의 사랑방식 86화")</f>
        <v>그남자의 사랑방식 86화</v>
      </c>
      <c r="D551" t="str">
        <f>T("86")</f>
        <v>86</v>
      </c>
      <c r="E551" t="str">
        <f>T("웹티")</f>
        <v>웹티</v>
      </c>
      <c r="H551" t="str">
        <f t="shared" si="58"/>
        <v>스토리위즈</v>
      </c>
      <c r="I551" t="str">
        <f>T("그남자의 사랑방식")</f>
        <v>그남자의 사랑방식</v>
      </c>
      <c r="J551">
        <v>500</v>
      </c>
      <c r="K551">
        <v>0</v>
      </c>
      <c r="L551">
        <v>0</v>
      </c>
      <c r="M551">
        <v>0</v>
      </c>
      <c r="N551">
        <v>200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200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240</v>
      </c>
      <c r="AN551">
        <v>-24</v>
      </c>
      <c r="AO551">
        <v>0</v>
      </c>
      <c r="AP551"/>
      <c r="AQ551">
        <v>0</v>
      </c>
      <c r="AR551">
        <v>0</v>
      </c>
      <c r="AS551">
        <v>240</v>
      </c>
      <c r="AT551">
        <v>-24</v>
      </c>
      <c r="AU551">
        <v>0</v>
      </c>
      <c r="AW551">
        <v>0</v>
      </c>
      <c r="AX551">
        <v>0</v>
      </c>
      <c r="AY551">
        <v>151.19999999999999</v>
      </c>
      <c r="BC551" t="str">
        <f>T("9791190622004")</f>
        <v>9791190622004</v>
      </c>
      <c r="BE551" t="str">
        <f>T("BL 웹툰 &gt; 웹툰")</f>
        <v>BL 웹툰 &gt; 웹툰</v>
      </c>
    </row>
    <row r="552" spans="1:58" x14ac:dyDescent="0.3">
      <c r="A552">
        <v>4421001340</v>
      </c>
      <c r="B552">
        <v>4421001354</v>
      </c>
      <c r="C552" t="str">
        <f>T("가출천사 육성계약 15화")</f>
        <v>가출천사 육성계약 15화</v>
      </c>
      <c r="D552" t="str">
        <f>T("15")</f>
        <v>15</v>
      </c>
      <c r="E552" t="str">
        <f>T("Bae.C, IIAKI, 박제후")</f>
        <v>Bae.C, IIAKI, 박제후</v>
      </c>
      <c r="G552" t="str">
        <f>T("Bae.C, 조우")</f>
        <v>Bae.C, 조우</v>
      </c>
      <c r="H552" t="str">
        <f t="shared" si="58"/>
        <v>스토리위즈</v>
      </c>
      <c r="I552" t="str">
        <f>T("가출천사 육성계약")</f>
        <v>가출천사 육성계약</v>
      </c>
      <c r="J552">
        <v>400</v>
      </c>
      <c r="K552">
        <v>0</v>
      </c>
      <c r="L552">
        <v>0</v>
      </c>
      <c r="M552">
        <v>0</v>
      </c>
      <c r="N552">
        <v>200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240</v>
      </c>
      <c r="AN552">
        <v>-24</v>
      </c>
      <c r="AO552">
        <v>0</v>
      </c>
      <c r="AP552"/>
      <c r="AQ552">
        <v>0</v>
      </c>
      <c r="AR552">
        <v>0</v>
      </c>
      <c r="AS552">
        <v>240</v>
      </c>
      <c r="AT552">
        <v>-24</v>
      </c>
      <c r="AU552">
        <v>0</v>
      </c>
      <c r="AW552">
        <v>0</v>
      </c>
      <c r="AX552">
        <v>0</v>
      </c>
      <c r="AY552">
        <v>151.19999999999999</v>
      </c>
      <c r="BA552" t="str">
        <f>T("0000000000000")</f>
        <v>0000000000000</v>
      </c>
      <c r="BC552" t="str">
        <f>T("9791191765663")</f>
        <v>9791191765663</v>
      </c>
      <c r="BE552" t="str">
        <f>T("웹툰 &gt; 판타지/SF")</f>
        <v>웹툰 &gt; 판타지/SF</v>
      </c>
    </row>
    <row r="553" spans="1:58" x14ac:dyDescent="0.3">
      <c r="A553">
        <v>4421001634</v>
      </c>
      <c r="B553">
        <v>4421001654</v>
      </c>
      <c r="C553" t="str">
        <f>T("그남자의 사랑방식 21화")</f>
        <v>그남자의 사랑방식 21화</v>
      </c>
      <c r="D553" t="str">
        <f>T("21")</f>
        <v>21</v>
      </c>
      <c r="E553" t="str">
        <f>T("웹티")</f>
        <v>웹티</v>
      </c>
      <c r="H553" t="str">
        <f t="shared" si="58"/>
        <v>스토리위즈</v>
      </c>
      <c r="I553" t="str">
        <f>T("그남자의 사랑방식")</f>
        <v>그남자의 사랑방식</v>
      </c>
      <c r="J553">
        <v>500</v>
      </c>
      <c r="K553">
        <v>0</v>
      </c>
      <c r="L553">
        <v>0</v>
      </c>
      <c r="M553">
        <v>0</v>
      </c>
      <c r="N553">
        <v>1400</v>
      </c>
      <c r="O553">
        <v>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1400</v>
      </c>
      <c r="AH553">
        <v>7</v>
      </c>
      <c r="AI553">
        <v>0</v>
      </c>
      <c r="AJ553">
        <v>0</v>
      </c>
      <c r="AK553">
        <v>600</v>
      </c>
      <c r="AL553">
        <v>0</v>
      </c>
      <c r="AM553">
        <v>960</v>
      </c>
      <c r="AN553">
        <v>-144</v>
      </c>
      <c r="AO553">
        <v>0</v>
      </c>
      <c r="AP553"/>
      <c r="AQ553">
        <v>0</v>
      </c>
      <c r="AR553">
        <v>0</v>
      </c>
      <c r="AS553">
        <v>960</v>
      </c>
      <c r="AT553">
        <v>-144</v>
      </c>
      <c r="AU553">
        <v>0</v>
      </c>
      <c r="AW553">
        <v>0</v>
      </c>
      <c r="AX553">
        <v>0</v>
      </c>
      <c r="AY553">
        <v>991.2</v>
      </c>
      <c r="BC553" t="str">
        <f>T("9791190622004")</f>
        <v>9791190622004</v>
      </c>
      <c r="BE553" t="str">
        <f>T("BL 웹툰 &gt; 웹툰")</f>
        <v>BL 웹툰 &gt; 웹툰</v>
      </c>
    </row>
    <row r="554" spans="1:58" x14ac:dyDescent="0.3">
      <c r="A554">
        <v>4421001340</v>
      </c>
      <c r="B554">
        <v>4421001342</v>
      </c>
      <c r="C554" t="str">
        <f>T("가출천사 육성계약 3화")</f>
        <v>가출천사 육성계약 3화</v>
      </c>
      <c r="D554" t="str">
        <f>T("3")</f>
        <v>3</v>
      </c>
      <c r="E554" t="str">
        <f>T("Bae.C, IIAKI, 박제후")</f>
        <v>Bae.C, IIAKI, 박제후</v>
      </c>
      <c r="G554" t="str">
        <f>T("Bae.C, 조우")</f>
        <v>Bae.C, 조우</v>
      </c>
      <c r="H554" t="str">
        <f t="shared" si="58"/>
        <v>스토리위즈</v>
      </c>
      <c r="I554" t="str">
        <f>T("가출천사 육성계약")</f>
        <v>가출천사 육성계약</v>
      </c>
      <c r="J554">
        <v>400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/>
      <c r="AQ554">
        <v>0</v>
      </c>
      <c r="AR554">
        <v>0</v>
      </c>
      <c r="AT554">
        <v>0</v>
      </c>
      <c r="AU554">
        <v>0</v>
      </c>
      <c r="AW554">
        <v>0</v>
      </c>
      <c r="AX554">
        <v>0</v>
      </c>
      <c r="AY554">
        <v>0</v>
      </c>
      <c r="BA554" t="str">
        <f>T("0000000000000")</f>
        <v>0000000000000</v>
      </c>
      <c r="BC554" t="str">
        <f>T("9791191765663")</f>
        <v>9791191765663</v>
      </c>
      <c r="BE554" t="str">
        <f>T("웹툰 &gt; 판타지/SF")</f>
        <v>웹툰 &gt; 판타지/SF</v>
      </c>
    </row>
    <row r="555" spans="1:58" x14ac:dyDescent="0.3">
      <c r="A555">
        <v>4421001340</v>
      </c>
      <c r="B555">
        <v>4421001467</v>
      </c>
      <c r="C555" t="str">
        <f>T("가출천사 육성계약 35화")</f>
        <v>가출천사 육성계약 35화</v>
      </c>
      <c r="D555" t="str">
        <f>T("35")</f>
        <v>35</v>
      </c>
      <c r="E555" t="str">
        <f>T("Bae.C, IIAKI, 박제후")</f>
        <v>Bae.C, IIAKI, 박제후</v>
      </c>
      <c r="G555" t="str">
        <f>T("Bae.C, 조우")</f>
        <v>Bae.C, 조우</v>
      </c>
      <c r="H555" t="str">
        <f t="shared" si="58"/>
        <v>스토리위즈</v>
      </c>
      <c r="I555" t="str">
        <f>T("가출천사 육성계약")</f>
        <v>가출천사 육성계약</v>
      </c>
      <c r="J555">
        <v>400</v>
      </c>
      <c r="K555">
        <v>0</v>
      </c>
      <c r="L555">
        <v>0</v>
      </c>
      <c r="M555">
        <v>0</v>
      </c>
      <c r="N555">
        <v>200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200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240</v>
      </c>
      <c r="AN555">
        <v>-24</v>
      </c>
      <c r="AO555">
        <v>0</v>
      </c>
      <c r="AP555"/>
      <c r="AQ555">
        <v>0</v>
      </c>
      <c r="AR555">
        <v>0</v>
      </c>
      <c r="AS555">
        <v>240</v>
      </c>
      <c r="AT555">
        <v>-24</v>
      </c>
      <c r="AU555">
        <v>0</v>
      </c>
      <c r="AW555">
        <v>0</v>
      </c>
      <c r="AX555">
        <v>0</v>
      </c>
      <c r="AY555">
        <v>151.19999999999999</v>
      </c>
      <c r="BA555" t="str">
        <f>T("0000000000000")</f>
        <v>0000000000000</v>
      </c>
      <c r="BC555" t="str">
        <f>T("9791191765663")</f>
        <v>9791191765663</v>
      </c>
      <c r="BE555" t="str">
        <f>T("웹툰 &gt; 판타지/SF")</f>
        <v>웹툰 &gt; 판타지/SF</v>
      </c>
    </row>
    <row r="556" spans="1:58" x14ac:dyDescent="0.3">
      <c r="A556">
        <v>4421002022</v>
      </c>
      <c r="B556">
        <v>4421002048</v>
      </c>
      <c r="C556" t="str">
        <f>T("대표님과 연애를 시작했습니다 27화")</f>
        <v>대표님과 연애를 시작했습니다 27화</v>
      </c>
      <c r="D556" t="str">
        <f>T("27")</f>
        <v>27</v>
      </c>
      <c r="E556" t="str">
        <f>T("웹티")</f>
        <v>웹티</v>
      </c>
      <c r="H556" t="str">
        <f t="shared" si="58"/>
        <v>스토리위즈</v>
      </c>
      <c r="I556" t="str">
        <f>T("대표님과 연애를 시작했습니다")</f>
        <v>대표님과 연애를 시작했습니다</v>
      </c>
      <c r="J556">
        <v>500</v>
      </c>
      <c r="K556">
        <v>0</v>
      </c>
      <c r="L556">
        <v>0</v>
      </c>
      <c r="M556">
        <v>0</v>
      </c>
      <c r="N556">
        <v>200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200</v>
      </c>
      <c r="AH556">
        <v>1</v>
      </c>
      <c r="AI556">
        <v>0</v>
      </c>
      <c r="AJ556">
        <v>0</v>
      </c>
      <c r="AK556">
        <v>200</v>
      </c>
      <c r="AL556">
        <v>0</v>
      </c>
      <c r="AM556">
        <v>0</v>
      </c>
      <c r="AN556">
        <v>0</v>
      </c>
      <c r="AO556">
        <v>0</v>
      </c>
      <c r="AP556"/>
      <c r="AQ556">
        <v>0</v>
      </c>
      <c r="AR556">
        <v>0</v>
      </c>
      <c r="AT556">
        <v>0</v>
      </c>
      <c r="AU556">
        <v>0</v>
      </c>
      <c r="AW556">
        <v>0</v>
      </c>
      <c r="AX556">
        <v>0</v>
      </c>
      <c r="AY556">
        <v>140</v>
      </c>
      <c r="BA556" t="str">
        <f>T("0000000000000")</f>
        <v>0000000000000</v>
      </c>
      <c r="BC556" t="str">
        <f>T("9791196660482")</f>
        <v>9791196660482</v>
      </c>
      <c r="BE556" t="str">
        <f>T("BL 웹툰 &gt; 웹툰")</f>
        <v>BL 웹툰 &gt; 웹툰</v>
      </c>
    </row>
    <row r="557" spans="1:58" x14ac:dyDescent="0.3">
      <c r="A557">
        <v>4421000001</v>
      </c>
      <c r="B557">
        <v>4421000020</v>
      </c>
      <c r="C557" t="str">
        <f>T("감옥실험 10화")</f>
        <v>감옥실험 10화</v>
      </c>
      <c r="D557" t="str">
        <f>T("10")</f>
        <v>10</v>
      </c>
      <c r="E557" t="str">
        <f>T("Kantetsu")</f>
        <v>Kantetsu</v>
      </c>
      <c r="G557" t="str">
        <f>T("Minase Chiho")</f>
        <v>Minase Chiho</v>
      </c>
      <c r="H557" t="str">
        <f t="shared" si="58"/>
        <v>스토리위즈</v>
      </c>
      <c r="I557" t="str">
        <f>T("감옥실험")</f>
        <v>감옥실험</v>
      </c>
      <c r="J557">
        <v>500</v>
      </c>
      <c r="K557">
        <v>0</v>
      </c>
      <c r="L557">
        <v>0</v>
      </c>
      <c r="M557">
        <v>0</v>
      </c>
      <c r="N557">
        <v>1800</v>
      </c>
      <c r="O557">
        <v>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1800</v>
      </c>
      <c r="AH557">
        <v>6</v>
      </c>
      <c r="AI557">
        <v>0</v>
      </c>
      <c r="AJ557">
        <v>0</v>
      </c>
      <c r="AK557">
        <v>900</v>
      </c>
      <c r="AL557">
        <v>0</v>
      </c>
      <c r="AM557">
        <v>1080</v>
      </c>
      <c r="AN557">
        <v>-252</v>
      </c>
      <c r="AO557">
        <v>0</v>
      </c>
      <c r="AP557">
        <v>360</v>
      </c>
      <c r="AQ557">
        <v>-108</v>
      </c>
      <c r="AR557">
        <v>0</v>
      </c>
      <c r="AS557">
        <v>720</v>
      </c>
      <c r="AT557">
        <v>-144</v>
      </c>
      <c r="AU557">
        <v>0</v>
      </c>
      <c r="AW557">
        <v>0</v>
      </c>
      <c r="AX557">
        <v>0</v>
      </c>
      <c r="AY557">
        <v>1209.5999999999999</v>
      </c>
      <c r="BC557" t="str">
        <f>T("9791166069406")</f>
        <v>9791166069406</v>
      </c>
      <c r="BE557" t="str">
        <f>T("웹툰 &gt; 드라마")</f>
        <v>웹툰 &gt; 드라마</v>
      </c>
    </row>
    <row r="558" spans="1:58" x14ac:dyDescent="0.3">
      <c r="A558">
        <v>4421000450</v>
      </c>
      <c r="B558">
        <v>4421000450</v>
      </c>
      <c r="C558" t="str">
        <f>T("내 남편의 스토커 프롤로그")</f>
        <v>내 남편의 스토커 프롤로그</v>
      </c>
      <c r="E558" t="str">
        <f>T("혜원")</f>
        <v>혜원</v>
      </c>
      <c r="G558" t="str">
        <f>T("혜원")</f>
        <v>혜원</v>
      </c>
      <c r="H558" t="str">
        <f t="shared" si="58"/>
        <v>스토리위즈</v>
      </c>
      <c r="I558" t="str">
        <f>T("내 남편의 스토커")</f>
        <v>내 남편의 스토커</v>
      </c>
      <c r="J558">
        <v>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/>
      <c r="AQ558">
        <v>0</v>
      </c>
      <c r="AR558">
        <v>0</v>
      </c>
      <c r="AT558">
        <v>0</v>
      </c>
      <c r="AU558">
        <v>0</v>
      </c>
      <c r="AW558">
        <v>0</v>
      </c>
      <c r="AX558">
        <v>0</v>
      </c>
      <c r="AY558">
        <v>0</v>
      </c>
      <c r="BA558" t="str">
        <f>T("0000000000000")</f>
        <v>0000000000000</v>
      </c>
      <c r="BC558" t="str">
        <f>T("9791166068034")</f>
        <v>9791166068034</v>
      </c>
      <c r="BE558" t="str">
        <f>T("웹툰 &gt; 로맨스")</f>
        <v>웹툰 &gt; 로맨스</v>
      </c>
    </row>
    <row r="559" spans="1:58" x14ac:dyDescent="0.3">
      <c r="A559">
        <v>4421002305</v>
      </c>
      <c r="B559">
        <v>4421002312</v>
      </c>
      <c r="C559" t="str">
        <f>T("천년의 사랑 7화")</f>
        <v>천년의 사랑 7화</v>
      </c>
      <c r="D559" t="str">
        <f>T("7")</f>
        <v>7</v>
      </c>
      <c r="E559" t="str">
        <f>T("웹티")</f>
        <v>웹티</v>
      </c>
      <c r="H559" t="str">
        <f t="shared" si="58"/>
        <v>스토리위즈</v>
      </c>
      <c r="I559" t="str">
        <f>T("천년의 사랑")</f>
        <v>천년의 사랑</v>
      </c>
      <c r="J559">
        <v>500</v>
      </c>
      <c r="K559">
        <v>0</v>
      </c>
      <c r="L559">
        <v>0</v>
      </c>
      <c r="M559">
        <v>0</v>
      </c>
      <c r="N559">
        <v>200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200</v>
      </c>
      <c r="AH559">
        <v>1</v>
      </c>
      <c r="AI559">
        <v>0</v>
      </c>
      <c r="AJ559">
        <v>0</v>
      </c>
      <c r="AK559">
        <v>200</v>
      </c>
      <c r="AL559">
        <v>0</v>
      </c>
      <c r="AM559">
        <v>0</v>
      </c>
      <c r="AN559">
        <v>0</v>
      </c>
      <c r="AO559">
        <v>0</v>
      </c>
      <c r="AP559"/>
      <c r="AQ559">
        <v>0</v>
      </c>
      <c r="AR559">
        <v>0</v>
      </c>
      <c r="AT559">
        <v>0</v>
      </c>
      <c r="AU559">
        <v>0</v>
      </c>
      <c r="AW559">
        <v>0</v>
      </c>
      <c r="AX559">
        <v>0</v>
      </c>
      <c r="AY559">
        <v>140</v>
      </c>
      <c r="BA559" t="str">
        <f>T("0000000000000")</f>
        <v>0000000000000</v>
      </c>
      <c r="BC559" t="str">
        <f>T("9791190622011")</f>
        <v>9791190622011</v>
      </c>
      <c r="BE559" t="str">
        <f>T("웹툰 &gt; 로맨스")</f>
        <v>웹툰 &gt; 로맨스</v>
      </c>
    </row>
    <row r="560" spans="1:58" x14ac:dyDescent="0.3">
      <c r="A560">
        <v>4421000518</v>
      </c>
      <c r="B560">
        <v>4421000523</v>
      </c>
      <c r="C560" t="str">
        <f>T("백스테이지 키스신 5화")</f>
        <v>백스테이지 키스신 5화</v>
      </c>
      <c r="D560" t="str">
        <f>T("5")</f>
        <v>5</v>
      </c>
      <c r="E560" t="str">
        <f>T("최도비")</f>
        <v>최도비</v>
      </c>
      <c r="G560" t="str">
        <f>T("수정과")</f>
        <v>수정과</v>
      </c>
      <c r="H560" t="str">
        <f t="shared" si="58"/>
        <v>스토리위즈</v>
      </c>
      <c r="I560" t="str">
        <f>T("백스테이지 키스신")</f>
        <v>백스테이지 키스신</v>
      </c>
      <c r="J560">
        <v>400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/>
      <c r="AQ560">
        <v>0</v>
      </c>
      <c r="AR560">
        <v>0</v>
      </c>
      <c r="AT560">
        <v>0</v>
      </c>
      <c r="AU560">
        <v>0</v>
      </c>
      <c r="AW560">
        <v>0</v>
      </c>
      <c r="AX560">
        <v>0</v>
      </c>
      <c r="AY560">
        <v>0</v>
      </c>
      <c r="BA560" t="str">
        <f>T("0000000000000")</f>
        <v>0000000000000</v>
      </c>
      <c r="BC560" t="str">
        <f>T("9791166067990")</f>
        <v>9791166067990</v>
      </c>
      <c r="BE560" t="str">
        <f>T("웹툰 &gt; 로맨스")</f>
        <v>웹툰 &gt; 로맨스</v>
      </c>
    </row>
    <row r="561" spans="1:58" x14ac:dyDescent="0.3">
      <c r="A561">
        <v>4421000001</v>
      </c>
      <c r="B561">
        <v>4421000051</v>
      </c>
      <c r="C561" t="str">
        <f>T("감옥실험 31화")</f>
        <v>감옥실험 31화</v>
      </c>
      <c r="D561" t="str">
        <f>T("31")</f>
        <v>31</v>
      </c>
      <c r="E561" t="str">
        <f>T("Kantetsu")</f>
        <v>Kantetsu</v>
      </c>
      <c r="G561" t="str">
        <f>T("Minase Chiho")</f>
        <v>Minase Chiho</v>
      </c>
      <c r="H561" t="str">
        <f t="shared" si="58"/>
        <v>스토리위즈</v>
      </c>
      <c r="I561" t="str">
        <f>T("감옥실험")</f>
        <v>감옥실험</v>
      </c>
      <c r="J561">
        <v>500</v>
      </c>
      <c r="K561">
        <v>0</v>
      </c>
      <c r="L561">
        <v>0</v>
      </c>
      <c r="M561">
        <v>0</v>
      </c>
      <c r="N561">
        <v>600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600</v>
      </c>
      <c r="AH561">
        <v>2</v>
      </c>
      <c r="AI561">
        <v>0</v>
      </c>
      <c r="AJ561">
        <v>0</v>
      </c>
      <c r="AK561">
        <v>600</v>
      </c>
      <c r="AL561">
        <v>0</v>
      </c>
      <c r="AM561">
        <v>0</v>
      </c>
      <c r="AN561">
        <v>0</v>
      </c>
      <c r="AO561">
        <v>0</v>
      </c>
      <c r="AP561"/>
      <c r="AQ561">
        <v>0</v>
      </c>
      <c r="AR561">
        <v>0</v>
      </c>
      <c r="AT561">
        <v>0</v>
      </c>
      <c r="AU561">
        <v>0</v>
      </c>
      <c r="AW561">
        <v>0</v>
      </c>
      <c r="AX561">
        <v>0</v>
      </c>
      <c r="AY561">
        <v>420</v>
      </c>
      <c r="BC561" t="str">
        <f>T("9791166069406")</f>
        <v>9791166069406</v>
      </c>
      <c r="BE561" t="str">
        <f>T("웹툰 &gt; 드라마")</f>
        <v>웹툰 &gt; 드라마</v>
      </c>
    </row>
    <row r="562" spans="1:58" x14ac:dyDescent="0.3">
      <c r="A562">
        <v>4421000866</v>
      </c>
      <c r="B562">
        <v>4421001170</v>
      </c>
      <c r="C562" t="str">
        <f>T("최애에게 들켜버렸다 41화")</f>
        <v>최애에게 들켜버렸다 41화</v>
      </c>
      <c r="D562" t="str">
        <f>T("42")</f>
        <v>42</v>
      </c>
      <c r="E562" t="str">
        <f>T("Lv")</f>
        <v>Lv</v>
      </c>
      <c r="G562" t="str">
        <f>T("Lv")</f>
        <v>Lv</v>
      </c>
      <c r="H562" t="str">
        <f t="shared" si="58"/>
        <v>스토리위즈</v>
      </c>
      <c r="I562" t="str">
        <f>T("최애에게 들켜버렸다")</f>
        <v>최애에게 들켜버렸다</v>
      </c>
      <c r="J562">
        <v>400</v>
      </c>
      <c r="K562">
        <v>0</v>
      </c>
      <c r="L562">
        <v>0</v>
      </c>
      <c r="M562">
        <v>0</v>
      </c>
      <c r="N562">
        <v>400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400</v>
      </c>
      <c r="AH562">
        <v>2</v>
      </c>
      <c r="AI562">
        <v>0</v>
      </c>
      <c r="AJ562">
        <v>0</v>
      </c>
      <c r="AK562">
        <v>200</v>
      </c>
      <c r="AL562">
        <v>0</v>
      </c>
      <c r="AM562">
        <v>240</v>
      </c>
      <c r="AN562">
        <v>-24</v>
      </c>
      <c r="AO562">
        <v>0</v>
      </c>
      <c r="AP562"/>
      <c r="AQ562">
        <v>0</v>
      </c>
      <c r="AR562">
        <v>0</v>
      </c>
      <c r="AS562">
        <v>240</v>
      </c>
      <c r="AT562">
        <v>-24</v>
      </c>
      <c r="AU562">
        <v>0</v>
      </c>
      <c r="AW562">
        <v>0</v>
      </c>
      <c r="AX562">
        <v>0</v>
      </c>
      <c r="AY562">
        <v>291.2</v>
      </c>
      <c r="BA562" t="str">
        <f>T("0000000000000")</f>
        <v>0000000000000</v>
      </c>
      <c r="BC562" t="str">
        <f>T("9791137601253")</f>
        <v>9791137601253</v>
      </c>
      <c r="BE562" t="str">
        <f>T("웹툰 &gt; 해외 순정")</f>
        <v>웹툰 &gt; 해외 순정</v>
      </c>
      <c r="BF562" t="str">
        <f>T("웹툰 &gt; 로맨스")</f>
        <v>웹툰 &gt; 로맨스</v>
      </c>
    </row>
    <row r="563" spans="1:58" x14ac:dyDescent="0.3">
      <c r="A563">
        <v>4421000450</v>
      </c>
      <c r="B563">
        <v>4421000490</v>
      </c>
      <c r="C563" t="str">
        <f>T("내 남편의 스토커 40화")</f>
        <v>내 남편의 스토커 40화</v>
      </c>
      <c r="D563" t="str">
        <f>T("40")</f>
        <v>40</v>
      </c>
      <c r="E563" t="str">
        <f>T("혜원")</f>
        <v>혜원</v>
      </c>
      <c r="G563" t="str">
        <f>T("혜원")</f>
        <v>혜원</v>
      </c>
      <c r="H563" t="str">
        <f t="shared" si="58"/>
        <v>스토리위즈</v>
      </c>
      <c r="I563" t="str">
        <f>T("내 남편의 스토커")</f>
        <v>내 남편의 스토커</v>
      </c>
      <c r="J563">
        <v>400</v>
      </c>
      <c r="K563">
        <v>0</v>
      </c>
      <c r="L563">
        <v>0</v>
      </c>
      <c r="M563">
        <v>0</v>
      </c>
      <c r="N563">
        <v>200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240</v>
      </c>
      <c r="AN563">
        <v>-24</v>
      </c>
      <c r="AO563">
        <v>0</v>
      </c>
      <c r="AP563"/>
      <c r="AQ563">
        <v>0</v>
      </c>
      <c r="AR563">
        <v>0</v>
      </c>
      <c r="AS563">
        <v>240</v>
      </c>
      <c r="AT563">
        <v>-24</v>
      </c>
      <c r="AU563">
        <v>0</v>
      </c>
      <c r="AW563">
        <v>0</v>
      </c>
      <c r="AX563">
        <v>0</v>
      </c>
      <c r="AY563">
        <v>151.19999999999999</v>
      </c>
      <c r="BA563" t="str">
        <f>T("0000000000000")</f>
        <v>0000000000000</v>
      </c>
      <c r="BC563" t="str">
        <f>T("9791166068034")</f>
        <v>9791166068034</v>
      </c>
      <c r="BE563" t="str">
        <f>T("웹툰 &gt; 로맨스")</f>
        <v>웹툰 &gt; 로맨스</v>
      </c>
    </row>
    <row r="564" spans="1:58" x14ac:dyDescent="0.3">
      <c r="A564">
        <v>4421000887</v>
      </c>
      <c r="B564">
        <v>4421000892</v>
      </c>
      <c r="C564" t="str">
        <f>T("폭군의 눈물 6화")</f>
        <v>폭군의 눈물 6화</v>
      </c>
      <c r="D564" t="str">
        <f>T("6")</f>
        <v>6</v>
      </c>
      <c r="E564" t="str">
        <f>T("Ice×FANFAN COMIC")</f>
        <v>Ice×FANFAN COMIC</v>
      </c>
      <c r="G564" t="str">
        <f>T("Ice×FANFAN COMIC")</f>
        <v>Ice×FANFAN COMIC</v>
      </c>
      <c r="H564" t="str">
        <f t="shared" si="58"/>
        <v>스토리위즈</v>
      </c>
      <c r="I564" t="str">
        <f>T("폭군의 눈물")</f>
        <v>폭군의 눈물</v>
      </c>
      <c r="J564">
        <v>400</v>
      </c>
      <c r="K564">
        <v>0</v>
      </c>
      <c r="L564">
        <v>0</v>
      </c>
      <c r="M564">
        <v>0</v>
      </c>
      <c r="N564">
        <v>200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200</v>
      </c>
      <c r="AH564">
        <v>1</v>
      </c>
      <c r="AI564">
        <v>0</v>
      </c>
      <c r="AJ564">
        <v>0</v>
      </c>
      <c r="AK564">
        <v>200</v>
      </c>
      <c r="AL564">
        <v>0</v>
      </c>
      <c r="AM564">
        <v>0</v>
      </c>
      <c r="AN564">
        <v>0</v>
      </c>
      <c r="AO564">
        <v>0</v>
      </c>
      <c r="AP564"/>
      <c r="AQ564">
        <v>0</v>
      </c>
      <c r="AR564">
        <v>0</v>
      </c>
      <c r="AT564">
        <v>0</v>
      </c>
      <c r="AU564">
        <v>0</v>
      </c>
      <c r="AW564">
        <v>0</v>
      </c>
      <c r="AX564">
        <v>0</v>
      </c>
      <c r="AY564">
        <v>140</v>
      </c>
      <c r="BA564" t="str">
        <f>T("0000000000000")</f>
        <v>0000000000000</v>
      </c>
      <c r="BC564" t="str">
        <f>T("9791137601291")</f>
        <v>9791137601291</v>
      </c>
      <c r="BE564" t="str">
        <f>T("웹툰 &gt; 해외 순정")</f>
        <v>웹툰 &gt; 해외 순정</v>
      </c>
      <c r="BF564" t="str">
        <f>T("웹툰 &gt; 로판")</f>
        <v>웹툰 &gt; 로판</v>
      </c>
    </row>
    <row r="565" spans="1:58" x14ac:dyDescent="0.3">
      <c r="A565">
        <v>4421000887</v>
      </c>
      <c r="B565">
        <v>4421001284</v>
      </c>
      <c r="C565" t="str">
        <f>T("폭군의 눈물 54화")</f>
        <v>폭군의 눈물 54화</v>
      </c>
      <c r="D565" t="str">
        <f>T("54")</f>
        <v>54</v>
      </c>
      <c r="E565" t="str">
        <f>T("Ice×FANFAN COMIC")</f>
        <v>Ice×FANFAN COMIC</v>
      </c>
      <c r="G565" t="str">
        <f>T("Ice×FANFAN COMIC")</f>
        <v>Ice×FANFAN COMIC</v>
      </c>
      <c r="H565" t="str">
        <f t="shared" si="58"/>
        <v>스토리위즈</v>
      </c>
      <c r="I565" t="str">
        <f>T("폭군의 눈물")</f>
        <v>폭군의 눈물</v>
      </c>
      <c r="J565">
        <v>400</v>
      </c>
      <c r="K565">
        <v>0</v>
      </c>
      <c r="L565">
        <v>0</v>
      </c>
      <c r="M565">
        <v>0</v>
      </c>
      <c r="N565">
        <v>200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200</v>
      </c>
      <c r="AH565">
        <v>1</v>
      </c>
      <c r="AI565">
        <v>0</v>
      </c>
      <c r="AJ565">
        <v>0</v>
      </c>
      <c r="AK565">
        <v>200</v>
      </c>
      <c r="AL565">
        <v>0</v>
      </c>
      <c r="AM565">
        <v>0</v>
      </c>
      <c r="AN565">
        <v>0</v>
      </c>
      <c r="AO565">
        <v>0</v>
      </c>
      <c r="AP565"/>
      <c r="AQ565">
        <v>0</v>
      </c>
      <c r="AR565">
        <v>0</v>
      </c>
      <c r="AT565">
        <v>0</v>
      </c>
      <c r="AU565">
        <v>0</v>
      </c>
      <c r="AW565">
        <v>0</v>
      </c>
      <c r="AX565">
        <v>0</v>
      </c>
      <c r="AY565">
        <v>140</v>
      </c>
      <c r="BA565" t="str">
        <f>T("0000000000000")</f>
        <v>0000000000000</v>
      </c>
      <c r="BC565" t="str">
        <f>T("9791137601291")</f>
        <v>9791137601291</v>
      </c>
      <c r="BE565" t="str">
        <f>T("웹툰 &gt; 해외 순정")</f>
        <v>웹툰 &gt; 해외 순정</v>
      </c>
      <c r="BF565" t="str">
        <f>T("웹툰 &gt; 로판")</f>
        <v>웹툰 &gt; 로판</v>
      </c>
    </row>
    <row r="566" spans="1:58" x14ac:dyDescent="0.3">
      <c r="A566">
        <v>4421001634</v>
      </c>
      <c r="B566">
        <v>4421002524</v>
      </c>
      <c r="C566" t="str">
        <f>T("그남자의 사랑방식 75화")</f>
        <v>그남자의 사랑방식 75화</v>
      </c>
      <c r="D566" t="str">
        <f>T("75")</f>
        <v>75</v>
      </c>
      <c r="E566" t="str">
        <f>T("웹티")</f>
        <v>웹티</v>
      </c>
      <c r="H566" t="str">
        <f t="shared" si="58"/>
        <v>스토리위즈</v>
      </c>
      <c r="I566" t="str">
        <f>T("그남자의 사랑방식")</f>
        <v>그남자의 사랑방식</v>
      </c>
      <c r="J566">
        <v>500</v>
      </c>
      <c r="K566">
        <v>0</v>
      </c>
      <c r="L566">
        <v>0</v>
      </c>
      <c r="M566">
        <v>0</v>
      </c>
      <c r="N566">
        <v>200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240</v>
      </c>
      <c r="AN566">
        <v>-24</v>
      </c>
      <c r="AO566">
        <v>0</v>
      </c>
      <c r="AP566"/>
      <c r="AQ566">
        <v>0</v>
      </c>
      <c r="AR566">
        <v>0</v>
      </c>
      <c r="AS566">
        <v>240</v>
      </c>
      <c r="AT566">
        <v>-24</v>
      </c>
      <c r="AU566">
        <v>0</v>
      </c>
      <c r="AW566">
        <v>0</v>
      </c>
      <c r="AX566">
        <v>0</v>
      </c>
      <c r="AY566">
        <v>151.19999999999999</v>
      </c>
      <c r="BC566" t="str">
        <f>T("9791190622004")</f>
        <v>9791190622004</v>
      </c>
      <c r="BE566" t="str">
        <f>T("BL 웹툰 &gt; 웹툰")</f>
        <v>BL 웹툰 &gt; 웹툰</v>
      </c>
    </row>
    <row r="567" spans="1:58" x14ac:dyDescent="0.3">
      <c r="A567">
        <v>4421001634</v>
      </c>
      <c r="B567">
        <v>4421001643</v>
      </c>
      <c r="C567" t="str">
        <f>T("그남자의 사랑방식 10화")</f>
        <v>그남자의 사랑방식 10화</v>
      </c>
      <c r="D567" t="str">
        <f>T("10")</f>
        <v>10</v>
      </c>
      <c r="E567" t="str">
        <f>T("웹티")</f>
        <v>웹티</v>
      </c>
      <c r="H567" t="str">
        <f t="shared" si="58"/>
        <v>스토리위즈</v>
      </c>
      <c r="I567" t="str">
        <f>T("그남자의 사랑방식")</f>
        <v>그남자의 사랑방식</v>
      </c>
      <c r="J567">
        <v>500</v>
      </c>
      <c r="K567">
        <v>0</v>
      </c>
      <c r="L567">
        <v>0</v>
      </c>
      <c r="M567">
        <v>0</v>
      </c>
      <c r="N567">
        <v>800</v>
      </c>
      <c r="O567">
        <v>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800</v>
      </c>
      <c r="AH567">
        <v>4</v>
      </c>
      <c r="AI567">
        <v>0</v>
      </c>
      <c r="AJ567">
        <v>0</v>
      </c>
      <c r="AK567">
        <v>400</v>
      </c>
      <c r="AL567">
        <v>0</v>
      </c>
      <c r="AM567">
        <v>480</v>
      </c>
      <c r="AN567">
        <v>-48</v>
      </c>
      <c r="AO567">
        <v>0</v>
      </c>
      <c r="AP567"/>
      <c r="AQ567">
        <v>0</v>
      </c>
      <c r="AR567">
        <v>0</v>
      </c>
      <c r="AS567">
        <v>480</v>
      </c>
      <c r="AT567">
        <v>-48</v>
      </c>
      <c r="AU567">
        <v>0</v>
      </c>
      <c r="AW567">
        <v>0</v>
      </c>
      <c r="AX567">
        <v>0</v>
      </c>
      <c r="AY567">
        <v>582.4</v>
      </c>
      <c r="BC567" t="str">
        <f>T("9791190622004")</f>
        <v>9791190622004</v>
      </c>
      <c r="BE567" t="str">
        <f>T("BL 웹툰 &gt; 웹툰")</f>
        <v>BL 웹툰 &gt; 웹툰</v>
      </c>
    </row>
    <row r="568" spans="1:58" x14ac:dyDescent="0.3">
      <c r="A568">
        <v>4421001634</v>
      </c>
      <c r="B568">
        <v>4421002556</v>
      </c>
      <c r="C568" t="str">
        <f>T("그남자의 사랑방식 107화")</f>
        <v>그남자의 사랑방식 107화</v>
      </c>
      <c r="D568" t="str">
        <f>T("107")</f>
        <v>107</v>
      </c>
      <c r="E568" t="str">
        <f>T("웹티")</f>
        <v>웹티</v>
      </c>
      <c r="H568" t="str">
        <f t="shared" si="58"/>
        <v>스토리위즈</v>
      </c>
      <c r="I568" t="str">
        <f>T("그남자의 사랑방식")</f>
        <v>그남자의 사랑방식</v>
      </c>
      <c r="J568">
        <v>500</v>
      </c>
      <c r="K568">
        <v>0</v>
      </c>
      <c r="L568">
        <v>0</v>
      </c>
      <c r="M568">
        <v>0</v>
      </c>
      <c r="N568">
        <v>400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2</v>
      </c>
      <c r="AI568">
        <v>0</v>
      </c>
      <c r="AJ568">
        <v>0</v>
      </c>
      <c r="AK568">
        <v>200</v>
      </c>
      <c r="AL568">
        <v>0</v>
      </c>
      <c r="AM568">
        <v>240</v>
      </c>
      <c r="AN568">
        <v>-24</v>
      </c>
      <c r="AO568">
        <v>0</v>
      </c>
      <c r="AP568"/>
      <c r="AQ568">
        <v>0</v>
      </c>
      <c r="AR568">
        <v>0</v>
      </c>
      <c r="AS568">
        <v>240</v>
      </c>
      <c r="AT568">
        <v>-24</v>
      </c>
      <c r="AU568">
        <v>0</v>
      </c>
      <c r="AW568">
        <v>0</v>
      </c>
      <c r="AX568">
        <v>0</v>
      </c>
      <c r="AY568">
        <v>291.2</v>
      </c>
      <c r="BC568" t="str">
        <f>T("9791190622004")</f>
        <v>9791190622004</v>
      </c>
      <c r="BE568" t="str">
        <f>T("BL 웹툰 &gt; 웹툰")</f>
        <v>BL 웹툰 &gt; 웹툰</v>
      </c>
    </row>
    <row r="569" spans="1:58" x14ac:dyDescent="0.3">
      <c r="A569">
        <v>4421000866</v>
      </c>
      <c r="B569">
        <v>4421001376</v>
      </c>
      <c r="C569" t="str">
        <f>T("최애에게 들켜버렸다 71화")</f>
        <v>최애에게 들켜버렸다 71화</v>
      </c>
      <c r="D569" t="str">
        <f>T("74")</f>
        <v>74</v>
      </c>
      <c r="E569" t="str">
        <f>T("Lv")</f>
        <v>Lv</v>
      </c>
      <c r="G569" t="str">
        <f>T("Lv")</f>
        <v>Lv</v>
      </c>
      <c r="H569" t="str">
        <f t="shared" si="58"/>
        <v>스토리위즈</v>
      </c>
      <c r="I569" t="str">
        <f>T("최애에게 들켜버렸다")</f>
        <v>최애에게 들켜버렸다</v>
      </c>
      <c r="J569">
        <v>400</v>
      </c>
      <c r="K569">
        <v>0</v>
      </c>
      <c r="L569">
        <v>0</v>
      </c>
      <c r="M569">
        <v>0</v>
      </c>
      <c r="N569">
        <v>200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240</v>
      </c>
      <c r="AN569">
        <v>-24</v>
      </c>
      <c r="AO569">
        <v>0</v>
      </c>
      <c r="AP569"/>
      <c r="AQ569">
        <v>0</v>
      </c>
      <c r="AR569">
        <v>0</v>
      </c>
      <c r="AS569">
        <v>240</v>
      </c>
      <c r="AT569">
        <v>-24</v>
      </c>
      <c r="AU569">
        <v>0</v>
      </c>
      <c r="AW569">
        <v>0</v>
      </c>
      <c r="AX569">
        <v>0</v>
      </c>
      <c r="AY569">
        <v>151.19999999999999</v>
      </c>
      <c r="BA569" t="str">
        <f>T("0000000000000")</f>
        <v>0000000000000</v>
      </c>
      <c r="BC569" t="str">
        <f>T("9791137601253")</f>
        <v>9791137601253</v>
      </c>
      <c r="BE569" t="str">
        <f>T("웹툰 &gt; 해외 순정")</f>
        <v>웹툰 &gt; 해외 순정</v>
      </c>
      <c r="BF569" t="str">
        <f>T("웹툰 &gt; 로맨스")</f>
        <v>웹툰 &gt; 로맨스</v>
      </c>
    </row>
    <row r="570" spans="1:58" x14ac:dyDescent="0.3">
      <c r="A570">
        <v>4421001634</v>
      </c>
      <c r="B570">
        <v>4421001675</v>
      </c>
      <c r="C570" t="str">
        <f>T("그남자의 사랑방식 42화")</f>
        <v>그남자의 사랑방식 42화</v>
      </c>
      <c r="D570" t="str">
        <f>T("42")</f>
        <v>42</v>
      </c>
      <c r="E570" t="str">
        <f>T("웹티")</f>
        <v>웹티</v>
      </c>
      <c r="H570" t="str">
        <f t="shared" si="58"/>
        <v>스토리위즈</v>
      </c>
      <c r="I570" t="str">
        <f>T("그남자의 사랑방식")</f>
        <v>그남자의 사랑방식</v>
      </c>
      <c r="J570">
        <v>500</v>
      </c>
      <c r="K570">
        <v>0</v>
      </c>
      <c r="L570">
        <v>0</v>
      </c>
      <c r="M570">
        <v>0</v>
      </c>
      <c r="N570">
        <v>800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800</v>
      </c>
      <c r="AH570">
        <v>4</v>
      </c>
      <c r="AI570">
        <v>0</v>
      </c>
      <c r="AJ570">
        <v>0</v>
      </c>
      <c r="AK570">
        <v>400</v>
      </c>
      <c r="AL570">
        <v>0</v>
      </c>
      <c r="AM570">
        <v>480</v>
      </c>
      <c r="AN570">
        <v>-48</v>
      </c>
      <c r="AO570">
        <v>0</v>
      </c>
      <c r="AP570"/>
      <c r="AQ570">
        <v>0</v>
      </c>
      <c r="AR570">
        <v>0</v>
      </c>
      <c r="AS570">
        <v>480</v>
      </c>
      <c r="AT570">
        <v>-48</v>
      </c>
      <c r="AU570">
        <v>0</v>
      </c>
      <c r="AW570">
        <v>0</v>
      </c>
      <c r="AX570">
        <v>0</v>
      </c>
      <c r="AY570">
        <v>582.4</v>
      </c>
      <c r="BC570" t="str">
        <f>T("9791190622004")</f>
        <v>9791190622004</v>
      </c>
      <c r="BE570" t="str">
        <f>T("BL 웹툰 &gt; 웹툰")</f>
        <v>BL 웹툰 &gt; 웹툰</v>
      </c>
    </row>
    <row r="571" spans="1:58" x14ac:dyDescent="0.3">
      <c r="A571">
        <v>4421003015</v>
      </c>
      <c r="B571">
        <v>4421003033</v>
      </c>
      <c r="C571" t="str">
        <f>T("일월성신 18화")</f>
        <v>일월성신 18화</v>
      </c>
      <c r="D571" t="str">
        <f>T("18")</f>
        <v>18</v>
      </c>
      <c r="E571" t="str">
        <f>T("김숙지")</f>
        <v>김숙지</v>
      </c>
      <c r="G571" t="str">
        <f>T("이름표")</f>
        <v>이름표</v>
      </c>
      <c r="H571" t="str">
        <f t="shared" si="58"/>
        <v>스토리위즈</v>
      </c>
      <c r="I571" t="str">
        <f>T("일월성신")</f>
        <v>일월성신</v>
      </c>
      <c r="J571">
        <v>400</v>
      </c>
      <c r="K571">
        <v>0</v>
      </c>
      <c r="L571">
        <v>0</v>
      </c>
      <c r="M571">
        <v>0</v>
      </c>
      <c r="N571">
        <v>600</v>
      </c>
      <c r="O571">
        <v>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600</v>
      </c>
      <c r="AH571">
        <v>3</v>
      </c>
      <c r="AI571">
        <v>0</v>
      </c>
      <c r="AJ571">
        <v>0</v>
      </c>
      <c r="AK571">
        <v>200</v>
      </c>
      <c r="AL571">
        <v>0</v>
      </c>
      <c r="AM571">
        <v>480</v>
      </c>
      <c r="AN571">
        <v>-96</v>
      </c>
      <c r="AO571">
        <v>0</v>
      </c>
      <c r="AP571">
        <v>240</v>
      </c>
      <c r="AQ571">
        <v>-72</v>
      </c>
      <c r="AR571">
        <v>0</v>
      </c>
      <c r="AS571">
        <v>240</v>
      </c>
      <c r="AT571">
        <v>-24</v>
      </c>
      <c r="AU571">
        <v>0</v>
      </c>
      <c r="AW571">
        <v>0</v>
      </c>
      <c r="AX571">
        <v>0</v>
      </c>
      <c r="AY571">
        <v>408.8</v>
      </c>
      <c r="BA571" t="str">
        <f>T("0000000000000")</f>
        <v>0000000000000</v>
      </c>
      <c r="BC571" t="str">
        <f>T("9791137604605")</f>
        <v>9791137604605</v>
      </c>
      <c r="BE571" t="str">
        <f>T("웹툰 &gt; 드라마")</f>
        <v>웹툰 &gt; 드라마</v>
      </c>
    </row>
    <row r="572" spans="1:58" x14ac:dyDescent="0.3">
      <c r="A572">
        <v>4421002022</v>
      </c>
      <c r="B572">
        <v>4421002022</v>
      </c>
      <c r="C572" t="str">
        <f>T("대표님과 연애를 시작했습니다 1화")</f>
        <v>대표님과 연애를 시작했습니다 1화</v>
      </c>
      <c r="D572" t="str">
        <f>T("1")</f>
        <v>1</v>
      </c>
      <c r="E572" t="str">
        <f>T("웹티")</f>
        <v>웹티</v>
      </c>
      <c r="H572" t="str">
        <f t="shared" si="58"/>
        <v>스토리위즈</v>
      </c>
      <c r="I572" t="str">
        <f>T("대표님과 연애를 시작했습니다")</f>
        <v>대표님과 연애를 시작했습니다</v>
      </c>
      <c r="J572">
        <v>0</v>
      </c>
      <c r="K572">
        <v>0</v>
      </c>
      <c r="L572">
        <v>0</v>
      </c>
      <c r="M572">
        <v>566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566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/>
      <c r="AQ572">
        <v>0</v>
      </c>
      <c r="AR572">
        <v>0</v>
      </c>
      <c r="AT572">
        <v>0</v>
      </c>
      <c r="AU572">
        <v>0</v>
      </c>
      <c r="AW572">
        <v>0</v>
      </c>
      <c r="AX572">
        <v>0</v>
      </c>
      <c r="AY572">
        <v>0</v>
      </c>
      <c r="BA572" t="str">
        <f>T("0000000000000")</f>
        <v>0000000000000</v>
      </c>
      <c r="BC572" t="str">
        <f>T("9791196660482")</f>
        <v>9791196660482</v>
      </c>
      <c r="BE572" t="str">
        <f>T("BL 웹툰 &gt; 웹툰")</f>
        <v>BL 웹툰 &gt; 웹툰</v>
      </c>
    </row>
    <row r="573" spans="1:58" x14ac:dyDescent="0.3">
      <c r="A573">
        <v>4421001305</v>
      </c>
      <c r="B573">
        <v>4421001310</v>
      </c>
      <c r="C573" t="str">
        <f>T("악역이지만, 남주는 꼬시지 않아요 6화")</f>
        <v>악역이지만, 남주는 꼬시지 않아요 6화</v>
      </c>
      <c r="D573" t="str">
        <f>T("6")</f>
        <v>6</v>
      </c>
      <c r="E573" t="str">
        <f>T("마북명")</f>
        <v>마북명</v>
      </c>
      <c r="G573" t="str">
        <f>T("kuri")</f>
        <v>kuri</v>
      </c>
      <c r="H573" t="str">
        <f t="shared" si="58"/>
        <v>스토리위즈</v>
      </c>
      <c r="I573" t="str">
        <f>T("악역이지만, 남주는 꼬시지 않아요")</f>
        <v>악역이지만, 남주는 꼬시지 않아요</v>
      </c>
      <c r="J573">
        <v>400</v>
      </c>
      <c r="K573">
        <v>0</v>
      </c>
      <c r="L573">
        <v>0</v>
      </c>
      <c r="M573">
        <v>0</v>
      </c>
      <c r="N573">
        <v>2800</v>
      </c>
      <c r="O573">
        <v>14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2800</v>
      </c>
      <c r="AH573">
        <v>14</v>
      </c>
      <c r="AI573">
        <v>0</v>
      </c>
      <c r="AJ573">
        <v>0</v>
      </c>
      <c r="AK573">
        <v>2400</v>
      </c>
      <c r="AL573">
        <v>0</v>
      </c>
      <c r="AM573">
        <v>480</v>
      </c>
      <c r="AN573">
        <v>-144</v>
      </c>
      <c r="AO573">
        <v>0</v>
      </c>
      <c r="AP573">
        <v>480</v>
      </c>
      <c r="AQ573">
        <v>-144</v>
      </c>
      <c r="AR573">
        <v>0</v>
      </c>
      <c r="AT573">
        <v>0</v>
      </c>
      <c r="AU573">
        <v>0</v>
      </c>
      <c r="AW573">
        <v>0</v>
      </c>
      <c r="AX573">
        <v>0</v>
      </c>
      <c r="AY573">
        <v>1915.2</v>
      </c>
      <c r="BA573" t="str">
        <f>T("0000000000000")</f>
        <v>0000000000000</v>
      </c>
      <c r="BC573" t="str">
        <f>T("9791137603882")</f>
        <v>9791137603882</v>
      </c>
      <c r="BE573" t="str">
        <f>T("웹툰 &gt; 해외 순정")</f>
        <v>웹툰 &gt; 해외 순정</v>
      </c>
      <c r="BF573" t="str">
        <f>T("웹툰 &gt; 로판")</f>
        <v>웹툰 &gt; 로판</v>
      </c>
    </row>
    <row r="574" spans="1:58" x14ac:dyDescent="0.3">
      <c r="A574">
        <v>4421001634</v>
      </c>
      <c r="B574">
        <v>4421002545</v>
      </c>
      <c r="C574" t="str">
        <f>T("그남자의 사랑방식 96화")</f>
        <v>그남자의 사랑방식 96화</v>
      </c>
      <c r="D574" t="str">
        <f>T("96")</f>
        <v>96</v>
      </c>
      <c r="E574" t="str">
        <f>T("웹티")</f>
        <v>웹티</v>
      </c>
      <c r="H574" t="str">
        <f t="shared" si="58"/>
        <v>스토리위즈</v>
      </c>
      <c r="I574" t="str">
        <f>T("그남자의 사랑방식")</f>
        <v>그남자의 사랑방식</v>
      </c>
      <c r="J574">
        <v>500</v>
      </c>
      <c r="K574">
        <v>0</v>
      </c>
      <c r="L574">
        <v>0</v>
      </c>
      <c r="M574">
        <v>0</v>
      </c>
      <c r="N574">
        <v>200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240</v>
      </c>
      <c r="AN574">
        <v>-24</v>
      </c>
      <c r="AO574">
        <v>0</v>
      </c>
      <c r="AP574"/>
      <c r="AQ574">
        <v>0</v>
      </c>
      <c r="AR574">
        <v>0</v>
      </c>
      <c r="AS574">
        <v>240</v>
      </c>
      <c r="AT574">
        <v>-24</v>
      </c>
      <c r="AU574">
        <v>0</v>
      </c>
      <c r="AW574">
        <v>0</v>
      </c>
      <c r="AX574">
        <v>0</v>
      </c>
      <c r="AY574">
        <v>151.19999999999999</v>
      </c>
      <c r="BC574" t="str">
        <f>T("9791190622004")</f>
        <v>9791190622004</v>
      </c>
      <c r="BE574" t="str">
        <f>T("BL 웹툰 &gt; 웹툰")</f>
        <v>BL 웹툰 &gt; 웹툰</v>
      </c>
    </row>
    <row r="575" spans="1:58" x14ac:dyDescent="0.3">
      <c r="A575">
        <v>4421001340</v>
      </c>
      <c r="B575">
        <v>4421001364</v>
      </c>
      <c r="C575" t="str">
        <f>T("가출천사 육성계약 25화")</f>
        <v>가출천사 육성계약 25화</v>
      </c>
      <c r="D575" t="str">
        <f>T("25")</f>
        <v>25</v>
      </c>
      <c r="E575" t="str">
        <f>T("Bae.C, IIAKI, 박제후")</f>
        <v>Bae.C, IIAKI, 박제후</v>
      </c>
      <c r="G575" t="str">
        <f>T("Bae.C, 조우")</f>
        <v>Bae.C, 조우</v>
      </c>
      <c r="H575" t="str">
        <f t="shared" si="58"/>
        <v>스토리위즈</v>
      </c>
      <c r="I575" t="str">
        <f>T("가출천사 육성계약")</f>
        <v>가출천사 육성계약</v>
      </c>
      <c r="J575">
        <v>400</v>
      </c>
      <c r="K575">
        <v>0</v>
      </c>
      <c r="L575">
        <v>0</v>
      </c>
      <c r="M575">
        <v>0</v>
      </c>
      <c r="N575">
        <v>200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200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240</v>
      </c>
      <c r="AN575">
        <v>-24</v>
      </c>
      <c r="AO575">
        <v>0</v>
      </c>
      <c r="AP575"/>
      <c r="AQ575">
        <v>0</v>
      </c>
      <c r="AR575">
        <v>0</v>
      </c>
      <c r="AS575">
        <v>240</v>
      </c>
      <c r="AT575">
        <v>-24</v>
      </c>
      <c r="AU575">
        <v>0</v>
      </c>
      <c r="AW575">
        <v>0</v>
      </c>
      <c r="AX575">
        <v>0</v>
      </c>
      <c r="AY575">
        <v>151.19999999999999</v>
      </c>
      <c r="BA575" t="str">
        <f>T("0000000000000")</f>
        <v>0000000000000</v>
      </c>
      <c r="BC575" t="str">
        <f>T("9791191765663")</f>
        <v>9791191765663</v>
      </c>
      <c r="BE575" t="str">
        <f>T("웹툰 &gt; 판타지/SF")</f>
        <v>웹툰 &gt; 판타지/SF</v>
      </c>
    </row>
    <row r="576" spans="1:58" x14ac:dyDescent="0.3">
      <c r="A576">
        <v>4421001634</v>
      </c>
      <c r="B576">
        <v>4421001664</v>
      </c>
      <c r="C576" t="str">
        <f>T("그남자의 사랑방식 31화")</f>
        <v>그남자의 사랑방식 31화</v>
      </c>
      <c r="D576" t="str">
        <f>T("31")</f>
        <v>31</v>
      </c>
      <c r="E576" t="str">
        <f>T("웹티")</f>
        <v>웹티</v>
      </c>
      <c r="H576" t="str">
        <f t="shared" si="58"/>
        <v>스토리위즈</v>
      </c>
      <c r="I576" t="str">
        <f>T("그남자의 사랑방식")</f>
        <v>그남자의 사랑방식</v>
      </c>
      <c r="J576">
        <v>500</v>
      </c>
      <c r="K576">
        <v>0</v>
      </c>
      <c r="L576">
        <v>0</v>
      </c>
      <c r="M576">
        <v>0</v>
      </c>
      <c r="N576">
        <v>800</v>
      </c>
      <c r="O576">
        <v>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800</v>
      </c>
      <c r="AH576">
        <v>4</v>
      </c>
      <c r="AI576">
        <v>0</v>
      </c>
      <c r="AJ576">
        <v>0</v>
      </c>
      <c r="AK576">
        <v>500</v>
      </c>
      <c r="AL576">
        <v>0</v>
      </c>
      <c r="AM576">
        <v>360</v>
      </c>
      <c r="AN576">
        <v>-36</v>
      </c>
      <c r="AO576">
        <v>0</v>
      </c>
      <c r="AP576"/>
      <c r="AQ576">
        <v>0</v>
      </c>
      <c r="AR576">
        <v>0</v>
      </c>
      <c r="AS576">
        <v>360</v>
      </c>
      <c r="AT576">
        <v>-36</v>
      </c>
      <c r="AU576">
        <v>0</v>
      </c>
      <c r="AW576">
        <v>0</v>
      </c>
      <c r="AX576">
        <v>0</v>
      </c>
      <c r="AY576">
        <v>576.79999999999995</v>
      </c>
      <c r="BC576" t="str">
        <f>T("9791190622004")</f>
        <v>9791190622004</v>
      </c>
      <c r="BE576" t="str">
        <f>T("BL 웹툰 &gt; 웹툰")</f>
        <v>BL 웹툰 &gt; 웹툰</v>
      </c>
    </row>
    <row r="577" spans="1:58" x14ac:dyDescent="0.3">
      <c r="A577">
        <v>4421000866</v>
      </c>
      <c r="B577">
        <v>4421001269</v>
      </c>
      <c r="C577" t="str">
        <f>T("최애에게 들켜버렸다 62화")</f>
        <v>최애에게 들켜버렸다 62화</v>
      </c>
      <c r="D577" t="str">
        <f>T("65")</f>
        <v>65</v>
      </c>
      <c r="E577" t="str">
        <f>T("Lv")</f>
        <v>Lv</v>
      </c>
      <c r="G577" t="str">
        <f>T("Lv")</f>
        <v>Lv</v>
      </c>
      <c r="H577" t="str">
        <f t="shared" si="58"/>
        <v>스토리위즈</v>
      </c>
      <c r="I577" t="str">
        <f>T("최애에게 들켜버렸다")</f>
        <v>최애에게 들켜버렸다</v>
      </c>
      <c r="J577">
        <v>400</v>
      </c>
      <c r="K577">
        <v>0</v>
      </c>
      <c r="L577">
        <v>0</v>
      </c>
      <c r="M577">
        <v>0</v>
      </c>
      <c r="N577">
        <v>200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240</v>
      </c>
      <c r="AN577">
        <v>-24</v>
      </c>
      <c r="AO577">
        <v>0</v>
      </c>
      <c r="AP577"/>
      <c r="AQ577">
        <v>0</v>
      </c>
      <c r="AR577">
        <v>0</v>
      </c>
      <c r="AS577">
        <v>240</v>
      </c>
      <c r="AT577">
        <v>-24</v>
      </c>
      <c r="AU577">
        <v>0</v>
      </c>
      <c r="AW577">
        <v>0</v>
      </c>
      <c r="AX577">
        <v>0</v>
      </c>
      <c r="AY577">
        <v>151.19999999999999</v>
      </c>
      <c r="BA577" t="str">
        <f>T("0000000000000")</f>
        <v>0000000000000</v>
      </c>
      <c r="BC577" t="str">
        <f>T("9791137601253")</f>
        <v>9791137601253</v>
      </c>
      <c r="BE577" t="str">
        <f>T("웹툰 &gt; 해외 순정")</f>
        <v>웹툰 &gt; 해외 순정</v>
      </c>
      <c r="BF577" t="str">
        <f>T("웹툰 &gt; 로맨스")</f>
        <v>웹툰 &gt; 로맨스</v>
      </c>
    </row>
    <row r="578" spans="1:58" x14ac:dyDescent="0.3">
      <c r="A578">
        <v>4421003015</v>
      </c>
      <c r="B578">
        <v>4421003022</v>
      </c>
      <c r="C578" t="str">
        <f>T("일월성신 7화")</f>
        <v>일월성신 7화</v>
      </c>
      <c r="D578" t="str">
        <f>T("7")</f>
        <v>7</v>
      </c>
      <c r="E578" t="str">
        <f>T("김숙지")</f>
        <v>김숙지</v>
      </c>
      <c r="G578" t="str">
        <f>T("이름표")</f>
        <v>이름표</v>
      </c>
      <c r="H578" t="str">
        <f t="shared" ref="H578:H641" si="59">T("스토리위즈")</f>
        <v>스토리위즈</v>
      </c>
      <c r="I578" t="str">
        <f>T("일월성신")</f>
        <v>일월성신</v>
      </c>
      <c r="J578">
        <v>400</v>
      </c>
      <c r="K578">
        <v>0</v>
      </c>
      <c r="L578">
        <v>0</v>
      </c>
      <c r="M578">
        <v>0</v>
      </c>
      <c r="N578">
        <v>1200</v>
      </c>
      <c r="O578">
        <v>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1200</v>
      </c>
      <c r="AH578">
        <v>6</v>
      </c>
      <c r="AI578">
        <v>0</v>
      </c>
      <c r="AJ578">
        <v>0</v>
      </c>
      <c r="AK578">
        <v>400</v>
      </c>
      <c r="AL578">
        <v>0</v>
      </c>
      <c r="AM578">
        <v>960</v>
      </c>
      <c r="AN578">
        <v>-144</v>
      </c>
      <c r="AO578">
        <v>0</v>
      </c>
      <c r="AP578">
        <v>240</v>
      </c>
      <c r="AQ578">
        <v>-72</v>
      </c>
      <c r="AR578">
        <v>0</v>
      </c>
      <c r="AS578">
        <v>720</v>
      </c>
      <c r="AT578">
        <v>-72</v>
      </c>
      <c r="AU578">
        <v>0</v>
      </c>
      <c r="AW578">
        <v>0</v>
      </c>
      <c r="AX578">
        <v>0</v>
      </c>
      <c r="AY578">
        <v>851.2</v>
      </c>
      <c r="BA578" t="str">
        <f>T("0000000000000")</f>
        <v>0000000000000</v>
      </c>
      <c r="BC578" t="str">
        <f>T("9791137604605")</f>
        <v>9791137604605</v>
      </c>
      <c r="BE578" t="str">
        <f>T("웹툰 &gt; 드라마")</f>
        <v>웹툰 &gt; 드라마</v>
      </c>
    </row>
    <row r="579" spans="1:58" x14ac:dyDescent="0.3">
      <c r="A579">
        <v>4421001634</v>
      </c>
      <c r="B579">
        <v>4421001681</v>
      </c>
      <c r="C579" t="str">
        <f>T("그남자의 사랑방식 48화")</f>
        <v>그남자의 사랑방식 48화</v>
      </c>
      <c r="D579" t="str">
        <f>T("48")</f>
        <v>48</v>
      </c>
      <c r="E579" t="str">
        <f>T("웹티")</f>
        <v>웹티</v>
      </c>
      <c r="H579" t="str">
        <f t="shared" si="59"/>
        <v>스토리위즈</v>
      </c>
      <c r="I579" t="str">
        <f>T("그남자의 사랑방식")</f>
        <v>그남자의 사랑방식</v>
      </c>
      <c r="J579">
        <v>500</v>
      </c>
      <c r="K579">
        <v>0</v>
      </c>
      <c r="L579">
        <v>0</v>
      </c>
      <c r="M579">
        <v>0</v>
      </c>
      <c r="N579">
        <v>600</v>
      </c>
      <c r="O579">
        <v>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600</v>
      </c>
      <c r="AH579">
        <v>3</v>
      </c>
      <c r="AI579">
        <v>0</v>
      </c>
      <c r="AJ579">
        <v>0</v>
      </c>
      <c r="AK579">
        <v>400</v>
      </c>
      <c r="AL579">
        <v>0</v>
      </c>
      <c r="AM579">
        <v>240</v>
      </c>
      <c r="AN579">
        <v>-24</v>
      </c>
      <c r="AO579">
        <v>0</v>
      </c>
      <c r="AP579"/>
      <c r="AQ579">
        <v>0</v>
      </c>
      <c r="AR579">
        <v>0</v>
      </c>
      <c r="AS579">
        <v>240</v>
      </c>
      <c r="AT579">
        <v>-24</v>
      </c>
      <c r="AU579">
        <v>0</v>
      </c>
      <c r="AW579">
        <v>0</v>
      </c>
      <c r="AX579">
        <v>0</v>
      </c>
      <c r="AY579">
        <v>431.2</v>
      </c>
      <c r="BC579" t="str">
        <f>T("9791190622004")</f>
        <v>9791190622004</v>
      </c>
      <c r="BE579" t="str">
        <f>T("BL 웹툰 &gt; 웹툰")</f>
        <v>BL 웹툰 &gt; 웹툰</v>
      </c>
    </row>
    <row r="580" spans="1:58" x14ac:dyDescent="0.3">
      <c r="A580">
        <v>4421002079</v>
      </c>
      <c r="B580">
        <v>4421002080</v>
      </c>
      <c r="C580" t="str">
        <f>T("황제의 사랑방식 2화")</f>
        <v>황제의 사랑방식 2화</v>
      </c>
      <c r="D580" t="str">
        <f>T("2")</f>
        <v>2</v>
      </c>
      <c r="E580" t="str">
        <f>T("웹티")</f>
        <v>웹티</v>
      </c>
      <c r="H580" t="str">
        <f t="shared" si="59"/>
        <v>스토리위즈</v>
      </c>
      <c r="I580" t="str">
        <f>T("황제의 사랑방식")</f>
        <v>황제의 사랑방식</v>
      </c>
      <c r="J580">
        <v>0</v>
      </c>
      <c r="K580">
        <v>0</v>
      </c>
      <c r="L580">
        <v>0</v>
      </c>
      <c r="M580">
        <v>207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207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/>
      <c r="AQ580">
        <v>0</v>
      </c>
      <c r="AR580">
        <v>0</v>
      </c>
      <c r="AT580">
        <v>0</v>
      </c>
      <c r="AU580">
        <v>0</v>
      </c>
      <c r="AW580">
        <v>0</v>
      </c>
      <c r="AX580">
        <v>0</v>
      </c>
      <c r="AY580">
        <v>0</v>
      </c>
      <c r="BA580" t="str">
        <f>T("0000000000000")</f>
        <v>0000000000000</v>
      </c>
      <c r="BC580" t="str">
        <f>T("9791196650131")</f>
        <v>9791196650131</v>
      </c>
      <c r="BE580" t="str">
        <f>T("BL 웹툰 &gt; 웹툰")</f>
        <v>BL 웹툰 &gt; 웹툰</v>
      </c>
    </row>
    <row r="581" spans="1:58" x14ac:dyDescent="0.3">
      <c r="A581">
        <v>4421000450</v>
      </c>
      <c r="B581">
        <v>4421000512</v>
      </c>
      <c r="C581" t="str">
        <f>T("내 남편의 스토커 62화")</f>
        <v>내 남편의 스토커 62화</v>
      </c>
      <c r="D581" t="str">
        <f>T("62")</f>
        <v>62</v>
      </c>
      <c r="E581" t="str">
        <f>T("혜원")</f>
        <v>혜원</v>
      </c>
      <c r="G581" t="str">
        <f>T("혜원")</f>
        <v>혜원</v>
      </c>
      <c r="H581" t="str">
        <f t="shared" si="59"/>
        <v>스토리위즈</v>
      </c>
      <c r="I581" t="str">
        <f>T("내 남편의 스토커")</f>
        <v>내 남편의 스토커</v>
      </c>
      <c r="J581">
        <v>400</v>
      </c>
      <c r="K581">
        <v>0</v>
      </c>
      <c r="L581">
        <v>0</v>
      </c>
      <c r="M581">
        <v>0</v>
      </c>
      <c r="N581">
        <v>200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240</v>
      </c>
      <c r="AN581">
        <v>-24</v>
      </c>
      <c r="AO581">
        <v>0</v>
      </c>
      <c r="AP581"/>
      <c r="AQ581">
        <v>0</v>
      </c>
      <c r="AR581">
        <v>0</v>
      </c>
      <c r="AS581">
        <v>240</v>
      </c>
      <c r="AT581">
        <v>-24</v>
      </c>
      <c r="AU581">
        <v>0</v>
      </c>
      <c r="AW581">
        <v>0</v>
      </c>
      <c r="AX581">
        <v>0</v>
      </c>
      <c r="AY581">
        <v>151.19999999999999</v>
      </c>
      <c r="BA581" t="str">
        <f>T("0000000000000")</f>
        <v>0000000000000</v>
      </c>
      <c r="BC581" t="str">
        <f>T("9791166068034")</f>
        <v>9791166068034</v>
      </c>
      <c r="BE581" t="str">
        <f>T("웹툰 &gt; 로맨스")</f>
        <v>웹툰 &gt; 로맨스</v>
      </c>
    </row>
    <row r="582" spans="1:58" x14ac:dyDescent="0.3">
      <c r="A582">
        <v>4421000001</v>
      </c>
      <c r="B582">
        <v>4421000030</v>
      </c>
      <c r="C582" t="str">
        <f>T("감옥실험 20화")</f>
        <v>감옥실험 20화</v>
      </c>
      <c r="D582" t="str">
        <f>T("20")</f>
        <v>20</v>
      </c>
      <c r="E582" t="str">
        <f>T("Kantetsu")</f>
        <v>Kantetsu</v>
      </c>
      <c r="G582" t="str">
        <f>T("Minase Chiho")</f>
        <v>Minase Chiho</v>
      </c>
      <c r="H582" t="str">
        <f t="shared" si="59"/>
        <v>스토리위즈</v>
      </c>
      <c r="I582" t="str">
        <f>T("감옥실험")</f>
        <v>감옥실험</v>
      </c>
      <c r="J582">
        <v>500</v>
      </c>
      <c r="K582">
        <v>0</v>
      </c>
      <c r="L582">
        <v>0</v>
      </c>
      <c r="M582">
        <v>0</v>
      </c>
      <c r="N582">
        <v>1500</v>
      </c>
      <c r="O582">
        <v>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1500</v>
      </c>
      <c r="AH582">
        <v>5</v>
      </c>
      <c r="AI582">
        <v>0</v>
      </c>
      <c r="AJ582">
        <v>0</v>
      </c>
      <c r="AK582">
        <v>900</v>
      </c>
      <c r="AL582">
        <v>0</v>
      </c>
      <c r="AM582">
        <v>720</v>
      </c>
      <c r="AN582">
        <v>-72</v>
      </c>
      <c r="AO582">
        <v>0</v>
      </c>
      <c r="AP582"/>
      <c r="AQ582">
        <v>0</v>
      </c>
      <c r="AR582">
        <v>0</v>
      </c>
      <c r="AS582">
        <v>720</v>
      </c>
      <c r="AT582">
        <v>-72</v>
      </c>
      <c r="AU582">
        <v>0</v>
      </c>
      <c r="AW582">
        <v>0</v>
      </c>
      <c r="AX582">
        <v>0</v>
      </c>
      <c r="AY582">
        <v>1083.5999999999999</v>
      </c>
      <c r="BC582" t="str">
        <f>T("9791166069406")</f>
        <v>9791166069406</v>
      </c>
      <c r="BE582" t="str">
        <f>T("웹툰 &gt; 드라마")</f>
        <v>웹툰 &gt; 드라마</v>
      </c>
    </row>
    <row r="583" spans="1:58" x14ac:dyDescent="0.3">
      <c r="A583">
        <v>4421000866</v>
      </c>
      <c r="B583">
        <v>4421000994</v>
      </c>
      <c r="C583" t="str">
        <f>T("최애에게 들켜버렸다 36화")</f>
        <v>최애에게 들켜버렸다 36화</v>
      </c>
      <c r="D583" t="str">
        <f>T("37")</f>
        <v>37</v>
      </c>
      <c r="E583" t="str">
        <f>T("Lv")</f>
        <v>Lv</v>
      </c>
      <c r="G583" t="str">
        <f>T("Lv")</f>
        <v>Lv</v>
      </c>
      <c r="H583" t="str">
        <f t="shared" si="59"/>
        <v>스토리위즈</v>
      </c>
      <c r="I583" t="str">
        <f>T("최애에게 들켜버렸다")</f>
        <v>최애에게 들켜버렸다</v>
      </c>
      <c r="J583">
        <v>400</v>
      </c>
      <c r="K583">
        <v>0</v>
      </c>
      <c r="L583">
        <v>0</v>
      </c>
      <c r="M583">
        <v>0</v>
      </c>
      <c r="N583">
        <v>400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400</v>
      </c>
      <c r="AH583">
        <v>2</v>
      </c>
      <c r="AI583">
        <v>0</v>
      </c>
      <c r="AJ583">
        <v>0</v>
      </c>
      <c r="AK583">
        <v>200</v>
      </c>
      <c r="AL583">
        <v>0</v>
      </c>
      <c r="AM583">
        <v>240</v>
      </c>
      <c r="AN583">
        <v>-24</v>
      </c>
      <c r="AO583">
        <v>0</v>
      </c>
      <c r="AP583"/>
      <c r="AQ583">
        <v>0</v>
      </c>
      <c r="AR583">
        <v>0</v>
      </c>
      <c r="AS583">
        <v>240</v>
      </c>
      <c r="AT583">
        <v>-24</v>
      </c>
      <c r="AU583">
        <v>0</v>
      </c>
      <c r="AW583">
        <v>0</v>
      </c>
      <c r="AX583">
        <v>0</v>
      </c>
      <c r="AY583">
        <v>291.2</v>
      </c>
      <c r="BA583" t="str">
        <f>T("0000000000000")</f>
        <v>0000000000000</v>
      </c>
      <c r="BC583" t="str">
        <f>T("9791137601253")</f>
        <v>9791137601253</v>
      </c>
      <c r="BE583" t="str">
        <f>T("웹툰 &gt; 해외 순정")</f>
        <v>웹툰 &gt; 해외 순정</v>
      </c>
      <c r="BF583" t="str">
        <f>T("웹툰 &gt; 로맨스")</f>
        <v>웹툰 &gt; 로맨스</v>
      </c>
    </row>
    <row r="584" spans="1:58" x14ac:dyDescent="0.3">
      <c r="A584">
        <v>4421000450</v>
      </c>
      <c r="B584">
        <v>4421000479</v>
      </c>
      <c r="C584" t="str">
        <f>T("내 남편의 스토커 29화")</f>
        <v>내 남편의 스토커 29화</v>
      </c>
      <c r="D584" t="str">
        <f>T("29")</f>
        <v>29</v>
      </c>
      <c r="E584" t="str">
        <f>T("혜원")</f>
        <v>혜원</v>
      </c>
      <c r="G584" t="str">
        <f>T("혜원")</f>
        <v>혜원</v>
      </c>
      <c r="H584" t="str">
        <f t="shared" si="59"/>
        <v>스토리위즈</v>
      </c>
      <c r="I584" t="str">
        <f>T("내 남편의 스토커")</f>
        <v>내 남편의 스토커</v>
      </c>
      <c r="J584">
        <v>400</v>
      </c>
      <c r="K584">
        <v>0</v>
      </c>
      <c r="L584">
        <v>0</v>
      </c>
      <c r="M584">
        <v>0</v>
      </c>
      <c r="N584">
        <v>200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240</v>
      </c>
      <c r="AN584">
        <v>-24</v>
      </c>
      <c r="AO584">
        <v>0</v>
      </c>
      <c r="AP584"/>
      <c r="AQ584">
        <v>0</v>
      </c>
      <c r="AR584">
        <v>0</v>
      </c>
      <c r="AS584">
        <v>240</v>
      </c>
      <c r="AT584">
        <v>-24</v>
      </c>
      <c r="AU584">
        <v>0</v>
      </c>
      <c r="AW584">
        <v>0</v>
      </c>
      <c r="AX584">
        <v>0</v>
      </c>
      <c r="AY584">
        <v>151.19999999999999</v>
      </c>
      <c r="BA584" t="str">
        <f>T("0000000000000")</f>
        <v>0000000000000</v>
      </c>
      <c r="BC584" t="str">
        <f>T("9791166068034")</f>
        <v>9791166068034</v>
      </c>
      <c r="BE584" t="str">
        <f>T("웹툰 &gt; 로맨스")</f>
        <v>웹툰 &gt; 로맨스</v>
      </c>
    </row>
    <row r="585" spans="1:58" x14ac:dyDescent="0.3">
      <c r="A585">
        <v>4421000866</v>
      </c>
      <c r="B585">
        <v>4421000881</v>
      </c>
      <c r="C585" t="str">
        <f>T("최애에게 들켜버렸다 15화")</f>
        <v>최애에게 들켜버렸다 15화</v>
      </c>
      <c r="D585" t="str">
        <f>T("15")</f>
        <v>15</v>
      </c>
      <c r="E585" t="str">
        <f>T("Lv")</f>
        <v>Lv</v>
      </c>
      <c r="G585" t="str">
        <f>T("Lv")</f>
        <v>Lv</v>
      </c>
      <c r="H585" t="str">
        <f t="shared" si="59"/>
        <v>스토리위즈</v>
      </c>
      <c r="I585" t="str">
        <f>T("최애에게 들켜버렸다")</f>
        <v>최애에게 들켜버렸다</v>
      </c>
      <c r="J585">
        <v>400</v>
      </c>
      <c r="K585">
        <v>0</v>
      </c>
      <c r="L585">
        <v>0</v>
      </c>
      <c r="M585">
        <v>0</v>
      </c>
      <c r="N585">
        <v>600</v>
      </c>
      <c r="O585">
        <v>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600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720</v>
      </c>
      <c r="AN585">
        <v>-120</v>
      </c>
      <c r="AO585">
        <v>0</v>
      </c>
      <c r="AP585"/>
      <c r="AQ585">
        <v>0</v>
      </c>
      <c r="AR585">
        <v>0</v>
      </c>
      <c r="AS585">
        <v>720</v>
      </c>
      <c r="AT585">
        <v>-120</v>
      </c>
      <c r="AU585">
        <v>0</v>
      </c>
      <c r="AW585">
        <v>0</v>
      </c>
      <c r="AX585">
        <v>0</v>
      </c>
      <c r="AY585">
        <v>420</v>
      </c>
      <c r="BA585" t="str">
        <f>T("0000000000000")</f>
        <v>0000000000000</v>
      </c>
      <c r="BC585" t="str">
        <f>T("9791137601253")</f>
        <v>9791137601253</v>
      </c>
      <c r="BE585" t="str">
        <f>T("웹툰 &gt; 해외 순정")</f>
        <v>웹툰 &gt; 해외 순정</v>
      </c>
      <c r="BF585" t="str">
        <f>T("웹툰 &gt; 로맨스")</f>
        <v>웹툰 &gt; 로맨스</v>
      </c>
    </row>
    <row r="586" spans="1:58" x14ac:dyDescent="0.3">
      <c r="A586">
        <v>4421000001</v>
      </c>
      <c r="B586">
        <v>4421000173</v>
      </c>
      <c r="C586" t="str">
        <f>T("감옥실험 52화")</f>
        <v>감옥실험 52화</v>
      </c>
      <c r="D586" t="str">
        <f>T("52")</f>
        <v>52</v>
      </c>
      <c r="E586" t="str">
        <f>T("Kantetsu")</f>
        <v>Kantetsu</v>
      </c>
      <c r="G586" t="str">
        <f>T("Minase Chiho")</f>
        <v>Minase Chiho</v>
      </c>
      <c r="H586" t="str">
        <f t="shared" si="59"/>
        <v>스토리위즈</v>
      </c>
      <c r="I586" t="str">
        <f>T("감옥실험")</f>
        <v>감옥실험</v>
      </c>
      <c r="J586">
        <v>500</v>
      </c>
      <c r="K586">
        <v>0</v>
      </c>
      <c r="L586">
        <v>0</v>
      </c>
      <c r="M586">
        <v>0</v>
      </c>
      <c r="N586">
        <v>900</v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900</v>
      </c>
      <c r="AH586">
        <v>3</v>
      </c>
      <c r="AI586">
        <v>0</v>
      </c>
      <c r="AJ586">
        <v>0</v>
      </c>
      <c r="AK586">
        <v>600</v>
      </c>
      <c r="AL586">
        <v>0</v>
      </c>
      <c r="AM586">
        <v>360</v>
      </c>
      <c r="AN586">
        <v>-108</v>
      </c>
      <c r="AO586">
        <v>0</v>
      </c>
      <c r="AP586"/>
      <c r="AQ586">
        <v>0</v>
      </c>
      <c r="AR586">
        <v>0</v>
      </c>
      <c r="AS586">
        <v>360</v>
      </c>
      <c r="AT586">
        <v>-108</v>
      </c>
      <c r="AU586">
        <v>0</v>
      </c>
      <c r="AW586">
        <v>0</v>
      </c>
      <c r="AX586">
        <v>0</v>
      </c>
      <c r="AY586">
        <v>596.4</v>
      </c>
      <c r="BC586" t="str">
        <f>T("9791166069406")</f>
        <v>9791166069406</v>
      </c>
      <c r="BE586" t="str">
        <f>T("웹툰 &gt; 드라마")</f>
        <v>웹툰 &gt; 드라마</v>
      </c>
    </row>
    <row r="587" spans="1:58" x14ac:dyDescent="0.3">
      <c r="A587">
        <v>4421001634</v>
      </c>
      <c r="B587">
        <v>4421002513</v>
      </c>
      <c r="C587" t="str">
        <f>T("그남자의 사랑방식 64화")</f>
        <v>그남자의 사랑방식 64화</v>
      </c>
      <c r="D587" t="str">
        <f>T("64")</f>
        <v>64</v>
      </c>
      <c r="E587" t="str">
        <f>T("웹티")</f>
        <v>웹티</v>
      </c>
      <c r="H587" t="str">
        <f t="shared" si="59"/>
        <v>스토리위즈</v>
      </c>
      <c r="I587" t="str">
        <f>T("그남자의 사랑방식")</f>
        <v>그남자의 사랑방식</v>
      </c>
      <c r="J587">
        <v>500</v>
      </c>
      <c r="K587">
        <v>0</v>
      </c>
      <c r="L587">
        <v>0</v>
      </c>
      <c r="M587">
        <v>0</v>
      </c>
      <c r="N587">
        <v>200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240</v>
      </c>
      <c r="AN587">
        <v>-24</v>
      </c>
      <c r="AO587">
        <v>0</v>
      </c>
      <c r="AP587"/>
      <c r="AQ587">
        <v>0</v>
      </c>
      <c r="AR587">
        <v>0</v>
      </c>
      <c r="AS587">
        <v>240</v>
      </c>
      <c r="AT587">
        <v>-24</v>
      </c>
      <c r="AU587">
        <v>0</v>
      </c>
      <c r="AW587">
        <v>0</v>
      </c>
      <c r="AX587">
        <v>0</v>
      </c>
      <c r="AY587">
        <v>151.19999999999999</v>
      </c>
      <c r="BC587" t="str">
        <f>T("9791190622004")</f>
        <v>9791190622004</v>
      </c>
      <c r="BE587" t="str">
        <f>T("BL 웹툰 &gt; 웹툰")</f>
        <v>BL 웹툰 &gt; 웹툰</v>
      </c>
    </row>
    <row r="588" spans="1:58" x14ac:dyDescent="0.3">
      <c r="A588">
        <v>4421001568</v>
      </c>
      <c r="B588">
        <v>4421001571</v>
      </c>
      <c r="C588" t="str">
        <f>T("구름의 연인 4화")</f>
        <v>구름의 연인 4화</v>
      </c>
      <c r="D588" t="str">
        <f>T("4")</f>
        <v>4</v>
      </c>
      <c r="E588" t="str">
        <f>T("웹티")</f>
        <v>웹티</v>
      </c>
      <c r="H588" t="str">
        <f t="shared" si="59"/>
        <v>스토리위즈</v>
      </c>
      <c r="I588" t="str">
        <f>T("구름의 연인")</f>
        <v>구름의 연인</v>
      </c>
      <c r="J588">
        <v>500</v>
      </c>
      <c r="K588">
        <v>0</v>
      </c>
      <c r="L588">
        <v>0</v>
      </c>
      <c r="M588">
        <v>0</v>
      </c>
      <c r="N588">
        <v>200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200</v>
      </c>
      <c r="AH588">
        <v>1</v>
      </c>
      <c r="AI588">
        <v>0</v>
      </c>
      <c r="AJ588">
        <v>0</v>
      </c>
      <c r="AK588">
        <v>200</v>
      </c>
      <c r="AL588">
        <v>0</v>
      </c>
      <c r="AM588">
        <v>0</v>
      </c>
      <c r="AN588">
        <v>0</v>
      </c>
      <c r="AO588">
        <v>0</v>
      </c>
      <c r="AP588"/>
      <c r="AQ588">
        <v>0</v>
      </c>
      <c r="AR588">
        <v>0</v>
      </c>
      <c r="AT588">
        <v>0</v>
      </c>
      <c r="AU588">
        <v>0</v>
      </c>
      <c r="AW588">
        <v>0</v>
      </c>
      <c r="AX588">
        <v>0</v>
      </c>
      <c r="AY588">
        <v>140</v>
      </c>
      <c r="BA588" t="str">
        <f>T("0000000000000")</f>
        <v>0000000000000</v>
      </c>
      <c r="BC588" t="str">
        <f>T("9791196402730")</f>
        <v>9791196402730</v>
      </c>
      <c r="BE588" t="str">
        <f>T("웹툰 &gt; 로맨스")</f>
        <v>웹툰 &gt; 로맨스</v>
      </c>
    </row>
    <row r="589" spans="1:58" x14ac:dyDescent="0.3">
      <c r="A589">
        <v>4421001340</v>
      </c>
      <c r="B589">
        <v>4421002973</v>
      </c>
      <c r="C589" t="str">
        <f>T("가출천사 육성계약 57화 (완결)")</f>
        <v>가출천사 육성계약 57화 (완결)</v>
      </c>
      <c r="D589" t="str">
        <f>T("57")</f>
        <v>57</v>
      </c>
      <c r="E589" t="str">
        <f>T("Bae.C, IIAKI, 박제후")</f>
        <v>Bae.C, IIAKI, 박제후</v>
      </c>
      <c r="G589" t="str">
        <f>T("Bae.C, 조우")</f>
        <v>Bae.C, 조우</v>
      </c>
      <c r="H589" t="str">
        <f t="shared" si="59"/>
        <v>스토리위즈</v>
      </c>
      <c r="I589" t="str">
        <f>T("가출천사 육성계약")</f>
        <v>가출천사 육성계약</v>
      </c>
      <c r="J589">
        <v>400</v>
      </c>
      <c r="K589">
        <v>0</v>
      </c>
      <c r="L589">
        <v>0</v>
      </c>
      <c r="M589">
        <v>0</v>
      </c>
      <c r="N589">
        <v>200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200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240</v>
      </c>
      <c r="AN589">
        <v>-24</v>
      </c>
      <c r="AO589">
        <v>0</v>
      </c>
      <c r="AP589"/>
      <c r="AQ589">
        <v>0</v>
      </c>
      <c r="AR589">
        <v>0</v>
      </c>
      <c r="AS589">
        <v>240</v>
      </c>
      <c r="AT589">
        <v>-24</v>
      </c>
      <c r="AU589">
        <v>0</v>
      </c>
      <c r="AW589">
        <v>0</v>
      </c>
      <c r="AX589">
        <v>0</v>
      </c>
      <c r="AY589">
        <v>151.19999999999999</v>
      </c>
      <c r="BA589" t="str">
        <f>T("0000000000000")</f>
        <v>0000000000000</v>
      </c>
      <c r="BC589" t="str">
        <f>T("9791191765663")</f>
        <v>9791191765663</v>
      </c>
      <c r="BE589" t="str">
        <f>T("웹툰 &gt; 판타지/SF")</f>
        <v>웹툰 &gt; 판타지/SF</v>
      </c>
    </row>
    <row r="590" spans="1:58" x14ac:dyDescent="0.3">
      <c r="A590">
        <v>4421000866</v>
      </c>
      <c r="B590">
        <v>4421000870</v>
      </c>
      <c r="C590" t="str">
        <f>T("최애에게 들켜버렸다 4화")</f>
        <v>최애에게 들켜버렸다 4화</v>
      </c>
      <c r="D590" t="str">
        <f>T("4")</f>
        <v>4</v>
      </c>
      <c r="E590" t="str">
        <f>T("Lv")</f>
        <v>Lv</v>
      </c>
      <c r="G590" t="str">
        <f>T("Lv")</f>
        <v>Lv</v>
      </c>
      <c r="H590" t="str">
        <f t="shared" si="59"/>
        <v>스토리위즈</v>
      </c>
      <c r="I590" t="str">
        <f>T("최애에게 들켜버렸다")</f>
        <v>최애에게 들켜버렸다</v>
      </c>
      <c r="J590">
        <v>400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44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/>
      <c r="AQ590">
        <v>0</v>
      </c>
      <c r="AR590">
        <v>0</v>
      </c>
      <c r="AT590">
        <v>0</v>
      </c>
      <c r="AU590">
        <v>0</v>
      </c>
      <c r="AW590">
        <v>0</v>
      </c>
      <c r="AX590">
        <v>0</v>
      </c>
      <c r="AY590">
        <v>0</v>
      </c>
      <c r="BA590" t="str">
        <f>T("0000000000000")</f>
        <v>0000000000000</v>
      </c>
      <c r="BC590" t="str">
        <f>T("9791137601253")</f>
        <v>9791137601253</v>
      </c>
      <c r="BE590" t="str">
        <f>T("웹툰 &gt; 해외 순정")</f>
        <v>웹툰 &gt; 해외 순정</v>
      </c>
      <c r="BF590" t="str">
        <f>T("웹툰 &gt; 로맨스")</f>
        <v>웹툰 &gt; 로맨스</v>
      </c>
    </row>
    <row r="591" spans="1:58" x14ac:dyDescent="0.3">
      <c r="A591">
        <v>4421000001</v>
      </c>
      <c r="B591">
        <v>4421000061</v>
      </c>
      <c r="C591" t="str">
        <f>T("감옥실험 41화")</f>
        <v>감옥실험 41화</v>
      </c>
      <c r="D591" t="str">
        <f>T("41")</f>
        <v>41</v>
      </c>
      <c r="E591" t="str">
        <f>T("Kantetsu")</f>
        <v>Kantetsu</v>
      </c>
      <c r="G591" t="str">
        <f>T("Minase Chiho")</f>
        <v>Minase Chiho</v>
      </c>
      <c r="H591" t="str">
        <f t="shared" si="59"/>
        <v>스토리위즈</v>
      </c>
      <c r="I591" t="str">
        <f>T("감옥실험")</f>
        <v>감옥실험</v>
      </c>
      <c r="J591">
        <v>500</v>
      </c>
      <c r="K591">
        <v>0</v>
      </c>
      <c r="L591">
        <v>0</v>
      </c>
      <c r="M591">
        <v>0</v>
      </c>
      <c r="N591">
        <v>600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600</v>
      </c>
      <c r="AH591">
        <v>2</v>
      </c>
      <c r="AI591">
        <v>0</v>
      </c>
      <c r="AJ591">
        <v>0</v>
      </c>
      <c r="AK591">
        <v>600</v>
      </c>
      <c r="AL591">
        <v>0</v>
      </c>
      <c r="AM591">
        <v>0</v>
      </c>
      <c r="AN591">
        <v>0</v>
      </c>
      <c r="AO591">
        <v>0</v>
      </c>
      <c r="AP591"/>
      <c r="AQ591">
        <v>0</v>
      </c>
      <c r="AR591">
        <v>0</v>
      </c>
      <c r="AT591">
        <v>0</v>
      </c>
      <c r="AU591">
        <v>0</v>
      </c>
      <c r="AW591">
        <v>0</v>
      </c>
      <c r="AX591">
        <v>0</v>
      </c>
      <c r="AY591">
        <v>420</v>
      </c>
      <c r="BC591" t="str">
        <f>T("9791166069406")</f>
        <v>9791166069406</v>
      </c>
      <c r="BE591" t="str">
        <f>T("웹툰 &gt; 드라마")</f>
        <v>웹툰 &gt; 드라마</v>
      </c>
    </row>
    <row r="592" spans="1:58" x14ac:dyDescent="0.3">
      <c r="A592">
        <v>4421001634</v>
      </c>
      <c r="B592">
        <v>4421002501</v>
      </c>
      <c r="C592" t="str">
        <f>T("그남자의 사랑방식 52화")</f>
        <v>그남자의 사랑방식 52화</v>
      </c>
      <c r="D592" t="str">
        <f>T("52")</f>
        <v>52</v>
      </c>
      <c r="E592" t="str">
        <f>T("웹티")</f>
        <v>웹티</v>
      </c>
      <c r="H592" t="str">
        <f t="shared" si="59"/>
        <v>스토리위즈</v>
      </c>
      <c r="I592" t="str">
        <f>T("그남자의 사랑방식")</f>
        <v>그남자의 사랑방식</v>
      </c>
      <c r="J592">
        <v>500</v>
      </c>
      <c r="K592">
        <v>0</v>
      </c>
      <c r="L592">
        <v>0</v>
      </c>
      <c r="M592">
        <v>0</v>
      </c>
      <c r="N592">
        <v>400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2</v>
      </c>
      <c r="AI592">
        <v>0</v>
      </c>
      <c r="AJ592">
        <v>0</v>
      </c>
      <c r="AK592">
        <v>200</v>
      </c>
      <c r="AL592">
        <v>0</v>
      </c>
      <c r="AM592">
        <v>240</v>
      </c>
      <c r="AN592">
        <v>-24</v>
      </c>
      <c r="AO592">
        <v>0</v>
      </c>
      <c r="AP592"/>
      <c r="AQ592">
        <v>0</v>
      </c>
      <c r="AR592">
        <v>0</v>
      </c>
      <c r="AS592">
        <v>240</v>
      </c>
      <c r="AT592">
        <v>-24</v>
      </c>
      <c r="AU592">
        <v>0</v>
      </c>
      <c r="AW592">
        <v>0</v>
      </c>
      <c r="AX592">
        <v>0</v>
      </c>
      <c r="AY592">
        <v>291.2</v>
      </c>
      <c r="BC592" t="str">
        <f>T("9791190622004")</f>
        <v>9791190622004</v>
      </c>
      <c r="BE592" t="str">
        <f>T("BL 웹툰 &gt; 웹툰")</f>
        <v>BL 웹툰 &gt; 웹툰</v>
      </c>
    </row>
    <row r="593" spans="1:58" x14ac:dyDescent="0.3">
      <c r="A593">
        <v>4421000450</v>
      </c>
      <c r="B593">
        <v>4421000500</v>
      </c>
      <c r="C593" t="str">
        <f>T("내 남편의 스토커 50화")</f>
        <v>내 남편의 스토커 50화</v>
      </c>
      <c r="D593" t="str">
        <f>T("50")</f>
        <v>50</v>
      </c>
      <c r="E593" t="str">
        <f>T("혜원")</f>
        <v>혜원</v>
      </c>
      <c r="G593" t="str">
        <f>T("혜원")</f>
        <v>혜원</v>
      </c>
      <c r="H593" t="str">
        <f t="shared" si="59"/>
        <v>스토리위즈</v>
      </c>
      <c r="I593" t="str">
        <f>T("내 남편의 스토커")</f>
        <v>내 남편의 스토커</v>
      </c>
      <c r="J593">
        <v>400</v>
      </c>
      <c r="K593">
        <v>0</v>
      </c>
      <c r="L593">
        <v>0</v>
      </c>
      <c r="M593">
        <v>0</v>
      </c>
      <c r="N593">
        <v>200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240</v>
      </c>
      <c r="AN593">
        <v>-24</v>
      </c>
      <c r="AO593">
        <v>0</v>
      </c>
      <c r="AP593"/>
      <c r="AQ593">
        <v>0</v>
      </c>
      <c r="AR593">
        <v>0</v>
      </c>
      <c r="AS593">
        <v>240</v>
      </c>
      <c r="AT593">
        <v>-24</v>
      </c>
      <c r="AU593">
        <v>0</v>
      </c>
      <c r="AW593">
        <v>0</v>
      </c>
      <c r="AX593">
        <v>0</v>
      </c>
      <c r="AY593">
        <v>151.19999999999999</v>
      </c>
      <c r="BA593" t="str">
        <f>T("0000000000000")</f>
        <v>0000000000000</v>
      </c>
      <c r="BC593" t="str">
        <f>T("9791166068034")</f>
        <v>9791166068034</v>
      </c>
      <c r="BE593" t="str">
        <f>T("웹툰 &gt; 로맨스")</f>
        <v>웹툰 &gt; 로맨스</v>
      </c>
    </row>
    <row r="594" spans="1:58" x14ac:dyDescent="0.3">
      <c r="A594">
        <v>4421000866</v>
      </c>
      <c r="B594">
        <v>4421002960</v>
      </c>
      <c r="C594" t="str">
        <f>T("최애에게 들켜버렸다 92화")</f>
        <v>최애에게 들켜버렸다 92화</v>
      </c>
      <c r="D594" t="str">
        <f>T("95")</f>
        <v>95</v>
      </c>
      <c r="E594" t="str">
        <f>T("Lv")</f>
        <v>Lv</v>
      </c>
      <c r="G594" t="str">
        <f>T("Lv")</f>
        <v>Lv</v>
      </c>
      <c r="H594" t="str">
        <f t="shared" si="59"/>
        <v>스토리위즈</v>
      </c>
      <c r="I594" t="str">
        <f>T("최애에게 들켜버렸다")</f>
        <v>최애에게 들켜버렸다</v>
      </c>
      <c r="J594">
        <v>400</v>
      </c>
      <c r="K594">
        <v>0</v>
      </c>
      <c r="L594">
        <v>0</v>
      </c>
      <c r="M594">
        <v>0</v>
      </c>
      <c r="N594">
        <v>200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200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240</v>
      </c>
      <c r="AN594">
        <v>-24</v>
      </c>
      <c r="AO594">
        <v>0</v>
      </c>
      <c r="AP594"/>
      <c r="AQ594">
        <v>0</v>
      </c>
      <c r="AR594">
        <v>0</v>
      </c>
      <c r="AS594">
        <v>240</v>
      </c>
      <c r="AT594">
        <v>-24</v>
      </c>
      <c r="AU594">
        <v>0</v>
      </c>
      <c r="AW594">
        <v>0</v>
      </c>
      <c r="AX594">
        <v>0</v>
      </c>
      <c r="AY594">
        <v>151.19999999999999</v>
      </c>
      <c r="BA594" t="str">
        <f>T("0000000000000")</f>
        <v>0000000000000</v>
      </c>
      <c r="BC594" t="str">
        <f>T("9791137601253")</f>
        <v>9791137601253</v>
      </c>
      <c r="BE594" t="str">
        <f>T("웹툰 &gt; 해외 순정")</f>
        <v>웹툰 &gt; 해외 순정</v>
      </c>
      <c r="BF594" t="str">
        <f>T("웹툰 &gt; 로맨스")</f>
        <v>웹툰 &gt; 로맨스</v>
      </c>
    </row>
    <row r="595" spans="1:58" x14ac:dyDescent="0.3">
      <c r="A595">
        <v>4421003015</v>
      </c>
      <c r="B595">
        <v>4421003036</v>
      </c>
      <c r="C595" t="str">
        <f>T("일월성신 21화")</f>
        <v>일월성신 21화</v>
      </c>
      <c r="D595" t="str">
        <f>T("21")</f>
        <v>21</v>
      </c>
      <c r="E595" t="str">
        <f>T("김숙지")</f>
        <v>김숙지</v>
      </c>
      <c r="G595" t="str">
        <f>T("이름표")</f>
        <v>이름표</v>
      </c>
      <c r="H595" t="str">
        <f t="shared" si="59"/>
        <v>스토리위즈</v>
      </c>
      <c r="I595" t="str">
        <f>T("일월성신")</f>
        <v>일월성신</v>
      </c>
      <c r="J595">
        <v>400</v>
      </c>
      <c r="K595">
        <v>0</v>
      </c>
      <c r="L595">
        <v>0</v>
      </c>
      <c r="M595">
        <v>0</v>
      </c>
      <c r="N595">
        <v>600</v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600</v>
      </c>
      <c r="AH595">
        <v>3</v>
      </c>
      <c r="AI595">
        <v>0</v>
      </c>
      <c r="AJ595">
        <v>0</v>
      </c>
      <c r="AK595">
        <v>200</v>
      </c>
      <c r="AL595">
        <v>0</v>
      </c>
      <c r="AM595">
        <v>480</v>
      </c>
      <c r="AN595">
        <v>-96</v>
      </c>
      <c r="AO595">
        <v>0</v>
      </c>
      <c r="AP595">
        <v>240</v>
      </c>
      <c r="AQ595">
        <v>-72</v>
      </c>
      <c r="AR595">
        <v>0</v>
      </c>
      <c r="AS595">
        <v>240</v>
      </c>
      <c r="AT595">
        <v>-24</v>
      </c>
      <c r="AU595">
        <v>0</v>
      </c>
      <c r="AW595">
        <v>0</v>
      </c>
      <c r="AX595">
        <v>0</v>
      </c>
      <c r="AY595">
        <v>408.8</v>
      </c>
      <c r="BA595" t="str">
        <f>T("0000000000000")</f>
        <v>0000000000000</v>
      </c>
      <c r="BC595" t="str">
        <f>T("9791137604605")</f>
        <v>9791137604605</v>
      </c>
      <c r="BE595" t="str">
        <f>T("웹툰 &gt; 드라마")</f>
        <v>웹툰 &gt; 드라마</v>
      </c>
    </row>
    <row r="596" spans="1:58" x14ac:dyDescent="0.3">
      <c r="A596">
        <v>4421001634</v>
      </c>
      <c r="B596">
        <v>4421002534</v>
      </c>
      <c r="C596" t="str">
        <f>T("그남자의 사랑방식 85화")</f>
        <v>그남자의 사랑방식 85화</v>
      </c>
      <c r="D596" t="str">
        <f>T("85")</f>
        <v>85</v>
      </c>
      <c r="E596" t="str">
        <f>T("웹티")</f>
        <v>웹티</v>
      </c>
      <c r="H596" t="str">
        <f t="shared" si="59"/>
        <v>스토리위즈</v>
      </c>
      <c r="I596" t="str">
        <f>T("그남자의 사랑방식")</f>
        <v>그남자의 사랑방식</v>
      </c>
      <c r="J596">
        <v>500</v>
      </c>
      <c r="K596">
        <v>0</v>
      </c>
      <c r="L596">
        <v>0</v>
      </c>
      <c r="M596">
        <v>0</v>
      </c>
      <c r="N596">
        <v>200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240</v>
      </c>
      <c r="AN596">
        <v>-24</v>
      </c>
      <c r="AO596">
        <v>0</v>
      </c>
      <c r="AP596"/>
      <c r="AQ596">
        <v>0</v>
      </c>
      <c r="AR596">
        <v>0</v>
      </c>
      <c r="AS596">
        <v>240</v>
      </c>
      <c r="AT596">
        <v>-24</v>
      </c>
      <c r="AU596">
        <v>0</v>
      </c>
      <c r="AW596">
        <v>0</v>
      </c>
      <c r="AX596">
        <v>0</v>
      </c>
      <c r="AY596">
        <v>151.19999999999999</v>
      </c>
      <c r="BC596" t="str">
        <f>T("9791190622004")</f>
        <v>9791190622004</v>
      </c>
      <c r="BE596" t="str">
        <f>T("BL 웹툰 &gt; 웹툰")</f>
        <v>BL 웹툰 &gt; 웹툰</v>
      </c>
    </row>
    <row r="597" spans="1:58" x14ac:dyDescent="0.3">
      <c r="A597">
        <v>4421001340</v>
      </c>
      <c r="B597">
        <v>4421001353</v>
      </c>
      <c r="C597" t="str">
        <f>T("가출천사 육성계약 14화")</f>
        <v>가출천사 육성계약 14화</v>
      </c>
      <c r="D597" t="str">
        <f>T("14")</f>
        <v>14</v>
      </c>
      <c r="E597" t="str">
        <f>T("Bae.C, IIAKI, 박제후")</f>
        <v>Bae.C, IIAKI, 박제후</v>
      </c>
      <c r="G597" t="str">
        <f>T("Bae.C, 조우")</f>
        <v>Bae.C, 조우</v>
      </c>
      <c r="H597" t="str">
        <f t="shared" si="59"/>
        <v>스토리위즈</v>
      </c>
      <c r="I597" t="str">
        <f>T("가출천사 육성계약")</f>
        <v>가출천사 육성계약</v>
      </c>
      <c r="J597">
        <v>400</v>
      </c>
      <c r="K597">
        <v>0</v>
      </c>
      <c r="L597">
        <v>0</v>
      </c>
      <c r="M597">
        <v>0</v>
      </c>
      <c r="N597">
        <v>200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240</v>
      </c>
      <c r="AN597">
        <v>-24</v>
      </c>
      <c r="AO597">
        <v>0</v>
      </c>
      <c r="AP597"/>
      <c r="AQ597">
        <v>0</v>
      </c>
      <c r="AR597">
        <v>0</v>
      </c>
      <c r="AS597">
        <v>240</v>
      </c>
      <c r="AT597">
        <v>-24</v>
      </c>
      <c r="AU597">
        <v>0</v>
      </c>
      <c r="AW597">
        <v>0</v>
      </c>
      <c r="AX597">
        <v>0</v>
      </c>
      <c r="AY597">
        <v>151.19999999999999</v>
      </c>
      <c r="BA597" t="str">
        <f>T("0000000000000")</f>
        <v>0000000000000</v>
      </c>
      <c r="BC597" t="str">
        <f>T("9791191765663")</f>
        <v>9791191765663</v>
      </c>
      <c r="BE597" t="str">
        <f>T("웹툰 &gt; 판타지/SF")</f>
        <v>웹툰 &gt; 판타지/SF</v>
      </c>
    </row>
    <row r="598" spans="1:58" x14ac:dyDescent="0.3">
      <c r="A598">
        <v>4421001634</v>
      </c>
      <c r="B598">
        <v>4421001653</v>
      </c>
      <c r="C598" t="str">
        <f>T("그남자의 사랑방식 20화")</f>
        <v>그남자의 사랑방식 20화</v>
      </c>
      <c r="D598" t="str">
        <f>T("20")</f>
        <v>20</v>
      </c>
      <c r="E598" t="str">
        <f>T("웹티")</f>
        <v>웹티</v>
      </c>
      <c r="H598" t="str">
        <f t="shared" si="59"/>
        <v>스토리위즈</v>
      </c>
      <c r="I598" t="str">
        <f>T("그남자의 사랑방식")</f>
        <v>그남자의 사랑방식</v>
      </c>
      <c r="J598">
        <v>500</v>
      </c>
      <c r="K598">
        <v>0</v>
      </c>
      <c r="L598">
        <v>0</v>
      </c>
      <c r="M598">
        <v>0</v>
      </c>
      <c r="N598">
        <v>1600</v>
      </c>
      <c r="O598">
        <v>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1600</v>
      </c>
      <c r="AH598">
        <v>8</v>
      </c>
      <c r="AI598">
        <v>0</v>
      </c>
      <c r="AJ598">
        <v>0</v>
      </c>
      <c r="AK598">
        <v>600</v>
      </c>
      <c r="AL598">
        <v>0</v>
      </c>
      <c r="AM598">
        <v>1200</v>
      </c>
      <c r="AN598">
        <v>-216</v>
      </c>
      <c r="AO598">
        <v>0</v>
      </c>
      <c r="AP598">
        <v>240</v>
      </c>
      <c r="AQ598">
        <v>-72</v>
      </c>
      <c r="AR598">
        <v>0</v>
      </c>
      <c r="AS598">
        <v>960</v>
      </c>
      <c r="AT598">
        <v>-144</v>
      </c>
      <c r="AU598">
        <v>0</v>
      </c>
      <c r="AW598">
        <v>0</v>
      </c>
      <c r="AX598">
        <v>0</v>
      </c>
      <c r="AY598">
        <v>1108.8</v>
      </c>
      <c r="BC598" t="str">
        <f>T("9791190622004")</f>
        <v>9791190622004</v>
      </c>
      <c r="BE598" t="str">
        <f>T("BL 웹툰 &gt; 웹툰")</f>
        <v>BL 웹툰 &gt; 웹툰</v>
      </c>
    </row>
    <row r="599" spans="1:58" x14ac:dyDescent="0.3">
      <c r="A599">
        <v>4421001340</v>
      </c>
      <c r="B599">
        <v>4421001341</v>
      </c>
      <c r="C599" t="str">
        <f>T("가출천사 육성계약 2화")</f>
        <v>가출천사 육성계약 2화</v>
      </c>
      <c r="D599" t="str">
        <f>T("2")</f>
        <v>2</v>
      </c>
      <c r="E599" t="str">
        <f>T("Bae.C, IIAKI, 박제후")</f>
        <v>Bae.C, IIAKI, 박제후</v>
      </c>
      <c r="G599" t="str">
        <f>T("Bae.C, 조우")</f>
        <v>Bae.C, 조우</v>
      </c>
      <c r="H599" t="str">
        <f t="shared" si="59"/>
        <v>스토리위즈</v>
      </c>
      <c r="I599" t="str">
        <f>T("가출천사 육성계약")</f>
        <v>가출천사 육성계약</v>
      </c>
      <c r="J599">
        <v>400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/>
      <c r="AQ599">
        <v>0</v>
      </c>
      <c r="AR599">
        <v>0</v>
      </c>
      <c r="AT599">
        <v>0</v>
      </c>
      <c r="AU599">
        <v>0</v>
      </c>
      <c r="AW599">
        <v>0</v>
      </c>
      <c r="AX599">
        <v>0</v>
      </c>
      <c r="AY599">
        <v>0</v>
      </c>
      <c r="BA599" t="str">
        <f>T("0000000000000")</f>
        <v>0000000000000</v>
      </c>
      <c r="BC599" t="str">
        <f>T("9791191765663")</f>
        <v>9791191765663</v>
      </c>
      <c r="BE599" t="str">
        <f>T("웹툰 &gt; 판타지/SF")</f>
        <v>웹툰 &gt; 판타지/SF</v>
      </c>
    </row>
    <row r="600" spans="1:58" x14ac:dyDescent="0.3">
      <c r="A600">
        <v>4421000866</v>
      </c>
      <c r="B600">
        <v>4421001466</v>
      </c>
      <c r="C600" t="str">
        <f>T("최애에게 들켜버렸다 72화")</f>
        <v>최애에게 들켜버렸다 72화</v>
      </c>
      <c r="D600" t="str">
        <f>T("75")</f>
        <v>75</v>
      </c>
      <c r="E600" t="str">
        <f>T("Lv")</f>
        <v>Lv</v>
      </c>
      <c r="G600" t="str">
        <f>T("Lv")</f>
        <v>Lv</v>
      </c>
      <c r="H600" t="str">
        <f t="shared" si="59"/>
        <v>스토리위즈</v>
      </c>
      <c r="I600" t="str">
        <f>T("최애에게 들켜버렸다")</f>
        <v>최애에게 들켜버렸다</v>
      </c>
      <c r="J600">
        <v>400</v>
      </c>
      <c r="K600">
        <v>0</v>
      </c>
      <c r="L600">
        <v>0</v>
      </c>
      <c r="M600">
        <v>0</v>
      </c>
      <c r="N600">
        <v>200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200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240</v>
      </c>
      <c r="AN600">
        <v>-24</v>
      </c>
      <c r="AO600">
        <v>0</v>
      </c>
      <c r="AP600"/>
      <c r="AQ600">
        <v>0</v>
      </c>
      <c r="AR600">
        <v>0</v>
      </c>
      <c r="AS600">
        <v>240</v>
      </c>
      <c r="AT600">
        <v>-24</v>
      </c>
      <c r="AU600">
        <v>0</v>
      </c>
      <c r="AW600">
        <v>0</v>
      </c>
      <c r="AX600">
        <v>0</v>
      </c>
      <c r="AY600">
        <v>151.19999999999999</v>
      </c>
      <c r="BA600" t="str">
        <f>T("0000000000000")</f>
        <v>0000000000000</v>
      </c>
      <c r="BC600" t="str">
        <f>T("9791137601253")</f>
        <v>9791137601253</v>
      </c>
      <c r="BE600" t="str">
        <f>T("웹툰 &gt; 해외 순정")</f>
        <v>웹툰 &gt; 해외 순정</v>
      </c>
      <c r="BF600" t="str">
        <f>T("웹툰 &gt; 로맨스")</f>
        <v>웹툰 &gt; 로맨스</v>
      </c>
    </row>
    <row r="601" spans="1:58" x14ac:dyDescent="0.3">
      <c r="A601">
        <v>4421002022</v>
      </c>
      <c r="B601">
        <v>4421002047</v>
      </c>
      <c r="C601" t="str">
        <f>T("대표님과 연애를 시작했습니다 26화")</f>
        <v>대표님과 연애를 시작했습니다 26화</v>
      </c>
      <c r="D601" t="str">
        <f>T("26")</f>
        <v>26</v>
      </c>
      <c r="E601" t="str">
        <f>T("웹티")</f>
        <v>웹티</v>
      </c>
      <c r="H601" t="str">
        <f t="shared" si="59"/>
        <v>스토리위즈</v>
      </c>
      <c r="I601" t="str">
        <f>T("대표님과 연애를 시작했습니다")</f>
        <v>대표님과 연애를 시작했습니다</v>
      </c>
      <c r="J601">
        <v>500</v>
      </c>
      <c r="K601">
        <v>0</v>
      </c>
      <c r="L601">
        <v>0</v>
      </c>
      <c r="M601">
        <v>0</v>
      </c>
      <c r="N601">
        <v>200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200</v>
      </c>
      <c r="AH601">
        <v>1</v>
      </c>
      <c r="AI601">
        <v>0</v>
      </c>
      <c r="AJ601">
        <v>0</v>
      </c>
      <c r="AK601">
        <v>200</v>
      </c>
      <c r="AL601">
        <v>0</v>
      </c>
      <c r="AM601">
        <v>0</v>
      </c>
      <c r="AN601">
        <v>0</v>
      </c>
      <c r="AO601">
        <v>0</v>
      </c>
      <c r="AP601"/>
      <c r="AQ601">
        <v>0</v>
      </c>
      <c r="AR601">
        <v>0</v>
      </c>
      <c r="AT601">
        <v>0</v>
      </c>
      <c r="AU601">
        <v>0</v>
      </c>
      <c r="AW601">
        <v>0</v>
      </c>
      <c r="AX601">
        <v>0</v>
      </c>
      <c r="AY601">
        <v>140</v>
      </c>
      <c r="BA601" t="str">
        <f>T("0000000000000")</f>
        <v>0000000000000</v>
      </c>
      <c r="BC601" t="str">
        <f>T("9791196660482")</f>
        <v>9791196660482</v>
      </c>
      <c r="BE601" t="str">
        <f>T("BL 웹툰 &gt; 웹툰")</f>
        <v>BL 웹툰 &gt; 웹툰</v>
      </c>
    </row>
    <row r="602" spans="1:58" x14ac:dyDescent="0.3">
      <c r="A602">
        <v>4421000001</v>
      </c>
      <c r="B602">
        <v>4421000019</v>
      </c>
      <c r="C602" t="str">
        <f>T("감옥실험 9화")</f>
        <v>감옥실험 9화</v>
      </c>
      <c r="D602" t="str">
        <f>T("9")</f>
        <v>9</v>
      </c>
      <c r="E602" t="str">
        <f>T("Kantetsu")</f>
        <v>Kantetsu</v>
      </c>
      <c r="G602" t="str">
        <f>T("Minase Chiho")</f>
        <v>Minase Chiho</v>
      </c>
      <c r="H602" t="str">
        <f t="shared" si="59"/>
        <v>스토리위즈</v>
      </c>
      <c r="I602" t="str">
        <f>T("감옥실험")</f>
        <v>감옥실험</v>
      </c>
      <c r="J602">
        <v>500</v>
      </c>
      <c r="K602">
        <v>0</v>
      </c>
      <c r="L602">
        <v>0</v>
      </c>
      <c r="M602">
        <v>0</v>
      </c>
      <c r="N602">
        <v>1800</v>
      </c>
      <c r="O602">
        <v>6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1800</v>
      </c>
      <c r="AH602">
        <v>6</v>
      </c>
      <c r="AI602">
        <v>0</v>
      </c>
      <c r="AJ602">
        <v>0</v>
      </c>
      <c r="AK602">
        <v>900</v>
      </c>
      <c r="AL602">
        <v>0</v>
      </c>
      <c r="AM602">
        <v>1080</v>
      </c>
      <c r="AN602">
        <v>-252</v>
      </c>
      <c r="AO602">
        <v>0</v>
      </c>
      <c r="AP602">
        <v>360</v>
      </c>
      <c r="AQ602">
        <v>-108</v>
      </c>
      <c r="AR602">
        <v>0</v>
      </c>
      <c r="AS602">
        <v>720</v>
      </c>
      <c r="AT602">
        <v>-144</v>
      </c>
      <c r="AU602">
        <v>0</v>
      </c>
      <c r="AW602">
        <v>0</v>
      </c>
      <c r="AX602">
        <v>0</v>
      </c>
      <c r="AY602">
        <v>1209.5999999999999</v>
      </c>
      <c r="BC602" t="str">
        <f>T("9791166069406")</f>
        <v>9791166069406</v>
      </c>
      <c r="BE602" t="str">
        <f>T("웹툰 &gt; 드라마")</f>
        <v>웹툰 &gt; 드라마</v>
      </c>
    </row>
    <row r="603" spans="1:58" x14ac:dyDescent="0.3">
      <c r="A603">
        <v>4421000866</v>
      </c>
      <c r="B603">
        <v>4421000975</v>
      </c>
      <c r="C603" t="str">
        <f>T("최애에게 들켜버렸다 33화")</f>
        <v>최애에게 들켜버렸다 33화</v>
      </c>
      <c r="D603" t="str">
        <f>T("34")</f>
        <v>34</v>
      </c>
      <c r="E603" t="str">
        <f>T("Lv")</f>
        <v>Lv</v>
      </c>
      <c r="G603" t="str">
        <f>T("Lv")</f>
        <v>Lv</v>
      </c>
      <c r="H603" t="str">
        <f t="shared" si="59"/>
        <v>스토리위즈</v>
      </c>
      <c r="I603" t="str">
        <f>T("최애에게 들켜버렸다")</f>
        <v>최애에게 들켜버렸다</v>
      </c>
      <c r="J603">
        <v>400</v>
      </c>
      <c r="K603">
        <v>0</v>
      </c>
      <c r="L603">
        <v>0</v>
      </c>
      <c r="M603">
        <v>0</v>
      </c>
      <c r="N603">
        <v>200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240</v>
      </c>
      <c r="AN603">
        <v>-24</v>
      </c>
      <c r="AO603">
        <v>0</v>
      </c>
      <c r="AP603"/>
      <c r="AQ603">
        <v>0</v>
      </c>
      <c r="AR603">
        <v>0</v>
      </c>
      <c r="AS603">
        <v>240</v>
      </c>
      <c r="AT603">
        <v>-24</v>
      </c>
      <c r="AU603">
        <v>0</v>
      </c>
      <c r="AW603">
        <v>0</v>
      </c>
      <c r="AX603">
        <v>0</v>
      </c>
      <c r="AY603">
        <v>151.19999999999999</v>
      </c>
      <c r="BA603" t="str">
        <f t="shared" ref="BA603:BA609" si="60">T("0000000000000")</f>
        <v>0000000000000</v>
      </c>
      <c r="BC603" t="str">
        <f>T("9791137601253")</f>
        <v>9791137601253</v>
      </c>
      <c r="BE603" t="str">
        <f>T("웹툰 &gt; 해외 순정")</f>
        <v>웹툰 &gt; 해외 순정</v>
      </c>
      <c r="BF603" t="str">
        <f>T("웹툰 &gt; 로맨스")</f>
        <v>웹툰 &gt; 로맨스</v>
      </c>
    </row>
    <row r="604" spans="1:58" x14ac:dyDescent="0.3">
      <c r="A604">
        <v>4421000450</v>
      </c>
      <c r="B604">
        <v>4421000468</v>
      </c>
      <c r="C604" t="str">
        <f>T("내 남편의 스토커 18화")</f>
        <v>내 남편의 스토커 18화</v>
      </c>
      <c r="D604" t="str">
        <f>T("18")</f>
        <v>18</v>
      </c>
      <c r="E604" t="str">
        <f>T("혜원")</f>
        <v>혜원</v>
      </c>
      <c r="G604" t="str">
        <f>T("혜원")</f>
        <v>혜원</v>
      </c>
      <c r="H604" t="str">
        <f t="shared" si="59"/>
        <v>스토리위즈</v>
      </c>
      <c r="I604" t="str">
        <f>T("내 남편의 스토커")</f>
        <v>내 남편의 스토커</v>
      </c>
      <c r="J604">
        <v>400</v>
      </c>
      <c r="K604">
        <v>0</v>
      </c>
      <c r="L604">
        <v>0</v>
      </c>
      <c r="M604">
        <v>0</v>
      </c>
      <c r="N604">
        <v>200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200</v>
      </c>
      <c r="AH604">
        <v>1</v>
      </c>
      <c r="AI604">
        <v>0</v>
      </c>
      <c r="AJ604">
        <v>0</v>
      </c>
      <c r="AK604">
        <v>20</v>
      </c>
      <c r="AL604">
        <v>0</v>
      </c>
      <c r="AM604">
        <v>216</v>
      </c>
      <c r="AN604">
        <v>-21.6</v>
      </c>
      <c r="AO604">
        <v>0</v>
      </c>
      <c r="AP604"/>
      <c r="AQ604">
        <v>0</v>
      </c>
      <c r="AR604">
        <v>0</v>
      </c>
      <c r="AS604">
        <v>216</v>
      </c>
      <c r="AT604">
        <v>-21.6</v>
      </c>
      <c r="AU604">
        <v>0</v>
      </c>
      <c r="AW604">
        <v>0</v>
      </c>
      <c r="AX604">
        <v>0</v>
      </c>
      <c r="AY604">
        <v>150.08000000000001</v>
      </c>
      <c r="BA604" t="str">
        <f t="shared" si="60"/>
        <v>0000000000000</v>
      </c>
      <c r="BC604" t="str">
        <f>T("9791166068034")</f>
        <v>9791166068034</v>
      </c>
      <c r="BE604" t="str">
        <f>T("웹툰 &gt; 로맨스")</f>
        <v>웹툰 &gt; 로맨스</v>
      </c>
    </row>
    <row r="605" spans="1:58" x14ac:dyDescent="0.3">
      <c r="A605">
        <v>4421001340</v>
      </c>
      <c r="B605">
        <v>4421002901</v>
      </c>
      <c r="C605" t="str">
        <f>T("가출천사 육성계약 48화")</f>
        <v>가출천사 육성계약 48화</v>
      </c>
      <c r="D605" t="str">
        <f>T("48")</f>
        <v>48</v>
      </c>
      <c r="E605" t="str">
        <f>T("Bae.C, IIAKI, 박제후")</f>
        <v>Bae.C, IIAKI, 박제후</v>
      </c>
      <c r="G605" t="str">
        <f>T("Bae.C, 조우")</f>
        <v>Bae.C, 조우</v>
      </c>
      <c r="H605" t="str">
        <f t="shared" si="59"/>
        <v>스토리위즈</v>
      </c>
      <c r="I605" t="str">
        <f>T("가출천사 육성계약")</f>
        <v>가출천사 육성계약</v>
      </c>
      <c r="J605">
        <v>400</v>
      </c>
      <c r="K605">
        <v>0</v>
      </c>
      <c r="L605">
        <v>0</v>
      </c>
      <c r="M605">
        <v>0</v>
      </c>
      <c r="N605">
        <v>200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240</v>
      </c>
      <c r="AN605">
        <v>-24</v>
      </c>
      <c r="AO605">
        <v>0</v>
      </c>
      <c r="AP605"/>
      <c r="AQ605">
        <v>0</v>
      </c>
      <c r="AR605">
        <v>0</v>
      </c>
      <c r="AS605">
        <v>240</v>
      </c>
      <c r="AT605">
        <v>-24</v>
      </c>
      <c r="AU605">
        <v>0</v>
      </c>
      <c r="AW605">
        <v>0</v>
      </c>
      <c r="AX605">
        <v>0</v>
      </c>
      <c r="AY605">
        <v>151.19999999999999</v>
      </c>
      <c r="BA605" t="str">
        <f t="shared" si="60"/>
        <v>0000000000000</v>
      </c>
      <c r="BC605" t="str">
        <f>T("9791191765663")</f>
        <v>9791191765663</v>
      </c>
      <c r="BE605" t="str">
        <f>T("웹툰 &gt; 판타지/SF")</f>
        <v>웹툰 &gt; 판타지/SF</v>
      </c>
    </row>
    <row r="606" spans="1:58" x14ac:dyDescent="0.3">
      <c r="A606">
        <v>4421000337</v>
      </c>
      <c r="B606">
        <v>4421000343</v>
      </c>
      <c r="C606" t="str">
        <f>T("계약연애, 오늘부터 1일 7화")</f>
        <v>계약연애, 오늘부터 1일 7화</v>
      </c>
      <c r="D606" t="str">
        <f>T("7")</f>
        <v>7</v>
      </c>
      <c r="E606" t="str">
        <f>T("원기공장")</f>
        <v>원기공장</v>
      </c>
      <c r="H606" t="str">
        <f t="shared" si="59"/>
        <v>스토리위즈</v>
      </c>
      <c r="I606" t="str">
        <f>T("계약연애, 오늘부터 1일")</f>
        <v>계약연애, 오늘부터 1일</v>
      </c>
      <c r="J606">
        <v>200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/>
      <c r="AQ606">
        <v>0</v>
      </c>
      <c r="AR606">
        <v>0</v>
      </c>
      <c r="AT606">
        <v>0</v>
      </c>
      <c r="AU606">
        <v>0</v>
      </c>
      <c r="AW606">
        <v>0</v>
      </c>
      <c r="AX606">
        <v>0</v>
      </c>
      <c r="AY606">
        <v>0</v>
      </c>
      <c r="BA606" t="str">
        <f t="shared" si="60"/>
        <v>0000000000000</v>
      </c>
      <c r="BC606" t="str">
        <f>T("9791166068027")</f>
        <v>9791166068027</v>
      </c>
      <c r="BE606" t="str">
        <f>T("웹툰 &gt; 해외 순정")</f>
        <v>웹툰 &gt; 해외 순정</v>
      </c>
      <c r="BF606" t="str">
        <f>T("웹툰 &gt; 로맨스")</f>
        <v>웹툰 &gt; 로맨스</v>
      </c>
    </row>
    <row r="607" spans="1:58" x14ac:dyDescent="0.3">
      <c r="A607">
        <v>4421002305</v>
      </c>
      <c r="B607">
        <v>4421002311</v>
      </c>
      <c r="C607" t="str">
        <f>T("천년의 사랑 6화")</f>
        <v>천년의 사랑 6화</v>
      </c>
      <c r="D607" t="str">
        <f>T("6")</f>
        <v>6</v>
      </c>
      <c r="E607" t="str">
        <f>T("웹티")</f>
        <v>웹티</v>
      </c>
      <c r="H607" t="str">
        <f t="shared" si="59"/>
        <v>스토리위즈</v>
      </c>
      <c r="I607" t="str">
        <f>T("천년의 사랑")</f>
        <v>천년의 사랑</v>
      </c>
      <c r="J607">
        <v>500</v>
      </c>
      <c r="K607">
        <v>0</v>
      </c>
      <c r="L607">
        <v>0</v>
      </c>
      <c r="M607">
        <v>0</v>
      </c>
      <c r="N607">
        <v>200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200</v>
      </c>
      <c r="AH607">
        <v>1</v>
      </c>
      <c r="AI607">
        <v>0</v>
      </c>
      <c r="AJ607">
        <v>0</v>
      </c>
      <c r="AK607">
        <v>200</v>
      </c>
      <c r="AL607">
        <v>0</v>
      </c>
      <c r="AM607">
        <v>0</v>
      </c>
      <c r="AN607">
        <v>0</v>
      </c>
      <c r="AO607">
        <v>0</v>
      </c>
      <c r="AP607"/>
      <c r="AQ607">
        <v>0</v>
      </c>
      <c r="AR607">
        <v>0</v>
      </c>
      <c r="AT607">
        <v>0</v>
      </c>
      <c r="AU607">
        <v>0</v>
      </c>
      <c r="AW607">
        <v>0</v>
      </c>
      <c r="AX607">
        <v>0</v>
      </c>
      <c r="AY607">
        <v>140</v>
      </c>
      <c r="BA607" t="str">
        <f t="shared" si="60"/>
        <v>0000000000000</v>
      </c>
      <c r="BC607" t="str">
        <f>T("9791190622011")</f>
        <v>9791190622011</v>
      </c>
      <c r="BE607" t="str">
        <f>T("웹툰 &gt; 로맨스")</f>
        <v>웹툰 &gt; 로맨스</v>
      </c>
    </row>
    <row r="608" spans="1:58" x14ac:dyDescent="0.3">
      <c r="A608">
        <v>4421002829</v>
      </c>
      <c r="B608">
        <v>4421002847</v>
      </c>
      <c r="C608" t="str">
        <f>T("테두리는 주시하지 않는다 (개정판) 11화")</f>
        <v>테두리는 주시하지 않는다 (개정판) 11화</v>
      </c>
      <c r="D608" t="str">
        <f>T("11")</f>
        <v>11</v>
      </c>
      <c r="E608" t="str">
        <f>T("토찌, 키로즈")</f>
        <v>토찌, 키로즈</v>
      </c>
      <c r="G608" t="str">
        <f>T("마린")</f>
        <v>마린</v>
      </c>
      <c r="H608" t="str">
        <f t="shared" si="59"/>
        <v>스토리위즈</v>
      </c>
      <c r="I608" t="str">
        <f>T("테두리는 주시하지 않는다 (개정판)")</f>
        <v>테두리는 주시하지 않는다 (개정판)</v>
      </c>
      <c r="J608">
        <v>500</v>
      </c>
      <c r="K608">
        <v>0</v>
      </c>
      <c r="L608">
        <v>0</v>
      </c>
      <c r="M608">
        <v>0</v>
      </c>
      <c r="N608">
        <v>6600</v>
      </c>
      <c r="O608">
        <v>22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6600</v>
      </c>
      <c r="AH608">
        <v>22</v>
      </c>
      <c r="AI608">
        <v>0</v>
      </c>
      <c r="AJ608">
        <v>0</v>
      </c>
      <c r="AK608">
        <v>3000</v>
      </c>
      <c r="AL608">
        <v>0</v>
      </c>
      <c r="AM608">
        <v>4320</v>
      </c>
      <c r="AN608">
        <v>-792</v>
      </c>
      <c r="AO608">
        <v>0</v>
      </c>
      <c r="AP608">
        <v>1080</v>
      </c>
      <c r="AQ608">
        <v>-324</v>
      </c>
      <c r="AR608">
        <v>0</v>
      </c>
      <c r="AS608">
        <v>3240</v>
      </c>
      <c r="AT608">
        <v>-468</v>
      </c>
      <c r="AU608">
        <v>0</v>
      </c>
      <c r="AW608">
        <v>0</v>
      </c>
      <c r="AX608">
        <v>0</v>
      </c>
      <c r="AY608">
        <v>4569.6000000000004</v>
      </c>
      <c r="BA608" t="str">
        <f t="shared" si="60"/>
        <v>0000000000000</v>
      </c>
      <c r="BC608" t="str">
        <f>T("9791137604681")</f>
        <v>9791137604681</v>
      </c>
      <c r="BE608" t="str">
        <f>T("BL 웹툰 &gt; 웹툰")</f>
        <v>BL 웹툰 &gt; 웹툰</v>
      </c>
    </row>
    <row r="609" spans="1:58" x14ac:dyDescent="0.3">
      <c r="A609">
        <v>4421000518</v>
      </c>
      <c r="B609">
        <v>4421000522</v>
      </c>
      <c r="C609" t="str">
        <f>T("백스테이지 키스신 4화")</f>
        <v>백스테이지 키스신 4화</v>
      </c>
      <c r="D609" t="str">
        <f>T("4")</f>
        <v>4</v>
      </c>
      <c r="E609" t="str">
        <f>T("최도비")</f>
        <v>최도비</v>
      </c>
      <c r="G609" t="str">
        <f>T("수정과")</f>
        <v>수정과</v>
      </c>
      <c r="H609" t="str">
        <f t="shared" si="59"/>
        <v>스토리위즈</v>
      </c>
      <c r="I609" t="str">
        <f>T("백스테이지 키스신")</f>
        <v>백스테이지 키스신</v>
      </c>
      <c r="J609">
        <v>400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/>
      <c r="AQ609">
        <v>0</v>
      </c>
      <c r="AR609">
        <v>0</v>
      </c>
      <c r="AT609">
        <v>0</v>
      </c>
      <c r="AU609">
        <v>0</v>
      </c>
      <c r="AW609">
        <v>0</v>
      </c>
      <c r="AX609">
        <v>0</v>
      </c>
      <c r="AY609">
        <v>0</v>
      </c>
      <c r="BA609" t="str">
        <f t="shared" si="60"/>
        <v>0000000000000</v>
      </c>
      <c r="BC609" t="str">
        <f>T("9791166067990")</f>
        <v>9791166067990</v>
      </c>
      <c r="BE609" t="str">
        <f>T("웹툰 &gt; 로맨스")</f>
        <v>웹툰 &gt; 로맨스</v>
      </c>
    </row>
    <row r="610" spans="1:58" x14ac:dyDescent="0.3">
      <c r="A610">
        <v>4421000001</v>
      </c>
      <c r="B610">
        <v>4421000050</v>
      </c>
      <c r="C610" t="str">
        <f>T("감옥실험 30화")</f>
        <v>감옥실험 30화</v>
      </c>
      <c r="D610" t="str">
        <f>T("30")</f>
        <v>30</v>
      </c>
      <c r="E610" t="str">
        <f>T("Kantetsu")</f>
        <v>Kantetsu</v>
      </c>
      <c r="G610" t="str">
        <f>T("Minase Chiho")</f>
        <v>Minase Chiho</v>
      </c>
      <c r="H610" t="str">
        <f t="shared" si="59"/>
        <v>스토리위즈</v>
      </c>
      <c r="I610" t="str">
        <f>T("감옥실험")</f>
        <v>감옥실험</v>
      </c>
      <c r="J610">
        <v>500</v>
      </c>
      <c r="K610">
        <v>0</v>
      </c>
      <c r="L610">
        <v>0</v>
      </c>
      <c r="M610">
        <v>0</v>
      </c>
      <c r="N610">
        <v>600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600</v>
      </c>
      <c r="AH610">
        <v>2</v>
      </c>
      <c r="AI610">
        <v>0</v>
      </c>
      <c r="AJ610">
        <v>0</v>
      </c>
      <c r="AK610">
        <v>600</v>
      </c>
      <c r="AL610">
        <v>0</v>
      </c>
      <c r="AM610">
        <v>0</v>
      </c>
      <c r="AN610">
        <v>0</v>
      </c>
      <c r="AO610">
        <v>0</v>
      </c>
      <c r="AP610"/>
      <c r="AQ610">
        <v>0</v>
      </c>
      <c r="AR610">
        <v>0</v>
      </c>
      <c r="AT610">
        <v>0</v>
      </c>
      <c r="AU610">
        <v>0</v>
      </c>
      <c r="AW610">
        <v>0</v>
      </c>
      <c r="AX610">
        <v>0</v>
      </c>
      <c r="AY610">
        <v>420</v>
      </c>
      <c r="BC610" t="str">
        <f>T("9791166069406")</f>
        <v>9791166069406</v>
      </c>
      <c r="BE610" t="str">
        <f>T("웹툰 &gt; 드라마")</f>
        <v>웹툰 &gt; 드라마</v>
      </c>
    </row>
    <row r="611" spans="1:58" x14ac:dyDescent="0.3">
      <c r="A611">
        <v>4421000450</v>
      </c>
      <c r="B611">
        <v>4421000489</v>
      </c>
      <c r="C611" t="str">
        <f>T("내 남편의 스토커 39화")</f>
        <v>내 남편의 스토커 39화</v>
      </c>
      <c r="D611" t="str">
        <f>T("39")</f>
        <v>39</v>
      </c>
      <c r="E611" t="str">
        <f>T("혜원")</f>
        <v>혜원</v>
      </c>
      <c r="G611" t="str">
        <f>T("혜원")</f>
        <v>혜원</v>
      </c>
      <c r="H611" t="str">
        <f t="shared" si="59"/>
        <v>스토리위즈</v>
      </c>
      <c r="I611" t="str">
        <f>T("내 남편의 스토커")</f>
        <v>내 남편의 스토커</v>
      </c>
      <c r="J611">
        <v>400</v>
      </c>
      <c r="K611">
        <v>0</v>
      </c>
      <c r="L611">
        <v>0</v>
      </c>
      <c r="M611">
        <v>0</v>
      </c>
      <c r="N611">
        <v>200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240</v>
      </c>
      <c r="AN611">
        <v>-24</v>
      </c>
      <c r="AO611">
        <v>0</v>
      </c>
      <c r="AP611"/>
      <c r="AQ611">
        <v>0</v>
      </c>
      <c r="AR611">
        <v>0</v>
      </c>
      <c r="AS611">
        <v>240</v>
      </c>
      <c r="AT611">
        <v>-24</v>
      </c>
      <c r="AU611">
        <v>0</v>
      </c>
      <c r="AW611">
        <v>0</v>
      </c>
      <c r="AX611">
        <v>0</v>
      </c>
      <c r="AY611">
        <v>151.19999999999999</v>
      </c>
      <c r="BA611" t="str">
        <f>T("0000000000000")</f>
        <v>0000000000000</v>
      </c>
      <c r="BC611" t="str">
        <f>T("9791166068034")</f>
        <v>9791166068034</v>
      </c>
      <c r="BE611" t="str">
        <f>T("웹툰 &gt; 로맨스")</f>
        <v>웹툰 &gt; 로맨스</v>
      </c>
    </row>
    <row r="612" spans="1:58" x14ac:dyDescent="0.3">
      <c r="A612">
        <v>4421000887</v>
      </c>
      <c r="B612">
        <v>4421000891</v>
      </c>
      <c r="C612" t="str">
        <f>T("폭군의 눈물 5화")</f>
        <v>폭군의 눈물 5화</v>
      </c>
      <c r="D612" t="str">
        <f>T("5")</f>
        <v>5</v>
      </c>
      <c r="E612" t="str">
        <f>T("Ice×FANFAN COMIC")</f>
        <v>Ice×FANFAN COMIC</v>
      </c>
      <c r="G612" t="str">
        <f>T("Ice×FANFAN COMIC")</f>
        <v>Ice×FANFAN COMIC</v>
      </c>
      <c r="H612" t="str">
        <f t="shared" si="59"/>
        <v>스토리위즈</v>
      </c>
      <c r="I612" t="str">
        <f>T("폭군의 눈물")</f>
        <v>폭군의 눈물</v>
      </c>
      <c r="J612">
        <v>400</v>
      </c>
      <c r="K612">
        <v>0</v>
      </c>
      <c r="L612">
        <v>0</v>
      </c>
      <c r="M612">
        <v>0</v>
      </c>
      <c r="N612">
        <v>200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200</v>
      </c>
      <c r="AH612">
        <v>1</v>
      </c>
      <c r="AI612">
        <v>0</v>
      </c>
      <c r="AJ612">
        <v>0</v>
      </c>
      <c r="AK612">
        <v>200</v>
      </c>
      <c r="AL612">
        <v>0</v>
      </c>
      <c r="AM612">
        <v>0</v>
      </c>
      <c r="AN612">
        <v>0</v>
      </c>
      <c r="AO612">
        <v>0</v>
      </c>
      <c r="AP612"/>
      <c r="AQ612">
        <v>0</v>
      </c>
      <c r="AR612">
        <v>0</v>
      </c>
      <c r="AT612">
        <v>0</v>
      </c>
      <c r="AU612">
        <v>0</v>
      </c>
      <c r="AW612">
        <v>0</v>
      </c>
      <c r="AX612">
        <v>0</v>
      </c>
      <c r="AY612">
        <v>140</v>
      </c>
      <c r="BA612" t="str">
        <f>T("0000000000000")</f>
        <v>0000000000000</v>
      </c>
      <c r="BC612" t="str">
        <f>T("9791137601291")</f>
        <v>9791137601291</v>
      </c>
      <c r="BE612" t="str">
        <f>T("웹툰 &gt; 해외 순정")</f>
        <v>웹툰 &gt; 해외 순정</v>
      </c>
      <c r="BF612" t="str">
        <f>T("웹툰 &gt; 로판")</f>
        <v>웹툰 &gt; 로판</v>
      </c>
    </row>
    <row r="613" spans="1:58" x14ac:dyDescent="0.3">
      <c r="A613">
        <v>4421000887</v>
      </c>
      <c r="B613">
        <v>4421001283</v>
      </c>
      <c r="C613" t="str">
        <f>T("폭군의 눈물 53화")</f>
        <v>폭군의 눈물 53화</v>
      </c>
      <c r="D613" t="str">
        <f>T("53")</f>
        <v>53</v>
      </c>
      <c r="E613" t="str">
        <f>T("Ice×FANFAN COMIC")</f>
        <v>Ice×FANFAN COMIC</v>
      </c>
      <c r="G613" t="str">
        <f>T("Ice×FANFAN COMIC")</f>
        <v>Ice×FANFAN COMIC</v>
      </c>
      <c r="H613" t="str">
        <f t="shared" si="59"/>
        <v>스토리위즈</v>
      </c>
      <c r="I613" t="str">
        <f>T("폭군의 눈물")</f>
        <v>폭군의 눈물</v>
      </c>
      <c r="J613">
        <v>400</v>
      </c>
      <c r="K613">
        <v>0</v>
      </c>
      <c r="L613">
        <v>0</v>
      </c>
      <c r="M613">
        <v>0</v>
      </c>
      <c r="N613">
        <v>200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200</v>
      </c>
      <c r="AH613">
        <v>1</v>
      </c>
      <c r="AI613">
        <v>0</v>
      </c>
      <c r="AJ613">
        <v>0</v>
      </c>
      <c r="AK613">
        <v>200</v>
      </c>
      <c r="AL613">
        <v>0</v>
      </c>
      <c r="AM613">
        <v>0</v>
      </c>
      <c r="AN613">
        <v>0</v>
      </c>
      <c r="AO613">
        <v>0</v>
      </c>
      <c r="AP613"/>
      <c r="AQ613">
        <v>0</v>
      </c>
      <c r="AR613">
        <v>0</v>
      </c>
      <c r="AT613">
        <v>0</v>
      </c>
      <c r="AU613">
        <v>0</v>
      </c>
      <c r="AW613">
        <v>0</v>
      </c>
      <c r="AX613">
        <v>0</v>
      </c>
      <c r="AY613">
        <v>140</v>
      </c>
      <c r="BA613" t="str">
        <f>T("0000000000000")</f>
        <v>0000000000000</v>
      </c>
      <c r="BC613" t="str">
        <f>T("9791137601291")</f>
        <v>9791137601291</v>
      </c>
      <c r="BE613" t="str">
        <f>T("웹툰 &gt; 해외 순정")</f>
        <v>웹툰 &gt; 해외 순정</v>
      </c>
      <c r="BF613" t="str">
        <f>T("웹툰 &gt; 로판")</f>
        <v>웹툰 &gt; 로판</v>
      </c>
    </row>
    <row r="614" spans="1:58" x14ac:dyDescent="0.3">
      <c r="A614">
        <v>4421001634</v>
      </c>
      <c r="B614">
        <v>4421002523</v>
      </c>
      <c r="C614" t="str">
        <f>T("그남자의 사랑방식 74화")</f>
        <v>그남자의 사랑방식 74화</v>
      </c>
      <c r="D614" t="str">
        <f>T("74")</f>
        <v>74</v>
      </c>
      <c r="E614" t="str">
        <f>T("웹티")</f>
        <v>웹티</v>
      </c>
      <c r="H614" t="str">
        <f t="shared" si="59"/>
        <v>스토리위즈</v>
      </c>
      <c r="I614" t="str">
        <f>T("그남자의 사랑방식")</f>
        <v>그남자의 사랑방식</v>
      </c>
      <c r="J614">
        <v>500</v>
      </c>
      <c r="K614">
        <v>0</v>
      </c>
      <c r="L614">
        <v>0</v>
      </c>
      <c r="M614">
        <v>0</v>
      </c>
      <c r="N614">
        <v>200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200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240</v>
      </c>
      <c r="AN614">
        <v>-24</v>
      </c>
      <c r="AO614">
        <v>0</v>
      </c>
      <c r="AP614"/>
      <c r="AQ614">
        <v>0</v>
      </c>
      <c r="AR614">
        <v>0</v>
      </c>
      <c r="AS614">
        <v>240</v>
      </c>
      <c r="AT614">
        <v>-24</v>
      </c>
      <c r="AU614">
        <v>0</v>
      </c>
      <c r="AW614">
        <v>0</v>
      </c>
      <c r="AX614">
        <v>0</v>
      </c>
      <c r="AY614">
        <v>151.19999999999999</v>
      </c>
      <c r="BC614" t="str">
        <f>T("9791190622004")</f>
        <v>9791190622004</v>
      </c>
      <c r="BE614" t="str">
        <f>T("BL 웹툰 &gt; 웹툰")</f>
        <v>BL 웹툰 &gt; 웹툰</v>
      </c>
    </row>
    <row r="615" spans="1:58" x14ac:dyDescent="0.3">
      <c r="A615">
        <v>4421001634</v>
      </c>
      <c r="B615">
        <v>4421001642</v>
      </c>
      <c r="C615" t="str">
        <f>T("그남자의 사랑방식 9화")</f>
        <v>그남자의 사랑방식 9화</v>
      </c>
      <c r="D615" t="str">
        <f>T("9")</f>
        <v>9</v>
      </c>
      <c r="E615" t="str">
        <f>T("웹티")</f>
        <v>웹티</v>
      </c>
      <c r="H615" t="str">
        <f t="shared" si="59"/>
        <v>스토리위즈</v>
      </c>
      <c r="I615" t="str">
        <f>T("그남자의 사랑방식")</f>
        <v>그남자의 사랑방식</v>
      </c>
      <c r="J615">
        <v>500</v>
      </c>
      <c r="K615">
        <v>0</v>
      </c>
      <c r="L615">
        <v>0</v>
      </c>
      <c r="M615">
        <v>0</v>
      </c>
      <c r="N615">
        <v>800</v>
      </c>
      <c r="O615">
        <v>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800</v>
      </c>
      <c r="AH615">
        <v>4</v>
      </c>
      <c r="AI615">
        <v>0</v>
      </c>
      <c r="AJ615">
        <v>0</v>
      </c>
      <c r="AK615">
        <v>400</v>
      </c>
      <c r="AL615">
        <v>0</v>
      </c>
      <c r="AM615">
        <v>480</v>
      </c>
      <c r="AN615">
        <v>-48</v>
      </c>
      <c r="AO615">
        <v>0</v>
      </c>
      <c r="AP615"/>
      <c r="AQ615">
        <v>0</v>
      </c>
      <c r="AR615">
        <v>0</v>
      </c>
      <c r="AS615">
        <v>480</v>
      </c>
      <c r="AT615">
        <v>-48</v>
      </c>
      <c r="AU615">
        <v>0</v>
      </c>
      <c r="AW615">
        <v>0</v>
      </c>
      <c r="AX615">
        <v>0</v>
      </c>
      <c r="AY615">
        <v>582.4</v>
      </c>
      <c r="BC615" t="str">
        <f>T("9791190622004")</f>
        <v>9791190622004</v>
      </c>
      <c r="BE615" t="str">
        <f>T("BL 웹툰 &gt; 웹툰")</f>
        <v>BL 웹툰 &gt; 웹툰</v>
      </c>
    </row>
    <row r="616" spans="1:58" x14ac:dyDescent="0.3">
      <c r="A616">
        <v>4421000866</v>
      </c>
      <c r="B616">
        <v>4421001220</v>
      </c>
      <c r="C616" t="str">
        <f>T("최애에게 들켜버렸다 54화")</f>
        <v>최애에게 들켜버렸다 54화</v>
      </c>
      <c r="D616" t="str">
        <f>T("57")</f>
        <v>57</v>
      </c>
      <c r="E616" t="str">
        <f>T("Lv")</f>
        <v>Lv</v>
      </c>
      <c r="G616" t="str">
        <f>T("Lv")</f>
        <v>Lv</v>
      </c>
      <c r="H616" t="str">
        <f t="shared" si="59"/>
        <v>스토리위즈</v>
      </c>
      <c r="I616" t="str">
        <f>T("최애에게 들켜버렸다")</f>
        <v>최애에게 들켜버렸다</v>
      </c>
      <c r="J616">
        <v>400</v>
      </c>
      <c r="K616">
        <v>0</v>
      </c>
      <c r="L616">
        <v>0</v>
      </c>
      <c r="M616">
        <v>0</v>
      </c>
      <c r="N616">
        <v>200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200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240</v>
      </c>
      <c r="AN616">
        <v>-24</v>
      </c>
      <c r="AO616">
        <v>0</v>
      </c>
      <c r="AP616"/>
      <c r="AQ616">
        <v>0</v>
      </c>
      <c r="AR616">
        <v>0</v>
      </c>
      <c r="AS616">
        <v>240</v>
      </c>
      <c r="AT616">
        <v>-24</v>
      </c>
      <c r="AU616">
        <v>0</v>
      </c>
      <c r="AW616">
        <v>0</v>
      </c>
      <c r="AX616">
        <v>0</v>
      </c>
      <c r="AY616">
        <v>151.19999999999999</v>
      </c>
      <c r="BA616" t="str">
        <f>T("0000000000000")</f>
        <v>0000000000000</v>
      </c>
      <c r="BC616" t="str">
        <f>T("9791137601253")</f>
        <v>9791137601253</v>
      </c>
      <c r="BE616" t="str">
        <f>T("웹툰 &gt; 해외 순정")</f>
        <v>웹툰 &gt; 해외 순정</v>
      </c>
      <c r="BF616" t="str">
        <f>T("웹툰 &gt; 로맨스")</f>
        <v>웹툰 &gt; 로맨스</v>
      </c>
    </row>
    <row r="617" spans="1:58" x14ac:dyDescent="0.3">
      <c r="A617">
        <v>4421001634</v>
      </c>
      <c r="B617">
        <v>4421002555</v>
      </c>
      <c r="C617" t="str">
        <f>T("그남자의 사랑방식 106화")</f>
        <v>그남자의 사랑방식 106화</v>
      </c>
      <c r="D617" t="str">
        <f>T("106")</f>
        <v>106</v>
      </c>
      <c r="E617" t="str">
        <f>T("웹티")</f>
        <v>웹티</v>
      </c>
      <c r="H617" t="str">
        <f t="shared" si="59"/>
        <v>스토리위즈</v>
      </c>
      <c r="I617" t="str">
        <f>T("그남자의 사랑방식")</f>
        <v>그남자의 사랑방식</v>
      </c>
      <c r="J617">
        <v>500</v>
      </c>
      <c r="K617">
        <v>0</v>
      </c>
      <c r="L617">
        <v>0</v>
      </c>
      <c r="M617">
        <v>0</v>
      </c>
      <c r="N617">
        <v>400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2</v>
      </c>
      <c r="AI617">
        <v>0</v>
      </c>
      <c r="AJ617">
        <v>0</v>
      </c>
      <c r="AK617">
        <v>200</v>
      </c>
      <c r="AL617">
        <v>0</v>
      </c>
      <c r="AM617">
        <v>240</v>
      </c>
      <c r="AN617">
        <v>-24</v>
      </c>
      <c r="AO617">
        <v>0</v>
      </c>
      <c r="AP617"/>
      <c r="AQ617">
        <v>0</v>
      </c>
      <c r="AR617">
        <v>0</v>
      </c>
      <c r="AS617">
        <v>240</v>
      </c>
      <c r="AT617">
        <v>-24</v>
      </c>
      <c r="AU617">
        <v>0</v>
      </c>
      <c r="AW617">
        <v>0</v>
      </c>
      <c r="AX617">
        <v>0</v>
      </c>
      <c r="AY617">
        <v>291.2</v>
      </c>
      <c r="BC617" t="str">
        <f>T("9791190622004")</f>
        <v>9791190622004</v>
      </c>
      <c r="BE617" t="str">
        <f>T("BL 웹툰 &gt; 웹툰")</f>
        <v>BL 웹툰 &gt; 웹툰</v>
      </c>
    </row>
    <row r="618" spans="1:58" x14ac:dyDescent="0.3">
      <c r="A618">
        <v>4421001634</v>
      </c>
      <c r="B618">
        <v>4421001674</v>
      </c>
      <c r="C618" t="str">
        <f>T("그남자의 사랑방식 41화")</f>
        <v>그남자의 사랑방식 41화</v>
      </c>
      <c r="D618" t="str">
        <f>T("41")</f>
        <v>41</v>
      </c>
      <c r="E618" t="str">
        <f>T("웹티")</f>
        <v>웹티</v>
      </c>
      <c r="H618" t="str">
        <f t="shared" si="59"/>
        <v>스토리위즈</v>
      </c>
      <c r="I618" t="str">
        <f>T("그남자의 사랑방식")</f>
        <v>그남자의 사랑방식</v>
      </c>
      <c r="J618">
        <v>500</v>
      </c>
      <c r="K618">
        <v>0</v>
      </c>
      <c r="L618">
        <v>0</v>
      </c>
      <c r="M618">
        <v>0</v>
      </c>
      <c r="N618">
        <v>1000</v>
      </c>
      <c r="O618">
        <v>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1000</v>
      </c>
      <c r="AH618">
        <v>5</v>
      </c>
      <c r="AI618">
        <v>0</v>
      </c>
      <c r="AJ618">
        <v>0</v>
      </c>
      <c r="AK618">
        <v>400</v>
      </c>
      <c r="AL618">
        <v>0</v>
      </c>
      <c r="AM618">
        <v>720</v>
      </c>
      <c r="AN618">
        <v>-72</v>
      </c>
      <c r="AO618">
        <v>0</v>
      </c>
      <c r="AP618"/>
      <c r="AQ618">
        <v>0</v>
      </c>
      <c r="AR618">
        <v>0</v>
      </c>
      <c r="AS618">
        <v>720</v>
      </c>
      <c r="AT618">
        <v>-72</v>
      </c>
      <c r="AU618">
        <v>0</v>
      </c>
      <c r="AW618">
        <v>0</v>
      </c>
      <c r="AX618">
        <v>0</v>
      </c>
      <c r="AY618">
        <v>733.6</v>
      </c>
      <c r="BC618" t="str">
        <f>T("9791190622004")</f>
        <v>9791190622004</v>
      </c>
      <c r="BE618" t="str">
        <f>T("BL 웹툰 &gt; 웹툰")</f>
        <v>BL 웹툰 &gt; 웹툰</v>
      </c>
    </row>
    <row r="619" spans="1:58" x14ac:dyDescent="0.3">
      <c r="A619">
        <v>4421003015</v>
      </c>
      <c r="B619">
        <v>4421003032</v>
      </c>
      <c r="C619" t="str">
        <f>T("일월성신 17화")</f>
        <v>일월성신 17화</v>
      </c>
      <c r="D619" t="str">
        <f>T("17")</f>
        <v>17</v>
      </c>
      <c r="E619" t="str">
        <f>T("김숙지")</f>
        <v>김숙지</v>
      </c>
      <c r="G619" t="str">
        <f>T("이름표")</f>
        <v>이름표</v>
      </c>
      <c r="H619" t="str">
        <f t="shared" si="59"/>
        <v>스토리위즈</v>
      </c>
      <c r="I619" t="str">
        <f>T("일월성신")</f>
        <v>일월성신</v>
      </c>
      <c r="J619">
        <v>400</v>
      </c>
      <c r="K619">
        <v>0</v>
      </c>
      <c r="L619">
        <v>0</v>
      </c>
      <c r="M619">
        <v>0</v>
      </c>
      <c r="N619">
        <v>600</v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600</v>
      </c>
      <c r="AH619">
        <v>3</v>
      </c>
      <c r="AI619">
        <v>0</v>
      </c>
      <c r="AJ619">
        <v>0</v>
      </c>
      <c r="AK619">
        <v>200</v>
      </c>
      <c r="AL619">
        <v>0</v>
      </c>
      <c r="AM619">
        <v>480</v>
      </c>
      <c r="AN619">
        <v>-96</v>
      </c>
      <c r="AO619">
        <v>0</v>
      </c>
      <c r="AP619">
        <v>240</v>
      </c>
      <c r="AQ619">
        <v>-72</v>
      </c>
      <c r="AR619">
        <v>0</v>
      </c>
      <c r="AS619">
        <v>240</v>
      </c>
      <c r="AT619">
        <v>-24</v>
      </c>
      <c r="AU619">
        <v>0</v>
      </c>
      <c r="AW619">
        <v>0</v>
      </c>
      <c r="AX619">
        <v>0</v>
      </c>
      <c r="AY619">
        <v>408.8</v>
      </c>
      <c r="BA619" t="str">
        <f>T("0000000000000")</f>
        <v>0000000000000</v>
      </c>
      <c r="BC619" t="str">
        <f>T("9791137604605")</f>
        <v>9791137604605</v>
      </c>
      <c r="BE619" t="str">
        <f>T("웹툰 &gt; 드라마")</f>
        <v>웹툰 &gt; 드라마</v>
      </c>
    </row>
    <row r="620" spans="1:58" x14ac:dyDescent="0.3">
      <c r="A620">
        <v>4421001936</v>
      </c>
      <c r="B620">
        <v>4421001940</v>
      </c>
      <c r="C620" t="str">
        <f>T("보스 오빠, 살살! 5화")</f>
        <v>보스 오빠, 살살! 5화</v>
      </c>
      <c r="D620" t="str">
        <f>T("5")</f>
        <v>5</v>
      </c>
      <c r="E620" t="str">
        <f>T("웹티")</f>
        <v>웹티</v>
      </c>
      <c r="H620" t="str">
        <f t="shared" si="59"/>
        <v>스토리위즈</v>
      </c>
      <c r="I620" t="str">
        <f>T("보스 오빠, 살살!")</f>
        <v>보스 오빠, 살살!</v>
      </c>
      <c r="J620">
        <v>500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/>
      <c r="AQ620">
        <v>0</v>
      </c>
      <c r="AR620">
        <v>0</v>
      </c>
      <c r="AT620">
        <v>0</v>
      </c>
      <c r="AU620">
        <v>0</v>
      </c>
      <c r="AW620">
        <v>0</v>
      </c>
      <c r="AX620">
        <v>0</v>
      </c>
      <c r="AY620">
        <v>0</v>
      </c>
      <c r="BC620" t="str">
        <f>T("9791190702331")</f>
        <v>9791190702331</v>
      </c>
      <c r="BE620" t="str">
        <f>T("웹툰 &gt; 로맨스")</f>
        <v>웹툰 &gt; 로맨스</v>
      </c>
    </row>
    <row r="621" spans="1:58" x14ac:dyDescent="0.3">
      <c r="A621">
        <v>4421003015</v>
      </c>
      <c r="B621">
        <v>4421003046</v>
      </c>
      <c r="C621" t="str">
        <f>T("일월성신 31화")</f>
        <v>일월성신 31화</v>
      </c>
      <c r="D621" t="str">
        <f>T("31")</f>
        <v>31</v>
      </c>
      <c r="E621" t="str">
        <f>T("김숙지")</f>
        <v>김숙지</v>
      </c>
      <c r="G621" t="str">
        <f>T("이름표")</f>
        <v>이름표</v>
      </c>
      <c r="H621" t="str">
        <f t="shared" si="59"/>
        <v>스토리위즈</v>
      </c>
      <c r="I621" t="str">
        <f>T("일월성신")</f>
        <v>일월성신</v>
      </c>
      <c r="J621">
        <v>400</v>
      </c>
      <c r="K621">
        <v>0</v>
      </c>
      <c r="L621">
        <v>0</v>
      </c>
      <c r="M621">
        <v>0</v>
      </c>
      <c r="N621">
        <v>800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800</v>
      </c>
      <c r="AH621">
        <v>4</v>
      </c>
      <c r="AI621">
        <v>0</v>
      </c>
      <c r="AJ621">
        <v>0</v>
      </c>
      <c r="AK621">
        <v>400</v>
      </c>
      <c r="AL621">
        <v>0</v>
      </c>
      <c r="AM621">
        <v>480</v>
      </c>
      <c r="AN621">
        <v>-96</v>
      </c>
      <c r="AO621">
        <v>0</v>
      </c>
      <c r="AP621">
        <v>240</v>
      </c>
      <c r="AQ621">
        <v>-72</v>
      </c>
      <c r="AR621">
        <v>0</v>
      </c>
      <c r="AS621">
        <v>240</v>
      </c>
      <c r="AT621">
        <v>-24</v>
      </c>
      <c r="AU621">
        <v>0</v>
      </c>
      <c r="AW621">
        <v>0</v>
      </c>
      <c r="AX621">
        <v>0</v>
      </c>
      <c r="AY621">
        <v>548.79999999999995</v>
      </c>
      <c r="BA621" t="str">
        <f>T("0000000000000")</f>
        <v>0000000000000</v>
      </c>
      <c r="BC621" t="str">
        <f>T("9791137604605")</f>
        <v>9791137604605</v>
      </c>
      <c r="BE621" t="str">
        <f>T("웹툰 &gt; 드라마")</f>
        <v>웹툰 &gt; 드라마</v>
      </c>
    </row>
    <row r="622" spans="1:58" x14ac:dyDescent="0.3">
      <c r="A622">
        <v>4421001634</v>
      </c>
      <c r="B622">
        <v>4421002544</v>
      </c>
      <c r="C622" t="str">
        <f>T("그남자의 사랑방식 95화")</f>
        <v>그남자의 사랑방식 95화</v>
      </c>
      <c r="D622" t="str">
        <f>T("95")</f>
        <v>95</v>
      </c>
      <c r="E622" t="str">
        <f>T("웹티")</f>
        <v>웹티</v>
      </c>
      <c r="H622" t="str">
        <f t="shared" si="59"/>
        <v>스토리위즈</v>
      </c>
      <c r="I622" t="str">
        <f>T("그남자의 사랑방식")</f>
        <v>그남자의 사랑방식</v>
      </c>
      <c r="J622">
        <v>500</v>
      </c>
      <c r="K622">
        <v>0</v>
      </c>
      <c r="L622">
        <v>0</v>
      </c>
      <c r="M622">
        <v>0</v>
      </c>
      <c r="N622">
        <v>200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240</v>
      </c>
      <c r="AN622">
        <v>-24</v>
      </c>
      <c r="AO622">
        <v>0</v>
      </c>
      <c r="AP622"/>
      <c r="AQ622">
        <v>0</v>
      </c>
      <c r="AR622">
        <v>0</v>
      </c>
      <c r="AS622">
        <v>240</v>
      </c>
      <c r="AT622">
        <v>-24</v>
      </c>
      <c r="AU622">
        <v>0</v>
      </c>
      <c r="AW622">
        <v>0</v>
      </c>
      <c r="AX622">
        <v>0</v>
      </c>
      <c r="AY622">
        <v>151.19999999999999</v>
      </c>
      <c r="BC622" t="str">
        <f>T("9791190622004")</f>
        <v>9791190622004</v>
      </c>
      <c r="BE622" t="str">
        <f>T("BL 웹툰 &gt; 웹툰")</f>
        <v>BL 웹툰 &gt; 웹툰</v>
      </c>
    </row>
    <row r="623" spans="1:58" x14ac:dyDescent="0.3">
      <c r="A623">
        <v>4421001340</v>
      </c>
      <c r="B623">
        <v>4421001363</v>
      </c>
      <c r="C623" t="str">
        <f>T("가출천사 육성계약 24화")</f>
        <v>가출천사 육성계약 24화</v>
      </c>
      <c r="D623" t="str">
        <f>T("24")</f>
        <v>24</v>
      </c>
      <c r="E623" t="str">
        <f>T("Bae.C, IIAKI, 박제후")</f>
        <v>Bae.C, IIAKI, 박제후</v>
      </c>
      <c r="G623" t="str">
        <f>T("Bae.C, 조우")</f>
        <v>Bae.C, 조우</v>
      </c>
      <c r="H623" t="str">
        <f t="shared" si="59"/>
        <v>스토리위즈</v>
      </c>
      <c r="I623" t="str">
        <f>T("가출천사 육성계약")</f>
        <v>가출천사 육성계약</v>
      </c>
      <c r="J623">
        <v>400</v>
      </c>
      <c r="K623">
        <v>0</v>
      </c>
      <c r="L623">
        <v>0</v>
      </c>
      <c r="M623">
        <v>0</v>
      </c>
      <c r="N623">
        <v>200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200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240</v>
      </c>
      <c r="AN623">
        <v>-24</v>
      </c>
      <c r="AO623">
        <v>0</v>
      </c>
      <c r="AP623"/>
      <c r="AQ623">
        <v>0</v>
      </c>
      <c r="AR623">
        <v>0</v>
      </c>
      <c r="AS623">
        <v>240</v>
      </c>
      <c r="AT623">
        <v>-24</v>
      </c>
      <c r="AU623">
        <v>0</v>
      </c>
      <c r="AW623">
        <v>0</v>
      </c>
      <c r="AX623">
        <v>0</v>
      </c>
      <c r="AY623">
        <v>151.19999999999999</v>
      </c>
      <c r="BA623" t="str">
        <f>T("0000000000000")</f>
        <v>0000000000000</v>
      </c>
      <c r="BC623" t="str">
        <f>T("9791191765663")</f>
        <v>9791191765663</v>
      </c>
      <c r="BE623" t="str">
        <f>T("웹툰 &gt; 판타지/SF")</f>
        <v>웹툰 &gt; 판타지/SF</v>
      </c>
    </row>
    <row r="624" spans="1:58" x14ac:dyDescent="0.3">
      <c r="A624">
        <v>4421001634</v>
      </c>
      <c r="B624">
        <v>4421001663</v>
      </c>
      <c r="C624" t="str">
        <f>T("그남자의 사랑방식 30화")</f>
        <v>그남자의 사랑방식 30화</v>
      </c>
      <c r="D624" t="str">
        <f>T("30")</f>
        <v>30</v>
      </c>
      <c r="E624" t="str">
        <f>T("웹티")</f>
        <v>웹티</v>
      </c>
      <c r="H624" t="str">
        <f t="shared" si="59"/>
        <v>스토리위즈</v>
      </c>
      <c r="I624" t="str">
        <f>T("그남자의 사랑방식")</f>
        <v>그남자의 사랑방식</v>
      </c>
      <c r="J624">
        <v>500</v>
      </c>
      <c r="K624">
        <v>0</v>
      </c>
      <c r="L624">
        <v>0</v>
      </c>
      <c r="M624">
        <v>0</v>
      </c>
      <c r="N624">
        <v>1000</v>
      </c>
      <c r="O624">
        <v>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1000</v>
      </c>
      <c r="AH624">
        <v>5</v>
      </c>
      <c r="AI624">
        <v>0</v>
      </c>
      <c r="AJ624">
        <v>0</v>
      </c>
      <c r="AK624">
        <v>400</v>
      </c>
      <c r="AL624">
        <v>0</v>
      </c>
      <c r="AM624">
        <v>720</v>
      </c>
      <c r="AN624">
        <v>-120</v>
      </c>
      <c r="AO624">
        <v>0</v>
      </c>
      <c r="AP624">
        <v>240</v>
      </c>
      <c r="AQ624">
        <v>-72</v>
      </c>
      <c r="AR624">
        <v>0</v>
      </c>
      <c r="AS624">
        <v>480</v>
      </c>
      <c r="AT624">
        <v>-48</v>
      </c>
      <c r="AU624">
        <v>0</v>
      </c>
      <c r="AW624">
        <v>0</v>
      </c>
      <c r="AX624">
        <v>0</v>
      </c>
      <c r="AY624">
        <v>700</v>
      </c>
      <c r="BC624" t="str">
        <f>T("9791190622004")</f>
        <v>9791190622004</v>
      </c>
      <c r="BE624" t="str">
        <f>T("BL 웹툰 &gt; 웹툰")</f>
        <v>BL 웹툰 &gt; 웹툰</v>
      </c>
    </row>
    <row r="625" spans="1:58" x14ac:dyDescent="0.3">
      <c r="A625">
        <v>4421000866</v>
      </c>
      <c r="B625">
        <v>4421001268</v>
      </c>
      <c r="C625" t="str">
        <f>T("최애에게 들켜버렸다 61화")</f>
        <v>최애에게 들켜버렸다 61화</v>
      </c>
      <c r="D625" t="str">
        <f>T("64")</f>
        <v>64</v>
      </c>
      <c r="E625" t="str">
        <f>T("Lv")</f>
        <v>Lv</v>
      </c>
      <c r="G625" t="str">
        <f>T("Lv")</f>
        <v>Lv</v>
      </c>
      <c r="H625" t="str">
        <f t="shared" si="59"/>
        <v>스토리위즈</v>
      </c>
      <c r="I625" t="str">
        <f>T("최애에게 들켜버렸다")</f>
        <v>최애에게 들켜버렸다</v>
      </c>
      <c r="J625">
        <v>400</v>
      </c>
      <c r="K625">
        <v>0</v>
      </c>
      <c r="L625">
        <v>0</v>
      </c>
      <c r="M625">
        <v>0</v>
      </c>
      <c r="N625">
        <v>600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600</v>
      </c>
      <c r="AH625">
        <v>3</v>
      </c>
      <c r="AI625">
        <v>0</v>
      </c>
      <c r="AJ625">
        <v>0</v>
      </c>
      <c r="AK625">
        <v>200</v>
      </c>
      <c r="AL625">
        <v>0</v>
      </c>
      <c r="AM625">
        <v>480</v>
      </c>
      <c r="AN625">
        <v>-48</v>
      </c>
      <c r="AO625">
        <v>0</v>
      </c>
      <c r="AP625"/>
      <c r="AQ625">
        <v>0</v>
      </c>
      <c r="AR625">
        <v>0</v>
      </c>
      <c r="AS625">
        <v>480</v>
      </c>
      <c r="AT625">
        <v>-48</v>
      </c>
      <c r="AU625">
        <v>0</v>
      </c>
      <c r="AW625">
        <v>0</v>
      </c>
      <c r="AX625">
        <v>0</v>
      </c>
      <c r="AY625">
        <v>442.4</v>
      </c>
      <c r="BA625" t="str">
        <f>T("0000000000000")</f>
        <v>0000000000000</v>
      </c>
      <c r="BC625" t="str">
        <f>T("9791137601253")</f>
        <v>9791137601253</v>
      </c>
      <c r="BE625" t="str">
        <f>T("웹툰 &gt; 해외 순정")</f>
        <v>웹툰 &gt; 해외 순정</v>
      </c>
      <c r="BF625" t="str">
        <f>T("웹툰 &gt; 로맨스")</f>
        <v>웹툰 &gt; 로맨스</v>
      </c>
    </row>
    <row r="626" spans="1:58" x14ac:dyDescent="0.3">
      <c r="A626">
        <v>4421003015</v>
      </c>
      <c r="B626">
        <v>4421003021</v>
      </c>
      <c r="C626" t="str">
        <f>T("일월성신 6화")</f>
        <v>일월성신 6화</v>
      </c>
      <c r="D626" t="str">
        <f>T("6")</f>
        <v>6</v>
      </c>
      <c r="E626" t="str">
        <f>T("김숙지")</f>
        <v>김숙지</v>
      </c>
      <c r="G626" t="str">
        <f>T("이름표")</f>
        <v>이름표</v>
      </c>
      <c r="H626" t="str">
        <f t="shared" si="59"/>
        <v>스토리위즈</v>
      </c>
      <c r="I626" t="str">
        <f>T("일월성신")</f>
        <v>일월성신</v>
      </c>
      <c r="J626">
        <v>400</v>
      </c>
      <c r="K626">
        <v>0</v>
      </c>
      <c r="L626">
        <v>0</v>
      </c>
      <c r="M626">
        <v>0</v>
      </c>
      <c r="N626">
        <v>1400</v>
      </c>
      <c r="O626">
        <v>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1400</v>
      </c>
      <c r="AH626">
        <v>7</v>
      </c>
      <c r="AI626">
        <v>0</v>
      </c>
      <c r="AJ626">
        <v>0</v>
      </c>
      <c r="AK626">
        <v>600</v>
      </c>
      <c r="AL626">
        <v>0</v>
      </c>
      <c r="AM626">
        <v>960</v>
      </c>
      <c r="AN626">
        <v>-144</v>
      </c>
      <c r="AO626">
        <v>0</v>
      </c>
      <c r="AP626">
        <v>240</v>
      </c>
      <c r="AQ626">
        <v>-72</v>
      </c>
      <c r="AR626">
        <v>0</v>
      </c>
      <c r="AS626">
        <v>720</v>
      </c>
      <c r="AT626">
        <v>-72</v>
      </c>
      <c r="AU626">
        <v>0</v>
      </c>
      <c r="AW626">
        <v>0</v>
      </c>
      <c r="AX626">
        <v>0</v>
      </c>
      <c r="AY626">
        <v>991.2</v>
      </c>
      <c r="BA626" t="str">
        <f>T("0000000000000")</f>
        <v>0000000000000</v>
      </c>
      <c r="BC626" t="str">
        <f>T("9791137604605")</f>
        <v>9791137604605</v>
      </c>
      <c r="BE626" t="str">
        <f>T("웹툰 &gt; 드라마")</f>
        <v>웹툰 &gt; 드라마</v>
      </c>
    </row>
    <row r="627" spans="1:58" x14ac:dyDescent="0.3">
      <c r="A627">
        <v>4421001634</v>
      </c>
      <c r="B627">
        <v>4421001680</v>
      </c>
      <c r="C627" t="str">
        <f>T("그남자의 사랑방식 47화")</f>
        <v>그남자의 사랑방식 47화</v>
      </c>
      <c r="D627" t="str">
        <f>T("47")</f>
        <v>47</v>
      </c>
      <c r="E627" t="str">
        <f>T("웹티")</f>
        <v>웹티</v>
      </c>
      <c r="H627" t="str">
        <f t="shared" si="59"/>
        <v>스토리위즈</v>
      </c>
      <c r="I627" t="str">
        <f>T("그남자의 사랑방식")</f>
        <v>그남자의 사랑방식</v>
      </c>
      <c r="J627">
        <v>500</v>
      </c>
      <c r="K627">
        <v>0</v>
      </c>
      <c r="L627">
        <v>0</v>
      </c>
      <c r="M627">
        <v>0</v>
      </c>
      <c r="N627">
        <v>400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400</v>
      </c>
      <c r="AH627">
        <v>2</v>
      </c>
      <c r="AI627">
        <v>0</v>
      </c>
      <c r="AJ627">
        <v>0</v>
      </c>
      <c r="AK627">
        <v>200</v>
      </c>
      <c r="AL627">
        <v>0</v>
      </c>
      <c r="AM627">
        <v>240</v>
      </c>
      <c r="AN627">
        <v>-24</v>
      </c>
      <c r="AO627">
        <v>0</v>
      </c>
      <c r="AP627"/>
      <c r="AQ627">
        <v>0</v>
      </c>
      <c r="AR627">
        <v>0</v>
      </c>
      <c r="AS627">
        <v>240</v>
      </c>
      <c r="AT627">
        <v>-24</v>
      </c>
      <c r="AU627">
        <v>0</v>
      </c>
      <c r="AW627">
        <v>0</v>
      </c>
      <c r="AX627">
        <v>0</v>
      </c>
      <c r="AY627">
        <v>291.2</v>
      </c>
      <c r="BC627" t="str">
        <f>T("9791190622004")</f>
        <v>9791190622004</v>
      </c>
      <c r="BE627" t="str">
        <f>T("BL 웹툰 &gt; 웹툰")</f>
        <v>BL 웹툰 &gt; 웹툰</v>
      </c>
    </row>
    <row r="628" spans="1:58" x14ac:dyDescent="0.3">
      <c r="A628">
        <v>4421003015</v>
      </c>
      <c r="B628">
        <v>4421003090</v>
      </c>
      <c r="C628" t="str">
        <f>T("일월성신 33화")</f>
        <v>일월성신 33화</v>
      </c>
      <c r="D628" t="str">
        <f>T("33")</f>
        <v>33</v>
      </c>
      <c r="E628" t="str">
        <f>T("김숙지")</f>
        <v>김숙지</v>
      </c>
      <c r="G628" t="str">
        <f>T("이름표")</f>
        <v>이름표</v>
      </c>
      <c r="H628" t="str">
        <f t="shared" si="59"/>
        <v>스토리위즈</v>
      </c>
      <c r="I628" t="str">
        <f>T("일월성신")</f>
        <v>일월성신</v>
      </c>
      <c r="J628">
        <v>400</v>
      </c>
      <c r="K628">
        <v>0</v>
      </c>
      <c r="L628">
        <v>0</v>
      </c>
      <c r="M628">
        <v>0</v>
      </c>
      <c r="N628">
        <v>800</v>
      </c>
      <c r="O628">
        <v>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800</v>
      </c>
      <c r="AH628">
        <v>4</v>
      </c>
      <c r="AI628">
        <v>0</v>
      </c>
      <c r="AJ628">
        <v>0</v>
      </c>
      <c r="AK628">
        <v>400</v>
      </c>
      <c r="AL628">
        <v>0</v>
      </c>
      <c r="AM628">
        <v>480</v>
      </c>
      <c r="AN628">
        <v>-96</v>
      </c>
      <c r="AO628">
        <v>0</v>
      </c>
      <c r="AP628">
        <v>240</v>
      </c>
      <c r="AQ628">
        <v>-72</v>
      </c>
      <c r="AR628">
        <v>0</v>
      </c>
      <c r="AS628">
        <v>240</v>
      </c>
      <c r="AT628">
        <v>-24</v>
      </c>
      <c r="AU628">
        <v>0</v>
      </c>
      <c r="AW628">
        <v>0</v>
      </c>
      <c r="AX628">
        <v>0</v>
      </c>
      <c r="AY628">
        <v>548.79999999999995</v>
      </c>
      <c r="BA628" t="str">
        <f>T("0000000000000")</f>
        <v>0000000000000</v>
      </c>
      <c r="BC628" t="str">
        <f>T("9791137604605")</f>
        <v>9791137604605</v>
      </c>
      <c r="BE628" t="str">
        <f>T("웹툰 &gt; 드라마")</f>
        <v>웹툰 &gt; 드라마</v>
      </c>
    </row>
    <row r="629" spans="1:58" x14ac:dyDescent="0.3">
      <c r="A629">
        <v>4421000866</v>
      </c>
      <c r="B629">
        <v>4421001479</v>
      </c>
      <c r="C629" t="str">
        <f>T("최애에게 들켜버렸다 75화")</f>
        <v>최애에게 들켜버렸다 75화</v>
      </c>
      <c r="D629" t="str">
        <f>T("78")</f>
        <v>78</v>
      </c>
      <c r="E629" t="str">
        <f>T("Lv")</f>
        <v>Lv</v>
      </c>
      <c r="G629" t="str">
        <f>T("Lv")</f>
        <v>Lv</v>
      </c>
      <c r="H629" t="str">
        <f t="shared" si="59"/>
        <v>스토리위즈</v>
      </c>
      <c r="I629" t="str">
        <f>T("최애에게 들켜버렸다")</f>
        <v>최애에게 들켜버렸다</v>
      </c>
      <c r="J629">
        <v>400</v>
      </c>
      <c r="K629">
        <v>0</v>
      </c>
      <c r="L629">
        <v>0</v>
      </c>
      <c r="M629">
        <v>0</v>
      </c>
      <c r="N629">
        <v>200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200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240</v>
      </c>
      <c r="AN629">
        <v>-24</v>
      </c>
      <c r="AO629">
        <v>0</v>
      </c>
      <c r="AP629"/>
      <c r="AQ629">
        <v>0</v>
      </c>
      <c r="AR629">
        <v>0</v>
      </c>
      <c r="AS629">
        <v>240</v>
      </c>
      <c r="AT629">
        <v>-24</v>
      </c>
      <c r="AU629">
        <v>0</v>
      </c>
      <c r="AW629">
        <v>0</v>
      </c>
      <c r="AX629">
        <v>0</v>
      </c>
      <c r="AY629">
        <v>151.19999999999999</v>
      </c>
      <c r="BA629" t="str">
        <f>T("0000000000000")</f>
        <v>0000000000000</v>
      </c>
      <c r="BC629" t="str">
        <f>T("9791137601253")</f>
        <v>9791137601253</v>
      </c>
      <c r="BE629" t="str">
        <f>T("웹툰 &gt; 해외 순정")</f>
        <v>웹툰 &gt; 해외 순정</v>
      </c>
      <c r="BF629" t="str">
        <f>T("웹툰 &gt; 로맨스")</f>
        <v>웹툰 &gt; 로맨스</v>
      </c>
    </row>
    <row r="630" spans="1:58" x14ac:dyDescent="0.3">
      <c r="A630">
        <v>4421002079</v>
      </c>
      <c r="B630">
        <v>4421002079</v>
      </c>
      <c r="C630" t="str">
        <f>T("황제의 사랑방식 1화")</f>
        <v>황제의 사랑방식 1화</v>
      </c>
      <c r="D630" t="str">
        <f>T("1")</f>
        <v>1</v>
      </c>
      <c r="E630" t="str">
        <f>T("웹티")</f>
        <v>웹티</v>
      </c>
      <c r="H630" t="str">
        <f t="shared" si="59"/>
        <v>스토리위즈</v>
      </c>
      <c r="I630" t="str">
        <f>T("황제의 사랑방식")</f>
        <v>황제의 사랑방식</v>
      </c>
      <c r="J630">
        <v>0</v>
      </c>
      <c r="K630">
        <v>0</v>
      </c>
      <c r="L630">
        <v>0</v>
      </c>
      <c r="M630">
        <v>277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277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/>
      <c r="AQ630">
        <v>0</v>
      </c>
      <c r="AR630">
        <v>0</v>
      </c>
      <c r="AT630">
        <v>0</v>
      </c>
      <c r="AU630">
        <v>0</v>
      </c>
      <c r="AW630">
        <v>0</v>
      </c>
      <c r="AX630">
        <v>0</v>
      </c>
      <c r="AY630">
        <v>0</v>
      </c>
      <c r="BA630" t="str">
        <f>T("0000000000000")</f>
        <v>0000000000000</v>
      </c>
      <c r="BC630" t="str">
        <f>T("9791196650131")</f>
        <v>9791196650131</v>
      </c>
      <c r="BE630" t="str">
        <f>T("BL 웹툰 &gt; 웹툰")</f>
        <v>BL 웹툰 &gt; 웹툰</v>
      </c>
    </row>
    <row r="631" spans="1:58" x14ac:dyDescent="0.3">
      <c r="A631">
        <v>4421000450</v>
      </c>
      <c r="B631">
        <v>4421000511</v>
      </c>
      <c r="C631" t="str">
        <f>T("내 남편의 스토커 61화")</f>
        <v>내 남편의 스토커 61화</v>
      </c>
      <c r="D631" t="str">
        <f>T("61")</f>
        <v>61</v>
      </c>
      <c r="E631" t="str">
        <f>T("혜원")</f>
        <v>혜원</v>
      </c>
      <c r="G631" t="str">
        <f>T("혜원")</f>
        <v>혜원</v>
      </c>
      <c r="H631" t="str">
        <f t="shared" si="59"/>
        <v>스토리위즈</v>
      </c>
      <c r="I631" t="str">
        <f>T("내 남편의 스토커")</f>
        <v>내 남편의 스토커</v>
      </c>
      <c r="J631">
        <v>400</v>
      </c>
      <c r="K631">
        <v>0</v>
      </c>
      <c r="L631">
        <v>0</v>
      </c>
      <c r="M631">
        <v>0</v>
      </c>
      <c r="N631">
        <v>200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200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240</v>
      </c>
      <c r="AN631">
        <v>-24</v>
      </c>
      <c r="AO631">
        <v>0</v>
      </c>
      <c r="AP631"/>
      <c r="AQ631">
        <v>0</v>
      </c>
      <c r="AR631">
        <v>0</v>
      </c>
      <c r="AS631">
        <v>240</v>
      </c>
      <c r="AT631">
        <v>-24</v>
      </c>
      <c r="AU631">
        <v>0</v>
      </c>
      <c r="AW631">
        <v>0</v>
      </c>
      <c r="AX631">
        <v>0</v>
      </c>
      <c r="AY631">
        <v>151.19999999999999</v>
      </c>
      <c r="BA631" t="str">
        <f>T("0000000000000")</f>
        <v>0000000000000</v>
      </c>
      <c r="BC631" t="str">
        <f>T("9791166068034")</f>
        <v>9791166068034</v>
      </c>
      <c r="BE631" t="str">
        <f>T("웹툰 &gt; 로맨스")</f>
        <v>웹툰 &gt; 로맨스</v>
      </c>
    </row>
    <row r="632" spans="1:58" x14ac:dyDescent="0.3">
      <c r="A632">
        <v>4421000001</v>
      </c>
      <c r="B632">
        <v>4421000029</v>
      </c>
      <c r="C632" t="str">
        <f>T("감옥실험 19화")</f>
        <v>감옥실험 19화</v>
      </c>
      <c r="D632" t="str">
        <f>T("19")</f>
        <v>19</v>
      </c>
      <c r="E632" t="str">
        <f>T("Kantetsu")</f>
        <v>Kantetsu</v>
      </c>
      <c r="G632" t="str">
        <f>T("Minase Chiho")</f>
        <v>Minase Chiho</v>
      </c>
      <c r="H632" t="str">
        <f t="shared" si="59"/>
        <v>스토리위즈</v>
      </c>
      <c r="I632" t="str">
        <f>T("감옥실험")</f>
        <v>감옥실험</v>
      </c>
      <c r="J632">
        <v>500</v>
      </c>
      <c r="K632">
        <v>0</v>
      </c>
      <c r="L632">
        <v>0</v>
      </c>
      <c r="M632">
        <v>0</v>
      </c>
      <c r="N632">
        <v>1500</v>
      </c>
      <c r="O632">
        <v>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1500</v>
      </c>
      <c r="AH632">
        <v>5</v>
      </c>
      <c r="AI632">
        <v>0</v>
      </c>
      <c r="AJ632">
        <v>0</v>
      </c>
      <c r="AK632">
        <v>800</v>
      </c>
      <c r="AL632">
        <v>0</v>
      </c>
      <c r="AM632">
        <v>840</v>
      </c>
      <c r="AN632">
        <v>-156</v>
      </c>
      <c r="AO632">
        <v>0</v>
      </c>
      <c r="AP632">
        <v>360</v>
      </c>
      <c r="AQ632">
        <v>-108</v>
      </c>
      <c r="AR632">
        <v>0</v>
      </c>
      <c r="AS632">
        <v>480</v>
      </c>
      <c r="AT632">
        <v>-48</v>
      </c>
      <c r="AU632">
        <v>0</v>
      </c>
      <c r="AW632">
        <v>0</v>
      </c>
      <c r="AX632">
        <v>0</v>
      </c>
      <c r="AY632">
        <v>1038.8</v>
      </c>
      <c r="BC632" t="str">
        <f>T("9791166069406")</f>
        <v>9791166069406</v>
      </c>
      <c r="BE632" t="str">
        <f>T("웹툰 &gt; 드라마")</f>
        <v>웹툰 &gt; 드라마</v>
      </c>
    </row>
    <row r="633" spans="1:58" x14ac:dyDescent="0.3">
      <c r="A633">
        <v>4421000866</v>
      </c>
      <c r="B633">
        <v>4421000993</v>
      </c>
      <c r="C633" t="str">
        <f>T("최애에게 들켜버렸다 35화")</f>
        <v>최애에게 들켜버렸다 35화</v>
      </c>
      <c r="D633" t="str">
        <f>T("36")</f>
        <v>36</v>
      </c>
      <c r="E633" t="str">
        <f>T("Lv")</f>
        <v>Lv</v>
      </c>
      <c r="G633" t="str">
        <f>T("Lv")</f>
        <v>Lv</v>
      </c>
      <c r="H633" t="str">
        <f t="shared" si="59"/>
        <v>스토리위즈</v>
      </c>
      <c r="I633" t="str">
        <f>T("최애에게 들켜버렸다")</f>
        <v>최애에게 들켜버렸다</v>
      </c>
      <c r="J633">
        <v>400</v>
      </c>
      <c r="K633">
        <v>0</v>
      </c>
      <c r="L633">
        <v>0</v>
      </c>
      <c r="M633">
        <v>0</v>
      </c>
      <c r="N633">
        <v>400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400</v>
      </c>
      <c r="AH633">
        <v>2</v>
      </c>
      <c r="AI633">
        <v>0</v>
      </c>
      <c r="AJ633">
        <v>0</v>
      </c>
      <c r="AK633">
        <v>200</v>
      </c>
      <c r="AL633">
        <v>0</v>
      </c>
      <c r="AM633">
        <v>240</v>
      </c>
      <c r="AN633">
        <v>-24</v>
      </c>
      <c r="AO633">
        <v>0</v>
      </c>
      <c r="AP633"/>
      <c r="AQ633">
        <v>0</v>
      </c>
      <c r="AR633">
        <v>0</v>
      </c>
      <c r="AS633">
        <v>240</v>
      </c>
      <c r="AT633">
        <v>-24</v>
      </c>
      <c r="AU633">
        <v>0</v>
      </c>
      <c r="AW633">
        <v>0</v>
      </c>
      <c r="AX633">
        <v>0</v>
      </c>
      <c r="AY633">
        <v>291.2</v>
      </c>
      <c r="BA633" t="str">
        <f>T("0000000000000")</f>
        <v>0000000000000</v>
      </c>
      <c r="BC633" t="str">
        <f>T("9791137601253")</f>
        <v>9791137601253</v>
      </c>
      <c r="BE633" t="str">
        <f>T("웹툰 &gt; 해외 순정")</f>
        <v>웹툰 &gt; 해외 순정</v>
      </c>
      <c r="BF633" t="str">
        <f>T("웹툰 &gt; 로맨스")</f>
        <v>웹툰 &gt; 로맨스</v>
      </c>
    </row>
    <row r="634" spans="1:58" x14ac:dyDescent="0.3">
      <c r="A634">
        <v>4421000450</v>
      </c>
      <c r="B634">
        <v>4421000478</v>
      </c>
      <c r="C634" t="str">
        <f>T("내 남편의 스토커 28화")</f>
        <v>내 남편의 스토커 28화</v>
      </c>
      <c r="D634" t="str">
        <f>T("28")</f>
        <v>28</v>
      </c>
      <c r="E634" t="str">
        <f>T("혜원")</f>
        <v>혜원</v>
      </c>
      <c r="G634" t="str">
        <f>T("혜원")</f>
        <v>혜원</v>
      </c>
      <c r="H634" t="str">
        <f t="shared" si="59"/>
        <v>스토리위즈</v>
      </c>
      <c r="I634" t="str">
        <f>T("내 남편의 스토커")</f>
        <v>내 남편의 스토커</v>
      </c>
      <c r="J634">
        <v>400</v>
      </c>
      <c r="K634">
        <v>0</v>
      </c>
      <c r="L634">
        <v>0</v>
      </c>
      <c r="M634">
        <v>0</v>
      </c>
      <c r="N634">
        <v>200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240</v>
      </c>
      <c r="AN634">
        <v>-24</v>
      </c>
      <c r="AO634">
        <v>0</v>
      </c>
      <c r="AP634"/>
      <c r="AQ634">
        <v>0</v>
      </c>
      <c r="AR634">
        <v>0</v>
      </c>
      <c r="AS634">
        <v>240</v>
      </c>
      <c r="AT634">
        <v>-24</v>
      </c>
      <c r="AU634">
        <v>0</v>
      </c>
      <c r="AW634">
        <v>0</v>
      </c>
      <c r="AX634">
        <v>0</v>
      </c>
      <c r="AY634">
        <v>151.19999999999999</v>
      </c>
      <c r="BA634" t="str">
        <f>T("0000000000000")</f>
        <v>0000000000000</v>
      </c>
      <c r="BC634" t="str">
        <f>T("9791166068034")</f>
        <v>9791166068034</v>
      </c>
      <c r="BE634" t="str">
        <f>T("웹툰 &gt; 로맨스")</f>
        <v>웹툰 &gt; 로맨스</v>
      </c>
    </row>
    <row r="635" spans="1:58" x14ac:dyDescent="0.3">
      <c r="A635">
        <v>4421000866</v>
      </c>
      <c r="B635">
        <v>4421000880</v>
      </c>
      <c r="C635" t="str">
        <f>T("최애에게 들켜버렸다 14화")</f>
        <v>최애에게 들켜버렸다 14화</v>
      </c>
      <c r="D635" t="str">
        <f>T("14")</f>
        <v>14</v>
      </c>
      <c r="E635" t="str">
        <f>T("Lv")</f>
        <v>Lv</v>
      </c>
      <c r="G635" t="str">
        <f>T("Lv")</f>
        <v>Lv</v>
      </c>
      <c r="H635" t="str">
        <f t="shared" si="59"/>
        <v>스토리위즈</v>
      </c>
      <c r="I635" t="str">
        <f>T("최애에게 들켜버렸다")</f>
        <v>최애에게 들켜버렸다</v>
      </c>
      <c r="J635">
        <v>400</v>
      </c>
      <c r="K635">
        <v>0</v>
      </c>
      <c r="L635">
        <v>0</v>
      </c>
      <c r="M635">
        <v>0</v>
      </c>
      <c r="N635">
        <v>600</v>
      </c>
      <c r="O635">
        <v>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600</v>
      </c>
      <c r="AH635">
        <v>3</v>
      </c>
      <c r="AI635">
        <v>0</v>
      </c>
      <c r="AJ635">
        <v>0</v>
      </c>
      <c r="AK635">
        <v>0</v>
      </c>
      <c r="AL635">
        <v>0</v>
      </c>
      <c r="AM635">
        <v>720</v>
      </c>
      <c r="AN635">
        <v>-120</v>
      </c>
      <c r="AO635">
        <v>0</v>
      </c>
      <c r="AP635"/>
      <c r="AQ635">
        <v>0</v>
      </c>
      <c r="AR635">
        <v>0</v>
      </c>
      <c r="AS635">
        <v>720</v>
      </c>
      <c r="AT635">
        <v>-120</v>
      </c>
      <c r="AU635">
        <v>0</v>
      </c>
      <c r="AW635">
        <v>0</v>
      </c>
      <c r="AX635">
        <v>0</v>
      </c>
      <c r="AY635">
        <v>420</v>
      </c>
      <c r="BA635" t="str">
        <f>T("0000000000000")</f>
        <v>0000000000000</v>
      </c>
      <c r="BC635" t="str">
        <f>T("9791137601253")</f>
        <v>9791137601253</v>
      </c>
      <c r="BE635" t="str">
        <f>T("웹툰 &gt; 해외 순정")</f>
        <v>웹툰 &gt; 해외 순정</v>
      </c>
      <c r="BF635" t="str">
        <f>T("웹툰 &gt; 로맨스")</f>
        <v>웹툰 &gt; 로맨스</v>
      </c>
    </row>
    <row r="636" spans="1:58" x14ac:dyDescent="0.3">
      <c r="A636">
        <v>4421000001</v>
      </c>
      <c r="B636">
        <v>4421000172</v>
      </c>
      <c r="C636" t="str">
        <f>T("감옥실험 51화")</f>
        <v>감옥실험 51화</v>
      </c>
      <c r="D636" t="str">
        <f>T("51")</f>
        <v>51</v>
      </c>
      <c r="E636" t="str">
        <f>T("Kantetsu")</f>
        <v>Kantetsu</v>
      </c>
      <c r="G636" t="str">
        <f>T("Minase Chiho")</f>
        <v>Minase Chiho</v>
      </c>
      <c r="H636" t="str">
        <f t="shared" si="59"/>
        <v>스토리위즈</v>
      </c>
      <c r="I636" t="str">
        <f>T("감옥실험")</f>
        <v>감옥실험</v>
      </c>
      <c r="J636">
        <v>500</v>
      </c>
      <c r="K636">
        <v>0</v>
      </c>
      <c r="L636">
        <v>0</v>
      </c>
      <c r="M636">
        <v>0</v>
      </c>
      <c r="N636">
        <v>600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600</v>
      </c>
      <c r="AH636">
        <v>2</v>
      </c>
      <c r="AI636">
        <v>0</v>
      </c>
      <c r="AJ636">
        <v>0</v>
      </c>
      <c r="AK636">
        <v>600</v>
      </c>
      <c r="AL636">
        <v>0</v>
      </c>
      <c r="AM636">
        <v>0</v>
      </c>
      <c r="AN636">
        <v>0</v>
      </c>
      <c r="AO636">
        <v>0</v>
      </c>
      <c r="AP636"/>
      <c r="AQ636">
        <v>0</v>
      </c>
      <c r="AR636">
        <v>0</v>
      </c>
      <c r="AT636">
        <v>0</v>
      </c>
      <c r="AU636">
        <v>0</v>
      </c>
      <c r="AW636">
        <v>0</v>
      </c>
      <c r="AX636">
        <v>0</v>
      </c>
      <c r="AY636">
        <v>420</v>
      </c>
      <c r="BC636" t="str">
        <f>T("9791166069406")</f>
        <v>9791166069406</v>
      </c>
      <c r="BE636" t="str">
        <f>T("웹툰 &gt; 드라마")</f>
        <v>웹툰 &gt; 드라마</v>
      </c>
    </row>
    <row r="637" spans="1:58" x14ac:dyDescent="0.3">
      <c r="A637">
        <v>4421001634</v>
      </c>
      <c r="B637">
        <v>4421002511</v>
      </c>
      <c r="C637" t="str">
        <f>T("그남자의 사랑방식 62화")</f>
        <v>그남자의 사랑방식 62화</v>
      </c>
      <c r="D637" t="str">
        <f>T("62")</f>
        <v>62</v>
      </c>
      <c r="E637" t="str">
        <f>T("웹티")</f>
        <v>웹티</v>
      </c>
      <c r="H637" t="str">
        <f t="shared" si="59"/>
        <v>스토리위즈</v>
      </c>
      <c r="I637" t="str">
        <f>T("그남자의 사랑방식")</f>
        <v>그남자의 사랑방식</v>
      </c>
      <c r="J637">
        <v>500</v>
      </c>
      <c r="K637">
        <v>0</v>
      </c>
      <c r="L637">
        <v>0</v>
      </c>
      <c r="M637">
        <v>0</v>
      </c>
      <c r="N637">
        <v>200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240</v>
      </c>
      <c r="AN637">
        <v>-24</v>
      </c>
      <c r="AO637">
        <v>0</v>
      </c>
      <c r="AP637"/>
      <c r="AQ637">
        <v>0</v>
      </c>
      <c r="AR637">
        <v>0</v>
      </c>
      <c r="AS637">
        <v>240</v>
      </c>
      <c r="AT637">
        <v>-24</v>
      </c>
      <c r="AU637">
        <v>0</v>
      </c>
      <c r="AW637">
        <v>0</v>
      </c>
      <c r="AX637">
        <v>0</v>
      </c>
      <c r="AY637">
        <v>151.19999999999999</v>
      </c>
      <c r="BC637" t="str">
        <f>T("9791190622004")</f>
        <v>9791190622004</v>
      </c>
      <c r="BE637" t="str">
        <f>T("BL 웹툰 &gt; 웹툰")</f>
        <v>BL 웹툰 &gt; 웹툰</v>
      </c>
    </row>
    <row r="638" spans="1:58" x14ac:dyDescent="0.3">
      <c r="A638">
        <v>4421001568</v>
      </c>
      <c r="B638">
        <v>4421001570</v>
      </c>
      <c r="C638" t="str">
        <f>T("구름의 연인 3화")</f>
        <v>구름의 연인 3화</v>
      </c>
      <c r="D638" t="str">
        <f>T("3")</f>
        <v>3</v>
      </c>
      <c r="E638" t="str">
        <f>T("웹티")</f>
        <v>웹티</v>
      </c>
      <c r="H638" t="str">
        <f t="shared" si="59"/>
        <v>스토리위즈</v>
      </c>
      <c r="I638" t="str">
        <f>T("구름의 연인")</f>
        <v>구름의 연인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/>
      <c r="AQ638">
        <v>0</v>
      </c>
      <c r="AR638">
        <v>0</v>
      </c>
      <c r="AT638">
        <v>0</v>
      </c>
      <c r="AU638">
        <v>0</v>
      </c>
      <c r="AW638">
        <v>0</v>
      </c>
      <c r="AX638">
        <v>0</v>
      </c>
      <c r="AY638">
        <v>0</v>
      </c>
      <c r="BA638" t="str">
        <f>T("0000000000000")</f>
        <v>0000000000000</v>
      </c>
      <c r="BC638" t="str">
        <f>T("9791196402730")</f>
        <v>9791196402730</v>
      </c>
      <c r="BE638" t="str">
        <f>T("웹툰 &gt; 로맨스")</f>
        <v>웹툰 &gt; 로맨스</v>
      </c>
    </row>
    <row r="639" spans="1:58" x14ac:dyDescent="0.3">
      <c r="A639">
        <v>4421000887</v>
      </c>
      <c r="B639">
        <v>4421001209</v>
      </c>
      <c r="C639" t="str">
        <f>T("폭군의 눈물 40화")</f>
        <v>폭군의 눈물 40화</v>
      </c>
      <c r="D639" t="str">
        <f>T("40")</f>
        <v>40</v>
      </c>
      <c r="E639" t="str">
        <f>T("Ice×FANFAN COMIC")</f>
        <v>Ice×FANFAN COMIC</v>
      </c>
      <c r="G639" t="str">
        <f>T("Ice×FANFAN COMIC")</f>
        <v>Ice×FANFAN COMIC</v>
      </c>
      <c r="H639" t="str">
        <f t="shared" si="59"/>
        <v>스토리위즈</v>
      </c>
      <c r="I639" t="str">
        <f>T("폭군의 눈물")</f>
        <v>폭군의 눈물</v>
      </c>
      <c r="J639">
        <v>400</v>
      </c>
      <c r="K639">
        <v>0</v>
      </c>
      <c r="L639">
        <v>0</v>
      </c>
      <c r="M639">
        <v>0</v>
      </c>
      <c r="N639">
        <v>200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200</v>
      </c>
      <c r="AH639">
        <v>1</v>
      </c>
      <c r="AI639">
        <v>0</v>
      </c>
      <c r="AJ639">
        <v>0</v>
      </c>
      <c r="AK639">
        <v>200</v>
      </c>
      <c r="AL639">
        <v>0</v>
      </c>
      <c r="AM639">
        <v>0</v>
      </c>
      <c r="AN639">
        <v>0</v>
      </c>
      <c r="AO639">
        <v>0</v>
      </c>
      <c r="AP639"/>
      <c r="AQ639">
        <v>0</v>
      </c>
      <c r="AR639">
        <v>0</v>
      </c>
      <c r="AT639">
        <v>0</v>
      </c>
      <c r="AU639">
        <v>0</v>
      </c>
      <c r="AW639">
        <v>0</v>
      </c>
      <c r="AX639">
        <v>0</v>
      </c>
      <c r="AY639">
        <v>140</v>
      </c>
      <c r="BA639" t="str">
        <f>T("0000000000000")</f>
        <v>0000000000000</v>
      </c>
      <c r="BC639" t="str">
        <f>T("9791137601291")</f>
        <v>9791137601291</v>
      </c>
      <c r="BE639" t="str">
        <f>T("웹툰 &gt; 해외 순정")</f>
        <v>웹툰 &gt; 해외 순정</v>
      </c>
      <c r="BF639" t="str">
        <f>T("웹툰 &gt; 로판")</f>
        <v>웹툰 &gt; 로판</v>
      </c>
    </row>
    <row r="640" spans="1:58" x14ac:dyDescent="0.3">
      <c r="A640">
        <v>4421001340</v>
      </c>
      <c r="B640">
        <v>4421002972</v>
      </c>
      <c r="C640" t="str">
        <f>T("가출천사 육성계약 56화")</f>
        <v>가출천사 육성계약 56화</v>
      </c>
      <c r="D640" t="str">
        <f>T("56")</f>
        <v>56</v>
      </c>
      <c r="E640" t="str">
        <f>T("Bae.C, IIAKI, 박제후")</f>
        <v>Bae.C, IIAKI, 박제후</v>
      </c>
      <c r="G640" t="str">
        <f>T("Bae.C, 조우")</f>
        <v>Bae.C, 조우</v>
      </c>
      <c r="H640" t="str">
        <f t="shared" si="59"/>
        <v>스토리위즈</v>
      </c>
      <c r="I640" t="str">
        <f>T("가출천사 육성계약")</f>
        <v>가출천사 육성계약</v>
      </c>
      <c r="J640">
        <v>400</v>
      </c>
      <c r="K640">
        <v>0</v>
      </c>
      <c r="L640">
        <v>0</v>
      </c>
      <c r="M640">
        <v>0</v>
      </c>
      <c r="N640">
        <v>200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240</v>
      </c>
      <c r="AN640">
        <v>-24</v>
      </c>
      <c r="AO640">
        <v>0</v>
      </c>
      <c r="AP640"/>
      <c r="AQ640">
        <v>0</v>
      </c>
      <c r="AR640">
        <v>0</v>
      </c>
      <c r="AS640">
        <v>240</v>
      </c>
      <c r="AT640">
        <v>-24</v>
      </c>
      <c r="AU640">
        <v>0</v>
      </c>
      <c r="AW640">
        <v>0</v>
      </c>
      <c r="AX640">
        <v>0</v>
      </c>
      <c r="AY640">
        <v>151.19999999999999</v>
      </c>
      <c r="BA640" t="str">
        <f>T("0000000000000")</f>
        <v>0000000000000</v>
      </c>
      <c r="BC640" t="str">
        <f>T("9791191765663")</f>
        <v>9791191765663</v>
      </c>
      <c r="BE640" t="str">
        <f>T("웹툰 &gt; 판타지/SF")</f>
        <v>웹툰 &gt; 판타지/SF</v>
      </c>
    </row>
    <row r="641" spans="1:58" x14ac:dyDescent="0.3">
      <c r="A641">
        <v>4421001305</v>
      </c>
      <c r="B641">
        <v>4421001309</v>
      </c>
      <c r="C641" t="str">
        <f>T("악역이지만, 남주는 꼬시지 않아요 5화")</f>
        <v>악역이지만, 남주는 꼬시지 않아요 5화</v>
      </c>
      <c r="D641" t="str">
        <f>T("5")</f>
        <v>5</v>
      </c>
      <c r="E641" t="str">
        <f>T("마북명")</f>
        <v>마북명</v>
      </c>
      <c r="G641" t="str">
        <f>T("kuri")</f>
        <v>kuri</v>
      </c>
      <c r="H641" t="str">
        <f t="shared" si="59"/>
        <v>스토리위즈</v>
      </c>
      <c r="I641" t="str">
        <f>T("악역이지만, 남주는 꼬시지 않아요")</f>
        <v>악역이지만, 남주는 꼬시지 않아요</v>
      </c>
      <c r="J641">
        <v>400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/>
      <c r="AQ641">
        <v>0</v>
      </c>
      <c r="AR641">
        <v>0</v>
      </c>
      <c r="AT641">
        <v>0</v>
      </c>
      <c r="AU641">
        <v>0</v>
      </c>
      <c r="AW641">
        <v>0</v>
      </c>
      <c r="AX641">
        <v>0</v>
      </c>
      <c r="AY641">
        <v>0</v>
      </c>
      <c r="BA641" t="str">
        <f>T("0000000000000")</f>
        <v>0000000000000</v>
      </c>
      <c r="BC641" t="str">
        <f>T("9791137603882")</f>
        <v>9791137603882</v>
      </c>
      <c r="BE641" t="str">
        <f>T("웹툰 &gt; 해외 순정")</f>
        <v>웹툰 &gt; 해외 순정</v>
      </c>
      <c r="BF641" t="str">
        <f>T("웹툰 &gt; 로판")</f>
        <v>웹툰 &gt; 로판</v>
      </c>
    </row>
    <row r="642" spans="1:58" x14ac:dyDescent="0.3">
      <c r="A642">
        <v>4421001634</v>
      </c>
      <c r="B642">
        <v>4421002500</v>
      </c>
      <c r="C642" t="str">
        <f>T("그남자의 사랑방식 51화")</f>
        <v>그남자의 사랑방식 51화</v>
      </c>
      <c r="D642" t="str">
        <f>T("51")</f>
        <v>51</v>
      </c>
      <c r="E642" t="str">
        <f>T("웹티")</f>
        <v>웹티</v>
      </c>
      <c r="H642" t="str">
        <f t="shared" ref="H642:H705" si="61">T("스토리위즈")</f>
        <v>스토리위즈</v>
      </c>
      <c r="I642" t="str">
        <f>T("그남자의 사랑방식")</f>
        <v>그남자의 사랑방식</v>
      </c>
      <c r="J642">
        <v>500</v>
      </c>
      <c r="K642">
        <v>0</v>
      </c>
      <c r="L642">
        <v>0</v>
      </c>
      <c r="M642">
        <v>0</v>
      </c>
      <c r="N642">
        <v>400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400</v>
      </c>
      <c r="AH642">
        <v>2</v>
      </c>
      <c r="AI642">
        <v>0</v>
      </c>
      <c r="AJ642">
        <v>0</v>
      </c>
      <c r="AK642">
        <v>200</v>
      </c>
      <c r="AL642">
        <v>0</v>
      </c>
      <c r="AM642">
        <v>240</v>
      </c>
      <c r="AN642">
        <v>-24</v>
      </c>
      <c r="AO642">
        <v>0</v>
      </c>
      <c r="AP642"/>
      <c r="AQ642">
        <v>0</v>
      </c>
      <c r="AR642">
        <v>0</v>
      </c>
      <c r="AS642">
        <v>240</v>
      </c>
      <c r="AT642">
        <v>-24</v>
      </c>
      <c r="AU642">
        <v>0</v>
      </c>
      <c r="AW642">
        <v>0</v>
      </c>
      <c r="AX642">
        <v>0</v>
      </c>
      <c r="AY642">
        <v>291.2</v>
      </c>
      <c r="BC642" t="str">
        <f>T("9791190622004")</f>
        <v>9791190622004</v>
      </c>
      <c r="BE642" t="str">
        <f>T("BL 웹툰 &gt; 웹툰")</f>
        <v>BL 웹툰 &gt; 웹툰</v>
      </c>
    </row>
    <row r="643" spans="1:58" x14ac:dyDescent="0.3">
      <c r="A643">
        <v>4421000450</v>
      </c>
      <c r="B643">
        <v>4421000499</v>
      </c>
      <c r="C643" t="str">
        <f>T("내 남편의 스토커 49화")</f>
        <v>내 남편의 스토커 49화</v>
      </c>
      <c r="D643" t="str">
        <f>T("49")</f>
        <v>49</v>
      </c>
      <c r="E643" t="str">
        <f>T("혜원")</f>
        <v>혜원</v>
      </c>
      <c r="G643" t="str">
        <f>T("혜원")</f>
        <v>혜원</v>
      </c>
      <c r="H643" t="str">
        <f t="shared" si="61"/>
        <v>스토리위즈</v>
      </c>
      <c r="I643" t="str">
        <f>T("내 남편의 스토커")</f>
        <v>내 남편의 스토커</v>
      </c>
      <c r="J643">
        <v>400</v>
      </c>
      <c r="K643">
        <v>0</v>
      </c>
      <c r="L643">
        <v>0</v>
      </c>
      <c r="M643">
        <v>0</v>
      </c>
      <c r="N643">
        <v>200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240</v>
      </c>
      <c r="AN643">
        <v>-24</v>
      </c>
      <c r="AO643">
        <v>0</v>
      </c>
      <c r="AP643"/>
      <c r="AQ643">
        <v>0</v>
      </c>
      <c r="AR643">
        <v>0</v>
      </c>
      <c r="AS643">
        <v>240</v>
      </c>
      <c r="AT643">
        <v>-24</v>
      </c>
      <c r="AU643">
        <v>0</v>
      </c>
      <c r="AW643">
        <v>0</v>
      </c>
      <c r="AX643">
        <v>0</v>
      </c>
      <c r="AY643">
        <v>151.19999999999999</v>
      </c>
      <c r="BA643" t="str">
        <f>T("0000000000000")</f>
        <v>0000000000000</v>
      </c>
      <c r="BC643" t="str">
        <f>T("9791166068034")</f>
        <v>9791166068034</v>
      </c>
      <c r="BE643" t="str">
        <f>T("웹툰 &gt; 로맨스")</f>
        <v>웹툰 &gt; 로맨스</v>
      </c>
    </row>
    <row r="644" spans="1:58" x14ac:dyDescent="0.3">
      <c r="A644">
        <v>4421000866</v>
      </c>
      <c r="B644">
        <v>4421002959</v>
      </c>
      <c r="C644" t="str">
        <f>T("최애에게 들켜버렸다 91화")</f>
        <v>최애에게 들켜버렸다 91화</v>
      </c>
      <c r="D644" t="str">
        <f>T("94")</f>
        <v>94</v>
      </c>
      <c r="E644" t="str">
        <f>T("Lv")</f>
        <v>Lv</v>
      </c>
      <c r="G644" t="str">
        <f>T("Lv")</f>
        <v>Lv</v>
      </c>
      <c r="H644" t="str">
        <f t="shared" si="61"/>
        <v>스토리위즈</v>
      </c>
      <c r="I644" t="str">
        <f>T("최애에게 들켜버렸다")</f>
        <v>최애에게 들켜버렸다</v>
      </c>
      <c r="J644">
        <v>400</v>
      </c>
      <c r="K644">
        <v>0</v>
      </c>
      <c r="L644">
        <v>0</v>
      </c>
      <c r="M644">
        <v>0</v>
      </c>
      <c r="N644">
        <v>200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200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240</v>
      </c>
      <c r="AN644">
        <v>-24</v>
      </c>
      <c r="AO644">
        <v>0</v>
      </c>
      <c r="AP644"/>
      <c r="AQ644">
        <v>0</v>
      </c>
      <c r="AR644">
        <v>0</v>
      </c>
      <c r="AS644">
        <v>240</v>
      </c>
      <c r="AT644">
        <v>-24</v>
      </c>
      <c r="AU644">
        <v>0</v>
      </c>
      <c r="AW644">
        <v>0</v>
      </c>
      <c r="AX644">
        <v>0</v>
      </c>
      <c r="AY644">
        <v>151.19999999999999</v>
      </c>
      <c r="BA644" t="str">
        <f>T("0000000000000")</f>
        <v>0000000000000</v>
      </c>
      <c r="BC644" t="str">
        <f>T("9791137601253")</f>
        <v>9791137601253</v>
      </c>
      <c r="BE644" t="str">
        <f>T("웹툰 &gt; 해외 순정")</f>
        <v>웹툰 &gt; 해외 순정</v>
      </c>
      <c r="BF644" t="str">
        <f>T("웹툰 &gt; 로맨스")</f>
        <v>웹툰 &gt; 로맨스</v>
      </c>
    </row>
    <row r="645" spans="1:58" x14ac:dyDescent="0.3">
      <c r="A645">
        <v>4421000887</v>
      </c>
      <c r="B645">
        <v>4421001298</v>
      </c>
      <c r="C645" t="str">
        <f>T("폭군의 눈물 56화")</f>
        <v>폭군의 눈물 56화</v>
      </c>
      <c r="D645" t="str">
        <f>T("56")</f>
        <v>56</v>
      </c>
      <c r="E645" t="str">
        <f>T("Ice×FANFAN COMIC")</f>
        <v>Ice×FANFAN COMIC</v>
      </c>
      <c r="G645" t="str">
        <f>T("Ice×FANFAN COMIC")</f>
        <v>Ice×FANFAN COMIC</v>
      </c>
      <c r="H645" t="str">
        <f t="shared" si="61"/>
        <v>스토리위즈</v>
      </c>
      <c r="I645" t="str">
        <f>T("폭군의 눈물")</f>
        <v>폭군의 눈물</v>
      </c>
      <c r="J645">
        <v>400</v>
      </c>
      <c r="K645">
        <v>0</v>
      </c>
      <c r="L645">
        <v>0</v>
      </c>
      <c r="M645">
        <v>0</v>
      </c>
      <c r="N645">
        <v>200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200</v>
      </c>
      <c r="AH645">
        <v>1</v>
      </c>
      <c r="AI645">
        <v>0</v>
      </c>
      <c r="AJ645">
        <v>0</v>
      </c>
      <c r="AK645">
        <v>200</v>
      </c>
      <c r="AL645">
        <v>0</v>
      </c>
      <c r="AM645">
        <v>0</v>
      </c>
      <c r="AN645">
        <v>0</v>
      </c>
      <c r="AO645">
        <v>0</v>
      </c>
      <c r="AP645"/>
      <c r="AQ645">
        <v>0</v>
      </c>
      <c r="AR645">
        <v>0</v>
      </c>
      <c r="AT645">
        <v>0</v>
      </c>
      <c r="AU645">
        <v>0</v>
      </c>
      <c r="AW645">
        <v>0</v>
      </c>
      <c r="AX645">
        <v>0</v>
      </c>
      <c r="AY645">
        <v>140</v>
      </c>
      <c r="BA645" t="str">
        <f>T("0000000000000")</f>
        <v>0000000000000</v>
      </c>
      <c r="BC645" t="str">
        <f>T("9791137601291")</f>
        <v>9791137601291</v>
      </c>
      <c r="BE645" t="str">
        <f>T("웹툰 &gt; 해외 순정")</f>
        <v>웹툰 &gt; 해외 순정</v>
      </c>
      <c r="BF645" t="str">
        <f>T("웹툰 &gt; 로판")</f>
        <v>웹툰 &gt; 로판</v>
      </c>
    </row>
    <row r="646" spans="1:58" x14ac:dyDescent="0.3">
      <c r="A646">
        <v>4421003015</v>
      </c>
      <c r="B646">
        <v>4421003035</v>
      </c>
      <c r="C646" t="str">
        <f>T("일월성신 20화")</f>
        <v>일월성신 20화</v>
      </c>
      <c r="D646" t="str">
        <f>T("20")</f>
        <v>20</v>
      </c>
      <c r="E646" t="str">
        <f>T("김숙지")</f>
        <v>김숙지</v>
      </c>
      <c r="G646" t="str">
        <f>T("이름표")</f>
        <v>이름표</v>
      </c>
      <c r="H646" t="str">
        <f t="shared" si="61"/>
        <v>스토리위즈</v>
      </c>
      <c r="I646" t="str">
        <f>T("일월성신")</f>
        <v>일월성신</v>
      </c>
      <c r="J646">
        <v>400</v>
      </c>
      <c r="K646">
        <v>0</v>
      </c>
      <c r="L646">
        <v>0</v>
      </c>
      <c r="M646">
        <v>0</v>
      </c>
      <c r="N646">
        <v>600</v>
      </c>
      <c r="O646">
        <v>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600</v>
      </c>
      <c r="AH646">
        <v>3</v>
      </c>
      <c r="AI646">
        <v>0</v>
      </c>
      <c r="AJ646">
        <v>0</v>
      </c>
      <c r="AK646">
        <v>200</v>
      </c>
      <c r="AL646">
        <v>0</v>
      </c>
      <c r="AM646">
        <v>480</v>
      </c>
      <c r="AN646">
        <v>-96</v>
      </c>
      <c r="AO646">
        <v>0</v>
      </c>
      <c r="AP646">
        <v>240</v>
      </c>
      <c r="AQ646">
        <v>-72</v>
      </c>
      <c r="AR646">
        <v>0</v>
      </c>
      <c r="AS646">
        <v>240</v>
      </c>
      <c r="AT646">
        <v>-24</v>
      </c>
      <c r="AU646">
        <v>0</v>
      </c>
      <c r="AW646">
        <v>0</v>
      </c>
      <c r="AX646">
        <v>0</v>
      </c>
      <c r="AY646">
        <v>408.8</v>
      </c>
      <c r="BA646" t="str">
        <f>T("0000000000000")</f>
        <v>0000000000000</v>
      </c>
      <c r="BC646" t="str">
        <f>T("9791137604605")</f>
        <v>9791137604605</v>
      </c>
      <c r="BE646" t="str">
        <f>T("웹툰 &gt; 드라마")</f>
        <v>웹툰 &gt; 드라마</v>
      </c>
    </row>
    <row r="647" spans="1:58" x14ac:dyDescent="0.3">
      <c r="A647">
        <v>4421001634</v>
      </c>
      <c r="B647">
        <v>4421002533</v>
      </c>
      <c r="C647" t="str">
        <f>T("그남자의 사랑방식 84화")</f>
        <v>그남자의 사랑방식 84화</v>
      </c>
      <c r="D647" t="str">
        <f>T("84")</f>
        <v>84</v>
      </c>
      <c r="E647" t="str">
        <f>T("웹티")</f>
        <v>웹티</v>
      </c>
      <c r="H647" t="str">
        <f t="shared" si="61"/>
        <v>스토리위즈</v>
      </c>
      <c r="I647" t="str">
        <f>T("그남자의 사랑방식")</f>
        <v>그남자의 사랑방식</v>
      </c>
      <c r="J647">
        <v>500</v>
      </c>
      <c r="K647">
        <v>0</v>
      </c>
      <c r="L647">
        <v>0</v>
      </c>
      <c r="M647">
        <v>0</v>
      </c>
      <c r="N647">
        <v>200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240</v>
      </c>
      <c r="AN647">
        <v>-24</v>
      </c>
      <c r="AO647">
        <v>0</v>
      </c>
      <c r="AP647"/>
      <c r="AQ647">
        <v>0</v>
      </c>
      <c r="AR647">
        <v>0</v>
      </c>
      <c r="AS647">
        <v>240</v>
      </c>
      <c r="AT647">
        <v>-24</v>
      </c>
      <c r="AU647">
        <v>0</v>
      </c>
      <c r="AW647">
        <v>0</v>
      </c>
      <c r="AX647">
        <v>0</v>
      </c>
      <c r="AY647">
        <v>151.19999999999999</v>
      </c>
      <c r="BC647" t="str">
        <f>T("9791190622004")</f>
        <v>9791190622004</v>
      </c>
      <c r="BE647" t="str">
        <f>T("BL 웹툰 &gt; 웹툰")</f>
        <v>BL 웹툰 &gt; 웹툰</v>
      </c>
    </row>
    <row r="648" spans="1:58" x14ac:dyDescent="0.3">
      <c r="A648">
        <v>4421001340</v>
      </c>
      <c r="B648">
        <v>4421001352</v>
      </c>
      <c r="C648" t="str">
        <f>T("가출천사 육성계약 13화")</f>
        <v>가출천사 육성계약 13화</v>
      </c>
      <c r="D648" t="str">
        <f>T("13")</f>
        <v>13</v>
      </c>
      <c r="E648" t="str">
        <f>T("Bae.C, IIAKI, 박제후")</f>
        <v>Bae.C, IIAKI, 박제후</v>
      </c>
      <c r="G648" t="str">
        <f>T("Bae.C, 조우")</f>
        <v>Bae.C, 조우</v>
      </c>
      <c r="H648" t="str">
        <f t="shared" si="61"/>
        <v>스토리위즈</v>
      </c>
      <c r="I648" t="str">
        <f>T("가출천사 육성계약")</f>
        <v>가출천사 육성계약</v>
      </c>
      <c r="J648">
        <v>400</v>
      </c>
      <c r="K648">
        <v>0</v>
      </c>
      <c r="L648">
        <v>0</v>
      </c>
      <c r="M648">
        <v>0</v>
      </c>
      <c r="N648">
        <v>200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200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240</v>
      </c>
      <c r="AN648">
        <v>-24</v>
      </c>
      <c r="AO648">
        <v>0</v>
      </c>
      <c r="AP648"/>
      <c r="AQ648">
        <v>0</v>
      </c>
      <c r="AR648">
        <v>0</v>
      </c>
      <c r="AS648">
        <v>240</v>
      </c>
      <c r="AT648">
        <v>-24</v>
      </c>
      <c r="AU648">
        <v>0</v>
      </c>
      <c r="AW648">
        <v>0</v>
      </c>
      <c r="AX648">
        <v>0</v>
      </c>
      <c r="AY648">
        <v>151.19999999999999</v>
      </c>
      <c r="BA648" t="str">
        <f>T("0000000000000")</f>
        <v>0000000000000</v>
      </c>
      <c r="BC648" t="str">
        <f>T("9791191765663")</f>
        <v>9791191765663</v>
      </c>
      <c r="BE648" t="str">
        <f>T("웹툰 &gt; 판타지/SF")</f>
        <v>웹툰 &gt; 판타지/SF</v>
      </c>
    </row>
    <row r="649" spans="1:58" x14ac:dyDescent="0.3">
      <c r="A649">
        <v>4421001634</v>
      </c>
      <c r="B649">
        <v>4421001652</v>
      </c>
      <c r="C649" t="str">
        <f>T("그남자의 사랑방식 19화")</f>
        <v>그남자의 사랑방식 19화</v>
      </c>
      <c r="D649" t="str">
        <f>T("19")</f>
        <v>19</v>
      </c>
      <c r="E649" t="str">
        <f>T("웹티")</f>
        <v>웹티</v>
      </c>
      <c r="H649" t="str">
        <f t="shared" si="61"/>
        <v>스토리위즈</v>
      </c>
      <c r="I649" t="str">
        <f>T("그남자의 사랑방식")</f>
        <v>그남자의 사랑방식</v>
      </c>
      <c r="J649">
        <v>500</v>
      </c>
      <c r="K649">
        <v>0</v>
      </c>
      <c r="L649">
        <v>0</v>
      </c>
      <c r="M649">
        <v>0</v>
      </c>
      <c r="N649">
        <v>1200</v>
      </c>
      <c r="O649">
        <v>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1200</v>
      </c>
      <c r="AH649">
        <v>6</v>
      </c>
      <c r="AI649">
        <v>0</v>
      </c>
      <c r="AJ649">
        <v>0</v>
      </c>
      <c r="AK649">
        <v>400</v>
      </c>
      <c r="AL649">
        <v>0</v>
      </c>
      <c r="AM649">
        <v>960</v>
      </c>
      <c r="AN649">
        <v>-144</v>
      </c>
      <c r="AO649">
        <v>0</v>
      </c>
      <c r="AP649"/>
      <c r="AQ649">
        <v>0</v>
      </c>
      <c r="AR649">
        <v>0</v>
      </c>
      <c r="AS649">
        <v>960</v>
      </c>
      <c r="AT649">
        <v>-144</v>
      </c>
      <c r="AU649">
        <v>0</v>
      </c>
      <c r="AW649">
        <v>0</v>
      </c>
      <c r="AX649">
        <v>0</v>
      </c>
      <c r="AY649">
        <v>851.2</v>
      </c>
      <c r="BC649" t="str">
        <f>T("9791190622004")</f>
        <v>9791190622004</v>
      </c>
      <c r="BE649" t="str">
        <f>T("BL 웹툰 &gt; 웹툰")</f>
        <v>BL 웹툰 &gt; 웹툰</v>
      </c>
    </row>
    <row r="650" spans="1:58" x14ac:dyDescent="0.3">
      <c r="A650">
        <v>4421000887</v>
      </c>
      <c r="B650">
        <v>4421001242</v>
      </c>
      <c r="C650" t="str">
        <f>T("폭군의 눈물 45화")</f>
        <v>폭군의 눈물 45화</v>
      </c>
      <c r="D650" t="str">
        <f>T("45")</f>
        <v>45</v>
      </c>
      <c r="E650" t="str">
        <f>T("Ice×FANFAN COMIC")</f>
        <v>Ice×FANFAN COMIC</v>
      </c>
      <c r="G650" t="str">
        <f>T("Ice×FANFAN COMIC")</f>
        <v>Ice×FANFAN COMIC</v>
      </c>
      <c r="H650" t="str">
        <f t="shared" si="61"/>
        <v>스토리위즈</v>
      </c>
      <c r="I650" t="str">
        <f>T("폭군의 눈물")</f>
        <v>폭군의 눈물</v>
      </c>
      <c r="J650">
        <v>400</v>
      </c>
      <c r="K650">
        <v>0</v>
      </c>
      <c r="L650">
        <v>0</v>
      </c>
      <c r="M650">
        <v>0</v>
      </c>
      <c r="N650">
        <v>200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200</v>
      </c>
      <c r="AH650">
        <v>1</v>
      </c>
      <c r="AI650">
        <v>0</v>
      </c>
      <c r="AJ650">
        <v>0</v>
      </c>
      <c r="AK650">
        <v>200</v>
      </c>
      <c r="AL650">
        <v>0</v>
      </c>
      <c r="AM650">
        <v>0</v>
      </c>
      <c r="AN650">
        <v>0</v>
      </c>
      <c r="AO650">
        <v>0</v>
      </c>
      <c r="AP650"/>
      <c r="AQ650">
        <v>0</v>
      </c>
      <c r="AR650">
        <v>0</v>
      </c>
      <c r="AT650">
        <v>0</v>
      </c>
      <c r="AU650">
        <v>0</v>
      </c>
      <c r="AW650">
        <v>0</v>
      </c>
      <c r="AX650">
        <v>0</v>
      </c>
      <c r="AY650">
        <v>140</v>
      </c>
      <c r="BA650" t="str">
        <f>T("0000000000000")</f>
        <v>0000000000000</v>
      </c>
      <c r="BC650" t="str">
        <f>T("9791137601291")</f>
        <v>9791137601291</v>
      </c>
      <c r="BE650" t="str">
        <f>T("웹툰 &gt; 해외 순정")</f>
        <v>웹툰 &gt; 해외 순정</v>
      </c>
      <c r="BF650" t="str">
        <f>T("웹툰 &gt; 로판")</f>
        <v>웹툰 &gt; 로판</v>
      </c>
    </row>
    <row r="651" spans="1:58" x14ac:dyDescent="0.3">
      <c r="A651">
        <v>4421001340</v>
      </c>
      <c r="B651">
        <v>4421001340</v>
      </c>
      <c r="C651" t="str">
        <f>T("가출천사 육성계약 1화")</f>
        <v>가출천사 육성계약 1화</v>
      </c>
      <c r="D651" t="str">
        <f>T("1")</f>
        <v>1</v>
      </c>
      <c r="E651" t="str">
        <f>T("Bae.C, IIAKI, 박제후")</f>
        <v>Bae.C, IIAKI, 박제후</v>
      </c>
      <c r="G651" t="str">
        <f>T("Bae.C, 조우")</f>
        <v>Bae.C, 조우</v>
      </c>
      <c r="H651" t="str">
        <f t="shared" si="61"/>
        <v>스토리위즈</v>
      </c>
      <c r="I651" t="str">
        <f>T("가출천사 육성계약")</f>
        <v>가출천사 육성계약</v>
      </c>
      <c r="J651">
        <v>400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/>
      <c r="AQ651">
        <v>0</v>
      </c>
      <c r="AR651">
        <v>0</v>
      </c>
      <c r="AT651">
        <v>0</v>
      </c>
      <c r="AU651">
        <v>0</v>
      </c>
      <c r="AW651">
        <v>0</v>
      </c>
      <c r="AX651">
        <v>0</v>
      </c>
      <c r="AY651">
        <v>0</v>
      </c>
      <c r="BA651" t="str">
        <f>T("0000000000000")</f>
        <v>0000000000000</v>
      </c>
      <c r="BC651" t="str">
        <f>T("9791191765663")</f>
        <v>9791191765663</v>
      </c>
      <c r="BE651" t="str">
        <f>T("웹툰 &gt; 판타지/SF")</f>
        <v>웹툰 &gt; 판타지/SF</v>
      </c>
    </row>
    <row r="652" spans="1:58" x14ac:dyDescent="0.3">
      <c r="A652">
        <v>4421002829</v>
      </c>
      <c r="B652">
        <v>4421003077</v>
      </c>
      <c r="C652" t="str">
        <f>T("테두리는 주시하지 않는다 (개정판) 21화")</f>
        <v>테두리는 주시하지 않는다 (개정판) 21화</v>
      </c>
      <c r="D652" t="str">
        <f>T("21")</f>
        <v>21</v>
      </c>
      <c r="E652" t="str">
        <f>T("토찌, 키로즈")</f>
        <v>토찌, 키로즈</v>
      </c>
      <c r="G652" t="str">
        <f>T("마린")</f>
        <v>마린</v>
      </c>
      <c r="H652" t="str">
        <f t="shared" si="61"/>
        <v>스토리위즈</v>
      </c>
      <c r="I652" t="str">
        <f>T("테두리는 주시하지 않는다 (개정판)")</f>
        <v>테두리는 주시하지 않는다 (개정판)</v>
      </c>
      <c r="J652">
        <v>500</v>
      </c>
      <c r="K652">
        <v>0</v>
      </c>
      <c r="L652">
        <v>0</v>
      </c>
      <c r="M652">
        <v>0</v>
      </c>
      <c r="N652">
        <v>5400</v>
      </c>
      <c r="O652">
        <v>18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5400</v>
      </c>
      <c r="AH652">
        <v>18</v>
      </c>
      <c r="AI652">
        <v>0</v>
      </c>
      <c r="AJ652">
        <v>0</v>
      </c>
      <c r="AK652">
        <v>2700</v>
      </c>
      <c r="AL652">
        <v>0</v>
      </c>
      <c r="AM652">
        <v>3240</v>
      </c>
      <c r="AN652">
        <v>-468</v>
      </c>
      <c r="AO652">
        <v>0</v>
      </c>
      <c r="AP652">
        <v>360</v>
      </c>
      <c r="AQ652">
        <v>-108</v>
      </c>
      <c r="AR652">
        <v>0</v>
      </c>
      <c r="AS652">
        <v>2880</v>
      </c>
      <c r="AT652">
        <v>-360</v>
      </c>
      <c r="AU652">
        <v>0</v>
      </c>
      <c r="AW652">
        <v>0</v>
      </c>
      <c r="AX652">
        <v>0</v>
      </c>
      <c r="AY652">
        <v>3830.4</v>
      </c>
      <c r="BA652" t="str">
        <f>T("0000000000000")</f>
        <v>0000000000000</v>
      </c>
      <c r="BC652" t="str">
        <f>T("9791137604681")</f>
        <v>9791137604681</v>
      </c>
      <c r="BE652" t="str">
        <f>T("BL 웹툰 &gt; 웹툰")</f>
        <v>BL 웹툰 &gt; 웹툰</v>
      </c>
    </row>
    <row r="653" spans="1:58" x14ac:dyDescent="0.3">
      <c r="A653">
        <v>4421002022</v>
      </c>
      <c r="B653">
        <v>4421002046</v>
      </c>
      <c r="C653" t="str">
        <f>T("대표님과 연애를 시작했습니다 25화")</f>
        <v>대표님과 연애를 시작했습니다 25화</v>
      </c>
      <c r="D653" t="str">
        <f>T("25")</f>
        <v>25</v>
      </c>
      <c r="E653" t="str">
        <f>T("웹티")</f>
        <v>웹티</v>
      </c>
      <c r="H653" t="str">
        <f t="shared" si="61"/>
        <v>스토리위즈</v>
      </c>
      <c r="I653" t="str">
        <f>T("대표님과 연애를 시작했습니다")</f>
        <v>대표님과 연애를 시작했습니다</v>
      </c>
      <c r="J653">
        <v>500</v>
      </c>
      <c r="K653">
        <v>0</v>
      </c>
      <c r="L653">
        <v>0</v>
      </c>
      <c r="M653">
        <v>0</v>
      </c>
      <c r="N653">
        <v>200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200</v>
      </c>
      <c r="AH653">
        <v>1</v>
      </c>
      <c r="AI653">
        <v>0</v>
      </c>
      <c r="AJ653">
        <v>0</v>
      </c>
      <c r="AK653">
        <v>200</v>
      </c>
      <c r="AL653">
        <v>0</v>
      </c>
      <c r="AM653">
        <v>0</v>
      </c>
      <c r="AN653">
        <v>0</v>
      </c>
      <c r="AO653">
        <v>0</v>
      </c>
      <c r="AP653"/>
      <c r="AQ653">
        <v>0</v>
      </c>
      <c r="AR653">
        <v>0</v>
      </c>
      <c r="AT653">
        <v>0</v>
      </c>
      <c r="AU653">
        <v>0</v>
      </c>
      <c r="AW653">
        <v>0</v>
      </c>
      <c r="AX653">
        <v>0</v>
      </c>
      <c r="AY653">
        <v>140</v>
      </c>
      <c r="BA653" t="str">
        <f>T("0000000000000")</f>
        <v>0000000000000</v>
      </c>
      <c r="BC653" t="str">
        <f>T("9791196660482")</f>
        <v>9791196660482</v>
      </c>
      <c r="BE653" t="str">
        <f>T("BL 웹툰 &gt; 웹툰")</f>
        <v>BL 웹툰 &gt; 웹툰</v>
      </c>
    </row>
    <row r="654" spans="1:58" x14ac:dyDescent="0.3">
      <c r="A654">
        <v>4421002795</v>
      </c>
      <c r="B654">
        <v>4421002797</v>
      </c>
      <c r="C654" t="str">
        <f>T("심연의 눈 3화")</f>
        <v>심연의 눈 3화</v>
      </c>
      <c r="D654" t="str">
        <f>T("3")</f>
        <v>3</v>
      </c>
      <c r="E654" t="str">
        <f>T("M.C.K")</f>
        <v>M.C.K</v>
      </c>
      <c r="H654" t="str">
        <f t="shared" si="61"/>
        <v>스토리위즈</v>
      </c>
      <c r="I654" t="str">
        <f>T("심연의 눈")</f>
        <v>심연의 눈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/>
      <c r="AQ654">
        <v>0</v>
      </c>
      <c r="AR654">
        <v>0</v>
      </c>
      <c r="AT654">
        <v>0</v>
      </c>
      <c r="AU654">
        <v>0</v>
      </c>
      <c r="AW654">
        <v>0</v>
      </c>
      <c r="AX654">
        <v>0</v>
      </c>
      <c r="AY654">
        <v>0</v>
      </c>
      <c r="BA654" t="str">
        <f>T("0000000000000")</f>
        <v>0000000000000</v>
      </c>
      <c r="BC654" t="str">
        <f>T("9791190622226")</f>
        <v>9791190622226</v>
      </c>
      <c r="BE654" t="str">
        <f>T("웹툰 &gt; 판타지/SF")</f>
        <v>웹툰 &gt; 판타지/SF</v>
      </c>
    </row>
    <row r="655" spans="1:58" x14ac:dyDescent="0.3">
      <c r="A655">
        <v>4421000001</v>
      </c>
      <c r="B655">
        <v>4421000018</v>
      </c>
      <c r="C655" t="str">
        <f>T("감옥실험 8화")</f>
        <v>감옥실험 8화</v>
      </c>
      <c r="D655" t="str">
        <f>T("8")</f>
        <v>8</v>
      </c>
      <c r="E655" t="str">
        <f>T("Kantetsu")</f>
        <v>Kantetsu</v>
      </c>
      <c r="G655" t="str">
        <f>T("Minase Chiho")</f>
        <v>Minase Chiho</v>
      </c>
      <c r="H655" t="str">
        <f t="shared" si="61"/>
        <v>스토리위즈</v>
      </c>
      <c r="I655" t="str">
        <f>T("감옥실험")</f>
        <v>감옥실험</v>
      </c>
      <c r="J655">
        <v>500</v>
      </c>
      <c r="K655">
        <v>0</v>
      </c>
      <c r="L655">
        <v>0</v>
      </c>
      <c r="M655">
        <v>0</v>
      </c>
      <c r="N655">
        <v>2100</v>
      </c>
      <c r="O655">
        <v>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2100</v>
      </c>
      <c r="AH655">
        <v>7</v>
      </c>
      <c r="AI655">
        <v>0</v>
      </c>
      <c r="AJ655">
        <v>0</v>
      </c>
      <c r="AK655">
        <v>1200</v>
      </c>
      <c r="AL655">
        <v>0</v>
      </c>
      <c r="AM655">
        <v>1080</v>
      </c>
      <c r="AN655">
        <v>-252</v>
      </c>
      <c r="AO655">
        <v>0</v>
      </c>
      <c r="AP655">
        <v>360</v>
      </c>
      <c r="AQ655">
        <v>-108</v>
      </c>
      <c r="AR655">
        <v>0</v>
      </c>
      <c r="AS655">
        <v>720</v>
      </c>
      <c r="AT655">
        <v>-144</v>
      </c>
      <c r="AU655">
        <v>0</v>
      </c>
      <c r="AW655">
        <v>0</v>
      </c>
      <c r="AX655">
        <v>0</v>
      </c>
      <c r="AY655">
        <v>1419.6</v>
      </c>
      <c r="BC655" t="str">
        <f>T("9791166069406")</f>
        <v>9791166069406</v>
      </c>
      <c r="BE655" t="str">
        <f>T("웹툰 &gt; 드라마")</f>
        <v>웹툰 &gt; 드라마</v>
      </c>
    </row>
    <row r="656" spans="1:58" x14ac:dyDescent="0.3">
      <c r="A656">
        <v>4421000866</v>
      </c>
      <c r="B656">
        <v>4421000974</v>
      </c>
      <c r="C656" t="str">
        <f>T("최애에게 들켜버렸다 32화")</f>
        <v>최애에게 들켜버렸다 32화</v>
      </c>
      <c r="D656" t="str">
        <f>T("33")</f>
        <v>33</v>
      </c>
      <c r="E656" t="str">
        <f>T("Lv")</f>
        <v>Lv</v>
      </c>
      <c r="G656" t="str">
        <f>T("Lv")</f>
        <v>Lv</v>
      </c>
      <c r="H656" t="str">
        <f t="shared" si="61"/>
        <v>스토리위즈</v>
      </c>
      <c r="I656" t="str">
        <f>T("최애에게 들켜버렸다")</f>
        <v>최애에게 들켜버렸다</v>
      </c>
      <c r="J656">
        <v>400</v>
      </c>
      <c r="K656">
        <v>0</v>
      </c>
      <c r="L656">
        <v>0</v>
      </c>
      <c r="M656">
        <v>0</v>
      </c>
      <c r="N656">
        <v>400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2</v>
      </c>
      <c r="AI656">
        <v>0</v>
      </c>
      <c r="AJ656">
        <v>0</v>
      </c>
      <c r="AK656">
        <v>0</v>
      </c>
      <c r="AL656">
        <v>0</v>
      </c>
      <c r="AM656">
        <v>480</v>
      </c>
      <c r="AN656">
        <v>-48</v>
      </c>
      <c r="AO656">
        <v>0</v>
      </c>
      <c r="AP656"/>
      <c r="AQ656">
        <v>0</v>
      </c>
      <c r="AR656">
        <v>0</v>
      </c>
      <c r="AS656">
        <v>480</v>
      </c>
      <c r="AT656">
        <v>-48</v>
      </c>
      <c r="AU656">
        <v>0</v>
      </c>
      <c r="AW656">
        <v>0</v>
      </c>
      <c r="AX656">
        <v>0</v>
      </c>
      <c r="AY656">
        <v>302.39999999999998</v>
      </c>
      <c r="BA656" t="str">
        <f>T("0000000000000")</f>
        <v>0000000000000</v>
      </c>
      <c r="BC656" t="str">
        <f>T("9791137601253")</f>
        <v>9791137601253</v>
      </c>
      <c r="BE656" t="str">
        <f>T("웹툰 &gt; 해외 순정")</f>
        <v>웹툰 &gt; 해외 순정</v>
      </c>
      <c r="BF656" t="str">
        <f>T("웹툰 &gt; 로맨스")</f>
        <v>웹툰 &gt; 로맨스</v>
      </c>
    </row>
    <row r="657" spans="1:58" x14ac:dyDescent="0.3">
      <c r="A657">
        <v>4421000450</v>
      </c>
      <c r="B657">
        <v>4421000467</v>
      </c>
      <c r="C657" t="str">
        <f>T("내 남편의 스토커 17화")</f>
        <v>내 남편의 스토커 17화</v>
      </c>
      <c r="D657" t="str">
        <f>T("17")</f>
        <v>17</v>
      </c>
      <c r="E657" t="str">
        <f>T("혜원")</f>
        <v>혜원</v>
      </c>
      <c r="G657" t="str">
        <f>T("혜원")</f>
        <v>혜원</v>
      </c>
      <c r="H657" t="str">
        <f t="shared" si="61"/>
        <v>스토리위즈</v>
      </c>
      <c r="I657" t="str">
        <f>T("내 남편의 스토커")</f>
        <v>내 남편의 스토커</v>
      </c>
      <c r="J657">
        <v>400</v>
      </c>
      <c r="K657">
        <v>0</v>
      </c>
      <c r="L657">
        <v>0</v>
      </c>
      <c r="M657">
        <v>0</v>
      </c>
      <c r="N657">
        <v>200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240</v>
      </c>
      <c r="AN657">
        <v>-72</v>
      </c>
      <c r="AO657">
        <v>0</v>
      </c>
      <c r="AP657"/>
      <c r="AQ657">
        <v>0</v>
      </c>
      <c r="AR657">
        <v>0</v>
      </c>
      <c r="AS657">
        <v>240</v>
      </c>
      <c r="AT657">
        <v>-72</v>
      </c>
      <c r="AU657">
        <v>0</v>
      </c>
      <c r="AW657">
        <v>0</v>
      </c>
      <c r="AX657">
        <v>0</v>
      </c>
      <c r="AY657">
        <v>117.6</v>
      </c>
      <c r="BA657" t="str">
        <f>T("0000000000000")</f>
        <v>0000000000000</v>
      </c>
      <c r="BC657" t="str">
        <f>T("9791166068034")</f>
        <v>9791166068034</v>
      </c>
      <c r="BE657" t="str">
        <f>T("웹툰 &gt; 로맨스")</f>
        <v>웹툰 &gt; 로맨스</v>
      </c>
    </row>
    <row r="658" spans="1:58" x14ac:dyDescent="0.3">
      <c r="A658">
        <v>4421002306</v>
      </c>
      <c r="B658">
        <v>4421002352</v>
      </c>
      <c r="C658" t="str">
        <f>T("지금은 여장중! 16화")</f>
        <v>지금은 여장중! 16화</v>
      </c>
      <c r="D658" t="str">
        <f>T("16")</f>
        <v>16</v>
      </c>
      <c r="E658" t="str">
        <f>T("웹티")</f>
        <v>웹티</v>
      </c>
      <c r="H658" t="str">
        <f t="shared" si="61"/>
        <v>스토리위즈</v>
      </c>
      <c r="I658" t="str">
        <f>T("지금은 여장중!")</f>
        <v>지금은 여장중!</v>
      </c>
      <c r="J658">
        <v>500</v>
      </c>
      <c r="K658">
        <v>0</v>
      </c>
      <c r="L658">
        <v>0</v>
      </c>
      <c r="M658">
        <v>0</v>
      </c>
      <c r="N658">
        <v>200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</v>
      </c>
      <c r="AH658">
        <v>1</v>
      </c>
      <c r="AI658">
        <v>0</v>
      </c>
      <c r="AJ658">
        <v>0</v>
      </c>
      <c r="AK658">
        <v>200</v>
      </c>
      <c r="AL658">
        <v>0</v>
      </c>
      <c r="AM658">
        <v>0</v>
      </c>
      <c r="AN658">
        <v>0</v>
      </c>
      <c r="AO658">
        <v>0</v>
      </c>
      <c r="AP658"/>
      <c r="AQ658">
        <v>0</v>
      </c>
      <c r="AR658">
        <v>0</v>
      </c>
      <c r="AT658">
        <v>0</v>
      </c>
      <c r="AU658">
        <v>0</v>
      </c>
      <c r="AW658">
        <v>0</v>
      </c>
      <c r="AX658">
        <v>0</v>
      </c>
      <c r="AY658">
        <v>140</v>
      </c>
      <c r="BA658" t="str">
        <f>T("0000000000000")</f>
        <v>0000000000000</v>
      </c>
      <c r="BC658" t="str">
        <f>T("9791196608354")</f>
        <v>9791196608354</v>
      </c>
      <c r="BE658" t="str">
        <f>T("웹툰 &gt; 로맨스")</f>
        <v>웹툰 &gt; 로맨스</v>
      </c>
    </row>
    <row r="659" spans="1:58" x14ac:dyDescent="0.3">
      <c r="A659">
        <v>4421001340</v>
      </c>
      <c r="B659">
        <v>4421002900</v>
      </c>
      <c r="C659" t="str">
        <f>T("가출천사 육성계약 47화")</f>
        <v>가출천사 육성계약 47화</v>
      </c>
      <c r="D659" t="str">
        <f>T("47")</f>
        <v>47</v>
      </c>
      <c r="E659" t="str">
        <f>T("Bae.C, IIAKI, 박제후")</f>
        <v>Bae.C, IIAKI, 박제후</v>
      </c>
      <c r="G659" t="str">
        <f>T("Bae.C, 조우")</f>
        <v>Bae.C, 조우</v>
      </c>
      <c r="H659" t="str">
        <f t="shared" si="61"/>
        <v>스토리위즈</v>
      </c>
      <c r="I659" t="str">
        <f>T("가출천사 육성계약")</f>
        <v>가출천사 육성계약</v>
      </c>
      <c r="J659">
        <v>400</v>
      </c>
      <c r="K659">
        <v>0</v>
      </c>
      <c r="L659">
        <v>0</v>
      </c>
      <c r="M659">
        <v>0</v>
      </c>
      <c r="N659">
        <v>200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240</v>
      </c>
      <c r="AN659">
        <v>-24</v>
      </c>
      <c r="AO659">
        <v>0</v>
      </c>
      <c r="AP659"/>
      <c r="AQ659">
        <v>0</v>
      </c>
      <c r="AR659">
        <v>0</v>
      </c>
      <c r="AS659">
        <v>240</v>
      </c>
      <c r="AT659">
        <v>-24</v>
      </c>
      <c r="AU659">
        <v>0</v>
      </c>
      <c r="AW659">
        <v>0</v>
      </c>
      <c r="AX659">
        <v>0</v>
      </c>
      <c r="AY659">
        <v>151.19999999999999</v>
      </c>
      <c r="BA659" t="str">
        <f>T("0000000000000")</f>
        <v>0000000000000</v>
      </c>
      <c r="BC659" t="str">
        <f>T("9791191765663")</f>
        <v>9791191765663</v>
      </c>
      <c r="BE659" t="str">
        <f>T("웹툰 &gt; 판타지/SF")</f>
        <v>웹툰 &gt; 판타지/SF</v>
      </c>
    </row>
    <row r="660" spans="1:58" x14ac:dyDescent="0.3">
      <c r="A660">
        <v>4421000866</v>
      </c>
      <c r="B660">
        <v>4421000869</v>
      </c>
      <c r="C660" t="str">
        <f>T("최애에게 들켜버렸다 3화")</f>
        <v>최애에게 들켜버렸다 3화</v>
      </c>
      <c r="D660" t="str">
        <f>T("3")</f>
        <v>3</v>
      </c>
      <c r="E660" t="str">
        <f>T("Lv")</f>
        <v>Lv</v>
      </c>
      <c r="G660" t="str">
        <f>T("Lv")</f>
        <v>Lv</v>
      </c>
      <c r="H660" t="str">
        <f t="shared" si="61"/>
        <v>스토리위즈</v>
      </c>
      <c r="I660" t="str">
        <f>T("최애에게 들켜버렸다")</f>
        <v>최애에게 들켜버렸다</v>
      </c>
      <c r="J660">
        <v>400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42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/>
      <c r="AQ660">
        <v>0</v>
      </c>
      <c r="AR660">
        <v>0</v>
      </c>
      <c r="AT660">
        <v>0</v>
      </c>
      <c r="AU660">
        <v>0</v>
      </c>
      <c r="AW660">
        <v>0</v>
      </c>
      <c r="AX660">
        <v>0</v>
      </c>
      <c r="AY660">
        <v>0</v>
      </c>
      <c r="BA660" t="str">
        <f>T("0000000000000")</f>
        <v>0000000000000</v>
      </c>
      <c r="BC660" t="str">
        <f>T("9791137601253")</f>
        <v>9791137601253</v>
      </c>
      <c r="BE660" t="str">
        <f>T("웹툰 &gt; 해외 순정")</f>
        <v>웹툰 &gt; 해외 순정</v>
      </c>
      <c r="BF660" t="str">
        <f>T("웹툰 &gt; 로맨스")</f>
        <v>웹툰 &gt; 로맨스</v>
      </c>
    </row>
    <row r="661" spans="1:58" x14ac:dyDescent="0.3">
      <c r="A661">
        <v>4421000001</v>
      </c>
      <c r="B661">
        <v>4421000060</v>
      </c>
      <c r="C661" t="str">
        <f>T("감옥실험 40화")</f>
        <v>감옥실험 40화</v>
      </c>
      <c r="D661" t="str">
        <f>T("40")</f>
        <v>40</v>
      </c>
      <c r="E661" t="str">
        <f>T("Kantetsu")</f>
        <v>Kantetsu</v>
      </c>
      <c r="G661" t="str">
        <f>T("Minase Chiho")</f>
        <v>Minase Chiho</v>
      </c>
      <c r="H661" t="str">
        <f t="shared" si="61"/>
        <v>스토리위즈</v>
      </c>
      <c r="I661" t="str">
        <f>T("감옥실험")</f>
        <v>감옥실험</v>
      </c>
      <c r="J661">
        <v>500</v>
      </c>
      <c r="K661">
        <v>0</v>
      </c>
      <c r="L661">
        <v>0</v>
      </c>
      <c r="M661">
        <v>0</v>
      </c>
      <c r="N661">
        <v>900</v>
      </c>
      <c r="O661">
        <v>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900</v>
      </c>
      <c r="AH661">
        <v>3</v>
      </c>
      <c r="AI661">
        <v>0</v>
      </c>
      <c r="AJ661">
        <v>0</v>
      </c>
      <c r="AK661">
        <v>900</v>
      </c>
      <c r="AL661">
        <v>0</v>
      </c>
      <c r="AM661">
        <v>0</v>
      </c>
      <c r="AN661">
        <v>0</v>
      </c>
      <c r="AO661">
        <v>0</v>
      </c>
      <c r="AP661"/>
      <c r="AQ661">
        <v>0</v>
      </c>
      <c r="AR661">
        <v>0</v>
      </c>
      <c r="AT661">
        <v>0</v>
      </c>
      <c r="AU661">
        <v>0</v>
      </c>
      <c r="AW661">
        <v>0</v>
      </c>
      <c r="AX661">
        <v>0</v>
      </c>
      <c r="AY661">
        <v>630</v>
      </c>
      <c r="BC661" t="str">
        <f>T("9791166069406")</f>
        <v>9791166069406</v>
      </c>
      <c r="BE661" t="str">
        <f>T("웹툰 &gt; 드라마")</f>
        <v>웹툰 &gt; 드라마</v>
      </c>
    </row>
    <row r="662" spans="1:58" x14ac:dyDescent="0.3">
      <c r="A662">
        <v>4421000337</v>
      </c>
      <c r="B662">
        <v>4421000342</v>
      </c>
      <c r="C662" t="str">
        <f>T("계약연애, 오늘부터 1일 6화")</f>
        <v>계약연애, 오늘부터 1일 6화</v>
      </c>
      <c r="D662" t="str">
        <f>T("6")</f>
        <v>6</v>
      </c>
      <c r="E662" t="str">
        <f>T("원기공장")</f>
        <v>원기공장</v>
      </c>
      <c r="H662" t="str">
        <f t="shared" si="61"/>
        <v>스토리위즈</v>
      </c>
      <c r="I662" t="str">
        <f>T("계약연애, 오늘부터 1일")</f>
        <v>계약연애, 오늘부터 1일</v>
      </c>
      <c r="J662">
        <v>200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/>
      <c r="AQ662">
        <v>0</v>
      </c>
      <c r="AR662">
        <v>0</v>
      </c>
      <c r="AT662">
        <v>0</v>
      </c>
      <c r="AU662">
        <v>0</v>
      </c>
      <c r="AW662">
        <v>0</v>
      </c>
      <c r="AX662">
        <v>0</v>
      </c>
      <c r="AY662">
        <v>0</v>
      </c>
      <c r="BA662" t="str">
        <f>T("0000000000000")</f>
        <v>0000000000000</v>
      </c>
      <c r="BC662" t="str">
        <f>T("9791166068027")</f>
        <v>9791166068027</v>
      </c>
      <c r="BE662" t="str">
        <f>T("웹툰 &gt; 해외 순정")</f>
        <v>웹툰 &gt; 해외 순정</v>
      </c>
      <c r="BF662" t="str">
        <f>T("웹툰 &gt; 로맨스")</f>
        <v>웹툰 &gt; 로맨스</v>
      </c>
    </row>
    <row r="663" spans="1:58" x14ac:dyDescent="0.3">
      <c r="A663">
        <v>4421002305</v>
      </c>
      <c r="B663">
        <v>4421002310</v>
      </c>
      <c r="C663" t="str">
        <f>T("천년의 사랑 5화")</f>
        <v>천년의 사랑 5화</v>
      </c>
      <c r="D663" t="str">
        <f>T("5")</f>
        <v>5</v>
      </c>
      <c r="E663" t="str">
        <f>T("웹티")</f>
        <v>웹티</v>
      </c>
      <c r="H663" t="str">
        <f t="shared" si="61"/>
        <v>스토리위즈</v>
      </c>
      <c r="I663" t="str">
        <f>T("천년의 사랑")</f>
        <v>천년의 사랑</v>
      </c>
      <c r="J663">
        <v>500</v>
      </c>
      <c r="K663">
        <v>0</v>
      </c>
      <c r="L663">
        <v>0</v>
      </c>
      <c r="M663">
        <v>0</v>
      </c>
      <c r="N663">
        <v>200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200</v>
      </c>
      <c r="AH663">
        <v>1</v>
      </c>
      <c r="AI663">
        <v>0</v>
      </c>
      <c r="AJ663">
        <v>0</v>
      </c>
      <c r="AK663">
        <v>200</v>
      </c>
      <c r="AL663">
        <v>0</v>
      </c>
      <c r="AM663">
        <v>0</v>
      </c>
      <c r="AN663">
        <v>0</v>
      </c>
      <c r="AO663">
        <v>0</v>
      </c>
      <c r="AP663"/>
      <c r="AQ663">
        <v>0</v>
      </c>
      <c r="AR663">
        <v>0</v>
      </c>
      <c r="AT663">
        <v>0</v>
      </c>
      <c r="AU663">
        <v>0</v>
      </c>
      <c r="AW663">
        <v>0</v>
      </c>
      <c r="AX663">
        <v>0</v>
      </c>
      <c r="AY663">
        <v>140</v>
      </c>
      <c r="BA663" t="str">
        <f>T("0000000000000")</f>
        <v>0000000000000</v>
      </c>
      <c r="BC663" t="str">
        <f>T("9791190622011")</f>
        <v>9791190622011</v>
      </c>
      <c r="BE663" t="str">
        <f>T("웹툰 &gt; 로맨스")</f>
        <v>웹툰 &gt; 로맨스</v>
      </c>
    </row>
    <row r="664" spans="1:58" x14ac:dyDescent="0.3">
      <c r="A664">
        <v>4421002829</v>
      </c>
      <c r="B664">
        <v>4421002846</v>
      </c>
      <c r="C664" t="str">
        <f>T("테두리는 주시하지 않는다 (개정판) 10화")</f>
        <v>테두리는 주시하지 않는다 (개정판) 10화</v>
      </c>
      <c r="D664" t="str">
        <f>T("10")</f>
        <v>10</v>
      </c>
      <c r="E664" t="str">
        <f>T("토찌, 키로즈")</f>
        <v>토찌, 키로즈</v>
      </c>
      <c r="G664" t="str">
        <f>T("마린")</f>
        <v>마린</v>
      </c>
      <c r="H664" t="str">
        <f t="shared" si="61"/>
        <v>스토리위즈</v>
      </c>
      <c r="I664" t="str">
        <f>T("테두리는 주시하지 않는다 (개정판)")</f>
        <v>테두리는 주시하지 않는다 (개정판)</v>
      </c>
      <c r="J664">
        <v>500</v>
      </c>
      <c r="K664">
        <v>0</v>
      </c>
      <c r="L664">
        <v>0</v>
      </c>
      <c r="M664">
        <v>0</v>
      </c>
      <c r="N664">
        <v>6300</v>
      </c>
      <c r="O664">
        <v>21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6300</v>
      </c>
      <c r="AH664">
        <v>21</v>
      </c>
      <c r="AI664">
        <v>0</v>
      </c>
      <c r="AJ664">
        <v>0</v>
      </c>
      <c r="AK664">
        <v>2860</v>
      </c>
      <c r="AL664">
        <v>0</v>
      </c>
      <c r="AM664">
        <v>4128</v>
      </c>
      <c r="AN664">
        <v>-772.8</v>
      </c>
      <c r="AO664">
        <v>0</v>
      </c>
      <c r="AP664">
        <v>1080</v>
      </c>
      <c r="AQ664">
        <v>-324</v>
      </c>
      <c r="AR664">
        <v>0</v>
      </c>
      <c r="AS664">
        <v>3048</v>
      </c>
      <c r="AT664">
        <v>-448.8</v>
      </c>
      <c r="AU664">
        <v>0</v>
      </c>
      <c r="AW664">
        <v>0</v>
      </c>
      <c r="AX664">
        <v>0</v>
      </c>
      <c r="AY664">
        <v>4350.6400000000003</v>
      </c>
      <c r="BA664" t="str">
        <f>T("0000000000000")</f>
        <v>0000000000000</v>
      </c>
      <c r="BC664" t="str">
        <f>T("9791137604681")</f>
        <v>9791137604681</v>
      </c>
      <c r="BE664" t="str">
        <f>T("BL 웹툰 &gt; 웹툰")</f>
        <v>BL 웹툰 &gt; 웹툰</v>
      </c>
    </row>
    <row r="665" spans="1:58" x14ac:dyDescent="0.3">
      <c r="A665">
        <v>4421000518</v>
      </c>
      <c r="B665">
        <v>4421000521</v>
      </c>
      <c r="C665" t="str">
        <f>T("백스테이지 키스신 3화")</f>
        <v>백스테이지 키스신 3화</v>
      </c>
      <c r="D665" t="str">
        <f>T("3")</f>
        <v>3</v>
      </c>
      <c r="E665" t="str">
        <f>T("최도비")</f>
        <v>최도비</v>
      </c>
      <c r="G665" t="str">
        <f>T("수정과")</f>
        <v>수정과</v>
      </c>
      <c r="H665" t="str">
        <f t="shared" si="61"/>
        <v>스토리위즈</v>
      </c>
      <c r="I665" t="str">
        <f>T("백스테이지 키스신")</f>
        <v>백스테이지 키스신</v>
      </c>
      <c r="J665">
        <v>400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/>
      <c r="AQ665">
        <v>0</v>
      </c>
      <c r="AR665">
        <v>0</v>
      </c>
      <c r="AT665">
        <v>0</v>
      </c>
      <c r="AU665">
        <v>0</v>
      </c>
      <c r="AW665">
        <v>0</v>
      </c>
      <c r="AX665">
        <v>0</v>
      </c>
      <c r="AY665">
        <v>0</v>
      </c>
      <c r="BA665" t="str">
        <f>T("0000000000000")</f>
        <v>0000000000000</v>
      </c>
      <c r="BC665" t="str">
        <f>T("9791166067990")</f>
        <v>9791166067990</v>
      </c>
      <c r="BE665" t="str">
        <f>T("웹툰 &gt; 로맨스")</f>
        <v>웹툰 &gt; 로맨스</v>
      </c>
    </row>
    <row r="666" spans="1:58" x14ac:dyDescent="0.3">
      <c r="A666">
        <v>4421000001</v>
      </c>
      <c r="B666">
        <v>4421000049</v>
      </c>
      <c r="C666" t="str">
        <f>T("감옥실험 29화")</f>
        <v>감옥실험 29화</v>
      </c>
      <c r="D666" t="str">
        <f>T("29")</f>
        <v>29</v>
      </c>
      <c r="E666" t="str">
        <f>T("Kantetsu")</f>
        <v>Kantetsu</v>
      </c>
      <c r="G666" t="str">
        <f>T("Minase Chiho")</f>
        <v>Minase Chiho</v>
      </c>
      <c r="H666" t="str">
        <f t="shared" si="61"/>
        <v>스토리위즈</v>
      </c>
      <c r="I666" t="str">
        <f>T("감옥실험")</f>
        <v>감옥실험</v>
      </c>
      <c r="J666">
        <v>500</v>
      </c>
      <c r="K666">
        <v>0</v>
      </c>
      <c r="L666">
        <v>0</v>
      </c>
      <c r="M666">
        <v>0</v>
      </c>
      <c r="N666">
        <v>600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600</v>
      </c>
      <c r="AH666">
        <v>2</v>
      </c>
      <c r="AI666">
        <v>0</v>
      </c>
      <c r="AJ666">
        <v>0</v>
      </c>
      <c r="AK666">
        <v>600</v>
      </c>
      <c r="AL666">
        <v>0</v>
      </c>
      <c r="AM666">
        <v>0</v>
      </c>
      <c r="AN666">
        <v>0</v>
      </c>
      <c r="AO666">
        <v>0</v>
      </c>
      <c r="AP666"/>
      <c r="AQ666">
        <v>0</v>
      </c>
      <c r="AR666">
        <v>0</v>
      </c>
      <c r="AT666">
        <v>0</v>
      </c>
      <c r="AU666">
        <v>0</v>
      </c>
      <c r="AW666">
        <v>0</v>
      </c>
      <c r="AX666">
        <v>0</v>
      </c>
      <c r="AY666">
        <v>420</v>
      </c>
      <c r="BC666" t="str">
        <f>T("9791166069406")</f>
        <v>9791166069406</v>
      </c>
      <c r="BE666" t="str">
        <f>T("웹툰 &gt; 드라마")</f>
        <v>웹툰 &gt; 드라마</v>
      </c>
    </row>
    <row r="667" spans="1:58" x14ac:dyDescent="0.3">
      <c r="A667">
        <v>4421000450</v>
      </c>
      <c r="B667">
        <v>4421000488</v>
      </c>
      <c r="C667" t="str">
        <f>T("내 남편의 스토커 38화")</f>
        <v>내 남편의 스토커 38화</v>
      </c>
      <c r="D667" t="str">
        <f>T("38")</f>
        <v>38</v>
      </c>
      <c r="E667" t="str">
        <f>T("혜원")</f>
        <v>혜원</v>
      </c>
      <c r="G667" t="str">
        <f>T("혜원")</f>
        <v>혜원</v>
      </c>
      <c r="H667" t="str">
        <f t="shared" si="61"/>
        <v>스토리위즈</v>
      </c>
      <c r="I667" t="str">
        <f>T("내 남편의 스토커")</f>
        <v>내 남편의 스토커</v>
      </c>
      <c r="J667">
        <v>400</v>
      </c>
      <c r="K667">
        <v>0</v>
      </c>
      <c r="L667">
        <v>0</v>
      </c>
      <c r="M667">
        <v>0</v>
      </c>
      <c r="N667">
        <v>200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240</v>
      </c>
      <c r="AN667">
        <v>-24</v>
      </c>
      <c r="AO667">
        <v>0</v>
      </c>
      <c r="AP667"/>
      <c r="AQ667">
        <v>0</v>
      </c>
      <c r="AR667">
        <v>0</v>
      </c>
      <c r="AS667">
        <v>240</v>
      </c>
      <c r="AT667">
        <v>-24</v>
      </c>
      <c r="AU667">
        <v>0</v>
      </c>
      <c r="AW667">
        <v>0</v>
      </c>
      <c r="AX667">
        <v>0</v>
      </c>
      <c r="AY667">
        <v>151.19999999999999</v>
      </c>
      <c r="BA667" t="str">
        <f>T("0000000000000")</f>
        <v>0000000000000</v>
      </c>
      <c r="BC667" t="str">
        <f>T("9791166068034")</f>
        <v>9791166068034</v>
      </c>
      <c r="BE667" t="str">
        <f>T("웹툰 &gt; 로맨스")</f>
        <v>웹툰 &gt; 로맨스</v>
      </c>
    </row>
    <row r="668" spans="1:58" x14ac:dyDescent="0.3">
      <c r="A668">
        <v>4421000887</v>
      </c>
      <c r="B668">
        <v>4421000890</v>
      </c>
      <c r="C668" t="str">
        <f>T("폭군의 눈물 4화")</f>
        <v>폭군의 눈물 4화</v>
      </c>
      <c r="D668" t="str">
        <f>T("4")</f>
        <v>4</v>
      </c>
      <c r="E668" t="str">
        <f>T("Ice×FANFAN COMIC")</f>
        <v>Ice×FANFAN COMIC</v>
      </c>
      <c r="G668" t="str">
        <f>T("Ice×FANFAN COMIC")</f>
        <v>Ice×FANFAN COMIC</v>
      </c>
      <c r="H668" t="str">
        <f t="shared" si="61"/>
        <v>스토리위즈</v>
      </c>
      <c r="I668" t="str">
        <f>T("폭군의 눈물")</f>
        <v>폭군의 눈물</v>
      </c>
      <c r="J668">
        <v>400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/>
      <c r="AQ668">
        <v>0</v>
      </c>
      <c r="AR668">
        <v>0</v>
      </c>
      <c r="AT668">
        <v>0</v>
      </c>
      <c r="AU668">
        <v>0</v>
      </c>
      <c r="AW668">
        <v>0</v>
      </c>
      <c r="AX668">
        <v>0</v>
      </c>
      <c r="AY668">
        <v>0</v>
      </c>
      <c r="BA668" t="str">
        <f>T("0000000000000")</f>
        <v>0000000000000</v>
      </c>
      <c r="BC668" t="str">
        <f>T("9791137601291")</f>
        <v>9791137601291</v>
      </c>
      <c r="BE668" t="str">
        <f>T("웹툰 &gt; 해외 순정")</f>
        <v>웹툰 &gt; 해외 순정</v>
      </c>
      <c r="BF668" t="str">
        <f>T("웹툰 &gt; 로판")</f>
        <v>웹툰 &gt; 로판</v>
      </c>
    </row>
    <row r="669" spans="1:58" x14ac:dyDescent="0.3">
      <c r="A669">
        <v>4421001634</v>
      </c>
      <c r="B669">
        <v>4421002522</v>
      </c>
      <c r="C669" t="str">
        <f>T("그남자의 사랑방식 73화")</f>
        <v>그남자의 사랑방식 73화</v>
      </c>
      <c r="D669" t="str">
        <f>T("73")</f>
        <v>73</v>
      </c>
      <c r="E669" t="str">
        <f>T("웹티")</f>
        <v>웹티</v>
      </c>
      <c r="H669" t="str">
        <f t="shared" si="61"/>
        <v>스토리위즈</v>
      </c>
      <c r="I669" t="str">
        <f>T("그남자의 사랑방식")</f>
        <v>그남자의 사랑방식</v>
      </c>
      <c r="J669">
        <v>500</v>
      </c>
      <c r="K669">
        <v>0</v>
      </c>
      <c r="L669">
        <v>0</v>
      </c>
      <c r="M669">
        <v>0</v>
      </c>
      <c r="N669">
        <v>200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240</v>
      </c>
      <c r="AN669">
        <v>-24</v>
      </c>
      <c r="AO669">
        <v>0</v>
      </c>
      <c r="AP669"/>
      <c r="AQ669">
        <v>0</v>
      </c>
      <c r="AR669">
        <v>0</v>
      </c>
      <c r="AS669">
        <v>240</v>
      </c>
      <c r="AT669">
        <v>-24</v>
      </c>
      <c r="AU669">
        <v>0</v>
      </c>
      <c r="AW669">
        <v>0</v>
      </c>
      <c r="AX669">
        <v>0</v>
      </c>
      <c r="AY669">
        <v>151.19999999999999</v>
      </c>
      <c r="BC669" t="str">
        <f>T("9791190622004")</f>
        <v>9791190622004</v>
      </c>
      <c r="BE669" t="str">
        <f>T("BL 웹툰 &gt; 웹툰")</f>
        <v>BL 웹툰 &gt; 웹툰</v>
      </c>
    </row>
    <row r="670" spans="1:58" x14ac:dyDescent="0.3">
      <c r="A670">
        <v>4421001634</v>
      </c>
      <c r="B670">
        <v>4421001641</v>
      </c>
      <c r="C670" t="str">
        <f>T("그남자의 사랑방식 8화")</f>
        <v>그남자의 사랑방식 8화</v>
      </c>
      <c r="D670" t="str">
        <f>T("8")</f>
        <v>8</v>
      </c>
      <c r="E670" t="str">
        <f>T("웹티")</f>
        <v>웹티</v>
      </c>
      <c r="H670" t="str">
        <f t="shared" si="61"/>
        <v>스토리위즈</v>
      </c>
      <c r="I670" t="str">
        <f>T("그남자의 사랑방식")</f>
        <v>그남자의 사랑방식</v>
      </c>
      <c r="J670">
        <v>500</v>
      </c>
      <c r="K670">
        <v>0</v>
      </c>
      <c r="L670">
        <v>0</v>
      </c>
      <c r="M670">
        <v>0</v>
      </c>
      <c r="N670">
        <v>400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2</v>
      </c>
      <c r="AI670">
        <v>0</v>
      </c>
      <c r="AJ670">
        <v>0</v>
      </c>
      <c r="AK670">
        <v>200</v>
      </c>
      <c r="AL670">
        <v>0</v>
      </c>
      <c r="AM670">
        <v>240</v>
      </c>
      <c r="AN670">
        <v>-24</v>
      </c>
      <c r="AO670">
        <v>0</v>
      </c>
      <c r="AP670"/>
      <c r="AQ670">
        <v>0</v>
      </c>
      <c r="AR670">
        <v>0</v>
      </c>
      <c r="AS670">
        <v>240</v>
      </c>
      <c r="AT670">
        <v>-24</v>
      </c>
      <c r="AU670">
        <v>0</v>
      </c>
      <c r="AW670">
        <v>0</v>
      </c>
      <c r="AX670">
        <v>0</v>
      </c>
      <c r="AY670">
        <v>291.2</v>
      </c>
      <c r="BC670" t="str">
        <f>T("9791190622004")</f>
        <v>9791190622004</v>
      </c>
      <c r="BE670" t="str">
        <f>T("BL 웹툰 &gt; 웹툰")</f>
        <v>BL 웹툰 &gt; 웹툰</v>
      </c>
    </row>
    <row r="671" spans="1:58" x14ac:dyDescent="0.3">
      <c r="A671">
        <v>4421000866</v>
      </c>
      <c r="B671">
        <v>4421001219</v>
      </c>
      <c r="C671" t="str">
        <f>T("최애에게 들켜버렸다 53화")</f>
        <v>최애에게 들켜버렸다 53화</v>
      </c>
      <c r="D671" t="str">
        <f>T("56")</f>
        <v>56</v>
      </c>
      <c r="E671" t="str">
        <f>T("Lv")</f>
        <v>Lv</v>
      </c>
      <c r="G671" t="str">
        <f>T("Lv")</f>
        <v>Lv</v>
      </c>
      <c r="H671" t="str">
        <f t="shared" si="61"/>
        <v>스토리위즈</v>
      </c>
      <c r="I671" t="str">
        <f>T("최애에게 들켜버렸다")</f>
        <v>최애에게 들켜버렸다</v>
      </c>
      <c r="J671">
        <v>400</v>
      </c>
      <c r="K671">
        <v>0</v>
      </c>
      <c r="L671">
        <v>0</v>
      </c>
      <c r="M671">
        <v>0</v>
      </c>
      <c r="N671">
        <v>200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240</v>
      </c>
      <c r="AN671">
        <v>-24</v>
      </c>
      <c r="AO671">
        <v>0</v>
      </c>
      <c r="AP671"/>
      <c r="AQ671">
        <v>0</v>
      </c>
      <c r="AR671">
        <v>0</v>
      </c>
      <c r="AS671">
        <v>240</v>
      </c>
      <c r="AT671">
        <v>-24</v>
      </c>
      <c r="AU671">
        <v>0</v>
      </c>
      <c r="AW671">
        <v>0</v>
      </c>
      <c r="AX671">
        <v>0</v>
      </c>
      <c r="AY671">
        <v>151.19999999999999</v>
      </c>
      <c r="BA671" t="str">
        <f>T("0000000000000")</f>
        <v>0000000000000</v>
      </c>
      <c r="BC671" t="str">
        <f>T("9791137601253")</f>
        <v>9791137601253</v>
      </c>
      <c r="BE671" t="str">
        <f>T("웹툰 &gt; 해외 순정")</f>
        <v>웹툰 &gt; 해외 순정</v>
      </c>
      <c r="BF671" t="str">
        <f>T("웹툰 &gt; 로맨스")</f>
        <v>웹툰 &gt; 로맨스</v>
      </c>
    </row>
    <row r="672" spans="1:58" x14ac:dyDescent="0.3">
      <c r="A672">
        <v>4421001634</v>
      </c>
      <c r="B672">
        <v>4421002554</v>
      </c>
      <c r="C672" t="str">
        <f>T("그남자의 사랑방식 105화")</f>
        <v>그남자의 사랑방식 105화</v>
      </c>
      <c r="D672" t="str">
        <f>T("105")</f>
        <v>105</v>
      </c>
      <c r="E672" t="str">
        <f>T("웹티")</f>
        <v>웹티</v>
      </c>
      <c r="H672" t="str">
        <f t="shared" si="61"/>
        <v>스토리위즈</v>
      </c>
      <c r="I672" t="str">
        <f>T("그남자의 사랑방식")</f>
        <v>그남자의 사랑방식</v>
      </c>
      <c r="J672">
        <v>500</v>
      </c>
      <c r="K672">
        <v>0</v>
      </c>
      <c r="L672">
        <v>0</v>
      </c>
      <c r="M672">
        <v>0</v>
      </c>
      <c r="N672">
        <v>400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2</v>
      </c>
      <c r="AI672">
        <v>0</v>
      </c>
      <c r="AJ672">
        <v>0</v>
      </c>
      <c r="AK672">
        <v>200</v>
      </c>
      <c r="AL672">
        <v>0</v>
      </c>
      <c r="AM672">
        <v>240</v>
      </c>
      <c r="AN672">
        <v>-24</v>
      </c>
      <c r="AO672">
        <v>0</v>
      </c>
      <c r="AP672"/>
      <c r="AQ672">
        <v>0</v>
      </c>
      <c r="AR672">
        <v>0</v>
      </c>
      <c r="AS672">
        <v>240</v>
      </c>
      <c r="AT672">
        <v>-24</v>
      </c>
      <c r="AU672">
        <v>0</v>
      </c>
      <c r="AW672">
        <v>0</v>
      </c>
      <c r="AX672">
        <v>0</v>
      </c>
      <c r="AY672">
        <v>291.2</v>
      </c>
      <c r="BC672" t="str">
        <f>T("9791190622004")</f>
        <v>9791190622004</v>
      </c>
      <c r="BE672" t="str">
        <f>T("BL 웹툰 &gt; 웹툰")</f>
        <v>BL 웹툰 &gt; 웹툰</v>
      </c>
    </row>
    <row r="673" spans="1:58" x14ac:dyDescent="0.3">
      <c r="A673">
        <v>4421001340</v>
      </c>
      <c r="B673">
        <v>4421001373</v>
      </c>
      <c r="C673" t="str">
        <f>T("가출천사 육성계약 34화")</f>
        <v>가출천사 육성계약 34화</v>
      </c>
      <c r="D673" t="str">
        <f>T("34")</f>
        <v>34</v>
      </c>
      <c r="E673" t="str">
        <f>T("Bae.C, IIAKI, 박제후")</f>
        <v>Bae.C, IIAKI, 박제후</v>
      </c>
      <c r="G673" t="str">
        <f>T("Bae.C, 조우")</f>
        <v>Bae.C, 조우</v>
      </c>
      <c r="H673" t="str">
        <f t="shared" si="61"/>
        <v>스토리위즈</v>
      </c>
      <c r="I673" t="str">
        <f>T("가출천사 육성계약")</f>
        <v>가출천사 육성계약</v>
      </c>
      <c r="J673">
        <v>400</v>
      </c>
      <c r="K673">
        <v>0</v>
      </c>
      <c r="L673">
        <v>0</v>
      </c>
      <c r="M673">
        <v>0</v>
      </c>
      <c r="N673">
        <v>200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240</v>
      </c>
      <c r="AN673">
        <v>-24</v>
      </c>
      <c r="AO673">
        <v>0</v>
      </c>
      <c r="AP673"/>
      <c r="AQ673">
        <v>0</v>
      </c>
      <c r="AR673">
        <v>0</v>
      </c>
      <c r="AS673">
        <v>240</v>
      </c>
      <c r="AT673">
        <v>-24</v>
      </c>
      <c r="AU673">
        <v>0</v>
      </c>
      <c r="AW673">
        <v>0</v>
      </c>
      <c r="AX673">
        <v>0</v>
      </c>
      <c r="AY673">
        <v>151.19999999999999</v>
      </c>
      <c r="BA673" t="str">
        <f>T("0000000000000")</f>
        <v>0000000000000</v>
      </c>
      <c r="BC673" t="str">
        <f>T("9791191765663")</f>
        <v>9791191765663</v>
      </c>
      <c r="BE673" t="str">
        <f>T("웹툰 &gt; 판타지/SF")</f>
        <v>웹툰 &gt; 판타지/SF</v>
      </c>
    </row>
    <row r="674" spans="1:58" x14ac:dyDescent="0.3">
      <c r="A674">
        <v>4421001634</v>
      </c>
      <c r="B674">
        <v>4421001673</v>
      </c>
      <c r="C674" t="str">
        <f>T("그남자의 사랑방식 40화")</f>
        <v>그남자의 사랑방식 40화</v>
      </c>
      <c r="D674" t="str">
        <f>T("40")</f>
        <v>40</v>
      </c>
      <c r="E674" t="str">
        <f>T("웹티")</f>
        <v>웹티</v>
      </c>
      <c r="H674" t="str">
        <f t="shared" si="61"/>
        <v>스토리위즈</v>
      </c>
      <c r="I674" t="str">
        <f>T("그남자의 사랑방식")</f>
        <v>그남자의 사랑방식</v>
      </c>
      <c r="J674">
        <v>500</v>
      </c>
      <c r="K674">
        <v>0</v>
      </c>
      <c r="L674">
        <v>0</v>
      </c>
      <c r="M674">
        <v>0</v>
      </c>
      <c r="N674">
        <v>800</v>
      </c>
      <c r="O674">
        <v>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800</v>
      </c>
      <c r="AH674">
        <v>4</v>
      </c>
      <c r="AI674">
        <v>0</v>
      </c>
      <c r="AJ674">
        <v>0</v>
      </c>
      <c r="AK674">
        <v>200</v>
      </c>
      <c r="AL674">
        <v>0</v>
      </c>
      <c r="AM674">
        <v>720</v>
      </c>
      <c r="AN674">
        <v>-120</v>
      </c>
      <c r="AO674">
        <v>0</v>
      </c>
      <c r="AP674">
        <v>240</v>
      </c>
      <c r="AQ674">
        <v>-72</v>
      </c>
      <c r="AR674">
        <v>0</v>
      </c>
      <c r="AS674">
        <v>480</v>
      </c>
      <c r="AT674">
        <v>-48</v>
      </c>
      <c r="AU674">
        <v>0</v>
      </c>
      <c r="AW674">
        <v>0</v>
      </c>
      <c r="AX674">
        <v>0</v>
      </c>
      <c r="AY674">
        <v>560</v>
      </c>
      <c r="BC674" t="str">
        <f>T("9791190622004")</f>
        <v>9791190622004</v>
      </c>
      <c r="BE674" t="str">
        <f>T("BL 웹툰 &gt; 웹툰")</f>
        <v>BL 웹툰 &gt; 웹툰</v>
      </c>
    </row>
    <row r="675" spans="1:58" x14ac:dyDescent="0.3">
      <c r="A675">
        <v>4421003015</v>
      </c>
      <c r="B675">
        <v>4421003031</v>
      </c>
      <c r="C675" t="str">
        <f>T("일월성신 16화")</f>
        <v>일월성신 16화</v>
      </c>
      <c r="D675" t="str">
        <f>T("16")</f>
        <v>16</v>
      </c>
      <c r="E675" t="str">
        <f>T("김숙지")</f>
        <v>김숙지</v>
      </c>
      <c r="G675" t="str">
        <f>T("이름표")</f>
        <v>이름표</v>
      </c>
      <c r="H675" t="str">
        <f t="shared" si="61"/>
        <v>스토리위즈</v>
      </c>
      <c r="I675" t="str">
        <f>T("일월성신")</f>
        <v>일월성신</v>
      </c>
      <c r="J675">
        <v>400</v>
      </c>
      <c r="K675">
        <v>0</v>
      </c>
      <c r="L675">
        <v>0</v>
      </c>
      <c r="M675">
        <v>0</v>
      </c>
      <c r="N675">
        <v>600</v>
      </c>
      <c r="O675">
        <v>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600</v>
      </c>
      <c r="AH675">
        <v>3</v>
      </c>
      <c r="AI675">
        <v>0</v>
      </c>
      <c r="AJ675">
        <v>0</v>
      </c>
      <c r="AK675">
        <v>200</v>
      </c>
      <c r="AL675">
        <v>0</v>
      </c>
      <c r="AM675">
        <v>480</v>
      </c>
      <c r="AN675">
        <v>-96</v>
      </c>
      <c r="AO675">
        <v>0</v>
      </c>
      <c r="AP675">
        <v>240</v>
      </c>
      <c r="AQ675">
        <v>-72</v>
      </c>
      <c r="AR675">
        <v>0</v>
      </c>
      <c r="AS675">
        <v>240</v>
      </c>
      <c r="AT675">
        <v>-24</v>
      </c>
      <c r="AU675">
        <v>0</v>
      </c>
      <c r="AW675">
        <v>0</v>
      </c>
      <c r="AX675">
        <v>0</v>
      </c>
      <c r="AY675">
        <v>408.8</v>
      </c>
      <c r="BA675" t="str">
        <f>T("0000000000000")</f>
        <v>0000000000000</v>
      </c>
      <c r="BC675" t="str">
        <f>T("9791137604605")</f>
        <v>9791137604605</v>
      </c>
      <c r="BE675" t="str">
        <f>T("웹툰 &gt; 드라마")</f>
        <v>웹툰 &gt; 드라마</v>
      </c>
    </row>
    <row r="676" spans="1:58" x14ac:dyDescent="0.3">
      <c r="A676">
        <v>4421001936</v>
      </c>
      <c r="B676">
        <v>4421001939</v>
      </c>
      <c r="C676" t="str">
        <f>T("보스 오빠, 살살! 4화")</f>
        <v>보스 오빠, 살살! 4화</v>
      </c>
      <c r="D676" t="str">
        <f>T("4")</f>
        <v>4</v>
      </c>
      <c r="E676" t="str">
        <f>T("웹티")</f>
        <v>웹티</v>
      </c>
      <c r="H676" t="str">
        <f t="shared" si="61"/>
        <v>스토리위즈</v>
      </c>
      <c r="I676" t="str">
        <f>T("보스 오빠, 살살!")</f>
        <v>보스 오빠, 살살!</v>
      </c>
      <c r="J676">
        <v>500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15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/>
      <c r="AQ676">
        <v>0</v>
      </c>
      <c r="AR676">
        <v>0</v>
      </c>
      <c r="AT676">
        <v>0</v>
      </c>
      <c r="AU676">
        <v>0</v>
      </c>
      <c r="AW676">
        <v>0</v>
      </c>
      <c r="AX676">
        <v>0</v>
      </c>
      <c r="AY676">
        <v>0</v>
      </c>
      <c r="BC676" t="str">
        <f>T("9791190702331")</f>
        <v>9791190702331</v>
      </c>
      <c r="BE676" t="str">
        <f>T("웹툰 &gt; 로맨스")</f>
        <v>웹툰 &gt; 로맨스</v>
      </c>
    </row>
    <row r="677" spans="1:58" x14ac:dyDescent="0.3">
      <c r="A677">
        <v>4421001634</v>
      </c>
      <c r="B677">
        <v>4421001662</v>
      </c>
      <c r="C677" t="str">
        <f>T("그남자의 사랑방식 29화")</f>
        <v>그남자의 사랑방식 29화</v>
      </c>
      <c r="D677" t="str">
        <f>T("29")</f>
        <v>29</v>
      </c>
      <c r="E677" t="str">
        <f>T("웹티")</f>
        <v>웹티</v>
      </c>
      <c r="H677" t="str">
        <f t="shared" si="61"/>
        <v>스토리위즈</v>
      </c>
      <c r="I677" t="str">
        <f>T("그남자의 사랑방식")</f>
        <v>그남자의 사랑방식</v>
      </c>
      <c r="J677">
        <v>500</v>
      </c>
      <c r="K677">
        <v>0</v>
      </c>
      <c r="L677">
        <v>0</v>
      </c>
      <c r="M677">
        <v>0</v>
      </c>
      <c r="N677">
        <v>600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600</v>
      </c>
      <c r="AH677">
        <v>3</v>
      </c>
      <c r="AI677">
        <v>0</v>
      </c>
      <c r="AJ677">
        <v>0</v>
      </c>
      <c r="AK677">
        <v>200</v>
      </c>
      <c r="AL677">
        <v>0</v>
      </c>
      <c r="AM677">
        <v>480</v>
      </c>
      <c r="AN677">
        <v>-48</v>
      </c>
      <c r="AO677">
        <v>0</v>
      </c>
      <c r="AP677"/>
      <c r="AQ677">
        <v>0</v>
      </c>
      <c r="AR677">
        <v>0</v>
      </c>
      <c r="AS677">
        <v>480</v>
      </c>
      <c r="AT677">
        <v>-48</v>
      </c>
      <c r="AU677">
        <v>0</v>
      </c>
      <c r="AW677">
        <v>0</v>
      </c>
      <c r="AX677">
        <v>0</v>
      </c>
      <c r="AY677">
        <v>442.4</v>
      </c>
      <c r="BC677" t="str">
        <f>T("9791190622004")</f>
        <v>9791190622004</v>
      </c>
      <c r="BE677" t="str">
        <f>T("BL 웹툰 &gt; 웹툰")</f>
        <v>BL 웹툰 &gt; 웹툰</v>
      </c>
    </row>
    <row r="678" spans="1:58" x14ac:dyDescent="0.3">
      <c r="A678">
        <v>4421000866</v>
      </c>
      <c r="B678">
        <v>4421001266</v>
      </c>
      <c r="C678" t="str">
        <f>T("최애에게 들켜버렸다 60화")</f>
        <v>최애에게 들켜버렸다 60화</v>
      </c>
      <c r="D678" t="str">
        <f>T("63")</f>
        <v>63</v>
      </c>
      <c r="E678" t="str">
        <f>T("Lv")</f>
        <v>Lv</v>
      </c>
      <c r="G678" t="str">
        <f>T("Lv")</f>
        <v>Lv</v>
      </c>
      <c r="H678" t="str">
        <f t="shared" si="61"/>
        <v>스토리위즈</v>
      </c>
      <c r="I678" t="str">
        <f>T("최애에게 들켜버렸다")</f>
        <v>최애에게 들켜버렸다</v>
      </c>
      <c r="J678">
        <v>400</v>
      </c>
      <c r="K678">
        <v>0</v>
      </c>
      <c r="L678">
        <v>0</v>
      </c>
      <c r="M678">
        <v>0</v>
      </c>
      <c r="N678">
        <v>600</v>
      </c>
      <c r="O678">
        <v>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600</v>
      </c>
      <c r="AH678">
        <v>3</v>
      </c>
      <c r="AI678">
        <v>0</v>
      </c>
      <c r="AJ678">
        <v>0</v>
      </c>
      <c r="AK678">
        <v>200</v>
      </c>
      <c r="AL678">
        <v>0</v>
      </c>
      <c r="AM678">
        <v>480</v>
      </c>
      <c r="AN678">
        <v>-48</v>
      </c>
      <c r="AO678">
        <v>0</v>
      </c>
      <c r="AP678"/>
      <c r="AQ678">
        <v>0</v>
      </c>
      <c r="AR678">
        <v>0</v>
      </c>
      <c r="AS678">
        <v>480</v>
      </c>
      <c r="AT678">
        <v>-48</v>
      </c>
      <c r="AU678">
        <v>0</v>
      </c>
      <c r="AW678">
        <v>0</v>
      </c>
      <c r="AX678">
        <v>0</v>
      </c>
      <c r="AY678">
        <v>442.4</v>
      </c>
      <c r="BA678" t="str">
        <f>T("0000000000000")</f>
        <v>0000000000000</v>
      </c>
      <c r="BC678" t="str">
        <f>T("9791137601253")</f>
        <v>9791137601253</v>
      </c>
      <c r="BE678" t="str">
        <f>T("웹툰 &gt; 해외 순정")</f>
        <v>웹툰 &gt; 해외 순정</v>
      </c>
      <c r="BF678" t="str">
        <f>T("웹툰 &gt; 로맨스")</f>
        <v>웹툰 &gt; 로맨스</v>
      </c>
    </row>
    <row r="679" spans="1:58" x14ac:dyDescent="0.3">
      <c r="A679">
        <v>4421003015</v>
      </c>
      <c r="B679">
        <v>4421003019</v>
      </c>
      <c r="C679" t="str">
        <f>T("일월성신 4화")</f>
        <v>일월성신 4화</v>
      </c>
      <c r="D679" t="str">
        <f>T("4")</f>
        <v>4</v>
      </c>
      <c r="E679" t="str">
        <f>T("김숙지")</f>
        <v>김숙지</v>
      </c>
      <c r="G679" t="str">
        <f>T("이름표")</f>
        <v>이름표</v>
      </c>
      <c r="H679" t="str">
        <f t="shared" si="61"/>
        <v>스토리위즈</v>
      </c>
      <c r="I679" t="str">
        <f>T("일월성신")</f>
        <v>일월성신</v>
      </c>
      <c r="J679">
        <v>400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/>
      <c r="AQ679">
        <v>0</v>
      </c>
      <c r="AR679">
        <v>0</v>
      </c>
      <c r="AT679">
        <v>0</v>
      </c>
      <c r="AU679">
        <v>0</v>
      </c>
      <c r="AW679">
        <v>0</v>
      </c>
      <c r="AX679">
        <v>0</v>
      </c>
      <c r="AY679">
        <v>0</v>
      </c>
      <c r="BA679" t="str">
        <f>T("0000000000000")</f>
        <v>0000000000000</v>
      </c>
      <c r="BC679" t="str">
        <f>T("9791137604605")</f>
        <v>9791137604605</v>
      </c>
      <c r="BE679" t="str">
        <f>T("웹툰 &gt; 드라마")</f>
        <v>웹툰 &gt; 드라마</v>
      </c>
    </row>
    <row r="680" spans="1:58" x14ac:dyDescent="0.3">
      <c r="A680">
        <v>4421001634</v>
      </c>
      <c r="B680">
        <v>4421001679</v>
      </c>
      <c r="C680" t="str">
        <f>T("그남자의 사랑방식 46화")</f>
        <v>그남자의 사랑방식 46화</v>
      </c>
      <c r="D680" t="str">
        <f>T("46")</f>
        <v>46</v>
      </c>
      <c r="E680" t="str">
        <f>T("웹티")</f>
        <v>웹티</v>
      </c>
      <c r="H680" t="str">
        <f t="shared" si="61"/>
        <v>스토리위즈</v>
      </c>
      <c r="I680" t="str">
        <f>T("그남자의 사랑방식")</f>
        <v>그남자의 사랑방식</v>
      </c>
      <c r="J680">
        <v>500</v>
      </c>
      <c r="K680">
        <v>0</v>
      </c>
      <c r="L680">
        <v>0</v>
      </c>
      <c r="M680">
        <v>0</v>
      </c>
      <c r="N680">
        <v>600</v>
      </c>
      <c r="O680">
        <v>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600</v>
      </c>
      <c r="AH680">
        <v>3</v>
      </c>
      <c r="AI680">
        <v>0</v>
      </c>
      <c r="AJ680">
        <v>0</v>
      </c>
      <c r="AK680">
        <v>400</v>
      </c>
      <c r="AL680">
        <v>0</v>
      </c>
      <c r="AM680">
        <v>240</v>
      </c>
      <c r="AN680">
        <v>-24</v>
      </c>
      <c r="AO680">
        <v>0</v>
      </c>
      <c r="AP680"/>
      <c r="AQ680">
        <v>0</v>
      </c>
      <c r="AR680">
        <v>0</v>
      </c>
      <c r="AS680">
        <v>240</v>
      </c>
      <c r="AT680">
        <v>-24</v>
      </c>
      <c r="AU680">
        <v>0</v>
      </c>
      <c r="AW680">
        <v>0</v>
      </c>
      <c r="AX680">
        <v>0</v>
      </c>
      <c r="AY680">
        <v>431.2</v>
      </c>
      <c r="BC680" t="str">
        <f>T("9791190622004")</f>
        <v>9791190622004</v>
      </c>
      <c r="BE680" t="str">
        <f>T("BL 웹툰 &gt; 웹툰")</f>
        <v>BL 웹툰 &gt; 웹툰</v>
      </c>
    </row>
    <row r="681" spans="1:58" x14ac:dyDescent="0.3">
      <c r="A681">
        <v>4421003015</v>
      </c>
      <c r="B681">
        <v>4421003089</v>
      </c>
      <c r="C681" t="str">
        <f>T("일월성신 32화")</f>
        <v>일월성신 32화</v>
      </c>
      <c r="D681" t="str">
        <f>T("32")</f>
        <v>32</v>
      </c>
      <c r="E681" t="str">
        <f>T("김숙지")</f>
        <v>김숙지</v>
      </c>
      <c r="G681" t="str">
        <f>T("이름표")</f>
        <v>이름표</v>
      </c>
      <c r="H681" t="str">
        <f t="shared" si="61"/>
        <v>스토리위즈</v>
      </c>
      <c r="I681" t="str">
        <f>T("일월성신")</f>
        <v>일월성신</v>
      </c>
      <c r="J681">
        <v>400</v>
      </c>
      <c r="K681">
        <v>0</v>
      </c>
      <c r="L681">
        <v>0</v>
      </c>
      <c r="M681">
        <v>0</v>
      </c>
      <c r="N681">
        <v>800</v>
      </c>
      <c r="O681">
        <v>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800</v>
      </c>
      <c r="AH681">
        <v>4</v>
      </c>
      <c r="AI681">
        <v>0</v>
      </c>
      <c r="AJ681">
        <v>0</v>
      </c>
      <c r="AK681">
        <v>400</v>
      </c>
      <c r="AL681">
        <v>0</v>
      </c>
      <c r="AM681">
        <v>480</v>
      </c>
      <c r="AN681">
        <v>-96</v>
      </c>
      <c r="AO681">
        <v>0</v>
      </c>
      <c r="AP681">
        <v>240</v>
      </c>
      <c r="AQ681">
        <v>-72</v>
      </c>
      <c r="AR681">
        <v>0</v>
      </c>
      <c r="AS681">
        <v>240</v>
      </c>
      <c r="AT681">
        <v>-24</v>
      </c>
      <c r="AU681">
        <v>0</v>
      </c>
      <c r="AW681">
        <v>0</v>
      </c>
      <c r="AX681">
        <v>0</v>
      </c>
      <c r="AY681">
        <v>548.79999999999995</v>
      </c>
      <c r="BA681" t="str">
        <f>T("0000000000000")</f>
        <v>0000000000000</v>
      </c>
      <c r="BC681" t="str">
        <f>T("9791137604605")</f>
        <v>9791137604605</v>
      </c>
      <c r="BE681" t="str">
        <f>T("웹툰 &gt; 드라마")</f>
        <v>웹툰 &gt; 드라마</v>
      </c>
    </row>
    <row r="682" spans="1:58" x14ac:dyDescent="0.3">
      <c r="A682">
        <v>4421000866</v>
      </c>
      <c r="B682">
        <v>4421001478</v>
      </c>
      <c r="C682" t="str">
        <f>T("최애에게 들켜버렸다 74화")</f>
        <v>최애에게 들켜버렸다 74화</v>
      </c>
      <c r="D682" t="str">
        <f>T("77")</f>
        <v>77</v>
      </c>
      <c r="E682" t="str">
        <f>T("Lv")</f>
        <v>Lv</v>
      </c>
      <c r="G682" t="str">
        <f>T("Lv")</f>
        <v>Lv</v>
      </c>
      <c r="H682" t="str">
        <f t="shared" si="61"/>
        <v>스토리위즈</v>
      </c>
      <c r="I682" t="str">
        <f>T("최애에게 들켜버렸다")</f>
        <v>최애에게 들켜버렸다</v>
      </c>
      <c r="J682">
        <v>400</v>
      </c>
      <c r="K682">
        <v>0</v>
      </c>
      <c r="L682">
        <v>0</v>
      </c>
      <c r="M682">
        <v>0</v>
      </c>
      <c r="N682">
        <v>200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240</v>
      </c>
      <c r="AN682">
        <v>-24</v>
      </c>
      <c r="AO682">
        <v>0</v>
      </c>
      <c r="AP682"/>
      <c r="AQ682">
        <v>0</v>
      </c>
      <c r="AR682">
        <v>0</v>
      </c>
      <c r="AS682">
        <v>240</v>
      </c>
      <c r="AT682">
        <v>-24</v>
      </c>
      <c r="AU682">
        <v>0</v>
      </c>
      <c r="AW682">
        <v>0</v>
      </c>
      <c r="AX682">
        <v>0</v>
      </c>
      <c r="AY682">
        <v>151.19999999999999</v>
      </c>
      <c r="BA682" t="str">
        <f>T("0000000000000")</f>
        <v>0000000000000</v>
      </c>
      <c r="BC682" t="str">
        <f>T("9791137601253")</f>
        <v>9791137601253</v>
      </c>
      <c r="BE682" t="str">
        <f>T("웹툰 &gt; 해외 순정")</f>
        <v>웹툰 &gt; 해외 순정</v>
      </c>
      <c r="BF682" t="str">
        <f>T("웹툰 &gt; 로맨스")</f>
        <v>웹툰 &gt; 로맨스</v>
      </c>
    </row>
    <row r="683" spans="1:58" x14ac:dyDescent="0.3">
      <c r="A683">
        <v>4421002022</v>
      </c>
      <c r="B683">
        <v>4421002056</v>
      </c>
      <c r="C683" t="str">
        <f>T("대표님과 연애를 시작했습니다 35화 (완결)")</f>
        <v>대표님과 연애를 시작했습니다 35화 (완결)</v>
      </c>
      <c r="D683" t="str">
        <f>T("35")</f>
        <v>35</v>
      </c>
      <c r="E683" t="str">
        <f>T("웹티")</f>
        <v>웹티</v>
      </c>
      <c r="H683" t="str">
        <f t="shared" si="61"/>
        <v>스토리위즈</v>
      </c>
      <c r="I683" t="str">
        <f>T("대표님과 연애를 시작했습니다")</f>
        <v>대표님과 연애를 시작했습니다</v>
      </c>
      <c r="J683">
        <v>500</v>
      </c>
      <c r="K683">
        <v>0</v>
      </c>
      <c r="L683">
        <v>0</v>
      </c>
      <c r="M683">
        <v>0</v>
      </c>
      <c r="N683">
        <v>400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2</v>
      </c>
      <c r="AI683">
        <v>0</v>
      </c>
      <c r="AJ683">
        <v>0</v>
      </c>
      <c r="AK683">
        <v>200</v>
      </c>
      <c r="AL683">
        <v>0</v>
      </c>
      <c r="AM683">
        <v>240</v>
      </c>
      <c r="AN683">
        <v>-24</v>
      </c>
      <c r="AO683">
        <v>0</v>
      </c>
      <c r="AP683"/>
      <c r="AQ683">
        <v>0</v>
      </c>
      <c r="AR683">
        <v>0</v>
      </c>
      <c r="AS683">
        <v>240</v>
      </c>
      <c r="AT683">
        <v>-24</v>
      </c>
      <c r="AU683">
        <v>0</v>
      </c>
      <c r="AW683">
        <v>0</v>
      </c>
      <c r="AX683">
        <v>0</v>
      </c>
      <c r="AY683">
        <v>291.2</v>
      </c>
      <c r="BA683" t="str">
        <f>T("0000000000000")</f>
        <v>0000000000000</v>
      </c>
      <c r="BC683" t="str">
        <f>T("9791196660482")</f>
        <v>9791196660482</v>
      </c>
      <c r="BE683" t="str">
        <f>T("BL 웹툰 &gt; 웹툰")</f>
        <v>BL 웹툰 &gt; 웹툰</v>
      </c>
    </row>
    <row r="684" spans="1:58" x14ac:dyDescent="0.3">
      <c r="A684">
        <v>4421000450</v>
      </c>
      <c r="B684">
        <v>4421000510</v>
      </c>
      <c r="C684" t="str">
        <f>T("내 남편의 스토커 60화")</f>
        <v>내 남편의 스토커 60화</v>
      </c>
      <c r="D684" t="str">
        <f>T("60")</f>
        <v>60</v>
      </c>
      <c r="E684" t="str">
        <f>T("혜원")</f>
        <v>혜원</v>
      </c>
      <c r="G684" t="str">
        <f>T("혜원")</f>
        <v>혜원</v>
      </c>
      <c r="H684" t="str">
        <f t="shared" si="61"/>
        <v>스토리위즈</v>
      </c>
      <c r="I684" t="str">
        <f>T("내 남편의 스토커")</f>
        <v>내 남편의 스토커</v>
      </c>
      <c r="J684">
        <v>400</v>
      </c>
      <c r="K684">
        <v>0</v>
      </c>
      <c r="L684">
        <v>0</v>
      </c>
      <c r="M684">
        <v>0</v>
      </c>
      <c r="N684">
        <v>200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240</v>
      </c>
      <c r="AN684">
        <v>-24</v>
      </c>
      <c r="AO684">
        <v>0</v>
      </c>
      <c r="AP684"/>
      <c r="AQ684">
        <v>0</v>
      </c>
      <c r="AR684">
        <v>0</v>
      </c>
      <c r="AS684">
        <v>240</v>
      </c>
      <c r="AT684">
        <v>-24</v>
      </c>
      <c r="AU684">
        <v>0</v>
      </c>
      <c r="AW684">
        <v>0</v>
      </c>
      <c r="AX684">
        <v>0</v>
      </c>
      <c r="AY684">
        <v>151.19999999999999</v>
      </c>
      <c r="BA684" t="str">
        <f>T("0000000000000")</f>
        <v>0000000000000</v>
      </c>
      <c r="BC684" t="str">
        <f>T("9791166068034")</f>
        <v>9791166068034</v>
      </c>
      <c r="BE684" t="str">
        <f>T("웹툰 &gt; 로맨스")</f>
        <v>웹툰 &gt; 로맨스</v>
      </c>
    </row>
    <row r="685" spans="1:58" x14ac:dyDescent="0.3">
      <c r="A685">
        <v>4421000001</v>
      </c>
      <c r="B685">
        <v>4421000028</v>
      </c>
      <c r="C685" t="str">
        <f>T("감옥실험 18화")</f>
        <v>감옥실험 18화</v>
      </c>
      <c r="D685" t="str">
        <f>T("18")</f>
        <v>18</v>
      </c>
      <c r="E685" t="str">
        <f>T("Kantetsu")</f>
        <v>Kantetsu</v>
      </c>
      <c r="G685" t="str">
        <f>T("Minase Chiho")</f>
        <v>Minase Chiho</v>
      </c>
      <c r="H685" t="str">
        <f t="shared" si="61"/>
        <v>스토리위즈</v>
      </c>
      <c r="I685" t="str">
        <f>T("감옥실험")</f>
        <v>감옥실험</v>
      </c>
      <c r="J685">
        <v>500</v>
      </c>
      <c r="K685">
        <v>0</v>
      </c>
      <c r="L685">
        <v>0</v>
      </c>
      <c r="M685">
        <v>0</v>
      </c>
      <c r="N685">
        <v>1500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1500</v>
      </c>
      <c r="AH685">
        <v>5</v>
      </c>
      <c r="AI685">
        <v>0</v>
      </c>
      <c r="AJ685">
        <v>0</v>
      </c>
      <c r="AK685">
        <v>600</v>
      </c>
      <c r="AL685">
        <v>0</v>
      </c>
      <c r="AM685">
        <v>1080</v>
      </c>
      <c r="AN685">
        <v>-180</v>
      </c>
      <c r="AO685">
        <v>0</v>
      </c>
      <c r="AP685">
        <v>360</v>
      </c>
      <c r="AQ685">
        <v>-108</v>
      </c>
      <c r="AR685">
        <v>0</v>
      </c>
      <c r="AS685">
        <v>720</v>
      </c>
      <c r="AT685">
        <v>-72</v>
      </c>
      <c r="AU685">
        <v>0</v>
      </c>
      <c r="AW685">
        <v>0</v>
      </c>
      <c r="AX685">
        <v>0</v>
      </c>
      <c r="AY685">
        <v>1050</v>
      </c>
      <c r="BC685" t="str">
        <f>T("9791166069406")</f>
        <v>9791166069406</v>
      </c>
      <c r="BE685" t="str">
        <f>T("웹툰 &gt; 드라마")</f>
        <v>웹툰 &gt; 드라마</v>
      </c>
    </row>
    <row r="686" spans="1:58" x14ac:dyDescent="0.3">
      <c r="A686">
        <v>4421000866</v>
      </c>
      <c r="B686">
        <v>4421000992</v>
      </c>
      <c r="C686" t="str">
        <f>T("최애에게 들켜버렸다 34화")</f>
        <v>최애에게 들켜버렸다 34화</v>
      </c>
      <c r="D686" t="str">
        <f>T("35")</f>
        <v>35</v>
      </c>
      <c r="E686" t="str">
        <f>T("Lv")</f>
        <v>Lv</v>
      </c>
      <c r="G686" t="str">
        <f>T("Lv")</f>
        <v>Lv</v>
      </c>
      <c r="H686" t="str">
        <f t="shared" si="61"/>
        <v>스토리위즈</v>
      </c>
      <c r="I686" t="str">
        <f>T("최애에게 들켜버렸다")</f>
        <v>최애에게 들켜버렸다</v>
      </c>
      <c r="J686">
        <v>400</v>
      </c>
      <c r="K686">
        <v>0</v>
      </c>
      <c r="L686">
        <v>0</v>
      </c>
      <c r="M686">
        <v>0</v>
      </c>
      <c r="N686">
        <v>200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240</v>
      </c>
      <c r="AN686">
        <v>-24</v>
      </c>
      <c r="AO686">
        <v>0</v>
      </c>
      <c r="AP686"/>
      <c r="AQ686">
        <v>0</v>
      </c>
      <c r="AR686">
        <v>0</v>
      </c>
      <c r="AS686">
        <v>240</v>
      </c>
      <c r="AT686">
        <v>-24</v>
      </c>
      <c r="AU686">
        <v>0</v>
      </c>
      <c r="AW686">
        <v>0</v>
      </c>
      <c r="AX686">
        <v>0</v>
      </c>
      <c r="AY686">
        <v>151.19999999999999</v>
      </c>
      <c r="BA686" t="str">
        <f>T("0000000000000")</f>
        <v>0000000000000</v>
      </c>
      <c r="BC686" t="str">
        <f>T("9791137601253")</f>
        <v>9791137601253</v>
      </c>
      <c r="BE686" t="str">
        <f>T("웹툰 &gt; 해외 순정")</f>
        <v>웹툰 &gt; 해외 순정</v>
      </c>
      <c r="BF686" t="str">
        <f>T("웹툰 &gt; 로맨스")</f>
        <v>웹툰 &gt; 로맨스</v>
      </c>
    </row>
    <row r="687" spans="1:58" x14ac:dyDescent="0.3">
      <c r="A687">
        <v>4421000450</v>
      </c>
      <c r="B687">
        <v>4421000477</v>
      </c>
      <c r="C687" t="str">
        <f>T("내 남편의 스토커 27화")</f>
        <v>내 남편의 스토커 27화</v>
      </c>
      <c r="D687" t="str">
        <f>T("27")</f>
        <v>27</v>
      </c>
      <c r="E687" t="str">
        <f>T("혜원")</f>
        <v>혜원</v>
      </c>
      <c r="G687" t="str">
        <f>T("혜원")</f>
        <v>혜원</v>
      </c>
      <c r="H687" t="str">
        <f t="shared" si="61"/>
        <v>스토리위즈</v>
      </c>
      <c r="I687" t="str">
        <f>T("내 남편의 스토커")</f>
        <v>내 남편의 스토커</v>
      </c>
      <c r="J687">
        <v>400</v>
      </c>
      <c r="K687">
        <v>0</v>
      </c>
      <c r="L687">
        <v>0</v>
      </c>
      <c r="M687">
        <v>0</v>
      </c>
      <c r="N687">
        <v>200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240</v>
      </c>
      <c r="AN687">
        <v>-24</v>
      </c>
      <c r="AO687">
        <v>0</v>
      </c>
      <c r="AP687"/>
      <c r="AQ687">
        <v>0</v>
      </c>
      <c r="AR687">
        <v>0</v>
      </c>
      <c r="AS687">
        <v>240</v>
      </c>
      <c r="AT687">
        <v>-24</v>
      </c>
      <c r="AU687">
        <v>0</v>
      </c>
      <c r="AW687">
        <v>0</v>
      </c>
      <c r="AX687">
        <v>0</v>
      </c>
      <c r="AY687">
        <v>151.19999999999999</v>
      </c>
      <c r="BA687" t="str">
        <f>T("0000000000000")</f>
        <v>0000000000000</v>
      </c>
      <c r="BC687" t="str">
        <f>T("9791166068034")</f>
        <v>9791166068034</v>
      </c>
      <c r="BE687" t="str">
        <f>T("웹툰 &gt; 로맨스")</f>
        <v>웹툰 &gt; 로맨스</v>
      </c>
    </row>
    <row r="688" spans="1:58" x14ac:dyDescent="0.3">
      <c r="A688">
        <v>4421000866</v>
      </c>
      <c r="B688">
        <v>4421000879</v>
      </c>
      <c r="C688" t="str">
        <f>T("최애에게 들켜버렸다 13화")</f>
        <v>최애에게 들켜버렸다 13화</v>
      </c>
      <c r="D688" t="str">
        <f>T("13")</f>
        <v>13</v>
      </c>
      <c r="E688" t="str">
        <f>T("Lv")</f>
        <v>Lv</v>
      </c>
      <c r="G688" t="str">
        <f>T("Lv")</f>
        <v>Lv</v>
      </c>
      <c r="H688" t="str">
        <f t="shared" si="61"/>
        <v>스토리위즈</v>
      </c>
      <c r="I688" t="str">
        <f>T("최애에게 들켜버렸다")</f>
        <v>최애에게 들켜버렸다</v>
      </c>
      <c r="J688">
        <v>400</v>
      </c>
      <c r="K688">
        <v>0</v>
      </c>
      <c r="L688">
        <v>0</v>
      </c>
      <c r="M688">
        <v>0</v>
      </c>
      <c r="N688">
        <v>600</v>
      </c>
      <c r="O688">
        <v>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600</v>
      </c>
      <c r="AH688">
        <v>3</v>
      </c>
      <c r="AI688">
        <v>0</v>
      </c>
      <c r="AJ688">
        <v>0</v>
      </c>
      <c r="AK688">
        <v>200</v>
      </c>
      <c r="AL688">
        <v>0</v>
      </c>
      <c r="AM688">
        <v>480</v>
      </c>
      <c r="AN688">
        <v>-96</v>
      </c>
      <c r="AO688">
        <v>0</v>
      </c>
      <c r="AP688"/>
      <c r="AQ688">
        <v>0</v>
      </c>
      <c r="AR688">
        <v>0</v>
      </c>
      <c r="AS688">
        <v>480</v>
      </c>
      <c r="AT688">
        <v>-96</v>
      </c>
      <c r="AU688">
        <v>0</v>
      </c>
      <c r="AW688">
        <v>0</v>
      </c>
      <c r="AX688">
        <v>0</v>
      </c>
      <c r="AY688">
        <v>408.8</v>
      </c>
      <c r="BA688" t="str">
        <f>T("0000000000000")</f>
        <v>0000000000000</v>
      </c>
      <c r="BC688" t="str">
        <f>T("9791137601253")</f>
        <v>9791137601253</v>
      </c>
      <c r="BE688" t="str">
        <f>T("웹툰 &gt; 해외 순정")</f>
        <v>웹툰 &gt; 해외 순정</v>
      </c>
      <c r="BF688" t="str">
        <f>T("웹툰 &gt; 로맨스")</f>
        <v>웹툰 &gt; 로맨스</v>
      </c>
    </row>
    <row r="689" spans="1:58" x14ac:dyDescent="0.3">
      <c r="A689">
        <v>4421000001</v>
      </c>
      <c r="B689">
        <v>4421000171</v>
      </c>
      <c r="C689" t="str">
        <f>T("감옥실험 50화")</f>
        <v>감옥실험 50화</v>
      </c>
      <c r="D689" t="str">
        <f>T("50")</f>
        <v>50</v>
      </c>
      <c r="E689" t="str">
        <f>T("Kantetsu")</f>
        <v>Kantetsu</v>
      </c>
      <c r="G689" t="str">
        <f>T("Minase Chiho")</f>
        <v>Minase Chiho</v>
      </c>
      <c r="H689" t="str">
        <f t="shared" si="61"/>
        <v>스토리위즈</v>
      </c>
      <c r="I689" t="str">
        <f>T("감옥실험")</f>
        <v>감옥실험</v>
      </c>
      <c r="J689">
        <v>500</v>
      </c>
      <c r="K689">
        <v>0</v>
      </c>
      <c r="L689">
        <v>0</v>
      </c>
      <c r="M689">
        <v>0</v>
      </c>
      <c r="N689">
        <v>600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600</v>
      </c>
      <c r="AH689">
        <v>2</v>
      </c>
      <c r="AI689">
        <v>0</v>
      </c>
      <c r="AJ689">
        <v>0</v>
      </c>
      <c r="AK689">
        <v>600</v>
      </c>
      <c r="AL689">
        <v>0</v>
      </c>
      <c r="AM689">
        <v>0</v>
      </c>
      <c r="AN689">
        <v>0</v>
      </c>
      <c r="AO689">
        <v>0</v>
      </c>
      <c r="AP689"/>
      <c r="AQ689">
        <v>0</v>
      </c>
      <c r="AR689">
        <v>0</v>
      </c>
      <c r="AT689">
        <v>0</v>
      </c>
      <c r="AU689">
        <v>0</v>
      </c>
      <c r="AW689">
        <v>0</v>
      </c>
      <c r="AX689">
        <v>0</v>
      </c>
      <c r="AY689">
        <v>420</v>
      </c>
      <c r="BC689" t="str">
        <f>T("9791166069406")</f>
        <v>9791166069406</v>
      </c>
      <c r="BE689" t="str">
        <f>T("웹툰 &gt; 드라마")</f>
        <v>웹툰 &gt; 드라마</v>
      </c>
    </row>
    <row r="690" spans="1:58" x14ac:dyDescent="0.3">
      <c r="A690">
        <v>4421001634</v>
      </c>
      <c r="B690">
        <v>4421002510</v>
      </c>
      <c r="C690" t="str">
        <f>T("그남자의 사랑방식 61화")</f>
        <v>그남자의 사랑방식 61화</v>
      </c>
      <c r="D690" t="str">
        <f>T("61")</f>
        <v>61</v>
      </c>
      <c r="E690" t="str">
        <f>T("웹티")</f>
        <v>웹티</v>
      </c>
      <c r="H690" t="str">
        <f t="shared" si="61"/>
        <v>스토리위즈</v>
      </c>
      <c r="I690" t="str">
        <f>T("그남자의 사랑방식")</f>
        <v>그남자의 사랑방식</v>
      </c>
      <c r="J690">
        <v>500</v>
      </c>
      <c r="K690">
        <v>0</v>
      </c>
      <c r="L690">
        <v>0</v>
      </c>
      <c r="M690">
        <v>0</v>
      </c>
      <c r="N690">
        <v>200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240</v>
      </c>
      <c r="AN690">
        <v>-24</v>
      </c>
      <c r="AO690">
        <v>0</v>
      </c>
      <c r="AP690"/>
      <c r="AQ690">
        <v>0</v>
      </c>
      <c r="AR690">
        <v>0</v>
      </c>
      <c r="AS690">
        <v>240</v>
      </c>
      <c r="AT690">
        <v>-24</v>
      </c>
      <c r="AU690">
        <v>0</v>
      </c>
      <c r="AW690">
        <v>0</v>
      </c>
      <c r="AX690">
        <v>0</v>
      </c>
      <c r="AY690">
        <v>151.19999999999999</v>
      </c>
      <c r="BC690" t="str">
        <f>T("9791190622004")</f>
        <v>9791190622004</v>
      </c>
      <c r="BE690" t="str">
        <f>T("BL 웹툰 &gt; 웹툰")</f>
        <v>BL 웹툰 &gt; 웹툰</v>
      </c>
    </row>
    <row r="691" spans="1:58" x14ac:dyDescent="0.3">
      <c r="A691">
        <v>4421001568</v>
      </c>
      <c r="B691">
        <v>4421001569</v>
      </c>
      <c r="C691" t="str">
        <f>T("구름의 연인 2화")</f>
        <v>구름의 연인 2화</v>
      </c>
      <c r="D691" t="str">
        <f>T("2")</f>
        <v>2</v>
      </c>
      <c r="E691" t="str">
        <f>T("웹티")</f>
        <v>웹티</v>
      </c>
      <c r="H691" t="str">
        <f t="shared" si="61"/>
        <v>스토리위즈</v>
      </c>
      <c r="I691" t="str">
        <f>T("구름의 연인")</f>
        <v>구름의 연인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/>
      <c r="AQ691">
        <v>0</v>
      </c>
      <c r="AR691">
        <v>0</v>
      </c>
      <c r="AT691">
        <v>0</v>
      </c>
      <c r="AU691">
        <v>0</v>
      </c>
      <c r="AW691">
        <v>0</v>
      </c>
      <c r="AX691">
        <v>0</v>
      </c>
      <c r="AY691">
        <v>0</v>
      </c>
      <c r="BA691" t="str">
        <f>T("0000000000000")</f>
        <v>0000000000000</v>
      </c>
      <c r="BC691" t="str">
        <f>T("9791196402730")</f>
        <v>9791196402730</v>
      </c>
      <c r="BE691" t="str">
        <f>T("웹툰 &gt; 로맨스")</f>
        <v>웹툰 &gt; 로맨스</v>
      </c>
    </row>
    <row r="692" spans="1:58" x14ac:dyDescent="0.3">
      <c r="A692">
        <v>4421000887</v>
      </c>
      <c r="B692">
        <v>4421001208</v>
      </c>
      <c r="C692" t="str">
        <f>T("폭군의 눈물 39화")</f>
        <v>폭군의 눈물 39화</v>
      </c>
      <c r="D692" t="str">
        <f>T("39")</f>
        <v>39</v>
      </c>
      <c r="E692" t="str">
        <f>T("Ice×FANFAN COMIC")</f>
        <v>Ice×FANFAN COMIC</v>
      </c>
      <c r="G692" t="str">
        <f>T("Ice×FANFAN COMIC")</f>
        <v>Ice×FANFAN COMIC</v>
      </c>
      <c r="H692" t="str">
        <f t="shared" si="61"/>
        <v>스토리위즈</v>
      </c>
      <c r="I692" t="str">
        <f>T("폭군의 눈물")</f>
        <v>폭군의 눈물</v>
      </c>
      <c r="J692">
        <v>400</v>
      </c>
      <c r="K692">
        <v>0</v>
      </c>
      <c r="L692">
        <v>0</v>
      </c>
      <c r="M692">
        <v>0</v>
      </c>
      <c r="N692">
        <v>200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200</v>
      </c>
      <c r="AH692">
        <v>1</v>
      </c>
      <c r="AI692">
        <v>0</v>
      </c>
      <c r="AJ692">
        <v>0</v>
      </c>
      <c r="AK692">
        <v>200</v>
      </c>
      <c r="AL692">
        <v>0</v>
      </c>
      <c r="AM692">
        <v>0</v>
      </c>
      <c r="AN692">
        <v>0</v>
      </c>
      <c r="AO692">
        <v>0</v>
      </c>
      <c r="AP692"/>
      <c r="AQ692">
        <v>0</v>
      </c>
      <c r="AR692">
        <v>0</v>
      </c>
      <c r="AT692">
        <v>0</v>
      </c>
      <c r="AU692">
        <v>0</v>
      </c>
      <c r="AW692">
        <v>0</v>
      </c>
      <c r="AX692">
        <v>0</v>
      </c>
      <c r="AY692">
        <v>140</v>
      </c>
      <c r="BA692" t="str">
        <f>T("0000000000000")</f>
        <v>0000000000000</v>
      </c>
      <c r="BC692" t="str">
        <f>T("9791137601291")</f>
        <v>9791137601291</v>
      </c>
      <c r="BE692" t="str">
        <f>T("웹툰 &gt; 해외 순정")</f>
        <v>웹툰 &gt; 해외 순정</v>
      </c>
      <c r="BF692" t="str">
        <f>T("웹툰 &gt; 로판")</f>
        <v>웹툰 &gt; 로판</v>
      </c>
    </row>
    <row r="693" spans="1:58" x14ac:dyDescent="0.3">
      <c r="A693">
        <v>4421001340</v>
      </c>
      <c r="B693">
        <v>4421002971</v>
      </c>
      <c r="C693" t="str">
        <f>T("가출천사 육성계약 55화")</f>
        <v>가출천사 육성계약 55화</v>
      </c>
      <c r="D693" t="str">
        <f>T("55")</f>
        <v>55</v>
      </c>
      <c r="E693" t="str">
        <f>T("Bae.C, IIAKI, 박제후")</f>
        <v>Bae.C, IIAKI, 박제후</v>
      </c>
      <c r="G693" t="str">
        <f>T("Bae.C, 조우")</f>
        <v>Bae.C, 조우</v>
      </c>
      <c r="H693" t="str">
        <f t="shared" si="61"/>
        <v>스토리위즈</v>
      </c>
      <c r="I693" t="str">
        <f>T("가출천사 육성계약")</f>
        <v>가출천사 육성계약</v>
      </c>
      <c r="J693">
        <v>400</v>
      </c>
      <c r="K693">
        <v>0</v>
      </c>
      <c r="L693">
        <v>0</v>
      </c>
      <c r="M693">
        <v>0</v>
      </c>
      <c r="N693">
        <v>200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240</v>
      </c>
      <c r="AN693">
        <v>-24</v>
      </c>
      <c r="AO693">
        <v>0</v>
      </c>
      <c r="AP693"/>
      <c r="AQ693">
        <v>0</v>
      </c>
      <c r="AR693">
        <v>0</v>
      </c>
      <c r="AS693">
        <v>240</v>
      </c>
      <c r="AT693">
        <v>-24</v>
      </c>
      <c r="AU693">
        <v>0</v>
      </c>
      <c r="AW693">
        <v>0</v>
      </c>
      <c r="AX693">
        <v>0</v>
      </c>
      <c r="AY693">
        <v>151.19999999999999</v>
      </c>
      <c r="BA693" t="str">
        <f>T("0000000000000")</f>
        <v>0000000000000</v>
      </c>
      <c r="BC693" t="str">
        <f>T("9791191765663")</f>
        <v>9791191765663</v>
      </c>
      <c r="BE693" t="str">
        <f>T("웹툰 &gt; 판타지/SF")</f>
        <v>웹툰 &gt; 판타지/SF</v>
      </c>
    </row>
    <row r="694" spans="1:58" x14ac:dyDescent="0.3">
      <c r="A694">
        <v>4421001305</v>
      </c>
      <c r="B694">
        <v>4421001308</v>
      </c>
      <c r="C694" t="str">
        <f>T("악역이지만, 남주는 꼬시지 않아요 4화")</f>
        <v>악역이지만, 남주는 꼬시지 않아요 4화</v>
      </c>
      <c r="D694" t="str">
        <f>T("4")</f>
        <v>4</v>
      </c>
      <c r="E694" t="str">
        <f>T("마북명")</f>
        <v>마북명</v>
      </c>
      <c r="G694" t="str">
        <f>T("kuri")</f>
        <v>kuri</v>
      </c>
      <c r="H694" t="str">
        <f t="shared" si="61"/>
        <v>스토리위즈</v>
      </c>
      <c r="I694" t="str">
        <f>T("악역이지만, 남주는 꼬시지 않아요")</f>
        <v>악역이지만, 남주는 꼬시지 않아요</v>
      </c>
      <c r="J694">
        <v>400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/>
      <c r="AQ694">
        <v>0</v>
      </c>
      <c r="AR694">
        <v>0</v>
      </c>
      <c r="AT694">
        <v>0</v>
      </c>
      <c r="AU694">
        <v>0</v>
      </c>
      <c r="AW694">
        <v>0</v>
      </c>
      <c r="AX694">
        <v>0</v>
      </c>
      <c r="AY694">
        <v>0</v>
      </c>
      <c r="BA694" t="str">
        <f>T("0000000000000")</f>
        <v>0000000000000</v>
      </c>
      <c r="BC694" t="str">
        <f>T("9791137603882")</f>
        <v>9791137603882</v>
      </c>
      <c r="BE694" t="str">
        <f>T("웹툰 &gt; 해외 순정")</f>
        <v>웹툰 &gt; 해외 순정</v>
      </c>
      <c r="BF694" t="str">
        <f>T("웹툰 &gt; 로판")</f>
        <v>웹툰 &gt; 로판</v>
      </c>
    </row>
    <row r="695" spans="1:58" x14ac:dyDescent="0.3">
      <c r="A695">
        <v>4421003015</v>
      </c>
      <c r="B695">
        <v>4421003045</v>
      </c>
      <c r="C695" t="str">
        <f>T("일월성신 30화")</f>
        <v>일월성신 30화</v>
      </c>
      <c r="D695" t="str">
        <f>T("30")</f>
        <v>30</v>
      </c>
      <c r="E695" t="str">
        <f>T("김숙지")</f>
        <v>김숙지</v>
      </c>
      <c r="G695" t="str">
        <f>T("이름표")</f>
        <v>이름표</v>
      </c>
      <c r="H695" t="str">
        <f t="shared" si="61"/>
        <v>스토리위즈</v>
      </c>
      <c r="I695" t="str">
        <f>T("일월성신")</f>
        <v>일월성신</v>
      </c>
      <c r="J695">
        <v>400</v>
      </c>
      <c r="K695">
        <v>0</v>
      </c>
      <c r="L695">
        <v>0</v>
      </c>
      <c r="M695">
        <v>0</v>
      </c>
      <c r="N695">
        <v>600</v>
      </c>
      <c r="O695">
        <v>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600</v>
      </c>
      <c r="AH695">
        <v>3</v>
      </c>
      <c r="AI695">
        <v>0</v>
      </c>
      <c r="AJ695">
        <v>0</v>
      </c>
      <c r="AK695">
        <v>200</v>
      </c>
      <c r="AL695">
        <v>0</v>
      </c>
      <c r="AM695">
        <v>480</v>
      </c>
      <c r="AN695">
        <v>-96</v>
      </c>
      <c r="AO695">
        <v>0</v>
      </c>
      <c r="AP695">
        <v>240</v>
      </c>
      <c r="AQ695">
        <v>-72</v>
      </c>
      <c r="AR695">
        <v>0</v>
      </c>
      <c r="AS695">
        <v>240</v>
      </c>
      <c r="AT695">
        <v>-24</v>
      </c>
      <c r="AU695">
        <v>0</v>
      </c>
      <c r="AW695">
        <v>0</v>
      </c>
      <c r="AX695">
        <v>0</v>
      </c>
      <c r="AY695">
        <v>408.8</v>
      </c>
      <c r="BA695" t="str">
        <f>T("0000000000000")</f>
        <v>0000000000000</v>
      </c>
      <c r="BC695" t="str">
        <f>T("9791137604605")</f>
        <v>9791137604605</v>
      </c>
      <c r="BE695" t="str">
        <f>T("웹툰 &gt; 드라마")</f>
        <v>웹툰 &gt; 드라마</v>
      </c>
    </row>
    <row r="696" spans="1:58" x14ac:dyDescent="0.3">
      <c r="A696">
        <v>4421001634</v>
      </c>
      <c r="B696">
        <v>4421002543</v>
      </c>
      <c r="C696" t="str">
        <f>T("그남자의 사랑방식 94화")</f>
        <v>그남자의 사랑방식 94화</v>
      </c>
      <c r="D696" t="str">
        <f>T("94")</f>
        <v>94</v>
      </c>
      <c r="E696" t="str">
        <f>T("웹티")</f>
        <v>웹티</v>
      </c>
      <c r="H696" t="str">
        <f t="shared" si="61"/>
        <v>스토리위즈</v>
      </c>
      <c r="I696" t="str">
        <f>T("그남자의 사랑방식")</f>
        <v>그남자의 사랑방식</v>
      </c>
      <c r="J696">
        <v>500</v>
      </c>
      <c r="K696">
        <v>0</v>
      </c>
      <c r="L696">
        <v>0</v>
      </c>
      <c r="M696">
        <v>0</v>
      </c>
      <c r="N696">
        <v>200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240</v>
      </c>
      <c r="AN696">
        <v>-24</v>
      </c>
      <c r="AO696">
        <v>0</v>
      </c>
      <c r="AP696"/>
      <c r="AQ696">
        <v>0</v>
      </c>
      <c r="AR696">
        <v>0</v>
      </c>
      <c r="AS696">
        <v>240</v>
      </c>
      <c r="AT696">
        <v>-24</v>
      </c>
      <c r="AU696">
        <v>0</v>
      </c>
      <c r="AW696">
        <v>0</v>
      </c>
      <c r="AX696">
        <v>0</v>
      </c>
      <c r="AY696">
        <v>151.19999999999999</v>
      </c>
      <c r="BC696" t="str">
        <f>T("9791190622004")</f>
        <v>9791190622004</v>
      </c>
      <c r="BE696" t="str">
        <f>T("BL 웹툰 &gt; 웹툰")</f>
        <v>BL 웹툰 &gt; 웹툰</v>
      </c>
    </row>
    <row r="697" spans="1:58" x14ac:dyDescent="0.3">
      <c r="A697">
        <v>4421001340</v>
      </c>
      <c r="B697">
        <v>4421001362</v>
      </c>
      <c r="C697" t="str">
        <f>T("가출천사 육성계약 23화")</f>
        <v>가출천사 육성계약 23화</v>
      </c>
      <c r="D697" t="str">
        <f>T("23")</f>
        <v>23</v>
      </c>
      <c r="E697" t="str">
        <f>T("Bae.C, IIAKI, 박제후")</f>
        <v>Bae.C, IIAKI, 박제후</v>
      </c>
      <c r="G697" t="str">
        <f>T("Bae.C, 조우")</f>
        <v>Bae.C, 조우</v>
      </c>
      <c r="H697" t="str">
        <f t="shared" si="61"/>
        <v>스토리위즈</v>
      </c>
      <c r="I697" t="str">
        <f>T("가출천사 육성계약")</f>
        <v>가출천사 육성계약</v>
      </c>
      <c r="J697">
        <v>400</v>
      </c>
      <c r="K697">
        <v>0</v>
      </c>
      <c r="L697">
        <v>0</v>
      </c>
      <c r="M697">
        <v>0</v>
      </c>
      <c r="N697">
        <v>200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240</v>
      </c>
      <c r="AN697">
        <v>-24</v>
      </c>
      <c r="AO697">
        <v>0</v>
      </c>
      <c r="AP697"/>
      <c r="AQ697">
        <v>0</v>
      </c>
      <c r="AR697">
        <v>0</v>
      </c>
      <c r="AS697">
        <v>240</v>
      </c>
      <c r="AT697">
        <v>-24</v>
      </c>
      <c r="AU697">
        <v>0</v>
      </c>
      <c r="AW697">
        <v>0</v>
      </c>
      <c r="AX697">
        <v>0</v>
      </c>
      <c r="AY697">
        <v>151.19999999999999</v>
      </c>
      <c r="BA697" t="str">
        <f>T("0000000000000")</f>
        <v>0000000000000</v>
      </c>
      <c r="BC697" t="str">
        <f>T("9791191765663")</f>
        <v>9791191765663</v>
      </c>
      <c r="BE697" t="str">
        <f>T("웹툰 &gt; 판타지/SF")</f>
        <v>웹툰 &gt; 판타지/SF</v>
      </c>
    </row>
    <row r="698" spans="1:58" x14ac:dyDescent="0.3">
      <c r="A698">
        <v>4421000450</v>
      </c>
      <c r="B698">
        <v>4421000498</v>
      </c>
      <c r="C698" t="str">
        <f>T("내 남편의 스토커 48화")</f>
        <v>내 남편의 스토커 48화</v>
      </c>
      <c r="D698" t="str">
        <f>T("48")</f>
        <v>48</v>
      </c>
      <c r="E698" t="str">
        <f>T("혜원")</f>
        <v>혜원</v>
      </c>
      <c r="G698" t="str">
        <f>T("혜원")</f>
        <v>혜원</v>
      </c>
      <c r="H698" t="str">
        <f t="shared" si="61"/>
        <v>스토리위즈</v>
      </c>
      <c r="I698" t="str">
        <f>T("내 남편의 스토커")</f>
        <v>내 남편의 스토커</v>
      </c>
      <c r="J698">
        <v>400</v>
      </c>
      <c r="K698">
        <v>0</v>
      </c>
      <c r="L698">
        <v>0</v>
      </c>
      <c r="M698">
        <v>0</v>
      </c>
      <c r="N698">
        <v>200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240</v>
      </c>
      <c r="AN698">
        <v>-24</v>
      </c>
      <c r="AO698">
        <v>0</v>
      </c>
      <c r="AP698"/>
      <c r="AQ698">
        <v>0</v>
      </c>
      <c r="AR698">
        <v>0</v>
      </c>
      <c r="AS698">
        <v>240</v>
      </c>
      <c r="AT698">
        <v>-24</v>
      </c>
      <c r="AU698">
        <v>0</v>
      </c>
      <c r="AW698">
        <v>0</v>
      </c>
      <c r="AX698">
        <v>0</v>
      </c>
      <c r="AY698">
        <v>151.19999999999999</v>
      </c>
      <c r="BA698" t="str">
        <f>T("0000000000000")</f>
        <v>0000000000000</v>
      </c>
      <c r="BC698" t="str">
        <f>T("9791166068034")</f>
        <v>9791166068034</v>
      </c>
      <c r="BE698" t="str">
        <f>T("웹툰 &gt; 로맨스")</f>
        <v>웹툰 &gt; 로맨스</v>
      </c>
    </row>
    <row r="699" spans="1:58" x14ac:dyDescent="0.3">
      <c r="A699">
        <v>4421000866</v>
      </c>
      <c r="B699">
        <v>4421001192</v>
      </c>
      <c r="C699" t="str">
        <f>T("최애에게 들켜버렸다 46화")</f>
        <v>최애에게 들켜버렸다 46화</v>
      </c>
      <c r="D699" t="str">
        <f>T("49")</f>
        <v>49</v>
      </c>
      <c r="E699" t="str">
        <f>T("Lv")</f>
        <v>Lv</v>
      </c>
      <c r="G699" t="str">
        <f>T("Lv")</f>
        <v>Lv</v>
      </c>
      <c r="H699" t="str">
        <f t="shared" si="61"/>
        <v>스토리위즈</v>
      </c>
      <c r="I699" t="str">
        <f>T("최애에게 들켜버렸다")</f>
        <v>최애에게 들켜버렸다</v>
      </c>
      <c r="J699">
        <v>400</v>
      </c>
      <c r="K699">
        <v>0</v>
      </c>
      <c r="L699">
        <v>0</v>
      </c>
      <c r="M699">
        <v>0</v>
      </c>
      <c r="N699">
        <v>400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2</v>
      </c>
      <c r="AI699">
        <v>0</v>
      </c>
      <c r="AJ699">
        <v>0</v>
      </c>
      <c r="AK699">
        <v>200</v>
      </c>
      <c r="AL699">
        <v>0</v>
      </c>
      <c r="AM699">
        <v>240</v>
      </c>
      <c r="AN699">
        <v>-24</v>
      </c>
      <c r="AO699">
        <v>0</v>
      </c>
      <c r="AP699"/>
      <c r="AQ699">
        <v>0</v>
      </c>
      <c r="AR699">
        <v>0</v>
      </c>
      <c r="AS699">
        <v>240</v>
      </c>
      <c r="AT699">
        <v>-24</v>
      </c>
      <c r="AU699">
        <v>0</v>
      </c>
      <c r="AW699">
        <v>0</v>
      </c>
      <c r="AX699">
        <v>0</v>
      </c>
      <c r="AY699">
        <v>291.2</v>
      </c>
      <c r="BA699" t="str">
        <f>T("0000000000000")</f>
        <v>0000000000000</v>
      </c>
      <c r="BC699" t="str">
        <f>T("9791137601253")</f>
        <v>9791137601253</v>
      </c>
      <c r="BE699" t="str">
        <f>T("웹툰 &gt; 해외 순정")</f>
        <v>웹툰 &gt; 해외 순정</v>
      </c>
      <c r="BF699" t="str">
        <f>T("웹툰 &gt; 로맨스")</f>
        <v>웹툰 &gt; 로맨스</v>
      </c>
    </row>
    <row r="700" spans="1:58" x14ac:dyDescent="0.3">
      <c r="A700">
        <v>4421000866</v>
      </c>
      <c r="B700">
        <v>4421001297</v>
      </c>
      <c r="C700" t="str">
        <f>T("최애에게 들켜버렸다 68화")</f>
        <v>최애에게 들켜버렸다 68화</v>
      </c>
      <c r="D700" t="str">
        <f>T("71")</f>
        <v>71</v>
      </c>
      <c r="E700" t="str">
        <f>T("Lv")</f>
        <v>Lv</v>
      </c>
      <c r="G700" t="str">
        <f>T("Lv")</f>
        <v>Lv</v>
      </c>
      <c r="H700" t="str">
        <f t="shared" si="61"/>
        <v>스토리위즈</v>
      </c>
      <c r="I700" t="str">
        <f>T("최애에게 들켜버렸다")</f>
        <v>최애에게 들켜버렸다</v>
      </c>
      <c r="J700">
        <v>400</v>
      </c>
      <c r="K700">
        <v>0</v>
      </c>
      <c r="L700">
        <v>0</v>
      </c>
      <c r="M700">
        <v>0</v>
      </c>
      <c r="N700">
        <v>200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240</v>
      </c>
      <c r="AN700">
        <v>-24</v>
      </c>
      <c r="AO700">
        <v>0</v>
      </c>
      <c r="AP700"/>
      <c r="AQ700">
        <v>0</v>
      </c>
      <c r="AR700">
        <v>0</v>
      </c>
      <c r="AS700">
        <v>240</v>
      </c>
      <c r="AT700">
        <v>-24</v>
      </c>
      <c r="AU700">
        <v>0</v>
      </c>
      <c r="AW700">
        <v>0</v>
      </c>
      <c r="AX700">
        <v>0</v>
      </c>
      <c r="AY700">
        <v>151.19999999999999</v>
      </c>
      <c r="BA700" t="str">
        <f>T("0000000000000")</f>
        <v>0000000000000</v>
      </c>
      <c r="BC700" t="str">
        <f>T("9791137601253")</f>
        <v>9791137601253</v>
      </c>
      <c r="BE700" t="str">
        <f>T("웹툰 &gt; 해외 순정")</f>
        <v>웹툰 &gt; 해외 순정</v>
      </c>
      <c r="BF700" t="str">
        <f>T("웹툰 &gt; 로맨스")</f>
        <v>웹툰 &gt; 로맨스</v>
      </c>
    </row>
    <row r="701" spans="1:58" x14ac:dyDescent="0.3">
      <c r="A701">
        <v>4421001634</v>
      </c>
      <c r="B701">
        <v>4421002532</v>
      </c>
      <c r="C701" t="str">
        <f>T("그남자의 사랑방식 83화")</f>
        <v>그남자의 사랑방식 83화</v>
      </c>
      <c r="D701" t="str">
        <f>T("83")</f>
        <v>83</v>
      </c>
      <c r="E701" t="str">
        <f>T("웹티")</f>
        <v>웹티</v>
      </c>
      <c r="H701" t="str">
        <f t="shared" si="61"/>
        <v>스토리위즈</v>
      </c>
      <c r="I701" t="str">
        <f>T("그남자의 사랑방식")</f>
        <v>그남자의 사랑방식</v>
      </c>
      <c r="J701">
        <v>500</v>
      </c>
      <c r="K701">
        <v>0</v>
      </c>
      <c r="L701">
        <v>0</v>
      </c>
      <c r="M701">
        <v>0</v>
      </c>
      <c r="N701">
        <v>200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240</v>
      </c>
      <c r="AN701">
        <v>-24</v>
      </c>
      <c r="AO701">
        <v>0</v>
      </c>
      <c r="AP701"/>
      <c r="AQ701">
        <v>0</v>
      </c>
      <c r="AR701">
        <v>0</v>
      </c>
      <c r="AS701">
        <v>240</v>
      </c>
      <c r="AT701">
        <v>-24</v>
      </c>
      <c r="AU701">
        <v>0</v>
      </c>
      <c r="AW701">
        <v>0</v>
      </c>
      <c r="AX701">
        <v>0</v>
      </c>
      <c r="AY701">
        <v>151.19999999999999</v>
      </c>
      <c r="BC701" t="str">
        <f>T("9791190622004")</f>
        <v>9791190622004</v>
      </c>
      <c r="BE701" t="str">
        <f>T("BL 웹툰 &gt; 웹툰")</f>
        <v>BL 웹툰 &gt; 웹툰</v>
      </c>
    </row>
    <row r="702" spans="1:58" x14ac:dyDescent="0.3">
      <c r="A702">
        <v>4421001634</v>
      </c>
      <c r="B702">
        <v>4421001651</v>
      </c>
      <c r="C702" t="str">
        <f>T("그남자의 사랑방식 18화")</f>
        <v>그남자의 사랑방식 18화</v>
      </c>
      <c r="D702" t="str">
        <f>T("18")</f>
        <v>18</v>
      </c>
      <c r="E702" t="str">
        <f>T("웹티")</f>
        <v>웹티</v>
      </c>
      <c r="H702" t="str">
        <f t="shared" si="61"/>
        <v>스토리위즈</v>
      </c>
      <c r="I702" t="str">
        <f>T("그남자의 사랑방식")</f>
        <v>그남자의 사랑방식</v>
      </c>
      <c r="J702">
        <v>500</v>
      </c>
      <c r="K702">
        <v>0</v>
      </c>
      <c r="L702">
        <v>0</v>
      </c>
      <c r="M702">
        <v>0</v>
      </c>
      <c r="N702">
        <v>1000</v>
      </c>
      <c r="O702">
        <v>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1000</v>
      </c>
      <c r="AH702">
        <v>5</v>
      </c>
      <c r="AI702">
        <v>0</v>
      </c>
      <c r="AJ702">
        <v>0</v>
      </c>
      <c r="AK702">
        <v>400</v>
      </c>
      <c r="AL702">
        <v>0</v>
      </c>
      <c r="AM702">
        <v>720</v>
      </c>
      <c r="AN702">
        <v>-72</v>
      </c>
      <c r="AO702">
        <v>0</v>
      </c>
      <c r="AP702"/>
      <c r="AQ702">
        <v>0</v>
      </c>
      <c r="AR702">
        <v>0</v>
      </c>
      <c r="AS702">
        <v>720</v>
      </c>
      <c r="AT702">
        <v>-72</v>
      </c>
      <c r="AU702">
        <v>0</v>
      </c>
      <c r="AW702">
        <v>0</v>
      </c>
      <c r="AX702">
        <v>0</v>
      </c>
      <c r="AY702">
        <v>733.6</v>
      </c>
      <c r="BC702" t="str">
        <f>T("9791190622004")</f>
        <v>9791190622004</v>
      </c>
      <c r="BE702" t="str">
        <f>T("BL 웹툰 &gt; 웹툰")</f>
        <v>BL 웹툰 &gt; 웹툰</v>
      </c>
    </row>
    <row r="703" spans="1:58" x14ac:dyDescent="0.3">
      <c r="A703">
        <v>4421001325</v>
      </c>
      <c r="B703">
        <v>4421001329</v>
      </c>
      <c r="C703" t="str">
        <f>T("커피여우 김삼월 5화")</f>
        <v>커피여우 김삼월 5화</v>
      </c>
      <c r="D703" t="str">
        <f>T("5")</f>
        <v>5</v>
      </c>
      <c r="E703" t="str">
        <f>T("Nica")</f>
        <v>Nica</v>
      </c>
      <c r="G703" t="str">
        <f>T("A.Noa, RK Studio")</f>
        <v>A.Noa, RK Studio</v>
      </c>
      <c r="H703" t="str">
        <f t="shared" si="61"/>
        <v>스토리위즈</v>
      </c>
      <c r="I703" t="str">
        <f>T("커피여우 김삼월")</f>
        <v>커피여우 김삼월</v>
      </c>
      <c r="J703">
        <v>500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/>
      <c r="AQ703">
        <v>0</v>
      </c>
      <c r="AR703">
        <v>0</v>
      </c>
      <c r="AT703">
        <v>0</v>
      </c>
      <c r="AU703">
        <v>0</v>
      </c>
      <c r="AW703">
        <v>0</v>
      </c>
      <c r="AX703">
        <v>0</v>
      </c>
      <c r="AY703">
        <v>0</v>
      </c>
      <c r="BA703" t="str">
        <f>T("0000000000000")</f>
        <v>0000000000000</v>
      </c>
      <c r="BC703" t="str">
        <f>T("9791191241792")</f>
        <v>9791191241792</v>
      </c>
      <c r="BE703" t="str">
        <f>T("웹툰 &gt; 로맨스")</f>
        <v>웹툰 &gt; 로맨스</v>
      </c>
    </row>
    <row r="704" spans="1:58" x14ac:dyDescent="0.3">
      <c r="A704">
        <v>4421002022</v>
      </c>
      <c r="B704">
        <v>4421002045</v>
      </c>
      <c r="C704" t="str">
        <f>T("대표님과 연애를 시작했습니다 24화")</f>
        <v>대표님과 연애를 시작했습니다 24화</v>
      </c>
      <c r="D704" t="str">
        <f>T("24")</f>
        <v>24</v>
      </c>
      <c r="E704" t="str">
        <f>T("웹티")</f>
        <v>웹티</v>
      </c>
      <c r="H704" t="str">
        <f t="shared" si="61"/>
        <v>스토리위즈</v>
      </c>
      <c r="I704" t="str">
        <f>T("대표님과 연애를 시작했습니다")</f>
        <v>대표님과 연애를 시작했습니다</v>
      </c>
      <c r="J704">
        <v>500</v>
      </c>
      <c r="K704">
        <v>0</v>
      </c>
      <c r="L704">
        <v>0</v>
      </c>
      <c r="M704">
        <v>0</v>
      </c>
      <c r="N704">
        <v>200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200</v>
      </c>
      <c r="AH704">
        <v>1</v>
      </c>
      <c r="AI704">
        <v>0</v>
      </c>
      <c r="AJ704">
        <v>0</v>
      </c>
      <c r="AK704">
        <v>200</v>
      </c>
      <c r="AL704">
        <v>0</v>
      </c>
      <c r="AM704">
        <v>0</v>
      </c>
      <c r="AN704">
        <v>0</v>
      </c>
      <c r="AO704">
        <v>0</v>
      </c>
      <c r="AP704"/>
      <c r="AQ704">
        <v>0</v>
      </c>
      <c r="AR704">
        <v>0</v>
      </c>
      <c r="AT704">
        <v>0</v>
      </c>
      <c r="AU704">
        <v>0</v>
      </c>
      <c r="AW704">
        <v>0</v>
      </c>
      <c r="AX704">
        <v>0</v>
      </c>
      <c r="AY704">
        <v>140</v>
      </c>
      <c r="BA704" t="str">
        <f>T("0000000000000")</f>
        <v>0000000000000</v>
      </c>
      <c r="BC704" t="str">
        <f>T("9791196660482")</f>
        <v>9791196660482</v>
      </c>
      <c r="BE704" t="str">
        <f>T("BL 웹툰 &gt; 웹툰")</f>
        <v>BL 웹툰 &gt; 웹툰</v>
      </c>
    </row>
    <row r="705" spans="1:58" x14ac:dyDescent="0.3">
      <c r="A705">
        <v>4421002795</v>
      </c>
      <c r="B705">
        <v>4421002796</v>
      </c>
      <c r="C705" t="str">
        <f>T("심연의 눈 2화")</f>
        <v>심연의 눈 2화</v>
      </c>
      <c r="D705" t="str">
        <f>T("2")</f>
        <v>2</v>
      </c>
      <c r="E705" t="str">
        <f>T("M.C.K")</f>
        <v>M.C.K</v>
      </c>
      <c r="H705" t="str">
        <f t="shared" si="61"/>
        <v>스토리위즈</v>
      </c>
      <c r="I705" t="str">
        <f>T("심연의 눈")</f>
        <v>심연의 눈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/>
      <c r="AQ705">
        <v>0</v>
      </c>
      <c r="AR705">
        <v>0</v>
      </c>
      <c r="AT705">
        <v>0</v>
      </c>
      <c r="AU705">
        <v>0</v>
      </c>
      <c r="AW705">
        <v>0</v>
      </c>
      <c r="AX705">
        <v>0</v>
      </c>
      <c r="AY705">
        <v>0</v>
      </c>
      <c r="BA705" t="str">
        <f>T("0000000000000")</f>
        <v>0000000000000</v>
      </c>
      <c r="BC705" t="str">
        <f>T("9791190622226")</f>
        <v>9791190622226</v>
      </c>
      <c r="BE705" t="str">
        <f>T("웹툰 &gt; 판타지/SF")</f>
        <v>웹툰 &gt; 판타지/SF</v>
      </c>
    </row>
    <row r="706" spans="1:58" x14ac:dyDescent="0.3">
      <c r="A706">
        <v>4421000001</v>
      </c>
      <c r="B706">
        <v>4421000017</v>
      </c>
      <c r="C706" t="str">
        <f>T("감옥실험 7화")</f>
        <v>감옥실험 7화</v>
      </c>
      <c r="D706" t="str">
        <f>T("7")</f>
        <v>7</v>
      </c>
      <c r="E706" t="str">
        <f>T("Kantetsu")</f>
        <v>Kantetsu</v>
      </c>
      <c r="G706" t="str">
        <f>T("Minase Chiho")</f>
        <v>Minase Chiho</v>
      </c>
      <c r="H706" t="str">
        <f t="shared" ref="H706:H760" si="62">T("스토리위즈")</f>
        <v>스토리위즈</v>
      </c>
      <c r="I706" t="str">
        <f>T("감옥실험")</f>
        <v>감옥실험</v>
      </c>
      <c r="J706">
        <v>500</v>
      </c>
      <c r="K706">
        <v>0</v>
      </c>
      <c r="L706">
        <v>0</v>
      </c>
      <c r="M706">
        <v>0</v>
      </c>
      <c r="N706">
        <v>3000</v>
      </c>
      <c r="O706">
        <v>10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3000</v>
      </c>
      <c r="AH706">
        <v>10</v>
      </c>
      <c r="AI706">
        <v>0</v>
      </c>
      <c r="AJ706">
        <v>0</v>
      </c>
      <c r="AK706">
        <v>2400</v>
      </c>
      <c r="AL706">
        <v>0</v>
      </c>
      <c r="AM706">
        <v>720</v>
      </c>
      <c r="AN706">
        <v>-216</v>
      </c>
      <c r="AO706">
        <v>0</v>
      </c>
      <c r="AP706">
        <v>360</v>
      </c>
      <c r="AQ706">
        <v>-108</v>
      </c>
      <c r="AR706">
        <v>0</v>
      </c>
      <c r="AS706">
        <v>360</v>
      </c>
      <c r="AT706">
        <v>-108</v>
      </c>
      <c r="AU706">
        <v>0</v>
      </c>
      <c r="AW706">
        <v>0</v>
      </c>
      <c r="AX706">
        <v>0</v>
      </c>
      <c r="AY706">
        <v>2032.8</v>
      </c>
      <c r="BC706" t="str">
        <f>T("9791166069406")</f>
        <v>9791166069406</v>
      </c>
      <c r="BE706" t="str">
        <f>T("웹툰 &gt; 드라마")</f>
        <v>웹툰 &gt; 드라마</v>
      </c>
    </row>
    <row r="707" spans="1:58" x14ac:dyDescent="0.3">
      <c r="A707">
        <v>4421000866</v>
      </c>
      <c r="B707">
        <v>4421000973</v>
      </c>
      <c r="C707" t="str">
        <f>T("최애에게 들켜버렸다 31화")</f>
        <v>최애에게 들켜버렸다 31화</v>
      </c>
      <c r="D707" t="str">
        <f>T("32")</f>
        <v>32</v>
      </c>
      <c r="E707" t="str">
        <f>T("Lv")</f>
        <v>Lv</v>
      </c>
      <c r="G707" t="str">
        <f>T("Lv")</f>
        <v>Lv</v>
      </c>
      <c r="H707" t="str">
        <f t="shared" si="62"/>
        <v>스토리위즈</v>
      </c>
      <c r="I707" t="str">
        <f>T("최애에게 들켜버렸다")</f>
        <v>최애에게 들켜버렸다</v>
      </c>
      <c r="J707">
        <v>400</v>
      </c>
      <c r="K707">
        <v>0</v>
      </c>
      <c r="L707">
        <v>0</v>
      </c>
      <c r="M707">
        <v>0</v>
      </c>
      <c r="N707">
        <v>400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480</v>
      </c>
      <c r="AN707">
        <v>-48</v>
      </c>
      <c r="AO707">
        <v>0</v>
      </c>
      <c r="AP707"/>
      <c r="AQ707">
        <v>0</v>
      </c>
      <c r="AR707">
        <v>0</v>
      </c>
      <c r="AS707">
        <v>480</v>
      </c>
      <c r="AT707">
        <v>-48</v>
      </c>
      <c r="AU707">
        <v>0</v>
      </c>
      <c r="AW707">
        <v>0</v>
      </c>
      <c r="AX707">
        <v>0</v>
      </c>
      <c r="AY707">
        <v>302.39999999999998</v>
      </c>
      <c r="BA707" t="str">
        <f>T("0000000000000")</f>
        <v>0000000000000</v>
      </c>
      <c r="BC707" t="str">
        <f>T("9791137601253")</f>
        <v>9791137601253</v>
      </c>
      <c r="BE707" t="str">
        <f>T("웹툰 &gt; 해외 순정")</f>
        <v>웹툰 &gt; 해외 순정</v>
      </c>
      <c r="BF707" t="str">
        <f>T("웹툰 &gt; 로맨스")</f>
        <v>웹툰 &gt; 로맨스</v>
      </c>
    </row>
    <row r="708" spans="1:58" x14ac:dyDescent="0.3">
      <c r="A708">
        <v>4421000450</v>
      </c>
      <c r="B708">
        <v>4421000466</v>
      </c>
      <c r="C708" t="str">
        <f>T("내 남편의 스토커 16화")</f>
        <v>내 남편의 스토커 16화</v>
      </c>
      <c r="D708" t="str">
        <f>T("16")</f>
        <v>16</v>
      </c>
      <c r="E708" t="str">
        <f>T("혜원")</f>
        <v>혜원</v>
      </c>
      <c r="G708" t="str">
        <f>T("혜원")</f>
        <v>혜원</v>
      </c>
      <c r="H708" t="str">
        <f t="shared" si="62"/>
        <v>스토리위즈</v>
      </c>
      <c r="I708" t="str">
        <f>T("내 남편의 스토커")</f>
        <v>내 남편의 스토커</v>
      </c>
      <c r="J708">
        <v>400</v>
      </c>
      <c r="K708">
        <v>0</v>
      </c>
      <c r="L708">
        <v>0</v>
      </c>
      <c r="M708">
        <v>0</v>
      </c>
      <c r="N708">
        <v>200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240</v>
      </c>
      <c r="AN708">
        <v>-72</v>
      </c>
      <c r="AO708">
        <v>0</v>
      </c>
      <c r="AP708"/>
      <c r="AQ708">
        <v>0</v>
      </c>
      <c r="AR708">
        <v>0</v>
      </c>
      <c r="AS708">
        <v>240</v>
      </c>
      <c r="AT708">
        <v>-72</v>
      </c>
      <c r="AU708">
        <v>0</v>
      </c>
      <c r="AW708">
        <v>0</v>
      </c>
      <c r="AX708">
        <v>0</v>
      </c>
      <c r="AY708">
        <v>117.6</v>
      </c>
      <c r="BA708" t="str">
        <f>T("0000000000000")</f>
        <v>0000000000000</v>
      </c>
      <c r="BC708" t="str">
        <f>T("9791166068034")</f>
        <v>9791166068034</v>
      </c>
      <c r="BE708" t="str">
        <f>T("웹툰 &gt; 로맨스")</f>
        <v>웹툰 &gt; 로맨스</v>
      </c>
    </row>
    <row r="709" spans="1:58" x14ac:dyDescent="0.3">
      <c r="A709">
        <v>4421001340</v>
      </c>
      <c r="B709">
        <v>4421002899</v>
      </c>
      <c r="C709" t="str">
        <f>T("가출천사 육성계약 46화")</f>
        <v>가출천사 육성계약 46화</v>
      </c>
      <c r="D709" t="str">
        <f>T("46")</f>
        <v>46</v>
      </c>
      <c r="E709" t="str">
        <f>T("Bae.C, IIAKI, 박제후")</f>
        <v>Bae.C, IIAKI, 박제후</v>
      </c>
      <c r="G709" t="str">
        <f>T("Bae.C, 조우")</f>
        <v>Bae.C, 조우</v>
      </c>
      <c r="H709" t="str">
        <f t="shared" si="62"/>
        <v>스토리위즈</v>
      </c>
      <c r="I709" t="str">
        <f>T("가출천사 육성계약")</f>
        <v>가출천사 육성계약</v>
      </c>
      <c r="J709">
        <v>400</v>
      </c>
      <c r="K709">
        <v>0</v>
      </c>
      <c r="L709">
        <v>0</v>
      </c>
      <c r="M709">
        <v>0</v>
      </c>
      <c r="N709">
        <v>200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200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240</v>
      </c>
      <c r="AN709">
        <v>-24</v>
      </c>
      <c r="AO709">
        <v>0</v>
      </c>
      <c r="AP709"/>
      <c r="AQ709">
        <v>0</v>
      </c>
      <c r="AR709">
        <v>0</v>
      </c>
      <c r="AS709">
        <v>240</v>
      </c>
      <c r="AT709">
        <v>-24</v>
      </c>
      <c r="AU709">
        <v>0</v>
      </c>
      <c r="AW709">
        <v>0</v>
      </c>
      <c r="AX709">
        <v>0</v>
      </c>
      <c r="AY709">
        <v>151.19999999999999</v>
      </c>
      <c r="BA709" t="str">
        <f>T("0000000000000")</f>
        <v>0000000000000</v>
      </c>
      <c r="BC709" t="str">
        <f>T("9791191765663")</f>
        <v>9791191765663</v>
      </c>
      <c r="BE709" t="str">
        <f>T("웹툰 &gt; 판타지/SF")</f>
        <v>웹툰 &gt; 판타지/SF</v>
      </c>
    </row>
    <row r="710" spans="1:58" x14ac:dyDescent="0.3">
      <c r="A710">
        <v>4421000866</v>
      </c>
      <c r="B710">
        <v>4421000868</v>
      </c>
      <c r="C710" t="str">
        <f>T("최애에게 들켜버렸다 2화")</f>
        <v>최애에게 들켜버렸다 2화</v>
      </c>
      <c r="D710" t="str">
        <f>T("2")</f>
        <v>2</v>
      </c>
      <c r="E710" t="str">
        <f>T("Lv")</f>
        <v>Lv</v>
      </c>
      <c r="G710" t="str">
        <f>T("Lv")</f>
        <v>Lv</v>
      </c>
      <c r="H710" t="str">
        <f t="shared" si="62"/>
        <v>스토리위즈</v>
      </c>
      <c r="I710" t="str">
        <f>T("최애에게 들켜버렸다")</f>
        <v>최애에게 들켜버렸다</v>
      </c>
      <c r="J710">
        <v>400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47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/>
      <c r="AQ710">
        <v>0</v>
      </c>
      <c r="AR710">
        <v>0</v>
      </c>
      <c r="AT710">
        <v>0</v>
      </c>
      <c r="AU710">
        <v>0</v>
      </c>
      <c r="AW710">
        <v>0</v>
      </c>
      <c r="AX710">
        <v>0</v>
      </c>
      <c r="AY710">
        <v>0</v>
      </c>
      <c r="BA710" t="str">
        <f>T("0000000000000")</f>
        <v>0000000000000</v>
      </c>
      <c r="BC710" t="str">
        <f>T("9791137601253")</f>
        <v>9791137601253</v>
      </c>
      <c r="BE710" t="str">
        <f>T("웹툰 &gt; 해외 순정")</f>
        <v>웹툰 &gt; 해외 순정</v>
      </c>
      <c r="BF710" t="str">
        <f>T("웹툰 &gt; 로맨스")</f>
        <v>웹툰 &gt; 로맨스</v>
      </c>
    </row>
    <row r="711" spans="1:58" x14ac:dyDescent="0.3">
      <c r="A711">
        <v>4421000001</v>
      </c>
      <c r="B711">
        <v>4421000059</v>
      </c>
      <c r="C711" t="str">
        <f>T("감옥실험 39화")</f>
        <v>감옥실험 39화</v>
      </c>
      <c r="D711" t="str">
        <f>T("39")</f>
        <v>39</v>
      </c>
      <c r="E711" t="str">
        <f>T("Kantetsu")</f>
        <v>Kantetsu</v>
      </c>
      <c r="G711" t="str">
        <f>T("Minase Chiho")</f>
        <v>Minase Chiho</v>
      </c>
      <c r="H711" t="str">
        <f t="shared" si="62"/>
        <v>스토리위즈</v>
      </c>
      <c r="I711" t="str">
        <f>T("감옥실험")</f>
        <v>감옥실험</v>
      </c>
      <c r="J711">
        <v>500</v>
      </c>
      <c r="K711">
        <v>0</v>
      </c>
      <c r="L711">
        <v>0</v>
      </c>
      <c r="M711">
        <v>0</v>
      </c>
      <c r="N711">
        <v>900</v>
      </c>
      <c r="O711">
        <v>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900</v>
      </c>
      <c r="AH711">
        <v>3</v>
      </c>
      <c r="AI711">
        <v>0</v>
      </c>
      <c r="AJ711">
        <v>0</v>
      </c>
      <c r="AK711">
        <v>900</v>
      </c>
      <c r="AL711">
        <v>0</v>
      </c>
      <c r="AM711">
        <v>0</v>
      </c>
      <c r="AN711">
        <v>0</v>
      </c>
      <c r="AO711">
        <v>0</v>
      </c>
      <c r="AP711"/>
      <c r="AQ711">
        <v>0</v>
      </c>
      <c r="AR711">
        <v>0</v>
      </c>
      <c r="AT711">
        <v>0</v>
      </c>
      <c r="AU711">
        <v>0</v>
      </c>
      <c r="AW711">
        <v>0</v>
      </c>
      <c r="AX711">
        <v>0</v>
      </c>
      <c r="AY711">
        <v>630</v>
      </c>
      <c r="BC711" t="str">
        <f>T("9791166069406")</f>
        <v>9791166069406</v>
      </c>
      <c r="BE711" t="str">
        <f>T("웹툰 &gt; 드라마")</f>
        <v>웹툰 &gt; 드라마</v>
      </c>
    </row>
    <row r="712" spans="1:58" x14ac:dyDescent="0.3">
      <c r="A712">
        <v>4421000337</v>
      </c>
      <c r="B712">
        <v>4421000341</v>
      </c>
      <c r="C712" t="str">
        <f>T("계약연애, 오늘부터 1일 5화")</f>
        <v>계약연애, 오늘부터 1일 5화</v>
      </c>
      <c r="D712" t="str">
        <f>T("5")</f>
        <v>5</v>
      </c>
      <c r="E712" t="str">
        <f>T("원기공장")</f>
        <v>원기공장</v>
      </c>
      <c r="H712" t="str">
        <f t="shared" si="62"/>
        <v>스토리위즈</v>
      </c>
      <c r="I712" t="str">
        <f>T("계약연애, 오늘부터 1일")</f>
        <v>계약연애, 오늘부터 1일</v>
      </c>
      <c r="J712">
        <v>200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/>
      <c r="AQ712">
        <v>0</v>
      </c>
      <c r="AR712">
        <v>0</v>
      </c>
      <c r="AT712">
        <v>0</v>
      </c>
      <c r="AU712">
        <v>0</v>
      </c>
      <c r="AW712">
        <v>0</v>
      </c>
      <c r="AX712">
        <v>0</v>
      </c>
      <c r="AY712">
        <v>0</v>
      </c>
      <c r="BA712" t="str">
        <f>T("0000000000000")</f>
        <v>0000000000000</v>
      </c>
      <c r="BC712" t="str">
        <f>T("9791166068027")</f>
        <v>9791166068027</v>
      </c>
      <c r="BE712" t="str">
        <f>T("웹툰 &gt; 해외 순정")</f>
        <v>웹툰 &gt; 해외 순정</v>
      </c>
      <c r="BF712" t="str">
        <f>T("웹툰 &gt; 로맨스")</f>
        <v>웹툰 &gt; 로맨스</v>
      </c>
    </row>
    <row r="713" spans="1:58" x14ac:dyDescent="0.3">
      <c r="A713">
        <v>4421002305</v>
      </c>
      <c r="B713">
        <v>4421002309</v>
      </c>
      <c r="C713" t="str">
        <f>T("천년의 사랑 4화")</f>
        <v>천년의 사랑 4화</v>
      </c>
      <c r="D713" t="str">
        <f>T("4")</f>
        <v>4</v>
      </c>
      <c r="E713" t="str">
        <f>T("웹티")</f>
        <v>웹티</v>
      </c>
      <c r="H713" t="str">
        <f t="shared" si="62"/>
        <v>스토리위즈</v>
      </c>
      <c r="I713" t="str">
        <f>T("천년의 사랑")</f>
        <v>천년의 사랑</v>
      </c>
      <c r="J713">
        <v>500</v>
      </c>
      <c r="K713">
        <v>0</v>
      </c>
      <c r="L713">
        <v>0</v>
      </c>
      <c r="M713">
        <v>0</v>
      </c>
      <c r="N713">
        <v>200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200</v>
      </c>
      <c r="AH713">
        <v>1</v>
      </c>
      <c r="AI713">
        <v>0</v>
      </c>
      <c r="AJ713">
        <v>0</v>
      </c>
      <c r="AK713">
        <v>200</v>
      </c>
      <c r="AL713">
        <v>0</v>
      </c>
      <c r="AM713">
        <v>0</v>
      </c>
      <c r="AN713">
        <v>0</v>
      </c>
      <c r="AO713">
        <v>0</v>
      </c>
      <c r="AP713"/>
      <c r="AQ713">
        <v>0</v>
      </c>
      <c r="AR713">
        <v>0</v>
      </c>
      <c r="AT713">
        <v>0</v>
      </c>
      <c r="AU713">
        <v>0</v>
      </c>
      <c r="AW713">
        <v>0</v>
      </c>
      <c r="AX713">
        <v>0</v>
      </c>
      <c r="AY713">
        <v>140</v>
      </c>
      <c r="BA713" t="str">
        <f>T("0000000000000")</f>
        <v>0000000000000</v>
      </c>
      <c r="BC713" t="str">
        <f>T("9791190622011")</f>
        <v>9791190622011</v>
      </c>
      <c r="BE713" t="str">
        <f>T("웹툰 &gt; 로맨스")</f>
        <v>웹툰 &gt; 로맨스</v>
      </c>
    </row>
    <row r="714" spans="1:58" x14ac:dyDescent="0.3">
      <c r="A714">
        <v>4421002829</v>
      </c>
      <c r="B714">
        <v>4421002845</v>
      </c>
      <c r="C714" t="str">
        <f>T("테두리는 주시하지 않는다 (개정판) 9화")</f>
        <v>테두리는 주시하지 않는다 (개정판) 9화</v>
      </c>
      <c r="D714" t="str">
        <f>T("9")</f>
        <v>9</v>
      </c>
      <c r="E714" t="str">
        <f>T("토찌, 키로즈")</f>
        <v>토찌, 키로즈</v>
      </c>
      <c r="G714" t="str">
        <f>T("마린")</f>
        <v>마린</v>
      </c>
      <c r="H714" t="str">
        <f t="shared" si="62"/>
        <v>스토리위즈</v>
      </c>
      <c r="I714" t="str">
        <f>T("테두리는 주시하지 않는다 (개정판)")</f>
        <v>테두리는 주시하지 않는다 (개정판)</v>
      </c>
      <c r="J714">
        <v>500</v>
      </c>
      <c r="K714">
        <v>0</v>
      </c>
      <c r="L714">
        <v>0</v>
      </c>
      <c r="M714">
        <v>0</v>
      </c>
      <c r="N714">
        <v>8100</v>
      </c>
      <c r="O714">
        <v>27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8100</v>
      </c>
      <c r="AH714">
        <v>27</v>
      </c>
      <c r="AI714">
        <v>0</v>
      </c>
      <c r="AJ714">
        <v>0</v>
      </c>
      <c r="AK714">
        <v>4250</v>
      </c>
      <c r="AL714">
        <v>0</v>
      </c>
      <c r="AM714">
        <v>4620</v>
      </c>
      <c r="AN714">
        <v>-894</v>
      </c>
      <c r="AO714">
        <v>0</v>
      </c>
      <c r="AP714">
        <v>1080</v>
      </c>
      <c r="AQ714">
        <v>-324</v>
      </c>
      <c r="AR714">
        <v>0</v>
      </c>
      <c r="AS714">
        <v>3540</v>
      </c>
      <c r="AT714">
        <v>-570</v>
      </c>
      <c r="AU714">
        <v>0</v>
      </c>
      <c r="AW714">
        <v>0</v>
      </c>
      <c r="AX714">
        <v>0</v>
      </c>
      <c r="AY714">
        <v>5583.2</v>
      </c>
      <c r="BA714" t="str">
        <f>T("0000000000000")</f>
        <v>0000000000000</v>
      </c>
      <c r="BC714" t="str">
        <f>T("9791137604681")</f>
        <v>9791137604681</v>
      </c>
      <c r="BE714" t="str">
        <f>T("BL 웹툰 &gt; 웹툰")</f>
        <v>BL 웹툰 &gt; 웹툰</v>
      </c>
    </row>
    <row r="715" spans="1:58" x14ac:dyDescent="0.3">
      <c r="A715">
        <v>4421000518</v>
      </c>
      <c r="B715">
        <v>4421000520</v>
      </c>
      <c r="C715" t="str">
        <f>T("백스테이지 키스신 2화")</f>
        <v>백스테이지 키스신 2화</v>
      </c>
      <c r="D715" t="str">
        <f>T("2")</f>
        <v>2</v>
      </c>
      <c r="E715" t="str">
        <f>T("최도비")</f>
        <v>최도비</v>
      </c>
      <c r="G715" t="str">
        <f>T("수정과")</f>
        <v>수정과</v>
      </c>
      <c r="H715" t="str">
        <f t="shared" si="62"/>
        <v>스토리위즈</v>
      </c>
      <c r="I715" t="str">
        <f>T("백스테이지 키스신")</f>
        <v>백스테이지 키스신</v>
      </c>
      <c r="J715">
        <v>400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/>
      <c r="AQ715">
        <v>0</v>
      </c>
      <c r="AR715">
        <v>0</v>
      </c>
      <c r="AT715">
        <v>0</v>
      </c>
      <c r="AU715">
        <v>0</v>
      </c>
      <c r="AW715">
        <v>0</v>
      </c>
      <c r="AX715">
        <v>0</v>
      </c>
      <c r="AY715">
        <v>0</v>
      </c>
      <c r="BA715" t="str">
        <f>T("0000000000000")</f>
        <v>0000000000000</v>
      </c>
      <c r="BC715" t="str">
        <f>T("9791166067990")</f>
        <v>9791166067990</v>
      </c>
      <c r="BE715" t="str">
        <f>T("웹툰 &gt; 로맨스")</f>
        <v>웹툰 &gt; 로맨스</v>
      </c>
    </row>
    <row r="716" spans="1:58" x14ac:dyDescent="0.3">
      <c r="A716">
        <v>4421000001</v>
      </c>
      <c r="B716">
        <v>4421000048</v>
      </c>
      <c r="C716" t="str">
        <f>T("감옥실험 28화")</f>
        <v>감옥실험 28화</v>
      </c>
      <c r="D716" t="str">
        <f>T("28")</f>
        <v>28</v>
      </c>
      <c r="E716" t="str">
        <f>T("Kantetsu")</f>
        <v>Kantetsu</v>
      </c>
      <c r="G716" t="str">
        <f>T("Minase Chiho")</f>
        <v>Minase Chiho</v>
      </c>
      <c r="H716" t="str">
        <f t="shared" si="62"/>
        <v>스토리위즈</v>
      </c>
      <c r="I716" t="str">
        <f>T("감옥실험")</f>
        <v>감옥실험</v>
      </c>
      <c r="J716">
        <v>500</v>
      </c>
      <c r="K716">
        <v>0</v>
      </c>
      <c r="L716">
        <v>0</v>
      </c>
      <c r="M716">
        <v>0</v>
      </c>
      <c r="N716">
        <v>600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600</v>
      </c>
      <c r="AH716">
        <v>2</v>
      </c>
      <c r="AI716">
        <v>0</v>
      </c>
      <c r="AJ716">
        <v>0</v>
      </c>
      <c r="AK716">
        <v>600</v>
      </c>
      <c r="AL716">
        <v>0</v>
      </c>
      <c r="AM716">
        <v>0</v>
      </c>
      <c r="AN716">
        <v>0</v>
      </c>
      <c r="AO716">
        <v>0</v>
      </c>
      <c r="AP716"/>
      <c r="AQ716">
        <v>0</v>
      </c>
      <c r="AR716">
        <v>0</v>
      </c>
      <c r="AT716">
        <v>0</v>
      </c>
      <c r="AU716">
        <v>0</v>
      </c>
      <c r="AW716">
        <v>0</v>
      </c>
      <c r="AX716">
        <v>0</v>
      </c>
      <c r="AY716">
        <v>420</v>
      </c>
      <c r="BC716" t="str">
        <f>T("9791166069406")</f>
        <v>9791166069406</v>
      </c>
      <c r="BE716" t="str">
        <f>T("웹툰 &gt; 드라마")</f>
        <v>웹툰 &gt; 드라마</v>
      </c>
    </row>
    <row r="717" spans="1:58" x14ac:dyDescent="0.3">
      <c r="A717">
        <v>4421000450</v>
      </c>
      <c r="B717">
        <v>4421000487</v>
      </c>
      <c r="C717" t="str">
        <f>T("내 남편의 스토커 37화")</f>
        <v>내 남편의 스토커 37화</v>
      </c>
      <c r="D717" t="str">
        <f>T("37")</f>
        <v>37</v>
      </c>
      <c r="E717" t="str">
        <f>T("혜원")</f>
        <v>혜원</v>
      </c>
      <c r="G717" t="str">
        <f>T("혜원")</f>
        <v>혜원</v>
      </c>
      <c r="H717" t="str">
        <f t="shared" si="62"/>
        <v>스토리위즈</v>
      </c>
      <c r="I717" t="str">
        <f>T("내 남편의 스토커")</f>
        <v>내 남편의 스토커</v>
      </c>
      <c r="J717">
        <v>400</v>
      </c>
      <c r="K717">
        <v>0</v>
      </c>
      <c r="L717">
        <v>0</v>
      </c>
      <c r="M717">
        <v>0</v>
      </c>
      <c r="N717">
        <v>200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240</v>
      </c>
      <c r="AN717">
        <v>-24</v>
      </c>
      <c r="AO717">
        <v>0</v>
      </c>
      <c r="AP717"/>
      <c r="AQ717">
        <v>0</v>
      </c>
      <c r="AR717">
        <v>0</v>
      </c>
      <c r="AS717">
        <v>240</v>
      </c>
      <c r="AT717">
        <v>-24</v>
      </c>
      <c r="AU717">
        <v>0</v>
      </c>
      <c r="AW717">
        <v>0</v>
      </c>
      <c r="AX717">
        <v>0</v>
      </c>
      <c r="AY717">
        <v>151.19999999999999</v>
      </c>
      <c r="BA717" t="str">
        <f>T("0000000000000")</f>
        <v>0000000000000</v>
      </c>
      <c r="BC717" t="str">
        <f>T("9791166068034")</f>
        <v>9791166068034</v>
      </c>
      <c r="BE717" t="str">
        <f>T("웹툰 &gt; 로맨스")</f>
        <v>웹툰 &gt; 로맨스</v>
      </c>
    </row>
    <row r="718" spans="1:58" x14ac:dyDescent="0.3">
      <c r="A718">
        <v>4421000887</v>
      </c>
      <c r="B718">
        <v>4421000889</v>
      </c>
      <c r="C718" t="str">
        <f>T("폭군의 눈물 3화")</f>
        <v>폭군의 눈물 3화</v>
      </c>
      <c r="D718" t="str">
        <f>T("3")</f>
        <v>3</v>
      </c>
      <c r="E718" t="str">
        <f>T("Ice×FANFAN COMIC")</f>
        <v>Ice×FANFAN COMIC</v>
      </c>
      <c r="G718" t="str">
        <f>T("Ice×FANFAN COMIC")</f>
        <v>Ice×FANFAN COMIC</v>
      </c>
      <c r="H718" t="str">
        <f t="shared" si="62"/>
        <v>스토리위즈</v>
      </c>
      <c r="I718" t="str">
        <f>T("폭군의 눈물")</f>
        <v>폭군의 눈물</v>
      </c>
      <c r="J718">
        <v>400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7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/>
      <c r="AQ718">
        <v>0</v>
      </c>
      <c r="AR718">
        <v>0</v>
      </c>
      <c r="AT718">
        <v>0</v>
      </c>
      <c r="AU718">
        <v>0</v>
      </c>
      <c r="AW718">
        <v>0</v>
      </c>
      <c r="AX718">
        <v>0</v>
      </c>
      <c r="AY718">
        <v>0</v>
      </c>
      <c r="BA718" t="str">
        <f>T("0000000000000")</f>
        <v>0000000000000</v>
      </c>
      <c r="BC718" t="str">
        <f>T("9791137601291")</f>
        <v>9791137601291</v>
      </c>
      <c r="BE718" t="str">
        <f>T("웹툰 &gt; 해외 순정")</f>
        <v>웹툰 &gt; 해외 순정</v>
      </c>
      <c r="BF718" t="str">
        <f>T("웹툰 &gt; 로판")</f>
        <v>웹툰 &gt; 로판</v>
      </c>
    </row>
    <row r="719" spans="1:58" x14ac:dyDescent="0.3">
      <c r="A719">
        <v>4421000866</v>
      </c>
      <c r="B719">
        <v>4421001281</v>
      </c>
      <c r="C719" t="str">
        <f>T("최애에게 들켜버렸다 65화")</f>
        <v>최애에게 들켜버렸다 65화</v>
      </c>
      <c r="D719" t="str">
        <f>T("68")</f>
        <v>68</v>
      </c>
      <c r="E719" t="str">
        <f>T("Lv")</f>
        <v>Lv</v>
      </c>
      <c r="G719" t="str">
        <f>T("Lv")</f>
        <v>Lv</v>
      </c>
      <c r="H719" t="str">
        <f t="shared" si="62"/>
        <v>스토리위즈</v>
      </c>
      <c r="I719" t="str">
        <f>T("최애에게 들켜버렸다")</f>
        <v>최애에게 들켜버렸다</v>
      </c>
      <c r="J719">
        <v>400</v>
      </c>
      <c r="K719">
        <v>0</v>
      </c>
      <c r="L719">
        <v>0</v>
      </c>
      <c r="M719">
        <v>0</v>
      </c>
      <c r="N719">
        <v>200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240</v>
      </c>
      <c r="AN719">
        <v>-24</v>
      </c>
      <c r="AO719">
        <v>0</v>
      </c>
      <c r="AP719"/>
      <c r="AQ719">
        <v>0</v>
      </c>
      <c r="AR719">
        <v>0</v>
      </c>
      <c r="AS719">
        <v>240</v>
      </c>
      <c r="AT719">
        <v>-24</v>
      </c>
      <c r="AU719">
        <v>0</v>
      </c>
      <c r="AW719">
        <v>0</v>
      </c>
      <c r="AX719">
        <v>0</v>
      </c>
      <c r="AY719">
        <v>151.19999999999999</v>
      </c>
      <c r="BA719" t="str">
        <f>T("0000000000000")</f>
        <v>0000000000000</v>
      </c>
      <c r="BC719" t="str">
        <f>T("9791137601253")</f>
        <v>9791137601253</v>
      </c>
      <c r="BE719" t="str">
        <f>T("웹툰 &gt; 해외 순정")</f>
        <v>웹툰 &gt; 해외 순정</v>
      </c>
      <c r="BF719" t="str">
        <f>T("웹툰 &gt; 로맨스")</f>
        <v>웹툰 &gt; 로맨스</v>
      </c>
    </row>
    <row r="720" spans="1:58" x14ac:dyDescent="0.3">
      <c r="A720">
        <v>4421001634</v>
      </c>
      <c r="B720">
        <v>4421002521</v>
      </c>
      <c r="C720" t="str">
        <f>T("그남자의 사랑방식 72화")</f>
        <v>그남자의 사랑방식 72화</v>
      </c>
      <c r="D720" t="str">
        <f>T("72")</f>
        <v>72</v>
      </c>
      <c r="E720" t="str">
        <f>T("웹티")</f>
        <v>웹티</v>
      </c>
      <c r="H720" t="str">
        <f t="shared" si="62"/>
        <v>스토리위즈</v>
      </c>
      <c r="I720" t="str">
        <f>T("그남자의 사랑방식")</f>
        <v>그남자의 사랑방식</v>
      </c>
      <c r="J720">
        <v>500</v>
      </c>
      <c r="K720">
        <v>0</v>
      </c>
      <c r="L720">
        <v>0</v>
      </c>
      <c r="M720">
        <v>0</v>
      </c>
      <c r="N720">
        <v>200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200</v>
      </c>
      <c r="AH720">
        <v>1</v>
      </c>
      <c r="AI720">
        <v>0</v>
      </c>
      <c r="AJ720">
        <v>0</v>
      </c>
      <c r="AK720">
        <v>100</v>
      </c>
      <c r="AL720">
        <v>0</v>
      </c>
      <c r="AM720">
        <v>120</v>
      </c>
      <c r="AN720">
        <v>-12</v>
      </c>
      <c r="AO720">
        <v>0</v>
      </c>
      <c r="AP720"/>
      <c r="AQ720">
        <v>0</v>
      </c>
      <c r="AR720">
        <v>0</v>
      </c>
      <c r="AS720">
        <v>120</v>
      </c>
      <c r="AT720">
        <v>-12</v>
      </c>
      <c r="AU720">
        <v>0</v>
      </c>
      <c r="AW720">
        <v>0</v>
      </c>
      <c r="AX720">
        <v>0</v>
      </c>
      <c r="AY720">
        <v>145.6</v>
      </c>
      <c r="BC720" t="str">
        <f>T("9791190622004")</f>
        <v>9791190622004</v>
      </c>
      <c r="BE720" t="str">
        <f>T("BL 웹툰 &gt; 웹툰")</f>
        <v>BL 웹툰 &gt; 웹툰</v>
      </c>
    </row>
    <row r="721" spans="1:58" x14ac:dyDescent="0.3">
      <c r="A721">
        <v>4421001634</v>
      </c>
      <c r="B721">
        <v>4421001640</v>
      </c>
      <c r="C721" t="str">
        <f>T("그남자의 사랑방식 7화")</f>
        <v>그남자의 사랑방식 7화</v>
      </c>
      <c r="D721" t="str">
        <f>T("7")</f>
        <v>7</v>
      </c>
      <c r="E721" t="str">
        <f>T("웹티")</f>
        <v>웹티</v>
      </c>
      <c r="H721" t="str">
        <f t="shared" si="62"/>
        <v>스토리위즈</v>
      </c>
      <c r="I721" t="str">
        <f>T("그남자의 사랑방식")</f>
        <v>그남자의 사랑방식</v>
      </c>
      <c r="J721">
        <v>500</v>
      </c>
      <c r="K721">
        <v>0</v>
      </c>
      <c r="L721">
        <v>0</v>
      </c>
      <c r="M721">
        <v>0</v>
      </c>
      <c r="N721">
        <v>1200</v>
      </c>
      <c r="O721">
        <v>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1200</v>
      </c>
      <c r="AH721">
        <v>6</v>
      </c>
      <c r="AI721">
        <v>0</v>
      </c>
      <c r="AJ721">
        <v>0</v>
      </c>
      <c r="AK721">
        <v>1000</v>
      </c>
      <c r="AL721">
        <v>0</v>
      </c>
      <c r="AM721">
        <v>240</v>
      </c>
      <c r="AN721">
        <v>-24</v>
      </c>
      <c r="AO721">
        <v>0</v>
      </c>
      <c r="AP721"/>
      <c r="AQ721">
        <v>0</v>
      </c>
      <c r="AR721">
        <v>0</v>
      </c>
      <c r="AS721">
        <v>240</v>
      </c>
      <c r="AT721">
        <v>-24</v>
      </c>
      <c r="AU721">
        <v>0</v>
      </c>
      <c r="AW721">
        <v>0</v>
      </c>
      <c r="AX721">
        <v>0</v>
      </c>
      <c r="AY721">
        <v>851.2</v>
      </c>
      <c r="BC721" t="str">
        <f>T("9791190622004")</f>
        <v>9791190622004</v>
      </c>
      <c r="BE721" t="str">
        <f>T("BL 웹툰 &gt; 웹툰")</f>
        <v>BL 웹툰 &gt; 웹툰</v>
      </c>
    </row>
    <row r="722" spans="1:58" x14ac:dyDescent="0.3">
      <c r="A722">
        <v>4421000866</v>
      </c>
      <c r="B722">
        <v>4421001218</v>
      </c>
      <c r="C722" t="str">
        <f>T("최애에게 들켜버렸다 52화")</f>
        <v>최애에게 들켜버렸다 52화</v>
      </c>
      <c r="D722" t="str">
        <f>T("55")</f>
        <v>55</v>
      </c>
      <c r="E722" t="str">
        <f>T("Lv")</f>
        <v>Lv</v>
      </c>
      <c r="G722" t="str">
        <f>T("Lv")</f>
        <v>Lv</v>
      </c>
      <c r="H722" t="str">
        <f t="shared" si="62"/>
        <v>스토리위즈</v>
      </c>
      <c r="I722" t="str">
        <f>T("최애에게 들켜버렸다")</f>
        <v>최애에게 들켜버렸다</v>
      </c>
      <c r="J722">
        <v>400</v>
      </c>
      <c r="K722">
        <v>0</v>
      </c>
      <c r="L722">
        <v>0</v>
      </c>
      <c r="M722">
        <v>0</v>
      </c>
      <c r="N722">
        <v>400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2</v>
      </c>
      <c r="AI722">
        <v>0</v>
      </c>
      <c r="AJ722">
        <v>0</v>
      </c>
      <c r="AK722">
        <v>200</v>
      </c>
      <c r="AL722">
        <v>0</v>
      </c>
      <c r="AM722">
        <v>240</v>
      </c>
      <c r="AN722">
        <v>-24</v>
      </c>
      <c r="AO722">
        <v>0</v>
      </c>
      <c r="AP722"/>
      <c r="AQ722">
        <v>0</v>
      </c>
      <c r="AR722">
        <v>0</v>
      </c>
      <c r="AS722">
        <v>240</v>
      </c>
      <c r="AT722">
        <v>-24</v>
      </c>
      <c r="AU722">
        <v>0</v>
      </c>
      <c r="AW722">
        <v>0</v>
      </c>
      <c r="AX722">
        <v>0</v>
      </c>
      <c r="AY722">
        <v>291.2</v>
      </c>
      <c r="BA722" t="str">
        <f>T("0000000000000")</f>
        <v>0000000000000</v>
      </c>
      <c r="BC722" t="str">
        <f>T("9791137601253")</f>
        <v>9791137601253</v>
      </c>
      <c r="BE722" t="str">
        <f>T("웹툰 &gt; 해외 순정")</f>
        <v>웹툰 &gt; 해외 순정</v>
      </c>
      <c r="BF722" t="str">
        <f>T("웹툰 &gt; 로맨스")</f>
        <v>웹툰 &gt; 로맨스</v>
      </c>
    </row>
    <row r="723" spans="1:58" x14ac:dyDescent="0.3">
      <c r="A723">
        <v>4421001634</v>
      </c>
      <c r="B723">
        <v>4421002553</v>
      </c>
      <c r="C723" t="str">
        <f>T("그남자의 사랑방식 104화")</f>
        <v>그남자의 사랑방식 104화</v>
      </c>
      <c r="D723" t="str">
        <f>T("104")</f>
        <v>104</v>
      </c>
      <c r="E723" t="str">
        <f>T("웹티")</f>
        <v>웹티</v>
      </c>
      <c r="H723" t="str">
        <f t="shared" si="62"/>
        <v>스토리위즈</v>
      </c>
      <c r="I723" t="str">
        <f>T("그남자의 사랑방식")</f>
        <v>그남자의 사랑방식</v>
      </c>
      <c r="J723">
        <v>500</v>
      </c>
      <c r="K723">
        <v>0</v>
      </c>
      <c r="L723">
        <v>0</v>
      </c>
      <c r="M723">
        <v>0</v>
      </c>
      <c r="N723">
        <v>400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2</v>
      </c>
      <c r="AI723">
        <v>0</v>
      </c>
      <c r="AJ723">
        <v>0</v>
      </c>
      <c r="AK723">
        <v>200</v>
      </c>
      <c r="AL723">
        <v>0</v>
      </c>
      <c r="AM723">
        <v>240</v>
      </c>
      <c r="AN723">
        <v>-24</v>
      </c>
      <c r="AO723">
        <v>0</v>
      </c>
      <c r="AP723"/>
      <c r="AQ723">
        <v>0</v>
      </c>
      <c r="AR723">
        <v>0</v>
      </c>
      <c r="AS723">
        <v>240</v>
      </c>
      <c r="AT723">
        <v>-24</v>
      </c>
      <c r="AU723">
        <v>0</v>
      </c>
      <c r="AW723">
        <v>0</v>
      </c>
      <c r="AX723">
        <v>0</v>
      </c>
      <c r="AY723">
        <v>291.2</v>
      </c>
      <c r="BC723" t="str">
        <f>T("9791190622004")</f>
        <v>9791190622004</v>
      </c>
      <c r="BE723" t="str">
        <f>T("BL 웹툰 &gt; 웹툰")</f>
        <v>BL 웹툰 &gt; 웹툰</v>
      </c>
    </row>
    <row r="724" spans="1:58" x14ac:dyDescent="0.3">
      <c r="A724">
        <v>4421001340</v>
      </c>
      <c r="B724">
        <v>4421001372</v>
      </c>
      <c r="C724" t="str">
        <f>T("가출천사 육성계약 33화")</f>
        <v>가출천사 육성계약 33화</v>
      </c>
      <c r="D724" t="str">
        <f>T("33")</f>
        <v>33</v>
      </c>
      <c r="E724" t="str">
        <f>T("Bae.C, IIAKI, 박제후")</f>
        <v>Bae.C, IIAKI, 박제후</v>
      </c>
      <c r="G724" t="str">
        <f>T("Bae.C, 조우")</f>
        <v>Bae.C, 조우</v>
      </c>
      <c r="H724" t="str">
        <f t="shared" si="62"/>
        <v>스토리위즈</v>
      </c>
      <c r="I724" t="str">
        <f>T("가출천사 육성계약")</f>
        <v>가출천사 육성계약</v>
      </c>
      <c r="J724">
        <v>400</v>
      </c>
      <c r="K724">
        <v>0</v>
      </c>
      <c r="L724">
        <v>0</v>
      </c>
      <c r="M724">
        <v>0</v>
      </c>
      <c r="N724">
        <v>200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240</v>
      </c>
      <c r="AN724">
        <v>-24</v>
      </c>
      <c r="AO724">
        <v>0</v>
      </c>
      <c r="AP724"/>
      <c r="AQ724">
        <v>0</v>
      </c>
      <c r="AR724">
        <v>0</v>
      </c>
      <c r="AS724">
        <v>240</v>
      </c>
      <c r="AT724">
        <v>-24</v>
      </c>
      <c r="AU724">
        <v>0</v>
      </c>
      <c r="AW724">
        <v>0</v>
      </c>
      <c r="AX724">
        <v>0</v>
      </c>
      <c r="AY724">
        <v>151.19999999999999</v>
      </c>
      <c r="BA724" t="str">
        <f>T("0000000000000")</f>
        <v>0000000000000</v>
      </c>
      <c r="BC724" t="str">
        <f>T("9791191765663")</f>
        <v>9791191765663</v>
      </c>
      <c r="BE724" t="str">
        <f>T("웹툰 &gt; 판타지/SF")</f>
        <v>웹툰 &gt; 판타지/SF</v>
      </c>
    </row>
    <row r="725" spans="1:58" x14ac:dyDescent="0.3">
      <c r="A725">
        <v>4421001634</v>
      </c>
      <c r="B725">
        <v>4421001672</v>
      </c>
      <c r="C725" t="str">
        <f>T("그남자의 사랑방식 39화")</f>
        <v>그남자의 사랑방식 39화</v>
      </c>
      <c r="D725" t="str">
        <f>T("39")</f>
        <v>39</v>
      </c>
      <c r="E725" t="str">
        <f>T("웹티")</f>
        <v>웹티</v>
      </c>
      <c r="H725" t="str">
        <f t="shared" si="62"/>
        <v>스토리위즈</v>
      </c>
      <c r="I725" t="str">
        <f>T("그남자의 사랑방식")</f>
        <v>그남자의 사랑방식</v>
      </c>
      <c r="J725">
        <v>500</v>
      </c>
      <c r="K725">
        <v>0</v>
      </c>
      <c r="L725">
        <v>0</v>
      </c>
      <c r="M725">
        <v>0</v>
      </c>
      <c r="N725">
        <v>600</v>
      </c>
      <c r="O725">
        <v>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600</v>
      </c>
      <c r="AH725">
        <v>3</v>
      </c>
      <c r="AI725">
        <v>0</v>
      </c>
      <c r="AJ725">
        <v>0</v>
      </c>
      <c r="AK725">
        <v>200</v>
      </c>
      <c r="AL725">
        <v>0</v>
      </c>
      <c r="AM725">
        <v>480</v>
      </c>
      <c r="AN725">
        <v>-48</v>
      </c>
      <c r="AO725">
        <v>0</v>
      </c>
      <c r="AP725"/>
      <c r="AQ725">
        <v>0</v>
      </c>
      <c r="AR725">
        <v>0</v>
      </c>
      <c r="AS725">
        <v>480</v>
      </c>
      <c r="AT725">
        <v>-48</v>
      </c>
      <c r="AU725">
        <v>0</v>
      </c>
      <c r="AW725">
        <v>0</v>
      </c>
      <c r="AX725">
        <v>0</v>
      </c>
      <c r="AY725">
        <v>442.4</v>
      </c>
      <c r="BC725" t="str">
        <f>T("9791190622004")</f>
        <v>9791190622004</v>
      </c>
      <c r="BE725" t="str">
        <f>T("BL 웹툰 &gt; 웹툰")</f>
        <v>BL 웹툰 &gt; 웹툰</v>
      </c>
    </row>
    <row r="726" spans="1:58" x14ac:dyDescent="0.3">
      <c r="A726">
        <v>4421003015</v>
      </c>
      <c r="B726">
        <v>4421003030</v>
      </c>
      <c r="C726" t="str">
        <f>T("일월성신 15화")</f>
        <v>일월성신 15화</v>
      </c>
      <c r="D726" t="str">
        <f>T("15")</f>
        <v>15</v>
      </c>
      <c r="E726" t="str">
        <f>T("김숙지")</f>
        <v>김숙지</v>
      </c>
      <c r="G726" t="str">
        <f>T("이름표")</f>
        <v>이름표</v>
      </c>
      <c r="H726" t="str">
        <f t="shared" si="62"/>
        <v>스토리위즈</v>
      </c>
      <c r="I726" t="str">
        <f>T("일월성신")</f>
        <v>일월성신</v>
      </c>
      <c r="J726">
        <v>400</v>
      </c>
      <c r="K726">
        <v>0</v>
      </c>
      <c r="L726">
        <v>0</v>
      </c>
      <c r="M726">
        <v>0</v>
      </c>
      <c r="N726">
        <v>600</v>
      </c>
      <c r="O726">
        <v>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600</v>
      </c>
      <c r="AH726">
        <v>3</v>
      </c>
      <c r="AI726">
        <v>0</v>
      </c>
      <c r="AJ726">
        <v>0</v>
      </c>
      <c r="AK726">
        <v>200</v>
      </c>
      <c r="AL726">
        <v>0</v>
      </c>
      <c r="AM726">
        <v>480</v>
      </c>
      <c r="AN726">
        <v>-96</v>
      </c>
      <c r="AO726">
        <v>0</v>
      </c>
      <c r="AP726">
        <v>240</v>
      </c>
      <c r="AQ726">
        <v>-72</v>
      </c>
      <c r="AR726">
        <v>0</v>
      </c>
      <c r="AS726">
        <v>240</v>
      </c>
      <c r="AT726">
        <v>-24</v>
      </c>
      <c r="AU726">
        <v>0</v>
      </c>
      <c r="AW726">
        <v>0</v>
      </c>
      <c r="AX726">
        <v>0</v>
      </c>
      <c r="AY726">
        <v>408.8</v>
      </c>
      <c r="BA726" t="str">
        <f>T("0000000000000")</f>
        <v>0000000000000</v>
      </c>
      <c r="BC726" t="str">
        <f>T("9791137604605")</f>
        <v>9791137604605</v>
      </c>
      <c r="BE726" t="str">
        <f>T("웹툰 &gt; 드라마")</f>
        <v>웹툰 &gt; 드라마</v>
      </c>
    </row>
    <row r="727" spans="1:58" x14ac:dyDescent="0.3">
      <c r="A727">
        <v>4421001936</v>
      </c>
      <c r="B727">
        <v>4421001938</v>
      </c>
      <c r="C727" t="str">
        <f>T("보스 오빠, 살살! 3화")</f>
        <v>보스 오빠, 살살! 3화</v>
      </c>
      <c r="D727" t="str">
        <f>T("3")</f>
        <v>3</v>
      </c>
      <c r="E727" t="str">
        <f>T("웹티")</f>
        <v>웹티</v>
      </c>
      <c r="H727" t="str">
        <f t="shared" si="62"/>
        <v>스토리위즈</v>
      </c>
      <c r="I727" t="str">
        <f>T("보스 오빠, 살살!")</f>
        <v>보스 오빠, 살살!</v>
      </c>
      <c r="J727">
        <v>0</v>
      </c>
      <c r="K727">
        <v>0</v>
      </c>
      <c r="L727">
        <v>0</v>
      </c>
      <c r="M727">
        <v>15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/>
      <c r="AQ727">
        <v>0</v>
      </c>
      <c r="AR727">
        <v>0</v>
      </c>
      <c r="AT727">
        <v>0</v>
      </c>
      <c r="AU727">
        <v>0</v>
      </c>
      <c r="AW727">
        <v>0</v>
      </c>
      <c r="AX727">
        <v>0</v>
      </c>
      <c r="AY727">
        <v>0</v>
      </c>
      <c r="BC727" t="str">
        <f>T("9791190702331")</f>
        <v>9791190702331</v>
      </c>
      <c r="BE727" t="str">
        <f>T("웹툰 &gt; 로맨스")</f>
        <v>웹툰 &gt; 로맨스</v>
      </c>
    </row>
    <row r="728" spans="1:58" x14ac:dyDescent="0.3">
      <c r="A728">
        <v>4421003015</v>
      </c>
      <c r="B728">
        <v>4421003018</v>
      </c>
      <c r="C728" t="str">
        <f>T("일월성신 3화")</f>
        <v>일월성신 3화</v>
      </c>
      <c r="D728" t="str">
        <f>T("3")</f>
        <v>3</v>
      </c>
      <c r="E728" t="str">
        <f>T("김숙지")</f>
        <v>김숙지</v>
      </c>
      <c r="G728" t="str">
        <f>T("이름표")</f>
        <v>이름표</v>
      </c>
      <c r="H728" t="str">
        <f t="shared" si="62"/>
        <v>스토리위즈</v>
      </c>
      <c r="I728" t="str">
        <f>T("일월성신")</f>
        <v>일월성신</v>
      </c>
      <c r="J728">
        <v>400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35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/>
      <c r="AQ728">
        <v>0</v>
      </c>
      <c r="AR728">
        <v>0</v>
      </c>
      <c r="AT728">
        <v>0</v>
      </c>
      <c r="AU728">
        <v>0</v>
      </c>
      <c r="AW728">
        <v>0</v>
      </c>
      <c r="AX728">
        <v>0</v>
      </c>
      <c r="AY728">
        <v>0</v>
      </c>
      <c r="BA728" t="str">
        <f>T("0000000000000")</f>
        <v>0000000000000</v>
      </c>
      <c r="BC728" t="str">
        <f>T("9791137604605")</f>
        <v>9791137604605</v>
      </c>
      <c r="BE728" t="str">
        <f>T("웹툰 &gt; 드라마")</f>
        <v>웹툰 &gt; 드라마</v>
      </c>
    </row>
    <row r="729" spans="1:58" x14ac:dyDescent="0.3">
      <c r="A729">
        <v>4421001634</v>
      </c>
      <c r="B729">
        <v>4421001678</v>
      </c>
      <c r="C729" t="str">
        <f>T("그남자의 사랑방식 45화")</f>
        <v>그남자의 사랑방식 45화</v>
      </c>
      <c r="D729" t="str">
        <f>T("45")</f>
        <v>45</v>
      </c>
      <c r="E729" t="str">
        <f>T("웹티")</f>
        <v>웹티</v>
      </c>
      <c r="H729" t="str">
        <f t="shared" si="62"/>
        <v>스토리위즈</v>
      </c>
      <c r="I729" t="str">
        <f>T("그남자의 사랑방식")</f>
        <v>그남자의 사랑방식</v>
      </c>
      <c r="J729">
        <v>500</v>
      </c>
      <c r="K729">
        <v>0</v>
      </c>
      <c r="L729">
        <v>0</v>
      </c>
      <c r="M729">
        <v>0</v>
      </c>
      <c r="N729">
        <v>800</v>
      </c>
      <c r="O729">
        <v>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800</v>
      </c>
      <c r="AH729">
        <v>4</v>
      </c>
      <c r="AI729">
        <v>0</v>
      </c>
      <c r="AJ729">
        <v>0</v>
      </c>
      <c r="AK729">
        <v>400</v>
      </c>
      <c r="AL729">
        <v>0</v>
      </c>
      <c r="AM729">
        <v>480</v>
      </c>
      <c r="AN729">
        <v>-48</v>
      </c>
      <c r="AO729">
        <v>0</v>
      </c>
      <c r="AP729"/>
      <c r="AQ729">
        <v>0</v>
      </c>
      <c r="AR729">
        <v>0</v>
      </c>
      <c r="AS729">
        <v>480</v>
      </c>
      <c r="AT729">
        <v>-48</v>
      </c>
      <c r="AU729">
        <v>0</v>
      </c>
      <c r="AW729">
        <v>0</v>
      </c>
      <c r="AX729">
        <v>0</v>
      </c>
      <c r="AY729">
        <v>582.4</v>
      </c>
      <c r="BC729" t="str">
        <f>T("9791190622004")</f>
        <v>9791190622004</v>
      </c>
      <c r="BE729" t="str">
        <f>T("BL 웹툰 &gt; 웹툰")</f>
        <v>BL 웹툰 &gt; 웹툰</v>
      </c>
    </row>
    <row r="730" spans="1:58" x14ac:dyDescent="0.3">
      <c r="A730">
        <v>4421000866</v>
      </c>
      <c r="B730">
        <v>4421001477</v>
      </c>
      <c r="C730" t="str">
        <f>T("최애에게 들켜버렸다 73화")</f>
        <v>최애에게 들켜버렸다 73화</v>
      </c>
      <c r="D730" t="str">
        <f>T("76")</f>
        <v>76</v>
      </c>
      <c r="E730" t="str">
        <f>T("Lv")</f>
        <v>Lv</v>
      </c>
      <c r="G730" t="str">
        <f>T("Lv")</f>
        <v>Lv</v>
      </c>
      <c r="H730" t="str">
        <f t="shared" si="62"/>
        <v>스토리위즈</v>
      </c>
      <c r="I730" t="str">
        <f>T("최애에게 들켜버렸다")</f>
        <v>최애에게 들켜버렸다</v>
      </c>
      <c r="J730">
        <v>400</v>
      </c>
      <c r="K730">
        <v>0</v>
      </c>
      <c r="L730">
        <v>0</v>
      </c>
      <c r="M730">
        <v>0</v>
      </c>
      <c r="N730">
        <v>200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200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240</v>
      </c>
      <c r="AN730">
        <v>-24</v>
      </c>
      <c r="AO730">
        <v>0</v>
      </c>
      <c r="AP730"/>
      <c r="AQ730">
        <v>0</v>
      </c>
      <c r="AR730">
        <v>0</v>
      </c>
      <c r="AS730">
        <v>240</v>
      </c>
      <c r="AT730">
        <v>-24</v>
      </c>
      <c r="AU730">
        <v>0</v>
      </c>
      <c r="AW730">
        <v>0</v>
      </c>
      <c r="AX730">
        <v>0</v>
      </c>
      <c r="AY730">
        <v>151.19999999999999</v>
      </c>
      <c r="BA730" t="str">
        <f>T("0000000000000")</f>
        <v>0000000000000</v>
      </c>
      <c r="BC730" t="str">
        <f>T("9791137601253")</f>
        <v>9791137601253</v>
      </c>
      <c r="BE730" t="str">
        <f>T("웹툰 &gt; 해외 순정")</f>
        <v>웹툰 &gt; 해외 순정</v>
      </c>
      <c r="BF730" t="str">
        <f>T("웹툰 &gt; 로맨스")</f>
        <v>웹툰 &gt; 로맨스</v>
      </c>
    </row>
    <row r="731" spans="1:58" x14ac:dyDescent="0.3">
      <c r="A731">
        <v>4421002022</v>
      </c>
      <c r="B731">
        <v>4421002055</v>
      </c>
      <c r="C731" t="str">
        <f>T("대표님과 연애를 시작했습니다 34화")</f>
        <v>대표님과 연애를 시작했습니다 34화</v>
      </c>
      <c r="D731" t="str">
        <f>T("34")</f>
        <v>34</v>
      </c>
      <c r="E731" t="str">
        <f>T("웹티")</f>
        <v>웹티</v>
      </c>
      <c r="H731" t="str">
        <f t="shared" si="62"/>
        <v>스토리위즈</v>
      </c>
      <c r="I731" t="str">
        <f>T("대표님과 연애를 시작했습니다")</f>
        <v>대표님과 연애를 시작했습니다</v>
      </c>
      <c r="J731">
        <v>500</v>
      </c>
      <c r="K731">
        <v>0</v>
      </c>
      <c r="L731">
        <v>0</v>
      </c>
      <c r="M731">
        <v>0</v>
      </c>
      <c r="N731">
        <v>200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200</v>
      </c>
      <c r="AH731">
        <v>1</v>
      </c>
      <c r="AI731">
        <v>0</v>
      </c>
      <c r="AJ731">
        <v>0</v>
      </c>
      <c r="AK731">
        <v>200</v>
      </c>
      <c r="AL731">
        <v>0</v>
      </c>
      <c r="AM731">
        <v>0</v>
      </c>
      <c r="AN731">
        <v>0</v>
      </c>
      <c r="AO731">
        <v>0</v>
      </c>
      <c r="AP731"/>
      <c r="AQ731">
        <v>0</v>
      </c>
      <c r="AR731">
        <v>0</v>
      </c>
      <c r="AT731">
        <v>0</v>
      </c>
      <c r="AU731">
        <v>0</v>
      </c>
      <c r="AW731">
        <v>0</v>
      </c>
      <c r="AX731">
        <v>0</v>
      </c>
      <c r="AY731">
        <v>140</v>
      </c>
      <c r="BA731" t="str">
        <f>T("0000000000000")</f>
        <v>0000000000000</v>
      </c>
      <c r="BC731" t="str">
        <f>T("9791196660482")</f>
        <v>9791196660482</v>
      </c>
      <c r="BE731" t="str">
        <f>T("BL 웹툰 &gt; 웹툰")</f>
        <v>BL 웹툰 &gt; 웹툰</v>
      </c>
    </row>
    <row r="732" spans="1:58" x14ac:dyDescent="0.3">
      <c r="A732">
        <v>4421000450</v>
      </c>
      <c r="B732">
        <v>4421000509</v>
      </c>
      <c r="C732" t="str">
        <f>T("내 남편의 스토커 59화")</f>
        <v>내 남편의 스토커 59화</v>
      </c>
      <c r="D732" t="str">
        <f>T("59")</f>
        <v>59</v>
      </c>
      <c r="E732" t="str">
        <f>T("혜원")</f>
        <v>혜원</v>
      </c>
      <c r="G732" t="str">
        <f>T("혜원")</f>
        <v>혜원</v>
      </c>
      <c r="H732" t="str">
        <f t="shared" si="62"/>
        <v>스토리위즈</v>
      </c>
      <c r="I732" t="str">
        <f>T("내 남편의 스토커")</f>
        <v>내 남편의 스토커</v>
      </c>
      <c r="J732">
        <v>400</v>
      </c>
      <c r="K732">
        <v>0</v>
      </c>
      <c r="L732">
        <v>0</v>
      </c>
      <c r="M732">
        <v>0</v>
      </c>
      <c r="N732">
        <v>200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240</v>
      </c>
      <c r="AN732">
        <v>-24</v>
      </c>
      <c r="AO732">
        <v>0</v>
      </c>
      <c r="AP732"/>
      <c r="AQ732">
        <v>0</v>
      </c>
      <c r="AR732">
        <v>0</v>
      </c>
      <c r="AS732">
        <v>240</v>
      </c>
      <c r="AT732">
        <v>-24</v>
      </c>
      <c r="AU732">
        <v>0</v>
      </c>
      <c r="AW732">
        <v>0</v>
      </c>
      <c r="AX732">
        <v>0</v>
      </c>
      <c r="AY732">
        <v>151.19999999999999</v>
      </c>
      <c r="BA732" t="str">
        <f>T("0000000000000")</f>
        <v>0000000000000</v>
      </c>
      <c r="BC732" t="str">
        <f>T("9791166068034")</f>
        <v>9791166068034</v>
      </c>
      <c r="BE732" t="str">
        <f>T("웹툰 &gt; 로맨스")</f>
        <v>웹툰 &gt; 로맨스</v>
      </c>
    </row>
    <row r="733" spans="1:58" x14ac:dyDescent="0.3">
      <c r="A733">
        <v>4421000001</v>
      </c>
      <c r="B733">
        <v>4421000027</v>
      </c>
      <c r="C733" t="str">
        <f>T("감옥실험 17화")</f>
        <v>감옥실험 17화</v>
      </c>
      <c r="D733" t="str">
        <f>T("17")</f>
        <v>17</v>
      </c>
      <c r="E733" t="str">
        <f>T("Kantetsu")</f>
        <v>Kantetsu</v>
      </c>
      <c r="G733" t="str">
        <f>T("Minase Chiho")</f>
        <v>Minase Chiho</v>
      </c>
      <c r="H733" t="str">
        <f t="shared" si="62"/>
        <v>스토리위즈</v>
      </c>
      <c r="I733" t="str">
        <f>T("감옥실험")</f>
        <v>감옥실험</v>
      </c>
      <c r="J733">
        <v>500</v>
      </c>
      <c r="K733">
        <v>0</v>
      </c>
      <c r="L733">
        <v>0</v>
      </c>
      <c r="M733">
        <v>0</v>
      </c>
      <c r="N733">
        <v>1500</v>
      </c>
      <c r="O733">
        <v>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1500</v>
      </c>
      <c r="AH733">
        <v>5</v>
      </c>
      <c r="AI733">
        <v>0</v>
      </c>
      <c r="AJ733">
        <v>0</v>
      </c>
      <c r="AK733">
        <v>600</v>
      </c>
      <c r="AL733">
        <v>0</v>
      </c>
      <c r="AM733">
        <v>1080</v>
      </c>
      <c r="AN733">
        <v>-180</v>
      </c>
      <c r="AO733">
        <v>0</v>
      </c>
      <c r="AP733">
        <v>360</v>
      </c>
      <c r="AQ733">
        <v>-108</v>
      </c>
      <c r="AR733">
        <v>0</v>
      </c>
      <c r="AS733">
        <v>720</v>
      </c>
      <c r="AT733">
        <v>-72</v>
      </c>
      <c r="AU733">
        <v>0</v>
      </c>
      <c r="AW733">
        <v>0</v>
      </c>
      <c r="AX733">
        <v>0</v>
      </c>
      <c r="AY733">
        <v>1050</v>
      </c>
      <c r="BC733" t="str">
        <f>T("9791166069406")</f>
        <v>9791166069406</v>
      </c>
      <c r="BE733" t="str">
        <f>T("웹툰 &gt; 드라마")</f>
        <v>웹툰 &gt; 드라마</v>
      </c>
    </row>
    <row r="734" spans="1:58" x14ac:dyDescent="0.3">
      <c r="A734">
        <v>4421000887</v>
      </c>
      <c r="B734">
        <v>4421000984</v>
      </c>
      <c r="C734" t="str">
        <f>T("폭군의 눈물 32화")</f>
        <v>폭군의 눈물 32화</v>
      </c>
      <c r="D734" t="str">
        <f>T("32")</f>
        <v>32</v>
      </c>
      <c r="E734" t="str">
        <f>T("Ice×FANFAN COMIC")</f>
        <v>Ice×FANFAN COMIC</v>
      </c>
      <c r="G734" t="str">
        <f>T("Ice×FANFAN COMIC")</f>
        <v>Ice×FANFAN COMIC</v>
      </c>
      <c r="H734" t="str">
        <f t="shared" si="62"/>
        <v>스토리위즈</v>
      </c>
      <c r="I734" t="str">
        <f>T("폭군의 눈물")</f>
        <v>폭군의 눈물</v>
      </c>
      <c r="J734">
        <v>400</v>
      </c>
      <c r="K734">
        <v>0</v>
      </c>
      <c r="L734">
        <v>0</v>
      </c>
      <c r="M734">
        <v>0</v>
      </c>
      <c r="N734">
        <v>400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2</v>
      </c>
      <c r="AI734">
        <v>0</v>
      </c>
      <c r="AJ734">
        <v>0</v>
      </c>
      <c r="AK734">
        <v>200</v>
      </c>
      <c r="AL734">
        <v>0</v>
      </c>
      <c r="AM734">
        <v>240</v>
      </c>
      <c r="AN734">
        <v>-24</v>
      </c>
      <c r="AO734">
        <v>0</v>
      </c>
      <c r="AP734"/>
      <c r="AQ734">
        <v>0</v>
      </c>
      <c r="AR734">
        <v>0</v>
      </c>
      <c r="AS734">
        <v>240</v>
      </c>
      <c r="AT734">
        <v>-24</v>
      </c>
      <c r="AU734">
        <v>0</v>
      </c>
      <c r="AW734">
        <v>0</v>
      </c>
      <c r="AX734">
        <v>0</v>
      </c>
      <c r="AY734">
        <v>291.2</v>
      </c>
      <c r="BA734" t="str">
        <f>T("0000000000000")</f>
        <v>0000000000000</v>
      </c>
      <c r="BC734" t="str">
        <f>T("9791137601291")</f>
        <v>9791137601291</v>
      </c>
      <c r="BE734" t="str">
        <f>T("웹툰 &gt; 해외 순정")</f>
        <v>웹툰 &gt; 해외 순정</v>
      </c>
      <c r="BF734" t="str">
        <f>T("웹툰 &gt; 로판")</f>
        <v>웹툰 &gt; 로판</v>
      </c>
    </row>
    <row r="735" spans="1:58" x14ac:dyDescent="0.3">
      <c r="A735">
        <v>4421000450</v>
      </c>
      <c r="B735">
        <v>4421000476</v>
      </c>
      <c r="C735" t="str">
        <f>T("내 남편의 스토커 26화")</f>
        <v>내 남편의 스토커 26화</v>
      </c>
      <c r="D735" t="str">
        <f>T("26")</f>
        <v>26</v>
      </c>
      <c r="E735" t="str">
        <f>T("혜원")</f>
        <v>혜원</v>
      </c>
      <c r="G735" t="str">
        <f>T("혜원")</f>
        <v>혜원</v>
      </c>
      <c r="H735" t="str">
        <f t="shared" si="62"/>
        <v>스토리위즈</v>
      </c>
      <c r="I735" t="str">
        <f>T("내 남편의 스토커")</f>
        <v>내 남편의 스토커</v>
      </c>
      <c r="J735">
        <v>400</v>
      </c>
      <c r="K735">
        <v>0</v>
      </c>
      <c r="L735">
        <v>0</v>
      </c>
      <c r="M735">
        <v>0</v>
      </c>
      <c r="N735">
        <v>200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200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240</v>
      </c>
      <c r="AN735">
        <v>-24</v>
      </c>
      <c r="AO735">
        <v>0</v>
      </c>
      <c r="AP735"/>
      <c r="AQ735">
        <v>0</v>
      </c>
      <c r="AR735">
        <v>0</v>
      </c>
      <c r="AS735">
        <v>240</v>
      </c>
      <c r="AT735">
        <v>-24</v>
      </c>
      <c r="AU735">
        <v>0</v>
      </c>
      <c r="AW735">
        <v>0</v>
      </c>
      <c r="AX735">
        <v>0</v>
      </c>
      <c r="AY735">
        <v>151.19999999999999</v>
      </c>
      <c r="BA735" t="str">
        <f>T("0000000000000")</f>
        <v>0000000000000</v>
      </c>
      <c r="BC735" t="str">
        <f>T("9791166068034")</f>
        <v>9791166068034</v>
      </c>
      <c r="BE735" t="str">
        <f>T("웹툰 &gt; 로맨스")</f>
        <v>웹툰 &gt; 로맨스</v>
      </c>
    </row>
    <row r="736" spans="1:58" x14ac:dyDescent="0.3">
      <c r="A736">
        <v>4421000866</v>
      </c>
      <c r="B736">
        <v>4421000878</v>
      </c>
      <c r="C736" t="str">
        <f>T("최애에게 들켜버렸다 12화")</f>
        <v>최애에게 들켜버렸다 12화</v>
      </c>
      <c r="D736" t="str">
        <f>T("12")</f>
        <v>12</v>
      </c>
      <c r="E736" t="str">
        <f>T("Lv")</f>
        <v>Lv</v>
      </c>
      <c r="G736" t="str">
        <f>T("Lv")</f>
        <v>Lv</v>
      </c>
      <c r="H736" t="str">
        <f t="shared" si="62"/>
        <v>스토리위즈</v>
      </c>
      <c r="I736" t="str">
        <f>T("최애에게 들켜버렸다")</f>
        <v>최애에게 들켜버렸다</v>
      </c>
      <c r="J736">
        <v>400</v>
      </c>
      <c r="K736">
        <v>0</v>
      </c>
      <c r="L736">
        <v>0</v>
      </c>
      <c r="M736">
        <v>0</v>
      </c>
      <c r="N736">
        <v>600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600</v>
      </c>
      <c r="AH736">
        <v>3</v>
      </c>
      <c r="AI736">
        <v>0</v>
      </c>
      <c r="AJ736">
        <v>0</v>
      </c>
      <c r="AK736">
        <v>200</v>
      </c>
      <c r="AL736">
        <v>0</v>
      </c>
      <c r="AM736">
        <v>480</v>
      </c>
      <c r="AN736">
        <v>-96</v>
      </c>
      <c r="AO736">
        <v>0</v>
      </c>
      <c r="AP736"/>
      <c r="AQ736">
        <v>0</v>
      </c>
      <c r="AR736">
        <v>0</v>
      </c>
      <c r="AS736">
        <v>480</v>
      </c>
      <c r="AT736">
        <v>-96</v>
      </c>
      <c r="AU736">
        <v>0</v>
      </c>
      <c r="AW736">
        <v>0</v>
      </c>
      <c r="AX736">
        <v>0</v>
      </c>
      <c r="AY736">
        <v>408.8</v>
      </c>
      <c r="BA736" t="str">
        <f>T("0000000000000")</f>
        <v>0000000000000</v>
      </c>
      <c r="BC736" t="str">
        <f>T("9791137601253")</f>
        <v>9791137601253</v>
      </c>
      <c r="BE736" t="str">
        <f>T("웹툰 &gt; 해외 순정")</f>
        <v>웹툰 &gt; 해외 순정</v>
      </c>
      <c r="BF736" t="str">
        <f>T("웹툰 &gt; 로맨스")</f>
        <v>웹툰 &gt; 로맨스</v>
      </c>
    </row>
    <row r="737" spans="1:58" x14ac:dyDescent="0.3">
      <c r="A737">
        <v>4421000001</v>
      </c>
      <c r="B737">
        <v>4421000170</v>
      </c>
      <c r="C737" t="str">
        <f>T("감옥실험 49화")</f>
        <v>감옥실험 49화</v>
      </c>
      <c r="D737" t="str">
        <f>T("49")</f>
        <v>49</v>
      </c>
      <c r="E737" t="str">
        <f>T("Kantetsu")</f>
        <v>Kantetsu</v>
      </c>
      <c r="G737" t="str">
        <f>T("Minase Chiho")</f>
        <v>Minase Chiho</v>
      </c>
      <c r="H737" t="str">
        <f t="shared" si="62"/>
        <v>스토리위즈</v>
      </c>
      <c r="I737" t="str">
        <f>T("감옥실험")</f>
        <v>감옥실험</v>
      </c>
      <c r="J737">
        <v>500</v>
      </c>
      <c r="K737">
        <v>0</v>
      </c>
      <c r="L737">
        <v>0</v>
      </c>
      <c r="M737">
        <v>0</v>
      </c>
      <c r="N737">
        <v>900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900</v>
      </c>
      <c r="AH737">
        <v>3</v>
      </c>
      <c r="AI737">
        <v>0</v>
      </c>
      <c r="AJ737">
        <v>0</v>
      </c>
      <c r="AK737">
        <v>600</v>
      </c>
      <c r="AL737">
        <v>0</v>
      </c>
      <c r="AM737">
        <v>360</v>
      </c>
      <c r="AN737">
        <v>-108</v>
      </c>
      <c r="AO737">
        <v>0</v>
      </c>
      <c r="AP737"/>
      <c r="AQ737">
        <v>0</v>
      </c>
      <c r="AR737">
        <v>0</v>
      </c>
      <c r="AS737">
        <v>360</v>
      </c>
      <c r="AT737">
        <v>-108</v>
      </c>
      <c r="AU737">
        <v>0</v>
      </c>
      <c r="AW737">
        <v>0</v>
      </c>
      <c r="AX737">
        <v>0</v>
      </c>
      <c r="AY737">
        <v>596.4</v>
      </c>
      <c r="BC737" t="str">
        <f>T("9791166069406")</f>
        <v>9791166069406</v>
      </c>
      <c r="BE737" t="str">
        <f>T("웹툰 &gt; 드라마")</f>
        <v>웹툰 &gt; 드라마</v>
      </c>
    </row>
    <row r="738" spans="1:58" x14ac:dyDescent="0.3">
      <c r="A738">
        <v>4421001634</v>
      </c>
      <c r="B738">
        <v>4421002509</v>
      </c>
      <c r="C738" t="str">
        <f>T("그남자의 사랑방식 60화")</f>
        <v>그남자의 사랑방식 60화</v>
      </c>
      <c r="D738" t="str">
        <f>T("60")</f>
        <v>60</v>
      </c>
      <c r="E738" t="str">
        <f>T("웹티")</f>
        <v>웹티</v>
      </c>
      <c r="H738" t="str">
        <f t="shared" si="62"/>
        <v>스토리위즈</v>
      </c>
      <c r="I738" t="str">
        <f>T("그남자의 사랑방식")</f>
        <v>그남자의 사랑방식</v>
      </c>
      <c r="J738">
        <v>500</v>
      </c>
      <c r="K738">
        <v>0</v>
      </c>
      <c r="L738">
        <v>0</v>
      </c>
      <c r="M738">
        <v>0</v>
      </c>
      <c r="N738">
        <v>200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200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240</v>
      </c>
      <c r="AN738">
        <v>-24</v>
      </c>
      <c r="AO738">
        <v>0</v>
      </c>
      <c r="AP738"/>
      <c r="AQ738">
        <v>0</v>
      </c>
      <c r="AR738">
        <v>0</v>
      </c>
      <c r="AS738">
        <v>240</v>
      </c>
      <c r="AT738">
        <v>-24</v>
      </c>
      <c r="AU738">
        <v>0</v>
      </c>
      <c r="AW738">
        <v>0</v>
      </c>
      <c r="AX738">
        <v>0</v>
      </c>
      <c r="AY738">
        <v>151.19999999999999</v>
      </c>
      <c r="BC738" t="str">
        <f>T("9791190622004")</f>
        <v>9791190622004</v>
      </c>
      <c r="BE738" t="str">
        <f>T("BL 웹툰 &gt; 웹툰")</f>
        <v>BL 웹툰 &gt; 웹툰</v>
      </c>
    </row>
    <row r="739" spans="1:58" x14ac:dyDescent="0.3">
      <c r="A739">
        <v>4421001568</v>
      </c>
      <c r="B739">
        <v>4421001568</v>
      </c>
      <c r="C739" t="str">
        <f>T("구름의 연인 1화")</f>
        <v>구름의 연인 1화</v>
      </c>
      <c r="D739" t="str">
        <f>T("1")</f>
        <v>1</v>
      </c>
      <c r="E739" t="str">
        <f>T("웹티")</f>
        <v>웹티</v>
      </c>
      <c r="H739" t="str">
        <f t="shared" si="62"/>
        <v>스토리위즈</v>
      </c>
      <c r="I739" t="str">
        <f>T("구름의 연인")</f>
        <v>구름의 연인</v>
      </c>
      <c r="J739">
        <v>0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/>
      <c r="AQ739">
        <v>0</v>
      </c>
      <c r="AR739">
        <v>0</v>
      </c>
      <c r="AT739">
        <v>0</v>
      </c>
      <c r="AU739">
        <v>0</v>
      </c>
      <c r="AW739">
        <v>0</v>
      </c>
      <c r="AX739">
        <v>0</v>
      </c>
      <c r="AY739">
        <v>0</v>
      </c>
      <c r="BA739" t="str">
        <f>T("0000000000000")</f>
        <v>0000000000000</v>
      </c>
      <c r="BC739" t="str">
        <f>T("9791196402730")</f>
        <v>9791196402730</v>
      </c>
      <c r="BE739" t="str">
        <f>T("웹툰 &gt; 로맨스")</f>
        <v>웹툰 &gt; 로맨스</v>
      </c>
    </row>
    <row r="740" spans="1:58" x14ac:dyDescent="0.3">
      <c r="A740">
        <v>4421000866</v>
      </c>
      <c r="B740">
        <v>4421001202</v>
      </c>
      <c r="C740" t="str">
        <f>T("최애에게 들켜버렸다 50화")</f>
        <v>최애에게 들켜버렸다 50화</v>
      </c>
      <c r="D740" t="str">
        <f>T("53")</f>
        <v>53</v>
      </c>
      <c r="E740" t="str">
        <f>T("Lv")</f>
        <v>Lv</v>
      </c>
      <c r="G740" t="str">
        <f>T("Lv")</f>
        <v>Lv</v>
      </c>
      <c r="H740" t="str">
        <f t="shared" si="62"/>
        <v>스토리위즈</v>
      </c>
      <c r="I740" t="str">
        <f>T("최애에게 들켜버렸다")</f>
        <v>최애에게 들켜버렸다</v>
      </c>
      <c r="J740">
        <v>400</v>
      </c>
      <c r="K740">
        <v>0</v>
      </c>
      <c r="L740">
        <v>0</v>
      </c>
      <c r="M740">
        <v>0</v>
      </c>
      <c r="N740">
        <v>400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2</v>
      </c>
      <c r="AI740">
        <v>0</v>
      </c>
      <c r="AJ740">
        <v>0</v>
      </c>
      <c r="AK740">
        <v>200</v>
      </c>
      <c r="AL740">
        <v>0</v>
      </c>
      <c r="AM740">
        <v>240</v>
      </c>
      <c r="AN740">
        <v>-24</v>
      </c>
      <c r="AO740">
        <v>0</v>
      </c>
      <c r="AP740"/>
      <c r="AQ740">
        <v>0</v>
      </c>
      <c r="AR740">
        <v>0</v>
      </c>
      <c r="AS740">
        <v>240</v>
      </c>
      <c r="AT740">
        <v>-24</v>
      </c>
      <c r="AU740">
        <v>0</v>
      </c>
      <c r="AW740">
        <v>0</v>
      </c>
      <c r="AX740">
        <v>0</v>
      </c>
      <c r="AY740">
        <v>291.2</v>
      </c>
      <c r="BA740" t="str">
        <f>T("0000000000000")</f>
        <v>0000000000000</v>
      </c>
      <c r="BC740" t="str">
        <f>T("9791137601253")</f>
        <v>9791137601253</v>
      </c>
      <c r="BE740" t="str">
        <f>T("웹툰 &gt; 해외 순정")</f>
        <v>웹툰 &gt; 해외 순정</v>
      </c>
      <c r="BF740" t="str">
        <f>T("웹툰 &gt; 로맨스")</f>
        <v>웹툰 &gt; 로맨스</v>
      </c>
    </row>
    <row r="741" spans="1:58" x14ac:dyDescent="0.3">
      <c r="A741">
        <v>4421001340</v>
      </c>
      <c r="B741">
        <v>4421002970</v>
      </c>
      <c r="C741" t="str">
        <f>T("가출천사 육성계약 54화")</f>
        <v>가출천사 육성계약 54화</v>
      </c>
      <c r="D741" t="str">
        <f>T("54")</f>
        <v>54</v>
      </c>
      <c r="E741" t="str">
        <f>T("Bae.C, IIAKI, 박제후")</f>
        <v>Bae.C, IIAKI, 박제후</v>
      </c>
      <c r="G741" t="str">
        <f>T("Bae.C, 조우")</f>
        <v>Bae.C, 조우</v>
      </c>
      <c r="H741" t="str">
        <f t="shared" si="62"/>
        <v>스토리위즈</v>
      </c>
      <c r="I741" t="str">
        <f>T("가출천사 육성계약")</f>
        <v>가출천사 육성계약</v>
      </c>
      <c r="J741">
        <v>400</v>
      </c>
      <c r="K741">
        <v>0</v>
      </c>
      <c r="L741">
        <v>0</v>
      </c>
      <c r="M741">
        <v>0</v>
      </c>
      <c r="N741">
        <v>200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240</v>
      </c>
      <c r="AN741">
        <v>-24</v>
      </c>
      <c r="AO741">
        <v>0</v>
      </c>
      <c r="AP741"/>
      <c r="AQ741">
        <v>0</v>
      </c>
      <c r="AR741">
        <v>0</v>
      </c>
      <c r="AS741">
        <v>240</v>
      </c>
      <c r="AT741">
        <v>-24</v>
      </c>
      <c r="AU741">
        <v>0</v>
      </c>
      <c r="AW741">
        <v>0</v>
      </c>
      <c r="AX741">
        <v>0</v>
      </c>
      <c r="AY741">
        <v>151.19999999999999</v>
      </c>
      <c r="BA741" t="str">
        <f>T("0000000000000")</f>
        <v>0000000000000</v>
      </c>
      <c r="BC741" t="str">
        <f>T("9791191765663")</f>
        <v>9791191765663</v>
      </c>
      <c r="BE741" t="str">
        <f>T("웹툰 &gt; 판타지/SF")</f>
        <v>웹툰 &gt; 판타지/SF</v>
      </c>
    </row>
    <row r="742" spans="1:58" x14ac:dyDescent="0.3">
      <c r="A742">
        <v>4421001305</v>
      </c>
      <c r="B742">
        <v>4421001307</v>
      </c>
      <c r="C742" t="str">
        <f>T("악역이지만, 남주는 꼬시지 않아요 3화")</f>
        <v>악역이지만, 남주는 꼬시지 않아요 3화</v>
      </c>
      <c r="D742" t="str">
        <f>T("3")</f>
        <v>3</v>
      </c>
      <c r="E742" t="str">
        <f>T("마북명")</f>
        <v>마북명</v>
      </c>
      <c r="G742" t="str">
        <f>T("kuri")</f>
        <v>kuri</v>
      </c>
      <c r="H742" t="str">
        <f t="shared" si="62"/>
        <v>스토리위즈</v>
      </c>
      <c r="I742" t="str">
        <f>T("악역이지만, 남주는 꼬시지 않아요")</f>
        <v>악역이지만, 남주는 꼬시지 않아요</v>
      </c>
      <c r="J742">
        <v>400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38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/>
      <c r="AQ742">
        <v>0</v>
      </c>
      <c r="AR742">
        <v>0</v>
      </c>
      <c r="AT742">
        <v>0</v>
      </c>
      <c r="AU742">
        <v>0</v>
      </c>
      <c r="AW742">
        <v>0</v>
      </c>
      <c r="AX742">
        <v>0</v>
      </c>
      <c r="AY742">
        <v>0</v>
      </c>
      <c r="BA742" t="str">
        <f>T("0000000000000")</f>
        <v>0000000000000</v>
      </c>
      <c r="BC742" t="str">
        <f>T("9791137603882")</f>
        <v>9791137603882</v>
      </c>
      <c r="BE742" t="str">
        <f>T("웹툰 &gt; 해외 순정")</f>
        <v>웹툰 &gt; 해외 순정</v>
      </c>
      <c r="BF742" t="str">
        <f>T("웹툰 &gt; 로판")</f>
        <v>웹툰 &gt; 로판</v>
      </c>
    </row>
    <row r="743" spans="1:58" x14ac:dyDescent="0.3">
      <c r="A743">
        <v>4421003015</v>
      </c>
      <c r="B743">
        <v>4421003044</v>
      </c>
      <c r="C743" t="str">
        <f>T("일월성신 29화")</f>
        <v>일월성신 29화</v>
      </c>
      <c r="D743" t="str">
        <f>T("29")</f>
        <v>29</v>
      </c>
      <c r="E743" t="str">
        <f>T("김숙지")</f>
        <v>김숙지</v>
      </c>
      <c r="G743" t="str">
        <f>T("이름표")</f>
        <v>이름표</v>
      </c>
      <c r="H743" t="str">
        <f t="shared" si="62"/>
        <v>스토리위즈</v>
      </c>
      <c r="I743" t="str">
        <f>T("일월성신")</f>
        <v>일월성신</v>
      </c>
      <c r="J743">
        <v>400</v>
      </c>
      <c r="K743">
        <v>0</v>
      </c>
      <c r="L743">
        <v>0</v>
      </c>
      <c r="M743">
        <v>0</v>
      </c>
      <c r="N743">
        <v>600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600</v>
      </c>
      <c r="AH743">
        <v>3</v>
      </c>
      <c r="AI743">
        <v>0</v>
      </c>
      <c r="AJ743">
        <v>0</v>
      </c>
      <c r="AK743">
        <v>200</v>
      </c>
      <c r="AL743">
        <v>0</v>
      </c>
      <c r="AM743">
        <v>480</v>
      </c>
      <c r="AN743">
        <v>-96</v>
      </c>
      <c r="AO743">
        <v>0</v>
      </c>
      <c r="AP743">
        <v>240</v>
      </c>
      <c r="AQ743">
        <v>-72</v>
      </c>
      <c r="AR743">
        <v>0</v>
      </c>
      <c r="AS743">
        <v>240</v>
      </c>
      <c r="AT743">
        <v>-24</v>
      </c>
      <c r="AU743">
        <v>0</v>
      </c>
      <c r="AW743">
        <v>0</v>
      </c>
      <c r="AX743">
        <v>0</v>
      </c>
      <c r="AY743">
        <v>408.8</v>
      </c>
      <c r="BA743" t="str">
        <f>T("0000000000000")</f>
        <v>0000000000000</v>
      </c>
      <c r="BC743" t="str">
        <f>T("9791137604605")</f>
        <v>9791137604605</v>
      </c>
      <c r="BE743" t="str">
        <f>T("웹툰 &gt; 드라마")</f>
        <v>웹툰 &gt; 드라마</v>
      </c>
    </row>
    <row r="744" spans="1:58" x14ac:dyDescent="0.3">
      <c r="A744">
        <v>4421001634</v>
      </c>
      <c r="B744">
        <v>4421002542</v>
      </c>
      <c r="C744" t="str">
        <f>T("그남자의 사랑방식 93화")</f>
        <v>그남자의 사랑방식 93화</v>
      </c>
      <c r="D744" t="str">
        <f>T("93")</f>
        <v>93</v>
      </c>
      <c r="E744" t="str">
        <f>T("웹티")</f>
        <v>웹티</v>
      </c>
      <c r="H744" t="str">
        <f t="shared" si="62"/>
        <v>스토리위즈</v>
      </c>
      <c r="I744" t="str">
        <f>T("그남자의 사랑방식")</f>
        <v>그남자의 사랑방식</v>
      </c>
      <c r="J744">
        <v>500</v>
      </c>
      <c r="K744">
        <v>0</v>
      </c>
      <c r="L744">
        <v>0</v>
      </c>
      <c r="M744">
        <v>0</v>
      </c>
      <c r="N744">
        <v>200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240</v>
      </c>
      <c r="AN744">
        <v>-24</v>
      </c>
      <c r="AO744">
        <v>0</v>
      </c>
      <c r="AP744"/>
      <c r="AQ744">
        <v>0</v>
      </c>
      <c r="AR744">
        <v>0</v>
      </c>
      <c r="AS744">
        <v>240</v>
      </c>
      <c r="AT744">
        <v>-24</v>
      </c>
      <c r="AU744">
        <v>0</v>
      </c>
      <c r="AW744">
        <v>0</v>
      </c>
      <c r="AX744">
        <v>0</v>
      </c>
      <c r="AY744">
        <v>151.19999999999999</v>
      </c>
      <c r="BC744" t="str">
        <f>T("9791190622004")</f>
        <v>9791190622004</v>
      </c>
      <c r="BE744" t="str">
        <f>T("BL 웹툰 &gt; 웹툰")</f>
        <v>BL 웹툰 &gt; 웹툰</v>
      </c>
    </row>
    <row r="745" spans="1:58" x14ac:dyDescent="0.3">
      <c r="A745">
        <v>4421001340</v>
      </c>
      <c r="B745">
        <v>4421001361</v>
      </c>
      <c r="C745" t="str">
        <f>T("가출천사 육성계약 22화")</f>
        <v>가출천사 육성계약 22화</v>
      </c>
      <c r="D745" t="str">
        <f>T("22")</f>
        <v>22</v>
      </c>
      <c r="E745" t="str">
        <f>T("Bae.C, IIAKI, 박제후")</f>
        <v>Bae.C, IIAKI, 박제후</v>
      </c>
      <c r="G745" t="str">
        <f>T("Bae.C, 조우")</f>
        <v>Bae.C, 조우</v>
      </c>
      <c r="H745" t="str">
        <f t="shared" si="62"/>
        <v>스토리위즈</v>
      </c>
      <c r="I745" t="str">
        <f>T("가출천사 육성계약")</f>
        <v>가출천사 육성계약</v>
      </c>
      <c r="J745">
        <v>400</v>
      </c>
      <c r="K745">
        <v>0</v>
      </c>
      <c r="L745">
        <v>0</v>
      </c>
      <c r="M745">
        <v>0</v>
      </c>
      <c r="N745">
        <v>200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240</v>
      </c>
      <c r="AN745">
        <v>-24</v>
      </c>
      <c r="AO745">
        <v>0</v>
      </c>
      <c r="AP745"/>
      <c r="AQ745">
        <v>0</v>
      </c>
      <c r="AR745">
        <v>0</v>
      </c>
      <c r="AS745">
        <v>240</v>
      </c>
      <c r="AT745">
        <v>-24</v>
      </c>
      <c r="AU745">
        <v>0</v>
      </c>
      <c r="AW745">
        <v>0</v>
      </c>
      <c r="AX745">
        <v>0</v>
      </c>
      <c r="AY745">
        <v>151.19999999999999</v>
      </c>
      <c r="BA745" t="str">
        <f>T("0000000000000")</f>
        <v>0000000000000</v>
      </c>
      <c r="BC745" t="str">
        <f>T("9791191765663")</f>
        <v>9791191765663</v>
      </c>
      <c r="BE745" t="str">
        <f>T("웹툰 &gt; 판타지/SF")</f>
        <v>웹툰 &gt; 판타지/SF</v>
      </c>
    </row>
    <row r="746" spans="1:58" x14ac:dyDescent="0.3">
      <c r="A746">
        <v>4421001634</v>
      </c>
      <c r="B746">
        <v>4421001661</v>
      </c>
      <c r="C746" t="str">
        <f>T("그남자의 사랑방식 28화")</f>
        <v>그남자의 사랑방식 28화</v>
      </c>
      <c r="D746" t="str">
        <f>T("28")</f>
        <v>28</v>
      </c>
      <c r="E746" t="str">
        <f>T("웹티")</f>
        <v>웹티</v>
      </c>
      <c r="H746" t="str">
        <f t="shared" si="62"/>
        <v>스토리위즈</v>
      </c>
      <c r="I746" t="str">
        <f>T("그남자의 사랑방식")</f>
        <v>그남자의 사랑방식</v>
      </c>
      <c r="J746">
        <v>500</v>
      </c>
      <c r="K746">
        <v>0</v>
      </c>
      <c r="L746">
        <v>0</v>
      </c>
      <c r="M746">
        <v>0</v>
      </c>
      <c r="N746">
        <v>600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600</v>
      </c>
      <c r="AH746">
        <v>3</v>
      </c>
      <c r="AI746">
        <v>0</v>
      </c>
      <c r="AJ746">
        <v>0</v>
      </c>
      <c r="AK746">
        <v>200</v>
      </c>
      <c r="AL746">
        <v>0</v>
      </c>
      <c r="AM746">
        <v>480</v>
      </c>
      <c r="AN746">
        <v>-48</v>
      </c>
      <c r="AO746">
        <v>0</v>
      </c>
      <c r="AP746"/>
      <c r="AQ746">
        <v>0</v>
      </c>
      <c r="AR746">
        <v>0</v>
      </c>
      <c r="AS746">
        <v>480</v>
      </c>
      <c r="AT746">
        <v>-48</v>
      </c>
      <c r="AU746">
        <v>0</v>
      </c>
      <c r="AW746">
        <v>0</v>
      </c>
      <c r="AX746">
        <v>0</v>
      </c>
      <c r="AY746">
        <v>442.4</v>
      </c>
      <c r="BC746" t="str">
        <f>T("9791190622004")</f>
        <v>9791190622004</v>
      </c>
      <c r="BE746" t="str">
        <f>T("BL 웹툰 &gt; 웹툰")</f>
        <v>BL 웹툰 &gt; 웹툰</v>
      </c>
    </row>
    <row r="747" spans="1:58" x14ac:dyDescent="0.3">
      <c r="A747">
        <v>4421000866</v>
      </c>
      <c r="B747">
        <v>4421000915</v>
      </c>
      <c r="C747" t="str">
        <f>T("최애에게 들켜버렸다 24화")</f>
        <v>최애에게 들켜버렸다 24화</v>
      </c>
      <c r="D747" t="str">
        <f>T("25")</f>
        <v>25</v>
      </c>
      <c r="E747" t="str">
        <f>T("Lv")</f>
        <v>Lv</v>
      </c>
      <c r="G747" t="str">
        <f>T("Lv")</f>
        <v>Lv</v>
      </c>
      <c r="H747" t="str">
        <f t="shared" si="62"/>
        <v>스토리위즈</v>
      </c>
      <c r="I747" t="str">
        <f>T("최애에게 들켜버렸다")</f>
        <v>최애에게 들켜버렸다</v>
      </c>
      <c r="J747">
        <v>400</v>
      </c>
      <c r="K747">
        <v>0</v>
      </c>
      <c r="L747">
        <v>0</v>
      </c>
      <c r="M747">
        <v>0</v>
      </c>
      <c r="N747">
        <v>400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2</v>
      </c>
      <c r="AI747">
        <v>0</v>
      </c>
      <c r="AJ747">
        <v>0</v>
      </c>
      <c r="AK747">
        <v>0</v>
      </c>
      <c r="AL747">
        <v>0</v>
      </c>
      <c r="AM747">
        <v>480</v>
      </c>
      <c r="AN747">
        <v>-48</v>
      </c>
      <c r="AO747">
        <v>0</v>
      </c>
      <c r="AP747"/>
      <c r="AQ747">
        <v>0</v>
      </c>
      <c r="AR747">
        <v>0</v>
      </c>
      <c r="AS747">
        <v>480</v>
      </c>
      <c r="AT747">
        <v>-48</v>
      </c>
      <c r="AU747">
        <v>0</v>
      </c>
      <c r="AW747">
        <v>0</v>
      </c>
      <c r="AX747">
        <v>0</v>
      </c>
      <c r="AY747">
        <v>302.39999999999998</v>
      </c>
      <c r="BA747" t="str">
        <f>T("0000000000000")</f>
        <v>0000000000000</v>
      </c>
      <c r="BC747" t="str">
        <f>T("9791137601253")</f>
        <v>9791137601253</v>
      </c>
      <c r="BE747" t="str">
        <f>T("웹툰 &gt; 해외 순정")</f>
        <v>웹툰 &gt; 해외 순정</v>
      </c>
      <c r="BF747" t="str">
        <f>T("웹툰 &gt; 로맨스")</f>
        <v>웹툰 &gt; 로맨스</v>
      </c>
    </row>
    <row r="748" spans="1:58" x14ac:dyDescent="0.3">
      <c r="A748">
        <v>4421001634</v>
      </c>
      <c r="B748">
        <v>4421002531</v>
      </c>
      <c r="C748" t="str">
        <f>T("그남자의 사랑방식 82화")</f>
        <v>그남자의 사랑방식 82화</v>
      </c>
      <c r="D748" t="str">
        <f>T("82")</f>
        <v>82</v>
      </c>
      <c r="E748" t="str">
        <f>T("웹티")</f>
        <v>웹티</v>
      </c>
      <c r="H748" t="str">
        <f t="shared" si="62"/>
        <v>스토리위즈</v>
      </c>
      <c r="I748" t="str">
        <f>T("그남자의 사랑방식")</f>
        <v>그남자의 사랑방식</v>
      </c>
      <c r="J748">
        <v>500</v>
      </c>
      <c r="K748">
        <v>0</v>
      </c>
      <c r="L748">
        <v>0</v>
      </c>
      <c r="M748">
        <v>0</v>
      </c>
      <c r="N748">
        <v>200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240</v>
      </c>
      <c r="AN748">
        <v>-24</v>
      </c>
      <c r="AO748">
        <v>0</v>
      </c>
      <c r="AP748"/>
      <c r="AQ748">
        <v>0</v>
      </c>
      <c r="AR748">
        <v>0</v>
      </c>
      <c r="AS748">
        <v>240</v>
      </c>
      <c r="AT748">
        <v>-24</v>
      </c>
      <c r="AU748">
        <v>0</v>
      </c>
      <c r="AW748">
        <v>0</v>
      </c>
      <c r="AX748">
        <v>0</v>
      </c>
      <c r="AY748">
        <v>151.19999999999999</v>
      </c>
      <c r="BC748" t="str">
        <f>T("9791190622004")</f>
        <v>9791190622004</v>
      </c>
      <c r="BE748" t="str">
        <f>T("BL 웹툰 &gt; 웹툰")</f>
        <v>BL 웹툰 &gt; 웹툰</v>
      </c>
    </row>
    <row r="749" spans="1:58" x14ac:dyDescent="0.3">
      <c r="A749">
        <v>4421001634</v>
      </c>
      <c r="B749">
        <v>4421001650</v>
      </c>
      <c r="C749" t="str">
        <f>T("그남자의 사랑방식 17화")</f>
        <v>그남자의 사랑방식 17화</v>
      </c>
      <c r="D749" t="str">
        <f>T("17")</f>
        <v>17</v>
      </c>
      <c r="E749" t="str">
        <f>T("웹티")</f>
        <v>웹티</v>
      </c>
      <c r="H749" t="str">
        <f t="shared" si="62"/>
        <v>스토리위즈</v>
      </c>
      <c r="I749" t="str">
        <f>T("그남자의 사랑방식")</f>
        <v>그남자의 사랑방식</v>
      </c>
      <c r="J749">
        <v>500</v>
      </c>
      <c r="K749">
        <v>0</v>
      </c>
      <c r="L749">
        <v>0</v>
      </c>
      <c r="M749">
        <v>0</v>
      </c>
      <c r="N749">
        <v>1000</v>
      </c>
      <c r="O749">
        <v>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1000</v>
      </c>
      <c r="AH749">
        <v>5</v>
      </c>
      <c r="AI749">
        <v>0</v>
      </c>
      <c r="AJ749">
        <v>0</v>
      </c>
      <c r="AK749">
        <v>400</v>
      </c>
      <c r="AL749">
        <v>0</v>
      </c>
      <c r="AM749">
        <v>720</v>
      </c>
      <c r="AN749">
        <v>-72</v>
      </c>
      <c r="AO749">
        <v>0</v>
      </c>
      <c r="AP749"/>
      <c r="AQ749">
        <v>0</v>
      </c>
      <c r="AR749">
        <v>0</v>
      </c>
      <c r="AS749">
        <v>720</v>
      </c>
      <c r="AT749">
        <v>-72</v>
      </c>
      <c r="AU749">
        <v>0</v>
      </c>
      <c r="AW749">
        <v>0</v>
      </c>
      <c r="AX749">
        <v>0</v>
      </c>
      <c r="AY749">
        <v>733.6</v>
      </c>
      <c r="BC749" t="str">
        <f>T("9791190622004")</f>
        <v>9791190622004</v>
      </c>
      <c r="BE749" t="str">
        <f>T("BL 웹툰 &gt; 웹툰")</f>
        <v>BL 웹툰 &gt; 웹툰</v>
      </c>
    </row>
    <row r="750" spans="1:58" x14ac:dyDescent="0.3">
      <c r="A750">
        <v>4421000866</v>
      </c>
      <c r="B750">
        <v>4421001240</v>
      </c>
      <c r="C750" t="str">
        <f>T("최애에게 들켜버렸다 57화")</f>
        <v>최애에게 들켜버렸다 57화</v>
      </c>
      <c r="D750" t="str">
        <f>T("60")</f>
        <v>60</v>
      </c>
      <c r="E750" t="str">
        <f>T("Lv")</f>
        <v>Lv</v>
      </c>
      <c r="G750" t="str">
        <f>T("Lv")</f>
        <v>Lv</v>
      </c>
      <c r="H750" t="str">
        <f t="shared" si="62"/>
        <v>스토리위즈</v>
      </c>
      <c r="I750" t="str">
        <f>T("최애에게 들켜버렸다")</f>
        <v>최애에게 들켜버렸다</v>
      </c>
      <c r="J750">
        <v>400</v>
      </c>
      <c r="K750">
        <v>0</v>
      </c>
      <c r="L750">
        <v>0</v>
      </c>
      <c r="M750">
        <v>0</v>
      </c>
      <c r="N750">
        <v>200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200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240</v>
      </c>
      <c r="AN750">
        <v>-24</v>
      </c>
      <c r="AO750">
        <v>0</v>
      </c>
      <c r="AP750"/>
      <c r="AQ750">
        <v>0</v>
      </c>
      <c r="AR750">
        <v>0</v>
      </c>
      <c r="AS750">
        <v>240</v>
      </c>
      <c r="AT750">
        <v>-24</v>
      </c>
      <c r="AU750">
        <v>0</v>
      </c>
      <c r="AW750">
        <v>0</v>
      </c>
      <c r="AX750">
        <v>0</v>
      </c>
      <c r="AY750">
        <v>151.19999999999999</v>
      </c>
      <c r="BA750" t="str">
        <f>T("0000000000000")</f>
        <v>0000000000000</v>
      </c>
      <c r="BC750" t="str">
        <f>T("9791137601253")</f>
        <v>9791137601253</v>
      </c>
      <c r="BE750" t="str">
        <f>T("웹툰 &gt; 해외 순정")</f>
        <v>웹툰 &gt; 해외 순정</v>
      </c>
      <c r="BF750" t="str">
        <f>T("웹툰 &gt; 로맨스")</f>
        <v>웹툰 &gt; 로맨스</v>
      </c>
    </row>
    <row r="751" spans="1:58" x14ac:dyDescent="0.3">
      <c r="A751">
        <v>4421001325</v>
      </c>
      <c r="B751">
        <v>4421001328</v>
      </c>
      <c r="C751" t="str">
        <f>T("커피여우 김삼월 4화")</f>
        <v>커피여우 김삼월 4화</v>
      </c>
      <c r="D751" t="str">
        <f>T("4")</f>
        <v>4</v>
      </c>
      <c r="E751" t="str">
        <f>T("Nica")</f>
        <v>Nica</v>
      </c>
      <c r="G751" t="str">
        <f>T("A.Noa, RK Studio")</f>
        <v>A.Noa, RK Studio</v>
      </c>
      <c r="H751" t="str">
        <f t="shared" si="62"/>
        <v>스토리위즈</v>
      </c>
      <c r="I751" t="str">
        <f>T("커피여우 김삼월")</f>
        <v>커피여우 김삼월</v>
      </c>
      <c r="J751">
        <v>500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/>
      <c r="AQ751">
        <v>0</v>
      </c>
      <c r="AR751">
        <v>0</v>
      </c>
      <c r="AT751">
        <v>0</v>
      </c>
      <c r="AU751">
        <v>0</v>
      </c>
      <c r="AW751">
        <v>0</v>
      </c>
      <c r="AX751">
        <v>0</v>
      </c>
      <c r="AY751">
        <v>0</v>
      </c>
      <c r="BA751" t="str">
        <f>T("0000000000000")</f>
        <v>0000000000000</v>
      </c>
      <c r="BC751" t="str">
        <f>T("9791191241792")</f>
        <v>9791191241792</v>
      </c>
      <c r="BE751" t="str">
        <f>T("웹툰 &gt; 로맨스")</f>
        <v>웹툰 &gt; 로맨스</v>
      </c>
    </row>
    <row r="752" spans="1:58" x14ac:dyDescent="0.3">
      <c r="A752">
        <v>4421002022</v>
      </c>
      <c r="B752">
        <v>4421002044</v>
      </c>
      <c r="C752" t="str">
        <f>T("대표님과 연애를 시작했습니다 23화")</f>
        <v>대표님과 연애를 시작했습니다 23화</v>
      </c>
      <c r="D752" t="str">
        <f>T("23")</f>
        <v>23</v>
      </c>
      <c r="E752" t="str">
        <f>T("웹티")</f>
        <v>웹티</v>
      </c>
      <c r="H752" t="str">
        <f t="shared" si="62"/>
        <v>스토리위즈</v>
      </c>
      <c r="I752" t="str">
        <f>T("대표님과 연애를 시작했습니다")</f>
        <v>대표님과 연애를 시작했습니다</v>
      </c>
      <c r="J752">
        <v>500</v>
      </c>
      <c r="K752">
        <v>0</v>
      </c>
      <c r="L752">
        <v>0</v>
      </c>
      <c r="M752">
        <v>0</v>
      </c>
      <c r="N752">
        <v>200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200</v>
      </c>
      <c r="AH752">
        <v>1</v>
      </c>
      <c r="AI752">
        <v>0</v>
      </c>
      <c r="AJ752">
        <v>0</v>
      </c>
      <c r="AK752">
        <v>200</v>
      </c>
      <c r="AL752">
        <v>0</v>
      </c>
      <c r="AM752">
        <v>0</v>
      </c>
      <c r="AN752">
        <v>0</v>
      </c>
      <c r="AO752">
        <v>0</v>
      </c>
      <c r="AP752"/>
      <c r="AQ752">
        <v>0</v>
      </c>
      <c r="AR752">
        <v>0</v>
      </c>
      <c r="AT752">
        <v>0</v>
      </c>
      <c r="AU752">
        <v>0</v>
      </c>
      <c r="AW752">
        <v>0</v>
      </c>
      <c r="AX752">
        <v>0</v>
      </c>
      <c r="AY752">
        <v>140</v>
      </c>
      <c r="BA752" t="str">
        <f>T("0000000000000")</f>
        <v>0000000000000</v>
      </c>
      <c r="BC752" t="str">
        <f>T("9791196660482")</f>
        <v>9791196660482</v>
      </c>
      <c r="BE752" t="str">
        <f>T("BL 웹툰 &gt; 웹툰")</f>
        <v>BL 웹툰 &gt; 웹툰</v>
      </c>
    </row>
    <row r="753" spans="1:58" x14ac:dyDescent="0.3">
      <c r="A753">
        <v>4421002795</v>
      </c>
      <c r="B753">
        <v>4421002795</v>
      </c>
      <c r="C753" t="str">
        <f>T("심연의 눈 1화")</f>
        <v>심연의 눈 1화</v>
      </c>
      <c r="D753" t="str">
        <f>T("1")</f>
        <v>1</v>
      </c>
      <c r="E753" t="str">
        <f>T("M.C.K")</f>
        <v>M.C.K</v>
      </c>
      <c r="H753" t="str">
        <f t="shared" si="62"/>
        <v>스토리위즈</v>
      </c>
      <c r="I753" t="str">
        <f>T("심연의 눈")</f>
        <v>심연의 눈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/>
      <c r="AQ753">
        <v>0</v>
      </c>
      <c r="AR753">
        <v>0</v>
      </c>
      <c r="AT753">
        <v>0</v>
      </c>
      <c r="AU753">
        <v>0</v>
      </c>
      <c r="AW753">
        <v>0</v>
      </c>
      <c r="AX753">
        <v>0</v>
      </c>
      <c r="AY753">
        <v>0</v>
      </c>
      <c r="BA753" t="str">
        <f>T("0000000000000")</f>
        <v>0000000000000</v>
      </c>
      <c r="BC753" t="str">
        <f>T("9791190622226")</f>
        <v>9791190622226</v>
      </c>
      <c r="BE753" t="str">
        <f>T("웹툰 &gt; 판타지/SF")</f>
        <v>웹툰 &gt; 판타지/SF</v>
      </c>
    </row>
    <row r="754" spans="1:58" x14ac:dyDescent="0.3">
      <c r="A754">
        <v>4421000001</v>
      </c>
      <c r="B754">
        <v>4421000016</v>
      </c>
      <c r="C754" t="str">
        <f>T("감옥실험 6화")</f>
        <v>감옥실험 6화</v>
      </c>
      <c r="D754" t="str">
        <f>T("6")</f>
        <v>6</v>
      </c>
      <c r="E754" t="str">
        <f>T("Kantetsu")</f>
        <v>Kantetsu</v>
      </c>
      <c r="G754" t="str">
        <f>T("Minase Chiho")</f>
        <v>Minase Chiho</v>
      </c>
      <c r="H754" t="str">
        <f t="shared" si="62"/>
        <v>스토리위즈</v>
      </c>
      <c r="I754" t="str">
        <f>T("감옥실험")</f>
        <v>감옥실험</v>
      </c>
      <c r="J754">
        <v>500</v>
      </c>
      <c r="K754">
        <v>0</v>
      </c>
      <c r="L754">
        <v>0</v>
      </c>
      <c r="M754">
        <v>0</v>
      </c>
      <c r="N754">
        <v>3000</v>
      </c>
      <c r="O754">
        <v>10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3000</v>
      </c>
      <c r="AH754">
        <v>10</v>
      </c>
      <c r="AI754">
        <v>0</v>
      </c>
      <c r="AJ754">
        <v>0</v>
      </c>
      <c r="AK754">
        <v>2400</v>
      </c>
      <c r="AL754">
        <v>0</v>
      </c>
      <c r="AM754">
        <v>720</v>
      </c>
      <c r="AN754">
        <v>-216</v>
      </c>
      <c r="AO754">
        <v>0</v>
      </c>
      <c r="AP754">
        <v>360</v>
      </c>
      <c r="AQ754">
        <v>-108</v>
      </c>
      <c r="AR754">
        <v>0</v>
      </c>
      <c r="AS754">
        <v>360</v>
      </c>
      <c r="AT754">
        <v>-108</v>
      </c>
      <c r="AU754">
        <v>0</v>
      </c>
      <c r="AW754">
        <v>0</v>
      </c>
      <c r="AX754">
        <v>0</v>
      </c>
      <c r="AY754">
        <v>2032.8</v>
      </c>
      <c r="BC754" t="str">
        <f>T("9791166069406")</f>
        <v>9791166069406</v>
      </c>
      <c r="BE754" t="str">
        <f>T("웹툰 &gt; 드라마")</f>
        <v>웹툰 &gt; 드라마</v>
      </c>
    </row>
    <row r="755" spans="1:58" x14ac:dyDescent="0.3">
      <c r="A755">
        <v>4421000866</v>
      </c>
      <c r="B755">
        <v>4421000972</v>
      </c>
      <c r="C755" t="str">
        <f>T("최애에게 들켜버렸다 30화")</f>
        <v>최애에게 들켜버렸다 30화</v>
      </c>
      <c r="D755" t="str">
        <f>T("31")</f>
        <v>31</v>
      </c>
      <c r="E755" t="str">
        <f>T("Lv")</f>
        <v>Lv</v>
      </c>
      <c r="G755" t="str">
        <f>T("Lv")</f>
        <v>Lv</v>
      </c>
      <c r="H755" t="str">
        <f t="shared" si="62"/>
        <v>스토리위즈</v>
      </c>
      <c r="I755" t="str">
        <f>T("최애에게 들켜버렸다")</f>
        <v>최애에게 들켜버렸다</v>
      </c>
      <c r="J755">
        <v>400</v>
      </c>
      <c r="K755">
        <v>0</v>
      </c>
      <c r="L755">
        <v>0</v>
      </c>
      <c r="M755">
        <v>0</v>
      </c>
      <c r="N755">
        <v>400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2</v>
      </c>
      <c r="AI755">
        <v>0</v>
      </c>
      <c r="AJ755">
        <v>0</v>
      </c>
      <c r="AK755">
        <v>0</v>
      </c>
      <c r="AL755">
        <v>0</v>
      </c>
      <c r="AM755">
        <v>480</v>
      </c>
      <c r="AN755">
        <v>-48</v>
      </c>
      <c r="AO755">
        <v>0</v>
      </c>
      <c r="AP755"/>
      <c r="AQ755">
        <v>0</v>
      </c>
      <c r="AR755">
        <v>0</v>
      </c>
      <c r="AS755">
        <v>480</v>
      </c>
      <c r="AT755">
        <v>-48</v>
      </c>
      <c r="AU755">
        <v>0</v>
      </c>
      <c r="AW755">
        <v>0</v>
      </c>
      <c r="AX755">
        <v>0</v>
      </c>
      <c r="AY755">
        <v>302.39999999999998</v>
      </c>
      <c r="BA755" t="str">
        <f>T("0000000000000")</f>
        <v>0000000000000</v>
      </c>
      <c r="BC755" t="str">
        <f>T("9791137601253")</f>
        <v>9791137601253</v>
      </c>
      <c r="BE755" t="str">
        <f>T("웹툰 &gt; 해외 순정")</f>
        <v>웹툰 &gt; 해외 순정</v>
      </c>
      <c r="BF755" t="str">
        <f>T("웹툰 &gt; 로맨스")</f>
        <v>웹툰 &gt; 로맨스</v>
      </c>
    </row>
    <row r="756" spans="1:58" x14ac:dyDescent="0.3">
      <c r="A756">
        <v>4421000450</v>
      </c>
      <c r="B756">
        <v>4421000465</v>
      </c>
      <c r="C756" t="str">
        <f>T("내 남편의 스토커 15화")</f>
        <v>내 남편의 스토커 15화</v>
      </c>
      <c r="D756" t="str">
        <f>T("15")</f>
        <v>15</v>
      </c>
      <c r="E756" t="str">
        <f>T("혜원")</f>
        <v>혜원</v>
      </c>
      <c r="G756" t="str">
        <f>T("혜원")</f>
        <v>혜원</v>
      </c>
      <c r="H756" t="str">
        <f t="shared" si="62"/>
        <v>스토리위즈</v>
      </c>
      <c r="I756" t="str">
        <f>T("내 남편의 스토커")</f>
        <v>내 남편의 스토커</v>
      </c>
      <c r="J756">
        <v>400</v>
      </c>
      <c r="K756">
        <v>0</v>
      </c>
      <c r="L756">
        <v>0</v>
      </c>
      <c r="M756">
        <v>0</v>
      </c>
      <c r="N756">
        <v>200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240</v>
      </c>
      <c r="AN756">
        <v>-72</v>
      </c>
      <c r="AO756">
        <v>0</v>
      </c>
      <c r="AP756"/>
      <c r="AQ756">
        <v>0</v>
      </c>
      <c r="AR756">
        <v>0</v>
      </c>
      <c r="AS756">
        <v>240</v>
      </c>
      <c r="AT756">
        <v>-72</v>
      </c>
      <c r="AU756">
        <v>0</v>
      </c>
      <c r="AW756">
        <v>0</v>
      </c>
      <c r="AX756">
        <v>0</v>
      </c>
      <c r="AY756">
        <v>117.6</v>
      </c>
      <c r="BA756" t="str">
        <f>T("0000000000000")</f>
        <v>0000000000000</v>
      </c>
      <c r="BC756" t="str">
        <f>T("9791166068034")</f>
        <v>9791166068034</v>
      </c>
      <c r="BE756" t="str">
        <f>T("웹툰 &gt; 로맨스")</f>
        <v>웹툰 &gt; 로맨스</v>
      </c>
    </row>
    <row r="757" spans="1:58" x14ac:dyDescent="0.3">
      <c r="A757">
        <v>4421000866</v>
      </c>
      <c r="B757">
        <v>4421000867</v>
      </c>
      <c r="C757" t="str">
        <f>T("최애에게 들켜버렸다 1화")</f>
        <v>최애에게 들켜버렸다 1화</v>
      </c>
      <c r="D757" t="str">
        <f>T("1")</f>
        <v>1</v>
      </c>
      <c r="E757" t="str">
        <f>T("Lv")</f>
        <v>Lv</v>
      </c>
      <c r="G757" t="str">
        <f>T("Lv")</f>
        <v>Lv</v>
      </c>
      <c r="H757" t="str">
        <f t="shared" si="62"/>
        <v>스토리위즈</v>
      </c>
      <c r="I757" t="str">
        <f>T("최애에게 들켜버렸다")</f>
        <v>최애에게 들켜버렸다</v>
      </c>
      <c r="J757">
        <v>400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65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/>
      <c r="AQ757">
        <v>0</v>
      </c>
      <c r="AR757">
        <v>0</v>
      </c>
      <c r="AT757">
        <v>0</v>
      </c>
      <c r="AU757">
        <v>0</v>
      </c>
      <c r="AW757">
        <v>0</v>
      </c>
      <c r="AX757">
        <v>0</v>
      </c>
      <c r="AY757">
        <v>0</v>
      </c>
      <c r="BA757" t="str">
        <f>T("0000000000000")</f>
        <v>0000000000000</v>
      </c>
      <c r="BC757" t="str">
        <f>T("9791137601253")</f>
        <v>9791137601253</v>
      </c>
      <c r="BE757" t="str">
        <f>T("웹툰 &gt; 해외 순정")</f>
        <v>웹툰 &gt; 해외 순정</v>
      </c>
      <c r="BF757" t="str">
        <f>T("웹툰 &gt; 로맨스")</f>
        <v>웹툰 &gt; 로맨스</v>
      </c>
    </row>
    <row r="758" spans="1:58" x14ac:dyDescent="0.3">
      <c r="A758">
        <v>4421000001</v>
      </c>
      <c r="B758">
        <v>4421000058</v>
      </c>
      <c r="C758" t="str">
        <f>T("감옥실험 38화")</f>
        <v>감옥실험 38화</v>
      </c>
      <c r="D758" t="str">
        <f>T("38")</f>
        <v>38</v>
      </c>
      <c r="E758" t="str">
        <f>T("Kantetsu")</f>
        <v>Kantetsu</v>
      </c>
      <c r="G758" t="str">
        <f>T("Minase Chiho")</f>
        <v>Minase Chiho</v>
      </c>
      <c r="H758" t="str">
        <f t="shared" si="62"/>
        <v>스토리위즈</v>
      </c>
      <c r="I758" t="str">
        <f>T("감옥실험")</f>
        <v>감옥실험</v>
      </c>
      <c r="J758">
        <v>500</v>
      </c>
      <c r="K758">
        <v>0</v>
      </c>
      <c r="L758">
        <v>0</v>
      </c>
      <c r="M758">
        <v>0</v>
      </c>
      <c r="N758">
        <v>900</v>
      </c>
      <c r="O758">
        <v>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900</v>
      </c>
      <c r="AH758">
        <v>3</v>
      </c>
      <c r="AI758">
        <v>0</v>
      </c>
      <c r="AJ758">
        <v>0</v>
      </c>
      <c r="AK758">
        <v>900</v>
      </c>
      <c r="AL758">
        <v>0</v>
      </c>
      <c r="AM758">
        <v>0</v>
      </c>
      <c r="AN758">
        <v>0</v>
      </c>
      <c r="AO758">
        <v>0</v>
      </c>
      <c r="AP758"/>
      <c r="AQ758">
        <v>0</v>
      </c>
      <c r="AR758">
        <v>0</v>
      </c>
      <c r="AT758">
        <v>0</v>
      </c>
      <c r="AU758">
        <v>0</v>
      </c>
      <c r="AW758">
        <v>0</v>
      </c>
      <c r="AX758">
        <v>0</v>
      </c>
      <c r="AY758">
        <v>630</v>
      </c>
      <c r="BC758" t="str">
        <f>T("9791166069406")</f>
        <v>9791166069406</v>
      </c>
      <c r="BE758" t="str">
        <f>T("웹툰 &gt; 드라마")</f>
        <v>웹툰 &gt; 드라마</v>
      </c>
    </row>
    <row r="759" spans="1:58" x14ac:dyDescent="0.3">
      <c r="A759">
        <v>4421000450</v>
      </c>
      <c r="B759">
        <v>4421000497</v>
      </c>
      <c r="C759" t="str">
        <f>T("내 남편의 스토커 47화")</f>
        <v>내 남편의 스토커 47화</v>
      </c>
      <c r="D759" t="str">
        <f>T("47")</f>
        <v>47</v>
      </c>
      <c r="E759" t="str">
        <f>T("혜원")</f>
        <v>혜원</v>
      </c>
      <c r="G759" t="str">
        <f>T("혜원")</f>
        <v>혜원</v>
      </c>
      <c r="H759" t="str">
        <f t="shared" si="62"/>
        <v>스토리위즈</v>
      </c>
      <c r="I759" t="str">
        <f>T("내 남편의 스토커")</f>
        <v>내 남편의 스토커</v>
      </c>
      <c r="J759">
        <v>400</v>
      </c>
      <c r="K759">
        <v>0</v>
      </c>
      <c r="L759">
        <v>0</v>
      </c>
      <c r="M759">
        <v>0</v>
      </c>
      <c r="N759">
        <v>200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240</v>
      </c>
      <c r="AN759">
        <v>-24</v>
      </c>
      <c r="AO759">
        <v>0</v>
      </c>
      <c r="AP759"/>
      <c r="AQ759">
        <v>0</v>
      </c>
      <c r="AR759">
        <v>0</v>
      </c>
      <c r="AS759">
        <v>240</v>
      </c>
      <c r="AT759">
        <v>-24</v>
      </c>
      <c r="AU759">
        <v>0</v>
      </c>
      <c r="AW759">
        <v>0</v>
      </c>
      <c r="AX759">
        <v>0</v>
      </c>
      <c r="AY759">
        <v>151.19999999999999</v>
      </c>
      <c r="BA759" t="str">
        <f>T("0000000000000")</f>
        <v>0000000000000</v>
      </c>
      <c r="BC759" t="str">
        <f>T("9791166068034")</f>
        <v>9791166068034</v>
      </c>
      <c r="BE759" t="str">
        <f>T("웹툰 &gt; 로맨스")</f>
        <v>웹툰 &gt; 로맨스</v>
      </c>
    </row>
    <row r="760" spans="1:58" x14ac:dyDescent="0.3">
      <c r="A760">
        <v>4421000866</v>
      </c>
      <c r="B760">
        <v>4421001191</v>
      </c>
      <c r="C760" t="str">
        <f>T("최애에게 들켜버렸다 45화")</f>
        <v>최애에게 들켜버렸다 45화</v>
      </c>
      <c r="D760" t="str">
        <f>T("48")</f>
        <v>48</v>
      </c>
      <c r="E760" t="str">
        <f>T("Lv")</f>
        <v>Lv</v>
      </c>
      <c r="G760" t="str">
        <f>T("Lv")</f>
        <v>Lv</v>
      </c>
      <c r="H760" t="str">
        <f t="shared" si="62"/>
        <v>스토리위즈</v>
      </c>
      <c r="I760" t="str">
        <f>T("최애에게 들켜버렸다")</f>
        <v>최애에게 들켜버렸다</v>
      </c>
      <c r="J760">
        <v>400</v>
      </c>
      <c r="K760">
        <v>0</v>
      </c>
      <c r="L760">
        <v>0</v>
      </c>
      <c r="M760">
        <v>0</v>
      </c>
      <c r="N760">
        <v>400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2</v>
      </c>
      <c r="AI760">
        <v>0</v>
      </c>
      <c r="AJ760">
        <v>0</v>
      </c>
      <c r="AK760">
        <v>200</v>
      </c>
      <c r="AL760">
        <v>0</v>
      </c>
      <c r="AM760">
        <v>240</v>
      </c>
      <c r="AN760">
        <v>-24</v>
      </c>
      <c r="AO760">
        <v>0</v>
      </c>
      <c r="AP760"/>
      <c r="AQ760">
        <v>0</v>
      </c>
      <c r="AR760">
        <v>0</v>
      </c>
      <c r="AS760">
        <v>240</v>
      </c>
      <c r="AT760">
        <v>-24</v>
      </c>
      <c r="AU760">
        <v>0</v>
      </c>
      <c r="AW760">
        <v>0</v>
      </c>
      <c r="AX760">
        <v>0</v>
      </c>
      <c r="AY760">
        <v>291.2</v>
      </c>
      <c r="BA760" t="str">
        <f>T("0000000000000")</f>
        <v>0000000000000</v>
      </c>
      <c r="BC760" t="str">
        <f>T("9791137601253")</f>
        <v>9791137601253</v>
      </c>
      <c r="BE760" t="str">
        <f>T("웹툰 &gt; 해외 순정")</f>
        <v>웹툰 &gt; 해외 순정</v>
      </c>
      <c r="BF760" t="str">
        <f>T("웹툰 &gt; 로맨스")</f>
        <v>웹툰 &gt; 로맨스</v>
      </c>
    </row>
    <row r="761" spans="1:58" x14ac:dyDescent="0.3">
      <c r="AG761"/>
      <c r="AH761"/>
      <c r="AI761"/>
      <c r="AJ761"/>
      <c r="AK761"/>
      <c r="AL761"/>
      <c r="AM761"/>
      <c r="AN761"/>
      <c r="AO761"/>
      <c r="AP761"/>
      <c r="AY761" s="5">
        <f>SUM(AY2:AY760)</f>
        <v>2967368.9600000367</v>
      </c>
    </row>
    <row r="762" spans="1:58" x14ac:dyDescent="0.3">
      <c r="AG762"/>
      <c r="AH762"/>
      <c r="AI762"/>
      <c r="AJ762"/>
      <c r="AK762"/>
      <c r="AL762"/>
      <c r="AM762"/>
      <c r="AN762"/>
      <c r="AO762"/>
      <c r="AP762"/>
    </row>
    <row r="763" spans="1:58" x14ac:dyDescent="0.3">
      <c r="AG763"/>
      <c r="AH763"/>
      <c r="AI763"/>
      <c r="AJ763"/>
      <c r="AK763"/>
      <c r="AL763"/>
      <c r="AM763"/>
      <c r="AN763"/>
      <c r="AO763"/>
      <c r="AP763"/>
    </row>
    <row r="764" spans="1:58" x14ac:dyDescent="0.3">
      <c r="AG764"/>
      <c r="AH764"/>
      <c r="AI764"/>
      <c r="AJ764"/>
      <c r="AK764"/>
      <c r="AL764"/>
      <c r="AM764"/>
      <c r="AN764"/>
      <c r="AO764"/>
      <c r="AP764"/>
    </row>
    <row r="765" spans="1:58" x14ac:dyDescent="0.3">
      <c r="AG765"/>
      <c r="AH765"/>
      <c r="AI765"/>
      <c r="AJ765"/>
      <c r="AK765"/>
      <c r="AL765"/>
      <c r="AM765"/>
      <c r="AN765"/>
      <c r="AO765"/>
      <c r="AP765"/>
    </row>
    <row r="766" spans="1:58" x14ac:dyDescent="0.3">
      <c r="AG766"/>
      <c r="AH766"/>
      <c r="AI766"/>
      <c r="AJ766"/>
      <c r="AK766"/>
      <c r="AL766"/>
      <c r="AM766"/>
      <c r="AN766"/>
      <c r="AO766"/>
      <c r="AP766"/>
    </row>
    <row r="767" spans="1:58" x14ac:dyDescent="0.3">
      <c r="AG767"/>
      <c r="AH767"/>
      <c r="AI767"/>
      <c r="AJ767"/>
      <c r="AK767"/>
      <c r="AL767"/>
      <c r="AM767"/>
      <c r="AN767"/>
      <c r="AO767"/>
      <c r="AP767"/>
    </row>
    <row r="768" spans="1:58" x14ac:dyDescent="0.3">
      <c r="AG768"/>
      <c r="AH768"/>
      <c r="AI768"/>
      <c r="AJ768"/>
      <c r="AK768"/>
      <c r="AL768"/>
      <c r="AM768"/>
      <c r="AN768"/>
      <c r="AO768"/>
      <c r="AP768"/>
    </row>
    <row r="769" spans="33:42" x14ac:dyDescent="0.3">
      <c r="AG769"/>
      <c r="AH769"/>
      <c r="AI769"/>
      <c r="AJ769"/>
      <c r="AK769"/>
      <c r="AL769"/>
      <c r="AM769"/>
      <c r="AN769"/>
      <c r="AO769"/>
      <c r="AP769"/>
    </row>
    <row r="770" spans="33:42" x14ac:dyDescent="0.3">
      <c r="AG770"/>
      <c r="AH770"/>
      <c r="AI770"/>
      <c r="AJ770"/>
      <c r="AK770"/>
      <c r="AL770"/>
      <c r="AM770"/>
      <c r="AN770"/>
      <c r="AO770"/>
      <c r="AP770"/>
    </row>
    <row r="771" spans="33:42" x14ac:dyDescent="0.3">
      <c r="AG771"/>
      <c r="AH771"/>
      <c r="AI771"/>
      <c r="AJ771"/>
      <c r="AK771"/>
      <c r="AL771"/>
      <c r="AM771"/>
      <c r="AN771"/>
      <c r="AO771"/>
      <c r="AP771"/>
    </row>
    <row r="772" spans="33:42" x14ac:dyDescent="0.3">
      <c r="AG772"/>
      <c r="AH772"/>
      <c r="AI772"/>
      <c r="AJ772"/>
      <c r="AK772"/>
      <c r="AL772"/>
      <c r="AM772"/>
      <c r="AN772"/>
      <c r="AO772"/>
      <c r="AP772"/>
    </row>
    <row r="773" spans="33:42" x14ac:dyDescent="0.3">
      <c r="AG773"/>
      <c r="AH773"/>
      <c r="AI773"/>
      <c r="AJ773"/>
      <c r="AK773"/>
      <c r="AL773"/>
      <c r="AM773"/>
      <c r="AN773"/>
      <c r="AO773"/>
      <c r="AP773"/>
    </row>
    <row r="774" spans="33:42" x14ac:dyDescent="0.3">
      <c r="AG774"/>
      <c r="AH774"/>
      <c r="AI774"/>
      <c r="AJ774"/>
      <c r="AK774"/>
      <c r="AL774"/>
      <c r="AM774"/>
      <c r="AN774"/>
      <c r="AO774"/>
      <c r="AP774"/>
    </row>
    <row r="775" spans="33:42" x14ac:dyDescent="0.3">
      <c r="AG775"/>
      <c r="AH775"/>
      <c r="AI775"/>
      <c r="AJ775"/>
      <c r="AK775"/>
      <c r="AL775"/>
      <c r="AM775"/>
      <c r="AN775"/>
      <c r="AO775"/>
      <c r="AP775"/>
    </row>
    <row r="776" spans="33:42" x14ac:dyDescent="0.3">
      <c r="AG776"/>
      <c r="AH776"/>
      <c r="AI776"/>
      <c r="AJ776"/>
      <c r="AK776"/>
      <c r="AL776"/>
      <c r="AM776"/>
      <c r="AN776"/>
      <c r="AO776"/>
      <c r="AP776"/>
    </row>
    <row r="777" spans="33:42" x14ac:dyDescent="0.3">
      <c r="AG777"/>
      <c r="AH777"/>
      <c r="AI777"/>
      <c r="AJ777"/>
      <c r="AK777"/>
      <c r="AL777"/>
      <c r="AM777"/>
      <c r="AN777"/>
      <c r="AO777"/>
      <c r="AP777"/>
    </row>
    <row r="778" spans="33:42" x14ac:dyDescent="0.3">
      <c r="AG778"/>
      <c r="AH778"/>
      <c r="AI778"/>
      <c r="AJ778"/>
      <c r="AK778"/>
      <c r="AL778"/>
      <c r="AM778"/>
      <c r="AN778"/>
      <c r="AO778"/>
      <c r="AP778"/>
    </row>
    <row r="779" spans="33:42" x14ac:dyDescent="0.3">
      <c r="AG779"/>
      <c r="AH779"/>
      <c r="AI779"/>
      <c r="AJ779"/>
      <c r="AK779"/>
      <c r="AL779"/>
      <c r="AM779"/>
      <c r="AN779"/>
      <c r="AO779"/>
      <c r="AP779"/>
    </row>
    <row r="780" spans="33:42" x14ac:dyDescent="0.3">
      <c r="AG780"/>
      <c r="AH780"/>
      <c r="AI780"/>
      <c r="AJ780"/>
      <c r="AK780"/>
      <c r="AL780"/>
      <c r="AM780"/>
      <c r="AN780"/>
      <c r="AO780"/>
      <c r="AP780"/>
    </row>
    <row r="781" spans="33:42" x14ac:dyDescent="0.3">
      <c r="AG781"/>
      <c r="AH781"/>
      <c r="AI781"/>
      <c r="AJ781"/>
      <c r="AK781"/>
      <c r="AL781"/>
      <c r="AM781"/>
      <c r="AN781"/>
      <c r="AO781"/>
      <c r="AP781"/>
    </row>
    <row r="782" spans="33:42" x14ac:dyDescent="0.3">
      <c r="AG782"/>
      <c r="AH782"/>
      <c r="AI782"/>
      <c r="AJ782"/>
      <c r="AK782"/>
      <c r="AL782"/>
      <c r="AM782"/>
      <c r="AN782"/>
      <c r="AO782"/>
      <c r="AP782"/>
    </row>
    <row r="783" spans="33:42" x14ac:dyDescent="0.3">
      <c r="AG783"/>
      <c r="AH783"/>
      <c r="AI783"/>
      <c r="AJ783"/>
      <c r="AK783"/>
      <c r="AL783"/>
      <c r="AM783"/>
      <c r="AN783"/>
      <c r="AO783"/>
      <c r="AP783"/>
    </row>
    <row r="784" spans="33:42" x14ac:dyDescent="0.3">
      <c r="AG784"/>
      <c r="AH784"/>
      <c r="AI784"/>
      <c r="AJ784"/>
      <c r="AK784"/>
      <c r="AL784"/>
      <c r="AM784"/>
      <c r="AN784"/>
      <c r="AO784"/>
      <c r="AP784"/>
    </row>
    <row r="785" spans="33:42" x14ac:dyDescent="0.3">
      <c r="AG785"/>
      <c r="AH785"/>
      <c r="AI785"/>
      <c r="AJ785"/>
      <c r="AK785"/>
      <c r="AL785"/>
      <c r="AM785"/>
      <c r="AN785"/>
      <c r="AO785"/>
      <c r="AP785"/>
    </row>
    <row r="786" spans="33:42" x14ac:dyDescent="0.3">
      <c r="AG786"/>
      <c r="AH786"/>
      <c r="AI786"/>
      <c r="AJ786"/>
      <c r="AK786"/>
      <c r="AL786"/>
      <c r="AM786"/>
      <c r="AN786"/>
      <c r="AO786"/>
      <c r="AP786"/>
    </row>
    <row r="787" spans="33:42" x14ac:dyDescent="0.3">
      <c r="AG787"/>
      <c r="AH787"/>
      <c r="AI787"/>
      <c r="AJ787"/>
      <c r="AK787"/>
      <c r="AL787"/>
      <c r="AM787"/>
      <c r="AN787"/>
      <c r="AO787"/>
      <c r="AP787"/>
    </row>
    <row r="788" spans="33:42" x14ac:dyDescent="0.3">
      <c r="AG788"/>
      <c r="AH788"/>
      <c r="AI788"/>
      <c r="AJ788"/>
      <c r="AK788"/>
      <c r="AL788"/>
      <c r="AM788"/>
      <c r="AN788"/>
      <c r="AO788"/>
      <c r="AP788"/>
    </row>
    <row r="789" spans="33:42" x14ac:dyDescent="0.3">
      <c r="AG789"/>
      <c r="AH789"/>
      <c r="AI789"/>
      <c r="AJ789"/>
      <c r="AK789"/>
      <c r="AL789"/>
      <c r="AM789"/>
      <c r="AN789"/>
      <c r="AO789"/>
      <c r="AP789"/>
    </row>
    <row r="790" spans="33:42" x14ac:dyDescent="0.3">
      <c r="AG790"/>
      <c r="AH790"/>
      <c r="AI790"/>
      <c r="AJ790"/>
      <c r="AK790"/>
      <c r="AL790"/>
      <c r="AM790"/>
      <c r="AN790"/>
      <c r="AO790"/>
      <c r="AP790"/>
    </row>
    <row r="791" spans="33:42" x14ac:dyDescent="0.3">
      <c r="AG791"/>
      <c r="AH791"/>
      <c r="AI791"/>
      <c r="AJ791"/>
      <c r="AK791"/>
      <c r="AL791"/>
      <c r="AM791"/>
      <c r="AN791"/>
      <c r="AO791"/>
      <c r="AP791"/>
    </row>
    <row r="792" spans="33:42" x14ac:dyDescent="0.3">
      <c r="AG792"/>
      <c r="AH792"/>
      <c r="AI792"/>
      <c r="AJ792"/>
      <c r="AK792"/>
      <c r="AL792"/>
      <c r="AM792"/>
      <c r="AN792"/>
      <c r="AO792"/>
      <c r="AP792"/>
    </row>
    <row r="793" spans="33:42" x14ac:dyDescent="0.3">
      <c r="AG793"/>
      <c r="AH793"/>
      <c r="AI793"/>
      <c r="AJ793"/>
      <c r="AK793"/>
      <c r="AL793"/>
      <c r="AM793"/>
      <c r="AN793"/>
      <c r="AO793"/>
      <c r="AP793"/>
    </row>
    <row r="794" spans="33:42" x14ac:dyDescent="0.3">
      <c r="AG794"/>
      <c r="AH794"/>
      <c r="AI794"/>
      <c r="AJ794"/>
      <c r="AK794"/>
      <c r="AL794"/>
      <c r="AM794"/>
      <c r="AN794"/>
      <c r="AO794"/>
      <c r="AP794"/>
    </row>
    <row r="795" spans="33:42" x14ac:dyDescent="0.3">
      <c r="AG795"/>
      <c r="AH795"/>
      <c r="AI795"/>
      <c r="AJ795"/>
      <c r="AK795"/>
      <c r="AL795"/>
      <c r="AM795"/>
      <c r="AN795"/>
      <c r="AO795"/>
      <c r="AP795"/>
    </row>
    <row r="796" spans="33:42" x14ac:dyDescent="0.3">
      <c r="AG796"/>
      <c r="AH796"/>
      <c r="AI796"/>
      <c r="AJ796"/>
      <c r="AK796"/>
      <c r="AL796"/>
      <c r="AM796"/>
      <c r="AN796"/>
      <c r="AO796"/>
      <c r="AP796"/>
    </row>
    <row r="797" spans="33:42" x14ac:dyDescent="0.3">
      <c r="AG797"/>
      <c r="AH797"/>
      <c r="AI797"/>
      <c r="AJ797"/>
      <c r="AK797"/>
      <c r="AL797"/>
      <c r="AM797"/>
      <c r="AN797"/>
      <c r="AO797"/>
      <c r="AP797"/>
    </row>
    <row r="798" spans="33:42" x14ac:dyDescent="0.3">
      <c r="AG798"/>
      <c r="AH798"/>
      <c r="AI798"/>
      <c r="AJ798"/>
      <c r="AK798"/>
      <c r="AL798"/>
      <c r="AM798"/>
      <c r="AN798"/>
      <c r="AO798"/>
      <c r="AP798"/>
    </row>
    <row r="799" spans="33:42" x14ac:dyDescent="0.3">
      <c r="AG799"/>
      <c r="AH799"/>
      <c r="AI799"/>
      <c r="AJ799"/>
      <c r="AK799"/>
      <c r="AL799"/>
      <c r="AM799"/>
      <c r="AN799"/>
      <c r="AO799"/>
      <c r="AP799"/>
    </row>
    <row r="800" spans="33:42" x14ac:dyDescent="0.3">
      <c r="AG800"/>
      <c r="AH800"/>
      <c r="AI800"/>
      <c r="AJ800"/>
      <c r="AK800"/>
      <c r="AL800"/>
      <c r="AM800"/>
      <c r="AN800"/>
      <c r="AO800"/>
      <c r="AP800"/>
    </row>
    <row r="801" spans="33:42" x14ac:dyDescent="0.3">
      <c r="AG801"/>
      <c r="AH801"/>
      <c r="AI801"/>
      <c r="AJ801"/>
      <c r="AK801"/>
      <c r="AL801"/>
      <c r="AM801"/>
      <c r="AN801"/>
      <c r="AO801"/>
      <c r="AP801"/>
    </row>
    <row r="802" spans="33:42" x14ac:dyDescent="0.3">
      <c r="AG802"/>
      <c r="AH802"/>
      <c r="AI802"/>
      <c r="AJ802"/>
      <c r="AK802"/>
      <c r="AL802"/>
      <c r="AM802"/>
      <c r="AN802"/>
      <c r="AO802"/>
      <c r="AP802"/>
    </row>
    <row r="803" spans="33:42" x14ac:dyDescent="0.3">
      <c r="AG803"/>
      <c r="AH803"/>
      <c r="AI803"/>
      <c r="AJ803"/>
      <c r="AK803"/>
      <c r="AL803"/>
      <c r="AM803"/>
      <c r="AN803"/>
      <c r="AO803"/>
      <c r="AP803"/>
    </row>
    <row r="804" spans="33:42" x14ac:dyDescent="0.3">
      <c r="AG804"/>
      <c r="AH804"/>
      <c r="AI804"/>
      <c r="AJ804"/>
      <c r="AK804"/>
      <c r="AL804"/>
      <c r="AM804"/>
      <c r="AN804"/>
      <c r="AO804"/>
      <c r="AP804"/>
    </row>
    <row r="805" spans="33:42" x14ac:dyDescent="0.3">
      <c r="AG805"/>
      <c r="AH805"/>
      <c r="AI805"/>
      <c r="AJ805"/>
      <c r="AK805"/>
      <c r="AL805"/>
      <c r="AM805"/>
      <c r="AN805"/>
      <c r="AO805"/>
      <c r="AP805"/>
    </row>
    <row r="806" spans="33:42" x14ac:dyDescent="0.3">
      <c r="AG806"/>
      <c r="AH806"/>
      <c r="AI806"/>
      <c r="AJ806"/>
      <c r="AK806"/>
      <c r="AL806"/>
      <c r="AM806"/>
      <c r="AN806"/>
      <c r="AO806"/>
      <c r="AP806"/>
    </row>
    <row r="807" spans="33:42" x14ac:dyDescent="0.3">
      <c r="AG807"/>
      <c r="AH807"/>
      <c r="AI807"/>
      <c r="AJ807"/>
      <c r="AK807"/>
      <c r="AL807"/>
      <c r="AM807"/>
      <c r="AN807"/>
      <c r="AO807"/>
      <c r="AP807"/>
    </row>
    <row r="808" spans="33:42" x14ac:dyDescent="0.3">
      <c r="AG808"/>
      <c r="AH808"/>
      <c r="AI808"/>
      <c r="AJ808"/>
      <c r="AK808"/>
      <c r="AL808"/>
      <c r="AM808"/>
      <c r="AN808"/>
      <c r="AO808"/>
      <c r="AP808"/>
    </row>
    <row r="809" spans="33:42" x14ac:dyDescent="0.3">
      <c r="AG809"/>
      <c r="AH809"/>
      <c r="AI809"/>
      <c r="AJ809"/>
      <c r="AK809"/>
      <c r="AL809"/>
      <c r="AM809"/>
      <c r="AN809"/>
      <c r="AO809"/>
      <c r="AP809"/>
    </row>
    <row r="810" spans="33:42" x14ac:dyDescent="0.3">
      <c r="AG810"/>
      <c r="AH810"/>
      <c r="AI810"/>
      <c r="AJ810"/>
      <c r="AK810"/>
      <c r="AL810"/>
      <c r="AM810"/>
      <c r="AN810"/>
      <c r="AO810"/>
      <c r="AP810"/>
    </row>
    <row r="811" spans="33:42" x14ac:dyDescent="0.3">
      <c r="AG811"/>
      <c r="AH811"/>
      <c r="AI811"/>
      <c r="AJ811"/>
      <c r="AK811"/>
      <c r="AL811"/>
      <c r="AM811"/>
      <c r="AN811"/>
      <c r="AO811"/>
      <c r="AP811"/>
    </row>
    <row r="812" spans="33:42" x14ac:dyDescent="0.3">
      <c r="AG812"/>
      <c r="AH812"/>
      <c r="AI812"/>
      <c r="AJ812"/>
      <c r="AK812"/>
      <c r="AL812"/>
      <c r="AM812"/>
      <c r="AN812"/>
      <c r="AO812"/>
      <c r="AP812"/>
    </row>
    <row r="813" spans="33:42" x14ac:dyDescent="0.3">
      <c r="AG813"/>
      <c r="AH813"/>
      <c r="AI813"/>
      <c r="AJ813"/>
      <c r="AK813"/>
      <c r="AL813"/>
      <c r="AM813"/>
      <c r="AN813"/>
      <c r="AO813"/>
      <c r="AP813"/>
    </row>
    <row r="814" spans="33:42" x14ac:dyDescent="0.3">
      <c r="AG814"/>
      <c r="AH814"/>
      <c r="AI814"/>
      <c r="AJ814"/>
      <c r="AK814"/>
      <c r="AL814"/>
      <c r="AM814"/>
      <c r="AN814"/>
      <c r="AO814"/>
      <c r="AP814"/>
    </row>
    <row r="815" spans="33:42" x14ac:dyDescent="0.3">
      <c r="AG815"/>
      <c r="AH815"/>
      <c r="AI815"/>
      <c r="AJ815"/>
      <c r="AK815"/>
      <c r="AL815"/>
      <c r="AM815"/>
      <c r="AN815"/>
      <c r="AO815"/>
      <c r="AP815"/>
    </row>
    <row r="816" spans="33:42" x14ac:dyDescent="0.3">
      <c r="AG816"/>
      <c r="AH816"/>
      <c r="AI816"/>
      <c r="AJ816"/>
      <c r="AK816"/>
      <c r="AL816"/>
      <c r="AM816"/>
      <c r="AN816"/>
      <c r="AO816"/>
      <c r="AP816"/>
    </row>
    <row r="817" spans="33:42" x14ac:dyDescent="0.3">
      <c r="AG817"/>
      <c r="AH817"/>
      <c r="AI817"/>
      <c r="AJ817"/>
      <c r="AK817"/>
      <c r="AL817"/>
      <c r="AM817"/>
      <c r="AN817"/>
      <c r="AO817"/>
      <c r="AP817"/>
    </row>
    <row r="818" spans="33:42" x14ac:dyDescent="0.3">
      <c r="AG818"/>
      <c r="AH818"/>
      <c r="AI818"/>
      <c r="AJ818"/>
      <c r="AK818"/>
      <c r="AL818"/>
      <c r="AM818"/>
      <c r="AN818"/>
      <c r="AO818"/>
      <c r="AP818"/>
    </row>
    <row r="819" spans="33:42" x14ac:dyDescent="0.3">
      <c r="AG819"/>
      <c r="AH819"/>
      <c r="AI819"/>
      <c r="AJ819"/>
      <c r="AK819"/>
      <c r="AL819"/>
      <c r="AM819"/>
      <c r="AN819"/>
      <c r="AO819"/>
      <c r="AP819"/>
    </row>
    <row r="820" spans="33:42" x14ac:dyDescent="0.3">
      <c r="AG820"/>
      <c r="AH820"/>
      <c r="AI820"/>
      <c r="AJ820"/>
      <c r="AK820"/>
      <c r="AL820"/>
      <c r="AM820"/>
      <c r="AN820"/>
      <c r="AO820"/>
      <c r="AP820"/>
    </row>
    <row r="821" spans="33:42" x14ac:dyDescent="0.3">
      <c r="AG821"/>
      <c r="AH821"/>
      <c r="AI821"/>
      <c r="AJ821"/>
      <c r="AK821"/>
      <c r="AL821"/>
      <c r="AM821"/>
      <c r="AN821"/>
      <c r="AO821"/>
      <c r="AP821"/>
    </row>
    <row r="822" spans="33:42" x14ac:dyDescent="0.3">
      <c r="AG822"/>
      <c r="AH822"/>
      <c r="AI822"/>
      <c r="AJ822"/>
      <c r="AK822"/>
      <c r="AL822"/>
      <c r="AM822"/>
      <c r="AN822"/>
      <c r="AO822"/>
      <c r="AP822"/>
    </row>
    <row r="823" spans="33:42" x14ac:dyDescent="0.3">
      <c r="AG823"/>
      <c r="AH823"/>
      <c r="AI823"/>
      <c r="AJ823"/>
      <c r="AK823"/>
      <c r="AL823"/>
      <c r="AM823"/>
      <c r="AN823"/>
      <c r="AO823"/>
      <c r="AP823"/>
    </row>
    <row r="824" spans="33:42" x14ac:dyDescent="0.3">
      <c r="AG824"/>
      <c r="AH824"/>
      <c r="AI824"/>
      <c r="AJ824"/>
      <c r="AK824"/>
      <c r="AL824"/>
      <c r="AM824"/>
      <c r="AN824"/>
      <c r="AO824"/>
      <c r="AP824"/>
    </row>
    <row r="825" spans="33:42" x14ac:dyDescent="0.3">
      <c r="AG825"/>
      <c r="AH825"/>
      <c r="AI825"/>
      <c r="AJ825"/>
      <c r="AK825"/>
      <c r="AL825"/>
      <c r="AM825"/>
      <c r="AN825"/>
      <c r="AO825"/>
      <c r="AP825"/>
    </row>
    <row r="826" spans="33:42" x14ac:dyDescent="0.3">
      <c r="AG826"/>
      <c r="AH826"/>
      <c r="AI826"/>
      <c r="AJ826"/>
      <c r="AK826"/>
      <c r="AL826"/>
      <c r="AM826"/>
      <c r="AN826"/>
      <c r="AO826"/>
      <c r="AP826"/>
    </row>
    <row r="827" spans="33:42" x14ac:dyDescent="0.3">
      <c r="AG827"/>
      <c r="AH827"/>
      <c r="AI827"/>
      <c r="AJ827"/>
      <c r="AK827"/>
      <c r="AL827"/>
      <c r="AM827"/>
      <c r="AN827"/>
      <c r="AO827"/>
      <c r="AP827"/>
    </row>
    <row r="828" spans="33:42" x14ac:dyDescent="0.3">
      <c r="AG828"/>
      <c r="AH828"/>
      <c r="AI828"/>
      <c r="AJ828"/>
      <c r="AK828"/>
      <c r="AL828"/>
      <c r="AM828"/>
      <c r="AN828"/>
      <c r="AO828"/>
      <c r="AP828"/>
    </row>
    <row r="829" spans="33:42" x14ac:dyDescent="0.3">
      <c r="AG829"/>
      <c r="AH829"/>
      <c r="AI829"/>
      <c r="AJ829"/>
      <c r="AK829"/>
      <c r="AL829"/>
      <c r="AM829"/>
      <c r="AN829"/>
      <c r="AO829"/>
      <c r="AP829"/>
    </row>
    <row r="830" spans="33:42" x14ac:dyDescent="0.3">
      <c r="AG830"/>
      <c r="AH830"/>
      <c r="AI830"/>
      <c r="AJ830"/>
      <c r="AK830"/>
      <c r="AL830"/>
      <c r="AM830"/>
      <c r="AN830"/>
      <c r="AO830"/>
      <c r="AP830"/>
    </row>
    <row r="831" spans="33:42" x14ac:dyDescent="0.3">
      <c r="AG831"/>
      <c r="AH831"/>
      <c r="AI831"/>
      <c r="AJ831"/>
      <c r="AK831"/>
      <c r="AL831"/>
      <c r="AM831"/>
      <c r="AN831"/>
      <c r="AO831"/>
      <c r="AP831"/>
    </row>
    <row r="832" spans="33:42" x14ac:dyDescent="0.3">
      <c r="AG832"/>
      <c r="AH832"/>
      <c r="AI832"/>
      <c r="AJ832"/>
      <c r="AK832"/>
      <c r="AL832"/>
      <c r="AM832"/>
      <c r="AN832"/>
      <c r="AO832"/>
      <c r="AP832"/>
    </row>
    <row r="833" spans="33:42" x14ac:dyDescent="0.3">
      <c r="AG833"/>
      <c r="AH833"/>
      <c r="AI833"/>
      <c r="AJ833"/>
      <c r="AK833"/>
      <c r="AL833"/>
      <c r="AM833"/>
      <c r="AN833"/>
      <c r="AO833"/>
      <c r="AP833"/>
    </row>
    <row r="834" spans="33:42" x14ac:dyDescent="0.3">
      <c r="AG834"/>
      <c r="AH834"/>
      <c r="AI834"/>
      <c r="AJ834"/>
      <c r="AK834"/>
      <c r="AL834"/>
      <c r="AM834"/>
      <c r="AN834"/>
      <c r="AO834"/>
      <c r="AP834"/>
    </row>
    <row r="835" spans="33:42" x14ac:dyDescent="0.3">
      <c r="AG835"/>
      <c r="AH835"/>
      <c r="AI835"/>
      <c r="AJ835"/>
      <c r="AK835"/>
      <c r="AL835"/>
      <c r="AM835"/>
      <c r="AN835"/>
      <c r="AO835"/>
      <c r="AP835"/>
    </row>
    <row r="836" spans="33:42" x14ac:dyDescent="0.3">
      <c r="AG836"/>
      <c r="AH836"/>
      <c r="AI836"/>
      <c r="AJ836"/>
      <c r="AK836"/>
      <c r="AL836"/>
      <c r="AM836"/>
      <c r="AN836"/>
      <c r="AO836"/>
      <c r="AP836"/>
    </row>
    <row r="837" spans="33:42" x14ac:dyDescent="0.3">
      <c r="AG837"/>
      <c r="AH837"/>
      <c r="AI837"/>
      <c r="AJ837"/>
      <c r="AK837"/>
      <c r="AL837"/>
      <c r="AM837"/>
      <c r="AN837"/>
      <c r="AO837"/>
      <c r="AP837"/>
    </row>
    <row r="838" spans="33:42" x14ac:dyDescent="0.3">
      <c r="AG838"/>
      <c r="AH838"/>
      <c r="AI838"/>
      <c r="AJ838"/>
      <c r="AK838"/>
      <c r="AL838"/>
      <c r="AM838"/>
      <c r="AN838"/>
      <c r="AO838"/>
      <c r="AP838"/>
    </row>
    <row r="839" spans="33:42" x14ac:dyDescent="0.3">
      <c r="AG839"/>
      <c r="AH839"/>
      <c r="AI839"/>
      <c r="AJ839"/>
      <c r="AK839"/>
      <c r="AL839"/>
      <c r="AM839"/>
      <c r="AN839"/>
      <c r="AO839"/>
      <c r="AP839"/>
    </row>
    <row r="840" spans="33:42" x14ac:dyDescent="0.3">
      <c r="AG840"/>
      <c r="AH840"/>
      <c r="AI840"/>
      <c r="AJ840"/>
      <c r="AK840"/>
      <c r="AL840"/>
      <c r="AM840"/>
      <c r="AN840"/>
      <c r="AO840"/>
      <c r="AP840"/>
    </row>
    <row r="841" spans="33:42" x14ac:dyDescent="0.3">
      <c r="AG841"/>
      <c r="AH841"/>
      <c r="AI841"/>
      <c r="AJ841"/>
      <c r="AK841"/>
      <c r="AL841"/>
      <c r="AM841"/>
      <c r="AN841"/>
      <c r="AO841"/>
      <c r="AP841"/>
    </row>
    <row r="842" spans="33:42" x14ac:dyDescent="0.3">
      <c r="AG842"/>
      <c r="AH842"/>
      <c r="AI842"/>
      <c r="AJ842"/>
      <c r="AK842"/>
      <c r="AL842"/>
      <c r="AM842"/>
      <c r="AN842"/>
      <c r="AO842"/>
      <c r="AP842"/>
    </row>
    <row r="843" spans="33:42" x14ac:dyDescent="0.3">
      <c r="AG843"/>
      <c r="AH843"/>
      <c r="AI843"/>
      <c r="AJ843"/>
      <c r="AK843"/>
      <c r="AL843"/>
      <c r="AM843"/>
      <c r="AN843"/>
      <c r="AO843"/>
      <c r="AP843"/>
    </row>
    <row r="844" spans="33:42" x14ac:dyDescent="0.3">
      <c r="AG844"/>
      <c r="AH844"/>
      <c r="AI844"/>
      <c r="AJ844"/>
      <c r="AK844"/>
      <c r="AL844"/>
      <c r="AM844"/>
      <c r="AN844"/>
      <c r="AO844"/>
      <c r="AP844"/>
    </row>
    <row r="845" spans="33:42" x14ac:dyDescent="0.3">
      <c r="AG845"/>
      <c r="AH845"/>
      <c r="AI845"/>
      <c r="AJ845"/>
      <c r="AK845"/>
      <c r="AL845"/>
      <c r="AM845"/>
      <c r="AN845"/>
      <c r="AO845"/>
      <c r="AP845"/>
    </row>
    <row r="846" spans="33:42" x14ac:dyDescent="0.3">
      <c r="AG846"/>
      <c r="AH846"/>
      <c r="AI846"/>
      <c r="AJ846"/>
      <c r="AK846"/>
      <c r="AL846"/>
      <c r="AM846"/>
      <c r="AN846"/>
      <c r="AO846"/>
      <c r="AP846"/>
    </row>
    <row r="847" spans="33:42" x14ac:dyDescent="0.3">
      <c r="AG847"/>
      <c r="AH847"/>
      <c r="AI847"/>
      <c r="AJ847"/>
      <c r="AK847"/>
      <c r="AL847"/>
      <c r="AM847"/>
      <c r="AN847"/>
      <c r="AO847"/>
      <c r="AP847"/>
    </row>
    <row r="848" spans="33:42" x14ac:dyDescent="0.3">
      <c r="AG848"/>
      <c r="AH848"/>
      <c r="AI848"/>
      <c r="AJ848"/>
      <c r="AK848"/>
      <c r="AL848"/>
      <c r="AM848"/>
      <c r="AN848"/>
      <c r="AO848"/>
      <c r="AP848"/>
    </row>
    <row r="849" spans="33:42" x14ac:dyDescent="0.3">
      <c r="AG849"/>
      <c r="AH849"/>
      <c r="AI849"/>
      <c r="AJ849"/>
      <c r="AK849"/>
      <c r="AL849"/>
      <c r="AM849"/>
      <c r="AN849"/>
      <c r="AO849"/>
      <c r="AP849"/>
    </row>
    <row r="850" spans="33:42" x14ac:dyDescent="0.3">
      <c r="AG850"/>
      <c r="AH850"/>
      <c r="AI850"/>
      <c r="AJ850"/>
      <c r="AK850"/>
      <c r="AL850"/>
      <c r="AM850"/>
      <c r="AN850"/>
      <c r="AO850"/>
      <c r="AP850"/>
    </row>
    <row r="851" spans="33:42" x14ac:dyDescent="0.3">
      <c r="AG851"/>
      <c r="AH851"/>
      <c r="AI851"/>
      <c r="AJ851"/>
      <c r="AK851"/>
      <c r="AL851"/>
      <c r="AM851"/>
      <c r="AN851"/>
      <c r="AO851"/>
      <c r="AP851"/>
    </row>
    <row r="852" spans="33:42" x14ac:dyDescent="0.3">
      <c r="AG852"/>
      <c r="AH852"/>
      <c r="AI852"/>
      <c r="AJ852"/>
      <c r="AK852"/>
      <c r="AL852"/>
      <c r="AM852"/>
      <c r="AN852"/>
      <c r="AO852"/>
      <c r="AP852"/>
    </row>
    <row r="853" spans="33:42" x14ac:dyDescent="0.3">
      <c r="AG853"/>
      <c r="AH853"/>
      <c r="AI853"/>
      <c r="AJ853"/>
      <c r="AK853"/>
      <c r="AL853"/>
      <c r="AM853"/>
      <c r="AN853"/>
      <c r="AO853"/>
      <c r="AP853"/>
    </row>
    <row r="854" spans="33:42" x14ac:dyDescent="0.3">
      <c r="AG854"/>
      <c r="AH854"/>
      <c r="AI854"/>
      <c r="AJ854"/>
      <c r="AK854"/>
      <c r="AL854"/>
      <c r="AM854"/>
      <c r="AN854"/>
      <c r="AO854"/>
      <c r="AP854"/>
    </row>
    <row r="855" spans="33:42" x14ac:dyDescent="0.3">
      <c r="AG855"/>
      <c r="AH855"/>
      <c r="AI855"/>
      <c r="AJ855"/>
      <c r="AK855"/>
      <c r="AL855"/>
      <c r="AM855"/>
      <c r="AN855"/>
      <c r="AO855"/>
      <c r="AP855"/>
    </row>
    <row r="856" spans="33:42" x14ac:dyDescent="0.3">
      <c r="AG856"/>
      <c r="AH856"/>
      <c r="AI856"/>
      <c r="AJ856"/>
      <c r="AK856"/>
      <c r="AL856"/>
      <c r="AM856"/>
      <c r="AN856"/>
      <c r="AO856"/>
      <c r="AP856"/>
    </row>
    <row r="857" spans="33:42" x14ac:dyDescent="0.3">
      <c r="AG857"/>
      <c r="AH857"/>
      <c r="AI857"/>
      <c r="AJ857"/>
      <c r="AK857"/>
      <c r="AL857"/>
      <c r="AM857"/>
      <c r="AN857"/>
      <c r="AO857"/>
      <c r="AP857"/>
    </row>
    <row r="858" spans="33:42" x14ac:dyDescent="0.3">
      <c r="AN858" s="6"/>
      <c r="AO858" s="6"/>
      <c r="AP858" s="2"/>
    </row>
    <row r="859" spans="33:42" x14ac:dyDescent="0.3">
      <c r="AN859" s="7"/>
      <c r="AO859" s="7"/>
    </row>
    <row r="860" spans="33:42" x14ac:dyDescent="0.3">
      <c r="AN860" s="7"/>
      <c r="AO860" s="7"/>
    </row>
    <row r="861" spans="33:42" x14ac:dyDescent="0.3">
      <c r="AN861" s="6"/>
      <c r="AO861" s="6"/>
      <c r="AP861" s="4"/>
    </row>
  </sheetData>
  <mergeCells count="4">
    <mergeCell ref="AN858:AO858"/>
    <mergeCell ref="AN859:AO859"/>
    <mergeCell ref="AN861:AO861"/>
    <mergeCell ref="AN860:AO86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2022-12-20T05:34:07Z</dcterms:modified>
</cp:coreProperties>
</file>