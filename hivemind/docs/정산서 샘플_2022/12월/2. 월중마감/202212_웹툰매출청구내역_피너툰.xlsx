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9. 콘텐츠사업_매출정산\05. 정산 데이터\22년\12월\2.월중마감\"/>
    </mc:Choice>
  </mc:AlternateContent>
  <bookViews>
    <workbookView xWindow="3510" yWindow="930" windowWidth="14340" windowHeight="15270" activeTab="1"/>
  </bookViews>
  <sheets>
    <sheet name="정산 보고서" sheetId="1" r:id="rId1"/>
    <sheet name="판매 세부내역" sheetId="2" r:id="rId2"/>
  </sheets>
  <externalReferences>
    <externalReference r:id="rId3"/>
  </externalReferences>
  <definedNames>
    <definedName name="_xlnm.Print_Area" localSheetId="0">'정산 보고서'!$A$1:$H$41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" i="2" l="1"/>
  <c r="C29" i="1"/>
  <c r="G23" i="1"/>
  <c r="B29" i="1" s="1"/>
  <c r="D29" i="1" s="1"/>
  <c r="C23" i="1"/>
  <c r="D23" i="1" s="1"/>
  <c r="F23" i="1" l="1"/>
  <c r="E23" i="1"/>
</calcChain>
</file>

<file path=xl/sharedStrings.xml><?xml version="1.0" encoding="utf-8"?>
<sst xmlns="http://schemas.openxmlformats.org/spreadsheetml/2006/main" count="113" uniqueCount="77">
  <si>
    <t>담당자</t>
    <phoneticPr fontId="2" type="noConversion"/>
  </si>
  <si>
    <t>정산대상기간</t>
    <phoneticPr fontId="2" type="noConversion"/>
  </si>
  <si>
    <t>발행일</t>
    <phoneticPr fontId="2" type="noConversion"/>
  </si>
  <si>
    <t>입금 예정일</t>
    <phoneticPr fontId="2" type="noConversion"/>
  </si>
  <si>
    <t>정산세부내역</t>
    <phoneticPr fontId="2" type="noConversion"/>
  </si>
  <si>
    <t>정산금액</t>
  </si>
  <si>
    <t>세액</t>
    <phoneticPr fontId="2" type="noConversion"/>
  </si>
  <si>
    <t>IDX</t>
  </si>
  <si>
    <t>코믹스</t>
  </si>
  <si>
    <t>총 화수</t>
  </si>
  <si>
    <t>등록일</t>
  </si>
  <si>
    <t>화 최신 등록일</t>
  </si>
  <si>
    <t>작가</t>
  </si>
  <si>
    <t>열람건수</t>
  </si>
  <si>
    <t>판매건수</t>
  </si>
  <si>
    <t>땅콩수</t>
  </si>
  <si>
    <t>소비금액</t>
  </si>
  <si>
    <t>제공사</t>
  </si>
  <si>
    <t>요율</t>
  </si>
  <si>
    <t>기간 정산</t>
    <phoneticPr fontId="2" type="noConversion"/>
  </si>
  <si>
    <t>- %</t>
  </si>
  <si>
    <t>60 %</t>
  </si>
  <si>
    <t>스토리위즈</t>
  </si>
  <si>
    <t>그남자의 사랑방식</t>
  </si>
  <si>
    <t>2021-02-19 11:58:53</t>
  </si>
  <si>
    <t>2022-06-14 22:00:00</t>
  </si>
  <si>
    <t>웹티, 올코</t>
  </si>
  <si>
    <t>보스 오빠, 살살!</t>
  </si>
  <si>
    <t>2021-07-21 09:40:25</t>
  </si>
  <si>
    <t>2022-06-14 10:00:00</t>
  </si>
  <si>
    <t>대표님과 연애를 시작했습니다</t>
  </si>
  <si>
    <t>2021-02-17 11:33:03</t>
  </si>
  <si>
    <t>결혼전쟁</t>
  </si>
  <si>
    <t>2020-08-04 10:18:15</t>
  </si>
  <si>
    <t>달콤한 결혼</t>
  </si>
  <si>
    <t>2020-07-13 11:39:03</t>
  </si>
  <si>
    <t>2020-07-20 11:00:00</t>
  </si>
  <si>
    <t>지금은 여장중!</t>
  </si>
  <si>
    <t>2020-07-23 13:43:05</t>
  </si>
  <si>
    <t>달콤한 키스</t>
  </si>
  <si>
    <t>2020-07-29 13:26:48</t>
  </si>
  <si>
    <t>2020-08-03 11:00:00</t>
  </si>
  <si>
    <t>역전의★샤이닝스타</t>
  </si>
  <si>
    <t>2020-08-04 17:16:46</t>
  </si>
  <si>
    <t>달콤한 그와 결혼했습니다</t>
  </si>
  <si>
    <t>2020-11-26 12:26:55</t>
  </si>
  <si>
    <t>맛있는 사랑</t>
  </si>
  <si>
    <t>2021-03-09 11:49:27</t>
  </si>
  <si>
    <t>사랑을 찾아서</t>
  </si>
  <si>
    <t>2021-03-17 17:47:01</t>
  </si>
  <si>
    <t>콘텐츠 판매 정산 내역서</t>
    <phoneticPr fontId="2" type="noConversion"/>
  </si>
  <si>
    <t>회사명</t>
    <phoneticPr fontId="2" type="noConversion"/>
  </si>
  <si>
    <t>주식회사 스토리위즈</t>
    <phoneticPr fontId="2" type="noConversion"/>
  </si>
  <si>
    <t>주소</t>
    <phoneticPr fontId="2" type="noConversion"/>
  </si>
  <si>
    <t>서울특별시 종로구 북촌로 1길 5, 비동 1층 (재동, 엠제이빌딩)</t>
    <phoneticPr fontId="2" type="noConversion"/>
  </si>
  <si>
    <t>정산 &lt;payment@kt.com&gt;</t>
    <phoneticPr fontId="2" type="noConversion"/>
  </si>
  <si>
    <t>이나영 매니저 &lt;ny1.lee@kt.com&gt;</t>
    <phoneticPr fontId="2" type="noConversion"/>
  </si>
  <si>
    <t>웹툰 &lt;wiztoon@kt.com&gt;</t>
    <phoneticPr fontId="2" type="noConversion"/>
  </si>
  <si>
    <t>2022.11.01 ~ 2022.11.30</t>
    <phoneticPr fontId="2" type="noConversion"/>
  </si>
  <si>
    <t>2022.12.10</t>
    <phoneticPr fontId="2" type="noConversion"/>
  </si>
  <si>
    <t>2022.12.23</t>
    <phoneticPr fontId="2" type="noConversion"/>
  </si>
  <si>
    <t>(단위: 원)</t>
    <phoneticPr fontId="2" type="noConversion"/>
  </si>
  <si>
    <t>정산율</t>
    <phoneticPr fontId="2" type="noConversion"/>
  </si>
  <si>
    <t>총 소진 땅콩</t>
    <phoneticPr fontId="2" type="noConversion"/>
  </si>
  <si>
    <t>총 매출</t>
    <phoneticPr fontId="2" type="noConversion"/>
  </si>
  <si>
    <t>피너툰</t>
    <phoneticPr fontId="2" type="noConversion"/>
  </si>
  <si>
    <t>스토리위즈</t>
    <phoneticPr fontId="2" type="noConversion"/>
  </si>
  <si>
    <t>정산금액</t>
    <phoneticPr fontId="2" type="noConversion"/>
  </si>
  <si>
    <t>계산서 발행요청 금액</t>
    <phoneticPr fontId="2" type="noConversion"/>
  </si>
  <si>
    <t>(단위: 원)</t>
    <phoneticPr fontId="2" type="noConversion"/>
  </si>
  <si>
    <t>공급가액</t>
    <phoneticPr fontId="2" type="noConversion"/>
  </si>
  <si>
    <t>합계금액</t>
    <phoneticPr fontId="2" type="noConversion"/>
  </si>
  <si>
    <t>계산서 보내실 곳 :피너툰 경영지원팀 이지호 사원 (ljh0012@peanutoon.com)</t>
    <phoneticPr fontId="2" type="noConversion"/>
  </si>
  <si>
    <t>피너툰 정산 CMS (https://cms.peanutoon.com)</t>
    <phoneticPr fontId="2" type="noConversion"/>
  </si>
  <si>
    <t>상세 판매 내역은 [판매 세부내역]을 참고 부탁 드립니다.</t>
    <phoneticPr fontId="2" type="noConversion"/>
  </si>
  <si>
    <t>판매 기간</t>
    <phoneticPr fontId="2" type="noConversion"/>
  </si>
  <si>
    <t>2022.11.01 ~ 2022.11.30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</si>
</sst>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Calibri"/>
      <family val="2"/>
    </font>
    <font>
      <sz val="11"/>
      <name val="Calibri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/>
    <xf numFmtId="41" fontId="3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41" fontId="5" fillId="0" borderId="1" xfId="1" applyFont="1" applyBorder="1" applyAlignment="1">
      <alignment horizontal="center" vertical="center"/>
    </xf>
    <xf numFmtId="41" fontId="5" fillId="0" borderId="0" xfId="1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distributed" vertical="center"/>
    </xf>
    <xf numFmtId="0" fontId="8" fillId="0" borderId="1" xfId="0" applyFont="1" applyBorder="1" applyAlignment="1">
      <alignment horizontal="center" vertical="center"/>
    </xf>
    <xf numFmtId="9" fontId="7" fillId="0" borderId="1" xfId="1" quotePrefix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8" fillId="0" borderId="0" xfId="1" applyFont="1">
      <alignment vertical="center"/>
    </xf>
    <xf numFmtId="0" fontId="6" fillId="2" borderId="1" xfId="0" applyFont="1" applyFill="1" applyBorder="1" applyAlignment="1">
      <alignment horizontal="distributed" vertical="center"/>
    </xf>
    <xf numFmtId="41" fontId="10" fillId="0" borderId="1" xfId="1" applyFont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1" fontId="5" fillId="0" borderId="0" xfId="1" applyFont="1" applyBorder="1">
      <alignment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11" fillId="3" borderId="1" xfId="1" applyFont="1" applyFill="1" applyBorder="1" applyAlignment="1">
      <alignment horizontal="center" vertical="center"/>
    </xf>
    <xf numFmtId="43" fontId="5" fillId="0" borderId="0" xfId="0" applyNumberFormat="1" applyFont="1">
      <alignment vertical="center"/>
    </xf>
    <xf numFmtId="0" fontId="7" fillId="0" borderId="0" xfId="7" applyFont="1" applyAlignment="1">
      <alignment horizontal="left" vertical="center" indent="1"/>
    </xf>
    <xf numFmtId="0" fontId="7" fillId="0" borderId="1" xfId="5" applyFont="1" applyBorder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22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9" fontId="5" fillId="0" borderId="0" xfId="0" applyNumberFormat="1" applyFont="1" applyBorder="1" applyAlignment="1">
      <alignment horizontal="center" vertical="center"/>
    </xf>
    <xf numFmtId="41" fontId="11" fillId="3" borderId="0" xfId="1" applyFont="1" applyFill="1" applyBorder="1" applyAlignment="1">
      <alignment horizontal="center" vertical="center"/>
    </xf>
  </cellXfs>
  <cellStyles count="15">
    <cellStyle name="쉼표 [0]" xfId="1" builtinId="6"/>
    <cellStyle name="쉼표 [0] 2" xfId="6"/>
    <cellStyle name="쉼표 [0] 2 2" xfId="12"/>
    <cellStyle name="쉼표 [0] 3" xfId="4"/>
    <cellStyle name="쉼표 [0] 3 2" xfId="11"/>
    <cellStyle name="쉼표 [0] 4" xfId="9"/>
    <cellStyle name="쉼표 [0] 5" xfId="14"/>
    <cellStyle name="표준" xfId="0" builtinId="0"/>
    <cellStyle name="표준 2" xfId="2"/>
    <cellStyle name="표준 3" xfId="3"/>
    <cellStyle name="표준 3 2" xfId="5"/>
    <cellStyle name="표준 4" xfId="10"/>
    <cellStyle name="표준 5" xfId="8"/>
    <cellStyle name="표준 6" xfId="7"/>
    <cellStyle name="표준 7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orywiz\Downloads\202212_&#49828;&#53664;&#47532;&#50948;&#51592;%20&#51221;&#49328;&#45236;&#50669;&#49436;_11&#50900;%20&#51221;&#49328;&#48516;_&#54588;&#45320;&#538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 보고서"/>
      <sheetName val="판매 세부내역"/>
    </sheetNames>
    <sheetDataSet>
      <sheetData sheetId="0"/>
      <sheetData sheetId="1">
        <row r="3">
          <cell r="E3">
            <v>73080</v>
          </cell>
        </row>
        <row r="5">
          <cell r="J5" t="str">
            <v>땅콩수</v>
          </cell>
        </row>
        <row r="6">
          <cell r="J6">
            <v>618</v>
          </cell>
        </row>
        <row r="7">
          <cell r="J7">
            <v>225</v>
          </cell>
        </row>
        <row r="8">
          <cell r="J8">
            <v>27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8"/>
  <sheetViews>
    <sheetView view="pageBreakPreview" topLeftCell="A10" zoomScaleNormal="100" zoomScaleSheetLayoutView="100" workbookViewId="0">
      <selection activeCell="F39" sqref="F39"/>
    </sheetView>
  </sheetViews>
  <sheetFormatPr defaultColWidth="9" defaultRowHeight="16.5" customHeight="1" x14ac:dyDescent="0.3"/>
  <cols>
    <col min="1" max="1" width="4.75" style="1" customWidth="1"/>
    <col min="2" max="7" width="10.25" style="1" customWidth="1"/>
    <col min="8" max="8" width="4.75" style="1" customWidth="1"/>
    <col min="9" max="16384" width="9" style="1"/>
  </cols>
  <sheetData>
    <row r="4" spans="1:7" ht="16.5" customHeight="1" x14ac:dyDescent="0.3">
      <c r="B4" s="32" t="s">
        <v>50</v>
      </c>
      <c r="C4" s="32"/>
      <c r="D4" s="32"/>
      <c r="E4" s="32"/>
      <c r="F4" s="32"/>
      <c r="G4" s="32"/>
    </row>
    <row r="5" spans="1:7" ht="16.5" customHeight="1" x14ac:dyDescent="0.3">
      <c r="B5" s="32"/>
      <c r="C5" s="32"/>
      <c r="D5" s="32"/>
      <c r="E5" s="32"/>
      <c r="F5" s="32"/>
      <c r="G5" s="32"/>
    </row>
    <row r="7" spans="1:7" ht="16.5" customHeight="1" x14ac:dyDescent="0.3">
      <c r="A7" s="5"/>
      <c r="B7" s="5"/>
      <c r="C7" s="5"/>
      <c r="D7" s="5"/>
      <c r="E7" s="5"/>
      <c r="F7" s="5"/>
      <c r="G7" s="5"/>
    </row>
    <row r="8" spans="1:7" ht="16.5" customHeight="1" x14ac:dyDescent="0.3">
      <c r="A8" s="5"/>
      <c r="B8" s="6" t="s">
        <v>51</v>
      </c>
      <c r="C8" s="7" t="s">
        <v>52</v>
      </c>
      <c r="D8" s="5"/>
      <c r="E8" s="5"/>
      <c r="F8" s="5"/>
      <c r="G8" s="5"/>
    </row>
    <row r="9" spans="1:7" ht="16.5" customHeight="1" x14ac:dyDescent="0.3">
      <c r="A9" s="5"/>
      <c r="B9" s="6" t="s">
        <v>53</v>
      </c>
      <c r="C9" s="7" t="s">
        <v>54</v>
      </c>
      <c r="D9" s="5"/>
      <c r="E9" s="5"/>
      <c r="F9" s="5"/>
      <c r="G9" s="5"/>
    </row>
    <row r="10" spans="1:7" ht="16.5" customHeight="1" x14ac:dyDescent="0.3">
      <c r="A10" s="5"/>
      <c r="B10" s="6" t="s">
        <v>0</v>
      </c>
      <c r="C10" s="7" t="s">
        <v>55</v>
      </c>
      <c r="D10" s="5"/>
      <c r="E10" s="5"/>
      <c r="F10" s="5"/>
      <c r="G10" s="5"/>
    </row>
    <row r="11" spans="1:7" ht="16.5" customHeight="1" x14ac:dyDescent="0.3">
      <c r="A11" s="5"/>
      <c r="B11" s="5"/>
      <c r="C11" s="7" t="s">
        <v>56</v>
      </c>
      <c r="D11" s="5"/>
      <c r="E11" s="5"/>
      <c r="F11" s="5"/>
      <c r="G11" s="5"/>
    </row>
    <row r="12" spans="1:7" ht="16.5" customHeight="1" x14ac:dyDescent="0.3">
      <c r="A12" s="5"/>
      <c r="B12" s="5"/>
      <c r="C12" s="7" t="s">
        <v>57</v>
      </c>
      <c r="D12" s="5"/>
      <c r="E12" s="5"/>
      <c r="F12" s="5"/>
      <c r="G12" s="5"/>
    </row>
    <row r="13" spans="1:7" ht="16.5" customHeight="1" x14ac:dyDescent="0.3">
      <c r="A13" s="5"/>
      <c r="B13" s="5"/>
      <c r="C13" s="7"/>
      <c r="D13" s="5"/>
      <c r="E13" s="5"/>
      <c r="F13" s="5"/>
      <c r="G13" s="5"/>
    </row>
    <row r="14" spans="1:7" ht="16.5" customHeight="1" x14ac:dyDescent="0.3">
      <c r="A14" s="5"/>
      <c r="B14" s="5"/>
      <c r="C14" s="7"/>
      <c r="D14" s="5"/>
      <c r="E14" s="5"/>
      <c r="F14" s="5"/>
      <c r="G14" s="5"/>
    </row>
    <row r="15" spans="1:7" ht="16.5" customHeight="1" x14ac:dyDescent="0.3">
      <c r="A15" s="5"/>
      <c r="B15" s="8" t="s">
        <v>1</v>
      </c>
      <c r="C15" s="30" t="s">
        <v>58</v>
      </c>
      <c r="D15" s="5"/>
      <c r="E15" s="5"/>
      <c r="F15" s="5"/>
      <c r="G15" s="5"/>
    </row>
    <row r="16" spans="1:7" ht="16.5" customHeight="1" x14ac:dyDescent="0.3">
      <c r="A16" s="5"/>
      <c r="B16" s="8" t="s">
        <v>2</v>
      </c>
      <c r="C16" s="30" t="s">
        <v>59</v>
      </c>
      <c r="D16" s="5"/>
      <c r="E16" s="5"/>
      <c r="F16" s="5"/>
      <c r="G16" s="5"/>
    </row>
    <row r="17" spans="1:7" ht="16.5" customHeight="1" x14ac:dyDescent="0.3">
      <c r="A17" s="5"/>
      <c r="B17" s="8" t="s">
        <v>3</v>
      </c>
      <c r="C17" s="30" t="s">
        <v>60</v>
      </c>
      <c r="D17" s="5"/>
      <c r="E17" s="5"/>
      <c r="F17" s="5"/>
      <c r="G17" s="5"/>
    </row>
    <row r="18" spans="1:7" ht="16.5" customHeight="1" x14ac:dyDescent="0.3">
      <c r="A18" s="5"/>
      <c r="B18" s="8"/>
      <c r="C18" s="7"/>
      <c r="D18" s="5"/>
      <c r="E18" s="5"/>
      <c r="F18" s="5"/>
      <c r="G18" s="5"/>
    </row>
    <row r="19" spans="1:7" ht="16.5" customHeight="1" x14ac:dyDescent="0.3">
      <c r="A19" s="5"/>
      <c r="B19" s="6"/>
      <c r="C19" s="5"/>
      <c r="D19" s="5"/>
      <c r="E19" s="5"/>
      <c r="F19" s="5"/>
      <c r="G19" s="5"/>
    </row>
    <row r="20" spans="1:7" ht="16.5" customHeight="1" x14ac:dyDescent="0.3">
      <c r="A20" s="5"/>
      <c r="B20" s="8" t="s">
        <v>4</v>
      </c>
      <c r="C20" s="5"/>
      <c r="D20" s="5"/>
      <c r="E20" s="5"/>
      <c r="F20" s="5"/>
      <c r="G20" s="5"/>
    </row>
    <row r="21" spans="1:7" ht="16.5" customHeight="1" x14ac:dyDescent="0.3">
      <c r="A21" s="5"/>
      <c r="B21" s="6"/>
      <c r="C21" s="5"/>
      <c r="D21" s="5"/>
      <c r="E21" s="5"/>
      <c r="F21" s="5"/>
      <c r="G21" s="2" t="s">
        <v>61</v>
      </c>
    </row>
    <row r="22" spans="1:7" ht="16.5" customHeight="1" x14ac:dyDescent="0.3">
      <c r="A22" s="5"/>
      <c r="B22" s="9" t="s">
        <v>62</v>
      </c>
      <c r="C22" s="9" t="s">
        <v>63</v>
      </c>
      <c r="D22" s="9" t="s">
        <v>64</v>
      </c>
      <c r="E22" s="9" t="s">
        <v>65</v>
      </c>
      <c r="F22" s="9" t="s">
        <v>66</v>
      </c>
      <c r="G22" s="9" t="s">
        <v>67</v>
      </c>
    </row>
    <row r="23" spans="1:7" ht="16.5" customHeight="1" x14ac:dyDescent="0.3">
      <c r="A23" s="5"/>
      <c r="B23" s="10">
        <v>0.6</v>
      </c>
      <c r="C23" s="11">
        <f>SUM('[1]판매 세부내역'!J:J)</f>
        <v>870</v>
      </c>
      <c r="D23" s="12">
        <f>C23*140</f>
        <v>121800</v>
      </c>
      <c r="E23" s="12">
        <f>D23*(100%-B23)</f>
        <v>48720</v>
      </c>
      <c r="F23" s="12">
        <f>D23*B23</f>
        <v>73080</v>
      </c>
      <c r="G23" s="13">
        <f>'[1]판매 세부내역'!E3</f>
        <v>73080</v>
      </c>
    </row>
    <row r="24" spans="1:7" ht="16.5" customHeight="1" x14ac:dyDescent="0.3">
      <c r="A24" s="5"/>
      <c r="B24" s="14"/>
      <c r="C24" s="14"/>
      <c r="D24" s="14"/>
      <c r="E24" s="14"/>
      <c r="F24" s="14"/>
      <c r="G24" s="14"/>
    </row>
    <row r="25" spans="1:7" ht="16.5" customHeight="1" x14ac:dyDescent="0.3">
      <c r="A25" s="5"/>
      <c r="B25" s="6"/>
      <c r="C25" s="5"/>
      <c r="D25" s="5"/>
      <c r="E25" s="5"/>
      <c r="F25" s="5"/>
      <c r="G25" s="5"/>
    </row>
    <row r="26" spans="1:7" ht="16.5" customHeight="1" x14ac:dyDescent="0.3">
      <c r="A26" s="5"/>
      <c r="B26" s="15" t="s">
        <v>68</v>
      </c>
      <c r="C26" s="5"/>
      <c r="D26" s="5"/>
      <c r="E26" s="5"/>
      <c r="F26" s="5"/>
      <c r="G26" s="5"/>
    </row>
    <row r="27" spans="1:7" ht="16.5" customHeight="1" x14ac:dyDescent="0.3">
      <c r="A27" s="5"/>
      <c r="B27" s="5"/>
      <c r="C27" s="5"/>
      <c r="D27" s="2" t="s">
        <v>69</v>
      </c>
      <c r="E27" s="5"/>
      <c r="F27" s="5"/>
      <c r="G27" s="5"/>
    </row>
    <row r="28" spans="1:7" ht="16.5" customHeight="1" x14ac:dyDescent="0.3">
      <c r="A28" s="5"/>
      <c r="B28" s="16" t="s">
        <v>70</v>
      </c>
      <c r="C28" s="16" t="s">
        <v>6</v>
      </c>
      <c r="D28" s="16" t="s">
        <v>71</v>
      </c>
      <c r="E28" s="5"/>
      <c r="F28" s="5"/>
      <c r="G28" s="5"/>
    </row>
    <row r="29" spans="1:7" ht="16.5" customHeight="1" x14ac:dyDescent="0.3">
      <c r="A29" s="5"/>
      <c r="B29" s="17">
        <f>G23</f>
        <v>73080</v>
      </c>
      <c r="C29" s="17">
        <f>0</f>
        <v>0</v>
      </c>
      <c r="D29" s="18">
        <f>B29+C29</f>
        <v>73080</v>
      </c>
      <c r="E29" s="5"/>
      <c r="F29" s="5"/>
      <c r="G29" s="5"/>
    </row>
    <row r="30" spans="1:7" ht="16.5" customHeight="1" x14ac:dyDescent="0.3">
      <c r="A30" s="5"/>
      <c r="B30" s="5"/>
      <c r="C30" s="5"/>
      <c r="D30" s="5"/>
      <c r="E30" s="5"/>
      <c r="F30" s="5"/>
      <c r="G30" s="5"/>
    </row>
    <row r="31" spans="1:7" ht="16.5" customHeight="1" x14ac:dyDescent="0.3">
      <c r="A31" s="5"/>
      <c r="B31" s="5"/>
      <c r="C31" s="5"/>
      <c r="D31" s="5"/>
      <c r="E31" s="5"/>
      <c r="F31" s="5"/>
      <c r="G31" s="5"/>
    </row>
    <row r="32" spans="1:7" ht="16.5" customHeight="1" x14ac:dyDescent="0.3">
      <c r="A32" s="5"/>
      <c r="B32" s="5"/>
      <c r="C32" s="5"/>
      <c r="D32" s="5"/>
      <c r="E32" s="5"/>
      <c r="F32" s="5"/>
      <c r="G32" s="5"/>
    </row>
    <row r="33" spans="1:7" ht="16.5" customHeight="1" x14ac:dyDescent="0.3">
      <c r="A33" s="5"/>
      <c r="B33" s="5"/>
      <c r="C33" s="5"/>
      <c r="D33" s="5"/>
      <c r="E33" s="5"/>
      <c r="F33" s="5"/>
      <c r="G33" s="5"/>
    </row>
    <row r="34" spans="1:7" ht="16.5" customHeight="1" x14ac:dyDescent="0.3">
      <c r="A34" s="5"/>
      <c r="B34" s="5" t="s">
        <v>72</v>
      </c>
      <c r="C34" s="5"/>
      <c r="D34" s="5"/>
      <c r="E34" s="5"/>
      <c r="F34" s="5"/>
      <c r="G34" s="5"/>
    </row>
    <row r="35" spans="1:7" ht="16.5" customHeight="1" x14ac:dyDescent="0.3">
      <c r="A35" s="5"/>
      <c r="B35" s="5" t="s">
        <v>73</v>
      </c>
      <c r="C35" s="5"/>
      <c r="D35" s="5"/>
      <c r="E35" s="5"/>
      <c r="F35" s="5"/>
      <c r="G35" s="5"/>
    </row>
    <row r="36" spans="1:7" ht="16.5" customHeight="1" x14ac:dyDescent="0.3">
      <c r="A36" s="5"/>
      <c r="B36" s="5"/>
      <c r="C36" s="5"/>
      <c r="D36" s="5"/>
      <c r="E36" s="5"/>
      <c r="F36" s="5"/>
      <c r="G36" s="5"/>
    </row>
    <row r="37" spans="1:7" ht="16.5" customHeight="1" x14ac:dyDescent="0.3">
      <c r="A37" s="5"/>
      <c r="B37" s="5" t="s">
        <v>74</v>
      </c>
      <c r="C37" s="5"/>
      <c r="D37" s="5"/>
      <c r="E37" s="5"/>
      <c r="F37" s="5"/>
      <c r="G37" s="5"/>
    </row>
    <row r="38" spans="1:7" ht="16.5" customHeight="1" x14ac:dyDescent="0.3">
      <c r="A38" s="5"/>
      <c r="B38" s="5"/>
      <c r="C38" s="5"/>
      <c r="D38" s="5"/>
      <c r="E38" s="5"/>
      <c r="F38" s="5"/>
      <c r="G38" s="5"/>
    </row>
  </sheetData>
  <mergeCells count="1">
    <mergeCell ref="B4:G5"/>
  </mergeCells>
  <phoneticPr fontId="2" type="noConversion"/>
  <pageMargins left="0.7" right="0.7" top="0.75" bottom="0.75" header="0.3" footer="0.3"/>
  <pageSetup paperSize="9" scale="98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/>
  </sheetViews>
  <sheetFormatPr defaultColWidth="9" defaultRowHeight="13.5" x14ac:dyDescent="0.3"/>
  <cols>
    <col min="1" max="1" width="24" style="1" bestFit="1" customWidth="1"/>
    <col min="2" max="2" width="9.125" style="1" bestFit="1" customWidth="1"/>
    <col min="3" max="4" width="15.375" style="1" customWidth="1"/>
    <col min="5" max="5" width="15.625" style="1" customWidth="1"/>
    <col min="6" max="9" width="10.5" style="4" customWidth="1"/>
    <col min="10" max="10" width="10.5" style="1" bestFit="1" customWidth="1"/>
    <col min="11" max="11" width="8" style="1" bestFit="1" customWidth="1"/>
    <col min="12" max="12" width="11.75" style="27" bestFit="1" customWidth="1"/>
    <col min="13" max="13" width="9" style="1"/>
    <col min="14" max="14" width="10.5" style="1" bestFit="1" customWidth="1"/>
    <col min="15" max="16384" width="9" style="1"/>
  </cols>
  <sheetData>
    <row r="1" spans="1:15" x14ac:dyDescent="0.3">
      <c r="A1" s="21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  <c r="G1" s="26" t="s">
        <v>13</v>
      </c>
      <c r="H1" s="26" t="s">
        <v>14</v>
      </c>
      <c r="I1" s="26" t="s">
        <v>15</v>
      </c>
      <c r="J1" s="26" t="s">
        <v>16</v>
      </c>
      <c r="K1" s="21" t="s">
        <v>17</v>
      </c>
      <c r="L1" s="21" t="s">
        <v>18</v>
      </c>
      <c r="M1" s="21" t="s">
        <v>5</v>
      </c>
    </row>
    <row r="2" spans="1:15" x14ac:dyDescent="0.3">
      <c r="A2" s="22">
        <v>6141</v>
      </c>
      <c r="B2" s="22" t="s">
        <v>27</v>
      </c>
      <c r="C2" s="22">
        <v>96</v>
      </c>
      <c r="D2" s="23" t="s">
        <v>28</v>
      </c>
      <c r="E2" s="23" t="s">
        <v>29</v>
      </c>
      <c r="F2" s="22" t="s">
        <v>26</v>
      </c>
      <c r="G2" s="3">
        <v>4635</v>
      </c>
      <c r="H2" s="3">
        <v>206</v>
      </c>
      <c r="I2" s="3">
        <v>618</v>
      </c>
      <c r="J2" s="3">
        <v>86520</v>
      </c>
      <c r="K2" s="22" t="s">
        <v>22</v>
      </c>
      <c r="L2" s="24" t="s">
        <v>21</v>
      </c>
      <c r="M2" s="28">
        <v>51912</v>
      </c>
      <c r="O2" s="29"/>
    </row>
    <row r="3" spans="1:15" x14ac:dyDescent="0.3">
      <c r="A3" s="22">
        <v>5176</v>
      </c>
      <c r="B3" s="22" t="s">
        <v>32</v>
      </c>
      <c r="C3" s="22">
        <v>78</v>
      </c>
      <c r="D3" s="23" t="s">
        <v>33</v>
      </c>
      <c r="E3" s="23" t="s">
        <v>29</v>
      </c>
      <c r="F3" s="22" t="s">
        <v>26</v>
      </c>
      <c r="G3" s="3">
        <v>297</v>
      </c>
      <c r="H3" s="3">
        <v>75</v>
      </c>
      <c r="I3" s="3">
        <v>225</v>
      </c>
      <c r="J3" s="3">
        <v>31500</v>
      </c>
      <c r="K3" s="22" t="s">
        <v>22</v>
      </c>
      <c r="L3" s="24" t="s">
        <v>21</v>
      </c>
      <c r="M3" s="28">
        <v>18900</v>
      </c>
      <c r="O3" s="29"/>
    </row>
    <row r="4" spans="1:15" x14ac:dyDescent="0.3">
      <c r="A4" s="22">
        <v>5670</v>
      </c>
      <c r="B4" s="22" t="s">
        <v>23</v>
      </c>
      <c r="C4" s="22">
        <v>112</v>
      </c>
      <c r="D4" s="23" t="s">
        <v>24</v>
      </c>
      <c r="E4" s="23" t="s">
        <v>25</v>
      </c>
      <c r="F4" s="22" t="s">
        <v>26</v>
      </c>
      <c r="G4" s="3">
        <v>2886</v>
      </c>
      <c r="H4" s="3">
        <v>9</v>
      </c>
      <c r="I4" s="3">
        <v>27</v>
      </c>
      <c r="J4" s="3">
        <v>3780</v>
      </c>
      <c r="K4" s="22" t="s">
        <v>22</v>
      </c>
      <c r="L4" s="24" t="s">
        <v>21</v>
      </c>
      <c r="M4" s="28">
        <v>2268</v>
      </c>
      <c r="O4" s="29"/>
    </row>
    <row r="5" spans="1:15" x14ac:dyDescent="0.3">
      <c r="A5" s="22">
        <v>5130</v>
      </c>
      <c r="B5" s="22" t="s">
        <v>34</v>
      </c>
      <c r="C5" s="22">
        <v>75</v>
      </c>
      <c r="D5" s="23" t="s">
        <v>35</v>
      </c>
      <c r="E5" s="23" t="s">
        <v>36</v>
      </c>
      <c r="F5" s="22" t="s">
        <v>26</v>
      </c>
      <c r="G5" s="3">
        <v>10</v>
      </c>
      <c r="H5" s="3">
        <v>0</v>
      </c>
      <c r="I5" s="3">
        <v>0</v>
      </c>
      <c r="J5" s="3">
        <v>0</v>
      </c>
      <c r="K5" s="22" t="s">
        <v>22</v>
      </c>
      <c r="L5" s="24" t="s">
        <v>20</v>
      </c>
      <c r="M5" s="28">
        <v>0</v>
      </c>
      <c r="O5" s="29"/>
    </row>
    <row r="6" spans="1:15" x14ac:dyDescent="0.3">
      <c r="A6" s="22">
        <v>5156</v>
      </c>
      <c r="B6" s="22" t="s">
        <v>37</v>
      </c>
      <c r="C6" s="22">
        <v>46</v>
      </c>
      <c r="D6" s="23" t="s">
        <v>38</v>
      </c>
      <c r="E6" s="23" t="s">
        <v>29</v>
      </c>
      <c r="F6" s="22" t="s">
        <v>26</v>
      </c>
      <c r="G6" s="3">
        <v>37</v>
      </c>
      <c r="H6" s="3">
        <v>0</v>
      </c>
      <c r="I6" s="3">
        <v>0</v>
      </c>
      <c r="J6" s="3">
        <v>0</v>
      </c>
      <c r="K6" s="22" t="s">
        <v>22</v>
      </c>
      <c r="L6" s="24" t="s">
        <v>20</v>
      </c>
      <c r="M6" s="28">
        <v>0</v>
      </c>
      <c r="O6" s="29"/>
    </row>
    <row r="7" spans="1:15" x14ac:dyDescent="0.3">
      <c r="A7" s="22">
        <v>5166</v>
      </c>
      <c r="B7" s="22" t="s">
        <v>39</v>
      </c>
      <c r="C7" s="22">
        <v>52</v>
      </c>
      <c r="D7" s="23" t="s">
        <v>40</v>
      </c>
      <c r="E7" s="23" t="s">
        <v>41</v>
      </c>
      <c r="F7" s="22" t="s">
        <v>26</v>
      </c>
      <c r="G7" s="3">
        <v>12</v>
      </c>
      <c r="H7" s="3">
        <v>0</v>
      </c>
      <c r="I7" s="3">
        <v>0</v>
      </c>
      <c r="J7" s="3">
        <v>0</v>
      </c>
      <c r="K7" s="22" t="s">
        <v>22</v>
      </c>
      <c r="L7" s="24" t="s">
        <v>20</v>
      </c>
      <c r="M7" s="28">
        <v>0</v>
      </c>
      <c r="O7" s="29"/>
    </row>
    <row r="8" spans="1:15" x14ac:dyDescent="0.3">
      <c r="A8" s="22">
        <v>5180</v>
      </c>
      <c r="B8" s="22" t="s">
        <v>42</v>
      </c>
      <c r="C8" s="22">
        <v>86</v>
      </c>
      <c r="D8" s="23" t="s">
        <v>43</v>
      </c>
      <c r="E8" s="23" t="s">
        <v>29</v>
      </c>
      <c r="F8" s="22" t="s">
        <v>26</v>
      </c>
      <c r="G8" s="3">
        <v>254</v>
      </c>
      <c r="H8" s="3">
        <v>0</v>
      </c>
      <c r="I8" s="3">
        <v>0</v>
      </c>
      <c r="J8" s="3">
        <v>0</v>
      </c>
      <c r="K8" s="22" t="s">
        <v>22</v>
      </c>
      <c r="L8" s="24" t="s">
        <v>20</v>
      </c>
      <c r="M8" s="28">
        <v>0</v>
      </c>
      <c r="O8" s="29"/>
    </row>
    <row r="9" spans="1:15" x14ac:dyDescent="0.3">
      <c r="A9" s="22">
        <v>5437</v>
      </c>
      <c r="B9" s="22" t="s">
        <v>44</v>
      </c>
      <c r="C9" s="22">
        <v>22</v>
      </c>
      <c r="D9" s="23" t="s">
        <v>45</v>
      </c>
      <c r="E9" s="23" t="s">
        <v>29</v>
      </c>
      <c r="F9" s="22" t="s">
        <v>26</v>
      </c>
      <c r="G9" s="3">
        <v>151</v>
      </c>
      <c r="H9" s="3">
        <v>0</v>
      </c>
      <c r="I9" s="3">
        <v>0</v>
      </c>
      <c r="J9" s="3">
        <v>0</v>
      </c>
      <c r="K9" s="22" t="s">
        <v>22</v>
      </c>
      <c r="L9" s="24" t="s">
        <v>20</v>
      </c>
      <c r="M9" s="28">
        <v>0</v>
      </c>
      <c r="O9" s="29"/>
    </row>
    <row r="10" spans="1:15" x14ac:dyDescent="0.3">
      <c r="A10" s="22">
        <v>5660</v>
      </c>
      <c r="B10" s="22" t="s">
        <v>30</v>
      </c>
      <c r="C10" s="22">
        <v>35</v>
      </c>
      <c r="D10" s="23" t="s">
        <v>31</v>
      </c>
      <c r="E10" s="23" t="s">
        <v>29</v>
      </c>
      <c r="F10" s="22" t="s">
        <v>26</v>
      </c>
      <c r="G10" s="3">
        <v>28</v>
      </c>
      <c r="H10" s="3">
        <v>0</v>
      </c>
      <c r="I10" s="3">
        <v>0</v>
      </c>
      <c r="J10" s="3">
        <v>0</v>
      </c>
      <c r="K10" s="22" t="s">
        <v>22</v>
      </c>
      <c r="L10" s="24" t="s">
        <v>20</v>
      </c>
      <c r="M10" s="28">
        <v>0</v>
      </c>
    </row>
    <row r="11" spans="1:15" x14ac:dyDescent="0.3">
      <c r="A11" s="22">
        <v>5721</v>
      </c>
      <c r="B11" s="22" t="s">
        <v>46</v>
      </c>
      <c r="C11" s="22">
        <v>36</v>
      </c>
      <c r="D11" s="23" t="s">
        <v>47</v>
      </c>
      <c r="E11" s="23" t="s">
        <v>29</v>
      </c>
      <c r="F11" s="22" t="s">
        <v>26</v>
      </c>
      <c r="G11" s="3">
        <v>0</v>
      </c>
      <c r="H11" s="3">
        <v>0</v>
      </c>
      <c r="I11" s="3">
        <v>0</v>
      </c>
      <c r="J11" s="3">
        <v>0</v>
      </c>
      <c r="K11" s="22" t="s">
        <v>22</v>
      </c>
      <c r="L11" s="24" t="s">
        <v>20</v>
      </c>
      <c r="M11" s="28">
        <v>0</v>
      </c>
    </row>
    <row r="12" spans="1:15" x14ac:dyDescent="0.3">
      <c r="A12" s="22">
        <v>5743</v>
      </c>
      <c r="B12" s="22" t="s">
        <v>48</v>
      </c>
      <c r="C12" s="22">
        <v>60</v>
      </c>
      <c r="D12" s="23" t="s">
        <v>49</v>
      </c>
      <c r="E12" s="23" t="s">
        <v>29</v>
      </c>
      <c r="F12" s="22" t="s">
        <v>26</v>
      </c>
      <c r="G12" s="3">
        <v>28</v>
      </c>
      <c r="H12" s="3">
        <v>0</v>
      </c>
      <c r="I12" s="3">
        <v>0</v>
      </c>
      <c r="J12" s="3">
        <v>0</v>
      </c>
      <c r="K12" s="22" t="s">
        <v>22</v>
      </c>
      <c r="L12" s="24" t="s">
        <v>20</v>
      </c>
      <c r="M12" s="28">
        <v>0</v>
      </c>
    </row>
    <row r="13" spans="1:15" x14ac:dyDescent="0.3">
      <c r="A13" s="22"/>
      <c r="B13" s="22"/>
      <c r="C13" s="22"/>
      <c r="D13" s="23"/>
      <c r="E13" s="33"/>
      <c r="F13" s="34"/>
      <c r="G13" s="35"/>
      <c r="H13" s="35"/>
      <c r="I13" s="35"/>
      <c r="J13" s="35"/>
      <c r="K13" s="34"/>
      <c r="L13" s="36"/>
      <c r="M13" s="37"/>
    </row>
    <row r="14" spans="1:15" x14ac:dyDescent="0.3">
      <c r="A14" s="19" t="s">
        <v>75</v>
      </c>
      <c r="B14" s="31" t="s">
        <v>76</v>
      </c>
      <c r="C14" s="19" t="s">
        <v>19</v>
      </c>
      <c r="D14" s="20">
        <f>SUM(M:M)</f>
        <v>73080</v>
      </c>
      <c r="F14" s="1"/>
      <c r="G14" s="25"/>
      <c r="H14" s="25"/>
      <c r="I14" s="25"/>
      <c r="J14" s="25"/>
      <c r="L14" s="1"/>
      <c r="M14" s="27"/>
    </row>
    <row r="15" spans="1:15" x14ac:dyDescent="0.3">
      <c r="F15" s="1"/>
      <c r="G15" s="25"/>
      <c r="H15" s="25"/>
      <c r="I15" s="25"/>
      <c r="J15" s="25"/>
      <c r="L15" s="1"/>
      <c r="M15" s="27"/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정산 보고서</vt:lpstr>
      <vt:lpstr>판매 세부내역</vt:lpstr>
      <vt:lpstr>'정산 보고서'!Print_Area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2019-07-01T04:37:36Z</dcterms:created>
  <dcterms:modified xsi:type="dcterms:W3CDTF">2022-12-13T01:30:26Z</dcterms:modified>
</cp:coreProperties>
</file>