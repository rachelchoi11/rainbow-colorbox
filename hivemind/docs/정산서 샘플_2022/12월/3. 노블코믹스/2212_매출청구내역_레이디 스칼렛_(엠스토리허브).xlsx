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192.168.0.211\경영지원본부\100.정산\2022\2022.12(11월 결산)\사업자\"/>
    </mc:Choice>
  </mc:AlternateContent>
  <xr:revisionPtr revIDLastSave="0" documentId="13_ncr:1_{91B70B9C-208E-44DB-90CF-98E61244A997}" xr6:coauthVersionLast="47" xr6:coauthVersionMax="47" xr10:uidLastSave="{00000000-0000-0000-0000-000000000000}"/>
  <bookViews>
    <workbookView xWindow="28680" yWindow="-120" windowWidth="29040" windowHeight="15840" tabRatio="916" xr2:uid="{A7372503-61B2-438D-A6D7-6CF31848E19A}"/>
  </bookViews>
  <sheets>
    <sheet name="정산서" sheetId="2" r:id="rId1"/>
    <sheet name="상세내역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E15" i="2" l="1"/>
  <c r="C15" i="2" l="1"/>
  <c r="D15" i="2"/>
  <c r="F14" i="2"/>
  <c r="F15" i="2" s="1"/>
  <c r="C6" i="2" s="1"/>
  <c r="D6" i="2" l="1" a="1"/>
  <c r="D6" i="2" s="1"/>
  <c r="E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<sst xmlns="http://schemas.openxmlformats.org/spreadsheetml/2006/main" count="162" uniqueCount="52">
  <si>
    <t>1. (세금)계산서 발행 안내</t>
    <phoneticPr fontId="2" type="noConversion"/>
  </si>
  <si>
    <t>품목</t>
    <phoneticPr fontId="2" type="noConversion"/>
  </si>
  <si>
    <t>공급가액</t>
    <phoneticPr fontId="2" type="noConversion"/>
  </si>
  <si>
    <t>세액</t>
    <phoneticPr fontId="2" type="noConversion"/>
  </si>
  <si>
    <t>합계</t>
    <phoneticPr fontId="2" type="noConversion"/>
  </si>
  <si>
    <t>과세여부</t>
    <phoneticPr fontId="2" type="noConversion"/>
  </si>
  <si>
    <t>지급예정일</t>
    <phoneticPr fontId="2" type="noConversion"/>
  </si>
  <si>
    <t>사업자용</t>
    <phoneticPr fontId="2" type="noConversion"/>
  </si>
  <si>
    <t>면세</t>
    <phoneticPr fontId="2" type="noConversion"/>
  </si>
  <si>
    <t>2. 정산내역</t>
    <phoneticPr fontId="2" type="noConversion"/>
  </si>
  <si>
    <t>내용</t>
    <phoneticPr fontId="2" type="noConversion"/>
  </si>
  <si>
    <t xml:space="preserve"> - 정산관련문의 : tax@mstoryhub.com</t>
    <phoneticPr fontId="2" type="noConversion"/>
  </si>
  <si>
    <t xml:space="preserve"> - (세금)계산서 미발행 시 지급이 이월될 수 있습니다.</t>
    <phoneticPr fontId="2" type="noConversion"/>
  </si>
  <si>
    <t>순번</t>
    <phoneticPr fontId="2" type="noConversion"/>
  </si>
  <si>
    <t>판매월</t>
    <phoneticPr fontId="2" type="noConversion"/>
  </si>
  <si>
    <t>서비스</t>
    <phoneticPr fontId="2" type="noConversion"/>
  </si>
  <si>
    <t>제목</t>
  </si>
  <si>
    <t>저자</t>
  </si>
  <si>
    <t>출판사</t>
  </si>
  <si>
    <t>구매 건수</t>
    <phoneticPr fontId="2" type="noConversion"/>
  </si>
  <si>
    <t>구매 금액</t>
    <phoneticPr fontId="2" type="noConversion"/>
  </si>
  <si>
    <t>대여 건수</t>
    <phoneticPr fontId="2" type="noConversion"/>
  </si>
  <si>
    <t>대여 금액</t>
    <phoneticPr fontId="2" type="noConversion"/>
  </si>
  <si>
    <t>취소 건수</t>
    <phoneticPr fontId="2" type="noConversion"/>
  </si>
  <si>
    <t>취소 금액</t>
    <phoneticPr fontId="2" type="noConversion"/>
  </si>
  <si>
    <t>매출
(구매금액+대여금액-취소금액-제휴사 수수료)</t>
  </si>
  <si>
    <t>저작권자 정산율</t>
    <phoneticPr fontId="2" type="noConversion"/>
  </si>
  <si>
    <t>저작권자 정산금</t>
    <phoneticPr fontId="2" type="noConversion"/>
  </si>
  <si>
    <t>매출(정산대상)(A)</t>
    <phoneticPr fontId="2" type="noConversion"/>
  </si>
  <si>
    <t>정산금(B)</t>
    <phoneticPr fontId="2" type="noConversion"/>
  </si>
  <si>
    <t>선급 차감(C)</t>
    <phoneticPr fontId="2" type="noConversion"/>
  </si>
  <si>
    <t>지급 예정(B-C)</t>
    <phoneticPr fontId="2" type="noConversion"/>
  </si>
  <si>
    <t xml:space="preserve"> - 정산에 대한 상세 내역은 하단의 상세내역 시트에서 확인할 수 있습니다.</t>
    <phoneticPr fontId="2" type="noConversion"/>
  </si>
  <si>
    <t>웹툰</t>
    <phoneticPr fontId="2" type="noConversion"/>
  </si>
  <si>
    <t>네이버 만화</t>
  </si>
  <si>
    <t>레이디 스칼렛</t>
  </si>
  <si>
    <t>엠스토리허브</t>
  </si>
  <si>
    <t>불고기자리&amp;별찌</t>
  </si>
  <si>
    <t>봄툰</t>
  </si>
  <si>
    <t>카카오페이지</t>
  </si>
  <si>
    <t>코미코 웹툰</t>
  </si>
  <si>
    <t>해외 코미코 태국</t>
  </si>
  <si>
    <t>리디북스</t>
  </si>
  <si>
    <t>결제수수료 보정액</t>
  </si>
  <si>
    <t>탑툰</t>
  </si>
  <si>
    <t>2022-11</t>
  </si>
  <si>
    <t>레진</t>
  </si>
  <si>
    <t>미스터블루 만화</t>
  </si>
  <si>
    <t>버프툰 웹툰</t>
  </si>
  <si>
    <t>원스토어 만화</t>
  </si>
  <si>
    <t>레이디 스칼렛 [스크롤]</t>
  </si>
  <si>
    <t>2022년 12월 정산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</si>
</sst>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 tint="0.1499984740745262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1" fontId="4" fillId="0" borderId="5" xfId="1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41" fontId="4" fillId="0" borderId="8" xfId="1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31" fontId="4" fillId="0" borderId="9" xfId="0" applyNumberFormat="1" applyFont="1" applyBorder="1" applyAlignment="1">
      <alignment horizontal="center" vertical="center"/>
    </xf>
    <xf numFmtId="41" fontId="4" fillId="0" borderId="5" xfId="0" applyNumberFormat="1" applyFont="1" applyBorder="1">
      <alignment vertical="center"/>
    </xf>
    <xf numFmtId="41" fontId="4" fillId="0" borderId="4" xfId="1" applyFont="1" applyBorder="1" applyAlignment="1">
      <alignment horizontal="center" vertical="center"/>
    </xf>
    <xf numFmtId="41" fontId="4" fillId="0" borderId="6" xfId="0" applyNumberFormat="1" applyFont="1" applyBorder="1">
      <alignment vertical="center"/>
    </xf>
    <xf numFmtId="0" fontId="6" fillId="0" borderId="0" xfId="0" applyFont="1">
      <alignment vertical="center"/>
    </xf>
    <xf numFmtId="41" fontId="4" fillId="3" borderId="7" xfId="1" applyFont="1" applyFill="1" applyBorder="1" applyAlignment="1">
      <alignment horizontal="center" vertical="center"/>
    </xf>
    <xf numFmtId="41" fontId="4" fillId="3" borderId="8" xfId="1" applyFont="1" applyFill="1" applyBorder="1">
      <alignment vertical="center"/>
    </xf>
    <xf numFmtId="41" fontId="4" fillId="3" borderId="8" xfId="0" applyNumberFormat="1" applyFont="1" applyFill="1" applyBorder="1">
      <alignment vertical="center"/>
    </xf>
    <xf numFmtId="41" fontId="4" fillId="3" borderId="9" xfId="0" applyNumberFormat="1" applyFont="1" applyFill="1" applyBorder="1">
      <alignment vertical="center"/>
    </xf>
    <xf numFmtId="0" fontId="7" fillId="0" borderId="0" xfId="0" applyFont="1">
      <alignment vertical="center"/>
    </xf>
    <xf numFmtId="0" fontId="8" fillId="2" borderId="5" xfId="0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 wrapText="1"/>
    </xf>
    <xf numFmtId="9" fontId="8" fillId="2" borderId="5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0" xfId="1" applyFont="1">
      <alignment vertical="center"/>
    </xf>
    <xf numFmtId="9" fontId="4" fillId="0" borderId="0" xfId="2" applyFont="1">
      <alignment vertical="center"/>
    </xf>
    <xf numFmtId="17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5DD3-F1ED-40AD-A5F3-EFC895D179DB}">
  <dimension ref="A1:N37"/>
  <sheetViews>
    <sheetView showGridLines="0" tabSelected="1" workbookViewId="0">
      <selection sqref="A1:H1"/>
    </sheetView>
  </sheetViews>
  <sheetFormatPr defaultColWidth="0" defaultRowHeight="17.100000000000001" customHeight="1" zeroHeight="1" x14ac:dyDescent="0.3"/>
  <cols>
    <col min="1" max="1" width="3.375" style="1" customWidth="1"/>
    <col min="2" max="2" width="25.875" style="1" customWidth="1"/>
    <col min="3" max="7" width="16.5" style="1" customWidth="1"/>
    <col min="8" max="8" width="3.375" style="1" customWidth="1"/>
    <col min="9" max="11" width="8.625" style="1" hidden="1" customWidth="1"/>
    <col min="12" max="14" width="0" style="1" hidden="1" customWidth="1"/>
    <col min="15" max="16384" width="8.625" hidden="1"/>
  </cols>
  <sheetData>
    <row r="1" spans="1:9" ht="50.1" customHeight="1" x14ac:dyDescent="0.3">
      <c r="A1" s="27" t="s">
        <v>51</v>
      </c>
      <c r="B1" s="27"/>
      <c r="C1" s="27"/>
      <c r="D1" s="27"/>
      <c r="E1" s="27"/>
      <c r="F1" s="27"/>
      <c r="G1" s="27"/>
      <c r="H1" s="27"/>
    </row>
    <row r="2" spans="1:9" ht="17.100000000000001" customHeight="1" x14ac:dyDescent="0.3"/>
    <row r="3" spans="1:9" ht="17.100000000000001" customHeight="1" x14ac:dyDescent="0.3"/>
    <row r="4" spans="1:9" ht="17.25" thickBot="1" x14ac:dyDescent="0.35">
      <c r="B4" s="13" t="s">
        <v>0</v>
      </c>
    </row>
    <row r="5" spans="1:9" ht="20.100000000000001" customHeight="1" x14ac:dyDescent="0.3"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4" t="s">
        <v>6</v>
      </c>
      <c r="I5" s="1" t="s">
        <v>7</v>
      </c>
    </row>
    <row r="6" spans="1:9" ht="20.100000000000001" customHeight="1" thickBot="1" x14ac:dyDescent="0.35">
      <c r="B6" s="6" t="str">
        <f>RIGHT(A1,6)</f>
        <v>12월 정산</v>
      </c>
      <c r="C6" s="7">
        <f>IF(F15&gt;0,ROUND(F15,0),"발행없음")</f>
        <v>133567</v>
      </c>
      <c r="D6" s="7" cm="1">
        <f t="array" ref="D6">_xlfn.IFS(F6="면세",0,F6="과세(부가세별도)",ROUNDDOWN(C6*0.1,0),F6="과세(부가세포함)",ROUNDDOWN(C6/1.1,0))</f>
        <v>0</v>
      </c>
      <c r="E6" s="7">
        <f>C6+D6</f>
        <v>133567</v>
      </c>
      <c r="F6" s="8" t="s">
        <v>8</v>
      </c>
      <c r="G6" s="9">
        <v>44957</v>
      </c>
    </row>
    <row r="7" spans="1:9" ht="17.100000000000001" customHeight="1" x14ac:dyDescent="0.3"/>
    <row r="8" spans="1:9" ht="17.100000000000001" customHeight="1" x14ac:dyDescent="0.3"/>
    <row r="9" spans="1:9" ht="17.100000000000001" customHeight="1" x14ac:dyDescent="0.3"/>
    <row r="10" spans="1:9" ht="17.100000000000001" customHeight="1" x14ac:dyDescent="0.3"/>
    <row r="11" spans="1:9" ht="17.100000000000001" customHeight="1" x14ac:dyDescent="0.3"/>
    <row r="12" spans="1:9" ht="20.100000000000001" customHeight="1" thickBot="1" x14ac:dyDescent="0.35">
      <c r="B12" s="13" t="s">
        <v>9</v>
      </c>
    </row>
    <row r="13" spans="1:9" ht="20.100000000000001" customHeight="1" x14ac:dyDescent="0.3">
      <c r="B13" s="2" t="s">
        <v>10</v>
      </c>
      <c r="C13" s="3" t="s">
        <v>28</v>
      </c>
      <c r="D13" s="3" t="s">
        <v>29</v>
      </c>
      <c r="E13" s="3" t="s">
        <v>30</v>
      </c>
      <c r="F13" s="4" t="s">
        <v>31</v>
      </c>
    </row>
    <row r="14" spans="1:9" ht="20.100000000000001" customHeight="1" x14ac:dyDescent="0.3">
      <c r="B14" s="11" t="s">
        <v>33</v>
      </c>
      <c r="C14" s="5">
        <v>1335661</v>
      </c>
      <c r="D14" s="5">
        <v>133567</v>
      </c>
      <c r="E14" s="10">
        <v>0</v>
      </c>
      <c r="F14" s="12">
        <f>D14-E14</f>
        <v>133567</v>
      </c>
    </row>
    <row r="15" spans="1:9" ht="20.100000000000001" customHeight="1" thickBot="1" x14ac:dyDescent="0.35">
      <c r="B15" s="14" t="s">
        <v>4</v>
      </c>
      <c r="C15" s="15">
        <f>SUM(C14:C14)</f>
        <v>1335661</v>
      </c>
      <c r="D15" s="15">
        <f>SUM(D14:D14)</f>
        <v>133567</v>
      </c>
      <c r="E15" s="16">
        <f>SUM(E14:E14)</f>
        <v>0</v>
      </c>
      <c r="F15" s="17">
        <f>SUM(F14:F14)</f>
        <v>133567</v>
      </c>
    </row>
    <row r="16" spans="1:9" ht="17.100000000000001" customHeight="1" x14ac:dyDescent="0.3"/>
    <row r="17" spans="2:14" ht="17.100000000000001" customHeight="1" x14ac:dyDescent="0.3"/>
    <row r="18" spans="2:14" ht="17.100000000000001" customHeight="1" x14ac:dyDescent="0.3">
      <c r="B18" s="1" t="s">
        <v>32</v>
      </c>
      <c r="I18"/>
      <c r="J18"/>
      <c r="K18"/>
      <c r="L18"/>
      <c r="M18"/>
      <c r="N18"/>
    </row>
    <row r="19" spans="2:14" ht="17.100000000000001" customHeight="1" x14ac:dyDescent="0.3">
      <c r="B19" s="1" t="s">
        <v>11</v>
      </c>
      <c r="I19"/>
      <c r="J19"/>
      <c r="K19"/>
      <c r="L19"/>
      <c r="M19"/>
      <c r="N19"/>
    </row>
    <row r="20" spans="2:14" ht="17.100000000000001" customHeight="1" x14ac:dyDescent="0.3">
      <c r="B20" s="1" t="s">
        <v>12</v>
      </c>
    </row>
    <row r="21" spans="2:14" ht="17.100000000000001" customHeight="1" x14ac:dyDescent="0.3"/>
    <row r="22" spans="2:14" ht="17.100000000000001" customHeight="1" x14ac:dyDescent="0.3"/>
    <row r="23" spans="2:14" ht="17.100000000000001" customHeight="1" x14ac:dyDescent="0.3"/>
    <row r="24" spans="2:14" ht="17.100000000000001" customHeight="1" x14ac:dyDescent="0.3"/>
    <row r="25" spans="2:14" ht="17.100000000000001" customHeight="1" x14ac:dyDescent="0.3"/>
    <row r="26" spans="2:14" ht="17.100000000000001" customHeight="1" x14ac:dyDescent="0.3"/>
    <row r="27" spans="2:14" ht="17.100000000000001" customHeight="1" x14ac:dyDescent="0.3"/>
    <row r="28" spans="2:14" ht="17.100000000000001" customHeight="1" x14ac:dyDescent="0.3"/>
    <row r="29" spans="2:14" ht="17.100000000000001" customHeight="1" x14ac:dyDescent="0.3"/>
    <row r="30" spans="2:14" ht="17.100000000000001" customHeight="1" x14ac:dyDescent="0.3"/>
    <row r="31" spans="2:14" ht="17.100000000000001" customHeight="1" x14ac:dyDescent="0.3"/>
    <row r="32" spans="2:14" ht="17.100000000000001" customHeight="1" x14ac:dyDescent="0.3"/>
    <row r="33" ht="17.100000000000001" customHeight="1" x14ac:dyDescent="0.3"/>
    <row r="34" ht="17.100000000000001" customHeight="1" x14ac:dyDescent="0.3"/>
    <row r="35" ht="17.100000000000001" customHeight="1" x14ac:dyDescent="0.3"/>
    <row r="36" ht="17.100000000000001" customHeight="1" x14ac:dyDescent="0.3"/>
    <row r="37" ht="17.100000000000001" customHeight="1" x14ac:dyDescent="0.3"/>
  </sheetData>
  <mergeCells count="1">
    <mergeCell ref="A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D347-A657-4DB2-98F2-5EC933C682C7}">
  <dimension ref="A1:AJ26"/>
  <sheetViews>
    <sheetView workbookViewId="0"/>
  </sheetViews>
  <sheetFormatPr defaultRowHeight="16.5" x14ac:dyDescent="0.3"/>
  <cols>
    <col min="1" max="2" width="8.625" style="23"/>
    <col min="3" max="3" width="24.875" style="23" bestFit="1" customWidth="1"/>
    <col min="4" max="4" width="20.625" style="1" customWidth="1"/>
    <col min="5" max="5" width="13.625" style="1" bestFit="1" customWidth="1"/>
    <col min="6" max="6" width="10.5" style="1" bestFit="1" customWidth="1"/>
    <col min="7" max="9" width="8.625" style="24"/>
    <col min="10" max="10" width="9.5" style="24" customWidth="1"/>
    <col min="11" max="12" width="8.625" style="24"/>
    <col min="13" max="13" width="15.875" style="24" bestFit="1" customWidth="1"/>
    <col min="14" max="14" width="33.5" style="24" bestFit="1" customWidth="1"/>
    <col min="15" max="15" width="12.375" style="25" bestFit="1" customWidth="1"/>
    <col min="16" max="16" width="13.625" style="24" bestFit="1" customWidth="1"/>
  </cols>
  <sheetData>
    <row r="1" spans="1:36" ht="33.950000000000003" customHeight="1" x14ac:dyDescent="0.3">
      <c r="A1" s="19" t="s">
        <v>13</v>
      </c>
      <c r="B1" s="19" t="s">
        <v>14</v>
      </c>
      <c r="C1" s="19" t="s">
        <v>15</v>
      </c>
      <c r="D1" s="19" t="s">
        <v>16</v>
      </c>
      <c r="E1" s="19" t="s">
        <v>17</v>
      </c>
      <c r="F1" s="19" t="s">
        <v>18</v>
      </c>
      <c r="G1" s="20" t="s">
        <v>19</v>
      </c>
      <c r="H1" s="20" t="s">
        <v>20</v>
      </c>
      <c r="I1" s="21" t="s">
        <v>21</v>
      </c>
      <c r="J1" s="21" t="s">
        <v>22</v>
      </c>
      <c r="K1" s="20" t="s">
        <v>23</v>
      </c>
      <c r="L1" s="20" t="s">
        <v>24</v>
      </c>
      <c r="M1" s="20" t="s">
        <v>43</v>
      </c>
      <c r="N1" s="21" t="s">
        <v>25</v>
      </c>
      <c r="O1" s="22" t="s">
        <v>26</v>
      </c>
      <c r="P1" s="20" t="s">
        <v>27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x14ac:dyDescent="0.3">
      <c r="A2" s="23">
        <v>1</v>
      </c>
      <c r="B2" s="26" t="s">
        <v>45</v>
      </c>
      <c r="C2" s="23" t="s">
        <v>34</v>
      </c>
      <c r="D2" s="1" t="s">
        <v>35</v>
      </c>
      <c r="E2" s="1" t="s">
        <v>37</v>
      </c>
      <c r="F2" s="1" t="s">
        <v>36</v>
      </c>
      <c r="G2" s="24">
        <v>8</v>
      </c>
      <c r="H2" s="24">
        <v>3200</v>
      </c>
      <c r="I2" s="24">
        <v>50</v>
      </c>
      <c r="J2" s="24">
        <v>10800</v>
      </c>
      <c r="N2" s="24">
        <v>9800</v>
      </c>
      <c r="O2" s="25">
        <v>0.1</v>
      </c>
      <c r="P2" s="24">
        <v>980</v>
      </c>
    </row>
    <row r="3" spans="1:36" x14ac:dyDescent="0.3">
      <c r="A3" s="23">
        <v>2</v>
      </c>
      <c r="B3" s="23" t="s">
        <v>45</v>
      </c>
      <c r="C3" s="23" t="s">
        <v>34</v>
      </c>
      <c r="D3" s="1" t="s">
        <v>35</v>
      </c>
      <c r="E3" s="1" t="s">
        <v>37</v>
      </c>
      <c r="F3" s="1" t="s">
        <v>36</v>
      </c>
      <c r="G3" s="24">
        <v>0</v>
      </c>
      <c r="H3" s="24">
        <v>0</v>
      </c>
      <c r="I3" s="24">
        <v>2</v>
      </c>
      <c r="J3" s="24">
        <v>480</v>
      </c>
      <c r="N3" s="24">
        <v>235</v>
      </c>
      <c r="O3" s="25">
        <v>0.1</v>
      </c>
      <c r="P3" s="24">
        <v>24</v>
      </c>
    </row>
    <row r="4" spans="1:36" x14ac:dyDescent="0.3">
      <c r="A4" s="23">
        <v>3</v>
      </c>
      <c r="B4" s="23" t="s">
        <v>45</v>
      </c>
      <c r="C4" s="23" t="s">
        <v>34</v>
      </c>
      <c r="D4" s="1" t="s">
        <v>35</v>
      </c>
      <c r="E4" s="1" t="s">
        <v>37</v>
      </c>
      <c r="F4" s="1" t="s">
        <v>36</v>
      </c>
      <c r="G4" s="24">
        <v>0</v>
      </c>
      <c r="H4" s="24">
        <v>0</v>
      </c>
      <c r="I4" s="24">
        <v>1</v>
      </c>
      <c r="J4" s="24">
        <v>240</v>
      </c>
      <c r="N4" s="24">
        <v>151</v>
      </c>
      <c r="O4" s="25">
        <v>0.1</v>
      </c>
      <c r="P4" s="24">
        <v>15</v>
      </c>
    </row>
    <row r="5" spans="1:36" x14ac:dyDescent="0.3">
      <c r="A5" s="23">
        <v>4</v>
      </c>
      <c r="B5" s="23" t="s">
        <v>45</v>
      </c>
      <c r="C5" s="23" t="s">
        <v>34</v>
      </c>
      <c r="D5" s="1" t="s">
        <v>35</v>
      </c>
      <c r="E5" s="1" t="s">
        <v>37</v>
      </c>
      <c r="F5" s="1" t="s">
        <v>36</v>
      </c>
      <c r="G5" s="24">
        <v>1</v>
      </c>
      <c r="H5" s="24">
        <v>480</v>
      </c>
      <c r="I5" s="24">
        <v>75</v>
      </c>
      <c r="J5" s="24">
        <v>18000</v>
      </c>
      <c r="N5" s="24">
        <v>12160</v>
      </c>
      <c r="O5" s="25">
        <v>0.1</v>
      </c>
      <c r="P5" s="24">
        <v>1216</v>
      </c>
    </row>
    <row r="6" spans="1:36" x14ac:dyDescent="0.3">
      <c r="A6" s="23">
        <v>5</v>
      </c>
      <c r="B6" s="23" t="s">
        <v>45</v>
      </c>
      <c r="C6" s="23" t="s">
        <v>34</v>
      </c>
      <c r="D6" s="1" t="s">
        <v>35</v>
      </c>
      <c r="E6" s="1" t="s">
        <v>37</v>
      </c>
      <c r="F6" s="1" t="s">
        <v>36</v>
      </c>
      <c r="G6" s="24">
        <v>0</v>
      </c>
      <c r="H6" s="24">
        <v>0</v>
      </c>
      <c r="I6" s="24">
        <v>6</v>
      </c>
      <c r="J6" s="24">
        <v>1440</v>
      </c>
      <c r="N6" s="24">
        <v>958</v>
      </c>
      <c r="O6" s="25">
        <v>0.1</v>
      </c>
      <c r="P6" s="24">
        <v>96</v>
      </c>
    </row>
    <row r="7" spans="1:36" x14ac:dyDescent="0.3">
      <c r="A7" s="23">
        <v>6</v>
      </c>
      <c r="B7" s="23" t="s">
        <v>45</v>
      </c>
      <c r="C7" s="23" t="s">
        <v>46</v>
      </c>
      <c r="D7" s="1" t="s">
        <v>35</v>
      </c>
      <c r="E7" s="1" t="s">
        <v>37</v>
      </c>
      <c r="F7" s="1" t="s">
        <v>36</v>
      </c>
      <c r="H7" s="24">
        <v>6900</v>
      </c>
      <c r="N7" s="24">
        <v>6900</v>
      </c>
      <c r="O7" s="25">
        <v>0.1</v>
      </c>
      <c r="P7" s="24">
        <v>690</v>
      </c>
    </row>
    <row r="8" spans="1:36" x14ac:dyDescent="0.3">
      <c r="A8" s="23">
        <v>7</v>
      </c>
      <c r="B8" s="23" t="s">
        <v>45</v>
      </c>
      <c r="C8" s="23" t="s">
        <v>42</v>
      </c>
      <c r="D8" s="1" t="s">
        <v>35</v>
      </c>
      <c r="E8" s="1" t="s">
        <v>37</v>
      </c>
      <c r="F8" s="1" t="s">
        <v>36</v>
      </c>
      <c r="G8" s="24">
        <v>24</v>
      </c>
      <c r="H8" s="24">
        <v>9600</v>
      </c>
      <c r="I8" s="24">
        <v>6174</v>
      </c>
      <c r="J8" s="24">
        <v>1234800</v>
      </c>
      <c r="K8" s="24">
        <v>18</v>
      </c>
      <c r="L8" s="24">
        <v>-3600</v>
      </c>
      <c r="M8" s="24">
        <v>6024.800000000002</v>
      </c>
      <c r="N8" s="24">
        <v>872777</v>
      </c>
      <c r="O8" s="25">
        <v>0.1</v>
      </c>
      <c r="P8" s="24">
        <v>87278</v>
      </c>
    </row>
    <row r="9" spans="1:36" x14ac:dyDescent="0.3">
      <c r="A9" s="23">
        <v>8</v>
      </c>
      <c r="B9" s="23" t="s">
        <v>45</v>
      </c>
      <c r="C9" s="23" t="s">
        <v>47</v>
      </c>
      <c r="D9" s="1" t="s">
        <v>50</v>
      </c>
      <c r="E9" s="1" t="s">
        <v>37</v>
      </c>
      <c r="F9" s="1" t="s">
        <v>36</v>
      </c>
      <c r="G9" s="24">
        <v>0</v>
      </c>
      <c r="H9" s="24">
        <v>0</v>
      </c>
      <c r="I9" s="24">
        <v>209</v>
      </c>
      <c r="J9" s="24">
        <v>67200</v>
      </c>
      <c r="N9" s="24">
        <v>40320</v>
      </c>
      <c r="O9" s="25">
        <v>0.1</v>
      </c>
      <c r="P9" s="24">
        <v>4032</v>
      </c>
    </row>
    <row r="10" spans="1:36" x14ac:dyDescent="0.3">
      <c r="A10" s="23">
        <v>9</v>
      </c>
      <c r="B10" s="23" t="s">
        <v>45</v>
      </c>
      <c r="C10" s="23" t="s">
        <v>47</v>
      </c>
      <c r="D10" s="1" t="s">
        <v>50</v>
      </c>
      <c r="E10" s="1" t="s">
        <v>37</v>
      </c>
      <c r="F10" s="1" t="s">
        <v>36</v>
      </c>
      <c r="G10" s="24">
        <v>0</v>
      </c>
      <c r="H10" s="24">
        <v>0</v>
      </c>
      <c r="I10" s="24">
        <v>26</v>
      </c>
      <c r="J10" s="24">
        <v>21600</v>
      </c>
      <c r="N10" s="24">
        <v>13608</v>
      </c>
      <c r="O10" s="25">
        <v>0.1</v>
      </c>
      <c r="P10" s="24">
        <v>1361</v>
      </c>
    </row>
    <row r="11" spans="1:36" x14ac:dyDescent="0.3">
      <c r="A11" s="23">
        <v>10</v>
      </c>
      <c r="B11" s="23" t="s">
        <v>45</v>
      </c>
      <c r="C11" s="23" t="s">
        <v>48</v>
      </c>
      <c r="D11" s="1" t="s">
        <v>35</v>
      </c>
      <c r="E11" s="1" t="s">
        <v>37</v>
      </c>
      <c r="F11" s="1" t="s">
        <v>36</v>
      </c>
      <c r="H11" s="24">
        <v>0</v>
      </c>
      <c r="J11" s="24">
        <v>600</v>
      </c>
      <c r="N11" s="24">
        <v>378</v>
      </c>
      <c r="O11" s="25">
        <v>0.1</v>
      </c>
      <c r="P11" s="24">
        <v>38</v>
      </c>
    </row>
    <row r="12" spans="1:36" x14ac:dyDescent="0.3">
      <c r="A12" s="23">
        <v>11</v>
      </c>
      <c r="B12" s="23" t="s">
        <v>45</v>
      </c>
      <c r="C12" s="23" t="s">
        <v>48</v>
      </c>
      <c r="D12" s="1" t="s">
        <v>35</v>
      </c>
      <c r="E12" s="1" t="s">
        <v>37</v>
      </c>
      <c r="F12" s="1" t="s">
        <v>36</v>
      </c>
      <c r="H12" s="24">
        <v>0</v>
      </c>
      <c r="J12" s="24">
        <v>600</v>
      </c>
      <c r="N12" s="24">
        <v>120</v>
      </c>
      <c r="O12" s="25">
        <v>0.1</v>
      </c>
      <c r="P12" s="24">
        <v>12</v>
      </c>
    </row>
    <row r="13" spans="1:36" x14ac:dyDescent="0.3">
      <c r="A13" s="23">
        <v>12</v>
      </c>
      <c r="B13" s="23" t="s">
        <v>45</v>
      </c>
      <c r="C13" s="23" t="s">
        <v>38</v>
      </c>
      <c r="D13" s="1" t="s">
        <v>35</v>
      </c>
      <c r="E13" s="1" t="s">
        <v>37</v>
      </c>
      <c r="F13" s="1" t="s">
        <v>36</v>
      </c>
      <c r="H13" s="24">
        <v>5040</v>
      </c>
      <c r="N13" s="24">
        <v>2722</v>
      </c>
      <c r="O13" s="25">
        <v>0.1</v>
      </c>
      <c r="P13" s="24">
        <v>272</v>
      </c>
    </row>
    <row r="14" spans="1:36" x14ac:dyDescent="0.3">
      <c r="A14" s="23">
        <v>13</v>
      </c>
      <c r="B14" s="23" t="s">
        <v>45</v>
      </c>
      <c r="C14" s="23" t="s">
        <v>38</v>
      </c>
      <c r="D14" s="1" t="s">
        <v>35</v>
      </c>
      <c r="E14" s="1" t="s">
        <v>37</v>
      </c>
      <c r="F14" s="1" t="s">
        <v>36</v>
      </c>
      <c r="H14" s="24">
        <v>2520</v>
      </c>
      <c r="N14" s="24">
        <v>1058</v>
      </c>
      <c r="O14" s="25">
        <v>0.1</v>
      </c>
      <c r="P14" s="24">
        <v>106</v>
      </c>
    </row>
    <row r="15" spans="1:36" x14ac:dyDescent="0.3">
      <c r="A15" s="23">
        <v>14</v>
      </c>
      <c r="B15" s="23" t="s">
        <v>45</v>
      </c>
      <c r="C15" s="23" t="s">
        <v>49</v>
      </c>
      <c r="D15" s="1" t="s">
        <v>35</v>
      </c>
      <c r="E15" s="1" t="s">
        <v>37</v>
      </c>
      <c r="F15" s="1" t="s">
        <v>36</v>
      </c>
      <c r="G15" s="24">
        <v>75</v>
      </c>
      <c r="H15" s="24">
        <v>40903.999999999927</v>
      </c>
      <c r="K15" s="24">
        <v>0</v>
      </c>
      <c r="L15" s="24">
        <v>0</v>
      </c>
      <c r="N15" s="24">
        <v>28633</v>
      </c>
      <c r="O15" s="25">
        <v>0.1</v>
      </c>
      <c r="P15" s="24">
        <v>2863</v>
      </c>
    </row>
    <row r="16" spans="1:36" x14ac:dyDescent="0.3">
      <c r="A16" s="23">
        <v>15</v>
      </c>
      <c r="B16" s="23" t="s">
        <v>45</v>
      </c>
      <c r="C16" s="23" t="s">
        <v>39</v>
      </c>
      <c r="D16" s="1" t="s">
        <v>35</v>
      </c>
      <c r="E16" s="1" t="s">
        <v>37</v>
      </c>
      <c r="F16" s="1" t="s">
        <v>36</v>
      </c>
      <c r="H16" s="24">
        <v>103989</v>
      </c>
      <c r="N16" s="24">
        <v>65513</v>
      </c>
      <c r="O16" s="25">
        <v>0.1</v>
      </c>
      <c r="P16" s="24">
        <v>6551</v>
      </c>
    </row>
    <row r="17" spans="1:16" x14ac:dyDescent="0.3">
      <c r="A17" s="23">
        <v>16</v>
      </c>
      <c r="B17" s="23" t="s">
        <v>45</v>
      </c>
      <c r="C17" s="23" t="s">
        <v>39</v>
      </c>
      <c r="D17" s="1" t="s">
        <v>35</v>
      </c>
      <c r="E17" s="1" t="s">
        <v>37</v>
      </c>
      <c r="F17" s="1" t="s">
        <v>36</v>
      </c>
      <c r="H17" s="24">
        <v>95787</v>
      </c>
      <c r="N17" s="24">
        <v>60346</v>
      </c>
      <c r="O17" s="25">
        <v>0.1</v>
      </c>
      <c r="P17" s="24">
        <v>6035</v>
      </c>
    </row>
    <row r="18" spans="1:16" x14ac:dyDescent="0.3">
      <c r="A18" s="23">
        <v>17</v>
      </c>
      <c r="B18" s="23" t="s">
        <v>45</v>
      </c>
      <c r="C18" s="23" t="s">
        <v>39</v>
      </c>
      <c r="D18" s="1" t="s">
        <v>35</v>
      </c>
      <c r="E18" s="1" t="s">
        <v>37</v>
      </c>
      <c r="F18" s="1" t="s">
        <v>36</v>
      </c>
      <c r="H18" s="24">
        <v>148800</v>
      </c>
      <c r="N18" s="24">
        <v>101035</v>
      </c>
      <c r="O18" s="25">
        <v>0.1</v>
      </c>
      <c r="P18" s="24">
        <v>10104</v>
      </c>
    </row>
    <row r="19" spans="1:16" x14ac:dyDescent="0.3">
      <c r="A19" s="23">
        <v>18</v>
      </c>
      <c r="B19" s="23" t="s">
        <v>45</v>
      </c>
      <c r="C19" s="23" t="s">
        <v>39</v>
      </c>
      <c r="D19" s="1" t="s">
        <v>35</v>
      </c>
      <c r="E19" s="1" t="s">
        <v>37</v>
      </c>
      <c r="F19" s="1" t="s">
        <v>36</v>
      </c>
      <c r="H19" s="24">
        <v>15840</v>
      </c>
      <c r="N19" s="24">
        <v>7762</v>
      </c>
      <c r="O19" s="25">
        <v>0.1</v>
      </c>
      <c r="P19" s="24">
        <v>776</v>
      </c>
    </row>
    <row r="20" spans="1:16" x14ac:dyDescent="0.3">
      <c r="A20" s="23">
        <v>19</v>
      </c>
      <c r="B20" s="23" t="s">
        <v>45</v>
      </c>
      <c r="C20" s="23" t="s">
        <v>39</v>
      </c>
      <c r="D20" s="1" t="s">
        <v>35</v>
      </c>
      <c r="E20" s="1" t="s">
        <v>37</v>
      </c>
      <c r="F20" s="1" t="s">
        <v>36</v>
      </c>
      <c r="H20" s="24">
        <v>67120</v>
      </c>
      <c r="N20" s="24">
        <v>42286</v>
      </c>
      <c r="O20" s="25">
        <v>0.1</v>
      </c>
      <c r="P20" s="24">
        <v>4229</v>
      </c>
    </row>
    <row r="21" spans="1:16" x14ac:dyDescent="0.3">
      <c r="A21" s="23">
        <v>20</v>
      </c>
      <c r="B21" s="23" t="s">
        <v>45</v>
      </c>
      <c r="C21" s="23" t="s">
        <v>40</v>
      </c>
      <c r="D21" s="1" t="s">
        <v>35</v>
      </c>
      <c r="E21" s="1" t="s">
        <v>37</v>
      </c>
      <c r="F21" s="1" t="s">
        <v>36</v>
      </c>
      <c r="G21" s="24">
        <v>236</v>
      </c>
      <c r="H21" s="24">
        <v>23600</v>
      </c>
      <c r="I21" s="24">
        <v>152</v>
      </c>
      <c r="J21" s="24">
        <v>15200</v>
      </c>
      <c r="N21" s="24">
        <v>27160</v>
      </c>
      <c r="O21" s="25">
        <v>0.1</v>
      </c>
      <c r="P21" s="24">
        <v>2716</v>
      </c>
    </row>
    <row r="22" spans="1:16" x14ac:dyDescent="0.3">
      <c r="A22" s="23">
        <v>21</v>
      </c>
      <c r="B22" s="23" t="s">
        <v>45</v>
      </c>
      <c r="C22" s="23" t="s">
        <v>40</v>
      </c>
      <c r="D22" s="1" t="s">
        <v>35</v>
      </c>
      <c r="E22" s="1" t="s">
        <v>37</v>
      </c>
      <c r="F22" s="1" t="s">
        <v>36</v>
      </c>
      <c r="G22" s="24">
        <v>16</v>
      </c>
      <c r="H22" s="24">
        <v>1600</v>
      </c>
      <c r="I22" s="24">
        <v>10</v>
      </c>
      <c r="J22" s="24">
        <v>1000</v>
      </c>
      <c r="N22" s="24">
        <v>1274</v>
      </c>
      <c r="O22" s="25">
        <v>0.1</v>
      </c>
      <c r="P22" s="24">
        <v>127</v>
      </c>
    </row>
    <row r="23" spans="1:16" x14ac:dyDescent="0.3">
      <c r="A23" s="23">
        <v>22</v>
      </c>
      <c r="B23" s="23" t="s">
        <v>45</v>
      </c>
      <c r="C23" s="23" t="s">
        <v>40</v>
      </c>
      <c r="D23" s="1" t="s">
        <v>35</v>
      </c>
      <c r="E23" s="1" t="s">
        <v>37</v>
      </c>
      <c r="F23" s="1" t="s">
        <v>36</v>
      </c>
      <c r="G23" s="24">
        <v>32</v>
      </c>
      <c r="H23" s="24">
        <v>3200</v>
      </c>
      <c r="I23" s="24">
        <v>328</v>
      </c>
      <c r="J23" s="24">
        <v>32800</v>
      </c>
      <c r="N23" s="24">
        <v>17640</v>
      </c>
      <c r="O23" s="25">
        <v>0.1</v>
      </c>
      <c r="P23" s="24">
        <v>1764</v>
      </c>
    </row>
    <row r="24" spans="1:16" x14ac:dyDescent="0.3">
      <c r="A24" s="23">
        <v>23</v>
      </c>
      <c r="B24" s="23" t="s">
        <v>45</v>
      </c>
      <c r="C24" s="23" t="s">
        <v>40</v>
      </c>
      <c r="D24" s="1" t="s">
        <v>35</v>
      </c>
      <c r="E24" s="1" t="s">
        <v>37</v>
      </c>
      <c r="F24" s="1" t="s">
        <v>36</v>
      </c>
      <c r="G24" s="24">
        <v>8</v>
      </c>
      <c r="H24" s="24">
        <v>800</v>
      </c>
      <c r="I24" s="24">
        <v>128</v>
      </c>
      <c r="J24" s="24">
        <v>12800</v>
      </c>
      <c r="N24" s="24">
        <v>9520</v>
      </c>
      <c r="O24" s="25">
        <v>0.1</v>
      </c>
      <c r="P24" s="24">
        <v>952</v>
      </c>
    </row>
    <row r="25" spans="1:16" x14ac:dyDescent="0.3">
      <c r="A25" s="23">
        <v>24</v>
      </c>
      <c r="B25" s="23" t="s">
        <v>45</v>
      </c>
      <c r="C25" s="23" t="s">
        <v>44</v>
      </c>
      <c r="D25" s="1" t="s">
        <v>35</v>
      </c>
      <c r="E25" s="1" t="s">
        <v>37</v>
      </c>
      <c r="F25" s="1" t="s">
        <v>36</v>
      </c>
      <c r="H25" s="24">
        <v>1922</v>
      </c>
      <c r="N25" s="24">
        <v>1922</v>
      </c>
      <c r="O25" s="25">
        <v>0.1</v>
      </c>
      <c r="P25" s="24">
        <v>192</v>
      </c>
    </row>
    <row r="26" spans="1:16" x14ac:dyDescent="0.3">
      <c r="A26" s="23">
        <v>25</v>
      </c>
      <c r="B26" s="23" t="s">
        <v>45</v>
      </c>
      <c r="C26" s="23" t="s">
        <v>41</v>
      </c>
      <c r="D26" s="1" t="s">
        <v>35</v>
      </c>
      <c r="E26" s="1" t="s">
        <v>37</v>
      </c>
      <c r="F26" s="1" t="s">
        <v>36</v>
      </c>
      <c r="H26" s="24">
        <v>12110</v>
      </c>
      <c r="N26" s="24">
        <v>11383</v>
      </c>
      <c r="O26" s="25">
        <v>0.1</v>
      </c>
      <c r="P26" s="24">
        <v>1138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상세내역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</dc:creator>
  <cp:lastModifiedBy>M-hub</cp:lastModifiedBy>
  <cp:lastPrinted>2021-11-10T23:56:12Z</cp:lastPrinted>
  <dcterms:created xsi:type="dcterms:W3CDTF">2021-10-28T04:20:52Z</dcterms:created>
  <dcterms:modified xsi:type="dcterms:W3CDTF">2022-12-22T09:23:35Z</dcterms:modified>
</cp:coreProperties>
</file>