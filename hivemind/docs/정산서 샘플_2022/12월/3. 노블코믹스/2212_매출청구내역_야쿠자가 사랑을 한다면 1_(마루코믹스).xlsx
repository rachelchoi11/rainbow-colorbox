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U:\04.출판사 정산\스토리위즈(태랑 이관)\"/>
    </mc:Choice>
  </mc:AlternateContent>
  <xr:revisionPtr revIDLastSave="0" documentId="13_ncr:1_{DB8A15C0-A887-41FD-8F96-0C0F92D59A37}" xr6:coauthVersionLast="47" xr6:coauthVersionMax="47" xr10:uidLastSave="{00000000-0000-0000-0000-000000000000}"/>
  <bookViews>
    <workbookView xWindow="20595" yWindow="240" windowWidth="17595" windowHeight="15240" tabRatio="752" firstSheet="18" activeTab="21" xr2:uid="{00000000-000D-0000-FFFF-FFFF00000000}"/>
  </bookViews>
  <sheets>
    <sheet name="22년 4월(국내)" sheetId="38" r:id="rId1"/>
    <sheet name="22년 4월(해외)" sheetId="40" r:id="rId2"/>
    <sheet name="22년 4월 세부내역" sheetId="39" r:id="rId3"/>
    <sheet name="22년 5월(국내)" sheetId="41" r:id="rId4"/>
    <sheet name="22년 5월(해외)" sheetId="44" r:id="rId5"/>
    <sheet name="22년 5월 세부내역" sheetId="43" r:id="rId6"/>
    <sheet name="22년 6월(국내)" sheetId="45" r:id="rId7"/>
    <sheet name="22년 6월 세부내역" sheetId="47" r:id="rId8"/>
    <sheet name="22년 7월(국내)" sheetId="49" r:id="rId9"/>
    <sheet name="22년 7월(해외)" sheetId="48" r:id="rId10"/>
    <sheet name="22년 7월 세부내역" sheetId="50" r:id="rId11"/>
    <sheet name="22년 8월(국내)" sheetId="51" r:id="rId12"/>
    <sheet name="22년 8월(해외)" sheetId="52" r:id="rId13"/>
    <sheet name="22년 8월 세부내역" sheetId="53" r:id="rId14"/>
    <sheet name="22년 9월(국내)" sheetId="54" r:id="rId15"/>
    <sheet name="22년 9월(해외)" sheetId="55" r:id="rId16"/>
    <sheet name="22년 9월 세부내역" sheetId="56" r:id="rId17"/>
    <sheet name="22년 10월(국내)" sheetId="57" r:id="rId18"/>
    <sheet name="22년 10월(해외)" sheetId="58" r:id="rId19"/>
    <sheet name="22년 10월 세부내역" sheetId="59" r:id="rId20"/>
    <sheet name="22년 11월(국내)" sheetId="60" r:id="rId21"/>
    <sheet name="22년 11월(해외)" sheetId="61" r:id="rId22"/>
    <sheet name="22년 11월 세부내역" sheetId="62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60" l="1"/>
  <c r="D21" i="61" l="1"/>
  <c r="J21" i="61" s="1"/>
  <c r="D23" i="61" s="1"/>
  <c r="G18" i="61"/>
  <c r="J17" i="61"/>
  <c r="I17" i="61"/>
  <c r="C17" i="61"/>
  <c r="J14" i="61"/>
  <c r="H14" i="61"/>
  <c r="J20" i="60"/>
  <c r="C20" i="60"/>
  <c r="J17" i="60"/>
  <c r="H17" i="60"/>
  <c r="J14" i="60"/>
  <c r="H14" i="60"/>
  <c r="H23" i="61" l="1"/>
  <c r="J23" i="61" s="1"/>
  <c r="H20" i="60"/>
  <c r="H21" i="61"/>
  <c r="D21" i="58"/>
  <c r="J21" i="58" s="1"/>
  <c r="D23" i="58" s="1"/>
  <c r="G18" i="58"/>
  <c r="J17" i="58"/>
  <c r="I17" i="58"/>
  <c r="C17" i="58"/>
  <c r="J14" i="58"/>
  <c r="H14" i="58"/>
  <c r="D20" i="57"/>
  <c r="H20" i="57" s="1"/>
  <c r="C20" i="57"/>
  <c r="J17" i="57"/>
  <c r="H17" i="57"/>
  <c r="J14" i="57"/>
  <c r="H14" i="57"/>
  <c r="H20" i="54"/>
  <c r="J14" i="54"/>
  <c r="H14" i="54"/>
  <c r="D21" i="55"/>
  <c r="H21" i="55" s="1"/>
  <c r="G18" i="55"/>
  <c r="J17" i="55"/>
  <c r="I17" i="55"/>
  <c r="C17" i="55"/>
  <c r="J14" i="55"/>
  <c r="H14" i="55"/>
  <c r="D20" i="54"/>
  <c r="J20" i="54" s="1"/>
  <c r="C20" i="54"/>
  <c r="J17" i="54"/>
  <c r="H17" i="54"/>
  <c r="D21" i="52"/>
  <c r="J17" i="52"/>
  <c r="I17" i="52"/>
  <c r="D20" i="51"/>
  <c r="J17" i="51"/>
  <c r="H17" i="51"/>
  <c r="J14" i="51"/>
  <c r="G18" i="52"/>
  <c r="C17" i="52"/>
  <c r="J14" i="52"/>
  <c r="H14" i="52"/>
  <c r="C20" i="51"/>
  <c r="D28" i="48"/>
  <c r="J22" i="48"/>
  <c r="H22" i="48"/>
  <c r="J25" i="48"/>
  <c r="H25" i="48"/>
  <c r="H17" i="48"/>
  <c r="G18" i="48"/>
  <c r="D17" i="49"/>
  <c r="J17" i="49" s="1"/>
  <c r="C17" i="49"/>
  <c r="J14" i="49"/>
  <c r="H14" i="49"/>
  <c r="C17" i="48"/>
  <c r="J14" i="48"/>
  <c r="H14" i="48"/>
  <c r="C17" i="45"/>
  <c r="D17" i="45"/>
  <c r="J17" i="45" s="1"/>
  <c r="J14" i="45"/>
  <c r="H14" i="45"/>
  <c r="H17" i="43"/>
  <c r="I17" i="43" s="1"/>
  <c r="G17" i="43"/>
  <c r="F17" i="43"/>
  <c r="E17" i="43"/>
  <c r="D17" i="43"/>
  <c r="C17" i="43"/>
  <c r="I16" i="43"/>
  <c r="J16" i="43" s="1"/>
  <c r="J17" i="43" s="1"/>
  <c r="C13" i="43" s="1"/>
  <c r="H23" i="58" l="1"/>
  <c r="J23" i="58" s="1"/>
  <c r="J20" i="57"/>
  <c r="H21" i="58"/>
  <c r="J21" i="55"/>
  <c r="D23" i="55" s="1"/>
  <c r="H23" i="55"/>
  <c r="J23" i="55" s="1"/>
  <c r="H14" i="51"/>
  <c r="J20" i="51"/>
  <c r="J28" i="48"/>
  <c r="D30" i="48" s="1"/>
  <c r="I17" i="48"/>
  <c r="J17" i="48"/>
  <c r="H17" i="49"/>
  <c r="H30" i="48"/>
  <c r="J30" i="48" s="1"/>
  <c r="H28" i="48"/>
  <c r="H17" i="45"/>
  <c r="D17" i="44"/>
  <c r="H17" i="44" s="1"/>
  <c r="J14" i="44"/>
  <c r="H14" i="44"/>
  <c r="D17" i="41"/>
  <c r="J17" i="41" s="1"/>
  <c r="J14" i="41"/>
  <c r="H14" i="41"/>
  <c r="J20" i="40"/>
  <c r="H20" i="40"/>
  <c r="D20" i="40"/>
  <c r="J18" i="40"/>
  <c r="H18" i="40"/>
  <c r="D18" i="40"/>
  <c r="D17" i="38"/>
  <c r="J14" i="40"/>
  <c r="H14" i="40"/>
  <c r="J17" i="38"/>
  <c r="H20" i="51" l="1"/>
  <c r="J21" i="52"/>
  <c r="D23" i="52" s="1"/>
  <c r="H21" i="52"/>
  <c r="J17" i="44"/>
  <c r="D19" i="44" s="1"/>
  <c r="H17" i="41"/>
  <c r="H17" i="38"/>
  <c r="J14" i="38"/>
  <c r="H14" i="38"/>
  <c r="H23" i="52" l="1"/>
  <c r="J23" i="52" s="1"/>
  <c r="H19" i="44"/>
  <c r="J19" i="44" s="1"/>
</calcChain>
</file>

<file path=xl/sharedStrings.xml><?xml version="1.0" encoding="utf-8"?>
<sst xmlns="http://schemas.openxmlformats.org/spreadsheetml/2006/main" count="1087" uniqueCount="200">
  <si>
    <t>* 정산 담당자 E-mail : hometax@marucomics.com</t>
  </si>
  <si>
    <t>정산월</t>
  </si>
  <si>
    <t>작가명</t>
  </si>
  <si>
    <t>야쿠자가 사랑을 한다면</t>
  </si>
  <si>
    <t>정산대상기간</t>
  </si>
  <si>
    <t>봄툰 총 매출</t>
  </si>
  <si>
    <t>출판사 정산</t>
  </si>
  <si>
    <t>정산내역</t>
  </si>
  <si>
    <t>모리미&amp;두팔</t>
  </si>
  <si>
    <t>웹정산율</t>
  </si>
  <si>
    <t>MG 잔액</t>
  </si>
  <si>
    <t>CP회사명</t>
  </si>
  <si>
    <t>RS 지급</t>
  </si>
  <si>
    <t>마루코믹스</t>
  </si>
  <si>
    <t>2.면세</t>
  </si>
  <si>
    <t>앱코인합계</t>
  </si>
  <si>
    <t>35.0%</t>
  </si>
  <si>
    <t>웹코인합계</t>
  </si>
  <si>
    <t>앱정산율</t>
  </si>
  <si>
    <t>45.0%</t>
  </si>
  <si>
    <t>만화명</t>
  </si>
  <si>
    <t>: 야쿠자가 사랑을 한다면</t>
  </si>
  <si>
    <t>마루코믹스 정산서</t>
  </si>
  <si>
    <t>작   품   명</t>
  </si>
  <si>
    <t>주식회사 마루코믹스</t>
  </si>
  <si>
    <t>업   체   명</t>
  </si>
  <si>
    <t>마루코믹스 정산</t>
  </si>
  <si>
    <t>국내 - 봄툰(수익)</t>
  </si>
  <si>
    <r>
      <t>지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급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예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정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일</t>
    </r>
  </si>
  <si>
    <t>CP(정산처)</t>
    <phoneticPr fontId="39" type="noConversion"/>
  </si>
  <si>
    <t>구분</t>
    <phoneticPr fontId="40" type="noConversion"/>
  </si>
  <si>
    <t>비고</t>
    <phoneticPr fontId="40" type="noConversion"/>
  </si>
  <si>
    <t>이월 차감잔액</t>
    <phoneticPr fontId="40" type="noConversion"/>
  </si>
  <si>
    <t>콘텐츠 MG</t>
    <phoneticPr fontId="40" type="noConversion"/>
  </si>
  <si>
    <t>실지급 MG</t>
    <phoneticPr fontId="40" type="noConversion"/>
  </si>
  <si>
    <t>웹매출액</t>
    <phoneticPr fontId="40" type="noConversion"/>
  </si>
  <si>
    <t>웹정산액</t>
    <phoneticPr fontId="40" type="noConversion"/>
  </si>
  <si>
    <t>앱매출액</t>
    <phoneticPr fontId="40" type="noConversion"/>
  </si>
  <si>
    <t>앱정산액</t>
    <phoneticPr fontId="40" type="noConversion"/>
  </si>
  <si>
    <t>정산액(웹+앱)</t>
    <phoneticPr fontId="40" type="noConversion"/>
  </si>
  <si>
    <t>총매출액</t>
    <phoneticPr fontId="40" type="noConversion"/>
  </si>
  <si>
    <t>글/그림</t>
    <phoneticPr fontId="40" type="noConversion"/>
  </si>
  <si>
    <t>RS정산액</t>
    <phoneticPr fontId="40" type="noConversion"/>
  </si>
  <si>
    <t>RS-MG</t>
    <phoneticPr fontId="40" type="noConversion"/>
  </si>
  <si>
    <t>RS지급액(MG-RS)</t>
    <phoneticPr fontId="40" type="noConversion"/>
  </si>
  <si>
    <t>정산월</t>
    <phoneticPr fontId="36" type="noConversion"/>
  </si>
  <si>
    <t>봄툰(MG,RS)</t>
    <phoneticPr fontId="36" type="noConversion"/>
  </si>
  <si>
    <t>MCP</t>
  </si>
  <si>
    <t>국가</t>
    <phoneticPr fontId="36" type="noConversion"/>
  </si>
  <si>
    <t>프랑스</t>
    <phoneticPr fontId="36" type="noConversion"/>
  </si>
  <si>
    <t>독일</t>
    <phoneticPr fontId="36" type="noConversion"/>
  </si>
  <si>
    <t>RS</t>
    <phoneticPr fontId="36" type="noConversion"/>
  </si>
  <si>
    <t>해외 - 델리툰(프랑스/독일)</t>
    <phoneticPr fontId="36" type="noConversion"/>
  </si>
  <si>
    <t>델리툰</t>
    <phoneticPr fontId="36" type="noConversion"/>
  </si>
  <si>
    <t>title</t>
  </si>
  <si>
    <t>CP RS (€)</t>
  </si>
  <si>
    <t>CP RS (￦)</t>
  </si>
  <si>
    <t>Unit</t>
  </si>
  <si>
    <t>Un amour de yakuza</t>
  </si>
  <si>
    <t>KRW</t>
  </si>
  <si>
    <t>발행일: 2022-05-20</t>
    <phoneticPr fontId="36" type="noConversion"/>
  </si>
  <si>
    <t>: 스토리위즈</t>
    <phoneticPr fontId="36" type="noConversion"/>
  </si>
  <si>
    <t>: 2022-04</t>
    <phoneticPr fontId="36" type="noConversion"/>
  </si>
  <si>
    <t>4월</t>
    <phoneticPr fontId="36" type="noConversion"/>
  </si>
  <si>
    <t>: 2022-05-31</t>
    <phoneticPr fontId="36" type="noConversion"/>
  </si>
  <si>
    <t>매출합계 (국내+해외)</t>
  </si>
  <si>
    <t>* 정산서 확인 후 이상 없는 경우 계산서 발행 부탁드립니다.</t>
    <phoneticPr fontId="36" type="noConversion"/>
  </si>
  <si>
    <t>* 정산서 확인 후 이상 없는 경우 세금계산서 발행 부탁드립니다.</t>
    <phoneticPr fontId="36" type="noConversion"/>
  </si>
  <si>
    <t>매출합계</t>
  </si>
  <si>
    <t>마루코믹스 합계</t>
  </si>
  <si>
    <t>출판사 합계</t>
  </si>
  <si>
    <t>4월</t>
  </si>
  <si>
    <t>공급가액</t>
  </si>
  <si>
    <t>세액</t>
  </si>
  <si>
    <t>합계금액</t>
  </si>
  <si>
    <t>Title</t>
  </si>
  <si>
    <t>Site</t>
  </si>
  <si>
    <t>Platform</t>
  </si>
  <si>
    <t>Coins</t>
  </si>
  <si>
    <t>Coin price</t>
  </si>
  <si>
    <t>Total sales(€)</t>
  </si>
  <si>
    <t>Un amour de yakuza (intro)</t>
  </si>
  <si>
    <t>bontoon</t>
  </si>
  <si>
    <t>Paybox</t>
  </si>
  <si>
    <t>GooglePlay</t>
  </si>
  <si>
    <t>AppStore</t>
  </si>
  <si>
    <t>subtotal</t>
  </si>
  <si>
    <t>Grand Total</t>
  </si>
  <si>
    <t>Date</t>
  </si>
  <si>
    <t>Total Page View</t>
  </si>
  <si>
    <t>Total Free View</t>
  </si>
  <si>
    <t>Paid coins</t>
  </si>
  <si>
    <t>발행일: 2022-06-20</t>
    <phoneticPr fontId="36" type="noConversion"/>
  </si>
  <si>
    <t>: 2022-05</t>
    <phoneticPr fontId="36" type="noConversion"/>
  </si>
  <si>
    <t>: 2022-06-30</t>
    <phoneticPr fontId="36" type="noConversion"/>
  </si>
  <si>
    <t>5월</t>
    <phoneticPr fontId="36" type="noConversion"/>
  </si>
  <si>
    <t>매출합계 (국내)</t>
    <phoneticPr fontId="36" type="noConversion"/>
  </si>
  <si>
    <t>국내_봄툰</t>
    <phoneticPr fontId="36" type="noConversion"/>
  </si>
  <si>
    <t>해외 - 코미코(태국)</t>
    <phoneticPr fontId="36" type="noConversion"/>
  </si>
  <si>
    <t>Marucomics</t>
  </si>
  <si>
    <t>2022.04.01~2022.04.30</t>
  </si>
  <si>
    <t>총정산금액 (THB)</t>
    <phoneticPr fontId="40" type="noConversion"/>
  </si>
  <si>
    <t>Row Labels</t>
  </si>
  <si>
    <t>MG (THB)</t>
    <phoneticPr fontId="40" type="noConversion"/>
  </si>
  <si>
    <t>잔여 MG (THB)</t>
    <phoneticPr fontId="40" type="noConversion"/>
  </si>
  <si>
    <t>Gross (THB)</t>
    <phoneticPr fontId="40" type="noConversion"/>
  </si>
  <si>
    <t>Fee (THB)</t>
    <phoneticPr fontId="40" type="noConversion"/>
  </si>
  <si>
    <t>Deducted (THB)</t>
    <phoneticPr fontId="40" type="noConversion"/>
  </si>
  <si>
    <t>Net Rev (THB)</t>
    <phoneticPr fontId="40" type="noConversion"/>
  </si>
  <si>
    <t>Rev-MG (THB)</t>
    <phoneticPr fontId="40" type="noConversion"/>
  </si>
  <si>
    <t>정산액 (THB)</t>
    <phoneticPr fontId="40" type="noConversion"/>
  </si>
  <si>
    <t>Total</t>
  </si>
  <si>
    <t>코미코(태국)</t>
    <phoneticPr fontId="36" type="noConversion"/>
  </si>
  <si>
    <t>6월</t>
    <phoneticPr fontId="36" type="noConversion"/>
  </si>
  <si>
    <t>업   체   명    :</t>
    <phoneticPr fontId="36" type="noConversion"/>
  </si>
  <si>
    <r>
      <t>지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급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예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정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일   :</t>
    </r>
    <phoneticPr fontId="36" type="noConversion"/>
  </si>
  <si>
    <t>작   품   명    :</t>
    <phoneticPr fontId="36" type="noConversion"/>
  </si>
  <si>
    <t>정산대상기간  :</t>
    <phoneticPr fontId="36" type="noConversion"/>
  </si>
  <si>
    <t xml:space="preserve"> 야쿠자가 사랑을 한다면</t>
    <phoneticPr fontId="36" type="noConversion"/>
  </si>
  <si>
    <t xml:space="preserve"> 스토리위즈</t>
    <phoneticPr fontId="36" type="noConversion"/>
  </si>
  <si>
    <t>발행일 : 2022-07-20</t>
    <phoneticPr fontId="36" type="noConversion"/>
  </si>
  <si>
    <t xml:space="preserve"> 2022-06</t>
    <phoneticPr fontId="36" type="noConversion"/>
  </si>
  <si>
    <t>발행일 : 2022-08-20</t>
    <phoneticPr fontId="36" type="noConversion"/>
  </si>
  <si>
    <t xml:space="preserve"> 2022-05</t>
    <phoneticPr fontId="36" type="noConversion"/>
  </si>
  <si>
    <t>매출합계 (해외)</t>
    <phoneticPr fontId="36" type="noConversion"/>
  </si>
  <si>
    <t>7월</t>
    <phoneticPr fontId="36" type="noConversion"/>
  </si>
  <si>
    <t xml:space="preserve"> 2022-07</t>
    <phoneticPr fontId="36" type="noConversion"/>
  </si>
  <si>
    <t>MG</t>
    <phoneticPr fontId="36" type="noConversion"/>
  </si>
  <si>
    <t>이월MG</t>
    <phoneticPr fontId="36" type="noConversion"/>
  </si>
  <si>
    <t>MG잔액</t>
    <phoneticPr fontId="36" type="noConversion"/>
  </si>
  <si>
    <t>소진</t>
    <phoneticPr fontId="36" type="noConversion"/>
  </si>
  <si>
    <t>마루 정산</t>
    <phoneticPr fontId="36" type="noConversion"/>
  </si>
  <si>
    <t>초과수익금</t>
    <phoneticPr fontId="36" type="noConversion"/>
  </si>
  <si>
    <t>해외 - 봄툰(대만) MG</t>
    <phoneticPr fontId="36" type="noConversion"/>
  </si>
  <si>
    <t>해외_코미코(태국)</t>
    <phoneticPr fontId="36" type="noConversion"/>
  </si>
  <si>
    <t>2022.05.01~2022.05.31</t>
  </si>
  <si>
    <t>총정산금액 (THB)</t>
  </si>
  <si>
    <t>MG (THB)</t>
  </si>
  <si>
    <t>잔여 MG (THB)</t>
  </si>
  <si>
    <t>Gross (THB)</t>
  </si>
  <si>
    <t>Fee (THB)</t>
  </si>
  <si>
    <t>Deducted (THB)</t>
  </si>
  <si>
    <t>Net Rev (THB)</t>
  </si>
  <si>
    <t>Rev-MG (THB)</t>
  </si>
  <si>
    <t>정산액 (THB)</t>
  </si>
  <si>
    <t>전체 MG (￦)</t>
  </si>
  <si>
    <t>남은 MG (￦)</t>
  </si>
  <si>
    <t>차감 후 MG (￦)</t>
  </si>
  <si>
    <t>자급 금액 (￦)</t>
  </si>
  <si>
    <t>CP RS</t>
  </si>
  <si>
    <t>해외_델리툰(프랑스)</t>
    <phoneticPr fontId="36" type="noConversion"/>
  </si>
  <si>
    <t>해외_델리툰(독일)</t>
    <phoneticPr fontId="36" type="noConversion"/>
  </si>
  <si>
    <t>Wenn ein Yakuza-Boss liebt</t>
  </si>
  <si>
    <t>delitoonB</t>
  </si>
  <si>
    <t>해외 - 레진(스페인) MG</t>
    <phoneticPr fontId="36" type="noConversion"/>
  </si>
  <si>
    <t>발행일 : 2022-09-20</t>
    <phoneticPr fontId="36" type="noConversion"/>
  </si>
  <si>
    <t xml:space="preserve"> 2022-08</t>
    <phoneticPr fontId="36" type="noConversion"/>
  </si>
  <si>
    <t>8월</t>
    <phoneticPr fontId="36" type="noConversion"/>
  </si>
  <si>
    <t>레진 총 매출</t>
    <phoneticPr fontId="36" type="noConversion"/>
  </si>
  <si>
    <t>국내_레진코믹스(7월)</t>
    <phoneticPr fontId="36" type="noConversion"/>
  </si>
  <si>
    <t>서비스사</t>
  </si>
  <si>
    <t>세금계산년월</t>
  </si>
  <si>
    <t>만화IDX</t>
  </si>
  <si>
    <t>컨텐츠</t>
  </si>
  <si>
    <t>CP1(정산처)</t>
  </si>
  <si>
    <t>구분</t>
  </si>
  <si>
    <t>순매출</t>
  </si>
  <si>
    <t>봄툰-CP정산액</t>
  </si>
  <si>
    <t>레진</t>
  </si>
  <si>
    <t>2022.06.01~2022.06.30</t>
  </si>
  <si>
    <t>국내 - 봄툰</t>
    <phoneticPr fontId="36" type="noConversion"/>
  </si>
  <si>
    <t>국내 - 레진코믹스</t>
    <phoneticPr fontId="36" type="noConversion"/>
  </si>
  <si>
    <t xml:space="preserve"> 2022-09-30</t>
    <phoneticPr fontId="36" type="noConversion"/>
  </si>
  <si>
    <t>발행일 : 2022-10-20</t>
    <phoneticPr fontId="36" type="noConversion"/>
  </si>
  <si>
    <t xml:space="preserve"> 2022-09</t>
    <phoneticPr fontId="36" type="noConversion"/>
  </si>
  <si>
    <t xml:space="preserve"> 2022-10-31</t>
    <phoneticPr fontId="36" type="noConversion"/>
  </si>
  <si>
    <t>9월</t>
    <phoneticPr fontId="36" type="noConversion"/>
  </si>
  <si>
    <t>국내_레진코믹스</t>
    <phoneticPr fontId="36" type="noConversion"/>
  </si>
  <si>
    <t>2022.07.01~2022.07.31</t>
  </si>
  <si>
    <t>마루코믹스 정산</t>
    <phoneticPr fontId="36" type="noConversion"/>
  </si>
  <si>
    <t>10월</t>
    <phoneticPr fontId="36" type="noConversion"/>
  </si>
  <si>
    <t xml:space="preserve"> 2022-10</t>
    <phoneticPr fontId="36" type="noConversion"/>
  </si>
  <si>
    <t>발행일 : 2022-11-20</t>
    <phoneticPr fontId="36" type="noConversion"/>
  </si>
  <si>
    <t xml:space="preserve"> 2022-11-30</t>
    <phoneticPr fontId="36" type="noConversion"/>
  </si>
  <si>
    <t>2022.08.01~2022.08.31</t>
  </si>
  <si>
    <t xml:space="preserve"> MG (THB) </t>
  </si>
  <si>
    <t xml:space="preserve"> 잔여 MG (THB) </t>
  </si>
  <si>
    <t xml:space="preserve"> Gross (THB) </t>
  </si>
  <si>
    <t xml:space="preserve"> Fee (THB) </t>
  </si>
  <si>
    <t xml:space="preserve"> Deducted (THB) </t>
  </si>
  <si>
    <t xml:space="preserve"> Net Rev (THB) </t>
  </si>
  <si>
    <t xml:space="preserve"> Rev-MG (THB) </t>
  </si>
  <si>
    <t xml:space="preserve"> 정산액 (THB) </t>
  </si>
  <si>
    <t xml:space="preserve">                        -  </t>
  </si>
  <si>
    <t>해외 - 델리툰</t>
    <phoneticPr fontId="36" type="noConversion"/>
  </si>
  <si>
    <t xml:space="preserve"> 2022-11</t>
    <phoneticPr fontId="36" type="noConversion"/>
  </si>
  <si>
    <t>발행일 : 2022-12-20</t>
    <phoneticPr fontId="36" type="noConversion"/>
  </si>
  <si>
    <t xml:space="preserve"> 2022-12-31</t>
    <phoneticPr fontId="36" type="noConversion"/>
  </si>
  <si>
    <t>11월</t>
    <phoneticPr fontId="36" type="noConversion"/>
  </si>
  <si>
    <t>2022.09.01~2022.09.30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</si>
</sst>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(* #,##0_);_(* \(#,##0\);_(* &quot;-&quot;_);_(@_)"/>
    <numFmt numFmtId="178" formatCode="_(* #,##0.00_);_(* \(#,##0.00\);_(* &quot;-&quot;??_);_(@_)"/>
    <numFmt numFmtId="179" formatCode="_ * #,##0.00_ ;_ * \-#,##0.00_ ;_ * &quot;-&quot;??_ ;_ @_ "/>
    <numFmt numFmtId="180" formatCode="#,##0_ "/>
    <numFmt numFmtId="181" formatCode="_-* #,##0_-;\-* #,##0_-;_-* &quot;-&quot;??_-;_-@_-"/>
    <numFmt numFmtId="182" formatCode="_(* #,##0_);_(* \(#,##0\);_(* &quot;-&quot;??_);_(@_)"/>
    <numFmt numFmtId="183" formatCode="0_);[Red]\(0\)"/>
    <numFmt numFmtId="184" formatCode="yyyy/mm;@"/>
  </numFmts>
  <fonts count="11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rgb="FF0563C1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006100"/>
      <name val="다키 L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8"/>
      <color rgb="FF000000"/>
      <name val="나눔고딕"/>
      <family val="3"/>
      <charset val="129"/>
    </font>
    <font>
      <sz val="9"/>
      <color rgb="FF000000"/>
      <name val="맑은 고딕"/>
      <family val="3"/>
      <charset val="129"/>
    </font>
    <font>
      <b/>
      <sz val="6"/>
      <color rgb="FF000000"/>
      <name val="나눔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다키 L"/>
      <family val="3"/>
      <charset val="129"/>
    </font>
    <font>
      <sz val="10"/>
      <name val="다키 L"/>
      <family val="3"/>
      <charset val="129"/>
    </font>
    <font>
      <sz val="8"/>
      <name val="다키 L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2"/>
      <color rgb="FF3F3F3F"/>
      <name val="맑은 고딕"/>
      <family val="3"/>
      <charset val="129"/>
    </font>
    <font>
      <sz val="10"/>
      <name val="Arial"/>
      <family val="2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rgb="FF00000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8"/>
      <color indexed="54"/>
      <name val="맑은 고딕"/>
      <family val="3"/>
      <charset val="129"/>
    </font>
    <font>
      <b/>
      <sz val="15"/>
      <color indexed="54"/>
      <name val="맑은 고딕"/>
      <family val="3"/>
      <charset val="129"/>
    </font>
    <font>
      <b/>
      <sz val="13"/>
      <color indexed="54"/>
      <name val="맑은 고딕"/>
      <family val="3"/>
      <charset val="129"/>
    </font>
    <font>
      <b/>
      <sz val="11"/>
      <color indexed="54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1"/>
      <color theme="10"/>
      <name val="돋움"/>
      <family val="3"/>
      <charset val="129"/>
    </font>
    <font>
      <u/>
      <sz val="12"/>
      <color theme="1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0"/>
      <color indexed="8"/>
      <name val="Helvetica"/>
      <family val="2"/>
    </font>
    <font>
      <sz val="9"/>
      <color rgb="FFFF0000"/>
      <name val="맑은 고딕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9C5700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8"/>
      <name val="Helvetica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indexed="8"/>
      <name val="맑은 고딕"/>
      <family val="3"/>
      <charset val="129"/>
      <scheme val="minor"/>
    </font>
    <font>
      <sz val="12"/>
      <color indexed="8"/>
      <name val="맑은 고딕"/>
      <family val="2"/>
      <scheme val="minor"/>
    </font>
    <font>
      <b/>
      <sz val="12"/>
      <color indexed="8"/>
      <name val="맑은 고딕"/>
      <family val="3"/>
      <charset val="129"/>
      <scheme val="minor"/>
    </font>
    <font>
      <b/>
      <sz val="11"/>
      <color indexed="8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</font>
    <font>
      <b/>
      <sz val="10"/>
      <color theme="1"/>
      <name val="다키 L"/>
      <family val="3"/>
      <charset val="129"/>
    </font>
    <font>
      <b/>
      <sz val="10"/>
      <name val="다키 L"/>
      <family val="3"/>
      <charset val="129"/>
    </font>
    <font>
      <sz val="11"/>
      <color theme="1"/>
      <name val="다키 L"/>
      <family val="3"/>
      <charset val="129"/>
    </font>
  </fonts>
  <fills count="6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212">
    <xf numFmtId="0" fontId="0" fillId="0" borderId="0">
      <alignment vertical="center"/>
    </xf>
    <xf numFmtId="41" fontId="35" fillId="0" borderId="0">
      <alignment vertical="center"/>
    </xf>
    <xf numFmtId="0" fontId="19" fillId="0" borderId="0">
      <alignment vertical="top"/>
      <protection locked="0"/>
    </xf>
    <xf numFmtId="41" fontId="35" fillId="0" borderId="0">
      <alignment vertical="center"/>
    </xf>
    <xf numFmtId="9" fontId="35" fillId="0" borderId="0">
      <alignment vertical="center"/>
    </xf>
    <xf numFmtId="0" fontId="35" fillId="0" borderId="0">
      <alignment vertical="center"/>
    </xf>
    <xf numFmtId="0" fontId="35" fillId="0" borderId="0"/>
    <xf numFmtId="178" fontId="35" fillId="0" borderId="0"/>
    <xf numFmtId="0" fontId="35" fillId="0" borderId="0"/>
    <xf numFmtId="177" fontId="35" fillId="0" borderId="0"/>
    <xf numFmtId="0" fontId="35" fillId="0" borderId="0"/>
    <xf numFmtId="0" fontId="35" fillId="0" borderId="0">
      <alignment vertical="center"/>
    </xf>
    <xf numFmtId="0" fontId="18" fillId="0" borderId="0"/>
    <xf numFmtId="41" fontId="18" fillId="0" borderId="0" applyFont="0" applyFill="0" applyBorder="0" applyAlignment="0" applyProtection="0"/>
    <xf numFmtId="0" fontId="43" fillId="0" borderId="0"/>
    <xf numFmtId="43" fontId="18" fillId="0" borderId="0" applyFont="0" applyFill="0" applyBorder="0" applyAlignment="0" applyProtection="0"/>
    <xf numFmtId="0" fontId="43" fillId="0" borderId="0"/>
    <xf numFmtId="43" fontId="43" fillId="0" borderId="0" applyFont="0" applyFill="0" applyBorder="0" applyAlignment="0" applyProtection="0"/>
    <xf numFmtId="0" fontId="42" fillId="0" borderId="0"/>
    <xf numFmtId="41" fontId="4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35" fillId="0" borderId="0">
      <alignment vertical="center"/>
    </xf>
    <xf numFmtId="41" fontId="35" fillId="0" borderId="0">
      <alignment vertical="center"/>
    </xf>
    <xf numFmtId="9" fontId="45" fillId="0" borderId="0"/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20" fillId="2" borderId="0">
      <alignment vertical="center"/>
    </xf>
    <xf numFmtId="0" fontId="21" fillId="3" borderId="0">
      <alignment vertical="center"/>
    </xf>
    <xf numFmtId="41" fontId="35" fillId="0" borderId="0">
      <alignment vertical="center"/>
    </xf>
    <xf numFmtId="9" fontId="35" fillId="0" borderId="0">
      <alignment vertical="center"/>
    </xf>
    <xf numFmtId="0" fontId="46" fillId="0" borderId="0"/>
    <xf numFmtId="0" fontId="43" fillId="0" borderId="0">
      <alignment vertical="center"/>
    </xf>
    <xf numFmtId="0" fontId="47" fillId="0" borderId="0"/>
    <xf numFmtId="0" fontId="48" fillId="0" borderId="0">
      <alignment vertical="center"/>
    </xf>
    <xf numFmtId="9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8" fillId="0" borderId="0">
      <alignment vertical="center"/>
    </xf>
    <xf numFmtId="0" fontId="49" fillId="0" borderId="0"/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2" borderId="11" applyNumberFormat="0" applyAlignment="0" applyProtection="0">
      <alignment vertical="center"/>
    </xf>
    <xf numFmtId="0" fontId="58" fillId="0" borderId="12" applyNumberFormat="0" applyFill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63" fillId="0" borderId="15" applyNumberFormat="0" applyFill="0" applyAlignment="0" applyProtection="0">
      <alignment vertical="center"/>
    </xf>
    <xf numFmtId="0" fontId="64" fillId="0" borderId="16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6" fillId="17" borderId="17" applyNumberFormat="0" applyAlignment="0" applyProtection="0">
      <alignment vertical="center"/>
    </xf>
    <xf numFmtId="0" fontId="46" fillId="0" borderId="0"/>
    <xf numFmtId="41" fontId="46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17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17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68" fillId="0" borderId="0"/>
    <xf numFmtId="41" fontId="15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41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15" fillId="0" borderId="0">
      <alignment vertical="center"/>
    </xf>
    <xf numFmtId="0" fontId="43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43" fillId="0" borderId="0">
      <alignment vertical="center"/>
    </xf>
    <xf numFmtId="0" fontId="47" fillId="0" borderId="0"/>
    <xf numFmtId="9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0" fontId="46" fillId="0" borderId="0"/>
    <xf numFmtId="0" fontId="54" fillId="2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46" fillId="0" borderId="0"/>
    <xf numFmtId="0" fontId="46" fillId="0" borderId="0"/>
    <xf numFmtId="41" fontId="4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14" fillId="0" borderId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74" fillId="0" borderId="0" applyNumberFormat="0" applyFill="0" applyBorder="0" applyProtection="0">
      <alignment vertical="top" wrapText="1"/>
    </xf>
    <xf numFmtId="0" fontId="47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74" fillId="0" borderId="0" applyNumberFormat="0" applyFill="0" applyBorder="0" applyProtection="0">
      <alignment vertical="top" wrapText="1"/>
    </xf>
    <xf numFmtId="0" fontId="13" fillId="0" borderId="0">
      <alignment vertical="center"/>
    </xf>
    <xf numFmtId="0" fontId="74" fillId="0" borderId="0" applyNumberFormat="0" applyFill="0" applyBorder="0" applyProtection="0">
      <alignment vertical="top" wrapText="1"/>
    </xf>
    <xf numFmtId="0" fontId="13" fillId="0" borderId="0">
      <alignment vertical="center"/>
    </xf>
    <xf numFmtId="0" fontId="49" fillId="0" borderId="0"/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/>
    <xf numFmtId="0" fontId="12" fillId="0" borderId="0">
      <alignment vertical="center"/>
    </xf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1" fontId="35" fillId="0" borderId="0">
      <alignment vertical="center"/>
    </xf>
    <xf numFmtId="0" fontId="46" fillId="0" borderId="0"/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20" fillId="2" borderId="0">
      <alignment vertical="center"/>
    </xf>
    <xf numFmtId="0" fontId="21" fillId="3" borderId="0">
      <alignment vertical="center"/>
    </xf>
    <xf numFmtId="41" fontId="35" fillId="0" borderId="0">
      <alignment vertical="center"/>
    </xf>
    <xf numFmtId="0" fontId="43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43" fontId="12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19" fillId="0" borderId="0">
      <alignment vertical="top"/>
      <protection locked="0"/>
    </xf>
    <xf numFmtId="0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9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0" fontId="46" fillId="0" borderId="0"/>
    <xf numFmtId="9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6" fillId="0" borderId="2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30" borderId="25" applyNumberFormat="0" applyAlignment="0" applyProtection="0">
      <alignment vertical="center"/>
    </xf>
    <xf numFmtId="0" fontId="80" fillId="31" borderId="26" applyNumberFormat="0" applyAlignment="0" applyProtection="0">
      <alignment vertical="center"/>
    </xf>
    <xf numFmtId="0" fontId="81" fillId="31" borderId="25" applyNumberFormat="0" applyAlignment="0" applyProtection="0">
      <alignment vertical="center"/>
    </xf>
    <xf numFmtId="0" fontId="82" fillId="0" borderId="27" applyNumberFormat="0" applyFill="0" applyAlignment="0" applyProtection="0">
      <alignment vertical="center"/>
    </xf>
    <xf numFmtId="0" fontId="83" fillId="32" borderId="28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30" applyNumberFormat="0" applyFill="0" applyAlignment="0" applyProtection="0">
      <alignment vertical="center"/>
    </xf>
    <xf numFmtId="0" fontId="87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7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" fillId="33" borderId="29" applyNumberFormat="0" applyFont="0" applyAlignment="0" applyProtection="0">
      <alignment vertical="center"/>
    </xf>
    <xf numFmtId="0" fontId="87" fillId="37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7" borderId="0" applyNumberFormat="0" applyBorder="0" applyAlignment="0" applyProtection="0">
      <alignment vertical="center"/>
    </xf>
    <xf numFmtId="41" fontId="35" fillId="0" borderId="0">
      <alignment vertical="center"/>
    </xf>
    <xf numFmtId="0" fontId="93" fillId="2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4" fillId="0" borderId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95" fillId="0" borderId="0" applyNumberFormat="0" applyFill="0" applyBorder="0" applyProtection="0">
      <alignment vertical="top" wrapText="1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3" borderId="29" applyNumberFormat="0" applyFont="0" applyAlignment="0" applyProtection="0">
      <alignment vertical="center"/>
    </xf>
    <xf numFmtId="41" fontId="35" fillId="0" borderId="0">
      <alignment vertical="center"/>
    </xf>
    <xf numFmtId="0" fontId="7" fillId="0" borderId="0">
      <alignment vertical="center"/>
    </xf>
    <xf numFmtId="0" fontId="96" fillId="0" borderId="0"/>
    <xf numFmtId="0" fontId="7" fillId="0" borderId="0">
      <alignment vertical="center"/>
    </xf>
    <xf numFmtId="0" fontId="95" fillId="0" borderId="0" applyNumberFormat="0" applyFill="0" applyBorder="0" applyProtection="0">
      <alignment vertical="top" wrapText="1"/>
    </xf>
    <xf numFmtId="41" fontId="7" fillId="0" borderId="0" applyFont="0" applyFill="0" applyBorder="0" applyAlignment="0" applyProtection="0"/>
    <xf numFmtId="0" fontId="44" fillId="0" borderId="0"/>
    <xf numFmtId="41" fontId="44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7" fillId="0" borderId="0">
      <alignment vertical="center"/>
    </xf>
    <xf numFmtId="0" fontId="46" fillId="0" borderId="0"/>
    <xf numFmtId="41" fontId="46" fillId="0" borderId="0" applyFont="0" applyFill="0" applyBorder="0" applyAlignment="0" applyProtection="0">
      <alignment vertical="center"/>
    </xf>
    <xf numFmtId="0" fontId="46" fillId="0" borderId="0"/>
    <xf numFmtId="0" fontId="7" fillId="0" borderId="0">
      <alignment vertical="center"/>
    </xf>
    <xf numFmtId="0" fontId="7" fillId="33" borderId="29" applyNumberFormat="0" applyFon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7" fillId="57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7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19" fillId="0" borderId="0">
      <alignment vertical="top"/>
      <protection locked="0"/>
    </xf>
    <xf numFmtId="0" fontId="20" fillId="2" borderId="0">
      <alignment vertical="center"/>
    </xf>
    <xf numFmtId="41" fontId="35" fillId="0" borderId="0">
      <alignment vertical="center"/>
    </xf>
    <xf numFmtId="0" fontId="6" fillId="43" borderId="0" applyNumberFormat="0" applyBorder="0" applyAlignment="0" applyProtection="0">
      <alignment vertical="center"/>
    </xf>
    <xf numFmtId="43" fontId="35" fillId="0" borderId="0"/>
    <xf numFmtId="41" fontId="35" fillId="0" borderId="0"/>
    <xf numFmtId="0" fontId="35" fillId="0" borderId="0">
      <alignment vertical="center"/>
    </xf>
    <xf numFmtId="0" fontId="21" fillId="3" borderId="0">
      <alignment vertical="center"/>
    </xf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41" fontId="35" fillId="0" borderId="0">
      <alignment vertical="center"/>
    </xf>
    <xf numFmtId="0" fontId="6" fillId="37" borderId="0" applyNumberFormat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6" fillId="40" borderId="0" applyNumberFormat="0" applyBorder="0" applyAlignment="0" applyProtection="0">
      <alignment vertical="center"/>
    </xf>
    <xf numFmtId="0" fontId="6" fillId="33" borderId="29" applyNumberFormat="0" applyFont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6" fillId="57" borderId="0" applyNumberFormat="0" applyBorder="0" applyAlignment="0" applyProtection="0">
      <alignment vertical="center"/>
    </xf>
    <xf numFmtId="0" fontId="6" fillId="56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41" fontId="35" fillId="0" borderId="0">
      <alignment vertical="center"/>
    </xf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1" fontId="3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6" fillId="47" borderId="0" applyNumberFormat="0" applyBorder="0" applyAlignment="0" applyProtection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0" fontId="6" fillId="35" borderId="0" applyNumberFormat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46" fillId="0" borderId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6" fillId="17" borderId="17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46" fillId="0" borderId="0"/>
    <xf numFmtId="0" fontId="43" fillId="0" borderId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6" fillId="0" borderId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7" fillId="0" borderId="0"/>
    <xf numFmtId="0" fontId="48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0" fontId="44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8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6" fillId="17" borderId="17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0" fontId="47" fillId="0" borderId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47" fillId="0" borderId="0"/>
    <xf numFmtId="41" fontId="47" fillId="0" borderId="0" applyFont="0" applyFill="0" applyBorder="0" applyAlignment="0" applyProtection="0"/>
    <xf numFmtId="0" fontId="49" fillId="0" borderId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0" fontId="35" fillId="0" borderId="0">
      <alignment vertical="center"/>
    </xf>
    <xf numFmtId="41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0" fontId="53" fillId="17" borderId="9" applyNumberFormat="0" applyAlignment="0" applyProtection="0">
      <alignment vertical="center"/>
    </xf>
    <xf numFmtId="0" fontId="46" fillId="13" borderId="10" applyNumberFormat="0" applyFont="0" applyAlignment="0" applyProtection="0">
      <alignment vertical="center"/>
    </xf>
    <xf numFmtId="0" fontId="59" fillId="0" borderId="13" applyNumberFormat="0" applyFill="0" applyAlignment="0" applyProtection="0">
      <alignment vertical="center"/>
    </xf>
    <xf numFmtId="0" fontId="60" fillId="11" borderId="9" applyNumberFormat="0" applyAlignment="0" applyProtection="0">
      <alignment vertical="center"/>
    </xf>
    <xf numFmtId="0" fontId="66" fillId="17" borderId="17" applyNumberForma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35" fillId="0" borderId="0">
      <alignment vertical="center"/>
    </xf>
    <xf numFmtId="41" fontId="35" fillId="0" borderId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35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33" borderId="29" applyNumberFormat="0" applyFont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43" fontId="10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33" borderId="29" applyNumberFormat="0" applyFont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3">
    <xf numFmtId="0" fontId="0" fillId="0" borderId="0" xfId="0">
      <alignment vertical="center"/>
    </xf>
    <xf numFmtId="41" fontId="22" fillId="0" borderId="1" xfId="1" applyFont="1" applyBorder="1">
      <alignment vertical="center"/>
    </xf>
    <xf numFmtId="0" fontId="23" fillId="0" borderId="0" xfId="0" applyFont="1">
      <alignment vertical="center"/>
    </xf>
    <xf numFmtId="0" fontId="23" fillId="0" borderId="2" xfId="0" applyFont="1" applyBorder="1">
      <alignment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14" fontId="24" fillId="0" borderId="0" xfId="0" applyNumberFormat="1" applyFont="1" applyAlignment="1">
      <alignment horizontal="left" vertical="center"/>
    </xf>
    <xf numFmtId="14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19" fillId="0" borderId="0" xfId="2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14" fontId="26" fillId="0" borderId="4" xfId="0" applyNumberFormat="1" applyFont="1" applyBorder="1" applyAlignment="1">
      <alignment horizontal="center" vertical="center"/>
    </xf>
    <xf numFmtId="14" fontId="26" fillId="0" borderId="0" xfId="0" applyNumberFormat="1" applyFont="1">
      <alignment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9" fontId="28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31" fillId="7" borderId="0" xfId="11" applyFont="1" applyFill="1">
      <alignment vertical="center"/>
    </xf>
    <xf numFmtId="0" fontId="30" fillId="7" borderId="0" xfId="11" applyFont="1" applyFill="1">
      <alignment vertical="center"/>
    </xf>
    <xf numFmtId="0" fontId="37" fillId="0" borderId="3" xfId="0" applyFont="1" applyBorder="1">
      <alignment vertical="center"/>
    </xf>
    <xf numFmtId="0" fontId="22" fillId="4" borderId="18" xfId="0" applyFont="1" applyFill="1" applyBorder="1" applyAlignment="1">
      <alignment horizontal="center" vertical="center"/>
    </xf>
    <xf numFmtId="176" fontId="37" fillId="6" borderId="18" xfId="3" applyNumberFormat="1" applyFont="1" applyFill="1" applyBorder="1" applyAlignment="1">
      <alignment horizontal="center" vertical="center"/>
    </xf>
    <xf numFmtId="176" fontId="37" fillId="6" borderId="18" xfId="0" applyNumberFormat="1" applyFont="1" applyFill="1" applyBorder="1" applyAlignment="1">
      <alignment horizontal="center" vertical="center"/>
    </xf>
    <xf numFmtId="0" fontId="37" fillId="6" borderId="18" xfId="0" applyFont="1" applyFill="1" applyBorder="1" applyAlignment="1">
      <alignment horizontal="center" vertical="center"/>
    </xf>
    <xf numFmtId="0" fontId="38" fillId="6" borderId="3" xfId="176" applyFont="1" applyFill="1" applyBorder="1" applyAlignment="1">
      <alignment horizontal="center" vertical="center"/>
    </xf>
    <xf numFmtId="176" fontId="29" fillId="6" borderId="3" xfId="175" applyNumberFormat="1" applyFont="1" applyFill="1" applyBorder="1" applyAlignment="1">
      <alignment horizontal="center" vertical="center"/>
    </xf>
    <xf numFmtId="0" fontId="43" fillId="0" borderId="0" xfId="16"/>
    <xf numFmtId="9" fontId="37" fillId="6" borderId="18" xfId="4" applyFont="1" applyFill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41" fontId="22" fillId="0" borderId="1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41" fontId="22" fillId="0" borderId="1" xfId="1" applyFont="1" applyBorder="1" applyAlignment="1">
      <alignment horizontal="center" vertical="center"/>
    </xf>
    <xf numFmtId="41" fontId="75" fillId="0" borderId="0" xfId="1" applyFont="1" applyAlignment="1">
      <alignment horizontal="left" vertical="center"/>
    </xf>
    <xf numFmtId="0" fontId="9" fillId="0" borderId="0" xfId="352"/>
    <xf numFmtId="41" fontId="42" fillId="0" borderId="0" xfId="18" applyNumberFormat="1"/>
    <xf numFmtId="0" fontId="7" fillId="0" borderId="18" xfId="428" applyBorder="1">
      <alignment vertical="center"/>
    </xf>
    <xf numFmtId="0" fontId="22" fillId="0" borderId="0" xfId="37" applyFont="1">
      <alignment vertical="center"/>
    </xf>
    <xf numFmtId="0" fontId="22" fillId="0" borderId="0" xfId="5" applyFont="1">
      <alignment vertical="center"/>
    </xf>
    <xf numFmtId="0" fontId="41" fillId="0" borderId="18" xfId="428" applyFont="1" applyBorder="1">
      <alignment vertical="center"/>
    </xf>
    <xf numFmtId="3" fontId="41" fillId="0" borderId="18" xfId="428" applyNumberFormat="1" applyFont="1" applyBorder="1">
      <alignment vertical="center"/>
    </xf>
    <xf numFmtId="180" fontId="41" fillId="0" borderId="18" xfId="428" applyNumberFormat="1" applyFont="1" applyBorder="1">
      <alignment vertical="center"/>
    </xf>
    <xf numFmtId="49" fontId="41" fillId="0" borderId="18" xfId="428" applyNumberFormat="1" applyFont="1" applyBorder="1">
      <alignment vertical="center"/>
    </xf>
    <xf numFmtId="41" fontId="37" fillId="0" borderId="18" xfId="406" applyFont="1" applyBorder="1" applyAlignment="1">
      <alignment vertical="center"/>
    </xf>
    <xf numFmtId="180" fontId="37" fillId="0" borderId="18" xfId="406" applyNumberFormat="1" applyFont="1" applyBorder="1" applyAlignment="1">
      <alignment vertical="center"/>
    </xf>
    <xf numFmtId="0" fontId="41" fillId="0" borderId="3" xfId="428" applyFont="1" applyBorder="1" applyAlignment="1">
      <alignment vertical="center" wrapText="1"/>
    </xf>
    <xf numFmtId="3" fontId="41" fillId="0" borderId="3" xfId="428" applyNumberFormat="1" applyFont="1" applyBorder="1" applyAlignment="1">
      <alignment vertical="center" wrapText="1"/>
    </xf>
    <xf numFmtId="0" fontId="6" fillId="0" borderId="3" xfId="640" applyBorder="1" applyAlignment="1">
      <alignment vertical="center" wrapText="1"/>
    </xf>
    <xf numFmtId="3" fontId="41" fillId="0" borderId="3" xfId="640" applyNumberFormat="1" applyFont="1" applyBorder="1" applyAlignment="1">
      <alignment vertical="center" wrapText="1"/>
    </xf>
    <xf numFmtId="0" fontId="41" fillId="0" borderId="3" xfId="640" applyFont="1" applyBorder="1" applyAlignment="1">
      <alignment vertical="center" wrapText="1"/>
    </xf>
    <xf numFmtId="0" fontId="22" fillId="4" borderId="18" xfId="476" applyFont="1" applyFill="1" applyBorder="1" applyAlignment="1">
      <alignment horizontal="center" vertical="center"/>
    </xf>
    <xf numFmtId="0" fontId="90" fillId="61" borderId="3" xfId="640" applyFont="1" applyFill="1" applyBorder="1" applyAlignment="1">
      <alignment horizontal="center" vertical="center" wrapText="1"/>
    </xf>
    <xf numFmtId="0" fontId="90" fillId="61" borderId="3" xfId="386" applyFont="1" applyFill="1" applyBorder="1" applyAlignment="1">
      <alignment horizontal="center" vertical="center" wrapText="1"/>
    </xf>
    <xf numFmtId="0" fontId="90" fillId="61" borderId="3" xfId="1158" applyFont="1" applyFill="1" applyBorder="1" applyAlignment="1">
      <alignment horizontal="center" vertical="center" wrapText="1"/>
    </xf>
    <xf numFmtId="14" fontId="41" fillId="0" borderId="3" xfId="1158" applyNumberFormat="1" applyFont="1" applyBorder="1" applyAlignment="1">
      <alignment vertical="center" wrapText="1"/>
    </xf>
    <xf numFmtId="0" fontId="41" fillId="0" borderId="3" xfId="1158" applyFont="1" applyBorder="1" applyAlignment="1">
      <alignment vertical="center" wrapText="1"/>
    </xf>
    <xf numFmtId="3" fontId="41" fillId="0" borderId="3" xfId="1158" applyNumberFormat="1" applyFont="1" applyBorder="1" applyAlignment="1">
      <alignment vertical="center" wrapText="1"/>
    </xf>
    <xf numFmtId="180" fontId="41" fillId="0" borderId="18" xfId="0" applyNumberFormat="1" applyFont="1" applyBorder="1">
      <alignment vertical="center"/>
    </xf>
    <xf numFmtId="49" fontId="41" fillId="0" borderId="18" xfId="0" applyNumberFormat="1" applyFont="1" applyBorder="1">
      <alignment vertical="center"/>
    </xf>
    <xf numFmtId="0" fontId="37" fillId="0" borderId="31" xfId="0" applyFont="1" applyBorder="1">
      <alignment vertical="center"/>
    </xf>
    <xf numFmtId="176" fontId="37" fillId="6" borderId="34" xfId="3" applyNumberFormat="1" applyFont="1" applyFill="1" applyBorder="1" applyAlignment="1">
      <alignment horizontal="center" vertical="center"/>
    </xf>
    <xf numFmtId="176" fontId="37" fillId="6" borderId="34" xfId="0" applyNumberFormat="1" applyFont="1" applyFill="1" applyBorder="1" applyAlignment="1">
      <alignment horizontal="center" vertical="center"/>
    </xf>
    <xf numFmtId="0" fontId="37" fillId="6" borderId="34" xfId="0" applyFont="1" applyFill="1" applyBorder="1" applyAlignment="1">
      <alignment horizontal="center" vertical="center"/>
    </xf>
    <xf numFmtId="9" fontId="37" fillId="6" borderId="34" xfId="4" applyFont="1" applyFill="1" applyBorder="1" applyAlignment="1">
      <alignment horizontal="center" vertical="center"/>
    </xf>
    <xf numFmtId="176" fontId="29" fillId="6" borderId="31" xfId="175" applyNumberFormat="1" applyFont="1" applyFill="1" applyBorder="1" applyAlignment="1">
      <alignment horizontal="center" vertical="center"/>
    </xf>
    <xf numFmtId="177" fontId="41" fillId="0" borderId="18" xfId="1" applyNumberFormat="1" applyFont="1" applyBorder="1">
      <alignment vertical="center"/>
    </xf>
    <xf numFmtId="0" fontId="98" fillId="0" borderId="18" xfId="0" applyFont="1" applyBorder="1">
      <alignment vertical="center"/>
    </xf>
    <xf numFmtId="180" fontId="41" fillId="0" borderId="18" xfId="1" applyNumberFormat="1" applyFont="1" applyBorder="1">
      <alignment vertical="center"/>
    </xf>
    <xf numFmtId="0" fontId="98" fillId="0" borderId="0" xfId="0" applyFont="1">
      <alignment vertical="center"/>
    </xf>
    <xf numFmtId="41" fontId="22" fillId="0" borderId="18" xfId="1" applyFont="1" applyBorder="1" applyAlignment="1">
      <alignment horizontal="center" vertical="center"/>
    </xf>
    <xf numFmtId="0" fontId="99" fillId="0" borderId="0" xfId="11" applyFont="1">
      <alignment vertical="center"/>
    </xf>
    <xf numFmtId="0" fontId="99" fillId="62" borderId="0" xfId="11" applyFont="1" applyFill="1">
      <alignment vertical="center"/>
    </xf>
    <xf numFmtId="0" fontId="101" fillId="0" borderId="0" xfId="16" applyFont="1"/>
    <xf numFmtId="177" fontId="43" fillId="0" borderId="0" xfId="9" applyFont="1"/>
    <xf numFmtId="182" fontId="43" fillId="0" borderId="0" xfId="1178" applyNumberFormat="1" applyFont="1" applyAlignment="1"/>
    <xf numFmtId="0" fontId="0" fillId="0" borderId="0" xfId="0" applyAlignment="1"/>
    <xf numFmtId="0" fontId="42" fillId="0" borderId="0" xfId="18"/>
    <xf numFmtId="0" fontId="102" fillId="0" borderId="0" xfId="16" applyFont="1" applyAlignment="1">
      <alignment horizontal="left"/>
    </xf>
    <xf numFmtId="0" fontId="103" fillId="0" borderId="35" xfId="16" applyFont="1" applyBorder="1" applyAlignment="1">
      <alignment horizontal="left"/>
    </xf>
    <xf numFmtId="183" fontId="43" fillId="0" borderId="35" xfId="16" applyNumberFormat="1" applyBorder="1"/>
    <xf numFmtId="43" fontId="103" fillId="0" borderId="35" xfId="1178" applyFont="1" applyBorder="1" applyAlignment="1"/>
    <xf numFmtId="0" fontId="104" fillId="0" borderId="0" xfId="16" applyFont="1"/>
    <xf numFmtId="177" fontId="104" fillId="0" borderId="0" xfId="9" applyFont="1"/>
    <xf numFmtId="0" fontId="105" fillId="63" borderId="18" xfId="16" applyFont="1" applyFill="1" applyBorder="1" applyAlignment="1">
      <alignment horizontal="center" vertical="center"/>
    </xf>
    <xf numFmtId="0" fontId="106" fillId="63" borderId="18" xfId="16" applyFont="1" applyFill="1" applyBorder="1" applyAlignment="1">
      <alignment horizontal="center" vertical="center"/>
    </xf>
    <xf numFmtId="177" fontId="106" fillId="64" borderId="18" xfId="9" applyFont="1" applyFill="1" applyBorder="1" applyAlignment="1">
      <alignment horizontal="center" vertical="center"/>
    </xf>
    <xf numFmtId="177" fontId="106" fillId="63" borderId="18" xfId="9" applyFont="1" applyFill="1" applyBorder="1" applyAlignment="1">
      <alignment horizontal="center" vertical="center"/>
    </xf>
    <xf numFmtId="182" fontId="106" fillId="63" borderId="18" xfId="1178" applyNumberFormat="1" applyFont="1" applyFill="1" applyBorder="1" applyAlignment="1">
      <alignment horizontal="center" vertical="center"/>
    </xf>
    <xf numFmtId="0" fontId="43" fillId="0" borderId="18" xfId="16" applyBorder="1" applyAlignment="1">
      <alignment vertical="center"/>
    </xf>
    <xf numFmtId="43" fontId="44" fillId="64" borderId="18" xfId="1178" applyFont="1" applyFill="1" applyBorder="1" applyAlignment="1">
      <alignment vertical="center"/>
    </xf>
    <xf numFmtId="43" fontId="44" fillId="0" borderId="18" xfId="1178" applyFont="1" applyBorder="1" applyAlignment="1">
      <alignment vertical="center"/>
    </xf>
    <xf numFmtId="43" fontId="0" fillId="0" borderId="18" xfId="1178" applyFont="1" applyBorder="1" applyAlignment="1">
      <alignment vertical="center"/>
    </xf>
    <xf numFmtId="43" fontId="42" fillId="0" borderId="18" xfId="1178" applyFont="1" applyBorder="1" applyAlignment="1">
      <alignment vertical="center"/>
    </xf>
    <xf numFmtId="43" fontId="107" fillId="0" borderId="18" xfId="1178" applyFont="1" applyBorder="1" applyAlignment="1">
      <alignment vertical="center"/>
    </xf>
    <xf numFmtId="43" fontId="43" fillId="0" borderId="18" xfId="1178" applyFont="1" applyBorder="1" applyAlignment="1">
      <alignment vertical="center"/>
    </xf>
    <xf numFmtId="43" fontId="104" fillId="64" borderId="18" xfId="1178" applyFont="1" applyFill="1" applyBorder="1" applyAlignment="1">
      <alignment vertical="center"/>
    </xf>
    <xf numFmtId="43" fontId="106" fillId="0" borderId="18" xfId="1178" applyFont="1" applyBorder="1" applyAlignment="1">
      <alignment vertical="center"/>
    </xf>
    <xf numFmtId="43" fontId="108" fillId="6" borderId="18" xfId="1178" applyFont="1" applyFill="1" applyBorder="1" applyAlignment="1">
      <alignment vertical="center"/>
    </xf>
    <xf numFmtId="0" fontId="109" fillId="62" borderId="0" xfId="11" applyFont="1" applyFill="1">
      <alignment vertical="center"/>
    </xf>
    <xf numFmtId="0" fontId="25" fillId="0" borderId="0" xfId="0" applyFont="1" applyAlignment="1">
      <alignment horizontal="right" vertical="center"/>
    </xf>
    <xf numFmtId="0" fontId="22" fillId="0" borderId="18" xfId="476" applyFont="1" applyBorder="1" applyAlignment="1">
      <alignment horizontal="center" vertical="center"/>
    </xf>
    <xf numFmtId="0" fontId="35" fillId="0" borderId="0" xfId="476">
      <alignment vertical="center"/>
    </xf>
    <xf numFmtId="0" fontId="23" fillId="0" borderId="0" xfId="476" applyFont="1">
      <alignment vertical="center"/>
    </xf>
    <xf numFmtId="0" fontId="23" fillId="0" borderId="2" xfId="476" applyFont="1" applyBorder="1">
      <alignment vertical="center"/>
    </xf>
    <xf numFmtId="0" fontId="24" fillId="0" borderId="0" xfId="476" applyFont="1" applyAlignment="1">
      <alignment horizontal="right" vertical="center"/>
    </xf>
    <xf numFmtId="0" fontId="24" fillId="0" borderId="0" xfId="476" applyFont="1" applyAlignment="1">
      <alignment horizontal="left" vertical="center"/>
    </xf>
    <xf numFmtId="14" fontId="24" fillId="0" borderId="0" xfId="476" applyNumberFormat="1" applyFont="1" applyAlignment="1">
      <alignment horizontal="left" vertical="center"/>
    </xf>
    <xf numFmtId="14" fontId="24" fillId="0" borderId="0" xfId="476" applyNumberFormat="1" applyFont="1" applyAlignment="1">
      <alignment horizontal="right" vertical="center"/>
    </xf>
    <xf numFmtId="0" fontId="24" fillId="0" borderId="0" xfId="476" applyFont="1" applyAlignment="1">
      <alignment horizontal="center" vertical="center" wrapText="1"/>
    </xf>
    <xf numFmtId="0" fontId="25" fillId="0" borderId="0" xfId="476" applyFont="1" applyAlignment="1">
      <alignment horizontal="right" vertical="center"/>
    </xf>
    <xf numFmtId="0" fontId="35" fillId="0" borderId="0" xfId="476" applyAlignment="1">
      <alignment horizontal="center" vertical="center"/>
    </xf>
    <xf numFmtId="0" fontId="23" fillId="0" borderId="0" xfId="476" applyFont="1" applyAlignment="1">
      <alignment horizontal="center" vertical="center"/>
    </xf>
    <xf numFmtId="0" fontId="23" fillId="0" borderId="4" xfId="476" applyFont="1" applyBorder="1" applyAlignment="1">
      <alignment horizontal="center" vertical="center"/>
    </xf>
    <xf numFmtId="0" fontId="25" fillId="0" borderId="4" xfId="476" applyFont="1" applyBorder="1" applyAlignment="1">
      <alignment horizontal="center" vertical="center"/>
    </xf>
    <xf numFmtId="0" fontId="26" fillId="0" borderId="4" xfId="476" applyFont="1" applyBorder="1" applyAlignment="1">
      <alignment horizontal="center" vertical="center"/>
    </xf>
    <xf numFmtId="14" fontId="26" fillId="0" borderId="4" xfId="476" applyNumberFormat="1" applyFont="1" applyBorder="1" applyAlignment="1">
      <alignment horizontal="center" vertical="center"/>
    </xf>
    <xf numFmtId="14" fontId="26" fillId="0" borderId="0" xfId="476" applyNumberFormat="1" applyFont="1">
      <alignment vertical="center"/>
    </xf>
    <xf numFmtId="0" fontId="25" fillId="0" borderId="0" xfId="476" applyFont="1">
      <alignment vertical="center"/>
    </xf>
    <xf numFmtId="0" fontId="27" fillId="0" borderId="0" xfId="476" applyFont="1">
      <alignment vertical="center"/>
    </xf>
    <xf numFmtId="41" fontId="22" fillId="0" borderId="18" xfId="476" applyNumberFormat="1" applyFont="1" applyBorder="1" applyAlignment="1">
      <alignment horizontal="center" vertical="center"/>
    </xf>
    <xf numFmtId="0" fontId="35" fillId="0" borderId="0" xfId="476" applyAlignment="1">
      <alignment horizontal="left" vertical="center"/>
    </xf>
    <xf numFmtId="0" fontId="22" fillId="4" borderId="21" xfId="476" applyFont="1" applyFill="1" applyBorder="1" applyAlignment="1">
      <alignment horizontal="center" vertical="center"/>
    </xf>
    <xf numFmtId="0" fontId="22" fillId="5" borderId="21" xfId="476" applyFont="1" applyFill="1" applyBorder="1" applyAlignment="1">
      <alignment horizontal="center" vertical="center"/>
    </xf>
    <xf numFmtId="9" fontId="28" fillId="0" borderId="0" xfId="476" applyNumberFormat="1" applyFont="1">
      <alignment vertical="center"/>
    </xf>
    <xf numFmtId="41" fontId="22" fillId="0" borderId="18" xfId="1" applyFont="1" applyBorder="1">
      <alignment vertical="center"/>
    </xf>
    <xf numFmtId="41" fontId="33" fillId="0" borderId="18" xfId="1" applyFont="1" applyBorder="1">
      <alignment vertical="center"/>
    </xf>
    <xf numFmtId="41" fontId="75" fillId="0" borderId="18" xfId="1" applyFont="1" applyBorder="1" applyAlignment="1">
      <alignment horizontal="center" vertical="center"/>
    </xf>
    <xf numFmtId="41" fontId="22" fillId="0" borderId="18" xfId="476" applyNumberFormat="1" applyFont="1" applyBorder="1">
      <alignment vertical="center"/>
    </xf>
    <xf numFmtId="0" fontId="90" fillId="65" borderId="3" xfId="1182" applyFont="1" applyFill="1" applyBorder="1" applyAlignment="1">
      <alignment horizontal="center" vertical="center" wrapText="1"/>
    </xf>
    <xf numFmtId="0" fontId="3" fillId="0" borderId="0" xfId="1180"/>
    <xf numFmtId="41" fontId="106" fillId="63" borderId="18" xfId="19" applyFont="1" applyFill="1" applyBorder="1" applyAlignment="1">
      <alignment horizontal="center" vertical="center"/>
    </xf>
    <xf numFmtId="41" fontId="104" fillId="0" borderId="0" xfId="19" applyFont="1"/>
    <xf numFmtId="182" fontId="106" fillId="63" borderId="18" xfId="1183" applyNumberFormat="1" applyFont="1" applyFill="1" applyBorder="1" applyAlignment="1">
      <alignment horizontal="center" vertical="center"/>
    </xf>
    <xf numFmtId="41" fontId="106" fillId="64" borderId="18" xfId="19" applyFont="1" applyFill="1" applyBorder="1" applyAlignment="1">
      <alignment horizontal="center" vertical="center"/>
    </xf>
    <xf numFmtId="43" fontId="103" fillId="0" borderId="35" xfId="1183" applyFont="1" applyBorder="1"/>
    <xf numFmtId="43" fontId="107" fillId="0" borderId="18" xfId="1183" applyFont="1" applyBorder="1" applyAlignment="1">
      <alignment vertical="center"/>
    </xf>
    <xf numFmtId="43" fontId="43" fillId="0" borderId="18" xfId="1183" applyFont="1" applyBorder="1" applyAlignment="1">
      <alignment vertical="center"/>
    </xf>
    <xf numFmtId="43" fontId="108" fillId="6" borderId="18" xfId="1183" applyFont="1" applyFill="1" applyBorder="1" applyAlignment="1">
      <alignment vertical="center"/>
    </xf>
    <xf numFmtId="43" fontId="44" fillId="64" borderId="18" xfId="1183" applyFont="1" applyFill="1" applyBorder="1" applyAlignment="1">
      <alignment vertical="center"/>
    </xf>
    <xf numFmtId="43" fontId="44" fillId="0" borderId="18" xfId="1183" applyFont="1" applyBorder="1" applyAlignment="1">
      <alignment vertical="center"/>
    </xf>
    <xf numFmtId="43" fontId="42" fillId="0" borderId="18" xfId="1183" applyFont="1" applyBorder="1" applyAlignment="1">
      <alignment vertical="center"/>
    </xf>
    <xf numFmtId="43" fontId="106" fillId="0" borderId="18" xfId="1183" applyFont="1" applyBorder="1" applyAlignment="1">
      <alignment vertical="center"/>
    </xf>
    <xf numFmtId="43" fontId="3" fillId="0" borderId="18" xfId="1183" applyFont="1" applyBorder="1" applyAlignment="1">
      <alignment vertical="center"/>
    </xf>
    <xf numFmtId="43" fontId="104" fillId="64" borderId="18" xfId="1183" applyFont="1" applyFill="1" applyBorder="1" applyAlignment="1">
      <alignment vertical="center"/>
    </xf>
    <xf numFmtId="0" fontId="41" fillId="63" borderId="3" xfId="1182" applyFont="1" applyFill="1" applyBorder="1" applyAlignment="1">
      <alignment vertical="center" wrapText="1"/>
    </xf>
    <xf numFmtId="0" fontId="41" fillId="0" borderId="3" xfId="1182" applyFont="1" applyBorder="1" applyAlignment="1">
      <alignment vertical="center" wrapText="1"/>
    </xf>
    <xf numFmtId="3" fontId="41" fillId="0" borderId="3" xfId="1182" applyNumberFormat="1" applyFont="1" applyBorder="1" applyAlignment="1">
      <alignment vertical="center" wrapText="1"/>
    </xf>
    <xf numFmtId="0" fontId="90" fillId="0" borderId="3" xfId="1182" applyFont="1" applyBorder="1" applyAlignment="1">
      <alignment horizontal="center" vertical="center" wrapText="1"/>
    </xf>
    <xf numFmtId="0" fontId="3" fillId="0" borderId="3" xfId="1182" applyBorder="1" applyAlignment="1">
      <alignment vertical="center" wrapText="1"/>
    </xf>
    <xf numFmtId="4" fontId="41" fillId="0" borderId="3" xfId="1182" applyNumberFormat="1" applyFont="1" applyBorder="1" applyAlignment="1">
      <alignment vertical="center" wrapText="1"/>
    </xf>
    <xf numFmtId="0" fontId="110" fillId="6" borderId="18" xfId="0" applyFont="1" applyFill="1" applyBorder="1" applyAlignment="1">
      <alignment horizontal="center" vertical="center"/>
    </xf>
    <xf numFmtId="2" fontId="110" fillId="6" borderId="18" xfId="0" applyNumberFormat="1" applyFont="1" applyFill="1" applyBorder="1" applyAlignment="1">
      <alignment horizontal="center" vertical="center"/>
    </xf>
    <xf numFmtId="0" fontId="111" fillId="6" borderId="18" xfId="405" applyFont="1" applyFill="1" applyBorder="1" applyAlignment="1">
      <alignment horizontal="center" vertical="center"/>
    </xf>
    <xf numFmtId="0" fontId="110" fillId="6" borderId="18" xfId="429" applyFont="1" applyFill="1" applyBorder="1" applyAlignment="1">
      <alignment horizontal="center" vertical="center"/>
    </xf>
    <xf numFmtId="41" fontId="110" fillId="6" borderId="18" xfId="1" applyFont="1" applyFill="1" applyBorder="1" applyAlignment="1">
      <alignment horizontal="center" vertical="center"/>
    </xf>
    <xf numFmtId="0" fontId="112" fillId="0" borderId="18" xfId="0" applyFont="1" applyBorder="1">
      <alignment vertical="center"/>
    </xf>
    <xf numFmtId="184" fontId="112" fillId="0" borderId="18" xfId="0" quotePrefix="1" applyNumberFormat="1" applyFont="1" applyBorder="1" applyAlignment="1">
      <alignment horizontal="center"/>
    </xf>
    <xf numFmtId="180" fontId="112" fillId="0" borderId="18" xfId="1" applyNumberFormat="1" applyFont="1" applyBorder="1">
      <alignment vertical="center"/>
    </xf>
    <xf numFmtId="0" fontId="2" fillId="0" borderId="0" xfId="1204"/>
    <xf numFmtId="182" fontId="106" fillId="63" borderId="18" xfId="1206" applyNumberFormat="1" applyFont="1" applyFill="1" applyBorder="1" applyAlignment="1">
      <alignment horizontal="center" vertical="center"/>
    </xf>
    <xf numFmtId="43" fontId="103" fillId="0" borderId="35" xfId="1206" applyFont="1" applyBorder="1"/>
    <xf numFmtId="43" fontId="107" fillId="0" borderId="18" xfId="1206" applyFont="1" applyBorder="1" applyAlignment="1">
      <alignment vertical="center"/>
    </xf>
    <xf numFmtId="43" fontId="43" fillId="0" borderId="18" xfId="1206" applyFont="1" applyBorder="1" applyAlignment="1">
      <alignment vertical="center"/>
    </xf>
    <xf numFmtId="43" fontId="108" fillId="6" borderId="18" xfId="1206" applyFont="1" applyFill="1" applyBorder="1" applyAlignment="1">
      <alignment vertical="center"/>
    </xf>
    <xf numFmtId="43" fontId="44" fillId="64" borderId="18" xfId="1206" applyFont="1" applyFill="1" applyBorder="1" applyAlignment="1">
      <alignment vertical="center"/>
    </xf>
    <xf numFmtId="43" fontId="44" fillId="0" borderId="18" xfId="1206" applyFont="1" applyBorder="1" applyAlignment="1">
      <alignment vertical="center"/>
    </xf>
    <xf numFmtId="43" fontId="42" fillId="0" borderId="18" xfId="1206" applyFont="1" applyBorder="1" applyAlignment="1">
      <alignment vertical="center"/>
    </xf>
    <xf numFmtId="43" fontId="106" fillId="0" borderId="18" xfId="1206" applyFont="1" applyBorder="1" applyAlignment="1">
      <alignment vertical="center"/>
    </xf>
    <xf numFmtId="43" fontId="2" fillId="0" borderId="18" xfId="1206" applyFont="1" applyBorder="1" applyAlignment="1">
      <alignment vertical="center"/>
    </xf>
    <xf numFmtId="43" fontId="104" fillId="64" borderId="18" xfId="1206" applyFont="1" applyFill="1" applyBorder="1" applyAlignment="1">
      <alignment vertical="center"/>
    </xf>
    <xf numFmtId="0" fontId="1" fillId="0" borderId="0" xfId="1208"/>
    <xf numFmtId="182" fontId="106" fillId="63" borderId="18" xfId="1210" applyNumberFormat="1" applyFont="1" applyFill="1" applyBorder="1" applyAlignment="1">
      <alignment horizontal="center" vertical="center"/>
    </xf>
    <xf numFmtId="43" fontId="103" fillId="0" borderId="35" xfId="1210" applyFont="1" applyBorder="1"/>
    <xf numFmtId="43" fontId="107" fillId="0" borderId="18" xfId="1210" applyFont="1" applyBorder="1" applyAlignment="1">
      <alignment vertical="center"/>
    </xf>
    <xf numFmtId="43" fontId="43" fillId="0" borderId="18" xfId="1210" applyFont="1" applyBorder="1" applyAlignment="1">
      <alignment vertical="center"/>
    </xf>
    <xf numFmtId="43" fontId="108" fillId="6" borderId="18" xfId="1210" applyFont="1" applyFill="1" applyBorder="1" applyAlignment="1">
      <alignment vertical="center"/>
    </xf>
    <xf numFmtId="43" fontId="44" fillId="64" borderId="18" xfId="1210" applyFont="1" applyFill="1" applyBorder="1" applyAlignment="1">
      <alignment vertical="center"/>
    </xf>
    <xf numFmtId="43" fontId="44" fillId="0" borderId="18" xfId="1210" applyFont="1" applyBorder="1" applyAlignment="1">
      <alignment vertical="center"/>
    </xf>
    <xf numFmtId="43" fontId="42" fillId="0" borderId="18" xfId="1210" applyFont="1" applyBorder="1" applyAlignment="1">
      <alignment vertical="center"/>
    </xf>
    <xf numFmtId="43" fontId="106" fillId="0" borderId="18" xfId="1210" applyFont="1" applyBorder="1" applyAlignment="1">
      <alignment vertical="center"/>
    </xf>
    <xf numFmtId="43" fontId="1" fillId="0" borderId="18" xfId="1210" applyFont="1" applyBorder="1" applyAlignment="1">
      <alignment vertical="center"/>
    </xf>
    <xf numFmtId="43" fontId="104" fillId="64" borderId="18" xfId="1210" applyFont="1" applyFill="1" applyBorder="1" applyAlignment="1">
      <alignment vertical="center"/>
    </xf>
    <xf numFmtId="0" fontId="104" fillId="0" borderId="19" xfId="16" applyFont="1" applyBorder="1" applyAlignment="1">
      <alignment vertical="center"/>
    </xf>
    <xf numFmtId="0" fontId="104" fillId="0" borderId="21" xfId="16" applyFont="1" applyBorder="1" applyAlignment="1">
      <alignment vertical="center"/>
    </xf>
    <xf numFmtId="0" fontId="31" fillId="9" borderId="1" xfId="0" applyFont="1" applyFill="1" applyBorder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4" fillId="0" borderId="0" xfId="0" applyNumberFormat="1" applyFont="1" applyAlignment="1">
      <alignment horizontal="left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41" fontId="22" fillId="0" borderId="1" xfId="1" applyFont="1" applyBorder="1" applyAlignment="1">
      <alignment horizontal="center" vertical="center"/>
    </xf>
    <xf numFmtId="41" fontId="22" fillId="0" borderId="1" xfId="0" applyNumberFormat="1" applyFont="1" applyBorder="1" applyAlignment="1">
      <alignment horizontal="center" vertical="center"/>
    </xf>
    <xf numFmtId="41" fontId="22" fillId="0" borderId="18" xfId="167" applyNumberFormat="1" applyFont="1" applyBorder="1" applyAlignment="1">
      <alignment horizontal="center" vertical="center"/>
    </xf>
    <xf numFmtId="0" fontId="22" fillId="26" borderId="19" xfId="167" applyFont="1" applyFill="1" applyBorder="1" applyAlignment="1">
      <alignment horizontal="center" vertical="center"/>
    </xf>
    <xf numFmtId="0" fontId="22" fillId="26" borderId="20" xfId="167" applyFont="1" applyFill="1" applyBorder="1" applyAlignment="1">
      <alignment horizontal="center" vertical="center"/>
    </xf>
    <xf numFmtId="0" fontId="22" fillId="26" borderId="21" xfId="167" applyFont="1" applyFill="1" applyBorder="1" applyAlignment="1">
      <alignment horizontal="center" vertical="center"/>
    </xf>
    <xf numFmtId="41" fontId="22" fillId="0" borderId="19" xfId="168" applyFont="1" applyBorder="1" applyAlignment="1">
      <alignment horizontal="center" vertical="center"/>
    </xf>
    <xf numFmtId="41" fontId="22" fillId="0" borderId="20" xfId="168" applyFont="1" applyBorder="1" applyAlignment="1">
      <alignment horizontal="center" vertical="center"/>
    </xf>
    <xf numFmtId="41" fontId="22" fillId="0" borderId="21" xfId="168" applyFont="1" applyBorder="1" applyAlignment="1">
      <alignment horizontal="center" vertical="center"/>
    </xf>
    <xf numFmtId="0" fontId="22" fillId="0" borderId="18" xfId="476" applyFont="1" applyBorder="1" applyAlignment="1">
      <alignment horizontal="center" vertical="center"/>
    </xf>
    <xf numFmtId="41" fontId="97" fillId="0" borderId="21" xfId="476" applyNumberFormat="1" applyFont="1" applyBorder="1" applyAlignment="1">
      <alignment horizontal="center" vertical="center"/>
    </xf>
    <xf numFmtId="41" fontId="97" fillId="0" borderId="18" xfId="476" applyNumberFormat="1" applyFont="1" applyBorder="1" applyAlignment="1">
      <alignment horizontal="center" vertical="center"/>
    </xf>
    <xf numFmtId="41" fontId="97" fillId="0" borderId="19" xfId="476" applyNumberFormat="1" applyFont="1" applyBorder="1" applyAlignment="1">
      <alignment horizontal="center" vertical="center"/>
    </xf>
    <xf numFmtId="41" fontId="97" fillId="0" borderId="7" xfId="476" applyNumberFormat="1" applyFont="1" applyBorder="1" applyAlignment="1">
      <alignment horizontal="center" vertical="center"/>
    </xf>
    <xf numFmtId="181" fontId="97" fillId="0" borderId="19" xfId="476" applyNumberFormat="1" applyFont="1" applyBorder="1" applyAlignment="1">
      <alignment horizontal="center" vertical="center"/>
    </xf>
    <xf numFmtId="181" fontId="97" fillId="0" borderId="7" xfId="476" applyNumberFormat="1" applyFont="1" applyBorder="1" applyAlignment="1">
      <alignment horizontal="center" vertical="center"/>
    </xf>
    <xf numFmtId="0" fontId="22" fillId="26" borderId="18" xfId="476" applyFont="1" applyFill="1" applyBorder="1" applyAlignment="1">
      <alignment horizontal="center" vertical="center"/>
    </xf>
    <xf numFmtId="0" fontId="97" fillId="26" borderId="18" xfId="472" applyFont="1" applyFill="1" applyBorder="1" applyAlignment="1">
      <alignment horizontal="center" vertical="center"/>
    </xf>
    <xf numFmtId="0" fontId="41" fillId="26" borderId="18" xfId="472" applyFont="1" applyFill="1" applyBorder="1" applyAlignment="1">
      <alignment horizontal="center" vertical="center"/>
    </xf>
    <xf numFmtId="0" fontId="41" fillId="60" borderId="18" xfId="472" applyFont="1" applyFill="1" applyBorder="1" applyAlignment="1">
      <alignment horizontal="center" vertical="center"/>
    </xf>
    <xf numFmtId="181" fontId="97" fillId="0" borderId="18" xfId="472" applyNumberFormat="1" applyFont="1" applyBorder="1" applyAlignment="1">
      <alignment horizontal="center" vertical="center"/>
    </xf>
    <xf numFmtId="0" fontId="97" fillId="0" borderId="18" xfId="472" applyFont="1" applyBorder="1" applyAlignment="1">
      <alignment horizontal="center" vertical="center"/>
    </xf>
    <xf numFmtId="41" fontId="22" fillId="0" borderId="18" xfId="0" applyNumberFormat="1" applyFont="1" applyBorder="1" applyAlignment="1">
      <alignment horizontal="center" vertical="center"/>
    </xf>
    <xf numFmtId="0" fontId="22" fillId="58" borderId="19" xfId="476" applyFont="1" applyFill="1" applyBorder="1" applyAlignment="1">
      <alignment horizontal="center" vertical="center"/>
    </xf>
    <xf numFmtId="0" fontId="22" fillId="58" borderId="7" xfId="476" applyFont="1" applyFill="1" applyBorder="1" applyAlignment="1">
      <alignment horizontal="center" vertical="center"/>
    </xf>
    <xf numFmtId="0" fontId="22" fillId="59" borderId="19" xfId="476" applyFont="1" applyFill="1" applyBorder="1" applyAlignment="1">
      <alignment horizontal="center" vertical="center"/>
    </xf>
    <xf numFmtId="0" fontId="22" fillId="59" borderId="7" xfId="476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/>
    </xf>
    <xf numFmtId="41" fontId="22" fillId="0" borderId="5" xfId="1" applyFont="1" applyBorder="1" applyAlignment="1">
      <alignment horizontal="center" vertical="center"/>
    </xf>
    <xf numFmtId="41" fontId="22" fillId="0" borderId="8" xfId="1" applyFont="1" applyBorder="1" applyAlignment="1">
      <alignment horizontal="center" vertical="center"/>
    </xf>
    <xf numFmtId="41" fontId="33" fillId="0" borderId="19" xfId="1" applyFont="1" applyBorder="1" applyAlignment="1">
      <alignment horizontal="center" vertical="center"/>
    </xf>
    <xf numFmtId="41" fontId="33" fillId="0" borderId="20" xfId="1" applyFont="1" applyBorder="1" applyAlignment="1">
      <alignment horizontal="center" vertical="center"/>
    </xf>
    <xf numFmtId="41" fontId="33" fillId="0" borderId="21" xfId="1" applyFont="1" applyBorder="1" applyAlignment="1">
      <alignment horizontal="center" vertical="center"/>
    </xf>
    <xf numFmtId="41" fontId="22" fillId="0" borderId="18" xfId="1" applyFont="1" applyBorder="1">
      <alignment vertical="center"/>
    </xf>
    <xf numFmtId="41" fontId="22" fillId="0" borderId="19" xfId="0" applyNumberFormat="1" applyFont="1" applyBorder="1" applyAlignment="1">
      <alignment horizontal="center" vertical="center"/>
    </xf>
    <xf numFmtId="41" fontId="22" fillId="0" borderId="20" xfId="0" applyNumberFormat="1" applyFont="1" applyBorder="1" applyAlignment="1">
      <alignment horizontal="center" vertical="center"/>
    </xf>
    <xf numFmtId="41" fontId="22" fillId="0" borderId="21" xfId="0" applyNumberFormat="1" applyFont="1" applyBorder="1" applyAlignment="1">
      <alignment horizontal="center" vertical="center"/>
    </xf>
    <xf numFmtId="41" fontId="22" fillId="0" borderId="18" xfId="1" applyFont="1" applyBorder="1" applyAlignment="1">
      <alignment horizontal="center" vertical="center"/>
    </xf>
    <xf numFmtId="0" fontId="30" fillId="7" borderId="0" xfId="0" applyFont="1" applyFill="1" applyAlignment="1">
      <alignment horizontal="left" vertical="center"/>
    </xf>
    <xf numFmtId="0" fontId="41" fillId="0" borderId="31" xfId="640" applyFont="1" applyBorder="1" applyAlignment="1">
      <alignment vertical="center" wrapText="1"/>
    </xf>
    <xf numFmtId="0" fontId="41" fillId="0" borderId="32" xfId="640" applyFont="1" applyBorder="1" applyAlignment="1">
      <alignment vertical="center" wrapText="1"/>
    </xf>
    <xf numFmtId="0" fontId="41" fillId="0" borderId="33" xfId="640" applyFont="1" applyBorder="1" applyAlignment="1">
      <alignment vertical="center" wrapText="1"/>
    </xf>
    <xf numFmtId="0" fontId="22" fillId="26" borderId="19" xfId="476" applyFont="1" applyFill="1" applyBorder="1" applyAlignment="1">
      <alignment horizontal="center" vertical="center"/>
    </xf>
    <xf numFmtId="0" fontId="22" fillId="26" borderId="20" xfId="476" applyFont="1" applyFill="1" applyBorder="1" applyAlignment="1">
      <alignment horizontal="center" vertical="center"/>
    </xf>
    <xf numFmtId="0" fontId="22" fillId="26" borderId="21" xfId="476" applyFont="1" applyFill="1" applyBorder="1" applyAlignment="1">
      <alignment horizontal="center" vertical="center"/>
    </xf>
    <xf numFmtId="41" fontId="97" fillId="0" borderId="20" xfId="476" applyNumberFormat="1" applyFont="1" applyBorder="1" applyAlignment="1">
      <alignment horizontal="center" vertical="center"/>
    </xf>
    <xf numFmtId="181" fontId="97" fillId="0" borderId="19" xfId="472" applyNumberFormat="1" applyFont="1" applyBorder="1" applyAlignment="1">
      <alignment horizontal="center" vertical="center"/>
    </xf>
    <xf numFmtId="181" fontId="97" fillId="0" borderId="20" xfId="472" applyNumberFormat="1" applyFont="1" applyBorder="1" applyAlignment="1">
      <alignment horizontal="center" vertical="center"/>
    </xf>
    <xf numFmtId="181" fontId="97" fillId="0" borderId="21" xfId="472" applyNumberFormat="1" applyFont="1" applyBorder="1" applyAlignment="1">
      <alignment horizontal="center" vertical="center"/>
    </xf>
    <xf numFmtId="0" fontId="104" fillId="0" borderId="18" xfId="16" applyFont="1" applyBorder="1" applyAlignment="1">
      <alignment vertical="center"/>
    </xf>
    <xf numFmtId="0" fontId="22" fillId="58" borderId="21" xfId="476" applyFont="1" applyFill="1" applyBorder="1" applyAlignment="1">
      <alignment horizontal="center" vertical="center"/>
    </xf>
    <xf numFmtId="0" fontId="22" fillId="59" borderId="21" xfId="476" applyFont="1" applyFill="1" applyBorder="1" applyAlignment="1">
      <alignment horizontal="center" vertical="center"/>
    </xf>
    <xf numFmtId="0" fontId="31" fillId="9" borderId="18" xfId="476" applyFont="1" applyFill="1" applyBorder="1" applyAlignment="1">
      <alignment horizontal="left" vertical="center"/>
    </xf>
    <xf numFmtId="0" fontId="22" fillId="8" borderId="18" xfId="476" applyFont="1" applyFill="1" applyBorder="1" applyAlignment="1">
      <alignment horizontal="center" vertical="center"/>
    </xf>
    <xf numFmtId="0" fontId="22" fillId="5" borderId="19" xfId="476" applyFont="1" applyFill="1" applyBorder="1" applyAlignment="1">
      <alignment horizontal="center" vertical="center"/>
    </xf>
    <xf numFmtId="0" fontId="22" fillId="5" borderId="21" xfId="476" applyFont="1" applyFill="1" applyBorder="1" applyAlignment="1">
      <alignment horizontal="center" vertical="center"/>
    </xf>
    <xf numFmtId="0" fontId="22" fillId="4" borderId="19" xfId="476" applyFont="1" applyFill="1" applyBorder="1" applyAlignment="1">
      <alignment horizontal="center" vertical="center"/>
    </xf>
    <xf numFmtId="0" fontId="22" fillId="4" borderId="20" xfId="476" applyFont="1" applyFill="1" applyBorder="1" applyAlignment="1">
      <alignment horizontal="center" vertical="center"/>
    </xf>
    <xf numFmtId="0" fontId="22" fillId="4" borderId="21" xfId="476" applyFont="1" applyFill="1" applyBorder="1" applyAlignment="1">
      <alignment horizontal="center" vertical="center"/>
    </xf>
    <xf numFmtId="41" fontId="22" fillId="0" borderId="19" xfId="1" applyFont="1" applyBorder="1" applyAlignment="1">
      <alignment horizontal="center" vertical="center"/>
    </xf>
    <xf numFmtId="41" fontId="22" fillId="0" borderId="20" xfId="1" applyFont="1" applyBorder="1" applyAlignment="1">
      <alignment horizontal="center" vertical="center"/>
    </xf>
    <xf numFmtId="41" fontId="22" fillId="0" borderId="21" xfId="1" applyFont="1" applyBorder="1" applyAlignment="1">
      <alignment horizontal="center" vertical="center"/>
    </xf>
    <xf numFmtId="181" fontId="97" fillId="0" borderId="21" xfId="476" applyNumberFormat="1" applyFont="1" applyBorder="1" applyAlignment="1">
      <alignment horizontal="center" vertical="center"/>
    </xf>
    <xf numFmtId="0" fontId="97" fillId="26" borderId="18" xfId="1179" applyFont="1" applyFill="1" applyBorder="1" applyAlignment="1">
      <alignment horizontal="center" vertical="center"/>
    </xf>
    <xf numFmtId="0" fontId="41" fillId="26" borderId="18" xfId="1179" applyFont="1" applyFill="1" applyBorder="1" applyAlignment="1">
      <alignment horizontal="center" vertical="center"/>
    </xf>
    <xf numFmtId="0" fontId="41" fillId="60" borderId="18" xfId="1179" applyFont="1" applyFill="1" applyBorder="1" applyAlignment="1">
      <alignment horizontal="center" vertical="center"/>
    </xf>
    <xf numFmtId="181" fontId="97" fillId="0" borderId="19" xfId="1179" applyNumberFormat="1" applyFont="1" applyBorder="1" applyAlignment="1">
      <alignment horizontal="center" vertical="center"/>
    </xf>
    <xf numFmtId="181" fontId="97" fillId="0" borderId="20" xfId="1179" applyNumberFormat="1" applyFont="1" applyBorder="1" applyAlignment="1">
      <alignment horizontal="center" vertical="center"/>
    </xf>
    <xf numFmtId="181" fontId="97" fillId="0" borderId="21" xfId="1179" applyNumberFormat="1" applyFont="1" applyBorder="1" applyAlignment="1">
      <alignment horizontal="center" vertical="center"/>
    </xf>
    <xf numFmtId="181" fontId="97" fillId="0" borderId="18" xfId="1179" applyNumberFormat="1" applyFont="1" applyBorder="1" applyAlignment="1">
      <alignment horizontal="center" vertical="center"/>
    </xf>
    <xf numFmtId="0" fontId="97" fillId="0" borderId="18" xfId="1179" applyFont="1" applyBorder="1" applyAlignment="1">
      <alignment horizontal="center" vertical="center"/>
    </xf>
    <xf numFmtId="41" fontId="22" fillId="0" borderId="34" xfId="1" applyFont="1" applyBorder="1" applyAlignment="1">
      <alignment horizontal="center" vertical="center"/>
    </xf>
    <xf numFmtId="41" fontId="22" fillId="0" borderId="18" xfId="476" applyNumberFormat="1" applyFont="1" applyBorder="1" applyAlignment="1">
      <alignment horizontal="center" vertical="center"/>
    </xf>
    <xf numFmtId="0" fontId="32" fillId="0" borderId="0" xfId="476" applyFont="1" applyAlignment="1">
      <alignment horizontal="center" vertical="center"/>
    </xf>
    <xf numFmtId="0" fontId="32" fillId="0" borderId="2" xfId="476" applyFont="1" applyBorder="1" applyAlignment="1">
      <alignment horizontal="center" vertical="center"/>
    </xf>
    <xf numFmtId="0" fontId="24" fillId="0" borderId="0" xfId="476" applyFont="1" applyAlignment="1">
      <alignment horizontal="left" vertical="center"/>
    </xf>
    <xf numFmtId="14" fontId="24" fillId="0" borderId="0" xfId="476" applyNumberFormat="1" applyFont="1" applyAlignment="1">
      <alignment horizontal="left" vertical="center"/>
    </xf>
    <xf numFmtId="0" fontId="41" fillId="0" borderId="31" xfId="1182" applyFont="1" applyBorder="1" applyAlignment="1">
      <alignment vertical="center" wrapText="1"/>
    </xf>
    <xf numFmtId="0" fontId="41" fillId="0" borderId="32" xfId="1182" applyFont="1" applyBorder="1" applyAlignment="1">
      <alignment vertical="center" wrapText="1"/>
    </xf>
    <xf numFmtId="0" fontId="41" fillId="0" borderId="33" xfId="1182" applyFont="1" applyBorder="1" applyAlignment="1">
      <alignment vertical="center" wrapText="1"/>
    </xf>
    <xf numFmtId="41" fontId="22" fillId="0" borderId="19" xfId="1" applyFont="1" applyBorder="1">
      <alignment vertical="center"/>
    </xf>
    <xf numFmtId="41" fontId="22" fillId="0" borderId="21" xfId="1" applyFont="1" applyBorder="1">
      <alignment vertical="center"/>
    </xf>
  </cellXfs>
  <cellStyles count="1212">
    <cellStyle name="20% - 강조색1" xfId="369" builtinId="30" customBuiltin="1"/>
    <cellStyle name="20% - 강조색1 2" xfId="57" xr:uid="{00000000-0005-0000-0000-000000000000}"/>
    <cellStyle name="20% - 강조색1 3" xfId="443" xr:uid="{1498073A-E339-4405-AF85-6B3F3E3EF1D1}"/>
    <cellStyle name="20% - 강조색1 4" xfId="410" xr:uid="{96AED1BA-FBC4-4F32-83FC-890CAAFF9048}"/>
    <cellStyle name="20% - 강조색1 5" xfId="654" xr:uid="{93735D8A-BBA7-494A-9872-F7A12A84B105}"/>
    <cellStyle name="20% - 강조색1 6" xfId="1160" xr:uid="{29E7CF9A-29CC-41BD-B968-5C1D9AFD7BBB}"/>
    <cellStyle name="20% - 강조색1 7" xfId="1186" xr:uid="{3AF40745-001C-46DA-BEE4-457F176DE11F}"/>
    <cellStyle name="20% - 강조색2" xfId="372" builtinId="34" customBuiltin="1"/>
    <cellStyle name="20% - 강조색2 2" xfId="58" xr:uid="{00000000-0005-0000-0000-000001000000}"/>
    <cellStyle name="20% - 강조색2 3" xfId="446" xr:uid="{B7D9E72E-F0BC-48D9-9CFB-5624B4B08CA5}"/>
    <cellStyle name="20% - 강조색2 4" xfId="412" xr:uid="{17843DE1-83FE-4DD3-B725-62E16E95B6EE}"/>
    <cellStyle name="20% - 강조색2 5" xfId="569" xr:uid="{986F535C-849A-4C07-8739-3F80D7773F0D}"/>
    <cellStyle name="20% - 강조색2 6" xfId="1163" xr:uid="{848FE495-4B4F-498D-A649-3E0586C14085}"/>
    <cellStyle name="20% - 강조색2 7" xfId="1188" xr:uid="{48797139-F55B-4836-9344-0A4D3A18F970}"/>
    <cellStyle name="20% - 강조색3" xfId="375" builtinId="38" customBuiltin="1"/>
    <cellStyle name="20% - 강조색3 2" xfId="59" xr:uid="{00000000-0005-0000-0000-000002000000}"/>
    <cellStyle name="20% - 강조색3 3" xfId="449" xr:uid="{AE11A4CA-6C9C-4182-985F-7A18597FEBA1}"/>
    <cellStyle name="20% - 강조색3 4" xfId="414" xr:uid="{0C9967E3-869D-460C-BD3D-FEDDACC38BD9}"/>
    <cellStyle name="20% - 강조색3 5" xfId="481" xr:uid="{36C6F0A5-059D-4011-9B3C-98EA99BC8011}"/>
    <cellStyle name="20% - 강조색3 6" xfId="1166" xr:uid="{3D62C9C4-80C6-4396-BED1-5BDAFFA9F972}"/>
    <cellStyle name="20% - 강조색3 7" xfId="1190" xr:uid="{B6C47EF9-BF3C-4D8A-9516-4618B88709F0}"/>
    <cellStyle name="20% - 강조색4" xfId="378" builtinId="42" customBuiltin="1"/>
    <cellStyle name="20% - 강조색4 2" xfId="60" xr:uid="{00000000-0005-0000-0000-000003000000}"/>
    <cellStyle name="20% - 강조색4 3" xfId="452" xr:uid="{81D96BED-4564-44AB-97BA-ED7A0453864B}"/>
    <cellStyle name="20% - 강조색4 4" xfId="417" xr:uid="{E1C456B0-12DC-4F9A-A666-F736C0CDE889}"/>
    <cellStyle name="20% - 강조색4 5" xfId="593" xr:uid="{43511374-34A9-4147-8CD1-6D0CC28D5C85}"/>
    <cellStyle name="20% - 강조색4 6" xfId="1169" xr:uid="{1F64AA1E-B404-48C8-9AF0-447F871F908F}"/>
    <cellStyle name="20% - 강조색4 7" xfId="1192" xr:uid="{DF9253AD-C666-4726-B8B5-B3FA849D0407}"/>
    <cellStyle name="20% - 강조색5" xfId="381" builtinId="46" customBuiltin="1"/>
    <cellStyle name="20% - 강조색5 2" xfId="61" xr:uid="{00000000-0005-0000-0000-000004000000}"/>
    <cellStyle name="20% - 강조색5 3" xfId="455" xr:uid="{FE5AB82A-0B20-46EF-B834-32FF62B08A7A}"/>
    <cellStyle name="20% - 강조색5 4" xfId="420" xr:uid="{4FA573B6-CA05-49A2-909B-82666C631266}"/>
    <cellStyle name="20% - 강조색5 5" xfId="522" xr:uid="{3AB33F8D-0918-4DA8-BBE8-8AF7C2B99EE6}"/>
    <cellStyle name="20% - 강조색5 6" xfId="1172" xr:uid="{B09DA7AF-B5C6-4F86-86D4-D5A1A5CB93EF}"/>
    <cellStyle name="20% - 강조색5 7" xfId="1194" xr:uid="{9945686E-04DE-426C-90DC-855FF499F5C4}"/>
    <cellStyle name="20% - 강조색6" xfId="384" builtinId="50" customBuiltin="1"/>
    <cellStyle name="20% - 강조색6 2" xfId="62" xr:uid="{00000000-0005-0000-0000-000005000000}"/>
    <cellStyle name="20% - 강조색6 3" xfId="458" xr:uid="{62865562-B40E-4327-80F6-8F499483662B}"/>
    <cellStyle name="20% - 강조색6 4" xfId="423" xr:uid="{944B6DAF-27CE-41B7-B159-34A2932AB1CD}"/>
    <cellStyle name="20% - 강조색6 5" xfId="519" xr:uid="{13ECC702-257D-4008-9701-56443A4F881E}"/>
    <cellStyle name="20% - 강조색6 6" xfId="1175" xr:uid="{3CA95294-9AF7-4F21-AE85-3749E0458289}"/>
    <cellStyle name="20% - 강조색6 7" xfId="1196" xr:uid="{3143A0E2-70E7-4F3E-B2AF-8EA7CF3DCBC1}"/>
    <cellStyle name="40% - 강조색1" xfId="370" builtinId="31" customBuiltin="1"/>
    <cellStyle name="40% - 강조색1 2" xfId="63" xr:uid="{00000000-0005-0000-0000-000006000000}"/>
    <cellStyle name="40% - 강조색1 3" xfId="444" xr:uid="{82563AF9-3BF6-469A-8072-AAB48B107B1D}"/>
    <cellStyle name="40% - 강조색1 4" xfId="411" xr:uid="{A37379E6-F92E-452F-9FE8-12622E4B5690}"/>
    <cellStyle name="40% - 강조색1 5" xfId="553" xr:uid="{7C664273-452C-477D-9C3C-48C0EE62A080}"/>
    <cellStyle name="40% - 강조색1 6" xfId="1161" xr:uid="{75147E1E-5CEB-421A-960B-595FEDD0344E}"/>
    <cellStyle name="40% - 강조색1 7" xfId="1187" xr:uid="{A8A47CBD-9563-4570-B6E2-B55728912497}"/>
    <cellStyle name="40% - 강조색2" xfId="373" builtinId="35" customBuiltin="1"/>
    <cellStyle name="40% - 강조색2 2" xfId="64" xr:uid="{00000000-0005-0000-0000-000007000000}"/>
    <cellStyle name="40% - 강조색2 3" xfId="447" xr:uid="{10329039-CD7D-408D-A209-560B42A976D7}"/>
    <cellStyle name="40% - 강조색2 4" xfId="413" xr:uid="{D41B1B12-8A4F-40A5-9D47-ED33D1936B1A}"/>
    <cellStyle name="40% - 강조색2 5" xfId="513" xr:uid="{EBFFF637-E525-48A9-9F3E-3CEF47591AF7}"/>
    <cellStyle name="40% - 강조색2 6" xfId="1164" xr:uid="{39C01D0A-BFAC-476F-84E8-5741F571C1F6}"/>
    <cellStyle name="40% - 강조색2 7" xfId="1189" xr:uid="{51170C02-8959-45E3-A0BF-BB3FB9EE8F22}"/>
    <cellStyle name="40% - 강조색3" xfId="376" builtinId="39" customBuiltin="1"/>
    <cellStyle name="40% - 강조색3 2" xfId="65" xr:uid="{00000000-0005-0000-0000-000008000000}"/>
    <cellStyle name="40% - 강조색3 3" xfId="450" xr:uid="{F5E557C1-4DA2-46DA-9B3F-EE532B42DBCA}"/>
    <cellStyle name="40% - 강조색3 4" xfId="415" xr:uid="{4E069561-DE50-4AEF-8C7F-691035C90975}"/>
    <cellStyle name="40% - 강조색3 5" xfId="523" xr:uid="{A156D3F4-27A0-4281-9AE0-25DDCE5B97C6}"/>
    <cellStyle name="40% - 강조색3 6" xfId="1167" xr:uid="{363A86FE-1707-405A-845C-B7B6C1E82289}"/>
    <cellStyle name="40% - 강조색3 7" xfId="1191" xr:uid="{D05B4776-208D-402F-863B-587BC16CAC12}"/>
    <cellStyle name="40% - 강조색4" xfId="379" builtinId="43" customBuiltin="1"/>
    <cellStyle name="40% - 강조색4 2" xfId="66" xr:uid="{00000000-0005-0000-0000-000009000000}"/>
    <cellStyle name="40% - 강조색4 3" xfId="453" xr:uid="{901BC4E1-CF7C-4E6F-8F14-5E55DD2AD5E5}"/>
    <cellStyle name="40% - 강조색4 4" xfId="418" xr:uid="{69AA7254-A3DF-4A49-8FAF-FA9673E6E32F}"/>
    <cellStyle name="40% - 강조색4 5" xfId="551" xr:uid="{A46665E6-48E4-472E-B0AF-07426DD4033C}"/>
    <cellStyle name="40% - 강조색4 6" xfId="1170" xr:uid="{2EB9F072-A614-4A55-8348-3EAE740C6060}"/>
    <cellStyle name="40% - 강조색4 7" xfId="1193" xr:uid="{BDB8A965-6D23-476F-BBB1-FAA6A6DCC147}"/>
    <cellStyle name="40% - 강조색5" xfId="382" builtinId="47" customBuiltin="1"/>
    <cellStyle name="40% - 강조색5 2" xfId="67" xr:uid="{00000000-0005-0000-0000-00000A000000}"/>
    <cellStyle name="40% - 강조색5 3" xfId="456" xr:uid="{03D006ED-FAD4-4A87-A0B9-7E5732910AB9}"/>
    <cellStyle name="40% - 강조색5 4" xfId="421" xr:uid="{55B6443D-62EF-481F-9A9B-8A1F86F9C4BA}"/>
    <cellStyle name="40% - 강조색5 5" xfId="521" xr:uid="{E08362AF-C489-4F10-9DD4-CF74EC994E17}"/>
    <cellStyle name="40% - 강조색5 6" xfId="1173" xr:uid="{E6FCDEC0-2580-4E91-90E4-7728B2D71685}"/>
    <cellStyle name="40% - 강조색5 7" xfId="1195" xr:uid="{299481A8-2C0B-4C8A-8370-05A5BE161C1B}"/>
    <cellStyle name="40% - 강조색6" xfId="385" builtinId="51" customBuiltin="1"/>
    <cellStyle name="40% - 강조색6 2" xfId="68" xr:uid="{00000000-0005-0000-0000-00000B000000}"/>
    <cellStyle name="40% - 강조색6 3" xfId="459" xr:uid="{B7A84DAB-A1AE-4EC7-ACAD-759211D94462}"/>
    <cellStyle name="40% - 강조색6 4" xfId="424" xr:uid="{B9A92C54-3FCC-4AA7-9859-84CE5F732D0E}"/>
    <cellStyle name="40% - 강조색6 5" xfId="518" xr:uid="{63078512-C7BF-417E-BB42-F88EF59234A4}"/>
    <cellStyle name="40% - 강조색6 6" xfId="1176" xr:uid="{8E5551A8-203E-40C7-AD7A-34B3205E32BE}"/>
    <cellStyle name="40% - 강조색6 7" xfId="1197" xr:uid="{051EE254-7DAD-4FFF-9F3A-B75705A0CDEC}"/>
    <cellStyle name="60% - 강조색1" xfId="398" builtinId="32" customBuiltin="1"/>
    <cellStyle name="60% - 강조색1 2" xfId="69" xr:uid="{00000000-0005-0000-0000-00000C000000}"/>
    <cellStyle name="60% - 강조색1 2 2" xfId="464" xr:uid="{A09F3857-74D1-432E-9761-5AB3436C5B16}"/>
    <cellStyle name="60% - 강조색1 2 3" xfId="1198" xr:uid="{1393A9CD-57AD-4DBB-8444-CDC2C14403B3}"/>
    <cellStyle name="60% - 강조색1 3" xfId="390" xr:uid="{659CB5F4-6D3F-484A-BBF0-6FF56AEA6D3E}"/>
    <cellStyle name="60% - 강조색1 3 2" xfId="445" xr:uid="{FC44BF76-8558-45E9-B563-4230A779E7DA}"/>
    <cellStyle name="60% - 강조색1 4" xfId="509" xr:uid="{A18CEC14-6D41-44A1-9F2E-882504090911}"/>
    <cellStyle name="60% - 강조색1 5" xfId="1162" xr:uid="{4581EB88-7D5C-4DE7-B559-BF333A3E96C7}"/>
    <cellStyle name="60% - 강조색2" xfId="399" builtinId="36" customBuiltin="1"/>
    <cellStyle name="60% - 강조색2 2" xfId="70" xr:uid="{00000000-0005-0000-0000-00000D000000}"/>
    <cellStyle name="60% - 강조색2 2 2" xfId="465" xr:uid="{E96E3600-2BA8-4370-BFDE-4EFD025F3F82}"/>
    <cellStyle name="60% - 강조색2 2 3" xfId="1199" xr:uid="{76545B55-8ECE-4D61-BEDC-ECDA976B964A}"/>
    <cellStyle name="60% - 강조색2 3" xfId="391" xr:uid="{A1B08A7F-E37F-479C-A9A3-C739D6477B81}"/>
    <cellStyle name="60% - 강조색2 3 2" xfId="448" xr:uid="{88D959E4-8E58-405E-A1DC-05AE100B3D72}"/>
    <cellStyle name="60% - 강조색2 4" xfId="506" xr:uid="{43EECAFC-7DBD-470A-9F39-20BD6713C9A5}"/>
    <cellStyle name="60% - 강조색2 5" xfId="1165" xr:uid="{8BFB9A1F-AA54-4395-A7B8-C3F6F3AB12E7}"/>
    <cellStyle name="60% - 강조색3" xfId="400" builtinId="40" customBuiltin="1"/>
    <cellStyle name="60% - 강조색3 2" xfId="71" xr:uid="{00000000-0005-0000-0000-00000E000000}"/>
    <cellStyle name="60% - 강조색3 2 2" xfId="466" xr:uid="{295D1A72-624E-4C89-A9E2-67FC7772C4BE}"/>
    <cellStyle name="60% - 강조색3 2 3" xfId="1200" xr:uid="{BF9DEFD7-56FA-45BD-9BBD-015FDCB82F20}"/>
    <cellStyle name="60% - 강조색3 3" xfId="392" xr:uid="{983539B3-C526-4F80-9798-9076DAA63B36}"/>
    <cellStyle name="60% - 강조색3 3 2" xfId="451" xr:uid="{3938AF29-781B-45DD-8585-541D8B89C4C8}"/>
    <cellStyle name="60% - 강조색3 4" xfId="561" xr:uid="{A5AF9F93-7226-4699-AE8F-90A652D31ED3}"/>
    <cellStyle name="60% - 강조색3 5" xfId="1168" xr:uid="{6DEC5158-48C6-46AC-869A-EE8F9240E502}"/>
    <cellStyle name="60% - 강조색4" xfId="401" builtinId="44" customBuiltin="1"/>
    <cellStyle name="60% - 강조색4 2" xfId="72" xr:uid="{00000000-0005-0000-0000-00000F000000}"/>
    <cellStyle name="60% - 강조색4 2 2" xfId="467" xr:uid="{995CD1FA-C883-4A92-BB0D-47399D6D65F6}"/>
    <cellStyle name="60% - 강조색4 2 3" xfId="1201" xr:uid="{2DC38E57-F644-41FC-A566-9462BD14C604}"/>
    <cellStyle name="60% - 강조색4 3" xfId="393" xr:uid="{7E56D46A-0001-46B0-B9BF-882294757415}"/>
    <cellStyle name="60% - 강조색4 3 2" xfId="454" xr:uid="{7C44B8D2-CE86-4626-B2F4-D35788627EB5}"/>
    <cellStyle name="60% - 강조색4 4" xfId="507" xr:uid="{1673A2EC-B58E-4AA7-B34E-D57D85B28670}"/>
    <cellStyle name="60% - 강조색4 5" xfId="1171" xr:uid="{E18F2310-C881-40B2-A148-0415EACF9AD7}"/>
    <cellStyle name="60% - 강조색5" xfId="402" builtinId="48" customBuiltin="1"/>
    <cellStyle name="60% - 강조색5 2" xfId="73" xr:uid="{00000000-0005-0000-0000-000010000000}"/>
    <cellStyle name="60% - 강조색5 2 2" xfId="468" xr:uid="{E9704E92-C1AB-4A9F-9467-11AD72BDF32C}"/>
    <cellStyle name="60% - 강조색5 2 3" xfId="1202" xr:uid="{58CEB8DA-445C-4C96-9872-C172FB7EAE3E}"/>
    <cellStyle name="60% - 강조색5 3" xfId="394" xr:uid="{76DCA0FE-FD97-4647-A160-B35A1DB62778}"/>
    <cellStyle name="60% - 강조색5 3 2" xfId="457" xr:uid="{476D6954-E451-4835-BEDA-632E07C96728}"/>
    <cellStyle name="60% - 강조색5 4" xfId="520" xr:uid="{A433B35C-EF9C-45F2-B7EA-01398C36A928}"/>
    <cellStyle name="60% - 강조색5 5" xfId="1174" xr:uid="{49325E09-D3D0-49FE-8A9F-9D0ABA91D26A}"/>
    <cellStyle name="60% - 강조색6" xfId="403" builtinId="52" customBuiltin="1"/>
    <cellStyle name="60% - 강조색6 2" xfId="74" xr:uid="{00000000-0005-0000-0000-000011000000}"/>
    <cellStyle name="60% - 강조색6 2 2" xfId="469" xr:uid="{81D2A1CD-11FB-4B89-98C0-44DA60E0CFF4}"/>
    <cellStyle name="60% - 강조색6 2 3" xfId="1203" xr:uid="{91B0F86E-2EF8-4035-8113-CAF8D571F8FC}"/>
    <cellStyle name="60% - 강조색6 3" xfId="395" xr:uid="{ABB3C5AE-03D4-40F6-98FF-14AC1DB30A59}"/>
    <cellStyle name="60% - 강조색6 3 2" xfId="460" xr:uid="{81D69082-A9FB-4F7F-83D9-E93BBF7A70E9}"/>
    <cellStyle name="60% - 강조색6 4" xfId="517" xr:uid="{B450DEFA-4CF1-4C20-B867-E16CA3AF27AB}"/>
    <cellStyle name="60% - 강조색6 5" xfId="1177" xr:uid="{8DB147D1-2611-4AE1-A5E8-318D17122DE7}"/>
    <cellStyle name="Comma [0] 2" xfId="9" xr:uid="{00000000-0005-0000-0000-000012000000}"/>
    <cellStyle name="Comma [0] 2 2" xfId="19" xr:uid="{00000000-0005-0000-0000-000013000000}"/>
    <cellStyle name="Comma [0] 2 2 2" xfId="490" xr:uid="{D859330A-68C8-41A0-8061-2B537538F439}"/>
    <cellStyle name="Comma [0] 2 3" xfId="256" xr:uid="{1326210C-9EAE-4071-9889-B54E323702FE}"/>
    <cellStyle name="Comma [0] 2 3 2" xfId="633" xr:uid="{79814DCE-5695-4AA4-BF5E-1A532F3C97D2}"/>
    <cellStyle name="Comma [0] 2 4" xfId="434" xr:uid="{7B749668-2FB1-4E0E-B0F4-7F3D1C7EA09D}"/>
    <cellStyle name="Comma [0] 2 4 2" xfId="733" xr:uid="{09D5A189-8A58-49D4-98C5-D8985387232A}"/>
    <cellStyle name="Comma [0] 2 5" xfId="483" xr:uid="{500F47A4-E569-45ED-956D-640EACC26819}"/>
    <cellStyle name="Comma 2" xfId="17" xr:uid="{00000000-0005-0000-0000-000014000000}"/>
    <cellStyle name="Comma 2 2" xfId="489" xr:uid="{21BFBBE2-B935-44F1-80B9-C2DDB395CB66}"/>
    <cellStyle name="Comma 3" xfId="22" xr:uid="{00000000-0005-0000-0000-000015000000}"/>
    <cellStyle name="Comma 3 2" xfId="492" xr:uid="{C5EE569E-4EC8-4FBA-A5B4-3FBCE6C1063B}"/>
    <cellStyle name="Hyperlink" xfId="122" xr:uid="{00000000-0005-0000-0000-000016000000}"/>
    <cellStyle name="Normal 2" xfId="8" xr:uid="{00000000-0005-0000-0000-000017000000}"/>
    <cellStyle name="Normal 2 2" xfId="16" xr:uid="{00000000-0005-0000-0000-000018000000}"/>
    <cellStyle name="Normal 2 2 2" xfId="842" xr:uid="{97D4002B-B07C-4CDC-B45C-7606F60DF613}"/>
    <cellStyle name="Normal 2 3" xfId="123" xr:uid="{00000000-0005-0000-0000-000019000000}"/>
    <cellStyle name="Normal 2 3 2" xfId="269" xr:uid="{C35FB2B8-5F0D-45D7-82D0-CB3F93CCE7D4}"/>
    <cellStyle name="Normal 2 3 2 2" xfId="646" xr:uid="{BA46EFD4-13F3-4A3F-8EC4-736B848576CF}"/>
    <cellStyle name="Normal 2 3 3" xfId="536" xr:uid="{EA85A0EB-E641-4D3A-AC40-FAC8F8C0FD27}"/>
    <cellStyle name="Normal 2 4" xfId="235" xr:uid="{6F319E2B-00C2-4717-8D2A-109E03723B1D}"/>
    <cellStyle name="Normal 2 4 2" xfId="612" xr:uid="{AC86DD78-262A-4E73-82F0-2B6E07D8427F}"/>
    <cellStyle name="Normal 2 5" xfId="407" xr:uid="{A4C8E405-EA1C-479B-9BC4-4E8025D1D3E9}"/>
    <cellStyle name="Normal 3" xfId="10" xr:uid="{00000000-0005-0000-0000-00001A000000}"/>
    <cellStyle name="Normal 3 2" xfId="18" xr:uid="{00000000-0005-0000-0000-00001B000000}"/>
    <cellStyle name="Normal 3 3" xfId="433" xr:uid="{0453C6EF-18AB-4D53-8C2A-C226E5BC71B7}"/>
    <cellStyle name="Normal 4" xfId="21" xr:uid="{00000000-0005-0000-0000-00001C000000}"/>
    <cellStyle name="강조색1" xfId="368" builtinId="29" customBuiltin="1"/>
    <cellStyle name="강조색1 2" xfId="75" xr:uid="{00000000-0005-0000-0000-00001D000000}"/>
    <cellStyle name="강조색2" xfId="371" builtinId="33" customBuiltin="1"/>
    <cellStyle name="강조색2 2" xfId="76" xr:uid="{00000000-0005-0000-0000-00001E000000}"/>
    <cellStyle name="강조색3" xfId="374" builtinId="37" customBuiltin="1"/>
    <cellStyle name="강조색3 2" xfId="77" xr:uid="{00000000-0005-0000-0000-00001F000000}"/>
    <cellStyle name="강조색4" xfId="377" builtinId="41" customBuiltin="1"/>
    <cellStyle name="강조색4 2" xfId="78" xr:uid="{00000000-0005-0000-0000-000020000000}"/>
    <cellStyle name="강조색5" xfId="380" builtinId="45" customBuiltin="1"/>
    <cellStyle name="강조색5 2" xfId="79" xr:uid="{00000000-0005-0000-0000-000021000000}"/>
    <cellStyle name="강조색6" xfId="383" builtinId="49" customBuiltin="1"/>
    <cellStyle name="강조색6 2" xfId="80" xr:uid="{00000000-0005-0000-0000-000022000000}"/>
    <cellStyle name="경고문" xfId="365" builtinId="11" customBuiltin="1"/>
    <cellStyle name="경고문 2" xfId="81" xr:uid="{00000000-0005-0000-0000-000023000000}"/>
    <cellStyle name="계산" xfId="362" builtinId="22" customBuiltin="1"/>
    <cellStyle name="계산 2" xfId="82" xr:uid="{00000000-0005-0000-0000-000024000000}"/>
    <cellStyle name="계산 2 2" xfId="1034" xr:uid="{F943E44F-17F2-4BAC-8B48-8C24548D447A}"/>
    <cellStyle name="계산 2 3" xfId="959" xr:uid="{A17A4448-30E1-4034-B203-EC6AB8A1533B}"/>
    <cellStyle name="계산 3" xfId="892" xr:uid="{145C5836-2522-45C4-8ADA-CBB8F70CFE66}"/>
    <cellStyle name="나쁨" xfId="471" builtinId="27" customBuiltin="1"/>
    <cellStyle name="나쁨 2" xfId="39" xr:uid="{00000000-0005-0000-0000-000026000000}"/>
    <cellStyle name="나쁨 2 2" xfId="162" xr:uid="{00000000-0005-0000-0000-000027000000}"/>
    <cellStyle name="나쁨 2 3" xfId="215" xr:uid="{1582A862-C92C-42FB-BB45-5B4288110A05}"/>
    <cellStyle name="나쁨 3" xfId="83" xr:uid="{00000000-0005-0000-0000-000028000000}"/>
    <cellStyle name="나쁨 4" xfId="176" xr:uid="{25AE3C41-CBC3-4E0E-B182-1AC8BBBCC4E7}"/>
    <cellStyle name="나쁨 5" xfId="405" xr:uid="{84AA7C15-EAEE-49CC-A5C5-F81B20623182}"/>
    <cellStyle name="나쁨 5 2" xfId="485" xr:uid="{B1D2A150-56D1-4900-860D-78FF80182B0A}"/>
    <cellStyle name="메모 2" xfId="84" xr:uid="{00000000-0005-0000-0000-000029000000}"/>
    <cellStyle name="메모 2 2" xfId="426" xr:uid="{93CD1AF4-BDFF-4750-AE7A-11DA6EEB0DFA}"/>
    <cellStyle name="메모 2 2 2" xfId="1035" xr:uid="{72675844-8221-4FF3-85B4-C070593CA46B}"/>
    <cellStyle name="메모 2 3" xfId="960" xr:uid="{8C7E0E8B-2133-47C8-A4DF-811BB79453E7}"/>
    <cellStyle name="메모 3" xfId="389" xr:uid="{C66C2A59-FD14-43F3-9316-A7E03E1D6D3E}"/>
    <cellStyle name="메모 3 2" xfId="436" xr:uid="{00AE857C-93D6-4BDE-B4E4-C327EE72200E}"/>
    <cellStyle name="메모 4" xfId="442" xr:uid="{30C8990B-9875-48CA-A694-2F4C19F64AE4}"/>
    <cellStyle name="메모 5" xfId="514" xr:uid="{ACF748B4-28CE-467A-B246-86173CB1B0A7}"/>
    <cellStyle name="메모 6" xfId="1159" xr:uid="{78A4C31A-73F9-4A8A-9F9D-536E614D5940}"/>
    <cellStyle name="메모 7" xfId="1185" xr:uid="{1B946BA0-FB10-42D2-8F8A-FCF1E5C9B2DB}"/>
    <cellStyle name="백분율 10" xfId="1207" xr:uid="{876455F0-7A68-487D-9710-4DB3EDA46B29}"/>
    <cellStyle name="백분율 11" xfId="1211" xr:uid="{1443BBC2-69C5-4C38-A41A-39B4E6A76EAA}"/>
    <cellStyle name="백분율 2" xfId="4" xr:uid="{00000000-0005-0000-0000-00002B000000}"/>
    <cellStyle name="백분율 2 10" xfId="408" xr:uid="{29DF8A74-E834-44DB-8E0F-2198ADE94308}"/>
    <cellStyle name="백분율 2 2" xfId="41" xr:uid="{00000000-0005-0000-0000-00002C000000}"/>
    <cellStyle name="백분율 2 2 2" xfId="129" xr:uid="{00000000-0005-0000-0000-00002D000000}"/>
    <cellStyle name="백분율 2 2 2 2" xfId="306" xr:uid="{9533C3A9-4B73-4357-B3CB-2C011961AF9A}"/>
    <cellStyle name="백분율 2 2 2 2 2" xfId="871" xr:uid="{B09A8AEF-EA47-4491-A28D-BBC6C7B6DC49}"/>
    <cellStyle name="백분율 2 2 2 2 3" xfId="679" xr:uid="{5A36A14E-FAC3-4061-AC3B-21F7C11E52C7}"/>
    <cellStyle name="백분율 2 2 2 3" xfId="239" xr:uid="{B265E6C1-8824-47AD-B38D-0C5E189A8597}"/>
    <cellStyle name="백분율 2 2 2 3 2" xfId="616" xr:uid="{CC1966E2-F0B3-4BE8-BCE3-38DF7D3B3502}"/>
    <cellStyle name="백분율 2 2 2 4" xfId="1098" xr:uid="{AD58C619-8B3D-4A77-92DB-B6EF93894551}"/>
    <cellStyle name="백분율 2 2 2 5" xfId="540" xr:uid="{006E7E4B-5FD6-442E-9502-BBF02183F06A}"/>
    <cellStyle name="백분율 2 2 3" xfId="149" xr:uid="{00000000-0005-0000-0000-00002E000000}"/>
    <cellStyle name="백분율 2 2 4" xfId="284" xr:uid="{6BE22DF7-951B-4117-AC3C-E132D36C2D80}"/>
    <cellStyle name="백분율 2 2 5" xfId="273" xr:uid="{B4093D06-219F-45F1-980E-2ADA5E8C192C}"/>
    <cellStyle name="백분율 2 2 5 2" xfId="845" xr:uid="{8E7D1BFE-618E-4945-BE7C-39A6CE4F1C71}"/>
    <cellStyle name="백분율 2 2 5 3" xfId="650" xr:uid="{F5198E79-3A7D-4B8F-8F4F-5C51640D0C8B}"/>
    <cellStyle name="백분율 2 3" xfId="46" xr:uid="{00000000-0005-0000-0000-00002F000000}"/>
    <cellStyle name="백분율 2 4" xfId="120" xr:uid="{00000000-0005-0000-0000-000030000000}"/>
    <cellStyle name="백분율 2 5" xfId="34" xr:uid="{00000000-0005-0000-0000-000031000000}"/>
    <cellStyle name="백분율 2 6" xfId="179" xr:uid="{A81739B0-5D05-4A61-AE66-D993504A2AA2}"/>
    <cellStyle name="백분율 2 6 2" xfId="255" xr:uid="{B449C3D4-4F4B-469B-8592-C44AE84F9F84}"/>
    <cellStyle name="백분율 2 6 2 2" xfId="632" xr:uid="{C82519F5-849A-459D-BC9D-0BA7D6219168}"/>
    <cellStyle name="백분율 2 6 3" xfId="564" xr:uid="{854AC326-CAD8-4F9A-904A-7A5B72285525}"/>
    <cellStyle name="백분율 2 7" xfId="196" xr:uid="{4033B283-9080-4A7D-8854-3083A425F8FF}"/>
    <cellStyle name="백분율 2 7 2" xfId="577" xr:uid="{CE2AE767-4747-4B00-9B86-E6BEB4EBA657}"/>
    <cellStyle name="백분율 2 8" xfId="332" xr:uid="{A781217A-7E4F-4E25-B860-7759C79D7DB9}"/>
    <cellStyle name="백분율 2 8 2" xfId="911" xr:uid="{9621C3AC-EF73-4D6D-B373-34D3FE16814B}"/>
    <cellStyle name="백분율 2 9" xfId="344" xr:uid="{E458EEF4-4E2E-4E4A-98F2-783E936A3D64}"/>
    <cellStyle name="백분율 3" xfId="20" xr:uid="{00000000-0005-0000-0000-000032000000}"/>
    <cellStyle name="백분율 3 2" xfId="127" xr:uid="{00000000-0005-0000-0000-000033000000}"/>
    <cellStyle name="백분율 3 2 2" xfId="324" xr:uid="{FD43CA02-19A0-4653-88DE-5954494DDF45}"/>
    <cellStyle name="백분율 3 2 2 2" xfId="887" xr:uid="{A45143F7-266B-4142-8BB1-C087D4F95CEB}"/>
    <cellStyle name="백분율 3 2 2 3" xfId="821" xr:uid="{D1C81C9E-BA47-4AD9-BAD7-922D46407792}"/>
    <cellStyle name="백분율 3 2 3" xfId="1071" xr:uid="{2B7CA3E1-9AD8-47C5-B2D4-D1D7B84E0B4C}"/>
    <cellStyle name="백분율 3 3" xfId="54" xr:uid="{00000000-0005-0000-0000-000034000000}"/>
    <cellStyle name="백분율 3 4" xfId="320" xr:uid="{6959584F-5BFF-4317-B897-008189DF4D13}"/>
    <cellStyle name="백분율 3 5" xfId="491" xr:uid="{ABE24849-7E50-4F14-8A7D-998393FD0F7E}"/>
    <cellStyle name="백분율 4" xfId="27" xr:uid="{00000000-0005-0000-0000-000035000000}"/>
    <cellStyle name="백분율 4 2" xfId="56" xr:uid="{00000000-0005-0000-0000-000036000000}"/>
    <cellStyle name="백분율 4 3" xfId="498" xr:uid="{714B6C58-80C6-4DC4-8541-63065101DC8A}"/>
    <cellStyle name="백분율 5" xfId="31" xr:uid="{00000000-0005-0000-0000-000037000000}"/>
    <cellStyle name="백분율 5 2" xfId="113" xr:uid="{00000000-0005-0000-0000-000038000000}"/>
    <cellStyle name="백분율 5 2 2" xfId="297" xr:uid="{EA5F87DF-8D9E-43DA-B32F-7E86B5211B1B}"/>
    <cellStyle name="백분율 5 2 2 2" xfId="670" xr:uid="{D427D06D-BA48-47A6-AC1A-17635C08CE45}"/>
    <cellStyle name="백분율 5 2 3" xfId="530" xr:uid="{AF21CD9D-7616-456E-9C14-3A0D4DC030B9}"/>
    <cellStyle name="백분율 5 3" xfId="229" xr:uid="{E9E756D7-D4BF-4C41-A068-D5E3E2B7A0AB}"/>
    <cellStyle name="백분율 5 3 2" xfId="606" xr:uid="{36D5EE69-D712-4B18-BCC2-5C4BA378CDAE}"/>
    <cellStyle name="백분율 5 4" xfId="1089" xr:uid="{DEE63CC6-7BCA-4E1B-9658-1CAA8D78EAA1}"/>
    <cellStyle name="백분율 5 5" xfId="502" xr:uid="{075F4948-3CCD-4920-B837-021A87202507}"/>
    <cellStyle name="백분율 6" xfId="172" xr:uid="{DEFCB1F0-89C0-4C75-909B-8BA0D8529680}"/>
    <cellStyle name="백분율 6 2" xfId="264" xr:uid="{CCB0276D-1239-4D23-A810-EE05C36453A9}"/>
    <cellStyle name="백분율 6 2 2" xfId="641" xr:uid="{C4DCB615-B8E6-45AE-B57D-C0DE66BF1B75}"/>
    <cellStyle name="백분율 6 3" xfId="558" xr:uid="{FBA1F20E-AF2A-4EA5-B66B-D8EA5ACFE6AA}"/>
    <cellStyle name="백분율 7" xfId="201" xr:uid="{F227DAB2-FAC6-4CE2-89A1-67FC0A39891B}"/>
    <cellStyle name="백분율 7 2" xfId="582" xr:uid="{22534C0E-F3E9-4A28-A7A1-BE10196FEDDC}"/>
    <cellStyle name="백분율 8" xfId="355" xr:uid="{AE722033-B212-4A29-BDC2-4E71C036A624}"/>
    <cellStyle name="백분율 8 2" xfId="493" xr:uid="{45C41A7D-432E-4078-8DC6-F6179AE4D007}"/>
    <cellStyle name="백분율 9" xfId="1184" xr:uid="{3397BCB7-BB27-431C-808A-CC3C797DB6C7}"/>
    <cellStyle name="보통" xfId="397" builtinId="28" customBuiltin="1"/>
    <cellStyle name="보통 2" xfId="85" xr:uid="{00000000-0005-0000-0000-000039000000}"/>
    <cellStyle name="보통 2 2" xfId="463" xr:uid="{7F62F582-2073-415D-BAF4-DC056D0A40CB}"/>
    <cellStyle name="보통 3" xfId="388" xr:uid="{B7AE22E0-8D17-4FF7-A268-D71CDCCA2167}"/>
    <cellStyle name="설명 텍스트" xfId="366" builtinId="53" customBuiltin="1"/>
    <cellStyle name="설명 텍스트 2" xfId="86" xr:uid="{00000000-0005-0000-0000-00003A000000}"/>
    <cellStyle name="셀 확인" xfId="364" builtinId="23" customBuiltin="1"/>
    <cellStyle name="셀 확인 2" xfId="87" xr:uid="{00000000-0005-0000-0000-00003B000000}"/>
    <cellStyle name="쉼표" xfId="1178" builtinId="3"/>
    <cellStyle name="쉼표 [0]" xfId="1" builtinId="6"/>
    <cellStyle name="쉼표 [0] 10" xfId="107" xr:uid="{00000000-0005-0000-0000-00003D000000}"/>
    <cellStyle name="쉼표 [0] 10 2" xfId="294" xr:uid="{7AF39BD1-BC50-4037-9C68-34412A2163A2}"/>
    <cellStyle name="쉼표 [0] 10 2 2" xfId="860" xr:uid="{4629D357-F602-4BFA-B870-436F15D2952A}"/>
    <cellStyle name="쉼표 [0] 10 2 2 2" xfId="1131" xr:uid="{640A25D0-408A-4AC2-85E9-6AC2935F1694}"/>
    <cellStyle name="쉼표 [0] 10 2 3" xfId="760" xr:uid="{6A9A9508-9222-44D9-AE44-7EE5D49CC9FF}"/>
    <cellStyle name="쉼표 [0] 10 2 4" xfId="1042" xr:uid="{9CB24D33-629F-4A02-A0F7-946E2493F33E}"/>
    <cellStyle name="쉼표 [0] 10 2 5" xfId="667" xr:uid="{AF52E2B9-CB63-4E63-A2AF-188FE6C23752}"/>
    <cellStyle name="쉼표 [0] 10 3" xfId="226" xr:uid="{AF1217B9-87D0-41CC-809C-1B91E1BA8AAB}"/>
    <cellStyle name="쉼표 [0] 10 3 2" xfId="812" xr:uid="{692C5FFA-AEA8-497C-A4D0-5079579A4F3A}"/>
    <cellStyle name="쉼표 [0] 10 3 3" xfId="1000" xr:uid="{E0625D15-1F40-434B-AC7E-D4C60E3BEE72}"/>
    <cellStyle name="쉼표 [0] 10 3 4" xfId="603" xr:uid="{13B1AD27-7270-4806-99C0-3B128BF0AEF0}"/>
    <cellStyle name="쉼표 [0] 10 4" xfId="713" xr:uid="{20B235DE-6B06-4CF7-8040-0408EF7A51CE}"/>
    <cellStyle name="쉼표 [0] 10 4 2" xfId="1086" xr:uid="{258ECB8A-B902-41CD-9974-AEFBB2F3367E}"/>
    <cellStyle name="쉼표 [0] 10 5" xfId="967" xr:uid="{FDE68FE2-6224-4C90-A6D5-3FCBCDF21963}"/>
    <cellStyle name="쉼표 [0] 10 6" xfId="527" xr:uid="{D297B6F4-03CC-4A76-BF9D-76D3C176C36C}"/>
    <cellStyle name="쉼표 [0] 11" xfId="111" xr:uid="{00000000-0005-0000-0000-00003E000000}"/>
    <cellStyle name="쉼표 [0] 11 2" xfId="296" xr:uid="{48582CCC-E845-44AE-B2DB-61EC0414DF29}"/>
    <cellStyle name="쉼표 [0] 11 2 2" xfId="862" xr:uid="{F377C24C-B7BA-4DC0-BF5A-3A49543534FD}"/>
    <cellStyle name="쉼표 [0] 11 2 2 2" xfId="1132" xr:uid="{162A5015-7A62-4AF9-A0C2-CC3462297CC6}"/>
    <cellStyle name="쉼표 [0] 11 2 3" xfId="761" xr:uid="{693BCCC4-5439-4344-866C-16F885A542AC}"/>
    <cellStyle name="쉼표 [0] 11 2 4" xfId="1043" xr:uid="{8E636780-F05C-4AF2-9430-27CEE810EC7F}"/>
    <cellStyle name="쉼표 [0] 11 2 5" xfId="669" xr:uid="{8EC638D5-6132-4809-982F-B68F824AF1B2}"/>
    <cellStyle name="쉼표 [0] 11 3" xfId="228" xr:uid="{E25DBB23-0C15-4430-87BF-49FF07B0BABB}"/>
    <cellStyle name="쉼표 [0] 11 3 2" xfId="813" xr:uid="{7086D9DA-137A-41F6-A6F9-595C13345A05}"/>
    <cellStyle name="쉼표 [0] 11 3 3" xfId="1001" xr:uid="{6FC7CC3B-1FDC-4366-91E3-0C9AB56723F3}"/>
    <cellStyle name="쉼표 [0] 11 3 4" xfId="605" xr:uid="{7108F148-9253-4E8F-A151-97ED6E119A49}"/>
    <cellStyle name="쉼표 [0] 11 4" xfId="714" xr:uid="{1636DBD3-1BFB-418E-9048-855B96CE08A0}"/>
    <cellStyle name="쉼표 [0] 11 4 2" xfId="1088" xr:uid="{BE20C89C-56C4-4ECA-AB9C-6885E395D296}"/>
    <cellStyle name="쉼표 [0] 11 5" xfId="968" xr:uid="{8985CFEE-179A-4DED-863E-0D35466E172B}"/>
    <cellStyle name="쉼표 [0] 11 6" xfId="529" xr:uid="{AA2BC83F-B574-421A-9AAF-85DB38F19766}"/>
    <cellStyle name="쉼표 [0] 12" xfId="144" xr:uid="{00000000-0005-0000-0000-00003F000000}"/>
    <cellStyle name="쉼표 [0] 12 2" xfId="309" xr:uid="{CE57AC78-DF58-4E7C-97CD-491FB4DD6D6F}"/>
    <cellStyle name="쉼표 [0] 12 2 2" xfId="874" xr:uid="{3BC3CF7E-3FB5-42F8-8467-5BD8A4628E48}"/>
    <cellStyle name="쉼표 [0] 12 2 2 2" xfId="1140" xr:uid="{5B3A7DBA-38A7-4F87-8A59-867B268A9DBD}"/>
    <cellStyle name="쉼표 [0] 12 2 3" xfId="769" xr:uid="{BB672D2D-EFFD-44E9-95BA-69CE5F61107B}"/>
    <cellStyle name="쉼표 [0] 12 2 4" xfId="1051" xr:uid="{E3FB40B0-2DFC-4A81-853F-A8B06BCB5605}"/>
    <cellStyle name="쉼표 [0] 12 2 5" xfId="682" xr:uid="{B3FDE8BC-2782-42C9-A991-06983176C34E}"/>
    <cellStyle name="쉼표 [0] 12 3" xfId="242" xr:uid="{9DAB5A99-E97A-495C-B0C2-3F79450E09E7}"/>
    <cellStyle name="쉼표 [0] 12 3 2" xfId="824" xr:uid="{0F0E2C9F-73A8-4DD1-A577-F27D5797045D}"/>
    <cellStyle name="쉼표 [0] 12 3 3" xfId="1009" xr:uid="{B83155BE-93EB-4C98-A3C0-5F9E067AFE8C}"/>
    <cellStyle name="쉼표 [0] 12 3 4" xfId="619" xr:uid="{95F80CC2-48FD-4CC6-9EC8-F31BF114D540}"/>
    <cellStyle name="쉼표 [0] 12 4" xfId="722" xr:uid="{0BDEEE39-4695-4EAD-9FC7-2D89CECC27BD}"/>
    <cellStyle name="쉼표 [0] 12 4 2" xfId="1101" xr:uid="{CDE931F8-3F55-485C-AF38-FA2BD06DD51E}"/>
    <cellStyle name="쉼표 [0] 12 5" xfId="976" xr:uid="{6B1C337C-BB52-47C9-A25A-1DF89A6C9AA8}"/>
    <cellStyle name="쉼표 [0] 12 6" xfId="543" xr:uid="{DC3F717C-ED27-44D9-8AB9-04FB813B5B5A}"/>
    <cellStyle name="쉼표 [0] 13" xfId="32" xr:uid="{00000000-0005-0000-0000-000040000000}"/>
    <cellStyle name="쉼표 [0] 13 2" xfId="168" xr:uid="{00000000-0005-0000-0000-000041000000}"/>
    <cellStyle name="쉼표 [0] 13 2 2" xfId="277" xr:uid="{9F8666F4-0FC7-4E86-9C7E-D4996D0700C7}"/>
    <cellStyle name="쉼표 [0] 13 2 2 2" xfId="848" xr:uid="{64B7DBED-6ED8-4A04-A2F4-36C11AD898A6}"/>
    <cellStyle name="쉼표 [0] 13 2 2 3" xfId="1119" xr:uid="{0448FBD4-09A9-4704-A883-80DEFBD9E3C4}"/>
    <cellStyle name="쉼표 [0] 13 2 2 4" xfId="653" xr:uid="{8EB579E2-B142-4297-80F0-28AD621A4012}"/>
    <cellStyle name="쉼표 [0] 13 2 3" xfId="747" xr:uid="{B0BE687D-C90A-41DD-AE4E-EF92E3659A1C}"/>
    <cellStyle name="쉼표 [0] 13 2 4" xfId="1025" xr:uid="{D9706255-83F1-4DDD-82E5-5B150BFE6D89}"/>
    <cellStyle name="쉼표 [0] 13 2 5" xfId="554" xr:uid="{D3849071-120A-48B0-8169-112037AF53F9}"/>
    <cellStyle name="쉼표 [0] 13 3" xfId="210" xr:uid="{CC7CB707-F0C2-49D3-83A4-D1CE6EF50FE8}"/>
    <cellStyle name="쉼표 [0] 13 3 2" xfId="795" xr:uid="{3CF37B10-D4B1-4B6E-AC91-C60AA5D79E6F}"/>
    <cellStyle name="쉼표 [0] 13 3 3" xfId="1074" xr:uid="{65950DAC-2BBD-4E54-A6B5-8732D0589414}"/>
    <cellStyle name="쉼표 [0] 13 3 4" xfId="590" xr:uid="{1F2BB8EB-B3AE-44AC-AB16-A1FC1DFB6F1C}"/>
    <cellStyle name="쉼표 [0] 13 4" xfId="427" xr:uid="{F69FA285-FA61-4FA9-B7D4-E04D4EDDA7B7}"/>
    <cellStyle name="쉼표 [0] 13 4 2" xfId="701" xr:uid="{DD2F90C0-306F-4DFF-9E2D-D22C6B2C6111}"/>
    <cellStyle name="쉼표 [0] 13 5" xfId="949" xr:uid="{ED1A2F02-A391-4453-8388-33EB76A373B7}"/>
    <cellStyle name="쉼표 [0] 13 6" xfId="503" xr:uid="{927A4E26-98C8-4A2F-AB45-2EAA3AAC7559}"/>
    <cellStyle name="쉼표 [0] 14" xfId="170" xr:uid="{9D30A6CA-C3BB-4A80-893B-723B25B315AD}"/>
    <cellStyle name="쉼표 [0] 14 2" xfId="252" xr:uid="{15956280-F08A-4C03-BCBC-3BAA74C9D3D5}"/>
    <cellStyle name="쉼표 [0] 14 2 2" xfId="835" xr:uid="{6ECF1FB5-A196-49D0-A342-4C8620088BDB}"/>
    <cellStyle name="쉼표 [0] 14 2 3" xfId="1018" xr:uid="{4A587267-77E5-4118-B351-074FE47534FF}"/>
    <cellStyle name="쉼표 [0] 14 2 4" xfId="629" xr:uid="{EEABDA2D-5D29-412D-BAFA-FE2C5FBE3650}"/>
    <cellStyle name="쉼표 [0] 14 3" xfId="731" xr:uid="{D54675D8-2A7A-4B0B-9BFE-290BA02C25BE}"/>
    <cellStyle name="쉼표 [0] 14 3 2" xfId="1110" xr:uid="{3D0835E2-AA88-45D7-B938-C34C726E9A39}"/>
    <cellStyle name="쉼표 [0] 14 4" xfId="939" xr:uid="{BC866F51-2D81-4AFD-8E2D-DA5760A9EBD0}"/>
    <cellStyle name="쉼표 [0] 14 5" xfId="556" xr:uid="{8D824C90-5C81-4425-ADF1-1CBE3AD30840}"/>
    <cellStyle name="쉼표 [0] 15" xfId="174" xr:uid="{1A177BC8-B9BB-4F91-BF74-F6BA74FC8786}"/>
    <cellStyle name="쉼표 [0] 15 2" xfId="262" xr:uid="{4ACBAE81-7253-4B01-BD2C-0FAB1FE9593C}"/>
    <cellStyle name="쉼표 [0] 15 2 2" xfId="836" xr:uid="{1378B2BB-EA0A-4D67-B987-12792A08A95F}"/>
    <cellStyle name="쉼표 [0] 15 2 3" xfId="1111" xr:uid="{204C3776-DE4B-499D-8CFD-2EFE24F5BC4F}"/>
    <cellStyle name="쉼표 [0] 15 2 4" xfId="639" xr:uid="{2A2C8025-1CEB-4202-B0BB-BA27FAEA36DC}"/>
    <cellStyle name="쉼표 [0] 15 3" xfId="738" xr:uid="{9495B9B0-13AD-437F-A66F-528BCEA32299}"/>
    <cellStyle name="쉼표 [0] 15 4" xfId="1060" xr:uid="{62AFBB8A-CCCA-4867-8BB9-DCC9F4AB1212}"/>
    <cellStyle name="쉼표 [0] 15 5" xfId="560" xr:uid="{267AB4BC-BC78-4663-A088-628C08D143F0}"/>
    <cellStyle name="쉼표 [0] 16" xfId="192" xr:uid="{D593BE4A-D069-4330-92BC-F4A7F8FB1563}"/>
    <cellStyle name="쉼표 [0] 16 2" xfId="890" xr:uid="{5C763A7B-CA75-4618-8A35-51053FFAB81F}"/>
    <cellStyle name="쉼표 [0] 16 2 2" xfId="1154" xr:uid="{56D9D420-4976-4107-9AF6-EB2CA05D6E21}"/>
    <cellStyle name="쉼표 [0] 16 3" xfId="739" xr:uid="{8AC71CFE-9ADF-4D09-8CB9-9041D536D1D3}"/>
    <cellStyle name="쉼표 [0] 16 4" xfId="988" xr:uid="{210B9230-E420-4AC1-AFE9-2340F59EE8D5}"/>
    <cellStyle name="쉼표 [0] 16 5" xfId="573" xr:uid="{003E126C-36E1-4D8B-8F39-2933F4BF4765}"/>
    <cellStyle name="쉼표 [0] 17" xfId="207" xr:uid="{8D9EF972-765A-4EE3-9DE6-4E63F4915735}"/>
    <cellStyle name="쉼표 [0] 17 2" xfId="891" xr:uid="{5D7CC49C-4C90-41A5-931F-3B35D5D47E5A}"/>
    <cellStyle name="쉼표 [0] 17 2 2" xfId="1155" xr:uid="{E5617E50-D3B7-453A-80EF-6A98DD9A3B8A}"/>
    <cellStyle name="쉼표 [0] 17 3" xfId="1061" xr:uid="{DD2D6FE3-13E0-4A94-AE96-AC7444A7A946}"/>
    <cellStyle name="쉼표 [0] 17 4" xfId="588" xr:uid="{3995C489-B983-470E-BB6D-40F98ADC60BF}"/>
    <cellStyle name="쉼표 [0] 18" xfId="329" xr:uid="{5732447C-6855-44D0-990E-233C28A794DF}"/>
    <cellStyle name="쉼표 [0] 18 2" xfId="785" xr:uid="{B17B1D19-4ABE-4E9D-8344-AC4AC6B988AF}"/>
    <cellStyle name="쉼표 [0] 18 3" xfId="1063" xr:uid="{43D59E3A-251E-4679-9685-A9F56C0DBD17}"/>
    <cellStyle name="쉼표 [0] 18 4" xfId="477" xr:uid="{48BA863C-34E3-406C-8A22-6D718942C9F0}"/>
    <cellStyle name="쉼표 [0] 19" xfId="341" xr:uid="{B83C9090-FD62-474E-9522-3B59104AC25B}"/>
    <cellStyle name="쉼표 [0] 19 2" xfId="1156" xr:uid="{93D1810B-D90E-425B-8EE4-80D14225E40A}"/>
    <cellStyle name="쉼표 [0] 19 3" xfId="896" xr:uid="{352979AF-6CD4-4A45-A51D-307EBE0FE8FD}"/>
    <cellStyle name="쉼표 [0] 2" xfId="3" xr:uid="{00000000-0005-0000-0000-000042000000}"/>
    <cellStyle name="쉼표 [0] 2 10" xfId="331" xr:uid="{1E538634-5007-45FC-92CC-91157AE933E5}"/>
    <cellStyle name="쉼표 [0] 2 10 2" xfId="898" xr:uid="{6814E4CE-ABED-45F6-BC41-9295D6757DE6}"/>
    <cellStyle name="쉼표 [0] 2 10 3" xfId="480" xr:uid="{1F9C3041-2FF0-4F29-BA03-5F46B15F9836}"/>
    <cellStyle name="쉼표 [0] 2 11" xfId="343" xr:uid="{0A75B35A-FD4D-4158-B1B9-1163A495DE46}"/>
    <cellStyle name="쉼표 [0] 2 11 2" xfId="910" xr:uid="{6F6AC47A-75D7-4D64-9377-3090C15B17A6}"/>
    <cellStyle name="쉼표 [0] 2 12" xfId="439" xr:uid="{DE942961-FA58-4519-AFC0-294BCE3D240C}"/>
    <cellStyle name="쉼표 [0] 2 12 2" xfId="699" xr:uid="{A2771147-203A-4396-B5CE-A3988DE0C910}"/>
    <cellStyle name="쉼표 [0] 2 13" xfId="435" xr:uid="{2B5CB8BB-E9BA-4BAB-86F4-C81213D31A16}"/>
    <cellStyle name="쉼표 [0] 2 13 2" xfId="924" xr:uid="{37BEAD6E-BC29-47D3-83FA-F1FB910B98F1}"/>
    <cellStyle name="쉼표 [0] 2 14" xfId="474" xr:uid="{384B6C1D-09D9-416A-9357-E90B0BB55D7B}"/>
    <cellStyle name="쉼표 [0] 2 2" xfId="40" xr:uid="{00000000-0005-0000-0000-000043000000}"/>
    <cellStyle name="쉼표 [0] 2 2 2" xfId="121" xr:uid="{00000000-0005-0000-0000-000044000000}"/>
    <cellStyle name="쉼표 [0] 2 2 2 2" xfId="302" xr:uid="{061C5E35-31D3-487D-B778-2613FED34ECA}"/>
    <cellStyle name="쉼표 [0] 2 2 2 2 2" xfId="867" xr:uid="{D218C245-CEC9-4138-A562-2E5536E58B77}"/>
    <cellStyle name="쉼표 [0] 2 2 2 2 2 2" xfId="1047" xr:uid="{68EF7B81-0DDD-4DD6-B68A-743FFEA9EDD6}"/>
    <cellStyle name="쉼표 [0] 2 2 2 2 3" xfId="765" xr:uid="{A9607238-0CED-45F1-BAA5-8DB75A8B541C}"/>
    <cellStyle name="쉼표 [0] 2 2 2 2 3 2" xfId="1136" xr:uid="{056351FE-9EA2-45B8-8E66-BE46088490F9}"/>
    <cellStyle name="쉼표 [0] 2 2 2 2 4" xfId="972" xr:uid="{FD984185-F48B-4032-AF4C-19D5BDECEB35}"/>
    <cellStyle name="쉼표 [0] 2 2 2 2 5" xfId="675" xr:uid="{96E51906-699D-41E1-9340-83DCB92E95DD}"/>
    <cellStyle name="쉼표 [0] 2 2 2 3" xfId="234" xr:uid="{48ACCE42-E464-40B8-8871-5760FBAD0979}"/>
    <cellStyle name="쉼표 [0] 2 2 2 3 2" xfId="819" xr:uid="{43BC8696-5075-4180-80E2-8A42EFEA8571}"/>
    <cellStyle name="쉼표 [0] 2 2 2 3 3" xfId="1005" xr:uid="{2F1C12B3-B535-4FF2-AE85-34CE228CF1F1}"/>
    <cellStyle name="쉼표 [0] 2 2 2 3 4" xfId="611" xr:uid="{D4758875-8151-4138-9E2E-CC33D61640CA}"/>
    <cellStyle name="쉼표 [0] 2 2 2 4" xfId="718" xr:uid="{ACE22A2E-B1BF-41AC-92D9-C37286EECCD1}"/>
    <cellStyle name="쉼표 [0] 2 2 2 4 2" xfId="1094" xr:uid="{7302DD04-48C8-4494-B330-407F2F52731C}"/>
    <cellStyle name="쉼표 [0] 2 2 2 5" xfId="935" xr:uid="{B7EF0158-FFEC-4979-9007-9D70C32CAEEF}"/>
    <cellStyle name="쉼표 [0] 2 2 2 6" xfId="535" xr:uid="{3825DB94-9678-4A7E-93C7-5A06B8B70E74}"/>
    <cellStyle name="쉼표 [0] 2 2 3" xfId="150" xr:uid="{00000000-0005-0000-0000-000045000000}"/>
    <cellStyle name="쉼표 [0] 2 2 3 2" xfId="311" xr:uid="{9E278E4F-6581-4F55-8B25-EB4A6EE36197}"/>
    <cellStyle name="쉼표 [0] 2 2 3 2 2" xfId="876" xr:uid="{9368BDFF-047F-443A-80B8-9F9A1E20F0E9}"/>
    <cellStyle name="쉼표 [0] 2 2 3 2 2 2" xfId="1142" xr:uid="{E344AF1A-318A-47CD-972D-7EB7249E2234}"/>
    <cellStyle name="쉼표 [0] 2 2 3 2 3" xfId="771" xr:uid="{386B8414-318A-46FE-851B-A63B46ADFEF2}"/>
    <cellStyle name="쉼표 [0] 2 2 3 2 4" xfId="1053" xr:uid="{CC5C71A1-599F-450D-B7FE-6C874F9A5C08}"/>
    <cellStyle name="쉼표 [0] 2 2 3 2 5" xfId="684" xr:uid="{F2A8B750-D41A-4574-91B8-7F219C767D6B}"/>
    <cellStyle name="쉼표 [0] 2 2 3 3" xfId="244" xr:uid="{6E6FDCB4-3988-4CEE-A0ED-939F1B80F96F}"/>
    <cellStyle name="쉼표 [0] 2 2 3 3 2" xfId="826" xr:uid="{E6DF82AF-7308-4744-86B0-872A52143036}"/>
    <cellStyle name="쉼표 [0] 2 2 3 3 3" xfId="1011" xr:uid="{3F284A9D-A12A-40C0-B7F9-CEF92E0A0D92}"/>
    <cellStyle name="쉼표 [0] 2 2 3 3 4" xfId="621" xr:uid="{41B69573-9FB9-4E21-99A7-BF62B254C7EC}"/>
    <cellStyle name="쉼표 [0] 2 2 3 4" xfId="724" xr:uid="{93D0FCAF-D3F3-491D-AEE0-B4CD327FEBAC}"/>
    <cellStyle name="쉼표 [0] 2 2 3 4 2" xfId="1103" xr:uid="{B39309B3-59F3-4659-AD8E-28E3AE657670}"/>
    <cellStyle name="쉼표 [0] 2 2 3 5" xfId="979" xr:uid="{4CE0420A-6DBE-49E6-AC40-586459257AB6}"/>
    <cellStyle name="쉼표 [0] 2 2 3 6" xfId="545" xr:uid="{903BAF7B-019D-478E-A148-C25D4667C8EF}"/>
    <cellStyle name="쉼표 [0] 2 2 4" xfId="283" xr:uid="{635E878E-B8C1-4DAB-9F84-9BC4AF95EBF3}"/>
    <cellStyle name="쉼표 [0] 2 2 4 2" xfId="851" xr:uid="{A02E9365-3FC3-46F1-BA4B-2671A9D1D590}"/>
    <cellStyle name="쉼표 [0] 2 2 4 2 2" xfId="1122" xr:uid="{3830B847-51AE-42A5-B786-76D2BD688753}"/>
    <cellStyle name="쉼표 [0] 2 2 4 2 3" xfId="1028" xr:uid="{6E940A4B-2F8D-4118-9DD3-FB9CCA4ADFEC}"/>
    <cellStyle name="쉼표 [0] 2 2 4 3" xfId="800" xr:uid="{228B8EFE-FA56-42C1-B8B2-B82628D70C1C}"/>
    <cellStyle name="쉼표 [0] 2 2 4 3 2" xfId="1077" xr:uid="{27D922FA-865E-4FBA-94CC-90CFCBD2D911}"/>
    <cellStyle name="쉼표 [0] 2 2 4 4" xfId="750" xr:uid="{548A2435-A571-476C-99BB-429FA9854E93}"/>
    <cellStyle name="쉼표 [0] 2 2 4 5" xfId="952" xr:uid="{AA570F95-454C-4254-B272-2A9BF0A54655}"/>
    <cellStyle name="쉼표 [0] 2 2 4 6" xfId="657" xr:uid="{D17C1082-2381-4336-A758-4FCF785CFDE8}"/>
    <cellStyle name="쉼표 [0] 2 2 5" xfId="268" xr:uid="{1900EC5D-56F0-452D-9974-34E719664B1A}"/>
    <cellStyle name="쉼표 [0] 2 2 5 2" xfId="841" xr:uid="{650AF0EC-0B49-436C-822B-583BC04E39D8}"/>
    <cellStyle name="쉼표 [0] 2 2 5 2 2" xfId="1020" xr:uid="{F546F0A9-C6D8-4F95-B1A0-A09D8AFD2DF0}"/>
    <cellStyle name="쉼표 [0] 2 2 5 3" xfId="743" xr:uid="{308E0761-4022-4877-B60C-7C73E5CAA736}"/>
    <cellStyle name="쉼표 [0] 2 2 5 3 2" xfId="1115" xr:uid="{719FE3A9-3B6D-4EB5-A5DE-7D4EFCCF5AF3}"/>
    <cellStyle name="쉼표 [0] 2 2 5 4" xfId="943" xr:uid="{702312EC-B2E9-49A9-BA29-8B7D4AF60F04}"/>
    <cellStyle name="쉼표 [0] 2 2 5 5" xfId="645" xr:uid="{522E9AC3-BD98-4A72-BB64-B1E112FD039D}"/>
    <cellStyle name="쉼표 [0] 2 2 6" xfId="216" xr:uid="{0210C8D2-BBF8-4606-AF8B-D84D4B9F7618}"/>
    <cellStyle name="쉼표 [0] 2 2 6 2" xfId="787" xr:uid="{CED7EDF7-E1E3-4C78-8544-36A99D00F8E0}"/>
    <cellStyle name="쉼표 [0] 2 2 6 3" xfId="991" xr:uid="{BC995368-351C-4C73-B9BC-B97A8A7D5B64}"/>
    <cellStyle name="쉼표 [0] 2 2 6 4" xfId="594" xr:uid="{07E8AFA2-88A8-416E-868C-9D440E0F50C3}"/>
    <cellStyle name="쉼표 [0] 2 2 7" xfId="704" xr:uid="{00D15350-35A5-4D95-A621-BEEF0AF246C5}"/>
    <cellStyle name="쉼표 [0] 2 2 7 2" xfId="1065" xr:uid="{600DDDB5-DC2C-4F13-920F-176C4DDF7CFA}"/>
    <cellStyle name="쉼표 [0] 2 2 8" xfId="927" xr:uid="{252C0471-07DC-4AFD-9EE9-9CA9E4F9F4C7}"/>
    <cellStyle name="쉼표 [0] 2 2 9" xfId="508" xr:uid="{A6A818E9-1C54-43B1-B4B3-909682028966}"/>
    <cellStyle name="쉼표 [0] 2 3" xfId="47" xr:uid="{00000000-0005-0000-0000-000046000000}"/>
    <cellStyle name="쉼표 [0] 2 3 2" xfId="126" xr:uid="{00000000-0005-0000-0000-000047000000}"/>
    <cellStyle name="쉼표 [0] 2 3 2 2" xfId="304" xr:uid="{C274C391-01E5-415D-806D-1A62B552ECE3}"/>
    <cellStyle name="쉼표 [0] 2 3 2 2 2" xfId="869" xr:uid="{3B6FC282-78CB-4315-B9B4-7E67692E09EA}"/>
    <cellStyle name="쉼표 [0] 2 3 2 2 2 2" xfId="1137" xr:uid="{BF2C342E-F7A6-4112-B45A-64197BB9B7BF}"/>
    <cellStyle name="쉼표 [0] 2 3 2 2 3" xfId="766" xr:uid="{DB337CE5-9A14-4FFF-A213-31BF3EF2790B}"/>
    <cellStyle name="쉼표 [0] 2 3 2 2 4" xfId="1048" xr:uid="{D0641963-44EC-45D8-BCD6-3CE8547C2F28}"/>
    <cellStyle name="쉼표 [0] 2 3 2 2 5" xfId="677" xr:uid="{FB7FF5F0-2F28-4D19-8FBF-5DDE8C5A28CC}"/>
    <cellStyle name="쉼표 [0] 2 3 2 3" xfId="237" xr:uid="{862276C9-EC7D-4F5B-9DF8-726C17D3D8AF}"/>
    <cellStyle name="쉼표 [0] 2 3 2 3 2" xfId="820" xr:uid="{7C7DD8EF-6680-4C0F-B517-317ADC7E9E13}"/>
    <cellStyle name="쉼표 [0] 2 3 2 3 3" xfId="1006" xr:uid="{D6D04DD8-A67D-41B7-B292-C78841D1EF52}"/>
    <cellStyle name="쉼표 [0] 2 3 2 3 4" xfId="614" xr:uid="{DB8764E7-219C-4DC8-B281-E10FB9E7E110}"/>
    <cellStyle name="쉼표 [0] 2 3 2 4" xfId="719" xr:uid="{F6D06487-BD74-44DB-9473-969EA22367F6}"/>
    <cellStyle name="쉼표 [0] 2 3 2 4 2" xfId="1096" xr:uid="{B6B602C2-E726-44E5-BA5A-9CF1BD128F90}"/>
    <cellStyle name="쉼표 [0] 2 3 2 5" xfId="973" xr:uid="{CFFEBAB3-E1E0-41F7-9E04-D135CF90ED21}"/>
    <cellStyle name="쉼표 [0] 2 3 2 6" xfId="538" xr:uid="{D65DD6B8-134F-4AE3-AB2B-08BC5B09B93A}"/>
    <cellStyle name="쉼표 [0] 2 3 3" xfId="285" xr:uid="{C53116AE-3A63-4526-AC23-E6C827D082B2}"/>
    <cellStyle name="쉼표 [0] 2 3 3 2" xfId="852" xr:uid="{7AD34C2B-6A2A-4AD2-B9FC-08340B886D9B}"/>
    <cellStyle name="쉼표 [0] 2 3 3 2 2" xfId="1029" xr:uid="{CCD8AAB9-CF5B-4638-A8CE-8E16B9520A94}"/>
    <cellStyle name="쉼표 [0] 2 3 3 3" xfId="751" xr:uid="{8F2253AE-96A5-4C65-9B34-BD11EF8F6F7A}"/>
    <cellStyle name="쉼표 [0] 2 3 3 3 2" xfId="1123" xr:uid="{8D8F042B-400F-4999-AD87-26BA6375AF2A}"/>
    <cellStyle name="쉼표 [0] 2 3 3 4" xfId="954" xr:uid="{DB344EBD-E720-448B-A90A-552346FB9DEA}"/>
    <cellStyle name="쉼표 [0] 2 3 3 5" xfId="658" xr:uid="{CD33B999-B2A2-40B1-B5BE-42EA25F28889}"/>
    <cellStyle name="쉼표 [0] 2 3 4" xfId="271" xr:uid="{9D9148F8-590C-476B-9E3D-FD9652961FCB}"/>
    <cellStyle name="쉼표 [0] 2 3 4 2" xfId="843" xr:uid="{18D2D696-E9B5-47D6-8EEF-85A3ABDA573D}"/>
    <cellStyle name="쉼표 [0] 2 3 4 2 2" xfId="1023" xr:uid="{590A191A-1AA8-4E5B-8D74-0A932D3BF9E6}"/>
    <cellStyle name="쉼표 [0] 2 3 4 3" xfId="744" xr:uid="{7638AE03-0454-41F1-83A6-E02C458DE1AC}"/>
    <cellStyle name="쉼표 [0] 2 3 4 3 2" xfId="1116" xr:uid="{978DDE06-57DC-4F37-83F7-2C2A495FD1D6}"/>
    <cellStyle name="쉼표 [0] 2 3 4 4" xfId="946" xr:uid="{9BD7A445-A001-4D04-A4A6-AB5BEBB3513D}"/>
    <cellStyle name="쉼표 [0] 2 3 4 5" xfId="648" xr:uid="{EFFFD264-1794-40C4-BCAD-E4D289A6F47A}"/>
    <cellStyle name="쉼표 [0] 2 3 5" xfId="218" xr:uid="{15560859-3C5D-43C7-9C82-F900935F696B}"/>
    <cellStyle name="쉼표 [0] 2 3 5 2" xfId="802" xr:uid="{BC55DE4C-2354-4C3D-93C1-551E67C31CD3}"/>
    <cellStyle name="쉼표 [0] 2 3 5 3" xfId="992" xr:uid="{2DBAABDE-0D26-4E0D-9C03-21122619CE65}"/>
    <cellStyle name="쉼표 [0] 2 3 5 4" xfId="595" xr:uid="{F3878ECE-3798-4DF7-882E-7488AA87B53C}"/>
    <cellStyle name="쉼표 [0] 2 3 6" xfId="705" xr:uid="{E8130C15-FDBE-4A8D-B69C-7AEE7B528B87}"/>
    <cellStyle name="쉼표 [0] 2 3 6 2" xfId="1078" xr:uid="{04D3E61B-735B-4FA7-866B-272ED56715D0}"/>
    <cellStyle name="쉼표 [0] 2 3 7" xfId="933" xr:uid="{CE52AC5A-F204-4DF8-B878-64252E7938BB}"/>
    <cellStyle name="쉼표 [0] 2 3 8" xfId="510" xr:uid="{26DCB1DC-AB59-47A0-95FC-D2CE85BFF990}"/>
    <cellStyle name="쉼표 [0] 2 4" xfId="117" xr:uid="{00000000-0005-0000-0000-000048000000}"/>
    <cellStyle name="쉼표 [0] 2 4 2" xfId="300" xr:uid="{C742AEB1-52D6-4D7D-9D04-9B04D2A3BE56}"/>
    <cellStyle name="쉼표 [0] 2 4 2 2" xfId="865" xr:uid="{8307F772-0895-41AC-96D5-E08BB7A85B17}"/>
    <cellStyle name="쉼표 [0] 2 4 2 2 2" xfId="1134" xr:uid="{EB601790-B6EF-4F98-90F5-C0829BC8A628}"/>
    <cellStyle name="쉼표 [0] 2 4 2 3" xfId="763" xr:uid="{18C3BB97-58D0-4D6D-86CD-92ADD1960D5C}"/>
    <cellStyle name="쉼표 [0] 2 4 2 4" xfId="1045" xr:uid="{87B266D1-FAA2-433D-982B-32AB37C77695}"/>
    <cellStyle name="쉼표 [0] 2 4 2 5" xfId="673" xr:uid="{FBC44FC8-153C-431B-910F-A345AD03F32C}"/>
    <cellStyle name="쉼표 [0] 2 4 3" xfId="232" xr:uid="{EAF79534-BC62-468A-B887-80B78CE08A7A}"/>
    <cellStyle name="쉼표 [0] 2 4 3 2" xfId="816" xr:uid="{8BE4175D-90A5-4EBF-84A7-9838CA25A971}"/>
    <cellStyle name="쉼표 [0] 2 4 3 3" xfId="1003" xr:uid="{96FAAB20-756B-4559-AE42-6F9DD9467DE2}"/>
    <cellStyle name="쉼표 [0] 2 4 3 4" xfId="609" xr:uid="{484824B3-4D3E-4ACF-8339-86C1CDE5C8C9}"/>
    <cellStyle name="쉼표 [0] 2 4 4" xfId="716" xr:uid="{DE771FA6-56B0-47DA-8F70-DBF977F560AC}"/>
    <cellStyle name="쉼표 [0] 2 4 4 2" xfId="1092" xr:uid="{3A77006D-36B4-4562-9557-FAA1F5F765E5}"/>
    <cellStyle name="쉼표 [0] 2 4 5" xfId="970" xr:uid="{C2B36C1C-C5E5-4A8F-8A11-1CEB75BA2EB9}"/>
    <cellStyle name="쉼표 [0] 2 4 6" xfId="533" xr:uid="{AFB2D3BD-88B3-44D3-AE01-AD47A08929E4}"/>
    <cellStyle name="쉼표 [0] 2 5" xfId="145" xr:uid="{00000000-0005-0000-0000-000049000000}"/>
    <cellStyle name="쉼표 [0] 2 5 2" xfId="310" xr:uid="{C6B11B44-532D-4503-A9EA-6D478D650F19}"/>
    <cellStyle name="쉼표 [0] 2 5 2 2" xfId="875" xr:uid="{8ADC9389-24D7-4C17-9CB5-202D6657A9B8}"/>
    <cellStyle name="쉼표 [0] 2 5 2 2 2" xfId="1141" xr:uid="{4BDFD354-9097-4A6D-B34F-4BF64292D515}"/>
    <cellStyle name="쉼표 [0] 2 5 2 3" xfId="770" xr:uid="{2C70B5A6-6B9B-4E57-A2FD-D6EB7A6EF4DE}"/>
    <cellStyle name="쉼표 [0] 2 5 2 4" xfId="1052" xr:uid="{596232C3-9087-454F-A309-B4A0297D975B}"/>
    <cellStyle name="쉼표 [0] 2 5 2 5" xfId="683" xr:uid="{1FA5C83A-CA07-44C1-8DB7-DEB16ADDADC6}"/>
    <cellStyle name="쉼표 [0] 2 5 3" xfId="243" xr:uid="{1BE20D38-C23B-4325-B959-BCC4E8E172F0}"/>
    <cellStyle name="쉼표 [0] 2 5 3 2" xfId="825" xr:uid="{3869C14A-6FAF-4506-BABA-CAAD18E45F56}"/>
    <cellStyle name="쉼표 [0] 2 5 3 3" xfId="1010" xr:uid="{F71319C6-F17C-475E-97FE-2A5A34F7637F}"/>
    <cellStyle name="쉼표 [0] 2 5 3 4" xfId="620" xr:uid="{343B6514-634B-4586-914E-4C804ACE812F}"/>
    <cellStyle name="쉼표 [0] 2 5 4" xfId="723" xr:uid="{8D6880EB-9BDA-40A0-86C5-284261551679}"/>
    <cellStyle name="쉼표 [0] 2 5 4 2" xfId="1102" xr:uid="{FD7F8774-A754-4161-852C-E83BA9A6CBE2}"/>
    <cellStyle name="쉼표 [0] 2 5 5" xfId="977" xr:uid="{70D95F49-CC0A-40EC-82FF-BFE6C2D74678}"/>
    <cellStyle name="쉼표 [0] 2 5 6" xfId="544" xr:uid="{6E140D5A-D767-4E06-BA17-A9EE5D03DE2F}"/>
    <cellStyle name="쉼표 [0] 2 6" xfId="33" xr:uid="{00000000-0005-0000-0000-00004A000000}"/>
    <cellStyle name="쉼표 [0] 2 6 2" xfId="281" xr:uid="{FED49655-907B-4774-B330-905BE57B7D76}"/>
    <cellStyle name="쉼표 [0] 2 6 2 2" xfId="849" xr:uid="{B2296D77-42DE-4422-BE29-D5EB1EE94613}"/>
    <cellStyle name="쉼표 [0] 2 6 2 2 2" xfId="1120" xr:uid="{CA27367A-28AD-49B6-BAA6-B5182648EA70}"/>
    <cellStyle name="쉼표 [0] 2 6 2 3" xfId="748" xr:uid="{615779C6-E256-4DDF-A2E7-F15E27963751}"/>
    <cellStyle name="쉼표 [0] 2 6 2 4" xfId="1026" xr:uid="{F436D46D-47BC-4C91-9F46-C08C3C2F6347}"/>
    <cellStyle name="쉼표 [0] 2 6 2 5" xfId="655" xr:uid="{4B37D432-0474-4D6C-9E0E-F46593EA4AA8}"/>
    <cellStyle name="쉼표 [0] 2 6 3" xfId="211" xr:uid="{8B83EA19-4164-462B-B9D2-70A3F4FC9E6A}"/>
    <cellStyle name="쉼표 [0] 2 6 3 2" xfId="796" xr:uid="{A204DB83-EA9D-47BD-BA3E-DF2CDFB90A9D}"/>
    <cellStyle name="쉼표 [0] 2 6 3 3" xfId="1075" xr:uid="{98C724E0-66EA-499B-807C-A2BE7D3CC608}"/>
    <cellStyle name="쉼표 [0] 2 6 3 4" xfId="591" xr:uid="{F9569228-B053-4661-85C6-192F03A91C7F}"/>
    <cellStyle name="쉼표 [0] 2 6 4" xfId="702" xr:uid="{E67E6A3F-D8E1-43E3-9A9F-8F2BA60FD646}"/>
    <cellStyle name="쉼표 [0] 2 6 5" xfId="950" xr:uid="{2ACDB2BB-453D-42B2-91B3-675C34D0AF89}"/>
    <cellStyle name="쉼표 [0] 2 6 6" xfId="504" xr:uid="{85ED8B07-077D-4EA5-906B-B41B531FCD8B}"/>
    <cellStyle name="쉼표 [0] 2 7" xfId="178" xr:uid="{4B89E32D-B4E7-4DD1-B145-988B436721B9}"/>
    <cellStyle name="쉼표 [0] 2 7 2" xfId="254" xr:uid="{C736E3D9-C8B3-4F0A-8474-42D14405F4EB}"/>
    <cellStyle name="쉼표 [0] 2 7 2 2" xfId="839" xr:uid="{2428D4CA-75D0-4030-A2CE-8DDB3C28ACB3}"/>
    <cellStyle name="쉼표 [0] 2 7 2 3" xfId="1019" xr:uid="{2EAF4326-CFE0-46B6-8B06-6932143AAF5E}"/>
    <cellStyle name="쉼표 [0] 2 7 2 4" xfId="631" xr:uid="{EF8953C1-4290-421A-83F4-5CBCC1CEDE31}"/>
    <cellStyle name="쉼표 [0] 2 7 3" xfId="732" xr:uid="{DE0EFF29-BED6-4525-A1BE-6767C093FBF9}"/>
    <cellStyle name="쉼표 [0] 2 7 3 2" xfId="1113" xr:uid="{B369656E-E1A9-4BB4-A80A-55BE5E6A251B}"/>
    <cellStyle name="쉼표 [0] 2 7 4" xfId="940" xr:uid="{9D765502-3B3B-4FFE-970F-5E662344F253}"/>
    <cellStyle name="쉼표 [0] 2 7 5" xfId="563" xr:uid="{C8D9C82C-940E-49CB-9852-8F27667FBBCE}"/>
    <cellStyle name="쉼표 [0] 2 8" xfId="195" xr:uid="{E28757D9-7491-4C56-9597-E64EE325CBD2}"/>
    <cellStyle name="쉼표 [0] 2 8 2" xfId="741" xr:uid="{67A61B68-4D20-4709-A039-71BBDA460D20}"/>
    <cellStyle name="쉼표 [0] 2 8 3" xfId="989" xr:uid="{196DB62B-1CD3-4DF6-BD6C-AA292BB53270}"/>
    <cellStyle name="쉼표 [0] 2 8 4" xfId="576" xr:uid="{502A42E5-4983-4713-85B8-78A2DAF7BCBB}"/>
    <cellStyle name="쉼표 [0] 2 9" xfId="193" xr:uid="{252F9E05-F1A2-4B36-A7BF-CB843754FA27}"/>
    <cellStyle name="쉼표 [0] 2 9 2" xfId="786" xr:uid="{7B0A4F39-9BB5-46DA-A7D4-093CF1CA6F2B}"/>
    <cellStyle name="쉼표 [0] 2 9 3" xfId="1064" xr:uid="{2A421140-6365-4986-A856-C0F95C7A3AEA}"/>
    <cellStyle name="쉼표 [0] 2 9 4" xfId="574" xr:uid="{D5506996-E36F-4B03-8135-C1F3965E2C9C}"/>
    <cellStyle name="쉼표 [0] 20" xfId="353" xr:uid="{9C801671-ED2F-456C-B458-19A79B1A9964}"/>
    <cellStyle name="쉼표 [0] 20 2" xfId="1157" xr:uid="{E5937BDB-244F-44D8-B9ED-DAF52A6677F7}"/>
    <cellStyle name="쉼표 [0] 20 3" xfId="897" xr:uid="{9F27C3C7-AE07-469A-AA49-1D0325CE63EC}"/>
    <cellStyle name="쉼표 [0] 21" xfId="404" xr:uid="{DCC52D0E-E6B2-4609-B6BE-F5E0CAB79A8B}"/>
    <cellStyle name="쉼표 [0] 21 2" xfId="906" xr:uid="{14AD5D8F-B0DA-4672-B5C0-658031485B5F}"/>
    <cellStyle name="쉼표 [0] 22" xfId="406" xr:uid="{FAAA1DCB-D80B-4072-BE80-9E78E12CE2DD}"/>
    <cellStyle name="쉼표 [0] 22 2" xfId="908" xr:uid="{5E4B1E1A-DE86-462D-AADD-BE8077A54D70}"/>
    <cellStyle name="쉼표 [0] 23" xfId="920" xr:uid="{110E8C12-3EFA-4F4C-9E13-EFD29F244D5A}"/>
    <cellStyle name="쉼표 [0] 24" xfId="698" xr:uid="{6B75EB0D-2C19-498B-8D0C-3D5B843AECA1}"/>
    <cellStyle name="쉼표 [0] 25" xfId="923" xr:uid="{DB9219A6-A4E0-47F9-9CEE-F601CBEFC3AB}"/>
    <cellStyle name="쉼표 [0] 26" xfId="473" xr:uid="{3B333639-B89C-4A51-B49E-D7F0AB1604E7}"/>
    <cellStyle name="쉼표 [0] 27" xfId="1181" xr:uid="{ACDB5120-D13D-4F10-BFD2-39328FFE3153}"/>
    <cellStyle name="쉼표 [0] 28" xfId="1205" xr:uid="{6E372F50-4FDB-419B-A23C-AEBB5C779FBB}"/>
    <cellStyle name="쉼표 [0] 29" xfId="1209" xr:uid="{DC852E69-F1C3-460E-9496-C66B9468B418}"/>
    <cellStyle name="쉼표 [0] 3" xfId="13" xr:uid="{00000000-0005-0000-0000-00004B000000}"/>
    <cellStyle name="쉼표 [0] 3 10" xfId="346" xr:uid="{94F034BD-A9AD-4133-9CCE-B2264ECCCBED}"/>
    <cellStyle name="쉼표 [0] 3 10 2" xfId="900" xr:uid="{23E66F8C-AFA1-4EB3-8AB6-BB97311F1587}"/>
    <cellStyle name="쉼표 [0] 3 11" xfId="461" xr:uid="{59F9A96E-456D-4764-9D23-C6783F324ADD}"/>
    <cellStyle name="쉼표 [0] 3 11 2" xfId="913" xr:uid="{490F4622-F13E-4741-B185-CDA4A462DFCB}"/>
    <cellStyle name="쉼표 [0] 3 12" xfId="432" xr:uid="{CBB68818-8841-4D83-A2BB-5383162E5BF6}"/>
    <cellStyle name="쉼표 [0] 3 12 2" xfId="700" xr:uid="{830DD433-42DE-4DCE-B83B-29EC05582A6E}"/>
    <cellStyle name="쉼표 [0] 3 13" xfId="925" xr:uid="{F913C6CA-9D1A-4208-90F9-B20CF34677A9}"/>
    <cellStyle name="쉼표 [0] 3 14" xfId="487" xr:uid="{2DA0547B-436D-4B3A-BA84-608B7E785319}"/>
    <cellStyle name="쉼표 [0] 3 2" xfId="50" xr:uid="{00000000-0005-0000-0000-00004C000000}"/>
    <cellStyle name="쉼표 [0] 3 2 2" xfId="287" xr:uid="{548FEA40-7F1E-4EF7-A91F-39FAF884B749}"/>
    <cellStyle name="쉼표 [0] 3 2 2 2" xfId="805" xr:uid="{0A0A2E17-81EF-4A91-97C0-58C8169E3A51}"/>
    <cellStyle name="쉼표 [0] 3 2 2 2 2" xfId="1031" xr:uid="{DDA1C324-661F-448B-9C35-FEB005567C75}"/>
    <cellStyle name="쉼표 [0] 3 2 2 3" xfId="753" xr:uid="{4A58B41D-7B3D-4185-BA54-0E86ACEAFFBD}"/>
    <cellStyle name="쉼표 [0] 3 2 2 3 2" xfId="1080" xr:uid="{FE6E8D1D-F664-487F-9180-0B49E07066C0}"/>
    <cellStyle name="쉼표 [0] 3 2 2 4" xfId="956" xr:uid="{4B7A3C6A-154E-43CC-A662-EAEAA74FEE16}"/>
    <cellStyle name="쉼표 [0] 3 2 2 5" xfId="660" xr:uid="{2261549E-FE3F-4C82-86E5-E25BDD7E3A24}"/>
    <cellStyle name="쉼표 [0] 3 2 3" xfId="220" xr:uid="{ACEAB21B-2DC7-4866-B0D7-879E14351ABF}"/>
    <cellStyle name="쉼표 [0] 3 2 3 2" xfId="854" xr:uid="{662CB026-D9E3-40B1-8D75-E88BCAB276CB}"/>
    <cellStyle name="쉼표 [0] 3 2 3 2 2" xfId="1125" xr:uid="{AF1F5ADE-69BD-4C35-9829-A19EBBDAE8E5}"/>
    <cellStyle name="쉼표 [0] 3 2 3 3" xfId="994" xr:uid="{354DA908-AC3C-49D5-BD2D-7B18477E4EEE}"/>
    <cellStyle name="쉼표 [0] 3 2 3 4" xfId="597" xr:uid="{7D52EAE4-1B03-47BF-AA53-C14C59D3AB39}"/>
    <cellStyle name="쉼표 [0] 3 2 4" xfId="791" xr:uid="{6BCA023A-7717-4D40-B2FE-A1FDDC292A2B}"/>
    <cellStyle name="쉼표 [0] 3 2 4 2" xfId="1069" xr:uid="{C6F53077-3F56-456B-A62F-42CAEA415A11}"/>
    <cellStyle name="쉼표 [0] 3 2 5" xfId="707" xr:uid="{0FF8FA4B-2DCB-410D-B2FA-83ACC917ED9D}"/>
    <cellStyle name="쉼표 [0] 3 2 6" xfId="937" xr:uid="{CF9E4C82-31A9-4DA2-A468-D4FED6398B32}"/>
    <cellStyle name="쉼표 [0] 3 2 7" xfId="512" xr:uid="{EA726B66-727C-4A01-9CE1-13067D71E43D}"/>
    <cellStyle name="쉼표 [0] 3 3" xfId="119" xr:uid="{00000000-0005-0000-0000-00004D000000}"/>
    <cellStyle name="쉼표 [0] 3 3 2" xfId="301" xr:uid="{0933C4CC-DFC0-4B9F-B1BE-6AF82F16F189}"/>
    <cellStyle name="쉼표 [0] 3 3 2 2" xfId="866" xr:uid="{BB310E0E-6540-4E12-BE02-294C59495FFD}"/>
    <cellStyle name="쉼표 [0] 3 3 2 2 2" xfId="1135" xr:uid="{D74E4817-F24D-4456-80BF-B07A4A751C81}"/>
    <cellStyle name="쉼표 [0] 3 3 2 3" xfId="764" xr:uid="{40BD8EDC-AB54-4696-BBAB-79ACA1892BBD}"/>
    <cellStyle name="쉼표 [0] 3 3 2 4" xfId="1046" xr:uid="{C8F0B792-FC03-4433-873A-6EAF6154A9A4}"/>
    <cellStyle name="쉼표 [0] 3 3 2 5" xfId="674" xr:uid="{069082C0-1176-4D92-AF6E-A187823D1B19}"/>
    <cellStyle name="쉼표 [0] 3 3 3" xfId="233" xr:uid="{4B9D1F19-5009-49DA-A4B2-B74F76128C8D}"/>
    <cellStyle name="쉼표 [0] 3 3 3 2" xfId="818" xr:uid="{EA815393-D501-4D2B-B411-9099BAF39F05}"/>
    <cellStyle name="쉼표 [0] 3 3 3 3" xfId="1004" xr:uid="{A832ECBC-FA70-44AF-9F16-FB5FA0FC697C}"/>
    <cellStyle name="쉼표 [0] 3 3 3 4" xfId="610" xr:uid="{01DC5870-8CBB-437A-AD31-75B2D00C0AF2}"/>
    <cellStyle name="쉼표 [0] 3 3 4" xfId="717" xr:uid="{46659988-33C6-46A3-B2FA-DC32D0A720E9}"/>
    <cellStyle name="쉼표 [0] 3 3 4 2" xfId="1093" xr:uid="{4C735FD0-E7D5-4E07-ADD6-14004DFF064B}"/>
    <cellStyle name="쉼표 [0] 3 3 5" xfId="971" xr:uid="{FAD5405D-EA4A-4A8E-8195-5AB573CC9895}"/>
    <cellStyle name="쉼표 [0] 3 3 6" xfId="534" xr:uid="{842D7120-09B0-4321-8FEA-E21075C5C8D2}"/>
    <cellStyle name="쉼표 [0] 3 4" xfId="153" xr:uid="{00000000-0005-0000-0000-00004E000000}"/>
    <cellStyle name="쉼표 [0] 3 4 2" xfId="313" xr:uid="{89E61A4D-CE55-4B13-8AD6-4E2FDB84C0B9}"/>
    <cellStyle name="쉼표 [0] 3 4 2 2" xfId="878" xr:uid="{835A8CEF-F1B9-4BDF-94F4-8F3A254EEB20}"/>
    <cellStyle name="쉼표 [0] 3 4 2 2 2" xfId="1144" xr:uid="{3E46EA2F-941E-4047-B10A-6D910B80D70C}"/>
    <cellStyle name="쉼표 [0] 3 4 2 3" xfId="773" xr:uid="{E6F266CB-9E38-4F7B-AA43-827DF8C43658}"/>
    <cellStyle name="쉼표 [0] 3 4 2 4" xfId="1055" xr:uid="{8E308733-D283-475B-93AE-5DDA92070EE6}"/>
    <cellStyle name="쉼표 [0] 3 4 2 5" xfId="686" xr:uid="{E4EA96C8-48B7-4BBB-BF46-457FA540553A}"/>
    <cellStyle name="쉼표 [0] 3 4 3" xfId="246" xr:uid="{498AA4AA-830E-4F39-BADF-554956FFEB52}"/>
    <cellStyle name="쉼표 [0] 3 4 3 2" xfId="829" xr:uid="{44689809-6CBD-47F5-A73D-C7043119FB6E}"/>
    <cellStyle name="쉼표 [0] 3 4 3 3" xfId="1013" xr:uid="{D34015F1-472B-4463-807E-FCDFA6D62CB1}"/>
    <cellStyle name="쉼표 [0] 3 4 3 4" xfId="623" xr:uid="{622F83B5-1CE6-4915-A1B4-6C44E6F6E6C4}"/>
    <cellStyle name="쉼표 [0] 3 4 4" xfId="726" xr:uid="{6ACF8D5D-1483-4556-9504-4902CE1E4B8B}"/>
    <cellStyle name="쉼표 [0] 3 4 4 2" xfId="1105" xr:uid="{F08A66F0-DD1D-4F85-9D54-957EF3725382}"/>
    <cellStyle name="쉼표 [0] 3 4 5" xfId="982" xr:uid="{8AADDD06-7122-4D0F-BB6B-F53C00573733}"/>
    <cellStyle name="쉼표 [0] 3 4 6" xfId="547" xr:uid="{DE3F93D8-E829-4CB5-9BD9-248821C79189}"/>
    <cellStyle name="쉼표 [0] 3 5" xfId="36" xr:uid="{00000000-0005-0000-0000-00004F000000}"/>
    <cellStyle name="쉼표 [0] 3 5 2" xfId="282" xr:uid="{FB1C3649-C123-4F17-9071-37A8DD793F42}"/>
    <cellStyle name="쉼표 [0] 3 5 2 2" xfId="850" xr:uid="{195EABCD-047F-4124-B21E-4C9E6C2204A5}"/>
    <cellStyle name="쉼표 [0] 3 5 2 2 2" xfId="1121" xr:uid="{10715AA3-B0D1-4C00-89BB-C7166694D8AD}"/>
    <cellStyle name="쉼표 [0] 3 5 2 3" xfId="749" xr:uid="{1983CECC-C1B9-4D11-BDBE-7D1AC4D7865D}"/>
    <cellStyle name="쉼표 [0] 3 5 2 4" xfId="1027" xr:uid="{31BFB603-489E-4DCF-AEDA-707DE9E65F16}"/>
    <cellStyle name="쉼표 [0] 3 5 2 5" xfId="656" xr:uid="{851F9422-49E9-45A2-8418-688DED859855}"/>
    <cellStyle name="쉼표 [0] 3 5 3" xfId="213" xr:uid="{DC7420F4-4367-4700-9DF1-A61FFA263C86}"/>
    <cellStyle name="쉼표 [0] 3 5 3 2" xfId="798" xr:uid="{BBF412C2-14DF-4408-BA52-2D47E6841305}"/>
    <cellStyle name="쉼표 [0] 3 5 3 3" xfId="1076" xr:uid="{D483049F-5023-4298-900F-F490608AFFC9}"/>
    <cellStyle name="쉼표 [0] 3 5 3 4" xfId="592" xr:uid="{F60AF7E3-84AA-40E1-90BC-291F267283AA}"/>
    <cellStyle name="쉼표 [0] 3 5 4" xfId="703" xr:uid="{188C4A09-1224-4D9D-A7DF-4FCA52AF41E3}"/>
    <cellStyle name="쉼표 [0] 3 5 5" xfId="951" xr:uid="{02C32F57-5927-41BE-B599-C850A30D93A8}"/>
    <cellStyle name="쉼표 [0] 3 5 6" xfId="505" xr:uid="{C25FD7FF-F363-4367-8A48-456D30615BE8}"/>
    <cellStyle name="쉼표 [0] 3 6" xfId="183" xr:uid="{70922FDB-69A1-4870-AA57-0AF1DB0412AE}"/>
    <cellStyle name="쉼표 [0] 3 6 2" xfId="321" xr:uid="{75C1E42D-DBBB-4C53-A88E-680EE5979CB0}"/>
    <cellStyle name="쉼표 [0] 3 6 2 2" xfId="779" xr:uid="{301048BC-95AE-4C4A-B67E-AFA00269EF35}"/>
    <cellStyle name="쉼표 [0] 3 6 2 3" xfId="1150" xr:uid="{BE8A6641-645F-4919-AEC2-A6B8531B61E1}"/>
    <cellStyle name="쉼표 [0] 3 6 2 4" xfId="692" xr:uid="{6B2C90DF-4074-44C5-9CB2-3BBEC7E77162}"/>
    <cellStyle name="쉼표 [0] 3 6 3" xfId="258" xr:uid="{D485F5CC-2D61-4FF7-BB1F-5CEB41FC4119}"/>
    <cellStyle name="쉼표 [0] 3 6 3 2" xfId="884" xr:uid="{C7151146-287F-4F38-83CB-BA07D5D8096E}"/>
    <cellStyle name="쉼표 [0] 3 6 3 3" xfId="635" xr:uid="{826C9BCC-70AC-4461-A56E-E86CD596A4AB}"/>
    <cellStyle name="쉼표 [0] 3 6 4" xfId="735" xr:uid="{92CB06B8-761B-43F3-AFF1-FE082746FD17}"/>
    <cellStyle name="쉼표 [0] 3 6 5" xfId="990" xr:uid="{02D5D80E-3E64-4128-9460-1D1C1A7758DA}"/>
    <cellStyle name="쉼표 [0] 3 6 6" xfId="566" xr:uid="{0F244913-EAEA-4DD4-BCD9-4BE483E76C69}"/>
    <cellStyle name="쉼표 [0] 3 7" xfId="198" xr:uid="{E86EC7C0-4B1D-4482-9BE9-1FC8427CBE93}"/>
    <cellStyle name="쉼표 [0] 3 7 2" xfId="267" xr:uid="{A872C636-2A9A-4CC2-836B-5C046FDCA82D}"/>
    <cellStyle name="쉼표 [0] 3 7 2 2" xfId="840" xr:uid="{DBE44628-9CAE-429C-8A41-8C5436806EC2}"/>
    <cellStyle name="쉼표 [0] 3 7 2 3" xfId="644" xr:uid="{6EB44B3A-AAF1-4451-AB2B-357147B40D07}"/>
    <cellStyle name="쉼표 [0] 3 7 3" xfId="742" xr:uid="{B5E56614-959D-4E83-A5D2-8825EFC4578E}"/>
    <cellStyle name="쉼표 [0] 3 7 4" xfId="1114" xr:uid="{4506E8BF-E6CA-4495-A804-ADF268532A5C}"/>
    <cellStyle name="쉼표 [0] 3 7 5" xfId="579" xr:uid="{268491B9-2763-49D1-9E47-894B66698126}"/>
    <cellStyle name="쉼표 [0] 3 8" xfId="209" xr:uid="{EFE3D047-E638-4ACC-B642-40B99AB3546A}"/>
    <cellStyle name="쉼표 [0] 3 8 2" xfId="789" xr:uid="{2E2FAC3E-69DD-4A88-B9BF-D90D6303FDAA}"/>
    <cellStyle name="쉼표 [0] 3 8 3" xfId="1067" xr:uid="{005FA3F7-B61A-40F7-AEA3-9105CB9D8874}"/>
    <cellStyle name="쉼표 [0] 3 8 4" xfId="589" xr:uid="{7DC3C90E-60DF-4D6E-B5B5-12C185AC13FB}"/>
    <cellStyle name="쉼표 [0] 3 9" xfId="334" xr:uid="{AB8BFC9F-B771-472D-AAF7-6C4EE97CC6B5}"/>
    <cellStyle name="쉼표 [0] 3 9 2" xfId="828" xr:uid="{BDE77856-8900-4195-8F2A-E5D800C0D35B}"/>
    <cellStyle name="쉼표 [0] 4" xfId="24" xr:uid="{00000000-0005-0000-0000-000050000000}"/>
    <cellStyle name="쉼표 [0] 4 2" xfId="115" xr:uid="{00000000-0005-0000-0000-000051000000}"/>
    <cellStyle name="쉼표 [0] 4 2 2" xfId="203" xr:uid="{C8DC3DDE-D039-4BF2-A126-344F0DE49A43}"/>
    <cellStyle name="쉼표 [0] 4 2 2 2" xfId="338" xr:uid="{B18C268A-A5BE-44DF-AAD3-4328737F88AF}"/>
    <cellStyle name="쉼표 [0] 4 2 2 2 2" xfId="1133" xr:uid="{E8A7BDE5-DA3C-4C85-B327-0220B63E8EA7}"/>
    <cellStyle name="쉼표 [0] 4 2 2 2 3" xfId="864" xr:uid="{C243B360-A5C5-44D1-838C-63C95541FA64}"/>
    <cellStyle name="쉼표 [0] 4 2 2 3" xfId="350" xr:uid="{5784C650-F9CF-4283-A6E3-4DB20B92D1CA}"/>
    <cellStyle name="쉼표 [0] 4 2 2 3 2" xfId="815" xr:uid="{A72028BB-0568-450A-AE10-7F24EB41F389}"/>
    <cellStyle name="쉼표 [0] 4 2 2 4" xfId="904" xr:uid="{F7D1DD15-87A1-4B85-BD0D-028C12E8E5BC}"/>
    <cellStyle name="쉼표 [0] 4 2 2 5" xfId="917" xr:uid="{2582AEC3-9C06-4B56-957A-9EC226C316D1}"/>
    <cellStyle name="쉼표 [0] 4 2 2 6" xfId="736" xr:uid="{CA98AF74-092C-4C24-887A-EEE2C6B0B1A6}"/>
    <cellStyle name="쉼표 [0] 4 2 2 7" xfId="1044" xr:uid="{CA70AD06-E5A5-488A-9F4A-DFFE431C4AA7}"/>
    <cellStyle name="쉼표 [0] 4 2 2 8" xfId="584" xr:uid="{A4FE2BEB-EFEF-4A0E-9582-E001C9230A41}"/>
    <cellStyle name="쉼표 [0] 4 2 3" xfId="299" xr:uid="{9B820BE8-B2A1-4F93-8F85-D6AD0A4C24EA}"/>
    <cellStyle name="쉼표 [0] 4 2 3 2" xfId="762" xr:uid="{6592562A-3CB4-4003-8721-0545908A9095}"/>
    <cellStyle name="쉼표 [0] 4 2 3 3" xfId="1002" xr:uid="{ADA16AD0-2FF6-4A7A-8912-1B75FA00DB7C}"/>
    <cellStyle name="쉼표 [0] 4 2 3 4" xfId="672" xr:uid="{4D78F10D-850E-41C6-A8CD-6C35AF6540C7}"/>
    <cellStyle name="쉼표 [0] 4 2 4" xfId="231" xr:uid="{0D155EC3-5483-409F-9591-4564528BCA6C}"/>
    <cellStyle name="쉼표 [0] 4 2 4 2" xfId="814" xr:uid="{D1272CF1-EEC0-4789-8574-2950A2A943A5}"/>
    <cellStyle name="쉼표 [0] 4 2 4 3" xfId="1091" xr:uid="{4AF9EB15-1592-4495-925F-110D9DA6A953}"/>
    <cellStyle name="쉼표 [0] 4 2 4 4" xfId="608" xr:uid="{CC211472-519A-48C0-84FB-E7E5F355C533}"/>
    <cellStyle name="쉼표 [0] 4 2 5" xfId="715" xr:uid="{FFE187D9-0127-48CF-A112-F5AE8833DF8A}"/>
    <cellStyle name="쉼표 [0] 4 2 6" xfId="969" xr:uid="{763619BD-B0B0-432C-9C4C-28D561F6F037}"/>
    <cellStyle name="쉼표 [0] 4 2 7" xfId="532" xr:uid="{CFEB3622-CBB2-4508-9E66-CBC2B0233CE3}"/>
    <cellStyle name="쉼표 [0] 4 3" xfId="151" xr:uid="{00000000-0005-0000-0000-000052000000}"/>
    <cellStyle name="쉼표 [0] 4 3 2" xfId="312" xr:uid="{C68DF9DA-3937-41CD-BB63-7B060327417E}"/>
    <cellStyle name="쉼표 [0] 4 3 2 2" xfId="877" xr:uid="{8BD23EB1-5C60-42E1-B605-C3ABC21A78C8}"/>
    <cellStyle name="쉼표 [0] 4 3 2 2 2" xfId="1143" xr:uid="{D653B3DA-7A25-4407-A15E-6C047DB92B0F}"/>
    <cellStyle name="쉼표 [0] 4 3 2 3" xfId="772" xr:uid="{0B791FF8-67C3-47FD-8622-D5A425B5C964}"/>
    <cellStyle name="쉼표 [0] 4 3 2 4" xfId="1054" xr:uid="{C6E6A521-46CA-4662-A762-758C2C0F6A68}"/>
    <cellStyle name="쉼표 [0] 4 3 2 5" xfId="685" xr:uid="{23E687C4-48F8-4EEC-B3FE-1323DC4A2CC4}"/>
    <cellStyle name="쉼표 [0] 4 3 3" xfId="245" xr:uid="{B3C342FE-198C-418F-9E27-5E56569C4EA1}"/>
    <cellStyle name="쉼표 [0] 4 3 3 2" xfId="827" xr:uid="{341DE86B-ADE8-4090-BB29-86136A424CE7}"/>
    <cellStyle name="쉼표 [0] 4 3 3 3" xfId="1012" xr:uid="{AE5EC4BA-C24F-417E-BA52-7BC0F8986DB6}"/>
    <cellStyle name="쉼표 [0] 4 3 3 4" xfId="622" xr:uid="{5269578A-26EF-44F4-80E9-899D1A267618}"/>
    <cellStyle name="쉼표 [0] 4 3 4" xfId="725" xr:uid="{E0A67D06-BEA5-4A78-9182-3CB49EB758DC}"/>
    <cellStyle name="쉼표 [0] 4 3 4 2" xfId="1104" xr:uid="{0154011E-A114-4CE4-9A19-F22ED9F8B32B}"/>
    <cellStyle name="쉼표 [0] 4 3 5" xfId="980" xr:uid="{33E6280E-1FC4-442F-9B9D-5DB2FDEE5D49}"/>
    <cellStyle name="쉼표 [0] 4 3 6" xfId="546" xr:uid="{19D7E052-16B2-4E3E-89E6-ACDB80BD5A14}"/>
    <cellStyle name="쉼표 [0] 4 4" xfId="48" xr:uid="{00000000-0005-0000-0000-000053000000}"/>
    <cellStyle name="쉼표 [0] 4 4 2" xfId="286" xr:uid="{4077820B-58E0-4BEA-88DF-36B37FD38BD1}"/>
    <cellStyle name="쉼표 [0] 4 4 2 2" xfId="853" xr:uid="{2864768B-E920-4E6D-8970-0CCCCEC8CABD}"/>
    <cellStyle name="쉼표 [0] 4 4 2 2 2" xfId="1124" xr:uid="{3CC4CE71-F4C0-454F-9F43-A690722B134E}"/>
    <cellStyle name="쉼표 [0] 4 4 2 3" xfId="1030" xr:uid="{262C5B7E-843E-4CAE-960B-8655C851F530}"/>
    <cellStyle name="쉼표 [0] 4 4 2 4" xfId="659" xr:uid="{25E0CD1A-19F0-43B7-9FA6-C44A6FF58DB7}"/>
    <cellStyle name="쉼표 [0] 4 4 3" xfId="803" xr:uid="{02DA69E3-9A8B-472B-A127-5EAA337D6F25}"/>
    <cellStyle name="쉼표 [0] 4 4 3 2" xfId="1079" xr:uid="{653100ED-4750-42B0-9735-778C21095A5E}"/>
    <cellStyle name="쉼표 [0] 4 4 4" xfId="752" xr:uid="{8242514D-C1BB-4942-A7BB-D3E181E7FADF}"/>
    <cellStyle name="쉼표 [0] 4 4 5" xfId="955" xr:uid="{D1A03AB8-5489-4E7B-A492-C7AD8DE60A00}"/>
    <cellStyle name="쉼표 [0] 4 4 6" xfId="511" xr:uid="{80C51332-5178-45DF-AC36-5E2E261EC806}"/>
    <cellStyle name="쉼표 [0] 4 5" xfId="266" xr:uid="{63E355DD-D59C-4C88-90F9-442ECBF92E09}"/>
    <cellStyle name="쉼표 [0] 4 5 2" xfId="838" xr:uid="{65CAEEB0-62DC-41C5-A602-D57EF590D0F8}"/>
    <cellStyle name="쉼표 [0] 4 5 2 2" xfId="1021" xr:uid="{57068029-FEE6-43A6-923A-0E8CC5091962}"/>
    <cellStyle name="쉼표 [0] 4 5 3" xfId="740" xr:uid="{489D1941-A3D2-4225-8CA5-3BE4A3C9CFBD}"/>
    <cellStyle name="쉼표 [0] 4 5 3 2" xfId="1112" xr:uid="{3534368B-1DD0-4BAF-B516-DBABBF58DBE0}"/>
    <cellStyle name="쉼표 [0] 4 5 4" xfId="944" xr:uid="{6F17DB60-831B-430D-BE07-E3104A60AA35}"/>
    <cellStyle name="쉼표 [0] 4 5 5" xfId="643" xr:uid="{1A8C78A7-18FA-4CF3-BDF4-338AA8F1E249}"/>
    <cellStyle name="쉼표 [0] 4 6" xfId="219" xr:uid="{7AF76734-F4A9-4E5D-8524-23ECBF72D2BE}"/>
    <cellStyle name="쉼표 [0] 4 6 2" xfId="788" xr:uid="{71BFD70F-3086-4076-BCFB-0761B8737C33}"/>
    <cellStyle name="쉼표 [0] 4 6 3" xfId="993" xr:uid="{992987D7-7DEB-4429-8E98-BD25C6A5F70E}"/>
    <cellStyle name="쉼표 [0] 4 6 4" xfId="596" xr:uid="{9E5A3E97-C7C4-4987-BCD7-631682D78C81}"/>
    <cellStyle name="쉼표 [0] 4 7" xfId="706" xr:uid="{0F97BF0B-36A2-41BA-9D52-1A6D96A1A5F6}"/>
    <cellStyle name="쉼표 [0] 4 7 2" xfId="1066" xr:uid="{1E576602-A616-4158-AE26-0D90F4F760D6}"/>
    <cellStyle name="쉼표 [0] 4 8" xfId="936" xr:uid="{A9772D31-5106-4DA8-8AAE-50CC878FB615}"/>
    <cellStyle name="쉼표 [0] 4 9" xfId="495" xr:uid="{2C16CE6F-E6CD-4E9C-B572-B6F38A10D702}"/>
    <cellStyle name="쉼표 [0] 5" xfId="29" xr:uid="{00000000-0005-0000-0000-000054000000}"/>
    <cellStyle name="쉼표 [0] 5 10" xfId="500" xr:uid="{19A718BA-80B4-44CF-9044-909DFCEE81E0}"/>
    <cellStyle name="쉼표 [0] 5 2" xfId="130" xr:uid="{00000000-0005-0000-0000-000055000000}"/>
    <cellStyle name="쉼표 [0] 5 2 2" xfId="323" xr:uid="{FBFF2DCC-7929-4CB7-858E-9DE24E78037D}"/>
    <cellStyle name="쉼표 [0] 5 2 2 2" xfId="886" xr:uid="{4E2280FA-07A5-4A42-ACE7-682560EEC981}"/>
    <cellStyle name="쉼표 [0] 5 2 2 2 2" xfId="1152" xr:uid="{777E50AE-F773-4EBE-B003-3B45DF15C932}"/>
    <cellStyle name="쉼표 [0] 5 2 2 3" xfId="822" xr:uid="{35FC27B0-E71C-426B-9D4E-505C1F4147A6}"/>
    <cellStyle name="쉼표 [0] 5 2 2 3 2" xfId="1099" xr:uid="{85090F5C-EAD4-46EC-96F9-379732346256}"/>
    <cellStyle name="쉼표 [0] 5 2 2 4" xfId="781" xr:uid="{231075B3-329E-4538-8C86-F9E7CEC4EACC}"/>
    <cellStyle name="쉼표 [0] 5 2 2 5" xfId="1049" xr:uid="{C559A858-6437-4E31-9398-C044B16662D8}"/>
    <cellStyle name="쉼표 [0] 5 2 2 6" xfId="694" xr:uid="{704DCF2E-8BA6-424E-954C-633185EF9597}"/>
    <cellStyle name="쉼표 [0] 5 2 3" xfId="307" xr:uid="{AC21A91B-3018-471A-83BA-40D0B956FAC3}"/>
    <cellStyle name="쉼표 [0] 5 2 3 2" xfId="872" xr:uid="{CA6059EB-E413-498C-96DC-52A1FBC64D42}"/>
    <cellStyle name="쉼표 [0] 5 2 3 2 2" xfId="1138" xr:uid="{A9322B61-FFA9-4999-9BBF-A17264279C49}"/>
    <cellStyle name="쉼표 [0] 5 2 3 3" xfId="767" xr:uid="{4C0875C4-7270-4221-B555-F0C584164246}"/>
    <cellStyle name="쉼표 [0] 5 2 3 4" xfId="1007" xr:uid="{F0A1A31C-EB22-43BD-8EB2-B5B256F80EB5}"/>
    <cellStyle name="쉼표 [0] 5 2 3 5" xfId="680" xr:uid="{65C75EB0-9E79-42A4-8779-2498901350A0}"/>
    <cellStyle name="쉼표 [0] 5 2 4" xfId="240" xr:uid="{FB5CE378-7EE2-4F28-9475-83B607F971D3}"/>
    <cellStyle name="쉼표 [0] 5 2 4 2" xfId="792" xr:uid="{092B150A-FC73-4250-A1E2-FF3AF592092B}"/>
    <cellStyle name="쉼표 [0] 5 2 4 3" xfId="1070" xr:uid="{AFA30D5D-A5DC-41D9-BF5D-FAD1A189E933}"/>
    <cellStyle name="쉼표 [0] 5 2 4 4" xfId="617" xr:uid="{44F382CF-FEBD-4A46-B4A8-F0E47AE50F53}"/>
    <cellStyle name="쉼표 [0] 5 2 5" xfId="720" xr:uid="{3EEEE1C1-7990-4B9D-9AFA-F84D834645BF}"/>
    <cellStyle name="쉼표 [0] 5 2 6" xfId="974" xr:uid="{BA37A8C9-77AE-4A41-9B2C-6F37B06E6E67}"/>
    <cellStyle name="쉼표 [0] 5 2 7" xfId="541" xr:uid="{34573D41-4687-4907-9419-A31DA447EA3F}"/>
    <cellStyle name="쉼표 [0] 5 3" xfId="155" xr:uid="{00000000-0005-0000-0000-000056000000}"/>
    <cellStyle name="쉼표 [0] 5 3 2" xfId="314" xr:uid="{41915E8A-8523-4E34-8CB0-4C1D0773EA8D}"/>
    <cellStyle name="쉼표 [0] 5 3 2 2" xfId="879" xr:uid="{DE9AA66E-5400-49BF-9FDC-29E33B611C4C}"/>
    <cellStyle name="쉼표 [0] 5 3 2 2 2" xfId="1145" xr:uid="{810D740C-BD46-4D37-98E1-2C959EDAA933}"/>
    <cellStyle name="쉼표 [0] 5 3 2 3" xfId="774" xr:uid="{22FB6CF3-1012-4408-89BF-436A189DE3FC}"/>
    <cellStyle name="쉼표 [0] 5 3 2 4" xfId="1056" xr:uid="{9D1A9742-440D-40A5-833B-0C3BF6D7CE20}"/>
    <cellStyle name="쉼표 [0] 5 3 2 5" xfId="687" xr:uid="{33184254-FF1E-4104-A4C7-FE5C0F63B210}"/>
    <cellStyle name="쉼표 [0] 5 3 3" xfId="247" xr:uid="{C4271E9A-B73F-41DF-91B6-BE1F96A7BFFD}"/>
    <cellStyle name="쉼표 [0] 5 3 3 2" xfId="830" xr:uid="{299C7F5F-FD53-4AD6-8961-851EA5BF0A5E}"/>
    <cellStyle name="쉼표 [0] 5 3 3 3" xfId="1014" xr:uid="{A0FE0CAA-7A86-4725-B4A8-32A9D7D3734A}"/>
    <cellStyle name="쉼표 [0] 5 3 3 4" xfId="624" xr:uid="{D535474D-31CE-466C-A753-C131C0AF3355}"/>
    <cellStyle name="쉼표 [0] 5 3 4" xfId="727" xr:uid="{8970F95B-99FA-42F1-81F2-131632DAE8C2}"/>
    <cellStyle name="쉼표 [0] 5 3 4 2" xfId="1106" xr:uid="{5A1E817A-E870-4F30-B82E-DB6263709602}"/>
    <cellStyle name="쉼표 [0] 5 3 5" xfId="984" xr:uid="{3143CD94-40EF-43C2-BC06-62E7DED32AEA}"/>
    <cellStyle name="쉼표 [0] 5 3 6" xfId="548" xr:uid="{B2AD2F4F-BCE1-49D9-A2F4-1BADEB2AC431}"/>
    <cellStyle name="쉼표 [0] 5 4" xfId="53" xr:uid="{00000000-0005-0000-0000-000057000000}"/>
    <cellStyle name="쉼표 [0] 5 4 2" xfId="289" xr:uid="{DFB3D924-D79F-41AC-9611-C5C118171C90}"/>
    <cellStyle name="쉼표 [0] 5 4 2 2" xfId="855" xr:uid="{B43B4B74-E3B5-482F-BB44-3A91C0ED27DE}"/>
    <cellStyle name="쉼표 [0] 5 4 2 2 2" xfId="1126" xr:uid="{A36F1625-1DC6-4A0B-91AA-2327B6ADE752}"/>
    <cellStyle name="쉼표 [0] 5 4 2 3" xfId="1032" xr:uid="{D3B8829D-4FEC-49F4-B257-4D8360274217}"/>
    <cellStyle name="쉼표 [0] 5 4 2 4" xfId="662" xr:uid="{BC75A741-2884-4DA5-868B-3663449B6CD7}"/>
    <cellStyle name="쉼표 [0] 5 4 3" xfId="807" xr:uid="{C99E4451-1140-4383-8BF6-01F125380BBC}"/>
    <cellStyle name="쉼표 [0] 5 4 3 2" xfId="1081" xr:uid="{9EE759F4-25F4-4234-A944-8BCBB05DC8BD}"/>
    <cellStyle name="쉼표 [0] 5 4 4" xfId="755" xr:uid="{FB5E0A4D-405B-4BD2-A8C7-46C315AD474F}"/>
    <cellStyle name="쉼표 [0] 5 4 5" xfId="957" xr:uid="{B9E8CA56-B6E0-4906-B005-DDDBD82EC139}"/>
    <cellStyle name="쉼표 [0] 5 4 6" xfId="515" xr:uid="{D4B560F8-37AB-4709-BBAE-4D084AEA8118}"/>
    <cellStyle name="쉼표 [0] 5 5" xfId="322" xr:uid="{205EE715-6407-4704-BB85-7127C9518D30}"/>
    <cellStyle name="쉼표 [0] 5 5 2" xfId="885" xr:uid="{99CC8F88-F2D2-41B4-8B7B-430EE95EC180}"/>
    <cellStyle name="쉼표 [0] 5 5 2 2" xfId="1151" xr:uid="{8766DEE0-84BA-4EEA-BC8A-7D1DF3E17229}"/>
    <cellStyle name="쉼표 [0] 5 5 3" xfId="780" xr:uid="{0FF80DF3-ACE9-4076-A261-27EF767E08CA}"/>
    <cellStyle name="쉼표 [0] 5 5 4" xfId="995" xr:uid="{34A6C64B-A9E8-42A2-ACFA-818A21C6C3E5}"/>
    <cellStyle name="쉼표 [0] 5 5 5" xfId="693" xr:uid="{B20DAF6B-6138-4F62-8E75-D9B749A62841}"/>
    <cellStyle name="쉼표 [0] 5 6" xfId="274" xr:uid="{670785EE-DBF8-4B10-855D-BBD4A2AC08F5}"/>
    <cellStyle name="쉼표 [0] 5 6 2" xfId="846" xr:uid="{7C272D00-2698-43CD-BF46-007D7DE15291}"/>
    <cellStyle name="쉼표 [0] 5 6 3" xfId="745" xr:uid="{A6DAC272-A540-414E-B672-57795D321D4B}"/>
    <cellStyle name="쉼표 [0] 5 6 4" xfId="1117" xr:uid="{AC9FC4F6-A1EE-4D62-9AA1-885A8CE00E10}"/>
    <cellStyle name="쉼표 [0] 5 6 5" xfId="651" xr:uid="{7F722873-73F5-4F16-A447-C2ABE382DFD7}"/>
    <cellStyle name="쉼표 [0] 5 7" xfId="221" xr:uid="{A3619168-AF21-4202-A257-B197A1727BB1}"/>
    <cellStyle name="쉼표 [0] 5 7 2" xfId="790" xr:uid="{96DF7CC6-D358-47E1-8E31-65648B036287}"/>
    <cellStyle name="쉼표 [0] 5 7 3" xfId="1068" xr:uid="{17CE53C4-421A-48F7-B9DB-90869C6AA22C}"/>
    <cellStyle name="쉼표 [0] 5 7 4" xfId="598" xr:uid="{98B71CD1-3D3C-4D2D-9E44-14057507A2D3}"/>
    <cellStyle name="쉼표 [0] 5 8" xfId="708" xr:uid="{B5903488-EF3F-444D-BC58-428DCE93AFC5}"/>
    <cellStyle name="쉼표 [0] 5 9" xfId="932" xr:uid="{01AFADBB-8A58-4289-8553-F52DF71C2102}"/>
    <cellStyle name="쉼표 [0] 6" xfId="55" xr:uid="{00000000-0005-0000-0000-000058000000}"/>
    <cellStyle name="쉼표 [0] 6 2" xfId="156" xr:uid="{00000000-0005-0000-0000-000059000000}"/>
    <cellStyle name="쉼표 [0] 6 2 2" xfId="315" xr:uid="{37A6F985-6ED6-4D27-ADB7-7CC638063C98}"/>
    <cellStyle name="쉼표 [0] 6 2 2 2" xfId="880" xr:uid="{C2532165-4314-4ADB-96BB-AD8D86679429}"/>
    <cellStyle name="쉼표 [0] 6 2 2 2 2" xfId="1146" xr:uid="{BEEAC991-0253-4E1F-9ECE-EE67818FA838}"/>
    <cellStyle name="쉼표 [0] 6 2 2 3" xfId="775" xr:uid="{B5F9B62B-D3F3-4ABD-A524-EBA49E4CE1E4}"/>
    <cellStyle name="쉼표 [0] 6 2 2 4" xfId="1057" xr:uid="{E0AB39FD-671B-4D91-95BA-FD9CA809ADB5}"/>
    <cellStyle name="쉼표 [0] 6 2 2 5" xfId="688" xr:uid="{F151FF50-37E7-4867-A3CD-D73DBDAEFAE6}"/>
    <cellStyle name="쉼표 [0] 6 2 3" xfId="248" xr:uid="{6B2638C0-C02D-44EC-9202-093D9514E6B6}"/>
    <cellStyle name="쉼표 [0] 6 2 3 2" xfId="831" xr:uid="{EEF369C5-91B5-4223-8A39-8A4D98E2B1FA}"/>
    <cellStyle name="쉼표 [0] 6 2 3 3" xfId="1015" xr:uid="{28D06CA3-12DF-41DC-B352-8912F3F54644}"/>
    <cellStyle name="쉼표 [0] 6 2 3 4" xfId="625" xr:uid="{67975BD1-6B51-4178-8B26-68FDF9499AA7}"/>
    <cellStyle name="쉼표 [0] 6 2 4" xfId="728" xr:uid="{34ABF30C-423F-4F5E-9F3D-A6AAC42BB954}"/>
    <cellStyle name="쉼표 [0] 6 2 4 2" xfId="1107" xr:uid="{DDEED5A7-D74A-4E70-9312-7EE70AC76BE2}"/>
    <cellStyle name="쉼표 [0] 6 2 5" xfId="985" xr:uid="{5857A280-D6A6-49D0-A7DB-A76C86116FD3}"/>
    <cellStyle name="쉼표 [0] 6 2 6" xfId="549" xr:uid="{646F4910-E477-4A7D-80DD-A1DB85A349BA}"/>
    <cellStyle name="쉼표 [0] 6 3" xfId="326" xr:uid="{44EC0AE3-44E2-4C9A-A042-E00C29B368B4}"/>
    <cellStyle name="쉼표 [0] 6 3 2" xfId="889" xr:uid="{D3481AC4-9D5D-4D10-AEBD-A8F1FABE797C}"/>
    <cellStyle name="쉼표 [0] 6 3 2 2" xfId="1153" xr:uid="{9D44EB6F-7758-4029-940B-0ACD58D2B6D2}"/>
    <cellStyle name="쉼표 [0] 6 3 3" xfId="808" xr:uid="{E3CFD17D-C218-4215-9FD5-128F0ED645B9}"/>
    <cellStyle name="쉼표 [0] 6 3 3 2" xfId="1082" xr:uid="{507D3E60-0A0C-4706-8DE9-F423E0FDE807}"/>
    <cellStyle name="쉼표 [0] 6 3 4" xfId="782" xr:uid="{44B001CD-B781-4427-A131-0767A2E40C16}"/>
    <cellStyle name="쉼표 [0] 6 3 5" xfId="1033" xr:uid="{635948A4-C9A9-4EA5-B4DF-CDB25B7BE9AE}"/>
    <cellStyle name="쉼표 [0] 6 3 6" xfId="695" xr:uid="{A353D3FF-63FC-4086-803E-5F7082570CBD}"/>
    <cellStyle name="쉼표 [0] 6 4" xfId="290" xr:uid="{FE87B356-869E-462C-9AF6-BD3BB3788E2E}"/>
    <cellStyle name="쉼표 [0] 6 4 2" xfId="856" xr:uid="{12179809-B065-422F-A373-CC3A07E47F45}"/>
    <cellStyle name="쉼표 [0] 6 4 2 2" xfId="1127" xr:uid="{697608F5-522E-4F6E-93AA-C41BAAD13C01}"/>
    <cellStyle name="쉼표 [0] 6 4 3" xfId="756" xr:uid="{7029BDE4-1495-49B4-82E9-D95A6A868049}"/>
    <cellStyle name="쉼표 [0] 6 4 4" xfId="996" xr:uid="{36F2946A-3BC9-454D-8A59-D51730948A06}"/>
    <cellStyle name="쉼표 [0] 6 4 5" xfId="663" xr:uid="{B2D2A82D-1C1C-462E-9DBA-171F13C8117F}"/>
    <cellStyle name="쉼표 [0] 6 5" xfId="222" xr:uid="{D6B07107-D907-424C-B38E-686FEE264EBC}"/>
    <cellStyle name="쉼표 [0] 6 5 2" xfId="794" xr:uid="{47DEEC29-16AD-4B50-AA92-9B8FB18079FF}"/>
    <cellStyle name="쉼표 [0] 6 5 3" xfId="1073" xr:uid="{1CBAFFCE-6BCB-4062-91B9-D8796C337F6D}"/>
    <cellStyle name="쉼표 [0] 6 5 4" xfId="599" xr:uid="{441270DB-18D2-445E-B45F-D84A2C70902E}"/>
    <cellStyle name="쉼표 [0] 6 6" xfId="709" xr:uid="{B4554983-57C5-4B81-938A-0EC7D2407F47}"/>
    <cellStyle name="쉼표 [0] 6 7" xfId="958" xr:uid="{9608D8CD-3946-4D31-956C-3D977B24F823}"/>
    <cellStyle name="쉼표 [0] 6 8" xfId="516" xr:uid="{AB1D85D4-0A6C-4AFC-8C38-DF001C3C3CCF}"/>
    <cellStyle name="쉼표 [0] 7" xfId="99" xr:uid="{00000000-0005-0000-0000-00005A000000}"/>
    <cellStyle name="쉼표 [0] 7 2" xfId="158" xr:uid="{00000000-0005-0000-0000-00005B000000}"/>
    <cellStyle name="쉼표 [0] 7 2 2" xfId="316" xr:uid="{808BB2B6-80FD-46AD-BE6F-A6F934CB9E1E}"/>
    <cellStyle name="쉼표 [0] 7 2 2 2" xfId="881" xr:uid="{CC1DF5AE-DEF8-4CC9-8075-CB8DF3A97BB7}"/>
    <cellStyle name="쉼표 [0] 7 2 2 2 2" xfId="1147" xr:uid="{95382067-72B7-4F22-8C22-CC4ADCF53BA9}"/>
    <cellStyle name="쉼표 [0] 7 2 2 3" xfId="776" xr:uid="{B85C5D66-9505-46DA-9AC7-D87D48091041}"/>
    <cellStyle name="쉼표 [0] 7 2 2 4" xfId="1058" xr:uid="{0C68012E-6414-4E9F-93A1-683876FFECC0}"/>
    <cellStyle name="쉼표 [0] 7 2 2 5" xfId="689" xr:uid="{64F31525-05C8-4BCD-8472-B7C82A866A1A}"/>
    <cellStyle name="쉼표 [0] 7 2 3" xfId="249" xr:uid="{F7A46A7C-366D-4A05-9452-D2101223D070}"/>
    <cellStyle name="쉼표 [0] 7 2 3 2" xfId="832" xr:uid="{5F1961C5-5FD6-4EAA-8E71-C44FD33390CE}"/>
    <cellStyle name="쉼표 [0] 7 2 3 3" xfId="1016" xr:uid="{D8E84E14-9490-4372-801E-AC80F407DB86}"/>
    <cellStyle name="쉼표 [0] 7 2 3 4" xfId="626" xr:uid="{F28DE744-8B2C-48FC-91F1-B406DF6F7300}"/>
    <cellStyle name="쉼표 [0] 7 2 4" xfId="729" xr:uid="{1E10C823-DB2C-4368-ACB4-3C54D8AD1206}"/>
    <cellStyle name="쉼표 [0] 7 2 4 2" xfId="1108" xr:uid="{99A20517-E53D-4D67-A72D-C27DA580658C}"/>
    <cellStyle name="쉼표 [0] 7 2 5" xfId="986" xr:uid="{D68F0B9D-7E97-4A0F-9A0B-BA2E5B5DEC6F}"/>
    <cellStyle name="쉼표 [0] 7 2 6" xfId="550" xr:uid="{66CD1664-1F75-47A1-AD3A-892710F01B47}"/>
    <cellStyle name="쉼표 [0] 7 3" xfId="291" xr:uid="{7B2DC5F3-EAFD-43FD-AA51-5A18F6C6DD5F}"/>
    <cellStyle name="쉼표 [0] 7 3 2" xfId="857" xr:uid="{458652C3-55B3-4C28-8813-EAC0E43321C4}"/>
    <cellStyle name="쉼표 [0] 7 3 2 2" xfId="1128" xr:uid="{F7CB07D2-2EE1-49ED-A952-B09618BC218C}"/>
    <cellStyle name="쉼표 [0] 7 3 3" xfId="757" xr:uid="{4C5E8E0F-1EDD-46FB-8DEF-1613FC298762}"/>
    <cellStyle name="쉼표 [0] 7 3 4" xfId="1039" xr:uid="{5CFB0298-774B-4E47-80AB-C6F675A84D1F}"/>
    <cellStyle name="쉼표 [0] 7 3 5" xfId="664" xr:uid="{89756B7B-4DBF-40BA-8CF2-89CFA773F63E}"/>
    <cellStyle name="쉼표 [0] 7 4" xfId="223" xr:uid="{4CBC7335-8C84-4AAA-96BF-30DCDA714200}"/>
    <cellStyle name="쉼표 [0] 7 4 2" xfId="809" xr:uid="{EC5494AA-31A0-4A72-BD88-CA8949BB1629}"/>
    <cellStyle name="쉼표 [0] 7 4 3" xfId="997" xr:uid="{CA54D998-F0BB-4F1D-A428-5AA1E18FF00E}"/>
    <cellStyle name="쉼표 [0] 7 4 4" xfId="600" xr:uid="{18FB244B-40CD-4090-AD9E-0F024C27DA1B}"/>
    <cellStyle name="쉼표 [0] 7 5" xfId="710" xr:uid="{F52AEE0E-6B49-4FAF-B1FE-AF1E3EF9C675}"/>
    <cellStyle name="쉼표 [0] 7 5 2" xfId="1083" xr:uid="{AA41A4B1-F559-4111-B29A-5B799CC01889}"/>
    <cellStyle name="쉼표 [0] 7 6" xfId="964" xr:uid="{CED7CAEA-DF40-4E29-823D-59BF36A8C211}"/>
    <cellStyle name="쉼표 [0] 7 7" xfId="524" xr:uid="{0F333C61-C27B-4CA5-B98D-90CFEC6A6A5F}"/>
    <cellStyle name="쉼표 [0] 8" xfId="102" xr:uid="{00000000-0005-0000-0000-00005C000000}"/>
    <cellStyle name="쉼표 [0] 8 2" xfId="166" xr:uid="{00000000-0005-0000-0000-00005D000000}"/>
    <cellStyle name="쉼표 [0] 8 2 2" xfId="317" xr:uid="{63345480-5266-4068-862D-41582A5C836C}"/>
    <cellStyle name="쉼표 [0] 8 2 2 2" xfId="882" xr:uid="{801A3AC0-C475-48CF-B421-19E43CEBDC8B}"/>
    <cellStyle name="쉼표 [0] 8 2 2 2 2" xfId="1148" xr:uid="{56235CDD-5C6F-416B-AEC1-C1232FFB2E7D}"/>
    <cellStyle name="쉼표 [0] 8 2 2 3" xfId="777" xr:uid="{657462B5-B9B6-45AC-8BBD-8AF67128C5CD}"/>
    <cellStyle name="쉼표 [0] 8 2 2 4" xfId="1059" xr:uid="{72C4C81C-6611-4DAE-8AE2-8A332EE761D8}"/>
    <cellStyle name="쉼표 [0] 8 2 2 5" xfId="690" xr:uid="{1540F83B-F90D-438D-BB0B-55A82F821D90}"/>
    <cellStyle name="쉼표 [0] 8 2 3" xfId="250" xr:uid="{F4CDBA38-0250-4EC5-8253-0B703988DD6A}"/>
    <cellStyle name="쉼표 [0] 8 2 3 2" xfId="834" xr:uid="{8790160C-8A44-4BB0-8D2B-0D0E54296BE1}"/>
    <cellStyle name="쉼표 [0] 8 2 3 3" xfId="1017" xr:uid="{5EDDFAFE-4085-4C05-8362-9C7248470922}"/>
    <cellStyle name="쉼표 [0] 8 2 3 4" xfId="627" xr:uid="{BC3C8BB9-99B5-4C98-A5B2-975B5FC4E85D}"/>
    <cellStyle name="쉼표 [0] 8 2 4" xfId="730" xr:uid="{692F33F0-2062-47D4-8131-E6F7B9467FEB}"/>
    <cellStyle name="쉼표 [0] 8 2 4 2" xfId="1109" xr:uid="{5B2CCA0F-CBA9-406E-BF03-562BD106C4A0}"/>
    <cellStyle name="쉼표 [0] 8 2 5" xfId="987" xr:uid="{80CC2A16-CDC8-4300-8F76-7CED10E7F0F7}"/>
    <cellStyle name="쉼표 [0] 8 2 6" xfId="552" xr:uid="{F9BB1251-618B-4D9B-A1DA-7B67F10CDD66}"/>
    <cellStyle name="쉼표 [0] 8 3" xfId="292" xr:uid="{9391BB5B-05BF-41F1-8676-800BF4362E38}"/>
    <cellStyle name="쉼표 [0] 8 3 2" xfId="858" xr:uid="{8C881EAD-D805-47CB-9663-7CB4B5FECB50}"/>
    <cellStyle name="쉼표 [0] 8 3 2 2" xfId="1129" xr:uid="{777E36EA-53B0-44C3-9185-5617A74E0FED}"/>
    <cellStyle name="쉼표 [0] 8 3 3" xfId="758" xr:uid="{F8784353-4B31-465A-9B67-DE6E27BA53A2}"/>
    <cellStyle name="쉼표 [0] 8 3 4" xfId="1040" xr:uid="{52AFD172-3886-4256-8F34-42939237C446}"/>
    <cellStyle name="쉼표 [0] 8 3 5" xfId="665" xr:uid="{CF37642E-CAC5-47B5-8EF9-164884012C30}"/>
    <cellStyle name="쉼표 [0] 8 4" xfId="224" xr:uid="{68043BA9-D597-499A-8320-33F6151BFDAD}"/>
    <cellStyle name="쉼표 [0] 8 4 2" xfId="810" xr:uid="{ABA977A5-DBCE-4B7D-BF74-6672935510C3}"/>
    <cellStyle name="쉼표 [0] 8 4 3" xfId="998" xr:uid="{58EFF80F-AE06-4931-8652-7EBDC5570134}"/>
    <cellStyle name="쉼표 [0] 8 4 4" xfId="601" xr:uid="{31A34D77-B9A5-47DB-8E49-38FACCD61A45}"/>
    <cellStyle name="쉼표 [0] 8 5" xfId="711" xr:uid="{0A6C2B00-7248-4BE7-8538-5B5ADC77D4B8}"/>
    <cellStyle name="쉼표 [0] 8 5 2" xfId="1084" xr:uid="{3EDA7E58-6E71-47CB-BF4A-9EDFFD185102}"/>
    <cellStyle name="쉼표 [0] 8 6" xfId="965" xr:uid="{13412093-1AE0-460A-A9A8-D056D34E1414}"/>
    <cellStyle name="쉼표 [0] 8 7" xfId="525" xr:uid="{7C57266D-4029-4F40-91E6-A7F53CBF5350}"/>
    <cellStyle name="쉼표 [0] 9" xfId="104" xr:uid="{00000000-0005-0000-0000-00005E000000}"/>
    <cellStyle name="쉼표 [0] 9 2" xfId="293" xr:uid="{ECD1C55E-29EE-4CCD-8B4C-F3C70DFB3193}"/>
    <cellStyle name="쉼표 [0] 9 2 2" xfId="859" xr:uid="{35B9B1EC-CE36-42DA-A913-C9CB50D48F4C}"/>
    <cellStyle name="쉼표 [0] 9 2 2 2" xfId="1130" xr:uid="{97D7CEAB-37C5-4E75-B0BE-36C759796C0A}"/>
    <cellStyle name="쉼표 [0] 9 2 3" xfId="759" xr:uid="{9757D8BF-FB84-412C-BA53-CBA536CFE188}"/>
    <cellStyle name="쉼표 [0] 9 2 4" xfId="1041" xr:uid="{D3D5B606-84A6-41EE-9B78-7F01782F6D64}"/>
    <cellStyle name="쉼표 [0] 9 2 5" xfId="666" xr:uid="{4D61193D-1B88-4A87-ACBD-2150CAE1A1F7}"/>
    <cellStyle name="쉼표 [0] 9 3" xfId="225" xr:uid="{C25425ED-7C34-4B8F-AD9F-2E65462D349B}"/>
    <cellStyle name="쉼표 [0] 9 3 2" xfId="811" xr:uid="{1D6F083F-C322-4DB7-AAD7-B7E48968C4C7}"/>
    <cellStyle name="쉼표 [0] 9 3 3" xfId="999" xr:uid="{F1310A50-E13E-433C-874F-0BE4FBD5A36D}"/>
    <cellStyle name="쉼표 [0] 9 3 4" xfId="602" xr:uid="{D89688CA-D068-43B0-BE4D-0D29A4693067}"/>
    <cellStyle name="쉼표 [0] 9 4" xfId="712" xr:uid="{11030E87-3CDA-4047-AD84-2299A73C068B}"/>
    <cellStyle name="쉼표 [0] 9 4 2" xfId="1085" xr:uid="{766784F0-5C02-42FF-8E2E-CC92C4AAF336}"/>
    <cellStyle name="쉼표 [0] 9 5" xfId="966" xr:uid="{E4EDFC07-97E2-4652-81A4-078FC7816FBD}"/>
    <cellStyle name="쉼표 [0] 9 6" xfId="526" xr:uid="{D07C6B6E-A328-4010-B3CE-860F9C96CA71}"/>
    <cellStyle name="쉼표 10" xfId="134" xr:uid="{00000000-0005-0000-0000-00005F000000}"/>
    <cellStyle name="쉼표 11" xfId="135" xr:uid="{00000000-0005-0000-0000-000060000000}"/>
    <cellStyle name="쉼표 12" xfId="136" xr:uid="{00000000-0005-0000-0000-000061000000}"/>
    <cellStyle name="쉼표 13" xfId="137" xr:uid="{00000000-0005-0000-0000-000062000000}"/>
    <cellStyle name="쉼표 14" xfId="138" xr:uid="{00000000-0005-0000-0000-000063000000}"/>
    <cellStyle name="쉼표 15" xfId="139" xr:uid="{00000000-0005-0000-0000-000064000000}"/>
    <cellStyle name="쉼표 16" xfId="140" xr:uid="{00000000-0005-0000-0000-000065000000}"/>
    <cellStyle name="쉼표 17" xfId="141" xr:uid="{00000000-0005-0000-0000-000066000000}"/>
    <cellStyle name="쉼표 18" xfId="142" xr:uid="{00000000-0005-0000-0000-000067000000}"/>
    <cellStyle name="쉼표 19" xfId="143" xr:uid="{00000000-0005-0000-0000-000068000000}"/>
    <cellStyle name="쉼표 2" xfId="7" xr:uid="{00000000-0005-0000-0000-000069000000}"/>
    <cellStyle name="쉼표 2 2" xfId="101" xr:uid="{00000000-0005-0000-0000-00006A000000}"/>
    <cellStyle name="쉼표 2 2 2" xfId="257" xr:uid="{97EDC3DE-02E3-464C-9189-137FE1DECFA7}"/>
    <cellStyle name="쉼표 2 2 2 2" xfId="634" xr:uid="{B48D1F82-3A09-4458-B7EF-07143FDBBBB3}"/>
    <cellStyle name="쉼표 2 2 3" xfId="734" xr:uid="{1AB13619-B311-405D-9B48-1BDC2616F9FC}"/>
    <cellStyle name="쉼표 2 3" xfId="182" xr:uid="{6F1D88D6-B320-47BE-A4B7-1F2B63677105}"/>
    <cellStyle name="쉼표 2 3 2" xfId="793" xr:uid="{FDE3A14F-CE1C-44CE-AC25-F0527D2508FB}"/>
    <cellStyle name="쉼표 2 3 3" xfId="565" xr:uid="{90CEEAE4-D77D-4543-B3E8-963226FD55CA}"/>
    <cellStyle name="쉼표 2 4" xfId="197" xr:uid="{5699FDCB-650E-4198-8038-C9AF4BACCA9A}"/>
    <cellStyle name="쉼표 2 4 2" xfId="899" xr:uid="{F16BFDB3-5327-4B93-8EE5-19222FC6D215}"/>
    <cellStyle name="쉼표 2 4 3" xfId="578" xr:uid="{342DCA1C-C9C1-4C51-A595-EDB9ACB12A3A}"/>
    <cellStyle name="쉼표 2 5" xfId="333" xr:uid="{6FB82E2B-BA29-4322-8D39-B18F57F80B14}"/>
    <cellStyle name="쉼표 2 5 2" xfId="912" xr:uid="{D82CFFDB-DEC1-436F-8839-9C086106D293}"/>
    <cellStyle name="쉼표 2 6" xfId="345" xr:uid="{F5A7D346-A41A-4FC3-A093-4D263D483B9D}"/>
    <cellStyle name="쉼표 2 6 2" xfId="931" xr:uid="{7C259DD9-76D9-46DE-BBF2-DBF35E7E7806}"/>
    <cellStyle name="쉼표 2 7" xfId="422" xr:uid="{A26635C4-164F-4DA3-BB3A-665D7E51591B}"/>
    <cellStyle name="쉼표 2 8" xfId="482" xr:uid="{E4580B26-A821-477B-AB81-E56F07224647}"/>
    <cellStyle name="쉼표 20" xfId="171" xr:uid="{2425A329-2C3A-48D9-BB26-651DFA2A1152}"/>
    <cellStyle name="쉼표 20 2" xfId="318" xr:uid="{BF300496-27FE-4276-916A-CCF2572AC7AC}"/>
    <cellStyle name="쉼표 20 2 2" xfId="883" xr:uid="{16CB67E7-608F-41FB-AA07-6A447D651E83}"/>
    <cellStyle name="쉼표 20 2 3" xfId="691" xr:uid="{E7DE17CB-47F5-465C-8818-9E1C7575AFC4}"/>
    <cellStyle name="쉼표 20 3" xfId="778" xr:uid="{6E36E27C-3487-45CC-8329-B06570BF23E4}"/>
    <cellStyle name="쉼표 20 4" xfId="1149" xr:uid="{71053BE3-6667-44C6-9246-8BE43C31B398}"/>
    <cellStyle name="쉼표 20 5" xfId="557" xr:uid="{836D397C-B638-43DC-844C-6951B4DE3C91}"/>
    <cellStyle name="쉼표 21" xfId="206" xr:uid="{9794E595-E160-467B-9714-EB3B2C7D3E1A}"/>
    <cellStyle name="쉼표 21 2" xfId="275" xr:uid="{6A74984E-D895-46CF-ADD8-C8D2859D89AB}"/>
    <cellStyle name="쉼표 21 2 2" xfId="847" xr:uid="{FB0E3E01-2724-4089-9F93-AA3D97E79E15}"/>
    <cellStyle name="쉼표 21 2 3" xfId="652" xr:uid="{FCE324BD-A59B-4FC2-A333-D75D376CFE0F}"/>
    <cellStyle name="쉼표 21 3" xfId="746" xr:uid="{FBC36D56-D2F3-4D3B-AD6E-63B805A32480}"/>
    <cellStyle name="쉼표 21 4" xfId="1118" xr:uid="{8C9B68DA-ED28-4B39-A186-D129A4B2F265}"/>
    <cellStyle name="쉼표 21 5" xfId="587" xr:uid="{73EE241D-43CF-41F2-A8B3-D431714B0FD4}"/>
    <cellStyle name="쉼표 22" xfId="288" xr:uid="{F58D06B4-1ABE-46E8-AC1C-77967ABB4AF3}"/>
    <cellStyle name="쉼표 22 2" xfId="754" xr:uid="{161709A2-FF31-4F60-B243-0AB887A6102E}"/>
    <cellStyle name="쉼표 22 3" xfId="1062" xr:uid="{0D9FBEFB-0306-4D51-91C5-23E86B5935EB}"/>
    <cellStyle name="쉼표 22 4" xfId="661" xr:uid="{A41AF8C2-1655-4167-95F0-74FA1A3A3132}"/>
    <cellStyle name="쉼표 23" xfId="327" xr:uid="{0C3918EB-AC2F-456F-A5F7-91417B168F9A}"/>
    <cellStyle name="쉼표 23 2" xfId="783" xr:uid="{87923B9A-0F57-49A8-9EA9-A9B40E778514}"/>
    <cellStyle name="쉼표 23 3" xfId="696" xr:uid="{F421C554-6364-4C25-965B-08907E8182B4}"/>
    <cellStyle name="쉼표 24" xfId="354" xr:uid="{36B90A43-EE6A-40C7-B0F2-47287157DD0D}"/>
    <cellStyle name="쉼표 24 2" xfId="784" xr:uid="{C12A01C8-04B8-46F5-8EEC-3D2371E29261}"/>
    <cellStyle name="쉼표 24 3" xfId="697" xr:uid="{CA0EA228-F482-432A-879B-24BF468F47E1}"/>
    <cellStyle name="쉼표 25" xfId="919" xr:uid="{F40B9AF0-13E5-4995-A727-FB145E38D584}"/>
    <cellStyle name="쉼표 26" xfId="921" xr:uid="{13E852A1-3351-43CA-A8F2-C6F148B3348D}"/>
    <cellStyle name="쉼표 27" xfId="922" xr:uid="{3AA327FD-2961-4A7C-8B7A-5D857DE9AA99}"/>
    <cellStyle name="쉼표 28" xfId="1183" xr:uid="{63587E4B-91A6-408E-A231-E7527587F874}"/>
    <cellStyle name="쉼표 29" xfId="1206" xr:uid="{F92DB71C-B1F6-46F0-B293-26ED7841E0DC}"/>
    <cellStyle name="쉼표 3" xfId="15" xr:uid="{00000000-0005-0000-0000-00006B000000}"/>
    <cellStyle name="쉼표 3 2" xfId="103" xr:uid="{00000000-0005-0000-0000-00006C000000}"/>
    <cellStyle name="쉼표 3 2 2" xfId="261" xr:uid="{D299706D-DB6F-4385-841E-989169F4F4BC}"/>
    <cellStyle name="쉼표 3 2 2 2" xfId="638" xr:uid="{C0D28BBC-4913-49A4-8B57-8F0F3E0CEEE4}"/>
    <cellStyle name="쉼표 3 2 3" xfId="737" xr:uid="{E5B73E1B-1BB7-4344-A948-4CF65C970DEE}"/>
    <cellStyle name="쉼표 3 3" xfId="204" xr:uid="{A1CBD137-4060-4BC3-819F-4B209D82733E}"/>
    <cellStyle name="쉼표 3 3 2" xfId="833" xr:uid="{6ED9E353-B62F-43FF-A26A-58AFF7235CB1}"/>
    <cellStyle name="쉼표 3 3 3" xfId="585" xr:uid="{58CA4FBA-1EB3-4FA1-9033-01FE2B90C727}"/>
    <cellStyle name="쉼표 3 4" xfId="339" xr:uid="{F6FD165F-0DEA-4798-A99B-67B83384817C}"/>
    <cellStyle name="쉼표 3 4 2" xfId="905" xr:uid="{8C6851E8-DB39-4321-80A0-9F713E745E86}"/>
    <cellStyle name="쉼표 3 5" xfId="351" xr:uid="{D66515F2-1C8A-411A-970D-32A2B0D19F38}"/>
    <cellStyle name="쉼표 3 5 2" xfId="918" xr:uid="{0D2C637E-D4C1-46C3-A4BF-6C354EB9F969}"/>
    <cellStyle name="쉼표 3 6" xfId="938" xr:uid="{49E129C8-21E1-4BE7-A8A3-E0E9C4A18A30}"/>
    <cellStyle name="쉼표 3 7" xfId="488" xr:uid="{F8FA7C7D-EE41-4003-AC8B-C6D95CCB78DD}"/>
    <cellStyle name="쉼표 30" xfId="1210" xr:uid="{55E6CD1B-F9D7-4F8B-A5DB-4ADBB18C12E2}"/>
    <cellStyle name="쉼표 4" xfId="25" xr:uid="{00000000-0005-0000-0000-00006D000000}"/>
    <cellStyle name="쉼표 4 2" xfId="106" xr:uid="{00000000-0005-0000-0000-00006E000000}"/>
    <cellStyle name="쉼표 4 3" xfId="496" xr:uid="{292FDEF1-30B4-442D-962C-B9DAB8A34EFF}"/>
    <cellStyle name="쉼표 5" xfId="26" xr:uid="{00000000-0005-0000-0000-00006F000000}"/>
    <cellStyle name="쉼표 5 2" xfId="109" xr:uid="{00000000-0005-0000-0000-000070000000}"/>
    <cellStyle name="쉼표 5 3" xfId="497" xr:uid="{D3CAD47C-1CDC-4263-8BE2-549194940638}"/>
    <cellStyle name="쉼표 6" xfId="30" xr:uid="{00000000-0005-0000-0000-000071000000}"/>
    <cellStyle name="쉼표 6 2" xfId="110" xr:uid="{00000000-0005-0000-0000-000072000000}"/>
    <cellStyle name="쉼표 6 3" xfId="501" xr:uid="{53839180-DD3B-48B6-9AA4-11C9E99E84C2}"/>
    <cellStyle name="쉼표 7" xfId="131" xr:uid="{00000000-0005-0000-0000-000073000000}"/>
    <cellStyle name="쉼표 7 2" xfId="159" xr:uid="{00000000-0005-0000-0000-000074000000}"/>
    <cellStyle name="쉼표 7 3" xfId="308" xr:uid="{EF51FEC0-C990-4942-B5DB-191CAB15DD0F}"/>
    <cellStyle name="쉼표 7 3 2" xfId="823" xr:uid="{F85A0860-CF5C-4837-AD15-25D14E59E1DA}"/>
    <cellStyle name="쉼표 7 3 2 2" xfId="1100" xr:uid="{66D87EA2-3B7D-4420-A601-DA770425B735}"/>
    <cellStyle name="쉼표 7 3 3" xfId="768" xr:uid="{2FABC1A6-BBCB-4E85-B75B-15715B0642F6}"/>
    <cellStyle name="쉼표 7 3 4" xfId="1050" xr:uid="{F7F39950-15BB-433C-8BE2-41C89E86262E}"/>
    <cellStyle name="쉼표 7 3 5" xfId="681" xr:uid="{F63527AB-994A-48B2-8282-8E97D9CF7D89}"/>
    <cellStyle name="쉼표 7 4" xfId="241" xr:uid="{144CE4EB-74A2-4836-AA97-2EF56C80F188}"/>
    <cellStyle name="쉼표 7 4 2" xfId="873" xr:uid="{C7012D86-2126-4349-AE0C-D41079DC59C3}"/>
    <cellStyle name="쉼표 7 4 2 2" xfId="1139" xr:uid="{2D1D5D29-1A2F-4BD3-9D7F-A281DE594806}"/>
    <cellStyle name="쉼표 7 4 3" xfId="1008" xr:uid="{185874FE-B0C3-4790-8611-7265FE8BD397}"/>
    <cellStyle name="쉼표 7 4 4" xfId="618" xr:uid="{245CAFFC-626F-41BF-A47D-2ACB118A3F57}"/>
    <cellStyle name="쉼표 7 5" xfId="721" xr:uid="{FFD5A64C-548C-4858-8FA5-8F7126999268}"/>
    <cellStyle name="쉼표 7 6" xfId="975" xr:uid="{5A48E211-0BA2-459E-B188-A00C2DF0204A}"/>
    <cellStyle name="쉼표 7 7" xfId="542" xr:uid="{CA913BD1-1ED8-403D-A906-B81F8685EC74}"/>
    <cellStyle name="쉼표 8" xfId="132" xr:uid="{00000000-0005-0000-0000-000075000000}"/>
    <cellStyle name="쉼표 9" xfId="133" xr:uid="{00000000-0005-0000-0000-000076000000}"/>
    <cellStyle name="연결된 셀" xfId="363" builtinId="24" customBuiltin="1"/>
    <cellStyle name="연결된 셀 2" xfId="88" xr:uid="{00000000-0005-0000-0000-000077000000}"/>
    <cellStyle name="요약" xfId="367" builtinId="25" customBuiltin="1"/>
    <cellStyle name="요약 2" xfId="89" xr:uid="{00000000-0005-0000-0000-000078000000}"/>
    <cellStyle name="요약 2 2" xfId="1036" xr:uid="{A9408E56-3961-4B1E-AFFD-DF7A0259B393}"/>
    <cellStyle name="요약 2 3" xfId="961" xr:uid="{98A5F706-64B5-4F18-B80B-92BAE182E278}"/>
    <cellStyle name="요약 3" xfId="893" xr:uid="{99825CB7-9117-443E-9E29-092B5274B570}"/>
    <cellStyle name="입력" xfId="360" builtinId="20" customBuiltin="1"/>
    <cellStyle name="입력 2" xfId="90" xr:uid="{00000000-0005-0000-0000-000079000000}"/>
    <cellStyle name="입력 2 2" xfId="1037" xr:uid="{7B3FA5E9-17A7-482E-A683-A716D71FDC4F}"/>
    <cellStyle name="입력 2 3" xfId="962" xr:uid="{BDD263E0-22AA-482F-A734-0C7044A9507D}"/>
    <cellStyle name="입력 3" xfId="894" xr:uid="{7E5FBCC0-DBE9-41D0-941E-15AE0C8C0146}"/>
    <cellStyle name="제목" xfId="396" builtinId="15" customBuiltin="1"/>
    <cellStyle name="제목 1" xfId="356" builtinId="16" customBuiltin="1"/>
    <cellStyle name="제목 1 2" xfId="92" xr:uid="{00000000-0005-0000-0000-00007A000000}"/>
    <cellStyle name="제목 2" xfId="357" builtinId="17" customBuiltin="1"/>
    <cellStyle name="제목 2 2" xfId="93" xr:uid="{00000000-0005-0000-0000-00007B000000}"/>
    <cellStyle name="제목 3" xfId="358" builtinId="18" customBuiltin="1"/>
    <cellStyle name="제목 3 2" xfId="94" xr:uid="{00000000-0005-0000-0000-00007C000000}"/>
    <cellStyle name="제목 4" xfId="359" builtinId="19" customBuiltin="1"/>
    <cellStyle name="제목 4 2" xfId="95" xr:uid="{00000000-0005-0000-0000-00007D000000}"/>
    <cellStyle name="제목 5" xfId="91" xr:uid="{00000000-0005-0000-0000-00007E000000}"/>
    <cellStyle name="제목 5 2" xfId="462" xr:uid="{4846F4D7-3480-4028-9537-78E089335D70}"/>
    <cellStyle name="제목 6" xfId="387" xr:uid="{1D8735D9-E748-4D08-A639-6D65AF5C9478}"/>
    <cellStyle name="좋음" xfId="470" builtinId="26" customBuiltin="1"/>
    <cellStyle name="좋음 2" xfId="38" xr:uid="{00000000-0005-0000-0000-000080000000}"/>
    <cellStyle name="좋음 2 2" xfId="163" xr:uid="{00000000-0005-0000-0000-000081000000}"/>
    <cellStyle name="좋음 2 3" xfId="214" xr:uid="{FA514537-1F4E-463B-A60E-11CC49DA9E49}"/>
    <cellStyle name="좋음 3" xfId="96" xr:uid="{00000000-0005-0000-0000-000082000000}"/>
    <cellStyle name="좋음 4" xfId="175" xr:uid="{2974A6E9-8CF0-4A96-A0F5-6DF042C8A3C3}"/>
    <cellStyle name="좋음 5" xfId="479" xr:uid="{5A4038BA-CB55-4E7B-9139-6FEA78B0709B}"/>
    <cellStyle name="출력" xfId="361" builtinId="21" customBuiltin="1"/>
    <cellStyle name="출력 2" xfId="97" xr:uid="{00000000-0005-0000-0000-000083000000}"/>
    <cellStyle name="출력 2 2" xfId="1038" xr:uid="{C4E5D432-9DB8-4C53-900D-5F8E5DED4978}"/>
    <cellStyle name="출력 2 3" xfId="963" xr:uid="{AAB77242-5758-4B5B-AC22-1B3C2DCA59FA}"/>
    <cellStyle name="출력 3" xfId="895" xr:uid="{B16399A2-6620-462B-A3CB-064903C036A3}"/>
    <cellStyle name="표준" xfId="0" builtinId="0"/>
    <cellStyle name="표준 10" xfId="173" xr:uid="{E4B00BFB-B846-4951-8FB9-B1AF1F050974}"/>
    <cellStyle name="표준 10 2" xfId="263" xr:uid="{7FC9F456-BDB9-461E-8792-B2BA3E009492}"/>
    <cellStyle name="표준 10 2 2" xfId="640" xr:uid="{F5F37277-8267-4E33-A604-815BF54DCE98}"/>
    <cellStyle name="표준 10 3" xfId="428" xr:uid="{14E3E9FA-F69F-4FD9-8BAF-EB4A67E58C39}"/>
    <cellStyle name="표준 10 4" xfId="559" xr:uid="{0DB41269-8A39-4BCB-97C8-71078073F056}"/>
    <cellStyle name="표준 11" xfId="191" xr:uid="{574B9EBF-5373-49FC-B48A-DAC4BE272E84}"/>
    <cellStyle name="표준 11 2" xfId="572" xr:uid="{752B70F7-6B59-480B-8D8D-7A77088CAD83}"/>
    <cellStyle name="표준 12" xfId="205" xr:uid="{AA96FD47-F53E-459D-ADEF-1E71540ACC2C}"/>
    <cellStyle name="표준 12 2" xfId="907" xr:uid="{1D170510-3367-4633-9E58-E19DF5DB361C}"/>
    <cellStyle name="표준 12 3" xfId="586" xr:uid="{24A3B6B2-27FB-472A-99D5-095BC6029CAD}"/>
    <cellStyle name="표준 13" xfId="328" xr:uid="{A04A6B4F-DCF9-479D-AC4D-363EB1F94259}"/>
    <cellStyle name="표준 13 2" xfId="476" xr:uid="{DA9954FA-8966-4C33-8285-E3EFB78083DB}"/>
    <cellStyle name="표준 14" xfId="340" xr:uid="{B69AAB07-80AA-46D8-8BA2-3510897E53B4}"/>
    <cellStyle name="표준 15" xfId="352" xr:uid="{33B1CAEA-A730-4833-BD65-E680BA4D039D}"/>
    <cellStyle name="표준 16" xfId="386" xr:uid="{9B877DA5-2965-461B-8F4A-89933E385698}"/>
    <cellStyle name="표준 17" xfId="472" xr:uid="{9001A1FB-B80D-4610-B0D2-8D957329AF7F}"/>
    <cellStyle name="표준 17 2" xfId="1179" xr:uid="{89CE9A59-1BCA-4DA6-BC33-38EA768FB2A6}"/>
    <cellStyle name="표준 18" xfId="1158" xr:uid="{42A7229B-CBD0-486C-81B9-4E0E167B0570}"/>
    <cellStyle name="표준 19" xfId="1180" xr:uid="{23252FA7-E7A8-4A4E-8AA5-A0B75B234988}"/>
    <cellStyle name="표준 2" xfId="6" xr:uid="{00000000-0005-0000-0000-000085000000}"/>
    <cellStyle name="표준 2 2" xfId="5" xr:uid="{00000000-0005-0000-0000-000086000000}"/>
    <cellStyle name="표준 2 2 10" xfId="438" xr:uid="{E436C7E4-5AED-4ED3-BE89-68022582E51D}"/>
    <cellStyle name="표준 2 2 11" xfId="409" xr:uid="{9EAC65FC-73E3-4AD0-AD7A-CA9B0A1447F4}"/>
    <cellStyle name="표준 2 2 2" xfId="37" xr:uid="{00000000-0005-0000-0000-000087000000}"/>
    <cellStyle name="표준 2 2 2 2" xfId="51" xr:uid="{00000000-0005-0000-0000-000088000000}"/>
    <cellStyle name="표준 2 2 2 2 2" xfId="186" xr:uid="{6A6CAD9D-1B40-48FD-90EF-11285C9025B1}"/>
    <cellStyle name="표준 2 2 2 2 2 2" xfId="187" xr:uid="{494C7436-5F39-4955-B7F3-DC9D01F0DFB6}"/>
    <cellStyle name="표준 2 2 2 2 2 2 2" xfId="188" xr:uid="{F02F4FE6-AE84-4642-AEB2-CF47A1029913}"/>
    <cellStyle name="표준 2 2 2 2 2 2 2 2" xfId="189" xr:uid="{79FD89B2-DE60-4DFD-9C73-47F9D785A997}"/>
    <cellStyle name="표준 2 2 2 2 2 2 2 2 2" xfId="571" xr:uid="{AFFBF819-D0D5-4079-AD26-FA38AE7EC480}"/>
    <cellStyle name="표준 2 2 2 2 2 2 3" xfId="202" xr:uid="{1E415209-F282-492B-835B-AD0DEFEA70A2}"/>
    <cellStyle name="표준 2 2 2 2 2 2 3 2" xfId="583" xr:uid="{17E44DF0-F33D-4583-B3C8-E282C07619F6}"/>
    <cellStyle name="표준 2 2 2 2 2 2 4" xfId="337" xr:uid="{18C0340C-2242-4589-A388-09F57D314EDB}"/>
    <cellStyle name="표준 2 2 2 2 2 2 4 2" xfId="903" xr:uid="{BE653C98-7F61-41B6-8DFD-B1859F1343E5}"/>
    <cellStyle name="표준 2 2 2 2 2 2 5" xfId="349" xr:uid="{10AA2D5D-2309-42A2-8DE5-39EDCDA384B1}"/>
    <cellStyle name="표준 2 2 2 2 2 2 5 2" xfId="916" xr:uid="{347B1107-2A65-428F-A75D-382903B48859}"/>
    <cellStyle name="표준 2 2 2 2 2 2 6" xfId="437" xr:uid="{2E835AD7-712A-4737-8000-DAC5AB46C9B1}"/>
    <cellStyle name="표준 2 2 2 2 2 2 7" xfId="570" xr:uid="{79F3C12E-3FBA-4FFC-93D4-3DD29236F371}"/>
    <cellStyle name="표준 2 2 2 2 2 3" xfId="416" xr:uid="{D2C50B88-177E-436E-8C64-29A4302DBC71}"/>
    <cellStyle name="표준 2 2 2 2 3" xfId="185" xr:uid="{440A77DF-83F1-4E8A-B4BD-C42AF28164FB}"/>
    <cellStyle name="표준 2 2 2 2 3 2" xfId="260" xr:uid="{4723DE82-6F6C-4F4C-9975-D5347E25C4AC}"/>
    <cellStyle name="표준 2 2 2 2 3 2 2" xfId="637" xr:uid="{3375915C-F404-48D1-AF62-37C9D1FDD444}"/>
    <cellStyle name="표준 2 2 2 2 3 3" xfId="568" xr:uid="{1CA8636B-B281-42E2-BF8B-0ECDEB8A58B1}"/>
    <cellStyle name="표준 2 2 2 2 4" xfId="200" xr:uid="{CF7ED1C1-C832-4979-9294-F8B7EEC2A12B}"/>
    <cellStyle name="표준 2 2 2 2 4 2" xfId="581" xr:uid="{31E963CF-9917-49E2-AC6F-0F93A36C1C07}"/>
    <cellStyle name="표준 2 2 2 2 5" xfId="336" xr:uid="{EB3041F2-6E0D-40ED-A55D-DBDE2A57A385}"/>
    <cellStyle name="표준 2 2 2 2 5 2" xfId="902" xr:uid="{5FF0D710-1932-416B-87AE-4E320549C93B}"/>
    <cellStyle name="표준 2 2 2 2 6" xfId="348" xr:uid="{E8AE1568-5FD0-487F-AB9D-18B7853C43D3}"/>
    <cellStyle name="표준 2 2 2 2 6 2" xfId="915" xr:uid="{A89EF167-7A1D-4F67-B875-03650D948B93}"/>
    <cellStyle name="표준 2 2 2 2 7" xfId="430" xr:uid="{F742A895-8000-4B64-B6D3-D633D7F72B02}"/>
    <cellStyle name="표준 2 2 2 3" xfId="184" xr:uid="{5F11DB1B-DEE6-4E9D-8770-02A3B232A7F2}"/>
    <cellStyle name="표준 2 2 2 3 2" xfId="259" xr:uid="{5D07BC50-5992-4462-A50F-2B836146C5F2}"/>
    <cellStyle name="표준 2 2 2 3 2 2" xfId="799" xr:uid="{89917509-E282-4B56-AB5F-EF4CDA63C58F}"/>
    <cellStyle name="표준 2 2 2 3 2 3" xfId="636" xr:uid="{A1DB7C33-ADAC-4B43-8177-60C41556CDA0}"/>
    <cellStyle name="표준 2 2 2 3 3" xfId="567" xr:uid="{1860498E-BD9F-41F6-9839-32119961471B}"/>
    <cellStyle name="표준 2 2 2 4" xfId="199" xr:uid="{9C00CACB-30DD-46FF-B270-300745ECADFA}"/>
    <cellStyle name="표준 2 2 2 4 2" xfId="942" xr:uid="{95335909-B67B-4224-AB42-F43DD540C82B}"/>
    <cellStyle name="표준 2 2 2 4 3" xfId="580" xr:uid="{F8B53C1B-A9AD-45ED-BD03-979949547FB5}"/>
    <cellStyle name="표준 2 2 2 5" xfId="335" xr:uid="{30D5CD69-03AF-4387-8F66-1F37A20CF31D}"/>
    <cellStyle name="표준 2 2 2 5 2" xfId="901" xr:uid="{943CC681-DCB9-4739-B9B6-50A5929FDDA2}"/>
    <cellStyle name="표준 2 2 2 6" xfId="347" xr:uid="{92A641DE-5A47-4F60-B9EE-CD9D24EAE1CD}"/>
    <cellStyle name="표준 2 2 2 6 2" xfId="914" xr:uid="{A9000B52-D4AE-4115-A9AB-E9428A45BAB5}"/>
    <cellStyle name="표준 2 2 2 7" xfId="419" xr:uid="{92D2586F-35CC-40B7-8C19-0AFCA5A0A023}"/>
    <cellStyle name="표준 2 2 3" xfId="45" xr:uid="{00000000-0005-0000-0000-000089000000}"/>
    <cellStyle name="표준 2 2 3 2" xfId="953" xr:uid="{C39F37F6-4FE2-4778-BFE8-F293B82F5994}"/>
    <cellStyle name="표준 2 2 3 3" xfId="947" xr:uid="{B2B565E9-33F1-4738-AE68-161485D251F3}"/>
    <cellStyle name="표준 2 2 4" xfId="125" xr:uid="{00000000-0005-0000-0000-00008A000000}"/>
    <cellStyle name="표준 2 2 4 2" xfId="303" xr:uid="{036D7CCD-2892-441C-A4FD-83EC98E7831E}"/>
    <cellStyle name="표준 2 2 4 2 2" xfId="868" xr:uid="{053C2BB2-2882-4071-8585-DFBE7C8F76BD}"/>
    <cellStyle name="표준 2 2 4 2 3" xfId="676" xr:uid="{B5BAD7D0-4624-472F-87B5-0216FA1432B5}"/>
    <cellStyle name="표준 2 2 4 3" xfId="236" xr:uid="{CE20C247-2146-4F7D-A316-40259A944F1F}"/>
    <cellStyle name="표준 2 2 4 3 2" xfId="613" xr:uid="{C590106D-EF92-4F4E-94EA-7FC71CBE5983}"/>
    <cellStyle name="표준 2 2 4 4" xfId="1095" xr:uid="{4EE8E57E-9CB9-489E-BF5C-99C008539B57}"/>
    <cellStyle name="표준 2 2 4 5" xfId="537" xr:uid="{09B4850E-A5E2-41BB-9628-7081A6EE4F39}"/>
    <cellStyle name="표준 2 2 5" xfId="167" xr:uid="{00000000-0005-0000-0000-00008B000000}"/>
    <cellStyle name="표준 2 2 5 2" xfId="280" xr:uid="{4E053771-493A-405B-BC0C-481A883E72F6}"/>
    <cellStyle name="표준 2 2 5 3" xfId="253" xr:uid="{B7441E7B-39CA-48D2-9018-7FAA7905F8D9}"/>
    <cellStyle name="표준 2 2 5 3 2" xfId="630" xr:uid="{81A0A728-6C0E-4A8B-96E3-E0EBB053DEC1}"/>
    <cellStyle name="표준 2 2 6" xfId="177" xr:uid="{13F62A9D-7512-414D-BBE6-B9B8F3737773}"/>
    <cellStyle name="표준 2 2 6 2" xfId="270" xr:uid="{EBE8BEC2-AC78-4CA5-9792-9495A3DB0555}"/>
    <cellStyle name="표준 2 2 6 2 2" xfId="647" xr:uid="{F2C88C5E-2EAE-4D42-AF9E-C16A547BF1F3}"/>
    <cellStyle name="표준 2 2 6 3" xfId="562" xr:uid="{93E64AF7-AA50-4D8D-A8AA-896168B91EAE}"/>
    <cellStyle name="표준 2 2 7" xfId="194" xr:uid="{3FF02C24-990A-4953-914A-497C6C22D243}"/>
    <cellStyle name="표준 2 2 7 2" xfId="575" xr:uid="{2547EEFF-4712-4390-A2D4-2BB2A9EF81A2}"/>
    <cellStyle name="표준 2 2 8" xfId="330" xr:uid="{7873440E-F061-465E-8A24-64C8065DD230}"/>
    <cellStyle name="표준 2 2 8 2" xfId="909" xr:uid="{C8E0FD16-B1E8-4916-8F74-76962485B8C4}"/>
    <cellStyle name="표준 2 2 9" xfId="342" xr:uid="{6A0936A9-EF3D-494B-B760-D55729A503C8}"/>
    <cellStyle name="표준 2 22" xfId="181" xr:uid="{E7105750-7AF9-411F-A82F-DC0FBD9FEEAD}"/>
    <cellStyle name="표준 2 22 2" xfId="429" xr:uid="{18F416DD-450E-4C80-8BC2-EE99E2C06A1D}"/>
    <cellStyle name="표준 2 3" xfId="42" xr:uid="{00000000-0005-0000-0000-00008C000000}"/>
    <cellStyle name="표준 2 3 2" xfId="154" xr:uid="{00000000-0005-0000-0000-00008D000000}"/>
    <cellStyle name="표준 2 3 2 2" xfId="983" xr:uid="{DA1A7D82-9325-4695-B5D3-D71E31A072E3}"/>
    <cellStyle name="표준 2 3 2 3" xfId="929" xr:uid="{CCBF9E8C-4E4B-4A30-BD8F-0C14FE053A94}"/>
    <cellStyle name="표준 2 3 3" xfId="801" xr:uid="{11C8695D-D2B9-411D-BEBE-A0FED64B9434}"/>
    <cellStyle name="표준 2 3 4" xfId="1024" xr:uid="{20957B67-3062-4BBA-948D-2BDEEA53CF04}"/>
    <cellStyle name="표준 2 3 5" xfId="926" xr:uid="{60546A65-152B-445B-9D3E-2E35B45B4FEB}"/>
    <cellStyle name="표준 2 4" xfId="52" xr:uid="{00000000-0005-0000-0000-00008E000000}"/>
    <cellStyle name="표준 2 4 2" xfId="164" xr:uid="{00000000-0005-0000-0000-00008F000000}"/>
    <cellStyle name="표준 2 4 3" xfId="806" xr:uid="{2F54C1A4-627A-4E85-B7FF-EA29FCCCA1C6}"/>
    <cellStyle name="표준 2 5" xfId="116" xr:uid="{00000000-0005-0000-0000-000090000000}"/>
    <cellStyle name="표준 2 6" xfId="147" xr:uid="{00000000-0005-0000-0000-000091000000}"/>
    <cellStyle name="표준 2 7" xfId="180" xr:uid="{F5480B68-B466-4D2D-9273-B4C9104C7653}"/>
    <cellStyle name="표준 2 7 2" xfId="279" xr:uid="{EC3AB9BD-97AF-44A9-A4B1-018E63B72938}"/>
    <cellStyle name="표준 2 8" xfId="431" xr:uid="{BF8B5637-4804-45CC-A379-0F2B3E8A88F3}"/>
    <cellStyle name="표준 20" xfId="1182" xr:uid="{DA3B6E55-C0EE-48FC-B2D1-8383FCD66139}"/>
    <cellStyle name="표준 21" xfId="1204" xr:uid="{61E1C1C2-E27A-4B81-8CC8-C32FECF89C26}"/>
    <cellStyle name="표준 22" xfId="1208" xr:uid="{42F46A0A-FC4D-444F-8E7A-7D272FFC33C4}"/>
    <cellStyle name="표준 3" xfId="11" xr:uid="{00000000-0005-0000-0000-000092000000}"/>
    <cellStyle name="표준 3 10" xfId="475" xr:uid="{6E15AA3F-A36B-4CD1-93FA-A599523CC5AC}"/>
    <cellStyle name="표준 3 2" xfId="43" xr:uid="{00000000-0005-0000-0000-000093000000}"/>
    <cellStyle name="표준 3 2 2" xfId="152" xr:uid="{00000000-0005-0000-0000-000094000000}"/>
    <cellStyle name="표준 3 2 2 2" xfId="190" xr:uid="{7AFD9C85-AB17-444F-84E0-63F8A3FB4566}"/>
    <cellStyle name="표준 3 2 2 2 2" xfId="981" xr:uid="{6809DE01-256E-4334-9037-B84DF58FDBDD}"/>
    <cellStyle name="표준 3 2 2 3" xfId="930" xr:uid="{9041BB10-F607-4590-997B-621591A720E9}"/>
    <cellStyle name="표준 3 2 3" xfId="217" xr:uid="{E56AE3C6-A1A0-4D67-96D0-6683A0D329C0}"/>
    <cellStyle name="표준 3 2 4" xfId="208" xr:uid="{859EB091-E170-4145-ADF1-421E5B0E5037}"/>
    <cellStyle name="표준 3 2 4 2" xfId="1022" xr:uid="{41D6AE8A-5612-4B50-9D0F-82C233E2848B}"/>
    <cellStyle name="표준 3 2 5" xfId="928" xr:uid="{299D8035-926A-491C-A627-DAEA1F32F244}"/>
    <cellStyle name="표준 3 3" xfId="49" xr:uid="{00000000-0005-0000-0000-000095000000}"/>
    <cellStyle name="표준 3 3 2" xfId="165" xr:uid="{00000000-0005-0000-0000-000096000000}"/>
    <cellStyle name="표준 3 3 3" xfId="804" xr:uid="{04E153A5-3A0F-483C-B495-A557EE0823B4}"/>
    <cellStyle name="표준 3 4" xfId="98" xr:uid="{00000000-0005-0000-0000-000097000000}"/>
    <cellStyle name="표준 3 5" xfId="114" xr:uid="{00000000-0005-0000-0000-000098000000}"/>
    <cellStyle name="표준 3 5 2" xfId="298" xr:uid="{5C37C061-0BCB-4B88-91BC-036C34DD7C50}"/>
    <cellStyle name="표준 3 5 2 2" xfId="863" xr:uid="{D40439CE-1F19-47FC-A211-D65B087CD1C6}"/>
    <cellStyle name="표준 3 5 2 3" xfId="671" xr:uid="{6A3D6658-53B9-4169-8308-8440B8DB7FBA}"/>
    <cellStyle name="표준 3 5 3" xfId="230" xr:uid="{D7921270-D2C3-4FB2-B92A-F4A20862F28D}"/>
    <cellStyle name="표준 3 5 3 2" xfId="607" xr:uid="{16F3D6F8-E9B8-4810-9CC6-1097DB9E9F14}"/>
    <cellStyle name="표준 3 5 4" xfId="1090" xr:uid="{25362B22-709A-4642-A986-B40F77042B9D}"/>
    <cellStyle name="표준 3 5 5" xfId="531" xr:uid="{E077D02C-8FC6-4B1E-AB2C-59792C03A666}"/>
    <cellStyle name="표준 3 6" xfId="146" xr:uid="{00000000-0005-0000-0000-000099000000}"/>
    <cellStyle name="표준 3 7" xfId="212" xr:uid="{3DDED4CF-9FB1-40CE-84CD-DD519C1726B5}"/>
    <cellStyle name="표준 3 8" xfId="265" xr:uid="{2A80BF9D-25CB-4D69-89A3-68DF839A39FF}"/>
    <cellStyle name="표준 3 8 2" xfId="837" xr:uid="{DCA0E1A2-D2A4-44C6-9D8B-36B915FD7BF0}"/>
    <cellStyle name="표준 3 8 3" xfId="642" xr:uid="{568E64B2-FF71-423D-B8E9-A4F77A4BF224}"/>
    <cellStyle name="표준 3 9" xfId="484" xr:uid="{6CFE071F-B67A-40DE-9512-FACB7BE629EC}"/>
    <cellStyle name="표준 4" xfId="14" xr:uid="{00000000-0005-0000-0000-00009A000000}"/>
    <cellStyle name="표준 4 2" xfId="148" xr:uid="{00000000-0005-0000-0000-00009B000000}"/>
    <cellStyle name="표준 4 2 2" xfId="440" xr:uid="{43C15A0A-2FD4-4F1A-8AD8-3E377A032A9C}"/>
    <cellStyle name="표준 4 2 2 2" xfId="978" xr:uid="{3C31FA18-729E-4532-B83C-794C09072F36}"/>
    <cellStyle name="표준 4 2 3" xfId="948" xr:uid="{D7BA9DE0-D7B4-4916-855D-D9439EA0911A}"/>
    <cellStyle name="표준 4 2 4" xfId="934" xr:uid="{C3680219-04FA-4ABE-83B8-8FE959DB1551}"/>
    <cellStyle name="표준 4 3" xfId="35" xr:uid="{00000000-0005-0000-0000-00009C000000}"/>
    <cellStyle name="표준 4 3 2" xfId="319" xr:uid="{317025B1-454C-46C0-85E2-8082985814A7}"/>
    <cellStyle name="표준 4 3 3" xfId="797" xr:uid="{F2FD25A1-7DA5-4834-B2C6-DDE9D7DAD9B9}"/>
    <cellStyle name="표준 4 4" xfId="941" xr:uid="{A0D60817-3222-48C3-86AE-9DA94CFC0212}"/>
    <cellStyle name="표준 5" xfId="12" xr:uid="{00000000-0005-0000-0000-00009D000000}"/>
    <cellStyle name="표준 5 2" xfId="124" xr:uid="{00000000-0005-0000-0000-00009E000000}"/>
    <cellStyle name="표준 5 3" xfId="157" xr:uid="{00000000-0005-0000-0000-00009F000000}"/>
    <cellStyle name="표준 5 4" xfId="44" xr:uid="{00000000-0005-0000-0000-0000A0000000}"/>
    <cellStyle name="표준 5 5" xfId="425" xr:uid="{BB38FA05-F5BF-4222-944F-46155BB50D38}"/>
    <cellStyle name="표준 5 5 2" xfId="945" xr:uid="{E523CA36-2B9C-4A36-AD01-C52C35B3795B}"/>
    <cellStyle name="표준 5 6" xfId="486" xr:uid="{B5E48A69-4CA3-4AE1-9BB6-4A815B0484E4}"/>
    <cellStyle name="표준 6" xfId="23" xr:uid="{00000000-0005-0000-0000-0000A1000000}"/>
    <cellStyle name="표준 6 2" xfId="128" xr:uid="{00000000-0005-0000-0000-0000A2000000}"/>
    <cellStyle name="표준 6 2 2" xfId="305" xr:uid="{99C7CCBB-7509-4932-BA3D-51F7A9056C35}"/>
    <cellStyle name="표준 6 2 2 2" xfId="870" xr:uid="{B87C1A8B-927A-41C2-A544-AA08314E2707}"/>
    <cellStyle name="표준 6 2 2 3" xfId="678" xr:uid="{FCBC5423-3C06-4C36-A77A-A63B62027621}"/>
    <cellStyle name="표준 6 2 3" xfId="238" xr:uid="{A3B4B5C7-2FA0-4AB3-BEC1-4A1F30741F95}"/>
    <cellStyle name="표준 6 2 3 2" xfId="615" xr:uid="{E851CF4F-A60E-4958-A04C-F4EDB3564712}"/>
    <cellStyle name="표준 6 2 4" xfId="1097" xr:uid="{9D857775-26DF-4635-B0FF-24665C206F12}"/>
    <cellStyle name="표준 6 2 5" xfId="539" xr:uid="{E23327EE-DD97-4E9A-9FCF-78BBA4FBD5D3}"/>
    <cellStyle name="표준 6 3" xfId="161" xr:uid="{00000000-0005-0000-0000-0000A3000000}"/>
    <cellStyle name="표준 6 4" xfId="100" xr:uid="{00000000-0005-0000-0000-0000A4000000}"/>
    <cellStyle name="표준 6 5" xfId="272" xr:uid="{804A7EF8-AD1C-4DE5-9907-900B77E56CA3}"/>
    <cellStyle name="표준 6 5 2" xfId="844" xr:uid="{307ECC89-E75B-4EC5-812C-5C82FBEF1D55}"/>
    <cellStyle name="표준 6 5 3" xfId="649" xr:uid="{D8D09053-C0AE-46A9-ACD1-5DCCB4FA1281}"/>
    <cellStyle name="표준 6 6" xfId="494" xr:uid="{C57F2944-296C-42B8-A171-12362F7E085E}"/>
    <cellStyle name="표준 7" xfId="28" xr:uid="{00000000-0005-0000-0000-0000A5000000}"/>
    <cellStyle name="표준 7 2" xfId="105" xr:uid="{00000000-0005-0000-0000-0000A6000000}"/>
    <cellStyle name="표준 7 3" xfId="441" xr:uid="{7F5ACEB2-56EF-4E11-82A3-A5F0F3BA2CB8}"/>
    <cellStyle name="표준 7 4" xfId="499" xr:uid="{630093FF-B828-423B-A0EF-E6E6227ACDAC}"/>
    <cellStyle name="표준 8" xfId="108" xr:uid="{00000000-0005-0000-0000-0000A7000000}"/>
    <cellStyle name="표준 8 2" xfId="295" xr:uid="{8D8C9CD3-481A-4FF6-B999-8043645E1986}"/>
    <cellStyle name="표준 8 2 2" xfId="861" xr:uid="{584623F7-E363-4E52-97B3-70FB502CC9ED}"/>
    <cellStyle name="표준 8 2 3" xfId="668" xr:uid="{4EEE733D-9A3F-4C8D-9FD4-5F8B48157249}"/>
    <cellStyle name="표준 8 3" xfId="227" xr:uid="{C9F343A0-8D3C-4F7E-9C22-CDA8CA00D4CD}"/>
    <cellStyle name="표준 8 3 2" xfId="604" xr:uid="{55FCC62E-2029-48C8-8324-4095DBC5FEFA}"/>
    <cellStyle name="표준 8 4" xfId="1087" xr:uid="{F82D985A-CB43-45A9-B825-C2E976EE58C0}"/>
    <cellStyle name="표준 8 5" xfId="528" xr:uid="{566996B0-5B0D-4323-B116-779557651689}"/>
    <cellStyle name="표준 9" xfId="169" xr:uid="{8C5982CC-BA32-4057-8FA2-A529A6799409}"/>
    <cellStyle name="표준 9 2" xfId="276" xr:uid="{C7A0C6A7-467E-4E8B-B465-C5F1596F5415}"/>
    <cellStyle name="표준 9 3" xfId="251" xr:uid="{CECE6859-3746-4C94-9FD9-A8D584F4C309}"/>
    <cellStyle name="표준 9 3 2" xfId="628" xr:uid="{CD1346FF-AB02-4567-8198-97BE3AE568B9}"/>
    <cellStyle name="표준 9 4" xfId="555" xr:uid="{1BFE9ADF-B693-4DD0-8CBA-3A6726DA7779}"/>
    <cellStyle name="하이퍼링크" xfId="2" builtinId="8"/>
    <cellStyle name="하이퍼링크 2" xfId="118" xr:uid="{00000000-0005-0000-0000-0000A9000000}"/>
    <cellStyle name="하이퍼링크 2 2" xfId="325" xr:uid="{1CAC3223-F4AE-40B9-A1BB-6435F94B2697}"/>
    <cellStyle name="하이퍼링크 2 2 2" xfId="888" xr:uid="{622FB806-4710-46A8-93B3-B3186350B837}"/>
    <cellStyle name="하이퍼링크 2 2 3" xfId="817" xr:uid="{016A298F-2F54-4B4B-82D3-7BA591B10DEC}"/>
    <cellStyle name="하이퍼링크 2 3" xfId="1072" xr:uid="{E3A085C7-FE2B-4173-8747-F6104A9095FA}"/>
    <cellStyle name="하이퍼링크 3" xfId="112" xr:uid="{00000000-0005-0000-0000-0000AA000000}"/>
    <cellStyle name="하이퍼링크 4" xfId="160" xr:uid="{00000000-0005-0000-0000-0000AB000000}"/>
    <cellStyle name="하이퍼링크 5" xfId="278" xr:uid="{A9FF3AC7-88AA-42F2-BE1F-8162C382F14A}"/>
    <cellStyle name="하이퍼링크 6" xfId="478" xr:uid="{8CB0B845-CEA4-477D-BFDA-2E8D79C8E437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ill>
        <patternFill>
          <bgColor rgb="FFDDDDDD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color theme="1"/>
      </font>
      <fill>
        <patternFill>
          <bgColor rgb="FFEAEAEA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ill>
        <patternFill>
          <bgColor rgb="FFEAEAEA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fill>
        <patternFill>
          <bgColor theme="0" tint="-9.9948118533890809E-2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  <horizontal style="hair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9" defaultTableStyle="TableStyleMedium2" defaultPivotStyle="PivotStyleLight16">
    <tableStyle name="Normal Style 1 - Accent 1" pivot="0" count="7" xr9:uid="{00000000-0011-0000-FFFF-FFFF00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Light Style 1 - Accent 1" table="0" count="7" xr9:uid="{00000000-0011-0000-FFFF-FFFF01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Invisible" pivot="0" table="0" count="0" xr9:uid="{00000000-0011-0000-FFFF-FFFF02000000}"/>
    <tableStyle name="표 스타일 1" pivot="0" count="3" xr9:uid="{00000000-0011-0000-FFFF-FFFF03000000}">
      <tableStyleElement type="wholeTable" dxfId="22"/>
      <tableStyleElement type="headerRow" dxfId="21"/>
      <tableStyleElement type="firstRowStripe" dxfId="20"/>
    </tableStyle>
    <tableStyle name="표 스타일 2" pivot="0" count="1" xr9:uid="{00000000-0011-0000-FFFF-FFFF04000000}">
      <tableStyleElement type="wholeTable" dxfId="19"/>
    </tableStyle>
    <tableStyle name="피벗 테이블 스타일 1" table="0" count="4" xr9:uid="{00000000-0011-0000-FFFF-FFFF05000000}">
      <tableStyleElement type="wholeTable" dxfId="18"/>
      <tableStyleElement type="headerRow" dxfId="17"/>
      <tableStyleElement type="pageFieldLabels" dxfId="16"/>
      <tableStyleElement type="pageFieldValues" dxfId="15"/>
    </tableStyle>
    <tableStyle name="피벗 테이블 스타일 1 2" table="0" count="4" xr9:uid="{00000000-0011-0000-FFFF-FFFF06000000}">
      <tableStyleElement type="wholeTable" dxfId="14"/>
      <tableStyleElement type="headerRow" dxfId="13"/>
      <tableStyleElement type="pageFieldLabels" dxfId="12"/>
      <tableStyleElement type="pageFieldValues" dxfId="11"/>
    </tableStyle>
    <tableStyle name="피벗 테이블 스타일 2" table="0" count="3" xr9:uid="{15C0990A-4910-46F5-842C-7D60E5B02ACC}">
      <tableStyleElement type="wholeTable" dxfId="10"/>
      <tableStyleElement type="pageFieldLabels" dxfId="9"/>
      <tableStyleElement type="pageFieldValues" dxfId="8"/>
    </tableStyle>
    <tableStyle name="피벗 테이블 스타일 3" table="0" count="4" xr9:uid="{7E929945-F772-4422-A6E8-93FA72364098}">
      <tableStyleElement type="wholeTable" dxfId="7"/>
      <tableStyleElement type="headerRow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D66E3BC8-D096-412C-A31D-43EE80E52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B25D381D-7BD6-4C7E-B6FC-9ABB6C139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97D005D1-0329-4785-9E23-B5AAB2E0F8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884795" y="5977890"/>
          <a:ext cx="681990" cy="731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20EC7902-ECD7-470F-BA1E-3C613C79F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CAC01F4C-8244-45A9-9CFD-D49C63DAAB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20</xdr:row>
      <xdr:rowOff>148590</xdr:rowOff>
    </xdr:from>
    <xdr:to>
      <xdr:col>11</xdr:col>
      <xdr:colOff>518160</xdr:colOff>
      <xdr:row>24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45368E7C-D150-465B-8FDC-323F0FEF54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03845" y="4358640"/>
          <a:ext cx="681990" cy="731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A731AB7B-8687-4F84-995B-40C43CB822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A5DA1C0C-2444-48DE-B4BC-573E24741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C657ECE7-A22C-441F-AF1E-88A8272AF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990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BE2F260C-652D-4E96-829B-3730EE6100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B83CF909-FCF0-4EB0-B363-CD99C1C57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19</xdr:row>
      <xdr:rowOff>148590</xdr:rowOff>
    </xdr:from>
    <xdr:to>
      <xdr:col>11</xdr:col>
      <xdr:colOff>518160</xdr:colOff>
      <xdr:row>23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5F22E4CE-589D-4BAE-98FB-153D45018D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03845" y="4358640"/>
          <a:ext cx="681990" cy="731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34D6A2E5-8473-4B3C-B75F-20E23EC751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0E40E531-6734-4AEF-91A7-7FA89D4CF0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959E6546-3C60-4163-B4E7-E733BC127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990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C433BBEA-531A-4D15-875C-0BE1A25C92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01A9DE31-52A4-4F70-BFBE-8C4863961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A836D366-632A-46DB-BD40-F97C8E490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2276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1B20A899-6117-436C-87C0-796DFC3D6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78EDBC65-B0E0-4ADE-9990-5242D32713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30</xdr:row>
      <xdr:rowOff>148590</xdr:rowOff>
    </xdr:from>
    <xdr:to>
      <xdr:col>11</xdr:col>
      <xdr:colOff>518160</xdr:colOff>
      <xdr:row>34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5C3A82D1-7EED-4B98-B4D9-90CE06A5D3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113395" y="5196840"/>
          <a:ext cx="681990" cy="7315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1DA91020-CA71-4D41-9DC4-22ADE63C1D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28240D7E-4559-4E12-BD8B-C0E32E5DE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21</xdr:row>
      <xdr:rowOff>91440</xdr:rowOff>
    </xdr:from>
    <xdr:to>
      <xdr:col>11</xdr:col>
      <xdr:colOff>613410</xdr:colOff>
      <xdr:row>24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4B6B0DA9-0874-447D-9AA0-A08C1D9C1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2276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0C2B8C5A-0784-4EFB-97A4-971DC8028E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0761EA26-9B85-48EC-A3B2-9F21207758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23</xdr:row>
      <xdr:rowOff>148590</xdr:rowOff>
    </xdr:from>
    <xdr:to>
      <xdr:col>11</xdr:col>
      <xdr:colOff>518160</xdr:colOff>
      <xdr:row>27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7DAA4945-16F8-4E9B-9732-1667B56ABB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8218170" y="6454140"/>
          <a:ext cx="681990" cy="7315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57500304-DE42-4756-AD69-2360AC9D87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F95D7AA1-3A50-47A4-A718-7AD4C19C5E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638175</xdr:colOff>
      <xdr:row>21</xdr:row>
      <xdr:rowOff>171450</xdr:rowOff>
    </xdr:from>
    <xdr:to>
      <xdr:col>11</xdr:col>
      <xdr:colOff>632783</xdr:colOff>
      <xdr:row>24</xdr:row>
      <xdr:rowOff>200024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30F3911-1995-F3EC-E40C-A6CC89A63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4591050"/>
          <a:ext cx="661358" cy="65722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48D12520-0635-48E1-B800-BF7E6F561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9F0EEBBA-6679-460C-AB30-ACDD0543D5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23</xdr:row>
      <xdr:rowOff>152400</xdr:rowOff>
    </xdr:from>
    <xdr:to>
      <xdr:col>11</xdr:col>
      <xdr:colOff>518483</xdr:colOff>
      <xdr:row>26</xdr:row>
      <xdr:rowOff>180974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65E4E74-698C-4C90-A1BC-3546387E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4991100"/>
          <a:ext cx="661358" cy="6572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C754ABFE-8679-4EAF-AD13-487527F6A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599B508A-E341-434C-8AE1-AB5EBCD00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638175</xdr:colOff>
      <xdr:row>21</xdr:row>
      <xdr:rowOff>171450</xdr:rowOff>
    </xdr:from>
    <xdr:to>
      <xdr:col>11</xdr:col>
      <xdr:colOff>632783</xdr:colOff>
      <xdr:row>24</xdr:row>
      <xdr:rowOff>200024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80DD2F7-8510-406B-849B-310C1D99D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4591050"/>
          <a:ext cx="661358" cy="65722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2C5259B3-FB47-426E-BB3C-D2B86D228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87BD2E0C-8F12-4A95-BAB3-9F972BFD5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23</xdr:row>
      <xdr:rowOff>152400</xdr:rowOff>
    </xdr:from>
    <xdr:to>
      <xdr:col>11</xdr:col>
      <xdr:colOff>518483</xdr:colOff>
      <xdr:row>26</xdr:row>
      <xdr:rowOff>180974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D109BDA-8A9C-4762-9D80-71B27984D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4991100"/>
          <a:ext cx="661358" cy="65722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1E735BD1-CCBD-41FC-827D-2BBD094DCD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395294BF-64A6-49D9-96C0-5A31BE3EA5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638175</xdr:colOff>
      <xdr:row>21</xdr:row>
      <xdr:rowOff>171450</xdr:rowOff>
    </xdr:from>
    <xdr:to>
      <xdr:col>11</xdr:col>
      <xdr:colOff>632783</xdr:colOff>
      <xdr:row>24</xdr:row>
      <xdr:rowOff>200024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281E13E-1001-430F-864C-9AB6A48DA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4591050"/>
          <a:ext cx="661358" cy="65722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id="{5B96642F-5B9C-4EB4-8946-08F52712A4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137160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id="{05818F11-2209-40BA-9729-808F5827BE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23</xdr:row>
      <xdr:rowOff>152400</xdr:rowOff>
    </xdr:from>
    <xdr:to>
      <xdr:col>11</xdr:col>
      <xdr:colOff>518483</xdr:colOff>
      <xdr:row>26</xdr:row>
      <xdr:rowOff>180974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5AE23B6-D0FB-4335-9861-07B041A3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4991100"/>
          <a:ext cx="661358" cy="657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E4A7-FF47-4A81-9478-2A660B6330F9}">
  <dimension ref="A2:M21"/>
  <sheetViews>
    <sheetView zoomScaleNormal="100" zoomScaleSheetLayoutView="75" workbookViewId="0">
      <selection activeCell="L8" sqref="L8"/>
    </sheetView>
  </sheetViews>
  <sheetFormatPr defaultColWidth="8.75" defaultRowHeight="16.5"/>
  <cols>
    <col min="3" max="3" width="11.625" customWidth="1"/>
    <col min="4" max="4" width="10.25" bestFit="1" customWidth="1"/>
    <col min="5" max="5" width="9.875" customWidth="1"/>
    <col min="6" max="6" width="10.75" bestFit="1" customWidth="1"/>
    <col min="7" max="7" width="10.875" bestFit="1" customWidth="1"/>
  </cols>
  <sheetData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2"/>
      <c r="B3" s="2"/>
      <c r="C3" s="190" t="s">
        <v>22</v>
      </c>
      <c r="D3" s="190"/>
      <c r="E3" s="190"/>
      <c r="F3" s="190"/>
      <c r="G3" s="190"/>
      <c r="H3" s="190"/>
      <c r="I3" s="190"/>
      <c r="J3" s="190"/>
      <c r="K3" s="190"/>
      <c r="L3" s="190"/>
    </row>
    <row r="4" spans="1:13" ht="17.25" thickBot="1">
      <c r="A4" s="2"/>
      <c r="B4" s="3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3" ht="17.25" thickTop="1">
      <c r="A5" s="2"/>
      <c r="B5" s="2"/>
      <c r="C5" s="2"/>
      <c r="D5" s="2"/>
      <c r="E5" s="2"/>
      <c r="F5" s="2"/>
      <c r="G5" s="2"/>
      <c r="H5" s="2"/>
      <c r="I5" s="4"/>
      <c r="J5" s="5"/>
      <c r="K5" s="6"/>
      <c r="L5" s="7" t="s">
        <v>60</v>
      </c>
    </row>
    <row r="6" spans="1:13">
      <c r="A6" s="2"/>
      <c r="B6" s="2"/>
      <c r="C6" s="2"/>
      <c r="D6" s="2"/>
      <c r="E6" s="2"/>
      <c r="F6" s="2"/>
      <c r="G6" s="2"/>
      <c r="H6" s="2"/>
      <c r="I6" s="4"/>
      <c r="J6" s="5"/>
      <c r="K6" s="6"/>
      <c r="L6" s="7"/>
    </row>
    <row r="7" spans="1:13">
      <c r="A7" s="8"/>
      <c r="B7" s="8"/>
      <c r="C7" s="9" t="s">
        <v>23</v>
      </c>
      <c r="D7" s="192" t="s">
        <v>21</v>
      </c>
      <c r="E7" s="192"/>
      <c r="F7" s="192"/>
      <c r="G7" s="192"/>
      <c r="H7" s="9" t="s">
        <v>25</v>
      </c>
      <c r="I7" s="192" t="s">
        <v>61</v>
      </c>
      <c r="J7" s="192"/>
      <c r="K7" s="192"/>
      <c r="L7" s="10"/>
      <c r="M7" s="11"/>
    </row>
    <row r="8" spans="1:13">
      <c r="A8" s="12"/>
      <c r="B8" s="12"/>
      <c r="C8" s="9" t="s">
        <v>4</v>
      </c>
      <c r="D8" s="192" t="s">
        <v>62</v>
      </c>
      <c r="E8" s="192"/>
      <c r="F8" s="192"/>
      <c r="G8" s="192"/>
      <c r="H8" s="9" t="s">
        <v>28</v>
      </c>
      <c r="I8" s="193" t="s">
        <v>64</v>
      </c>
      <c r="J8" s="193"/>
      <c r="K8" s="193"/>
      <c r="L8" s="12"/>
      <c r="M8" s="11"/>
    </row>
    <row r="9" spans="1:13">
      <c r="A9" s="12"/>
      <c r="B9" s="13"/>
      <c r="C9" s="14"/>
      <c r="D9" s="15"/>
      <c r="E9" s="15"/>
      <c r="F9" s="15"/>
      <c r="G9" s="15"/>
      <c r="H9" s="14"/>
      <c r="I9" s="16"/>
      <c r="J9" s="16"/>
      <c r="K9" s="16"/>
      <c r="L9" s="16"/>
      <c r="M9" s="11"/>
    </row>
    <row r="10" spans="1:13">
      <c r="A10" s="17"/>
      <c r="B10" s="18"/>
      <c r="L10" s="17"/>
    </row>
    <row r="11" spans="1:13">
      <c r="C11" s="19" t="s">
        <v>7</v>
      </c>
      <c r="G11" s="20"/>
      <c r="H11" s="20"/>
    </row>
    <row r="12" spans="1:13">
      <c r="C12" s="189" t="s">
        <v>27</v>
      </c>
      <c r="D12" s="189"/>
      <c r="E12" s="189"/>
      <c r="F12" s="189"/>
      <c r="G12" s="189"/>
      <c r="H12" s="189"/>
      <c r="I12" s="189"/>
      <c r="J12" s="189"/>
      <c r="K12" s="189"/>
    </row>
    <row r="13" spans="1:13">
      <c r="C13" s="36" t="s">
        <v>1</v>
      </c>
      <c r="D13" s="194" t="s">
        <v>5</v>
      </c>
      <c r="E13" s="195"/>
      <c r="F13" s="36" t="s">
        <v>12</v>
      </c>
      <c r="G13" s="36" t="s">
        <v>10</v>
      </c>
      <c r="H13" s="196" t="s">
        <v>26</v>
      </c>
      <c r="I13" s="197"/>
      <c r="J13" s="198" t="s">
        <v>6</v>
      </c>
      <c r="K13" s="198"/>
    </row>
    <row r="14" spans="1:13">
      <c r="C14" s="37" t="s">
        <v>63</v>
      </c>
      <c r="D14" s="199">
        <v>9806940</v>
      </c>
      <c r="E14" s="199"/>
      <c r="F14" s="1">
        <v>4092147</v>
      </c>
      <c r="G14" s="1">
        <v>0</v>
      </c>
      <c r="H14" s="199">
        <f>(F14-G14)*0.9</f>
        <v>3682932.3000000003</v>
      </c>
      <c r="I14" s="199"/>
      <c r="J14" s="200">
        <f>(F14-G14)*0.1</f>
        <v>409214.7</v>
      </c>
      <c r="K14" s="200"/>
    </row>
    <row r="15" spans="1:13">
      <c r="C15" s="38"/>
    </row>
    <row r="16" spans="1:13">
      <c r="C16" s="25" t="s">
        <v>45</v>
      </c>
      <c r="D16" s="202" t="s">
        <v>65</v>
      </c>
      <c r="E16" s="203"/>
      <c r="F16" s="203"/>
      <c r="G16" s="204"/>
      <c r="H16" s="196" t="s">
        <v>26</v>
      </c>
      <c r="I16" s="197"/>
      <c r="J16" s="198" t="s">
        <v>6</v>
      </c>
      <c r="K16" s="198"/>
    </row>
    <row r="17" spans="3:11">
      <c r="C17" s="33" t="s">
        <v>63</v>
      </c>
      <c r="D17" s="205">
        <f>F14</f>
        <v>4092147</v>
      </c>
      <c r="E17" s="206"/>
      <c r="F17" s="206"/>
      <c r="G17" s="207"/>
      <c r="H17" s="201">
        <f>D17*0.9</f>
        <v>3682932.3000000003</v>
      </c>
      <c r="I17" s="201"/>
      <c r="J17" s="201">
        <f>D17*0.1</f>
        <v>409214.7</v>
      </c>
      <c r="K17" s="201"/>
    </row>
    <row r="19" spans="3:11">
      <c r="C19" s="42" t="s">
        <v>66</v>
      </c>
      <c r="I19" s="35"/>
      <c r="J19" s="35"/>
      <c r="K19" s="35"/>
    </row>
    <row r="20" spans="3:11">
      <c r="C20" s="43" t="s">
        <v>0</v>
      </c>
    </row>
    <row r="21" spans="3:11">
      <c r="J21" s="21" t="s">
        <v>24</v>
      </c>
    </row>
  </sheetData>
  <mergeCells count="18">
    <mergeCell ref="J17:K17"/>
    <mergeCell ref="D16:G16"/>
    <mergeCell ref="H16:I16"/>
    <mergeCell ref="J16:K16"/>
    <mergeCell ref="D17:G17"/>
    <mergeCell ref="H17:I17"/>
    <mergeCell ref="D13:E13"/>
    <mergeCell ref="H13:I13"/>
    <mergeCell ref="J13:K13"/>
    <mergeCell ref="D14:E14"/>
    <mergeCell ref="H14:I14"/>
    <mergeCell ref="J14:K14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0964-64C7-4DBC-B054-F6482528308C}">
  <dimension ref="A2:M23"/>
  <sheetViews>
    <sheetView zoomScaleNormal="100" zoomScaleSheetLayoutView="75" workbookViewId="0">
      <selection activeCell="L14" sqref="L14"/>
    </sheetView>
  </sheetViews>
  <sheetFormatPr defaultColWidth="8.75" defaultRowHeight="16.5"/>
  <cols>
    <col min="3" max="3" width="11.625" customWidth="1"/>
    <col min="4" max="4" width="10.25" bestFit="1" customWidth="1"/>
    <col min="5" max="5" width="9.875" customWidth="1"/>
    <col min="6" max="6" width="10.75" bestFit="1" customWidth="1"/>
    <col min="7" max="7" width="10.875" bestFit="1" customWidth="1"/>
  </cols>
  <sheetData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2"/>
      <c r="B3" s="2"/>
      <c r="C3" s="190" t="s">
        <v>22</v>
      </c>
      <c r="D3" s="190"/>
      <c r="E3" s="190"/>
      <c r="F3" s="190"/>
      <c r="G3" s="190"/>
      <c r="H3" s="190"/>
      <c r="I3" s="190"/>
      <c r="J3" s="190"/>
      <c r="K3" s="190"/>
      <c r="L3" s="190"/>
    </row>
    <row r="4" spans="1:13" ht="17.25" thickBot="1">
      <c r="A4" s="2"/>
      <c r="B4" s="3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3" ht="17.25" thickTop="1">
      <c r="A5" s="2"/>
      <c r="B5" s="2"/>
      <c r="C5" s="2"/>
      <c r="D5" s="2"/>
      <c r="E5" s="2"/>
      <c r="F5" s="2"/>
      <c r="G5" s="2"/>
      <c r="H5" s="2"/>
      <c r="I5" s="4"/>
      <c r="J5" s="5"/>
      <c r="K5" s="6"/>
      <c r="L5" s="7" t="s">
        <v>60</v>
      </c>
    </row>
    <row r="6" spans="1:13">
      <c r="A6" s="2"/>
      <c r="B6" s="2"/>
      <c r="C6" s="2"/>
      <c r="D6" s="2"/>
      <c r="E6" s="2"/>
      <c r="F6" s="2"/>
      <c r="G6" s="2"/>
      <c r="H6" s="2"/>
      <c r="I6" s="4"/>
      <c r="J6" s="5"/>
      <c r="K6" s="6"/>
      <c r="L6" s="7"/>
    </row>
    <row r="7" spans="1:13">
      <c r="A7" s="8"/>
      <c r="B7" s="8"/>
      <c r="C7" s="9" t="s">
        <v>23</v>
      </c>
      <c r="D7" s="192" t="s">
        <v>21</v>
      </c>
      <c r="E7" s="192"/>
      <c r="F7" s="192"/>
      <c r="G7" s="192"/>
      <c r="H7" s="9" t="s">
        <v>25</v>
      </c>
      <c r="I7" s="192" t="s">
        <v>61</v>
      </c>
      <c r="J7" s="192"/>
      <c r="K7" s="192"/>
      <c r="L7" s="10"/>
      <c r="M7" s="11"/>
    </row>
    <row r="8" spans="1:13">
      <c r="A8" s="12"/>
      <c r="B8" s="12"/>
      <c r="C8" s="9" t="s">
        <v>4</v>
      </c>
      <c r="D8" s="192" t="s">
        <v>62</v>
      </c>
      <c r="E8" s="192"/>
      <c r="F8" s="192"/>
      <c r="G8" s="192"/>
      <c r="H8" s="9" t="s">
        <v>28</v>
      </c>
      <c r="I8" s="193" t="s">
        <v>64</v>
      </c>
      <c r="J8" s="193"/>
      <c r="K8" s="193"/>
      <c r="L8" s="12"/>
      <c r="M8" s="11"/>
    </row>
    <row r="9" spans="1:13">
      <c r="A9" s="12"/>
      <c r="B9" s="13"/>
      <c r="C9" s="14"/>
      <c r="D9" s="15"/>
      <c r="E9" s="15"/>
      <c r="F9" s="15"/>
      <c r="G9" s="15"/>
      <c r="H9" s="14"/>
      <c r="I9" s="16"/>
      <c r="J9" s="16"/>
      <c r="K9" s="16"/>
      <c r="L9" s="16"/>
      <c r="M9" s="11"/>
    </row>
    <row r="10" spans="1:13">
      <c r="A10" s="17"/>
      <c r="B10" s="18"/>
      <c r="L10" s="17"/>
    </row>
    <row r="11" spans="1:13">
      <c r="C11" s="19" t="s">
        <v>7</v>
      </c>
      <c r="G11" s="20"/>
      <c r="H11" s="20"/>
    </row>
    <row r="12" spans="1:13">
      <c r="C12" s="189" t="s">
        <v>52</v>
      </c>
      <c r="D12" s="189"/>
      <c r="E12" s="189"/>
      <c r="F12" s="189"/>
      <c r="G12" s="189"/>
      <c r="H12" s="189"/>
      <c r="I12" s="189"/>
      <c r="J12" s="189"/>
      <c r="K12" s="189"/>
    </row>
    <row r="13" spans="1:13">
      <c r="C13" s="36" t="s">
        <v>1</v>
      </c>
      <c r="D13" s="25" t="s">
        <v>48</v>
      </c>
      <c r="E13" s="226" t="s">
        <v>51</v>
      </c>
      <c r="F13" s="227"/>
      <c r="G13" s="228"/>
      <c r="H13" s="196" t="s">
        <v>26</v>
      </c>
      <c r="I13" s="197"/>
      <c r="J13" s="198" t="s">
        <v>6</v>
      </c>
      <c r="K13" s="198"/>
    </row>
    <row r="14" spans="1:13">
      <c r="C14" s="229" t="s">
        <v>63</v>
      </c>
      <c r="D14" s="33" t="s">
        <v>49</v>
      </c>
      <c r="E14" s="231">
        <v>414973</v>
      </c>
      <c r="F14" s="232"/>
      <c r="G14" s="233"/>
      <c r="H14" s="234">
        <f>E14*0.9</f>
        <v>373475.7</v>
      </c>
      <c r="I14" s="234"/>
      <c r="J14" s="234">
        <f>E14*0.1</f>
        <v>41497.300000000003</v>
      </c>
      <c r="K14" s="234"/>
    </row>
    <row r="15" spans="1:13">
      <c r="C15" s="230"/>
      <c r="D15" s="34" t="s">
        <v>50</v>
      </c>
      <c r="E15" s="235"/>
      <c r="F15" s="236"/>
      <c r="G15" s="237"/>
      <c r="H15" s="238"/>
      <c r="I15" s="238"/>
      <c r="J15" s="221"/>
      <c r="K15" s="221"/>
    </row>
    <row r="16" spans="1:13">
      <c r="C16" s="38"/>
    </row>
    <row r="17" spans="3:11">
      <c r="C17" s="55" t="s">
        <v>1</v>
      </c>
      <c r="D17" s="215" t="s">
        <v>68</v>
      </c>
      <c r="E17" s="215"/>
      <c r="F17" s="215"/>
      <c r="G17" s="215"/>
      <c r="H17" s="222" t="s">
        <v>69</v>
      </c>
      <c r="I17" s="223"/>
      <c r="J17" s="224" t="s">
        <v>70</v>
      </c>
      <c r="K17" s="225"/>
    </row>
    <row r="18" spans="3:11">
      <c r="C18" s="208" t="s">
        <v>71</v>
      </c>
      <c r="D18" s="209">
        <f>E14</f>
        <v>414973</v>
      </c>
      <c r="E18" s="210"/>
      <c r="F18" s="210"/>
      <c r="G18" s="210"/>
      <c r="H18" s="211">
        <f>D18*0.9</f>
        <v>373475.7</v>
      </c>
      <c r="I18" s="212"/>
      <c r="J18" s="213">
        <f>D18*0.1</f>
        <v>41497.300000000003</v>
      </c>
      <c r="K18" s="214"/>
    </row>
    <row r="19" spans="3:11">
      <c r="C19" s="208"/>
      <c r="D19" s="215" t="s">
        <v>72</v>
      </c>
      <c r="E19" s="215"/>
      <c r="F19" s="215"/>
      <c r="G19" s="215"/>
      <c r="H19" s="216" t="s">
        <v>73</v>
      </c>
      <c r="I19" s="217"/>
      <c r="J19" s="218" t="s">
        <v>74</v>
      </c>
      <c r="K19" s="218"/>
    </row>
    <row r="20" spans="3:11">
      <c r="C20" s="208"/>
      <c r="D20" s="219">
        <f>J18</f>
        <v>41497.300000000003</v>
      </c>
      <c r="E20" s="220"/>
      <c r="F20" s="220"/>
      <c r="G20" s="220"/>
      <c r="H20" s="219">
        <f>D20*0.1</f>
        <v>4149.7300000000005</v>
      </c>
      <c r="I20" s="219"/>
      <c r="J20" s="219">
        <f>D20+H20</f>
        <v>45647.030000000006</v>
      </c>
      <c r="K20" s="220"/>
    </row>
    <row r="22" spans="3:11">
      <c r="C22" s="42" t="s">
        <v>67</v>
      </c>
    </row>
    <row r="23" spans="3:11">
      <c r="C23" s="43" t="s">
        <v>0</v>
      </c>
      <c r="J23" s="21" t="s">
        <v>24</v>
      </c>
    </row>
  </sheetData>
  <mergeCells count="29">
    <mergeCell ref="C3:L4"/>
    <mergeCell ref="D7:G7"/>
    <mergeCell ref="I7:K7"/>
    <mergeCell ref="D8:G8"/>
    <mergeCell ref="I8:K8"/>
    <mergeCell ref="J15:K15"/>
    <mergeCell ref="D17:G17"/>
    <mergeCell ref="H17:I17"/>
    <mergeCell ref="J17:K17"/>
    <mergeCell ref="C12:K12"/>
    <mergeCell ref="E13:G13"/>
    <mergeCell ref="H13:I13"/>
    <mergeCell ref="J13:K13"/>
    <mergeCell ref="C14:C15"/>
    <mergeCell ref="E14:G14"/>
    <mergeCell ref="H14:I14"/>
    <mergeCell ref="J14:K14"/>
    <mergeCell ref="E15:G15"/>
    <mergeCell ref="H15:I15"/>
    <mergeCell ref="C18:C20"/>
    <mergeCell ref="D18:G18"/>
    <mergeCell ref="H18:I18"/>
    <mergeCell ref="J18:K18"/>
    <mergeCell ref="D19:G19"/>
    <mergeCell ref="H19:I19"/>
    <mergeCell ref="J19:K19"/>
    <mergeCell ref="D20:G20"/>
    <mergeCell ref="H20:I20"/>
    <mergeCell ref="J20:K20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4437-C3C6-4D85-A796-BDC00FCC2DCB}">
  <dimension ref="A1:X45"/>
  <sheetViews>
    <sheetView zoomScaleNormal="100" zoomScaleSheetLayoutView="75" workbookViewId="0">
      <selection activeCell="L8" sqref="L8"/>
    </sheetView>
  </sheetViews>
  <sheetFormatPr defaultColWidth="8.75" defaultRowHeight="16.5"/>
  <cols>
    <col min="1" max="1" width="20.125" bestFit="1" customWidth="1"/>
    <col min="2" max="2" width="20.5" bestFit="1" customWidth="1"/>
    <col min="3" max="3" width="15.125" bestFit="1" customWidth="1"/>
    <col min="5" max="6" width="12.75" bestFit="1" customWidth="1"/>
    <col min="7" max="7" width="15.875" bestFit="1" customWidth="1"/>
    <col min="8" max="9" width="14.625" bestFit="1" customWidth="1"/>
    <col min="10" max="10" width="13" bestFit="1" customWidth="1"/>
    <col min="11" max="11" width="12.25" bestFit="1" customWidth="1"/>
    <col min="12" max="12" width="14" bestFit="1" customWidth="1"/>
    <col min="13" max="13" width="13" bestFit="1" customWidth="1"/>
    <col min="14" max="14" width="10.5" customWidth="1"/>
    <col min="15" max="15" width="11.25" bestFit="1" customWidth="1"/>
    <col min="16" max="18" width="13" bestFit="1" customWidth="1"/>
    <col min="19" max="19" width="14" bestFit="1" customWidth="1"/>
    <col min="20" max="20" width="11.25" bestFit="1" customWidth="1"/>
    <col min="21" max="21" width="13" bestFit="1" customWidth="1"/>
    <col min="22" max="22" width="16.75" bestFit="1" customWidth="1"/>
    <col min="23" max="23" width="15.25" bestFit="1" customWidth="1"/>
    <col min="24" max="24" width="15.5" customWidth="1"/>
    <col min="25" max="25" width="12.375" bestFit="1" customWidth="1"/>
  </cols>
  <sheetData>
    <row r="1" spans="1:24" s="22" customFormat="1" ht="26.25">
      <c r="A1" s="23" t="s">
        <v>46</v>
      </c>
    </row>
    <row r="2" spans="1:24">
      <c r="A2" s="24" t="s">
        <v>20</v>
      </c>
      <c r="B2" s="24" t="s">
        <v>11</v>
      </c>
      <c r="C2" s="24" t="s">
        <v>47</v>
      </c>
      <c r="D2" s="24" t="s">
        <v>2</v>
      </c>
      <c r="E2" s="29" t="s">
        <v>29</v>
      </c>
      <c r="F2" s="28" t="s">
        <v>30</v>
      </c>
      <c r="G2" s="28" t="s">
        <v>31</v>
      </c>
      <c r="H2" s="26" t="s">
        <v>32</v>
      </c>
      <c r="I2" s="27" t="s">
        <v>33</v>
      </c>
      <c r="J2" s="27" t="s">
        <v>34</v>
      </c>
      <c r="K2" s="24" t="s">
        <v>17</v>
      </c>
      <c r="L2" s="24" t="s">
        <v>9</v>
      </c>
      <c r="M2" s="26" t="s">
        <v>35</v>
      </c>
      <c r="N2" s="27" t="s">
        <v>36</v>
      </c>
      <c r="O2" s="24" t="s">
        <v>15</v>
      </c>
      <c r="P2" s="24" t="s">
        <v>18</v>
      </c>
      <c r="Q2" s="26" t="s">
        <v>37</v>
      </c>
      <c r="R2" s="27" t="s">
        <v>38</v>
      </c>
      <c r="S2" s="28" t="s">
        <v>39</v>
      </c>
      <c r="T2" s="28" t="s">
        <v>40</v>
      </c>
      <c r="U2" s="32" t="s">
        <v>41</v>
      </c>
      <c r="V2" s="28" t="s">
        <v>42</v>
      </c>
      <c r="W2" s="28" t="s">
        <v>43</v>
      </c>
      <c r="X2" s="30" t="s">
        <v>44</v>
      </c>
    </row>
    <row r="3" spans="1:24">
      <c r="A3" s="44" t="s">
        <v>3</v>
      </c>
      <c r="B3" s="44" t="s">
        <v>13</v>
      </c>
      <c r="C3" s="41"/>
      <c r="D3" s="44" t="s">
        <v>8</v>
      </c>
      <c r="E3" s="45" t="s">
        <v>13</v>
      </c>
      <c r="F3" s="45" t="s">
        <v>14</v>
      </c>
      <c r="G3" s="45"/>
      <c r="H3" s="46"/>
      <c r="I3" s="46"/>
      <c r="J3" s="46"/>
      <c r="K3" s="46">
        <v>36651</v>
      </c>
      <c r="L3" s="47" t="s">
        <v>19</v>
      </c>
      <c r="M3" s="48">
        <v>6597180</v>
      </c>
      <c r="N3" s="48">
        <v>2968731</v>
      </c>
      <c r="O3" s="46">
        <v>17832</v>
      </c>
      <c r="P3" s="47" t="s">
        <v>16</v>
      </c>
      <c r="Q3" s="48">
        <v>3209760</v>
      </c>
      <c r="R3" s="48">
        <v>1123416</v>
      </c>
      <c r="S3" s="48">
        <v>4092147</v>
      </c>
      <c r="T3" s="48">
        <v>9806940</v>
      </c>
      <c r="U3" s="41"/>
      <c r="V3" s="49">
        <v>4092147</v>
      </c>
      <c r="W3" s="49">
        <v>4092147</v>
      </c>
      <c r="X3" s="49">
        <v>4092147</v>
      </c>
    </row>
    <row r="5" spans="1:24" s="239" customFormat="1" ht="26.25" customHeight="1">
      <c r="A5" s="239" t="s">
        <v>53</v>
      </c>
    </row>
    <row r="6" spans="1:24">
      <c r="A6" s="57" t="s">
        <v>54</v>
      </c>
      <c r="B6" s="57" t="s">
        <v>55</v>
      </c>
      <c r="C6" s="57" t="s">
        <v>56</v>
      </c>
      <c r="D6" s="57" t="s">
        <v>57</v>
      </c>
      <c r="E6" s="40"/>
      <c r="F6" s="39"/>
    </row>
    <row r="7" spans="1:24">
      <c r="A7" s="50" t="s">
        <v>58</v>
      </c>
      <c r="B7" s="50">
        <v>310.76</v>
      </c>
      <c r="C7" s="51">
        <v>414973</v>
      </c>
      <c r="D7" s="50" t="s">
        <v>59</v>
      </c>
      <c r="E7" s="39"/>
    </row>
    <row r="8" spans="1:24">
      <c r="A8" s="56" t="s">
        <v>75</v>
      </c>
      <c r="B8" s="56" t="s">
        <v>76</v>
      </c>
      <c r="C8" s="56" t="s">
        <v>77</v>
      </c>
      <c r="D8" s="56" t="s">
        <v>78</v>
      </c>
      <c r="E8" s="56" t="s">
        <v>79</v>
      </c>
      <c r="F8" s="56" t="s">
        <v>80</v>
      </c>
    </row>
    <row r="9" spans="1:24">
      <c r="A9" s="240" t="s">
        <v>81</v>
      </c>
      <c r="B9" s="54" t="s">
        <v>82</v>
      </c>
      <c r="C9" s="54" t="s">
        <v>83</v>
      </c>
      <c r="D9" s="54">
        <v>0</v>
      </c>
      <c r="E9" s="54">
        <v>0.17</v>
      </c>
      <c r="F9" s="54">
        <v>0</v>
      </c>
      <c r="G9" s="31"/>
    </row>
    <row r="10" spans="1:24">
      <c r="A10" s="241"/>
      <c r="B10" s="54" t="s">
        <v>82</v>
      </c>
      <c r="C10" s="54" t="s">
        <v>84</v>
      </c>
      <c r="D10" s="54">
        <v>0</v>
      </c>
      <c r="E10" s="54">
        <v>0.12</v>
      </c>
      <c r="F10" s="54">
        <v>0</v>
      </c>
      <c r="G10" s="31"/>
    </row>
    <row r="11" spans="1:24">
      <c r="A11" s="241"/>
      <c r="B11" s="54" t="s">
        <v>82</v>
      </c>
      <c r="C11" s="54" t="s">
        <v>85</v>
      </c>
      <c r="D11" s="54">
        <v>0</v>
      </c>
      <c r="E11" s="54">
        <v>0.12</v>
      </c>
      <c r="F11" s="54">
        <v>0</v>
      </c>
    </row>
    <row r="12" spans="1:24">
      <c r="A12" s="242"/>
      <c r="B12" s="54" t="s">
        <v>86</v>
      </c>
      <c r="C12" s="52"/>
      <c r="D12" s="54">
        <v>0</v>
      </c>
      <c r="E12" s="52"/>
      <c r="F12" s="54">
        <v>0</v>
      </c>
    </row>
    <row r="13" spans="1:24">
      <c r="A13" s="54" t="s">
        <v>87</v>
      </c>
      <c r="B13" s="52"/>
      <c r="C13" s="52"/>
      <c r="D13" s="54">
        <v>0</v>
      </c>
      <c r="E13" s="52"/>
      <c r="F13" s="54">
        <v>0</v>
      </c>
    </row>
    <row r="14" spans="1:24">
      <c r="A14" s="56" t="s">
        <v>75</v>
      </c>
      <c r="B14" s="56" t="s">
        <v>76</v>
      </c>
      <c r="C14" s="56" t="s">
        <v>77</v>
      </c>
      <c r="D14" s="56" t="s">
        <v>78</v>
      </c>
      <c r="E14" s="56" t="s">
        <v>79</v>
      </c>
      <c r="F14" s="56" t="s">
        <v>80</v>
      </c>
    </row>
    <row r="15" spans="1:24">
      <c r="A15" s="240" t="s">
        <v>58</v>
      </c>
      <c r="B15" s="54" t="s">
        <v>82</v>
      </c>
      <c r="C15" s="54" t="s">
        <v>83</v>
      </c>
      <c r="D15" s="53">
        <v>4570</v>
      </c>
      <c r="E15" s="54">
        <v>0.17</v>
      </c>
      <c r="F15" s="54">
        <v>776.9</v>
      </c>
    </row>
    <row r="16" spans="1:24">
      <c r="A16" s="241"/>
      <c r="B16" s="54" t="s">
        <v>82</v>
      </c>
      <c r="C16" s="54" t="s">
        <v>84</v>
      </c>
      <c r="D16" s="54">
        <v>0</v>
      </c>
      <c r="E16" s="54">
        <v>0.12</v>
      </c>
      <c r="F16" s="54">
        <v>0</v>
      </c>
    </row>
    <row r="17" spans="1:6">
      <c r="A17" s="241"/>
      <c r="B17" s="54" t="s">
        <v>82</v>
      </c>
      <c r="C17" s="54" t="s">
        <v>85</v>
      </c>
      <c r="D17" s="54">
        <v>0</v>
      </c>
      <c r="E17" s="54">
        <v>0.12</v>
      </c>
      <c r="F17" s="54">
        <v>0</v>
      </c>
    </row>
    <row r="18" spans="1:6">
      <c r="A18" s="242"/>
      <c r="B18" s="54" t="s">
        <v>86</v>
      </c>
      <c r="C18" s="52"/>
      <c r="D18" s="53">
        <v>4570</v>
      </c>
      <c r="E18" s="52"/>
      <c r="F18" s="54">
        <v>776.9</v>
      </c>
    </row>
    <row r="19" spans="1:6">
      <c r="A19" s="54" t="s">
        <v>87</v>
      </c>
      <c r="B19" s="52"/>
      <c r="C19" s="52"/>
      <c r="D19" s="53">
        <v>4570</v>
      </c>
      <c r="E19" s="52"/>
      <c r="F19" s="54">
        <v>776.9</v>
      </c>
    </row>
    <row r="20" spans="1:6">
      <c r="A20" s="58" t="s">
        <v>88</v>
      </c>
      <c r="B20" s="58" t="s">
        <v>89</v>
      </c>
      <c r="C20" s="58" t="s">
        <v>90</v>
      </c>
      <c r="D20" s="58" t="s">
        <v>91</v>
      </c>
    </row>
    <row r="21" spans="1:6">
      <c r="A21" s="59">
        <v>44682</v>
      </c>
      <c r="B21" s="60">
        <v>814</v>
      </c>
      <c r="C21" s="60">
        <v>129</v>
      </c>
      <c r="D21" s="60">
        <v>533</v>
      </c>
    </row>
    <row r="22" spans="1:6">
      <c r="A22" s="59">
        <v>44683</v>
      </c>
      <c r="B22" s="60">
        <v>198</v>
      </c>
      <c r="C22" s="60">
        <v>40</v>
      </c>
      <c r="D22" s="60">
        <v>114</v>
      </c>
    </row>
    <row r="23" spans="1:6">
      <c r="A23" s="59">
        <v>44684</v>
      </c>
      <c r="B23" s="60">
        <v>167</v>
      </c>
      <c r="C23" s="60">
        <v>38</v>
      </c>
      <c r="D23" s="60">
        <v>57</v>
      </c>
    </row>
    <row r="24" spans="1:6">
      <c r="A24" s="59">
        <v>44685</v>
      </c>
      <c r="B24" s="60">
        <v>147</v>
      </c>
      <c r="C24" s="60">
        <v>34</v>
      </c>
      <c r="D24" s="60">
        <v>50</v>
      </c>
    </row>
    <row r="25" spans="1:6">
      <c r="A25" s="59">
        <v>44686</v>
      </c>
      <c r="B25" s="60">
        <v>119</v>
      </c>
      <c r="C25" s="60">
        <v>16</v>
      </c>
      <c r="D25" s="60">
        <v>50</v>
      </c>
    </row>
    <row r="26" spans="1:6">
      <c r="A26" s="59">
        <v>44687</v>
      </c>
      <c r="B26" s="60">
        <v>134</v>
      </c>
      <c r="C26" s="60">
        <v>38</v>
      </c>
      <c r="D26" s="60">
        <v>157</v>
      </c>
    </row>
    <row r="27" spans="1:6">
      <c r="A27" s="59">
        <v>44688</v>
      </c>
      <c r="B27" s="60">
        <v>145</v>
      </c>
      <c r="C27" s="60">
        <v>50</v>
      </c>
      <c r="D27" s="60">
        <v>134</v>
      </c>
    </row>
    <row r="28" spans="1:6">
      <c r="A28" s="59">
        <v>44689</v>
      </c>
      <c r="B28" s="60">
        <v>751</v>
      </c>
      <c r="C28" s="60">
        <v>120</v>
      </c>
      <c r="D28" s="60">
        <v>724</v>
      </c>
    </row>
    <row r="29" spans="1:6">
      <c r="A29" s="59">
        <v>44690</v>
      </c>
      <c r="B29" s="60">
        <v>235</v>
      </c>
      <c r="C29" s="60">
        <v>30</v>
      </c>
      <c r="D29" s="60">
        <v>142</v>
      </c>
    </row>
    <row r="30" spans="1:6">
      <c r="A30" s="59">
        <v>44691</v>
      </c>
      <c r="B30" s="60">
        <v>107</v>
      </c>
      <c r="C30" s="60">
        <v>8</v>
      </c>
      <c r="D30" s="60">
        <v>21</v>
      </c>
    </row>
    <row r="31" spans="1:6">
      <c r="A31" s="59">
        <v>44692</v>
      </c>
      <c r="B31" s="60">
        <v>127</v>
      </c>
      <c r="C31" s="60">
        <v>34</v>
      </c>
      <c r="D31" s="60">
        <v>53</v>
      </c>
    </row>
    <row r="32" spans="1:6">
      <c r="A32" s="59">
        <v>44693</v>
      </c>
      <c r="B32" s="60">
        <v>63</v>
      </c>
      <c r="C32" s="60">
        <v>22</v>
      </c>
      <c r="D32" s="60">
        <v>38</v>
      </c>
    </row>
    <row r="33" spans="1:4">
      <c r="A33" s="59">
        <v>44694</v>
      </c>
      <c r="B33" s="60">
        <v>108</v>
      </c>
      <c r="C33" s="60">
        <v>27</v>
      </c>
      <c r="D33" s="60">
        <v>168</v>
      </c>
    </row>
    <row r="34" spans="1:4">
      <c r="A34" s="59">
        <v>44695</v>
      </c>
      <c r="B34" s="60">
        <v>110</v>
      </c>
      <c r="C34" s="60">
        <v>29</v>
      </c>
      <c r="D34" s="60">
        <v>145</v>
      </c>
    </row>
    <row r="35" spans="1:4">
      <c r="A35" s="59">
        <v>44696</v>
      </c>
      <c r="B35" s="60">
        <v>811</v>
      </c>
      <c r="C35" s="60">
        <v>101</v>
      </c>
      <c r="D35" s="60">
        <v>775</v>
      </c>
    </row>
    <row r="36" spans="1:4">
      <c r="A36" s="59">
        <v>44697</v>
      </c>
      <c r="B36" s="60">
        <v>104</v>
      </c>
      <c r="C36" s="60">
        <v>34</v>
      </c>
      <c r="D36" s="60">
        <v>84</v>
      </c>
    </row>
    <row r="37" spans="1:4">
      <c r="A37" s="59">
        <v>44698</v>
      </c>
      <c r="B37" s="60">
        <v>190</v>
      </c>
      <c r="C37" s="60">
        <v>24</v>
      </c>
      <c r="D37" s="60">
        <v>134</v>
      </c>
    </row>
    <row r="38" spans="1:4">
      <c r="A38" s="59">
        <v>44699</v>
      </c>
      <c r="B38" s="60">
        <v>179</v>
      </c>
      <c r="C38" s="60">
        <v>17</v>
      </c>
      <c r="D38" s="60">
        <v>78</v>
      </c>
    </row>
    <row r="39" spans="1:4">
      <c r="A39" s="59">
        <v>44700</v>
      </c>
      <c r="B39" s="60">
        <v>82</v>
      </c>
      <c r="C39" s="60">
        <v>30</v>
      </c>
      <c r="D39" s="60">
        <v>26</v>
      </c>
    </row>
    <row r="40" spans="1:4">
      <c r="A40" s="59">
        <v>44701</v>
      </c>
      <c r="B40" s="60">
        <v>102</v>
      </c>
      <c r="C40" s="60">
        <v>82</v>
      </c>
      <c r="D40" s="60">
        <v>40</v>
      </c>
    </row>
    <row r="41" spans="1:4">
      <c r="A41" s="59">
        <v>44702</v>
      </c>
      <c r="B41" s="61">
        <v>4782</v>
      </c>
      <c r="C41" s="61">
        <v>1008</v>
      </c>
      <c r="D41" s="60">
        <v>442</v>
      </c>
    </row>
    <row r="42" spans="1:4">
      <c r="A42" s="59">
        <v>44703</v>
      </c>
      <c r="B42" s="61">
        <v>2479</v>
      </c>
      <c r="C42" s="60">
        <v>477</v>
      </c>
      <c r="D42" s="60">
        <v>722</v>
      </c>
    </row>
    <row r="43" spans="1:4">
      <c r="A43" s="59">
        <v>44704</v>
      </c>
      <c r="B43" s="60">
        <v>243</v>
      </c>
      <c r="C43" s="60">
        <v>39</v>
      </c>
      <c r="D43" s="60">
        <v>88</v>
      </c>
    </row>
    <row r="44" spans="1:4">
      <c r="A44" s="59">
        <v>44705</v>
      </c>
      <c r="B44" s="60">
        <v>100</v>
      </c>
      <c r="C44" s="60">
        <v>7</v>
      </c>
      <c r="D44" s="60">
        <v>84</v>
      </c>
    </row>
    <row r="45" spans="1:4">
      <c r="A45" s="59">
        <v>44706</v>
      </c>
      <c r="B45" s="60">
        <v>226</v>
      </c>
      <c r="C45" s="60">
        <v>46</v>
      </c>
      <c r="D45" s="60">
        <v>96</v>
      </c>
    </row>
  </sheetData>
  <mergeCells count="3">
    <mergeCell ref="A5:XFD5"/>
    <mergeCell ref="A9:A12"/>
    <mergeCell ref="A15:A18"/>
  </mergeCells>
  <phoneticPr fontId="36" type="noConversion"/>
  <conditionalFormatting sqref="E2">
    <cfRule type="beginsWith" dxfId="3" priority="5" operator="beginsWith" text="지급">
      <formula>LEFT(E2,LEN("지급"))="지급"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2869-91E9-4D1F-ABBC-E76387325507}">
  <dimension ref="A2:M21"/>
  <sheetViews>
    <sheetView zoomScaleNormal="100" zoomScaleSheetLayoutView="75" workbookViewId="0">
      <selection activeCell="O17" sqref="O17"/>
    </sheetView>
  </sheetViews>
  <sheetFormatPr defaultColWidth="8.75" defaultRowHeight="16.5"/>
  <cols>
    <col min="3" max="3" width="11.625" customWidth="1"/>
    <col min="4" max="4" width="10.25" bestFit="1" customWidth="1"/>
    <col min="5" max="5" width="9.875" customWidth="1"/>
    <col min="6" max="6" width="10.75" bestFit="1" customWidth="1"/>
    <col min="7" max="7" width="10.875" bestFit="1" customWidth="1"/>
  </cols>
  <sheetData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2"/>
      <c r="B3" s="2"/>
      <c r="C3" s="190" t="s">
        <v>22</v>
      </c>
      <c r="D3" s="190"/>
      <c r="E3" s="190"/>
      <c r="F3" s="190"/>
      <c r="G3" s="190"/>
      <c r="H3" s="190"/>
      <c r="I3" s="190"/>
      <c r="J3" s="190"/>
      <c r="K3" s="190"/>
      <c r="L3" s="190"/>
    </row>
    <row r="4" spans="1:13" ht="17.25" thickBot="1">
      <c r="A4" s="2"/>
      <c r="B4" s="3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3" ht="17.25" thickTop="1">
      <c r="A5" s="2"/>
      <c r="B5" s="2"/>
      <c r="C5" s="2"/>
      <c r="D5" s="2"/>
      <c r="E5" s="2"/>
      <c r="F5" s="2"/>
      <c r="G5" s="2"/>
      <c r="H5" s="2"/>
      <c r="I5" s="4"/>
      <c r="J5" s="5"/>
      <c r="K5" s="6"/>
      <c r="L5" s="7" t="s">
        <v>92</v>
      </c>
    </row>
    <row r="6" spans="1:13">
      <c r="A6" s="2"/>
      <c r="B6" s="2"/>
      <c r="C6" s="2"/>
      <c r="D6" s="2"/>
      <c r="E6" s="2"/>
      <c r="F6" s="2"/>
      <c r="G6" s="2"/>
      <c r="H6" s="2"/>
      <c r="I6" s="4"/>
      <c r="J6" s="5"/>
      <c r="K6" s="6"/>
      <c r="L6" s="7"/>
    </row>
    <row r="7" spans="1:13">
      <c r="A7" s="8"/>
      <c r="B7" s="8"/>
      <c r="C7" s="9" t="s">
        <v>23</v>
      </c>
      <c r="D7" s="192" t="s">
        <v>21</v>
      </c>
      <c r="E7" s="192"/>
      <c r="F7" s="192"/>
      <c r="G7" s="192"/>
      <c r="H7" s="9" t="s">
        <v>25</v>
      </c>
      <c r="I7" s="192" t="s">
        <v>61</v>
      </c>
      <c r="J7" s="192"/>
      <c r="K7" s="192"/>
      <c r="L7" s="10"/>
      <c r="M7" s="11"/>
    </row>
    <row r="8" spans="1:13">
      <c r="A8" s="12"/>
      <c r="B8" s="12"/>
      <c r="C8" s="9" t="s">
        <v>4</v>
      </c>
      <c r="D8" s="192" t="s">
        <v>93</v>
      </c>
      <c r="E8" s="192"/>
      <c r="F8" s="192"/>
      <c r="G8" s="192"/>
      <c r="H8" s="9" t="s">
        <v>28</v>
      </c>
      <c r="I8" s="193" t="s">
        <v>94</v>
      </c>
      <c r="J8" s="193"/>
      <c r="K8" s="193"/>
      <c r="L8" s="12"/>
      <c r="M8" s="11"/>
    </row>
    <row r="9" spans="1:13">
      <c r="A9" s="12"/>
      <c r="B9" s="13"/>
      <c r="C9" s="14"/>
      <c r="D9" s="15"/>
      <c r="E9" s="15"/>
      <c r="F9" s="15"/>
      <c r="G9" s="15"/>
      <c r="H9" s="14"/>
      <c r="I9" s="16"/>
      <c r="J9" s="16"/>
      <c r="K9" s="16"/>
      <c r="L9" s="16"/>
      <c r="M9" s="11"/>
    </row>
    <row r="10" spans="1:13">
      <c r="A10" s="17"/>
      <c r="B10" s="18"/>
      <c r="L10" s="17"/>
    </row>
    <row r="11" spans="1:13">
      <c r="C11" s="19" t="s">
        <v>7</v>
      </c>
      <c r="G11" s="20"/>
      <c r="H11" s="20"/>
    </row>
    <row r="12" spans="1:13">
      <c r="C12" s="189" t="s">
        <v>27</v>
      </c>
      <c r="D12" s="189"/>
      <c r="E12" s="189"/>
      <c r="F12" s="189"/>
      <c r="G12" s="189"/>
      <c r="H12" s="189"/>
      <c r="I12" s="189"/>
      <c r="J12" s="189"/>
      <c r="K12" s="189"/>
    </row>
    <row r="13" spans="1:13">
      <c r="C13" s="36" t="s">
        <v>1</v>
      </c>
      <c r="D13" s="194" t="s">
        <v>5</v>
      </c>
      <c r="E13" s="195"/>
      <c r="F13" s="36" t="s">
        <v>12</v>
      </c>
      <c r="G13" s="36" t="s">
        <v>10</v>
      </c>
      <c r="H13" s="196" t="s">
        <v>26</v>
      </c>
      <c r="I13" s="197"/>
      <c r="J13" s="198" t="s">
        <v>6</v>
      </c>
      <c r="K13" s="198"/>
    </row>
    <row r="14" spans="1:13">
      <c r="C14" s="37" t="s">
        <v>95</v>
      </c>
      <c r="D14" s="199">
        <v>7344540</v>
      </c>
      <c r="E14" s="199"/>
      <c r="F14" s="1">
        <v>3055023</v>
      </c>
      <c r="G14" s="1">
        <v>0</v>
      </c>
      <c r="H14" s="199">
        <f>(F14-G14)*0.9</f>
        <v>2749520.7</v>
      </c>
      <c r="I14" s="199"/>
      <c r="J14" s="200">
        <f>(F14-G14)*0.1</f>
        <v>305502.3</v>
      </c>
      <c r="K14" s="200"/>
    </row>
    <row r="15" spans="1:13">
      <c r="C15" s="38"/>
    </row>
    <row r="16" spans="1:13">
      <c r="C16" s="25" t="s">
        <v>45</v>
      </c>
      <c r="D16" s="202" t="s">
        <v>96</v>
      </c>
      <c r="E16" s="203"/>
      <c r="F16" s="203"/>
      <c r="G16" s="204"/>
      <c r="H16" s="196" t="s">
        <v>26</v>
      </c>
      <c r="I16" s="197"/>
      <c r="J16" s="198" t="s">
        <v>6</v>
      </c>
      <c r="K16" s="198"/>
    </row>
    <row r="17" spans="3:11">
      <c r="C17" s="37" t="s">
        <v>95</v>
      </c>
      <c r="D17" s="205">
        <f>F14</f>
        <v>3055023</v>
      </c>
      <c r="E17" s="206"/>
      <c r="F17" s="206"/>
      <c r="G17" s="207"/>
      <c r="H17" s="201">
        <f>D17*0.9</f>
        <v>2749520.7</v>
      </c>
      <c r="I17" s="201"/>
      <c r="J17" s="201">
        <f>D17*0.1</f>
        <v>305502.3</v>
      </c>
      <c r="K17" s="201"/>
    </row>
    <row r="19" spans="3:11">
      <c r="C19" s="42" t="s">
        <v>66</v>
      </c>
      <c r="I19" s="35"/>
      <c r="J19" s="35"/>
      <c r="K19" s="35"/>
    </row>
    <row r="20" spans="3:11">
      <c r="C20" s="43" t="s">
        <v>0</v>
      </c>
    </row>
    <row r="21" spans="3:11">
      <c r="J21" s="21" t="s">
        <v>24</v>
      </c>
    </row>
  </sheetData>
  <mergeCells count="18">
    <mergeCell ref="D16:G16"/>
    <mergeCell ref="H16:I16"/>
    <mergeCell ref="J16:K16"/>
    <mergeCell ref="D17:G17"/>
    <mergeCell ref="H17:I17"/>
    <mergeCell ref="J17:K17"/>
    <mergeCell ref="D13:E13"/>
    <mergeCell ref="H13:I13"/>
    <mergeCell ref="J13:K13"/>
    <mergeCell ref="D14:E14"/>
    <mergeCell ref="H14:I14"/>
    <mergeCell ref="J14:K14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51DF-4547-47F9-A823-10E8B6C6510A}">
  <dimension ref="A2:M22"/>
  <sheetViews>
    <sheetView zoomScaleNormal="100" zoomScaleSheetLayoutView="75" workbookViewId="0">
      <selection activeCell="L19" sqref="L19"/>
    </sheetView>
  </sheetViews>
  <sheetFormatPr defaultColWidth="8.75" defaultRowHeight="16.5"/>
  <cols>
    <col min="3" max="3" width="11.625" customWidth="1"/>
    <col min="4" max="4" width="10.25" bestFit="1" customWidth="1"/>
    <col min="5" max="5" width="9.875" customWidth="1"/>
    <col min="6" max="6" width="10.75" bestFit="1" customWidth="1"/>
    <col min="7" max="7" width="10.875" bestFit="1" customWidth="1"/>
  </cols>
  <sheetData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2"/>
      <c r="B3" s="2"/>
      <c r="C3" s="190" t="s">
        <v>22</v>
      </c>
      <c r="D3" s="190"/>
      <c r="E3" s="190"/>
      <c r="F3" s="190"/>
      <c r="G3" s="190"/>
      <c r="H3" s="190"/>
      <c r="I3" s="190"/>
      <c r="J3" s="190"/>
      <c r="K3" s="190"/>
      <c r="L3" s="190"/>
    </row>
    <row r="4" spans="1:13" ht="17.25" thickBot="1">
      <c r="A4" s="2"/>
      <c r="B4" s="3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3" ht="17.25" thickTop="1">
      <c r="A5" s="2"/>
      <c r="B5" s="2"/>
      <c r="C5" s="2"/>
      <c r="D5" s="2"/>
      <c r="E5" s="2"/>
      <c r="F5" s="2"/>
      <c r="G5" s="2"/>
      <c r="H5" s="2"/>
      <c r="I5" s="4"/>
      <c r="J5" s="5"/>
      <c r="K5" s="6"/>
      <c r="L5" s="7" t="s">
        <v>92</v>
      </c>
    </row>
    <row r="6" spans="1:13">
      <c r="A6" s="2"/>
      <c r="B6" s="2"/>
      <c r="C6" s="2"/>
      <c r="D6" s="2"/>
      <c r="E6" s="2"/>
      <c r="F6" s="2"/>
      <c r="G6" s="2"/>
      <c r="H6" s="2"/>
      <c r="I6" s="4"/>
      <c r="J6" s="5"/>
      <c r="K6" s="6"/>
      <c r="L6" s="7"/>
    </row>
    <row r="7" spans="1:13">
      <c r="A7" s="8"/>
      <c r="B7" s="8"/>
      <c r="C7" s="9" t="s">
        <v>23</v>
      </c>
      <c r="D7" s="192" t="s">
        <v>21</v>
      </c>
      <c r="E7" s="192"/>
      <c r="F7" s="192"/>
      <c r="G7" s="192"/>
      <c r="H7" s="9" t="s">
        <v>25</v>
      </c>
      <c r="I7" s="192" t="s">
        <v>61</v>
      </c>
      <c r="J7" s="192"/>
      <c r="K7" s="192"/>
      <c r="L7" s="10"/>
      <c r="M7" s="11"/>
    </row>
    <row r="8" spans="1:13">
      <c r="A8" s="12"/>
      <c r="B8" s="12"/>
      <c r="C8" s="9" t="s">
        <v>4</v>
      </c>
      <c r="D8" s="192" t="s">
        <v>62</v>
      </c>
      <c r="E8" s="192"/>
      <c r="F8" s="192"/>
      <c r="G8" s="192"/>
      <c r="H8" s="9" t="s">
        <v>28</v>
      </c>
      <c r="I8" s="193" t="s">
        <v>94</v>
      </c>
      <c r="J8" s="193"/>
      <c r="K8" s="193"/>
      <c r="L8" s="12"/>
      <c r="M8" s="11"/>
    </row>
    <row r="9" spans="1:13">
      <c r="A9" s="12"/>
      <c r="B9" s="13"/>
      <c r="C9" s="14"/>
      <c r="D9" s="15"/>
      <c r="E9" s="15"/>
      <c r="F9" s="15"/>
      <c r="G9" s="15"/>
      <c r="H9" s="14"/>
      <c r="I9" s="16"/>
      <c r="J9" s="16"/>
      <c r="K9" s="16"/>
      <c r="L9" s="16"/>
      <c r="M9" s="11"/>
    </row>
    <row r="10" spans="1:13">
      <c r="A10" s="17"/>
      <c r="B10" s="18"/>
      <c r="L10" s="17"/>
    </row>
    <row r="11" spans="1:13">
      <c r="C11" s="19" t="s">
        <v>7</v>
      </c>
      <c r="G11" s="20"/>
      <c r="H11" s="20"/>
    </row>
    <row r="12" spans="1:13">
      <c r="C12" s="189" t="s">
        <v>98</v>
      </c>
      <c r="D12" s="189"/>
      <c r="E12" s="189"/>
      <c r="F12" s="189"/>
      <c r="G12" s="189"/>
      <c r="H12" s="189"/>
      <c r="I12" s="189"/>
      <c r="J12" s="189"/>
      <c r="K12" s="189"/>
    </row>
    <row r="13" spans="1:13">
      <c r="C13" s="36" t="s">
        <v>1</v>
      </c>
      <c r="D13" s="226" t="s">
        <v>51</v>
      </c>
      <c r="E13" s="227"/>
      <c r="F13" s="227"/>
      <c r="G13" s="228"/>
      <c r="H13" s="196" t="s">
        <v>26</v>
      </c>
      <c r="I13" s="197"/>
      <c r="J13" s="198" t="s">
        <v>6</v>
      </c>
      <c r="K13" s="198"/>
    </row>
    <row r="14" spans="1:13">
      <c r="C14" s="74" t="s">
        <v>63</v>
      </c>
      <c r="D14" s="231">
        <v>3114240</v>
      </c>
      <c r="E14" s="232"/>
      <c r="F14" s="232"/>
      <c r="G14" s="233"/>
      <c r="H14" s="234">
        <f>D14*0.9</f>
        <v>2802816</v>
      </c>
      <c r="I14" s="234"/>
      <c r="J14" s="234">
        <f>D14*0.1</f>
        <v>311424</v>
      </c>
      <c r="K14" s="234"/>
    </row>
    <row r="15" spans="1:13">
      <c r="C15" s="38"/>
    </row>
    <row r="16" spans="1:13">
      <c r="C16" s="55" t="s">
        <v>1</v>
      </c>
      <c r="D16" s="243" t="s">
        <v>68</v>
      </c>
      <c r="E16" s="244"/>
      <c r="F16" s="244"/>
      <c r="G16" s="245"/>
      <c r="H16" s="222" t="s">
        <v>69</v>
      </c>
      <c r="I16" s="223"/>
      <c r="J16" s="224" t="s">
        <v>70</v>
      </c>
      <c r="K16" s="225"/>
    </row>
    <row r="17" spans="3:11">
      <c r="C17" s="208" t="s">
        <v>95</v>
      </c>
      <c r="D17" s="211">
        <f>D14</f>
        <v>3114240</v>
      </c>
      <c r="E17" s="246"/>
      <c r="F17" s="246"/>
      <c r="G17" s="209"/>
      <c r="H17" s="211">
        <f>D17*0.9</f>
        <v>2802816</v>
      </c>
      <c r="I17" s="212"/>
      <c r="J17" s="213">
        <f>D17*0.1</f>
        <v>311424</v>
      </c>
      <c r="K17" s="214"/>
    </row>
    <row r="18" spans="3:11">
      <c r="C18" s="208"/>
      <c r="D18" s="243" t="s">
        <v>72</v>
      </c>
      <c r="E18" s="244"/>
      <c r="F18" s="244"/>
      <c r="G18" s="245"/>
      <c r="H18" s="216" t="s">
        <v>73</v>
      </c>
      <c r="I18" s="217"/>
      <c r="J18" s="218" t="s">
        <v>74</v>
      </c>
      <c r="K18" s="218"/>
    </row>
    <row r="19" spans="3:11">
      <c r="C19" s="208"/>
      <c r="D19" s="247">
        <f>J17</f>
        <v>311424</v>
      </c>
      <c r="E19" s="248"/>
      <c r="F19" s="248"/>
      <c r="G19" s="249"/>
      <c r="H19" s="219">
        <f>D19*0.1</f>
        <v>31142.400000000001</v>
      </c>
      <c r="I19" s="219"/>
      <c r="J19" s="219">
        <f>D19+H19</f>
        <v>342566.40000000002</v>
      </c>
      <c r="K19" s="220"/>
    </row>
    <row r="21" spans="3:11">
      <c r="C21" s="42" t="s">
        <v>67</v>
      </c>
    </row>
    <row r="22" spans="3:11">
      <c r="C22" s="43" t="s">
        <v>0</v>
      </c>
      <c r="J22" s="21" t="s">
        <v>24</v>
      </c>
    </row>
  </sheetData>
  <mergeCells count="25">
    <mergeCell ref="C12:K12"/>
    <mergeCell ref="C3:L4"/>
    <mergeCell ref="D7:G7"/>
    <mergeCell ref="I7:K7"/>
    <mergeCell ref="D8:G8"/>
    <mergeCell ref="I8:K8"/>
    <mergeCell ref="C17:C19"/>
    <mergeCell ref="D17:G17"/>
    <mergeCell ref="H17:I17"/>
    <mergeCell ref="J17:K17"/>
    <mergeCell ref="D18:G18"/>
    <mergeCell ref="H18:I18"/>
    <mergeCell ref="J18:K18"/>
    <mergeCell ref="D19:G19"/>
    <mergeCell ref="H19:I19"/>
    <mergeCell ref="J19:K19"/>
    <mergeCell ref="D13:G13"/>
    <mergeCell ref="D14:G14"/>
    <mergeCell ref="D16:G16"/>
    <mergeCell ref="H16:I16"/>
    <mergeCell ref="J16:K16"/>
    <mergeCell ref="H13:I13"/>
    <mergeCell ref="J13:K13"/>
    <mergeCell ref="H14:I14"/>
    <mergeCell ref="J14:K14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AA8B-D128-4225-ACFE-618B911B3E5D}">
  <dimension ref="A1:O17"/>
  <sheetViews>
    <sheetView zoomScale="85" zoomScaleNormal="85" zoomScaleSheetLayoutView="75" workbookViewId="0">
      <selection activeCell="A8" sqref="A8:XFD8"/>
    </sheetView>
  </sheetViews>
  <sheetFormatPr defaultColWidth="8.75" defaultRowHeight="16.5"/>
  <cols>
    <col min="1" max="1" width="20.125" bestFit="1" customWidth="1"/>
    <col min="2" max="2" width="20.5" bestFit="1" customWidth="1"/>
    <col min="3" max="3" width="15.125" bestFit="1" customWidth="1"/>
    <col min="5" max="6" width="12.75" bestFit="1" customWidth="1"/>
    <col min="7" max="7" width="15.875" bestFit="1" customWidth="1"/>
    <col min="8" max="9" width="14.625" bestFit="1" customWidth="1"/>
    <col min="10" max="10" width="13" bestFit="1" customWidth="1"/>
    <col min="11" max="11" width="12.25" bestFit="1" customWidth="1"/>
    <col min="12" max="12" width="14" bestFit="1" customWidth="1"/>
    <col min="13" max="13" width="13" bestFit="1" customWidth="1"/>
    <col min="14" max="14" width="10.5" customWidth="1"/>
    <col min="15" max="15" width="11.25" bestFit="1" customWidth="1"/>
    <col min="16" max="18" width="13" bestFit="1" customWidth="1"/>
    <col min="19" max="19" width="14" bestFit="1" customWidth="1"/>
    <col min="20" max="20" width="11.25" bestFit="1" customWidth="1"/>
    <col min="21" max="21" width="13" bestFit="1" customWidth="1"/>
    <col min="22" max="22" width="16.75" bestFit="1" customWidth="1"/>
    <col min="23" max="23" width="15.25" bestFit="1" customWidth="1"/>
    <col min="24" max="24" width="15.5" customWidth="1"/>
    <col min="25" max="25" width="12.375" bestFit="1" customWidth="1"/>
  </cols>
  <sheetData>
    <row r="1" spans="1:15" s="75" customFormat="1" ht="21.75" customHeight="1">
      <c r="A1" s="103" t="s">
        <v>97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>
      <c r="A2" s="24" t="s">
        <v>20</v>
      </c>
      <c r="B2" s="64" t="s">
        <v>17</v>
      </c>
      <c r="C2" s="64" t="s">
        <v>9</v>
      </c>
      <c r="D2" s="65" t="s">
        <v>35</v>
      </c>
      <c r="E2" s="66" t="s">
        <v>36</v>
      </c>
      <c r="F2" s="64" t="s">
        <v>15</v>
      </c>
      <c r="G2" s="64" t="s">
        <v>18</v>
      </c>
      <c r="H2" s="65" t="s">
        <v>37</v>
      </c>
      <c r="I2" s="66" t="s">
        <v>38</v>
      </c>
      <c r="J2" s="67" t="s">
        <v>39</v>
      </c>
      <c r="K2" s="67" t="s">
        <v>40</v>
      </c>
      <c r="L2" s="68" t="s">
        <v>41</v>
      </c>
      <c r="M2" s="67" t="s">
        <v>42</v>
      </c>
      <c r="N2" s="67" t="s">
        <v>43</v>
      </c>
      <c r="O2" s="69" t="s">
        <v>44</v>
      </c>
    </row>
    <row r="3" spans="1:15" s="73" customFormat="1">
      <c r="A3" s="44" t="s">
        <v>3</v>
      </c>
      <c r="B3" s="62">
        <v>26913</v>
      </c>
      <c r="C3" s="63" t="s">
        <v>19</v>
      </c>
      <c r="D3" s="70">
        <v>4844340</v>
      </c>
      <c r="E3" s="70">
        <v>2179953</v>
      </c>
      <c r="F3" s="62">
        <v>13890</v>
      </c>
      <c r="G3" s="63" t="s">
        <v>16</v>
      </c>
      <c r="H3" s="70">
        <v>2500200</v>
      </c>
      <c r="I3" s="70">
        <v>875070</v>
      </c>
      <c r="J3" s="70">
        <v>3055023</v>
      </c>
      <c r="K3" s="70">
        <v>7344540</v>
      </c>
      <c r="L3" s="71"/>
      <c r="M3" s="72">
        <v>3055023</v>
      </c>
      <c r="N3" s="72">
        <v>3055023</v>
      </c>
      <c r="O3" s="72">
        <v>3055023</v>
      </c>
    </row>
    <row r="8" spans="1:15" s="75" customFormat="1" ht="23.25" customHeight="1">
      <c r="A8" s="103" t="s">
        <v>112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</row>
    <row r="9" spans="1:15" ht="20.25">
      <c r="A9" s="77" t="s">
        <v>99</v>
      </c>
      <c r="B9" s="31"/>
      <c r="C9" s="31"/>
      <c r="D9" s="78"/>
      <c r="E9" s="78"/>
      <c r="F9" s="78"/>
      <c r="G9" s="78"/>
      <c r="H9" s="78"/>
      <c r="I9" s="31"/>
      <c r="J9" s="79"/>
    </row>
    <row r="10" spans="1:15">
      <c r="A10" s="31"/>
      <c r="B10" s="31"/>
      <c r="C10" s="31"/>
      <c r="D10" s="78"/>
      <c r="E10" s="78"/>
      <c r="F10" s="78"/>
      <c r="G10" s="78"/>
      <c r="H10" s="78"/>
      <c r="I10" s="31"/>
      <c r="J10" s="79"/>
    </row>
    <row r="11" spans="1:15">
      <c r="A11" s="80" t="s">
        <v>100</v>
      </c>
      <c r="B11" s="31"/>
      <c r="C11" s="31"/>
      <c r="D11" s="78"/>
      <c r="E11" s="78"/>
      <c r="F11" s="78"/>
      <c r="G11" s="78"/>
      <c r="H11" s="78"/>
      <c r="I11" s="81"/>
      <c r="J11" s="79"/>
    </row>
    <row r="12" spans="1:15" ht="17.25">
      <c r="A12" s="82"/>
      <c r="B12" s="31"/>
      <c r="C12" s="31"/>
      <c r="D12" s="78"/>
      <c r="E12" s="78"/>
      <c r="F12" s="78"/>
      <c r="G12" s="78"/>
      <c r="H12" s="78"/>
      <c r="I12" s="81"/>
      <c r="J12" s="79"/>
    </row>
    <row r="13" spans="1:15" ht="18" thickBot="1">
      <c r="A13" s="83" t="s">
        <v>101</v>
      </c>
      <c r="B13" s="84"/>
      <c r="C13" s="85">
        <f>J17</f>
        <v>89205.9</v>
      </c>
      <c r="D13" s="78"/>
      <c r="E13" s="78"/>
      <c r="F13" s="78"/>
      <c r="G13" s="78"/>
      <c r="H13" s="78"/>
      <c r="I13" s="81"/>
      <c r="J13" s="79"/>
    </row>
    <row r="14" spans="1:15">
      <c r="A14" s="86"/>
      <c r="B14" s="86"/>
      <c r="C14" s="86"/>
      <c r="D14" s="78"/>
      <c r="E14" s="87"/>
      <c r="F14" s="87"/>
      <c r="G14" s="87"/>
      <c r="H14" s="87"/>
      <c r="I14" s="31"/>
      <c r="J14" s="79"/>
    </row>
    <row r="15" spans="1:15">
      <c r="A15" s="88" t="s">
        <v>102</v>
      </c>
      <c r="B15" s="89" t="s">
        <v>75</v>
      </c>
      <c r="C15" s="90" t="s">
        <v>103</v>
      </c>
      <c r="D15" s="91" t="s">
        <v>104</v>
      </c>
      <c r="E15" s="91" t="s">
        <v>105</v>
      </c>
      <c r="F15" s="91" t="s">
        <v>106</v>
      </c>
      <c r="G15" s="91" t="s">
        <v>107</v>
      </c>
      <c r="H15" s="91" t="s">
        <v>108</v>
      </c>
      <c r="I15" s="91" t="s">
        <v>109</v>
      </c>
      <c r="J15" s="92" t="s">
        <v>110</v>
      </c>
    </row>
    <row r="16" spans="1:15">
      <c r="A16" s="93">
        <v>2439</v>
      </c>
      <c r="B16" s="93" t="s">
        <v>3</v>
      </c>
      <c r="C16" s="94">
        <v>60300</v>
      </c>
      <c r="D16" s="95">
        <v>0</v>
      </c>
      <c r="E16" s="96">
        <v>317936</v>
      </c>
      <c r="F16" s="96">
        <v>94921.25</v>
      </c>
      <c r="G16" s="96">
        <v>223014.75</v>
      </c>
      <c r="H16" s="97">
        <v>89205.900000000009</v>
      </c>
      <c r="I16" s="98">
        <f>H16-D16</f>
        <v>89205.900000000009</v>
      </c>
      <c r="J16" s="99">
        <f>ROUND(I16,2)</f>
        <v>89205.9</v>
      </c>
    </row>
    <row r="17" spans="1:10">
      <c r="A17" s="250" t="s">
        <v>111</v>
      </c>
      <c r="B17" s="250"/>
      <c r="C17" s="100">
        <f t="shared" ref="C17:H17" si="0">SUM(C16:C16)</f>
        <v>60300</v>
      </c>
      <c r="D17" s="101">
        <f t="shared" si="0"/>
        <v>0</v>
      </c>
      <c r="E17" s="101">
        <f t="shared" si="0"/>
        <v>317936</v>
      </c>
      <c r="F17" s="101">
        <f t="shared" si="0"/>
        <v>94921.25</v>
      </c>
      <c r="G17" s="101">
        <f t="shared" si="0"/>
        <v>223014.75</v>
      </c>
      <c r="H17" s="101">
        <f t="shared" si="0"/>
        <v>89205.900000000009</v>
      </c>
      <c r="I17" s="98">
        <f>H17-D17</f>
        <v>89205.900000000009</v>
      </c>
      <c r="J17" s="102">
        <f>SUM(J16:J16)</f>
        <v>89205.9</v>
      </c>
    </row>
  </sheetData>
  <mergeCells count="1">
    <mergeCell ref="A17:B17"/>
  </mergeCells>
  <phoneticPr fontId="36" type="noConversion"/>
  <conditionalFormatting sqref="I16">
    <cfRule type="cellIs" dxfId="2" priority="1" operator="greaterThan">
      <formula>0</formula>
    </cfRule>
  </conditionalFormatting>
  <conditionalFormatting sqref="E16:G16">
    <cfRule type="duplicateValues" dxfId="1" priority="2"/>
  </conditionalFormatting>
  <conditionalFormatting sqref="E16">
    <cfRule type="duplicateValues" dxfId="0" priority="3"/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7B31-9255-42E3-B12D-845C10DF6BD3}">
  <dimension ref="A2:M21"/>
  <sheetViews>
    <sheetView zoomScaleNormal="100" zoomScaleSheetLayoutView="75" workbookViewId="0">
      <selection activeCell="L17" sqref="L17"/>
    </sheetView>
  </sheetViews>
  <sheetFormatPr defaultColWidth="8.75" defaultRowHeight="16.5"/>
  <cols>
    <col min="3" max="3" width="11.625" customWidth="1"/>
    <col min="4" max="4" width="10.25" bestFit="1" customWidth="1"/>
    <col min="5" max="5" width="9.875" customWidth="1"/>
    <col min="6" max="6" width="10.75" bestFit="1" customWidth="1"/>
    <col min="7" max="7" width="10.875" bestFit="1" customWidth="1"/>
    <col min="8" max="8" width="11.75" customWidth="1"/>
  </cols>
  <sheetData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2"/>
      <c r="B3" s="2"/>
      <c r="C3" s="190" t="s">
        <v>22</v>
      </c>
      <c r="D3" s="190"/>
      <c r="E3" s="190"/>
      <c r="F3" s="190"/>
      <c r="G3" s="190"/>
      <c r="H3" s="190"/>
      <c r="I3" s="190"/>
      <c r="J3" s="190"/>
      <c r="K3" s="190"/>
      <c r="L3" s="190"/>
    </row>
    <row r="4" spans="1:13" ht="17.25" thickBot="1">
      <c r="A4" s="2"/>
      <c r="B4" s="3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3" ht="17.25" thickTop="1">
      <c r="A5" s="2"/>
      <c r="B5" s="2"/>
      <c r="C5" s="2"/>
      <c r="D5" s="2"/>
      <c r="E5" s="2"/>
      <c r="F5" s="2"/>
      <c r="G5" s="2"/>
      <c r="H5" s="2"/>
      <c r="I5" s="4"/>
      <c r="J5" s="5"/>
      <c r="K5" s="6"/>
      <c r="L5" s="7" t="s">
        <v>120</v>
      </c>
    </row>
    <row r="6" spans="1:13">
      <c r="A6" s="2"/>
      <c r="B6" s="2"/>
      <c r="C6" s="2"/>
      <c r="D6" s="2"/>
      <c r="E6" s="2"/>
      <c r="F6" s="2"/>
      <c r="G6" s="2"/>
      <c r="H6" s="2"/>
      <c r="I6" s="4"/>
      <c r="J6" s="5"/>
      <c r="K6" s="6"/>
      <c r="L6" s="7"/>
    </row>
    <row r="7" spans="1:13">
      <c r="A7" s="8"/>
      <c r="B7" s="8"/>
      <c r="C7" s="104" t="s">
        <v>116</v>
      </c>
      <c r="D7" s="192" t="s">
        <v>118</v>
      </c>
      <c r="E7" s="192"/>
      <c r="F7" s="192"/>
      <c r="G7" s="192"/>
      <c r="H7" s="104" t="s">
        <v>114</v>
      </c>
      <c r="I7" s="192" t="s">
        <v>119</v>
      </c>
      <c r="J7" s="192"/>
      <c r="K7" s="192"/>
      <c r="L7" s="10"/>
      <c r="M7" s="11"/>
    </row>
    <row r="8" spans="1:13">
      <c r="A8" s="12"/>
      <c r="B8" s="12"/>
      <c r="C8" s="104" t="s">
        <v>117</v>
      </c>
      <c r="D8" s="192" t="s">
        <v>121</v>
      </c>
      <c r="E8" s="192"/>
      <c r="F8" s="192"/>
      <c r="G8" s="192"/>
      <c r="H8" s="104" t="s">
        <v>115</v>
      </c>
      <c r="I8" s="193">
        <v>44773</v>
      </c>
      <c r="J8" s="193"/>
      <c r="K8" s="193"/>
      <c r="L8" s="12"/>
      <c r="M8" s="11"/>
    </row>
    <row r="9" spans="1:13">
      <c r="A9" s="12"/>
      <c r="B9" s="13"/>
      <c r="C9" s="14"/>
      <c r="D9" s="15"/>
      <c r="E9" s="15"/>
      <c r="F9" s="15"/>
      <c r="G9" s="15"/>
      <c r="H9" s="14"/>
      <c r="I9" s="16"/>
      <c r="J9" s="16"/>
      <c r="K9" s="16"/>
      <c r="L9" s="16"/>
      <c r="M9" s="11"/>
    </row>
    <row r="10" spans="1:13">
      <c r="A10" s="17"/>
      <c r="B10" s="18"/>
      <c r="L10" s="17"/>
    </row>
    <row r="11" spans="1:13">
      <c r="C11" s="19" t="s">
        <v>7</v>
      </c>
      <c r="G11" s="20"/>
      <c r="H11" s="20"/>
    </row>
    <row r="12" spans="1:13">
      <c r="C12" s="189" t="s">
        <v>27</v>
      </c>
      <c r="D12" s="189"/>
      <c r="E12" s="189"/>
      <c r="F12" s="189"/>
      <c r="G12" s="189"/>
      <c r="H12" s="189"/>
      <c r="I12" s="189"/>
      <c r="J12" s="189"/>
      <c r="K12" s="189"/>
    </row>
    <row r="13" spans="1:13">
      <c r="C13" s="36" t="s">
        <v>1</v>
      </c>
      <c r="D13" s="194" t="s">
        <v>5</v>
      </c>
      <c r="E13" s="195"/>
      <c r="F13" s="36" t="s">
        <v>12</v>
      </c>
      <c r="G13" s="36" t="s">
        <v>10</v>
      </c>
      <c r="H13" s="196" t="s">
        <v>26</v>
      </c>
      <c r="I13" s="197"/>
      <c r="J13" s="198" t="s">
        <v>6</v>
      </c>
      <c r="K13" s="198"/>
    </row>
    <row r="14" spans="1:13">
      <c r="C14" s="37" t="s">
        <v>113</v>
      </c>
      <c r="D14" s="199">
        <v>6421140</v>
      </c>
      <c r="E14" s="199"/>
      <c r="F14" s="1">
        <v>2626857</v>
      </c>
      <c r="G14" s="1">
        <v>0</v>
      </c>
      <c r="H14" s="199">
        <f>(F14-G14)*0.9</f>
        <v>2364171.3000000003</v>
      </c>
      <c r="I14" s="199"/>
      <c r="J14" s="200">
        <f>(F14-G14)*0.1</f>
        <v>262685.7</v>
      </c>
      <c r="K14" s="200"/>
    </row>
    <row r="15" spans="1:13">
      <c r="C15" s="38"/>
    </row>
    <row r="16" spans="1:13">
      <c r="C16" s="25" t="s">
        <v>45</v>
      </c>
      <c r="D16" s="202" t="s">
        <v>96</v>
      </c>
      <c r="E16" s="203"/>
      <c r="F16" s="203"/>
      <c r="G16" s="204"/>
      <c r="H16" s="196" t="s">
        <v>26</v>
      </c>
      <c r="I16" s="197"/>
      <c r="J16" s="198" t="s">
        <v>6</v>
      </c>
      <c r="K16" s="198"/>
    </row>
    <row r="17" spans="3:11">
      <c r="C17" s="37" t="str">
        <f>C14</f>
        <v>6월</v>
      </c>
      <c r="D17" s="205">
        <f>F14</f>
        <v>2626857</v>
      </c>
      <c r="E17" s="206"/>
      <c r="F17" s="206"/>
      <c r="G17" s="207"/>
      <c r="H17" s="201">
        <f>D17*0.9</f>
        <v>2364171.3000000003</v>
      </c>
      <c r="I17" s="201"/>
      <c r="J17" s="201">
        <f>D17*0.1</f>
        <v>262685.7</v>
      </c>
      <c r="K17" s="201"/>
    </row>
    <row r="19" spans="3:11">
      <c r="C19" s="42" t="s">
        <v>66</v>
      </c>
      <c r="I19" s="35"/>
      <c r="J19" s="35"/>
      <c r="K19" s="35"/>
    </row>
    <row r="20" spans="3:11">
      <c r="C20" s="43" t="s">
        <v>0</v>
      </c>
    </row>
    <row r="21" spans="3:11">
      <c r="J21" s="21" t="s">
        <v>24</v>
      </c>
    </row>
  </sheetData>
  <mergeCells count="18">
    <mergeCell ref="D16:G16"/>
    <mergeCell ref="H16:I16"/>
    <mergeCell ref="J16:K16"/>
    <mergeCell ref="D17:G17"/>
    <mergeCell ref="H17:I17"/>
    <mergeCell ref="J17:K17"/>
    <mergeCell ref="D13:E13"/>
    <mergeCell ref="H13:I13"/>
    <mergeCell ref="J13:K13"/>
    <mergeCell ref="D14:E14"/>
    <mergeCell ref="H14:I14"/>
    <mergeCell ref="J14:K14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0968-EECB-4D34-BBBB-F3A72551E123}">
  <dimension ref="A1:K3"/>
  <sheetViews>
    <sheetView zoomScaleNormal="100" zoomScaleSheetLayoutView="75" workbookViewId="0">
      <selection activeCell="F23" sqref="F23"/>
    </sheetView>
  </sheetViews>
  <sheetFormatPr defaultColWidth="8.75" defaultRowHeight="16.5"/>
  <cols>
    <col min="1" max="1" width="20.125" bestFit="1" customWidth="1"/>
    <col min="3" max="3" width="12.75" bestFit="1" customWidth="1"/>
    <col min="4" max="5" width="14.625" bestFit="1" customWidth="1"/>
    <col min="6" max="6" width="13" bestFit="1" customWidth="1"/>
    <col min="7" max="7" width="12.25" bestFit="1" customWidth="1"/>
    <col min="8" max="8" width="14" bestFit="1" customWidth="1"/>
    <col min="9" max="9" width="13" bestFit="1" customWidth="1"/>
    <col min="10" max="10" width="10.5" customWidth="1"/>
    <col min="11" max="11" width="15" customWidth="1"/>
    <col min="12" max="14" width="13" bestFit="1" customWidth="1"/>
    <col min="15" max="15" width="14" bestFit="1" customWidth="1"/>
    <col min="16" max="16" width="11.25" bestFit="1" customWidth="1"/>
    <col min="17" max="17" width="13" bestFit="1" customWidth="1"/>
    <col min="18" max="18" width="16.75" bestFit="1" customWidth="1"/>
    <col min="19" max="19" width="15.25" bestFit="1" customWidth="1"/>
    <col min="20" max="20" width="15.5" customWidth="1"/>
    <col min="21" max="21" width="12.375" bestFit="1" customWidth="1"/>
  </cols>
  <sheetData>
    <row r="1" spans="1:11" s="75" customFormat="1" ht="21.75" customHeight="1">
      <c r="A1" s="103" t="s">
        <v>97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>
      <c r="A2" s="24" t="s">
        <v>20</v>
      </c>
      <c r="B2" s="65" t="s">
        <v>35</v>
      </c>
      <c r="C2" s="66" t="s">
        <v>36</v>
      </c>
      <c r="D2" s="65" t="s">
        <v>37</v>
      </c>
      <c r="E2" s="66" t="s">
        <v>38</v>
      </c>
      <c r="F2" s="67" t="s">
        <v>39</v>
      </c>
      <c r="G2" s="67" t="s">
        <v>40</v>
      </c>
      <c r="H2" s="68" t="s">
        <v>41</v>
      </c>
      <c r="I2" s="67" t="s">
        <v>42</v>
      </c>
      <c r="J2" s="67" t="s">
        <v>43</v>
      </c>
      <c r="K2" s="69" t="s">
        <v>44</v>
      </c>
    </row>
    <row r="3" spans="1:11" s="73" customFormat="1">
      <c r="A3" s="44" t="s">
        <v>3</v>
      </c>
      <c r="B3" s="70">
        <v>3794580</v>
      </c>
      <c r="C3" s="70">
        <v>1707561</v>
      </c>
      <c r="D3" s="70">
        <v>2626560</v>
      </c>
      <c r="E3" s="70">
        <v>919296</v>
      </c>
      <c r="F3" s="70">
        <v>2626857</v>
      </c>
      <c r="G3" s="70">
        <v>6421140</v>
      </c>
      <c r="H3" s="71"/>
      <c r="I3" s="72">
        <v>2626857</v>
      </c>
      <c r="J3" s="72">
        <v>2626857</v>
      </c>
      <c r="K3" s="72">
        <v>2626857</v>
      </c>
    </row>
  </sheetData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2FDF-B6A1-44DF-AE91-4721374AADC6}">
  <dimension ref="A2:M21"/>
  <sheetViews>
    <sheetView zoomScaleNormal="100" zoomScaleSheetLayoutView="75" workbookViewId="0">
      <selection activeCell="J33" sqref="J33"/>
    </sheetView>
  </sheetViews>
  <sheetFormatPr defaultColWidth="8.75" defaultRowHeight="16.5"/>
  <cols>
    <col min="3" max="3" width="11.625" customWidth="1"/>
    <col min="4" max="4" width="10.25" bestFit="1" customWidth="1"/>
    <col min="5" max="5" width="9.875" customWidth="1"/>
    <col min="6" max="6" width="10.75" bestFit="1" customWidth="1"/>
    <col min="7" max="7" width="10.875" bestFit="1" customWidth="1"/>
    <col min="8" max="8" width="11.75" customWidth="1"/>
  </cols>
  <sheetData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2"/>
      <c r="B3" s="2"/>
      <c r="C3" s="190" t="s">
        <v>22</v>
      </c>
      <c r="D3" s="190"/>
      <c r="E3" s="190"/>
      <c r="F3" s="190"/>
      <c r="G3" s="190"/>
      <c r="H3" s="190"/>
      <c r="I3" s="190"/>
      <c r="J3" s="190"/>
      <c r="K3" s="190"/>
      <c r="L3" s="190"/>
    </row>
    <row r="4" spans="1:13" ht="17.25" thickBot="1">
      <c r="A4" s="2"/>
      <c r="B4" s="3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3" ht="17.25" thickTop="1">
      <c r="A5" s="2"/>
      <c r="B5" s="2"/>
      <c r="C5" s="2"/>
      <c r="D5" s="2"/>
      <c r="E5" s="2"/>
      <c r="F5" s="2"/>
      <c r="G5" s="2"/>
      <c r="H5" s="2"/>
      <c r="I5" s="4"/>
      <c r="J5" s="5"/>
      <c r="K5" s="6"/>
      <c r="L5" s="7" t="s">
        <v>122</v>
      </c>
    </row>
    <row r="6" spans="1:13">
      <c r="A6" s="2"/>
      <c r="B6" s="2"/>
      <c r="C6" s="2"/>
      <c r="D6" s="2"/>
      <c r="E6" s="2"/>
      <c r="F6" s="2"/>
      <c r="G6" s="2"/>
      <c r="H6" s="2"/>
      <c r="I6" s="4"/>
      <c r="J6" s="5"/>
      <c r="K6" s="6"/>
      <c r="L6" s="7"/>
    </row>
    <row r="7" spans="1:13">
      <c r="A7" s="8"/>
      <c r="B7" s="8"/>
      <c r="C7" s="104" t="s">
        <v>116</v>
      </c>
      <c r="D7" s="192" t="s">
        <v>118</v>
      </c>
      <c r="E7" s="192"/>
      <c r="F7" s="192"/>
      <c r="G7" s="192"/>
      <c r="H7" s="104" t="s">
        <v>114</v>
      </c>
      <c r="I7" s="192" t="s">
        <v>119</v>
      </c>
      <c r="J7" s="192"/>
      <c r="K7" s="192"/>
      <c r="L7" s="10"/>
      <c r="M7" s="11"/>
    </row>
    <row r="8" spans="1:13">
      <c r="A8" s="12"/>
      <c r="B8" s="12"/>
      <c r="C8" s="104" t="s">
        <v>117</v>
      </c>
      <c r="D8" s="192" t="s">
        <v>126</v>
      </c>
      <c r="E8" s="192"/>
      <c r="F8" s="192"/>
      <c r="G8" s="192"/>
      <c r="H8" s="104" t="s">
        <v>115</v>
      </c>
      <c r="I8" s="193">
        <v>44804</v>
      </c>
      <c r="J8" s="193"/>
      <c r="K8" s="193"/>
      <c r="L8" s="12"/>
      <c r="M8" s="11"/>
    </row>
    <row r="9" spans="1:13">
      <c r="A9" s="12"/>
      <c r="B9" s="13"/>
      <c r="C9" s="14"/>
      <c r="D9" s="15"/>
      <c r="E9" s="15"/>
      <c r="F9" s="15"/>
      <c r="G9" s="15"/>
      <c r="H9" s="14"/>
      <c r="I9" s="16"/>
      <c r="J9" s="16"/>
      <c r="K9" s="16"/>
      <c r="L9" s="16"/>
      <c r="M9" s="11"/>
    </row>
    <row r="10" spans="1:13">
      <c r="A10" s="17"/>
      <c r="B10" s="18"/>
      <c r="L10" s="17"/>
    </row>
    <row r="11" spans="1:13">
      <c r="C11" s="19" t="s">
        <v>7</v>
      </c>
      <c r="G11" s="20"/>
      <c r="H11" s="20"/>
    </row>
    <row r="12" spans="1:13">
      <c r="C12" s="189" t="s">
        <v>27</v>
      </c>
      <c r="D12" s="189"/>
      <c r="E12" s="189"/>
      <c r="F12" s="189"/>
      <c r="G12" s="189"/>
      <c r="H12" s="189"/>
      <c r="I12" s="189"/>
      <c r="J12" s="189"/>
      <c r="K12" s="189"/>
    </row>
    <row r="13" spans="1:13">
      <c r="C13" s="36" t="s">
        <v>1</v>
      </c>
      <c r="D13" s="194" t="s">
        <v>5</v>
      </c>
      <c r="E13" s="195"/>
      <c r="F13" s="36" t="s">
        <v>12</v>
      </c>
      <c r="G13" s="36" t="s">
        <v>10</v>
      </c>
      <c r="H13" s="196" t="s">
        <v>26</v>
      </c>
      <c r="I13" s="197"/>
      <c r="J13" s="198" t="s">
        <v>6</v>
      </c>
      <c r="K13" s="198"/>
    </row>
    <row r="14" spans="1:13">
      <c r="C14" s="37" t="s">
        <v>125</v>
      </c>
      <c r="D14" s="199">
        <v>10746000</v>
      </c>
      <c r="E14" s="199"/>
      <c r="F14" s="1">
        <v>4402890</v>
      </c>
      <c r="G14" s="1">
        <v>0</v>
      </c>
      <c r="H14" s="199">
        <f>(F14-G14)*0.9</f>
        <v>3962601</v>
      </c>
      <c r="I14" s="199"/>
      <c r="J14" s="200">
        <f>(F14-G14)*0.1</f>
        <v>440289</v>
      </c>
      <c r="K14" s="200"/>
    </row>
    <row r="15" spans="1:13">
      <c r="C15" s="38"/>
    </row>
    <row r="16" spans="1:13">
      <c r="C16" s="25" t="s">
        <v>45</v>
      </c>
      <c r="D16" s="202" t="s">
        <v>96</v>
      </c>
      <c r="E16" s="203"/>
      <c r="F16" s="203"/>
      <c r="G16" s="204"/>
      <c r="H16" s="196" t="s">
        <v>26</v>
      </c>
      <c r="I16" s="197"/>
      <c r="J16" s="198" t="s">
        <v>6</v>
      </c>
      <c r="K16" s="198"/>
    </row>
    <row r="17" spans="3:11">
      <c r="C17" s="37" t="str">
        <f>C14</f>
        <v>7월</v>
      </c>
      <c r="D17" s="205">
        <f>F14</f>
        <v>4402890</v>
      </c>
      <c r="E17" s="206"/>
      <c r="F17" s="206"/>
      <c r="G17" s="207"/>
      <c r="H17" s="201">
        <f>D17*0.9</f>
        <v>3962601</v>
      </c>
      <c r="I17" s="201"/>
      <c r="J17" s="201">
        <f>D17*0.1</f>
        <v>440289</v>
      </c>
      <c r="K17" s="201"/>
    </row>
    <row r="19" spans="3:11">
      <c r="C19" s="42" t="s">
        <v>66</v>
      </c>
      <c r="I19" s="35"/>
      <c r="J19" s="35"/>
      <c r="K19" s="35"/>
    </row>
    <row r="20" spans="3:11">
      <c r="C20" s="43" t="s">
        <v>0</v>
      </c>
    </row>
    <row r="21" spans="3:11">
      <c r="J21" s="21" t="s">
        <v>24</v>
      </c>
    </row>
  </sheetData>
  <mergeCells count="18">
    <mergeCell ref="C12:K12"/>
    <mergeCell ref="C3:L4"/>
    <mergeCell ref="D7:G7"/>
    <mergeCell ref="I7:K7"/>
    <mergeCell ref="D8:G8"/>
    <mergeCell ref="I8:K8"/>
    <mergeCell ref="D13:E13"/>
    <mergeCell ref="H13:I13"/>
    <mergeCell ref="J13:K13"/>
    <mergeCell ref="D14:E14"/>
    <mergeCell ref="H14:I14"/>
    <mergeCell ref="J14:K14"/>
    <mergeCell ref="D16:G16"/>
    <mergeCell ref="H16:I16"/>
    <mergeCell ref="J16:K16"/>
    <mergeCell ref="D17:G17"/>
    <mergeCell ref="H17:I17"/>
    <mergeCell ref="J17:K17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712C-0CAA-4EBA-997D-6528A7B9CC4D}">
  <dimension ref="A2:M33"/>
  <sheetViews>
    <sheetView topLeftCell="A4" zoomScaleNormal="100" zoomScaleSheetLayoutView="75" workbookViewId="0">
      <selection activeCell="J33" sqref="J33"/>
    </sheetView>
  </sheetViews>
  <sheetFormatPr defaultColWidth="8.75" defaultRowHeight="16.5"/>
  <cols>
    <col min="1" max="2" width="8.75" style="106"/>
    <col min="3" max="3" width="11.75" style="106" customWidth="1"/>
    <col min="4" max="4" width="10.25" style="106" bestFit="1" customWidth="1"/>
    <col min="5" max="5" width="9.875" style="106" customWidth="1"/>
    <col min="6" max="6" width="10.75" style="106" bestFit="1" customWidth="1"/>
    <col min="7" max="7" width="10.875" style="106" bestFit="1" customWidth="1"/>
    <col min="8" max="8" width="10.625" style="106" customWidth="1"/>
    <col min="9" max="9" width="10.875" style="106" customWidth="1"/>
    <col min="10" max="16384" width="8.75" style="106"/>
  </cols>
  <sheetData>
    <row r="2" spans="1:13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3">
      <c r="A3" s="107"/>
      <c r="B3" s="107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</row>
    <row r="4" spans="1:13" ht="17.25" thickBot="1">
      <c r="A4" s="107"/>
      <c r="B4" s="108"/>
      <c r="C4" s="275"/>
      <c r="D4" s="275"/>
      <c r="E4" s="275"/>
      <c r="F4" s="275"/>
      <c r="G4" s="275"/>
      <c r="H4" s="275"/>
      <c r="I4" s="275"/>
      <c r="J4" s="275"/>
      <c r="K4" s="275"/>
      <c r="L4" s="275"/>
    </row>
    <row r="5" spans="1:13" ht="17.25" thickTop="1">
      <c r="A5" s="107"/>
      <c r="B5" s="107"/>
      <c r="C5" s="107"/>
      <c r="D5" s="107"/>
      <c r="E5" s="107"/>
      <c r="F5" s="107"/>
      <c r="G5" s="107"/>
      <c r="H5" s="107"/>
      <c r="I5" s="109"/>
      <c r="J5" s="110"/>
      <c r="K5" s="111"/>
      <c r="L5" s="112" t="s">
        <v>122</v>
      </c>
    </row>
    <row r="6" spans="1:13">
      <c r="A6" s="107"/>
      <c r="B6" s="107"/>
      <c r="C6" s="107"/>
      <c r="D6" s="107"/>
      <c r="E6" s="107"/>
      <c r="F6" s="107"/>
      <c r="G6" s="107"/>
      <c r="H6" s="107"/>
      <c r="I6" s="109"/>
      <c r="J6" s="110"/>
      <c r="K6" s="111"/>
      <c r="L6" s="112"/>
    </row>
    <row r="7" spans="1:13">
      <c r="A7" s="113"/>
      <c r="B7" s="113"/>
      <c r="C7" s="114" t="s">
        <v>116</v>
      </c>
      <c r="D7" s="276" t="s">
        <v>118</v>
      </c>
      <c r="E7" s="276"/>
      <c r="F7" s="276"/>
      <c r="G7" s="276"/>
      <c r="H7" s="114" t="s">
        <v>114</v>
      </c>
      <c r="I7" s="276" t="s">
        <v>119</v>
      </c>
      <c r="J7" s="276"/>
      <c r="K7" s="276"/>
      <c r="L7" s="10"/>
      <c r="M7" s="115"/>
    </row>
    <row r="8" spans="1:13">
      <c r="A8" s="116"/>
      <c r="B8" s="116"/>
      <c r="C8" s="114" t="s">
        <v>117</v>
      </c>
      <c r="D8" s="276" t="s">
        <v>123</v>
      </c>
      <c r="E8" s="276"/>
      <c r="F8" s="276"/>
      <c r="G8" s="276"/>
      <c r="H8" s="114" t="s">
        <v>115</v>
      </c>
      <c r="I8" s="277">
        <v>44804</v>
      </c>
      <c r="J8" s="277"/>
      <c r="K8" s="277"/>
      <c r="L8" s="116"/>
      <c r="M8" s="115"/>
    </row>
    <row r="9" spans="1:13">
      <c r="A9" s="116"/>
      <c r="B9" s="117"/>
      <c r="C9" s="118"/>
      <c r="D9" s="119"/>
      <c r="E9" s="119"/>
      <c r="F9" s="119"/>
      <c r="G9" s="119"/>
      <c r="H9" s="118"/>
      <c r="I9" s="120"/>
      <c r="J9" s="120"/>
      <c r="K9" s="120"/>
      <c r="L9" s="120"/>
      <c r="M9" s="115"/>
    </row>
    <row r="10" spans="1:13">
      <c r="A10" s="121"/>
      <c r="B10" s="122"/>
      <c r="L10" s="121"/>
    </row>
    <row r="11" spans="1:13">
      <c r="C11" s="123" t="s">
        <v>7</v>
      </c>
      <c r="G11" s="128"/>
      <c r="H11" s="128"/>
    </row>
    <row r="12" spans="1:13">
      <c r="C12" s="253" t="s">
        <v>98</v>
      </c>
      <c r="D12" s="253"/>
      <c r="E12" s="253"/>
      <c r="F12" s="253"/>
      <c r="G12" s="253"/>
      <c r="H12" s="253"/>
      <c r="I12" s="253"/>
      <c r="J12" s="253"/>
      <c r="K12" s="253"/>
    </row>
    <row r="13" spans="1:13">
      <c r="C13" s="55" t="s">
        <v>1</v>
      </c>
      <c r="D13" s="257" t="s">
        <v>51</v>
      </c>
      <c r="E13" s="258"/>
      <c r="F13" s="258"/>
      <c r="G13" s="259"/>
      <c r="H13" s="255" t="s">
        <v>26</v>
      </c>
      <c r="I13" s="256"/>
      <c r="J13" s="254" t="s">
        <v>6</v>
      </c>
      <c r="K13" s="254"/>
    </row>
    <row r="14" spans="1:13">
      <c r="C14" s="74" t="s">
        <v>95</v>
      </c>
      <c r="D14" s="231">
        <v>1927041</v>
      </c>
      <c r="E14" s="232"/>
      <c r="F14" s="232"/>
      <c r="G14" s="233"/>
      <c r="H14" s="234">
        <f>D14*0.9</f>
        <v>1734336.9000000001</v>
      </c>
      <c r="I14" s="234"/>
      <c r="J14" s="234">
        <f>D14*0.1</f>
        <v>192704.1</v>
      </c>
      <c r="K14" s="234"/>
    </row>
    <row r="15" spans="1:13">
      <c r="C15" s="253" t="s">
        <v>52</v>
      </c>
      <c r="D15" s="253"/>
      <c r="E15" s="253"/>
      <c r="F15" s="253"/>
      <c r="G15" s="253"/>
      <c r="H15" s="253"/>
      <c r="I15" s="253"/>
      <c r="J15" s="253"/>
      <c r="K15" s="253"/>
    </row>
    <row r="16" spans="1:13">
      <c r="C16" s="55" t="s">
        <v>1</v>
      </c>
      <c r="D16" s="55" t="s">
        <v>48</v>
      </c>
      <c r="E16" s="55" t="s">
        <v>128</v>
      </c>
      <c r="F16" s="55" t="s">
        <v>51</v>
      </c>
      <c r="G16" s="55" t="s">
        <v>129</v>
      </c>
      <c r="H16" s="126" t="s">
        <v>132</v>
      </c>
      <c r="I16" s="127" t="s">
        <v>131</v>
      </c>
      <c r="J16" s="254" t="s">
        <v>6</v>
      </c>
      <c r="K16" s="254"/>
    </row>
    <row r="17" spans="3:11">
      <c r="C17" s="272" t="str">
        <f>C14</f>
        <v>5월</v>
      </c>
      <c r="D17" s="105" t="s">
        <v>49</v>
      </c>
      <c r="E17" s="130">
        <v>15740</v>
      </c>
      <c r="F17" s="130">
        <v>577019</v>
      </c>
      <c r="G17" s="131" t="s">
        <v>130</v>
      </c>
      <c r="H17" s="129">
        <f>F17-E17</f>
        <v>561279</v>
      </c>
      <c r="I17" s="129">
        <f>H17*0.9</f>
        <v>505151.10000000003</v>
      </c>
      <c r="J17" s="234">
        <f>H17*0.1</f>
        <v>56127.9</v>
      </c>
      <c r="K17" s="234"/>
    </row>
    <row r="18" spans="3:11">
      <c r="C18" s="230"/>
      <c r="D18" s="124" t="s">
        <v>50</v>
      </c>
      <c r="E18" s="132">
        <v>2000000</v>
      </c>
      <c r="F18" s="132">
        <v>242960</v>
      </c>
      <c r="G18" s="132">
        <f>E18-F18</f>
        <v>1757040</v>
      </c>
      <c r="H18" s="129">
        <v>0</v>
      </c>
      <c r="I18" s="129">
        <v>0</v>
      </c>
      <c r="J18" s="273">
        <v>0</v>
      </c>
      <c r="K18" s="273"/>
    </row>
    <row r="19" spans="3:11">
      <c r="C19" s="38"/>
    </row>
    <row r="20" spans="3:11">
      <c r="C20" s="253" t="s">
        <v>154</v>
      </c>
      <c r="D20" s="253"/>
      <c r="E20" s="253"/>
      <c r="F20" s="253"/>
      <c r="G20" s="253"/>
      <c r="H20" s="253"/>
      <c r="I20" s="253"/>
      <c r="J20" s="253"/>
      <c r="K20" s="253"/>
    </row>
    <row r="21" spans="3:11">
      <c r="C21" s="257" t="s">
        <v>127</v>
      </c>
      <c r="D21" s="258"/>
      <c r="E21" s="258"/>
      <c r="F21" s="258"/>
      <c r="G21" s="259"/>
      <c r="H21" s="255" t="s">
        <v>26</v>
      </c>
      <c r="I21" s="256"/>
      <c r="J21" s="254" t="s">
        <v>6</v>
      </c>
      <c r="K21" s="254"/>
    </row>
    <row r="22" spans="3:11">
      <c r="C22" s="260">
        <v>2000000</v>
      </c>
      <c r="D22" s="261"/>
      <c r="E22" s="261"/>
      <c r="F22" s="261"/>
      <c r="G22" s="262"/>
      <c r="H22" s="234">
        <f>C22*0.9</f>
        <v>1800000</v>
      </c>
      <c r="I22" s="234"/>
      <c r="J22" s="234">
        <f>C22*0.1</f>
        <v>200000</v>
      </c>
      <c r="K22" s="234"/>
    </row>
    <row r="23" spans="3:11">
      <c r="C23" s="253" t="s">
        <v>133</v>
      </c>
      <c r="D23" s="253"/>
      <c r="E23" s="253"/>
      <c r="F23" s="253"/>
      <c r="G23" s="253"/>
      <c r="H23" s="253"/>
      <c r="I23" s="253"/>
      <c r="J23" s="253"/>
      <c r="K23" s="253"/>
    </row>
    <row r="24" spans="3:11">
      <c r="C24" s="257" t="s">
        <v>127</v>
      </c>
      <c r="D24" s="258"/>
      <c r="E24" s="258"/>
      <c r="F24" s="258"/>
      <c r="G24" s="259"/>
      <c r="H24" s="255" t="s">
        <v>26</v>
      </c>
      <c r="I24" s="256"/>
      <c r="J24" s="254" t="s">
        <v>6</v>
      </c>
      <c r="K24" s="254"/>
    </row>
    <row r="25" spans="3:11">
      <c r="C25" s="260">
        <v>2000000</v>
      </c>
      <c r="D25" s="261"/>
      <c r="E25" s="261"/>
      <c r="F25" s="261"/>
      <c r="G25" s="262"/>
      <c r="H25" s="234">
        <f>C25*0.9</f>
        <v>1800000</v>
      </c>
      <c r="I25" s="234"/>
      <c r="J25" s="234">
        <f>C25*0.1</f>
        <v>200000</v>
      </c>
      <c r="K25" s="234"/>
    </row>
    <row r="26" spans="3:11">
      <c r="C26" s="38"/>
    </row>
    <row r="27" spans="3:11">
      <c r="C27" s="55" t="s">
        <v>1</v>
      </c>
      <c r="D27" s="243" t="s">
        <v>124</v>
      </c>
      <c r="E27" s="244"/>
      <c r="F27" s="244"/>
      <c r="G27" s="245"/>
      <c r="H27" s="222" t="s">
        <v>69</v>
      </c>
      <c r="I27" s="251"/>
      <c r="J27" s="224" t="s">
        <v>70</v>
      </c>
      <c r="K27" s="252"/>
    </row>
    <row r="28" spans="3:11">
      <c r="C28" s="208" t="s">
        <v>125</v>
      </c>
      <c r="D28" s="211">
        <f>D14+H17+C22+C25</f>
        <v>6488320</v>
      </c>
      <c r="E28" s="246"/>
      <c r="F28" s="246"/>
      <c r="G28" s="209"/>
      <c r="H28" s="211">
        <f>D28*0.9</f>
        <v>5839488</v>
      </c>
      <c r="I28" s="209"/>
      <c r="J28" s="213">
        <f>D28*0.1</f>
        <v>648832</v>
      </c>
      <c r="K28" s="263"/>
    </row>
    <row r="29" spans="3:11">
      <c r="C29" s="208"/>
      <c r="D29" s="243" t="s">
        <v>72</v>
      </c>
      <c r="E29" s="244"/>
      <c r="F29" s="244"/>
      <c r="G29" s="245"/>
      <c r="H29" s="264" t="s">
        <v>73</v>
      </c>
      <c r="I29" s="265"/>
      <c r="J29" s="266" t="s">
        <v>74</v>
      </c>
      <c r="K29" s="266"/>
    </row>
    <row r="30" spans="3:11">
      <c r="C30" s="208"/>
      <c r="D30" s="267">
        <f>J28</f>
        <v>648832</v>
      </c>
      <c r="E30" s="268"/>
      <c r="F30" s="268"/>
      <c r="G30" s="269"/>
      <c r="H30" s="270">
        <f>D30*0.1</f>
        <v>64883.200000000004</v>
      </c>
      <c r="I30" s="270"/>
      <c r="J30" s="270">
        <f>D30+H30</f>
        <v>713715.19999999995</v>
      </c>
      <c r="K30" s="271"/>
    </row>
    <row r="32" spans="3:11">
      <c r="C32" s="42" t="s">
        <v>67</v>
      </c>
    </row>
    <row r="33" spans="3:10">
      <c r="C33" s="43" t="s">
        <v>0</v>
      </c>
      <c r="J33" s="125" t="s">
        <v>24</v>
      </c>
    </row>
  </sheetData>
  <mergeCells count="44">
    <mergeCell ref="C20:K20"/>
    <mergeCell ref="C21:G21"/>
    <mergeCell ref="H21:I21"/>
    <mergeCell ref="J21:K21"/>
    <mergeCell ref="C22:G22"/>
    <mergeCell ref="H22:I22"/>
    <mergeCell ref="J22:K22"/>
    <mergeCell ref="C12:K12"/>
    <mergeCell ref="C3:L4"/>
    <mergeCell ref="D7:G7"/>
    <mergeCell ref="I7:K7"/>
    <mergeCell ref="D8:G8"/>
    <mergeCell ref="I8:K8"/>
    <mergeCell ref="D13:G13"/>
    <mergeCell ref="H13:I13"/>
    <mergeCell ref="J13:K13"/>
    <mergeCell ref="D14:G14"/>
    <mergeCell ref="H14:I14"/>
    <mergeCell ref="J14:K14"/>
    <mergeCell ref="C15:K15"/>
    <mergeCell ref="J16:K16"/>
    <mergeCell ref="C17:C18"/>
    <mergeCell ref="J17:K17"/>
    <mergeCell ref="J18:K18"/>
    <mergeCell ref="C28:C30"/>
    <mergeCell ref="D28:G28"/>
    <mergeCell ref="H28:I28"/>
    <mergeCell ref="J28:K28"/>
    <mergeCell ref="D29:G29"/>
    <mergeCell ref="H29:I29"/>
    <mergeCell ref="J29:K29"/>
    <mergeCell ref="D30:G30"/>
    <mergeCell ref="H30:I30"/>
    <mergeCell ref="J30:K30"/>
    <mergeCell ref="D27:G27"/>
    <mergeCell ref="H27:I27"/>
    <mergeCell ref="J27:K27"/>
    <mergeCell ref="C23:K23"/>
    <mergeCell ref="J24:K24"/>
    <mergeCell ref="J25:K25"/>
    <mergeCell ref="H24:I24"/>
    <mergeCell ref="H25:I25"/>
    <mergeCell ref="C24:G24"/>
    <mergeCell ref="C25:G25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ECB5-4A63-4F9C-9C84-9BA71E0C34CD}">
  <dimension ref="A1:O36"/>
  <sheetViews>
    <sheetView topLeftCell="A3" zoomScale="85" zoomScaleNormal="85" zoomScaleSheetLayoutView="75" workbookViewId="0">
      <selection activeCell="J33" sqref="J33"/>
    </sheetView>
  </sheetViews>
  <sheetFormatPr defaultColWidth="8.75" defaultRowHeight="16.5"/>
  <cols>
    <col min="1" max="1" width="22.375" customWidth="1"/>
    <col min="2" max="2" width="13.375" customWidth="1"/>
    <col min="3" max="3" width="13" customWidth="1"/>
    <col min="4" max="5" width="14.625" bestFit="1" customWidth="1"/>
    <col min="6" max="6" width="13" bestFit="1" customWidth="1"/>
    <col min="7" max="7" width="13.625" customWidth="1"/>
    <col min="8" max="8" width="14" bestFit="1" customWidth="1"/>
    <col min="9" max="9" width="13" bestFit="1" customWidth="1"/>
    <col min="10" max="10" width="12.625" customWidth="1"/>
    <col min="11" max="11" width="15" customWidth="1"/>
    <col min="12" max="14" width="13" bestFit="1" customWidth="1"/>
    <col min="15" max="15" width="14" bestFit="1" customWidth="1"/>
    <col min="16" max="16" width="11.25" bestFit="1" customWidth="1"/>
    <col min="17" max="17" width="13" bestFit="1" customWidth="1"/>
    <col min="18" max="18" width="16.75" bestFit="1" customWidth="1"/>
    <col min="19" max="19" width="15.25" bestFit="1" customWidth="1"/>
    <col min="20" max="20" width="15.5" customWidth="1"/>
    <col min="21" max="21" width="12.375" bestFit="1" customWidth="1"/>
  </cols>
  <sheetData>
    <row r="1" spans="1:15" s="75" customFormat="1" ht="21.75" customHeight="1">
      <c r="A1" s="103" t="s">
        <v>97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5">
      <c r="A2" s="24" t="s">
        <v>20</v>
      </c>
      <c r="B2" s="65" t="s">
        <v>35</v>
      </c>
      <c r="C2" s="66" t="s">
        <v>36</v>
      </c>
      <c r="D2" s="65" t="s">
        <v>37</v>
      </c>
      <c r="E2" s="66" t="s">
        <v>38</v>
      </c>
      <c r="F2" s="67" t="s">
        <v>39</v>
      </c>
      <c r="G2" s="67" t="s">
        <v>40</v>
      </c>
      <c r="H2" s="68" t="s">
        <v>41</v>
      </c>
      <c r="I2" s="67" t="s">
        <v>42</v>
      </c>
      <c r="J2" s="67" t="s">
        <v>43</v>
      </c>
      <c r="K2" s="69" t="s">
        <v>44</v>
      </c>
    </row>
    <row r="3" spans="1:15" s="73" customFormat="1">
      <c r="A3" s="44" t="s">
        <v>3</v>
      </c>
      <c r="B3" s="70">
        <v>6417900</v>
      </c>
      <c r="C3" s="70">
        <v>2888055</v>
      </c>
      <c r="D3" s="70">
        <v>4328100</v>
      </c>
      <c r="E3" s="70">
        <v>1514835</v>
      </c>
      <c r="F3" s="70">
        <v>4402890</v>
      </c>
      <c r="G3" s="70">
        <v>10746000</v>
      </c>
      <c r="H3" s="71"/>
      <c r="I3" s="72">
        <v>4402890</v>
      </c>
      <c r="J3" s="72">
        <v>4402890</v>
      </c>
      <c r="K3" s="72">
        <v>4402890</v>
      </c>
    </row>
    <row r="6" spans="1:15" s="75" customFormat="1" ht="21.75" customHeight="1">
      <c r="A6" s="103" t="s">
        <v>134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</row>
    <row r="8" spans="1:15" ht="20.25">
      <c r="A8" s="77" t="s">
        <v>99</v>
      </c>
      <c r="B8" s="134"/>
      <c r="C8" s="134"/>
      <c r="D8" s="134"/>
      <c r="E8" s="134"/>
      <c r="F8" s="134"/>
      <c r="G8" s="134"/>
      <c r="H8" s="134"/>
      <c r="I8" s="31"/>
      <c r="J8" s="134"/>
    </row>
    <row r="9" spans="1:15">
      <c r="B9" s="134"/>
      <c r="C9" s="134"/>
      <c r="D9" s="134"/>
      <c r="E9" s="134"/>
      <c r="F9" s="134"/>
      <c r="G9" s="134"/>
      <c r="H9" s="134"/>
      <c r="I9" s="31"/>
      <c r="J9" s="134"/>
    </row>
    <row r="10" spans="1:15">
      <c r="A10" s="134" t="s">
        <v>135</v>
      </c>
      <c r="B10" s="134"/>
      <c r="C10" s="134"/>
      <c r="D10" s="134"/>
      <c r="E10" s="134"/>
      <c r="F10" s="134"/>
      <c r="G10" s="134"/>
      <c r="H10" s="134"/>
      <c r="I10" s="134"/>
      <c r="J10" s="134"/>
    </row>
    <row r="11" spans="1:15" ht="17.25">
      <c r="A11" s="82"/>
      <c r="B11" s="134"/>
      <c r="C11" s="134"/>
      <c r="D11" s="134"/>
      <c r="E11" s="134"/>
      <c r="F11" s="134"/>
      <c r="G11" s="134"/>
      <c r="H11" s="134"/>
      <c r="I11" s="134"/>
      <c r="J11" s="134"/>
    </row>
    <row r="12" spans="1:15" ht="18" thickBot="1">
      <c r="A12" s="83" t="s">
        <v>136</v>
      </c>
      <c r="B12" s="84"/>
      <c r="C12" s="139">
        <v>53953.63</v>
      </c>
      <c r="D12" s="134"/>
      <c r="E12" s="134"/>
      <c r="F12" s="134"/>
      <c r="G12" s="134"/>
      <c r="H12" s="134"/>
      <c r="I12" s="134"/>
      <c r="J12" s="134"/>
    </row>
    <row r="13" spans="1:15">
      <c r="A13" s="86"/>
      <c r="B13" s="86"/>
      <c r="C13" s="86"/>
      <c r="D13" s="134"/>
      <c r="E13" s="136"/>
      <c r="F13" s="136"/>
      <c r="G13" s="136"/>
      <c r="H13" s="136"/>
      <c r="I13" s="31"/>
      <c r="J13" s="134"/>
    </row>
    <row r="14" spans="1:15">
      <c r="A14" s="88" t="s">
        <v>102</v>
      </c>
      <c r="B14" s="89" t="s">
        <v>75</v>
      </c>
      <c r="C14" s="138" t="s">
        <v>137</v>
      </c>
      <c r="D14" s="135" t="s">
        <v>138</v>
      </c>
      <c r="E14" s="135" t="s">
        <v>139</v>
      </c>
      <c r="F14" s="135" t="s">
        <v>140</v>
      </c>
      <c r="G14" s="135" t="s">
        <v>141</v>
      </c>
      <c r="H14" s="135" t="s">
        <v>142</v>
      </c>
      <c r="I14" s="135" t="s">
        <v>143</v>
      </c>
      <c r="J14" s="137" t="s">
        <v>144</v>
      </c>
    </row>
    <row r="15" spans="1:15">
      <c r="A15" s="93">
        <v>2439</v>
      </c>
      <c r="B15" s="93" t="s">
        <v>3</v>
      </c>
      <c r="C15" s="143">
        <v>60300</v>
      </c>
      <c r="D15" s="144">
        <v>0</v>
      </c>
      <c r="E15" s="147">
        <v>192288.875</v>
      </c>
      <c r="F15" s="147">
        <v>57404.799999999996</v>
      </c>
      <c r="G15" s="147">
        <v>134884.07500000001</v>
      </c>
      <c r="H15" s="145">
        <v>53953.630000000005</v>
      </c>
      <c r="I15" s="140">
        <v>53953.630000000005</v>
      </c>
      <c r="J15" s="141">
        <v>53953.63</v>
      </c>
    </row>
    <row r="16" spans="1:15">
      <c r="A16" s="250" t="s">
        <v>111</v>
      </c>
      <c r="B16" s="250"/>
      <c r="C16" s="148">
        <v>60300</v>
      </c>
      <c r="D16" s="146">
        <v>0</v>
      </c>
      <c r="E16" s="146">
        <v>192288.875</v>
      </c>
      <c r="F16" s="146">
        <v>57404.799999999996</v>
      </c>
      <c r="G16" s="146">
        <v>134884.07500000001</v>
      </c>
      <c r="H16" s="146">
        <v>53953.630000000005</v>
      </c>
      <c r="I16" s="140">
        <v>53953.630000000005</v>
      </c>
      <c r="J16" s="142">
        <v>53953.63</v>
      </c>
    </row>
    <row r="18" spans="1:15" s="75" customFormat="1" ht="21.75" customHeight="1">
      <c r="A18" s="103" t="s">
        <v>150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</row>
    <row r="19" spans="1:15">
      <c r="A19" s="133" t="s">
        <v>54</v>
      </c>
      <c r="B19" s="133" t="s">
        <v>55</v>
      </c>
      <c r="C19" s="133" t="s">
        <v>56</v>
      </c>
      <c r="D19" s="133" t="s">
        <v>145</v>
      </c>
      <c r="E19" s="133" t="s">
        <v>146</v>
      </c>
      <c r="F19" s="133" t="s">
        <v>147</v>
      </c>
      <c r="G19" s="133" t="s">
        <v>148</v>
      </c>
      <c r="H19" s="133" t="s">
        <v>57</v>
      </c>
    </row>
    <row r="20" spans="1:15">
      <c r="A20" s="150" t="s">
        <v>58</v>
      </c>
      <c r="B20" s="149">
        <v>428.94</v>
      </c>
      <c r="C20" s="151">
        <v>577019</v>
      </c>
      <c r="D20" s="151">
        <v>2000000</v>
      </c>
      <c r="E20" s="151">
        <v>15740</v>
      </c>
      <c r="F20" s="150">
        <v>0</v>
      </c>
      <c r="G20" s="151">
        <v>561279</v>
      </c>
      <c r="H20" s="150" t="s">
        <v>59</v>
      </c>
    </row>
    <row r="21" spans="1:15">
      <c r="A21" s="152" t="s">
        <v>75</v>
      </c>
      <c r="B21" s="152" t="s">
        <v>76</v>
      </c>
      <c r="C21" s="152" t="s">
        <v>77</v>
      </c>
      <c r="D21" s="152" t="s">
        <v>78</v>
      </c>
      <c r="E21" s="152" t="s">
        <v>79</v>
      </c>
      <c r="F21" s="152" t="s">
        <v>80</v>
      </c>
      <c r="G21" s="152" t="s">
        <v>149</v>
      </c>
    </row>
    <row r="22" spans="1:15">
      <c r="A22" s="278" t="s">
        <v>58</v>
      </c>
      <c r="B22" s="150" t="s">
        <v>82</v>
      </c>
      <c r="C22" s="150" t="s">
        <v>83</v>
      </c>
      <c r="D22" s="151">
        <v>6308</v>
      </c>
      <c r="E22" s="150">
        <v>0.17</v>
      </c>
      <c r="F22" s="154">
        <v>1072.3599999999999</v>
      </c>
      <c r="G22" s="150">
        <v>428.94</v>
      </c>
    </row>
    <row r="23" spans="1:15">
      <c r="A23" s="279"/>
      <c r="B23" s="150" t="s">
        <v>82</v>
      </c>
      <c r="C23" s="150" t="s">
        <v>84</v>
      </c>
      <c r="D23" s="150">
        <v>0</v>
      </c>
      <c r="E23" s="150">
        <v>0.12</v>
      </c>
      <c r="F23" s="150">
        <v>0</v>
      </c>
      <c r="G23" s="150">
        <v>0</v>
      </c>
    </row>
    <row r="24" spans="1:15">
      <c r="A24" s="279"/>
      <c r="B24" s="150" t="s">
        <v>82</v>
      </c>
      <c r="C24" s="150" t="s">
        <v>85</v>
      </c>
      <c r="D24" s="150">
        <v>0</v>
      </c>
      <c r="E24" s="150">
        <v>0.12</v>
      </c>
      <c r="F24" s="150">
        <v>0</v>
      </c>
      <c r="G24" s="150">
        <v>0</v>
      </c>
    </row>
    <row r="25" spans="1:15">
      <c r="A25" s="280"/>
      <c r="B25" s="150" t="s">
        <v>86</v>
      </c>
      <c r="C25" s="153"/>
      <c r="D25" s="151">
        <v>6308</v>
      </c>
      <c r="E25" s="153"/>
      <c r="F25" s="154">
        <v>1072.3599999999999</v>
      </c>
      <c r="G25" s="150">
        <v>428.94</v>
      </c>
    </row>
    <row r="26" spans="1:15">
      <c r="A26" s="150" t="s">
        <v>87</v>
      </c>
      <c r="B26" s="153"/>
      <c r="C26" s="153"/>
      <c r="D26" s="151">
        <v>6308</v>
      </c>
      <c r="E26" s="153"/>
      <c r="F26" s="154">
        <v>1072.3599999999999</v>
      </c>
      <c r="G26" s="149">
        <v>428.94</v>
      </c>
    </row>
    <row r="28" spans="1:15" s="75" customFormat="1" ht="21.75" customHeight="1">
      <c r="A28" s="103" t="s">
        <v>151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</row>
    <row r="29" spans="1:15">
      <c r="A29" s="133" t="s">
        <v>54</v>
      </c>
      <c r="B29" s="133" t="s">
        <v>55</v>
      </c>
      <c r="C29" s="133" t="s">
        <v>56</v>
      </c>
      <c r="D29" s="133" t="s">
        <v>145</v>
      </c>
      <c r="E29" s="133" t="s">
        <v>146</v>
      </c>
      <c r="F29" s="133" t="s">
        <v>147</v>
      </c>
      <c r="G29" s="133" t="s">
        <v>148</v>
      </c>
      <c r="H29" s="133" t="s">
        <v>57</v>
      </c>
    </row>
    <row r="30" spans="1:15">
      <c r="A30" s="150" t="s">
        <v>152</v>
      </c>
      <c r="B30" s="149">
        <v>180.61</v>
      </c>
      <c r="C30" s="151">
        <v>242960</v>
      </c>
      <c r="D30" s="151">
        <v>2000000</v>
      </c>
      <c r="E30" s="151">
        <v>2000000</v>
      </c>
      <c r="F30" s="151">
        <v>1757040</v>
      </c>
      <c r="G30" s="150">
        <v>0</v>
      </c>
      <c r="H30" s="150" t="s">
        <v>59</v>
      </c>
    </row>
    <row r="31" spans="1:15">
      <c r="A31" s="152" t="s">
        <v>75</v>
      </c>
      <c r="B31" s="152" t="s">
        <v>76</v>
      </c>
      <c r="C31" s="152" t="s">
        <v>77</v>
      </c>
      <c r="D31" s="152" t="s">
        <v>78</v>
      </c>
      <c r="E31" s="152" t="s">
        <v>79</v>
      </c>
      <c r="F31" s="152" t="s">
        <v>80</v>
      </c>
      <c r="G31" s="152" t="s">
        <v>149</v>
      </c>
    </row>
    <row r="32" spans="1:15">
      <c r="A32" s="278" t="s">
        <v>152</v>
      </c>
      <c r="B32" s="150" t="s">
        <v>153</v>
      </c>
      <c r="C32" s="150" t="s">
        <v>83</v>
      </c>
      <c r="D32" s="151">
        <v>2656</v>
      </c>
      <c r="E32" s="150">
        <v>0.17</v>
      </c>
      <c r="F32" s="150">
        <v>451.52</v>
      </c>
      <c r="G32" s="150">
        <v>180.61</v>
      </c>
    </row>
    <row r="33" spans="1:7">
      <c r="A33" s="279"/>
      <c r="B33" s="150" t="s">
        <v>153</v>
      </c>
      <c r="C33" s="150" t="s">
        <v>84</v>
      </c>
      <c r="D33" s="150">
        <v>0</v>
      </c>
      <c r="E33" s="150">
        <v>0.12</v>
      </c>
      <c r="F33" s="150">
        <v>0</v>
      </c>
      <c r="G33" s="150">
        <v>0</v>
      </c>
    </row>
    <row r="34" spans="1:7">
      <c r="A34" s="279"/>
      <c r="B34" s="150" t="s">
        <v>153</v>
      </c>
      <c r="C34" s="150" t="s">
        <v>85</v>
      </c>
      <c r="D34" s="150">
        <v>0</v>
      </c>
      <c r="E34" s="150">
        <v>0.12</v>
      </c>
      <c r="F34" s="150">
        <v>0</v>
      </c>
      <c r="G34" s="150">
        <v>0</v>
      </c>
    </row>
    <row r="35" spans="1:7">
      <c r="A35" s="280"/>
      <c r="B35" s="150" t="s">
        <v>86</v>
      </c>
      <c r="C35" s="153"/>
      <c r="D35" s="151">
        <v>2656</v>
      </c>
      <c r="E35" s="153"/>
      <c r="F35" s="150">
        <v>451.52</v>
      </c>
      <c r="G35" s="150">
        <v>180.61</v>
      </c>
    </row>
    <row r="36" spans="1:7">
      <c r="A36" s="150" t="s">
        <v>87</v>
      </c>
      <c r="B36" s="153"/>
      <c r="C36" s="153"/>
      <c r="D36" s="151">
        <v>2656</v>
      </c>
      <c r="E36" s="153"/>
      <c r="F36" s="150">
        <v>451.52</v>
      </c>
      <c r="G36" s="149">
        <v>180.61</v>
      </c>
    </row>
  </sheetData>
  <mergeCells count="3">
    <mergeCell ref="A16:B16"/>
    <mergeCell ref="A22:A25"/>
    <mergeCell ref="A32:A35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AEE4-0C22-4BAA-9B8B-5CBB77399CCC}">
  <dimension ref="A2:M24"/>
  <sheetViews>
    <sheetView zoomScaleNormal="100" zoomScaleSheetLayoutView="75" workbookViewId="0">
      <selection activeCell="I36" sqref="I36"/>
    </sheetView>
  </sheetViews>
  <sheetFormatPr defaultColWidth="8.75" defaultRowHeight="16.5"/>
  <cols>
    <col min="3" max="3" width="11.625" customWidth="1"/>
    <col min="4" max="4" width="10.25" bestFit="1" customWidth="1"/>
    <col min="5" max="5" width="9.875" customWidth="1"/>
    <col min="6" max="6" width="10.75" bestFit="1" customWidth="1"/>
    <col min="7" max="7" width="10.875" bestFit="1" customWidth="1"/>
    <col min="8" max="8" width="11.75" customWidth="1"/>
  </cols>
  <sheetData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2"/>
      <c r="B3" s="2"/>
      <c r="C3" s="190" t="s">
        <v>22</v>
      </c>
      <c r="D3" s="190"/>
      <c r="E3" s="190"/>
      <c r="F3" s="190"/>
      <c r="G3" s="190"/>
      <c r="H3" s="190"/>
      <c r="I3" s="190"/>
      <c r="J3" s="190"/>
      <c r="K3" s="190"/>
      <c r="L3" s="190"/>
    </row>
    <row r="4" spans="1:13" ht="17.25" thickBot="1">
      <c r="A4" s="2"/>
      <c r="B4" s="3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3" ht="17.25" thickTop="1">
      <c r="A5" s="2"/>
      <c r="B5" s="2"/>
      <c r="C5" s="2"/>
      <c r="D5" s="2"/>
      <c r="E5" s="2"/>
      <c r="F5" s="2"/>
      <c r="G5" s="2"/>
      <c r="H5" s="2"/>
      <c r="I5" s="4"/>
      <c r="J5" s="5"/>
      <c r="K5" s="6"/>
      <c r="L5" s="7" t="s">
        <v>155</v>
      </c>
    </row>
    <row r="6" spans="1:13">
      <c r="A6" s="2"/>
      <c r="B6" s="2"/>
      <c r="C6" s="2"/>
      <c r="D6" s="2"/>
      <c r="E6" s="2"/>
      <c r="F6" s="2"/>
      <c r="G6" s="2"/>
      <c r="H6" s="2"/>
      <c r="I6" s="4"/>
      <c r="J6" s="5"/>
      <c r="K6" s="6"/>
      <c r="L6" s="7"/>
    </row>
    <row r="7" spans="1:13">
      <c r="A7" s="8"/>
      <c r="B7" s="8"/>
      <c r="C7" s="104" t="s">
        <v>116</v>
      </c>
      <c r="D7" s="192" t="s">
        <v>118</v>
      </c>
      <c r="E7" s="192"/>
      <c r="F7" s="192"/>
      <c r="G7" s="192"/>
      <c r="H7" s="104" t="s">
        <v>114</v>
      </c>
      <c r="I7" s="192" t="s">
        <v>119</v>
      </c>
      <c r="J7" s="192"/>
      <c r="K7" s="192"/>
      <c r="L7" s="10"/>
      <c r="M7" s="11"/>
    </row>
    <row r="8" spans="1:13">
      <c r="A8" s="12"/>
      <c r="B8" s="12"/>
      <c r="C8" s="104" t="s">
        <v>117</v>
      </c>
      <c r="D8" s="192" t="s">
        <v>156</v>
      </c>
      <c r="E8" s="192"/>
      <c r="F8" s="192"/>
      <c r="G8" s="192"/>
      <c r="H8" s="104" t="s">
        <v>115</v>
      </c>
      <c r="I8" s="193" t="s">
        <v>172</v>
      </c>
      <c r="J8" s="193"/>
      <c r="K8" s="193"/>
      <c r="L8" s="12"/>
      <c r="M8" s="11"/>
    </row>
    <row r="9" spans="1:13">
      <c r="A9" s="12"/>
      <c r="B9" s="13"/>
      <c r="C9" s="14"/>
      <c r="D9" s="15"/>
      <c r="E9" s="15"/>
      <c r="F9" s="15"/>
      <c r="G9" s="15"/>
      <c r="H9" s="14"/>
      <c r="I9" s="16"/>
      <c r="J9" s="16"/>
      <c r="K9" s="16"/>
      <c r="L9" s="16"/>
      <c r="M9" s="11"/>
    </row>
    <row r="10" spans="1:13">
      <c r="A10" s="17"/>
      <c r="B10" s="18"/>
      <c r="L10" s="17"/>
    </row>
    <row r="11" spans="1:13">
      <c r="C11" s="19" t="s">
        <v>7</v>
      </c>
      <c r="G11" s="20"/>
      <c r="H11" s="20"/>
    </row>
    <row r="12" spans="1:13">
      <c r="C12" s="189" t="s">
        <v>170</v>
      </c>
      <c r="D12" s="189"/>
      <c r="E12" s="189"/>
      <c r="F12" s="189"/>
      <c r="G12" s="189"/>
      <c r="H12" s="189"/>
      <c r="I12" s="189"/>
      <c r="J12" s="189"/>
      <c r="K12" s="189"/>
    </row>
    <row r="13" spans="1:13">
      <c r="C13" s="36" t="s">
        <v>1</v>
      </c>
      <c r="D13" s="226" t="s">
        <v>5</v>
      </c>
      <c r="E13" s="228"/>
      <c r="F13" s="36" t="s">
        <v>12</v>
      </c>
      <c r="G13" s="36" t="s">
        <v>10</v>
      </c>
      <c r="H13" s="196" t="s">
        <v>26</v>
      </c>
      <c r="I13" s="197"/>
      <c r="J13" s="198" t="s">
        <v>6</v>
      </c>
      <c r="K13" s="198"/>
    </row>
    <row r="14" spans="1:13">
      <c r="C14" s="37" t="s">
        <v>157</v>
      </c>
      <c r="D14" s="260">
        <v>4016520</v>
      </c>
      <c r="E14" s="262"/>
      <c r="F14" s="1">
        <v>1641330</v>
      </c>
      <c r="G14" s="1">
        <v>0</v>
      </c>
      <c r="H14" s="199">
        <f>(F14-G14)*0.9</f>
        <v>1477197</v>
      </c>
      <c r="I14" s="199"/>
      <c r="J14" s="200">
        <f>(F14-G14)*0.1</f>
        <v>164133</v>
      </c>
      <c r="K14" s="200"/>
    </row>
    <row r="15" spans="1:13">
      <c r="C15" s="189" t="s">
        <v>171</v>
      </c>
      <c r="D15" s="189"/>
      <c r="E15" s="189"/>
      <c r="F15" s="189"/>
      <c r="G15" s="189"/>
      <c r="H15" s="189"/>
      <c r="I15" s="189"/>
      <c r="J15" s="189"/>
      <c r="K15" s="189"/>
    </row>
    <row r="16" spans="1:13">
      <c r="C16" s="36" t="s">
        <v>1</v>
      </c>
      <c r="D16" s="226" t="s">
        <v>158</v>
      </c>
      <c r="E16" s="228"/>
      <c r="F16" s="226" t="s">
        <v>12</v>
      </c>
      <c r="G16" s="228"/>
      <c r="H16" s="196" t="s">
        <v>26</v>
      </c>
      <c r="I16" s="197"/>
      <c r="J16" s="198" t="s">
        <v>6</v>
      </c>
      <c r="K16" s="198"/>
    </row>
    <row r="17" spans="3:11">
      <c r="C17" s="37" t="s">
        <v>125</v>
      </c>
      <c r="D17" s="260">
        <v>31374980</v>
      </c>
      <c r="E17" s="262"/>
      <c r="F17" s="260">
        <v>15687490</v>
      </c>
      <c r="G17" s="262"/>
      <c r="H17" s="199">
        <f>F17*0.9</f>
        <v>14118741</v>
      </c>
      <c r="I17" s="199"/>
      <c r="J17" s="200">
        <f>F17*0.1</f>
        <v>1568749</v>
      </c>
      <c r="K17" s="200"/>
    </row>
    <row r="18" spans="3:11">
      <c r="C18" s="38"/>
    </row>
    <row r="19" spans="3:11">
      <c r="C19" s="25" t="s">
        <v>45</v>
      </c>
      <c r="D19" s="202" t="s">
        <v>96</v>
      </c>
      <c r="E19" s="203"/>
      <c r="F19" s="203"/>
      <c r="G19" s="204"/>
      <c r="H19" s="196" t="s">
        <v>26</v>
      </c>
      <c r="I19" s="197"/>
      <c r="J19" s="198" t="s">
        <v>6</v>
      </c>
      <c r="K19" s="198"/>
    </row>
    <row r="20" spans="3:11">
      <c r="C20" s="37" t="str">
        <f>C14</f>
        <v>8월</v>
      </c>
      <c r="D20" s="205">
        <f>+F14+F17</f>
        <v>17328820</v>
      </c>
      <c r="E20" s="206"/>
      <c r="F20" s="206"/>
      <c r="G20" s="207"/>
      <c r="H20" s="201">
        <f>D20*0.9</f>
        <v>15595938</v>
      </c>
      <c r="I20" s="201"/>
      <c r="J20" s="201">
        <f>D20*0.1</f>
        <v>1732882</v>
      </c>
      <c r="K20" s="201"/>
    </row>
    <row r="22" spans="3:11">
      <c r="C22" s="42" t="s">
        <v>66</v>
      </c>
      <c r="I22" s="35"/>
      <c r="J22" s="35"/>
      <c r="K22" s="35"/>
    </row>
    <row r="23" spans="3:11">
      <c r="C23" s="43" t="s">
        <v>0</v>
      </c>
    </row>
    <row r="24" spans="3:11">
      <c r="J24" s="21" t="s">
        <v>24</v>
      </c>
    </row>
  </sheetData>
  <mergeCells count="27">
    <mergeCell ref="C12:K12"/>
    <mergeCell ref="C3:L4"/>
    <mergeCell ref="D7:G7"/>
    <mergeCell ref="I7:K7"/>
    <mergeCell ref="D8:G8"/>
    <mergeCell ref="I8:K8"/>
    <mergeCell ref="D13:E13"/>
    <mergeCell ref="H13:I13"/>
    <mergeCell ref="J13:K13"/>
    <mergeCell ref="D14:E14"/>
    <mergeCell ref="H14:I14"/>
    <mergeCell ref="J14:K14"/>
    <mergeCell ref="D19:G19"/>
    <mergeCell ref="H19:I19"/>
    <mergeCell ref="J19:K19"/>
    <mergeCell ref="D20:G20"/>
    <mergeCell ref="H20:I20"/>
    <mergeCell ref="J20:K20"/>
    <mergeCell ref="C15:K15"/>
    <mergeCell ref="D16:E16"/>
    <mergeCell ref="H16:I16"/>
    <mergeCell ref="J16:K16"/>
    <mergeCell ref="D17:E17"/>
    <mergeCell ref="H17:I17"/>
    <mergeCell ref="J17:K17"/>
    <mergeCell ref="F16:G16"/>
    <mergeCell ref="F17:G17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89A4-AB3C-4C59-A881-0237F9BEB66D}">
  <dimension ref="A2:M26"/>
  <sheetViews>
    <sheetView zoomScaleNormal="100" zoomScaleSheetLayoutView="75" workbookViewId="0">
      <selection activeCell="H33" sqref="H33"/>
    </sheetView>
  </sheetViews>
  <sheetFormatPr defaultColWidth="8.75" defaultRowHeight="16.5"/>
  <cols>
    <col min="1" max="2" width="8.75" style="106"/>
    <col min="3" max="3" width="11.75" style="106" customWidth="1"/>
    <col min="4" max="4" width="10.25" style="106" bestFit="1" customWidth="1"/>
    <col min="5" max="5" width="9.875" style="106" customWidth="1"/>
    <col min="6" max="6" width="10.75" style="106" bestFit="1" customWidth="1"/>
    <col min="7" max="7" width="10.875" style="106" bestFit="1" customWidth="1"/>
    <col min="8" max="8" width="11" style="106" customWidth="1"/>
    <col min="9" max="9" width="10.875" style="106" customWidth="1"/>
    <col min="10" max="16384" width="8.75" style="106"/>
  </cols>
  <sheetData>
    <row r="2" spans="1:13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3">
      <c r="A3" s="107"/>
      <c r="B3" s="107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</row>
    <row r="4" spans="1:13" ht="17.25" thickBot="1">
      <c r="A4" s="107"/>
      <c r="B4" s="108"/>
      <c r="C4" s="275"/>
      <c r="D4" s="275"/>
      <c r="E4" s="275"/>
      <c r="F4" s="275"/>
      <c r="G4" s="275"/>
      <c r="H4" s="275"/>
      <c r="I4" s="275"/>
      <c r="J4" s="275"/>
      <c r="K4" s="275"/>
      <c r="L4" s="275"/>
    </row>
    <row r="5" spans="1:13" ht="17.25" thickTop="1">
      <c r="A5" s="107"/>
      <c r="B5" s="107"/>
      <c r="C5" s="107"/>
      <c r="D5" s="107"/>
      <c r="E5" s="107"/>
      <c r="F5" s="107"/>
      <c r="G5" s="107"/>
      <c r="H5" s="107"/>
      <c r="I5" s="109"/>
      <c r="J5" s="110"/>
      <c r="K5" s="111"/>
      <c r="L5" s="112" t="s">
        <v>155</v>
      </c>
    </row>
    <row r="6" spans="1:13">
      <c r="A6" s="107"/>
      <c r="B6" s="107"/>
      <c r="C6" s="107"/>
      <c r="D6" s="107"/>
      <c r="E6" s="107"/>
      <c r="F6" s="107"/>
      <c r="G6" s="107"/>
      <c r="H6" s="107"/>
      <c r="I6" s="109"/>
      <c r="J6" s="110"/>
      <c r="K6" s="111"/>
      <c r="L6" s="112"/>
    </row>
    <row r="7" spans="1:13">
      <c r="A7" s="113"/>
      <c r="B7" s="113"/>
      <c r="C7" s="114" t="s">
        <v>116</v>
      </c>
      <c r="D7" s="276" t="s">
        <v>118</v>
      </c>
      <c r="E7" s="276"/>
      <c r="F7" s="276"/>
      <c r="G7" s="276"/>
      <c r="H7" s="114" t="s">
        <v>114</v>
      </c>
      <c r="I7" s="276" t="s">
        <v>119</v>
      </c>
      <c r="J7" s="276"/>
      <c r="K7" s="276"/>
      <c r="L7" s="10"/>
      <c r="M7" s="115"/>
    </row>
    <row r="8" spans="1:13">
      <c r="A8" s="116"/>
      <c r="B8" s="116"/>
      <c r="C8" s="114" t="s">
        <v>117</v>
      </c>
      <c r="D8" s="276" t="s">
        <v>121</v>
      </c>
      <c r="E8" s="276"/>
      <c r="F8" s="276"/>
      <c r="G8" s="276"/>
      <c r="H8" s="114" t="s">
        <v>115</v>
      </c>
      <c r="I8" s="277" t="s">
        <v>172</v>
      </c>
      <c r="J8" s="277"/>
      <c r="K8" s="277"/>
      <c r="L8" s="116"/>
      <c r="M8" s="115"/>
    </row>
    <row r="9" spans="1:13">
      <c r="A9" s="116"/>
      <c r="B9" s="117"/>
      <c r="C9" s="118"/>
      <c r="D9" s="119"/>
      <c r="E9" s="119"/>
      <c r="F9" s="119"/>
      <c r="G9" s="119"/>
      <c r="H9" s="118"/>
      <c r="I9" s="120"/>
      <c r="J9" s="120"/>
      <c r="K9" s="120"/>
      <c r="L9" s="120"/>
      <c r="M9" s="115"/>
    </row>
    <row r="10" spans="1:13">
      <c r="A10" s="121"/>
      <c r="B10" s="122"/>
      <c r="L10" s="121"/>
    </row>
    <row r="11" spans="1:13">
      <c r="C11" s="123" t="s">
        <v>7</v>
      </c>
      <c r="G11" s="128"/>
      <c r="H11" s="128"/>
    </row>
    <row r="12" spans="1:13">
      <c r="C12" s="253" t="s">
        <v>98</v>
      </c>
      <c r="D12" s="253"/>
      <c r="E12" s="253"/>
      <c r="F12" s="253"/>
      <c r="G12" s="253"/>
      <c r="H12" s="253"/>
      <c r="I12" s="253"/>
      <c r="J12" s="253"/>
      <c r="K12" s="253"/>
    </row>
    <row r="13" spans="1:13">
      <c r="C13" s="55" t="s">
        <v>1</v>
      </c>
      <c r="D13" s="257" t="s">
        <v>51</v>
      </c>
      <c r="E13" s="258"/>
      <c r="F13" s="258"/>
      <c r="G13" s="259"/>
      <c r="H13" s="255" t="s">
        <v>26</v>
      </c>
      <c r="I13" s="256"/>
      <c r="J13" s="254" t="s">
        <v>6</v>
      </c>
      <c r="K13" s="254"/>
    </row>
    <row r="14" spans="1:13">
      <c r="C14" s="74" t="s">
        <v>113</v>
      </c>
      <c r="D14" s="231">
        <v>2422442</v>
      </c>
      <c r="E14" s="232"/>
      <c r="F14" s="232"/>
      <c r="G14" s="233"/>
      <c r="H14" s="234">
        <f>D14*0.9</f>
        <v>2180197.8000000003</v>
      </c>
      <c r="I14" s="234"/>
      <c r="J14" s="234">
        <f>D14*0.1</f>
        <v>242244.2</v>
      </c>
      <c r="K14" s="234"/>
    </row>
    <row r="15" spans="1:13">
      <c r="C15" s="253" t="s">
        <v>52</v>
      </c>
      <c r="D15" s="253"/>
      <c r="E15" s="253"/>
      <c r="F15" s="253"/>
      <c r="G15" s="253"/>
      <c r="H15" s="253"/>
      <c r="I15" s="253"/>
      <c r="J15" s="253"/>
      <c r="K15" s="253"/>
    </row>
    <row r="16" spans="1:13">
      <c r="C16" s="55" t="s">
        <v>1</v>
      </c>
      <c r="D16" s="55" t="s">
        <v>48</v>
      </c>
      <c r="E16" s="55" t="s">
        <v>128</v>
      </c>
      <c r="F16" s="55" t="s">
        <v>51</v>
      </c>
      <c r="G16" s="55" t="s">
        <v>129</v>
      </c>
      <c r="H16" s="126" t="s">
        <v>132</v>
      </c>
      <c r="I16" s="127" t="s">
        <v>131</v>
      </c>
      <c r="J16" s="254" t="s">
        <v>6</v>
      </c>
      <c r="K16" s="254"/>
    </row>
    <row r="17" spans="3:11">
      <c r="C17" s="272" t="str">
        <f>C14</f>
        <v>6월</v>
      </c>
      <c r="D17" s="105" t="s">
        <v>49</v>
      </c>
      <c r="E17" s="130"/>
      <c r="F17" s="130">
        <v>559147</v>
      </c>
      <c r="G17" s="131"/>
      <c r="H17" s="129">
        <v>0</v>
      </c>
      <c r="I17" s="129">
        <f>F17*0.9</f>
        <v>503232.3</v>
      </c>
      <c r="J17" s="234">
        <f>F17*0.1</f>
        <v>55914.700000000004</v>
      </c>
      <c r="K17" s="234"/>
    </row>
    <row r="18" spans="3:11">
      <c r="C18" s="230"/>
      <c r="D18" s="124" t="s">
        <v>50</v>
      </c>
      <c r="E18" s="132">
        <v>1757040</v>
      </c>
      <c r="F18" s="132">
        <v>166187</v>
      </c>
      <c r="G18" s="132">
        <f>E18-F18</f>
        <v>1590853</v>
      </c>
      <c r="H18" s="129">
        <v>0</v>
      </c>
      <c r="I18" s="129">
        <v>0</v>
      </c>
      <c r="J18" s="273">
        <v>0</v>
      </c>
      <c r="K18" s="273"/>
    </row>
    <row r="19" spans="3:11">
      <c r="C19" s="38"/>
    </row>
    <row r="20" spans="3:11">
      <c r="C20" s="55" t="s">
        <v>1</v>
      </c>
      <c r="D20" s="243" t="s">
        <v>124</v>
      </c>
      <c r="E20" s="244"/>
      <c r="F20" s="244"/>
      <c r="G20" s="245"/>
      <c r="H20" s="222" t="s">
        <v>69</v>
      </c>
      <c r="I20" s="251"/>
      <c r="J20" s="224" t="s">
        <v>70</v>
      </c>
      <c r="K20" s="252"/>
    </row>
    <row r="21" spans="3:11">
      <c r="C21" s="208" t="s">
        <v>157</v>
      </c>
      <c r="D21" s="211">
        <f>D14+F17</f>
        <v>2981589</v>
      </c>
      <c r="E21" s="246"/>
      <c r="F21" s="246"/>
      <c r="G21" s="209"/>
      <c r="H21" s="211">
        <f>D21*0.9</f>
        <v>2683430.1</v>
      </c>
      <c r="I21" s="209"/>
      <c r="J21" s="213">
        <f>D21*0.1</f>
        <v>298158.90000000002</v>
      </c>
      <c r="K21" s="263"/>
    </row>
    <row r="22" spans="3:11">
      <c r="C22" s="208"/>
      <c r="D22" s="243" t="s">
        <v>72</v>
      </c>
      <c r="E22" s="244"/>
      <c r="F22" s="244"/>
      <c r="G22" s="245"/>
      <c r="H22" s="264" t="s">
        <v>73</v>
      </c>
      <c r="I22" s="265"/>
      <c r="J22" s="266" t="s">
        <v>74</v>
      </c>
      <c r="K22" s="266"/>
    </row>
    <row r="23" spans="3:11">
      <c r="C23" s="208"/>
      <c r="D23" s="267">
        <f>J21</f>
        <v>298158.90000000002</v>
      </c>
      <c r="E23" s="268"/>
      <c r="F23" s="268"/>
      <c r="G23" s="269"/>
      <c r="H23" s="270">
        <f>D23*0.1</f>
        <v>29815.890000000003</v>
      </c>
      <c r="I23" s="270"/>
      <c r="J23" s="270">
        <f>D23+H23</f>
        <v>327974.79000000004</v>
      </c>
      <c r="K23" s="271"/>
    </row>
    <row r="25" spans="3:11">
      <c r="C25" s="42" t="s">
        <v>67</v>
      </c>
    </row>
    <row r="26" spans="3:11">
      <c r="C26" s="43" t="s">
        <v>0</v>
      </c>
      <c r="J26" s="125" t="s">
        <v>24</v>
      </c>
    </row>
  </sheetData>
  <mergeCells count="30">
    <mergeCell ref="C12:K12"/>
    <mergeCell ref="C3:L4"/>
    <mergeCell ref="D7:G7"/>
    <mergeCell ref="I7:K7"/>
    <mergeCell ref="D8:G8"/>
    <mergeCell ref="I8:K8"/>
    <mergeCell ref="D13:G13"/>
    <mergeCell ref="H13:I13"/>
    <mergeCell ref="J13:K13"/>
    <mergeCell ref="D14:G14"/>
    <mergeCell ref="H14:I14"/>
    <mergeCell ref="J14:K14"/>
    <mergeCell ref="C15:K15"/>
    <mergeCell ref="J16:K16"/>
    <mergeCell ref="C17:C18"/>
    <mergeCell ref="J17:K17"/>
    <mergeCell ref="J18:K18"/>
    <mergeCell ref="D20:G20"/>
    <mergeCell ref="H20:I20"/>
    <mergeCell ref="J20:K20"/>
    <mergeCell ref="C21:C23"/>
    <mergeCell ref="D21:G21"/>
    <mergeCell ref="H21:I21"/>
    <mergeCell ref="J21:K21"/>
    <mergeCell ref="D22:G22"/>
    <mergeCell ref="H22:I22"/>
    <mergeCell ref="J22:K22"/>
    <mergeCell ref="D23:G23"/>
    <mergeCell ref="H23:I23"/>
    <mergeCell ref="J23:K23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4D41-3C2B-4A92-B236-2A99ADE2ACE7}">
  <dimension ref="A1:O39"/>
  <sheetViews>
    <sheetView zoomScale="85" zoomScaleNormal="85" zoomScaleSheetLayoutView="75" workbookViewId="0">
      <selection activeCell="I36" sqref="I36"/>
    </sheetView>
  </sheetViews>
  <sheetFormatPr defaultColWidth="8.75" defaultRowHeight="16.5"/>
  <cols>
    <col min="1" max="1" width="22.375" customWidth="1"/>
    <col min="2" max="2" width="13.375" customWidth="1"/>
    <col min="3" max="3" width="13" customWidth="1"/>
    <col min="4" max="5" width="14.625" bestFit="1" customWidth="1"/>
    <col min="6" max="6" width="13" bestFit="1" customWidth="1"/>
    <col min="7" max="7" width="13.625" customWidth="1"/>
    <col min="8" max="8" width="14" bestFit="1" customWidth="1"/>
    <col min="9" max="9" width="13" bestFit="1" customWidth="1"/>
    <col min="10" max="10" width="12.625" customWidth="1"/>
    <col min="11" max="11" width="15" customWidth="1"/>
    <col min="12" max="14" width="13" bestFit="1" customWidth="1"/>
    <col min="15" max="15" width="14" bestFit="1" customWidth="1"/>
    <col min="16" max="16" width="11.25" bestFit="1" customWidth="1"/>
    <col min="17" max="17" width="13" bestFit="1" customWidth="1"/>
    <col min="18" max="18" width="16.75" bestFit="1" customWidth="1"/>
    <col min="19" max="19" width="15.25" bestFit="1" customWidth="1"/>
    <col min="20" max="20" width="15.5" customWidth="1"/>
    <col min="21" max="21" width="12.375" bestFit="1" customWidth="1"/>
  </cols>
  <sheetData>
    <row r="1" spans="1:15" s="75" customFormat="1" ht="21.75" customHeight="1">
      <c r="A1" s="103" t="s">
        <v>97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5">
      <c r="A2" s="24" t="s">
        <v>20</v>
      </c>
      <c r="B2" s="65" t="s">
        <v>35</v>
      </c>
      <c r="C2" s="66" t="s">
        <v>36</v>
      </c>
      <c r="D2" s="65" t="s">
        <v>37</v>
      </c>
      <c r="E2" s="66" t="s">
        <v>38</v>
      </c>
      <c r="F2" s="67" t="s">
        <v>39</v>
      </c>
      <c r="G2" s="67" t="s">
        <v>40</v>
      </c>
      <c r="H2" s="68" t="s">
        <v>41</v>
      </c>
      <c r="I2" s="67" t="s">
        <v>42</v>
      </c>
      <c r="J2" s="67" t="s">
        <v>43</v>
      </c>
      <c r="K2" s="69" t="s">
        <v>44</v>
      </c>
    </row>
    <row r="3" spans="1:15" s="73" customFormat="1">
      <c r="A3" s="44" t="s">
        <v>3</v>
      </c>
      <c r="B3" s="70">
        <v>2355480</v>
      </c>
      <c r="C3" s="70">
        <v>1059966</v>
      </c>
      <c r="D3" s="70">
        <v>1661040</v>
      </c>
      <c r="E3" s="70">
        <v>581364</v>
      </c>
      <c r="F3" s="70">
        <v>1641330</v>
      </c>
      <c r="G3" s="70">
        <v>4016520</v>
      </c>
      <c r="H3" s="71"/>
      <c r="I3" s="72">
        <v>1641330</v>
      </c>
      <c r="J3" s="72">
        <v>1641330</v>
      </c>
      <c r="K3" s="72">
        <v>1641330</v>
      </c>
    </row>
    <row r="5" spans="1:15" s="75" customFormat="1" ht="21.75" customHeight="1">
      <c r="A5" s="103" t="s">
        <v>159</v>
      </c>
      <c r="B5" s="76"/>
      <c r="C5" s="76"/>
      <c r="D5" s="76"/>
      <c r="E5" s="76"/>
      <c r="F5" s="76"/>
      <c r="G5" s="76"/>
      <c r="H5" s="76"/>
      <c r="I5" s="76"/>
      <c r="J5" s="76"/>
      <c r="K5" s="76"/>
    </row>
    <row r="6" spans="1:15">
      <c r="A6" s="155" t="s">
        <v>160</v>
      </c>
      <c r="B6" s="156" t="s">
        <v>161</v>
      </c>
      <c r="C6" s="155" t="s">
        <v>162</v>
      </c>
      <c r="D6" s="155" t="s">
        <v>163</v>
      </c>
      <c r="E6" s="157" t="s">
        <v>164</v>
      </c>
      <c r="F6" s="158" t="s">
        <v>165</v>
      </c>
      <c r="G6" s="159" t="s">
        <v>166</v>
      </c>
      <c r="H6" s="159" t="s">
        <v>167</v>
      </c>
    </row>
    <row r="7" spans="1:15">
      <c r="A7" s="160" t="s">
        <v>168</v>
      </c>
      <c r="B7" s="161">
        <v>44743</v>
      </c>
      <c r="C7" s="160">
        <v>15462</v>
      </c>
      <c r="D7" s="160" t="s">
        <v>3</v>
      </c>
      <c r="E7" s="160" t="s">
        <v>13</v>
      </c>
      <c r="F7" s="160" t="s">
        <v>14</v>
      </c>
      <c r="G7" s="162">
        <v>31374980</v>
      </c>
      <c r="H7" s="162">
        <v>15687490</v>
      </c>
    </row>
    <row r="9" spans="1:15" s="75" customFormat="1" ht="21.75" customHeight="1">
      <c r="A9" s="103" t="s">
        <v>134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</row>
    <row r="11" spans="1:15" ht="20.25">
      <c r="A11" s="77" t="s">
        <v>99</v>
      </c>
      <c r="B11" s="163"/>
      <c r="C11" s="163"/>
      <c r="D11" s="163"/>
      <c r="E11" s="163"/>
      <c r="F11" s="163"/>
      <c r="G11" s="163"/>
      <c r="H11" s="163"/>
      <c r="I11" s="31"/>
      <c r="J11" s="163"/>
    </row>
    <row r="12" spans="1:15">
      <c r="B12" s="163"/>
      <c r="C12" s="163"/>
      <c r="D12" s="163"/>
      <c r="E12" s="163"/>
      <c r="F12" s="163"/>
      <c r="G12" s="163"/>
      <c r="H12" s="163"/>
      <c r="I12" s="31"/>
      <c r="J12" s="163"/>
    </row>
    <row r="13" spans="1:15">
      <c r="A13" s="163" t="s">
        <v>169</v>
      </c>
      <c r="B13" s="163"/>
      <c r="C13" s="163"/>
      <c r="D13" s="163"/>
      <c r="E13" s="163"/>
      <c r="F13" s="163"/>
      <c r="G13" s="163"/>
      <c r="H13" s="163"/>
      <c r="I13" s="163"/>
      <c r="J13" s="163"/>
    </row>
    <row r="14" spans="1:15" ht="17.25">
      <c r="A14" s="82"/>
      <c r="B14" s="163"/>
      <c r="C14" s="163"/>
      <c r="D14" s="163"/>
      <c r="E14" s="163"/>
      <c r="F14" s="163"/>
      <c r="G14" s="163"/>
      <c r="H14" s="163"/>
      <c r="I14" s="163"/>
      <c r="J14" s="163"/>
    </row>
    <row r="15" spans="1:15" ht="18" thickBot="1">
      <c r="A15" s="83" t="s">
        <v>136</v>
      </c>
      <c r="B15" s="84"/>
      <c r="C15" s="165">
        <v>68692.87</v>
      </c>
      <c r="D15" s="163"/>
      <c r="E15" s="163"/>
      <c r="F15" s="163"/>
      <c r="G15" s="163"/>
      <c r="H15" s="163"/>
      <c r="I15" s="163"/>
      <c r="J15" s="163"/>
    </row>
    <row r="16" spans="1:15">
      <c r="A16" s="86"/>
      <c r="B16" s="86"/>
      <c r="C16" s="86"/>
      <c r="D16" s="163"/>
      <c r="E16" s="136"/>
      <c r="F16" s="136"/>
      <c r="G16" s="136"/>
      <c r="H16" s="136"/>
      <c r="I16" s="31"/>
      <c r="J16" s="163"/>
    </row>
    <row r="17" spans="1:15">
      <c r="A17" s="88" t="s">
        <v>102</v>
      </c>
      <c r="B17" s="89" t="s">
        <v>75</v>
      </c>
      <c r="C17" s="138" t="s">
        <v>137</v>
      </c>
      <c r="D17" s="135" t="s">
        <v>138</v>
      </c>
      <c r="E17" s="135" t="s">
        <v>139</v>
      </c>
      <c r="F17" s="135" t="s">
        <v>140</v>
      </c>
      <c r="G17" s="135" t="s">
        <v>141</v>
      </c>
      <c r="H17" s="135" t="s">
        <v>142</v>
      </c>
      <c r="I17" s="135" t="s">
        <v>143</v>
      </c>
      <c r="J17" s="164" t="s">
        <v>144</v>
      </c>
    </row>
    <row r="18" spans="1:15">
      <c r="A18" s="93">
        <v>2439</v>
      </c>
      <c r="B18" s="93" t="s">
        <v>3</v>
      </c>
      <c r="C18" s="169">
        <v>60300</v>
      </c>
      <c r="D18" s="170">
        <v>0</v>
      </c>
      <c r="E18" s="173">
        <v>244646.25</v>
      </c>
      <c r="F18" s="173">
        <v>72914.075000000012</v>
      </c>
      <c r="G18" s="173">
        <v>171732.17499999999</v>
      </c>
      <c r="H18" s="171">
        <v>68692.87</v>
      </c>
      <c r="I18" s="166">
        <v>68692.87</v>
      </c>
      <c r="J18" s="167">
        <v>68692.87</v>
      </c>
    </row>
    <row r="19" spans="1:15">
      <c r="A19" s="250" t="s">
        <v>111</v>
      </c>
      <c r="B19" s="250"/>
      <c r="C19" s="174">
        <v>60300</v>
      </c>
      <c r="D19" s="172">
        <v>0</v>
      </c>
      <c r="E19" s="172">
        <v>244646.25</v>
      </c>
      <c r="F19" s="172">
        <v>72914.075000000012</v>
      </c>
      <c r="G19" s="172">
        <v>171732.17499999999</v>
      </c>
      <c r="H19" s="172">
        <v>68692.87</v>
      </c>
      <c r="I19" s="166">
        <v>68692.87</v>
      </c>
      <c r="J19" s="168">
        <v>68692.87</v>
      </c>
    </row>
    <row r="21" spans="1:15" s="75" customFormat="1" ht="21.75" customHeight="1">
      <c r="A21" s="103" t="s">
        <v>150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</row>
    <row r="22" spans="1:15">
      <c r="A22" s="133" t="s">
        <v>54</v>
      </c>
      <c r="B22" s="133" t="s">
        <v>55</v>
      </c>
      <c r="C22" s="133" t="s">
        <v>56</v>
      </c>
      <c r="D22" s="133" t="s">
        <v>145</v>
      </c>
      <c r="E22" s="133" t="s">
        <v>146</v>
      </c>
      <c r="F22" s="133" t="s">
        <v>147</v>
      </c>
      <c r="G22" s="133" t="s">
        <v>148</v>
      </c>
      <c r="H22" s="133" t="s">
        <v>57</v>
      </c>
    </row>
    <row r="23" spans="1:15">
      <c r="A23" s="150" t="s">
        <v>58</v>
      </c>
      <c r="B23" s="149">
        <v>426.02</v>
      </c>
      <c r="C23" s="151">
        <v>559147</v>
      </c>
      <c r="D23" s="151">
        <v>2000000</v>
      </c>
      <c r="E23" s="151">
        <v>0</v>
      </c>
      <c r="F23" s="150">
        <v>0</v>
      </c>
      <c r="G23" s="151">
        <v>559147</v>
      </c>
      <c r="H23" s="150" t="s">
        <v>59</v>
      </c>
    </row>
    <row r="24" spans="1:15">
      <c r="A24" s="152" t="s">
        <v>75</v>
      </c>
      <c r="B24" s="152" t="s">
        <v>76</v>
      </c>
      <c r="C24" s="152" t="s">
        <v>77</v>
      </c>
      <c r="D24" s="152" t="s">
        <v>78</v>
      </c>
      <c r="E24" s="152" t="s">
        <v>79</v>
      </c>
      <c r="F24" s="152" t="s">
        <v>80</v>
      </c>
      <c r="G24" s="152" t="s">
        <v>149</v>
      </c>
    </row>
    <row r="25" spans="1:15">
      <c r="A25" s="278" t="s">
        <v>58</v>
      </c>
      <c r="B25" s="150" t="s">
        <v>82</v>
      </c>
      <c r="C25" s="150" t="s">
        <v>83</v>
      </c>
      <c r="D25" s="151">
        <v>6265</v>
      </c>
      <c r="E25" s="150">
        <v>0.17</v>
      </c>
      <c r="F25" s="154">
        <v>1065.05</v>
      </c>
      <c r="G25" s="150">
        <v>426.02</v>
      </c>
    </row>
    <row r="26" spans="1:15">
      <c r="A26" s="279"/>
      <c r="B26" s="150" t="s">
        <v>82</v>
      </c>
      <c r="C26" s="150" t="s">
        <v>84</v>
      </c>
      <c r="D26" s="150">
        <v>0</v>
      </c>
      <c r="E26" s="150">
        <v>0.12</v>
      </c>
      <c r="F26" s="150">
        <v>0</v>
      </c>
      <c r="G26" s="150">
        <v>0</v>
      </c>
    </row>
    <row r="27" spans="1:15">
      <c r="A27" s="279"/>
      <c r="B27" s="150" t="s">
        <v>82</v>
      </c>
      <c r="C27" s="150" t="s">
        <v>85</v>
      </c>
      <c r="D27" s="150">
        <v>0</v>
      </c>
      <c r="E27" s="150">
        <v>0.12</v>
      </c>
      <c r="F27" s="150">
        <v>0</v>
      </c>
      <c r="G27" s="150">
        <v>0</v>
      </c>
    </row>
    <row r="28" spans="1:15">
      <c r="A28" s="280"/>
      <c r="B28" s="150" t="s">
        <v>86</v>
      </c>
      <c r="C28" s="153"/>
      <c r="D28" s="151">
        <v>6265</v>
      </c>
      <c r="E28" s="153"/>
      <c r="F28" s="154">
        <v>1065.05</v>
      </c>
      <c r="G28" s="150">
        <v>426.02</v>
      </c>
    </row>
    <row r="29" spans="1:15">
      <c r="A29" s="150" t="s">
        <v>87</v>
      </c>
      <c r="B29" s="153"/>
      <c r="C29" s="153"/>
      <c r="D29" s="151">
        <v>6265</v>
      </c>
      <c r="E29" s="153"/>
      <c r="F29" s="154">
        <v>1065.05</v>
      </c>
      <c r="G29" s="149">
        <v>426.02</v>
      </c>
    </row>
    <row r="31" spans="1:15" s="75" customFormat="1" ht="21.75" customHeight="1">
      <c r="A31" s="103" t="s">
        <v>151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</row>
    <row r="32" spans="1:15">
      <c r="A32" s="133" t="s">
        <v>54</v>
      </c>
      <c r="B32" s="133" t="s">
        <v>55</v>
      </c>
      <c r="C32" s="133" t="s">
        <v>56</v>
      </c>
      <c r="D32" s="133" t="s">
        <v>145</v>
      </c>
      <c r="E32" s="133" t="s">
        <v>146</v>
      </c>
      <c r="F32" s="133" t="s">
        <v>147</v>
      </c>
      <c r="G32" s="133" t="s">
        <v>148</v>
      </c>
      <c r="H32" s="133" t="s">
        <v>57</v>
      </c>
    </row>
    <row r="33" spans="1:8">
      <c r="A33" s="150" t="s">
        <v>152</v>
      </c>
      <c r="B33" s="149">
        <v>126.62</v>
      </c>
      <c r="C33" s="151">
        <v>166187</v>
      </c>
      <c r="D33" s="151">
        <v>2000000</v>
      </c>
      <c r="E33" s="151">
        <v>1757040</v>
      </c>
      <c r="F33" s="151">
        <v>1590853</v>
      </c>
      <c r="G33" s="150">
        <v>0</v>
      </c>
      <c r="H33" s="150" t="s">
        <v>59</v>
      </c>
    </row>
    <row r="34" spans="1:8">
      <c r="A34" s="152" t="s">
        <v>75</v>
      </c>
      <c r="B34" s="152" t="s">
        <v>76</v>
      </c>
      <c r="C34" s="152" t="s">
        <v>77</v>
      </c>
      <c r="D34" s="152" t="s">
        <v>78</v>
      </c>
      <c r="E34" s="152" t="s">
        <v>79</v>
      </c>
      <c r="F34" s="152" t="s">
        <v>80</v>
      </c>
      <c r="G34" s="152" t="s">
        <v>149</v>
      </c>
    </row>
    <row r="35" spans="1:8">
      <c r="A35" s="278" t="s">
        <v>152</v>
      </c>
      <c r="B35" s="150" t="s">
        <v>153</v>
      </c>
      <c r="C35" s="150" t="s">
        <v>83</v>
      </c>
      <c r="D35" s="151">
        <v>1862</v>
      </c>
      <c r="E35" s="150">
        <v>0.17</v>
      </c>
      <c r="F35" s="150">
        <v>316.54000000000002</v>
      </c>
      <c r="G35" s="150">
        <v>126.62</v>
      </c>
    </row>
    <row r="36" spans="1:8">
      <c r="A36" s="279"/>
      <c r="B36" s="150" t="s">
        <v>153</v>
      </c>
      <c r="C36" s="150" t="s">
        <v>84</v>
      </c>
      <c r="D36" s="150">
        <v>0</v>
      </c>
      <c r="E36" s="150">
        <v>0.12</v>
      </c>
      <c r="F36" s="150">
        <v>0</v>
      </c>
      <c r="G36" s="150">
        <v>0</v>
      </c>
    </row>
    <row r="37" spans="1:8">
      <c r="A37" s="279"/>
      <c r="B37" s="150" t="s">
        <v>153</v>
      </c>
      <c r="C37" s="150" t="s">
        <v>85</v>
      </c>
      <c r="D37" s="150">
        <v>0</v>
      </c>
      <c r="E37" s="150">
        <v>0.12</v>
      </c>
      <c r="F37" s="150">
        <v>0</v>
      </c>
      <c r="G37" s="150">
        <v>0</v>
      </c>
    </row>
    <row r="38" spans="1:8">
      <c r="A38" s="280"/>
      <c r="B38" s="150" t="s">
        <v>86</v>
      </c>
      <c r="C38" s="153"/>
      <c r="D38" s="151">
        <v>1862</v>
      </c>
      <c r="E38" s="153"/>
      <c r="F38" s="150">
        <v>316.54000000000002</v>
      </c>
      <c r="G38" s="150">
        <v>126.62</v>
      </c>
    </row>
    <row r="39" spans="1:8">
      <c r="A39" s="150" t="s">
        <v>87</v>
      </c>
      <c r="B39" s="153"/>
      <c r="C39" s="153"/>
      <c r="D39" s="151">
        <v>1862</v>
      </c>
      <c r="E39" s="153"/>
      <c r="F39" s="150">
        <v>316.54000000000002</v>
      </c>
      <c r="G39" s="149">
        <v>126.62</v>
      </c>
    </row>
  </sheetData>
  <mergeCells count="3">
    <mergeCell ref="A25:A28"/>
    <mergeCell ref="A35:A38"/>
    <mergeCell ref="A19:B19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A0C4-37DA-4410-8376-F4C73B46AF97}">
  <dimension ref="A2:M24"/>
  <sheetViews>
    <sheetView zoomScaleNormal="100" zoomScaleSheetLayoutView="75" workbookViewId="0">
      <selection activeCell="J14" sqref="J14:K14"/>
    </sheetView>
  </sheetViews>
  <sheetFormatPr defaultColWidth="8.75" defaultRowHeight="16.5"/>
  <cols>
    <col min="3" max="3" width="11.625" customWidth="1"/>
    <col min="4" max="4" width="10.25" bestFit="1" customWidth="1"/>
    <col min="5" max="5" width="9.875" customWidth="1"/>
    <col min="6" max="6" width="10.75" bestFit="1" customWidth="1"/>
    <col min="7" max="7" width="10.875" bestFit="1" customWidth="1"/>
    <col min="8" max="8" width="11.75" customWidth="1"/>
  </cols>
  <sheetData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2"/>
      <c r="B3" s="2"/>
      <c r="C3" s="190" t="s">
        <v>22</v>
      </c>
      <c r="D3" s="190"/>
      <c r="E3" s="190"/>
      <c r="F3" s="190"/>
      <c r="G3" s="190"/>
      <c r="H3" s="190"/>
      <c r="I3" s="190"/>
      <c r="J3" s="190"/>
      <c r="K3" s="190"/>
      <c r="L3" s="190"/>
    </row>
    <row r="4" spans="1:13" ht="17.25" thickBot="1">
      <c r="A4" s="2"/>
      <c r="B4" s="3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3" ht="17.25" thickTop="1">
      <c r="A5" s="2"/>
      <c r="B5" s="2"/>
      <c r="C5" s="2"/>
      <c r="D5" s="2"/>
      <c r="E5" s="2"/>
      <c r="F5" s="2"/>
      <c r="G5" s="2"/>
      <c r="H5" s="2"/>
      <c r="I5" s="4"/>
      <c r="J5" s="5"/>
      <c r="K5" s="6"/>
      <c r="L5" s="7" t="s">
        <v>173</v>
      </c>
    </row>
    <row r="6" spans="1:13">
      <c r="A6" s="2"/>
      <c r="B6" s="2"/>
      <c r="C6" s="2"/>
      <c r="D6" s="2"/>
      <c r="E6" s="2"/>
      <c r="F6" s="2"/>
      <c r="G6" s="2"/>
      <c r="H6" s="2"/>
      <c r="I6" s="4"/>
      <c r="J6" s="5"/>
      <c r="K6" s="6"/>
      <c r="L6" s="7"/>
    </row>
    <row r="7" spans="1:13">
      <c r="A7" s="8"/>
      <c r="B7" s="8"/>
      <c r="C7" s="104" t="s">
        <v>116</v>
      </c>
      <c r="D7" s="192" t="s">
        <v>118</v>
      </c>
      <c r="E7" s="192"/>
      <c r="F7" s="192"/>
      <c r="G7" s="192"/>
      <c r="H7" s="104" t="s">
        <v>114</v>
      </c>
      <c r="I7" s="192" t="s">
        <v>119</v>
      </c>
      <c r="J7" s="192"/>
      <c r="K7" s="192"/>
      <c r="L7" s="10"/>
      <c r="M7" s="11"/>
    </row>
    <row r="8" spans="1:13">
      <c r="A8" s="12"/>
      <c r="B8" s="12"/>
      <c r="C8" s="104" t="s">
        <v>117</v>
      </c>
      <c r="D8" s="192" t="s">
        <v>174</v>
      </c>
      <c r="E8" s="192"/>
      <c r="F8" s="192"/>
      <c r="G8" s="192"/>
      <c r="H8" s="104" t="s">
        <v>115</v>
      </c>
      <c r="I8" s="193" t="s">
        <v>175</v>
      </c>
      <c r="J8" s="193"/>
      <c r="K8" s="193"/>
      <c r="L8" s="12"/>
      <c r="M8" s="11"/>
    </row>
    <row r="9" spans="1:13">
      <c r="A9" s="12"/>
      <c r="B9" s="13"/>
      <c r="C9" s="14"/>
      <c r="D9" s="15"/>
      <c r="E9" s="15"/>
      <c r="F9" s="15"/>
      <c r="G9" s="15"/>
      <c r="H9" s="14"/>
      <c r="I9" s="16"/>
      <c r="J9" s="16"/>
      <c r="K9" s="16"/>
      <c r="L9" s="16"/>
      <c r="M9" s="11"/>
    </row>
    <row r="10" spans="1:13">
      <c r="A10" s="17"/>
      <c r="B10" s="18"/>
      <c r="L10" s="17"/>
    </row>
    <row r="11" spans="1:13">
      <c r="C11" s="19" t="s">
        <v>7</v>
      </c>
      <c r="G11" s="20"/>
      <c r="H11" s="20"/>
    </row>
    <row r="12" spans="1:13">
      <c r="C12" s="189" t="s">
        <v>170</v>
      </c>
      <c r="D12" s="189"/>
      <c r="E12" s="189"/>
      <c r="F12" s="189"/>
      <c r="G12" s="189"/>
      <c r="H12" s="189"/>
      <c r="I12" s="189"/>
      <c r="J12" s="189"/>
      <c r="K12" s="189"/>
    </row>
    <row r="13" spans="1:13">
      <c r="C13" s="36" t="s">
        <v>1</v>
      </c>
      <c r="D13" s="226" t="s">
        <v>5</v>
      </c>
      <c r="E13" s="228"/>
      <c r="F13" s="226" t="s">
        <v>12</v>
      </c>
      <c r="G13" s="228"/>
      <c r="H13" s="196" t="s">
        <v>26</v>
      </c>
      <c r="I13" s="197"/>
      <c r="J13" s="198" t="s">
        <v>6</v>
      </c>
      <c r="K13" s="198"/>
    </row>
    <row r="14" spans="1:13">
      <c r="C14" s="37" t="s">
        <v>176</v>
      </c>
      <c r="D14" s="260">
        <v>6043680</v>
      </c>
      <c r="E14" s="262"/>
      <c r="F14" s="281">
        <v>2445444</v>
      </c>
      <c r="G14" s="282"/>
      <c r="H14" s="199">
        <f>F14*0.9</f>
        <v>2200899.6</v>
      </c>
      <c r="I14" s="199"/>
      <c r="J14" s="200">
        <f>F14*0.1</f>
        <v>244544.40000000002</v>
      </c>
      <c r="K14" s="200"/>
    </row>
    <row r="15" spans="1:13">
      <c r="C15" s="189" t="s">
        <v>171</v>
      </c>
      <c r="D15" s="189"/>
      <c r="E15" s="189"/>
      <c r="F15" s="189"/>
      <c r="G15" s="189"/>
      <c r="H15" s="189"/>
      <c r="I15" s="189"/>
      <c r="J15" s="189"/>
      <c r="K15" s="189"/>
    </row>
    <row r="16" spans="1:13">
      <c r="C16" s="36" t="s">
        <v>1</v>
      </c>
      <c r="D16" s="226" t="s">
        <v>158</v>
      </c>
      <c r="E16" s="228"/>
      <c r="F16" s="226" t="s">
        <v>12</v>
      </c>
      <c r="G16" s="228"/>
      <c r="H16" s="196" t="s">
        <v>26</v>
      </c>
      <c r="I16" s="197"/>
      <c r="J16" s="198" t="s">
        <v>6</v>
      </c>
      <c r="K16" s="198"/>
    </row>
    <row r="17" spans="3:11">
      <c r="C17" s="37" t="s">
        <v>157</v>
      </c>
      <c r="D17" s="260">
        <v>9322040</v>
      </c>
      <c r="E17" s="262"/>
      <c r="F17" s="260">
        <v>4661020</v>
      </c>
      <c r="G17" s="262"/>
      <c r="H17" s="199">
        <f>F17*0.9</f>
        <v>4194918</v>
      </c>
      <c r="I17" s="199"/>
      <c r="J17" s="200">
        <f>F17*0.1</f>
        <v>466102</v>
      </c>
      <c r="K17" s="200"/>
    </row>
    <row r="18" spans="3:11">
      <c r="C18" s="38"/>
    </row>
    <row r="19" spans="3:11">
      <c r="C19" s="25" t="s">
        <v>45</v>
      </c>
      <c r="D19" s="202" t="s">
        <v>96</v>
      </c>
      <c r="E19" s="203"/>
      <c r="F19" s="203"/>
      <c r="G19" s="204"/>
      <c r="H19" s="196" t="s">
        <v>179</v>
      </c>
      <c r="I19" s="197"/>
      <c r="J19" s="198" t="s">
        <v>6</v>
      </c>
      <c r="K19" s="198"/>
    </row>
    <row r="20" spans="3:11">
      <c r="C20" s="37" t="str">
        <f>C14</f>
        <v>9월</v>
      </c>
      <c r="D20" s="205">
        <f>+F14+F17</f>
        <v>7106464</v>
      </c>
      <c r="E20" s="206"/>
      <c r="F20" s="206"/>
      <c r="G20" s="207"/>
      <c r="H20" s="201">
        <f>D20*0.9</f>
        <v>6395817.6000000006</v>
      </c>
      <c r="I20" s="201"/>
      <c r="J20" s="201">
        <f>D20*0.1</f>
        <v>710646.4</v>
      </c>
      <c r="K20" s="201"/>
    </row>
    <row r="22" spans="3:11">
      <c r="C22" s="42" t="s">
        <v>66</v>
      </c>
      <c r="I22" s="35"/>
      <c r="J22" s="35"/>
      <c r="K22" s="35"/>
    </row>
    <row r="23" spans="3:11">
      <c r="C23" s="43" t="s">
        <v>0</v>
      </c>
    </row>
    <row r="24" spans="3:11">
      <c r="J24" s="21" t="s">
        <v>24</v>
      </c>
    </row>
  </sheetData>
  <mergeCells count="29">
    <mergeCell ref="C3:L4"/>
    <mergeCell ref="D7:G7"/>
    <mergeCell ref="I7:K7"/>
    <mergeCell ref="D8:G8"/>
    <mergeCell ref="I8:K8"/>
    <mergeCell ref="C12:K12"/>
    <mergeCell ref="D13:E13"/>
    <mergeCell ref="H13:I13"/>
    <mergeCell ref="J13:K13"/>
    <mergeCell ref="D14:E14"/>
    <mergeCell ref="H14:I14"/>
    <mergeCell ref="J14:K14"/>
    <mergeCell ref="F13:G13"/>
    <mergeCell ref="F14:G14"/>
    <mergeCell ref="D20:G20"/>
    <mergeCell ref="H20:I20"/>
    <mergeCell ref="J20:K20"/>
    <mergeCell ref="C15:K15"/>
    <mergeCell ref="D16:E16"/>
    <mergeCell ref="F16:G16"/>
    <mergeCell ref="H16:I16"/>
    <mergeCell ref="J16:K16"/>
    <mergeCell ref="D17:E17"/>
    <mergeCell ref="F17:G17"/>
    <mergeCell ref="H17:I17"/>
    <mergeCell ref="J17:K17"/>
    <mergeCell ref="D19:G19"/>
    <mergeCell ref="H19:I19"/>
    <mergeCell ref="J19:K19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34E2-E1E5-49C7-9CAC-7856BD8324E0}">
  <dimension ref="A2:M26"/>
  <sheetViews>
    <sheetView zoomScaleNormal="100" zoomScaleSheetLayoutView="75" workbookViewId="0">
      <selection activeCell="J14" sqref="J14:K14"/>
    </sheetView>
  </sheetViews>
  <sheetFormatPr defaultColWidth="8.75" defaultRowHeight="16.5"/>
  <cols>
    <col min="1" max="2" width="8.75" style="106"/>
    <col min="3" max="3" width="11.75" style="106" customWidth="1"/>
    <col min="4" max="4" width="10.25" style="106" bestFit="1" customWidth="1"/>
    <col min="5" max="5" width="9.875" style="106" customWidth="1"/>
    <col min="6" max="6" width="10.75" style="106" bestFit="1" customWidth="1"/>
    <col min="7" max="7" width="10.875" style="106" bestFit="1" customWidth="1"/>
    <col min="8" max="8" width="11.625" style="106" customWidth="1"/>
    <col min="9" max="9" width="11.375" style="106" customWidth="1"/>
    <col min="10" max="16384" width="8.75" style="106"/>
  </cols>
  <sheetData>
    <row r="2" spans="1:13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3">
      <c r="A3" s="107"/>
      <c r="B3" s="107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</row>
    <row r="4" spans="1:13" ht="17.25" thickBot="1">
      <c r="A4" s="107"/>
      <c r="B4" s="108"/>
      <c r="C4" s="275"/>
      <c r="D4" s="275"/>
      <c r="E4" s="275"/>
      <c r="F4" s="275"/>
      <c r="G4" s="275"/>
      <c r="H4" s="275"/>
      <c r="I4" s="275"/>
      <c r="J4" s="275"/>
      <c r="K4" s="275"/>
      <c r="L4" s="275"/>
    </row>
    <row r="5" spans="1:13" ht="17.25" thickTop="1">
      <c r="A5" s="107"/>
      <c r="B5" s="107"/>
      <c r="C5" s="107"/>
      <c r="D5" s="107"/>
      <c r="E5" s="107"/>
      <c r="F5" s="107"/>
      <c r="G5" s="107"/>
      <c r="H5" s="107"/>
      <c r="I5" s="109"/>
      <c r="J5" s="110"/>
      <c r="K5" s="111"/>
      <c r="L5" s="112" t="s">
        <v>173</v>
      </c>
    </row>
    <row r="6" spans="1:13">
      <c r="A6" s="107"/>
      <c r="B6" s="107"/>
      <c r="C6" s="107"/>
      <c r="D6" s="107"/>
      <c r="E6" s="107"/>
      <c r="F6" s="107"/>
      <c r="G6" s="107"/>
      <c r="H6" s="107"/>
      <c r="I6" s="109"/>
      <c r="J6" s="110"/>
      <c r="K6" s="111"/>
      <c r="L6" s="112"/>
    </row>
    <row r="7" spans="1:13">
      <c r="A7" s="113"/>
      <c r="B7" s="113"/>
      <c r="C7" s="114" t="s">
        <v>116</v>
      </c>
      <c r="D7" s="276" t="s">
        <v>118</v>
      </c>
      <c r="E7" s="276"/>
      <c r="F7" s="276"/>
      <c r="G7" s="276"/>
      <c r="H7" s="114" t="s">
        <v>114</v>
      </c>
      <c r="I7" s="276" t="s">
        <v>119</v>
      </c>
      <c r="J7" s="276"/>
      <c r="K7" s="276"/>
      <c r="L7" s="10"/>
      <c r="M7" s="115"/>
    </row>
    <row r="8" spans="1:13">
      <c r="A8" s="116"/>
      <c r="B8" s="116"/>
      <c r="C8" s="114" t="s">
        <v>117</v>
      </c>
      <c r="D8" s="276" t="s">
        <v>126</v>
      </c>
      <c r="E8" s="276"/>
      <c r="F8" s="276"/>
      <c r="G8" s="276"/>
      <c r="H8" s="114" t="s">
        <v>115</v>
      </c>
      <c r="I8" s="277" t="s">
        <v>175</v>
      </c>
      <c r="J8" s="277"/>
      <c r="K8" s="277"/>
      <c r="L8" s="116"/>
      <c r="M8" s="115"/>
    </row>
    <row r="9" spans="1:13">
      <c r="A9" s="116"/>
      <c r="B9" s="117"/>
      <c r="C9" s="118"/>
      <c r="D9" s="119"/>
      <c r="E9" s="119"/>
      <c r="F9" s="119"/>
      <c r="G9" s="119"/>
      <c r="H9" s="118"/>
      <c r="I9" s="120"/>
      <c r="J9" s="120"/>
      <c r="K9" s="120"/>
      <c r="L9" s="120"/>
      <c r="M9" s="115"/>
    </row>
    <row r="10" spans="1:13">
      <c r="A10" s="121"/>
      <c r="B10" s="122"/>
      <c r="L10" s="121"/>
    </row>
    <row r="11" spans="1:13">
      <c r="C11" s="123" t="s">
        <v>7</v>
      </c>
      <c r="G11" s="128"/>
      <c r="H11" s="128"/>
    </row>
    <row r="12" spans="1:13">
      <c r="C12" s="253" t="s">
        <v>98</v>
      </c>
      <c r="D12" s="253"/>
      <c r="E12" s="253"/>
      <c r="F12" s="253"/>
      <c r="G12" s="253"/>
      <c r="H12" s="253"/>
      <c r="I12" s="253"/>
      <c r="J12" s="253"/>
      <c r="K12" s="253"/>
    </row>
    <row r="13" spans="1:13">
      <c r="C13" s="55" t="s">
        <v>1</v>
      </c>
      <c r="D13" s="257" t="s">
        <v>51</v>
      </c>
      <c r="E13" s="258"/>
      <c r="F13" s="258"/>
      <c r="G13" s="259"/>
      <c r="H13" s="255" t="s">
        <v>26</v>
      </c>
      <c r="I13" s="256"/>
      <c r="J13" s="254" t="s">
        <v>6</v>
      </c>
      <c r="K13" s="254"/>
    </row>
    <row r="14" spans="1:13">
      <c r="C14" s="74" t="s">
        <v>125</v>
      </c>
      <c r="D14" s="231">
        <v>1353255</v>
      </c>
      <c r="E14" s="232"/>
      <c r="F14" s="232"/>
      <c r="G14" s="233"/>
      <c r="H14" s="234">
        <f>D14*0.9</f>
        <v>1217929.5</v>
      </c>
      <c r="I14" s="234"/>
      <c r="J14" s="234">
        <f>D14*0.1</f>
        <v>135325.5</v>
      </c>
      <c r="K14" s="234"/>
    </row>
    <row r="15" spans="1:13">
      <c r="C15" s="253" t="s">
        <v>52</v>
      </c>
      <c r="D15" s="253"/>
      <c r="E15" s="253"/>
      <c r="F15" s="253"/>
      <c r="G15" s="253"/>
      <c r="H15" s="253"/>
      <c r="I15" s="253"/>
      <c r="J15" s="253"/>
      <c r="K15" s="253"/>
    </row>
    <row r="16" spans="1:13">
      <c r="C16" s="55" t="s">
        <v>1</v>
      </c>
      <c r="D16" s="55" t="s">
        <v>48</v>
      </c>
      <c r="E16" s="55" t="s">
        <v>128</v>
      </c>
      <c r="F16" s="55" t="s">
        <v>51</v>
      </c>
      <c r="G16" s="55" t="s">
        <v>129</v>
      </c>
      <c r="H16" s="126" t="s">
        <v>132</v>
      </c>
      <c r="I16" s="127" t="s">
        <v>131</v>
      </c>
      <c r="J16" s="254" t="s">
        <v>6</v>
      </c>
      <c r="K16" s="254"/>
    </row>
    <row r="17" spans="3:11">
      <c r="C17" s="272" t="str">
        <f>C14</f>
        <v>7월</v>
      </c>
      <c r="D17" s="105" t="s">
        <v>49</v>
      </c>
      <c r="E17" s="130"/>
      <c r="F17" s="130">
        <v>711205</v>
      </c>
      <c r="G17" s="131"/>
      <c r="H17" s="129">
        <v>0</v>
      </c>
      <c r="I17" s="129">
        <f>F17*0.9</f>
        <v>640084.5</v>
      </c>
      <c r="J17" s="234">
        <f>F17*0.1</f>
        <v>71120.5</v>
      </c>
      <c r="K17" s="234"/>
    </row>
    <row r="18" spans="3:11">
      <c r="C18" s="230"/>
      <c r="D18" s="124" t="s">
        <v>50</v>
      </c>
      <c r="E18" s="132">
        <v>1590853</v>
      </c>
      <c r="F18" s="132">
        <v>323839</v>
      </c>
      <c r="G18" s="132">
        <f>E18-F18</f>
        <v>1267014</v>
      </c>
      <c r="H18" s="129">
        <v>0</v>
      </c>
      <c r="I18" s="129">
        <v>0</v>
      </c>
      <c r="J18" s="273">
        <v>0</v>
      </c>
      <c r="K18" s="273"/>
    </row>
    <row r="19" spans="3:11">
      <c r="C19" s="38"/>
    </row>
    <row r="20" spans="3:11">
      <c r="C20" s="55" t="s">
        <v>1</v>
      </c>
      <c r="D20" s="243" t="s">
        <v>124</v>
      </c>
      <c r="E20" s="244"/>
      <c r="F20" s="244"/>
      <c r="G20" s="245"/>
      <c r="H20" s="222" t="s">
        <v>69</v>
      </c>
      <c r="I20" s="251"/>
      <c r="J20" s="224" t="s">
        <v>70</v>
      </c>
      <c r="K20" s="252"/>
    </row>
    <row r="21" spans="3:11">
      <c r="C21" s="208" t="s">
        <v>176</v>
      </c>
      <c r="D21" s="211">
        <f>D14+F17</f>
        <v>2064460</v>
      </c>
      <c r="E21" s="246"/>
      <c r="F21" s="246"/>
      <c r="G21" s="209"/>
      <c r="H21" s="211">
        <f>D21*0.9</f>
        <v>1858014</v>
      </c>
      <c r="I21" s="209"/>
      <c r="J21" s="213">
        <f>D21*0.1</f>
        <v>206446</v>
      </c>
      <c r="K21" s="263"/>
    </row>
    <row r="22" spans="3:11">
      <c r="C22" s="208"/>
      <c r="D22" s="243" t="s">
        <v>72</v>
      </c>
      <c r="E22" s="244"/>
      <c r="F22" s="244"/>
      <c r="G22" s="245"/>
      <c r="H22" s="264" t="s">
        <v>73</v>
      </c>
      <c r="I22" s="265"/>
      <c r="J22" s="266" t="s">
        <v>74</v>
      </c>
      <c r="K22" s="266"/>
    </row>
    <row r="23" spans="3:11">
      <c r="C23" s="208"/>
      <c r="D23" s="267">
        <f>J21</f>
        <v>206446</v>
      </c>
      <c r="E23" s="268"/>
      <c r="F23" s="268"/>
      <c r="G23" s="269"/>
      <c r="H23" s="270">
        <f>D23*0.1</f>
        <v>20644.600000000002</v>
      </c>
      <c r="I23" s="270"/>
      <c r="J23" s="270">
        <f>D23+H23</f>
        <v>227090.6</v>
      </c>
      <c r="K23" s="271"/>
    </row>
    <row r="25" spans="3:11">
      <c r="C25" s="42" t="s">
        <v>67</v>
      </c>
    </row>
    <row r="26" spans="3:11">
      <c r="C26" s="43" t="s">
        <v>0</v>
      </c>
      <c r="J26" s="125" t="s">
        <v>24</v>
      </c>
    </row>
  </sheetData>
  <mergeCells count="30">
    <mergeCell ref="C12:K12"/>
    <mergeCell ref="C3:L4"/>
    <mergeCell ref="D7:G7"/>
    <mergeCell ref="I7:K7"/>
    <mergeCell ref="D8:G8"/>
    <mergeCell ref="I8:K8"/>
    <mergeCell ref="D20:G20"/>
    <mergeCell ref="H20:I20"/>
    <mergeCell ref="J20:K20"/>
    <mergeCell ref="D13:G13"/>
    <mergeCell ref="H13:I13"/>
    <mergeCell ref="J13:K13"/>
    <mergeCell ref="D14:G14"/>
    <mergeCell ref="H14:I14"/>
    <mergeCell ref="J14:K14"/>
    <mergeCell ref="C15:K15"/>
    <mergeCell ref="J16:K16"/>
    <mergeCell ref="C17:C18"/>
    <mergeCell ref="J17:K17"/>
    <mergeCell ref="J18:K18"/>
    <mergeCell ref="C21:C23"/>
    <mergeCell ref="D21:G21"/>
    <mergeCell ref="H21:I21"/>
    <mergeCell ref="J21:K21"/>
    <mergeCell ref="D22:G22"/>
    <mergeCell ref="H22:I22"/>
    <mergeCell ref="J22:K22"/>
    <mergeCell ref="D23:G23"/>
    <mergeCell ref="H23:I23"/>
    <mergeCell ref="J23:K23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4DDA-28EE-432A-B8E2-E9EF2A5E51D8}">
  <dimension ref="A1:O38"/>
  <sheetViews>
    <sheetView zoomScale="85" zoomScaleNormal="85" zoomScaleSheetLayoutView="75" workbookViewId="0">
      <selection activeCell="J14" sqref="J14:K14"/>
    </sheetView>
  </sheetViews>
  <sheetFormatPr defaultColWidth="8.75" defaultRowHeight="16.5"/>
  <cols>
    <col min="1" max="1" width="22.375" customWidth="1"/>
    <col min="2" max="2" width="13.375" customWidth="1"/>
    <col min="3" max="3" width="13" customWidth="1"/>
    <col min="4" max="5" width="14.625" bestFit="1" customWidth="1"/>
    <col min="6" max="6" width="13" bestFit="1" customWidth="1"/>
    <col min="7" max="7" width="13.625" customWidth="1"/>
    <col min="8" max="8" width="15.375" customWidth="1"/>
    <col min="9" max="9" width="13" bestFit="1" customWidth="1"/>
    <col min="10" max="10" width="12.625" customWidth="1"/>
    <col min="11" max="11" width="15" customWidth="1"/>
    <col min="12" max="14" width="13" bestFit="1" customWidth="1"/>
    <col min="15" max="15" width="14" bestFit="1" customWidth="1"/>
    <col min="16" max="16" width="11.25" bestFit="1" customWidth="1"/>
    <col min="17" max="17" width="13" bestFit="1" customWidth="1"/>
    <col min="18" max="18" width="16.75" bestFit="1" customWidth="1"/>
    <col min="19" max="19" width="15.25" bestFit="1" customWidth="1"/>
    <col min="20" max="20" width="15.5" customWidth="1"/>
    <col min="21" max="21" width="12.375" bestFit="1" customWidth="1"/>
  </cols>
  <sheetData>
    <row r="1" spans="1:15" s="75" customFormat="1" ht="21.75" customHeight="1">
      <c r="A1" s="103" t="s">
        <v>97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5">
      <c r="A2" s="24" t="s">
        <v>20</v>
      </c>
      <c r="B2" s="65" t="s">
        <v>35</v>
      </c>
      <c r="C2" s="66" t="s">
        <v>36</v>
      </c>
      <c r="D2" s="65" t="s">
        <v>37</v>
      </c>
      <c r="E2" s="66" t="s">
        <v>38</v>
      </c>
      <c r="F2" s="67" t="s">
        <v>39</v>
      </c>
      <c r="G2" s="67" t="s">
        <v>40</v>
      </c>
      <c r="H2" s="68" t="s">
        <v>41</v>
      </c>
      <c r="I2" s="67" t="s">
        <v>42</v>
      </c>
      <c r="J2" s="67" t="s">
        <v>43</v>
      </c>
      <c r="K2" s="69" t="s">
        <v>44</v>
      </c>
    </row>
    <row r="3" spans="1:15" s="73" customFormat="1">
      <c r="A3" s="44" t="s">
        <v>3</v>
      </c>
      <c r="B3" s="70">
        <v>3301560</v>
      </c>
      <c r="C3" s="70">
        <v>1485702</v>
      </c>
      <c r="D3" s="70">
        <v>2742120</v>
      </c>
      <c r="E3" s="70">
        <v>959742</v>
      </c>
      <c r="F3" s="70">
        <v>2445444</v>
      </c>
      <c r="G3" s="70">
        <v>6043680</v>
      </c>
      <c r="H3" s="71"/>
      <c r="I3" s="72">
        <v>2445444</v>
      </c>
      <c r="J3" s="72">
        <v>2445444</v>
      </c>
      <c r="K3" s="72">
        <v>2445444</v>
      </c>
    </row>
    <row r="5" spans="1:15" s="75" customFormat="1" ht="21.75" customHeight="1">
      <c r="A5" s="103" t="s">
        <v>177</v>
      </c>
      <c r="B5" s="76"/>
      <c r="C5" s="76"/>
      <c r="D5" s="76"/>
      <c r="E5" s="76"/>
      <c r="F5" s="76"/>
      <c r="G5" s="76"/>
      <c r="H5" s="76"/>
      <c r="I5" s="76"/>
      <c r="J5" s="76"/>
      <c r="K5" s="76"/>
    </row>
    <row r="6" spans="1:15">
      <c r="A6" s="155" t="s">
        <v>160</v>
      </c>
      <c r="B6" s="156" t="s">
        <v>161</v>
      </c>
      <c r="C6" s="155" t="s">
        <v>162</v>
      </c>
      <c r="D6" s="155" t="s">
        <v>163</v>
      </c>
      <c r="E6" s="157" t="s">
        <v>164</v>
      </c>
      <c r="F6" s="158" t="s">
        <v>165</v>
      </c>
      <c r="G6" s="159" t="s">
        <v>166</v>
      </c>
      <c r="H6" s="159" t="s">
        <v>167</v>
      </c>
    </row>
    <row r="7" spans="1:15">
      <c r="A7" s="160" t="s">
        <v>168</v>
      </c>
      <c r="B7" s="161">
        <v>44774</v>
      </c>
      <c r="C7" s="160">
        <v>15462</v>
      </c>
      <c r="D7" s="160" t="s">
        <v>3</v>
      </c>
      <c r="E7" s="160" t="s">
        <v>13</v>
      </c>
      <c r="F7" s="160" t="s">
        <v>14</v>
      </c>
      <c r="G7" s="162">
        <v>9322040</v>
      </c>
      <c r="H7" s="162">
        <v>4661020</v>
      </c>
    </row>
    <row r="9" spans="1:15" s="75" customFormat="1" ht="21.75" customHeight="1">
      <c r="A9" s="103" t="s">
        <v>134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</row>
    <row r="11" spans="1:15" ht="20.25">
      <c r="A11" s="77" t="s">
        <v>99</v>
      </c>
      <c r="B11" s="163"/>
      <c r="C11" s="163"/>
      <c r="D11" s="163"/>
      <c r="E11" s="163"/>
      <c r="F11" s="163"/>
      <c r="G11" s="163"/>
      <c r="H11" s="163"/>
      <c r="I11" s="31"/>
      <c r="J11" s="163"/>
    </row>
    <row r="12" spans="1:15">
      <c r="A12" s="163" t="s">
        <v>178</v>
      </c>
      <c r="B12" s="163"/>
      <c r="C12" s="163"/>
      <c r="D12" s="163"/>
      <c r="E12" s="163"/>
      <c r="F12" s="163"/>
      <c r="G12" s="163"/>
      <c r="H12" s="163"/>
      <c r="I12" s="163"/>
      <c r="J12" s="163"/>
    </row>
    <row r="13" spans="1:15" ht="17.25">
      <c r="A13" s="82"/>
      <c r="B13" s="163"/>
      <c r="C13" s="163"/>
      <c r="D13" s="163"/>
      <c r="E13" s="163"/>
      <c r="F13" s="163"/>
      <c r="G13" s="163"/>
      <c r="H13" s="163"/>
      <c r="I13" s="163"/>
      <c r="J13" s="163"/>
    </row>
    <row r="14" spans="1:15" ht="18" thickBot="1">
      <c r="A14" s="83" t="s">
        <v>136</v>
      </c>
      <c r="B14" s="84"/>
      <c r="C14" s="177">
        <v>35607.57</v>
      </c>
      <c r="D14" s="175"/>
      <c r="E14" s="175"/>
      <c r="F14" s="175"/>
      <c r="G14" s="175"/>
      <c r="H14" s="175"/>
      <c r="I14" s="175"/>
      <c r="J14" s="175"/>
    </row>
    <row r="15" spans="1:15">
      <c r="A15" s="86"/>
      <c r="B15" s="86"/>
      <c r="C15" s="86"/>
      <c r="D15" s="175"/>
      <c r="E15" s="136"/>
      <c r="F15" s="136"/>
      <c r="G15" s="136"/>
      <c r="H15" s="136"/>
      <c r="I15" s="31"/>
      <c r="J15" s="175"/>
    </row>
    <row r="16" spans="1:15">
      <c r="A16" s="88" t="s">
        <v>102</v>
      </c>
      <c r="B16" s="89" t="s">
        <v>75</v>
      </c>
      <c r="C16" s="138" t="s">
        <v>137</v>
      </c>
      <c r="D16" s="135" t="s">
        <v>138</v>
      </c>
      <c r="E16" s="135" t="s">
        <v>139</v>
      </c>
      <c r="F16" s="135" t="s">
        <v>140</v>
      </c>
      <c r="G16" s="135" t="s">
        <v>141</v>
      </c>
      <c r="H16" s="135" t="s">
        <v>142</v>
      </c>
      <c r="I16" s="135" t="s">
        <v>143</v>
      </c>
      <c r="J16" s="176" t="s">
        <v>144</v>
      </c>
    </row>
    <row r="17" spans="1:15">
      <c r="A17" s="93">
        <v>2439</v>
      </c>
      <c r="B17" s="93" t="s">
        <v>3</v>
      </c>
      <c r="C17" s="181">
        <v>60300</v>
      </c>
      <c r="D17" s="182">
        <v>0</v>
      </c>
      <c r="E17" s="185">
        <v>127061.625</v>
      </c>
      <c r="F17" s="185">
        <v>38042.712500000001</v>
      </c>
      <c r="G17" s="185">
        <v>89018.912500000006</v>
      </c>
      <c r="H17" s="183">
        <v>35607.565000000002</v>
      </c>
      <c r="I17" s="178">
        <v>35607.565000000002</v>
      </c>
      <c r="J17" s="179">
        <v>35607.57</v>
      </c>
    </row>
    <row r="18" spans="1:15">
      <c r="A18" s="250" t="s">
        <v>111</v>
      </c>
      <c r="B18" s="250"/>
      <c r="C18" s="186">
        <v>60300</v>
      </c>
      <c r="D18" s="184">
        <v>0</v>
      </c>
      <c r="E18" s="184">
        <v>127061.625</v>
      </c>
      <c r="F18" s="184">
        <v>38042.712500000001</v>
      </c>
      <c r="G18" s="184">
        <v>89018.912500000006</v>
      </c>
      <c r="H18" s="184">
        <v>35607.565000000002</v>
      </c>
      <c r="I18" s="178">
        <v>35607.565000000002</v>
      </c>
      <c r="J18" s="180">
        <v>35607.57</v>
      </c>
    </row>
    <row r="20" spans="1:15" s="75" customFormat="1" ht="21.75" customHeight="1">
      <c r="A20" s="103" t="s">
        <v>150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</row>
    <row r="21" spans="1:15">
      <c r="A21" s="133" t="s">
        <v>54</v>
      </c>
      <c r="B21" s="133" t="s">
        <v>55</v>
      </c>
      <c r="C21" s="133" t="s">
        <v>56</v>
      </c>
      <c r="D21" s="133" t="s">
        <v>145</v>
      </c>
      <c r="E21" s="133" t="s">
        <v>146</v>
      </c>
      <c r="F21" s="133" t="s">
        <v>147</v>
      </c>
      <c r="G21" s="133" t="s">
        <v>148</v>
      </c>
      <c r="H21" s="133" t="s">
        <v>57</v>
      </c>
    </row>
    <row r="22" spans="1:15">
      <c r="A22" s="150" t="s">
        <v>58</v>
      </c>
      <c r="B22" s="149">
        <v>528.97</v>
      </c>
      <c r="C22" s="151">
        <v>711205</v>
      </c>
      <c r="D22" s="151">
        <v>2000000</v>
      </c>
      <c r="E22" s="151">
        <v>0</v>
      </c>
      <c r="F22" s="150">
        <v>0</v>
      </c>
      <c r="G22" s="151">
        <v>711205</v>
      </c>
      <c r="H22" s="150" t="s">
        <v>59</v>
      </c>
    </row>
    <row r="23" spans="1:15">
      <c r="A23" s="152" t="s">
        <v>75</v>
      </c>
      <c r="B23" s="152" t="s">
        <v>76</v>
      </c>
      <c r="C23" s="152" t="s">
        <v>77</v>
      </c>
      <c r="D23" s="152" t="s">
        <v>78</v>
      </c>
      <c r="E23" s="152" t="s">
        <v>79</v>
      </c>
      <c r="F23" s="152" t="s">
        <v>80</v>
      </c>
      <c r="G23" s="152" t="s">
        <v>149</v>
      </c>
    </row>
    <row r="24" spans="1:15">
      <c r="A24" s="278" t="s">
        <v>58</v>
      </c>
      <c r="B24" s="150" t="s">
        <v>82</v>
      </c>
      <c r="C24" s="150" t="s">
        <v>83</v>
      </c>
      <c r="D24" s="151">
        <v>7779</v>
      </c>
      <c r="E24" s="150">
        <v>0.17</v>
      </c>
      <c r="F24" s="154">
        <v>1322.43</v>
      </c>
      <c r="G24" s="150">
        <v>528.97</v>
      </c>
    </row>
    <row r="25" spans="1:15">
      <c r="A25" s="279"/>
      <c r="B25" s="150" t="s">
        <v>82</v>
      </c>
      <c r="C25" s="150" t="s">
        <v>84</v>
      </c>
      <c r="D25" s="150">
        <v>0</v>
      </c>
      <c r="E25" s="150">
        <v>0.12</v>
      </c>
      <c r="F25" s="150">
        <v>0</v>
      </c>
      <c r="G25" s="150">
        <v>0</v>
      </c>
    </row>
    <row r="26" spans="1:15">
      <c r="A26" s="279"/>
      <c r="B26" s="150" t="s">
        <v>82</v>
      </c>
      <c r="C26" s="150" t="s">
        <v>85</v>
      </c>
      <c r="D26" s="150">
        <v>0</v>
      </c>
      <c r="E26" s="150">
        <v>0.12</v>
      </c>
      <c r="F26" s="150">
        <v>0</v>
      </c>
      <c r="G26" s="150">
        <v>0</v>
      </c>
    </row>
    <row r="27" spans="1:15">
      <c r="A27" s="280"/>
      <c r="B27" s="150" t="s">
        <v>86</v>
      </c>
      <c r="C27" s="153"/>
      <c r="D27" s="151">
        <v>7779</v>
      </c>
      <c r="E27" s="153"/>
      <c r="F27" s="154">
        <v>1322.43</v>
      </c>
      <c r="G27" s="150">
        <v>528.97</v>
      </c>
    </row>
    <row r="28" spans="1:15">
      <c r="A28" s="150" t="s">
        <v>87</v>
      </c>
      <c r="B28" s="153"/>
      <c r="C28" s="153"/>
      <c r="D28" s="151">
        <v>7779</v>
      </c>
      <c r="E28" s="153"/>
      <c r="F28" s="154">
        <v>1322.43</v>
      </c>
      <c r="G28" s="149">
        <v>528.97</v>
      </c>
    </row>
    <row r="30" spans="1:15" s="75" customFormat="1" ht="21.75" customHeight="1">
      <c r="A30" s="103" t="s">
        <v>151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</row>
    <row r="31" spans="1:15">
      <c r="A31" s="133" t="s">
        <v>54</v>
      </c>
      <c r="B31" s="133" t="s">
        <v>55</v>
      </c>
      <c r="C31" s="133" t="s">
        <v>56</v>
      </c>
      <c r="D31" s="133" t="s">
        <v>145</v>
      </c>
      <c r="E31" s="133" t="s">
        <v>146</v>
      </c>
      <c r="F31" s="133" t="s">
        <v>147</v>
      </c>
      <c r="G31" s="133" t="s">
        <v>148</v>
      </c>
      <c r="H31" s="133" t="s">
        <v>57</v>
      </c>
    </row>
    <row r="32" spans="1:15">
      <c r="A32" s="150" t="s">
        <v>152</v>
      </c>
      <c r="B32" s="149">
        <v>240.86</v>
      </c>
      <c r="C32" s="151">
        <v>323839</v>
      </c>
      <c r="D32" s="151">
        <v>2000000</v>
      </c>
      <c r="E32" s="151">
        <v>1590853</v>
      </c>
      <c r="F32" s="151">
        <v>1267014</v>
      </c>
      <c r="G32" s="150">
        <v>0</v>
      </c>
      <c r="H32" s="150" t="s">
        <v>59</v>
      </c>
    </row>
    <row r="33" spans="1:7">
      <c r="A33" s="152" t="s">
        <v>75</v>
      </c>
      <c r="B33" s="152" t="s">
        <v>76</v>
      </c>
      <c r="C33" s="152" t="s">
        <v>77</v>
      </c>
      <c r="D33" s="152" t="s">
        <v>78</v>
      </c>
      <c r="E33" s="152" t="s">
        <v>79</v>
      </c>
      <c r="F33" s="152" t="s">
        <v>80</v>
      </c>
      <c r="G33" s="152" t="s">
        <v>149</v>
      </c>
    </row>
    <row r="34" spans="1:7">
      <c r="A34" s="278" t="s">
        <v>152</v>
      </c>
      <c r="B34" s="150" t="s">
        <v>153</v>
      </c>
      <c r="C34" s="150" t="s">
        <v>83</v>
      </c>
      <c r="D34" s="151">
        <v>3542</v>
      </c>
      <c r="E34" s="150">
        <v>0.17</v>
      </c>
      <c r="F34" s="150">
        <v>602.14</v>
      </c>
      <c r="G34" s="150">
        <v>240.86</v>
      </c>
    </row>
    <row r="35" spans="1:7">
      <c r="A35" s="279"/>
      <c r="B35" s="150" t="s">
        <v>153</v>
      </c>
      <c r="C35" s="150" t="s">
        <v>84</v>
      </c>
      <c r="D35" s="150">
        <v>0</v>
      </c>
      <c r="E35" s="150">
        <v>0.12</v>
      </c>
      <c r="F35" s="150">
        <v>0</v>
      </c>
      <c r="G35" s="150">
        <v>0</v>
      </c>
    </row>
    <row r="36" spans="1:7">
      <c r="A36" s="279"/>
      <c r="B36" s="150" t="s">
        <v>153</v>
      </c>
      <c r="C36" s="150" t="s">
        <v>85</v>
      </c>
      <c r="D36" s="150">
        <v>0</v>
      </c>
      <c r="E36" s="150">
        <v>0.12</v>
      </c>
      <c r="F36" s="150">
        <v>0</v>
      </c>
      <c r="G36" s="150">
        <v>0</v>
      </c>
    </row>
    <row r="37" spans="1:7">
      <c r="A37" s="280"/>
      <c r="B37" s="150" t="s">
        <v>86</v>
      </c>
      <c r="C37" s="153"/>
      <c r="D37" s="151">
        <v>3542</v>
      </c>
      <c r="E37" s="153"/>
      <c r="F37" s="150">
        <v>602.14</v>
      </c>
      <c r="G37" s="150">
        <v>240.86</v>
      </c>
    </row>
    <row r="38" spans="1:7">
      <c r="A38" s="150" t="s">
        <v>87</v>
      </c>
      <c r="B38" s="153"/>
      <c r="C38" s="153"/>
      <c r="D38" s="151">
        <v>3542</v>
      </c>
      <c r="E38" s="153"/>
      <c r="F38" s="150">
        <v>602.14</v>
      </c>
      <c r="G38" s="149">
        <v>240.86</v>
      </c>
    </row>
  </sheetData>
  <mergeCells count="3">
    <mergeCell ref="A24:A27"/>
    <mergeCell ref="A34:A37"/>
    <mergeCell ref="A18:B1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9E4E-07D4-44C5-90C5-5449586DB263}">
  <dimension ref="A2:M24"/>
  <sheetViews>
    <sheetView zoomScaleNormal="100" zoomScaleSheetLayoutView="75" workbookViewId="0">
      <selection activeCell="H22" sqref="H22"/>
    </sheetView>
  </sheetViews>
  <sheetFormatPr defaultColWidth="8.75" defaultRowHeight="16.5"/>
  <cols>
    <col min="3" max="3" width="11.625" customWidth="1"/>
    <col min="4" max="4" width="10.25" bestFit="1" customWidth="1"/>
    <col min="5" max="5" width="9.875" customWidth="1"/>
    <col min="6" max="6" width="10.75" bestFit="1" customWidth="1"/>
    <col min="7" max="7" width="10.875" bestFit="1" customWidth="1"/>
    <col min="8" max="8" width="11.75" customWidth="1"/>
  </cols>
  <sheetData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2"/>
      <c r="B3" s="2"/>
      <c r="C3" s="190" t="s">
        <v>22</v>
      </c>
      <c r="D3" s="190"/>
      <c r="E3" s="190"/>
      <c r="F3" s="190"/>
      <c r="G3" s="190"/>
      <c r="H3" s="190"/>
      <c r="I3" s="190"/>
      <c r="J3" s="190"/>
      <c r="K3" s="190"/>
      <c r="L3" s="190"/>
    </row>
    <row r="4" spans="1:13" ht="17.25" thickBot="1">
      <c r="A4" s="2"/>
      <c r="B4" s="3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3" ht="17.25" thickTop="1">
      <c r="A5" s="2"/>
      <c r="B5" s="2"/>
      <c r="C5" s="2"/>
      <c r="D5" s="2"/>
      <c r="E5" s="2"/>
      <c r="F5" s="2"/>
      <c r="G5" s="2"/>
      <c r="H5" s="2"/>
      <c r="I5" s="4"/>
      <c r="J5" s="5"/>
      <c r="K5" s="6"/>
      <c r="L5" s="7" t="s">
        <v>182</v>
      </c>
    </row>
    <row r="6" spans="1:13">
      <c r="A6" s="2"/>
      <c r="B6" s="2"/>
      <c r="C6" s="2"/>
      <c r="D6" s="2"/>
      <c r="E6" s="2"/>
      <c r="F6" s="2"/>
      <c r="G6" s="2"/>
      <c r="H6" s="2"/>
      <c r="I6" s="4"/>
      <c r="J6" s="5"/>
      <c r="K6" s="6"/>
      <c r="L6" s="7"/>
    </row>
    <row r="7" spans="1:13">
      <c r="A7" s="8"/>
      <c r="B7" s="8"/>
      <c r="C7" s="104" t="s">
        <v>116</v>
      </c>
      <c r="D7" s="192" t="s">
        <v>118</v>
      </c>
      <c r="E7" s="192"/>
      <c r="F7" s="192"/>
      <c r="G7" s="192"/>
      <c r="H7" s="104" t="s">
        <v>114</v>
      </c>
      <c r="I7" s="192" t="s">
        <v>119</v>
      </c>
      <c r="J7" s="192"/>
      <c r="K7" s="192"/>
      <c r="L7" s="10"/>
      <c r="M7" s="11"/>
    </row>
    <row r="8" spans="1:13">
      <c r="A8" s="12"/>
      <c r="B8" s="12"/>
      <c r="C8" s="104" t="s">
        <v>117</v>
      </c>
      <c r="D8" s="192" t="s">
        <v>181</v>
      </c>
      <c r="E8" s="192"/>
      <c r="F8" s="192"/>
      <c r="G8" s="192"/>
      <c r="H8" s="104" t="s">
        <v>115</v>
      </c>
      <c r="I8" s="193" t="s">
        <v>183</v>
      </c>
      <c r="J8" s="193"/>
      <c r="K8" s="193"/>
      <c r="L8" s="12"/>
      <c r="M8" s="11"/>
    </row>
    <row r="9" spans="1:13">
      <c r="A9" s="12"/>
      <c r="B9" s="13"/>
      <c r="C9" s="14"/>
      <c r="D9" s="15"/>
      <c r="E9" s="15"/>
      <c r="F9" s="15"/>
      <c r="G9" s="15"/>
      <c r="H9" s="14"/>
      <c r="I9" s="16"/>
      <c r="J9" s="16"/>
      <c r="K9" s="16"/>
      <c r="L9" s="16"/>
      <c r="M9" s="11"/>
    </row>
    <row r="10" spans="1:13">
      <c r="A10" s="17"/>
      <c r="B10" s="18"/>
      <c r="L10" s="17"/>
    </row>
    <row r="11" spans="1:13">
      <c r="C11" s="19" t="s">
        <v>7</v>
      </c>
      <c r="G11" s="20"/>
      <c r="H11" s="20"/>
    </row>
    <row r="12" spans="1:13">
      <c r="C12" s="189" t="s">
        <v>170</v>
      </c>
      <c r="D12" s="189"/>
      <c r="E12" s="189"/>
      <c r="F12" s="189"/>
      <c r="G12" s="189"/>
      <c r="H12" s="189"/>
      <c r="I12" s="189"/>
      <c r="J12" s="189"/>
      <c r="K12" s="189"/>
    </row>
    <row r="13" spans="1:13">
      <c r="C13" s="36" t="s">
        <v>1</v>
      </c>
      <c r="D13" s="226" t="s">
        <v>5</v>
      </c>
      <c r="E13" s="228"/>
      <c r="F13" s="226" t="s">
        <v>12</v>
      </c>
      <c r="G13" s="228"/>
      <c r="H13" s="196" t="s">
        <v>26</v>
      </c>
      <c r="I13" s="197"/>
      <c r="J13" s="198" t="s">
        <v>6</v>
      </c>
      <c r="K13" s="198"/>
    </row>
    <row r="14" spans="1:13">
      <c r="C14" s="37" t="s">
        <v>180</v>
      </c>
      <c r="D14" s="260">
        <v>6448140</v>
      </c>
      <c r="E14" s="262"/>
      <c r="F14" s="281">
        <v>2601369</v>
      </c>
      <c r="G14" s="282"/>
      <c r="H14" s="199">
        <f>F14*0.9</f>
        <v>2341232.1</v>
      </c>
      <c r="I14" s="199"/>
      <c r="J14" s="200">
        <f>F14*0.1</f>
        <v>260136.90000000002</v>
      </c>
      <c r="K14" s="200"/>
    </row>
    <row r="15" spans="1:13">
      <c r="C15" s="189" t="s">
        <v>171</v>
      </c>
      <c r="D15" s="189"/>
      <c r="E15" s="189"/>
      <c r="F15" s="189"/>
      <c r="G15" s="189"/>
      <c r="H15" s="189"/>
      <c r="I15" s="189"/>
      <c r="J15" s="189"/>
      <c r="K15" s="189"/>
    </row>
    <row r="16" spans="1:13">
      <c r="C16" s="36" t="s">
        <v>1</v>
      </c>
      <c r="D16" s="226" t="s">
        <v>158</v>
      </c>
      <c r="E16" s="228"/>
      <c r="F16" s="226" t="s">
        <v>12</v>
      </c>
      <c r="G16" s="228"/>
      <c r="H16" s="196" t="s">
        <v>26</v>
      </c>
      <c r="I16" s="197"/>
      <c r="J16" s="198" t="s">
        <v>6</v>
      </c>
      <c r="K16" s="198"/>
    </row>
    <row r="17" spans="3:11">
      <c r="C17" s="37" t="s">
        <v>176</v>
      </c>
      <c r="D17" s="260">
        <v>4735290</v>
      </c>
      <c r="E17" s="262"/>
      <c r="F17" s="260">
        <v>2367645</v>
      </c>
      <c r="G17" s="262"/>
      <c r="H17" s="199">
        <f>F17*0.9</f>
        <v>2130880.5</v>
      </c>
      <c r="I17" s="199"/>
      <c r="J17" s="200">
        <f>F17*0.1</f>
        <v>236764.5</v>
      </c>
      <c r="K17" s="200"/>
    </row>
    <row r="18" spans="3:11">
      <c r="C18" s="38"/>
    </row>
    <row r="19" spans="3:11">
      <c r="C19" s="25" t="s">
        <v>45</v>
      </c>
      <c r="D19" s="202" t="s">
        <v>96</v>
      </c>
      <c r="E19" s="203"/>
      <c r="F19" s="203"/>
      <c r="G19" s="204"/>
      <c r="H19" s="196" t="s">
        <v>179</v>
      </c>
      <c r="I19" s="197"/>
      <c r="J19" s="198" t="s">
        <v>6</v>
      </c>
      <c r="K19" s="198"/>
    </row>
    <row r="20" spans="3:11">
      <c r="C20" s="37" t="str">
        <f>C14</f>
        <v>10월</v>
      </c>
      <c r="D20" s="205">
        <f>+F14+F17</f>
        <v>4969014</v>
      </c>
      <c r="E20" s="206"/>
      <c r="F20" s="206"/>
      <c r="G20" s="207"/>
      <c r="H20" s="201">
        <f>D20*0.9</f>
        <v>4472112.6000000006</v>
      </c>
      <c r="I20" s="201"/>
      <c r="J20" s="201">
        <f>D20*0.1</f>
        <v>496901.4</v>
      </c>
      <c r="K20" s="201"/>
    </row>
    <row r="22" spans="3:11">
      <c r="C22" s="42" t="s">
        <v>66</v>
      </c>
      <c r="I22" s="35"/>
      <c r="J22" s="35"/>
      <c r="K22" s="35"/>
    </row>
    <row r="23" spans="3:11">
      <c r="C23" s="43" t="s">
        <v>0</v>
      </c>
    </row>
    <row r="24" spans="3:11">
      <c r="J24" s="21" t="s">
        <v>24</v>
      </c>
    </row>
  </sheetData>
  <mergeCells count="29">
    <mergeCell ref="D20:G20"/>
    <mergeCell ref="H20:I20"/>
    <mergeCell ref="J20:K20"/>
    <mergeCell ref="C15:K15"/>
    <mergeCell ref="D16:E16"/>
    <mergeCell ref="F16:G16"/>
    <mergeCell ref="H16:I16"/>
    <mergeCell ref="D17:E17"/>
    <mergeCell ref="F17:G17"/>
    <mergeCell ref="H17:I17"/>
    <mergeCell ref="J17:K17"/>
    <mergeCell ref="D19:G19"/>
    <mergeCell ref="H19:I19"/>
    <mergeCell ref="J19:K19"/>
    <mergeCell ref="C12:K12"/>
    <mergeCell ref="D13:E13"/>
    <mergeCell ref="F13:G13"/>
    <mergeCell ref="H13:I13"/>
    <mergeCell ref="J13:K13"/>
    <mergeCell ref="D14:E14"/>
    <mergeCell ref="F14:G14"/>
    <mergeCell ref="H14:I14"/>
    <mergeCell ref="J14:K14"/>
    <mergeCell ref="J16:K16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F728-14A6-4BA0-9C6F-70320EF0B56A}">
  <dimension ref="A2:M26"/>
  <sheetViews>
    <sheetView zoomScaleNormal="100" zoomScaleSheetLayoutView="75" workbookViewId="0">
      <selection activeCell="H22" sqref="H22:I22"/>
    </sheetView>
  </sheetViews>
  <sheetFormatPr defaultColWidth="8.75" defaultRowHeight="16.5"/>
  <cols>
    <col min="1" max="2" width="8.75" style="106"/>
    <col min="3" max="3" width="11.75" style="106" customWidth="1"/>
    <col min="4" max="4" width="10.25" style="106" bestFit="1" customWidth="1"/>
    <col min="5" max="5" width="9.875" style="106" customWidth="1"/>
    <col min="6" max="6" width="10.75" style="106" bestFit="1" customWidth="1"/>
    <col min="7" max="7" width="10.875" style="106" bestFit="1" customWidth="1"/>
    <col min="8" max="8" width="11.625" style="106" customWidth="1"/>
    <col min="9" max="9" width="11.375" style="106" customWidth="1"/>
    <col min="10" max="16384" width="8.75" style="106"/>
  </cols>
  <sheetData>
    <row r="2" spans="1:13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3">
      <c r="A3" s="107"/>
      <c r="B3" s="107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</row>
    <row r="4" spans="1:13" ht="17.25" thickBot="1">
      <c r="A4" s="107"/>
      <c r="B4" s="108"/>
      <c r="C4" s="275"/>
      <c r="D4" s="275"/>
      <c r="E4" s="275"/>
      <c r="F4" s="275"/>
      <c r="G4" s="275"/>
      <c r="H4" s="275"/>
      <c r="I4" s="275"/>
      <c r="J4" s="275"/>
      <c r="K4" s="275"/>
      <c r="L4" s="275"/>
    </row>
    <row r="5" spans="1:13" ht="17.25" thickTop="1">
      <c r="A5" s="107"/>
      <c r="B5" s="107"/>
      <c r="C5" s="107"/>
      <c r="D5" s="107"/>
      <c r="E5" s="107"/>
      <c r="F5" s="107"/>
      <c r="G5" s="107"/>
      <c r="H5" s="107"/>
      <c r="I5" s="109"/>
      <c r="J5" s="110"/>
      <c r="K5" s="111"/>
      <c r="L5" s="112" t="s">
        <v>182</v>
      </c>
    </row>
    <row r="6" spans="1:13">
      <c r="A6" s="107"/>
      <c r="B6" s="107"/>
      <c r="C6" s="107"/>
      <c r="D6" s="107"/>
      <c r="E6" s="107"/>
      <c r="F6" s="107"/>
      <c r="G6" s="107"/>
      <c r="H6" s="107"/>
      <c r="I6" s="109"/>
      <c r="J6" s="110"/>
      <c r="K6" s="111"/>
      <c r="L6" s="112"/>
    </row>
    <row r="7" spans="1:13">
      <c r="A7" s="113"/>
      <c r="B7" s="113"/>
      <c r="C7" s="114" t="s">
        <v>116</v>
      </c>
      <c r="D7" s="276" t="s">
        <v>118</v>
      </c>
      <c r="E7" s="276"/>
      <c r="F7" s="276"/>
      <c r="G7" s="276"/>
      <c r="H7" s="114" t="s">
        <v>114</v>
      </c>
      <c r="I7" s="276" t="s">
        <v>119</v>
      </c>
      <c r="J7" s="276"/>
      <c r="K7" s="276"/>
      <c r="L7" s="10"/>
      <c r="M7" s="115"/>
    </row>
    <row r="8" spans="1:13">
      <c r="A8" s="116"/>
      <c r="B8" s="116"/>
      <c r="C8" s="114" t="s">
        <v>117</v>
      </c>
      <c r="D8" s="276" t="s">
        <v>156</v>
      </c>
      <c r="E8" s="276"/>
      <c r="F8" s="276"/>
      <c r="G8" s="276"/>
      <c r="H8" s="114" t="s">
        <v>115</v>
      </c>
      <c r="I8" s="277" t="s">
        <v>183</v>
      </c>
      <c r="J8" s="277"/>
      <c r="K8" s="277"/>
      <c r="L8" s="116"/>
      <c r="M8" s="115"/>
    </row>
    <row r="9" spans="1:13">
      <c r="A9" s="116"/>
      <c r="B9" s="117"/>
      <c r="C9" s="118"/>
      <c r="D9" s="119"/>
      <c r="E9" s="119"/>
      <c r="F9" s="119"/>
      <c r="G9" s="119"/>
      <c r="H9" s="118"/>
      <c r="I9" s="120"/>
      <c r="J9" s="120"/>
      <c r="K9" s="120"/>
      <c r="L9" s="120"/>
      <c r="M9" s="115"/>
    </row>
    <row r="10" spans="1:13">
      <c r="A10" s="121"/>
      <c r="B10" s="122"/>
      <c r="L10" s="121"/>
    </row>
    <row r="11" spans="1:13">
      <c r="C11" s="123" t="s">
        <v>7</v>
      </c>
      <c r="G11" s="128"/>
      <c r="H11" s="128"/>
    </row>
    <row r="12" spans="1:13">
      <c r="C12" s="253" t="s">
        <v>98</v>
      </c>
      <c r="D12" s="253"/>
      <c r="E12" s="253"/>
      <c r="F12" s="253"/>
      <c r="G12" s="253"/>
      <c r="H12" s="253"/>
      <c r="I12" s="253"/>
      <c r="J12" s="253"/>
      <c r="K12" s="253"/>
    </row>
    <row r="13" spans="1:13">
      <c r="C13" s="55" t="s">
        <v>1</v>
      </c>
      <c r="D13" s="257" t="s">
        <v>51</v>
      </c>
      <c r="E13" s="258"/>
      <c r="F13" s="258"/>
      <c r="G13" s="259"/>
      <c r="H13" s="255" t="s">
        <v>26</v>
      </c>
      <c r="I13" s="256"/>
      <c r="J13" s="254" t="s">
        <v>6</v>
      </c>
      <c r="K13" s="254"/>
    </row>
    <row r="14" spans="1:13">
      <c r="C14" s="74" t="s">
        <v>157</v>
      </c>
      <c r="D14" s="231">
        <v>1592608</v>
      </c>
      <c r="E14" s="232"/>
      <c r="F14" s="232"/>
      <c r="G14" s="233"/>
      <c r="H14" s="234">
        <f>D14*0.9</f>
        <v>1433347.2</v>
      </c>
      <c r="I14" s="234"/>
      <c r="J14" s="234">
        <f>D14*0.1</f>
        <v>159260.80000000002</v>
      </c>
      <c r="K14" s="234"/>
    </row>
    <row r="15" spans="1:13">
      <c r="C15" s="253" t="s">
        <v>194</v>
      </c>
      <c r="D15" s="253"/>
      <c r="E15" s="253"/>
      <c r="F15" s="253"/>
      <c r="G15" s="253"/>
      <c r="H15" s="253"/>
      <c r="I15" s="253"/>
      <c r="J15" s="253"/>
      <c r="K15" s="253"/>
    </row>
    <row r="16" spans="1:13">
      <c r="C16" s="55" t="s">
        <v>1</v>
      </c>
      <c r="D16" s="55" t="s">
        <v>48</v>
      </c>
      <c r="E16" s="55" t="s">
        <v>128</v>
      </c>
      <c r="F16" s="55" t="s">
        <v>51</v>
      </c>
      <c r="G16" s="55" t="s">
        <v>129</v>
      </c>
      <c r="H16" s="126" t="s">
        <v>132</v>
      </c>
      <c r="I16" s="127" t="s">
        <v>131</v>
      </c>
      <c r="J16" s="254" t="s">
        <v>6</v>
      </c>
      <c r="K16" s="254"/>
    </row>
    <row r="17" spans="3:11">
      <c r="C17" s="272" t="str">
        <f>C14</f>
        <v>8월</v>
      </c>
      <c r="D17" s="105" t="s">
        <v>49</v>
      </c>
      <c r="E17" s="130"/>
      <c r="F17" s="130">
        <v>1192290</v>
      </c>
      <c r="G17" s="131"/>
      <c r="H17" s="129">
        <v>0</v>
      </c>
      <c r="I17" s="129">
        <f>F17*0.9</f>
        <v>1073061</v>
      </c>
      <c r="J17" s="234">
        <f>F17*0.1</f>
        <v>119229</v>
      </c>
      <c r="K17" s="234"/>
    </row>
    <row r="18" spans="3:11">
      <c r="C18" s="230"/>
      <c r="D18" s="124" t="s">
        <v>50</v>
      </c>
      <c r="E18" s="132">
        <v>1267014</v>
      </c>
      <c r="F18" s="132">
        <v>327404</v>
      </c>
      <c r="G18" s="132">
        <f>E18-F18</f>
        <v>939610</v>
      </c>
      <c r="H18" s="129">
        <v>0</v>
      </c>
      <c r="I18" s="129">
        <v>0</v>
      </c>
      <c r="J18" s="273">
        <v>0</v>
      </c>
      <c r="K18" s="273"/>
    </row>
    <row r="19" spans="3:11">
      <c r="C19" s="38"/>
    </row>
    <row r="20" spans="3:11">
      <c r="C20" s="55" t="s">
        <v>1</v>
      </c>
      <c r="D20" s="243" t="s">
        <v>124</v>
      </c>
      <c r="E20" s="244"/>
      <c r="F20" s="244"/>
      <c r="G20" s="245"/>
      <c r="H20" s="222" t="s">
        <v>69</v>
      </c>
      <c r="I20" s="251"/>
      <c r="J20" s="224" t="s">
        <v>70</v>
      </c>
      <c r="K20" s="252"/>
    </row>
    <row r="21" spans="3:11">
      <c r="C21" s="208" t="s">
        <v>180</v>
      </c>
      <c r="D21" s="211">
        <f>D14+F17</f>
        <v>2784898</v>
      </c>
      <c r="E21" s="246"/>
      <c r="F21" s="246"/>
      <c r="G21" s="209"/>
      <c r="H21" s="211">
        <f>D21*0.9</f>
        <v>2506408.2000000002</v>
      </c>
      <c r="I21" s="209"/>
      <c r="J21" s="213">
        <f>D21*0.1</f>
        <v>278489.8</v>
      </c>
      <c r="K21" s="263"/>
    </row>
    <row r="22" spans="3:11">
      <c r="C22" s="208"/>
      <c r="D22" s="243" t="s">
        <v>72</v>
      </c>
      <c r="E22" s="244"/>
      <c r="F22" s="244"/>
      <c r="G22" s="245"/>
      <c r="H22" s="264" t="s">
        <v>73</v>
      </c>
      <c r="I22" s="265"/>
      <c r="J22" s="266" t="s">
        <v>74</v>
      </c>
      <c r="K22" s="266"/>
    </row>
    <row r="23" spans="3:11">
      <c r="C23" s="208"/>
      <c r="D23" s="267">
        <f>J21</f>
        <v>278489.8</v>
      </c>
      <c r="E23" s="268"/>
      <c r="F23" s="268"/>
      <c r="G23" s="269"/>
      <c r="H23" s="270">
        <f>D23*0.1</f>
        <v>27848.98</v>
      </c>
      <c r="I23" s="270"/>
      <c r="J23" s="270">
        <f>D23+H23</f>
        <v>306338.77999999997</v>
      </c>
      <c r="K23" s="271"/>
    </row>
    <row r="25" spans="3:11">
      <c r="C25" s="42" t="s">
        <v>67</v>
      </c>
    </row>
    <row r="26" spans="3:11">
      <c r="C26" s="43" t="s">
        <v>0</v>
      </c>
      <c r="J26" s="125" t="s">
        <v>24</v>
      </c>
    </row>
  </sheetData>
  <mergeCells count="30">
    <mergeCell ref="C21:C23"/>
    <mergeCell ref="D21:G21"/>
    <mergeCell ref="H21:I21"/>
    <mergeCell ref="J21:K21"/>
    <mergeCell ref="D22:G22"/>
    <mergeCell ref="H22:I22"/>
    <mergeCell ref="J22:K22"/>
    <mergeCell ref="D23:G23"/>
    <mergeCell ref="H23:I23"/>
    <mergeCell ref="J23:K23"/>
    <mergeCell ref="D20:G20"/>
    <mergeCell ref="H20:I20"/>
    <mergeCell ref="J20:K20"/>
    <mergeCell ref="D13:G13"/>
    <mergeCell ref="H13:I13"/>
    <mergeCell ref="J13:K13"/>
    <mergeCell ref="D14:G14"/>
    <mergeCell ref="H14:I14"/>
    <mergeCell ref="J14:K14"/>
    <mergeCell ref="C15:K15"/>
    <mergeCell ref="J16:K16"/>
    <mergeCell ref="C17:C18"/>
    <mergeCell ref="J17:K17"/>
    <mergeCell ref="J18:K18"/>
    <mergeCell ref="C12:K12"/>
    <mergeCell ref="C3:L4"/>
    <mergeCell ref="D7:G7"/>
    <mergeCell ref="I7:K7"/>
    <mergeCell ref="D8:G8"/>
    <mergeCell ref="I8:K8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9949-3C9F-4101-A243-41C3BBC4A0E4}">
  <dimension ref="A1:O38"/>
  <sheetViews>
    <sheetView zoomScale="85" zoomScaleNormal="85" zoomScaleSheetLayoutView="75" workbookViewId="0">
      <selection activeCell="F14" sqref="F14"/>
    </sheetView>
  </sheetViews>
  <sheetFormatPr defaultColWidth="8.75" defaultRowHeight="16.5"/>
  <cols>
    <col min="1" max="1" width="22.375" customWidth="1"/>
    <col min="2" max="2" width="13.375" customWidth="1"/>
    <col min="3" max="3" width="13" customWidth="1"/>
    <col min="4" max="5" width="14.625" bestFit="1" customWidth="1"/>
    <col min="6" max="6" width="13" bestFit="1" customWidth="1"/>
    <col min="7" max="7" width="13.625" customWidth="1"/>
    <col min="8" max="8" width="15.375" customWidth="1"/>
    <col min="9" max="9" width="13" bestFit="1" customWidth="1"/>
    <col min="10" max="10" width="12.625" customWidth="1"/>
    <col min="11" max="11" width="15" customWidth="1"/>
    <col min="12" max="14" width="13" bestFit="1" customWidth="1"/>
    <col min="15" max="15" width="14" bestFit="1" customWidth="1"/>
    <col min="16" max="16" width="11.25" bestFit="1" customWidth="1"/>
    <col min="17" max="17" width="13" bestFit="1" customWidth="1"/>
    <col min="18" max="18" width="16.75" bestFit="1" customWidth="1"/>
    <col min="19" max="19" width="15.25" bestFit="1" customWidth="1"/>
    <col min="20" max="20" width="15.5" customWidth="1"/>
    <col min="21" max="21" width="12.375" bestFit="1" customWidth="1"/>
  </cols>
  <sheetData>
    <row r="1" spans="1:15" s="75" customFormat="1" ht="21.75" customHeight="1">
      <c r="A1" s="103" t="s">
        <v>97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5">
      <c r="A2" s="24" t="s">
        <v>20</v>
      </c>
      <c r="B2" s="65" t="s">
        <v>35</v>
      </c>
      <c r="C2" s="66" t="s">
        <v>36</v>
      </c>
      <c r="D2" s="65" t="s">
        <v>37</v>
      </c>
      <c r="E2" s="66" t="s">
        <v>38</v>
      </c>
      <c r="F2" s="67" t="s">
        <v>39</v>
      </c>
      <c r="G2" s="67" t="s">
        <v>40</v>
      </c>
      <c r="H2" s="68" t="s">
        <v>41</v>
      </c>
      <c r="I2" s="67" t="s">
        <v>42</v>
      </c>
      <c r="J2" s="67" t="s">
        <v>43</v>
      </c>
      <c r="K2" s="69" t="s">
        <v>44</v>
      </c>
    </row>
    <row r="3" spans="1:15" s="73" customFormat="1">
      <c r="A3" s="44" t="s">
        <v>3</v>
      </c>
      <c r="B3" s="70">
        <v>3445200</v>
      </c>
      <c r="C3" s="70">
        <v>1550340</v>
      </c>
      <c r="D3" s="70">
        <v>3002940</v>
      </c>
      <c r="E3" s="70">
        <v>1051029</v>
      </c>
      <c r="F3" s="70">
        <v>2601369</v>
      </c>
      <c r="G3" s="70">
        <v>6448140</v>
      </c>
      <c r="H3" s="71"/>
      <c r="I3" s="72">
        <v>2601369</v>
      </c>
      <c r="J3" s="72">
        <v>2601369</v>
      </c>
      <c r="K3" s="72">
        <v>2601369</v>
      </c>
    </row>
    <row r="5" spans="1:15" s="75" customFormat="1" ht="21.75" customHeight="1">
      <c r="A5" s="103" t="s">
        <v>177</v>
      </c>
      <c r="B5" s="76"/>
      <c r="C5" s="76"/>
      <c r="D5" s="76"/>
      <c r="E5" s="76"/>
      <c r="F5" s="76"/>
      <c r="G5" s="76"/>
      <c r="H5" s="76"/>
      <c r="I5" s="76"/>
      <c r="J5" s="76"/>
      <c r="K5" s="76"/>
    </row>
    <row r="6" spans="1:15">
      <c r="A6" s="155" t="s">
        <v>160</v>
      </c>
      <c r="B6" s="156" t="s">
        <v>161</v>
      </c>
      <c r="C6" s="155" t="s">
        <v>162</v>
      </c>
      <c r="D6" s="155" t="s">
        <v>163</v>
      </c>
      <c r="E6" s="157" t="s">
        <v>164</v>
      </c>
      <c r="F6" s="158" t="s">
        <v>165</v>
      </c>
      <c r="G6" s="159" t="s">
        <v>166</v>
      </c>
      <c r="H6" s="159" t="s">
        <v>167</v>
      </c>
    </row>
    <row r="7" spans="1:15">
      <c r="A7" s="160" t="s">
        <v>168</v>
      </c>
      <c r="B7" s="161">
        <v>44805</v>
      </c>
      <c r="C7" s="160">
        <v>15462</v>
      </c>
      <c r="D7" s="160" t="s">
        <v>3</v>
      </c>
      <c r="E7" s="160" t="s">
        <v>13</v>
      </c>
      <c r="F7" s="160" t="s">
        <v>14</v>
      </c>
      <c r="G7" s="162">
        <v>4735290</v>
      </c>
      <c r="H7" s="162">
        <v>2367645</v>
      </c>
    </row>
    <row r="9" spans="1:15" s="75" customFormat="1" ht="21.75" customHeight="1">
      <c r="A9" s="103" t="s">
        <v>134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</row>
    <row r="11" spans="1:15" ht="20.25">
      <c r="A11" s="77" t="s">
        <v>99</v>
      </c>
      <c r="B11" s="163"/>
      <c r="C11" s="163"/>
      <c r="D11" s="163"/>
      <c r="E11" s="163"/>
      <c r="F11" s="163"/>
      <c r="G11" s="163"/>
      <c r="H11" s="163"/>
      <c r="I11" s="31"/>
      <c r="J11" s="163"/>
    </row>
    <row r="12" spans="1:15">
      <c r="A12" s="163" t="s">
        <v>184</v>
      </c>
      <c r="B12" s="163"/>
      <c r="C12" s="163"/>
      <c r="D12" s="163"/>
      <c r="E12" s="163"/>
      <c r="F12" s="163"/>
      <c r="G12" s="163"/>
      <c r="H12" s="163"/>
      <c r="I12" s="163"/>
      <c r="J12" s="163"/>
    </row>
    <row r="13" spans="1:15" ht="17.25">
      <c r="A13" s="82"/>
      <c r="B13" s="163"/>
      <c r="C13" s="163"/>
      <c r="D13" s="163"/>
      <c r="E13" s="163"/>
      <c r="F13" s="163"/>
      <c r="G13" s="163"/>
      <c r="H13" s="163"/>
      <c r="I13" s="163"/>
      <c r="J13" s="163"/>
    </row>
    <row r="14" spans="1:15" ht="18" thickBot="1">
      <c r="A14" s="83" t="s">
        <v>136</v>
      </c>
      <c r="B14" s="84"/>
      <c r="C14" s="177">
        <v>42885.26</v>
      </c>
      <c r="D14" s="175"/>
      <c r="E14" s="175"/>
      <c r="F14" s="175"/>
      <c r="G14" s="175"/>
      <c r="H14" s="175"/>
      <c r="I14" s="175"/>
      <c r="J14" s="175"/>
    </row>
    <row r="15" spans="1:15">
      <c r="A15" s="86"/>
      <c r="B15" s="86"/>
      <c r="C15" s="86"/>
      <c r="D15" s="175"/>
      <c r="E15" s="136"/>
      <c r="F15" s="136"/>
      <c r="G15" s="136"/>
      <c r="H15" s="136"/>
      <c r="I15" s="31"/>
      <c r="J15" s="175"/>
    </row>
    <row r="16" spans="1:15">
      <c r="A16" s="88" t="s">
        <v>102</v>
      </c>
      <c r="B16" s="89" t="s">
        <v>75</v>
      </c>
      <c r="C16" s="138" t="s">
        <v>185</v>
      </c>
      <c r="D16" s="135" t="s">
        <v>186</v>
      </c>
      <c r="E16" s="135" t="s">
        <v>187</v>
      </c>
      <c r="F16" s="135" t="s">
        <v>188</v>
      </c>
      <c r="G16" s="135" t="s">
        <v>189</v>
      </c>
      <c r="H16" s="135" t="s">
        <v>190</v>
      </c>
      <c r="I16" s="135" t="s">
        <v>191</v>
      </c>
      <c r="J16" s="176" t="s">
        <v>192</v>
      </c>
    </row>
    <row r="17" spans="1:15">
      <c r="A17" s="93">
        <v>2439</v>
      </c>
      <c r="B17" s="93" t="s">
        <v>3</v>
      </c>
      <c r="C17" s="181">
        <v>60300</v>
      </c>
      <c r="D17" s="182" t="s">
        <v>193</v>
      </c>
      <c r="E17" s="185">
        <v>153009.5</v>
      </c>
      <c r="F17" s="185">
        <v>45796.35</v>
      </c>
      <c r="G17" s="185">
        <v>107213.15</v>
      </c>
      <c r="H17" s="183">
        <v>42885.26</v>
      </c>
      <c r="I17" s="178">
        <v>42885.26</v>
      </c>
      <c r="J17" s="179">
        <v>42885.26</v>
      </c>
    </row>
    <row r="18" spans="1:15">
      <c r="A18" s="187" t="s">
        <v>111</v>
      </c>
      <c r="B18" s="188"/>
      <c r="C18" s="186">
        <v>60300</v>
      </c>
      <c r="D18" s="184" t="s">
        <v>193</v>
      </c>
      <c r="E18" s="184">
        <v>153009.5</v>
      </c>
      <c r="F18" s="184">
        <v>45796.35</v>
      </c>
      <c r="G18" s="184">
        <v>107213.15</v>
      </c>
      <c r="H18" s="184">
        <v>42885.26</v>
      </c>
      <c r="I18" s="178">
        <v>42885.26</v>
      </c>
      <c r="J18" s="180">
        <v>42885.26</v>
      </c>
    </row>
    <row r="20" spans="1:15" s="75" customFormat="1" ht="21.75" customHeight="1">
      <c r="A20" s="103" t="s">
        <v>150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</row>
    <row r="21" spans="1:15">
      <c r="A21" s="133" t="s">
        <v>54</v>
      </c>
      <c r="B21" s="133" t="s">
        <v>55</v>
      </c>
      <c r="C21" s="133" t="s">
        <v>56</v>
      </c>
      <c r="D21" s="133" t="s">
        <v>145</v>
      </c>
      <c r="E21" s="133" t="s">
        <v>146</v>
      </c>
      <c r="F21" s="133" t="s">
        <v>147</v>
      </c>
      <c r="G21" s="133" t="s">
        <v>148</v>
      </c>
      <c r="H21" s="133" t="s">
        <v>57</v>
      </c>
    </row>
    <row r="22" spans="1:15">
      <c r="A22" s="150" t="s">
        <v>58</v>
      </c>
      <c r="B22" s="149">
        <v>858.3</v>
      </c>
      <c r="C22" s="151">
        <v>1192290</v>
      </c>
      <c r="D22" s="151">
        <v>2000000</v>
      </c>
      <c r="E22" s="151">
        <v>0</v>
      </c>
      <c r="F22" s="150">
        <v>0</v>
      </c>
      <c r="G22" s="151">
        <v>1192290</v>
      </c>
      <c r="H22" s="150" t="s">
        <v>59</v>
      </c>
    </row>
    <row r="23" spans="1:15">
      <c r="A23" s="152" t="s">
        <v>75</v>
      </c>
      <c r="B23" s="152" t="s">
        <v>76</v>
      </c>
      <c r="C23" s="152" t="s">
        <v>77</v>
      </c>
      <c r="D23" s="152" t="s">
        <v>78</v>
      </c>
      <c r="E23" s="152" t="s">
        <v>79</v>
      </c>
      <c r="F23" s="152" t="s">
        <v>80</v>
      </c>
      <c r="G23" s="152" t="s">
        <v>149</v>
      </c>
    </row>
    <row r="24" spans="1:15">
      <c r="A24" s="278" t="s">
        <v>58</v>
      </c>
      <c r="B24" s="150" t="s">
        <v>82</v>
      </c>
      <c r="C24" s="150" t="s">
        <v>83</v>
      </c>
      <c r="D24" s="151">
        <v>12622</v>
      </c>
      <c r="E24" s="150">
        <v>0.17</v>
      </c>
      <c r="F24" s="154">
        <v>2145.7399999999998</v>
      </c>
      <c r="G24" s="150">
        <v>858.3</v>
      </c>
    </row>
    <row r="25" spans="1:15">
      <c r="A25" s="279"/>
      <c r="B25" s="150" t="s">
        <v>82</v>
      </c>
      <c r="C25" s="150" t="s">
        <v>84</v>
      </c>
      <c r="D25" s="150">
        <v>0</v>
      </c>
      <c r="E25" s="150">
        <v>0.12</v>
      </c>
      <c r="F25" s="150">
        <v>0</v>
      </c>
      <c r="G25" s="150">
        <v>0</v>
      </c>
    </row>
    <row r="26" spans="1:15">
      <c r="A26" s="279"/>
      <c r="B26" s="150" t="s">
        <v>82</v>
      </c>
      <c r="C26" s="150" t="s">
        <v>85</v>
      </c>
      <c r="D26" s="150">
        <v>0</v>
      </c>
      <c r="E26" s="150">
        <v>0.12</v>
      </c>
      <c r="F26" s="150">
        <v>0</v>
      </c>
      <c r="G26" s="150">
        <v>0</v>
      </c>
    </row>
    <row r="27" spans="1:15">
      <c r="A27" s="280"/>
      <c r="B27" s="150" t="s">
        <v>86</v>
      </c>
      <c r="C27" s="153"/>
      <c r="D27" s="151">
        <v>12622</v>
      </c>
      <c r="E27" s="153"/>
      <c r="F27" s="154">
        <v>2145.7399999999998</v>
      </c>
      <c r="G27" s="150">
        <v>858.3</v>
      </c>
    </row>
    <row r="28" spans="1:15">
      <c r="A28" s="150" t="s">
        <v>87</v>
      </c>
      <c r="B28" s="153"/>
      <c r="C28" s="153"/>
      <c r="D28" s="151">
        <v>12622</v>
      </c>
      <c r="E28" s="153"/>
      <c r="F28" s="154">
        <v>2145.7399999999998</v>
      </c>
      <c r="G28" s="149">
        <v>858.3</v>
      </c>
    </row>
    <row r="30" spans="1:15" s="75" customFormat="1" ht="21.75" customHeight="1">
      <c r="A30" s="103" t="s">
        <v>151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</row>
    <row r="31" spans="1:15">
      <c r="A31" s="133" t="s">
        <v>54</v>
      </c>
      <c r="B31" s="133" t="s">
        <v>55</v>
      </c>
      <c r="C31" s="133" t="s">
        <v>56</v>
      </c>
      <c r="D31" s="133" t="s">
        <v>145</v>
      </c>
      <c r="E31" s="133" t="s">
        <v>146</v>
      </c>
      <c r="F31" s="133" t="s">
        <v>147</v>
      </c>
      <c r="G31" s="133" t="s">
        <v>148</v>
      </c>
      <c r="H31" s="133" t="s">
        <v>57</v>
      </c>
    </row>
    <row r="32" spans="1:15">
      <c r="A32" s="150" t="s">
        <v>152</v>
      </c>
      <c r="B32" s="149">
        <v>235.69</v>
      </c>
      <c r="C32" s="151">
        <v>327404</v>
      </c>
      <c r="D32" s="151">
        <v>2000000</v>
      </c>
      <c r="E32" s="151">
        <v>1267014</v>
      </c>
      <c r="F32" s="151">
        <v>939610</v>
      </c>
      <c r="G32" s="150">
        <v>0</v>
      </c>
      <c r="H32" s="150" t="s">
        <v>59</v>
      </c>
    </row>
    <row r="33" spans="1:7">
      <c r="A33" s="152" t="s">
        <v>75</v>
      </c>
      <c r="B33" s="152" t="s">
        <v>76</v>
      </c>
      <c r="C33" s="152" t="s">
        <v>77</v>
      </c>
      <c r="D33" s="152" t="s">
        <v>78</v>
      </c>
      <c r="E33" s="152" t="s">
        <v>79</v>
      </c>
      <c r="F33" s="152" t="s">
        <v>80</v>
      </c>
      <c r="G33" s="152" t="s">
        <v>149</v>
      </c>
    </row>
    <row r="34" spans="1:7">
      <c r="A34" s="278" t="s">
        <v>152</v>
      </c>
      <c r="B34" s="150" t="s">
        <v>153</v>
      </c>
      <c r="C34" s="150" t="s">
        <v>83</v>
      </c>
      <c r="D34" s="151">
        <v>3466</v>
      </c>
      <c r="E34" s="150">
        <v>0.17</v>
      </c>
      <c r="F34" s="150">
        <v>589.22</v>
      </c>
      <c r="G34" s="150">
        <v>235.69</v>
      </c>
    </row>
    <row r="35" spans="1:7">
      <c r="A35" s="279"/>
      <c r="B35" s="150" t="s">
        <v>153</v>
      </c>
      <c r="C35" s="150" t="s">
        <v>84</v>
      </c>
      <c r="D35" s="150">
        <v>0</v>
      </c>
      <c r="E35" s="150">
        <v>0.12</v>
      </c>
      <c r="F35" s="150">
        <v>0</v>
      </c>
      <c r="G35" s="150">
        <v>0</v>
      </c>
    </row>
    <row r="36" spans="1:7">
      <c r="A36" s="279"/>
      <c r="B36" s="150" t="s">
        <v>153</v>
      </c>
      <c r="C36" s="150" t="s">
        <v>85</v>
      </c>
      <c r="D36" s="150">
        <v>0</v>
      </c>
      <c r="E36" s="150">
        <v>0.12</v>
      </c>
      <c r="F36" s="150">
        <v>0</v>
      </c>
      <c r="G36" s="150">
        <v>0</v>
      </c>
    </row>
    <row r="37" spans="1:7">
      <c r="A37" s="280"/>
      <c r="B37" s="150" t="s">
        <v>86</v>
      </c>
      <c r="C37" s="153"/>
      <c r="D37" s="151">
        <v>3466</v>
      </c>
      <c r="E37" s="153"/>
      <c r="F37" s="150">
        <v>589.22</v>
      </c>
      <c r="G37" s="150">
        <v>235.69</v>
      </c>
    </row>
    <row r="38" spans="1:7">
      <c r="A38" s="150" t="s">
        <v>87</v>
      </c>
      <c r="B38" s="153"/>
      <c r="C38" s="153"/>
      <c r="D38" s="151">
        <v>3466</v>
      </c>
      <c r="E38" s="153"/>
      <c r="F38" s="150">
        <v>589.22</v>
      </c>
      <c r="G38" s="149">
        <v>235.69</v>
      </c>
    </row>
  </sheetData>
  <mergeCells count="2">
    <mergeCell ref="A24:A27"/>
    <mergeCell ref="A34:A37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E23E-F2AE-4FD1-AEFC-94F6BE0D71C4}">
  <sheetPr>
    <tabColor theme="7" tint="0.79998168889431442"/>
  </sheetPr>
  <dimension ref="A2:M24"/>
  <sheetViews>
    <sheetView zoomScaleNormal="100" zoomScaleSheetLayoutView="75" workbookViewId="0">
      <selection activeCell="J19" sqref="J19:K19"/>
    </sheetView>
  </sheetViews>
  <sheetFormatPr defaultColWidth="8.75" defaultRowHeight="16.5"/>
  <cols>
    <col min="3" max="3" width="11.625" customWidth="1"/>
    <col min="4" max="4" width="10.25" bestFit="1" customWidth="1"/>
    <col min="5" max="5" width="9.875" customWidth="1"/>
    <col min="6" max="6" width="10.75" bestFit="1" customWidth="1"/>
    <col min="7" max="7" width="10.875" bestFit="1" customWidth="1"/>
    <col min="8" max="8" width="11.75" customWidth="1"/>
  </cols>
  <sheetData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2"/>
      <c r="B3" s="2"/>
      <c r="C3" s="190" t="s">
        <v>22</v>
      </c>
      <c r="D3" s="190"/>
      <c r="E3" s="190"/>
      <c r="F3" s="190"/>
      <c r="G3" s="190"/>
      <c r="H3" s="190"/>
      <c r="I3" s="190"/>
      <c r="J3" s="190"/>
      <c r="K3" s="190"/>
      <c r="L3" s="190"/>
    </row>
    <row r="4" spans="1:13" ht="17.25" thickBot="1">
      <c r="A4" s="2"/>
      <c r="B4" s="3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3" ht="17.25" thickTop="1">
      <c r="A5" s="2"/>
      <c r="B5" s="2"/>
      <c r="C5" s="2"/>
      <c r="D5" s="2"/>
      <c r="E5" s="2"/>
      <c r="F5" s="2"/>
      <c r="G5" s="2"/>
      <c r="H5" s="2"/>
      <c r="I5" s="4"/>
      <c r="J5" s="5"/>
      <c r="K5" s="6"/>
      <c r="L5" s="7" t="s">
        <v>196</v>
      </c>
    </row>
    <row r="6" spans="1:13">
      <c r="A6" s="2"/>
      <c r="B6" s="2"/>
      <c r="C6" s="2"/>
      <c r="D6" s="2"/>
      <c r="E6" s="2"/>
      <c r="F6" s="2"/>
      <c r="G6" s="2"/>
      <c r="H6" s="2"/>
      <c r="I6" s="4"/>
      <c r="J6" s="5"/>
      <c r="K6" s="6"/>
      <c r="L6" s="7"/>
    </row>
    <row r="7" spans="1:13">
      <c r="A7" s="8"/>
      <c r="B7" s="8"/>
      <c r="C7" s="104" t="s">
        <v>116</v>
      </c>
      <c r="D7" s="192" t="s">
        <v>118</v>
      </c>
      <c r="E7" s="192"/>
      <c r="F7" s="192"/>
      <c r="G7" s="192"/>
      <c r="H7" s="104" t="s">
        <v>114</v>
      </c>
      <c r="I7" s="192" t="s">
        <v>119</v>
      </c>
      <c r="J7" s="192"/>
      <c r="K7" s="192"/>
      <c r="L7" s="10"/>
      <c r="M7" s="11"/>
    </row>
    <row r="8" spans="1:13">
      <c r="A8" s="12"/>
      <c r="B8" s="12"/>
      <c r="C8" s="104" t="s">
        <v>117</v>
      </c>
      <c r="D8" s="192" t="s">
        <v>195</v>
      </c>
      <c r="E8" s="192"/>
      <c r="F8" s="192"/>
      <c r="G8" s="192"/>
      <c r="H8" s="104" t="s">
        <v>115</v>
      </c>
      <c r="I8" s="193" t="s">
        <v>197</v>
      </c>
      <c r="J8" s="193"/>
      <c r="K8" s="193"/>
      <c r="L8" s="12"/>
      <c r="M8" s="11"/>
    </row>
    <row r="9" spans="1:13">
      <c r="A9" s="12"/>
      <c r="B9" s="13"/>
      <c r="C9" s="14"/>
      <c r="D9" s="15"/>
      <c r="E9" s="15"/>
      <c r="F9" s="15"/>
      <c r="G9" s="15"/>
      <c r="H9" s="14"/>
      <c r="I9" s="16"/>
      <c r="J9" s="16"/>
      <c r="K9" s="16"/>
      <c r="L9" s="16"/>
      <c r="M9" s="11"/>
    </row>
    <row r="10" spans="1:13">
      <c r="A10" s="17"/>
      <c r="B10" s="18"/>
      <c r="L10" s="17"/>
    </row>
    <row r="11" spans="1:13">
      <c r="C11" s="19" t="s">
        <v>7</v>
      </c>
      <c r="G11" s="20"/>
      <c r="H11" s="20"/>
    </row>
    <row r="12" spans="1:13">
      <c r="C12" s="189" t="s">
        <v>170</v>
      </c>
      <c r="D12" s="189"/>
      <c r="E12" s="189"/>
      <c r="F12" s="189"/>
      <c r="G12" s="189"/>
      <c r="H12" s="189"/>
      <c r="I12" s="189"/>
      <c r="J12" s="189"/>
      <c r="K12" s="189"/>
    </row>
    <row r="13" spans="1:13">
      <c r="C13" s="36" t="s">
        <v>1</v>
      </c>
      <c r="D13" s="226" t="s">
        <v>5</v>
      </c>
      <c r="E13" s="228"/>
      <c r="F13" s="226" t="s">
        <v>12</v>
      </c>
      <c r="G13" s="228"/>
      <c r="H13" s="196" t="s">
        <v>26</v>
      </c>
      <c r="I13" s="197"/>
      <c r="J13" s="198" t="s">
        <v>6</v>
      </c>
      <c r="K13" s="198"/>
    </row>
    <row r="14" spans="1:13">
      <c r="C14" s="37" t="s">
        <v>198</v>
      </c>
      <c r="D14" s="260">
        <v>10496520</v>
      </c>
      <c r="E14" s="262"/>
      <c r="F14" s="281">
        <v>4249044</v>
      </c>
      <c r="G14" s="282"/>
      <c r="H14" s="199">
        <f>F14*0.9</f>
        <v>3824139.6</v>
      </c>
      <c r="I14" s="199"/>
      <c r="J14" s="200">
        <f>F14*0.1</f>
        <v>424904.4</v>
      </c>
      <c r="K14" s="200"/>
    </row>
    <row r="15" spans="1:13">
      <c r="C15" s="189" t="s">
        <v>171</v>
      </c>
      <c r="D15" s="189"/>
      <c r="E15" s="189"/>
      <c r="F15" s="189"/>
      <c r="G15" s="189"/>
      <c r="H15" s="189"/>
      <c r="I15" s="189"/>
      <c r="J15" s="189"/>
      <c r="K15" s="189"/>
    </row>
    <row r="16" spans="1:13">
      <c r="C16" s="36" t="s">
        <v>1</v>
      </c>
      <c r="D16" s="226" t="s">
        <v>158</v>
      </c>
      <c r="E16" s="228"/>
      <c r="F16" s="226" t="s">
        <v>12</v>
      </c>
      <c r="G16" s="228"/>
      <c r="H16" s="196" t="s">
        <v>26</v>
      </c>
      <c r="I16" s="197"/>
      <c r="J16" s="198" t="s">
        <v>6</v>
      </c>
      <c r="K16" s="198"/>
    </row>
    <row r="17" spans="3:11">
      <c r="C17" s="37" t="s">
        <v>180</v>
      </c>
      <c r="D17" s="260">
        <v>7290010</v>
      </c>
      <c r="E17" s="262"/>
      <c r="F17" s="260">
        <v>3645005</v>
      </c>
      <c r="G17" s="262"/>
      <c r="H17" s="199">
        <f>F17*0.9</f>
        <v>3280504.5</v>
      </c>
      <c r="I17" s="199"/>
      <c r="J17" s="200">
        <f>F17*0.1</f>
        <v>364500.5</v>
      </c>
      <c r="K17" s="200"/>
    </row>
    <row r="18" spans="3:11">
      <c r="C18" s="38"/>
    </row>
    <row r="19" spans="3:11">
      <c r="C19" s="25" t="s">
        <v>45</v>
      </c>
      <c r="D19" s="202" t="s">
        <v>96</v>
      </c>
      <c r="E19" s="203"/>
      <c r="F19" s="203"/>
      <c r="G19" s="204"/>
      <c r="H19" s="196" t="s">
        <v>179</v>
      </c>
      <c r="I19" s="197"/>
      <c r="J19" s="198" t="s">
        <v>6</v>
      </c>
      <c r="K19" s="198"/>
    </row>
    <row r="20" spans="3:11">
      <c r="C20" s="37" t="str">
        <f>C14</f>
        <v>11월</v>
      </c>
      <c r="D20" s="205">
        <f>F14+F17</f>
        <v>7894049</v>
      </c>
      <c r="E20" s="206"/>
      <c r="F20" s="206"/>
      <c r="G20" s="207"/>
      <c r="H20" s="201">
        <f>D20*0.9</f>
        <v>7104644.1000000006</v>
      </c>
      <c r="I20" s="201"/>
      <c r="J20" s="201">
        <f>D20*0.1</f>
        <v>789404.9</v>
      </c>
      <c r="K20" s="201"/>
    </row>
    <row r="22" spans="3:11">
      <c r="C22" s="42" t="s">
        <v>66</v>
      </c>
      <c r="I22" s="35"/>
      <c r="J22" s="35"/>
      <c r="K22" s="35"/>
    </row>
    <row r="23" spans="3:11">
      <c r="C23" s="43" t="s">
        <v>0</v>
      </c>
    </row>
    <row r="24" spans="3:11">
      <c r="J24" s="21" t="s">
        <v>24</v>
      </c>
    </row>
  </sheetData>
  <mergeCells count="29">
    <mergeCell ref="D19:G19"/>
    <mergeCell ref="H19:I19"/>
    <mergeCell ref="J19:K19"/>
    <mergeCell ref="D20:G20"/>
    <mergeCell ref="H20:I20"/>
    <mergeCell ref="J20:K20"/>
    <mergeCell ref="C15:K15"/>
    <mergeCell ref="D16:E16"/>
    <mergeCell ref="F16:G16"/>
    <mergeCell ref="H16:I16"/>
    <mergeCell ref="J16:K16"/>
    <mergeCell ref="D17:E17"/>
    <mergeCell ref="F17:G17"/>
    <mergeCell ref="H17:I17"/>
    <mergeCell ref="J17:K17"/>
    <mergeCell ref="D13:E13"/>
    <mergeCell ref="F13:G13"/>
    <mergeCell ref="H13:I13"/>
    <mergeCell ref="J13:K13"/>
    <mergeCell ref="D14:E14"/>
    <mergeCell ref="F14:G14"/>
    <mergeCell ref="H14:I14"/>
    <mergeCell ref="J14:K14"/>
    <mergeCell ref="C3:L4"/>
    <mergeCell ref="D7:G7"/>
    <mergeCell ref="I7:K7"/>
    <mergeCell ref="D8:G8"/>
    <mergeCell ref="I8:K8"/>
    <mergeCell ref="C12:K12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F955-3C1D-46D7-B271-220CB13C0466}">
  <sheetPr>
    <tabColor theme="7" tint="0.79998168889431442"/>
  </sheetPr>
  <dimension ref="A2:M26"/>
  <sheetViews>
    <sheetView tabSelected="1" zoomScaleNormal="100" zoomScaleSheetLayoutView="75" workbookViewId="0">
      <selection activeCell="L23" sqref="L23"/>
    </sheetView>
  </sheetViews>
  <sheetFormatPr defaultColWidth="8.75" defaultRowHeight="16.5"/>
  <cols>
    <col min="1" max="2" width="8.75" style="106"/>
    <col min="3" max="3" width="11.75" style="106" customWidth="1"/>
    <col min="4" max="4" width="10.25" style="106" bestFit="1" customWidth="1"/>
    <col min="5" max="5" width="9.875" style="106" customWidth="1"/>
    <col min="6" max="6" width="10.75" style="106" bestFit="1" customWidth="1"/>
    <col min="7" max="7" width="10.875" style="106" bestFit="1" customWidth="1"/>
    <col min="8" max="8" width="11.625" style="106" customWidth="1"/>
    <col min="9" max="9" width="11.375" style="106" customWidth="1"/>
    <col min="10" max="16384" width="8.75" style="106"/>
  </cols>
  <sheetData>
    <row r="2" spans="1:13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3">
      <c r="A3" s="107"/>
      <c r="B3" s="107"/>
      <c r="C3" s="274" t="s">
        <v>22</v>
      </c>
      <c r="D3" s="274"/>
      <c r="E3" s="274"/>
      <c r="F3" s="274"/>
      <c r="G3" s="274"/>
      <c r="H3" s="274"/>
      <c r="I3" s="274"/>
      <c r="J3" s="274"/>
      <c r="K3" s="274"/>
      <c r="L3" s="274"/>
    </row>
    <row r="4" spans="1:13" ht="17.25" thickBot="1">
      <c r="A4" s="107"/>
      <c r="B4" s="108"/>
      <c r="C4" s="275"/>
      <c r="D4" s="275"/>
      <c r="E4" s="275"/>
      <c r="F4" s="275"/>
      <c r="G4" s="275"/>
      <c r="H4" s="275"/>
      <c r="I4" s="275"/>
      <c r="J4" s="275"/>
      <c r="K4" s="275"/>
      <c r="L4" s="275"/>
    </row>
    <row r="5" spans="1:13" ht="17.25" thickTop="1">
      <c r="A5" s="107"/>
      <c r="B5" s="107"/>
      <c r="C5" s="107"/>
      <c r="D5" s="107"/>
      <c r="E5" s="107"/>
      <c r="F5" s="107"/>
      <c r="G5" s="107"/>
      <c r="H5" s="107"/>
      <c r="I5" s="109"/>
      <c r="J5" s="110"/>
      <c r="K5" s="111"/>
      <c r="L5" s="112" t="s">
        <v>196</v>
      </c>
    </row>
    <row r="6" spans="1:13">
      <c r="A6" s="107"/>
      <c r="B6" s="107"/>
      <c r="C6" s="107"/>
      <c r="D6" s="107"/>
      <c r="E6" s="107"/>
      <c r="F6" s="107"/>
      <c r="G6" s="107"/>
      <c r="H6" s="107"/>
      <c r="I6" s="109"/>
      <c r="J6" s="110"/>
      <c r="K6" s="111"/>
      <c r="L6" s="112"/>
    </row>
    <row r="7" spans="1:13">
      <c r="A7" s="113"/>
      <c r="B7" s="113"/>
      <c r="C7" s="114" t="s">
        <v>116</v>
      </c>
      <c r="D7" s="276" t="s">
        <v>118</v>
      </c>
      <c r="E7" s="276"/>
      <c r="F7" s="276"/>
      <c r="G7" s="276"/>
      <c r="H7" s="114" t="s">
        <v>114</v>
      </c>
      <c r="I7" s="276" t="s">
        <v>119</v>
      </c>
      <c r="J7" s="276"/>
      <c r="K7" s="276"/>
      <c r="L7" s="10"/>
      <c r="M7" s="115"/>
    </row>
    <row r="8" spans="1:13">
      <c r="A8" s="116"/>
      <c r="B8" s="116"/>
      <c r="C8" s="114" t="s">
        <v>117</v>
      </c>
      <c r="D8" s="276" t="s">
        <v>174</v>
      </c>
      <c r="E8" s="276"/>
      <c r="F8" s="276"/>
      <c r="G8" s="276"/>
      <c r="H8" s="114" t="s">
        <v>115</v>
      </c>
      <c r="I8" s="277" t="s">
        <v>197</v>
      </c>
      <c r="J8" s="277"/>
      <c r="K8" s="277"/>
      <c r="L8" s="116"/>
      <c r="M8" s="115"/>
    </row>
    <row r="9" spans="1:13">
      <c r="A9" s="116"/>
      <c r="B9" s="117"/>
      <c r="C9" s="118"/>
      <c r="D9" s="119"/>
      <c r="E9" s="119"/>
      <c r="F9" s="119"/>
      <c r="G9" s="119"/>
      <c r="H9" s="118"/>
      <c r="I9" s="120"/>
      <c r="J9" s="120"/>
      <c r="K9" s="120"/>
      <c r="L9" s="120"/>
      <c r="M9" s="115"/>
    </row>
    <row r="10" spans="1:13">
      <c r="A10" s="121"/>
      <c r="B10" s="122"/>
      <c r="L10" s="121"/>
    </row>
    <row r="11" spans="1:13">
      <c r="C11" s="123" t="s">
        <v>7</v>
      </c>
      <c r="G11" s="128"/>
      <c r="H11" s="128"/>
    </row>
    <row r="12" spans="1:13">
      <c r="C12" s="253" t="s">
        <v>98</v>
      </c>
      <c r="D12" s="253"/>
      <c r="E12" s="253"/>
      <c r="F12" s="253"/>
      <c r="G12" s="253"/>
      <c r="H12" s="253"/>
      <c r="I12" s="253"/>
      <c r="J12" s="253"/>
      <c r="K12" s="253"/>
    </row>
    <row r="13" spans="1:13">
      <c r="C13" s="55" t="s">
        <v>1</v>
      </c>
      <c r="D13" s="257" t="s">
        <v>51</v>
      </c>
      <c r="E13" s="258"/>
      <c r="F13" s="258"/>
      <c r="G13" s="259"/>
      <c r="H13" s="255" t="s">
        <v>26</v>
      </c>
      <c r="I13" s="256"/>
      <c r="J13" s="254" t="s">
        <v>6</v>
      </c>
      <c r="K13" s="254"/>
    </row>
    <row r="14" spans="1:13">
      <c r="C14" s="74" t="s">
        <v>176</v>
      </c>
      <c r="D14" s="231">
        <v>1738794</v>
      </c>
      <c r="E14" s="232"/>
      <c r="F14" s="232"/>
      <c r="G14" s="233"/>
      <c r="H14" s="234">
        <f>D14*0.9</f>
        <v>1564914.6</v>
      </c>
      <c r="I14" s="234"/>
      <c r="J14" s="234">
        <f>D14*0.1</f>
        <v>173879.40000000002</v>
      </c>
      <c r="K14" s="234"/>
    </row>
    <row r="15" spans="1:13">
      <c r="C15" s="253" t="s">
        <v>194</v>
      </c>
      <c r="D15" s="253"/>
      <c r="E15" s="253"/>
      <c r="F15" s="253"/>
      <c r="G15" s="253"/>
      <c r="H15" s="253"/>
      <c r="I15" s="253"/>
      <c r="J15" s="253"/>
      <c r="K15" s="253"/>
    </row>
    <row r="16" spans="1:13">
      <c r="C16" s="55" t="s">
        <v>1</v>
      </c>
      <c r="D16" s="55" t="s">
        <v>48</v>
      </c>
      <c r="E16" s="55" t="s">
        <v>128</v>
      </c>
      <c r="F16" s="55" t="s">
        <v>51</v>
      </c>
      <c r="G16" s="55" t="s">
        <v>129</v>
      </c>
      <c r="H16" s="126" t="s">
        <v>132</v>
      </c>
      <c r="I16" s="127" t="s">
        <v>131</v>
      </c>
      <c r="J16" s="254" t="s">
        <v>6</v>
      </c>
      <c r="K16" s="254"/>
    </row>
    <row r="17" spans="3:11">
      <c r="C17" s="272" t="str">
        <f>C14</f>
        <v>9월</v>
      </c>
      <c r="D17" s="105" t="s">
        <v>49</v>
      </c>
      <c r="E17" s="130"/>
      <c r="F17" s="130">
        <v>984480</v>
      </c>
      <c r="G17" s="131"/>
      <c r="H17" s="129">
        <v>0</v>
      </c>
      <c r="I17" s="129">
        <f>F17*0.9</f>
        <v>886032</v>
      </c>
      <c r="J17" s="234">
        <f>F17*0.1</f>
        <v>98448</v>
      </c>
      <c r="K17" s="234"/>
    </row>
    <row r="18" spans="3:11">
      <c r="C18" s="230"/>
      <c r="D18" s="124" t="s">
        <v>50</v>
      </c>
      <c r="E18" s="132">
        <v>939610</v>
      </c>
      <c r="F18" s="132">
        <v>496983</v>
      </c>
      <c r="G18" s="132">
        <f>E18-F18</f>
        <v>442627</v>
      </c>
      <c r="H18" s="129">
        <v>0</v>
      </c>
      <c r="I18" s="129">
        <v>0</v>
      </c>
      <c r="J18" s="273">
        <v>0</v>
      </c>
      <c r="K18" s="273"/>
    </row>
    <row r="19" spans="3:11">
      <c r="C19" s="38"/>
    </row>
    <row r="20" spans="3:11">
      <c r="C20" s="55" t="s">
        <v>1</v>
      </c>
      <c r="D20" s="243" t="s">
        <v>124</v>
      </c>
      <c r="E20" s="244"/>
      <c r="F20" s="244"/>
      <c r="G20" s="245"/>
      <c r="H20" s="222" t="s">
        <v>69</v>
      </c>
      <c r="I20" s="251"/>
      <c r="J20" s="224" t="s">
        <v>70</v>
      </c>
      <c r="K20" s="252"/>
    </row>
    <row r="21" spans="3:11">
      <c r="C21" s="208" t="s">
        <v>198</v>
      </c>
      <c r="D21" s="211">
        <f>D14+F17</f>
        <v>2723274</v>
      </c>
      <c r="E21" s="246"/>
      <c r="F21" s="246"/>
      <c r="G21" s="209"/>
      <c r="H21" s="211">
        <f>D21*0.9</f>
        <v>2450946.6</v>
      </c>
      <c r="I21" s="209"/>
      <c r="J21" s="213">
        <f>D21*0.1</f>
        <v>272327.40000000002</v>
      </c>
      <c r="K21" s="263"/>
    </row>
    <row r="22" spans="3:11">
      <c r="C22" s="208"/>
      <c r="D22" s="243" t="s">
        <v>72</v>
      </c>
      <c r="E22" s="244"/>
      <c r="F22" s="244"/>
      <c r="G22" s="245"/>
      <c r="H22" s="264" t="s">
        <v>73</v>
      </c>
      <c r="I22" s="265"/>
      <c r="J22" s="266" t="s">
        <v>74</v>
      </c>
      <c r="K22" s="266"/>
    </row>
    <row r="23" spans="3:11">
      <c r="C23" s="208"/>
      <c r="D23" s="267">
        <f>J21</f>
        <v>272327.40000000002</v>
      </c>
      <c r="E23" s="268"/>
      <c r="F23" s="268"/>
      <c r="G23" s="269"/>
      <c r="H23" s="270">
        <f>D23*0.1</f>
        <v>27232.740000000005</v>
      </c>
      <c r="I23" s="270"/>
      <c r="J23" s="270">
        <f>D23+H23</f>
        <v>299560.14</v>
      </c>
      <c r="K23" s="271"/>
    </row>
    <row r="25" spans="3:11">
      <c r="C25" s="42" t="s">
        <v>67</v>
      </c>
    </row>
    <row r="26" spans="3:11">
      <c r="C26" s="43" t="s">
        <v>0</v>
      </c>
      <c r="J26" s="125" t="s">
        <v>24</v>
      </c>
    </row>
  </sheetData>
  <mergeCells count="30">
    <mergeCell ref="C21:C23"/>
    <mergeCell ref="D21:G21"/>
    <mergeCell ref="H21:I21"/>
    <mergeCell ref="J21:K21"/>
    <mergeCell ref="D22:G22"/>
    <mergeCell ref="H22:I22"/>
    <mergeCell ref="J22:K22"/>
    <mergeCell ref="D23:G23"/>
    <mergeCell ref="H23:I23"/>
    <mergeCell ref="J23:K23"/>
    <mergeCell ref="C15:K15"/>
    <mergeCell ref="J16:K16"/>
    <mergeCell ref="C17:C18"/>
    <mergeCell ref="J17:K17"/>
    <mergeCell ref="J18:K18"/>
    <mergeCell ref="D20:G20"/>
    <mergeCell ref="H20:I20"/>
    <mergeCell ref="J20:K20"/>
    <mergeCell ref="D13:G13"/>
    <mergeCell ref="H13:I13"/>
    <mergeCell ref="J13:K13"/>
    <mergeCell ref="D14:G14"/>
    <mergeCell ref="H14:I14"/>
    <mergeCell ref="J14:K14"/>
    <mergeCell ref="C3:L4"/>
    <mergeCell ref="D7:G7"/>
    <mergeCell ref="I7:K7"/>
    <mergeCell ref="D8:G8"/>
    <mergeCell ref="I8:K8"/>
    <mergeCell ref="C12:K12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C72F-A026-46F3-B8DA-612EF7179A08}">
  <sheetPr>
    <tabColor theme="7" tint="0.79998168889431442"/>
  </sheetPr>
  <dimension ref="A1:O38"/>
  <sheetViews>
    <sheetView topLeftCell="A6" zoomScale="85" zoomScaleNormal="85" zoomScaleSheetLayoutView="75" workbookViewId="0">
      <selection activeCell="H34" sqref="H34"/>
    </sheetView>
  </sheetViews>
  <sheetFormatPr defaultColWidth="8.75" defaultRowHeight="16.5"/>
  <cols>
    <col min="1" max="1" width="22.375" customWidth="1"/>
    <col min="2" max="2" width="13.375" customWidth="1"/>
    <col min="3" max="3" width="13" customWidth="1"/>
    <col min="4" max="5" width="14.625" bestFit="1" customWidth="1"/>
    <col min="6" max="6" width="13" bestFit="1" customWidth="1"/>
    <col min="7" max="7" width="13.625" customWidth="1"/>
    <col min="8" max="8" width="15.375" customWidth="1"/>
    <col min="9" max="9" width="13" bestFit="1" customWidth="1"/>
    <col min="10" max="10" width="12.625" customWidth="1"/>
    <col min="11" max="11" width="15" customWidth="1"/>
    <col min="12" max="14" width="13" bestFit="1" customWidth="1"/>
    <col min="15" max="15" width="14" bestFit="1" customWidth="1"/>
    <col min="16" max="16" width="11.25" bestFit="1" customWidth="1"/>
    <col min="17" max="17" width="13" bestFit="1" customWidth="1"/>
    <col min="18" max="18" width="16.75" bestFit="1" customWidth="1"/>
    <col min="19" max="19" width="15.25" bestFit="1" customWidth="1"/>
    <col min="20" max="20" width="15.5" customWidth="1"/>
    <col min="21" max="21" width="12.375" bestFit="1" customWidth="1"/>
  </cols>
  <sheetData>
    <row r="1" spans="1:15" s="75" customFormat="1" ht="21.75" customHeight="1">
      <c r="A1" s="103" t="s">
        <v>97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5">
      <c r="A2" s="24" t="s">
        <v>20</v>
      </c>
      <c r="B2" s="65" t="s">
        <v>35</v>
      </c>
      <c r="C2" s="66" t="s">
        <v>36</v>
      </c>
      <c r="D2" s="65" t="s">
        <v>37</v>
      </c>
      <c r="E2" s="66" t="s">
        <v>38</v>
      </c>
      <c r="F2" s="67" t="s">
        <v>39</v>
      </c>
      <c r="G2" s="67" t="s">
        <v>40</v>
      </c>
      <c r="H2" s="68" t="s">
        <v>41</v>
      </c>
      <c r="I2" s="67" t="s">
        <v>42</v>
      </c>
      <c r="J2" s="67" t="s">
        <v>43</v>
      </c>
      <c r="K2" s="69" t="s">
        <v>44</v>
      </c>
    </row>
    <row r="3" spans="1:15" s="73" customFormat="1">
      <c r="A3" s="44" t="s">
        <v>3</v>
      </c>
      <c r="B3" s="70">
        <v>5752620</v>
      </c>
      <c r="C3" s="70">
        <v>2588679</v>
      </c>
      <c r="D3" s="70">
        <v>4743900</v>
      </c>
      <c r="E3" s="70">
        <v>1660365</v>
      </c>
      <c r="F3" s="70">
        <v>4249044</v>
      </c>
      <c r="G3" s="70">
        <v>10496520</v>
      </c>
      <c r="H3" s="71"/>
      <c r="I3" s="72">
        <v>4249044</v>
      </c>
      <c r="J3" s="72">
        <v>4249044</v>
      </c>
      <c r="K3" s="72">
        <v>4249044</v>
      </c>
    </row>
    <row r="5" spans="1:15" s="75" customFormat="1" ht="21.75" customHeight="1">
      <c r="A5" s="103" t="s">
        <v>177</v>
      </c>
      <c r="B5" s="76"/>
      <c r="C5" s="76"/>
      <c r="D5" s="76"/>
      <c r="E5" s="76"/>
      <c r="F5" s="76"/>
      <c r="G5" s="76"/>
      <c r="H5" s="76"/>
      <c r="I5" s="76"/>
      <c r="J5" s="76"/>
      <c r="K5" s="76"/>
    </row>
    <row r="6" spans="1:15">
      <c r="A6" s="155" t="s">
        <v>160</v>
      </c>
      <c r="B6" s="156" t="s">
        <v>161</v>
      </c>
      <c r="C6" s="155" t="s">
        <v>162</v>
      </c>
      <c r="D6" s="155" t="s">
        <v>163</v>
      </c>
      <c r="E6" s="157" t="s">
        <v>164</v>
      </c>
      <c r="F6" s="158" t="s">
        <v>165</v>
      </c>
      <c r="G6" s="159" t="s">
        <v>166</v>
      </c>
      <c r="H6" s="159" t="s">
        <v>167</v>
      </c>
    </row>
    <row r="7" spans="1:15">
      <c r="A7" s="160" t="s">
        <v>168</v>
      </c>
      <c r="B7" s="161">
        <v>44835</v>
      </c>
      <c r="C7" s="160">
        <v>15462</v>
      </c>
      <c r="D7" s="160" t="s">
        <v>3</v>
      </c>
      <c r="E7" s="160" t="s">
        <v>13</v>
      </c>
      <c r="F7" s="160" t="s">
        <v>14</v>
      </c>
      <c r="G7" s="162">
        <v>7290010</v>
      </c>
      <c r="H7" s="162">
        <v>3645005</v>
      </c>
    </row>
    <row r="9" spans="1:15" s="75" customFormat="1" ht="21.75" customHeight="1">
      <c r="A9" s="103" t="s">
        <v>134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</row>
    <row r="11" spans="1:15" ht="20.25">
      <c r="A11" s="77" t="s">
        <v>99</v>
      </c>
      <c r="B11" s="163"/>
      <c r="C11" s="163"/>
      <c r="D11" s="163"/>
      <c r="E11" s="163"/>
      <c r="F11" s="163"/>
      <c r="G11" s="163"/>
      <c r="H11" s="163"/>
      <c r="I11" s="31"/>
      <c r="J11" s="163"/>
    </row>
    <row r="12" spans="1:15">
      <c r="A12" s="163" t="s">
        <v>199</v>
      </c>
      <c r="B12" s="163"/>
      <c r="C12" s="163"/>
      <c r="D12" s="163"/>
      <c r="E12" s="163"/>
      <c r="F12" s="163"/>
      <c r="G12" s="163"/>
      <c r="H12" s="163"/>
      <c r="I12" s="163"/>
      <c r="J12" s="163"/>
    </row>
    <row r="13" spans="1:15" ht="17.25">
      <c r="A13" s="82"/>
      <c r="B13" s="163"/>
      <c r="C13" s="163"/>
      <c r="D13" s="163"/>
      <c r="E13" s="163"/>
      <c r="F13" s="163"/>
      <c r="G13" s="163"/>
      <c r="H13" s="163"/>
      <c r="I13" s="163"/>
      <c r="J13" s="163"/>
    </row>
    <row r="14" spans="1:15" ht="18" thickBot="1">
      <c r="A14" s="83" t="s">
        <v>136</v>
      </c>
      <c r="B14" s="84"/>
      <c r="C14" s="177">
        <v>51962.97</v>
      </c>
      <c r="D14" s="175"/>
      <c r="E14" s="175"/>
      <c r="F14" s="175"/>
      <c r="G14" s="175"/>
      <c r="H14" s="175"/>
      <c r="I14" s="175"/>
      <c r="J14" s="175"/>
    </row>
    <row r="15" spans="1:15">
      <c r="A15" s="86"/>
      <c r="B15" s="86"/>
      <c r="C15" s="86"/>
      <c r="D15" s="175"/>
      <c r="E15" s="136"/>
      <c r="F15" s="136"/>
      <c r="G15" s="136"/>
      <c r="H15" s="136"/>
      <c r="I15" s="31"/>
      <c r="J15" s="175"/>
    </row>
    <row r="16" spans="1:15">
      <c r="A16" s="88" t="s">
        <v>102</v>
      </c>
      <c r="B16" s="89" t="s">
        <v>75</v>
      </c>
      <c r="C16" s="138" t="s">
        <v>185</v>
      </c>
      <c r="D16" s="135" t="s">
        <v>186</v>
      </c>
      <c r="E16" s="135" t="s">
        <v>187</v>
      </c>
      <c r="F16" s="135" t="s">
        <v>188</v>
      </c>
      <c r="G16" s="135" t="s">
        <v>189</v>
      </c>
      <c r="H16" s="135" t="s">
        <v>190</v>
      </c>
      <c r="I16" s="135" t="s">
        <v>191</v>
      </c>
      <c r="J16" s="176" t="s">
        <v>192</v>
      </c>
    </row>
    <row r="17" spans="1:15">
      <c r="A17" s="93">
        <v>2439</v>
      </c>
      <c r="B17" s="93" t="s">
        <v>3</v>
      </c>
      <c r="C17" s="181">
        <v>60300</v>
      </c>
      <c r="D17" s="182" t="s">
        <v>193</v>
      </c>
      <c r="E17" s="185">
        <v>185407.25</v>
      </c>
      <c r="F17" s="185">
        <v>55499.839999999997</v>
      </c>
      <c r="G17" s="185">
        <v>129907.41</v>
      </c>
      <c r="H17" s="183">
        <v>51962.97</v>
      </c>
      <c r="I17" s="178">
        <v>51962.97</v>
      </c>
      <c r="J17" s="179">
        <v>51962.97</v>
      </c>
    </row>
    <row r="18" spans="1:15">
      <c r="A18" s="187" t="s">
        <v>111</v>
      </c>
      <c r="B18" s="188"/>
      <c r="C18" s="186">
        <v>60300</v>
      </c>
      <c r="D18" s="184" t="s">
        <v>193</v>
      </c>
      <c r="E18" s="184">
        <v>185407.25</v>
      </c>
      <c r="F18" s="184">
        <v>55499.839999999997</v>
      </c>
      <c r="G18" s="184">
        <v>129907.41</v>
      </c>
      <c r="H18" s="184">
        <v>51962.97</v>
      </c>
      <c r="I18" s="178">
        <v>51962.97</v>
      </c>
      <c r="J18" s="180">
        <v>51962.97</v>
      </c>
    </row>
    <row r="20" spans="1:15" s="75" customFormat="1" ht="21.75" customHeight="1">
      <c r="A20" s="103" t="s">
        <v>150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</row>
    <row r="21" spans="1:15">
      <c r="A21" s="133" t="s">
        <v>54</v>
      </c>
      <c r="B21" s="133" t="s">
        <v>55</v>
      </c>
      <c r="C21" s="133" t="s">
        <v>56</v>
      </c>
      <c r="D21" s="133" t="s">
        <v>145</v>
      </c>
      <c r="E21" s="133" t="s">
        <v>146</v>
      </c>
      <c r="F21" s="133" t="s">
        <v>147</v>
      </c>
      <c r="G21" s="133" t="s">
        <v>148</v>
      </c>
      <c r="H21" s="133" t="s">
        <v>57</v>
      </c>
    </row>
    <row r="22" spans="1:15">
      <c r="A22" s="150" t="s">
        <v>58</v>
      </c>
      <c r="B22" s="149">
        <v>705.7</v>
      </c>
      <c r="C22" s="151">
        <v>984480</v>
      </c>
      <c r="D22" s="151">
        <v>2000000</v>
      </c>
      <c r="E22" s="151">
        <v>0</v>
      </c>
      <c r="F22" s="150">
        <v>0</v>
      </c>
      <c r="G22" s="151">
        <v>984480</v>
      </c>
      <c r="H22" s="150" t="s">
        <v>59</v>
      </c>
    </row>
    <row r="23" spans="1:15">
      <c r="A23" s="152" t="s">
        <v>75</v>
      </c>
      <c r="B23" s="152" t="s">
        <v>76</v>
      </c>
      <c r="C23" s="152" t="s">
        <v>77</v>
      </c>
      <c r="D23" s="152" t="s">
        <v>78</v>
      </c>
      <c r="E23" s="152" t="s">
        <v>79</v>
      </c>
      <c r="F23" s="152" t="s">
        <v>80</v>
      </c>
      <c r="G23" s="152" t="s">
        <v>149</v>
      </c>
    </row>
    <row r="24" spans="1:15">
      <c r="A24" s="278" t="s">
        <v>58</v>
      </c>
      <c r="B24" s="150" t="s">
        <v>82</v>
      </c>
      <c r="C24" s="150" t="s">
        <v>83</v>
      </c>
      <c r="D24" s="151">
        <v>10378</v>
      </c>
      <c r="E24" s="150">
        <v>0.17</v>
      </c>
      <c r="F24" s="154">
        <v>1764.26</v>
      </c>
      <c r="G24" s="150">
        <v>705.7</v>
      </c>
    </row>
    <row r="25" spans="1:15">
      <c r="A25" s="279"/>
      <c r="B25" s="150" t="s">
        <v>82</v>
      </c>
      <c r="C25" s="150" t="s">
        <v>84</v>
      </c>
      <c r="D25" s="150">
        <v>0</v>
      </c>
      <c r="E25" s="150">
        <v>0.12</v>
      </c>
      <c r="F25" s="150">
        <v>0</v>
      </c>
      <c r="G25" s="150">
        <v>0</v>
      </c>
    </row>
    <row r="26" spans="1:15">
      <c r="A26" s="279"/>
      <c r="B26" s="150" t="s">
        <v>82</v>
      </c>
      <c r="C26" s="150" t="s">
        <v>85</v>
      </c>
      <c r="D26" s="150">
        <v>0</v>
      </c>
      <c r="E26" s="150">
        <v>0.12</v>
      </c>
      <c r="F26" s="150">
        <v>0</v>
      </c>
      <c r="G26" s="150">
        <v>0</v>
      </c>
    </row>
    <row r="27" spans="1:15">
      <c r="A27" s="280"/>
      <c r="B27" s="150" t="s">
        <v>86</v>
      </c>
      <c r="C27" s="153"/>
      <c r="D27" s="151">
        <v>10378</v>
      </c>
      <c r="E27" s="153"/>
      <c r="F27" s="154">
        <v>1764.26</v>
      </c>
      <c r="G27" s="150">
        <v>705.7</v>
      </c>
    </row>
    <row r="28" spans="1:15">
      <c r="A28" s="150" t="s">
        <v>87</v>
      </c>
      <c r="B28" s="153"/>
      <c r="C28" s="153"/>
      <c r="D28" s="151">
        <v>10378</v>
      </c>
      <c r="E28" s="153"/>
      <c r="F28" s="154">
        <v>1764.26</v>
      </c>
      <c r="G28" s="149">
        <v>705.7</v>
      </c>
    </row>
    <row r="30" spans="1:15" s="75" customFormat="1" ht="21.75" customHeight="1">
      <c r="A30" s="103" t="s">
        <v>151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</row>
    <row r="31" spans="1:15">
      <c r="A31" s="133" t="s">
        <v>54</v>
      </c>
      <c r="B31" s="133" t="s">
        <v>55</v>
      </c>
      <c r="C31" s="133" t="s">
        <v>56</v>
      </c>
      <c r="D31" s="133" t="s">
        <v>145</v>
      </c>
      <c r="E31" s="133" t="s">
        <v>146</v>
      </c>
      <c r="F31" s="133" t="s">
        <v>147</v>
      </c>
      <c r="G31" s="133" t="s">
        <v>148</v>
      </c>
      <c r="H31" s="133" t="s">
        <v>57</v>
      </c>
    </row>
    <row r="32" spans="1:15">
      <c r="A32" s="150" t="s">
        <v>152</v>
      </c>
      <c r="B32" s="149">
        <v>356.25</v>
      </c>
      <c r="C32" s="151">
        <v>496983</v>
      </c>
      <c r="D32" s="151">
        <v>2000000</v>
      </c>
      <c r="E32" s="151">
        <v>939610</v>
      </c>
      <c r="F32" s="151">
        <v>442627</v>
      </c>
      <c r="G32" s="150">
        <v>0</v>
      </c>
      <c r="H32" s="150" t="s">
        <v>59</v>
      </c>
    </row>
    <row r="33" spans="1:7">
      <c r="A33" s="152" t="s">
        <v>75</v>
      </c>
      <c r="B33" s="152" t="s">
        <v>76</v>
      </c>
      <c r="C33" s="152" t="s">
        <v>77</v>
      </c>
      <c r="D33" s="152" t="s">
        <v>78</v>
      </c>
      <c r="E33" s="152" t="s">
        <v>79</v>
      </c>
      <c r="F33" s="152" t="s">
        <v>80</v>
      </c>
      <c r="G33" s="152" t="s">
        <v>149</v>
      </c>
    </row>
    <row r="34" spans="1:7">
      <c r="A34" s="278" t="s">
        <v>152</v>
      </c>
      <c r="B34" s="150" t="s">
        <v>153</v>
      </c>
      <c r="C34" s="150" t="s">
        <v>83</v>
      </c>
      <c r="D34" s="151">
        <v>5239</v>
      </c>
      <c r="E34" s="150">
        <v>0.17</v>
      </c>
      <c r="F34" s="150">
        <v>890.63</v>
      </c>
      <c r="G34" s="150">
        <v>356.25</v>
      </c>
    </row>
    <row r="35" spans="1:7">
      <c r="A35" s="279"/>
      <c r="B35" s="150" t="s">
        <v>153</v>
      </c>
      <c r="C35" s="150" t="s">
        <v>84</v>
      </c>
      <c r="D35" s="150">
        <v>0</v>
      </c>
      <c r="E35" s="150">
        <v>0.12</v>
      </c>
      <c r="F35" s="150">
        <v>0</v>
      </c>
      <c r="G35" s="150">
        <v>0</v>
      </c>
    </row>
    <row r="36" spans="1:7">
      <c r="A36" s="279"/>
      <c r="B36" s="150" t="s">
        <v>153</v>
      </c>
      <c r="C36" s="150" t="s">
        <v>85</v>
      </c>
      <c r="D36" s="150">
        <v>0</v>
      </c>
      <c r="E36" s="150">
        <v>0.12</v>
      </c>
      <c r="F36" s="150">
        <v>0</v>
      </c>
      <c r="G36" s="150">
        <v>0</v>
      </c>
    </row>
    <row r="37" spans="1:7">
      <c r="A37" s="280"/>
      <c r="B37" s="150" t="s">
        <v>86</v>
      </c>
      <c r="C37" s="153"/>
      <c r="D37" s="151">
        <v>5239</v>
      </c>
      <c r="E37" s="153"/>
      <c r="F37" s="150">
        <v>890.63</v>
      </c>
      <c r="G37" s="150">
        <v>356.25</v>
      </c>
    </row>
    <row r="38" spans="1:7">
      <c r="A38" s="150" t="s">
        <v>87</v>
      </c>
      <c r="B38" s="153"/>
      <c r="C38" s="153"/>
      <c r="D38" s="151">
        <v>5239</v>
      </c>
      <c r="E38" s="153"/>
      <c r="F38" s="150">
        <v>890.63</v>
      </c>
      <c r="G38" s="149">
        <v>356.25</v>
      </c>
    </row>
  </sheetData>
  <mergeCells count="2">
    <mergeCell ref="A24:A27"/>
    <mergeCell ref="A34:A37"/>
  </mergeCells>
  <phoneticPr fontId="3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22년 4월(국내)</vt:lpstr>
      <vt:lpstr>22년 4월(해외)</vt:lpstr>
      <vt:lpstr>22년 4월 세부내역</vt:lpstr>
      <vt:lpstr>22년 5월(국내)</vt:lpstr>
      <vt:lpstr>22년 5월(해외)</vt:lpstr>
      <vt:lpstr>22년 5월 세부내역</vt:lpstr>
      <vt:lpstr>22년 6월(국내)</vt:lpstr>
      <vt:lpstr>22년 6월 세부내역</vt:lpstr>
      <vt:lpstr>22년 7월(국내)</vt:lpstr>
      <vt:lpstr>22년 7월(해외)</vt:lpstr>
      <vt:lpstr>22년 7월 세부내역</vt:lpstr>
      <vt:lpstr>22년 8월(국내)</vt:lpstr>
      <vt:lpstr>22년 8월(해외)</vt:lpstr>
      <vt:lpstr>22년 8월 세부내역</vt:lpstr>
      <vt:lpstr>22년 9월(국내)</vt:lpstr>
      <vt:lpstr>22년 9월(해외)</vt:lpstr>
      <vt:lpstr>22년 9월 세부내역</vt:lpstr>
      <vt:lpstr>22년 10월(국내)</vt:lpstr>
      <vt:lpstr>22년 10월(해외)</vt:lpstr>
      <vt:lpstr>22년 10월 세부내역</vt:lpstr>
      <vt:lpstr>22년 11월(국내)</vt:lpstr>
      <vt:lpstr>22년 11월(해외)</vt:lpstr>
      <vt:lpstr>22년 11월 세부내역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marucomics</dc:creator>
  <cp:lastModifiedBy>마루코믹스</cp:lastModifiedBy>
  <cp:revision>16</cp:revision>
  <cp:lastPrinted>2021-01-21T07:21:17Z</cp:lastPrinted>
  <dcterms:created xsi:type="dcterms:W3CDTF">2020-04-16T08:50:20Z</dcterms:created>
  <dcterms:modified xsi:type="dcterms:W3CDTF">2022-12-20T08:55:19Z</dcterms:modified>
  <cp:version>1100.0100.01</cp:version>
</cp:coreProperties>
</file>