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04.출판사 정산\스토리위즈(태랑 이관)\"/>
    </mc:Choice>
  </mc:AlternateContent>
  <xr:revisionPtr revIDLastSave="0" documentId="13_ncr:1_{984EC08D-AB56-4E4E-B6D3-3443EE6858ED}" xr6:coauthVersionLast="47" xr6:coauthVersionMax="47" xr10:uidLastSave="{00000000-0000-0000-0000-000000000000}"/>
  <bookViews>
    <workbookView xWindow="1770" yWindow="0" windowWidth="20535" windowHeight="15240" xr2:uid="{A099D34A-F8C5-4AF7-96F7-BC9541ACB23E}"/>
  </bookViews>
  <sheets>
    <sheet name="22년11월(국내)" sheetId="1" r:id="rId1"/>
    <sheet name="22년 11월 세부내역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J20" i="1" s="1"/>
  <c r="G17" i="1"/>
  <c r="F17" i="1"/>
  <c r="C17" i="1"/>
  <c r="C20" i="1"/>
  <c r="J14" i="1"/>
  <c r="H14" i="1"/>
  <c r="H20" i="1" l="1"/>
</calcChain>
</file>

<file path=xl/sharedStrings.xml><?xml version="1.0" encoding="utf-8"?>
<sst xmlns="http://schemas.openxmlformats.org/spreadsheetml/2006/main" count="53" uniqueCount="48">
  <si>
    <t>마루코믹스 정산서</t>
  </si>
  <si>
    <t>작   품   명    :</t>
    <phoneticPr fontId="9" type="noConversion"/>
  </si>
  <si>
    <t>업   체   명    :</t>
    <phoneticPr fontId="9" type="noConversion"/>
  </si>
  <si>
    <t xml:space="preserve"> 스토리위즈</t>
    <phoneticPr fontId="9" type="noConversion"/>
  </si>
  <si>
    <t>정산대상기간  :</t>
    <phoneticPr fontId="9" type="noConversion"/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</si>
  <si>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   :</t>
    </r>
    <phoneticPr fontId="9" type="noConversion"/>
  </si>
  <si>
    <t>정산내역</t>
  </si>
  <si>
    <t>정산월</t>
  </si>
  <si>
    <t>마루코믹스 정산</t>
  </si>
  <si>
    <t>출판사 정산</t>
  </si>
  <si>
    <t>정산월</t>
    <phoneticPr fontId="9" type="noConversion"/>
  </si>
  <si>
    <t>매출합계 (국내)</t>
    <phoneticPr fontId="9" type="noConversion"/>
  </si>
  <si>
    <t>마루코믹스 정산</t>
    <phoneticPr fontId="9" type="noConversion"/>
  </si>
  <si>
    <t>* 정산서 확인 후 이상 없는 경우 계산서 발행 부탁드립니다.</t>
    <phoneticPr fontId="9" type="noConversion"/>
  </si>
  <si>
    <t>* 정산 담당자 E-mail : hometax@marucomics.com</t>
  </si>
  <si>
    <t>주식회사 마루코믹스</t>
  </si>
  <si>
    <t>국내_봄툰</t>
    <phoneticPr fontId="9" type="noConversion"/>
  </si>
  <si>
    <t>만화명</t>
  </si>
  <si>
    <t>웹매출액</t>
    <phoneticPr fontId="23" type="noConversion"/>
  </si>
  <si>
    <t>웹정산액</t>
    <phoneticPr fontId="23" type="noConversion"/>
  </si>
  <si>
    <t>앱매출액</t>
    <phoneticPr fontId="23" type="noConversion"/>
  </si>
  <si>
    <t>앱정산액</t>
    <phoneticPr fontId="23" type="noConversion"/>
  </si>
  <si>
    <t>정산액(웹+앱)</t>
    <phoneticPr fontId="23" type="noConversion"/>
  </si>
  <si>
    <t>총매출액</t>
    <phoneticPr fontId="23" type="noConversion"/>
  </si>
  <si>
    <t>글/그림</t>
    <phoneticPr fontId="23" type="noConversion"/>
  </si>
  <si>
    <t>RS정산액</t>
    <phoneticPr fontId="23" type="noConversion"/>
  </si>
  <si>
    <t>RS-MG</t>
    <phoneticPr fontId="23" type="noConversion"/>
  </si>
  <si>
    <t>RS지급액(MG-RS)</t>
    <phoneticPr fontId="23" type="noConversion"/>
  </si>
  <si>
    <t xml:space="preserve"> 야쿠자가 사랑을 한다면 2</t>
    <phoneticPr fontId="9" type="noConversion"/>
  </si>
  <si>
    <t>발행일 : 2022-12-20</t>
    <phoneticPr fontId="9" type="noConversion"/>
  </si>
  <si>
    <t xml:space="preserve"> 2022-11</t>
    <phoneticPr fontId="9" type="noConversion"/>
  </si>
  <si>
    <t>원고화수</t>
    <phoneticPr fontId="5" type="noConversion"/>
  </si>
  <si>
    <t>MG(원고료)</t>
    <phoneticPr fontId="5" type="noConversion"/>
  </si>
  <si>
    <t>RS</t>
    <phoneticPr fontId="5" type="noConversion"/>
  </si>
  <si>
    <t>11월</t>
    <phoneticPr fontId="9" type="noConversion"/>
  </si>
  <si>
    <t>국내 - 봄툰(MG)</t>
    <phoneticPr fontId="9" type="noConversion"/>
  </si>
  <si>
    <t>국내 - 봄툰(수익)</t>
    <phoneticPr fontId="9" type="noConversion"/>
  </si>
  <si>
    <t>1~7화</t>
    <phoneticPr fontId="5" type="noConversion"/>
  </si>
  <si>
    <t>봄툰 총매출</t>
    <phoneticPr fontId="9" type="noConversion"/>
  </si>
  <si>
    <t>이월MG</t>
    <phoneticPr fontId="5" type="noConversion"/>
  </si>
  <si>
    <t>차감후 MG잔액</t>
    <phoneticPr fontId="5" type="noConversion"/>
  </si>
  <si>
    <t>야쿠자가 사랑을 한다면2</t>
  </si>
  <si>
    <t>이월 차감잔액</t>
  </si>
  <si>
    <t>콘텐츠 MG</t>
  </si>
  <si>
    <t>실지급 MG</t>
  </si>
  <si>
    <t>-</t>
  </si>
  <si>
    <t>차감잔액</t>
  </si>
  <si>
    <t xml:space="preserve"> 2022-12-31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</si>
</sst>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#,##0_ "/>
  </numFmts>
  <fonts count="33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나눔고딕"/>
      <family val="3"/>
      <charset val="129"/>
    </font>
    <font>
      <b/>
      <sz val="18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나눔고딕"/>
      <family val="3"/>
      <charset val="129"/>
    </font>
    <font>
      <u/>
      <sz val="11"/>
      <color rgb="FF0563C1"/>
      <name val="맑은 고딕"/>
      <family val="3"/>
      <charset val="129"/>
    </font>
    <font>
      <b/>
      <sz val="6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theme="1"/>
      <name val="다키 L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6100"/>
      <name val="다키 L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Helvetica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7">
    <xf numFmtId="0" fontId="0" fillId="0" borderId="0">
      <alignment vertical="center"/>
    </xf>
    <xf numFmtId="41" fontId="4" fillId="0" borderId="0">
      <alignment vertical="center"/>
    </xf>
    <xf numFmtId="0" fontId="11" fillId="0" borderId="0">
      <alignment vertical="top"/>
      <protection locked="0"/>
    </xf>
    <xf numFmtId="0" fontId="4" fillId="0" borderId="0">
      <alignment vertical="center"/>
    </xf>
    <xf numFmtId="41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4" fillId="0" borderId="0">
      <alignment vertical="center"/>
    </xf>
    <xf numFmtId="9" fontId="4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27" fillId="0" borderId="0"/>
    <xf numFmtId="0" fontId="28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9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/>
    <xf numFmtId="41" fontId="30" fillId="0" borderId="0" applyFont="0" applyFill="0" applyBorder="0" applyAlignment="0" applyProtection="0"/>
    <xf numFmtId="0" fontId="31" fillId="0" borderId="0"/>
    <xf numFmtId="0" fontId="30" fillId="0" borderId="0"/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32" fillId="0" borderId="0" applyNumberFormat="0" applyFill="0" applyBorder="0" applyProtection="0">
      <alignment vertical="top" wrapText="1"/>
    </xf>
  </cellStyleXfs>
  <cellXfs count="68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1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2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0" xfId="0" applyNumberFormat="1" applyFont="1">
      <alignment vertical="center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9" fontId="15" fillId="0" borderId="0" xfId="0" applyNumberFormat="1" applyFont="1">
      <alignment vertical="center"/>
    </xf>
    <xf numFmtId="0" fontId="17" fillId="5" borderId="3" xfId="0" applyFont="1" applyFill="1" applyBorder="1" applyAlignment="1">
      <alignment horizontal="center" vertical="center"/>
    </xf>
    <xf numFmtId="41" fontId="17" fillId="0" borderId="3" xfId="1" applyFont="1" applyBorder="1" applyAlignment="1">
      <alignment horizontal="center" vertical="center"/>
    </xf>
    <xf numFmtId="41" fontId="18" fillId="0" borderId="0" xfId="1" applyFont="1" applyAlignment="1">
      <alignment horizontal="left" vertical="center"/>
    </xf>
    <xf numFmtId="0" fontId="17" fillId="0" borderId="0" xfId="5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9" borderId="0" xfId="8" applyFont="1" applyFill="1">
      <alignment vertical="center"/>
    </xf>
    <xf numFmtId="0" fontId="21" fillId="9" borderId="0" xfId="8" applyFont="1" applyFill="1">
      <alignment vertical="center"/>
    </xf>
    <xf numFmtId="0" fontId="21" fillId="0" borderId="0" xfId="8" applyFont="1">
      <alignment vertical="center"/>
    </xf>
    <xf numFmtId="0" fontId="22" fillId="0" borderId="8" xfId="0" applyFont="1" applyBorder="1">
      <alignment vertical="center"/>
    </xf>
    <xf numFmtId="176" fontId="22" fillId="10" borderId="7" xfId="9" applyNumberFormat="1" applyFont="1" applyFill="1" applyBorder="1" applyAlignment="1">
      <alignment horizontal="center" vertical="center"/>
    </xf>
    <xf numFmtId="176" fontId="22" fillId="10" borderId="7" xfId="0" applyNumberFormat="1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9" fontId="22" fillId="10" borderId="7" xfId="10" applyFont="1" applyFill="1" applyBorder="1" applyAlignment="1">
      <alignment horizontal="center" vertical="center"/>
    </xf>
    <xf numFmtId="176" fontId="24" fillId="10" borderId="9" xfId="11" applyNumberFormat="1" applyFont="1" applyFill="1" applyBorder="1" applyAlignment="1">
      <alignment horizontal="center" vertical="center"/>
    </xf>
    <xf numFmtId="0" fontId="19" fillId="0" borderId="3" xfId="12" applyFont="1" applyBorder="1">
      <alignment vertical="center"/>
    </xf>
    <xf numFmtId="177" fontId="19" fillId="0" borderId="3" xfId="1" applyNumberFormat="1" applyFont="1" applyBorder="1">
      <alignment vertical="center"/>
    </xf>
    <xf numFmtId="0" fontId="25" fillId="0" borderId="3" xfId="0" applyFont="1" applyBorder="1">
      <alignment vertical="center"/>
    </xf>
    <xf numFmtId="178" fontId="19" fillId="0" borderId="3" xfId="1" applyNumberFormat="1" applyFont="1" applyBorder="1">
      <alignment vertical="center"/>
    </xf>
    <xf numFmtId="0" fontId="25" fillId="0" borderId="0" xfId="0" applyFont="1">
      <alignment vertical="center"/>
    </xf>
    <xf numFmtId="41" fontId="17" fillId="0" borderId="3" xfId="1" applyFont="1" applyBorder="1">
      <alignment vertical="center"/>
    </xf>
    <xf numFmtId="3" fontId="19" fillId="0" borderId="3" xfId="12" applyNumberFormat="1" applyFont="1" applyBorder="1">
      <alignment vertical="center"/>
    </xf>
    <xf numFmtId="41" fontId="22" fillId="10" borderId="3" xfId="24" applyFont="1" applyFill="1" applyBorder="1" applyAlignment="1">
      <alignment horizontal="center" vertical="center"/>
    </xf>
    <xf numFmtId="41" fontId="22" fillId="10" borderId="3" xfId="25" applyFont="1" applyFill="1" applyBorder="1" applyAlignment="1">
      <alignment horizontal="center" vertical="center"/>
    </xf>
    <xf numFmtId="178" fontId="22" fillId="0" borderId="3" xfId="25" applyNumberFormat="1" applyFont="1" applyBorder="1" applyAlignment="1">
      <alignment vertical="center"/>
    </xf>
    <xf numFmtId="0" fontId="16" fillId="4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41" fontId="17" fillId="0" borderId="3" xfId="1" applyFont="1" applyBorder="1" applyAlignment="1">
      <alignment horizontal="center" vertical="center"/>
    </xf>
    <xf numFmtId="41" fontId="17" fillId="0" borderId="3" xfId="0" applyNumberFormat="1" applyFont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41" fontId="17" fillId="0" borderId="4" xfId="1" applyFont="1" applyBorder="1" applyAlignment="1">
      <alignment horizontal="center" vertical="center"/>
    </xf>
    <xf numFmtId="41" fontId="17" fillId="0" borderId="5" xfId="1" applyFont="1" applyBorder="1" applyAlignment="1">
      <alignment horizontal="center" vertical="center"/>
    </xf>
    <xf numFmtId="41" fontId="17" fillId="0" borderId="4" xfId="1" applyFont="1" applyBorder="1">
      <alignment vertical="center"/>
    </xf>
    <xf numFmtId="41" fontId="17" fillId="0" borderId="5" xfId="1" applyFont="1" applyBorder="1">
      <alignment vertical="center"/>
    </xf>
    <xf numFmtId="0" fontId="17" fillId="8" borderId="4" xfId="3" applyFont="1" applyFill="1" applyBorder="1" applyAlignment="1">
      <alignment horizontal="center" vertical="center"/>
    </xf>
    <xf numFmtId="0" fontId="17" fillId="8" borderId="6" xfId="3" applyFont="1" applyFill="1" applyBorder="1" applyAlignment="1">
      <alignment horizontal="center" vertical="center"/>
    </xf>
    <xf numFmtId="0" fontId="17" fillId="8" borderId="5" xfId="3" applyFont="1" applyFill="1" applyBorder="1" applyAlignment="1">
      <alignment horizontal="center" vertical="center"/>
    </xf>
    <xf numFmtId="41" fontId="17" fillId="0" borderId="4" xfId="4" applyFont="1" applyBorder="1" applyAlignment="1">
      <alignment horizontal="center" vertical="center"/>
    </xf>
    <xf numFmtId="41" fontId="17" fillId="0" borderId="6" xfId="4" applyFont="1" applyBorder="1" applyAlignment="1">
      <alignment horizontal="center" vertical="center"/>
    </xf>
    <xf numFmtId="41" fontId="17" fillId="0" borderId="5" xfId="4" applyFont="1" applyBorder="1" applyAlignment="1">
      <alignment horizontal="center" vertical="center"/>
    </xf>
    <xf numFmtId="41" fontId="17" fillId="0" borderId="3" xfId="3" applyNumberFormat="1" applyFont="1" applyBorder="1" applyAlignment="1">
      <alignment horizontal="center" vertical="center"/>
    </xf>
  </cellXfs>
  <cellStyles count="37">
    <cellStyle name="Comma [0] 2" xfId="27" xr:uid="{71D9EA8E-1DFF-4F56-A04F-FA629E5CE6B9}"/>
    <cellStyle name="Comma [0] 2 2" xfId="19" xr:uid="{9A8F9ECB-74CE-41E6-A06F-BCEC3C871243}"/>
    <cellStyle name="Normal 2" xfId="28" xr:uid="{A4290A10-0390-4E9E-BED1-9611267ED85E}"/>
    <cellStyle name="Normal 2 2" xfId="15" xr:uid="{23DBF765-DDA9-4DCF-B98C-22B2AB3A0909}"/>
    <cellStyle name="Normal 3" xfId="29" xr:uid="{D7624FED-F7C2-4783-A644-D034A7EAB282}"/>
    <cellStyle name="나쁨 5" xfId="13" xr:uid="{764E0625-65E5-4EAC-9C61-1B50615002E2}"/>
    <cellStyle name="백분율 2" xfId="10" xr:uid="{39CFC2F3-FCB7-4FBD-8C94-BAFFFBDC6C1D}"/>
    <cellStyle name="백분율 2 2" xfId="30" xr:uid="{BBF2261D-A98D-4AFC-BE43-5F1D1EFD1FBE}"/>
    <cellStyle name="쉼표 [0]" xfId="1" builtinId="6"/>
    <cellStyle name="쉼표 [0] 13 2" xfId="4" xr:uid="{D16DBCFB-A330-4139-BE97-140EDF396CB7}"/>
    <cellStyle name="쉼표 [0] 2" xfId="9" xr:uid="{77D1D9F3-EF81-45C0-888D-102EDBDAF038}"/>
    <cellStyle name="쉼표 [0] 2 2" xfId="25" xr:uid="{C013FD69-9D04-4F2A-944C-E2FB31CAD094}"/>
    <cellStyle name="쉼표 [0] 3" xfId="31" xr:uid="{7D747AFD-A233-484E-A6B2-B8B0A121781B}"/>
    <cellStyle name="쉼표 [0] 4" xfId="24" xr:uid="{14754AFC-50D3-4E92-BF2A-E930DDBBB38E}"/>
    <cellStyle name="쉼표 2" xfId="32" xr:uid="{F48C37F2-953F-4D85-8418-4D8900A235C9}"/>
    <cellStyle name="쉼표 30" xfId="17" xr:uid="{214A0DE8-ABE9-4016-87AA-9F7B44136944}"/>
    <cellStyle name="좋음 4" xfId="11" xr:uid="{13485C8C-FCB9-495A-912C-1968C0610ABA}"/>
    <cellStyle name="표준" xfId="0" builtinId="0"/>
    <cellStyle name="표준 10 3" xfId="12" xr:uid="{20FA9D59-4344-440D-9DD0-A419B2045481}"/>
    <cellStyle name="표준 13 2" xfId="6" xr:uid="{0F12B544-625B-4D07-946C-082A97DBBF88}"/>
    <cellStyle name="표준 17 2" xfId="7" xr:uid="{ADF27A0C-8AC1-4B99-A38B-3B25A425B68A}"/>
    <cellStyle name="표준 2" xfId="33" xr:uid="{20142FC5-666E-47C1-828E-6D16763939FA}"/>
    <cellStyle name="표준 2 2" xfId="22" xr:uid="{122A6A09-9B2F-407A-BF9E-BEAE5068961A}"/>
    <cellStyle name="표준 2 2 2" xfId="5" xr:uid="{D766C8D7-6CD6-4C5E-8635-BBB0F51157EB}"/>
    <cellStyle name="표준 2 2 2 2" xfId="35" xr:uid="{2D495990-F6AF-4DEC-8AEB-890F2C581A84}"/>
    <cellStyle name="표준 2 2 2 2 2" xfId="36" xr:uid="{685B40C7-4FA8-47D0-8FEE-272A014FEFE2}"/>
    <cellStyle name="표준 2 2 2 2 2 2" xfId="23" xr:uid="{0BB635D6-7388-44B4-8483-4BFC0AA28C85}"/>
    <cellStyle name="표준 2 2 2 3" xfId="34" xr:uid="{0E8E2EBC-AE3C-452B-ABE4-A8EC7581B8C4}"/>
    <cellStyle name="표준 2 2 5" xfId="3" xr:uid="{211A2518-0A53-4EDE-A5CE-50E49805C13F}"/>
    <cellStyle name="표준 2 22" xfId="26" xr:uid="{E38801DE-712E-4102-90C7-592B56741EFF}"/>
    <cellStyle name="표준 2 22 2" xfId="14" xr:uid="{DD1A8460-542B-4811-8F03-60A78C01D3FB}"/>
    <cellStyle name="표준 20" xfId="20" xr:uid="{F6EF0C44-6C21-4528-A0D4-0145ABD79A49}"/>
    <cellStyle name="표준 21" xfId="16" xr:uid="{F694E58C-9D7D-4A00-8A2D-039BECA380FB}"/>
    <cellStyle name="표준 22" xfId="18" xr:uid="{5DEBE176-1D92-4C07-B80D-2AE4177D52A0}"/>
    <cellStyle name="표준 3" xfId="8" xr:uid="{95EDA64B-0516-4E2E-AF63-DE8CB38A6885}"/>
    <cellStyle name="표준 4" xfId="21" xr:uid="{D9CE6C2F-2C57-4D35-80D3-7C0B91A5651A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FCEDB4EA-D5BC-474D-B08A-E6E2D611F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C373484E-98BC-4ADB-9CEC-D35CFE58C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21</xdr:row>
      <xdr:rowOff>171450</xdr:rowOff>
    </xdr:from>
    <xdr:to>
      <xdr:col>11</xdr:col>
      <xdr:colOff>632783</xdr:colOff>
      <xdr:row>24</xdr:row>
      <xdr:rowOff>200024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EE8FB1C-AFC7-4EB9-B7F0-030A9BD4E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591050"/>
          <a:ext cx="661358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2AD2-476B-43D1-97BB-E53F75AA1974}">
  <dimension ref="A2:M24"/>
  <sheetViews>
    <sheetView tabSelected="1" zoomScaleNormal="100" zoomScaleSheetLayoutView="75" workbookViewId="0">
      <selection activeCell="I9" sqref="I9"/>
    </sheetView>
  </sheetViews>
  <sheetFormatPr defaultColWidth="8.75" defaultRowHeight="16.5"/>
  <cols>
    <col min="3" max="3" width="11.625" customWidth="1"/>
    <col min="4" max="4" width="12.25" customWidth="1"/>
    <col min="5" max="5" width="12.625" customWidth="1"/>
    <col min="6" max="6" width="12.125" customWidth="1"/>
    <col min="7" max="7" width="14.875" customWidth="1"/>
    <col min="8" max="8" width="11.75" customWidth="1"/>
  </cols>
  <sheetData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>
      <c r="A3" s="1"/>
      <c r="B3" s="1"/>
      <c r="C3" s="46" t="s">
        <v>0</v>
      </c>
      <c r="D3" s="46"/>
      <c r="E3" s="46"/>
      <c r="F3" s="46"/>
      <c r="G3" s="46"/>
      <c r="H3" s="46"/>
      <c r="I3" s="46"/>
      <c r="J3" s="46"/>
      <c r="K3" s="46"/>
      <c r="L3" s="46"/>
    </row>
    <row r="4" spans="1:13" ht="17.25" thickBot="1">
      <c r="A4" s="1"/>
      <c r="B4" s="2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3" ht="17.25" thickTop="1">
      <c r="A5" s="1"/>
      <c r="B5" s="1"/>
      <c r="C5" s="1"/>
      <c r="D5" s="1"/>
      <c r="E5" s="1"/>
      <c r="F5" s="1"/>
      <c r="G5" s="1"/>
      <c r="H5" s="1"/>
      <c r="I5" s="3"/>
      <c r="J5" s="4"/>
      <c r="K5" s="5"/>
      <c r="L5" s="6" t="s">
        <v>29</v>
      </c>
    </row>
    <row r="6" spans="1:13">
      <c r="A6" s="1"/>
      <c r="B6" s="1"/>
      <c r="C6" s="1"/>
      <c r="D6" s="1"/>
      <c r="E6" s="1"/>
      <c r="F6" s="1"/>
      <c r="G6" s="1"/>
      <c r="H6" s="1"/>
      <c r="I6" s="3"/>
      <c r="J6" s="4"/>
      <c r="K6" s="5"/>
      <c r="L6" s="6"/>
    </row>
    <row r="7" spans="1:13">
      <c r="A7" s="7"/>
      <c r="B7" s="7"/>
      <c r="C7" s="8" t="s">
        <v>1</v>
      </c>
      <c r="D7" s="48" t="s">
        <v>28</v>
      </c>
      <c r="E7" s="48"/>
      <c r="F7" s="48"/>
      <c r="G7" s="48"/>
      <c r="H7" s="8" t="s">
        <v>2</v>
      </c>
      <c r="I7" s="48" t="s">
        <v>3</v>
      </c>
      <c r="J7" s="48"/>
      <c r="K7" s="48"/>
      <c r="L7" s="9"/>
      <c r="M7" s="10"/>
    </row>
    <row r="8" spans="1:13">
      <c r="A8" s="11"/>
      <c r="B8" s="11"/>
      <c r="C8" s="8" t="s">
        <v>4</v>
      </c>
      <c r="D8" s="48" t="s">
        <v>30</v>
      </c>
      <c r="E8" s="48"/>
      <c r="F8" s="48"/>
      <c r="G8" s="48"/>
      <c r="H8" s="8" t="s">
        <v>5</v>
      </c>
      <c r="I8" s="49" t="s">
        <v>47</v>
      </c>
      <c r="J8" s="49"/>
      <c r="K8" s="49"/>
      <c r="L8" s="11"/>
      <c r="M8" s="10"/>
    </row>
    <row r="9" spans="1:13">
      <c r="A9" s="11"/>
      <c r="B9" s="12"/>
      <c r="C9" s="13"/>
      <c r="D9" s="14"/>
      <c r="E9" s="14"/>
      <c r="F9" s="14"/>
      <c r="G9" s="14"/>
      <c r="H9" s="13"/>
      <c r="I9" s="15"/>
      <c r="J9" s="15"/>
      <c r="K9" s="15"/>
      <c r="L9" s="15"/>
      <c r="M9" s="10"/>
    </row>
    <row r="10" spans="1:13">
      <c r="A10" s="16"/>
      <c r="B10" s="17"/>
      <c r="L10" s="16"/>
    </row>
    <row r="11" spans="1:13">
      <c r="C11" s="18" t="s">
        <v>6</v>
      </c>
      <c r="G11" s="19"/>
      <c r="H11" s="19"/>
    </row>
    <row r="12" spans="1:13">
      <c r="C12" s="45" t="s">
        <v>35</v>
      </c>
      <c r="D12" s="45"/>
      <c r="E12" s="45"/>
      <c r="F12" s="45"/>
      <c r="G12" s="45"/>
      <c r="H12" s="45"/>
      <c r="I12" s="45"/>
      <c r="J12" s="45"/>
      <c r="K12" s="45"/>
    </row>
    <row r="13" spans="1:13">
      <c r="C13" s="20" t="s">
        <v>7</v>
      </c>
      <c r="D13" s="52" t="s">
        <v>31</v>
      </c>
      <c r="E13" s="53"/>
      <c r="F13" s="52" t="s">
        <v>32</v>
      </c>
      <c r="G13" s="53"/>
      <c r="H13" s="54" t="s">
        <v>8</v>
      </c>
      <c r="I13" s="55"/>
      <c r="J13" s="56" t="s">
        <v>9</v>
      </c>
      <c r="K13" s="56"/>
    </row>
    <row r="14" spans="1:13">
      <c r="C14" s="21" t="s">
        <v>34</v>
      </c>
      <c r="D14" s="57" t="s">
        <v>37</v>
      </c>
      <c r="E14" s="58"/>
      <c r="F14" s="59">
        <v>10500000</v>
      </c>
      <c r="G14" s="60"/>
      <c r="H14" s="50">
        <f>F14*0.9</f>
        <v>9450000</v>
      </c>
      <c r="I14" s="50"/>
      <c r="J14" s="51">
        <f>F14*0.1</f>
        <v>1050000</v>
      </c>
      <c r="K14" s="51"/>
    </row>
    <row r="15" spans="1:13">
      <c r="C15" s="45" t="s">
        <v>36</v>
      </c>
      <c r="D15" s="45"/>
      <c r="E15" s="45"/>
      <c r="F15" s="45"/>
      <c r="G15" s="45"/>
      <c r="H15" s="45"/>
      <c r="I15" s="45"/>
      <c r="J15" s="45"/>
      <c r="K15" s="45"/>
    </row>
    <row r="16" spans="1:13">
      <c r="C16" s="20" t="s">
        <v>7</v>
      </c>
      <c r="D16" s="20" t="s">
        <v>38</v>
      </c>
      <c r="E16" s="20" t="s">
        <v>33</v>
      </c>
      <c r="F16" s="20" t="s">
        <v>39</v>
      </c>
      <c r="G16" s="20" t="s">
        <v>40</v>
      </c>
      <c r="H16" s="54" t="s">
        <v>8</v>
      </c>
      <c r="I16" s="55"/>
      <c r="J16" s="56" t="s">
        <v>9</v>
      </c>
      <c r="K16" s="56"/>
    </row>
    <row r="17" spans="3:11">
      <c r="C17" s="21" t="str">
        <f>C14</f>
        <v>11월</v>
      </c>
      <c r="D17" s="40">
        <v>5634900</v>
      </c>
      <c r="E17" s="40">
        <v>2237409</v>
      </c>
      <c r="F17" s="21">
        <f>F14</f>
        <v>10500000</v>
      </c>
      <c r="G17" s="21">
        <f>F17-E17</f>
        <v>8262591</v>
      </c>
      <c r="H17" s="50">
        <v>0</v>
      </c>
      <c r="I17" s="50"/>
      <c r="J17" s="51">
        <v>0</v>
      </c>
      <c r="K17" s="51"/>
    </row>
    <row r="18" spans="3:11">
      <c r="C18" s="22"/>
    </row>
    <row r="19" spans="3:11">
      <c r="C19" s="20" t="s">
        <v>10</v>
      </c>
      <c r="D19" s="61" t="s">
        <v>11</v>
      </c>
      <c r="E19" s="62"/>
      <c r="F19" s="62"/>
      <c r="G19" s="63"/>
      <c r="H19" s="54" t="s">
        <v>12</v>
      </c>
      <c r="I19" s="55"/>
      <c r="J19" s="56" t="s">
        <v>9</v>
      </c>
      <c r="K19" s="56"/>
    </row>
    <row r="20" spans="3:11">
      <c r="C20" s="21" t="str">
        <f>C14</f>
        <v>11월</v>
      </c>
      <c r="D20" s="64">
        <f>F14</f>
        <v>10500000</v>
      </c>
      <c r="E20" s="65"/>
      <c r="F20" s="65"/>
      <c r="G20" s="66"/>
      <c r="H20" s="67">
        <f>D20*0.9</f>
        <v>9450000</v>
      </c>
      <c r="I20" s="67"/>
      <c r="J20" s="67">
        <f>D20*0.1</f>
        <v>1050000</v>
      </c>
      <c r="K20" s="67"/>
    </row>
    <row r="22" spans="3:11">
      <c r="C22" s="23" t="s">
        <v>13</v>
      </c>
      <c r="I22" s="24"/>
      <c r="J22" s="24"/>
      <c r="K22" s="24"/>
    </row>
    <row r="23" spans="3:11">
      <c r="C23" s="23" t="s">
        <v>14</v>
      </c>
    </row>
    <row r="24" spans="3:11">
      <c r="J24" s="25" t="s">
        <v>15</v>
      </c>
    </row>
  </sheetData>
  <mergeCells count="25">
    <mergeCell ref="D19:G19"/>
    <mergeCell ref="H19:I19"/>
    <mergeCell ref="J19:K19"/>
    <mergeCell ref="D20:G20"/>
    <mergeCell ref="H20:I20"/>
    <mergeCell ref="J20:K20"/>
    <mergeCell ref="H17:I17"/>
    <mergeCell ref="J17:K17"/>
    <mergeCell ref="D13:E13"/>
    <mergeCell ref="F13:G13"/>
    <mergeCell ref="H13:I13"/>
    <mergeCell ref="J13:K13"/>
    <mergeCell ref="D14:E14"/>
    <mergeCell ref="F14:G14"/>
    <mergeCell ref="H14:I14"/>
    <mergeCell ref="J14:K14"/>
    <mergeCell ref="C15:K15"/>
    <mergeCell ref="H16:I16"/>
    <mergeCell ref="J16:K16"/>
    <mergeCell ref="C12:K12"/>
    <mergeCell ref="C3:L4"/>
    <mergeCell ref="D7:G7"/>
    <mergeCell ref="I7:K7"/>
    <mergeCell ref="D8:G8"/>
    <mergeCell ref="I8:K8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DF91-69AE-4862-A707-5573074484CF}">
  <dimension ref="A1:O3"/>
  <sheetViews>
    <sheetView zoomScale="85" zoomScaleNormal="85" zoomScaleSheetLayoutView="75" workbookViewId="0">
      <selection activeCell="C4" sqref="C4"/>
    </sheetView>
  </sheetViews>
  <sheetFormatPr defaultColWidth="8.75" defaultRowHeight="16.5"/>
  <cols>
    <col min="1" max="1" width="22.375" customWidth="1"/>
    <col min="2" max="2" width="13.375" customWidth="1"/>
    <col min="3" max="3" width="13" customWidth="1"/>
    <col min="4" max="5" width="14.625" bestFit="1" customWidth="1"/>
    <col min="6" max="6" width="13" bestFit="1" customWidth="1"/>
    <col min="7" max="7" width="13.625" customWidth="1"/>
    <col min="8" max="8" width="15.375" customWidth="1"/>
    <col min="9" max="9" width="13" bestFit="1" customWidth="1"/>
    <col min="10" max="10" width="12.625" customWidth="1"/>
    <col min="11" max="11" width="15" customWidth="1"/>
    <col min="12" max="14" width="13" bestFit="1" customWidth="1"/>
    <col min="15" max="15" width="14" bestFit="1" customWidth="1"/>
    <col min="16" max="16" width="11.25" bestFit="1" customWidth="1"/>
    <col min="17" max="17" width="13" bestFit="1" customWidth="1"/>
    <col min="18" max="18" width="16.75" bestFit="1" customWidth="1"/>
    <col min="19" max="19" width="15.25" bestFit="1" customWidth="1"/>
    <col min="20" max="20" width="15.5" customWidth="1"/>
    <col min="21" max="21" width="12.375" bestFit="1" customWidth="1"/>
  </cols>
  <sheetData>
    <row r="1" spans="1:15" s="28" customFormat="1" ht="21.75" customHeight="1">
      <c r="A1" s="26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>
      <c r="A2" s="29" t="s">
        <v>17</v>
      </c>
      <c r="B2" s="42" t="s">
        <v>42</v>
      </c>
      <c r="C2" s="42" t="s">
        <v>43</v>
      </c>
      <c r="D2" s="42" t="s">
        <v>44</v>
      </c>
      <c r="E2" s="30" t="s">
        <v>18</v>
      </c>
      <c r="F2" s="31" t="s">
        <v>19</v>
      </c>
      <c r="G2" s="30" t="s">
        <v>20</v>
      </c>
      <c r="H2" s="31" t="s">
        <v>21</v>
      </c>
      <c r="I2" s="32" t="s">
        <v>22</v>
      </c>
      <c r="J2" s="32" t="s">
        <v>23</v>
      </c>
      <c r="K2" s="33" t="s">
        <v>24</v>
      </c>
      <c r="L2" s="32" t="s">
        <v>25</v>
      </c>
      <c r="M2" s="32" t="s">
        <v>26</v>
      </c>
      <c r="N2" s="34" t="s">
        <v>27</v>
      </c>
      <c r="O2" s="43" t="s">
        <v>46</v>
      </c>
    </row>
    <row r="3" spans="1:15" s="39" customFormat="1">
      <c r="A3" s="35" t="s">
        <v>41</v>
      </c>
      <c r="B3" s="35" t="s">
        <v>45</v>
      </c>
      <c r="C3" s="41">
        <v>10500000</v>
      </c>
      <c r="D3" s="41">
        <v>10500000</v>
      </c>
      <c r="E3" s="36">
        <v>2651940</v>
      </c>
      <c r="F3" s="36">
        <v>1193373</v>
      </c>
      <c r="G3" s="36">
        <v>2982960</v>
      </c>
      <c r="H3" s="36">
        <v>1044036</v>
      </c>
      <c r="I3" s="36">
        <v>2237409</v>
      </c>
      <c r="J3" s="36">
        <v>5634900</v>
      </c>
      <c r="K3" s="37"/>
      <c r="L3" s="38">
        <v>2237409</v>
      </c>
      <c r="M3" s="38">
        <v>-8262591</v>
      </c>
      <c r="N3" s="44" t="s">
        <v>45</v>
      </c>
      <c r="O3" s="44">
        <v>-8262591</v>
      </c>
    </row>
  </sheetData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22년11월(국내)</vt:lpstr>
      <vt:lpstr>22년 11월 세부내역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마루코믹스</dc:creator>
  <cp:lastModifiedBy>마루코믹스</cp:lastModifiedBy>
  <dcterms:created xsi:type="dcterms:W3CDTF">2022-11-23T09:27:16Z</dcterms:created>
  <dcterms:modified xsi:type="dcterms:W3CDTF">2022-12-20T08:41:40Z</dcterms:modified>
</cp:coreProperties>
</file>