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3. 노블코믹스\"/>
    </mc:Choice>
  </mc:AlternateContent>
  <bookViews>
    <workbookView xWindow="0" yWindow="0" windowWidth="28800" windowHeight="12288" firstSheet="7" activeTab="18"/>
  </bookViews>
  <sheets>
    <sheet name="서비스현황" sheetId="1" r:id="rId1"/>
    <sheet name="202107" sheetId="2" r:id="rId2"/>
    <sheet name="202108" sheetId="3" r:id="rId3"/>
    <sheet name="202109" sheetId="4" r:id="rId4"/>
    <sheet name="202110" sheetId="5" r:id="rId5"/>
    <sheet name="202111" sheetId="6" r:id="rId6"/>
    <sheet name="202112" sheetId="7" r:id="rId7"/>
    <sheet name="202201" sheetId="8" r:id="rId8"/>
    <sheet name="202202" sheetId="9" r:id="rId9"/>
    <sheet name="202203" sheetId="10" r:id="rId10"/>
    <sheet name="202204" sheetId="11" r:id="rId11"/>
    <sheet name="202204_추가" sheetId="14" r:id="rId12"/>
    <sheet name="202205" sheetId="12" r:id="rId13"/>
    <sheet name="202206" sheetId="15" r:id="rId14"/>
    <sheet name="202207" sheetId="16" r:id="rId15"/>
    <sheet name="202208" sheetId="17" r:id="rId16"/>
    <sheet name="202209" sheetId="18" r:id="rId17"/>
    <sheet name="202210" sheetId="19" r:id="rId18"/>
    <sheet name="202211" sheetId="20" r:id="rId19"/>
  </sheets>
  <calcPr calcId="191029"/>
  <extLst>
    <ext uri="GoogleSheetsCustomDataVersion1">
      <go:sheetsCustomData xmlns:go="http://customooxmlschemas.google.com/" r:id="rId20" roundtripDataSignature="AMtx7mjbwhIr8W7FnB4KpSGxvpfcT4olhw=="/>
    </ext>
  </extLst>
</workbook>
</file>

<file path=xl/calcChain.xml><?xml version="1.0" encoding="utf-8"?>
<calcChain xmlns="http://schemas.openxmlformats.org/spreadsheetml/2006/main">
  <c r="D16" i="20" l="1"/>
  <c r="C16" i="20"/>
  <c r="G16" i="20"/>
  <c r="F16" i="20"/>
  <c r="E16" i="20"/>
  <c r="H15" i="20"/>
  <c r="I15" i="20" s="1"/>
  <c r="H14" i="20"/>
  <c r="I14" i="20" s="1"/>
  <c r="H13" i="20"/>
  <c r="I13" i="20" s="1"/>
  <c r="H12" i="20"/>
  <c r="H11" i="20" l="1"/>
  <c r="I11" i="20" s="1"/>
  <c r="I12" i="20"/>
  <c r="H12" i="19"/>
  <c r="I12" i="19" s="1"/>
  <c r="E16" i="19"/>
  <c r="D16" i="19"/>
  <c r="C16" i="19"/>
  <c r="H15" i="19"/>
  <c r="I15" i="19" s="1"/>
  <c r="H14" i="19"/>
  <c r="I14" i="19" s="1"/>
  <c r="H13" i="19"/>
  <c r="I13" i="19" s="1"/>
  <c r="G16" i="19"/>
  <c r="I16" i="20" l="1"/>
  <c r="B4" i="20" s="1"/>
  <c r="C4" i="20" s="1"/>
  <c r="H16" i="20"/>
  <c r="F16" i="19"/>
  <c r="H11" i="19"/>
  <c r="I11" i="19" l="1"/>
  <c r="I16" i="19" s="1"/>
  <c r="B4" i="19" s="1"/>
  <c r="C4" i="19" s="1"/>
  <c r="H16" i="19"/>
  <c r="H15" i="18" l="1"/>
  <c r="I15" i="18" s="1"/>
  <c r="F16" i="18"/>
  <c r="D16" i="18"/>
  <c r="C16" i="18"/>
  <c r="E16" i="18"/>
  <c r="H14" i="18"/>
  <c r="I14" i="18" s="1"/>
  <c r="H13" i="18"/>
  <c r="I13" i="18" s="1"/>
  <c r="H12" i="18"/>
  <c r="I12" i="18" s="1"/>
  <c r="G11" i="18" l="1"/>
  <c r="F16" i="17"/>
  <c r="E16" i="17"/>
  <c r="D16" i="17"/>
  <c r="C16" i="17"/>
  <c r="H15" i="17"/>
  <c r="I15" i="17" s="1"/>
  <c r="H14" i="17"/>
  <c r="I14" i="17" s="1"/>
  <c r="H13" i="17"/>
  <c r="I13" i="17" s="1"/>
  <c r="H12" i="17"/>
  <c r="I12" i="17" s="1"/>
  <c r="G11" i="17"/>
  <c r="H11" i="17" s="1"/>
  <c r="G16" i="18" l="1"/>
  <c r="H11" i="18"/>
  <c r="H16" i="17"/>
  <c r="I11" i="17"/>
  <c r="I16" i="17" s="1"/>
  <c r="B4" i="17" s="1"/>
  <c r="C4" i="17" s="1"/>
  <c r="G16" i="17"/>
  <c r="H16" i="16"/>
  <c r="I16" i="16" s="1"/>
  <c r="H12" i="16"/>
  <c r="I12" i="16" s="1"/>
  <c r="H15" i="16"/>
  <c r="I15" i="16" s="1"/>
  <c r="F17" i="16"/>
  <c r="E17" i="16"/>
  <c r="D17" i="16"/>
  <c r="C17" i="16"/>
  <c r="H14" i="16"/>
  <c r="I14" i="16" s="1"/>
  <c r="H13" i="16"/>
  <c r="I13" i="16" s="1"/>
  <c r="G11" i="16"/>
  <c r="H11" i="16" s="1"/>
  <c r="I11" i="18" l="1"/>
  <c r="I16" i="18" s="1"/>
  <c r="B4" i="18" s="1"/>
  <c r="C4" i="18" s="1"/>
  <c r="H16" i="18"/>
  <c r="H17" i="16"/>
  <c r="G17" i="16"/>
  <c r="I11" i="16"/>
  <c r="F15" i="15"/>
  <c r="E15" i="15"/>
  <c r="D15" i="15"/>
  <c r="C15" i="15"/>
  <c r="H14" i="15"/>
  <c r="I14" i="15" s="1"/>
  <c r="H13" i="15"/>
  <c r="I13" i="15" s="1"/>
  <c r="H12" i="15"/>
  <c r="I12" i="15" s="1"/>
  <c r="G11" i="15"/>
  <c r="G15" i="15" s="1"/>
  <c r="I17" i="16" l="1"/>
  <c r="B4" i="16" s="1"/>
  <c r="C4" i="16" s="1"/>
  <c r="H11" i="15"/>
  <c r="H12" i="14"/>
  <c r="I12" i="14" s="1"/>
  <c r="F14" i="14"/>
  <c r="E14" i="14"/>
  <c r="D14" i="14"/>
  <c r="C14" i="14"/>
  <c r="H13" i="14"/>
  <c r="I13" i="14" s="1"/>
  <c r="H11" i="14"/>
  <c r="G14" i="14"/>
  <c r="H15" i="15" l="1"/>
  <c r="I11" i="15"/>
  <c r="I15" i="15" s="1"/>
  <c r="B4" i="15" s="1"/>
  <c r="C4" i="15" s="1"/>
  <c r="H14" i="14"/>
  <c r="I11" i="14"/>
  <c r="I14" i="14" s="1"/>
  <c r="B4" i="14" s="1"/>
  <c r="C4" i="14" s="1"/>
  <c r="F15" i="12" l="1"/>
  <c r="E15" i="12"/>
  <c r="D15" i="12"/>
  <c r="C15" i="12"/>
  <c r="H14" i="12"/>
  <c r="I14" i="12" s="1"/>
  <c r="H13" i="12"/>
  <c r="I13" i="12" s="1"/>
  <c r="H12" i="12"/>
  <c r="I12" i="12" s="1"/>
  <c r="G11" i="12"/>
  <c r="H11" i="12" s="1"/>
  <c r="F14" i="11"/>
  <c r="E14" i="11"/>
  <c r="D14" i="11"/>
  <c r="C14" i="11"/>
  <c r="H13" i="11"/>
  <c r="I13" i="11" s="1"/>
  <c r="H12" i="11"/>
  <c r="I12" i="11" s="1"/>
  <c r="G11" i="11"/>
  <c r="H11" i="11" s="1"/>
  <c r="F14" i="10"/>
  <c r="E14" i="10"/>
  <c r="D14" i="10"/>
  <c r="C14" i="10"/>
  <c r="H13" i="10"/>
  <c r="I13" i="10" s="1"/>
  <c r="H12" i="10"/>
  <c r="I12" i="10" s="1"/>
  <c r="G11" i="10"/>
  <c r="G14" i="10" s="1"/>
  <c r="F14" i="9"/>
  <c r="E14" i="9"/>
  <c r="D14" i="9"/>
  <c r="C14" i="9"/>
  <c r="H13" i="9"/>
  <c r="I13" i="9" s="1"/>
  <c r="H12" i="9"/>
  <c r="I12" i="9" s="1"/>
  <c r="G11" i="9"/>
  <c r="G14" i="9" s="1"/>
  <c r="F14" i="8"/>
  <c r="E14" i="8"/>
  <c r="D14" i="8"/>
  <c r="C14" i="8"/>
  <c r="H13" i="8"/>
  <c r="I13" i="8" s="1"/>
  <c r="H12" i="8"/>
  <c r="I12" i="8" s="1"/>
  <c r="G11" i="8"/>
  <c r="H11" i="8" s="1"/>
  <c r="F13" i="7"/>
  <c r="E13" i="7"/>
  <c r="D13" i="7"/>
  <c r="C13" i="7"/>
  <c r="H12" i="7"/>
  <c r="I12" i="7" s="1"/>
  <c r="G11" i="7"/>
  <c r="G13" i="7" s="1"/>
  <c r="F13" i="6"/>
  <c r="E13" i="6"/>
  <c r="D13" i="6"/>
  <c r="C13" i="6"/>
  <c r="H12" i="6"/>
  <c r="G11" i="6"/>
  <c r="G13" i="6" s="1"/>
  <c r="F13" i="5"/>
  <c r="E13" i="5"/>
  <c r="D13" i="5"/>
  <c r="C13" i="5"/>
  <c r="H12" i="5"/>
  <c r="I12" i="5" s="1"/>
  <c r="G11" i="5"/>
  <c r="G13" i="5" s="1"/>
  <c r="D13" i="4"/>
  <c r="C13" i="4"/>
  <c r="E12" i="4"/>
  <c r="F12" i="4" s="1"/>
  <c r="E11" i="4"/>
  <c r="E13" i="4" s="1"/>
  <c r="D12" i="3"/>
  <c r="C12" i="3"/>
  <c r="E11" i="3"/>
  <c r="E12" i="3" s="1"/>
  <c r="D12" i="2"/>
  <c r="C12" i="2"/>
  <c r="E11" i="2"/>
  <c r="E12" i="2" s="1"/>
  <c r="G14" i="11" l="1"/>
  <c r="F11" i="2"/>
  <c r="F12" i="2" s="1"/>
  <c r="B4" i="2" s="1"/>
  <c r="C4" i="2" s="1"/>
  <c r="H11" i="7"/>
  <c r="H13" i="7" s="1"/>
  <c r="H15" i="12"/>
  <c r="G15" i="12"/>
  <c r="H11" i="10"/>
  <c r="I11" i="10" s="1"/>
  <c r="I14" i="10" s="1"/>
  <c r="B4" i="10" s="1"/>
  <c r="C4" i="10" s="1"/>
  <c r="G14" i="8"/>
  <c r="F11" i="4"/>
  <c r="F13" i="4" s="1"/>
  <c r="B4" i="4" s="1"/>
  <c r="C4" i="4" s="1"/>
  <c r="H11" i="6"/>
  <c r="I11" i="6" s="1"/>
  <c r="H11" i="9"/>
  <c r="H14" i="9" s="1"/>
  <c r="H13" i="6"/>
  <c r="I11" i="11"/>
  <c r="I14" i="11" s="1"/>
  <c r="B4" i="11" s="1"/>
  <c r="C4" i="11" s="1"/>
  <c r="H14" i="11"/>
  <c r="I11" i="8"/>
  <c r="I14" i="8" s="1"/>
  <c r="B4" i="8" s="1"/>
  <c r="C4" i="8" s="1"/>
  <c r="H14" i="8"/>
  <c r="I12" i="6"/>
  <c r="I13" i="6" s="1"/>
  <c r="B4" i="6" s="1"/>
  <c r="C4" i="6" s="1"/>
  <c r="I11" i="7"/>
  <c r="I13" i="7" s="1"/>
  <c r="B4" i="7" s="1"/>
  <c r="C4" i="7" s="1"/>
  <c r="I11" i="12"/>
  <c r="I15" i="12" s="1"/>
  <c r="B4" i="12" s="1"/>
  <c r="C4" i="12" s="1"/>
  <c r="F11" i="3"/>
  <c r="F12" i="3" s="1"/>
  <c r="B4" i="3" s="1"/>
  <c r="C4" i="3" s="1"/>
  <c r="H11" i="5"/>
  <c r="H14" i="10" l="1"/>
  <c r="I11" i="9"/>
  <c r="I14" i="9" s="1"/>
  <c r="B4" i="9" s="1"/>
  <c r="C4" i="9" s="1"/>
  <c r="H13" i="5"/>
  <c r="I11" i="5"/>
  <c r="I13" i="5" s="1"/>
  <c r="B4" i="5" s="1"/>
  <c r="C4" i="5" s="1"/>
</calcChain>
</file>

<file path=xl/sharedStrings.xml><?xml version="1.0" encoding="utf-8"?>
<sst xmlns="http://schemas.openxmlformats.org/spreadsheetml/2006/main" count="480" uniqueCount="48">
  <si>
    <t>라지에르의서</t>
  </si>
  <si>
    <t>플랫폼</t>
  </si>
  <si>
    <t>서비스 시작일</t>
  </si>
  <si>
    <t>서비스 사이트</t>
  </si>
  <si>
    <t>비고</t>
  </si>
  <si>
    <t>카카오페이지</t>
  </si>
  <si>
    <t>2021.07.14</t>
  </si>
  <si>
    <t>https://page.kakao.com/home?seriesId=57419661</t>
  </si>
  <si>
    <t>웹/앱 서비스</t>
  </si>
  <si>
    <t>[ (라지에르의서) 계산서 내역]</t>
  </si>
  <si>
    <t>해당월</t>
  </si>
  <si>
    <t>공급가액</t>
  </si>
  <si>
    <t>합계금액</t>
  </si>
  <si>
    <t>*(1) 공급가액 = 원작사 배분 수익 합계</t>
  </si>
  <si>
    <t>o (라지에르의서) '원작사 배분 수익 합계' 세부 내역</t>
  </si>
  <si>
    <t>구분</t>
  </si>
  <si>
    <t>고료(또는 MG) 수익(2)</t>
  </si>
  <si>
    <t>유료 정산 수익(3)</t>
  </si>
  <si>
    <t>유료 정산 초과 수익(4)</t>
  </si>
  <si>
    <t>원작사 배분 수익 합계(5)</t>
  </si>
  <si>
    <t>합계</t>
  </si>
  <si>
    <t>*(2) 고료(또는 MG) 수익 = 화당 비용 * 해당월 업데이트 분량</t>
  </si>
  <si>
    <t>*(3) 유료 정산 수익 = 플랫폼 순매출 * 수익배분율(RS%)</t>
  </si>
  <si>
    <t>*(4) 유료정산초과수익 = 유료 정산 수익 - MG 수익( - 일 경우 0)</t>
  </si>
  <si>
    <t>*(5) 원작사 배분 수익 합계 = (고료(또는 MG) 수익 + 유료 정산 초과 수익)  * 15%</t>
  </si>
  <si>
    <t>카카오웹툰</t>
  </si>
  <si>
    <t>카카오페이지 (3)</t>
  </si>
  <si>
    <t>카카오웹툰 (3)</t>
  </si>
  <si>
    <t>유료 정산 (3)</t>
  </si>
  <si>
    <t>총 수익(5)</t>
  </si>
  <si>
    <t>원작사 배분 수익 합계(6)</t>
  </si>
  <si>
    <t>카카오페이지+카카오웹툰</t>
  </si>
  <si>
    <t>타파스틱_미국MG(7)</t>
  </si>
  <si>
    <t>*(5) 총수익 = 각 플랫폼 별 (고료(또는 MG) 수익 + 유료 정산 수익)</t>
  </si>
  <si>
    <t>*(6) 원작사 배분 수익 합계 = (고료(또는 MG) 수익 + 유료 정산 초과 수익)  * 15%</t>
  </si>
  <si>
    <t>*(7) 해외 정산 = 플랫폼 순매출 * 수익배분율(RS%)</t>
  </si>
  <si>
    <t>상계중</t>
  </si>
  <si>
    <t>JV_중국MG (10)</t>
  </si>
  <si>
    <t>타파스틱_미국 (10)</t>
  </si>
  <si>
    <t>JV_중국 (10)</t>
  </si>
  <si>
    <t>2022.1Q</t>
  </si>
  <si>
    <t>카카오(글로벌)_MG</t>
  </si>
  <si>
    <t>카카오(글로벌) (10)</t>
  </si>
  <si>
    <t>2022.2Q</t>
  </si>
  <si>
    <t>픽코마_일본MG (10)</t>
  </si>
  <si>
    <t>픽코마_일본 (10)</t>
  </si>
  <si>
    <t>2022.2Q</t>
    <phoneticPr fontId="14" type="noConversion"/>
  </si>
  <si>
    <t>2022.3Q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</si>
</sst>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-* #,##0_-;\-* #,##0_-;_-* &quot;-&quot;_-;_-@"/>
    <numFmt numFmtId="177" formatCode="#,##0_ ;[Red]\-#,##0\ "/>
  </numFmts>
  <fonts count="16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8"/>
      <name val="Calibri"/>
      <family val="3"/>
      <charset val="129"/>
      <scheme val="minor"/>
    </font>
    <font>
      <sz val="9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6" fillId="0" borderId="2" xfId="0" applyFont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3" fontId="6" fillId="0" borderId="2" xfId="0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177" fontId="6" fillId="0" borderId="2" xfId="0" applyNumberFormat="1" applyFont="1" applyBorder="1" applyAlignment="1">
      <alignment vertical="center"/>
    </xf>
    <xf numFmtId="177" fontId="6" fillId="5" borderId="2" xfId="0" applyNumberFormat="1" applyFont="1" applyFill="1" applyBorder="1" applyAlignment="1">
      <alignment vertical="center"/>
    </xf>
    <xf numFmtId="177" fontId="6" fillId="6" borderId="2" xfId="0" applyNumberFormat="1" applyFont="1" applyFill="1" applyBorder="1" applyAlignment="1">
      <alignment vertical="center"/>
    </xf>
    <xf numFmtId="177" fontId="6" fillId="0" borderId="2" xfId="0" applyNumberFormat="1" applyFont="1" applyFill="1" applyBorder="1" applyAlignment="1">
      <alignment vertical="center"/>
    </xf>
    <xf numFmtId="177" fontId="6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ge.kakao.com/home?seriesId=57419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4140625" defaultRowHeight="15" customHeight="1"/>
  <cols>
    <col min="1" max="2" width="13.5546875" customWidth="1"/>
    <col min="3" max="3" width="65.33203125" customWidth="1"/>
    <col min="4" max="4" width="13.5546875" customWidth="1"/>
    <col min="5" max="26" width="8.6640625" customWidth="1"/>
  </cols>
  <sheetData>
    <row r="1" spans="1:4" ht="21" customHeight="1">
      <c r="A1" s="47" t="s">
        <v>0</v>
      </c>
      <c r="B1" s="48"/>
      <c r="C1" s="48"/>
      <c r="D1" s="48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4" type="noConversion"/>
  <hyperlinks>
    <hyperlink ref="C3" r:id="rId1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F12</f>
        <v>5409226.9500000002</v>
      </c>
      <c r="C4" s="10">
        <f>B4</f>
        <v>5409226.9500000002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202107</v>
      </c>
      <c r="B11" s="13" t="s">
        <v>5</v>
      </c>
      <c r="C11" s="10">
        <v>16000000</v>
      </c>
      <c r="D11" s="10">
        <v>36061513</v>
      </c>
      <c r="E11" s="10">
        <f>D11-C11</f>
        <v>20061513</v>
      </c>
      <c r="F11" s="10">
        <f>(C11+E11)*0.15</f>
        <v>5409226.9500000002</v>
      </c>
      <c r="G11" s="8"/>
      <c r="H11" s="8"/>
    </row>
    <row r="12" spans="1:26" ht="16.5" customHeight="1">
      <c r="A12" s="4" t="s">
        <v>20</v>
      </c>
      <c r="B12" s="13"/>
      <c r="C12" s="10">
        <f t="shared" ref="C12:F12" si="0">SUM(C11)</f>
        <v>16000000</v>
      </c>
      <c r="D12" s="10">
        <f t="shared" si="0"/>
        <v>36061513</v>
      </c>
      <c r="E12" s="10">
        <f t="shared" si="0"/>
        <v>20061513</v>
      </c>
      <c r="F12" s="14">
        <f t="shared" si="0"/>
        <v>5409226.9500000002</v>
      </c>
      <c r="G12" s="8"/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49" t="s">
        <v>21</v>
      </c>
      <c r="B14" s="50"/>
      <c r="C14" s="50"/>
      <c r="D14" s="50"/>
      <c r="E14" s="50"/>
      <c r="F14" s="50"/>
      <c r="G14" s="11"/>
      <c r="H14" s="11"/>
    </row>
    <row r="15" spans="1:26" ht="11.25" customHeight="1">
      <c r="A15" s="49" t="s">
        <v>22</v>
      </c>
      <c r="B15" s="50"/>
      <c r="C15" s="50"/>
      <c r="D15" s="50"/>
      <c r="E15" s="50"/>
      <c r="F15" s="50"/>
      <c r="G15" s="11"/>
      <c r="H15" s="11"/>
    </row>
    <row r="16" spans="1:26" ht="11.25" customHeight="1">
      <c r="A16" s="49" t="s">
        <v>23</v>
      </c>
      <c r="B16" s="50"/>
      <c r="C16" s="50"/>
      <c r="D16" s="50"/>
      <c r="E16" s="50"/>
      <c r="F16" s="50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8" ht="11.25" customHeight="1">
      <c r="A17" s="49" t="s">
        <v>24</v>
      </c>
      <c r="B17" s="50"/>
      <c r="C17" s="50"/>
      <c r="D17" s="50"/>
      <c r="E17" s="50"/>
      <c r="F17" s="50"/>
      <c r="G17" s="11"/>
      <c r="H17" s="11"/>
    </row>
    <row r="18" spans="1:8" ht="16.5" customHeight="1">
      <c r="A18" s="15"/>
      <c r="B18" s="15"/>
      <c r="C18" s="15"/>
      <c r="D18" s="15"/>
      <c r="E18" s="16"/>
      <c r="F18" s="15"/>
      <c r="G18" s="15"/>
      <c r="H18" s="15"/>
    </row>
    <row r="19" spans="1:8" ht="16.5" customHeight="1">
      <c r="A19" s="5"/>
      <c r="B19" s="5"/>
      <c r="C19" s="5"/>
      <c r="D19" s="5"/>
      <c r="E19" s="5"/>
      <c r="F19" s="5"/>
      <c r="G19" s="5"/>
      <c r="H19" s="5"/>
    </row>
    <row r="20" spans="1:8" ht="16.5" customHeight="1">
      <c r="A20" s="5"/>
      <c r="B20" s="5"/>
      <c r="C20" s="5"/>
      <c r="D20" s="5"/>
      <c r="E20" s="5"/>
      <c r="F20" s="5"/>
      <c r="G20" s="5"/>
      <c r="H20" s="5"/>
    </row>
    <row r="21" spans="1:8" ht="16.5" customHeight="1">
      <c r="A21" s="5"/>
      <c r="B21" s="5"/>
      <c r="C21" s="5"/>
      <c r="D21" s="5"/>
      <c r="E21" s="5"/>
      <c r="F21" s="5"/>
      <c r="G21" s="5"/>
      <c r="H21" s="5"/>
    </row>
    <row r="22" spans="1:8" ht="16.5" customHeight="1">
      <c r="A22" s="5"/>
      <c r="B22" s="5"/>
      <c r="C22" s="5"/>
      <c r="D22" s="5"/>
      <c r="E22" s="5"/>
      <c r="F22" s="5"/>
      <c r="G22" s="5"/>
      <c r="H22" s="5"/>
    </row>
    <row r="23" spans="1:8" ht="16.5" customHeight="1">
      <c r="A23" s="5"/>
      <c r="B23" s="5"/>
      <c r="C23" s="5"/>
      <c r="D23" s="5"/>
      <c r="E23" s="5"/>
      <c r="F23" s="5"/>
      <c r="G23" s="5"/>
      <c r="H23" s="5"/>
    </row>
    <row r="24" spans="1:8" ht="16.5" customHeight="1">
      <c r="A24" s="5"/>
      <c r="B24" s="5"/>
      <c r="C24" s="5"/>
      <c r="D24" s="5"/>
      <c r="E24" s="5"/>
      <c r="F24" s="5"/>
      <c r="G24" s="5"/>
      <c r="H24" s="5"/>
    </row>
    <row r="25" spans="1:8" ht="16.5" customHeight="1">
      <c r="A25" s="5"/>
      <c r="B25" s="5"/>
      <c r="C25" s="5"/>
      <c r="D25" s="5"/>
      <c r="E25" s="5"/>
      <c r="F25" s="5"/>
      <c r="G25" s="5"/>
      <c r="H25" s="5"/>
    </row>
    <row r="26" spans="1:8" ht="16.5" customHeight="1">
      <c r="A26" s="5"/>
      <c r="B26" s="5"/>
      <c r="C26" s="5"/>
      <c r="D26" s="5"/>
      <c r="E26" s="5"/>
      <c r="F26" s="5"/>
      <c r="G26" s="5"/>
      <c r="H26" s="5"/>
    </row>
    <row r="27" spans="1:8" ht="16.5" customHeight="1">
      <c r="A27" s="5"/>
      <c r="B27" s="5"/>
      <c r="C27" s="5"/>
      <c r="D27" s="5"/>
      <c r="E27" s="5"/>
      <c r="F27" s="5"/>
      <c r="G27" s="5"/>
      <c r="H27" s="5"/>
    </row>
    <row r="28" spans="1:8" ht="16.5" customHeight="1">
      <c r="A28" s="5"/>
      <c r="B28" s="5"/>
      <c r="C28" s="5"/>
      <c r="D28" s="5"/>
      <c r="E28" s="5"/>
      <c r="F28" s="5"/>
      <c r="G28" s="5"/>
      <c r="H28" s="5"/>
    </row>
    <row r="29" spans="1:8" ht="16.5" customHeight="1">
      <c r="A29" s="5"/>
      <c r="B29" s="5"/>
      <c r="C29" s="5"/>
      <c r="D29" s="5"/>
      <c r="E29" s="5"/>
      <c r="F29" s="5"/>
      <c r="G29" s="5"/>
      <c r="H29" s="5"/>
    </row>
    <row r="30" spans="1:8" ht="16.5" customHeight="1">
      <c r="A30" s="5"/>
      <c r="B30" s="5"/>
      <c r="C30" s="5"/>
      <c r="D30" s="5"/>
      <c r="E30" s="5"/>
      <c r="F30" s="5"/>
      <c r="G30" s="5"/>
      <c r="H30" s="5"/>
    </row>
    <row r="31" spans="1:8" ht="16.5" customHeight="1">
      <c r="A31" s="5"/>
      <c r="B31" s="5"/>
      <c r="C31" s="5"/>
      <c r="D31" s="5"/>
      <c r="E31" s="5"/>
      <c r="F31" s="5"/>
      <c r="G31" s="5"/>
      <c r="H31" s="5"/>
    </row>
    <row r="32" spans="1:8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6:F16"/>
    <mergeCell ref="A17:F17"/>
    <mergeCell ref="A2:C2"/>
    <mergeCell ref="A6:F6"/>
    <mergeCell ref="A9:F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F12</f>
        <v>2722252.35</v>
      </c>
      <c r="C4" s="10">
        <f>B4</f>
        <v>2722252.35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202108</v>
      </c>
      <c r="B11" s="13" t="s">
        <v>5</v>
      </c>
      <c r="C11" s="10">
        <v>4000000</v>
      </c>
      <c r="D11" s="10">
        <v>18148349</v>
      </c>
      <c r="E11" s="10">
        <f>D11-C11</f>
        <v>14148349</v>
      </c>
      <c r="F11" s="10">
        <f>(C11+E11)*0.15</f>
        <v>2722252.35</v>
      </c>
      <c r="G11" s="8"/>
      <c r="H11" s="8"/>
    </row>
    <row r="12" spans="1:26" ht="16.5" customHeight="1">
      <c r="A12" s="4" t="s">
        <v>20</v>
      </c>
      <c r="B12" s="13"/>
      <c r="C12" s="10">
        <f t="shared" ref="C12:F12" si="0">SUM(C11)</f>
        <v>4000000</v>
      </c>
      <c r="D12" s="10">
        <f t="shared" si="0"/>
        <v>18148349</v>
      </c>
      <c r="E12" s="10">
        <f t="shared" si="0"/>
        <v>14148349</v>
      </c>
      <c r="F12" s="14">
        <f t="shared" si="0"/>
        <v>2722252.35</v>
      </c>
      <c r="G12" s="8"/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49" t="s">
        <v>21</v>
      </c>
      <c r="B14" s="50"/>
      <c r="C14" s="50"/>
      <c r="D14" s="50"/>
      <c r="E14" s="50"/>
      <c r="F14" s="50"/>
      <c r="G14" s="11"/>
      <c r="H14" s="11"/>
    </row>
    <row r="15" spans="1:26" ht="11.25" customHeight="1">
      <c r="A15" s="49" t="s">
        <v>22</v>
      </c>
      <c r="B15" s="50"/>
      <c r="C15" s="50"/>
      <c r="D15" s="50"/>
      <c r="E15" s="50"/>
      <c r="F15" s="50"/>
      <c r="G15" s="11"/>
      <c r="H15" s="11"/>
    </row>
    <row r="16" spans="1:26" ht="11.25" customHeight="1">
      <c r="A16" s="49" t="s">
        <v>23</v>
      </c>
      <c r="B16" s="50"/>
      <c r="C16" s="50"/>
      <c r="D16" s="50"/>
      <c r="E16" s="50"/>
      <c r="F16" s="50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8" ht="11.25" customHeight="1">
      <c r="A17" s="49" t="s">
        <v>24</v>
      </c>
      <c r="B17" s="50"/>
      <c r="C17" s="50"/>
      <c r="D17" s="50"/>
      <c r="E17" s="50"/>
      <c r="F17" s="50"/>
      <c r="G17" s="11"/>
      <c r="H17" s="11"/>
    </row>
    <row r="18" spans="1:8" ht="16.5" customHeight="1">
      <c r="A18" s="15"/>
      <c r="B18" s="15"/>
      <c r="C18" s="15"/>
      <c r="D18" s="15"/>
      <c r="E18" s="16"/>
      <c r="F18" s="15"/>
      <c r="G18" s="15"/>
      <c r="H18" s="15"/>
    </row>
    <row r="19" spans="1:8" ht="16.5" customHeight="1">
      <c r="A19" s="5"/>
      <c r="B19" s="5"/>
      <c r="C19" s="5"/>
      <c r="D19" s="5"/>
      <c r="E19" s="5"/>
      <c r="F19" s="5"/>
      <c r="G19" s="5"/>
      <c r="H19" s="5"/>
    </row>
    <row r="20" spans="1:8" ht="16.5" customHeight="1">
      <c r="A20" s="5"/>
      <c r="B20" s="5"/>
      <c r="C20" s="5"/>
      <c r="D20" s="5"/>
      <c r="E20" s="5"/>
      <c r="F20" s="5"/>
      <c r="G20" s="5"/>
      <c r="H20" s="5"/>
    </row>
    <row r="21" spans="1:8" ht="16.5" customHeight="1">
      <c r="A21" s="5"/>
      <c r="B21" s="5"/>
      <c r="C21" s="5"/>
      <c r="D21" s="5"/>
      <c r="E21" s="5"/>
      <c r="F21" s="5"/>
      <c r="G21" s="5"/>
      <c r="H21" s="5"/>
    </row>
    <row r="22" spans="1:8" ht="16.5" customHeight="1">
      <c r="A22" s="5"/>
      <c r="B22" s="5"/>
      <c r="C22" s="5"/>
      <c r="D22" s="5"/>
      <c r="E22" s="5"/>
      <c r="F22" s="5"/>
      <c r="G22" s="5"/>
      <c r="H22" s="5"/>
    </row>
    <row r="23" spans="1:8" ht="16.5" customHeight="1">
      <c r="A23" s="5"/>
      <c r="B23" s="5"/>
      <c r="C23" s="5"/>
      <c r="D23" s="5"/>
      <c r="E23" s="5"/>
      <c r="F23" s="5"/>
      <c r="G23" s="5"/>
      <c r="H23" s="5"/>
    </row>
    <row r="24" spans="1:8" ht="16.5" customHeight="1">
      <c r="A24" s="5"/>
      <c r="B24" s="5"/>
      <c r="C24" s="5"/>
      <c r="D24" s="5"/>
      <c r="E24" s="5"/>
      <c r="F24" s="5"/>
      <c r="G24" s="5"/>
      <c r="H24" s="5"/>
    </row>
    <row r="25" spans="1:8" ht="16.5" customHeight="1">
      <c r="A25" s="5"/>
      <c r="B25" s="5"/>
      <c r="C25" s="5"/>
      <c r="D25" s="5"/>
      <c r="E25" s="5"/>
      <c r="F25" s="5"/>
      <c r="G25" s="5"/>
      <c r="H25" s="5"/>
    </row>
    <row r="26" spans="1:8" ht="16.5" customHeight="1">
      <c r="A26" s="5"/>
      <c r="B26" s="5"/>
      <c r="C26" s="5"/>
      <c r="D26" s="5"/>
      <c r="E26" s="5"/>
      <c r="F26" s="5"/>
      <c r="G26" s="5"/>
      <c r="H26" s="5"/>
    </row>
    <row r="27" spans="1:8" ht="16.5" customHeight="1">
      <c r="A27" s="5"/>
      <c r="B27" s="5"/>
      <c r="C27" s="5"/>
      <c r="D27" s="5"/>
      <c r="E27" s="5"/>
      <c r="F27" s="5"/>
      <c r="G27" s="5"/>
      <c r="H27" s="5"/>
    </row>
    <row r="28" spans="1:8" ht="16.5" customHeight="1">
      <c r="A28" s="5"/>
      <c r="B28" s="5"/>
      <c r="C28" s="5"/>
      <c r="D28" s="5"/>
      <c r="E28" s="5"/>
      <c r="F28" s="5"/>
      <c r="G28" s="5"/>
      <c r="H28" s="5"/>
    </row>
    <row r="29" spans="1:8" ht="16.5" customHeight="1">
      <c r="A29" s="5"/>
      <c r="B29" s="5"/>
      <c r="C29" s="5"/>
      <c r="D29" s="5"/>
      <c r="E29" s="5"/>
      <c r="F29" s="5"/>
      <c r="G29" s="5"/>
      <c r="H29" s="5"/>
    </row>
    <row r="30" spans="1:8" ht="16.5" customHeight="1">
      <c r="A30" s="5"/>
      <c r="B30" s="5"/>
      <c r="C30" s="5"/>
      <c r="D30" s="5"/>
      <c r="E30" s="5"/>
      <c r="F30" s="5"/>
      <c r="G30" s="5"/>
      <c r="H30" s="5"/>
    </row>
    <row r="31" spans="1:8" ht="16.5" customHeight="1">
      <c r="A31" s="5"/>
      <c r="B31" s="5"/>
      <c r="C31" s="5"/>
      <c r="D31" s="5"/>
      <c r="E31" s="5"/>
      <c r="F31" s="5"/>
      <c r="G31" s="5"/>
      <c r="H31" s="5"/>
    </row>
    <row r="32" spans="1:8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6:F16"/>
    <mergeCell ref="A17:F17"/>
    <mergeCell ref="A2:C2"/>
    <mergeCell ref="A6:F6"/>
    <mergeCell ref="A9:F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F13</f>
        <v>1928903.4</v>
      </c>
      <c r="C4" s="10">
        <f>B4</f>
        <v>1928903.4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202109</v>
      </c>
      <c r="B11" s="4" t="s">
        <v>5</v>
      </c>
      <c r="C11" s="10">
        <v>3200000</v>
      </c>
      <c r="D11" s="10">
        <v>11594499</v>
      </c>
      <c r="E11" s="10">
        <f t="shared" ref="E11:E12" si="0">D11-C11</f>
        <v>8394499</v>
      </c>
      <c r="F11" s="10">
        <f t="shared" ref="F11:F12" si="1">(C11+E11)*0.15</f>
        <v>1739174.8499999999</v>
      </c>
      <c r="G11" s="8"/>
      <c r="H11" s="8"/>
    </row>
    <row r="12" spans="1:26" ht="16.5" customHeight="1">
      <c r="A12" s="4">
        <v>202109</v>
      </c>
      <c r="B12" s="4" t="s">
        <v>25</v>
      </c>
      <c r="C12" s="17"/>
      <c r="D12" s="10">
        <v>1264857</v>
      </c>
      <c r="E12" s="10">
        <f t="shared" si="0"/>
        <v>1264857</v>
      </c>
      <c r="F12" s="10">
        <f t="shared" si="1"/>
        <v>189728.55</v>
      </c>
      <c r="G12" s="8"/>
      <c r="H12" s="8"/>
    </row>
    <row r="13" spans="1:26" ht="16.5" customHeight="1">
      <c r="A13" s="4" t="s">
        <v>20</v>
      </c>
      <c r="B13" s="13"/>
      <c r="C13" s="10">
        <f t="shared" ref="C13:F13" si="2">SUM(C11:C12)</f>
        <v>3200000</v>
      </c>
      <c r="D13" s="10">
        <f t="shared" si="2"/>
        <v>12859356</v>
      </c>
      <c r="E13" s="10">
        <f t="shared" si="2"/>
        <v>9659356</v>
      </c>
      <c r="F13" s="14">
        <f t="shared" si="2"/>
        <v>1928903.4</v>
      </c>
      <c r="G13" s="8"/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49" t="s">
        <v>21</v>
      </c>
      <c r="B15" s="50"/>
      <c r="C15" s="50"/>
      <c r="D15" s="50"/>
      <c r="E15" s="50"/>
      <c r="F15" s="50"/>
      <c r="G15" s="11"/>
      <c r="H15" s="11"/>
    </row>
    <row r="16" spans="1:26" ht="11.25" customHeight="1">
      <c r="A16" s="49" t="s">
        <v>22</v>
      </c>
      <c r="B16" s="50"/>
      <c r="C16" s="50"/>
      <c r="D16" s="50"/>
      <c r="E16" s="50"/>
      <c r="F16" s="50"/>
      <c r="G16" s="11"/>
      <c r="H16" s="11"/>
    </row>
    <row r="17" spans="1:26" ht="11.25" customHeight="1">
      <c r="A17" s="49" t="s">
        <v>23</v>
      </c>
      <c r="B17" s="50"/>
      <c r="C17" s="50"/>
      <c r="D17" s="50"/>
      <c r="E17" s="50"/>
      <c r="F17" s="50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49" t="s">
        <v>24</v>
      </c>
      <c r="B18" s="50"/>
      <c r="C18" s="50"/>
      <c r="D18" s="50"/>
      <c r="E18" s="50"/>
      <c r="F18" s="50"/>
      <c r="G18" s="11"/>
      <c r="H18" s="11"/>
    </row>
    <row r="19" spans="1:26" ht="16.5" customHeight="1">
      <c r="A19" s="15"/>
      <c r="B19" s="15"/>
      <c r="C19" s="15"/>
      <c r="D19" s="15"/>
      <c r="E19" s="16"/>
      <c r="F19" s="15"/>
      <c r="G19" s="15"/>
      <c r="H19" s="15"/>
    </row>
    <row r="20" spans="1:26" ht="16.5" customHeight="1">
      <c r="A20" s="5"/>
      <c r="B20" s="5"/>
      <c r="C20" s="5"/>
      <c r="D20" s="5"/>
      <c r="E20" s="5"/>
      <c r="F20" s="5"/>
      <c r="G20" s="5"/>
      <c r="H20" s="5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7:F17"/>
    <mergeCell ref="A18:F18"/>
    <mergeCell ref="A2:C2"/>
    <mergeCell ref="A6:F6"/>
    <mergeCell ref="A9:F9"/>
    <mergeCell ref="A15:F15"/>
    <mergeCell ref="A16:F16"/>
  </mergeCells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I13</f>
        <v>2775118.5</v>
      </c>
      <c r="C4" s="10">
        <f>B4</f>
        <v>2775118.5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202110</v>
      </c>
      <c r="B11" s="13" t="s">
        <v>31</v>
      </c>
      <c r="C11" s="10">
        <v>2000000</v>
      </c>
      <c r="D11" s="10">
        <v>6917093</v>
      </c>
      <c r="E11" s="10">
        <v>1583697</v>
      </c>
      <c r="F11" s="17"/>
      <c r="G11" s="10">
        <f>(D11+E11)-C11</f>
        <v>6500790</v>
      </c>
      <c r="H11" s="10">
        <f>C11+G11</f>
        <v>8500790</v>
      </c>
      <c r="I11" s="10">
        <f t="shared" ref="I11:I12" si="0">H11*0.15</f>
        <v>1275118.5</v>
      </c>
      <c r="J11" s="8"/>
    </row>
    <row r="12" spans="1:26" ht="16.5" customHeight="1">
      <c r="A12" s="4">
        <v>202110</v>
      </c>
      <c r="B12" s="4" t="s">
        <v>32</v>
      </c>
      <c r="C12" s="10">
        <v>10000000</v>
      </c>
      <c r="D12" s="17"/>
      <c r="E12" s="17"/>
      <c r="F12" s="17"/>
      <c r="G12" s="17"/>
      <c r="H12" s="10">
        <f>C12</f>
        <v>10000000</v>
      </c>
      <c r="I12" s="10">
        <f t="shared" si="0"/>
        <v>1500000</v>
      </c>
      <c r="J12" s="8"/>
    </row>
    <row r="13" spans="1:26" ht="16.5" customHeight="1">
      <c r="A13" s="4" t="s">
        <v>20</v>
      </c>
      <c r="B13" s="13"/>
      <c r="C13" s="10">
        <f t="shared" ref="C13:I13" si="1">SUM(C11:C12)</f>
        <v>12000000</v>
      </c>
      <c r="D13" s="10">
        <f t="shared" si="1"/>
        <v>6917093</v>
      </c>
      <c r="E13" s="10">
        <f t="shared" si="1"/>
        <v>1583697</v>
      </c>
      <c r="F13" s="10">
        <f t="shared" si="1"/>
        <v>0</v>
      </c>
      <c r="G13" s="10">
        <f t="shared" si="1"/>
        <v>6500790</v>
      </c>
      <c r="H13" s="10">
        <f t="shared" si="1"/>
        <v>18500790</v>
      </c>
      <c r="I13" s="14">
        <f t="shared" si="1"/>
        <v>2775118.5</v>
      </c>
      <c r="J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6" ht="11.25" customHeight="1">
      <c r="A15" s="49" t="s">
        <v>21</v>
      </c>
      <c r="B15" s="50"/>
      <c r="C15" s="50"/>
      <c r="D15" s="50"/>
      <c r="E15" s="50"/>
      <c r="F15" s="50"/>
      <c r="G15" s="50"/>
      <c r="H15" s="12"/>
      <c r="I15" s="11"/>
      <c r="J15" s="11"/>
    </row>
    <row r="16" spans="1:26" ht="11.25" customHeight="1">
      <c r="A16" s="49" t="s">
        <v>22</v>
      </c>
      <c r="B16" s="50"/>
      <c r="C16" s="50"/>
      <c r="D16" s="50"/>
      <c r="E16" s="50"/>
      <c r="F16" s="50"/>
      <c r="G16" s="50"/>
      <c r="H16" s="12"/>
      <c r="I16" s="11"/>
      <c r="J16" s="11"/>
    </row>
    <row r="17" spans="1:26" ht="11.25" customHeight="1">
      <c r="A17" s="49" t="s">
        <v>23</v>
      </c>
      <c r="B17" s="50"/>
      <c r="C17" s="50"/>
      <c r="D17" s="50"/>
      <c r="E17" s="50"/>
      <c r="F17" s="50"/>
      <c r="G17" s="50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53" t="s">
        <v>33</v>
      </c>
      <c r="B18" s="50"/>
      <c r="C18" s="50"/>
      <c r="D18" s="50"/>
      <c r="E18" s="50"/>
      <c r="F18" s="50"/>
      <c r="G18" s="50"/>
      <c r="H18" s="50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9" t="s">
        <v>34</v>
      </c>
      <c r="B19" s="50"/>
      <c r="C19" s="50"/>
      <c r="D19" s="50"/>
      <c r="E19" s="50"/>
      <c r="F19" s="50"/>
      <c r="G19" s="50"/>
      <c r="H19" s="11"/>
      <c r="I19" s="11"/>
    </row>
    <row r="20" spans="1:26" ht="11.25" customHeight="1">
      <c r="A20" s="49" t="s">
        <v>35</v>
      </c>
      <c r="B20" s="50"/>
      <c r="C20" s="50"/>
      <c r="D20" s="50"/>
      <c r="E20" s="50"/>
      <c r="F20" s="50"/>
      <c r="G20" s="50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I13</f>
        <v>342113.25</v>
      </c>
      <c r="C4" s="10">
        <f>B4</f>
        <v>342113.25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5" customHeight="1">
      <c r="A11" s="4">
        <v>202111</v>
      </c>
      <c r="B11" s="13" t="s">
        <v>31</v>
      </c>
      <c r="C11" s="10">
        <v>1200000</v>
      </c>
      <c r="D11" s="10">
        <v>1956954</v>
      </c>
      <c r="E11" s="10">
        <v>323801</v>
      </c>
      <c r="F11" s="17"/>
      <c r="G11" s="10">
        <f>(D11+E11)-C11</f>
        <v>1080755</v>
      </c>
      <c r="H11" s="10">
        <f>C11+G11</f>
        <v>2280755</v>
      </c>
      <c r="I11" s="10">
        <f t="shared" ref="I11:I12" si="0">H11*0.15</f>
        <v>342113.25</v>
      </c>
      <c r="J11" s="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>C12</f>
        <v>0</v>
      </c>
      <c r="I12" s="10">
        <f t="shared" si="0"/>
        <v>0</v>
      </c>
      <c r="J12" s="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.5" customHeight="1">
      <c r="A13" s="4" t="s">
        <v>20</v>
      </c>
      <c r="B13" s="13"/>
      <c r="C13" s="10">
        <f t="shared" ref="C13:I13" si="1">SUM(C11:C12)</f>
        <v>1200000</v>
      </c>
      <c r="D13" s="10">
        <f t="shared" si="1"/>
        <v>1956954</v>
      </c>
      <c r="E13" s="10">
        <f t="shared" si="1"/>
        <v>323801</v>
      </c>
      <c r="F13" s="10">
        <f t="shared" si="1"/>
        <v>0</v>
      </c>
      <c r="G13" s="10">
        <f t="shared" si="1"/>
        <v>1080755</v>
      </c>
      <c r="H13" s="10">
        <f t="shared" si="1"/>
        <v>2280755</v>
      </c>
      <c r="I13" s="14">
        <f t="shared" si="1"/>
        <v>342113.25</v>
      </c>
      <c r="J13" s="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>
      <c r="A15" s="49" t="s">
        <v>21</v>
      </c>
      <c r="B15" s="50"/>
      <c r="C15" s="50"/>
      <c r="D15" s="50"/>
      <c r="E15" s="50"/>
      <c r="F15" s="50"/>
      <c r="G15" s="50"/>
      <c r="H15" s="12"/>
      <c r="I15" s="11"/>
      <c r="J15" s="1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>
      <c r="A16" s="49" t="s">
        <v>22</v>
      </c>
      <c r="B16" s="50"/>
      <c r="C16" s="50"/>
      <c r="D16" s="50"/>
      <c r="E16" s="50"/>
      <c r="F16" s="50"/>
      <c r="G16" s="50"/>
      <c r="H16" s="12"/>
      <c r="I16" s="11"/>
      <c r="J16" s="1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>
      <c r="A17" s="49" t="s">
        <v>23</v>
      </c>
      <c r="B17" s="50"/>
      <c r="C17" s="50"/>
      <c r="D17" s="50"/>
      <c r="E17" s="50"/>
      <c r="F17" s="50"/>
      <c r="G17" s="50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53" t="s">
        <v>33</v>
      </c>
      <c r="B18" s="50"/>
      <c r="C18" s="50"/>
      <c r="D18" s="50"/>
      <c r="E18" s="50"/>
      <c r="F18" s="50"/>
      <c r="G18" s="50"/>
      <c r="H18" s="50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9" t="s">
        <v>34</v>
      </c>
      <c r="B19" s="50"/>
      <c r="C19" s="50"/>
      <c r="D19" s="50"/>
      <c r="E19" s="50"/>
      <c r="F19" s="50"/>
      <c r="G19" s="50"/>
      <c r="H19" s="11"/>
      <c r="I19" s="1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>
      <c r="A20" s="49" t="s">
        <v>35</v>
      </c>
      <c r="B20" s="50"/>
      <c r="C20" s="50"/>
      <c r="D20" s="50"/>
      <c r="E20" s="50"/>
      <c r="F20" s="50"/>
      <c r="G20" s="50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I13</f>
        <v>673390.95</v>
      </c>
      <c r="C4" s="10">
        <f>B4</f>
        <v>673390.95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202112</v>
      </c>
      <c r="B11" s="13" t="s">
        <v>31</v>
      </c>
      <c r="C11" s="10">
        <v>1600000</v>
      </c>
      <c r="D11" s="10">
        <v>3980343</v>
      </c>
      <c r="E11" s="10">
        <v>508930</v>
      </c>
      <c r="F11" s="17"/>
      <c r="G11" s="10">
        <f>(D11+E11)-C11</f>
        <v>2889273</v>
      </c>
      <c r="H11" s="10">
        <f>C11+G11</f>
        <v>4489273</v>
      </c>
      <c r="I11" s="10">
        <f t="shared" ref="I11:I12" si="0">H11*0.15</f>
        <v>673390.95</v>
      </c>
      <c r="J11" s="8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>C12</f>
        <v>0</v>
      </c>
      <c r="I12" s="10">
        <f t="shared" si="0"/>
        <v>0</v>
      </c>
      <c r="J12" s="8"/>
    </row>
    <row r="13" spans="1:26" ht="16.5" customHeight="1">
      <c r="A13" s="4" t="s">
        <v>20</v>
      </c>
      <c r="B13" s="13"/>
      <c r="C13" s="10">
        <f t="shared" ref="C13:I13" si="1">SUM(C11:C12)</f>
        <v>1600000</v>
      </c>
      <c r="D13" s="10">
        <f t="shared" si="1"/>
        <v>3980343</v>
      </c>
      <c r="E13" s="10">
        <f t="shared" si="1"/>
        <v>508930</v>
      </c>
      <c r="F13" s="10">
        <f t="shared" si="1"/>
        <v>0</v>
      </c>
      <c r="G13" s="10">
        <f t="shared" si="1"/>
        <v>2889273</v>
      </c>
      <c r="H13" s="10">
        <f t="shared" si="1"/>
        <v>4489273</v>
      </c>
      <c r="I13" s="14">
        <f t="shared" si="1"/>
        <v>673390.95</v>
      </c>
      <c r="J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6" ht="11.25" customHeight="1">
      <c r="A15" s="49" t="s">
        <v>21</v>
      </c>
      <c r="B15" s="50"/>
      <c r="C15" s="50"/>
      <c r="D15" s="50"/>
      <c r="E15" s="50"/>
      <c r="F15" s="50"/>
      <c r="G15" s="50"/>
      <c r="H15" s="12"/>
      <c r="I15" s="11"/>
      <c r="J15" s="11"/>
    </row>
    <row r="16" spans="1:26" ht="11.25" customHeight="1">
      <c r="A16" s="49" t="s">
        <v>22</v>
      </c>
      <c r="B16" s="50"/>
      <c r="C16" s="50"/>
      <c r="D16" s="50"/>
      <c r="E16" s="50"/>
      <c r="F16" s="50"/>
      <c r="G16" s="50"/>
      <c r="H16" s="12"/>
      <c r="I16" s="11"/>
      <c r="J16" s="11"/>
    </row>
    <row r="17" spans="1:26" ht="11.25" customHeight="1">
      <c r="A17" s="49" t="s">
        <v>23</v>
      </c>
      <c r="B17" s="50"/>
      <c r="C17" s="50"/>
      <c r="D17" s="50"/>
      <c r="E17" s="50"/>
      <c r="F17" s="50"/>
      <c r="G17" s="50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53" t="s">
        <v>33</v>
      </c>
      <c r="B18" s="50"/>
      <c r="C18" s="50"/>
      <c r="D18" s="50"/>
      <c r="E18" s="50"/>
      <c r="F18" s="50"/>
      <c r="G18" s="50"/>
      <c r="H18" s="50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9" t="s">
        <v>34</v>
      </c>
      <c r="B19" s="50"/>
      <c r="C19" s="50"/>
      <c r="D19" s="50"/>
      <c r="E19" s="50"/>
      <c r="F19" s="50"/>
      <c r="G19" s="50"/>
      <c r="H19" s="11"/>
      <c r="I19" s="11"/>
    </row>
    <row r="20" spans="1:26" ht="11.25" customHeight="1">
      <c r="A20" s="49" t="s">
        <v>35</v>
      </c>
      <c r="B20" s="50"/>
      <c r="C20" s="50"/>
      <c r="D20" s="50"/>
      <c r="E20" s="50"/>
      <c r="F20" s="50"/>
      <c r="G20" s="50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I14</f>
        <v>2583743.0999999996</v>
      </c>
      <c r="C4" s="10">
        <f>B4</f>
        <v>2583743.0999999996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202201</v>
      </c>
      <c r="B11" s="13" t="s">
        <v>31</v>
      </c>
      <c r="C11" s="10">
        <v>0</v>
      </c>
      <c r="D11" s="10">
        <v>1159815</v>
      </c>
      <c r="E11" s="10">
        <v>250611</v>
      </c>
      <c r="F11" s="17"/>
      <c r="G11" s="10">
        <f>(D11+E11)-C11</f>
        <v>1410426</v>
      </c>
      <c r="H11" s="10">
        <f>C11+G11</f>
        <v>1410426</v>
      </c>
      <c r="I11" s="10">
        <f t="shared" ref="I11:I13" si="0">H11*0.15</f>
        <v>211563.9</v>
      </c>
      <c r="J11" s="8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>
        <v>202201</v>
      </c>
      <c r="B13" s="4" t="s">
        <v>37</v>
      </c>
      <c r="C13" s="10">
        <v>15814528</v>
      </c>
      <c r="D13" s="17"/>
      <c r="E13" s="17"/>
      <c r="F13" s="17"/>
      <c r="G13" s="17"/>
      <c r="H13" s="10">
        <f t="shared" si="1"/>
        <v>15814528</v>
      </c>
      <c r="I13" s="10">
        <f t="shared" si="0"/>
        <v>2372179.1999999997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15814528</v>
      </c>
      <c r="D14" s="10">
        <f t="shared" si="2"/>
        <v>1159815</v>
      </c>
      <c r="E14" s="10">
        <f t="shared" si="2"/>
        <v>250611</v>
      </c>
      <c r="F14" s="10">
        <f t="shared" si="2"/>
        <v>0</v>
      </c>
      <c r="G14" s="10">
        <f t="shared" si="2"/>
        <v>1410426</v>
      </c>
      <c r="H14" s="10">
        <f t="shared" si="2"/>
        <v>17224954</v>
      </c>
      <c r="I14" s="14">
        <f t="shared" si="2"/>
        <v>2583743.0999999996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49" t="s">
        <v>21</v>
      </c>
      <c r="B16" s="50"/>
      <c r="C16" s="50"/>
      <c r="D16" s="50"/>
      <c r="E16" s="50"/>
      <c r="F16" s="50"/>
      <c r="G16" s="50"/>
      <c r="H16" s="12"/>
      <c r="I16" s="11"/>
      <c r="J16" s="11"/>
    </row>
    <row r="17" spans="1:26" ht="11.25" customHeight="1">
      <c r="A17" s="49" t="s">
        <v>22</v>
      </c>
      <c r="B17" s="50"/>
      <c r="C17" s="50"/>
      <c r="D17" s="50"/>
      <c r="E17" s="50"/>
      <c r="F17" s="50"/>
      <c r="G17" s="50"/>
      <c r="H17" s="12"/>
      <c r="I17" s="11"/>
      <c r="J17" s="11"/>
    </row>
    <row r="18" spans="1:26" ht="11.25" customHeight="1">
      <c r="A18" s="49" t="s">
        <v>23</v>
      </c>
      <c r="B18" s="50"/>
      <c r="C18" s="50"/>
      <c r="D18" s="50"/>
      <c r="E18" s="50"/>
      <c r="F18" s="50"/>
      <c r="G18" s="50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53" t="s">
        <v>33</v>
      </c>
      <c r="B19" s="50"/>
      <c r="C19" s="50"/>
      <c r="D19" s="50"/>
      <c r="E19" s="50"/>
      <c r="F19" s="50"/>
      <c r="G19" s="50"/>
      <c r="H19" s="50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9" t="s">
        <v>34</v>
      </c>
      <c r="B20" s="50"/>
      <c r="C20" s="50"/>
      <c r="D20" s="50"/>
      <c r="E20" s="50"/>
      <c r="F20" s="50"/>
      <c r="G20" s="50"/>
      <c r="H20" s="11"/>
      <c r="I20" s="11"/>
    </row>
    <row r="21" spans="1:26" ht="11.25" customHeight="1">
      <c r="A21" s="49" t="s">
        <v>35</v>
      </c>
      <c r="B21" s="50"/>
      <c r="C21" s="50"/>
      <c r="D21" s="50"/>
      <c r="E21" s="50"/>
      <c r="F21" s="50"/>
      <c r="G21" s="50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I14</f>
        <v>133383.75</v>
      </c>
      <c r="C4" s="10">
        <f>B4</f>
        <v>133383.75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202202</v>
      </c>
      <c r="B11" s="13" t="s">
        <v>31</v>
      </c>
      <c r="C11" s="10">
        <v>0</v>
      </c>
      <c r="D11" s="10">
        <v>693978</v>
      </c>
      <c r="E11" s="10">
        <v>195247</v>
      </c>
      <c r="F11" s="17"/>
      <c r="G11" s="10">
        <f>(D11+E11)-C11</f>
        <v>889225</v>
      </c>
      <c r="H11" s="10">
        <f>C11+G11</f>
        <v>889225</v>
      </c>
      <c r="I11" s="10">
        <f t="shared" ref="I11:I13" si="0">H11*0.15</f>
        <v>133383.75</v>
      </c>
      <c r="J11" s="8"/>
    </row>
    <row r="12" spans="1:26" ht="16.5" customHeight="1">
      <c r="A12" s="4" t="s">
        <v>36</v>
      </c>
      <c r="B12" s="4" t="s">
        <v>38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693978</v>
      </c>
      <c r="E14" s="10">
        <f t="shared" si="2"/>
        <v>195247</v>
      </c>
      <c r="F14" s="10">
        <f t="shared" si="2"/>
        <v>0</v>
      </c>
      <c r="G14" s="10">
        <f t="shared" si="2"/>
        <v>889225</v>
      </c>
      <c r="H14" s="10">
        <f t="shared" si="2"/>
        <v>889225</v>
      </c>
      <c r="I14" s="14">
        <f t="shared" si="2"/>
        <v>133383.75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49" t="s">
        <v>21</v>
      </c>
      <c r="B16" s="50"/>
      <c r="C16" s="50"/>
      <c r="D16" s="50"/>
      <c r="E16" s="50"/>
      <c r="F16" s="50"/>
      <c r="G16" s="50"/>
      <c r="H16" s="12"/>
      <c r="I16" s="11"/>
      <c r="J16" s="11"/>
    </row>
    <row r="17" spans="1:26" ht="11.25" customHeight="1">
      <c r="A17" s="49" t="s">
        <v>22</v>
      </c>
      <c r="B17" s="50"/>
      <c r="C17" s="50"/>
      <c r="D17" s="50"/>
      <c r="E17" s="50"/>
      <c r="F17" s="50"/>
      <c r="G17" s="50"/>
      <c r="H17" s="12"/>
      <c r="I17" s="11"/>
      <c r="J17" s="11"/>
    </row>
    <row r="18" spans="1:26" ht="11.25" customHeight="1">
      <c r="A18" s="49" t="s">
        <v>23</v>
      </c>
      <c r="B18" s="50"/>
      <c r="C18" s="50"/>
      <c r="D18" s="50"/>
      <c r="E18" s="50"/>
      <c r="F18" s="50"/>
      <c r="G18" s="50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53" t="s">
        <v>33</v>
      </c>
      <c r="B19" s="50"/>
      <c r="C19" s="50"/>
      <c r="D19" s="50"/>
      <c r="E19" s="50"/>
      <c r="F19" s="50"/>
      <c r="G19" s="50"/>
      <c r="H19" s="50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9" t="s">
        <v>34</v>
      </c>
      <c r="B20" s="50"/>
      <c r="C20" s="50"/>
      <c r="D20" s="50"/>
      <c r="E20" s="50"/>
      <c r="F20" s="50"/>
      <c r="G20" s="50"/>
      <c r="H20" s="11"/>
      <c r="I20" s="11"/>
    </row>
    <row r="21" spans="1:26" ht="11.25" customHeight="1">
      <c r="A21" s="49" t="s">
        <v>35</v>
      </c>
      <c r="B21" s="50"/>
      <c r="C21" s="50"/>
      <c r="D21" s="50"/>
      <c r="E21" s="50"/>
      <c r="F21" s="50"/>
      <c r="G21" s="50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I14</f>
        <v>91120.2</v>
      </c>
      <c r="C4" s="10">
        <f>B4</f>
        <v>91120.2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202203</v>
      </c>
      <c r="B11" s="13" t="s">
        <v>31</v>
      </c>
      <c r="C11" s="10">
        <v>0</v>
      </c>
      <c r="D11" s="10">
        <v>437699</v>
      </c>
      <c r="E11" s="10">
        <v>169769</v>
      </c>
      <c r="F11" s="17"/>
      <c r="G11" s="10">
        <f>(D11+E11)-C11</f>
        <v>607468</v>
      </c>
      <c r="H11" s="10">
        <f>C11+G11</f>
        <v>607468</v>
      </c>
      <c r="I11" s="10">
        <f t="shared" ref="I11:I13" si="0">H11*0.15</f>
        <v>91120.2</v>
      </c>
      <c r="J11" s="8"/>
    </row>
    <row r="12" spans="1:26" ht="16.5" customHeight="1">
      <c r="A12" s="4" t="s">
        <v>36</v>
      </c>
      <c r="B12" s="4" t="s">
        <v>38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437699</v>
      </c>
      <c r="E14" s="10">
        <f t="shared" si="2"/>
        <v>169769</v>
      </c>
      <c r="F14" s="10">
        <f t="shared" si="2"/>
        <v>0</v>
      </c>
      <c r="G14" s="10">
        <f t="shared" si="2"/>
        <v>607468</v>
      </c>
      <c r="H14" s="10">
        <f t="shared" si="2"/>
        <v>607468</v>
      </c>
      <c r="I14" s="14">
        <f t="shared" si="2"/>
        <v>91120.2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49" t="s">
        <v>21</v>
      </c>
      <c r="B16" s="50"/>
      <c r="C16" s="50"/>
      <c r="D16" s="50"/>
      <c r="E16" s="50"/>
      <c r="F16" s="50"/>
      <c r="G16" s="50"/>
      <c r="H16" s="12"/>
      <c r="I16" s="11"/>
      <c r="J16" s="11"/>
    </row>
    <row r="17" spans="1:26" ht="11.25" customHeight="1">
      <c r="A17" s="49" t="s">
        <v>22</v>
      </c>
      <c r="B17" s="50"/>
      <c r="C17" s="50"/>
      <c r="D17" s="50"/>
      <c r="E17" s="50"/>
      <c r="F17" s="50"/>
      <c r="G17" s="50"/>
      <c r="H17" s="12"/>
      <c r="I17" s="11"/>
      <c r="J17" s="11"/>
    </row>
    <row r="18" spans="1:26" ht="11.25" customHeight="1">
      <c r="A18" s="49" t="s">
        <v>23</v>
      </c>
      <c r="B18" s="50"/>
      <c r="C18" s="50"/>
      <c r="D18" s="50"/>
      <c r="E18" s="50"/>
      <c r="F18" s="50"/>
      <c r="G18" s="50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53" t="s">
        <v>33</v>
      </c>
      <c r="B19" s="50"/>
      <c r="C19" s="50"/>
      <c r="D19" s="50"/>
      <c r="E19" s="50"/>
      <c r="F19" s="50"/>
      <c r="G19" s="50"/>
      <c r="H19" s="50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9" t="s">
        <v>34</v>
      </c>
      <c r="B20" s="50"/>
      <c r="C20" s="50"/>
      <c r="D20" s="50"/>
      <c r="E20" s="50"/>
      <c r="F20" s="50"/>
      <c r="G20" s="50"/>
      <c r="H20" s="11"/>
      <c r="I20" s="11"/>
    </row>
    <row r="21" spans="1:26" ht="11.25" customHeight="1">
      <c r="A21" s="49" t="s">
        <v>35</v>
      </c>
      <c r="B21" s="50"/>
      <c r="C21" s="50"/>
      <c r="D21" s="50"/>
      <c r="E21" s="50"/>
      <c r="F21" s="50"/>
      <c r="G21" s="50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4" sqref="B4"/>
    </sheetView>
  </sheetViews>
  <sheetFormatPr defaultColWidth="14.44140625" defaultRowHeight="15" customHeight="1"/>
  <cols>
    <col min="1" max="1" width="8.4414062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202204</v>
      </c>
      <c r="B4" s="9">
        <f>I14</f>
        <v>77836.2</v>
      </c>
      <c r="C4" s="10">
        <f>B4</f>
        <v>77836.2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202204</v>
      </c>
      <c r="B11" s="13" t="s">
        <v>31</v>
      </c>
      <c r="C11" s="10">
        <v>0</v>
      </c>
      <c r="D11" s="10">
        <v>352716</v>
      </c>
      <c r="E11" s="10">
        <v>166192</v>
      </c>
      <c r="F11" s="17"/>
      <c r="G11" s="10">
        <f>(D11+E11)-C11</f>
        <v>518908</v>
      </c>
      <c r="H11" s="10">
        <f>C11+G11</f>
        <v>518908</v>
      </c>
      <c r="I11" s="10">
        <f t="shared" ref="I11:I13" si="0">H11*0.15</f>
        <v>77836.2</v>
      </c>
      <c r="J11" s="8"/>
    </row>
    <row r="12" spans="1:26" ht="16.5" customHeight="1">
      <c r="A12" s="4" t="s">
        <v>40</v>
      </c>
      <c r="B12" s="4" t="s">
        <v>38</v>
      </c>
      <c r="C12" s="17"/>
      <c r="D12" s="17"/>
      <c r="E12" s="17"/>
      <c r="F12" s="10"/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352716</v>
      </c>
      <c r="E14" s="10">
        <f t="shared" si="2"/>
        <v>166192</v>
      </c>
      <c r="F14" s="10">
        <f t="shared" si="2"/>
        <v>0</v>
      </c>
      <c r="G14" s="10">
        <f t="shared" si="2"/>
        <v>518908</v>
      </c>
      <c r="H14" s="10">
        <f t="shared" si="2"/>
        <v>518908</v>
      </c>
      <c r="I14" s="14">
        <f t="shared" si="2"/>
        <v>77836.2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49" t="s">
        <v>21</v>
      </c>
      <c r="B16" s="50"/>
      <c r="C16" s="50"/>
      <c r="D16" s="50"/>
      <c r="E16" s="50"/>
      <c r="F16" s="50"/>
      <c r="G16" s="50"/>
      <c r="H16" s="12"/>
      <c r="I16" s="11"/>
      <c r="J16" s="11"/>
    </row>
    <row r="17" spans="1:26" ht="11.25" customHeight="1">
      <c r="A17" s="49" t="s">
        <v>22</v>
      </c>
      <c r="B17" s="50"/>
      <c r="C17" s="50"/>
      <c r="D17" s="50"/>
      <c r="E17" s="50"/>
      <c r="F17" s="50"/>
      <c r="G17" s="50"/>
      <c r="H17" s="12"/>
      <c r="I17" s="11"/>
      <c r="J17" s="11"/>
    </row>
    <row r="18" spans="1:26" ht="11.25" customHeight="1">
      <c r="A18" s="49" t="s">
        <v>23</v>
      </c>
      <c r="B18" s="50"/>
      <c r="C18" s="50"/>
      <c r="D18" s="50"/>
      <c r="E18" s="50"/>
      <c r="F18" s="50"/>
      <c r="G18" s="50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53" t="s">
        <v>33</v>
      </c>
      <c r="B19" s="50"/>
      <c r="C19" s="50"/>
      <c r="D19" s="50"/>
      <c r="E19" s="50"/>
      <c r="F19" s="50"/>
      <c r="G19" s="50"/>
      <c r="H19" s="50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9" t="s">
        <v>34</v>
      </c>
      <c r="B20" s="50"/>
      <c r="C20" s="50"/>
      <c r="D20" s="50"/>
      <c r="E20" s="50"/>
      <c r="F20" s="50"/>
      <c r="G20" s="50"/>
      <c r="H20" s="11"/>
      <c r="I20" s="11"/>
    </row>
    <row r="21" spans="1:26" ht="11.25" customHeight="1">
      <c r="A21" s="49" t="s">
        <v>35</v>
      </c>
      <c r="B21" s="50"/>
      <c r="C21" s="50"/>
      <c r="D21" s="50"/>
      <c r="E21" s="50"/>
      <c r="F21" s="50"/>
      <c r="G21" s="50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5"/>
      <c r="J24" s="2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H38" sqref="H38"/>
    </sheetView>
  </sheetViews>
  <sheetFormatPr defaultColWidth="14.44140625" defaultRowHeight="15" customHeight="1"/>
  <cols>
    <col min="1" max="1" width="8.4414062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202204</v>
      </c>
      <c r="B4" s="9">
        <f>I14</f>
        <v>337631.1</v>
      </c>
      <c r="C4" s="21">
        <f>B4</f>
        <v>337631.1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202204</v>
      </c>
      <c r="B11" s="22" t="s">
        <v>31</v>
      </c>
      <c r="C11" s="21">
        <v>0</v>
      </c>
      <c r="D11" s="21"/>
      <c r="E11" s="21"/>
      <c r="F11" s="17"/>
      <c r="G11" s="21"/>
      <c r="H11" s="21">
        <f>C11+G11</f>
        <v>0</v>
      </c>
      <c r="I11" s="21">
        <f t="shared" ref="I11:I13" si="0">H11*0.15</f>
        <v>0</v>
      </c>
      <c r="J11" s="8"/>
    </row>
    <row r="12" spans="1:26" ht="16.5" customHeight="1">
      <c r="A12" s="20" t="s">
        <v>40</v>
      </c>
      <c r="B12" s="20" t="s">
        <v>38</v>
      </c>
      <c r="C12" s="17"/>
      <c r="D12" s="17"/>
      <c r="E12" s="17"/>
      <c r="F12" s="21">
        <v>2250874</v>
      </c>
      <c r="G12" s="17"/>
      <c r="H12" s="21">
        <f>F12</f>
        <v>2250874</v>
      </c>
      <c r="I12" s="21">
        <f t="shared" si="0"/>
        <v>337631.1</v>
      </c>
      <c r="J12" s="8"/>
    </row>
    <row r="13" spans="1:26" ht="16.5" customHeight="1">
      <c r="A13" s="20" t="s">
        <v>36</v>
      </c>
      <c r="B13" s="20" t="s">
        <v>39</v>
      </c>
      <c r="C13" s="21"/>
      <c r="D13" s="17"/>
      <c r="E13" s="17"/>
      <c r="F13" s="17">
        <v>0</v>
      </c>
      <c r="G13" s="17"/>
      <c r="H13" s="21">
        <f t="shared" ref="H13" si="1">C13</f>
        <v>0</v>
      </c>
      <c r="I13" s="21">
        <f t="shared" si="0"/>
        <v>0</v>
      </c>
      <c r="J13" s="8"/>
    </row>
    <row r="14" spans="1:26" ht="16.5" customHeight="1">
      <c r="A14" s="20" t="s">
        <v>20</v>
      </c>
      <c r="B14" s="22"/>
      <c r="C14" s="21">
        <f t="shared" ref="C14:I14" si="2">SUM(C11:C13)</f>
        <v>0</v>
      </c>
      <c r="D14" s="21">
        <f t="shared" si="2"/>
        <v>0</v>
      </c>
      <c r="E14" s="21">
        <f t="shared" si="2"/>
        <v>0</v>
      </c>
      <c r="F14" s="21">
        <f t="shared" si="2"/>
        <v>2250874</v>
      </c>
      <c r="G14" s="21">
        <f t="shared" si="2"/>
        <v>0</v>
      </c>
      <c r="H14" s="21">
        <f t="shared" si="2"/>
        <v>2250874</v>
      </c>
      <c r="I14" s="14">
        <f t="shared" si="2"/>
        <v>337631.1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49" t="s">
        <v>21</v>
      </c>
      <c r="B16" s="50"/>
      <c r="C16" s="50"/>
      <c r="D16" s="50"/>
      <c r="E16" s="50"/>
      <c r="F16" s="50"/>
      <c r="G16" s="50"/>
      <c r="H16" s="12"/>
      <c r="I16" s="11"/>
      <c r="J16" s="11"/>
    </row>
    <row r="17" spans="1:26" ht="11.25" customHeight="1">
      <c r="A17" s="49" t="s">
        <v>22</v>
      </c>
      <c r="B17" s="50"/>
      <c r="C17" s="50"/>
      <c r="D17" s="50"/>
      <c r="E17" s="50"/>
      <c r="F17" s="50"/>
      <c r="G17" s="50"/>
      <c r="H17" s="12"/>
      <c r="I17" s="11"/>
      <c r="J17" s="11"/>
    </row>
    <row r="18" spans="1:26" ht="11.25" customHeight="1">
      <c r="A18" s="49" t="s">
        <v>23</v>
      </c>
      <c r="B18" s="50"/>
      <c r="C18" s="50"/>
      <c r="D18" s="50"/>
      <c r="E18" s="50"/>
      <c r="F18" s="50"/>
      <c r="G18" s="50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53" t="s">
        <v>33</v>
      </c>
      <c r="B19" s="50"/>
      <c r="C19" s="50"/>
      <c r="D19" s="50"/>
      <c r="E19" s="50"/>
      <c r="F19" s="50"/>
      <c r="G19" s="50"/>
      <c r="H19" s="50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9" t="s">
        <v>34</v>
      </c>
      <c r="B20" s="50"/>
      <c r="C20" s="50"/>
      <c r="D20" s="50"/>
      <c r="E20" s="50"/>
      <c r="F20" s="50"/>
      <c r="G20" s="50"/>
      <c r="H20" s="11"/>
      <c r="I20" s="11"/>
    </row>
    <row r="21" spans="1:26" ht="11.25" customHeight="1">
      <c r="A21" s="49" t="s">
        <v>35</v>
      </c>
      <c r="B21" s="50"/>
      <c r="C21" s="50"/>
      <c r="D21" s="50"/>
      <c r="E21" s="50"/>
      <c r="F21" s="50"/>
      <c r="G21" s="50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5"/>
      <c r="J24" s="2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H19"/>
    <mergeCell ref="A20:G20"/>
    <mergeCell ref="A21:G21"/>
    <mergeCell ref="A2:C2"/>
    <mergeCell ref="A6:G6"/>
    <mergeCell ref="A9:G9"/>
    <mergeCell ref="A16:G16"/>
    <mergeCell ref="A17:G17"/>
    <mergeCell ref="A18:G18"/>
  </mergeCells>
  <phoneticPr fontId="14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G28" sqref="G28"/>
    </sheetView>
  </sheetViews>
  <sheetFormatPr defaultColWidth="14.44140625" defaultRowHeight="15" customHeight="1"/>
  <cols>
    <col min="1" max="1" width="8.4414062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202205</v>
      </c>
      <c r="B4" s="9">
        <f>I15</f>
        <v>2207709.6</v>
      </c>
      <c r="C4" s="10">
        <f>B4</f>
        <v>2207709.6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202205</v>
      </c>
      <c r="B11" s="13" t="s">
        <v>31</v>
      </c>
      <c r="C11" s="10">
        <v>0</v>
      </c>
      <c r="D11" s="21">
        <v>560520</v>
      </c>
      <c r="E11" s="21">
        <v>157544</v>
      </c>
      <c r="F11" s="17"/>
      <c r="G11" s="10">
        <f>(D11+E11)-C11</f>
        <v>718064</v>
      </c>
      <c r="H11" s="10">
        <f t="shared" ref="H11:H14" si="0">C11+G11</f>
        <v>718064</v>
      </c>
      <c r="I11" s="10">
        <f t="shared" ref="I11:I14" si="1">H11*0.15</f>
        <v>107709.59999999999</v>
      </c>
      <c r="J11" s="8"/>
    </row>
    <row r="12" spans="1:26" ht="16.5" customHeight="1">
      <c r="A12" s="4" t="s">
        <v>40</v>
      </c>
      <c r="B12" s="4" t="s">
        <v>38</v>
      </c>
      <c r="C12" s="17"/>
      <c r="D12" s="17"/>
      <c r="E12" s="17"/>
      <c r="F12" s="21">
        <v>0</v>
      </c>
      <c r="G12" s="17"/>
      <c r="H12" s="10">
        <f t="shared" si="0"/>
        <v>0</v>
      </c>
      <c r="I12" s="10">
        <f t="shared" si="1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0"/>
        <v>0</v>
      </c>
      <c r="I13" s="10">
        <f t="shared" si="1"/>
        <v>0</v>
      </c>
      <c r="J13" s="8"/>
    </row>
    <row r="14" spans="1:26" ht="16.5" customHeight="1">
      <c r="A14" s="20">
        <v>202205</v>
      </c>
      <c r="B14" s="22" t="s">
        <v>41</v>
      </c>
      <c r="C14" s="21">
        <v>14000000</v>
      </c>
      <c r="D14" s="17"/>
      <c r="E14" s="17"/>
      <c r="F14" s="21">
        <v>0</v>
      </c>
      <c r="G14" s="21">
        <v>0</v>
      </c>
      <c r="H14" s="10">
        <f t="shared" si="0"/>
        <v>14000000</v>
      </c>
      <c r="I14" s="10">
        <f t="shared" si="1"/>
        <v>2100000</v>
      </c>
      <c r="J14" s="8"/>
    </row>
    <row r="15" spans="1:26" ht="16.5" customHeight="1">
      <c r="A15" s="4" t="s">
        <v>20</v>
      </c>
      <c r="B15" s="13"/>
      <c r="C15" s="10">
        <f t="shared" ref="C15:I15" si="2">SUM(C11:C14)</f>
        <v>14000000</v>
      </c>
      <c r="D15" s="10">
        <f t="shared" si="2"/>
        <v>560520</v>
      </c>
      <c r="E15" s="10">
        <f t="shared" si="2"/>
        <v>157544</v>
      </c>
      <c r="F15" s="10">
        <f t="shared" si="2"/>
        <v>0</v>
      </c>
      <c r="G15" s="10">
        <f t="shared" si="2"/>
        <v>718064</v>
      </c>
      <c r="H15" s="10">
        <f t="shared" si="2"/>
        <v>14718064</v>
      </c>
      <c r="I15" s="14">
        <f t="shared" si="2"/>
        <v>2207709.6</v>
      </c>
      <c r="J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26" ht="11.25" customHeight="1">
      <c r="A17" s="49" t="s">
        <v>21</v>
      </c>
      <c r="B17" s="50"/>
      <c r="C17" s="50"/>
      <c r="D17" s="50"/>
      <c r="E17" s="50"/>
      <c r="F17" s="50"/>
      <c r="G17" s="50"/>
      <c r="H17" s="12"/>
      <c r="I17" s="11"/>
      <c r="J17" s="11"/>
    </row>
    <row r="18" spans="1:26" ht="11.25" customHeight="1">
      <c r="A18" s="49" t="s">
        <v>22</v>
      </c>
      <c r="B18" s="50"/>
      <c r="C18" s="50"/>
      <c r="D18" s="50"/>
      <c r="E18" s="50"/>
      <c r="F18" s="50"/>
      <c r="G18" s="50"/>
      <c r="H18" s="12"/>
      <c r="I18" s="11"/>
      <c r="J18" s="11"/>
    </row>
    <row r="19" spans="1:26" ht="11.25" customHeight="1">
      <c r="A19" s="49" t="s">
        <v>23</v>
      </c>
      <c r="B19" s="50"/>
      <c r="C19" s="50"/>
      <c r="D19" s="50"/>
      <c r="E19" s="50"/>
      <c r="F19" s="50"/>
      <c r="G19" s="50"/>
      <c r="H19" s="12"/>
      <c r="I19" s="11"/>
      <c r="J19" s="1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53" t="s">
        <v>33</v>
      </c>
      <c r="B20" s="50"/>
      <c r="C20" s="50"/>
      <c r="D20" s="50"/>
      <c r="E20" s="50"/>
      <c r="F20" s="50"/>
      <c r="G20" s="50"/>
      <c r="H20" s="50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9" t="s">
        <v>34</v>
      </c>
      <c r="B21" s="50"/>
      <c r="C21" s="50"/>
      <c r="D21" s="50"/>
      <c r="E21" s="50"/>
      <c r="F21" s="50"/>
      <c r="G21" s="50"/>
      <c r="H21" s="11"/>
      <c r="I21" s="11"/>
    </row>
    <row r="22" spans="1:26" ht="11.25" customHeight="1">
      <c r="A22" s="49" t="s">
        <v>35</v>
      </c>
      <c r="B22" s="50"/>
      <c r="C22" s="50"/>
      <c r="D22" s="50"/>
      <c r="E22" s="50"/>
      <c r="F22" s="50"/>
      <c r="G22" s="50"/>
      <c r="H22" s="5"/>
      <c r="I22" s="5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26"/>
      <c r="J23" s="26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5"/>
      <c r="J25" s="2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6"/>
      <c r="J26" s="26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</sheetData>
  <mergeCells count="9">
    <mergeCell ref="A19:G19"/>
    <mergeCell ref="A20:H20"/>
    <mergeCell ref="A21:G21"/>
    <mergeCell ref="A22:G22"/>
    <mergeCell ref="A2:C2"/>
    <mergeCell ref="A6:G6"/>
    <mergeCell ref="A9:G9"/>
    <mergeCell ref="A17:G17"/>
    <mergeCell ref="A18:G18"/>
  </mergeCells>
  <phoneticPr fontId="14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A4" sqref="A4"/>
    </sheetView>
  </sheetViews>
  <sheetFormatPr defaultColWidth="14.44140625" defaultRowHeight="15" customHeight="1"/>
  <cols>
    <col min="1" max="1" width="8.44140625" style="24" customWidth="1"/>
    <col min="2" max="10" width="19.5546875" style="24" customWidth="1"/>
    <col min="11" max="26" width="8.6640625" style="24" customWidth="1"/>
    <col min="27" max="16384" width="14.44140625" style="24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202206</v>
      </c>
      <c r="B4" s="9">
        <f>I15</f>
        <v>972956.85</v>
      </c>
      <c r="C4" s="21">
        <f>B4</f>
        <v>972956.85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2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202206</v>
      </c>
      <c r="B11" s="22" t="s">
        <v>31</v>
      </c>
      <c r="C11" s="21">
        <v>1600000</v>
      </c>
      <c r="D11" s="21">
        <v>5173869</v>
      </c>
      <c r="E11" s="21">
        <v>1312510</v>
      </c>
      <c r="F11" s="17"/>
      <c r="G11" s="21">
        <f>(D11+E11)-C11</f>
        <v>4886379</v>
      </c>
      <c r="H11" s="21">
        <f t="shared" ref="H11:H14" si="0">C11+G11</f>
        <v>6486379</v>
      </c>
      <c r="I11" s="21">
        <f t="shared" ref="I11:I14" si="1">H11*0.15</f>
        <v>972956.85</v>
      </c>
      <c r="J11" s="8"/>
    </row>
    <row r="12" spans="1:26" ht="16.5" customHeight="1">
      <c r="A12" s="20" t="s">
        <v>40</v>
      </c>
      <c r="B12" s="20" t="s">
        <v>38</v>
      </c>
      <c r="C12" s="17"/>
      <c r="D12" s="17"/>
      <c r="E12" s="17"/>
      <c r="F12" s="21">
        <v>0</v>
      </c>
      <c r="G12" s="17"/>
      <c r="H12" s="21">
        <f t="shared" si="0"/>
        <v>0</v>
      </c>
      <c r="I12" s="21">
        <f t="shared" si="1"/>
        <v>0</v>
      </c>
      <c r="J12" s="8"/>
    </row>
    <row r="13" spans="1:26" ht="16.5" customHeight="1">
      <c r="A13" s="20" t="s">
        <v>36</v>
      </c>
      <c r="B13" s="20" t="s">
        <v>39</v>
      </c>
      <c r="C13" s="21"/>
      <c r="D13" s="17"/>
      <c r="E13" s="17"/>
      <c r="F13" s="17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22" t="s">
        <v>42</v>
      </c>
      <c r="C14" s="21"/>
      <c r="D14" s="17"/>
      <c r="E14" s="17"/>
      <c r="F14" s="21">
        <v>0</v>
      </c>
      <c r="G14" s="21">
        <v>0</v>
      </c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 t="s">
        <v>20</v>
      </c>
      <c r="B15" s="22"/>
      <c r="C15" s="21">
        <f t="shared" ref="C15:I15" si="2">SUM(C11:C14)</f>
        <v>1600000</v>
      </c>
      <c r="D15" s="21">
        <f t="shared" si="2"/>
        <v>5173869</v>
      </c>
      <c r="E15" s="21">
        <f t="shared" si="2"/>
        <v>1312510</v>
      </c>
      <c r="F15" s="21">
        <f t="shared" si="2"/>
        <v>0</v>
      </c>
      <c r="G15" s="21">
        <f t="shared" si="2"/>
        <v>4886379</v>
      </c>
      <c r="H15" s="21">
        <f t="shared" si="2"/>
        <v>6486379</v>
      </c>
      <c r="I15" s="14">
        <f t="shared" si="2"/>
        <v>972956.85</v>
      </c>
      <c r="J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26" ht="11.25" customHeight="1">
      <c r="A17" s="49" t="s">
        <v>21</v>
      </c>
      <c r="B17" s="50"/>
      <c r="C17" s="50"/>
      <c r="D17" s="50"/>
      <c r="E17" s="50"/>
      <c r="F17" s="50"/>
      <c r="G17" s="50"/>
      <c r="H17" s="23"/>
      <c r="I17" s="11"/>
      <c r="J17" s="11"/>
    </row>
    <row r="18" spans="1:26" ht="11.25" customHeight="1">
      <c r="A18" s="49" t="s">
        <v>22</v>
      </c>
      <c r="B18" s="50"/>
      <c r="C18" s="50"/>
      <c r="D18" s="50"/>
      <c r="E18" s="50"/>
      <c r="F18" s="50"/>
      <c r="G18" s="50"/>
      <c r="H18" s="23"/>
      <c r="I18" s="11"/>
      <c r="J18" s="11"/>
    </row>
    <row r="19" spans="1:26" ht="11.25" customHeight="1">
      <c r="A19" s="49" t="s">
        <v>23</v>
      </c>
      <c r="B19" s="50"/>
      <c r="C19" s="50"/>
      <c r="D19" s="50"/>
      <c r="E19" s="50"/>
      <c r="F19" s="50"/>
      <c r="G19" s="50"/>
      <c r="H19" s="23"/>
      <c r="I19" s="11"/>
      <c r="J19" s="1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53" t="s">
        <v>33</v>
      </c>
      <c r="B20" s="50"/>
      <c r="C20" s="50"/>
      <c r="D20" s="50"/>
      <c r="E20" s="50"/>
      <c r="F20" s="50"/>
      <c r="G20" s="50"/>
      <c r="H20" s="50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9" t="s">
        <v>34</v>
      </c>
      <c r="B21" s="50"/>
      <c r="C21" s="50"/>
      <c r="D21" s="50"/>
      <c r="E21" s="50"/>
      <c r="F21" s="50"/>
      <c r="G21" s="50"/>
      <c r="H21" s="11"/>
      <c r="I21" s="11"/>
    </row>
    <row r="22" spans="1:26" ht="11.25" customHeight="1">
      <c r="A22" s="49" t="s">
        <v>35</v>
      </c>
      <c r="B22" s="50"/>
      <c r="C22" s="50"/>
      <c r="D22" s="50"/>
      <c r="E22" s="50"/>
      <c r="F22" s="50"/>
      <c r="G22" s="50"/>
      <c r="H22" s="5"/>
      <c r="I22" s="5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26"/>
      <c r="J23" s="26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5"/>
      <c r="J25" s="2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6"/>
      <c r="J26" s="26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</sheetData>
  <mergeCells count="9">
    <mergeCell ref="A20:H20"/>
    <mergeCell ref="A21:G21"/>
    <mergeCell ref="A22:G22"/>
    <mergeCell ref="A2:C2"/>
    <mergeCell ref="A6:G6"/>
    <mergeCell ref="A9:G9"/>
    <mergeCell ref="A17:G17"/>
    <mergeCell ref="A18:G18"/>
    <mergeCell ref="A19:G19"/>
  </mergeCells>
  <phoneticPr fontId="14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A2" sqref="A2:C2"/>
    </sheetView>
  </sheetViews>
  <sheetFormatPr defaultColWidth="14.44140625" defaultRowHeight="15" customHeight="1"/>
  <cols>
    <col min="1" max="1" width="8.44140625" style="28" customWidth="1"/>
    <col min="2" max="10" width="19.5546875" style="28" customWidth="1"/>
    <col min="11" max="26" width="8.6640625" style="28" customWidth="1"/>
    <col min="27" max="16384" width="14.44140625" style="28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202207</v>
      </c>
      <c r="B4" s="9">
        <f>I17</f>
        <v>2110106.8499999996</v>
      </c>
      <c r="C4" s="21">
        <f>B4</f>
        <v>2110106.8499999996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2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202207</v>
      </c>
      <c r="B11" s="22" t="s">
        <v>31</v>
      </c>
      <c r="C11" s="21">
        <v>3200000</v>
      </c>
      <c r="D11" s="21">
        <v>7332815</v>
      </c>
      <c r="E11" s="21">
        <v>860491</v>
      </c>
      <c r="F11" s="17"/>
      <c r="G11" s="21">
        <f>(D11+E11)-C11</f>
        <v>4993306</v>
      </c>
      <c r="H11" s="21">
        <f t="shared" ref="H11:H15" si="0">C11+G11</f>
        <v>8193306</v>
      </c>
      <c r="I11" s="21">
        <f t="shared" ref="I11:I16" si="1">H11*0.15</f>
        <v>1228995.8999999999</v>
      </c>
      <c r="J11" s="8"/>
    </row>
    <row r="12" spans="1:26" ht="16.5" customHeight="1">
      <c r="A12" s="20" t="s">
        <v>43</v>
      </c>
      <c r="B12" s="20" t="s">
        <v>38</v>
      </c>
      <c r="C12" s="17"/>
      <c r="D12" s="17"/>
      <c r="E12" s="17"/>
      <c r="F12" s="21">
        <v>595883</v>
      </c>
      <c r="G12" s="17"/>
      <c r="H12" s="21">
        <f>F12</f>
        <v>595883</v>
      </c>
      <c r="I12" s="21">
        <f t="shared" si="1"/>
        <v>89382.45</v>
      </c>
      <c r="J12" s="8"/>
    </row>
    <row r="13" spans="1:26" ht="16.5" customHeight="1">
      <c r="A13" s="20" t="s">
        <v>36</v>
      </c>
      <c r="B13" s="20" t="s">
        <v>39</v>
      </c>
      <c r="C13" s="31"/>
      <c r="D13" s="17"/>
      <c r="E13" s="17"/>
      <c r="F13" s="32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22" t="s">
        <v>42</v>
      </c>
      <c r="C14" s="31"/>
      <c r="D14" s="17"/>
      <c r="E14" s="17"/>
      <c r="F14" s="32">
        <v>0</v>
      </c>
      <c r="G14" s="31"/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>
        <v>202206</v>
      </c>
      <c r="B15" s="22" t="s">
        <v>44</v>
      </c>
      <c r="C15" s="21">
        <v>1404878</v>
      </c>
      <c r="D15" s="17"/>
      <c r="E15" s="17"/>
      <c r="F15" s="31"/>
      <c r="G15" s="31"/>
      <c r="H15" s="21">
        <f t="shared" si="0"/>
        <v>1404878</v>
      </c>
      <c r="I15" s="21">
        <f t="shared" si="1"/>
        <v>210731.69999999998</v>
      </c>
      <c r="J15" s="8"/>
    </row>
    <row r="16" spans="1:26" ht="16.5" customHeight="1">
      <c r="A16" s="20">
        <v>202206</v>
      </c>
      <c r="B16" s="22" t="s">
        <v>45</v>
      </c>
      <c r="C16" s="31"/>
      <c r="D16" s="17"/>
      <c r="E16" s="17"/>
      <c r="F16" s="21">
        <v>3873312</v>
      </c>
      <c r="G16" s="31"/>
      <c r="H16" s="21">
        <f>F16</f>
        <v>3873312</v>
      </c>
      <c r="I16" s="21">
        <f t="shared" si="1"/>
        <v>580996.79999999993</v>
      </c>
      <c r="J16" s="8"/>
    </row>
    <row r="17" spans="1:26" ht="16.5" customHeight="1">
      <c r="A17" s="20" t="s">
        <v>20</v>
      </c>
      <c r="B17" s="22"/>
      <c r="C17" s="21">
        <f>SUM(C11:C16)</f>
        <v>4604878</v>
      </c>
      <c r="D17" s="21">
        <f t="shared" ref="D17:I17" si="2">SUM(D11:D16)</f>
        <v>7332815</v>
      </c>
      <c r="E17" s="21">
        <f t="shared" si="2"/>
        <v>860491</v>
      </c>
      <c r="F17" s="21">
        <f t="shared" si="2"/>
        <v>4469195</v>
      </c>
      <c r="G17" s="21">
        <f t="shared" si="2"/>
        <v>4993306</v>
      </c>
      <c r="H17" s="21">
        <f t="shared" si="2"/>
        <v>14067379</v>
      </c>
      <c r="I17" s="14">
        <f t="shared" si="2"/>
        <v>2110106.8499999996</v>
      </c>
      <c r="J17" s="8"/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26" ht="11.25" customHeight="1">
      <c r="A19" s="49" t="s">
        <v>21</v>
      </c>
      <c r="B19" s="50"/>
      <c r="C19" s="50"/>
      <c r="D19" s="50"/>
      <c r="E19" s="50"/>
      <c r="F19" s="50"/>
      <c r="G19" s="50"/>
      <c r="H19" s="27"/>
      <c r="I19" s="11"/>
      <c r="J19" s="11"/>
    </row>
    <row r="20" spans="1:26" ht="11.25" customHeight="1">
      <c r="A20" s="49" t="s">
        <v>22</v>
      </c>
      <c r="B20" s="50"/>
      <c r="C20" s="50"/>
      <c r="D20" s="50"/>
      <c r="E20" s="50"/>
      <c r="F20" s="50"/>
      <c r="G20" s="50"/>
      <c r="H20" s="27"/>
      <c r="I20" s="11"/>
      <c r="J20" s="11"/>
    </row>
    <row r="21" spans="1:26" ht="11.25" customHeight="1">
      <c r="A21" s="49" t="s">
        <v>23</v>
      </c>
      <c r="B21" s="50"/>
      <c r="C21" s="50"/>
      <c r="D21" s="50"/>
      <c r="E21" s="50"/>
      <c r="F21" s="50"/>
      <c r="G21" s="50"/>
      <c r="H21" s="27"/>
      <c r="I21" s="11"/>
      <c r="J21" s="11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53" t="s">
        <v>33</v>
      </c>
      <c r="B22" s="50"/>
      <c r="C22" s="50"/>
      <c r="D22" s="50"/>
      <c r="E22" s="50"/>
      <c r="F22" s="50"/>
      <c r="G22" s="50"/>
      <c r="H22" s="50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9" t="s">
        <v>34</v>
      </c>
      <c r="B23" s="50"/>
      <c r="C23" s="50"/>
      <c r="D23" s="50"/>
      <c r="E23" s="50"/>
      <c r="F23" s="50"/>
      <c r="G23" s="50"/>
      <c r="H23" s="11"/>
      <c r="I23" s="11"/>
    </row>
    <row r="24" spans="1:26" ht="11.25" customHeight="1">
      <c r="A24" s="49" t="s">
        <v>35</v>
      </c>
      <c r="B24" s="50"/>
      <c r="C24" s="50"/>
      <c r="D24" s="50"/>
      <c r="E24" s="50"/>
      <c r="F24" s="50"/>
      <c r="G24" s="50"/>
      <c r="H24" s="5"/>
      <c r="I24" s="5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6"/>
      <c r="J25" s="26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6"/>
      <c r="J26" s="26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5"/>
      <c r="J27" s="2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26"/>
      <c r="J28" s="26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26"/>
      <c r="J29" s="26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6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 ht="16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</row>
  </sheetData>
  <mergeCells count="9">
    <mergeCell ref="A22:H22"/>
    <mergeCell ref="A23:G23"/>
    <mergeCell ref="A24:G24"/>
    <mergeCell ref="A2:C2"/>
    <mergeCell ref="A6:G6"/>
    <mergeCell ref="A9:G9"/>
    <mergeCell ref="A19:G19"/>
    <mergeCell ref="A20:G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H29" sqref="H29"/>
    </sheetView>
  </sheetViews>
  <sheetFormatPr defaultColWidth="14.44140625" defaultRowHeight="15" customHeight="1"/>
  <cols>
    <col min="1" max="1" width="8.44140625" style="30" customWidth="1"/>
    <col min="2" max="10" width="19.5546875" style="30" customWidth="1"/>
    <col min="11" max="26" width="8.6640625" style="30" customWidth="1"/>
    <col min="27" max="16384" width="14.44140625" style="30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202208</v>
      </c>
      <c r="B4" s="9">
        <f>I16</f>
        <v>919020.3</v>
      </c>
      <c r="C4" s="21">
        <f>B4</f>
        <v>919020.3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2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202208</v>
      </c>
      <c r="B11" s="35" t="s">
        <v>31</v>
      </c>
      <c r="C11" s="21">
        <v>3200000</v>
      </c>
      <c r="D11" s="21">
        <v>3453120</v>
      </c>
      <c r="E11" s="21">
        <v>1540600</v>
      </c>
      <c r="F11" s="17"/>
      <c r="G11" s="21">
        <f>(D11+E11)-C11</f>
        <v>1793720</v>
      </c>
      <c r="H11" s="21">
        <f t="shared" ref="H11:H14" si="0">C11+G11</f>
        <v>4993720</v>
      </c>
      <c r="I11" s="21">
        <f t="shared" ref="I11:I15" si="1">H11*0.15</f>
        <v>749058</v>
      </c>
      <c r="J11" s="8"/>
    </row>
    <row r="12" spans="1:26" ht="16.5" customHeight="1">
      <c r="A12" s="20" t="s">
        <v>43</v>
      </c>
      <c r="B12" s="35" t="s">
        <v>38</v>
      </c>
      <c r="C12" s="17"/>
      <c r="D12" s="17"/>
      <c r="E12" s="17"/>
      <c r="F12" s="21">
        <v>0</v>
      </c>
      <c r="G12" s="17"/>
      <c r="H12" s="21">
        <f>F12</f>
        <v>0</v>
      </c>
      <c r="I12" s="21">
        <f t="shared" si="1"/>
        <v>0</v>
      </c>
      <c r="J12" s="8"/>
    </row>
    <row r="13" spans="1:26" ht="16.5" customHeight="1">
      <c r="A13" s="20" t="s">
        <v>36</v>
      </c>
      <c r="B13" s="35" t="s">
        <v>39</v>
      </c>
      <c r="C13" s="31"/>
      <c r="D13" s="17"/>
      <c r="E13" s="17"/>
      <c r="F13" s="32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35" t="s">
        <v>42</v>
      </c>
      <c r="C14" s="31"/>
      <c r="D14" s="17"/>
      <c r="E14" s="17"/>
      <c r="F14" s="32">
        <v>0</v>
      </c>
      <c r="G14" s="31"/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>
        <v>202207</v>
      </c>
      <c r="B15" s="35" t="s">
        <v>45</v>
      </c>
      <c r="C15" s="31"/>
      <c r="D15" s="17"/>
      <c r="E15" s="17"/>
      <c r="F15" s="21">
        <v>1133082</v>
      </c>
      <c r="G15" s="31"/>
      <c r="H15" s="21">
        <f>F15</f>
        <v>1133082</v>
      </c>
      <c r="I15" s="21">
        <f t="shared" si="1"/>
        <v>169962.3</v>
      </c>
      <c r="J15" s="8"/>
    </row>
    <row r="16" spans="1:26" ht="16.5" customHeight="1">
      <c r="A16" s="20" t="s">
        <v>20</v>
      </c>
      <c r="B16" s="22"/>
      <c r="C16" s="21">
        <f t="shared" ref="C16:I16" si="2">SUM(C11:C15)</f>
        <v>3200000</v>
      </c>
      <c r="D16" s="21">
        <f t="shared" si="2"/>
        <v>3453120</v>
      </c>
      <c r="E16" s="21">
        <f t="shared" si="2"/>
        <v>1540600</v>
      </c>
      <c r="F16" s="21">
        <f t="shared" si="2"/>
        <v>1133082</v>
      </c>
      <c r="G16" s="21">
        <f t="shared" si="2"/>
        <v>1793720</v>
      </c>
      <c r="H16" s="21">
        <f t="shared" si="2"/>
        <v>6126802</v>
      </c>
      <c r="I16" s="14">
        <f t="shared" si="2"/>
        <v>919020.3</v>
      </c>
      <c r="J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ht="11.25" customHeight="1">
      <c r="A18" s="49" t="s">
        <v>21</v>
      </c>
      <c r="B18" s="50"/>
      <c r="C18" s="50"/>
      <c r="D18" s="50"/>
      <c r="E18" s="50"/>
      <c r="F18" s="50"/>
      <c r="G18" s="50"/>
      <c r="H18" s="29"/>
      <c r="I18" s="11"/>
      <c r="J18" s="11"/>
    </row>
    <row r="19" spans="1:26" ht="11.25" customHeight="1">
      <c r="A19" s="49" t="s">
        <v>22</v>
      </c>
      <c r="B19" s="50"/>
      <c r="C19" s="50"/>
      <c r="D19" s="50"/>
      <c r="E19" s="50"/>
      <c r="F19" s="50"/>
      <c r="G19" s="50"/>
      <c r="H19" s="29"/>
      <c r="I19" s="11"/>
      <c r="J19" s="11"/>
    </row>
    <row r="20" spans="1:26" ht="11.25" customHeight="1">
      <c r="A20" s="49" t="s">
        <v>23</v>
      </c>
      <c r="B20" s="50"/>
      <c r="C20" s="50"/>
      <c r="D20" s="50"/>
      <c r="E20" s="50"/>
      <c r="F20" s="50"/>
      <c r="G20" s="50"/>
      <c r="H20" s="29"/>
      <c r="I20" s="11"/>
      <c r="J20" s="1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53" t="s">
        <v>33</v>
      </c>
      <c r="B21" s="50"/>
      <c r="C21" s="50"/>
      <c r="D21" s="50"/>
      <c r="E21" s="50"/>
      <c r="F21" s="50"/>
      <c r="G21" s="50"/>
      <c r="H21" s="50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9" t="s">
        <v>34</v>
      </c>
      <c r="B22" s="50"/>
      <c r="C22" s="50"/>
      <c r="D22" s="50"/>
      <c r="E22" s="50"/>
      <c r="F22" s="50"/>
      <c r="G22" s="50"/>
      <c r="H22" s="11"/>
      <c r="I22" s="11"/>
    </row>
    <row r="23" spans="1:26" ht="11.25" customHeight="1">
      <c r="A23" s="49" t="s">
        <v>35</v>
      </c>
      <c r="B23" s="50"/>
      <c r="C23" s="50"/>
      <c r="D23" s="50"/>
      <c r="E23" s="50"/>
      <c r="F23" s="50"/>
      <c r="G23" s="50"/>
      <c r="H23" s="5"/>
      <c r="I23" s="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6"/>
      <c r="J25" s="26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5"/>
      <c r="J26" s="2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26"/>
      <c r="J28" s="26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6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</sheetData>
  <mergeCells count="9">
    <mergeCell ref="A21:H21"/>
    <mergeCell ref="A22:G22"/>
    <mergeCell ref="A23:G23"/>
    <mergeCell ref="A2:C2"/>
    <mergeCell ref="A6:G6"/>
    <mergeCell ref="A9:G9"/>
    <mergeCell ref="A18:G18"/>
    <mergeCell ref="A19:G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G11" sqref="G11"/>
    </sheetView>
  </sheetViews>
  <sheetFormatPr defaultColWidth="14.44140625" defaultRowHeight="15" customHeight="1"/>
  <cols>
    <col min="1" max="1" width="8.5546875" style="34" bestFit="1" customWidth="1"/>
    <col min="2" max="2" width="25.109375" style="34" bestFit="1" customWidth="1"/>
    <col min="3" max="9" width="20" style="34" customWidth="1"/>
    <col min="10" max="10" width="19.5546875" style="34" customWidth="1"/>
    <col min="11" max="26" width="8.6640625" style="34" customWidth="1"/>
    <col min="27" max="16384" width="14.44140625" style="34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202209</v>
      </c>
      <c r="B4" s="9">
        <f>I16</f>
        <v>529073.1</v>
      </c>
      <c r="C4" s="21">
        <f>B4</f>
        <v>529073.1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3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202209</v>
      </c>
      <c r="B11" s="35" t="s">
        <v>31</v>
      </c>
      <c r="C11" s="21">
        <v>2400000</v>
      </c>
      <c r="D11" s="21">
        <v>2378138</v>
      </c>
      <c r="E11" s="21">
        <v>363734</v>
      </c>
      <c r="F11" s="17"/>
      <c r="G11" s="21">
        <f>(D11+E11)-C11</f>
        <v>341872</v>
      </c>
      <c r="H11" s="21">
        <f t="shared" ref="H11:H14" si="0">C11+G11</f>
        <v>2741872</v>
      </c>
      <c r="I11" s="21">
        <f t="shared" ref="I11:I15" si="1">H11*0.15</f>
        <v>411280.8</v>
      </c>
      <c r="J11" s="8"/>
    </row>
    <row r="12" spans="1:26" ht="16.5" customHeight="1">
      <c r="A12" s="20" t="s">
        <v>46</v>
      </c>
      <c r="B12" s="35" t="s">
        <v>38</v>
      </c>
      <c r="C12" s="17"/>
      <c r="D12" s="17"/>
      <c r="E12" s="17"/>
      <c r="F12" s="21">
        <v>0</v>
      </c>
      <c r="G12" s="17"/>
      <c r="H12" s="21">
        <f>F12</f>
        <v>0</v>
      </c>
      <c r="I12" s="21">
        <f t="shared" si="1"/>
        <v>0</v>
      </c>
      <c r="J12" s="8"/>
    </row>
    <row r="13" spans="1:26" ht="16.5" customHeight="1">
      <c r="A13" s="20" t="s">
        <v>36</v>
      </c>
      <c r="B13" s="35" t="s">
        <v>39</v>
      </c>
      <c r="C13" s="31"/>
      <c r="D13" s="17"/>
      <c r="E13" s="17"/>
      <c r="F13" s="32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35" t="s">
        <v>42</v>
      </c>
      <c r="C14" s="31"/>
      <c r="D14" s="17"/>
      <c r="E14" s="17"/>
      <c r="F14" s="32">
        <v>0</v>
      </c>
      <c r="G14" s="31"/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>
        <v>202208</v>
      </c>
      <c r="B15" s="35" t="s">
        <v>45</v>
      </c>
      <c r="C15" s="31"/>
      <c r="D15" s="17"/>
      <c r="E15" s="17"/>
      <c r="F15" s="21">
        <v>785282</v>
      </c>
      <c r="G15" s="31"/>
      <c r="H15" s="21">
        <f>F15</f>
        <v>785282</v>
      </c>
      <c r="I15" s="21">
        <f t="shared" si="1"/>
        <v>117792.3</v>
      </c>
      <c r="J15" s="8"/>
    </row>
    <row r="16" spans="1:26" ht="16.5" customHeight="1">
      <c r="A16" s="20" t="s">
        <v>20</v>
      </c>
      <c r="B16" s="22"/>
      <c r="C16" s="21">
        <f t="shared" ref="C16:I16" si="2">SUM(C11:C15)</f>
        <v>2400000</v>
      </c>
      <c r="D16" s="21">
        <f t="shared" si="2"/>
        <v>2378138</v>
      </c>
      <c r="E16" s="21">
        <f t="shared" si="2"/>
        <v>363734</v>
      </c>
      <c r="F16" s="21">
        <f t="shared" si="2"/>
        <v>785282</v>
      </c>
      <c r="G16" s="21">
        <f t="shared" si="2"/>
        <v>341872</v>
      </c>
      <c r="H16" s="21">
        <f t="shared" si="2"/>
        <v>3527154</v>
      </c>
      <c r="I16" s="14">
        <f t="shared" si="2"/>
        <v>529073.1</v>
      </c>
      <c r="J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ht="11.25" customHeight="1">
      <c r="A18" s="49" t="s">
        <v>21</v>
      </c>
      <c r="B18" s="50"/>
      <c r="C18" s="50"/>
      <c r="D18" s="50"/>
      <c r="E18" s="50"/>
      <c r="F18" s="50"/>
      <c r="G18" s="50"/>
      <c r="H18" s="33"/>
      <c r="I18" s="11"/>
      <c r="J18" s="11"/>
    </row>
    <row r="19" spans="1:26" ht="11.25" customHeight="1">
      <c r="A19" s="49" t="s">
        <v>22</v>
      </c>
      <c r="B19" s="50"/>
      <c r="C19" s="50"/>
      <c r="D19" s="50"/>
      <c r="E19" s="50"/>
      <c r="F19" s="50"/>
      <c r="G19" s="50"/>
      <c r="H19" s="33"/>
      <c r="I19" s="11"/>
      <c r="J19" s="11"/>
    </row>
    <row r="20" spans="1:26" ht="11.25" customHeight="1">
      <c r="A20" s="49" t="s">
        <v>23</v>
      </c>
      <c r="B20" s="50"/>
      <c r="C20" s="50"/>
      <c r="D20" s="50"/>
      <c r="E20" s="50"/>
      <c r="F20" s="50"/>
      <c r="G20" s="50"/>
      <c r="H20" s="33"/>
      <c r="I20" s="11"/>
      <c r="J20" s="1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53" t="s">
        <v>33</v>
      </c>
      <c r="B21" s="50"/>
      <c r="C21" s="50"/>
      <c r="D21" s="50"/>
      <c r="E21" s="50"/>
      <c r="F21" s="50"/>
      <c r="G21" s="50"/>
      <c r="H21" s="50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9" t="s">
        <v>34</v>
      </c>
      <c r="B22" s="50"/>
      <c r="C22" s="50"/>
      <c r="D22" s="50"/>
      <c r="E22" s="50"/>
      <c r="F22" s="50"/>
      <c r="G22" s="50"/>
      <c r="H22" s="11"/>
      <c r="I22" s="11"/>
    </row>
    <row r="23" spans="1:26" ht="11.25" customHeight="1">
      <c r="A23" s="49" t="s">
        <v>35</v>
      </c>
      <c r="B23" s="50"/>
      <c r="C23" s="50"/>
      <c r="D23" s="50"/>
      <c r="E23" s="50"/>
      <c r="F23" s="50"/>
      <c r="G23" s="50"/>
      <c r="H23" s="5"/>
      <c r="I23" s="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6"/>
      <c r="J25" s="26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5"/>
      <c r="J26" s="2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26"/>
      <c r="J28" s="26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6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</sheetData>
  <mergeCells count="9">
    <mergeCell ref="A21:H21"/>
    <mergeCell ref="A22:G22"/>
    <mergeCell ref="A23:G23"/>
    <mergeCell ref="A2:C2"/>
    <mergeCell ref="A6:G6"/>
    <mergeCell ref="A9:G9"/>
    <mergeCell ref="A18:G18"/>
    <mergeCell ref="A19:G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I29" sqref="I29"/>
    </sheetView>
  </sheetViews>
  <sheetFormatPr defaultColWidth="14.44140625" defaultRowHeight="15" customHeight="1"/>
  <cols>
    <col min="1" max="1" width="8.5546875" style="37" bestFit="1" customWidth="1"/>
    <col min="2" max="2" width="25.109375" style="37" bestFit="1" customWidth="1"/>
    <col min="3" max="9" width="20" style="37" customWidth="1"/>
    <col min="10" max="10" width="34.5546875" style="37" customWidth="1"/>
    <col min="11" max="26" width="8.6640625" style="37" customWidth="1"/>
    <col min="27" max="16384" width="14.44140625" style="37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38">
        <v>202210</v>
      </c>
      <c r="B4" s="9">
        <f>I16</f>
        <v>197338.65</v>
      </c>
      <c r="C4" s="21">
        <f>B4</f>
        <v>197338.65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36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202210</v>
      </c>
      <c r="B11" s="35" t="s">
        <v>31</v>
      </c>
      <c r="C11" s="41">
        <v>3200000</v>
      </c>
      <c r="D11" s="41">
        <v>1916499</v>
      </c>
      <c r="E11" s="41">
        <v>336324</v>
      </c>
      <c r="F11" s="42"/>
      <c r="G11" s="41">
        <v>0</v>
      </c>
      <c r="H11" s="41">
        <f t="shared" ref="H11:H14" si="0">C11+G11</f>
        <v>3200000</v>
      </c>
      <c r="I11" s="41">
        <f t="shared" ref="I11:I15" si="1">H11*0.15</f>
        <v>480000</v>
      </c>
      <c r="J11" s="8"/>
    </row>
    <row r="12" spans="1:26" ht="16.5" customHeight="1">
      <c r="A12" s="20" t="s">
        <v>47</v>
      </c>
      <c r="B12" s="35" t="s">
        <v>38</v>
      </c>
      <c r="C12" s="42"/>
      <c r="D12" s="42"/>
      <c r="E12" s="42"/>
      <c r="F12" s="41">
        <v>-2846757</v>
      </c>
      <c r="G12" s="42"/>
      <c r="H12" s="41">
        <f>F12</f>
        <v>-2846757</v>
      </c>
      <c r="I12" s="41">
        <f t="shared" si="1"/>
        <v>-427013.55</v>
      </c>
      <c r="J12" s="46"/>
    </row>
    <row r="13" spans="1:26" ht="16.5" customHeight="1">
      <c r="A13" s="20" t="s">
        <v>36</v>
      </c>
      <c r="B13" s="35" t="s">
        <v>39</v>
      </c>
      <c r="C13" s="43"/>
      <c r="D13" s="42"/>
      <c r="E13" s="42"/>
      <c r="F13" s="44">
        <v>0</v>
      </c>
      <c r="G13" s="42"/>
      <c r="H13" s="41">
        <f t="shared" si="0"/>
        <v>0</v>
      </c>
      <c r="I13" s="41">
        <f t="shared" si="1"/>
        <v>0</v>
      </c>
      <c r="J13" s="8"/>
    </row>
    <row r="14" spans="1:26" ht="16.5" customHeight="1">
      <c r="A14" s="20" t="s">
        <v>36</v>
      </c>
      <c r="B14" s="35" t="s">
        <v>42</v>
      </c>
      <c r="C14" s="43"/>
      <c r="D14" s="42"/>
      <c r="E14" s="42"/>
      <c r="F14" s="44">
        <v>0</v>
      </c>
      <c r="G14" s="43"/>
      <c r="H14" s="41">
        <f t="shared" si="0"/>
        <v>0</v>
      </c>
      <c r="I14" s="41">
        <f t="shared" si="1"/>
        <v>0</v>
      </c>
      <c r="J14" s="8"/>
    </row>
    <row r="15" spans="1:26" ht="16.5" customHeight="1">
      <c r="A15" s="20">
        <v>202209</v>
      </c>
      <c r="B15" s="35" t="s">
        <v>45</v>
      </c>
      <c r="C15" s="43"/>
      <c r="D15" s="42"/>
      <c r="E15" s="42"/>
      <c r="F15" s="41">
        <v>962348</v>
      </c>
      <c r="G15" s="43"/>
      <c r="H15" s="41">
        <f>F15</f>
        <v>962348</v>
      </c>
      <c r="I15" s="41">
        <f t="shared" si="1"/>
        <v>144352.19999999998</v>
      </c>
      <c r="J15" s="8"/>
    </row>
    <row r="16" spans="1:26" ht="16.5" customHeight="1">
      <c r="A16" s="20" t="s">
        <v>20</v>
      </c>
      <c r="B16" s="22"/>
      <c r="C16" s="41">
        <f t="shared" ref="C16:I16" si="2">SUM(C11:C15)</f>
        <v>3200000</v>
      </c>
      <c r="D16" s="41">
        <f t="shared" si="2"/>
        <v>1916499</v>
      </c>
      <c r="E16" s="41">
        <f t="shared" si="2"/>
        <v>336324</v>
      </c>
      <c r="F16" s="41">
        <f t="shared" si="2"/>
        <v>-1884409</v>
      </c>
      <c r="G16" s="41">
        <f t="shared" si="2"/>
        <v>0</v>
      </c>
      <c r="H16" s="41">
        <f t="shared" si="2"/>
        <v>1315591</v>
      </c>
      <c r="I16" s="45">
        <f t="shared" si="2"/>
        <v>197338.65</v>
      </c>
      <c r="J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ht="11.25" customHeight="1">
      <c r="A18" s="49" t="s">
        <v>21</v>
      </c>
      <c r="B18" s="50"/>
      <c r="C18" s="50"/>
      <c r="D18" s="50"/>
      <c r="E18" s="50"/>
      <c r="F18" s="50"/>
      <c r="G18" s="50"/>
      <c r="H18" s="36"/>
      <c r="I18" s="11"/>
      <c r="J18" s="11"/>
    </row>
    <row r="19" spans="1:26" ht="11.25" customHeight="1">
      <c r="A19" s="49" t="s">
        <v>22</v>
      </c>
      <c r="B19" s="50"/>
      <c r="C19" s="50"/>
      <c r="D19" s="50"/>
      <c r="E19" s="50"/>
      <c r="F19" s="50"/>
      <c r="G19" s="50"/>
      <c r="H19" s="36"/>
      <c r="I19" s="11"/>
      <c r="J19" s="11"/>
    </row>
    <row r="20" spans="1:26" ht="11.25" customHeight="1">
      <c r="A20" s="49" t="s">
        <v>23</v>
      </c>
      <c r="B20" s="50"/>
      <c r="C20" s="50"/>
      <c r="D20" s="50"/>
      <c r="E20" s="50"/>
      <c r="F20" s="50"/>
      <c r="G20" s="50"/>
      <c r="H20" s="36"/>
      <c r="I20" s="11"/>
      <c r="J20" s="1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53" t="s">
        <v>33</v>
      </c>
      <c r="B21" s="50"/>
      <c r="C21" s="50"/>
      <c r="D21" s="50"/>
      <c r="E21" s="50"/>
      <c r="F21" s="50"/>
      <c r="G21" s="50"/>
      <c r="H21" s="50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9" t="s">
        <v>34</v>
      </c>
      <c r="B22" s="50"/>
      <c r="C22" s="50"/>
      <c r="D22" s="50"/>
      <c r="E22" s="50"/>
      <c r="F22" s="50"/>
      <c r="G22" s="50"/>
      <c r="H22" s="11"/>
      <c r="I22" s="11"/>
    </row>
    <row r="23" spans="1:26" ht="11.25" customHeight="1">
      <c r="A23" s="49" t="s">
        <v>35</v>
      </c>
      <c r="B23" s="50"/>
      <c r="C23" s="50"/>
      <c r="D23" s="50"/>
      <c r="E23" s="50"/>
      <c r="F23" s="50"/>
      <c r="G23" s="50"/>
      <c r="H23" s="5"/>
      <c r="I23" s="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6"/>
      <c r="J25" s="26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5"/>
      <c r="J26" s="2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26"/>
      <c r="J28" s="26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6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</sheetData>
  <mergeCells count="9">
    <mergeCell ref="A21:H21"/>
    <mergeCell ref="A22:G22"/>
    <mergeCell ref="A23:G23"/>
    <mergeCell ref="A2:C2"/>
    <mergeCell ref="A6:G6"/>
    <mergeCell ref="A9:G9"/>
    <mergeCell ref="A18:G18"/>
    <mergeCell ref="A19:G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workbookViewId="0">
      <selection activeCell="I20" sqref="I19:I20"/>
    </sheetView>
  </sheetViews>
  <sheetFormatPr defaultColWidth="14.44140625" defaultRowHeight="15" customHeight="1"/>
  <cols>
    <col min="1" max="1" width="8.5546875" style="40" bestFit="1" customWidth="1"/>
    <col min="2" max="2" width="25.109375" style="40" bestFit="1" customWidth="1"/>
    <col min="3" max="9" width="20" style="40" customWidth="1"/>
    <col min="10" max="10" width="34.5546875" style="40" customWidth="1"/>
    <col min="11" max="26" width="8.6640625" style="40" customWidth="1"/>
    <col min="27" max="16384" width="14.44140625" style="40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51" t="s">
        <v>9</v>
      </c>
      <c r="B2" s="48"/>
      <c r="C2" s="4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38">
        <v>202211</v>
      </c>
      <c r="B4" s="9">
        <f>I16</f>
        <v>524671.35</v>
      </c>
      <c r="C4" s="21">
        <f>B4</f>
        <v>524671.35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9" t="s">
        <v>13</v>
      </c>
      <c r="B6" s="50"/>
      <c r="C6" s="50"/>
      <c r="D6" s="50"/>
      <c r="E6" s="50"/>
      <c r="F6" s="50"/>
      <c r="G6" s="50"/>
      <c r="H6" s="3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2" t="s">
        <v>14</v>
      </c>
      <c r="B9" s="48"/>
      <c r="C9" s="48"/>
      <c r="D9" s="48"/>
      <c r="E9" s="48"/>
      <c r="F9" s="48"/>
      <c r="G9" s="48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202211</v>
      </c>
      <c r="B11" s="35" t="s">
        <v>31</v>
      </c>
      <c r="C11" s="41">
        <v>2400000</v>
      </c>
      <c r="D11" s="41">
        <v>1842715</v>
      </c>
      <c r="E11" s="41">
        <v>931859</v>
      </c>
      <c r="F11" s="42"/>
      <c r="G11" s="41">
        <v>374574</v>
      </c>
      <c r="H11" s="41">
        <f t="shared" ref="H11:H14" si="0">C11+G11</f>
        <v>2774574</v>
      </c>
      <c r="I11" s="41">
        <f t="shared" ref="I11:I15" si="1">H11*0.15</f>
        <v>416186.1</v>
      </c>
      <c r="J11" s="8"/>
    </row>
    <row r="12" spans="1:26" ht="16.5" customHeight="1">
      <c r="A12" s="20" t="s">
        <v>47</v>
      </c>
      <c r="B12" s="35" t="s">
        <v>38</v>
      </c>
      <c r="C12" s="42"/>
      <c r="D12" s="42"/>
      <c r="E12" s="42"/>
      <c r="F12" s="41">
        <v>0</v>
      </c>
      <c r="G12" s="42"/>
      <c r="H12" s="41">
        <f>F12</f>
        <v>0</v>
      </c>
      <c r="I12" s="41">
        <f t="shared" si="1"/>
        <v>0</v>
      </c>
      <c r="J12" s="46"/>
    </row>
    <row r="13" spans="1:26" ht="16.5" customHeight="1">
      <c r="A13" s="20" t="s">
        <v>36</v>
      </c>
      <c r="B13" s="35" t="s">
        <v>39</v>
      </c>
      <c r="C13" s="43"/>
      <c r="D13" s="42"/>
      <c r="E13" s="42"/>
      <c r="F13" s="44">
        <v>0</v>
      </c>
      <c r="G13" s="42"/>
      <c r="H13" s="41">
        <f t="shared" si="0"/>
        <v>0</v>
      </c>
      <c r="I13" s="41">
        <f t="shared" si="1"/>
        <v>0</v>
      </c>
      <c r="J13" s="8"/>
    </row>
    <row r="14" spans="1:26" ht="16.5" customHeight="1">
      <c r="A14" s="20" t="s">
        <v>36</v>
      </c>
      <c r="B14" s="35" t="s">
        <v>42</v>
      </c>
      <c r="C14" s="43"/>
      <c r="D14" s="42"/>
      <c r="E14" s="42"/>
      <c r="F14" s="44">
        <v>0</v>
      </c>
      <c r="G14" s="43"/>
      <c r="H14" s="41">
        <f t="shared" si="0"/>
        <v>0</v>
      </c>
      <c r="I14" s="41">
        <f t="shared" si="1"/>
        <v>0</v>
      </c>
      <c r="J14" s="8"/>
    </row>
    <row r="15" spans="1:26" ht="16.5" customHeight="1">
      <c r="A15" s="20">
        <v>202210</v>
      </c>
      <c r="B15" s="35" t="s">
        <v>45</v>
      </c>
      <c r="C15" s="43"/>
      <c r="D15" s="42"/>
      <c r="E15" s="42"/>
      <c r="F15" s="41">
        <v>723235</v>
      </c>
      <c r="G15" s="43"/>
      <c r="H15" s="41">
        <f>F15</f>
        <v>723235</v>
      </c>
      <c r="I15" s="41">
        <f t="shared" si="1"/>
        <v>108485.25</v>
      </c>
      <c r="J15" s="8"/>
    </row>
    <row r="16" spans="1:26" ht="16.5" customHeight="1">
      <c r="A16" s="20" t="s">
        <v>20</v>
      </c>
      <c r="B16" s="22"/>
      <c r="C16" s="41">
        <f t="shared" ref="C16:I16" si="2">SUM(C11:C15)</f>
        <v>2400000</v>
      </c>
      <c r="D16" s="41">
        <f t="shared" si="2"/>
        <v>1842715</v>
      </c>
      <c r="E16" s="41">
        <f t="shared" si="2"/>
        <v>931859</v>
      </c>
      <c r="F16" s="41">
        <f t="shared" si="2"/>
        <v>723235</v>
      </c>
      <c r="G16" s="41">
        <f t="shared" si="2"/>
        <v>374574</v>
      </c>
      <c r="H16" s="41">
        <f t="shared" si="2"/>
        <v>3497809</v>
      </c>
      <c r="I16" s="45">
        <f t="shared" si="2"/>
        <v>524671.35</v>
      </c>
      <c r="J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ht="11.25" customHeight="1">
      <c r="A18" s="49" t="s">
        <v>21</v>
      </c>
      <c r="B18" s="50"/>
      <c r="C18" s="50"/>
      <c r="D18" s="50"/>
      <c r="E18" s="50"/>
      <c r="F18" s="50"/>
      <c r="G18" s="50"/>
      <c r="H18" s="39"/>
      <c r="I18" s="11"/>
      <c r="J18" s="11"/>
    </row>
    <row r="19" spans="1:26" ht="11.25" customHeight="1">
      <c r="A19" s="49" t="s">
        <v>22</v>
      </c>
      <c r="B19" s="50"/>
      <c r="C19" s="50"/>
      <c r="D19" s="50"/>
      <c r="E19" s="50"/>
      <c r="F19" s="50"/>
      <c r="G19" s="50"/>
      <c r="H19" s="39"/>
      <c r="I19" s="11"/>
      <c r="J19" s="11"/>
    </row>
    <row r="20" spans="1:26" ht="11.25" customHeight="1">
      <c r="A20" s="49" t="s">
        <v>23</v>
      </c>
      <c r="B20" s="50"/>
      <c r="C20" s="50"/>
      <c r="D20" s="50"/>
      <c r="E20" s="50"/>
      <c r="F20" s="50"/>
      <c r="G20" s="50"/>
      <c r="H20" s="39"/>
      <c r="I20" s="11"/>
      <c r="J20" s="1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53" t="s">
        <v>33</v>
      </c>
      <c r="B21" s="50"/>
      <c r="C21" s="50"/>
      <c r="D21" s="50"/>
      <c r="E21" s="50"/>
      <c r="F21" s="50"/>
      <c r="G21" s="50"/>
      <c r="H21" s="50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9" t="s">
        <v>34</v>
      </c>
      <c r="B22" s="50"/>
      <c r="C22" s="50"/>
      <c r="D22" s="50"/>
      <c r="E22" s="50"/>
      <c r="F22" s="50"/>
      <c r="G22" s="50"/>
      <c r="H22" s="11"/>
      <c r="I22" s="11"/>
    </row>
    <row r="23" spans="1:26" ht="11.25" customHeight="1">
      <c r="A23" s="49" t="s">
        <v>35</v>
      </c>
      <c r="B23" s="50"/>
      <c r="C23" s="50"/>
      <c r="D23" s="50"/>
      <c r="E23" s="50"/>
      <c r="F23" s="50"/>
      <c r="G23" s="50"/>
      <c r="H23" s="5"/>
      <c r="I23" s="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6"/>
      <c r="J25" s="26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5"/>
      <c r="J26" s="2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26"/>
      <c r="J28" s="26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6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</sheetData>
  <mergeCells count="9">
    <mergeCell ref="A21:H21"/>
    <mergeCell ref="A22:G22"/>
    <mergeCell ref="A23:G23"/>
    <mergeCell ref="A2:C2"/>
    <mergeCell ref="A6:G6"/>
    <mergeCell ref="A9:G9"/>
    <mergeCell ref="A18:G18"/>
    <mergeCell ref="A19:G19"/>
    <mergeCell ref="A20:G20"/>
  </mergeCells>
  <phoneticPr fontId="1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서비스현황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202204_추가</vt:lpstr>
      <vt:lpstr>202205</vt:lpstr>
      <vt:lpstr>202206</vt:lpstr>
      <vt:lpstr>202207</vt:lpstr>
      <vt:lpstr>202208</vt:lpstr>
      <vt:lpstr>202209</vt:lpstr>
      <vt:lpstr>202210</vt:lpstr>
      <vt:lpstr>202211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storywiz</cp:lastModifiedBy>
  <dcterms:created xsi:type="dcterms:W3CDTF">2012-11-29T06:46:34Z</dcterms:created>
  <dcterms:modified xsi:type="dcterms:W3CDTF">2022-12-22T00:54:07Z</dcterms:modified>
</cp:coreProperties>
</file>