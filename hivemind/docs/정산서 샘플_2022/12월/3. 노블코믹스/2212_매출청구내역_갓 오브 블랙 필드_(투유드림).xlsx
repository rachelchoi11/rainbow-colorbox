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3. 노블코믹스\"/>
    </mc:Choice>
  </mc:AlternateContent>
  <bookViews>
    <workbookView xWindow="0" yWindow="0" windowWidth="28800" windowHeight="12288" firstSheet="13" activeTab="23"/>
  </bookViews>
  <sheets>
    <sheet name="서비스현황" sheetId="1" r:id="rId1"/>
    <sheet name="202101" sheetId="2" r:id="rId2"/>
    <sheet name="202102" sheetId="3" r:id="rId3"/>
    <sheet name="202103" sheetId="4" r:id="rId4"/>
    <sheet name="202104" sheetId="5" r:id="rId5"/>
    <sheet name="202105" sheetId="6" r:id="rId6"/>
    <sheet name="202106" sheetId="7" r:id="rId7"/>
    <sheet name="202107" sheetId="8" r:id="rId8"/>
    <sheet name="202108" sheetId="9" r:id="rId9"/>
    <sheet name="202109" sheetId="10" r:id="rId10"/>
    <sheet name="202110" sheetId="11" r:id="rId11"/>
    <sheet name="202111" sheetId="12" r:id="rId12"/>
    <sheet name="202112" sheetId="13" r:id="rId13"/>
    <sheet name="202201" sheetId="14" r:id="rId14"/>
    <sheet name="202202" sheetId="15" r:id="rId15"/>
    <sheet name="202203" sheetId="16" r:id="rId16"/>
    <sheet name="202204" sheetId="17" r:id="rId17"/>
    <sheet name="202205" sheetId="18" r:id="rId18"/>
    <sheet name="202206" sheetId="19" r:id="rId19"/>
    <sheet name="202207" sheetId="20" r:id="rId20"/>
    <sheet name="202208" sheetId="21" r:id="rId21"/>
    <sheet name="202209" sheetId="22" r:id="rId22"/>
    <sheet name="202210" sheetId="23" r:id="rId23"/>
    <sheet name="202211" sheetId="24" r:id="rId24"/>
  </sheets>
  <calcPr calcId="191029"/>
  <extLst>
    <ext uri="GoogleSheetsCustomDataVersion1">
      <go:sheetsCustomData xmlns:go="http://customooxmlschemas.google.com/" r:id="rId25" roundtripDataSignature="AMtx7mg3OeVNNRV2XQJmQL+sdCGxjJ0utg=="/>
    </ext>
  </extLst>
</workbook>
</file>

<file path=xl/calcChain.xml><?xml version="1.0" encoding="utf-8"?>
<calcChain xmlns="http://schemas.openxmlformats.org/spreadsheetml/2006/main">
  <c r="H17" i="24" l="1"/>
  <c r="I17" i="24" s="1"/>
  <c r="G11" i="24"/>
  <c r="G18" i="24" s="1"/>
  <c r="C18" i="24"/>
  <c r="D18" i="24"/>
  <c r="F18" i="24"/>
  <c r="H16" i="24"/>
  <c r="I16" i="24" s="1"/>
  <c r="H15" i="24"/>
  <c r="I15" i="24" s="1"/>
  <c r="H14" i="24"/>
  <c r="I14" i="24" s="1"/>
  <c r="H13" i="24"/>
  <c r="I13" i="24" s="1"/>
  <c r="H12" i="24"/>
  <c r="I12" i="24" s="1"/>
  <c r="E18" i="24" l="1"/>
  <c r="H11" i="24"/>
  <c r="C18" i="23"/>
  <c r="D18" i="23"/>
  <c r="E18" i="23"/>
  <c r="F18" i="23"/>
  <c r="H17" i="23"/>
  <c r="I17" i="23" s="1"/>
  <c r="H16" i="23"/>
  <c r="I16" i="23" s="1"/>
  <c r="H15" i="23"/>
  <c r="I15" i="23" s="1"/>
  <c r="H14" i="23"/>
  <c r="I14" i="23" s="1"/>
  <c r="H13" i="23"/>
  <c r="I13" i="23" s="1"/>
  <c r="H12" i="23"/>
  <c r="I12" i="23" s="1"/>
  <c r="G11" i="23"/>
  <c r="G18" i="23" s="1"/>
  <c r="H18" i="24" l="1"/>
  <c r="I11" i="24"/>
  <c r="I18" i="24" s="1"/>
  <c r="B4" i="24" s="1"/>
  <c r="C4" i="24" s="1"/>
  <c r="H11" i="23"/>
  <c r="H18" i="23" l="1"/>
  <c r="I11" i="23"/>
  <c r="I18" i="23" s="1"/>
  <c r="B4" i="23" s="1"/>
  <c r="C4" i="23" s="1"/>
  <c r="E18" i="22" l="1"/>
  <c r="C18" i="22"/>
  <c r="F18" i="22"/>
  <c r="D18" i="22"/>
  <c r="H17" i="22"/>
  <c r="I17" i="22" s="1"/>
  <c r="H16" i="22"/>
  <c r="I16" i="22" s="1"/>
  <c r="H15" i="22"/>
  <c r="I15" i="22" s="1"/>
  <c r="H14" i="22"/>
  <c r="I14" i="22" s="1"/>
  <c r="H13" i="22"/>
  <c r="I13" i="22" s="1"/>
  <c r="H12" i="22"/>
  <c r="I12" i="22" s="1"/>
  <c r="G11" i="22"/>
  <c r="H11" i="22" s="1"/>
  <c r="G18" i="22" l="1"/>
  <c r="I11" i="22"/>
  <c r="I18" i="22" s="1"/>
  <c r="B4" i="22" s="1"/>
  <c r="C4" i="22" s="1"/>
  <c r="H18" i="22"/>
  <c r="F20" i="21"/>
  <c r="E20" i="21"/>
  <c r="D20" i="21"/>
  <c r="C20" i="21"/>
  <c r="H19" i="21"/>
  <c r="I19" i="21" s="1"/>
  <c r="H18" i="21"/>
  <c r="I18" i="21" s="1"/>
  <c r="H17" i="21"/>
  <c r="I17" i="21" s="1"/>
  <c r="H16" i="21"/>
  <c r="I16" i="21" s="1"/>
  <c r="H15" i="21"/>
  <c r="I15" i="21" s="1"/>
  <c r="H14" i="21"/>
  <c r="I14" i="21" s="1"/>
  <c r="H13" i="21"/>
  <c r="I13" i="21" s="1"/>
  <c r="H12" i="21"/>
  <c r="I12" i="21" s="1"/>
  <c r="G11" i="21"/>
  <c r="H11" i="21" s="1"/>
  <c r="G20" i="21" l="1"/>
  <c r="H20" i="21"/>
  <c r="I11" i="21"/>
  <c r="I20" i="21" s="1"/>
  <c r="B4" i="21" s="1"/>
  <c r="C4" i="21" s="1"/>
  <c r="F20" i="20"/>
  <c r="E20" i="20"/>
  <c r="D20" i="20"/>
  <c r="C20" i="20"/>
  <c r="H19" i="20"/>
  <c r="I19" i="20" s="1"/>
  <c r="H18" i="20"/>
  <c r="I18" i="20" s="1"/>
  <c r="H17" i="20"/>
  <c r="I17" i="20" s="1"/>
  <c r="H16" i="20"/>
  <c r="I16" i="20" s="1"/>
  <c r="H15" i="20"/>
  <c r="I15" i="20" s="1"/>
  <c r="H14" i="20"/>
  <c r="I14" i="20" s="1"/>
  <c r="H13" i="20"/>
  <c r="I13" i="20" s="1"/>
  <c r="H12" i="20"/>
  <c r="I12" i="20" s="1"/>
  <c r="G11" i="20"/>
  <c r="H11" i="20" s="1"/>
  <c r="I11" i="20" l="1"/>
  <c r="I20" i="20" s="1"/>
  <c r="B4" i="20" s="1"/>
  <c r="C4" i="20" s="1"/>
  <c r="H20" i="20"/>
  <c r="G20" i="20"/>
  <c r="F20" i="19"/>
  <c r="E20" i="19"/>
  <c r="D20" i="19"/>
  <c r="C20" i="19"/>
  <c r="H19" i="19"/>
  <c r="I19" i="19" s="1"/>
  <c r="H18" i="19"/>
  <c r="I18" i="19" s="1"/>
  <c r="H17" i="19"/>
  <c r="I17" i="19" s="1"/>
  <c r="H16" i="19"/>
  <c r="I16" i="19" s="1"/>
  <c r="H15" i="19"/>
  <c r="I15" i="19" s="1"/>
  <c r="H14" i="19"/>
  <c r="I14" i="19" s="1"/>
  <c r="H13" i="19"/>
  <c r="I13" i="19" s="1"/>
  <c r="H12" i="19"/>
  <c r="I12" i="19" s="1"/>
  <c r="G11" i="19"/>
  <c r="G20" i="19" s="1"/>
  <c r="H11" i="19" l="1"/>
  <c r="F20" i="18"/>
  <c r="E20" i="18"/>
  <c r="D20" i="18"/>
  <c r="C20" i="18"/>
  <c r="H19" i="18"/>
  <c r="I19" i="18" s="1"/>
  <c r="H18" i="18"/>
  <c r="I18" i="18" s="1"/>
  <c r="H17" i="18"/>
  <c r="I17" i="18" s="1"/>
  <c r="H16" i="18"/>
  <c r="I16" i="18" s="1"/>
  <c r="H15" i="18"/>
  <c r="I15" i="18" s="1"/>
  <c r="I14" i="18"/>
  <c r="H14" i="18"/>
  <c r="H13" i="18"/>
  <c r="I13" i="18" s="1"/>
  <c r="H12" i="18"/>
  <c r="I12" i="18" s="1"/>
  <c r="G11" i="18"/>
  <c r="H11" i="18" s="1"/>
  <c r="F20" i="17"/>
  <c r="E20" i="17"/>
  <c r="D20" i="17"/>
  <c r="C20" i="17"/>
  <c r="H19" i="17"/>
  <c r="I19" i="17" s="1"/>
  <c r="H18" i="17"/>
  <c r="I18" i="17" s="1"/>
  <c r="H17" i="17"/>
  <c r="I17" i="17" s="1"/>
  <c r="H16" i="17"/>
  <c r="I16" i="17" s="1"/>
  <c r="H15" i="17"/>
  <c r="I15" i="17" s="1"/>
  <c r="H14" i="17"/>
  <c r="I14" i="17" s="1"/>
  <c r="H13" i="17"/>
  <c r="I13" i="17" s="1"/>
  <c r="H12" i="17"/>
  <c r="I12" i="17" s="1"/>
  <c r="G11" i="17"/>
  <c r="G20" i="17" s="1"/>
  <c r="F17" i="16"/>
  <c r="E17" i="16"/>
  <c r="D17" i="16"/>
  <c r="C17" i="16"/>
  <c r="H16" i="16"/>
  <c r="I16" i="16" s="1"/>
  <c r="I15" i="16"/>
  <c r="H15" i="16"/>
  <c r="H14" i="16"/>
  <c r="I14" i="16" s="1"/>
  <c r="H13" i="16"/>
  <c r="I13" i="16" s="1"/>
  <c r="H12" i="16"/>
  <c r="I12" i="16" s="1"/>
  <c r="G11" i="16"/>
  <c r="H11" i="16" s="1"/>
  <c r="F17" i="15"/>
  <c r="E17" i="15"/>
  <c r="D17" i="15"/>
  <c r="C17" i="15"/>
  <c r="H16" i="15"/>
  <c r="I16" i="15" s="1"/>
  <c r="H15" i="15"/>
  <c r="I15" i="15" s="1"/>
  <c r="H14" i="15"/>
  <c r="I14" i="15" s="1"/>
  <c r="H13" i="15"/>
  <c r="I13" i="15" s="1"/>
  <c r="H12" i="15"/>
  <c r="I12" i="15" s="1"/>
  <c r="G11" i="15"/>
  <c r="H11" i="15" s="1"/>
  <c r="F17" i="14"/>
  <c r="E17" i="14"/>
  <c r="D17" i="14"/>
  <c r="C17" i="14"/>
  <c r="H16" i="14"/>
  <c r="I16" i="14" s="1"/>
  <c r="H15" i="14"/>
  <c r="I15" i="14" s="1"/>
  <c r="H14" i="14"/>
  <c r="I14" i="14" s="1"/>
  <c r="I13" i="14"/>
  <c r="H13" i="14"/>
  <c r="H12" i="14"/>
  <c r="I12" i="14" s="1"/>
  <c r="G11" i="14"/>
  <c r="G17" i="14" s="1"/>
  <c r="G17" i="13"/>
  <c r="F17" i="13"/>
  <c r="D17" i="13"/>
  <c r="C17" i="13"/>
  <c r="H16" i="13"/>
  <c r="I16" i="13" s="1"/>
  <c r="H15" i="13"/>
  <c r="I15" i="13" s="1"/>
  <c r="H14" i="13"/>
  <c r="I14" i="13" s="1"/>
  <c r="H13" i="13"/>
  <c r="I13" i="13" s="1"/>
  <c r="H12" i="13"/>
  <c r="I12" i="13" s="1"/>
  <c r="G11" i="13"/>
  <c r="H11" i="13" s="1"/>
  <c r="F17" i="12"/>
  <c r="D17" i="12"/>
  <c r="C17" i="12"/>
  <c r="H16" i="12"/>
  <c r="I16" i="12" s="1"/>
  <c r="H15" i="12"/>
  <c r="I15" i="12" s="1"/>
  <c r="H14" i="12"/>
  <c r="I14" i="12" s="1"/>
  <c r="H13" i="12"/>
  <c r="I13" i="12" s="1"/>
  <c r="H12" i="12"/>
  <c r="I12" i="12" s="1"/>
  <c r="G11" i="12"/>
  <c r="G17" i="12" s="1"/>
  <c r="F17" i="11"/>
  <c r="D17" i="11"/>
  <c r="C17" i="11"/>
  <c r="H16" i="11"/>
  <c r="I16" i="11" s="1"/>
  <c r="H15" i="11"/>
  <c r="I15" i="11" s="1"/>
  <c r="H14" i="11"/>
  <c r="I14" i="11" s="1"/>
  <c r="H13" i="11"/>
  <c r="I13" i="11" s="1"/>
  <c r="H12" i="11"/>
  <c r="G11" i="11"/>
  <c r="G17" i="11" s="1"/>
  <c r="D18" i="10"/>
  <c r="C18" i="10"/>
  <c r="F17" i="10"/>
  <c r="G17" i="10" s="1"/>
  <c r="F16" i="10"/>
  <c r="G16" i="10" s="1"/>
  <c r="F15" i="10"/>
  <c r="G15" i="10" s="1"/>
  <c r="F14" i="10"/>
  <c r="G14" i="10" s="1"/>
  <c r="F13" i="10"/>
  <c r="G13" i="10" s="1"/>
  <c r="E12" i="10"/>
  <c r="F12" i="10" s="1"/>
  <c r="G12" i="10" s="1"/>
  <c r="E11" i="10"/>
  <c r="F11" i="10" s="1"/>
  <c r="D17" i="9"/>
  <c r="C17" i="9"/>
  <c r="F16" i="9"/>
  <c r="G16" i="9" s="1"/>
  <c r="F15" i="9"/>
  <c r="G15" i="9" s="1"/>
  <c r="F14" i="9"/>
  <c r="G14" i="9" s="1"/>
  <c r="F13" i="9"/>
  <c r="G13" i="9" s="1"/>
  <c r="F12" i="9"/>
  <c r="G12" i="9" s="1"/>
  <c r="E11" i="9"/>
  <c r="E17" i="9" s="1"/>
  <c r="E15" i="8"/>
  <c r="D15" i="8"/>
  <c r="C15" i="8"/>
  <c r="F14" i="8"/>
  <c r="G14" i="8" s="1"/>
  <c r="F13" i="8"/>
  <c r="G13" i="8" s="1"/>
  <c r="F12" i="8"/>
  <c r="G12" i="8" s="1"/>
  <c r="F11" i="8"/>
  <c r="D15" i="7"/>
  <c r="C15" i="7"/>
  <c r="F14" i="7"/>
  <c r="G14" i="7" s="1"/>
  <c r="F13" i="7"/>
  <c r="G13" i="7" s="1"/>
  <c r="F12" i="7"/>
  <c r="G12" i="7" s="1"/>
  <c r="E11" i="7"/>
  <c r="F11" i="7" s="1"/>
  <c r="D15" i="6"/>
  <c r="C15" i="6"/>
  <c r="F14" i="6"/>
  <c r="G14" i="6" s="1"/>
  <c r="F13" i="6"/>
  <c r="G13" i="6" s="1"/>
  <c r="F12" i="6"/>
  <c r="G12" i="6" s="1"/>
  <c r="E11" i="6"/>
  <c r="F11" i="6" s="1"/>
  <c r="E16" i="5"/>
  <c r="D16" i="5"/>
  <c r="C16" i="5"/>
  <c r="F15" i="5"/>
  <c r="G15" i="5" s="1"/>
  <c r="F14" i="5"/>
  <c r="G14" i="5" s="1"/>
  <c r="F13" i="5"/>
  <c r="G13" i="5" s="1"/>
  <c r="F12" i="5"/>
  <c r="G12" i="5" s="1"/>
  <c r="F11" i="5"/>
  <c r="D13" i="4"/>
  <c r="C13" i="4"/>
  <c r="F12" i="4"/>
  <c r="G12" i="4" s="1"/>
  <c r="E11" i="4"/>
  <c r="E13" i="4" s="1"/>
  <c r="D13" i="3"/>
  <c r="C13" i="3"/>
  <c r="F12" i="3"/>
  <c r="G12" i="3" s="1"/>
  <c r="E11" i="3"/>
  <c r="E13" i="3" s="1"/>
  <c r="D13" i="2"/>
  <c r="C13" i="2"/>
  <c r="F12" i="2"/>
  <c r="G12" i="2" s="1"/>
  <c r="E11" i="2"/>
  <c r="E13" i="2" s="1"/>
  <c r="F11" i="3" l="1"/>
  <c r="F13" i="3" s="1"/>
  <c r="H11" i="11"/>
  <c r="I11" i="11" s="1"/>
  <c r="G11" i="3"/>
  <c r="G13" i="3" s="1"/>
  <c r="B4" i="3" s="1"/>
  <c r="C4" i="3" s="1"/>
  <c r="F11" i="4"/>
  <c r="F16" i="5"/>
  <c r="G17" i="16"/>
  <c r="F11" i="2"/>
  <c r="F15" i="8"/>
  <c r="H17" i="11"/>
  <c r="E15" i="6"/>
  <c r="E15" i="7"/>
  <c r="G11" i="8"/>
  <c r="G15" i="8" s="1"/>
  <c r="B4" i="8" s="1"/>
  <c r="C4" i="8" s="1"/>
  <c r="H20" i="19"/>
  <c r="I11" i="19"/>
  <c r="I20" i="19" s="1"/>
  <c r="B4" i="19" s="1"/>
  <c r="C4" i="19" s="1"/>
  <c r="F18" i="10"/>
  <c r="G11" i="10"/>
  <c r="G18" i="10" s="1"/>
  <c r="B4" i="10" s="1"/>
  <c r="C4" i="10" s="1"/>
  <c r="I11" i="18"/>
  <c r="I20" i="18" s="1"/>
  <c r="B4" i="18" s="1"/>
  <c r="C4" i="18" s="1"/>
  <c r="H20" i="18"/>
  <c r="H17" i="15"/>
  <c r="I11" i="15"/>
  <c r="I17" i="15" s="1"/>
  <c r="B4" i="15" s="1"/>
  <c r="C4" i="15" s="1"/>
  <c r="I11" i="13"/>
  <c r="I17" i="13" s="1"/>
  <c r="B4" i="13" s="1"/>
  <c r="C4" i="13" s="1"/>
  <c r="H17" i="13"/>
  <c r="I11" i="16"/>
  <c r="I17" i="16" s="1"/>
  <c r="B4" i="16" s="1"/>
  <c r="C4" i="16" s="1"/>
  <c r="H17" i="16"/>
  <c r="G11" i="6"/>
  <c r="G15" i="6" s="1"/>
  <c r="B4" i="6" s="1"/>
  <c r="C4" i="6" s="1"/>
  <c r="F15" i="6"/>
  <c r="G11" i="7"/>
  <c r="G15" i="7" s="1"/>
  <c r="B4" i="7" s="1"/>
  <c r="C4" i="7" s="1"/>
  <c r="F15" i="7"/>
  <c r="I12" i="11"/>
  <c r="I17" i="11" s="1"/>
  <c r="B4" i="11" s="1"/>
  <c r="C4" i="11" s="1"/>
  <c r="H11" i="12"/>
  <c r="H11" i="14"/>
  <c r="F11" i="9"/>
  <c r="G17" i="15"/>
  <c r="G20" i="18"/>
  <c r="H11" i="17"/>
  <c r="E18" i="10"/>
  <c r="G11" i="5"/>
  <c r="G16" i="5" s="1"/>
  <c r="B4" i="5" s="1"/>
  <c r="C4" i="5" s="1"/>
  <c r="G11" i="2" l="1"/>
  <c r="G13" i="2" s="1"/>
  <c r="B4" i="2" s="1"/>
  <c r="C4" i="2" s="1"/>
  <c r="F13" i="2"/>
  <c r="F13" i="4"/>
  <c r="G11" i="4"/>
  <c r="G13" i="4" s="1"/>
  <c r="B4" i="4" s="1"/>
  <c r="C4" i="4" s="1"/>
  <c r="I11" i="14"/>
  <c r="I17" i="14" s="1"/>
  <c r="B4" i="14" s="1"/>
  <c r="C4" i="14" s="1"/>
  <c r="H17" i="14"/>
  <c r="H17" i="12"/>
  <c r="I11" i="12"/>
  <c r="I17" i="12" s="1"/>
  <c r="B4" i="12" s="1"/>
  <c r="C4" i="12" s="1"/>
  <c r="I11" i="17"/>
  <c r="I20" i="17" s="1"/>
  <c r="B4" i="17" s="1"/>
  <c r="C4" i="17" s="1"/>
  <c r="H20" i="17"/>
  <c r="G11" i="9"/>
  <c r="G17" i="9" s="1"/>
  <c r="B4" i="9" s="1"/>
  <c r="C4" i="9" s="1"/>
  <c r="F17" i="9"/>
</calcChain>
</file>

<file path=xl/sharedStrings.xml><?xml version="1.0" encoding="utf-8"?>
<sst xmlns="http://schemas.openxmlformats.org/spreadsheetml/2006/main" count="697" uniqueCount="56">
  <si>
    <t>갓 오브 블랙필드</t>
  </si>
  <si>
    <t>플랫폼</t>
  </si>
  <si>
    <t>서비스 시작일</t>
  </si>
  <si>
    <t>서비스 사이트</t>
  </si>
  <si>
    <t>비고</t>
  </si>
  <si>
    <t>카카오페이지</t>
  </si>
  <si>
    <t>20.03.01</t>
  </si>
  <si>
    <t>https://page.kakao.com/home?seriesId=54498159</t>
  </si>
  <si>
    <t>웹/앱 서비스</t>
  </si>
  <si>
    <t>[ (갓 오브 블랙필드) 계산서 내역]</t>
  </si>
  <si>
    <t>해당월</t>
  </si>
  <si>
    <t>공급가액</t>
  </si>
  <si>
    <t>합계금액</t>
  </si>
  <si>
    <t>*(1) 공급가액 = 원작사 배분 수익 합계</t>
  </si>
  <si>
    <t>o (갓 오브 블랙필드)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</si>
  <si>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</si>
  <si>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</si>
  <si>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</si>
  <si>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</si>
  <si>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</si>
  <si>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</si>
  <si>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픽코마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</si>
  <si>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</si>
  <si>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</si>
  <si>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</si>
  <si>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</si>
  <si>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</si>
  <si>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20%</t>
  </si>
  <si>
    <t>델리툰_프랑스</t>
  </si>
  <si>
    <t>네오자바르_인도네시아MG</t>
  </si>
  <si>
    <t>카카오웹툰_대만MG</t>
  </si>
  <si>
    <t>상계중</t>
  </si>
  <si>
    <t>네오자바르_인도네시아</t>
  </si>
  <si>
    <t>카카오웹툰_대만</t>
  </si>
  <si>
    <t>카카오웹툰_태국</t>
  </si>
  <si>
    <t>카카오웹툰_글로벌</t>
  </si>
  <si>
    <t>카카오웹툰</t>
  </si>
  <si>
    <t>카카오페이지 (3)</t>
  </si>
  <si>
    <t>카카오웹툰 (3)</t>
  </si>
  <si>
    <t>카카오페이지+카카오웹툰</t>
  </si>
  <si>
    <t>픽코마 (7)</t>
  </si>
  <si>
    <t>네오자바르_인도네시아(7)</t>
  </si>
  <si>
    <t>카카오웹툰_대만(7)</t>
  </si>
  <si>
    <t>카카오웹툰_태국(7)</t>
  </si>
  <si>
    <t>카카오웹툰_글로벌(7)</t>
  </si>
  <si>
    <t>*(7) 해외 정산 = 플랫폼 순매출 * 수익배분율(RS%)</t>
  </si>
  <si>
    <t>네오바자르_인도네시아</t>
  </si>
  <si>
    <t>픽코마_프랑스</t>
  </si>
  <si>
    <t>타파스_미국</t>
  </si>
  <si>
    <t>타파스_스페인 MG</t>
  </si>
  <si>
    <t>2022.1Q</t>
  </si>
  <si>
    <t>타파스_스페인</t>
  </si>
  <si>
    <t>2022.2Q</t>
  </si>
  <si>
    <t>픽코마_일본</t>
  </si>
  <si>
    <t>대만, 태국 글로벌로 통합표기</t>
    <phoneticPr fontId="13" type="noConversion"/>
  </si>
  <si>
    <t>2022.3Q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</si>
</sst>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-* #,##0_-;\-* #,##0_-;_-* &quot;-&quot;_-;_-@"/>
    <numFmt numFmtId="177" formatCode="#,##0_);[Red]\(#,##0\)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6" fillId="0" borderId="2" xfId="0" applyNumberFormat="1" applyFont="1" applyBorder="1" applyAlignment="1">
      <alignment vertical="center"/>
    </xf>
    <xf numFmtId="177" fontId="6" fillId="5" borderId="2" xfId="0" applyNumberFormat="1" applyFont="1" applyFill="1" applyBorder="1" applyAlignment="1">
      <alignment vertical="center"/>
    </xf>
    <xf numFmtId="177" fontId="4" fillId="0" borderId="0" xfId="0" applyNumberFormat="1" applyFont="1" applyAlignment="1">
      <alignment vertical="center"/>
    </xf>
    <xf numFmtId="177" fontId="4" fillId="0" borderId="2" xfId="0" applyNumberFormat="1" applyFont="1" applyBorder="1" applyAlignment="1">
      <alignment vertical="center"/>
    </xf>
    <xf numFmtId="177" fontId="6" fillId="4" borderId="2" xfId="0" applyNumberFormat="1" applyFont="1" applyFill="1" applyBorder="1" applyAlignment="1">
      <alignment vertical="center"/>
    </xf>
    <xf numFmtId="177" fontId="6" fillId="7" borderId="2" xfId="0" applyNumberFormat="1" applyFont="1" applyFill="1" applyBorder="1" applyAlignment="1">
      <alignment vertical="center"/>
    </xf>
    <xf numFmtId="177" fontId="4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3" fontId="6" fillId="7" borderId="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4140625" defaultRowHeight="15" customHeight="1"/>
  <cols>
    <col min="1" max="2" width="13.5546875" customWidth="1"/>
    <col min="3" max="3" width="65.33203125" customWidth="1"/>
    <col min="4" max="4" width="13.5546875" customWidth="1"/>
    <col min="5" max="26" width="8.6640625" customWidth="1"/>
  </cols>
  <sheetData>
    <row r="1" spans="1:4" ht="21" customHeight="1">
      <c r="A1" s="45" t="s">
        <v>0</v>
      </c>
      <c r="B1" s="46"/>
      <c r="C1" s="46"/>
      <c r="D1" s="46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G13</f>
        <v>24692998.400000002</v>
      </c>
      <c r="C4" s="10">
        <f>B4</f>
        <v>24692998.400000002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24514209</v>
      </c>
      <c r="E11" s="10">
        <f>D11-C11</f>
        <v>20514209</v>
      </c>
      <c r="F11" s="10">
        <f t="shared" ref="F11:F12" si="0">(C11+E11)</f>
        <v>24514209</v>
      </c>
      <c r="G11" s="10">
        <f t="shared" ref="G11:G12" si="1">F11*0.2</f>
        <v>4902841.8</v>
      </c>
      <c r="H11" s="8"/>
    </row>
    <row r="12" spans="1:26" ht="16.5" customHeight="1">
      <c r="A12" s="4">
        <v>202012</v>
      </c>
      <c r="B12" s="12" t="s">
        <v>21</v>
      </c>
      <c r="C12" s="13"/>
      <c r="D12" s="13"/>
      <c r="E12" s="10">
        <v>98950783</v>
      </c>
      <c r="F12" s="10">
        <f t="shared" si="0"/>
        <v>98950783</v>
      </c>
      <c r="G12" s="10">
        <f t="shared" si="1"/>
        <v>19790156.600000001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24514209</v>
      </c>
      <c r="E13" s="10">
        <f t="shared" si="2"/>
        <v>20514209</v>
      </c>
      <c r="F13" s="10">
        <f t="shared" ref="F13:G13" si="3">SUM(F11:F12)</f>
        <v>123464992</v>
      </c>
      <c r="G13" s="14">
        <f t="shared" si="3"/>
        <v>24692998.400000002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47" t="s">
        <v>23</v>
      </c>
      <c r="B15" s="48"/>
      <c r="C15" s="48"/>
      <c r="D15" s="48"/>
      <c r="E15" s="48"/>
      <c r="F15" s="48"/>
      <c r="G15" s="11"/>
      <c r="H15" s="11"/>
    </row>
    <row r="16" spans="1:26" ht="11.25" customHeight="1">
      <c r="A16" s="47" t="s">
        <v>24</v>
      </c>
      <c r="B16" s="48"/>
      <c r="C16" s="48"/>
      <c r="D16" s="48"/>
      <c r="E16" s="48"/>
      <c r="F16" s="48"/>
      <c r="G16" s="11"/>
      <c r="H16" s="11"/>
    </row>
    <row r="17" spans="1:26" ht="11.25" customHeight="1">
      <c r="A17" s="47" t="s">
        <v>25</v>
      </c>
      <c r="B17" s="48"/>
      <c r="C17" s="48"/>
      <c r="D17" s="48"/>
      <c r="E17" s="48"/>
      <c r="F17" s="48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9" t="s">
        <v>26</v>
      </c>
      <c r="B18" s="48"/>
      <c r="C18" s="48"/>
      <c r="D18" s="48"/>
      <c r="E18" s="48"/>
      <c r="F18" s="48"/>
      <c r="G18" s="48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7" t="s">
        <v>27</v>
      </c>
      <c r="B19" s="48"/>
      <c r="C19" s="48"/>
      <c r="D19" s="48"/>
      <c r="E19" s="48"/>
      <c r="F19" s="48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G13</f>
        <v>20312196</v>
      </c>
      <c r="C4" s="10">
        <f>B4</f>
        <v>20312196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20579353</v>
      </c>
      <c r="E11" s="10">
        <f>D11-C11</f>
        <v>16579353</v>
      </c>
      <c r="F11" s="10">
        <f t="shared" ref="F11:F12" si="0">(C11+E11)</f>
        <v>20579353</v>
      </c>
      <c r="G11" s="10">
        <f t="shared" ref="G11:G12" si="1">F11*0.2</f>
        <v>4115870.6</v>
      </c>
      <c r="H11" s="8"/>
    </row>
    <row r="12" spans="1:26" ht="16.5" customHeight="1">
      <c r="A12" s="4">
        <v>202101</v>
      </c>
      <c r="B12" s="12" t="s">
        <v>21</v>
      </c>
      <c r="C12" s="13"/>
      <c r="D12" s="13"/>
      <c r="E12" s="10">
        <v>80981627</v>
      </c>
      <c r="F12" s="10">
        <f t="shared" si="0"/>
        <v>80981627</v>
      </c>
      <c r="G12" s="10">
        <f t="shared" si="1"/>
        <v>16196325.4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20579353</v>
      </c>
      <c r="E13" s="10">
        <f t="shared" si="2"/>
        <v>16579353</v>
      </c>
      <c r="F13" s="10">
        <f t="shared" ref="F13:G13" si="3">SUM(F11:F12)</f>
        <v>101560980</v>
      </c>
      <c r="G13" s="14">
        <f t="shared" si="3"/>
        <v>20312196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47" t="s">
        <v>23</v>
      </c>
      <c r="B15" s="48"/>
      <c r="C15" s="48"/>
      <c r="D15" s="48"/>
      <c r="E15" s="48"/>
      <c r="F15" s="48"/>
      <c r="G15" s="11"/>
      <c r="H15" s="11"/>
    </row>
    <row r="16" spans="1:26" ht="11.25" customHeight="1">
      <c r="A16" s="47" t="s">
        <v>24</v>
      </c>
      <c r="B16" s="48"/>
      <c r="C16" s="48"/>
      <c r="D16" s="48"/>
      <c r="E16" s="48"/>
      <c r="F16" s="48"/>
      <c r="G16" s="11"/>
      <c r="H16" s="11"/>
    </row>
    <row r="17" spans="1:26" ht="11.25" customHeight="1">
      <c r="A17" s="47" t="s">
        <v>25</v>
      </c>
      <c r="B17" s="48"/>
      <c r="C17" s="48"/>
      <c r="D17" s="48"/>
      <c r="E17" s="48"/>
      <c r="F17" s="48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9" t="s">
        <v>26</v>
      </c>
      <c r="B18" s="48"/>
      <c r="C18" s="48"/>
      <c r="D18" s="48"/>
      <c r="E18" s="48"/>
      <c r="F18" s="48"/>
      <c r="G18" s="48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7" t="s">
        <v>27</v>
      </c>
      <c r="B19" s="48"/>
      <c r="C19" s="48"/>
      <c r="D19" s="48"/>
      <c r="E19" s="48"/>
      <c r="F19" s="48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G13</f>
        <v>23772737.400000002</v>
      </c>
      <c r="C4" s="10">
        <f>B4</f>
        <v>23772737.400000002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4000000</v>
      </c>
      <c r="D11" s="10">
        <v>22889085</v>
      </c>
      <c r="E11" s="10">
        <f>D11-C11</f>
        <v>18889085</v>
      </c>
      <c r="F11" s="10">
        <f t="shared" ref="F11:F12" si="0">(C11+E11)</f>
        <v>22889085</v>
      </c>
      <c r="G11" s="10">
        <f t="shared" ref="G11:G12" si="1">F11*0.2</f>
        <v>4577817</v>
      </c>
      <c r="H11" s="8"/>
    </row>
    <row r="12" spans="1:26" ht="16.5" customHeight="1">
      <c r="A12" s="4">
        <v>202102</v>
      </c>
      <c r="B12" s="12" t="s">
        <v>21</v>
      </c>
      <c r="C12" s="13"/>
      <c r="D12" s="13"/>
      <c r="E12" s="10">
        <v>95974602</v>
      </c>
      <c r="F12" s="10">
        <f t="shared" si="0"/>
        <v>95974602</v>
      </c>
      <c r="G12" s="10">
        <f t="shared" si="1"/>
        <v>19194920.400000002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22889085</v>
      </c>
      <c r="E13" s="10">
        <f t="shared" si="2"/>
        <v>18889085</v>
      </c>
      <c r="F13" s="10">
        <f t="shared" ref="F13:G13" si="3">SUM(F11:F12)</f>
        <v>118863687</v>
      </c>
      <c r="G13" s="14">
        <f t="shared" si="3"/>
        <v>23772737.400000002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47" t="s">
        <v>23</v>
      </c>
      <c r="B15" s="48"/>
      <c r="C15" s="48"/>
      <c r="D15" s="48"/>
      <c r="E15" s="48"/>
      <c r="F15" s="48"/>
      <c r="G15" s="11"/>
      <c r="H15" s="11"/>
    </row>
    <row r="16" spans="1:26" ht="11.25" customHeight="1">
      <c r="A16" s="47" t="s">
        <v>24</v>
      </c>
      <c r="B16" s="48"/>
      <c r="C16" s="48"/>
      <c r="D16" s="48"/>
      <c r="E16" s="48"/>
      <c r="F16" s="48"/>
      <c r="G16" s="11"/>
      <c r="H16" s="11"/>
    </row>
    <row r="17" spans="1:26" ht="11.25" customHeight="1">
      <c r="A17" s="47" t="s">
        <v>25</v>
      </c>
      <c r="B17" s="48"/>
      <c r="C17" s="48"/>
      <c r="D17" s="48"/>
      <c r="E17" s="48"/>
      <c r="F17" s="48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9" t="s">
        <v>26</v>
      </c>
      <c r="B18" s="48"/>
      <c r="C18" s="48"/>
      <c r="D18" s="48"/>
      <c r="E18" s="48"/>
      <c r="F18" s="48"/>
      <c r="G18" s="48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7" t="s">
        <v>27</v>
      </c>
      <c r="B19" s="48"/>
      <c r="C19" s="48"/>
      <c r="D19" s="48"/>
      <c r="E19" s="48"/>
      <c r="F19" s="48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G16</f>
        <v>37972235.000000007</v>
      </c>
      <c r="C4" s="10">
        <f>B4</f>
        <v>37972235.000000007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28167393</v>
      </c>
      <c r="E11" s="10">
        <v>24167393</v>
      </c>
      <c r="F11" s="10">
        <f t="shared" ref="F11:F15" si="0">(C11+E11)</f>
        <v>28167393</v>
      </c>
      <c r="G11" s="10">
        <f t="shared" ref="G11:G15" si="1">F11*0.2</f>
        <v>5633478.6000000006</v>
      </c>
      <c r="H11" s="8"/>
    </row>
    <row r="12" spans="1:26" ht="16.5" customHeight="1">
      <c r="A12" s="4">
        <v>202103</v>
      </c>
      <c r="B12" s="12" t="s">
        <v>21</v>
      </c>
      <c r="C12" s="13"/>
      <c r="D12" s="13"/>
      <c r="E12" s="10">
        <v>155663431</v>
      </c>
      <c r="F12" s="10">
        <f t="shared" si="0"/>
        <v>155663431</v>
      </c>
      <c r="G12" s="10">
        <f t="shared" si="1"/>
        <v>31132686.200000003</v>
      </c>
      <c r="H12" s="8"/>
    </row>
    <row r="13" spans="1:26" ht="16.5" customHeight="1">
      <c r="A13" s="4">
        <v>202103</v>
      </c>
      <c r="B13" s="12" t="s">
        <v>28</v>
      </c>
      <c r="C13" s="13"/>
      <c r="D13" s="13"/>
      <c r="E13" s="10">
        <v>30351</v>
      </c>
      <c r="F13" s="10">
        <f t="shared" si="0"/>
        <v>30351</v>
      </c>
      <c r="G13" s="10">
        <f t="shared" si="1"/>
        <v>6070.2000000000007</v>
      </c>
      <c r="H13" s="8"/>
    </row>
    <row r="14" spans="1:26" ht="16.5" customHeight="1">
      <c r="A14" s="4">
        <v>202104</v>
      </c>
      <c r="B14" s="12" t="s">
        <v>29</v>
      </c>
      <c r="C14" s="13"/>
      <c r="D14" s="13"/>
      <c r="E14" s="10">
        <v>3000000</v>
      </c>
      <c r="F14" s="10">
        <f t="shared" si="0"/>
        <v>3000000</v>
      </c>
      <c r="G14" s="10">
        <f t="shared" si="1"/>
        <v>600000</v>
      </c>
      <c r="H14" s="8"/>
    </row>
    <row r="15" spans="1:26" ht="16.5" customHeight="1">
      <c r="A15" s="4">
        <v>202104</v>
      </c>
      <c r="B15" s="12" t="s">
        <v>30</v>
      </c>
      <c r="C15" s="13"/>
      <c r="D15" s="13"/>
      <c r="E15" s="10">
        <v>3000000</v>
      </c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 t="s">
        <v>22</v>
      </c>
      <c r="B16" s="12"/>
      <c r="C16" s="10">
        <f t="shared" ref="C16:G16" si="2">SUM(C11:C15)</f>
        <v>4000000</v>
      </c>
      <c r="D16" s="10">
        <f t="shared" si="2"/>
        <v>28167393</v>
      </c>
      <c r="E16" s="10">
        <f t="shared" si="2"/>
        <v>185861175</v>
      </c>
      <c r="F16" s="10">
        <f t="shared" si="2"/>
        <v>189861175</v>
      </c>
      <c r="G16" s="14">
        <f t="shared" si="2"/>
        <v>37972235.000000007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47" t="s">
        <v>23</v>
      </c>
      <c r="B18" s="48"/>
      <c r="C18" s="48"/>
      <c r="D18" s="48"/>
      <c r="E18" s="48"/>
      <c r="F18" s="48"/>
      <c r="G18" s="11"/>
      <c r="H18" s="11"/>
    </row>
    <row r="19" spans="1:26" ht="11.25" customHeight="1">
      <c r="A19" s="47" t="s">
        <v>24</v>
      </c>
      <c r="B19" s="48"/>
      <c r="C19" s="48"/>
      <c r="D19" s="48"/>
      <c r="E19" s="48"/>
      <c r="F19" s="48"/>
      <c r="G19" s="11"/>
      <c r="H19" s="11"/>
    </row>
    <row r="20" spans="1:26" ht="11.25" customHeight="1">
      <c r="A20" s="47" t="s">
        <v>25</v>
      </c>
      <c r="B20" s="48"/>
      <c r="C20" s="48"/>
      <c r="D20" s="48"/>
      <c r="E20" s="48"/>
      <c r="F20" s="48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9" t="s">
        <v>26</v>
      </c>
      <c r="B21" s="48"/>
      <c r="C21" s="48"/>
      <c r="D21" s="48"/>
      <c r="E21" s="48"/>
      <c r="F21" s="48"/>
      <c r="G21" s="48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27</v>
      </c>
      <c r="B22" s="48"/>
      <c r="C22" s="48"/>
      <c r="D22" s="48"/>
      <c r="E22" s="48"/>
      <c r="F22" s="48"/>
      <c r="G22" s="11"/>
      <c r="H22" s="11"/>
    </row>
    <row r="23" spans="1:26" ht="16.5" customHeight="1">
      <c r="A23" s="15"/>
      <c r="B23" s="15"/>
      <c r="C23" s="15"/>
      <c r="D23" s="15"/>
      <c r="E23" s="16"/>
      <c r="F23" s="8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0:F20"/>
    <mergeCell ref="A21:G21"/>
    <mergeCell ref="A22:F22"/>
    <mergeCell ref="A2:C2"/>
    <mergeCell ref="A6:F6"/>
    <mergeCell ref="A9:D9"/>
    <mergeCell ref="A18:F18"/>
    <mergeCell ref="A19:F19"/>
  </mergeCells>
  <phoneticPr fontId="1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G15</f>
        <v>39478797.600000001</v>
      </c>
      <c r="C4" s="10">
        <f>B4</f>
        <v>39478797.600000001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30506441</v>
      </c>
      <c r="E11" s="10">
        <f>D11-C11</f>
        <v>25506441</v>
      </c>
      <c r="F11" s="10">
        <f t="shared" ref="F11:F14" si="0">(C11+E11)</f>
        <v>30506441</v>
      </c>
      <c r="G11" s="10">
        <f t="shared" ref="G11:G14" si="1">F11*0.2</f>
        <v>6101288.2000000002</v>
      </c>
      <c r="H11" s="8"/>
    </row>
    <row r="12" spans="1:26" ht="16.5" customHeight="1">
      <c r="A12" s="4">
        <v>202104</v>
      </c>
      <c r="B12" s="12" t="s">
        <v>21</v>
      </c>
      <c r="C12" s="13"/>
      <c r="D12" s="13"/>
      <c r="E12" s="10">
        <v>166887547</v>
      </c>
      <c r="F12" s="10">
        <f t="shared" si="0"/>
        <v>166887547</v>
      </c>
      <c r="G12" s="10">
        <f t="shared" si="1"/>
        <v>33377509.400000002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5000000</v>
      </c>
      <c r="D15" s="10">
        <f t="shared" si="2"/>
        <v>30506441</v>
      </c>
      <c r="E15" s="10">
        <f t="shared" si="2"/>
        <v>192393988</v>
      </c>
      <c r="F15" s="10">
        <f t="shared" si="2"/>
        <v>197393988</v>
      </c>
      <c r="G15" s="14">
        <f t="shared" si="2"/>
        <v>39478797.600000001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47" t="s">
        <v>23</v>
      </c>
      <c r="B17" s="48"/>
      <c r="C17" s="48"/>
      <c r="D17" s="48"/>
      <c r="E17" s="48"/>
      <c r="F17" s="48"/>
      <c r="G17" s="11"/>
      <c r="H17" s="11"/>
    </row>
    <row r="18" spans="1:26" ht="11.25" customHeight="1">
      <c r="A18" s="47" t="s">
        <v>24</v>
      </c>
      <c r="B18" s="48"/>
      <c r="C18" s="48"/>
      <c r="D18" s="48"/>
      <c r="E18" s="48"/>
      <c r="F18" s="48"/>
      <c r="G18" s="11"/>
      <c r="H18" s="11"/>
    </row>
    <row r="19" spans="1:26" ht="11.25" customHeight="1">
      <c r="A19" s="47" t="s">
        <v>25</v>
      </c>
      <c r="B19" s="48"/>
      <c r="C19" s="48"/>
      <c r="D19" s="48"/>
      <c r="E19" s="48"/>
      <c r="F19" s="48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9" t="s">
        <v>26</v>
      </c>
      <c r="B20" s="48"/>
      <c r="C20" s="48"/>
      <c r="D20" s="48"/>
      <c r="E20" s="48"/>
      <c r="F20" s="48"/>
      <c r="G20" s="48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7" t="s">
        <v>27</v>
      </c>
      <c r="B21" s="48"/>
      <c r="C21" s="48"/>
      <c r="D21" s="48"/>
      <c r="E21" s="48"/>
      <c r="F21" s="48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G15</f>
        <v>36421399</v>
      </c>
      <c r="C4" s="10">
        <f>B4</f>
        <v>36421399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4000000</v>
      </c>
      <c r="D11" s="10">
        <v>29598391</v>
      </c>
      <c r="E11" s="10">
        <f>D11-C11</f>
        <v>25598391</v>
      </c>
      <c r="F11" s="10">
        <f t="shared" ref="F11:F14" si="0">(C11+E11)</f>
        <v>29598391</v>
      </c>
      <c r="G11" s="10">
        <f t="shared" ref="G11:G14" si="1">F11*0.2</f>
        <v>5919678.2000000002</v>
      </c>
      <c r="H11" s="8"/>
    </row>
    <row r="12" spans="1:26" ht="16.5" customHeight="1">
      <c r="A12" s="4">
        <v>202105</v>
      </c>
      <c r="B12" s="12" t="s">
        <v>21</v>
      </c>
      <c r="C12" s="13"/>
      <c r="D12" s="13"/>
      <c r="E12" s="10">
        <v>152508604</v>
      </c>
      <c r="F12" s="10">
        <f t="shared" si="0"/>
        <v>152508604</v>
      </c>
      <c r="G12" s="10">
        <f t="shared" si="1"/>
        <v>30501720.800000001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4000000</v>
      </c>
      <c r="D15" s="10">
        <f t="shared" si="2"/>
        <v>29598391</v>
      </c>
      <c r="E15" s="10">
        <f t="shared" si="2"/>
        <v>178106995</v>
      </c>
      <c r="F15" s="10">
        <f t="shared" si="2"/>
        <v>182106995</v>
      </c>
      <c r="G15" s="14">
        <f t="shared" si="2"/>
        <v>36421399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47" t="s">
        <v>23</v>
      </c>
      <c r="B17" s="48"/>
      <c r="C17" s="48"/>
      <c r="D17" s="48"/>
      <c r="E17" s="48"/>
      <c r="F17" s="48"/>
      <c r="G17" s="11"/>
      <c r="H17" s="11"/>
    </row>
    <row r="18" spans="1:26" ht="11.25" customHeight="1">
      <c r="A18" s="47" t="s">
        <v>24</v>
      </c>
      <c r="B18" s="48"/>
      <c r="C18" s="48"/>
      <c r="D18" s="48"/>
      <c r="E18" s="48"/>
      <c r="F18" s="48"/>
      <c r="G18" s="11"/>
      <c r="H18" s="11"/>
    </row>
    <row r="19" spans="1:26" ht="11.25" customHeight="1">
      <c r="A19" s="47" t="s">
        <v>25</v>
      </c>
      <c r="B19" s="48"/>
      <c r="C19" s="48"/>
      <c r="D19" s="48"/>
      <c r="E19" s="48"/>
      <c r="F19" s="48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9" t="s">
        <v>26</v>
      </c>
      <c r="B20" s="48"/>
      <c r="C20" s="48"/>
      <c r="D20" s="48"/>
      <c r="E20" s="48"/>
      <c r="F20" s="48"/>
      <c r="G20" s="48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7" t="s">
        <v>27</v>
      </c>
      <c r="B21" s="48"/>
      <c r="C21" s="48"/>
      <c r="D21" s="48"/>
      <c r="E21" s="48"/>
      <c r="F21" s="48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G15</f>
        <v>28682479.200000003</v>
      </c>
      <c r="C4" s="10">
        <f>B4</f>
        <v>28682479.200000003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12" t="s">
        <v>5</v>
      </c>
      <c r="C11" s="10">
        <v>2000000</v>
      </c>
      <c r="D11" s="10">
        <v>18469898</v>
      </c>
      <c r="E11" s="10">
        <v>16469898</v>
      </c>
      <c r="F11" s="10">
        <f t="shared" ref="F11:F14" si="0">(C11+E11)</f>
        <v>18469898</v>
      </c>
      <c r="G11" s="10">
        <f t="shared" ref="G11:G14" si="1">F11*0.2</f>
        <v>3693979.6</v>
      </c>
      <c r="H11" s="8"/>
    </row>
    <row r="12" spans="1:26" ht="16.5" customHeight="1">
      <c r="A12" s="4">
        <v>202106</v>
      </c>
      <c r="B12" s="12" t="s">
        <v>21</v>
      </c>
      <c r="C12" s="13"/>
      <c r="D12" s="13"/>
      <c r="E12" s="10">
        <v>124942498</v>
      </c>
      <c r="F12" s="10">
        <f t="shared" si="0"/>
        <v>124942498</v>
      </c>
      <c r="G12" s="10">
        <f t="shared" si="1"/>
        <v>24988499.600000001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2000000</v>
      </c>
      <c r="D15" s="10">
        <f t="shared" si="2"/>
        <v>18469898</v>
      </c>
      <c r="E15" s="10">
        <f t="shared" si="2"/>
        <v>141412396</v>
      </c>
      <c r="F15" s="10">
        <f t="shared" si="2"/>
        <v>143412396</v>
      </c>
      <c r="G15" s="14">
        <f t="shared" si="2"/>
        <v>28682479.200000003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47" t="s">
        <v>23</v>
      </c>
      <c r="B17" s="48"/>
      <c r="C17" s="48"/>
      <c r="D17" s="48"/>
      <c r="E17" s="48"/>
      <c r="F17" s="48"/>
      <c r="G17" s="11"/>
      <c r="H17" s="11"/>
    </row>
    <row r="18" spans="1:26" ht="11.25" customHeight="1">
      <c r="A18" s="47" t="s">
        <v>24</v>
      </c>
      <c r="B18" s="48"/>
      <c r="C18" s="48"/>
      <c r="D18" s="48"/>
      <c r="E18" s="48"/>
      <c r="F18" s="48"/>
      <c r="G18" s="11"/>
      <c r="H18" s="11"/>
    </row>
    <row r="19" spans="1:26" ht="11.25" customHeight="1">
      <c r="A19" s="47" t="s">
        <v>25</v>
      </c>
      <c r="B19" s="48"/>
      <c r="C19" s="48"/>
      <c r="D19" s="48"/>
      <c r="E19" s="48"/>
      <c r="F19" s="48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9" t="s">
        <v>26</v>
      </c>
      <c r="B20" s="48"/>
      <c r="C20" s="48"/>
      <c r="D20" s="48"/>
      <c r="E20" s="48"/>
      <c r="F20" s="48"/>
      <c r="G20" s="48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7" t="s">
        <v>27</v>
      </c>
      <c r="B21" s="48"/>
      <c r="C21" s="48"/>
      <c r="D21" s="48"/>
      <c r="E21" s="48"/>
      <c r="F21" s="48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G17</f>
        <v>39613380.799999997</v>
      </c>
      <c r="C4" s="10">
        <f>B4</f>
        <v>39613380.799999997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12" t="s">
        <v>5</v>
      </c>
      <c r="C11" s="10">
        <v>6000000</v>
      </c>
      <c r="D11" s="10">
        <v>44514329</v>
      </c>
      <c r="E11" s="10">
        <f>D11-C11</f>
        <v>38514329</v>
      </c>
      <c r="F11" s="10">
        <f t="shared" ref="F11:F16" si="0">(C11+E11)</f>
        <v>44514329</v>
      </c>
      <c r="G11" s="10">
        <f t="shared" ref="G11:G16" si="1">F11*0.2</f>
        <v>8902865.8000000007</v>
      </c>
      <c r="H11" s="8"/>
    </row>
    <row r="12" spans="1:26" ht="16.5" customHeight="1">
      <c r="A12" s="4">
        <v>202107</v>
      </c>
      <c r="B12" s="12" t="s">
        <v>21</v>
      </c>
      <c r="C12" s="13"/>
      <c r="D12" s="13"/>
      <c r="E12" s="10">
        <v>130552575</v>
      </c>
      <c r="F12" s="10">
        <f t="shared" si="0"/>
        <v>130552575</v>
      </c>
      <c r="G12" s="10">
        <f t="shared" si="1"/>
        <v>26110515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>
        <v>202108</v>
      </c>
      <c r="B15" s="12" t="s">
        <v>34</v>
      </c>
      <c r="C15" s="10">
        <v>3000000</v>
      </c>
      <c r="D15" s="13"/>
      <c r="E15" s="13"/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>
        <v>202108</v>
      </c>
      <c r="B16" s="12" t="s">
        <v>35</v>
      </c>
      <c r="C16" s="10">
        <v>20000000</v>
      </c>
      <c r="D16" s="13"/>
      <c r="E16" s="13"/>
      <c r="F16" s="10">
        <f t="shared" si="0"/>
        <v>20000000</v>
      </c>
      <c r="G16" s="10">
        <f t="shared" si="1"/>
        <v>4000000</v>
      </c>
      <c r="H16" s="8"/>
    </row>
    <row r="17" spans="1:26" ht="16.5" customHeight="1">
      <c r="A17" s="4" t="s">
        <v>22</v>
      </c>
      <c r="B17" s="12"/>
      <c r="C17" s="10">
        <f t="shared" ref="C17:G17" si="2">SUM(C11:C16)</f>
        <v>29000000</v>
      </c>
      <c r="D17" s="10">
        <f t="shared" si="2"/>
        <v>44514329</v>
      </c>
      <c r="E17" s="10">
        <f t="shared" si="2"/>
        <v>169066904</v>
      </c>
      <c r="F17" s="10">
        <f t="shared" si="2"/>
        <v>198066904</v>
      </c>
      <c r="G17" s="14">
        <f t="shared" si="2"/>
        <v>39613380.799999997</v>
      </c>
      <c r="H17" s="8"/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47" t="s">
        <v>23</v>
      </c>
      <c r="B19" s="48"/>
      <c r="C19" s="48"/>
      <c r="D19" s="48"/>
      <c r="E19" s="48"/>
      <c r="F19" s="48"/>
      <c r="G19" s="11"/>
      <c r="H19" s="11"/>
    </row>
    <row r="20" spans="1:26" ht="11.25" customHeight="1">
      <c r="A20" s="47" t="s">
        <v>24</v>
      </c>
      <c r="B20" s="48"/>
      <c r="C20" s="48"/>
      <c r="D20" s="48"/>
      <c r="E20" s="48"/>
      <c r="F20" s="48"/>
      <c r="G20" s="11"/>
      <c r="H20" s="11"/>
    </row>
    <row r="21" spans="1:26" ht="11.25" customHeight="1">
      <c r="A21" s="47" t="s">
        <v>25</v>
      </c>
      <c r="B21" s="48"/>
      <c r="C21" s="48"/>
      <c r="D21" s="48"/>
      <c r="E21" s="48"/>
      <c r="F21" s="48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26</v>
      </c>
      <c r="B22" s="48"/>
      <c r="C22" s="48"/>
      <c r="D22" s="48"/>
      <c r="E22" s="48"/>
      <c r="F22" s="48"/>
      <c r="G22" s="48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27</v>
      </c>
      <c r="B23" s="48"/>
      <c r="C23" s="48"/>
      <c r="D23" s="48"/>
      <c r="E23" s="48"/>
      <c r="F23" s="48"/>
      <c r="G23" s="11"/>
      <c r="H23" s="11"/>
    </row>
    <row r="24" spans="1:26" ht="16.5" customHeight="1">
      <c r="A24" s="15"/>
      <c r="B24" s="15"/>
      <c r="C24" s="15"/>
      <c r="D24" s="15"/>
      <c r="E24" s="16"/>
      <c r="F24" s="8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1:F21"/>
    <mergeCell ref="A22:G22"/>
    <mergeCell ref="A23:F23"/>
    <mergeCell ref="A2:C2"/>
    <mergeCell ref="A6:F6"/>
    <mergeCell ref="A9:D9"/>
    <mergeCell ref="A19:F19"/>
    <mergeCell ref="A20:F20"/>
  </mergeCells>
  <phoneticPr fontId="13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G18</f>
        <v>22122413.399999999</v>
      </c>
      <c r="C4" s="10">
        <f>B4</f>
        <v>22122413.399999999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12" t="s">
        <v>5</v>
      </c>
      <c r="C11" s="10">
        <v>4000000</v>
      </c>
      <c r="D11" s="10">
        <v>22641032</v>
      </c>
      <c r="E11" s="10">
        <f t="shared" ref="E11:E12" si="0">D11-C11</f>
        <v>18641032</v>
      </c>
      <c r="F11" s="10">
        <f t="shared" ref="F11:F17" si="1">(C11+E11)</f>
        <v>22641032</v>
      </c>
      <c r="G11" s="10">
        <f t="shared" ref="G11:G17" si="2">F11*0.2</f>
        <v>4528206.4000000004</v>
      </c>
      <c r="H11" s="8"/>
    </row>
    <row r="12" spans="1:26" ht="16.5" customHeight="1">
      <c r="A12" s="4">
        <v>202109</v>
      </c>
      <c r="B12" s="12" t="s">
        <v>36</v>
      </c>
      <c r="C12" s="13"/>
      <c r="D12" s="10">
        <v>7048648</v>
      </c>
      <c r="E12" s="10">
        <f t="shared" si="0"/>
        <v>7048648</v>
      </c>
      <c r="F12" s="10">
        <f t="shared" si="1"/>
        <v>7048648</v>
      </c>
      <c r="G12" s="10">
        <f t="shared" si="2"/>
        <v>1409729.6</v>
      </c>
      <c r="H12" s="8"/>
    </row>
    <row r="13" spans="1:26" ht="16.5" customHeight="1">
      <c r="A13" s="4">
        <v>202108</v>
      </c>
      <c r="B13" s="12" t="s">
        <v>21</v>
      </c>
      <c r="C13" s="13"/>
      <c r="D13" s="13"/>
      <c r="E13" s="10">
        <v>80922387</v>
      </c>
      <c r="F13" s="10">
        <f t="shared" si="1"/>
        <v>80922387</v>
      </c>
      <c r="G13" s="10">
        <f t="shared" si="2"/>
        <v>16184477.4</v>
      </c>
      <c r="H13" s="8"/>
    </row>
    <row r="14" spans="1:26" ht="16.5" customHeight="1">
      <c r="A14" s="4" t="s">
        <v>31</v>
      </c>
      <c r="B14" s="12" t="s">
        <v>32</v>
      </c>
      <c r="C14" s="13"/>
      <c r="D14" s="13"/>
      <c r="E14" s="10">
        <v>0</v>
      </c>
      <c r="F14" s="10">
        <f t="shared" si="1"/>
        <v>0</v>
      </c>
      <c r="G14" s="10">
        <f t="shared" si="2"/>
        <v>0</v>
      </c>
      <c r="H14" s="8"/>
    </row>
    <row r="15" spans="1:26" ht="16.5" customHeight="1">
      <c r="A15" s="4" t="s">
        <v>31</v>
      </c>
      <c r="B15" s="12" t="s">
        <v>33</v>
      </c>
      <c r="C15" s="13"/>
      <c r="D15" s="13"/>
      <c r="E15" s="10">
        <v>0</v>
      </c>
      <c r="F15" s="10">
        <f t="shared" si="1"/>
        <v>0</v>
      </c>
      <c r="G15" s="10">
        <f t="shared" si="2"/>
        <v>0</v>
      </c>
      <c r="H15" s="8"/>
    </row>
    <row r="16" spans="1:26" ht="16.5" customHeight="1">
      <c r="A16" s="4" t="s">
        <v>31</v>
      </c>
      <c r="B16" s="12" t="s">
        <v>34</v>
      </c>
      <c r="C16" s="13"/>
      <c r="D16" s="13"/>
      <c r="E16" s="10">
        <v>0</v>
      </c>
      <c r="F16" s="10">
        <f t="shared" si="1"/>
        <v>0</v>
      </c>
      <c r="G16" s="10">
        <f t="shared" si="2"/>
        <v>0</v>
      </c>
      <c r="H16" s="8"/>
    </row>
    <row r="17" spans="1:26" ht="16.5" customHeight="1">
      <c r="A17" s="4" t="s">
        <v>31</v>
      </c>
      <c r="B17" s="12" t="s">
        <v>35</v>
      </c>
      <c r="C17" s="13"/>
      <c r="D17" s="13"/>
      <c r="E17" s="10">
        <v>0</v>
      </c>
      <c r="F17" s="10">
        <f t="shared" si="1"/>
        <v>0</v>
      </c>
      <c r="G17" s="10">
        <f t="shared" si="2"/>
        <v>0</v>
      </c>
      <c r="H17" s="8"/>
    </row>
    <row r="18" spans="1:26" ht="16.5" customHeight="1">
      <c r="A18" s="4" t="s">
        <v>22</v>
      </c>
      <c r="B18" s="12"/>
      <c r="C18" s="10">
        <f t="shared" ref="C18:G18" si="3">SUM(C11:C17)</f>
        <v>4000000</v>
      </c>
      <c r="D18" s="10">
        <f t="shared" si="3"/>
        <v>29689680</v>
      </c>
      <c r="E18" s="10">
        <f t="shared" si="3"/>
        <v>106612067</v>
      </c>
      <c r="F18" s="10">
        <f t="shared" si="3"/>
        <v>110612067</v>
      </c>
      <c r="G18" s="14">
        <f t="shared" si="3"/>
        <v>22122413.399999999</v>
      </c>
      <c r="H18" s="8"/>
    </row>
    <row r="19" spans="1:26" ht="16.5" customHeight="1">
      <c r="A19" s="5"/>
      <c r="B19" s="5"/>
      <c r="C19" s="5"/>
      <c r="D19" s="5"/>
      <c r="E19" s="5"/>
      <c r="F19" s="5"/>
      <c r="G19" s="5"/>
      <c r="H19" s="5"/>
    </row>
    <row r="20" spans="1:26" ht="11.25" customHeight="1">
      <c r="A20" s="47" t="s">
        <v>23</v>
      </c>
      <c r="B20" s="48"/>
      <c r="C20" s="48"/>
      <c r="D20" s="48"/>
      <c r="E20" s="48"/>
      <c r="F20" s="48"/>
      <c r="G20" s="11"/>
      <c r="H20" s="11"/>
    </row>
    <row r="21" spans="1:26" ht="11.25" customHeight="1">
      <c r="A21" s="47" t="s">
        <v>24</v>
      </c>
      <c r="B21" s="48"/>
      <c r="C21" s="48"/>
      <c r="D21" s="48"/>
      <c r="E21" s="48"/>
      <c r="F21" s="48"/>
      <c r="G21" s="11"/>
      <c r="H21" s="11"/>
    </row>
    <row r="22" spans="1:26" ht="11.25" customHeight="1">
      <c r="A22" s="47" t="s">
        <v>25</v>
      </c>
      <c r="B22" s="48"/>
      <c r="C22" s="48"/>
      <c r="D22" s="48"/>
      <c r="E22" s="48"/>
      <c r="F22" s="48"/>
      <c r="G22" s="11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9" t="s">
        <v>26</v>
      </c>
      <c r="B23" s="48"/>
      <c r="C23" s="48"/>
      <c r="D23" s="48"/>
      <c r="E23" s="48"/>
      <c r="F23" s="48"/>
      <c r="G23" s="48"/>
      <c r="H23" s="1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47" t="s">
        <v>27</v>
      </c>
      <c r="B24" s="48"/>
      <c r="C24" s="48"/>
      <c r="D24" s="48"/>
      <c r="E24" s="48"/>
      <c r="F24" s="48"/>
      <c r="G24" s="11"/>
      <c r="H24" s="11"/>
    </row>
    <row r="25" spans="1:26" ht="16.5" customHeight="1">
      <c r="A25" s="15"/>
      <c r="B25" s="15"/>
      <c r="C25" s="15"/>
      <c r="D25" s="15"/>
      <c r="E25" s="16"/>
      <c r="F25" s="8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8"/>
      <c r="H26" s="8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2:F22"/>
    <mergeCell ref="A23:G23"/>
    <mergeCell ref="A24:F24"/>
    <mergeCell ref="A2:C2"/>
    <mergeCell ref="A6:F6"/>
    <mergeCell ref="A9:D9"/>
    <mergeCell ref="A20:F20"/>
    <mergeCell ref="A21:F21"/>
  </mergeCells>
  <phoneticPr fontId="13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I17</f>
        <v>17535630.399999999</v>
      </c>
      <c r="C4" s="10">
        <f>B4</f>
        <v>17535630.399999999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12" t="s">
        <v>39</v>
      </c>
      <c r="C11" s="10">
        <v>5000000</v>
      </c>
      <c r="D11" s="10">
        <v>28614388</v>
      </c>
      <c r="E11" s="10">
        <v>14726087</v>
      </c>
      <c r="F11" s="13"/>
      <c r="G11" s="10">
        <f>(D11+E11)-C11</f>
        <v>38340475</v>
      </c>
      <c r="H11" s="10">
        <f>(C11+G11)</f>
        <v>43340475</v>
      </c>
      <c r="I11" s="10">
        <f t="shared" ref="I11:I16" si="0">H11*0.2</f>
        <v>8668095</v>
      </c>
    </row>
    <row r="12" spans="1:26" ht="16.5" customHeight="1">
      <c r="A12" s="4">
        <v>202109</v>
      </c>
      <c r="B12" s="12" t="s">
        <v>40</v>
      </c>
      <c r="C12" s="13"/>
      <c r="D12" s="13"/>
      <c r="E12" s="13"/>
      <c r="F12" s="18">
        <v>44337677</v>
      </c>
      <c r="G12" s="13"/>
      <c r="H12" s="10">
        <f>F12</f>
        <v>44337677</v>
      </c>
      <c r="I12" s="10">
        <f t="shared" si="0"/>
        <v>8867535.4000000004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5000000</v>
      </c>
      <c r="D17" s="10">
        <f t="shared" si="2"/>
        <v>28614388</v>
      </c>
      <c r="E17" s="10"/>
      <c r="F17" s="10">
        <f t="shared" ref="F17:I17" si="3">SUM(F11:F16)</f>
        <v>44337677</v>
      </c>
      <c r="G17" s="10">
        <f t="shared" si="3"/>
        <v>38340475</v>
      </c>
      <c r="H17" s="10">
        <f t="shared" si="3"/>
        <v>87678152</v>
      </c>
      <c r="I17" s="14">
        <f t="shared" si="3"/>
        <v>17535630.399999999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7" t="s">
        <v>23</v>
      </c>
      <c r="B19" s="48"/>
      <c r="C19" s="48"/>
      <c r="D19" s="48"/>
      <c r="E19" s="48"/>
      <c r="F19" s="48"/>
      <c r="G19" s="48"/>
      <c r="H19" s="11"/>
      <c r="I19" s="11"/>
    </row>
    <row r="20" spans="1:26" ht="11.25" customHeight="1">
      <c r="A20" s="47" t="s">
        <v>24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25</v>
      </c>
      <c r="B21" s="48"/>
      <c r="C21" s="48"/>
      <c r="D21" s="48"/>
      <c r="E21" s="48"/>
      <c r="F21" s="48"/>
      <c r="G21" s="48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26</v>
      </c>
      <c r="B22" s="48"/>
      <c r="C22" s="48"/>
      <c r="D22" s="48"/>
      <c r="E22" s="48"/>
      <c r="F22" s="48"/>
      <c r="G22" s="48"/>
      <c r="H22" s="48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27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45</v>
      </c>
      <c r="B24" s="48"/>
      <c r="C24" s="48"/>
      <c r="D24" s="48"/>
      <c r="E24" s="48"/>
      <c r="F24" s="48"/>
      <c r="G24" s="48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I17</f>
        <v>21659543.199999999</v>
      </c>
      <c r="C4" s="10">
        <f>B4</f>
        <v>21659543.199999999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12" t="s">
        <v>39</v>
      </c>
      <c r="C11" s="10">
        <v>4000000</v>
      </c>
      <c r="D11" s="10">
        <v>24288611</v>
      </c>
      <c r="E11" s="10">
        <v>6770735</v>
      </c>
      <c r="F11" s="13"/>
      <c r="G11" s="10">
        <f>(D11+E11)-C11</f>
        <v>27059346</v>
      </c>
      <c r="H11" s="10">
        <f>(C11+G11)</f>
        <v>31059346</v>
      </c>
      <c r="I11" s="10">
        <f t="shared" ref="I11:I16" si="0">H11*0.2</f>
        <v>6211869.2000000002</v>
      </c>
    </row>
    <row r="12" spans="1:26" ht="16.5" customHeight="1">
      <c r="A12" s="4">
        <v>202110</v>
      </c>
      <c r="B12" s="12" t="s">
        <v>40</v>
      </c>
      <c r="C12" s="13"/>
      <c r="D12" s="13"/>
      <c r="E12" s="13"/>
      <c r="F12" s="18">
        <v>77238370</v>
      </c>
      <c r="G12" s="13"/>
      <c r="H12" s="10">
        <f>F12</f>
        <v>77238370</v>
      </c>
      <c r="I12" s="10">
        <f t="shared" si="0"/>
        <v>15447674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24288611</v>
      </c>
      <c r="E17" s="10"/>
      <c r="F17" s="10">
        <f t="shared" ref="F17:I17" si="3">SUM(F11:F16)</f>
        <v>77238370</v>
      </c>
      <c r="G17" s="10">
        <f t="shared" si="3"/>
        <v>27059346</v>
      </c>
      <c r="H17" s="10">
        <f t="shared" si="3"/>
        <v>108297716</v>
      </c>
      <c r="I17" s="14">
        <f t="shared" si="3"/>
        <v>21659543.199999999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7" t="s">
        <v>23</v>
      </c>
      <c r="B19" s="48"/>
      <c r="C19" s="48"/>
      <c r="D19" s="48"/>
      <c r="E19" s="48"/>
      <c r="F19" s="48"/>
      <c r="G19" s="48"/>
      <c r="H19" s="11"/>
      <c r="I19" s="11"/>
    </row>
    <row r="20" spans="1:26" ht="11.25" customHeight="1">
      <c r="A20" s="47" t="s">
        <v>24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25</v>
      </c>
      <c r="B21" s="48"/>
      <c r="C21" s="48"/>
      <c r="D21" s="48"/>
      <c r="E21" s="48"/>
      <c r="F21" s="48"/>
      <c r="G21" s="48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26</v>
      </c>
      <c r="B22" s="48"/>
      <c r="C22" s="48"/>
      <c r="D22" s="48"/>
      <c r="E22" s="48"/>
      <c r="F22" s="48"/>
      <c r="G22" s="48"/>
      <c r="H22" s="48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27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45</v>
      </c>
      <c r="B24" s="48"/>
      <c r="C24" s="48"/>
      <c r="D24" s="48"/>
      <c r="E24" s="48"/>
      <c r="F24" s="48"/>
      <c r="G24" s="48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I17</f>
        <v>26237641.400000002</v>
      </c>
      <c r="C4" s="10">
        <f>B4</f>
        <v>26237641.400000002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12" t="s">
        <v>39</v>
      </c>
      <c r="C11" s="10">
        <v>4000000</v>
      </c>
      <c r="D11" s="10">
        <v>29012398</v>
      </c>
      <c r="E11" s="10">
        <v>8830642</v>
      </c>
      <c r="F11" s="13"/>
      <c r="G11" s="10">
        <f>(D11+E11)-C11</f>
        <v>33843040</v>
      </c>
      <c r="H11" s="10">
        <f>(C11+G11)</f>
        <v>37843040</v>
      </c>
      <c r="I11" s="10">
        <f t="shared" ref="I11:I16" si="0">H11*0.2</f>
        <v>7568608</v>
      </c>
    </row>
    <row r="12" spans="1:26" ht="16.5" customHeight="1">
      <c r="A12" s="4">
        <v>202111</v>
      </c>
      <c r="B12" s="12" t="s">
        <v>40</v>
      </c>
      <c r="C12" s="13"/>
      <c r="D12" s="13"/>
      <c r="E12" s="13"/>
      <c r="F12" s="18">
        <v>93345167</v>
      </c>
      <c r="G12" s="13"/>
      <c r="H12" s="10">
        <f>F12</f>
        <v>93345167</v>
      </c>
      <c r="I12" s="10">
        <f t="shared" si="0"/>
        <v>18669033.400000002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29012398</v>
      </c>
      <c r="E17" s="10"/>
      <c r="F17" s="10">
        <f t="shared" ref="F17:I17" si="3">SUM(F11:F16)</f>
        <v>93345167</v>
      </c>
      <c r="G17" s="10">
        <f t="shared" si="3"/>
        <v>33843040</v>
      </c>
      <c r="H17" s="10">
        <f t="shared" si="3"/>
        <v>131188207</v>
      </c>
      <c r="I17" s="14">
        <f t="shared" si="3"/>
        <v>26237641.400000002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7" t="s">
        <v>23</v>
      </c>
      <c r="B19" s="48"/>
      <c r="C19" s="48"/>
      <c r="D19" s="48"/>
      <c r="E19" s="48"/>
      <c r="F19" s="48"/>
      <c r="G19" s="48"/>
      <c r="H19" s="11"/>
      <c r="I19" s="11"/>
    </row>
    <row r="20" spans="1:26" ht="11.25" customHeight="1">
      <c r="A20" s="47" t="s">
        <v>24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25</v>
      </c>
      <c r="B21" s="48"/>
      <c r="C21" s="48"/>
      <c r="D21" s="48"/>
      <c r="E21" s="48"/>
      <c r="F21" s="48"/>
      <c r="G21" s="48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26</v>
      </c>
      <c r="B22" s="48"/>
      <c r="C22" s="48"/>
      <c r="D22" s="48"/>
      <c r="E22" s="48"/>
      <c r="F22" s="48"/>
      <c r="G22" s="48"/>
      <c r="H22" s="48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27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45</v>
      </c>
      <c r="B24" s="48"/>
      <c r="C24" s="48"/>
      <c r="D24" s="48"/>
      <c r="E24" s="48"/>
      <c r="F24" s="48"/>
      <c r="G24" s="48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I17</f>
        <v>31337133.800000004</v>
      </c>
      <c r="C4" s="10">
        <f>B4</f>
        <v>31337133.800000004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32775263</v>
      </c>
      <c r="E11" s="10">
        <v>7217845</v>
      </c>
      <c r="F11" s="13"/>
      <c r="G11" s="10">
        <f>(D11+E11)-C11</f>
        <v>35993108</v>
      </c>
      <c r="H11" s="10">
        <f>(C11+G11)</f>
        <v>39993108</v>
      </c>
      <c r="I11" s="10">
        <f t="shared" ref="I11:I16" si="0">H11*0.2</f>
        <v>7998621.6000000006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116492327</v>
      </c>
      <c r="G12" s="13"/>
      <c r="H12" s="10">
        <f t="shared" ref="H12:H16" si="1">F12</f>
        <v>116492327</v>
      </c>
      <c r="I12" s="10">
        <f t="shared" si="0"/>
        <v>23298465.400000002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200234</v>
      </c>
      <c r="G14" s="13"/>
      <c r="H14" s="10">
        <f t="shared" si="1"/>
        <v>200234</v>
      </c>
      <c r="I14" s="10">
        <f t="shared" si="0"/>
        <v>40046.800000000003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32775263</v>
      </c>
      <c r="E17" s="10">
        <f t="shared" si="2"/>
        <v>7217845</v>
      </c>
      <c r="F17" s="10">
        <f t="shared" si="2"/>
        <v>116692561</v>
      </c>
      <c r="G17" s="10">
        <f t="shared" si="2"/>
        <v>35993108</v>
      </c>
      <c r="H17" s="10">
        <f t="shared" si="2"/>
        <v>156685669</v>
      </c>
      <c r="I17" s="14">
        <f t="shared" si="2"/>
        <v>31337133.800000004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7" t="s">
        <v>23</v>
      </c>
      <c r="B19" s="48"/>
      <c r="C19" s="48"/>
      <c r="D19" s="48"/>
      <c r="E19" s="48"/>
      <c r="F19" s="48"/>
      <c r="G19" s="48"/>
      <c r="H19" s="11"/>
      <c r="I19" s="11"/>
    </row>
    <row r="20" spans="1:26" ht="11.25" customHeight="1">
      <c r="A20" s="47" t="s">
        <v>24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25</v>
      </c>
      <c r="B21" s="48"/>
      <c r="C21" s="48"/>
      <c r="D21" s="48"/>
      <c r="E21" s="48"/>
      <c r="F21" s="48"/>
      <c r="G21" s="48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26</v>
      </c>
      <c r="B22" s="48"/>
      <c r="C22" s="48"/>
      <c r="D22" s="48"/>
      <c r="E22" s="48"/>
      <c r="F22" s="48"/>
      <c r="G22" s="48"/>
      <c r="H22" s="48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27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45</v>
      </c>
      <c r="B24" s="48"/>
      <c r="C24" s="48"/>
      <c r="D24" s="48"/>
      <c r="E24" s="48"/>
      <c r="F24" s="48"/>
      <c r="G24" s="48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I17</f>
        <v>37595537.800000004</v>
      </c>
      <c r="C4" s="10">
        <f>B4</f>
        <v>37595537.800000004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26628704</v>
      </c>
      <c r="E11" s="10">
        <v>6685270</v>
      </c>
      <c r="F11" s="13"/>
      <c r="G11" s="10">
        <f>(D11+E11)-C11</f>
        <v>29313974</v>
      </c>
      <c r="H11" s="10">
        <f>(C11+G11)</f>
        <v>33313974</v>
      </c>
      <c r="I11" s="10">
        <f t="shared" ref="I11:I16" si="0">H11*0.2</f>
        <v>6662794.8000000007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153818149</v>
      </c>
      <c r="G12" s="13"/>
      <c r="H12" s="10">
        <f t="shared" ref="H12:H16" si="1">F12</f>
        <v>153818149</v>
      </c>
      <c r="I12" s="10">
        <f t="shared" si="0"/>
        <v>30763629.800000001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845566</v>
      </c>
      <c r="G14" s="13"/>
      <c r="H14" s="10">
        <f t="shared" si="1"/>
        <v>845566</v>
      </c>
      <c r="I14" s="10">
        <f t="shared" si="0"/>
        <v>169113.2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26628704</v>
      </c>
      <c r="E17" s="10">
        <f t="shared" si="2"/>
        <v>6685270</v>
      </c>
      <c r="F17" s="10">
        <f t="shared" si="2"/>
        <v>154663715</v>
      </c>
      <c r="G17" s="10">
        <f t="shared" si="2"/>
        <v>29313974</v>
      </c>
      <c r="H17" s="10">
        <f t="shared" si="2"/>
        <v>187977689</v>
      </c>
      <c r="I17" s="14">
        <f t="shared" si="2"/>
        <v>37595537.800000004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7" t="s">
        <v>23</v>
      </c>
      <c r="B19" s="48"/>
      <c r="C19" s="48"/>
      <c r="D19" s="48"/>
      <c r="E19" s="48"/>
      <c r="F19" s="48"/>
      <c r="G19" s="48"/>
      <c r="H19" s="11"/>
      <c r="I19" s="11"/>
    </row>
    <row r="20" spans="1:26" ht="11.25" customHeight="1">
      <c r="A20" s="47" t="s">
        <v>24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25</v>
      </c>
      <c r="B21" s="48"/>
      <c r="C21" s="48"/>
      <c r="D21" s="48"/>
      <c r="E21" s="48"/>
      <c r="F21" s="48"/>
      <c r="G21" s="48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26</v>
      </c>
      <c r="B22" s="48"/>
      <c r="C22" s="48"/>
      <c r="D22" s="48"/>
      <c r="E22" s="48"/>
      <c r="F22" s="48"/>
      <c r="G22" s="48"/>
      <c r="H22" s="48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27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45</v>
      </c>
      <c r="B24" s="48"/>
      <c r="C24" s="48"/>
      <c r="D24" s="48"/>
      <c r="E24" s="48"/>
      <c r="F24" s="48"/>
      <c r="G24" s="48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I17</f>
        <v>34562932.200000003</v>
      </c>
      <c r="C4" s="10">
        <f>B4</f>
        <v>34562932.200000003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12" t="s">
        <v>39</v>
      </c>
      <c r="C11" s="10">
        <v>4000000</v>
      </c>
      <c r="D11" s="10">
        <v>33728327</v>
      </c>
      <c r="E11" s="10">
        <v>9734248</v>
      </c>
      <c r="F11" s="13"/>
      <c r="G11" s="10">
        <f>(D11+E11)-C11</f>
        <v>39462575</v>
      </c>
      <c r="H11" s="10">
        <f>(C11+G11)</f>
        <v>43462575</v>
      </c>
      <c r="I11" s="10">
        <f t="shared" ref="I11:I16" si="0">H11*0.2</f>
        <v>8692515</v>
      </c>
    </row>
    <row r="12" spans="1:26" ht="16.5" customHeight="1">
      <c r="A12" s="4">
        <v>202202</v>
      </c>
      <c r="B12" s="12" t="s">
        <v>21</v>
      </c>
      <c r="C12" s="13"/>
      <c r="D12" s="13"/>
      <c r="E12" s="13"/>
      <c r="F12" s="18">
        <v>128253188</v>
      </c>
      <c r="G12" s="13"/>
      <c r="H12" s="10">
        <f t="shared" ref="H12:H16" si="1">F12</f>
        <v>128253188</v>
      </c>
      <c r="I12" s="10">
        <f t="shared" si="0"/>
        <v>25650637.600000001</v>
      </c>
    </row>
    <row r="13" spans="1:26" ht="16.5" customHeight="1">
      <c r="A13" s="4" t="s">
        <v>31</v>
      </c>
      <c r="B13" s="12" t="s">
        <v>46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202203</v>
      </c>
      <c r="B14" s="12" t="s">
        <v>33</v>
      </c>
      <c r="C14" s="13"/>
      <c r="D14" s="13"/>
      <c r="E14" s="13"/>
      <c r="F14" s="18">
        <v>1098898</v>
      </c>
      <c r="G14" s="13"/>
      <c r="H14" s="10">
        <f t="shared" si="1"/>
        <v>1098898</v>
      </c>
      <c r="I14" s="10">
        <f t="shared" si="0"/>
        <v>219779.6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33728327</v>
      </c>
      <c r="E17" s="10">
        <f t="shared" si="2"/>
        <v>9734248</v>
      </c>
      <c r="F17" s="10">
        <f t="shared" si="2"/>
        <v>129352086</v>
      </c>
      <c r="G17" s="10">
        <f t="shared" si="2"/>
        <v>39462575</v>
      </c>
      <c r="H17" s="10">
        <f t="shared" si="2"/>
        <v>172814661</v>
      </c>
      <c r="I17" s="14">
        <f t="shared" si="2"/>
        <v>34562932.200000003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7" t="s">
        <v>23</v>
      </c>
      <c r="B19" s="48"/>
      <c r="C19" s="48"/>
      <c r="D19" s="48"/>
      <c r="E19" s="48"/>
      <c r="F19" s="48"/>
      <c r="G19" s="48"/>
      <c r="H19" s="11"/>
      <c r="I19" s="11"/>
    </row>
    <row r="20" spans="1:26" ht="11.25" customHeight="1">
      <c r="A20" s="47" t="s">
        <v>24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25</v>
      </c>
      <c r="B21" s="48"/>
      <c r="C21" s="48"/>
      <c r="D21" s="48"/>
      <c r="E21" s="48"/>
      <c r="F21" s="48"/>
      <c r="G21" s="48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26</v>
      </c>
      <c r="B22" s="48"/>
      <c r="C22" s="48"/>
      <c r="D22" s="48"/>
      <c r="E22" s="48"/>
      <c r="F22" s="48"/>
      <c r="G22" s="48"/>
      <c r="H22" s="48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27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45</v>
      </c>
      <c r="B24" s="48"/>
      <c r="C24" s="48"/>
      <c r="D24" s="48"/>
      <c r="E24" s="48"/>
      <c r="F24" s="48"/>
      <c r="G24" s="48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I20</f>
        <v>22650919</v>
      </c>
      <c r="C4" s="10">
        <f>B4</f>
        <v>22650919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2" t="s">
        <v>39</v>
      </c>
      <c r="C11" s="23">
        <v>5000000</v>
      </c>
      <c r="D11" s="23">
        <v>23123833</v>
      </c>
      <c r="E11" s="23">
        <v>6349912</v>
      </c>
      <c r="F11" s="13"/>
      <c r="G11" s="10">
        <f>(D11+E11)-C11</f>
        <v>24473745</v>
      </c>
      <c r="H11" s="10">
        <f>(C11+G11)</f>
        <v>29473745</v>
      </c>
      <c r="I11" s="10">
        <f t="shared" ref="I11:I19" si="0">H11*0.2</f>
        <v>5894749</v>
      </c>
    </row>
    <row r="12" spans="1:26" ht="16.5" customHeight="1">
      <c r="A12" s="21">
        <v>202203</v>
      </c>
      <c r="B12" s="22" t="s">
        <v>21</v>
      </c>
      <c r="C12" s="13"/>
      <c r="D12" s="13"/>
      <c r="E12" s="13"/>
      <c r="F12" s="24">
        <v>74469391</v>
      </c>
      <c r="G12" s="13"/>
      <c r="H12" s="10">
        <f t="shared" ref="H12:H18" si="1">F12</f>
        <v>74469391</v>
      </c>
      <c r="I12" s="10">
        <f t="shared" si="0"/>
        <v>14893878.200000001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202204</v>
      </c>
      <c r="B14" s="22" t="s">
        <v>33</v>
      </c>
      <c r="C14" s="13"/>
      <c r="D14" s="13"/>
      <c r="E14" s="13"/>
      <c r="F14" s="24">
        <v>1091431</v>
      </c>
      <c r="G14" s="13"/>
      <c r="H14" s="10">
        <f t="shared" si="1"/>
        <v>1091431</v>
      </c>
      <c r="I14" s="10">
        <f t="shared" si="0"/>
        <v>218286.2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202203</v>
      </c>
      <c r="B17" s="22" t="s">
        <v>47</v>
      </c>
      <c r="C17" s="13"/>
      <c r="D17" s="13"/>
      <c r="E17" s="13"/>
      <c r="F17" s="26">
        <v>4650341</v>
      </c>
      <c r="G17" s="13"/>
      <c r="H17" s="10">
        <f t="shared" si="1"/>
        <v>4650341</v>
      </c>
      <c r="I17" s="10">
        <f t="shared" si="0"/>
        <v>930068.20000000007</v>
      </c>
    </row>
    <row r="18" spans="1:26" ht="16.5" customHeight="1">
      <c r="A18" s="21">
        <v>202204</v>
      </c>
      <c r="B18" s="22" t="s">
        <v>48</v>
      </c>
      <c r="C18" s="13"/>
      <c r="D18" s="13"/>
      <c r="E18" s="13"/>
      <c r="F18" s="26">
        <v>2569687</v>
      </c>
      <c r="G18" s="13"/>
      <c r="H18" s="10">
        <f t="shared" si="1"/>
        <v>2569687</v>
      </c>
      <c r="I18" s="10">
        <f t="shared" si="0"/>
        <v>513937.4</v>
      </c>
    </row>
    <row r="19" spans="1:26" ht="16.5" customHeight="1">
      <c r="A19" s="21">
        <v>202204</v>
      </c>
      <c r="B19" s="22" t="s">
        <v>49</v>
      </c>
      <c r="C19" s="27">
        <v>1000000</v>
      </c>
      <c r="D19" s="13"/>
      <c r="E19" s="13"/>
      <c r="F19" s="28"/>
      <c r="G19" s="13"/>
      <c r="H19" s="10">
        <f>C19</f>
        <v>1000000</v>
      </c>
      <c r="I19" s="10">
        <f t="shared" si="0"/>
        <v>200000</v>
      </c>
    </row>
    <row r="20" spans="1:26" ht="16.5" customHeight="1">
      <c r="A20" s="4" t="s">
        <v>22</v>
      </c>
      <c r="B20" s="12"/>
      <c r="C20" s="10">
        <f t="shared" ref="C20:I20" si="2">SUM(C11:C19)</f>
        <v>6000000</v>
      </c>
      <c r="D20" s="10">
        <f t="shared" si="2"/>
        <v>23123833</v>
      </c>
      <c r="E20" s="10">
        <f t="shared" si="2"/>
        <v>6349912</v>
      </c>
      <c r="F20" s="10">
        <f t="shared" si="2"/>
        <v>82780850</v>
      </c>
      <c r="G20" s="10">
        <f t="shared" si="2"/>
        <v>24473745</v>
      </c>
      <c r="H20" s="10">
        <f t="shared" si="2"/>
        <v>113254595</v>
      </c>
      <c r="I20" s="14">
        <f t="shared" si="2"/>
        <v>22650919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47" t="s">
        <v>23</v>
      </c>
      <c r="B22" s="48"/>
      <c r="C22" s="48"/>
      <c r="D22" s="48"/>
      <c r="E22" s="48"/>
      <c r="F22" s="48"/>
      <c r="G22" s="48"/>
      <c r="H22" s="11"/>
      <c r="I22" s="11"/>
    </row>
    <row r="23" spans="1:26" ht="11.25" customHeight="1">
      <c r="A23" s="47" t="s">
        <v>24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25</v>
      </c>
      <c r="B24" s="48"/>
      <c r="C24" s="48"/>
      <c r="D24" s="48"/>
      <c r="E24" s="48"/>
      <c r="F24" s="48"/>
      <c r="G24" s="48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49" t="s">
        <v>26</v>
      </c>
      <c r="B25" s="48"/>
      <c r="C25" s="48"/>
      <c r="D25" s="48"/>
      <c r="E25" s="48"/>
      <c r="F25" s="48"/>
      <c r="G25" s="48"/>
      <c r="H25" s="48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47" t="s">
        <v>27</v>
      </c>
      <c r="B26" s="48"/>
      <c r="C26" s="48"/>
      <c r="D26" s="48"/>
      <c r="E26" s="48"/>
      <c r="F26" s="48"/>
      <c r="G26" s="48"/>
      <c r="H26" s="11"/>
      <c r="I26" s="11"/>
    </row>
    <row r="27" spans="1:26" ht="11.25" customHeight="1">
      <c r="A27" s="47" t="s">
        <v>45</v>
      </c>
      <c r="B27" s="48"/>
      <c r="C27" s="48"/>
      <c r="D27" s="48"/>
      <c r="E27" s="48"/>
      <c r="F27" s="48"/>
      <c r="G27" s="48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6:G26"/>
    <mergeCell ref="A27:G27"/>
    <mergeCell ref="A2:C2"/>
    <mergeCell ref="A6:G6"/>
    <mergeCell ref="A9:D9"/>
    <mergeCell ref="A22:G22"/>
    <mergeCell ref="A23:G23"/>
    <mergeCell ref="A24:G24"/>
    <mergeCell ref="A25:H25"/>
  </mergeCells>
  <phoneticPr fontId="13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C19" sqref="C19"/>
    </sheetView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202205</v>
      </c>
      <c r="B4" s="9">
        <f>I20</f>
        <v>31240577.600000005</v>
      </c>
      <c r="C4" s="10">
        <f>B4</f>
        <v>31240577.600000005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202205</v>
      </c>
      <c r="B11" s="22" t="s">
        <v>39</v>
      </c>
      <c r="C11" s="23">
        <v>4000000</v>
      </c>
      <c r="D11" s="23">
        <v>23521559</v>
      </c>
      <c r="E11" s="23">
        <v>6923318</v>
      </c>
      <c r="F11" s="13"/>
      <c r="G11" s="10">
        <f>(D11+E11)-C11</f>
        <v>26444877</v>
      </c>
      <c r="H11" s="10">
        <f>(C11+G11)</f>
        <v>30444877</v>
      </c>
      <c r="I11" s="10">
        <f t="shared" ref="I11:I19" si="0">H11*0.2</f>
        <v>6088975.4000000004</v>
      </c>
    </row>
    <row r="12" spans="1:26" ht="16.5" customHeight="1">
      <c r="A12" s="21">
        <v>202204</v>
      </c>
      <c r="B12" s="22" t="s">
        <v>21</v>
      </c>
      <c r="C12" s="13"/>
      <c r="D12" s="13"/>
      <c r="E12" s="13"/>
      <c r="F12" s="24">
        <v>125162452</v>
      </c>
      <c r="G12" s="13"/>
      <c r="H12" s="10">
        <f t="shared" ref="H12:H18" si="1">F12</f>
        <v>125162452</v>
      </c>
      <c r="I12" s="10">
        <f t="shared" si="0"/>
        <v>25032490.400000002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202205</v>
      </c>
      <c r="B14" s="22" t="s">
        <v>33</v>
      </c>
      <c r="C14" s="13"/>
      <c r="D14" s="13"/>
      <c r="E14" s="13"/>
      <c r="F14" s="24">
        <v>595559</v>
      </c>
      <c r="G14" s="13"/>
      <c r="H14" s="10">
        <f t="shared" si="1"/>
        <v>595559</v>
      </c>
      <c r="I14" s="10">
        <f t="shared" si="0"/>
        <v>119111.8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202204</v>
      </c>
      <c r="B17" s="22" t="s">
        <v>47</v>
      </c>
      <c r="C17" s="13"/>
      <c r="D17" s="13"/>
      <c r="E17" s="13"/>
      <c r="F17" s="26">
        <v>0</v>
      </c>
      <c r="G17" s="13"/>
      <c r="H17" s="10">
        <f t="shared" si="1"/>
        <v>0</v>
      </c>
      <c r="I17" s="10">
        <f t="shared" si="0"/>
        <v>0</v>
      </c>
    </row>
    <row r="18" spans="1:26" ht="16.5" customHeight="1">
      <c r="A18" s="21">
        <v>202205</v>
      </c>
      <c r="B18" s="22" t="s">
        <v>48</v>
      </c>
      <c r="C18" s="13"/>
      <c r="D18" s="13"/>
      <c r="E18" s="13"/>
      <c r="F18" s="26">
        <v>0</v>
      </c>
      <c r="G18" s="13"/>
      <c r="H18" s="10">
        <f t="shared" si="1"/>
        <v>0</v>
      </c>
      <c r="I18" s="10">
        <f t="shared" si="0"/>
        <v>0</v>
      </c>
    </row>
    <row r="19" spans="1:26" ht="16.5" customHeight="1">
      <c r="A19" s="21">
        <v>202205</v>
      </c>
      <c r="B19" s="22" t="s">
        <v>49</v>
      </c>
      <c r="C19" s="27">
        <v>0</v>
      </c>
      <c r="D19" s="13"/>
      <c r="E19" s="13"/>
      <c r="F19" s="28"/>
      <c r="G19" s="13"/>
      <c r="H19" s="10">
        <f>C19</f>
        <v>0</v>
      </c>
      <c r="I19" s="10">
        <f t="shared" si="0"/>
        <v>0</v>
      </c>
    </row>
    <row r="20" spans="1:26" ht="16.5" customHeight="1">
      <c r="A20" s="4" t="s">
        <v>22</v>
      </c>
      <c r="B20" s="12"/>
      <c r="C20" s="10">
        <f t="shared" ref="C20:I20" si="2">SUM(C11:C19)</f>
        <v>4000000</v>
      </c>
      <c r="D20" s="10">
        <f t="shared" si="2"/>
        <v>23521559</v>
      </c>
      <c r="E20" s="10">
        <f t="shared" si="2"/>
        <v>6923318</v>
      </c>
      <c r="F20" s="10">
        <f t="shared" si="2"/>
        <v>125758011</v>
      </c>
      <c r="G20" s="10">
        <f t="shared" si="2"/>
        <v>26444877</v>
      </c>
      <c r="H20" s="10">
        <f t="shared" si="2"/>
        <v>156202888</v>
      </c>
      <c r="I20" s="14">
        <f t="shared" si="2"/>
        <v>31240577.600000005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47" t="s">
        <v>23</v>
      </c>
      <c r="B22" s="48"/>
      <c r="C22" s="48"/>
      <c r="D22" s="48"/>
      <c r="E22" s="48"/>
      <c r="F22" s="48"/>
      <c r="G22" s="48"/>
      <c r="H22" s="11"/>
      <c r="I22" s="11"/>
    </row>
    <row r="23" spans="1:26" ht="11.25" customHeight="1">
      <c r="A23" s="47" t="s">
        <v>24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25</v>
      </c>
      <c r="B24" s="48"/>
      <c r="C24" s="48"/>
      <c r="D24" s="48"/>
      <c r="E24" s="48"/>
      <c r="F24" s="48"/>
      <c r="G24" s="48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49" t="s">
        <v>26</v>
      </c>
      <c r="B25" s="48"/>
      <c r="C25" s="48"/>
      <c r="D25" s="48"/>
      <c r="E25" s="48"/>
      <c r="F25" s="48"/>
      <c r="G25" s="48"/>
      <c r="H25" s="48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47" t="s">
        <v>27</v>
      </c>
      <c r="B26" s="48"/>
      <c r="C26" s="48"/>
      <c r="D26" s="48"/>
      <c r="E26" s="48"/>
      <c r="F26" s="48"/>
      <c r="G26" s="48"/>
      <c r="H26" s="11"/>
      <c r="I26" s="11"/>
    </row>
    <row r="27" spans="1:26" ht="11.25" customHeight="1">
      <c r="A27" s="47" t="s">
        <v>45</v>
      </c>
      <c r="B27" s="48"/>
      <c r="C27" s="48"/>
      <c r="D27" s="48"/>
      <c r="E27" s="48"/>
      <c r="F27" s="48"/>
      <c r="G27" s="48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4:G24"/>
    <mergeCell ref="A25:H25"/>
    <mergeCell ref="A26:G26"/>
    <mergeCell ref="A27:G27"/>
    <mergeCell ref="A2:C2"/>
    <mergeCell ref="A6:G6"/>
    <mergeCell ref="A9:D9"/>
    <mergeCell ref="A22:G22"/>
    <mergeCell ref="A23:G23"/>
  </mergeCells>
  <phoneticPr fontId="13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B1" sqref="B1"/>
    </sheetView>
  </sheetViews>
  <sheetFormatPr defaultColWidth="14.44140625" defaultRowHeight="15" customHeight="1"/>
  <cols>
    <col min="1" max="1" width="7.44140625" style="29" customWidth="1"/>
    <col min="2" max="9" width="19.5546875" style="29" customWidth="1"/>
    <col min="10" max="26" width="8.6640625" style="29" customWidth="1"/>
    <col min="27" max="16384" width="14.44140625" style="29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202206</v>
      </c>
      <c r="B4" s="9">
        <f>I20</f>
        <v>25653506.600000001</v>
      </c>
      <c r="C4" s="23">
        <f>B4</f>
        <v>25653506.600000001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202206</v>
      </c>
      <c r="B11" s="22" t="s">
        <v>39</v>
      </c>
      <c r="C11" s="23">
        <v>5000000</v>
      </c>
      <c r="D11" s="23">
        <v>21510956</v>
      </c>
      <c r="E11" s="23">
        <v>4357091</v>
      </c>
      <c r="F11" s="13"/>
      <c r="G11" s="23">
        <f>(D11+E11)-C11</f>
        <v>20868047</v>
      </c>
      <c r="H11" s="23">
        <f>(C11+G11)</f>
        <v>25868047</v>
      </c>
      <c r="I11" s="23">
        <f t="shared" ref="I11:I19" si="0">H11*0.2</f>
        <v>5173609.4000000004</v>
      </c>
    </row>
    <row r="12" spans="1:26" ht="16.5" customHeight="1">
      <c r="A12" s="21">
        <v>202205</v>
      </c>
      <c r="B12" s="22" t="s">
        <v>21</v>
      </c>
      <c r="C12" s="13"/>
      <c r="D12" s="13"/>
      <c r="E12" s="13"/>
      <c r="F12" s="24">
        <v>101864134</v>
      </c>
      <c r="G12" s="13"/>
      <c r="H12" s="23">
        <f t="shared" ref="H12:H18" si="1">F12</f>
        <v>101864134</v>
      </c>
      <c r="I12" s="23">
        <f t="shared" si="0"/>
        <v>20372826.800000001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23">
        <f t="shared" si="1"/>
        <v>0</v>
      </c>
      <c r="I13" s="23">
        <f t="shared" si="0"/>
        <v>0</v>
      </c>
    </row>
    <row r="14" spans="1:26" ht="16.5" customHeight="1">
      <c r="A14" s="21">
        <v>202205</v>
      </c>
      <c r="B14" s="22" t="s">
        <v>33</v>
      </c>
      <c r="C14" s="13"/>
      <c r="D14" s="13"/>
      <c r="E14" s="13"/>
      <c r="F14" s="24">
        <v>535352</v>
      </c>
      <c r="G14" s="13"/>
      <c r="H14" s="23">
        <f t="shared" si="1"/>
        <v>535352</v>
      </c>
      <c r="I14" s="23">
        <f t="shared" si="0"/>
        <v>107070.40000000001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23">
        <f t="shared" si="1"/>
        <v>0</v>
      </c>
      <c r="I15" s="23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23">
        <f t="shared" si="1"/>
        <v>0</v>
      </c>
      <c r="I16" s="23">
        <f t="shared" si="0"/>
        <v>0</v>
      </c>
    </row>
    <row r="17" spans="1:26" ht="16.5" customHeight="1">
      <c r="A17" s="21" t="s">
        <v>31</v>
      </c>
      <c r="B17" s="22" t="s">
        <v>47</v>
      </c>
      <c r="C17" s="13"/>
      <c r="D17" s="13"/>
      <c r="E17" s="13"/>
      <c r="F17" s="26">
        <v>0</v>
      </c>
      <c r="G17" s="13"/>
      <c r="H17" s="23">
        <f t="shared" si="1"/>
        <v>0</v>
      </c>
      <c r="I17" s="23">
        <f t="shared" si="0"/>
        <v>0</v>
      </c>
    </row>
    <row r="18" spans="1:26" ht="16.5" customHeight="1">
      <c r="A18" s="21" t="s">
        <v>50</v>
      </c>
      <c r="B18" s="22" t="s">
        <v>48</v>
      </c>
      <c r="C18" s="13"/>
      <c r="D18" s="13"/>
      <c r="E18" s="13"/>
      <c r="F18" s="26">
        <v>0</v>
      </c>
      <c r="G18" s="13"/>
      <c r="H18" s="23">
        <f t="shared" si="1"/>
        <v>0</v>
      </c>
      <c r="I18" s="23">
        <f t="shared" si="0"/>
        <v>0</v>
      </c>
    </row>
    <row r="19" spans="1:26" ht="16.5" customHeight="1">
      <c r="A19" s="21" t="s">
        <v>31</v>
      </c>
      <c r="B19" s="22" t="s">
        <v>51</v>
      </c>
      <c r="C19" s="42"/>
      <c r="D19" s="13"/>
      <c r="E19" s="13"/>
      <c r="F19" s="41">
        <v>0</v>
      </c>
      <c r="G19" s="13"/>
      <c r="H19" s="23">
        <f>C19</f>
        <v>0</v>
      </c>
      <c r="I19" s="23">
        <f t="shared" si="0"/>
        <v>0</v>
      </c>
    </row>
    <row r="20" spans="1:26" ht="16.5" customHeight="1">
      <c r="A20" s="21" t="s">
        <v>22</v>
      </c>
      <c r="B20" s="22"/>
      <c r="C20" s="23">
        <f t="shared" ref="C20:I20" si="2">SUM(C11:C19)</f>
        <v>5000000</v>
      </c>
      <c r="D20" s="23">
        <f t="shared" si="2"/>
        <v>21510956</v>
      </c>
      <c r="E20" s="23">
        <f t="shared" si="2"/>
        <v>4357091</v>
      </c>
      <c r="F20" s="23">
        <f t="shared" si="2"/>
        <v>102399486</v>
      </c>
      <c r="G20" s="23">
        <f t="shared" si="2"/>
        <v>20868047</v>
      </c>
      <c r="H20" s="23">
        <f t="shared" si="2"/>
        <v>128267533</v>
      </c>
      <c r="I20" s="14">
        <f t="shared" si="2"/>
        <v>25653506.600000001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47" t="s">
        <v>23</v>
      </c>
      <c r="B22" s="48"/>
      <c r="C22" s="48"/>
      <c r="D22" s="48"/>
      <c r="E22" s="48"/>
      <c r="F22" s="48"/>
      <c r="G22" s="48"/>
      <c r="H22" s="11"/>
      <c r="I22" s="11"/>
    </row>
    <row r="23" spans="1:26" ht="11.25" customHeight="1">
      <c r="A23" s="47" t="s">
        <v>24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25</v>
      </c>
      <c r="B24" s="48"/>
      <c r="C24" s="48"/>
      <c r="D24" s="48"/>
      <c r="E24" s="48"/>
      <c r="F24" s="48"/>
      <c r="G24" s="48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49" t="s">
        <v>26</v>
      </c>
      <c r="B25" s="48"/>
      <c r="C25" s="48"/>
      <c r="D25" s="48"/>
      <c r="E25" s="48"/>
      <c r="F25" s="48"/>
      <c r="G25" s="48"/>
      <c r="H25" s="48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47" t="s">
        <v>27</v>
      </c>
      <c r="B26" s="48"/>
      <c r="C26" s="48"/>
      <c r="D26" s="48"/>
      <c r="E26" s="48"/>
      <c r="F26" s="48"/>
      <c r="G26" s="48"/>
      <c r="H26" s="11"/>
      <c r="I26" s="11"/>
    </row>
    <row r="27" spans="1:26" ht="11.25" customHeight="1">
      <c r="A27" s="47" t="s">
        <v>45</v>
      </c>
      <c r="B27" s="48"/>
      <c r="C27" s="48"/>
      <c r="D27" s="48"/>
      <c r="E27" s="48"/>
      <c r="F27" s="48"/>
      <c r="G27" s="48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5:H25"/>
    <mergeCell ref="A26:G26"/>
    <mergeCell ref="A27:G27"/>
    <mergeCell ref="A2:C2"/>
    <mergeCell ref="A6:G6"/>
    <mergeCell ref="A9:D9"/>
    <mergeCell ref="A22:G22"/>
    <mergeCell ref="A23:G23"/>
    <mergeCell ref="A24:G24"/>
  </mergeCells>
  <phoneticPr fontId="13" type="noConversion"/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A2" sqref="A2:C2"/>
    </sheetView>
  </sheetViews>
  <sheetFormatPr defaultColWidth="14.44140625" defaultRowHeight="15" customHeight="1"/>
  <cols>
    <col min="1" max="1" width="7.44140625" style="30" customWidth="1"/>
    <col min="2" max="9" width="19.5546875" style="30" customWidth="1"/>
    <col min="10" max="26" width="8.6640625" style="30" customWidth="1"/>
    <col min="27" max="16384" width="14.44140625" style="30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202207</v>
      </c>
      <c r="B4" s="9">
        <f>I20</f>
        <v>16166942.600000001</v>
      </c>
      <c r="C4" s="23">
        <f>B4</f>
        <v>16166942.600000001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202207</v>
      </c>
      <c r="B11" s="22" t="s">
        <v>39</v>
      </c>
      <c r="C11" s="23">
        <v>5000000</v>
      </c>
      <c r="D11" s="23">
        <v>26025184</v>
      </c>
      <c r="E11" s="23">
        <v>4886315</v>
      </c>
      <c r="F11" s="13"/>
      <c r="G11" s="23">
        <f>(D11+E11)-C11</f>
        <v>25911499</v>
      </c>
      <c r="H11" s="23">
        <f>(C11+G11)</f>
        <v>30911499</v>
      </c>
      <c r="I11" s="23">
        <f t="shared" ref="I11:I19" si="0">H11*0.2</f>
        <v>6182299.8000000007</v>
      </c>
    </row>
    <row r="12" spans="1:26" ht="16.5" customHeight="1">
      <c r="A12" s="21">
        <v>202206</v>
      </c>
      <c r="B12" s="22" t="s">
        <v>21</v>
      </c>
      <c r="C12" s="13"/>
      <c r="D12" s="13"/>
      <c r="E12" s="13"/>
      <c r="F12" s="24">
        <v>45957449</v>
      </c>
      <c r="G12" s="13"/>
      <c r="H12" s="23">
        <f t="shared" ref="H12:H18" si="1">F12</f>
        <v>45957449</v>
      </c>
      <c r="I12" s="23">
        <f t="shared" si="0"/>
        <v>9191489.8000000007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23">
        <f t="shared" si="1"/>
        <v>0</v>
      </c>
      <c r="I13" s="23">
        <f t="shared" si="0"/>
        <v>0</v>
      </c>
    </row>
    <row r="14" spans="1:26" ht="16.5" customHeight="1">
      <c r="A14" s="21">
        <v>202207</v>
      </c>
      <c r="B14" s="22" t="s">
        <v>33</v>
      </c>
      <c r="C14" s="13"/>
      <c r="D14" s="13"/>
      <c r="E14" s="13"/>
      <c r="F14" s="24">
        <v>711953</v>
      </c>
      <c r="G14" s="13"/>
      <c r="H14" s="23">
        <f t="shared" si="1"/>
        <v>711953</v>
      </c>
      <c r="I14" s="23">
        <f t="shared" si="0"/>
        <v>142390.6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23">
        <f t="shared" si="1"/>
        <v>0</v>
      </c>
      <c r="I15" s="23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23">
        <f t="shared" si="1"/>
        <v>0</v>
      </c>
      <c r="I16" s="23">
        <f t="shared" si="0"/>
        <v>0</v>
      </c>
    </row>
    <row r="17" spans="1:26" ht="16.5" customHeight="1">
      <c r="A17" s="21" t="s">
        <v>31</v>
      </c>
      <c r="B17" s="22" t="s">
        <v>47</v>
      </c>
      <c r="C17" s="13"/>
      <c r="D17" s="13"/>
      <c r="E17" s="13"/>
      <c r="F17" s="26">
        <v>0</v>
      </c>
      <c r="G17" s="13"/>
      <c r="H17" s="23">
        <f t="shared" si="1"/>
        <v>0</v>
      </c>
      <c r="I17" s="23">
        <f t="shared" si="0"/>
        <v>0</v>
      </c>
    </row>
    <row r="18" spans="1:26" ht="16.5" customHeight="1">
      <c r="A18" s="21" t="s">
        <v>52</v>
      </c>
      <c r="B18" s="22" t="s">
        <v>48</v>
      </c>
      <c r="C18" s="13"/>
      <c r="D18" s="13"/>
      <c r="E18" s="13"/>
      <c r="F18" s="26">
        <v>3253812</v>
      </c>
      <c r="G18" s="13"/>
      <c r="H18" s="23">
        <f t="shared" si="1"/>
        <v>3253812</v>
      </c>
      <c r="I18" s="23">
        <f t="shared" si="0"/>
        <v>650762.4</v>
      </c>
    </row>
    <row r="19" spans="1:26" ht="16.5" customHeight="1">
      <c r="A19" s="21" t="s">
        <v>31</v>
      </c>
      <c r="B19" s="22" t="s">
        <v>51</v>
      </c>
      <c r="C19" s="42"/>
      <c r="D19" s="13"/>
      <c r="E19" s="13"/>
      <c r="F19" s="41">
        <v>0</v>
      </c>
      <c r="G19" s="13"/>
      <c r="H19" s="23">
        <f>C19</f>
        <v>0</v>
      </c>
      <c r="I19" s="23">
        <f t="shared" si="0"/>
        <v>0</v>
      </c>
    </row>
    <row r="20" spans="1:26" ht="16.5" customHeight="1">
      <c r="A20" s="21" t="s">
        <v>22</v>
      </c>
      <c r="B20" s="22"/>
      <c r="C20" s="23">
        <f t="shared" ref="C20:I20" si="2">SUM(C11:C19)</f>
        <v>5000000</v>
      </c>
      <c r="D20" s="23">
        <f t="shared" si="2"/>
        <v>26025184</v>
      </c>
      <c r="E20" s="23">
        <f t="shared" si="2"/>
        <v>4886315</v>
      </c>
      <c r="F20" s="23">
        <f t="shared" si="2"/>
        <v>49923214</v>
      </c>
      <c r="G20" s="23">
        <f t="shared" si="2"/>
        <v>25911499</v>
      </c>
      <c r="H20" s="23">
        <f t="shared" si="2"/>
        <v>80834713</v>
      </c>
      <c r="I20" s="14">
        <f t="shared" si="2"/>
        <v>16166942.600000001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47" t="s">
        <v>23</v>
      </c>
      <c r="B22" s="48"/>
      <c r="C22" s="48"/>
      <c r="D22" s="48"/>
      <c r="E22" s="48"/>
      <c r="F22" s="48"/>
      <c r="G22" s="48"/>
      <c r="H22" s="11"/>
      <c r="I22" s="11"/>
    </row>
    <row r="23" spans="1:26" ht="11.25" customHeight="1">
      <c r="A23" s="47" t="s">
        <v>24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25</v>
      </c>
      <c r="B24" s="48"/>
      <c r="C24" s="48"/>
      <c r="D24" s="48"/>
      <c r="E24" s="48"/>
      <c r="F24" s="48"/>
      <c r="G24" s="48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49" t="s">
        <v>26</v>
      </c>
      <c r="B25" s="48"/>
      <c r="C25" s="48"/>
      <c r="D25" s="48"/>
      <c r="E25" s="48"/>
      <c r="F25" s="48"/>
      <c r="G25" s="48"/>
      <c r="H25" s="48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47" t="s">
        <v>27</v>
      </c>
      <c r="B26" s="48"/>
      <c r="C26" s="48"/>
      <c r="D26" s="48"/>
      <c r="E26" s="48"/>
      <c r="F26" s="48"/>
      <c r="G26" s="48"/>
      <c r="H26" s="11"/>
      <c r="I26" s="11"/>
    </row>
    <row r="27" spans="1:26" ht="11.25" customHeight="1">
      <c r="A27" s="47" t="s">
        <v>45</v>
      </c>
      <c r="B27" s="48"/>
      <c r="C27" s="48"/>
      <c r="D27" s="48"/>
      <c r="E27" s="48"/>
      <c r="F27" s="48"/>
      <c r="G27" s="48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5:H25"/>
    <mergeCell ref="A26:G26"/>
    <mergeCell ref="A27:G27"/>
    <mergeCell ref="A2:C2"/>
    <mergeCell ref="A6:G6"/>
    <mergeCell ref="A9:D9"/>
    <mergeCell ref="A22:G22"/>
    <mergeCell ref="A23:G23"/>
    <mergeCell ref="A24:G24"/>
  </mergeCells>
  <phoneticPr fontId="13" type="noConversion"/>
  <pageMargins left="0.7" right="0.7" top="0.75" bottom="0.75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A2" sqref="A2:C2"/>
    </sheetView>
  </sheetViews>
  <sheetFormatPr defaultColWidth="14.44140625" defaultRowHeight="15" customHeight="1"/>
  <cols>
    <col min="1" max="1" width="7.44140625" style="31" customWidth="1"/>
    <col min="2" max="9" width="19.5546875" style="31" customWidth="1"/>
    <col min="10" max="26" width="8.6640625" style="31" customWidth="1"/>
    <col min="27" max="16384" width="14.44140625" style="3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50" t="s">
        <v>9</v>
      </c>
      <c r="B2" s="46"/>
      <c r="C2" s="46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202208</v>
      </c>
      <c r="B4" s="9">
        <f>I20</f>
        <v>15565753</v>
      </c>
      <c r="C4" s="23">
        <f>B4</f>
        <v>15565753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50" t="s">
        <v>14</v>
      </c>
      <c r="B9" s="46"/>
      <c r="C9" s="46"/>
      <c r="D9" s="46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202208</v>
      </c>
      <c r="B11" s="22" t="s">
        <v>39</v>
      </c>
      <c r="C11" s="23">
        <v>4000000</v>
      </c>
      <c r="D11" s="23">
        <v>22777388</v>
      </c>
      <c r="E11" s="23">
        <v>8746802</v>
      </c>
      <c r="F11" s="13"/>
      <c r="G11" s="23">
        <f>(D11+E11)-C11</f>
        <v>27524190</v>
      </c>
      <c r="H11" s="23">
        <f>(C11+G11)</f>
        <v>31524190</v>
      </c>
      <c r="I11" s="23">
        <f t="shared" ref="I11:I19" si="0">H11*0.2</f>
        <v>6304838</v>
      </c>
    </row>
    <row r="12" spans="1:26" ht="16.5" customHeight="1">
      <c r="A12" s="21">
        <v>202207</v>
      </c>
      <c r="B12" s="22" t="s">
        <v>21</v>
      </c>
      <c r="C12" s="13"/>
      <c r="D12" s="13"/>
      <c r="E12" s="13"/>
      <c r="F12" s="24">
        <v>46005977</v>
      </c>
      <c r="G12" s="13"/>
      <c r="H12" s="23">
        <f t="shared" ref="H12:H18" si="1">F12</f>
        <v>46005977</v>
      </c>
      <c r="I12" s="23">
        <f t="shared" si="0"/>
        <v>9201195.4000000004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23">
        <f t="shared" si="1"/>
        <v>0</v>
      </c>
      <c r="I13" s="23">
        <f t="shared" si="0"/>
        <v>0</v>
      </c>
    </row>
    <row r="14" spans="1:26" ht="16.5" customHeight="1">
      <c r="A14" s="21">
        <v>202208</v>
      </c>
      <c r="B14" s="22" t="s">
        <v>33</v>
      </c>
      <c r="C14" s="13"/>
      <c r="D14" s="13"/>
      <c r="E14" s="13"/>
      <c r="F14" s="24">
        <v>298598</v>
      </c>
      <c r="G14" s="13"/>
      <c r="H14" s="23">
        <f t="shared" si="1"/>
        <v>298598</v>
      </c>
      <c r="I14" s="23">
        <f t="shared" si="0"/>
        <v>59719.600000000006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23">
        <f t="shared" si="1"/>
        <v>0</v>
      </c>
      <c r="I15" s="23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23">
        <f t="shared" si="1"/>
        <v>0</v>
      </c>
      <c r="I16" s="23">
        <f t="shared" si="0"/>
        <v>0</v>
      </c>
    </row>
    <row r="17" spans="1:26" ht="16.5" customHeight="1">
      <c r="A17" s="21" t="s">
        <v>31</v>
      </c>
      <c r="B17" s="22" t="s">
        <v>47</v>
      </c>
      <c r="C17" s="13"/>
      <c r="D17" s="13"/>
      <c r="E17" s="13"/>
      <c r="F17" s="26">
        <v>0</v>
      </c>
      <c r="G17" s="13"/>
      <c r="H17" s="23">
        <f t="shared" si="1"/>
        <v>0</v>
      </c>
      <c r="I17" s="23">
        <f t="shared" si="0"/>
        <v>0</v>
      </c>
    </row>
    <row r="18" spans="1:26" ht="16.5" customHeight="1">
      <c r="A18" s="21" t="s">
        <v>52</v>
      </c>
      <c r="B18" s="22" t="s">
        <v>48</v>
      </c>
      <c r="C18" s="13"/>
      <c r="D18" s="13"/>
      <c r="E18" s="13"/>
      <c r="F18" s="26">
        <v>0</v>
      </c>
      <c r="G18" s="13"/>
      <c r="H18" s="23">
        <f t="shared" si="1"/>
        <v>0</v>
      </c>
      <c r="I18" s="23">
        <f t="shared" si="0"/>
        <v>0</v>
      </c>
    </row>
    <row r="19" spans="1:26" ht="16.5" customHeight="1">
      <c r="A19" s="21" t="s">
        <v>31</v>
      </c>
      <c r="B19" s="22" t="s">
        <v>51</v>
      </c>
      <c r="C19" s="42"/>
      <c r="D19" s="13"/>
      <c r="E19" s="13"/>
      <c r="F19" s="41">
        <v>0</v>
      </c>
      <c r="G19" s="13"/>
      <c r="H19" s="23">
        <f>C19</f>
        <v>0</v>
      </c>
      <c r="I19" s="23">
        <f t="shared" si="0"/>
        <v>0</v>
      </c>
    </row>
    <row r="20" spans="1:26" ht="16.5" customHeight="1">
      <c r="A20" s="21" t="s">
        <v>22</v>
      </c>
      <c r="B20" s="22"/>
      <c r="C20" s="23">
        <f t="shared" ref="C20:I20" si="2">SUM(C11:C19)</f>
        <v>4000000</v>
      </c>
      <c r="D20" s="23">
        <f t="shared" si="2"/>
        <v>22777388</v>
      </c>
      <c r="E20" s="23">
        <f t="shared" si="2"/>
        <v>8746802</v>
      </c>
      <c r="F20" s="23">
        <f t="shared" si="2"/>
        <v>46304575</v>
      </c>
      <c r="G20" s="23">
        <f t="shared" si="2"/>
        <v>27524190</v>
      </c>
      <c r="H20" s="23">
        <f t="shared" si="2"/>
        <v>77828765</v>
      </c>
      <c r="I20" s="14">
        <f t="shared" si="2"/>
        <v>15565753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47" t="s">
        <v>23</v>
      </c>
      <c r="B22" s="48"/>
      <c r="C22" s="48"/>
      <c r="D22" s="48"/>
      <c r="E22" s="48"/>
      <c r="F22" s="48"/>
      <c r="G22" s="48"/>
      <c r="H22" s="11"/>
      <c r="I22" s="11"/>
    </row>
    <row r="23" spans="1:26" ht="11.25" customHeight="1">
      <c r="A23" s="47" t="s">
        <v>24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25</v>
      </c>
      <c r="B24" s="48"/>
      <c r="C24" s="48"/>
      <c r="D24" s="48"/>
      <c r="E24" s="48"/>
      <c r="F24" s="48"/>
      <c r="G24" s="48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49" t="s">
        <v>26</v>
      </c>
      <c r="B25" s="48"/>
      <c r="C25" s="48"/>
      <c r="D25" s="48"/>
      <c r="E25" s="48"/>
      <c r="F25" s="48"/>
      <c r="G25" s="48"/>
      <c r="H25" s="48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47" t="s">
        <v>27</v>
      </c>
      <c r="B26" s="48"/>
      <c r="C26" s="48"/>
      <c r="D26" s="48"/>
      <c r="E26" s="48"/>
      <c r="F26" s="48"/>
      <c r="G26" s="48"/>
      <c r="H26" s="11"/>
      <c r="I26" s="11"/>
    </row>
    <row r="27" spans="1:26" ht="11.25" customHeight="1">
      <c r="A27" s="47" t="s">
        <v>45</v>
      </c>
      <c r="B27" s="48"/>
      <c r="C27" s="48"/>
      <c r="D27" s="48"/>
      <c r="E27" s="48"/>
      <c r="F27" s="48"/>
      <c r="G27" s="48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5:H25"/>
    <mergeCell ref="A26:G26"/>
    <mergeCell ref="A27:G27"/>
    <mergeCell ref="A2:C2"/>
    <mergeCell ref="A6:G6"/>
    <mergeCell ref="A9:D9"/>
    <mergeCell ref="A22:G22"/>
    <mergeCell ref="A23:G23"/>
    <mergeCell ref="A24:G24"/>
  </mergeCells>
  <phoneticPr fontId="13" type="noConversion"/>
  <pageMargins left="0.7" right="0.7" top="0.75" bottom="0.7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I31" sqref="I31"/>
    </sheetView>
  </sheetViews>
  <sheetFormatPr defaultColWidth="14.44140625" defaultRowHeight="15" customHeight="1"/>
  <cols>
    <col min="1" max="1" width="7.44140625" style="5" customWidth="1"/>
    <col min="2" max="2" width="25.109375" style="5" bestFit="1" customWidth="1"/>
    <col min="3" max="9" width="19.5546875" style="5" customWidth="1"/>
    <col min="10" max="10" width="26.88671875" style="5" bestFit="1" customWidth="1"/>
    <col min="11" max="26" width="8.6640625" style="5" customWidth="1"/>
    <col min="27" max="16384" width="14.44140625" style="5"/>
  </cols>
  <sheetData>
    <row r="1" spans="1:26" ht="16.5" customHeight="1"/>
    <row r="2" spans="1:26" ht="16.5" customHeight="1">
      <c r="A2" s="50" t="s">
        <v>9</v>
      </c>
      <c r="B2" s="52"/>
      <c r="C2" s="52"/>
      <c r="D2" s="6"/>
      <c r="E2" s="6"/>
      <c r="F2" s="6"/>
      <c r="G2" s="6"/>
      <c r="H2" s="6"/>
      <c r="I2" s="6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202209</v>
      </c>
      <c r="B4" s="9">
        <f>I18</f>
        <v>25333116.600000001</v>
      </c>
      <c r="C4" s="23">
        <f>B4</f>
        <v>25333116.600000001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/>
    <row r="6" spans="1:26" ht="11.25" customHeight="1">
      <c r="A6" s="47" t="s">
        <v>13</v>
      </c>
      <c r="B6" s="51"/>
      <c r="C6" s="51"/>
      <c r="D6" s="51"/>
      <c r="E6" s="51"/>
      <c r="F6" s="51"/>
      <c r="G6" s="5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/>
    <row r="8" spans="1:26" ht="16.5" customHeight="1"/>
    <row r="9" spans="1:26" ht="16.5" customHeight="1">
      <c r="A9" s="50" t="s">
        <v>14</v>
      </c>
      <c r="B9" s="52"/>
      <c r="C9" s="52"/>
      <c r="D9" s="52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202209</v>
      </c>
      <c r="B11" s="22" t="s">
        <v>39</v>
      </c>
      <c r="C11" s="34">
        <v>4000000</v>
      </c>
      <c r="D11" s="34">
        <v>20551701</v>
      </c>
      <c r="E11" s="34">
        <v>16206955</v>
      </c>
      <c r="F11" s="35"/>
      <c r="G11" s="34">
        <f>(D11+E11)-C11</f>
        <v>32758656</v>
      </c>
      <c r="H11" s="34">
        <f>(C11+G11)</f>
        <v>36758656</v>
      </c>
      <c r="I11" s="34">
        <f t="shared" ref="I11:I17" si="0">H11*0.2</f>
        <v>7351731.2000000002</v>
      </c>
    </row>
    <row r="12" spans="1:26" ht="16.5" customHeight="1">
      <c r="A12" s="21">
        <v>202208</v>
      </c>
      <c r="B12" s="22" t="s">
        <v>53</v>
      </c>
      <c r="C12" s="35"/>
      <c r="D12" s="35"/>
      <c r="E12" s="35"/>
      <c r="F12" s="36">
        <v>88295154</v>
      </c>
      <c r="G12" s="35"/>
      <c r="H12" s="34">
        <f t="shared" ref="H12:H16" si="1">F12</f>
        <v>88295154</v>
      </c>
      <c r="I12" s="34">
        <f t="shared" si="0"/>
        <v>17659030.800000001</v>
      </c>
    </row>
    <row r="13" spans="1:26" ht="16.5" customHeight="1">
      <c r="A13" s="21" t="s">
        <v>31</v>
      </c>
      <c r="B13" s="22" t="s">
        <v>46</v>
      </c>
      <c r="C13" s="35"/>
      <c r="D13" s="35"/>
      <c r="E13" s="35"/>
      <c r="F13" s="37">
        <v>0</v>
      </c>
      <c r="G13" s="35"/>
      <c r="H13" s="34">
        <f t="shared" si="1"/>
        <v>0</v>
      </c>
      <c r="I13" s="34">
        <f t="shared" si="0"/>
        <v>0</v>
      </c>
    </row>
    <row r="14" spans="1:26" ht="16.5" customHeight="1">
      <c r="A14" s="21">
        <v>202209</v>
      </c>
      <c r="B14" s="22" t="s">
        <v>35</v>
      </c>
      <c r="C14" s="35"/>
      <c r="D14" s="35"/>
      <c r="E14" s="35"/>
      <c r="F14" s="37">
        <v>1611773</v>
      </c>
      <c r="G14" s="35"/>
      <c r="H14" s="34">
        <f t="shared" si="1"/>
        <v>1611773</v>
      </c>
      <c r="I14" s="34">
        <f t="shared" si="0"/>
        <v>322354.60000000003</v>
      </c>
      <c r="J14" s="33" t="s">
        <v>54</v>
      </c>
    </row>
    <row r="15" spans="1:26" ht="16.5" customHeight="1">
      <c r="A15" s="21" t="s">
        <v>31</v>
      </c>
      <c r="B15" s="22" t="s">
        <v>47</v>
      </c>
      <c r="C15" s="35"/>
      <c r="D15" s="35"/>
      <c r="E15" s="35"/>
      <c r="F15" s="37">
        <v>0</v>
      </c>
      <c r="G15" s="35"/>
      <c r="H15" s="34">
        <f t="shared" si="1"/>
        <v>0</v>
      </c>
      <c r="I15" s="34">
        <f t="shared" si="0"/>
        <v>0</v>
      </c>
    </row>
    <row r="16" spans="1:26" ht="16.5" customHeight="1">
      <c r="A16" s="21" t="s">
        <v>52</v>
      </c>
      <c r="B16" s="22" t="s">
        <v>48</v>
      </c>
      <c r="C16" s="35"/>
      <c r="D16" s="35"/>
      <c r="E16" s="35"/>
      <c r="F16" s="37">
        <v>0</v>
      </c>
      <c r="G16" s="35"/>
      <c r="H16" s="34">
        <f t="shared" si="1"/>
        <v>0</v>
      </c>
      <c r="I16" s="34">
        <f t="shared" si="0"/>
        <v>0</v>
      </c>
    </row>
    <row r="17" spans="1:26" ht="16.5" customHeight="1">
      <c r="A17" s="21" t="s">
        <v>31</v>
      </c>
      <c r="B17" s="22" t="s">
        <v>51</v>
      </c>
      <c r="C17" s="39"/>
      <c r="D17" s="35"/>
      <c r="E17" s="35"/>
      <c r="F17" s="40">
        <v>0</v>
      </c>
      <c r="G17" s="35"/>
      <c r="H17" s="34">
        <f>C17</f>
        <v>0</v>
      </c>
      <c r="I17" s="34">
        <f t="shared" si="0"/>
        <v>0</v>
      </c>
    </row>
    <row r="18" spans="1:26" ht="16.5" customHeight="1">
      <c r="A18" s="21" t="s">
        <v>22</v>
      </c>
      <c r="B18" s="22"/>
      <c r="C18" s="34">
        <f t="shared" ref="C18:I18" si="2">SUM(C11:C17)</f>
        <v>4000000</v>
      </c>
      <c r="D18" s="34">
        <f t="shared" si="2"/>
        <v>20551701</v>
      </c>
      <c r="E18" s="34">
        <f t="shared" si="2"/>
        <v>16206955</v>
      </c>
      <c r="F18" s="34">
        <f t="shared" si="2"/>
        <v>89906927</v>
      </c>
      <c r="G18" s="34">
        <f t="shared" si="2"/>
        <v>32758656</v>
      </c>
      <c r="H18" s="34">
        <f t="shared" si="2"/>
        <v>126665583</v>
      </c>
      <c r="I18" s="38">
        <f t="shared" si="2"/>
        <v>25333116.600000001</v>
      </c>
    </row>
    <row r="19" spans="1:26" ht="16.5" customHeight="1"/>
    <row r="20" spans="1:26" ht="11.25" customHeight="1">
      <c r="A20" s="47" t="s">
        <v>23</v>
      </c>
      <c r="B20" s="51"/>
      <c r="C20" s="51"/>
      <c r="D20" s="51"/>
      <c r="E20" s="51"/>
      <c r="F20" s="51"/>
      <c r="G20" s="51"/>
      <c r="H20" s="11"/>
      <c r="I20" s="11"/>
    </row>
    <row r="21" spans="1:26" ht="11.25" customHeight="1">
      <c r="A21" s="47" t="s">
        <v>24</v>
      </c>
      <c r="B21" s="51"/>
      <c r="C21" s="51"/>
      <c r="D21" s="51"/>
      <c r="E21" s="51"/>
      <c r="F21" s="51"/>
      <c r="G21" s="51"/>
      <c r="H21" s="11"/>
      <c r="I21" s="11"/>
    </row>
    <row r="22" spans="1:26" ht="11.25" customHeight="1">
      <c r="A22" s="47" t="s">
        <v>25</v>
      </c>
      <c r="B22" s="51"/>
      <c r="C22" s="51"/>
      <c r="D22" s="51"/>
      <c r="E22" s="51"/>
      <c r="F22" s="51"/>
      <c r="G22" s="51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9" t="s">
        <v>26</v>
      </c>
      <c r="B23" s="51"/>
      <c r="C23" s="51"/>
      <c r="D23" s="51"/>
      <c r="E23" s="51"/>
      <c r="F23" s="51"/>
      <c r="G23" s="51"/>
      <c r="H23" s="51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47" t="s">
        <v>27</v>
      </c>
      <c r="B24" s="51"/>
      <c r="C24" s="51"/>
      <c r="D24" s="51"/>
      <c r="E24" s="51"/>
      <c r="F24" s="51"/>
      <c r="G24" s="51"/>
      <c r="H24" s="11"/>
      <c r="I24" s="11"/>
    </row>
    <row r="25" spans="1:26" ht="11.25" customHeight="1">
      <c r="A25" s="47" t="s">
        <v>45</v>
      </c>
      <c r="B25" s="51"/>
      <c r="C25" s="51"/>
      <c r="D25" s="51"/>
      <c r="E25" s="51"/>
      <c r="F25" s="51"/>
      <c r="G25" s="51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6.5" customHeight="1">
      <c r="H26" s="8"/>
      <c r="I26" s="8"/>
    </row>
    <row r="27" spans="1:26" ht="16.5" customHeight="1"/>
    <row r="28" spans="1:26" ht="16.5" customHeight="1"/>
    <row r="29" spans="1:26" ht="16.5" customHeight="1"/>
    <row r="30" spans="1:26" ht="16.5" customHeight="1"/>
    <row r="31" spans="1:26" ht="16.5" customHeight="1"/>
    <row r="32" spans="1:2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9">
    <mergeCell ref="A23:H23"/>
    <mergeCell ref="A24:G24"/>
    <mergeCell ref="A25:G25"/>
    <mergeCell ref="A2:C2"/>
    <mergeCell ref="A6:G6"/>
    <mergeCell ref="A9:D9"/>
    <mergeCell ref="A20:G20"/>
    <mergeCell ref="A21:G21"/>
    <mergeCell ref="A22:G22"/>
  </mergeCells>
  <phoneticPr fontId="13" type="noConversion"/>
  <pageMargins left="0.7" right="0.7" top="0.75" bottom="0.75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H34" sqref="H34"/>
    </sheetView>
  </sheetViews>
  <sheetFormatPr defaultColWidth="14.44140625" defaultRowHeight="15" customHeight="1"/>
  <cols>
    <col min="1" max="1" width="7.44140625" style="32" customWidth="1"/>
    <col min="2" max="2" width="25.109375" style="32" bestFit="1" customWidth="1"/>
    <col min="3" max="9" width="19.5546875" style="32" customWidth="1"/>
    <col min="10" max="10" width="26.88671875" style="32" bestFit="1" customWidth="1"/>
    <col min="11" max="26" width="8.6640625" style="32" customWidth="1"/>
    <col min="27" max="16384" width="14.44140625" style="32"/>
  </cols>
  <sheetData>
    <row r="1" spans="1:26" ht="16.5" customHeight="1"/>
    <row r="2" spans="1:26" ht="16.5" customHeight="1">
      <c r="A2" s="50" t="s">
        <v>9</v>
      </c>
      <c r="B2" s="52"/>
      <c r="C2" s="52"/>
      <c r="D2" s="6"/>
      <c r="E2" s="6"/>
      <c r="F2" s="6"/>
      <c r="G2" s="6"/>
      <c r="H2" s="6"/>
      <c r="I2" s="6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4">
        <v>202210</v>
      </c>
      <c r="B4" s="9">
        <f>I18</f>
        <v>39780839.600000009</v>
      </c>
      <c r="C4" s="23">
        <f>B4</f>
        <v>39780839.600000009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/>
    <row r="6" spans="1:26" ht="11.25" customHeight="1">
      <c r="A6" s="47" t="s">
        <v>13</v>
      </c>
      <c r="B6" s="51"/>
      <c r="C6" s="51"/>
      <c r="D6" s="51"/>
      <c r="E6" s="51"/>
      <c r="F6" s="51"/>
      <c r="G6" s="5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/>
    <row r="8" spans="1:26" ht="16.5" customHeight="1"/>
    <row r="9" spans="1:26" ht="16.5" customHeight="1">
      <c r="A9" s="50" t="s">
        <v>14</v>
      </c>
      <c r="B9" s="52"/>
      <c r="C9" s="52"/>
      <c r="D9" s="52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202210</v>
      </c>
      <c r="B11" s="22" t="s">
        <v>39</v>
      </c>
      <c r="C11" s="34">
        <v>5000000</v>
      </c>
      <c r="D11" s="34">
        <v>32590847</v>
      </c>
      <c r="E11" s="34">
        <v>11232754</v>
      </c>
      <c r="F11" s="35"/>
      <c r="G11" s="34">
        <f>(D11+E11)-C11</f>
        <v>38823601</v>
      </c>
      <c r="H11" s="34">
        <f>(C11+G11)</f>
        <v>43823601</v>
      </c>
      <c r="I11" s="34">
        <f t="shared" ref="I11:I17" si="0">H11*0.2</f>
        <v>8764720.2000000011</v>
      </c>
    </row>
    <row r="12" spans="1:26" ht="16.5" customHeight="1">
      <c r="A12" s="21">
        <v>202209</v>
      </c>
      <c r="B12" s="22" t="s">
        <v>53</v>
      </c>
      <c r="C12" s="35"/>
      <c r="D12" s="35"/>
      <c r="E12" s="35"/>
      <c r="F12" s="36">
        <v>152190938</v>
      </c>
      <c r="G12" s="35"/>
      <c r="H12" s="34">
        <f t="shared" ref="H12:H16" si="1">F12</f>
        <v>152190938</v>
      </c>
      <c r="I12" s="34">
        <f t="shared" si="0"/>
        <v>30438187.600000001</v>
      </c>
    </row>
    <row r="13" spans="1:26" ht="16.5" customHeight="1">
      <c r="A13" s="21" t="s">
        <v>31</v>
      </c>
      <c r="B13" s="22" t="s">
        <v>46</v>
      </c>
      <c r="C13" s="35"/>
      <c r="D13" s="35"/>
      <c r="E13" s="35"/>
      <c r="F13" s="37">
        <v>0</v>
      </c>
      <c r="G13" s="35"/>
      <c r="H13" s="34">
        <f t="shared" si="1"/>
        <v>0</v>
      </c>
      <c r="I13" s="34">
        <f t="shared" si="0"/>
        <v>0</v>
      </c>
    </row>
    <row r="14" spans="1:26" ht="16.5" customHeight="1">
      <c r="A14" s="21">
        <v>202210</v>
      </c>
      <c r="B14" s="22" t="s">
        <v>35</v>
      </c>
      <c r="C14" s="35"/>
      <c r="D14" s="35"/>
      <c r="E14" s="35"/>
      <c r="F14" s="37">
        <v>866821</v>
      </c>
      <c r="G14" s="35"/>
      <c r="H14" s="34">
        <f t="shared" si="1"/>
        <v>866821</v>
      </c>
      <c r="I14" s="34">
        <f t="shared" si="0"/>
        <v>173364.2</v>
      </c>
      <c r="J14" s="33" t="s">
        <v>54</v>
      </c>
    </row>
    <row r="15" spans="1:26" ht="16.5" customHeight="1">
      <c r="A15" s="21" t="s">
        <v>31</v>
      </c>
      <c r="B15" s="22" t="s">
        <v>47</v>
      </c>
      <c r="C15" s="35"/>
      <c r="D15" s="35"/>
      <c r="E15" s="35"/>
      <c r="F15" s="37">
        <v>0</v>
      </c>
      <c r="G15" s="35"/>
      <c r="H15" s="34">
        <f t="shared" si="1"/>
        <v>0</v>
      </c>
      <c r="I15" s="34">
        <f t="shared" si="0"/>
        <v>0</v>
      </c>
    </row>
    <row r="16" spans="1:26" ht="16.5" customHeight="1">
      <c r="A16" s="21" t="s">
        <v>55</v>
      </c>
      <c r="B16" s="22" t="s">
        <v>48</v>
      </c>
      <c r="C16" s="35"/>
      <c r="D16" s="35"/>
      <c r="E16" s="35"/>
      <c r="F16" s="37">
        <v>2022838</v>
      </c>
      <c r="G16" s="35"/>
      <c r="H16" s="34">
        <f t="shared" si="1"/>
        <v>2022838</v>
      </c>
      <c r="I16" s="34">
        <f t="shared" si="0"/>
        <v>404567.60000000003</v>
      </c>
    </row>
    <row r="17" spans="1:26" ht="16.5" customHeight="1">
      <c r="A17" s="21" t="s">
        <v>31</v>
      </c>
      <c r="B17" s="22" t="s">
        <v>51</v>
      </c>
      <c r="C17" s="39"/>
      <c r="D17" s="35"/>
      <c r="E17" s="35"/>
      <c r="F17" s="40">
        <v>0</v>
      </c>
      <c r="G17" s="35"/>
      <c r="H17" s="34">
        <f>C17</f>
        <v>0</v>
      </c>
      <c r="I17" s="34">
        <f t="shared" si="0"/>
        <v>0</v>
      </c>
    </row>
    <row r="18" spans="1:26" ht="16.5" customHeight="1">
      <c r="A18" s="21" t="s">
        <v>22</v>
      </c>
      <c r="B18" s="22"/>
      <c r="C18" s="34">
        <f t="shared" ref="C18:I18" si="2">SUM(C11:C17)</f>
        <v>5000000</v>
      </c>
      <c r="D18" s="34">
        <f t="shared" si="2"/>
        <v>32590847</v>
      </c>
      <c r="E18" s="34">
        <f t="shared" si="2"/>
        <v>11232754</v>
      </c>
      <c r="F18" s="34">
        <f t="shared" si="2"/>
        <v>155080597</v>
      </c>
      <c r="G18" s="34">
        <f t="shared" si="2"/>
        <v>38823601</v>
      </c>
      <c r="H18" s="34">
        <f t="shared" si="2"/>
        <v>198904198</v>
      </c>
      <c r="I18" s="38">
        <f t="shared" si="2"/>
        <v>39780839.600000009</v>
      </c>
    </row>
    <row r="19" spans="1:26" ht="16.5" customHeight="1"/>
    <row r="20" spans="1:26" ht="11.25" customHeight="1">
      <c r="A20" s="47" t="s">
        <v>23</v>
      </c>
      <c r="B20" s="51"/>
      <c r="C20" s="51"/>
      <c r="D20" s="51"/>
      <c r="E20" s="51"/>
      <c r="F20" s="51"/>
      <c r="G20" s="51"/>
      <c r="H20" s="11"/>
      <c r="I20" s="11"/>
    </row>
    <row r="21" spans="1:26" ht="11.25" customHeight="1">
      <c r="A21" s="47" t="s">
        <v>24</v>
      </c>
      <c r="B21" s="51"/>
      <c r="C21" s="51"/>
      <c r="D21" s="51"/>
      <c r="E21" s="51"/>
      <c r="F21" s="51"/>
      <c r="G21" s="51"/>
      <c r="H21" s="11"/>
      <c r="I21" s="11"/>
    </row>
    <row r="22" spans="1:26" ht="11.25" customHeight="1">
      <c r="A22" s="47" t="s">
        <v>25</v>
      </c>
      <c r="B22" s="51"/>
      <c r="C22" s="51"/>
      <c r="D22" s="51"/>
      <c r="E22" s="51"/>
      <c r="F22" s="51"/>
      <c r="G22" s="51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9" t="s">
        <v>26</v>
      </c>
      <c r="B23" s="51"/>
      <c r="C23" s="51"/>
      <c r="D23" s="51"/>
      <c r="E23" s="51"/>
      <c r="F23" s="51"/>
      <c r="G23" s="51"/>
      <c r="H23" s="51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47" t="s">
        <v>27</v>
      </c>
      <c r="B24" s="51"/>
      <c r="C24" s="51"/>
      <c r="D24" s="51"/>
      <c r="E24" s="51"/>
      <c r="F24" s="51"/>
      <c r="G24" s="51"/>
      <c r="H24" s="11"/>
      <c r="I24" s="11"/>
    </row>
    <row r="25" spans="1:26" ht="11.25" customHeight="1">
      <c r="A25" s="47" t="s">
        <v>45</v>
      </c>
      <c r="B25" s="51"/>
      <c r="C25" s="51"/>
      <c r="D25" s="51"/>
      <c r="E25" s="51"/>
      <c r="F25" s="51"/>
      <c r="G25" s="51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6.5" customHeight="1">
      <c r="H26" s="8"/>
      <c r="I26" s="8"/>
    </row>
    <row r="27" spans="1:26" ht="16.5" customHeight="1"/>
    <row r="28" spans="1:26" ht="16.5" customHeight="1"/>
    <row r="29" spans="1:26" ht="16.5" customHeight="1"/>
    <row r="30" spans="1:26" ht="16.5" customHeight="1"/>
    <row r="31" spans="1:26" ht="16.5" customHeight="1"/>
    <row r="32" spans="1:2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9">
    <mergeCell ref="A23:H23"/>
    <mergeCell ref="A24:G24"/>
    <mergeCell ref="A25:G25"/>
    <mergeCell ref="A2:C2"/>
    <mergeCell ref="A6:G6"/>
    <mergeCell ref="A9:D9"/>
    <mergeCell ref="A20:G20"/>
    <mergeCell ref="A21:G21"/>
    <mergeCell ref="A22:G22"/>
  </mergeCells>
  <phoneticPr fontId="13" type="noConversion"/>
  <pageMargins left="0.7" right="0.7" top="0.75" bottom="0.75" header="0" footer="0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>
      <selection activeCell="J18" sqref="J18"/>
    </sheetView>
  </sheetViews>
  <sheetFormatPr defaultColWidth="14.44140625" defaultRowHeight="15" customHeight="1"/>
  <cols>
    <col min="1" max="1" width="7.44140625" style="43" customWidth="1"/>
    <col min="2" max="2" width="25.109375" style="43" bestFit="1" customWidth="1"/>
    <col min="3" max="9" width="19.5546875" style="43" customWidth="1"/>
    <col min="10" max="10" width="26.88671875" style="43" bestFit="1" customWidth="1"/>
    <col min="11" max="26" width="8.6640625" style="43" customWidth="1"/>
    <col min="27" max="16384" width="14.44140625" style="43"/>
  </cols>
  <sheetData>
    <row r="1" spans="1:26" ht="16.5" customHeight="1"/>
    <row r="2" spans="1:26" ht="16.5" customHeight="1">
      <c r="A2" s="50" t="s">
        <v>9</v>
      </c>
      <c r="B2" s="52"/>
      <c r="C2" s="52"/>
      <c r="D2" s="6"/>
      <c r="E2" s="6"/>
      <c r="F2" s="6"/>
      <c r="G2" s="6"/>
      <c r="H2" s="6"/>
      <c r="I2" s="6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4">
        <v>202211</v>
      </c>
      <c r="B4" s="9">
        <f>I18</f>
        <v>41636755.399999999</v>
      </c>
      <c r="C4" s="23">
        <f>B4</f>
        <v>41636755.399999999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/>
    <row r="6" spans="1:26" ht="11.25" customHeight="1">
      <c r="A6" s="47" t="s">
        <v>13</v>
      </c>
      <c r="B6" s="51"/>
      <c r="C6" s="51"/>
      <c r="D6" s="51"/>
      <c r="E6" s="51"/>
      <c r="F6" s="51"/>
      <c r="G6" s="5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/>
    <row r="8" spans="1:26" ht="16.5" customHeight="1"/>
    <row r="9" spans="1:26" ht="16.5" customHeight="1">
      <c r="A9" s="50" t="s">
        <v>14</v>
      </c>
      <c r="B9" s="52"/>
      <c r="C9" s="52"/>
      <c r="D9" s="52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202211</v>
      </c>
      <c r="B11" s="22" t="s">
        <v>39</v>
      </c>
      <c r="C11" s="34">
        <v>4000000</v>
      </c>
      <c r="D11" s="34">
        <v>33858736</v>
      </c>
      <c r="E11" s="34">
        <v>13953831</v>
      </c>
      <c r="F11" s="35"/>
      <c r="G11" s="34">
        <f>(D11+E11)-C11</f>
        <v>43812567</v>
      </c>
      <c r="H11" s="34">
        <f>(C11+G11)</f>
        <v>47812567</v>
      </c>
      <c r="I11" s="34">
        <f t="shared" ref="I11:I17" si="0">H11*0.2</f>
        <v>9562513.4000000004</v>
      </c>
    </row>
    <row r="12" spans="1:26" ht="16.5" customHeight="1">
      <c r="A12" s="21">
        <v>202210</v>
      </c>
      <c r="B12" s="22" t="s">
        <v>53</v>
      </c>
      <c r="C12" s="35"/>
      <c r="D12" s="35"/>
      <c r="E12" s="35"/>
      <c r="F12" s="36">
        <v>159863645</v>
      </c>
      <c r="G12" s="35"/>
      <c r="H12" s="34">
        <f t="shared" ref="H12:H17" si="1">F12</f>
        <v>159863645</v>
      </c>
      <c r="I12" s="34">
        <f t="shared" si="0"/>
        <v>31972729</v>
      </c>
    </row>
    <row r="13" spans="1:26" ht="16.5" customHeight="1">
      <c r="A13" s="21" t="s">
        <v>31</v>
      </c>
      <c r="B13" s="22" t="s">
        <v>46</v>
      </c>
      <c r="C13" s="35"/>
      <c r="D13" s="35"/>
      <c r="E13" s="35"/>
      <c r="F13" s="37">
        <v>0</v>
      </c>
      <c r="G13" s="35"/>
      <c r="H13" s="34">
        <f t="shared" si="1"/>
        <v>0</v>
      </c>
      <c r="I13" s="34">
        <f t="shared" si="0"/>
        <v>0</v>
      </c>
    </row>
    <row r="14" spans="1:26" ht="16.5" customHeight="1">
      <c r="A14" s="21">
        <v>202211</v>
      </c>
      <c r="B14" s="22" t="s">
        <v>35</v>
      </c>
      <c r="C14" s="35"/>
      <c r="D14" s="35"/>
      <c r="E14" s="35"/>
      <c r="F14" s="37">
        <v>507565</v>
      </c>
      <c r="G14" s="35"/>
      <c r="H14" s="34">
        <f t="shared" si="1"/>
        <v>507565</v>
      </c>
      <c r="I14" s="34">
        <f t="shared" si="0"/>
        <v>101513</v>
      </c>
      <c r="J14" s="33"/>
    </row>
    <row r="15" spans="1:26" ht="16.5" customHeight="1">
      <c r="A15" s="21" t="s">
        <v>31</v>
      </c>
      <c r="B15" s="22" t="s">
        <v>47</v>
      </c>
      <c r="C15" s="35"/>
      <c r="D15" s="35"/>
      <c r="E15" s="35"/>
      <c r="F15" s="37">
        <v>0</v>
      </c>
      <c r="G15" s="35"/>
      <c r="H15" s="34">
        <f t="shared" si="1"/>
        <v>0</v>
      </c>
      <c r="I15" s="34">
        <f t="shared" si="0"/>
        <v>0</v>
      </c>
    </row>
    <row r="16" spans="1:26" ht="16.5" customHeight="1">
      <c r="A16" s="21" t="s">
        <v>55</v>
      </c>
      <c r="B16" s="22" t="s">
        <v>48</v>
      </c>
      <c r="C16" s="35"/>
      <c r="D16" s="35"/>
      <c r="E16" s="35"/>
      <c r="F16" s="37">
        <v>0</v>
      </c>
      <c r="G16" s="35"/>
      <c r="H16" s="34">
        <f t="shared" si="1"/>
        <v>0</v>
      </c>
      <c r="I16" s="34">
        <f t="shared" si="0"/>
        <v>0</v>
      </c>
    </row>
    <row r="17" spans="1:26" ht="16.5" customHeight="1">
      <c r="A17" s="21" t="s">
        <v>31</v>
      </c>
      <c r="B17" s="22" t="s">
        <v>51</v>
      </c>
      <c r="C17" s="35"/>
      <c r="D17" s="35"/>
      <c r="E17" s="35"/>
      <c r="F17" s="37">
        <v>0</v>
      </c>
      <c r="G17" s="35"/>
      <c r="H17" s="34">
        <f t="shared" si="1"/>
        <v>0</v>
      </c>
      <c r="I17" s="34">
        <f t="shared" si="0"/>
        <v>0</v>
      </c>
    </row>
    <row r="18" spans="1:26" ht="16.5" customHeight="1">
      <c r="A18" s="21" t="s">
        <v>22</v>
      </c>
      <c r="B18" s="22"/>
      <c r="C18" s="34">
        <f t="shared" ref="C18:I18" si="2">SUM(C11:C17)</f>
        <v>4000000</v>
      </c>
      <c r="D18" s="34">
        <f t="shared" si="2"/>
        <v>33858736</v>
      </c>
      <c r="E18" s="34">
        <f t="shared" si="2"/>
        <v>13953831</v>
      </c>
      <c r="F18" s="34">
        <f t="shared" si="2"/>
        <v>160371210</v>
      </c>
      <c r="G18" s="34">
        <f t="shared" si="2"/>
        <v>43812567</v>
      </c>
      <c r="H18" s="34">
        <f t="shared" si="2"/>
        <v>208183777</v>
      </c>
      <c r="I18" s="38">
        <f t="shared" si="2"/>
        <v>41636755.399999999</v>
      </c>
    </row>
    <row r="19" spans="1:26" ht="16.5" customHeight="1"/>
    <row r="20" spans="1:26" ht="11.25" customHeight="1">
      <c r="A20" s="47" t="s">
        <v>23</v>
      </c>
      <c r="B20" s="51"/>
      <c r="C20" s="51"/>
      <c r="D20" s="51"/>
      <c r="E20" s="51"/>
      <c r="F20" s="51"/>
      <c r="G20" s="51"/>
      <c r="H20" s="11"/>
      <c r="I20" s="11"/>
    </row>
    <row r="21" spans="1:26" ht="11.25" customHeight="1">
      <c r="A21" s="47" t="s">
        <v>24</v>
      </c>
      <c r="B21" s="51"/>
      <c r="C21" s="51"/>
      <c r="D21" s="51"/>
      <c r="E21" s="51"/>
      <c r="F21" s="51"/>
      <c r="G21" s="51"/>
      <c r="H21" s="11"/>
      <c r="I21" s="11"/>
    </row>
    <row r="22" spans="1:26" ht="11.25" customHeight="1">
      <c r="A22" s="47" t="s">
        <v>25</v>
      </c>
      <c r="B22" s="51"/>
      <c r="C22" s="51"/>
      <c r="D22" s="51"/>
      <c r="E22" s="51"/>
      <c r="F22" s="51"/>
      <c r="G22" s="51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9" t="s">
        <v>26</v>
      </c>
      <c r="B23" s="51"/>
      <c r="C23" s="51"/>
      <c r="D23" s="51"/>
      <c r="E23" s="51"/>
      <c r="F23" s="51"/>
      <c r="G23" s="51"/>
      <c r="H23" s="51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47" t="s">
        <v>27</v>
      </c>
      <c r="B24" s="51"/>
      <c r="C24" s="51"/>
      <c r="D24" s="51"/>
      <c r="E24" s="51"/>
      <c r="F24" s="51"/>
      <c r="G24" s="51"/>
      <c r="H24" s="11"/>
      <c r="I24" s="11"/>
    </row>
    <row r="25" spans="1:26" ht="11.25" customHeight="1">
      <c r="A25" s="47" t="s">
        <v>45</v>
      </c>
      <c r="B25" s="51"/>
      <c r="C25" s="51"/>
      <c r="D25" s="51"/>
      <c r="E25" s="51"/>
      <c r="F25" s="51"/>
      <c r="G25" s="51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6.5" customHeight="1">
      <c r="H26" s="8"/>
      <c r="I26" s="8"/>
    </row>
    <row r="27" spans="1:26" ht="16.5" customHeight="1"/>
    <row r="28" spans="1:26" ht="16.5" customHeight="1"/>
    <row r="29" spans="1:26" ht="16.5" customHeight="1"/>
    <row r="30" spans="1:26" ht="16.5" customHeight="1"/>
    <row r="31" spans="1:26" ht="16.5" customHeight="1"/>
    <row r="32" spans="1:2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9">
    <mergeCell ref="A23:H23"/>
    <mergeCell ref="A24:G24"/>
    <mergeCell ref="A25:G25"/>
    <mergeCell ref="A2:C2"/>
    <mergeCell ref="A6:G6"/>
    <mergeCell ref="A9:D9"/>
    <mergeCell ref="A20:G20"/>
    <mergeCell ref="A21:G21"/>
    <mergeCell ref="A22:G22"/>
  </mergeCells>
  <phoneticPr fontId="13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서비스현황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  <vt:lpstr>202206</vt:lpstr>
      <vt:lpstr>202207</vt:lpstr>
      <vt:lpstr>202208</vt:lpstr>
      <vt:lpstr>202209</vt:lpstr>
      <vt:lpstr>202210</vt:lpstr>
      <vt:lpstr>202211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storywiz</cp:lastModifiedBy>
  <dcterms:created xsi:type="dcterms:W3CDTF">2012-11-29T06:46:34Z</dcterms:created>
  <dcterms:modified xsi:type="dcterms:W3CDTF">2022-12-22T00:59:39Z</dcterms:modified>
</cp:coreProperties>
</file>