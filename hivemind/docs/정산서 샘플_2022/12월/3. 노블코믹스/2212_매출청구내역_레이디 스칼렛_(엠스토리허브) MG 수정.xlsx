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NAS\100. 정산\2022\2022.12(11월 결산)\MG정산서\사업자\"/>
    </mc:Choice>
  </mc:AlternateContent>
  <xr:revisionPtr revIDLastSave="0" documentId="13_ncr:1_{6A7A18F8-16E0-4E3E-A89C-E1DBDED55129}" xr6:coauthVersionLast="47" xr6:coauthVersionMax="47" xr10:uidLastSave="{00000000-0000-0000-0000-000000000000}"/>
  <bookViews>
    <workbookView xWindow="38290" yWindow="-110" windowWidth="38620" windowHeight="21220" xr2:uid="{00000000-000D-0000-FFFF-FFFF00000000}"/>
  </bookViews>
  <sheets>
    <sheet name="MG 정산서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2" l="1"/>
  <c r="G14" i="2" l="1"/>
  <c r="D15" i="2"/>
  <c r="G15" i="2" l="1"/>
  <c r="C6" i="2" l="1"/>
  <c r="E6" i="2" s="1"/>
  <c r="B6" i="2"/>
</calcChain>
</file>

<file path=xl/sharedStrings.xml><?xml version="1.0" encoding="utf-8"?>
<sst xmlns="http://schemas.openxmlformats.org/spreadsheetml/2006/main" count="22" uniqueCount="21">
  <si>
    <t>1. 정산 안내</t>
    <phoneticPr fontId="4" type="noConversion"/>
  </si>
  <si>
    <t>내용</t>
    <phoneticPr fontId="4" type="noConversion"/>
  </si>
  <si>
    <t>정산금</t>
    <phoneticPr fontId="4" type="noConversion"/>
  </si>
  <si>
    <t>세액</t>
    <phoneticPr fontId="4" type="noConversion"/>
  </si>
  <si>
    <t>지급액</t>
    <phoneticPr fontId="4" type="noConversion"/>
  </si>
  <si>
    <t>과세여부</t>
    <phoneticPr fontId="4" type="noConversion"/>
  </si>
  <si>
    <t>지급예정일</t>
    <phoneticPr fontId="4" type="noConversion"/>
  </si>
  <si>
    <t>사업자용</t>
    <phoneticPr fontId="4" type="noConversion"/>
  </si>
  <si>
    <t>2. 정산내역</t>
    <phoneticPr fontId="4" type="noConversion"/>
  </si>
  <si>
    <t xml:space="preserve"> - 정산에 대한 상세 내역은 하단의 상세내역 시트에서 확인할 수 있습니다.</t>
    <phoneticPr fontId="4" type="noConversion"/>
  </si>
  <si>
    <t xml:space="preserve"> - 정산관련문의 : tax@mstoryhub.com</t>
    <phoneticPr fontId="4" type="noConversion"/>
  </si>
  <si>
    <t>대상 플랫폼</t>
    <phoneticPr fontId="3" type="noConversion"/>
  </si>
  <si>
    <t>정산대상</t>
    <phoneticPr fontId="4" type="noConversion"/>
  </si>
  <si>
    <t>지급 예정</t>
    <phoneticPr fontId="4" type="noConversion"/>
  </si>
  <si>
    <t>수익배분율</t>
    <phoneticPr fontId="3" type="noConversion"/>
  </si>
  <si>
    <t>합계</t>
    <phoneticPr fontId="3" type="noConversion"/>
  </si>
  <si>
    <t>원작료율</t>
    <phoneticPr fontId="3" type="noConversion"/>
  </si>
  <si>
    <t>2022년 12월 MG정산</t>
    <phoneticPr fontId="4" type="noConversion"/>
  </si>
  <si>
    <t>모이 코믹스(러시아어)</t>
    <phoneticPr fontId="3" type="noConversion"/>
  </si>
  <si>
    <t>레이디 스칼렛</t>
  </si>
  <si>
    <t>부가세 별도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</si>
</sst>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41" fontId="5" fillId="0" borderId="5" xfId="2" applyFont="1" applyBorder="1">
      <alignment vertical="center"/>
    </xf>
    <xf numFmtId="0" fontId="5" fillId="0" borderId="5" xfId="1" applyFont="1" applyBorder="1" applyAlignment="1">
      <alignment horizontal="center" vertical="center"/>
    </xf>
    <xf numFmtId="31" fontId="5" fillId="0" borderId="6" xfId="1" applyNumberFormat="1" applyFont="1" applyBorder="1" applyAlignment="1">
      <alignment horizontal="center" vertical="center"/>
    </xf>
    <xf numFmtId="0" fontId="1" fillId="0" borderId="0" xfId="1">
      <alignment vertical="center"/>
    </xf>
    <xf numFmtId="0" fontId="5" fillId="0" borderId="7" xfId="1" applyFont="1" applyBorder="1" applyAlignment="1">
      <alignment horizontal="center" vertical="center"/>
    </xf>
    <xf numFmtId="41" fontId="5" fillId="0" borderId="7" xfId="3" applyFont="1" applyFill="1" applyBorder="1" applyAlignment="1">
      <alignment horizontal="center" vertical="center"/>
    </xf>
    <xf numFmtId="9" fontId="5" fillId="0" borderId="7" xfId="4" applyFont="1" applyFill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41" fontId="5" fillId="0" borderId="9" xfId="3" applyFont="1" applyFill="1" applyBorder="1" applyAlignment="1">
      <alignment horizontal="center" vertical="center"/>
    </xf>
    <xf numFmtId="41" fontId="5" fillId="2" borderId="4" xfId="2" applyFont="1" applyFill="1" applyBorder="1" applyAlignment="1">
      <alignment horizontal="center" vertical="center"/>
    </xf>
    <xf numFmtId="41" fontId="5" fillId="2" borderId="5" xfId="2" applyFont="1" applyFill="1" applyBorder="1" applyAlignment="1">
      <alignment horizontal="center" vertical="center"/>
    </xf>
    <xf numFmtId="41" fontId="5" fillId="2" borderId="5" xfId="3" applyFont="1" applyFill="1" applyBorder="1">
      <alignment vertical="center"/>
    </xf>
    <xf numFmtId="9" fontId="5" fillId="2" borderId="5" xfId="4" applyFont="1" applyFill="1" applyBorder="1" applyAlignment="1">
      <alignment horizontal="center" vertical="center"/>
    </xf>
    <xf numFmtId="41" fontId="5" fillId="2" borderId="6" xfId="3" applyFont="1" applyFill="1" applyBorder="1">
      <alignment vertical="center"/>
    </xf>
    <xf numFmtId="0" fontId="2" fillId="0" borderId="0" xfId="1" applyFont="1" applyAlignment="1">
      <alignment horizontal="center" vertical="center"/>
    </xf>
  </cellXfs>
  <cellStyles count="5">
    <cellStyle name="백분율" xfId="4" builtinId="5"/>
    <cellStyle name="쉼표 [0]" xfId="3" builtinId="6"/>
    <cellStyle name="쉼표 [0] 2" xfId="2" xr:uid="{A431BA0E-1AE8-4365-8A5C-9EC699F774ED}"/>
    <cellStyle name="표준" xfId="0" builtinId="0"/>
    <cellStyle name="표준 2" xfId="1" xr:uid="{22D6C2C9-3070-4017-84E2-8543F17333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9660-EB2E-4920-A5C4-1F78B2931570}">
  <dimension ref="A1:O41"/>
  <sheetViews>
    <sheetView showGridLines="0" tabSelected="1" workbookViewId="0">
      <selection sqref="A1:H1"/>
    </sheetView>
  </sheetViews>
  <sheetFormatPr defaultColWidth="0" defaultRowHeight="0" customHeight="1" zeroHeight="1" x14ac:dyDescent="0.45"/>
  <cols>
    <col min="1" max="1" width="3.33203125" style="1" customWidth="1"/>
    <col min="2" max="2" width="37.33203125" style="1" customWidth="1"/>
    <col min="3" max="7" width="16.5" style="1" customWidth="1"/>
    <col min="8" max="8" width="3.33203125" style="1" customWidth="1"/>
    <col min="9" max="11" width="8.58203125" style="1" hidden="1" customWidth="1"/>
    <col min="12" max="14" width="0" style="1" hidden="1" customWidth="1"/>
    <col min="15" max="16384" width="8.58203125" style="10" hidden="1"/>
  </cols>
  <sheetData>
    <row r="1" spans="1:15" ht="50.15" customHeight="1" x14ac:dyDescent="0.45">
      <c r="A1" s="21" t="s">
        <v>17</v>
      </c>
      <c r="B1" s="21"/>
      <c r="C1" s="21"/>
      <c r="D1" s="21"/>
      <c r="E1" s="21"/>
      <c r="F1" s="21"/>
      <c r="G1" s="21"/>
      <c r="H1" s="21"/>
    </row>
    <row r="2" spans="1:15" ht="17.149999999999999" customHeight="1" x14ac:dyDescent="0.45"/>
    <row r="3" spans="1:15" ht="17.149999999999999" customHeight="1" x14ac:dyDescent="0.45"/>
    <row r="4" spans="1:15" ht="17.5" thickBot="1" x14ac:dyDescent="0.5">
      <c r="B4" s="2" t="s">
        <v>0</v>
      </c>
    </row>
    <row r="5" spans="1:15" ht="20.149999999999999" customHeight="1" x14ac:dyDescent="0.45">
      <c r="B5" s="3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5" t="s">
        <v>6</v>
      </c>
      <c r="I5" s="1" t="s">
        <v>7</v>
      </c>
    </row>
    <row r="6" spans="1:15" ht="20.149999999999999" customHeight="1" thickBot="1" x14ac:dyDescent="0.5">
      <c r="B6" s="6" t="str">
        <f>RIGHT(A1,8)</f>
        <v>12월 MG정산</v>
      </c>
      <c r="C6" s="7">
        <f>ROUND(G15,0)</f>
        <v>100000</v>
      </c>
      <c r="D6" s="7">
        <f>ROUNDDOWN(C6*10%,0)</f>
        <v>10000</v>
      </c>
      <c r="E6" s="7">
        <f>C6+D6</f>
        <v>110000</v>
      </c>
      <c r="F6" s="8" t="s">
        <v>20</v>
      </c>
      <c r="G6" s="9">
        <v>44925</v>
      </c>
    </row>
    <row r="7" spans="1:15" ht="17.149999999999999" customHeight="1" x14ac:dyDescent="0.45"/>
    <row r="8" spans="1:15" ht="17.149999999999999" customHeight="1" x14ac:dyDescent="0.45"/>
    <row r="9" spans="1:15" ht="17.149999999999999" customHeight="1" x14ac:dyDescent="0.45"/>
    <row r="10" spans="1:15" ht="17.149999999999999" customHeight="1" x14ac:dyDescent="0.45"/>
    <row r="11" spans="1:15" ht="17.149999999999999" customHeight="1" x14ac:dyDescent="0.45"/>
    <row r="12" spans="1:15" ht="20.149999999999999" customHeight="1" thickBot="1" x14ac:dyDescent="0.5">
      <c r="B12" s="2" t="s">
        <v>8</v>
      </c>
      <c r="C12" s="2"/>
    </row>
    <row r="13" spans="1:15" ht="20.149999999999999" customHeight="1" x14ac:dyDescent="0.45">
      <c r="B13" s="3" t="s">
        <v>1</v>
      </c>
      <c r="C13" s="4" t="s">
        <v>11</v>
      </c>
      <c r="D13" s="4" t="s">
        <v>12</v>
      </c>
      <c r="E13" s="4" t="s">
        <v>16</v>
      </c>
      <c r="F13" s="4" t="s">
        <v>14</v>
      </c>
      <c r="G13" s="5" t="s">
        <v>13</v>
      </c>
      <c r="O13" s="1"/>
    </row>
    <row r="14" spans="1:15" ht="20.149999999999999" customHeight="1" x14ac:dyDescent="0.45">
      <c r="B14" s="14" t="s">
        <v>19</v>
      </c>
      <c r="C14" s="11" t="s">
        <v>18</v>
      </c>
      <c r="D14" s="12">
        <v>1000000</v>
      </c>
      <c r="E14" s="13">
        <v>0</v>
      </c>
      <c r="F14" s="13">
        <v>0.1</v>
      </c>
      <c r="G14" s="15">
        <f>D14*(1-E14)*F14</f>
        <v>100000</v>
      </c>
      <c r="O14" s="1"/>
    </row>
    <row r="15" spans="1:15" ht="20.149999999999999" customHeight="1" thickBot="1" x14ac:dyDescent="0.5">
      <c r="B15" s="16" t="s">
        <v>15</v>
      </c>
      <c r="C15" s="17"/>
      <c r="D15" s="18">
        <f>SUM(D14:D14)</f>
        <v>1000000</v>
      </c>
      <c r="E15" s="18"/>
      <c r="F15" s="19"/>
      <c r="G15" s="20">
        <f>SUM(G14:G14)</f>
        <v>100000</v>
      </c>
      <c r="O15" s="1"/>
    </row>
    <row r="16" spans="1:15" s="1" customFormat="1" ht="17.149999999999999" customHeight="1" x14ac:dyDescent="0.45"/>
    <row r="17" spans="2:14" s="1" customFormat="1" ht="17.149999999999999" customHeight="1" x14ac:dyDescent="0.45"/>
    <row r="18" spans="2:14" ht="17.149999999999999" customHeight="1" x14ac:dyDescent="0.45">
      <c r="B18" s="1" t="s">
        <v>9</v>
      </c>
      <c r="I18" s="10"/>
      <c r="J18" s="10"/>
      <c r="K18" s="10"/>
      <c r="L18" s="10"/>
      <c r="M18" s="10"/>
      <c r="N18" s="10"/>
    </row>
    <row r="19" spans="2:14" ht="17.149999999999999" customHeight="1" x14ac:dyDescent="0.45">
      <c r="B19" s="1" t="s">
        <v>10</v>
      </c>
      <c r="I19" s="10"/>
      <c r="J19" s="10"/>
      <c r="K19" s="10"/>
      <c r="L19" s="10"/>
      <c r="M19" s="10"/>
      <c r="N19" s="10"/>
    </row>
    <row r="20" spans="2:14" ht="17.149999999999999" customHeight="1" x14ac:dyDescent="0.45"/>
    <row r="21" spans="2:14" ht="17.149999999999999" customHeight="1" x14ac:dyDescent="0.45"/>
    <row r="22" spans="2:14" ht="17.149999999999999" customHeight="1" x14ac:dyDescent="0.45"/>
    <row r="23" spans="2:14" ht="17.149999999999999" customHeight="1" x14ac:dyDescent="0.45"/>
    <row r="24" spans="2:14" s="1" customFormat="1" ht="17.149999999999999" customHeight="1" x14ac:dyDescent="0.45"/>
    <row r="25" spans="2:14" s="1" customFormat="1" ht="17.149999999999999" customHeight="1" x14ac:dyDescent="0.45"/>
    <row r="26" spans="2:14" s="1" customFormat="1" ht="17.149999999999999" customHeight="1" x14ac:dyDescent="0.45"/>
    <row r="27" spans="2:14" s="1" customFormat="1" ht="17.149999999999999" customHeight="1" x14ac:dyDescent="0.45"/>
    <row r="28" spans="2:14" s="1" customFormat="1" ht="17.149999999999999" customHeight="1" x14ac:dyDescent="0.45"/>
    <row r="29" spans="2:14" s="1" customFormat="1" ht="0" hidden="1" customHeight="1" x14ac:dyDescent="0.45"/>
    <row r="30" spans="2:14" s="1" customFormat="1" ht="0" hidden="1" customHeight="1" x14ac:dyDescent="0.45"/>
    <row r="31" spans="2:14" s="1" customFormat="1" ht="0" hidden="1" customHeight="1" x14ac:dyDescent="0.45"/>
    <row r="32" spans="2:14" s="1" customFormat="1" ht="0" hidden="1" customHeight="1" x14ac:dyDescent="0.45"/>
    <row r="33" s="1" customFormat="1" ht="0" hidden="1" customHeight="1" x14ac:dyDescent="0.45"/>
    <row r="34" s="1" customFormat="1" ht="0" hidden="1" customHeight="1" x14ac:dyDescent="0.45"/>
    <row r="35" s="1" customFormat="1" ht="0" hidden="1" customHeight="1" x14ac:dyDescent="0.45"/>
    <row r="36" s="1" customFormat="1" ht="0" hidden="1" customHeight="1" x14ac:dyDescent="0.45"/>
    <row r="37" s="1" customFormat="1" ht="0" hidden="1" customHeight="1" x14ac:dyDescent="0.45"/>
    <row r="38" s="1" customFormat="1" ht="0" hidden="1" customHeight="1" x14ac:dyDescent="0.45"/>
    <row r="39" s="1" customFormat="1" ht="0" hidden="1" customHeight="1" x14ac:dyDescent="0.45"/>
    <row r="40" s="1" customFormat="1" ht="0" hidden="1" customHeight="1" x14ac:dyDescent="0.45"/>
    <row r="41" s="1" customFormat="1" ht="0" hidden="1" customHeight="1" x14ac:dyDescent="0.45"/>
  </sheetData>
  <mergeCells count="1">
    <mergeCell ref="A1:H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MG 정산서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woon</dc:creator>
  <cp:lastModifiedBy>SJY</cp:lastModifiedBy>
  <dcterms:created xsi:type="dcterms:W3CDTF">2015-06-05T18:19:34Z</dcterms:created>
  <dcterms:modified xsi:type="dcterms:W3CDTF">2022-12-26T07:04:24Z</dcterms:modified>
</cp:coreProperties>
</file>