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2. 월중매출(0220)\"/>
    </mc:Choice>
  </mc:AlternateContent>
  <bookViews>
    <workbookView xWindow="24816" yWindow="0" windowWidth="18240" windowHeight="8748" tabRatio="948"/>
  </bookViews>
  <sheets>
    <sheet name="합계(1)" sheetId="70" r:id="rId1"/>
    <sheet name="가람검" sheetId="71" r:id="rId2"/>
    <sheet name="구유" sheetId="72" r:id="rId3"/>
    <sheet name="군주" sheetId="73" r:id="rId4"/>
    <sheet name="권용찬" sheetId="74" r:id="rId5"/>
    <sheet name="김광수" sheetId="75" r:id="rId6"/>
    <sheet name="김정률" sheetId="76" r:id="rId7"/>
    <sheet name="독고진" sheetId="77" r:id="rId8"/>
    <sheet name="루이세" sheetId="78" r:id="rId9"/>
    <sheet name="무장" sheetId="79" r:id="rId10"/>
    <sheet name="벗우" sheetId="80" r:id="rId11"/>
    <sheet name="예로나" sheetId="81" r:id="rId12"/>
    <sheet name="왕십리글쟁이" sheetId="82" r:id="rId13"/>
    <sheet name="이동열" sheetId="83" r:id="rId14"/>
    <sheet name="이준영" sheetId="84" r:id="rId15"/>
    <sheet name="장유진" sheetId="85" r:id="rId16"/>
    <sheet name="전혁" sheetId="86" r:id="rId17"/>
    <sheet name="진문" sheetId="87" r:id="rId18"/>
    <sheet name="찬동" sheetId="88" r:id="rId19"/>
    <sheet name="청빙" sheetId="89" r:id="rId20"/>
    <sheet name="하이후" sheetId="90" r:id="rId21"/>
  </sheets>
  <definedNames>
    <definedName name="_xlnm._FilterDatabase" localSheetId="0" hidden="1">'합계(1)'!$A$1:$M$53</definedName>
    <definedName name="_xlnm.Extract" localSheetId="1">가람검!$A$1:$M$1</definedName>
    <definedName name="_xlnm.Extract" localSheetId="2">구유!$A$1:$M$1</definedName>
    <definedName name="_xlnm.Extract" localSheetId="3">군주!$A$1:$M$1</definedName>
    <definedName name="_xlnm.Extract" localSheetId="4">권용찬!$A$1:$M$1</definedName>
    <definedName name="_xlnm.Extract" localSheetId="5">김광수!$A$1:$M$1</definedName>
    <definedName name="_xlnm.Extract" localSheetId="6">김정률!$A$1:$M$1</definedName>
    <definedName name="_xlnm.Extract" localSheetId="7">독고진!$A$1:$M$1</definedName>
    <definedName name="_xlnm.Extract" localSheetId="8">루이세!$A$1:$M$1</definedName>
    <definedName name="_xlnm.Extract" localSheetId="9">무장!$A$1:$M$1</definedName>
    <definedName name="_xlnm.Extract" localSheetId="10">벗우!$A$1:$M$1</definedName>
    <definedName name="_xlnm.Extract" localSheetId="11">예로나!$A$1:$M$1</definedName>
    <definedName name="_xlnm.Extract" localSheetId="12">왕십리글쟁이!$A$1:$M$1</definedName>
    <definedName name="_xlnm.Extract" localSheetId="13">이동열!$A$1:$M$1</definedName>
    <definedName name="_xlnm.Extract" localSheetId="14">이준영!$A$1:$M$1</definedName>
    <definedName name="_xlnm.Extract" localSheetId="15">장유진!$A$1:$M$1</definedName>
    <definedName name="_xlnm.Extract" localSheetId="16">전혁!$A$1:$M$1</definedName>
    <definedName name="_xlnm.Extract" localSheetId="17">진문!$A$1:$M$1</definedName>
    <definedName name="_xlnm.Extract" localSheetId="18">찬동!$A$1:$M$1</definedName>
    <definedName name="_xlnm.Extract" localSheetId="19">청빙!$A$1:$M$1</definedName>
    <definedName name="_xlnm.Extract" localSheetId="20">하이후!$A$1:$M$1</definedName>
    <definedName name="_xlnm.Extract" localSheetId="0">'합계(1)'!#REF!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86" l="1"/>
  <c r="M4" i="83"/>
  <c r="M5" i="79"/>
  <c r="M9" i="76"/>
  <c r="M9" i="75"/>
  <c r="M15" i="74"/>
  <c r="M53" i="70" l="1"/>
</calcChain>
</file>

<file path=xl/sharedStrings.xml><?xml version="1.0" encoding="utf-8"?>
<sst xmlns="http://schemas.openxmlformats.org/spreadsheetml/2006/main" count="681" uniqueCount="98">
  <si>
    <t>문피아</t>
  </si>
  <si>
    <t>신마협도 [E]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</si>
  <si>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</si>
  <si>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</si>
  <si>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</si>
  <si>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</si>
  <si>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</si>
  <si>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</si>
  <si>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</si>
  <si>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</si>
  <si>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</si>
  <si>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</si>
  <si>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</si>
  <si>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</si>
  <si>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</si>
  <si>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</si>
  <si>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</si>
  <si>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</si>
  <si>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</si>
  <si>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</si>
  <si>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</si>
  <si>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</si>
  <si>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</si>
  <si>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</si>
  <si>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</si>
  <si>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</si>
  <si>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로드 오브 머니 [D]</t>
  </si>
  <si>
    <t>예로나</t>
  </si>
  <si>
    <t>전혁</t>
  </si>
  <si>
    <t>파계 [권용찬 작가-무협 소설]</t>
  </si>
  <si>
    <t>무장</t>
  </si>
  <si>
    <t>김정률</t>
  </si>
  <si>
    <t>절대자의 귀환 [장유진 작가 - 퓨전판타지 소설]</t>
  </si>
  <si>
    <t>장유진</t>
  </si>
  <si>
    <t>용무쌍 - 태양을 덮은 그림자</t>
  </si>
  <si>
    <t>신궁전설 [D]</t>
  </si>
  <si>
    <t>아나크레온 [D]</t>
  </si>
  <si>
    <t>수적왕</t>
  </si>
  <si>
    <t>파계(破戒) [E]</t>
  </si>
  <si>
    <t>혈풍천하(血風天下) [E]</t>
  </si>
  <si>
    <t>마스터 K [D]</t>
  </si>
  <si>
    <t>프리나이트 [D]</t>
  </si>
  <si>
    <t>신규무사 [D]</t>
  </si>
  <si>
    <t>화산지애</t>
  </si>
  <si>
    <t>왕십리글쟁이</t>
  </si>
  <si>
    <t>dhkdtlqfl4869</t>
  </si>
  <si>
    <t>슈퍼스타의 비밀 어플</t>
  </si>
  <si>
    <t>김광수</t>
  </si>
  <si>
    <t>[개정판] 영웅</t>
  </si>
  <si>
    <t>간신이 나라를 살림 [D]</t>
  </si>
  <si>
    <t>라스트 서바이버 : 진화로 살아남아라! [D]</t>
  </si>
  <si>
    <t>마왕 데이몬 [D]</t>
  </si>
  <si>
    <t>성군이십니다</t>
  </si>
  <si>
    <t>이과생 둘이 회귀했다 [D]</t>
  </si>
  <si>
    <t>청빙</t>
  </si>
  <si>
    <t>SSS급 마왕의 귀환 [D]</t>
  </si>
  <si>
    <t>[개정판] 영웅 [D]</t>
  </si>
  <si>
    <t>[완전판] 게이트 헌터 [D]</t>
  </si>
  <si>
    <t>[완전판] 레이드 만물상점 [D]</t>
  </si>
  <si>
    <t>게임 속 유닛 [D]</t>
  </si>
  <si>
    <t>꿈은 이루어진다 [D]</t>
  </si>
  <si>
    <t>나 혼자만 일일 보상 [D]</t>
  </si>
  <si>
    <t>데이몬 [D]</t>
  </si>
  <si>
    <t>독종무쌍 [D]</t>
  </si>
  <si>
    <t>리얼 머니 [D]</t>
  </si>
  <si>
    <t>말빨 [D]</t>
  </si>
  <si>
    <t>상왕 진우몽</t>
  </si>
  <si>
    <t>스포트라이트 [D]</t>
  </si>
  <si>
    <t>아나크레온</t>
  </si>
  <si>
    <t>용중신권</t>
  </si>
  <si>
    <t>용중신권 [E]</t>
  </si>
  <si>
    <t>위드 카일러</t>
  </si>
  <si>
    <t>은천검제(화산검제 포함) [D]</t>
  </si>
  <si>
    <t>작가무림 [D]</t>
  </si>
  <si>
    <t>최종 보스 : 빛을 향해 달리는 그림자 [D]</t>
  </si>
  <si>
    <t>트루베니아 연대기 [D]</t>
  </si>
  <si>
    <t>포르트무스</t>
  </si>
  <si>
    <t>하프 블러드</t>
  </si>
  <si>
    <t>하프 블러드 [D]</t>
  </si>
  <si>
    <t>회귀의 전설 [D]</t>
  </si>
  <si>
    <t>수적왕(水賊王) [E]</t>
    <phoneticPr fontId="2" type="noConversion"/>
  </si>
  <si>
    <t>루이세</t>
  </si>
  <si>
    <t>이준영</t>
  </si>
  <si>
    <t>하이후</t>
  </si>
  <si>
    <t>찬동</t>
  </si>
  <si>
    <t>진문</t>
  </si>
  <si>
    <t>김광수</t>
    <phoneticPr fontId="2" type="noConversion"/>
  </si>
  <si>
    <t>구유</t>
    <phoneticPr fontId="2" type="noConversion"/>
  </si>
  <si>
    <t>김광수</t>
    <phoneticPr fontId="2" type="noConversion"/>
  </si>
  <si>
    <t>벗우</t>
    <phoneticPr fontId="2" type="noConversion"/>
  </si>
  <si>
    <t>이동열</t>
    <phoneticPr fontId="2" type="noConversion"/>
  </si>
  <si>
    <t>김정률</t>
    <phoneticPr fontId="2" type="noConversion"/>
  </si>
  <si>
    <t>전혁</t>
    <phoneticPr fontId="2" type="noConversion"/>
  </si>
  <si>
    <t>가람검</t>
    <phoneticPr fontId="2" type="noConversion"/>
  </si>
  <si>
    <t>무장</t>
    <phoneticPr fontId="2" type="noConversion"/>
  </si>
  <si>
    <t>군주</t>
    <phoneticPr fontId="2" type="noConversion"/>
  </si>
  <si>
    <t>김정률</t>
    <phoneticPr fontId="2" type="noConversion"/>
  </si>
  <si>
    <t>김정률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</si>
</sst>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41" fontId="5" fillId="0" borderId="1" xfId="1" applyFont="1" applyBorder="1">
      <alignment vertical="center"/>
    </xf>
    <xf numFmtId="41" fontId="0" fillId="2" borderId="0" xfId="0" applyNumberFormat="1" applyFill="1">
      <alignment vertical="center"/>
    </xf>
    <xf numFmtId="0" fontId="4" fillId="0" borderId="1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3"/>
  <sheetViews>
    <sheetView showGridLines="0" tabSelected="1" zoomScale="82" zoomScaleNormal="82" workbookViewId="0">
      <selection activeCell="H19" sqref="H19"/>
    </sheetView>
  </sheetViews>
  <sheetFormatPr defaultRowHeight="17.399999999999999" x14ac:dyDescent="0.4"/>
  <cols>
    <col min="1" max="1" width="8.59765625" customWidth="1"/>
    <col min="2" max="2" width="9.8984375" customWidth="1"/>
    <col min="3" max="3" width="8.59765625" customWidth="1"/>
    <col min="4" max="4" width="8.59765625" style="8" customWidth="1"/>
    <col min="5" max="5" width="10.3984375" bestFit="1" customWidth="1"/>
    <col min="6" max="6" width="33.09765625" bestFit="1" customWidth="1"/>
    <col min="7" max="7" width="10.69921875" bestFit="1" customWidth="1"/>
    <col min="8" max="8" width="12.796875" bestFit="1" customWidth="1"/>
    <col min="9" max="9" width="27.69921875" customWidth="1"/>
    <col min="10" max="12" width="10.69921875" bestFit="1" customWidth="1"/>
    <col min="13" max="13" width="11.796875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93</v>
      </c>
      <c r="D2" s="3" t="s">
        <v>22</v>
      </c>
      <c r="E2" s="3">
        <v>221970</v>
      </c>
      <c r="F2" s="7" t="s">
        <v>71</v>
      </c>
      <c r="G2" s="4">
        <v>1</v>
      </c>
      <c r="H2" s="4">
        <v>0</v>
      </c>
      <c r="I2" s="4">
        <v>0</v>
      </c>
      <c r="J2" s="4">
        <v>0</v>
      </c>
      <c r="K2" s="5">
        <v>100</v>
      </c>
      <c r="L2" s="5">
        <v>0</v>
      </c>
      <c r="M2" s="4">
        <v>63</v>
      </c>
    </row>
    <row r="3" spans="1:13" x14ac:dyDescent="0.4">
      <c r="A3" s="3">
        <v>2022.01</v>
      </c>
      <c r="B3" s="3" t="s">
        <v>0</v>
      </c>
      <c r="C3" s="3" t="s">
        <v>87</v>
      </c>
      <c r="D3" s="3" t="s">
        <v>22</v>
      </c>
      <c r="E3" s="3">
        <v>219712</v>
      </c>
      <c r="F3" s="7" t="s">
        <v>55</v>
      </c>
      <c r="G3" s="4">
        <v>1</v>
      </c>
      <c r="H3" s="4">
        <v>0</v>
      </c>
      <c r="I3" s="4">
        <v>0</v>
      </c>
      <c r="J3" s="4">
        <v>0</v>
      </c>
      <c r="K3" s="5">
        <v>3200</v>
      </c>
      <c r="L3" s="5">
        <v>0</v>
      </c>
      <c r="M3" s="4">
        <v>2016</v>
      </c>
    </row>
    <row r="4" spans="1:13" x14ac:dyDescent="0.4">
      <c r="A4" s="3">
        <v>2022.01</v>
      </c>
      <c r="B4" s="3" t="s">
        <v>0</v>
      </c>
      <c r="C4" s="3" t="s">
        <v>95</v>
      </c>
      <c r="D4" s="3" t="s">
        <v>22</v>
      </c>
      <c r="E4" s="3">
        <v>220862</v>
      </c>
      <c r="F4" s="7" t="s">
        <v>73</v>
      </c>
      <c r="G4" s="4">
        <v>0</v>
      </c>
      <c r="H4" s="4">
        <v>0</v>
      </c>
      <c r="I4" s="4">
        <v>1</v>
      </c>
      <c r="J4" s="4">
        <v>0</v>
      </c>
      <c r="K4" s="5">
        <v>900</v>
      </c>
      <c r="L4" s="5">
        <v>0</v>
      </c>
      <c r="M4" s="4">
        <v>567</v>
      </c>
    </row>
    <row r="5" spans="1:13" x14ac:dyDescent="0.4">
      <c r="A5" s="3">
        <v>2022.01</v>
      </c>
      <c r="B5" s="3" t="s">
        <v>0</v>
      </c>
      <c r="C5" s="3" t="s">
        <v>17</v>
      </c>
      <c r="D5" s="3" t="s">
        <v>22</v>
      </c>
      <c r="E5" s="3">
        <v>241288</v>
      </c>
      <c r="F5" s="7" t="s">
        <v>57</v>
      </c>
      <c r="G5" s="4">
        <v>0</v>
      </c>
      <c r="H5" s="4">
        <v>0</v>
      </c>
      <c r="I5" s="4">
        <v>1</v>
      </c>
      <c r="J5" s="4">
        <v>0</v>
      </c>
      <c r="K5" s="5">
        <v>900</v>
      </c>
      <c r="L5" s="5">
        <v>0</v>
      </c>
      <c r="M5" s="4">
        <v>567</v>
      </c>
    </row>
    <row r="6" spans="1:13" x14ac:dyDescent="0.4">
      <c r="A6" s="3">
        <v>2022.01</v>
      </c>
      <c r="B6" s="3" t="s">
        <v>0</v>
      </c>
      <c r="C6" s="3" t="s">
        <v>17</v>
      </c>
      <c r="D6" s="3" t="s">
        <v>22</v>
      </c>
      <c r="E6" s="3">
        <v>241641</v>
      </c>
      <c r="F6" s="7" t="s">
        <v>66</v>
      </c>
      <c r="G6" s="4">
        <v>157</v>
      </c>
      <c r="H6" s="4">
        <v>0</v>
      </c>
      <c r="I6" s="4">
        <v>0</v>
      </c>
      <c r="J6" s="4">
        <v>0</v>
      </c>
      <c r="K6" s="5">
        <v>15700</v>
      </c>
      <c r="L6" s="5">
        <v>0</v>
      </c>
      <c r="M6" s="4">
        <v>9891</v>
      </c>
    </row>
    <row r="7" spans="1:13" x14ac:dyDescent="0.4">
      <c r="A7" s="3">
        <v>2022.01</v>
      </c>
      <c r="B7" s="3" t="s">
        <v>0</v>
      </c>
      <c r="C7" s="3" t="s">
        <v>17</v>
      </c>
      <c r="D7" s="3" t="s">
        <v>22</v>
      </c>
      <c r="E7" s="3">
        <v>221959</v>
      </c>
      <c r="F7" s="7" t="s">
        <v>69</v>
      </c>
      <c r="G7" s="4">
        <v>1</v>
      </c>
      <c r="H7" s="4">
        <v>0</v>
      </c>
      <c r="I7" s="4">
        <v>0</v>
      </c>
      <c r="J7" s="4">
        <v>0</v>
      </c>
      <c r="K7" s="5">
        <v>100</v>
      </c>
      <c r="L7" s="5">
        <v>0</v>
      </c>
      <c r="M7" s="4">
        <v>63</v>
      </c>
    </row>
    <row r="8" spans="1:13" x14ac:dyDescent="0.4">
      <c r="A8" s="3">
        <v>2022.01</v>
      </c>
      <c r="B8" s="3" t="s">
        <v>0</v>
      </c>
      <c r="C8" s="3" t="s">
        <v>17</v>
      </c>
      <c r="D8" s="3" t="s">
        <v>22</v>
      </c>
      <c r="E8" s="3">
        <v>149070</v>
      </c>
      <c r="F8" s="7" t="s">
        <v>70</v>
      </c>
      <c r="G8" s="4">
        <v>0</v>
      </c>
      <c r="H8" s="4">
        <v>0</v>
      </c>
      <c r="I8" s="4">
        <v>4</v>
      </c>
      <c r="J8" s="4">
        <v>0</v>
      </c>
      <c r="K8" s="5">
        <v>1200</v>
      </c>
      <c r="L8" s="5">
        <v>0</v>
      </c>
      <c r="M8" s="4">
        <v>756</v>
      </c>
    </row>
    <row r="9" spans="1:13" x14ac:dyDescent="0.4">
      <c r="A9" s="3">
        <v>2022.01</v>
      </c>
      <c r="B9" s="3" t="s">
        <v>0</v>
      </c>
      <c r="C9" s="3" t="s">
        <v>17</v>
      </c>
      <c r="D9" s="3" t="s">
        <v>18</v>
      </c>
      <c r="E9" s="3">
        <v>13397</v>
      </c>
      <c r="F9" s="7" t="s">
        <v>80</v>
      </c>
      <c r="G9" s="4">
        <v>3</v>
      </c>
      <c r="H9" s="4">
        <v>0</v>
      </c>
      <c r="I9" s="4">
        <v>0</v>
      </c>
      <c r="J9" s="4">
        <v>0</v>
      </c>
      <c r="K9" s="5">
        <v>3000</v>
      </c>
      <c r="L9" s="5">
        <v>0</v>
      </c>
      <c r="M9" s="4">
        <v>1890</v>
      </c>
    </row>
    <row r="10" spans="1:13" x14ac:dyDescent="0.4">
      <c r="A10" s="3">
        <v>2022.01</v>
      </c>
      <c r="B10" s="3" t="s">
        <v>0</v>
      </c>
      <c r="C10" s="3" t="s">
        <v>17</v>
      </c>
      <c r="D10" s="3" t="s">
        <v>18</v>
      </c>
      <c r="E10" s="3">
        <v>29804</v>
      </c>
      <c r="F10" s="7" t="s">
        <v>34</v>
      </c>
      <c r="G10" s="4">
        <v>28</v>
      </c>
      <c r="H10" s="4">
        <v>0</v>
      </c>
      <c r="I10" s="4">
        <v>0</v>
      </c>
      <c r="J10" s="4">
        <v>0</v>
      </c>
      <c r="K10" s="5">
        <v>2800</v>
      </c>
      <c r="L10" s="5">
        <v>0</v>
      </c>
      <c r="M10" s="4">
        <v>1764</v>
      </c>
    </row>
    <row r="11" spans="1:13" x14ac:dyDescent="0.4">
      <c r="A11" s="3">
        <v>2022.01</v>
      </c>
      <c r="B11" s="3" t="s">
        <v>0</v>
      </c>
      <c r="C11" s="3" t="s">
        <v>17</v>
      </c>
      <c r="D11" s="3" t="s">
        <v>18</v>
      </c>
      <c r="E11" s="3">
        <v>13398</v>
      </c>
      <c r="F11" s="7" t="s">
        <v>19</v>
      </c>
      <c r="G11" s="4">
        <v>31</v>
      </c>
      <c r="H11" s="4">
        <v>0</v>
      </c>
      <c r="I11" s="4">
        <v>0</v>
      </c>
      <c r="J11" s="4">
        <v>0</v>
      </c>
      <c r="K11" s="5">
        <v>31000</v>
      </c>
      <c r="L11" s="5">
        <v>0</v>
      </c>
      <c r="M11" s="4">
        <v>19530</v>
      </c>
    </row>
    <row r="12" spans="1:13" x14ac:dyDescent="0.4">
      <c r="A12" s="3">
        <v>2022.01</v>
      </c>
      <c r="B12" s="3" t="s">
        <v>0</v>
      </c>
      <c r="C12" s="3" t="s">
        <v>17</v>
      </c>
      <c r="D12" s="3" t="s">
        <v>18</v>
      </c>
      <c r="E12" s="3">
        <v>13399</v>
      </c>
      <c r="F12" s="7" t="s">
        <v>38</v>
      </c>
      <c r="G12" s="4">
        <v>1</v>
      </c>
      <c r="H12" s="4">
        <v>0</v>
      </c>
      <c r="I12" s="4">
        <v>0</v>
      </c>
      <c r="J12" s="4">
        <v>0</v>
      </c>
      <c r="K12" s="5">
        <v>1000</v>
      </c>
      <c r="L12" s="5">
        <v>0</v>
      </c>
      <c r="M12" s="4">
        <v>630</v>
      </c>
    </row>
    <row r="13" spans="1:13" x14ac:dyDescent="0.4">
      <c r="A13" s="3">
        <v>2022.01</v>
      </c>
      <c r="B13" s="3" t="s">
        <v>0</v>
      </c>
      <c r="C13" s="3" t="s">
        <v>17</v>
      </c>
      <c r="D13" s="3" t="s">
        <v>18</v>
      </c>
      <c r="E13" s="3">
        <v>13401</v>
      </c>
      <c r="F13" s="7" t="s">
        <v>39</v>
      </c>
      <c r="G13" s="4">
        <v>1</v>
      </c>
      <c r="H13" s="4">
        <v>0</v>
      </c>
      <c r="I13" s="4">
        <v>0</v>
      </c>
      <c r="J13" s="4">
        <v>0</v>
      </c>
      <c r="K13" s="5">
        <v>1000</v>
      </c>
      <c r="L13" s="5">
        <v>0</v>
      </c>
      <c r="M13" s="4">
        <v>630</v>
      </c>
    </row>
    <row r="14" spans="1:13" x14ac:dyDescent="0.4">
      <c r="A14" s="3">
        <v>2022.01</v>
      </c>
      <c r="B14" s="3" t="s">
        <v>0</v>
      </c>
      <c r="C14" s="3" t="s">
        <v>17</v>
      </c>
      <c r="D14" s="3" t="s">
        <v>22</v>
      </c>
      <c r="E14" s="3">
        <v>221963</v>
      </c>
      <c r="F14" s="7" t="s">
        <v>37</v>
      </c>
      <c r="G14" s="4">
        <v>146</v>
      </c>
      <c r="H14" s="4">
        <v>0</v>
      </c>
      <c r="I14" s="4">
        <v>0</v>
      </c>
      <c r="J14" s="4">
        <v>0</v>
      </c>
      <c r="K14" s="5">
        <v>14600</v>
      </c>
      <c r="L14" s="5">
        <v>0</v>
      </c>
      <c r="M14" s="4">
        <v>9198</v>
      </c>
    </row>
    <row r="15" spans="1:13" x14ac:dyDescent="0.4">
      <c r="A15" s="3">
        <v>2022.01</v>
      </c>
      <c r="B15" s="3" t="s">
        <v>0</v>
      </c>
      <c r="C15" s="3" t="s">
        <v>17</v>
      </c>
      <c r="D15" s="3" t="s">
        <v>22</v>
      </c>
      <c r="E15" s="3">
        <v>220859</v>
      </c>
      <c r="F15" s="7" t="s">
        <v>42</v>
      </c>
      <c r="G15" s="4">
        <v>0</v>
      </c>
      <c r="H15" s="4">
        <v>0</v>
      </c>
      <c r="I15" s="4">
        <v>1</v>
      </c>
      <c r="J15" s="4">
        <v>0</v>
      </c>
      <c r="K15" s="5">
        <v>900</v>
      </c>
      <c r="L15" s="5">
        <v>0</v>
      </c>
      <c r="M15" s="4">
        <v>567</v>
      </c>
    </row>
    <row r="16" spans="1:13" x14ac:dyDescent="0.4">
      <c r="A16" s="3">
        <v>2022.01</v>
      </c>
      <c r="B16" s="3" t="s">
        <v>0</v>
      </c>
      <c r="C16" s="3" t="s">
        <v>17</v>
      </c>
      <c r="D16" s="3" t="s">
        <v>22</v>
      </c>
      <c r="E16" s="3">
        <v>149056</v>
      </c>
      <c r="F16" s="7" t="s">
        <v>1</v>
      </c>
      <c r="G16" s="4">
        <v>2</v>
      </c>
      <c r="H16" s="4">
        <v>0</v>
      </c>
      <c r="I16" s="4">
        <v>1</v>
      </c>
      <c r="J16" s="4">
        <v>0</v>
      </c>
      <c r="K16" s="5">
        <v>2300</v>
      </c>
      <c r="L16" s="5">
        <v>0</v>
      </c>
      <c r="M16" s="4">
        <v>1449</v>
      </c>
    </row>
    <row r="17" spans="1:13" x14ac:dyDescent="0.4">
      <c r="A17" s="3">
        <v>2022.01</v>
      </c>
      <c r="B17" s="3" t="s">
        <v>0</v>
      </c>
      <c r="C17" s="3" t="s">
        <v>17</v>
      </c>
      <c r="D17" s="3" t="s">
        <v>22</v>
      </c>
      <c r="E17" s="3">
        <v>242092</v>
      </c>
      <c r="F17" s="7" t="s">
        <v>29</v>
      </c>
      <c r="G17" s="4">
        <v>333</v>
      </c>
      <c r="H17" s="4">
        <v>0</v>
      </c>
      <c r="I17" s="4">
        <v>0</v>
      </c>
      <c r="J17" s="4">
        <v>0</v>
      </c>
      <c r="K17" s="5">
        <v>33300</v>
      </c>
      <c r="L17" s="5">
        <v>0</v>
      </c>
      <c r="M17" s="4">
        <v>20979</v>
      </c>
    </row>
    <row r="18" spans="1:13" x14ac:dyDescent="0.4">
      <c r="A18" s="3">
        <v>2022.01</v>
      </c>
      <c r="B18" s="3" t="s">
        <v>0</v>
      </c>
      <c r="C18" s="3" t="s">
        <v>88</v>
      </c>
      <c r="D18" s="3" t="s">
        <v>22</v>
      </c>
      <c r="E18" s="3">
        <v>246153</v>
      </c>
      <c r="F18" s="7" t="s">
        <v>56</v>
      </c>
      <c r="G18" s="4">
        <v>1</v>
      </c>
      <c r="H18" s="4">
        <v>0</v>
      </c>
      <c r="I18" s="4">
        <v>0</v>
      </c>
      <c r="J18" s="4">
        <v>0</v>
      </c>
      <c r="K18" s="5">
        <v>3200</v>
      </c>
      <c r="L18" s="5">
        <v>0</v>
      </c>
      <c r="M18" s="4">
        <v>2016</v>
      </c>
    </row>
    <row r="19" spans="1:13" x14ac:dyDescent="0.4">
      <c r="A19" s="3">
        <v>2022.01</v>
      </c>
      <c r="B19" s="3" t="s">
        <v>0</v>
      </c>
      <c r="C19" s="3" t="s">
        <v>86</v>
      </c>
      <c r="D19" s="3" t="s">
        <v>22</v>
      </c>
      <c r="E19" s="3">
        <v>220722</v>
      </c>
      <c r="F19" s="7" t="s">
        <v>76</v>
      </c>
      <c r="G19" s="4">
        <v>10</v>
      </c>
      <c r="H19" s="4">
        <v>0</v>
      </c>
      <c r="I19" s="4">
        <v>0</v>
      </c>
      <c r="J19" s="4">
        <v>0</v>
      </c>
      <c r="K19" s="5">
        <v>1000</v>
      </c>
      <c r="L19" s="5">
        <v>0</v>
      </c>
      <c r="M19" s="4">
        <v>630</v>
      </c>
    </row>
    <row r="20" spans="1:13" x14ac:dyDescent="0.4">
      <c r="A20" s="3">
        <v>2022.01</v>
      </c>
      <c r="B20" s="3" t="s">
        <v>0</v>
      </c>
      <c r="C20" s="3" t="s">
        <v>86</v>
      </c>
      <c r="D20" s="3" t="s">
        <v>22</v>
      </c>
      <c r="E20" s="3">
        <v>299573</v>
      </c>
      <c r="F20" s="7" t="s">
        <v>79</v>
      </c>
      <c r="G20" s="4">
        <v>3789</v>
      </c>
      <c r="H20" s="4">
        <v>0</v>
      </c>
      <c r="I20" s="4">
        <v>0</v>
      </c>
      <c r="J20" s="4">
        <v>0</v>
      </c>
      <c r="K20" s="5">
        <v>11178220</v>
      </c>
      <c r="L20" s="5">
        <v>31511.428571428572</v>
      </c>
      <c r="M20" s="4">
        <v>7056175</v>
      </c>
    </row>
    <row r="21" spans="1:13" x14ac:dyDescent="0.4">
      <c r="A21" s="3">
        <v>2022.01</v>
      </c>
      <c r="B21" s="3" t="s">
        <v>0</v>
      </c>
      <c r="C21" s="3" t="s">
        <v>47</v>
      </c>
      <c r="D21" s="3" t="s">
        <v>22</v>
      </c>
      <c r="E21" s="3">
        <v>220724</v>
      </c>
      <c r="F21" s="7" t="s">
        <v>48</v>
      </c>
      <c r="G21" s="4">
        <v>114</v>
      </c>
      <c r="H21" s="4">
        <v>0</v>
      </c>
      <c r="I21" s="4">
        <v>0</v>
      </c>
      <c r="J21" s="4">
        <v>0</v>
      </c>
      <c r="K21" s="5">
        <v>11400</v>
      </c>
      <c r="L21" s="5">
        <v>0</v>
      </c>
      <c r="M21" s="4">
        <v>7182</v>
      </c>
    </row>
    <row r="22" spans="1:13" x14ac:dyDescent="0.4">
      <c r="A22" s="3">
        <v>2022.01</v>
      </c>
      <c r="B22" s="3" t="s">
        <v>0</v>
      </c>
      <c r="C22" s="3" t="s">
        <v>47</v>
      </c>
      <c r="D22" s="3" t="s">
        <v>22</v>
      </c>
      <c r="E22" s="3">
        <v>241289</v>
      </c>
      <c r="F22" s="7" t="s">
        <v>40</v>
      </c>
      <c r="G22" s="4">
        <v>0</v>
      </c>
      <c r="H22" s="4">
        <v>0</v>
      </c>
      <c r="I22" s="4">
        <v>12</v>
      </c>
      <c r="J22" s="4">
        <v>0</v>
      </c>
      <c r="K22" s="5">
        <v>10800</v>
      </c>
      <c r="L22" s="5">
        <v>0</v>
      </c>
      <c r="M22" s="4">
        <v>6804</v>
      </c>
    </row>
    <row r="23" spans="1:13" x14ac:dyDescent="0.4">
      <c r="A23" s="3">
        <v>2022.01</v>
      </c>
      <c r="B23" s="3" t="s">
        <v>0</v>
      </c>
      <c r="C23" s="3" t="s">
        <v>47</v>
      </c>
      <c r="D23" s="3" t="s">
        <v>22</v>
      </c>
      <c r="E23" s="3">
        <v>241293</v>
      </c>
      <c r="F23" s="7" t="s">
        <v>41</v>
      </c>
      <c r="G23" s="4">
        <v>0</v>
      </c>
      <c r="H23" s="4">
        <v>0</v>
      </c>
      <c r="I23" s="4">
        <v>5</v>
      </c>
      <c r="J23" s="4">
        <v>0</v>
      </c>
      <c r="K23" s="5">
        <v>4500</v>
      </c>
      <c r="L23" s="5">
        <v>0</v>
      </c>
      <c r="M23" s="4">
        <v>2835</v>
      </c>
    </row>
    <row r="24" spans="1:13" x14ac:dyDescent="0.4">
      <c r="A24" s="3">
        <v>2022.01</v>
      </c>
      <c r="B24" s="3" t="s">
        <v>0</v>
      </c>
      <c r="C24" s="3" t="s">
        <v>47</v>
      </c>
      <c r="D24" s="3" t="s">
        <v>22</v>
      </c>
      <c r="E24" s="3">
        <v>221952</v>
      </c>
      <c r="F24" s="7" t="s">
        <v>43</v>
      </c>
      <c r="G24" s="4">
        <v>25</v>
      </c>
      <c r="H24" s="4">
        <v>0</v>
      </c>
      <c r="I24" s="4">
        <v>0</v>
      </c>
      <c r="J24" s="4">
        <v>0</v>
      </c>
      <c r="K24" s="5">
        <v>2500</v>
      </c>
      <c r="L24" s="5">
        <v>0</v>
      </c>
      <c r="M24" s="4">
        <v>1575</v>
      </c>
    </row>
    <row r="25" spans="1:13" x14ac:dyDescent="0.4">
      <c r="A25" s="3">
        <v>2022.01</v>
      </c>
      <c r="B25" s="3" t="s">
        <v>0</v>
      </c>
      <c r="C25" s="3" t="s">
        <v>91</v>
      </c>
      <c r="D25" s="3" t="s">
        <v>22</v>
      </c>
      <c r="E25" s="3">
        <v>220852</v>
      </c>
      <c r="F25" s="7" t="s">
        <v>62</v>
      </c>
      <c r="G25" s="4">
        <v>0</v>
      </c>
      <c r="H25" s="4">
        <v>0</v>
      </c>
      <c r="I25" s="4">
        <v>10</v>
      </c>
      <c r="J25" s="4">
        <v>0</v>
      </c>
      <c r="K25" s="5">
        <v>9000</v>
      </c>
      <c r="L25" s="5">
        <v>0</v>
      </c>
      <c r="M25" s="4">
        <v>5670</v>
      </c>
    </row>
    <row r="26" spans="1:13" x14ac:dyDescent="0.4">
      <c r="A26" s="3">
        <v>2022.01</v>
      </c>
      <c r="B26" s="3" t="s">
        <v>0</v>
      </c>
      <c r="C26" s="3" t="s">
        <v>96</v>
      </c>
      <c r="D26" s="3" t="s">
        <v>22</v>
      </c>
      <c r="E26" s="3">
        <v>220863</v>
      </c>
      <c r="F26" s="7" t="s">
        <v>75</v>
      </c>
      <c r="G26" s="4">
        <v>0</v>
      </c>
      <c r="H26" s="4">
        <v>0</v>
      </c>
      <c r="I26" s="4">
        <v>10</v>
      </c>
      <c r="J26" s="4">
        <v>0</v>
      </c>
      <c r="K26" s="5">
        <v>9000</v>
      </c>
      <c r="L26" s="5">
        <v>0</v>
      </c>
      <c r="M26" s="4">
        <v>5670</v>
      </c>
    </row>
    <row r="27" spans="1:13" x14ac:dyDescent="0.4">
      <c r="A27" s="3">
        <v>2022.01</v>
      </c>
      <c r="B27" s="3" t="s">
        <v>0</v>
      </c>
      <c r="C27" s="3" t="s">
        <v>97</v>
      </c>
      <c r="D27" s="3" t="s">
        <v>22</v>
      </c>
      <c r="E27" s="3">
        <v>220864</v>
      </c>
      <c r="F27" s="7" t="s">
        <v>78</v>
      </c>
      <c r="G27" s="4">
        <v>0</v>
      </c>
      <c r="H27" s="4">
        <v>0</v>
      </c>
      <c r="I27" s="4">
        <v>14</v>
      </c>
      <c r="J27" s="4">
        <v>0</v>
      </c>
      <c r="K27" s="5">
        <v>12600</v>
      </c>
      <c r="L27" s="5">
        <v>0</v>
      </c>
      <c r="M27" s="4">
        <v>7938</v>
      </c>
    </row>
    <row r="28" spans="1:13" x14ac:dyDescent="0.4">
      <c r="A28" s="3">
        <v>2022.01</v>
      </c>
      <c r="B28" s="3" t="s">
        <v>0</v>
      </c>
      <c r="C28" s="3" t="s">
        <v>31</v>
      </c>
      <c r="D28" s="3" t="s">
        <v>22</v>
      </c>
      <c r="E28" s="3">
        <v>221951</v>
      </c>
      <c r="F28" s="7" t="s">
        <v>68</v>
      </c>
      <c r="G28" s="4">
        <v>29</v>
      </c>
      <c r="H28" s="4">
        <v>0</v>
      </c>
      <c r="I28" s="4">
        <v>0</v>
      </c>
      <c r="J28" s="4">
        <v>0</v>
      </c>
      <c r="K28" s="5">
        <v>2900</v>
      </c>
      <c r="L28" s="5">
        <v>0</v>
      </c>
      <c r="M28" s="4">
        <v>1827</v>
      </c>
    </row>
    <row r="29" spans="1:13" x14ac:dyDescent="0.4">
      <c r="A29" s="3">
        <v>2022.01</v>
      </c>
      <c r="B29" s="3" t="s">
        <v>0</v>
      </c>
      <c r="C29" s="3" t="s">
        <v>31</v>
      </c>
      <c r="D29" s="3" t="s">
        <v>22</v>
      </c>
      <c r="E29" s="3">
        <v>242224</v>
      </c>
      <c r="F29" s="7" t="s">
        <v>77</v>
      </c>
      <c r="G29" s="4">
        <v>214</v>
      </c>
      <c r="H29" s="4">
        <v>0</v>
      </c>
      <c r="I29" s="4">
        <v>0</v>
      </c>
      <c r="J29" s="4">
        <v>0</v>
      </c>
      <c r="K29" s="5">
        <v>21400</v>
      </c>
      <c r="L29" s="5">
        <v>0</v>
      </c>
      <c r="M29" s="4">
        <v>13482</v>
      </c>
    </row>
    <row r="30" spans="1:13" x14ac:dyDescent="0.4">
      <c r="A30" s="3">
        <v>2022.01</v>
      </c>
      <c r="B30" s="3" t="s">
        <v>0</v>
      </c>
      <c r="C30" s="3" t="s">
        <v>31</v>
      </c>
      <c r="D30" s="3" t="s">
        <v>22</v>
      </c>
      <c r="E30" s="3">
        <v>220854</v>
      </c>
      <c r="F30" s="7" t="s">
        <v>51</v>
      </c>
      <c r="G30" s="4">
        <v>0</v>
      </c>
      <c r="H30" s="4">
        <v>0</v>
      </c>
      <c r="I30" s="4">
        <v>8</v>
      </c>
      <c r="J30" s="4">
        <v>0</v>
      </c>
      <c r="K30" s="5">
        <v>7200</v>
      </c>
      <c r="L30" s="5">
        <v>0</v>
      </c>
      <c r="M30" s="4">
        <v>4536</v>
      </c>
    </row>
    <row r="31" spans="1:13" x14ac:dyDescent="0.4">
      <c r="A31" s="3">
        <v>2022.01</v>
      </c>
      <c r="B31" s="3" t="s">
        <v>0</v>
      </c>
      <c r="C31" s="3" t="s">
        <v>31</v>
      </c>
      <c r="D31" s="3" t="s">
        <v>22</v>
      </c>
      <c r="E31" s="3">
        <v>220861</v>
      </c>
      <c r="F31" s="7" t="s">
        <v>36</v>
      </c>
      <c r="G31" s="4">
        <v>0</v>
      </c>
      <c r="H31" s="4">
        <v>0</v>
      </c>
      <c r="I31" s="4">
        <v>22</v>
      </c>
      <c r="J31" s="4">
        <v>0</v>
      </c>
      <c r="K31" s="5">
        <v>19800</v>
      </c>
      <c r="L31" s="5">
        <v>0</v>
      </c>
      <c r="M31" s="4">
        <v>12474</v>
      </c>
    </row>
    <row r="32" spans="1:13" x14ac:dyDescent="0.4">
      <c r="A32" s="3">
        <v>2022.01</v>
      </c>
      <c r="B32" s="3" t="s">
        <v>0</v>
      </c>
      <c r="C32" s="3" t="s">
        <v>20</v>
      </c>
      <c r="D32" s="3" t="s">
        <v>3</v>
      </c>
      <c r="E32" s="3">
        <v>40072</v>
      </c>
      <c r="F32" s="7" t="s">
        <v>21</v>
      </c>
      <c r="G32" s="4">
        <v>1151</v>
      </c>
      <c r="H32" s="4">
        <v>0</v>
      </c>
      <c r="I32" s="4">
        <v>0</v>
      </c>
      <c r="J32" s="4">
        <v>0</v>
      </c>
      <c r="K32" s="5">
        <v>115100</v>
      </c>
      <c r="L32" s="5">
        <v>0</v>
      </c>
      <c r="M32" s="4">
        <v>72513</v>
      </c>
    </row>
    <row r="33" spans="1:13" x14ac:dyDescent="0.4">
      <c r="A33" s="3">
        <v>2022.01</v>
      </c>
      <c r="B33" s="3" t="s">
        <v>0</v>
      </c>
      <c r="C33" s="3" t="s">
        <v>81</v>
      </c>
      <c r="D33" s="3" t="s">
        <v>22</v>
      </c>
      <c r="E33" s="3">
        <v>225735</v>
      </c>
      <c r="F33" s="7" t="s">
        <v>49</v>
      </c>
      <c r="G33" s="4">
        <v>4</v>
      </c>
      <c r="H33" s="4">
        <v>0</v>
      </c>
      <c r="I33" s="4">
        <v>0</v>
      </c>
      <c r="J33" s="4">
        <v>0</v>
      </c>
      <c r="K33" s="5">
        <v>12800</v>
      </c>
      <c r="L33" s="5">
        <v>0</v>
      </c>
      <c r="M33" s="4">
        <v>8064</v>
      </c>
    </row>
    <row r="34" spans="1:13" x14ac:dyDescent="0.4">
      <c r="A34" s="3">
        <v>2022.01</v>
      </c>
      <c r="B34" s="3" t="s">
        <v>0</v>
      </c>
      <c r="C34" s="3" t="s">
        <v>94</v>
      </c>
      <c r="D34" s="3" t="s">
        <v>22</v>
      </c>
      <c r="E34" s="3">
        <v>232418</v>
      </c>
      <c r="F34" s="7" t="s">
        <v>72</v>
      </c>
      <c r="G34" s="4">
        <v>14</v>
      </c>
      <c r="H34" s="4">
        <v>0</v>
      </c>
      <c r="I34" s="4">
        <v>0</v>
      </c>
      <c r="J34" s="4">
        <v>0</v>
      </c>
      <c r="K34" s="5">
        <v>44800</v>
      </c>
      <c r="L34" s="5">
        <v>0</v>
      </c>
      <c r="M34" s="4">
        <v>28224</v>
      </c>
    </row>
    <row r="35" spans="1:13" x14ac:dyDescent="0.4">
      <c r="A35" s="3">
        <v>2022.01</v>
      </c>
      <c r="B35" s="3" t="s">
        <v>0</v>
      </c>
      <c r="C35" s="3" t="s">
        <v>94</v>
      </c>
      <c r="D35" s="3" t="s">
        <v>22</v>
      </c>
      <c r="E35" s="3">
        <v>299568</v>
      </c>
      <c r="F35" s="7" t="s">
        <v>74</v>
      </c>
      <c r="G35" s="4">
        <v>440</v>
      </c>
      <c r="H35" s="4">
        <v>0</v>
      </c>
      <c r="I35" s="4">
        <v>0</v>
      </c>
      <c r="J35" s="4">
        <v>0</v>
      </c>
      <c r="K35" s="5">
        <v>1243520</v>
      </c>
      <c r="L35" s="5">
        <v>44928.571428571435</v>
      </c>
      <c r="M35" s="4">
        <v>803231</v>
      </c>
    </row>
    <row r="36" spans="1:13" x14ac:dyDescent="0.4">
      <c r="A36" s="3">
        <v>2022.01</v>
      </c>
      <c r="B36" s="3" t="s">
        <v>0</v>
      </c>
      <c r="C36" s="3" t="s">
        <v>30</v>
      </c>
      <c r="D36" s="3" t="s">
        <v>22</v>
      </c>
      <c r="E36" s="3">
        <v>225736</v>
      </c>
      <c r="F36" s="7" t="s">
        <v>26</v>
      </c>
      <c r="G36" s="4">
        <v>7</v>
      </c>
      <c r="H36" s="4">
        <v>0</v>
      </c>
      <c r="I36" s="4">
        <v>0</v>
      </c>
      <c r="J36" s="4">
        <v>0</v>
      </c>
      <c r="K36" s="5">
        <v>19200</v>
      </c>
      <c r="L36" s="5">
        <v>3840.0000000000005</v>
      </c>
      <c r="M36" s="4">
        <v>13789</v>
      </c>
    </row>
    <row r="37" spans="1:13" x14ac:dyDescent="0.4">
      <c r="A37" s="3">
        <v>2022.01</v>
      </c>
      <c r="B37" s="3" t="s">
        <v>0</v>
      </c>
      <c r="C37" s="3" t="s">
        <v>89</v>
      </c>
      <c r="D37" s="3" t="s">
        <v>22</v>
      </c>
      <c r="E37" s="3">
        <v>219713</v>
      </c>
      <c r="F37" s="7" t="s">
        <v>60</v>
      </c>
      <c r="G37" s="4">
        <v>11</v>
      </c>
      <c r="H37" s="4">
        <v>0</v>
      </c>
      <c r="I37" s="4">
        <v>0</v>
      </c>
      <c r="J37" s="4">
        <v>0</v>
      </c>
      <c r="K37" s="5">
        <v>35200</v>
      </c>
      <c r="L37" s="5">
        <v>0</v>
      </c>
      <c r="M37" s="4">
        <v>22176</v>
      </c>
    </row>
    <row r="38" spans="1:13" x14ac:dyDescent="0.4">
      <c r="A38" s="3">
        <v>2022.01</v>
      </c>
      <c r="B38" s="3" t="s">
        <v>0</v>
      </c>
      <c r="C38" s="3" t="s">
        <v>27</v>
      </c>
      <c r="D38" s="3" t="s">
        <v>23</v>
      </c>
      <c r="E38" s="3">
        <v>162474</v>
      </c>
      <c r="F38" s="7" t="s">
        <v>24</v>
      </c>
      <c r="G38" s="4">
        <v>375</v>
      </c>
      <c r="H38" s="4">
        <v>0</v>
      </c>
      <c r="I38" s="4">
        <v>0</v>
      </c>
      <c r="J38" s="4">
        <v>0</v>
      </c>
      <c r="K38" s="5">
        <v>37500</v>
      </c>
      <c r="L38" s="5">
        <v>0</v>
      </c>
      <c r="M38" s="4">
        <v>23625</v>
      </c>
    </row>
    <row r="39" spans="1:13" x14ac:dyDescent="0.4">
      <c r="A39" s="3">
        <v>2022.01</v>
      </c>
      <c r="B39" s="3" t="s">
        <v>0</v>
      </c>
      <c r="C39" s="3" t="s">
        <v>44</v>
      </c>
      <c r="D39" s="3" t="s">
        <v>45</v>
      </c>
      <c r="E39" s="3">
        <v>113396</v>
      </c>
      <c r="F39" s="7" t="s">
        <v>46</v>
      </c>
      <c r="G39" s="4">
        <v>83</v>
      </c>
      <c r="H39" s="4">
        <v>0</v>
      </c>
      <c r="I39" s="4">
        <v>0</v>
      </c>
      <c r="J39" s="4">
        <v>0</v>
      </c>
      <c r="K39" s="5">
        <v>8300</v>
      </c>
      <c r="L39" s="5">
        <v>0</v>
      </c>
      <c r="M39" s="4">
        <v>5229</v>
      </c>
    </row>
    <row r="40" spans="1:13" x14ac:dyDescent="0.4">
      <c r="A40" s="3">
        <v>2022.01</v>
      </c>
      <c r="B40" s="3" t="s">
        <v>0</v>
      </c>
      <c r="C40" s="3" t="s">
        <v>90</v>
      </c>
      <c r="D40" s="3" t="s">
        <v>22</v>
      </c>
      <c r="E40" s="3">
        <v>246133</v>
      </c>
      <c r="F40" s="7" t="s">
        <v>61</v>
      </c>
      <c r="G40" s="4">
        <v>4</v>
      </c>
      <c r="H40" s="4">
        <v>0</v>
      </c>
      <c r="I40" s="4">
        <v>0</v>
      </c>
      <c r="J40" s="4">
        <v>0</v>
      </c>
      <c r="K40" s="5">
        <v>12800</v>
      </c>
      <c r="L40" s="5">
        <v>0</v>
      </c>
      <c r="M40" s="4">
        <v>8064</v>
      </c>
    </row>
    <row r="41" spans="1:13" x14ac:dyDescent="0.4">
      <c r="A41" s="3">
        <v>2022.01</v>
      </c>
      <c r="B41" s="3" t="s">
        <v>0</v>
      </c>
      <c r="C41" s="3" t="s">
        <v>90</v>
      </c>
      <c r="D41" s="3" t="s">
        <v>22</v>
      </c>
      <c r="E41" s="3">
        <v>225733</v>
      </c>
      <c r="F41" s="7" t="s">
        <v>65</v>
      </c>
      <c r="G41" s="4">
        <v>3</v>
      </c>
      <c r="H41" s="4">
        <v>0</v>
      </c>
      <c r="I41" s="4">
        <v>0</v>
      </c>
      <c r="J41" s="4">
        <v>0</v>
      </c>
      <c r="K41" s="5">
        <v>9600</v>
      </c>
      <c r="L41" s="5">
        <v>0</v>
      </c>
      <c r="M41" s="4">
        <v>6048</v>
      </c>
    </row>
    <row r="42" spans="1:13" x14ac:dyDescent="0.4">
      <c r="A42" s="3">
        <v>2022.01</v>
      </c>
      <c r="B42" s="3" t="s">
        <v>0</v>
      </c>
      <c r="C42" s="3" t="s">
        <v>82</v>
      </c>
      <c r="D42" s="3" t="s">
        <v>22</v>
      </c>
      <c r="E42" s="3">
        <v>169477</v>
      </c>
      <c r="F42" s="7" t="s">
        <v>52</v>
      </c>
      <c r="G42" s="4">
        <v>144</v>
      </c>
      <c r="H42" s="4">
        <v>0</v>
      </c>
      <c r="I42" s="4">
        <v>0</v>
      </c>
      <c r="J42" s="4">
        <v>0</v>
      </c>
      <c r="K42" s="5">
        <v>14400</v>
      </c>
      <c r="L42" s="5">
        <v>0</v>
      </c>
      <c r="M42" s="4">
        <v>9072</v>
      </c>
    </row>
    <row r="43" spans="1:13" x14ac:dyDescent="0.4">
      <c r="A43" s="3">
        <v>2022.01</v>
      </c>
      <c r="B43" s="3" t="s">
        <v>0</v>
      </c>
      <c r="C43" s="3" t="s">
        <v>33</v>
      </c>
      <c r="D43" s="3" t="s">
        <v>22</v>
      </c>
      <c r="E43" s="3">
        <v>252421</v>
      </c>
      <c r="F43" s="7" t="s">
        <v>32</v>
      </c>
      <c r="G43" s="4">
        <v>30</v>
      </c>
      <c r="H43" s="4">
        <v>0</v>
      </c>
      <c r="I43" s="4">
        <v>0</v>
      </c>
      <c r="J43" s="4">
        <v>0</v>
      </c>
      <c r="K43" s="5">
        <v>3000</v>
      </c>
      <c r="L43" s="5">
        <v>0</v>
      </c>
      <c r="M43" s="4">
        <v>1890</v>
      </c>
    </row>
    <row r="44" spans="1:13" x14ac:dyDescent="0.4">
      <c r="A44" s="3">
        <v>2022.01</v>
      </c>
      <c r="B44" s="3" t="s">
        <v>0</v>
      </c>
      <c r="C44" s="3" t="s">
        <v>92</v>
      </c>
      <c r="D44" s="3" t="s">
        <v>22</v>
      </c>
      <c r="E44" s="3">
        <v>220856</v>
      </c>
      <c r="F44" s="7" t="s">
        <v>67</v>
      </c>
      <c r="G44" s="4">
        <v>9</v>
      </c>
      <c r="H44" s="4">
        <v>0</v>
      </c>
      <c r="I44" s="4">
        <v>0</v>
      </c>
      <c r="J44" s="4">
        <v>0</v>
      </c>
      <c r="K44" s="5">
        <v>28800</v>
      </c>
      <c r="L44" s="5">
        <v>0</v>
      </c>
      <c r="M44" s="4">
        <v>18144</v>
      </c>
    </row>
    <row r="45" spans="1:13" x14ac:dyDescent="0.4">
      <c r="A45" s="3">
        <v>2022.01</v>
      </c>
      <c r="B45" s="3" t="s">
        <v>0</v>
      </c>
      <c r="C45" s="3" t="s">
        <v>28</v>
      </c>
      <c r="D45" s="3" t="s">
        <v>22</v>
      </c>
      <c r="E45" s="3">
        <v>220851</v>
      </c>
      <c r="F45" s="7" t="s">
        <v>58</v>
      </c>
      <c r="G45" s="4">
        <v>4</v>
      </c>
      <c r="H45" s="4">
        <v>0</v>
      </c>
      <c r="I45" s="4">
        <v>236</v>
      </c>
      <c r="J45" s="4">
        <v>0</v>
      </c>
      <c r="K45" s="5">
        <v>218000</v>
      </c>
      <c r="L45" s="5">
        <v>8640</v>
      </c>
      <c r="M45" s="4">
        <v>141150</v>
      </c>
    </row>
    <row r="46" spans="1:13" x14ac:dyDescent="0.4">
      <c r="A46" s="3">
        <v>2022.01</v>
      </c>
      <c r="B46" s="3" t="s">
        <v>0</v>
      </c>
      <c r="C46" s="3" t="s">
        <v>28</v>
      </c>
      <c r="D46" s="3" t="s">
        <v>22</v>
      </c>
      <c r="E46" s="3">
        <v>220853</v>
      </c>
      <c r="F46" s="7" t="s">
        <v>63</v>
      </c>
      <c r="G46" s="4">
        <v>0</v>
      </c>
      <c r="H46" s="4">
        <v>0</v>
      </c>
      <c r="I46" s="4">
        <v>1</v>
      </c>
      <c r="J46" s="4">
        <v>0</v>
      </c>
      <c r="K46" s="5">
        <v>900</v>
      </c>
      <c r="L46" s="5">
        <v>0</v>
      </c>
      <c r="M46" s="4">
        <v>567</v>
      </c>
    </row>
    <row r="47" spans="1:13" x14ac:dyDescent="0.4">
      <c r="A47" s="3">
        <v>2022.01</v>
      </c>
      <c r="B47" s="3" t="s">
        <v>0</v>
      </c>
      <c r="C47" s="3" t="s">
        <v>28</v>
      </c>
      <c r="D47" s="3" t="s">
        <v>22</v>
      </c>
      <c r="E47" s="3">
        <v>220857</v>
      </c>
      <c r="F47" s="7" t="s">
        <v>35</v>
      </c>
      <c r="G47" s="4">
        <v>0</v>
      </c>
      <c r="H47" s="4">
        <v>0</v>
      </c>
      <c r="I47" s="4">
        <v>29</v>
      </c>
      <c r="J47" s="4">
        <v>0</v>
      </c>
      <c r="K47" s="5">
        <v>26100</v>
      </c>
      <c r="L47" s="5">
        <v>0</v>
      </c>
      <c r="M47" s="4">
        <v>16443</v>
      </c>
    </row>
    <row r="48" spans="1:13" x14ac:dyDescent="0.4">
      <c r="A48" s="3">
        <v>2022.01</v>
      </c>
      <c r="B48" s="3" t="s">
        <v>0</v>
      </c>
      <c r="C48" s="3" t="s">
        <v>28</v>
      </c>
      <c r="D48" s="3" t="s">
        <v>2</v>
      </c>
      <c r="E48" s="3">
        <v>36793</v>
      </c>
      <c r="F48" s="7" t="s">
        <v>25</v>
      </c>
      <c r="G48" s="4">
        <v>114</v>
      </c>
      <c r="H48" s="4">
        <v>0</v>
      </c>
      <c r="I48" s="4">
        <v>0</v>
      </c>
      <c r="J48" s="4">
        <v>0</v>
      </c>
      <c r="K48" s="5">
        <v>11400</v>
      </c>
      <c r="L48" s="5">
        <v>0</v>
      </c>
      <c r="M48" s="4">
        <v>7182</v>
      </c>
    </row>
    <row r="49" spans="1:13" x14ac:dyDescent="0.4">
      <c r="A49" s="3">
        <v>2022.01</v>
      </c>
      <c r="B49" s="3" t="s">
        <v>0</v>
      </c>
      <c r="C49" s="3" t="s">
        <v>85</v>
      </c>
      <c r="D49" s="3" t="s">
        <v>22</v>
      </c>
      <c r="E49" s="3">
        <v>246152</v>
      </c>
      <c r="F49" s="7" t="s">
        <v>64</v>
      </c>
      <c r="G49" s="4">
        <v>32</v>
      </c>
      <c r="H49" s="4">
        <v>0</v>
      </c>
      <c r="I49" s="4">
        <v>0</v>
      </c>
      <c r="J49" s="4">
        <v>0</v>
      </c>
      <c r="K49" s="5">
        <v>102400</v>
      </c>
      <c r="L49" s="5">
        <v>0</v>
      </c>
      <c r="M49" s="4">
        <v>64512</v>
      </c>
    </row>
    <row r="50" spans="1:13" x14ac:dyDescent="0.4">
      <c r="A50" s="3">
        <v>2022.01</v>
      </c>
      <c r="B50" s="3" t="s">
        <v>0</v>
      </c>
      <c r="C50" s="3" t="s">
        <v>84</v>
      </c>
      <c r="D50" s="3" t="s">
        <v>22</v>
      </c>
      <c r="E50" s="3">
        <v>236307</v>
      </c>
      <c r="F50" s="7" t="s">
        <v>59</v>
      </c>
      <c r="G50" s="4">
        <v>1</v>
      </c>
      <c r="H50" s="4">
        <v>0</v>
      </c>
      <c r="I50" s="4">
        <v>0</v>
      </c>
      <c r="J50" s="4">
        <v>0</v>
      </c>
      <c r="K50" s="5">
        <v>3200</v>
      </c>
      <c r="L50" s="5">
        <v>0</v>
      </c>
      <c r="M50" s="4">
        <v>2016</v>
      </c>
    </row>
    <row r="51" spans="1:13" x14ac:dyDescent="0.4">
      <c r="A51" s="3">
        <v>2022.01</v>
      </c>
      <c r="B51" s="3" t="s">
        <v>0</v>
      </c>
      <c r="C51" s="3" t="s">
        <v>54</v>
      </c>
      <c r="D51" s="3" t="s">
        <v>22</v>
      </c>
      <c r="E51" s="3">
        <v>270858</v>
      </c>
      <c r="F51" s="7" t="s">
        <v>50</v>
      </c>
      <c r="G51" s="4">
        <v>5</v>
      </c>
      <c r="H51" s="4">
        <v>0</v>
      </c>
      <c r="I51" s="4">
        <v>0</v>
      </c>
      <c r="J51" s="4">
        <v>0</v>
      </c>
      <c r="K51" s="5">
        <v>16000</v>
      </c>
      <c r="L51" s="5">
        <v>0</v>
      </c>
      <c r="M51" s="4">
        <v>10080</v>
      </c>
    </row>
    <row r="52" spans="1:13" x14ac:dyDescent="0.4">
      <c r="A52" s="3">
        <v>2022.01</v>
      </c>
      <c r="B52" s="3" t="s">
        <v>0</v>
      </c>
      <c r="C52" s="3" t="s">
        <v>83</v>
      </c>
      <c r="D52" s="3" t="s">
        <v>22</v>
      </c>
      <c r="E52" s="3">
        <v>246147</v>
      </c>
      <c r="F52" s="7" t="s">
        <v>53</v>
      </c>
      <c r="G52" s="4">
        <v>6</v>
      </c>
      <c r="H52" s="4">
        <v>0</v>
      </c>
      <c r="I52" s="4">
        <v>0</v>
      </c>
      <c r="J52" s="4">
        <v>0</v>
      </c>
      <c r="K52" s="5">
        <v>19200</v>
      </c>
      <c r="L52" s="5">
        <v>0</v>
      </c>
      <c r="M52" s="4">
        <v>12096</v>
      </c>
    </row>
    <row r="53" spans="1:13" x14ac:dyDescent="0.4">
      <c r="M53" s="6">
        <f>SUM(M2:M52)</f>
        <v>8473489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1.0976562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5976562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93</v>
      </c>
      <c r="D2" s="3" t="s">
        <v>22</v>
      </c>
      <c r="E2" s="3">
        <v>221970</v>
      </c>
      <c r="F2" s="7" t="s">
        <v>71</v>
      </c>
      <c r="G2" s="4">
        <v>1</v>
      </c>
      <c r="H2" s="4">
        <v>0</v>
      </c>
      <c r="I2" s="4">
        <v>0</v>
      </c>
      <c r="J2" s="4">
        <v>0</v>
      </c>
      <c r="K2" s="5">
        <v>100</v>
      </c>
      <c r="L2" s="5">
        <v>0</v>
      </c>
      <c r="M2" s="4">
        <v>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18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87</v>
      </c>
      <c r="D2" s="3" t="s">
        <v>22</v>
      </c>
      <c r="E2" s="3">
        <v>219712</v>
      </c>
      <c r="F2" s="7" t="s">
        <v>55</v>
      </c>
      <c r="G2" s="4">
        <v>1</v>
      </c>
      <c r="H2" s="4">
        <v>0</v>
      </c>
      <c r="I2" s="4">
        <v>0</v>
      </c>
      <c r="J2" s="4">
        <v>0</v>
      </c>
      <c r="K2" s="5">
        <v>3200</v>
      </c>
      <c r="L2" s="5">
        <v>0</v>
      </c>
      <c r="M2" s="4">
        <v>2016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11.7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5976562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95</v>
      </c>
      <c r="D2" s="3" t="s">
        <v>22</v>
      </c>
      <c r="E2" s="3">
        <v>220862</v>
      </c>
      <c r="F2" s="7" t="s">
        <v>73</v>
      </c>
      <c r="G2" s="4">
        <v>0</v>
      </c>
      <c r="H2" s="4">
        <v>0</v>
      </c>
      <c r="I2" s="4">
        <v>1</v>
      </c>
      <c r="J2" s="4">
        <v>0</v>
      </c>
      <c r="K2" s="5">
        <v>900</v>
      </c>
      <c r="L2" s="5">
        <v>0</v>
      </c>
      <c r="M2" s="4">
        <v>567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15"/>
  <sheetViews>
    <sheetView workbookViewId="0">
      <selection activeCell="M15" sqref="M15"/>
    </sheetView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8.69921875" bestFit="1" customWidth="1"/>
    <col min="5" max="5" width="7.3984375" bestFit="1" customWidth="1"/>
    <col min="6" max="6" width="23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8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17</v>
      </c>
      <c r="D2" s="3" t="s">
        <v>22</v>
      </c>
      <c r="E2" s="3">
        <v>241288</v>
      </c>
      <c r="F2" s="7" t="s">
        <v>57</v>
      </c>
      <c r="G2" s="4">
        <v>0</v>
      </c>
      <c r="H2" s="4">
        <v>0</v>
      </c>
      <c r="I2" s="4">
        <v>1</v>
      </c>
      <c r="J2" s="4">
        <v>0</v>
      </c>
      <c r="K2" s="5">
        <v>900</v>
      </c>
      <c r="L2" s="5">
        <v>0</v>
      </c>
      <c r="M2" s="4">
        <v>567</v>
      </c>
    </row>
    <row r="3" spans="1:13" x14ac:dyDescent="0.4">
      <c r="A3" s="3">
        <v>2022.01</v>
      </c>
      <c r="B3" s="3" t="s">
        <v>0</v>
      </c>
      <c r="C3" s="3" t="s">
        <v>17</v>
      </c>
      <c r="D3" s="3" t="s">
        <v>22</v>
      </c>
      <c r="E3" s="3">
        <v>241641</v>
      </c>
      <c r="F3" s="7" t="s">
        <v>66</v>
      </c>
      <c r="G3" s="4">
        <v>157</v>
      </c>
      <c r="H3" s="4">
        <v>0</v>
      </c>
      <c r="I3" s="4">
        <v>0</v>
      </c>
      <c r="J3" s="4">
        <v>0</v>
      </c>
      <c r="K3" s="5">
        <v>15700</v>
      </c>
      <c r="L3" s="5">
        <v>0</v>
      </c>
      <c r="M3" s="4">
        <v>9891</v>
      </c>
    </row>
    <row r="4" spans="1:13" x14ac:dyDescent="0.4">
      <c r="A4" s="3">
        <v>2022.01</v>
      </c>
      <c r="B4" s="3" t="s">
        <v>0</v>
      </c>
      <c r="C4" s="3" t="s">
        <v>17</v>
      </c>
      <c r="D4" s="3" t="s">
        <v>22</v>
      </c>
      <c r="E4" s="3">
        <v>221959</v>
      </c>
      <c r="F4" s="7" t="s">
        <v>69</v>
      </c>
      <c r="G4" s="4">
        <v>1</v>
      </c>
      <c r="H4" s="4">
        <v>0</v>
      </c>
      <c r="I4" s="4">
        <v>0</v>
      </c>
      <c r="J4" s="4">
        <v>0</v>
      </c>
      <c r="K4" s="5">
        <v>100</v>
      </c>
      <c r="L4" s="5">
        <v>0</v>
      </c>
      <c r="M4" s="4">
        <v>63</v>
      </c>
    </row>
    <row r="5" spans="1:13" x14ac:dyDescent="0.4">
      <c r="A5" s="3">
        <v>2022.01</v>
      </c>
      <c r="B5" s="3" t="s">
        <v>0</v>
      </c>
      <c r="C5" s="3" t="s">
        <v>17</v>
      </c>
      <c r="D5" s="3" t="s">
        <v>22</v>
      </c>
      <c r="E5" s="3">
        <v>149070</v>
      </c>
      <c r="F5" s="7" t="s">
        <v>70</v>
      </c>
      <c r="G5" s="4">
        <v>0</v>
      </c>
      <c r="H5" s="4">
        <v>0</v>
      </c>
      <c r="I5" s="4">
        <v>4</v>
      </c>
      <c r="J5" s="4">
        <v>0</v>
      </c>
      <c r="K5" s="5">
        <v>1200</v>
      </c>
      <c r="L5" s="5">
        <v>0</v>
      </c>
      <c r="M5" s="4">
        <v>756</v>
      </c>
    </row>
    <row r="6" spans="1:13" x14ac:dyDescent="0.4">
      <c r="A6" s="3">
        <v>2022.01</v>
      </c>
      <c r="B6" s="3" t="s">
        <v>0</v>
      </c>
      <c r="C6" s="3" t="s">
        <v>17</v>
      </c>
      <c r="D6" s="3" t="s">
        <v>18</v>
      </c>
      <c r="E6" s="3">
        <v>13397</v>
      </c>
      <c r="F6" s="7" t="s">
        <v>80</v>
      </c>
      <c r="G6" s="4">
        <v>3</v>
      </c>
      <c r="H6" s="4">
        <v>0</v>
      </c>
      <c r="I6" s="4">
        <v>0</v>
      </c>
      <c r="J6" s="4">
        <v>0</v>
      </c>
      <c r="K6" s="5">
        <v>3000</v>
      </c>
      <c r="L6" s="5">
        <v>0</v>
      </c>
      <c r="M6" s="4">
        <v>1890</v>
      </c>
    </row>
    <row r="7" spans="1:13" x14ac:dyDescent="0.4">
      <c r="A7" s="3">
        <v>2022.01</v>
      </c>
      <c r="B7" s="3" t="s">
        <v>0</v>
      </c>
      <c r="C7" s="3" t="s">
        <v>17</v>
      </c>
      <c r="D7" s="3" t="s">
        <v>18</v>
      </c>
      <c r="E7" s="3">
        <v>29804</v>
      </c>
      <c r="F7" s="7" t="s">
        <v>34</v>
      </c>
      <c r="G7" s="4">
        <v>28</v>
      </c>
      <c r="H7" s="4">
        <v>0</v>
      </c>
      <c r="I7" s="4">
        <v>0</v>
      </c>
      <c r="J7" s="4">
        <v>0</v>
      </c>
      <c r="K7" s="5">
        <v>2800</v>
      </c>
      <c r="L7" s="5">
        <v>0</v>
      </c>
      <c r="M7" s="4">
        <v>1764</v>
      </c>
    </row>
    <row r="8" spans="1:13" x14ac:dyDescent="0.4">
      <c r="A8" s="3">
        <v>2022.01</v>
      </c>
      <c r="B8" s="3" t="s">
        <v>0</v>
      </c>
      <c r="C8" s="3" t="s">
        <v>17</v>
      </c>
      <c r="D8" s="3" t="s">
        <v>18</v>
      </c>
      <c r="E8" s="3">
        <v>13398</v>
      </c>
      <c r="F8" s="7" t="s">
        <v>19</v>
      </c>
      <c r="G8" s="4">
        <v>31</v>
      </c>
      <c r="H8" s="4">
        <v>0</v>
      </c>
      <c r="I8" s="4">
        <v>0</v>
      </c>
      <c r="J8" s="4">
        <v>0</v>
      </c>
      <c r="K8" s="5">
        <v>31000</v>
      </c>
      <c r="L8" s="5">
        <v>0</v>
      </c>
      <c r="M8" s="4">
        <v>19530</v>
      </c>
    </row>
    <row r="9" spans="1:13" x14ac:dyDescent="0.4">
      <c r="A9" s="3">
        <v>2022.01</v>
      </c>
      <c r="B9" s="3" t="s">
        <v>0</v>
      </c>
      <c r="C9" s="3" t="s">
        <v>17</v>
      </c>
      <c r="D9" s="3" t="s">
        <v>18</v>
      </c>
      <c r="E9" s="3">
        <v>13399</v>
      </c>
      <c r="F9" s="7" t="s">
        <v>38</v>
      </c>
      <c r="G9" s="4">
        <v>1</v>
      </c>
      <c r="H9" s="4">
        <v>0</v>
      </c>
      <c r="I9" s="4">
        <v>0</v>
      </c>
      <c r="J9" s="4">
        <v>0</v>
      </c>
      <c r="K9" s="5">
        <v>1000</v>
      </c>
      <c r="L9" s="5">
        <v>0</v>
      </c>
      <c r="M9" s="4">
        <v>630</v>
      </c>
    </row>
    <row r="10" spans="1:13" x14ac:dyDescent="0.4">
      <c r="A10" s="3">
        <v>2022.01</v>
      </c>
      <c r="B10" s="3" t="s">
        <v>0</v>
      </c>
      <c r="C10" s="3" t="s">
        <v>17</v>
      </c>
      <c r="D10" s="3" t="s">
        <v>18</v>
      </c>
      <c r="E10" s="3">
        <v>13401</v>
      </c>
      <c r="F10" s="7" t="s">
        <v>39</v>
      </c>
      <c r="G10" s="4">
        <v>1</v>
      </c>
      <c r="H10" s="4">
        <v>0</v>
      </c>
      <c r="I10" s="4">
        <v>0</v>
      </c>
      <c r="J10" s="4">
        <v>0</v>
      </c>
      <c r="K10" s="5">
        <v>1000</v>
      </c>
      <c r="L10" s="5">
        <v>0</v>
      </c>
      <c r="M10" s="4">
        <v>630</v>
      </c>
    </row>
    <row r="11" spans="1:13" x14ac:dyDescent="0.4">
      <c r="A11" s="3">
        <v>2022.01</v>
      </c>
      <c r="B11" s="3" t="s">
        <v>0</v>
      </c>
      <c r="C11" s="3" t="s">
        <v>17</v>
      </c>
      <c r="D11" s="3" t="s">
        <v>22</v>
      </c>
      <c r="E11" s="3">
        <v>221963</v>
      </c>
      <c r="F11" s="7" t="s">
        <v>37</v>
      </c>
      <c r="G11" s="4">
        <v>146</v>
      </c>
      <c r="H11" s="4">
        <v>0</v>
      </c>
      <c r="I11" s="4">
        <v>0</v>
      </c>
      <c r="J11" s="4">
        <v>0</v>
      </c>
      <c r="K11" s="5">
        <v>14600</v>
      </c>
      <c r="L11" s="5">
        <v>0</v>
      </c>
      <c r="M11" s="4">
        <v>9198</v>
      </c>
    </row>
    <row r="12" spans="1:13" x14ac:dyDescent="0.4">
      <c r="A12" s="3">
        <v>2022.01</v>
      </c>
      <c r="B12" s="3" t="s">
        <v>0</v>
      </c>
      <c r="C12" s="3" t="s">
        <v>17</v>
      </c>
      <c r="D12" s="3" t="s">
        <v>22</v>
      </c>
      <c r="E12" s="3">
        <v>220859</v>
      </c>
      <c r="F12" s="7" t="s">
        <v>42</v>
      </c>
      <c r="G12" s="4">
        <v>0</v>
      </c>
      <c r="H12" s="4">
        <v>0</v>
      </c>
      <c r="I12" s="4">
        <v>1</v>
      </c>
      <c r="J12" s="4">
        <v>0</v>
      </c>
      <c r="K12" s="5">
        <v>900</v>
      </c>
      <c r="L12" s="5">
        <v>0</v>
      </c>
      <c r="M12" s="4">
        <v>567</v>
      </c>
    </row>
    <row r="13" spans="1:13" x14ac:dyDescent="0.4">
      <c r="A13" s="3">
        <v>2022.01</v>
      </c>
      <c r="B13" s="3" t="s">
        <v>0</v>
      </c>
      <c r="C13" s="3" t="s">
        <v>17</v>
      </c>
      <c r="D13" s="3" t="s">
        <v>22</v>
      </c>
      <c r="E13" s="3">
        <v>149056</v>
      </c>
      <c r="F13" s="7" t="s">
        <v>1</v>
      </c>
      <c r="G13" s="4">
        <v>2</v>
      </c>
      <c r="H13" s="4">
        <v>0</v>
      </c>
      <c r="I13" s="4">
        <v>1</v>
      </c>
      <c r="J13" s="4">
        <v>0</v>
      </c>
      <c r="K13" s="5">
        <v>2300</v>
      </c>
      <c r="L13" s="5">
        <v>0</v>
      </c>
      <c r="M13" s="4">
        <v>1449</v>
      </c>
    </row>
    <row r="14" spans="1:13" x14ac:dyDescent="0.4">
      <c r="A14" s="3">
        <v>2022.01</v>
      </c>
      <c r="B14" s="3" t="s">
        <v>0</v>
      </c>
      <c r="C14" s="3" t="s">
        <v>17</v>
      </c>
      <c r="D14" s="3" t="s">
        <v>22</v>
      </c>
      <c r="E14" s="3">
        <v>242092</v>
      </c>
      <c r="F14" s="7" t="s">
        <v>29</v>
      </c>
      <c r="G14" s="4">
        <v>333</v>
      </c>
      <c r="H14" s="4">
        <v>0</v>
      </c>
      <c r="I14" s="4">
        <v>0</v>
      </c>
      <c r="J14" s="4">
        <v>0</v>
      </c>
      <c r="K14" s="5">
        <v>33300</v>
      </c>
      <c r="L14" s="5">
        <v>0</v>
      </c>
      <c r="M14" s="4">
        <v>20979</v>
      </c>
    </row>
    <row r="15" spans="1:13" x14ac:dyDescent="0.4">
      <c r="M15" s="6">
        <f>SUM(M2:M14)</f>
        <v>67914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9"/>
  <sheetViews>
    <sheetView workbookViewId="0">
      <selection activeCell="M9" sqref="M9"/>
    </sheetView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5" bestFit="1" customWidth="1"/>
    <col min="7" max="7" width="5.898437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10.8984375" bestFit="1" customWidth="1"/>
    <col min="12" max="12" width="8.09765625" bestFit="1" customWidth="1"/>
    <col min="13" max="13" width="10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88</v>
      </c>
      <c r="D2" s="3" t="s">
        <v>22</v>
      </c>
      <c r="E2" s="3">
        <v>246153</v>
      </c>
      <c r="F2" s="7" t="s">
        <v>56</v>
      </c>
      <c r="G2" s="4">
        <v>1</v>
      </c>
      <c r="H2" s="4">
        <v>0</v>
      </c>
      <c r="I2" s="4">
        <v>0</v>
      </c>
      <c r="J2" s="4">
        <v>0</v>
      </c>
      <c r="K2" s="5">
        <v>3200</v>
      </c>
      <c r="L2" s="5">
        <v>0</v>
      </c>
      <c r="M2" s="4">
        <v>2016</v>
      </c>
    </row>
    <row r="3" spans="1:13" x14ac:dyDescent="0.4">
      <c r="A3" s="3">
        <v>2022.01</v>
      </c>
      <c r="B3" s="3" t="s">
        <v>0</v>
      </c>
      <c r="C3" s="3" t="s">
        <v>86</v>
      </c>
      <c r="D3" s="3" t="s">
        <v>22</v>
      </c>
      <c r="E3" s="3">
        <v>220722</v>
      </c>
      <c r="F3" s="7" t="s">
        <v>76</v>
      </c>
      <c r="G3" s="4">
        <v>10</v>
      </c>
      <c r="H3" s="4">
        <v>0</v>
      </c>
      <c r="I3" s="4">
        <v>0</v>
      </c>
      <c r="J3" s="4">
        <v>0</v>
      </c>
      <c r="K3" s="5">
        <v>1000</v>
      </c>
      <c r="L3" s="5">
        <v>0</v>
      </c>
      <c r="M3" s="4">
        <v>630</v>
      </c>
    </row>
    <row r="4" spans="1:13" x14ac:dyDescent="0.4">
      <c r="A4" s="3">
        <v>2022.01</v>
      </c>
      <c r="B4" s="3" t="s">
        <v>0</v>
      </c>
      <c r="C4" s="3" t="s">
        <v>86</v>
      </c>
      <c r="D4" s="3" t="s">
        <v>22</v>
      </c>
      <c r="E4" s="3">
        <v>299573</v>
      </c>
      <c r="F4" s="7" t="s">
        <v>79</v>
      </c>
      <c r="G4" s="4">
        <v>3789</v>
      </c>
      <c r="H4" s="4">
        <v>0</v>
      </c>
      <c r="I4" s="4">
        <v>0</v>
      </c>
      <c r="J4" s="4">
        <v>0</v>
      </c>
      <c r="K4" s="5">
        <v>11178220</v>
      </c>
      <c r="L4" s="5">
        <v>31511.428571428572</v>
      </c>
      <c r="M4" s="4">
        <v>7056175</v>
      </c>
    </row>
    <row r="5" spans="1:13" x14ac:dyDescent="0.4">
      <c r="A5" s="3">
        <v>2022.01</v>
      </c>
      <c r="B5" s="3" t="s">
        <v>0</v>
      </c>
      <c r="C5" s="3" t="s">
        <v>47</v>
      </c>
      <c r="D5" s="3" t="s">
        <v>22</v>
      </c>
      <c r="E5" s="3">
        <v>220724</v>
      </c>
      <c r="F5" s="7" t="s">
        <v>48</v>
      </c>
      <c r="G5" s="4">
        <v>114</v>
      </c>
      <c r="H5" s="4">
        <v>0</v>
      </c>
      <c r="I5" s="4">
        <v>0</v>
      </c>
      <c r="J5" s="4">
        <v>0</v>
      </c>
      <c r="K5" s="5">
        <v>11400</v>
      </c>
      <c r="L5" s="5">
        <v>0</v>
      </c>
      <c r="M5" s="4">
        <v>7182</v>
      </c>
    </row>
    <row r="6" spans="1:13" x14ac:dyDescent="0.4">
      <c r="A6" s="3">
        <v>2022.01</v>
      </c>
      <c r="B6" s="3" t="s">
        <v>0</v>
      </c>
      <c r="C6" s="3" t="s">
        <v>47</v>
      </c>
      <c r="D6" s="3" t="s">
        <v>22</v>
      </c>
      <c r="E6" s="3">
        <v>241289</v>
      </c>
      <c r="F6" s="7" t="s">
        <v>40</v>
      </c>
      <c r="G6" s="4">
        <v>0</v>
      </c>
      <c r="H6" s="4">
        <v>0</v>
      </c>
      <c r="I6" s="4">
        <v>12</v>
      </c>
      <c r="J6" s="4">
        <v>0</v>
      </c>
      <c r="K6" s="5">
        <v>10800</v>
      </c>
      <c r="L6" s="5">
        <v>0</v>
      </c>
      <c r="M6" s="4">
        <v>6804</v>
      </c>
    </row>
    <row r="7" spans="1:13" x14ac:dyDescent="0.4">
      <c r="A7" s="3">
        <v>2022.01</v>
      </c>
      <c r="B7" s="3" t="s">
        <v>0</v>
      </c>
      <c r="C7" s="3" t="s">
        <v>47</v>
      </c>
      <c r="D7" s="3" t="s">
        <v>22</v>
      </c>
      <c r="E7" s="3">
        <v>241293</v>
      </c>
      <c r="F7" s="7" t="s">
        <v>41</v>
      </c>
      <c r="G7" s="4">
        <v>0</v>
      </c>
      <c r="H7" s="4">
        <v>0</v>
      </c>
      <c r="I7" s="4">
        <v>5</v>
      </c>
      <c r="J7" s="4">
        <v>0</v>
      </c>
      <c r="K7" s="5">
        <v>4500</v>
      </c>
      <c r="L7" s="5">
        <v>0</v>
      </c>
      <c r="M7" s="4">
        <v>2835</v>
      </c>
    </row>
    <row r="8" spans="1:13" x14ac:dyDescent="0.4">
      <c r="A8" s="3">
        <v>2022.01</v>
      </c>
      <c r="B8" s="3" t="s">
        <v>0</v>
      </c>
      <c r="C8" s="3" t="s">
        <v>47</v>
      </c>
      <c r="D8" s="3" t="s">
        <v>22</v>
      </c>
      <c r="E8" s="3">
        <v>221952</v>
      </c>
      <c r="F8" s="7" t="s">
        <v>43</v>
      </c>
      <c r="G8" s="4">
        <v>25</v>
      </c>
      <c r="H8" s="4">
        <v>0</v>
      </c>
      <c r="I8" s="4">
        <v>0</v>
      </c>
      <c r="J8" s="4">
        <v>0</v>
      </c>
      <c r="K8" s="5">
        <v>2500</v>
      </c>
      <c r="L8" s="5">
        <v>0</v>
      </c>
      <c r="M8" s="4">
        <v>1575</v>
      </c>
    </row>
    <row r="9" spans="1:13" x14ac:dyDescent="0.4">
      <c r="M9" s="6">
        <f>SUM(M2:M8)</f>
        <v>7077217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9"/>
  <sheetViews>
    <sheetView workbookViewId="0">
      <selection activeCell="M9" sqref="M9"/>
    </sheetView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8.7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8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91</v>
      </c>
      <c r="D2" s="3" t="s">
        <v>22</v>
      </c>
      <c r="E2" s="3">
        <v>220852</v>
      </c>
      <c r="F2" s="7" t="s">
        <v>62</v>
      </c>
      <c r="G2" s="4">
        <v>0</v>
      </c>
      <c r="H2" s="4">
        <v>0</v>
      </c>
      <c r="I2" s="4">
        <v>10</v>
      </c>
      <c r="J2" s="4">
        <v>0</v>
      </c>
      <c r="K2" s="5">
        <v>9000</v>
      </c>
      <c r="L2" s="5">
        <v>0</v>
      </c>
      <c r="M2" s="4">
        <v>5670</v>
      </c>
    </row>
    <row r="3" spans="1:13" x14ac:dyDescent="0.4">
      <c r="A3" s="3">
        <v>2022.01</v>
      </c>
      <c r="B3" s="3" t="s">
        <v>0</v>
      </c>
      <c r="C3" s="3" t="s">
        <v>96</v>
      </c>
      <c r="D3" s="3" t="s">
        <v>22</v>
      </c>
      <c r="E3" s="3">
        <v>220863</v>
      </c>
      <c r="F3" s="7" t="s">
        <v>75</v>
      </c>
      <c r="G3" s="4">
        <v>0</v>
      </c>
      <c r="H3" s="4">
        <v>0</v>
      </c>
      <c r="I3" s="4">
        <v>10</v>
      </c>
      <c r="J3" s="4">
        <v>0</v>
      </c>
      <c r="K3" s="5">
        <v>9000</v>
      </c>
      <c r="L3" s="5">
        <v>0</v>
      </c>
      <c r="M3" s="4">
        <v>5670</v>
      </c>
    </row>
    <row r="4" spans="1:13" x14ac:dyDescent="0.4">
      <c r="A4" s="3">
        <v>2022.01</v>
      </c>
      <c r="B4" s="3" t="s">
        <v>0</v>
      </c>
      <c r="C4" s="3" t="s">
        <v>97</v>
      </c>
      <c r="D4" s="3" t="s">
        <v>22</v>
      </c>
      <c r="E4" s="3">
        <v>220864</v>
      </c>
      <c r="F4" s="7" t="s">
        <v>78</v>
      </c>
      <c r="G4" s="4">
        <v>0</v>
      </c>
      <c r="H4" s="4">
        <v>0</v>
      </c>
      <c r="I4" s="4">
        <v>14</v>
      </c>
      <c r="J4" s="4">
        <v>0</v>
      </c>
      <c r="K4" s="5">
        <v>12600</v>
      </c>
      <c r="L4" s="5">
        <v>0</v>
      </c>
      <c r="M4" s="4">
        <v>7938</v>
      </c>
    </row>
    <row r="5" spans="1:13" x14ac:dyDescent="0.4">
      <c r="A5" s="3">
        <v>2022.01</v>
      </c>
      <c r="B5" s="3" t="s">
        <v>0</v>
      </c>
      <c r="C5" s="3" t="s">
        <v>31</v>
      </c>
      <c r="D5" s="3" t="s">
        <v>22</v>
      </c>
      <c r="E5" s="3">
        <v>221951</v>
      </c>
      <c r="F5" s="7" t="s">
        <v>68</v>
      </c>
      <c r="G5" s="4">
        <v>29</v>
      </c>
      <c r="H5" s="4">
        <v>0</v>
      </c>
      <c r="I5" s="4">
        <v>0</v>
      </c>
      <c r="J5" s="4">
        <v>0</v>
      </c>
      <c r="K5" s="5">
        <v>2900</v>
      </c>
      <c r="L5" s="5">
        <v>0</v>
      </c>
      <c r="M5" s="4">
        <v>1827</v>
      </c>
    </row>
    <row r="6" spans="1:13" x14ac:dyDescent="0.4">
      <c r="A6" s="3">
        <v>2022.01</v>
      </c>
      <c r="B6" s="3" t="s">
        <v>0</v>
      </c>
      <c r="C6" s="3" t="s">
        <v>31</v>
      </c>
      <c r="D6" s="3" t="s">
        <v>22</v>
      </c>
      <c r="E6" s="3">
        <v>242224</v>
      </c>
      <c r="F6" s="7" t="s">
        <v>77</v>
      </c>
      <c r="G6" s="4">
        <v>214</v>
      </c>
      <c r="H6" s="4">
        <v>0</v>
      </c>
      <c r="I6" s="4">
        <v>0</v>
      </c>
      <c r="J6" s="4">
        <v>0</v>
      </c>
      <c r="K6" s="5">
        <v>21400</v>
      </c>
      <c r="L6" s="5">
        <v>0</v>
      </c>
      <c r="M6" s="4">
        <v>13482</v>
      </c>
    </row>
    <row r="7" spans="1:13" x14ac:dyDescent="0.4">
      <c r="A7" s="3">
        <v>2022.01</v>
      </c>
      <c r="B7" s="3" t="s">
        <v>0</v>
      </c>
      <c r="C7" s="3" t="s">
        <v>31</v>
      </c>
      <c r="D7" s="3" t="s">
        <v>22</v>
      </c>
      <c r="E7" s="3">
        <v>220854</v>
      </c>
      <c r="F7" s="7" t="s">
        <v>51</v>
      </c>
      <c r="G7" s="4">
        <v>0</v>
      </c>
      <c r="H7" s="4">
        <v>0</v>
      </c>
      <c r="I7" s="4">
        <v>8</v>
      </c>
      <c r="J7" s="4">
        <v>0</v>
      </c>
      <c r="K7" s="5">
        <v>7200</v>
      </c>
      <c r="L7" s="5">
        <v>0</v>
      </c>
      <c r="M7" s="4">
        <v>4536</v>
      </c>
    </row>
    <row r="8" spans="1:13" x14ac:dyDescent="0.4">
      <c r="A8" s="3">
        <v>2022.01</v>
      </c>
      <c r="B8" s="3" t="s">
        <v>0</v>
      </c>
      <c r="C8" s="3" t="s">
        <v>31</v>
      </c>
      <c r="D8" s="3" t="s">
        <v>22</v>
      </c>
      <c r="E8" s="3">
        <v>220861</v>
      </c>
      <c r="F8" s="7" t="s">
        <v>36</v>
      </c>
      <c r="G8" s="4">
        <v>0</v>
      </c>
      <c r="H8" s="4">
        <v>0</v>
      </c>
      <c r="I8" s="4">
        <v>22</v>
      </c>
      <c r="J8" s="4">
        <v>0</v>
      </c>
      <c r="K8" s="5">
        <v>19800</v>
      </c>
      <c r="L8" s="5">
        <v>0</v>
      </c>
      <c r="M8" s="4">
        <v>12474</v>
      </c>
    </row>
    <row r="9" spans="1:13" x14ac:dyDescent="0.4">
      <c r="M9" s="6">
        <f>SUM(M2:M8)</f>
        <v>51597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5.296875" bestFit="1" customWidth="1"/>
    <col min="5" max="5" width="7.3984375" bestFit="1" customWidth="1"/>
    <col min="6" max="6" width="10.59765625" bestFit="1" customWidth="1"/>
    <col min="7" max="7" width="5.8984375" bestFit="1" customWidth="1"/>
    <col min="8" max="8" width="8.59765625" bestFit="1" customWidth="1"/>
    <col min="9" max="9" width="5.59765625" bestFit="1" customWidth="1"/>
    <col min="10" max="11" width="8.5976562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20</v>
      </c>
      <c r="D2" s="3" t="s">
        <v>3</v>
      </c>
      <c r="E2" s="3">
        <v>40072</v>
      </c>
      <c r="F2" s="7" t="s">
        <v>21</v>
      </c>
      <c r="G2" s="4">
        <v>1151</v>
      </c>
      <c r="H2" s="4">
        <v>0</v>
      </c>
      <c r="I2" s="4">
        <v>0</v>
      </c>
      <c r="J2" s="4">
        <v>0</v>
      </c>
      <c r="K2" s="5">
        <v>115100</v>
      </c>
      <c r="L2" s="5">
        <v>0</v>
      </c>
      <c r="M2" s="4">
        <v>72513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9.3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81</v>
      </c>
      <c r="D2" s="3" t="s">
        <v>22</v>
      </c>
      <c r="E2" s="3">
        <v>225735</v>
      </c>
      <c r="F2" s="7" t="s">
        <v>49</v>
      </c>
      <c r="G2" s="4">
        <v>4</v>
      </c>
      <c r="H2" s="4">
        <v>0</v>
      </c>
      <c r="I2" s="4">
        <v>0</v>
      </c>
      <c r="J2" s="4">
        <v>0</v>
      </c>
      <c r="K2" s="5">
        <v>12800</v>
      </c>
      <c r="L2" s="5">
        <v>0</v>
      </c>
      <c r="M2" s="4">
        <v>8064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5"/>
  <sheetViews>
    <sheetView workbookViewId="0">
      <selection activeCell="M5" sqref="M5"/>
    </sheetView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31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9.8984375" bestFit="1" customWidth="1"/>
    <col min="12" max="12" width="8.09765625" bestFit="1" customWidth="1"/>
    <col min="13" max="13" width="9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94</v>
      </c>
      <c r="D2" s="3" t="s">
        <v>22</v>
      </c>
      <c r="E2" s="3">
        <v>232418</v>
      </c>
      <c r="F2" s="7" t="s">
        <v>72</v>
      </c>
      <c r="G2" s="4">
        <v>14</v>
      </c>
      <c r="H2" s="4">
        <v>0</v>
      </c>
      <c r="I2" s="4">
        <v>0</v>
      </c>
      <c r="J2" s="4">
        <v>0</v>
      </c>
      <c r="K2" s="5">
        <v>44800</v>
      </c>
      <c r="L2" s="5">
        <v>0</v>
      </c>
      <c r="M2" s="4">
        <v>28224</v>
      </c>
    </row>
    <row r="3" spans="1:13" x14ac:dyDescent="0.4">
      <c r="A3" s="3">
        <v>2022.01</v>
      </c>
      <c r="B3" s="3" t="s">
        <v>0</v>
      </c>
      <c r="C3" s="3" t="s">
        <v>94</v>
      </c>
      <c r="D3" s="3" t="s">
        <v>22</v>
      </c>
      <c r="E3" s="3">
        <v>299568</v>
      </c>
      <c r="F3" s="7" t="s">
        <v>74</v>
      </c>
      <c r="G3" s="4">
        <v>440</v>
      </c>
      <c r="H3" s="4">
        <v>0</v>
      </c>
      <c r="I3" s="4">
        <v>0</v>
      </c>
      <c r="J3" s="4">
        <v>0</v>
      </c>
      <c r="K3" s="5">
        <v>1243520</v>
      </c>
      <c r="L3" s="5">
        <v>44928.571428571435</v>
      </c>
      <c r="M3" s="4">
        <v>803231</v>
      </c>
    </row>
    <row r="4" spans="1:13" x14ac:dyDescent="0.4">
      <c r="A4" s="3">
        <v>2022.01</v>
      </c>
      <c r="B4" s="3" t="s">
        <v>0</v>
      </c>
      <c r="C4" s="3" t="s">
        <v>30</v>
      </c>
      <c r="D4" s="3" t="s">
        <v>22</v>
      </c>
      <c r="E4" s="3">
        <v>225736</v>
      </c>
      <c r="F4" s="7" t="s">
        <v>26</v>
      </c>
      <c r="G4" s="4">
        <v>7</v>
      </c>
      <c r="H4" s="4">
        <v>0</v>
      </c>
      <c r="I4" s="4">
        <v>0</v>
      </c>
      <c r="J4" s="4">
        <v>0</v>
      </c>
      <c r="K4" s="5">
        <v>19200</v>
      </c>
      <c r="L4" s="5">
        <v>3840.0000000000005</v>
      </c>
      <c r="M4" s="4">
        <v>13789</v>
      </c>
    </row>
    <row r="5" spans="1:13" x14ac:dyDescent="0.4">
      <c r="M5" s="6">
        <f>SUM(M2:M4)</f>
        <v>845244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17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89</v>
      </c>
      <c r="D2" s="3" t="s">
        <v>22</v>
      </c>
      <c r="E2" s="3">
        <v>219713</v>
      </c>
      <c r="F2" s="7" t="s">
        <v>60</v>
      </c>
      <c r="G2" s="4">
        <v>11</v>
      </c>
      <c r="H2" s="4">
        <v>0</v>
      </c>
      <c r="I2" s="4">
        <v>0</v>
      </c>
      <c r="J2" s="4">
        <v>0</v>
      </c>
      <c r="K2" s="5">
        <v>35200</v>
      </c>
      <c r="L2" s="5">
        <v>0</v>
      </c>
      <c r="M2" s="4">
        <v>22176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8.19921875" bestFit="1" customWidth="1"/>
    <col min="5" max="5" width="7.3984375" bestFit="1" customWidth="1"/>
    <col min="6" max="6" width="23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27</v>
      </c>
      <c r="D2" s="3" t="s">
        <v>23</v>
      </c>
      <c r="E2" s="3">
        <v>162474</v>
      </c>
      <c r="F2" s="7" t="s">
        <v>24</v>
      </c>
      <c r="G2" s="4">
        <v>375</v>
      </c>
      <c r="H2" s="4">
        <v>0</v>
      </c>
      <c r="I2" s="4">
        <v>0</v>
      </c>
      <c r="J2" s="4">
        <v>0</v>
      </c>
      <c r="K2" s="5">
        <v>37500</v>
      </c>
      <c r="L2" s="5">
        <v>0</v>
      </c>
      <c r="M2" s="4">
        <v>23625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10.19921875" bestFit="1" customWidth="1"/>
    <col min="4" max="4" width="10.69921875" bestFit="1" customWidth="1"/>
    <col min="5" max="5" width="7.3984375" bestFit="1" customWidth="1"/>
    <col min="6" max="6" width="18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44</v>
      </c>
      <c r="D2" s="3" t="s">
        <v>45</v>
      </c>
      <c r="E2" s="3">
        <v>113396</v>
      </c>
      <c r="F2" s="7" t="s">
        <v>46</v>
      </c>
      <c r="G2" s="4">
        <v>83</v>
      </c>
      <c r="H2" s="4">
        <v>0</v>
      </c>
      <c r="I2" s="4">
        <v>0</v>
      </c>
      <c r="J2" s="4">
        <v>0</v>
      </c>
      <c r="K2" s="5">
        <v>8300</v>
      </c>
      <c r="L2" s="5">
        <v>0</v>
      </c>
      <c r="M2" s="4">
        <v>5229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4"/>
  <sheetViews>
    <sheetView workbookViewId="0">
      <selection activeCell="M4" sqref="M4"/>
    </sheetView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9.8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8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90</v>
      </c>
      <c r="D2" s="3" t="s">
        <v>22</v>
      </c>
      <c r="E2" s="3">
        <v>246133</v>
      </c>
      <c r="F2" s="7" t="s">
        <v>61</v>
      </c>
      <c r="G2" s="4">
        <v>4</v>
      </c>
      <c r="H2" s="4">
        <v>0</v>
      </c>
      <c r="I2" s="4">
        <v>0</v>
      </c>
      <c r="J2" s="4">
        <v>0</v>
      </c>
      <c r="K2" s="5">
        <v>12800</v>
      </c>
      <c r="L2" s="5">
        <v>0</v>
      </c>
      <c r="M2" s="4">
        <v>8064</v>
      </c>
    </row>
    <row r="3" spans="1:13" x14ac:dyDescent="0.4">
      <c r="A3" s="3">
        <v>2022.01</v>
      </c>
      <c r="B3" s="3" t="s">
        <v>0</v>
      </c>
      <c r="C3" s="3" t="s">
        <v>90</v>
      </c>
      <c r="D3" s="3" t="s">
        <v>22</v>
      </c>
      <c r="E3" s="3">
        <v>225733</v>
      </c>
      <c r="F3" s="7" t="s">
        <v>65</v>
      </c>
      <c r="G3" s="4">
        <v>3</v>
      </c>
      <c r="H3" s="4">
        <v>0</v>
      </c>
      <c r="I3" s="4">
        <v>0</v>
      </c>
      <c r="J3" s="4">
        <v>0</v>
      </c>
      <c r="K3" s="5">
        <v>9600</v>
      </c>
      <c r="L3" s="5">
        <v>0</v>
      </c>
      <c r="M3" s="4">
        <v>6048</v>
      </c>
    </row>
    <row r="4" spans="1:13" x14ac:dyDescent="0.4">
      <c r="M4" s="6">
        <f>SUM(M2:M3)</f>
        <v>14112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2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82</v>
      </c>
      <c r="D2" s="3" t="s">
        <v>22</v>
      </c>
      <c r="E2" s="3">
        <v>169477</v>
      </c>
      <c r="F2" s="7" t="s">
        <v>52</v>
      </c>
      <c r="G2" s="4">
        <v>144</v>
      </c>
      <c r="H2" s="4">
        <v>0</v>
      </c>
      <c r="I2" s="4">
        <v>0</v>
      </c>
      <c r="J2" s="4">
        <v>0</v>
      </c>
      <c r="K2" s="5">
        <v>14400</v>
      </c>
      <c r="L2" s="5">
        <v>0</v>
      </c>
      <c r="M2" s="4">
        <v>9072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36.7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33</v>
      </c>
      <c r="D2" s="3" t="s">
        <v>22</v>
      </c>
      <c r="E2" s="3">
        <v>252421</v>
      </c>
      <c r="F2" s="7" t="s">
        <v>32</v>
      </c>
      <c r="G2" s="4">
        <v>30</v>
      </c>
      <c r="H2" s="4">
        <v>0</v>
      </c>
      <c r="I2" s="4">
        <v>0</v>
      </c>
      <c r="J2" s="4">
        <v>0</v>
      </c>
      <c r="K2" s="5">
        <v>3000</v>
      </c>
      <c r="L2" s="5">
        <v>0</v>
      </c>
      <c r="M2" s="4">
        <v>1890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M7"/>
  <sheetViews>
    <sheetView workbookViewId="0">
      <selection activeCell="M7" sqref="M7"/>
    </sheetView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59765625" bestFit="1" customWidth="1"/>
    <col min="5" max="5" width="7.3984375" bestFit="1" customWidth="1"/>
    <col min="6" max="6" width="23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1" width="8.59765625" bestFit="1" customWidth="1"/>
    <col min="12" max="12" width="8.09765625" bestFit="1" customWidth="1"/>
    <col min="13" max="13" width="9.1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92</v>
      </c>
      <c r="D2" s="3" t="s">
        <v>22</v>
      </c>
      <c r="E2" s="3">
        <v>220856</v>
      </c>
      <c r="F2" s="7" t="s">
        <v>67</v>
      </c>
      <c r="G2" s="4">
        <v>9</v>
      </c>
      <c r="H2" s="4">
        <v>0</v>
      </c>
      <c r="I2" s="4">
        <v>0</v>
      </c>
      <c r="J2" s="4">
        <v>0</v>
      </c>
      <c r="K2" s="5">
        <v>28800</v>
      </c>
      <c r="L2" s="5">
        <v>0</v>
      </c>
      <c r="M2" s="4">
        <v>18144</v>
      </c>
    </row>
    <row r="3" spans="1:13" x14ac:dyDescent="0.4">
      <c r="A3" s="3">
        <v>2022.01</v>
      </c>
      <c r="B3" s="3" t="s">
        <v>0</v>
      </c>
      <c r="C3" s="3" t="s">
        <v>28</v>
      </c>
      <c r="D3" s="3" t="s">
        <v>22</v>
      </c>
      <c r="E3" s="3">
        <v>220851</v>
      </c>
      <c r="F3" s="7" t="s">
        <v>58</v>
      </c>
      <c r="G3" s="4">
        <v>4</v>
      </c>
      <c r="H3" s="4">
        <v>0</v>
      </c>
      <c r="I3" s="4">
        <v>236</v>
      </c>
      <c r="J3" s="4">
        <v>0</v>
      </c>
      <c r="K3" s="5">
        <v>218000</v>
      </c>
      <c r="L3" s="5">
        <v>8640</v>
      </c>
      <c r="M3" s="4">
        <v>141150</v>
      </c>
    </row>
    <row r="4" spans="1:13" x14ac:dyDescent="0.4">
      <c r="A4" s="3">
        <v>2022.01</v>
      </c>
      <c r="B4" s="3" t="s">
        <v>0</v>
      </c>
      <c r="C4" s="3" t="s">
        <v>28</v>
      </c>
      <c r="D4" s="3" t="s">
        <v>22</v>
      </c>
      <c r="E4" s="3">
        <v>220853</v>
      </c>
      <c r="F4" s="7" t="s">
        <v>63</v>
      </c>
      <c r="G4" s="4">
        <v>0</v>
      </c>
      <c r="H4" s="4">
        <v>0</v>
      </c>
      <c r="I4" s="4">
        <v>1</v>
      </c>
      <c r="J4" s="4">
        <v>0</v>
      </c>
      <c r="K4" s="5">
        <v>900</v>
      </c>
      <c r="L4" s="5">
        <v>0</v>
      </c>
      <c r="M4" s="4">
        <v>567</v>
      </c>
    </row>
    <row r="5" spans="1:13" x14ac:dyDescent="0.4">
      <c r="A5" s="3">
        <v>2022.01</v>
      </c>
      <c r="B5" s="3" t="s">
        <v>0</v>
      </c>
      <c r="C5" s="3" t="s">
        <v>28</v>
      </c>
      <c r="D5" s="3" t="s">
        <v>22</v>
      </c>
      <c r="E5" s="3">
        <v>220857</v>
      </c>
      <c r="F5" s="7" t="s">
        <v>35</v>
      </c>
      <c r="G5" s="4">
        <v>0</v>
      </c>
      <c r="H5" s="4">
        <v>0</v>
      </c>
      <c r="I5" s="4">
        <v>29</v>
      </c>
      <c r="J5" s="4">
        <v>0</v>
      </c>
      <c r="K5" s="5">
        <v>26100</v>
      </c>
      <c r="L5" s="5">
        <v>0</v>
      </c>
      <c r="M5" s="4">
        <v>16443</v>
      </c>
    </row>
    <row r="6" spans="1:13" x14ac:dyDescent="0.4">
      <c r="A6" s="3">
        <v>2022.01</v>
      </c>
      <c r="B6" s="3" t="s">
        <v>0</v>
      </c>
      <c r="C6" s="3" t="s">
        <v>28</v>
      </c>
      <c r="D6" s="3" t="s">
        <v>2</v>
      </c>
      <c r="E6" s="3">
        <v>36793</v>
      </c>
      <c r="F6" s="7" t="s">
        <v>25</v>
      </c>
      <c r="G6" s="4">
        <v>114</v>
      </c>
      <c r="H6" s="4">
        <v>0</v>
      </c>
      <c r="I6" s="4">
        <v>0</v>
      </c>
      <c r="J6" s="4">
        <v>0</v>
      </c>
      <c r="K6" s="5">
        <v>11400</v>
      </c>
      <c r="L6" s="5">
        <v>0</v>
      </c>
      <c r="M6" s="4">
        <v>7182</v>
      </c>
    </row>
    <row r="7" spans="1:13" x14ac:dyDescent="0.4">
      <c r="M7" s="6">
        <f>SUM(M2:M6)</f>
        <v>183486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12.2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1" width="8.5976562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85</v>
      </c>
      <c r="D2" s="3" t="s">
        <v>22</v>
      </c>
      <c r="E2" s="3">
        <v>246152</v>
      </c>
      <c r="F2" s="7" t="s">
        <v>64</v>
      </c>
      <c r="G2" s="4">
        <v>32</v>
      </c>
      <c r="H2" s="4">
        <v>0</v>
      </c>
      <c r="I2" s="4">
        <v>0</v>
      </c>
      <c r="J2" s="4">
        <v>0</v>
      </c>
      <c r="K2" s="5">
        <v>102400</v>
      </c>
      <c r="L2" s="5">
        <v>0</v>
      </c>
      <c r="M2" s="4">
        <v>64512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M2"/>
  <sheetViews>
    <sheetView workbookViewId="0">
      <selection activeCell="S24" sqref="S24"/>
    </sheetView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14.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84</v>
      </c>
      <c r="D2" s="3" t="s">
        <v>22</v>
      </c>
      <c r="E2" s="3">
        <v>236307</v>
      </c>
      <c r="F2" s="7" t="s">
        <v>59</v>
      </c>
      <c r="G2" s="4">
        <v>1</v>
      </c>
      <c r="H2" s="4">
        <v>0</v>
      </c>
      <c r="I2" s="4">
        <v>0</v>
      </c>
      <c r="J2" s="4">
        <v>0</v>
      </c>
      <c r="K2" s="5">
        <v>3200</v>
      </c>
      <c r="L2" s="5">
        <v>0</v>
      </c>
      <c r="M2" s="4">
        <v>2016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32.5976562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54</v>
      </c>
      <c r="D2" s="3" t="s">
        <v>22</v>
      </c>
      <c r="E2" s="3">
        <v>270858</v>
      </c>
      <c r="F2" s="7" t="s">
        <v>50</v>
      </c>
      <c r="G2" s="4">
        <v>5</v>
      </c>
      <c r="H2" s="4">
        <v>0</v>
      </c>
      <c r="I2" s="4">
        <v>0</v>
      </c>
      <c r="J2" s="4">
        <v>0</v>
      </c>
      <c r="K2" s="5">
        <v>16000</v>
      </c>
      <c r="L2" s="5">
        <v>0</v>
      </c>
      <c r="M2" s="4">
        <v>10080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21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2022.01</v>
      </c>
      <c r="B2" s="3" t="s">
        <v>0</v>
      </c>
      <c r="C2" s="3" t="s">
        <v>83</v>
      </c>
      <c r="D2" s="3" t="s">
        <v>22</v>
      </c>
      <c r="E2" s="3">
        <v>246147</v>
      </c>
      <c r="F2" s="7" t="s">
        <v>53</v>
      </c>
      <c r="G2" s="4">
        <v>6</v>
      </c>
      <c r="H2" s="4">
        <v>0</v>
      </c>
      <c r="I2" s="4">
        <v>0</v>
      </c>
      <c r="J2" s="4">
        <v>0</v>
      </c>
      <c r="K2" s="5">
        <v>19200</v>
      </c>
      <c r="L2" s="5">
        <v>0</v>
      </c>
      <c r="M2" s="4">
        <v>12096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이름이 지정된 범위</vt:lpstr>
      </vt:variant>
      <vt:variant>
        <vt:i4>20</vt:i4>
      </vt:variant>
    </vt:vector>
  </HeadingPairs>
  <TitlesOfParts>
    <vt:vector size="41" baseType="lpstr">
      <vt:lpstr>합계(1)</vt:lpstr>
      <vt:lpstr>가람검</vt:lpstr>
      <vt:lpstr>구유</vt:lpstr>
      <vt:lpstr>군주</vt:lpstr>
      <vt:lpstr>권용찬</vt:lpstr>
      <vt:lpstr>김광수</vt:lpstr>
      <vt:lpstr>김정률</vt:lpstr>
      <vt:lpstr>독고진</vt:lpstr>
      <vt:lpstr>루이세</vt:lpstr>
      <vt:lpstr>무장</vt:lpstr>
      <vt:lpstr>벗우</vt:lpstr>
      <vt:lpstr>예로나</vt:lpstr>
      <vt:lpstr>왕십리글쟁이</vt:lpstr>
      <vt:lpstr>이동열</vt:lpstr>
      <vt:lpstr>이준영</vt:lpstr>
      <vt:lpstr>장유진</vt:lpstr>
      <vt:lpstr>전혁</vt:lpstr>
      <vt:lpstr>진문</vt:lpstr>
      <vt:lpstr>찬동</vt:lpstr>
      <vt:lpstr>청빙</vt:lpstr>
      <vt:lpstr>하이후</vt:lpstr>
      <vt:lpstr>가람검!Extract</vt:lpstr>
      <vt:lpstr>구유!Extract</vt:lpstr>
      <vt:lpstr>군주!Extract</vt:lpstr>
      <vt:lpstr>권용찬!Extract</vt:lpstr>
      <vt:lpstr>김광수!Extract</vt:lpstr>
      <vt:lpstr>김정률!Extract</vt:lpstr>
      <vt:lpstr>독고진!Extract</vt:lpstr>
      <vt:lpstr>루이세!Extract</vt:lpstr>
      <vt:lpstr>무장!Extract</vt:lpstr>
      <vt:lpstr>벗우!Extract</vt:lpstr>
      <vt:lpstr>예로나!Extract</vt:lpstr>
      <vt:lpstr>왕십리글쟁이!Extract</vt:lpstr>
      <vt:lpstr>이동열!Extract</vt:lpstr>
      <vt:lpstr>이준영!Extract</vt:lpstr>
      <vt:lpstr>장유진!Extract</vt:lpstr>
      <vt:lpstr>전혁!Extract</vt:lpstr>
      <vt:lpstr>진문!Extract</vt:lpstr>
      <vt:lpstr>찬동!Extract</vt:lpstr>
      <vt:lpstr>청빙!Extract</vt:lpstr>
      <vt:lpstr>하이후!Extract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2018-12-20T07:30:03Z</dcterms:created>
  <dcterms:modified xsi:type="dcterms:W3CDTF">2022-02-21T01:42:10Z</dcterms:modified>
</cp:coreProperties>
</file>