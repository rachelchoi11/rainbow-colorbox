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120)\"/>
    </mc:Choice>
  </mc:AlternateContent>
  <bookViews>
    <workbookView xWindow="3768" yWindow="0" windowWidth="23832" windowHeight="9168" tabRatio="735"/>
  </bookViews>
  <sheets>
    <sheet name="판무림1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'판무림1(로드오브머니)'!$G$1:$AH$99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'판무림1(로드오브머니)'!#REF!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91" i="13" l="1"/>
  <c r="E34" i="13"/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  <c r="B2" i="13" l="1"/>
  <c r="B3" i="13" s="1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<sst xmlns="http://schemas.openxmlformats.org/spreadsheetml/2006/main" count="1751" uniqueCount="118">
  <si>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</si>
  <si>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</si>
  <si>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</si>
  <si>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</si>
  <si>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</si>
  <si>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</si>
  <si>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</si>
  <si>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</si>
  <si>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</si>
  <si>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</si>
  <si>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</si>
  <si>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</si>
  <si>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</si>
  <si>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</si>
  <si>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</si>
  <si>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</si>
  <si>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</si>
  <si>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</si>
  <si>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</si>
  <si>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</si>
  <si>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</si>
  <si>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</si>
  <si>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</si>
  <si>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</si>
  <si>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</si>
  <si>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</si>
  <si>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</si>
  <si>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</si>
  <si>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</si>
  <si>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</si>
  <si>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</si>
  <si>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</si>
  <si>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</si>
  <si>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</si>
  <si>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</si>
  <si>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</si>
  <si>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</si>
  <si>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</si>
  <si>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</si>
  <si>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</si>
  <si>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</si>
  <si>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</si>
  <si>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</si>
  <si>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</si>
  <si>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</si>
  <si>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</si>
  <si>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</si>
  <si>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</si>
  <si>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</si>
  <si>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</si>
  <si>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</si>
  <si>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</si>
  <si>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</si>
  <si>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</si>
  <si>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</si>
  <si>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</si>
  <si>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</si>
  <si>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</si>
  <si>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</si>
  <si>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</si>
  <si>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</si>
  <si>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</si>
  <si>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</si>
  <si>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</si>
  <si>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</si>
  <si>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</si>
  <si>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</si>
  <si>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</si>
  <si>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</si>
  <si>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</si>
  <si>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</si>
  <si>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</si>
  <si>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</si>
  <si>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</si>
  <si>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</si>
  <si>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</si>
  <si>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</si>
  <si>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</si>
  <si>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</si>
  <si>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</si>
  <si>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</si>
  <si>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</si>
  <si>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</si>
  <si>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</si>
  <si>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</si>
  <si>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</si>
  <si>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</si>
  <si>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</si>
  <si>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</si>
  <si>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</si>
  <si>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</si>
  <si>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</si>
  <si>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</si>
  <si>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</si>
  <si>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</si>
  <si>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</si>
  <si>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</si>
  <si>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</si>
  <si>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</si>
  <si>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</si>
  <si>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</si>
  <si>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</si>
  <si>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</si>
  <si>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</si>
  <si>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</si>
  <si>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</si>
  <si>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</si>
  <si>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</si>
  <si>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</si>
  <si>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</si>
  <si>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</si>
  <si>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</si>
  <si>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</si>
  <si>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</si>
  <si>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</si>
  <si>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</si>
  <si>
    <t>2022년1월</t>
  </si>
  <si>
    <t>2022년1월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</si>
</sst>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17" fillId="2" borderId="0" xfId="0" applyNumberFormat="1" applyFont="1" applyFill="1" applyAlignment="1"/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8" fillId="2" borderId="0" xfId="0" applyFont="1" applyFill="1" applyAlignment="1"/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291"/>
  <sheetViews>
    <sheetView tabSelected="1" zoomScale="85" zoomScaleNormal="85" workbookViewId="0">
      <selection activeCell="E34" sqref="E34"/>
    </sheetView>
  </sheetViews>
  <sheetFormatPr defaultColWidth="8.69921875" defaultRowHeight="17.399999999999999" x14ac:dyDescent="0.4"/>
  <cols>
    <col min="1" max="1" width="8.69921875" style="15"/>
    <col min="2" max="2" width="13.19921875" style="3" bestFit="1" customWidth="1"/>
    <col min="3" max="3" width="2.09765625" style="3" customWidth="1"/>
    <col min="4" max="4" width="12.19921875" style="3" customWidth="1"/>
    <col min="5" max="5" width="10.5" style="14" bestFit="1" customWidth="1"/>
    <col min="6" max="6" width="2.59765625" style="3" customWidth="1"/>
    <col min="7" max="7" width="10.8984375" style="3" bestFit="1" customWidth="1"/>
    <col min="8" max="8" width="8.5" style="3" bestFit="1" customWidth="1"/>
    <col min="9" max="9" width="31.09765625" style="3" bestFit="1" customWidth="1"/>
    <col min="10" max="10" width="13.59765625" style="3" bestFit="1" customWidth="1"/>
    <col min="11" max="11" width="15" style="3" bestFit="1" customWidth="1"/>
    <col min="12" max="12" width="10.69921875" style="3" bestFit="1" customWidth="1"/>
    <col min="13" max="13" width="16.69921875" style="3" bestFit="1" customWidth="1"/>
    <col min="14" max="14" width="11" style="3" customWidth="1"/>
    <col min="15" max="15" width="5" style="3" bestFit="1" customWidth="1"/>
    <col min="16" max="16" width="6.59765625" style="3" bestFit="1" customWidth="1"/>
    <col min="17" max="17" width="10.59765625" style="3" bestFit="1" customWidth="1"/>
    <col min="18" max="19" width="5" style="3" bestFit="1" customWidth="1"/>
    <col min="20" max="20" width="10.59765625" style="3" bestFit="1" customWidth="1"/>
    <col min="21" max="22" width="5" style="3" bestFit="1" customWidth="1"/>
    <col min="23" max="23" width="10.59765625" style="3" bestFit="1" customWidth="1"/>
    <col min="24" max="24" width="5" style="3" bestFit="1" customWidth="1"/>
    <col min="25" max="25" width="6.59765625" style="3" bestFit="1" customWidth="1"/>
    <col min="26" max="26" width="9.09765625" style="3" customWidth="1"/>
    <col min="27" max="27" width="9.8984375" style="3" customWidth="1"/>
    <col min="28" max="28" width="5" style="3" bestFit="1" customWidth="1"/>
    <col min="29" max="29" width="15.69921875" style="3" customWidth="1"/>
    <col min="30" max="31" width="5" style="3" bestFit="1" customWidth="1"/>
    <col min="32" max="32" width="10.09765625" style="3" bestFit="1" customWidth="1"/>
    <col min="33" max="33" width="8.69921875" style="3"/>
    <col min="34" max="34" width="8.69921875" style="14" customWidth="1"/>
    <col min="35" max="16384" width="8.69921875" style="3"/>
  </cols>
  <sheetData>
    <row r="1" spans="1:34" ht="16.95" customHeight="1" x14ac:dyDescent="0.4">
      <c r="A1" s="1" t="s">
        <v>27</v>
      </c>
      <c r="B1" s="2">
        <v>12000000</v>
      </c>
      <c r="D1" s="35" t="s">
        <v>113</v>
      </c>
      <c r="E1" s="36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 x14ac:dyDescent="0.4">
      <c r="A2" s="1" t="s">
        <v>50</v>
      </c>
      <c r="B2" s="2">
        <f>SUM(E:E)</f>
        <v>2261154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 x14ac:dyDescent="0.4">
      <c r="A3" s="1" t="s">
        <v>54</v>
      </c>
      <c r="B3" s="12">
        <f>B1-B2</f>
        <v>9738846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 x14ac:dyDescent="0.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 x14ac:dyDescent="0.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 x14ac:dyDescent="0.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 x14ac:dyDescent="0.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 x14ac:dyDescent="0.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 x14ac:dyDescent="0.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 x14ac:dyDescent="0.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 x14ac:dyDescent="0.4">
      <c r="D11" s="13" t="s">
        <v>63</v>
      </c>
      <c r="E11" s="8">
        <f t="shared" ref="E11:E24" si="0"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 x14ac:dyDescent="0.4">
      <c r="D12" s="13" t="s">
        <v>64</v>
      </c>
      <c r="E12" s="8">
        <f t="shared" si="0"/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 x14ac:dyDescent="0.4">
      <c r="D13" s="13" t="s">
        <v>65</v>
      </c>
      <c r="E13" s="8">
        <f t="shared" si="0"/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 x14ac:dyDescent="0.4">
      <c r="D14" s="13" t="s">
        <v>66</v>
      </c>
      <c r="E14" s="8">
        <f t="shared" si="0"/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 x14ac:dyDescent="0.4">
      <c r="D15" s="13" t="s">
        <v>67</v>
      </c>
      <c r="E15" s="8">
        <f t="shared" si="0"/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 x14ac:dyDescent="0.4">
      <c r="D16" s="13" t="s">
        <v>68</v>
      </c>
      <c r="E16" s="8">
        <f t="shared" si="0"/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 x14ac:dyDescent="0.4">
      <c r="D17" s="13" t="s">
        <v>69</v>
      </c>
      <c r="E17" s="8">
        <f t="shared" si="0"/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 x14ac:dyDescent="0.4">
      <c r="D18" s="13" t="s">
        <v>70</v>
      </c>
      <c r="E18" s="8">
        <f t="shared" si="0"/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 x14ac:dyDescent="0.4">
      <c r="D19" s="13" t="s">
        <v>71</v>
      </c>
      <c r="E19" s="8">
        <f t="shared" si="0"/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 x14ac:dyDescent="0.4">
      <c r="D20" s="13" t="s">
        <v>72</v>
      </c>
      <c r="E20" s="8">
        <f t="shared" si="0"/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 x14ac:dyDescent="0.4">
      <c r="D21" s="13" t="s">
        <v>73</v>
      </c>
      <c r="E21" s="8">
        <f t="shared" si="0"/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 x14ac:dyDescent="0.4">
      <c r="D22" s="13" t="s">
        <v>78</v>
      </c>
      <c r="E22" s="8">
        <f t="shared" si="0"/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 x14ac:dyDescent="0.4">
      <c r="D23" s="13" t="s">
        <v>79</v>
      </c>
      <c r="E23" s="8">
        <f t="shared" si="0"/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 x14ac:dyDescent="0.4">
      <c r="D24" s="13" t="s">
        <v>80</v>
      </c>
      <c r="E24" s="8">
        <f t="shared" si="0"/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 x14ac:dyDescent="0.4">
      <c r="D25" s="13" t="s">
        <v>81</v>
      </c>
      <c r="E25" s="8">
        <f t="shared" ref="E25:E33" si="1"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 x14ac:dyDescent="0.4">
      <c r="D26" s="13" t="s">
        <v>82</v>
      </c>
      <c r="E26" s="8">
        <f t="shared" si="1"/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 x14ac:dyDescent="0.4">
      <c r="D27" s="13" t="s">
        <v>83</v>
      </c>
      <c r="E27" s="8">
        <f t="shared" si="1"/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 x14ac:dyDescent="0.4">
      <c r="D28" s="13" t="s">
        <v>84</v>
      </c>
      <c r="E28" s="8">
        <f t="shared" si="1"/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 x14ac:dyDescent="0.4">
      <c r="D29" s="13" t="s">
        <v>85</v>
      </c>
      <c r="E29" s="8">
        <f t="shared" si="1"/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 x14ac:dyDescent="0.4">
      <c r="D30" s="13" t="s">
        <v>86</v>
      </c>
      <c r="E30" s="8">
        <f t="shared" si="1"/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 x14ac:dyDescent="0.4">
      <c r="D31" s="13" t="s">
        <v>87</v>
      </c>
      <c r="E31" s="8">
        <f t="shared" si="1"/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 x14ac:dyDescent="0.4">
      <c r="D32" s="13" t="s">
        <v>88</v>
      </c>
      <c r="E32" s="8">
        <f t="shared" si="1"/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 x14ac:dyDescent="0.4">
      <c r="D33" s="13" t="s">
        <v>89</v>
      </c>
      <c r="E33" s="8">
        <f t="shared" si="1"/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 x14ac:dyDescent="0.4">
      <c r="D34" s="13" t="s">
        <v>117</v>
      </c>
      <c r="E34" s="8">
        <f t="shared" ref="E34" si="2">SUMIFS(AA:AA,G:G,D34)</f>
        <v>2240</v>
      </c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 x14ac:dyDescent="0.4"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 x14ac:dyDescent="0.4"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 x14ac:dyDescent="0.4"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 x14ac:dyDescent="0.4"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 x14ac:dyDescent="0.4"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 x14ac:dyDescent="0.4"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 x14ac:dyDescent="0.4"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 x14ac:dyDescent="0.4"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 x14ac:dyDescent="0.4"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 x14ac:dyDescent="0.4"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 x14ac:dyDescent="0.4"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 x14ac:dyDescent="0.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 x14ac:dyDescent="0.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 x14ac:dyDescent="0.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 x14ac:dyDescent="0.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 x14ac:dyDescent="0.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 x14ac:dyDescent="0.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 x14ac:dyDescent="0.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 x14ac:dyDescent="0.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 x14ac:dyDescent="0.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 x14ac:dyDescent="0.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 x14ac:dyDescent="0.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 x14ac:dyDescent="0.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 x14ac:dyDescent="0.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 x14ac:dyDescent="0.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 x14ac:dyDescent="0.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 x14ac:dyDescent="0.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 x14ac:dyDescent="0.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 x14ac:dyDescent="0.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 x14ac:dyDescent="0.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 x14ac:dyDescent="0.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 x14ac:dyDescent="0.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 x14ac:dyDescent="0.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 x14ac:dyDescent="0.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 x14ac:dyDescent="0.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 x14ac:dyDescent="0.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 x14ac:dyDescent="0.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 x14ac:dyDescent="0.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 x14ac:dyDescent="0.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 x14ac:dyDescent="0.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 x14ac:dyDescent="0.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 x14ac:dyDescent="0.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 x14ac:dyDescent="0.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 x14ac:dyDescent="0.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 x14ac:dyDescent="0.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 x14ac:dyDescent="0.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 x14ac:dyDescent="0.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 x14ac:dyDescent="0.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 x14ac:dyDescent="0.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 x14ac:dyDescent="0.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 x14ac:dyDescent="0.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 x14ac:dyDescent="0.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 x14ac:dyDescent="0.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 x14ac:dyDescent="0.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 x14ac:dyDescent="0.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 x14ac:dyDescent="0.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 x14ac:dyDescent="0.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 x14ac:dyDescent="0.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 x14ac:dyDescent="0.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 x14ac:dyDescent="0.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 x14ac:dyDescent="0.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 x14ac:dyDescent="0.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 x14ac:dyDescent="0.4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 x14ac:dyDescent="0.4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 x14ac:dyDescent="0.4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 x14ac:dyDescent="0.4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 x14ac:dyDescent="0.4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 x14ac:dyDescent="0.4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 x14ac:dyDescent="0.4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 x14ac:dyDescent="0.4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 x14ac:dyDescent="0.4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 x14ac:dyDescent="0.4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 x14ac:dyDescent="0.4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 x14ac:dyDescent="0.4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 x14ac:dyDescent="0.4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 x14ac:dyDescent="0.4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 x14ac:dyDescent="0.4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 x14ac:dyDescent="0.4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 x14ac:dyDescent="0.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 x14ac:dyDescent="0.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 x14ac:dyDescent="0.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 x14ac:dyDescent="0.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 x14ac:dyDescent="0.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 x14ac:dyDescent="0.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 x14ac:dyDescent="0.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 x14ac:dyDescent="0.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 x14ac:dyDescent="0.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 x14ac:dyDescent="0.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 x14ac:dyDescent="0.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 x14ac:dyDescent="0.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 x14ac:dyDescent="0.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 x14ac:dyDescent="0.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 x14ac:dyDescent="0.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 x14ac:dyDescent="0.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 x14ac:dyDescent="0.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 x14ac:dyDescent="0.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 x14ac:dyDescent="0.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 x14ac:dyDescent="0.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 x14ac:dyDescent="0.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 x14ac:dyDescent="0.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 x14ac:dyDescent="0.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 x14ac:dyDescent="0.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 x14ac:dyDescent="0.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 x14ac:dyDescent="0.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 x14ac:dyDescent="0.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 x14ac:dyDescent="0.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 x14ac:dyDescent="0.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 x14ac:dyDescent="0.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 x14ac:dyDescent="0.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 x14ac:dyDescent="0.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 x14ac:dyDescent="0.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 x14ac:dyDescent="0.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 x14ac:dyDescent="0.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 x14ac:dyDescent="0.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 x14ac:dyDescent="0.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 x14ac:dyDescent="0.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 x14ac:dyDescent="0.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 x14ac:dyDescent="0.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 x14ac:dyDescent="0.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 x14ac:dyDescent="0.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 x14ac:dyDescent="0.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 x14ac:dyDescent="0.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 x14ac:dyDescent="0.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 x14ac:dyDescent="0.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 x14ac:dyDescent="0.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 x14ac:dyDescent="0.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 x14ac:dyDescent="0.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 x14ac:dyDescent="0.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 x14ac:dyDescent="0.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 x14ac:dyDescent="0.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 x14ac:dyDescent="0.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 x14ac:dyDescent="0.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 x14ac:dyDescent="0.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 x14ac:dyDescent="0.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 x14ac:dyDescent="0.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 x14ac:dyDescent="0.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 x14ac:dyDescent="0.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 x14ac:dyDescent="0.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 x14ac:dyDescent="0.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 x14ac:dyDescent="0.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 x14ac:dyDescent="0.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 x14ac:dyDescent="0.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 x14ac:dyDescent="0.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 x14ac:dyDescent="0.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 x14ac:dyDescent="0.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 x14ac:dyDescent="0.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 x14ac:dyDescent="0.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 x14ac:dyDescent="0.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 x14ac:dyDescent="0.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 x14ac:dyDescent="0.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 x14ac:dyDescent="0.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 x14ac:dyDescent="0.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 x14ac:dyDescent="0.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 x14ac:dyDescent="0.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 x14ac:dyDescent="0.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 x14ac:dyDescent="0.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 x14ac:dyDescent="0.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 x14ac:dyDescent="0.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 x14ac:dyDescent="0.4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 x14ac:dyDescent="0.4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 x14ac:dyDescent="0.4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 x14ac:dyDescent="0.4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 x14ac:dyDescent="0.4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 x14ac:dyDescent="0.4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 x14ac:dyDescent="0.3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3">Z199*70%</f>
        <v>8379</v>
      </c>
    </row>
    <row r="200" spans="7:27" x14ac:dyDescent="0.3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3"/>
        <v>2240</v>
      </c>
    </row>
    <row r="201" spans="7:27" x14ac:dyDescent="0.3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3"/>
        <v>7937.9999999999991</v>
      </c>
    </row>
    <row r="202" spans="7:27" x14ac:dyDescent="0.3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3"/>
        <v>2240</v>
      </c>
    </row>
    <row r="203" spans="7:27" x14ac:dyDescent="0.3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3"/>
        <v>7496.9999999999991</v>
      </c>
    </row>
    <row r="204" spans="7:27" x14ac:dyDescent="0.3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3"/>
        <v>2240</v>
      </c>
    </row>
    <row r="205" spans="7:27" x14ac:dyDescent="0.3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3"/>
        <v>6615</v>
      </c>
    </row>
    <row r="206" spans="7:27" x14ac:dyDescent="0.3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3"/>
        <v>2240</v>
      </c>
    </row>
    <row r="207" spans="7:27" x14ac:dyDescent="0.3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3"/>
        <v>6174</v>
      </c>
    </row>
    <row r="208" spans="7:27" x14ac:dyDescent="0.3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3"/>
        <v>2240</v>
      </c>
    </row>
    <row r="209" spans="7:27" x14ac:dyDescent="0.3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3"/>
        <v>7496.9999999999991</v>
      </c>
    </row>
    <row r="210" spans="7:27" x14ac:dyDescent="0.3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3"/>
        <v>2240</v>
      </c>
    </row>
    <row r="211" spans="7:27" x14ac:dyDescent="0.3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3"/>
        <v>0</v>
      </c>
    </row>
    <row r="212" spans="7:27" x14ac:dyDescent="0.3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3"/>
        <v>0</v>
      </c>
    </row>
    <row r="213" spans="7:27" x14ac:dyDescent="0.3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3"/>
        <v>24696</v>
      </c>
    </row>
    <row r="214" spans="7:27" x14ac:dyDescent="0.3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3"/>
        <v>43218</v>
      </c>
    </row>
    <row r="215" spans="7:27" x14ac:dyDescent="0.3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3"/>
        <v>12348</v>
      </c>
    </row>
    <row r="216" spans="7:27" x14ac:dyDescent="0.3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3"/>
        <v>2240</v>
      </c>
    </row>
    <row r="217" spans="7:27" x14ac:dyDescent="0.3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3"/>
        <v>11025</v>
      </c>
    </row>
    <row r="218" spans="7:27" x14ac:dyDescent="0.3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3"/>
        <v>2240</v>
      </c>
    </row>
    <row r="219" spans="7:27" x14ac:dyDescent="0.3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3"/>
        <v>11025</v>
      </c>
    </row>
    <row r="220" spans="7:27" x14ac:dyDescent="0.3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3"/>
        <v>2240</v>
      </c>
    </row>
    <row r="221" spans="7:27" x14ac:dyDescent="0.3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3"/>
        <v>9261</v>
      </c>
    </row>
    <row r="222" spans="7:27" x14ac:dyDescent="0.3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3"/>
        <v>2240</v>
      </c>
    </row>
    <row r="223" spans="7:27" x14ac:dyDescent="0.3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3"/>
        <v>8379</v>
      </c>
    </row>
    <row r="224" spans="7:27" x14ac:dyDescent="0.3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3"/>
        <v>2240</v>
      </c>
    </row>
    <row r="225" spans="7:27" x14ac:dyDescent="0.3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3"/>
        <v>8820</v>
      </c>
    </row>
    <row r="226" spans="7:27" x14ac:dyDescent="0.3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3"/>
        <v>2240</v>
      </c>
    </row>
    <row r="227" spans="7:27" x14ac:dyDescent="0.3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3"/>
        <v>8820</v>
      </c>
    </row>
    <row r="228" spans="7:27" x14ac:dyDescent="0.3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3"/>
        <v>2240</v>
      </c>
    </row>
    <row r="229" spans="7:27" x14ac:dyDescent="0.3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3"/>
        <v>8379</v>
      </c>
    </row>
    <row r="230" spans="7:27" x14ac:dyDescent="0.3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3"/>
        <v>2240</v>
      </c>
    </row>
    <row r="231" spans="7:27" x14ac:dyDescent="0.4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3"/>
        <v>97020</v>
      </c>
    </row>
    <row r="232" spans="7:27" x14ac:dyDescent="0.4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3"/>
        <v>0</v>
      </c>
    </row>
    <row r="233" spans="7:27" x14ac:dyDescent="0.4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3"/>
        <v>114660</v>
      </c>
    </row>
    <row r="234" spans="7:27" x14ac:dyDescent="0.4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3"/>
        <v>4480</v>
      </c>
    </row>
    <row r="235" spans="7:27" x14ac:dyDescent="0.4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3"/>
        <v>31359.999999999996</v>
      </c>
    </row>
    <row r="236" spans="7:27" x14ac:dyDescent="0.3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3"/>
        <v>2646</v>
      </c>
    </row>
    <row r="237" spans="7:27" x14ac:dyDescent="0.3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3"/>
        <v>3087</v>
      </c>
    </row>
    <row r="238" spans="7:27" x14ac:dyDescent="0.3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3"/>
        <v>3087</v>
      </c>
    </row>
    <row r="239" spans="7:27" x14ac:dyDescent="0.3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3"/>
        <v>2646</v>
      </c>
    </row>
    <row r="240" spans="7:27" x14ac:dyDescent="0.3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3"/>
        <v>2205</v>
      </c>
    </row>
    <row r="241" spans="7:27" x14ac:dyDescent="0.3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3"/>
        <v>2646</v>
      </c>
    </row>
    <row r="242" spans="7:27" x14ac:dyDescent="0.3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3"/>
        <v>43218</v>
      </c>
    </row>
    <row r="243" spans="7:27" x14ac:dyDescent="0.3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3"/>
        <v>7496.9999999999991</v>
      </c>
    </row>
    <row r="244" spans="7:27" x14ac:dyDescent="0.3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3"/>
        <v>12348</v>
      </c>
    </row>
    <row r="245" spans="7:27" x14ac:dyDescent="0.3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3"/>
        <v>2240</v>
      </c>
    </row>
    <row r="246" spans="7:27" x14ac:dyDescent="0.3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3"/>
        <v>5733</v>
      </c>
    </row>
    <row r="247" spans="7:27" x14ac:dyDescent="0.3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3"/>
        <v>2240</v>
      </c>
    </row>
    <row r="248" spans="7:27" x14ac:dyDescent="0.3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3"/>
        <v>2240</v>
      </c>
    </row>
    <row r="249" spans="7:27" x14ac:dyDescent="0.3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3"/>
        <v>4851</v>
      </c>
    </row>
    <row r="250" spans="7:27" x14ac:dyDescent="0.3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3"/>
        <v>4410</v>
      </c>
    </row>
    <row r="251" spans="7:27" x14ac:dyDescent="0.3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3"/>
        <v>3968.9999999999995</v>
      </c>
    </row>
    <row r="252" spans="7:27" x14ac:dyDescent="0.3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3"/>
        <v>3968.9999999999995</v>
      </c>
    </row>
    <row r="253" spans="7:27" x14ac:dyDescent="0.3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3"/>
        <v>3528</v>
      </c>
    </row>
    <row r="254" spans="7:27" x14ac:dyDescent="0.3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3"/>
        <v>3528</v>
      </c>
    </row>
    <row r="255" spans="7:27" x14ac:dyDescent="0.3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3"/>
        <v>6720</v>
      </c>
    </row>
    <row r="256" spans="7:27" x14ac:dyDescent="0.3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3"/>
        <v>441</v>
      </c>
    </row>
    <row r="257" spans="7:27" x14ac:dyDescent="0.3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3"/>
        <v>6720</v>
      </c>
    </row>
    <row r="258" spans="7:27" x14ac:dyDescent="0.3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3"/>
        <v>6720</v>
      </c>
    </row>
    <row r="259" spans="7:27" x14ac:dyDescent="0.3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3"/>
        <v>6720</v>
      </c>
    </row>
    <row r="260" spans="7:27" x14ac:dyDescent="0.3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3"/>
        <v>4480</v>
      </c>
    </row>
    <row r="261" spans="7:27" x14ac:dyDescent="0.3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3"/>
        <v>4480</v>
      </c>
    </row>
    <row r="262" spans="7:27" x14ac:dyDescent="0.3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3"/>
        <v>2240</v>
      </c>
    </row>
    <row r="263" spans="7:27" x14ac:dyDescent="0.3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4">Z263*70%</f>
        <v>2240</v>
      </c>
    </row>
    <row r="264" spans="7:27" x14ac:dyDescent="0.3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4"/>
        <v>441</v>
      </c>
    </row>
    <row r="265" spans="7:27" x14ac:dyDescent="0.3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4"/>
        <v>441</v>
      </c>
    </row>
    <row r="266" spans="7:27" x14ac:dyDescent="0.3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4"/>
        <v>2240</v>
      </c>
    </row>
    <row r="267" spans="7:27" x14ac:dyDescent="0.3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4"/>
        <v>4480</v>
      </c>
    </row>
    <row r="268" spans="7:27" x14ac:dyDescent="0.3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4"/>
        <v>441</v>
      </c>
    </row>
    <row r="269" spans="7:27" x14ac:dyDescent="0.3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4"/>
        <v>441</v>
      </c>
    </row>
    <row r="270" spans="7:27" x14ac:dyDescent="0.3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4"/>
        <v>6720</v>
      </c>
    </row>
    <row r="271" spans="7:27" x14ac:dyDescent="0.3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4"/>
        <v>441</v>
      </c>
    </row>
    <row r="272" spans="7:27" x14ac:dyDescent="0.3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4"/>
        <v>6720</v>
      </c>
    </row>
    <row r="273" spans="7:27" x14ac:dyDescent="0.3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4"/>
        <v>6720</v>
      </c>
    </row>
    <row r="274" spans="7:27" x14ac:dyDescent="0.3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4"/>
        <v>441</v>
      </c>
    </row>
    <row r="275" spans="7:27" x14ac:dyDescent="0.3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4"/>
        <v>6720</v>
      </c>
    </row>
    <row r="276" spans="7:27" x14ac:dyDescent="0.3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4"/>
        <v>882</v>
      </c>
    </row>
    <row r="277" spans="7:27" x14ac:dyDescent="0.35">
      <c r="G277" s="27" t="s">
        <v>115</v>
      </c>
      <c r="H277" s="34">
        <v>753904</v>
      </c>
      <c r="I277" s="34">
        <v>753872</v>
      </c>
      <c r="J277" s="34" t="s">
        <v>90</v>
      </c>
      <c r="K277" s="34" t="s">
        <v>91</v>
      </c>
      <c r="L277" s="34" t="s">
        <v>11</v>
      </c>
      <c r="M277" s="34" t="s">
        <v>2</v>
      </c>
      <c r="N277" s="34" t="s">
        <v>92</v>
      </c>
      <c r="O277" s="34" t="s">
        <v>52</v>
      </c>
      <c r="P277" s="34">
        <v>0</v>
      </c>
      <c r="Q277" s="34">
        <v>1</v>
      </c>
      <c r="R277" s="34">
        <v>3200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3200</v>
      </c>
      <c r="AA277" s="3">
        <f t="shared" si="4"/>
        <v>2240</v>
      </c>
    </row>
    <row r="278" spans="7:27" x14ac:dyDescent="0.35">
      <c r="G278" s="27" t="s">
        <v>115</v>
      </c>
      <c r="H278" s="34">
        <v>753904</v>
      </c>
      <c r="I278" s="34">
        <v>753871</v>
      </c>
      <c r="J278" s="34" t="s">
        <v>90</v>
      </c>
      <c r="K278" s="34" t="s">
        <v>91</v>
      </c>
      <c r="L278" s="34" t="s">
        <v>10</v>
      </c>
      <c r="M278" s="34" t="s">
        <v>2</v>
      </c>
      <c r="N278" s="34" t="s">
        <v>92</v>
      </c>
      <c r="O278" s="34" t="s">
        <v>52</v>
      </c>
      <c r="P278" s="34">
        <v>0</v>
      </c>
      <c r="Q278" s="34">
        <v>1</v>
      </c>
      <c r="R278" s="34">
        <v>3200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3200</v>
      </c>
      <c r="AA278" s="3">
        <f t="shared" si="4"/>
        <v>2240</v>
      </c>
    </row>
    <row r="279" spans="7:27" x14ac:dyDescent="0.35">
      <c r="G279" s="27" t="s">
        <v>115</v>
      </c>
      <c r="H279" s="34">
        <v>753904</v>
      </c>
      <c r="I279" s="34">
        <v>753870</v>
      </c>
      <c r="J279" s="34" t="s">
        <v>90</v>
      </c>
      <c r="K279" s="34" t="s">
        <v>91</v>
      </c>
      <c r="L279" s="34" t="s">
        <v>15</v>
      </c>
      <c r="M279" s="34" t="s">
        <v>2</v>
      </c>
      <c r="N279" s="34" t="s">
        <v>92</v>
      </c>
      <c r="O279" s="34" t="s">
        <v>52</v>
      </c>
      <c r="P279" s="34">
        <v>0</v>
      </c>
      <c r="Q279" s="34">
        <v>1</v>
      </c>
      <c r="R279" s="34">
        <v>3200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3200</v>
      </c>
      <c r="AA279" s="3">
        <f t="shared" si="4"/>
        <v>2240</v>
      </c>
    </row>
    <row r="280" spans="7:27" x14ac:dyDescent="0.35">
      <c r="G280" s="27" t="s">
        <v>115</v>
      </c>
      <c r="H280" s="34">
        <v>753904</v>
      </c>
      <c r="I280" s="34">
        <v>753869</v>
      </c>
      <c r="J280" s="34" t="s">
        <v>90</v>
      </c>
      <c r="K280" s="34" t="s">
        <v>91</v>
      </c>
      <c r="L280" s="34" t="s">
        <v>17</v>
      </c>
      <c r="M280" s="34" t="s">
        <v>2</v>
      </c>
      <c r="N280" s="34" t="s">
        <v>92</v>
      </c>
      <c r="O280" s="34" t="s">
        <v>52</v>
      </c>
      <c r="P280" s="34">
        <v>0</v>
      </c>
      <c r="Q280" s="34">
        <v>1</v>
      </c>
      <c r="R280" s="34">
        <v>3200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3200</v>
      </c>
      <c r="AA280" s="3">
        <f t="shared" si="4"/>
        <v>2240</v>
      </c>
    </row>
    <row r="281" spans="7:27" x14ac:dyDescent="0.35">
      <c r="G281" s="27" t="s">
        <v>115</v>
      </c>
      <c r="H281" s="34">
        <v>753904</v>
      </c>
      <c r="I281" s="34">
        <v>753868</v>
      </c>
      <c r="J281" s="34" t="s">
        <v>90</v>
      </c>
      <c r="K281" s="34" t="s">
        <v>91</v>
      </c>
      <c r="L281" s="34" t="s">
        <v>18</v>
      </c>
      <c r="M281" s="34" t="s">
        <v>2</v>
      </c>
      <c r="N281" s="34" t="s">
        <v>92</v>
      </c>
      <c r="O281" s="34" t="s">
        <v>52</v>
      </c>
      <c r="P281" s="34">
        <v>0</v>
      </c>
      <c r="Q281" s="34">
        <v>1</v>
      </c>
      <c r="R281" s="34">
        <v>3200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3200</v>
      </c>
      <c r="AA281" s="3">
        <f t="shared" si="4"/>
        <v>2240</v>
      </c>
    </row>
    <row r="282" spans="7:27" x14ac:dyDescent="0.35">
      <c r="G282" s="27" t="s">
        <v>115</v>
      </c>
      <c r="H282" s="34">
        <v>753904</v>
      </c>
      <c r="I282" s="34">
        <v>753880</v>
      </c>
      <c r="J282" s="34" t="s">
        <v>90</v>
      </c>
      <c r="K282" s="34" t="s">
        <v>91</v>
      </c>
      <c r="L282" s="34" t="s">
        <v>6</v>
      </c>
      <c r="M282" s="34" t="s">
        <v>2</v>
      </c>
      <c r="N282" s="34" t="s">
        <v>92</v>
      </c>
      <c r="O282" s="34" t="s">
        <v>52</v>
      </c>
      <c r="P282" s="34">
        <v>0</v>
      </c>
      <c r="Q282" s="34">
        <v>1</v>
      </c>
      <c r="R282" s="34">
        <v>3200</v>
      </c>
      <c r="S282" s="34">
        <v>0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3200</v>
      </c>
      <c r="AA282" s="3">
        <f t="shared" si="4"/>
        <v>2240</v>
      </c>
    </row>
    <row r="283" spans="7:27" x14ac:dyDescent="0.35">
      <c r="G283" s="27" t="s">
        <v>115</v>
      </c>
      <c r="H283" s="34">
        <v>753904</v>
      </c>
      <c r="I283" s="34">
        <v>753879</v>
      </c>
      <c r="J283" s="34" t="s">
        <v>90</v>
      </c>
      <c r="K283" s="34" t="s">
        <v>91</v>
      </c>
      <c r="L283" s="34" t="s">
        <v>109</v>
      </c>
      <c r="M283" s="34" t="s">
        <v>2</v>
      </c>
      <c r="N283" s="34" t="s">
        <v>92</v>
      </c>
      <c r="O283" s="34" t="s">
        <v>52</v>
      </c>
      <c r="P283" s="34">
        <v>0</v>
      </c>
      <c r="Q283" s="34">
        <v>1</v>
      </c>
      <c r="R283" s="34">
        <v>44800</v>
      </c>
      <c r="S283" s="34">
        <v>0</v>
      </c>
      <c r="T283" s="34">
        <v>0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44800</v>
      </c>
      <c r="AA283" s="3">
        <f t="shared" si="4"/>
        <v>31359.999999999996</v>
      </c>
    </row>
    <row r="284" spans="7:27" x14ac:dyDescent="0.35">
      <c r="G284" s="27" t="s">
        <v>115</v>
      </c>
      <c r="H284" s="34">
        <v>753904</v>
      </c>
      <c r="I284" s="34">
        <v>753879</v>
      </c>
      <c r="J284" s="34" t="s">
        <v>90</v>
      </c>
      <c r="K284" s="34" t="s">
        <v>91</v>
      </c>
      <c r="L284" s="34" t="s">
        <v>7</v>
      </c>
      <c r="M284" s="34" t="s">
        <v>2</v>
      </c>
      <c r="N284" s="34" t="s">
        <v>92</v>
      </c>
      <c r="O284" s="34" t="s">
        <v>52</v>
      </c>
      <c r="P284" s="34">
        <v>0</v>
      </c>
      <c r="Q284" s="34">
        <v>1</v>
      </c>
      <c r="R284" s="34">
        <v>3200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3200</v>
      </c>
      <c r="AA284" s="3">
        <f t="shared" si="4"/>
        <v>2240</v>
      </c>
    </row>
    <row r="285" spans="7:27" x14ac:dyDescent="0.35">
      <c r="G285" s="27" t="s">
        <v>115</v>
      </c>
      <c r="H285" s="34">
        <v>753904</v>
      </c>
      <c r="I285" s="34">
        <v>753878</v>
      </c>
      <c r="J285" s="34" t="s">
        <v>90</v>
      </c>
      <c r="K285" s="34" t="s">
        <v>91</v>
      </c>
      <c r="L285" s="34" t="s">
        <v>8</v>
      </c>
      <c r="M285" s="34" t="s">
        <v>2</v>
      </c>
      <c r="N285" s="34" t="s">
        <v>92</v>
      </c>
      <c r="O285" s="34" t="s">
        <v>52</v>
      </c>
      <c r="P285" s="34">
        <v>0</v>
      </c>
      <c r="Q285" s="34">
        <v>1</v>
      </c>
      <c r="R285" s="34">
        <v>3200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3200</v>
      </c>
      <c r="AA285" s="3">
        <f t="shared" si="4"/>
        <v>2240</v>
      </c>
    </row>
    <row r="286" spans="7:27" x14ac:dyDescent="0.35">
      <c r="G286" s="27" t="s">
        <v>115</v>
      </c>
      <c r="H286" s="34">
        <v>753904</v>
      </c>
      <c r="I286" s="34">
        <v>753877</v>
      </c>
      <c r="J286" s="34" t="s">
        <v>90</v>
      </c>
      <c r="K286" s="34" t="s">
        <v>91</v>
      </c>
      <c r="L286" s="34" t="s">
        <v>9</v>
      </c>
      <c r="M286" s="34" t="s">
        <v>2</v>
      </c>
      <c r="N286" s="34" t="s">
        <v>92</v>
      </c>
      <c r="O286" s="34" t="s">
        <v>52</v>
      </c>
      <c r="P286" s="34">
        <v>0</v>
      </c>
      <c r="Q286" s="34">
        <v>1</v>
      </c>
      <c r="R286" s="34">
        <v>3200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3200</v>
      </c>
      <c r="AA286" s="3">
        <f t="shared" si="4"/>
        <v>2240</v>
      </c>
    </row>
    <row r="287" spans="7:27" x14ac:dyDescent="0.35">
      <c r="G287" s="27" t="s">
        <v>115</v>
      </c>
      <c r="H287" s="34">
        <v>753904</v>
      </c>
      <c r="I287" s="34">
        <v>753876</v>
      </c>
      <c r="J287" s="34" t="s">
        <v>90</v>
      </c>
      <c r="K287" s="34" t="s">
        <v>91</v>
      </c>
      <c r="L287" s="34" t="s">
        <v>13</v>
      </c>
      <c r="M287" s="34" t="s">
        <v>2</v>
      </c>
      <c r="N287" s="34" t="s">
        <v>92</v>
      </c>
      <c r="O287" s="34" t="s">
        <v>52</v>
      </c>
      <c r="P287" s="34">
        <v>0</v>
      </c>
      <c r="Q287" s="34">
        <v>1</v>
      </c>
      <c r="R287" s="34">
        <v>3200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3200</v>
      </c>
      <c r="AA287" s="3">
        <f t="shared" si="4"/>
        <v>2240</v>
      </c>
    </row>
    <row r="288" spans="7:27" x14ac:dyDescent="0.35">
      <c r="G288" s="27" t="s">
        <v>115</v>
      </c>
      <c r="H288" s="34">
        <v>753904</v>
      </c>
      <c r="I288" s="34">
        <v>753875</v>
      </c>
      <c r="J288" s="34" t="s">
        <v>90</v>
      </c>
      <c r="K288" s="34" t="s">
        <v>91</v>
      </c>
      <c r="L288" s="34" t="s">
        <v>14</v>
      </c>
      <c r="M288" s="34" t="s">
        <v>2</v>
      </c>
      <c r="N288" s="34" t="s">
        <v>92</v>
      </c>
      <c r="O288" s="34" t="s">
        <v>52</v>
      </c>
      <c r="P288" s="34">
        <v>0</v>
      </c>
      <c r="Q288" s="34">
        <v>1</v>
      </c>
      <c r="R288" s="34">
        <v>3200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3200</v>
      </c>
      <c r="AA288" s="3">
        <f t="shared" si="4"/>
        <v>2240</v>
      </c>
    </row>
    <row r="289" spans="7:27" x14ac:dyDescent="0.35">
      <c r="G289" s="27" t="s">
        <v>115</v>
      </c>
      <c r="H289" s="34">
        <v>753904</v>
      </c>
      <c r="I289" s="34">
        <v>753874</v>
      </c>
      <c r="J289" s="34" t="s">
        <v>90</v>
      </c>
      <c r="K289" s="34" t="s">
        <v>91</v>
      </c>
      <c r="L289" s="34" t="s">
        <v>16</v>
      </c>
      <c r="M289" s="34" t="s">
        <v>2</v>
      </c>
      <c r="N289" s="34" t="s">
        <v>92</v>
      </c>
      <c r="O289" s="34" t="s">
        <v>52</v>
      </c>
      <c r="P289" s="34">
        <v>0</v>
      </c>
      <c r="Q289" s="34">
        <v>1</v>
      </c>
      <c r="R289" s="34">
        <v>3200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3200</v>
      </c>
      <c r="AA289" s="3">
        <f t="shared" si="4"/>
        <v>2240</v>
      </c>
    </row>
    <row r="290" spans="7:27" x14ac:dyDescent="0.35">
      <c r="G290" s="27" t="s">
        <v>115</v>
      </c>
      <c r="H290" s="34">
        <v>753904</v>
      </c>
      <c r="I290" s="34">
        <v>753873</v>
      </c>
      <c r="J290" s="34" t="s">
        <v>90</v>
      </c>
      <c r="K290" s="34" t="s">
        <v>91</v>
      </c>
      <c r="L290" s="34" t="s">
        <v>12</v>
      </c>
      <c r="M290" s="34" t="s">
        <v>2</v>
      </c>
      <c r="N290" s="34" t="s">
        <v>92</v>
      </c>
      <c r="O290" s="34" t="s">
        <v>52</v>
      </c>
      <c r="P290" s="34">
        <v>0</v>
      </c>
      <c r="Q290" s="34">
        <v>1</v>
      </c>
      <c r="R290" s="34">
        <v>3200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3200</v>
      </c>
      <c r="AA290" s="3">
        <f t="shared" si="4"/>
        <v>2240</v>
      </c>
    </row>
    <row r="291" spans="7:27" x14ac:dyDescent="0.35">
      <c r="G291" s="27" t="s">
        <v>116</v>
      </c>
      <c r="H291" s="34">
        <v>753904</v>
      </c>
      <c r="I291" s="34">
        <v>753873</v>
      </c>
      <c r="J291" s="34" t="s">
        <v>90</v>
      </c>
      <c r="K291" s="34" t="s">
        <v>91</v>
      </c>
      <c r="L291" s="34" t="s">
        <v>12</v>
      </c>
      <c r="M291" s="34" t="s">
        <v>2</v>
      </c>
      <c r="N291" s="34" t="s">
        <v>92</v>
      </c>
      <c r="O291" s="34" t="s">
        <v>52</v>
      </c>
      <c r="P291" s="37">
        <v>0</v>
      </c>
      <c r="Q291" s="37">
        <v>1</v>
      </c>
      <c r="R291" s="37">
        <v>3200</v>
      </c>
      <c r="S291" s="37">
        <v>0</v>
      </c>
      <c r="T291" s="37">
        <v>0</v>
      </c>
      <c r="U291" s="37">
        <v>0</v>
      </c>
      <c r="V291" s="37">
        <v>0</v>
      </c>
      <c r="W291" s="37">
        <v>0</v>
      </c>
      <c r="X291" s="37">
        <v>0</v>
      </c>
      <c r="Y291" s="37">
        <v>0</v>
      </c>
      <c r="Z291" s="37">
        <v>3200</v>
      </c>
      <c r="AA291" s="3">
        <f t="shared" ref="AA291" si="5">Z291*70%</f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판무림1(로드오브머니)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jihui</cp:lastModifiedBy>
  <dcterms:created xsi:type="dcterms:W3CDTF">2020-03-09T05:04:49Z</dcterms:created>
  <dcterms:modified xsi:type="dcterms:W3CDTF">2022-02-16T01:59:59Z</dcterms:modified>
</cp:coreProperties>
</file>