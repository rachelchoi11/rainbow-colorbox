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747"/>
  </bookViews>
  <sheets>
    <sheet name="정산내역(2)" sheetId="2" r:id="rId1"/>
    <sheet name="권용찬" sheetId="3" r:id="rId2"/>
    <sheet name="김광수" sheetId="4" r:id="rId3"/>
    <sheet name="하이후" sheetId="5" r:id="rId4"/>
    <sheet name="무장" sheetId="6" r:id="rId5"/>
    <sheet name="청빙" sheetId="7" r:id="rId6"/>
    <sheet name="찬동" sheetId="8" r:id="rId7"/>
    <sheet name="독고진" sheetId="9" r:id="rId8"/>
    <sheet name="담화공" sheetId="10" r:id="rId9"/>
    <sheet name="공든탑" sheetId="11" r:id="rId10"/>
    <sheet name="시계태엽오란씨" sheetId="12" r:id="rId11"/>
    <sheet name="가람검" sheetId="13" r:id="rId12"/>
    <sheet name="벗우" sheetId="14" r:id="rId13"/>
    <sheet name="이준영" sheetId="15" r:id="rId14"/>
  </sheets>
  <definedNames>
    <definedName name="_xlnm._FilterDatabase" localSheetId="0" hidden="1">'정산내역(2)'!$A$1:$S$31</definedName>
    <definedName name="_xlnm.Extract" localSheetId="11">가람검!$A$1:$S$1</definedName>
    <definedName name="_xlnm.Extract" localSheetId="9">공든탑!$A$1:$S$1</definedName>
    <definedName name="_xlnm.Extract" localSheetId="1">권용찬!$A$1:$S$1</definedName>
    <definedName name="_xlnm.Extract" localSheetId="2">김광수!$A$1:$S$1</definedName>
    <definedName name="_xlnm.Extract" localSheetId="8">담화공!$A$1:$S$1</definedName>
    <definedName name="_xlnm.Extract" localSheetId="7">독고진!$A$1:$S$1</definedName>
    <definedName name="_xlnm.Extract" localSheetId="4">무장!$A$1:$S$1</definedName>
    <definedName name="_xlnm.Extract" localSheetId="12">벗우!$A$1:$S$1</definedName>
    <definedName name="_xlnm.Extract" localSheetId="10">시계태엽오란씨!$A$1:$S$1</definedName>
    <definedName name="_xlnm.Extract" localSheetId="13">이준영!$A$1:$S$1</definedName>
    <definedName name="_xlnm.Extract" localSheetId="0">'정산내역(2)'!#REF!</definedName>
    <definedName name="_xlnm.Extract" localSheetId="6">찬동!$A$1:$S$1</definedName>
    <definedName name="_xlnm.Extract" localSheetId="5">청빙!$A$1:$S$1</definedName>
    <definedName name="_xlnm.Extract" localSheetId="3">하이후!$A$1:$S$1</definedName>
  </definedNames>
  <calcPr calcId="152511"/>
</workbook>
</file>

<file path=xl/calcChain.xml><?xml version="1.0" encoding="utf-8"?>
<calcChain xmlns="http://schemas.openxmlformats.org/spreadsheetml/2006/main">
  <c r="S4" i="13" l="1"/>
  <c r="S4" i="12"/>
  <c r="S4" i="9"/>
  <c r="S5" i="7"/>
  <c r="S5" i="6"/>
  <c r="S9" i="4"/>
  <c r="S6" i="3"/>
  <c r="S31" i="2" l="1"/>
</calcChain>
</file>

<file path=xl/sharedStrings.xml><?xml version="1.0" encoding="utf-8"?>
<sst xmlns="http://schemas.openxmlformats.org/spreadsheetml/2006/main" count="1080" uniqueCount="80">
  <si>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</si>
  <si>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</si>
  <si>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</si>
  <si>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</si>
  <si>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</si>
  <si>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</si>
  <si>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</si>
  <si>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</si>
  <si>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</si>
  <si>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</si>
  <si>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</si>
  <si>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</si>
  <si>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</si>
  <si>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</si>
  <si>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</si>
  <si>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</si>
  <si>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</si>
  <si>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</si>
  <si>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</si>
  <si>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</si>
  <si>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</si>
  <si>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</si>
  <si>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</si>
  <si>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1007399</t>
  </si>
  <si>
    <t>회귀의 전설 1부</t>
  </si>
  <si>
    <t>1007400</t>
  </si>
  <si>
    <t>회귀의 전설 2부</t>
  </si>
  <si>
    <t>작가명</t>
    <phoneticPr fontId="21" type="noConversion"/>
  </si>
  <si>
    <t>1007660</t>
  </si>
  <si>
    <t>이과생 둘이 회귀했다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</si>
  <si>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</si>
  <si>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</si>
  <si>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</si>
  <si>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</si>
  <si>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</si>
  <si>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</si>
  <si>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1007672</t>
  </si>
  <si>
    <t>화산지애</t>
  </si>
  <si>
    <t>1007724</t>
  </si>
  <si>
    <t>디버프 마스터</t>
  </si>
  <si>
    <t>1007396</t>
  </si>
  <si>
    <t>게이트 헌터</t>
  </si>
  <si>
    <t>1007667</t>
  </si>
  <si>
    <t>형사의 게임</t>
  </si>
  <si>
    <t>1007725</t>
  </si>
  <si>
    <t>라지에르의 서</t>
  </si>
  <si>
    <t>1007863</t>
  </si>
  <si>
    <t>로드 오브 머니</t>
  </si>
  <si>
    <t>1007864</t>
  </si>
  <si>
    <t>베놈 마스터</t>
  </si>
  <si>
    <t>1007865</t>
  </si>
  <si>
    <t>위드카일러</t>
  </si>
  <si>
    <t>1007866</t>
  </si>
  <si>
    <t>상왕 진우몽</t>
  </si>
  <si>
    <t>1007867</t>
  </si>
  <si>
    <t>마스터K</t>
  </si>
  <si>
    <t>1007869</t>
  </si>
  <si>
    <t>호접몽전</t>
  </si>
  <si>
    <t>1007870</t>
  </si>
  <si>
    <t>꿈은 이루어진다</t>
  </si>
  <si>
    <t>1007871</t>
  </si>
  <si>
    <t>질주무왕</t>
  </si>
  <si>
    <t>1007872</t>
  </si>
  <si>
    <t>[개정판] 영웅</t>
  </si>
  <si>
    <t>1007873</t>
  </si>
  <si>
    <t>성군이십니다</t>
  </si>
  <si>
    <t>권용찬</t>
  </si>
  <si>
    <t>김광수</t>
  </si>
  <si>
    <t>하이후</t>
  </si>
  <si>
    <t>무장</t>
  </si>
  <si>
    <t>청빙</t>
  </si>
  <si>
    <t>찬동</t>
  </si>
  <si>
    <t>독고진</t>
  </si>
  <si>
    <t>담화공</t>
  </si>
  <si>
    <t>공든탑</t>
  </si>
  <si>
    <t>시계태엽오란씨</t>
  </si>
  <si>
    <t>벗우</t>
  </si>
  <si>
    <t>이준영</t>
  </si>
  <si>
    <t>가람검</t>
    <phoneticPr fontId="21" type="noConversion"/>
  </si>
  <si>
    <t>가람검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</si>
</sst>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3" fontId="0" fillId="4" borderId="0" xfId="0" applyNumberFormat="1" applyFill="1">
      <alignment vertical="center"/>
    </xf>
    <xf numFmtId="3" fontId="20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1"/>
  <sheetViews>
    <sheetView showGridLines="0" tabSelected="1" zoomScale="59" zoomScaleNormal="59" workbookViewId="0">
      <selection activeCell="G9" sqref="G9"/>
    </sheetView>
  </sheetViews>
  <sheetFormatPr defaultColWidth="20.796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296875" customWidth="1"/>
    <col min="13" max="13" width="10" customWidth="1"/>
    <col min="14" max="14" width="11" customWidth="1"/>
    <col min="15" max="15" width="14.5" customWidth="1"/>
    <col min="16" max="16" width="14.69921875" customWidth="1"/>
    <col min="17" max="17" width="11.796875" customWidth="1"/>
    <col min="18" max="18" width="12.09765625" customWidth="1"/>
    <col min="19" max="19" width="10.69921875" customWidth="1"/>
  </cols>
  <sheetData>
    <row r="1" spans="1:19" ht="17.39999999999999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ht="30" customHeight="1" x14ac:dyDescent="0.4">
      <c r="A2" s="20" t="s">
        <v>40</v>
      </c>
      <c r="B2" s="20" t="s">
        <v>41</v>
      </c>
      <c r="C2" s="20" t="s">
        <v>66</v>
      </c>
      <c r="D2" s="20" t="s">
        <v>19</v>
      </c>
      <c r="E2" s="20" t="s">
        <v>20</v>
      </c>
      <c r="F2" s="20" t="s">
        <v>21</v>
      </c>
      <c r="G2" s="22">
        <v>278</v>
      </c>
      <c r="H2" s="22">
        <v>27800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27800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17514</v>
      </c>
    </row>
    <row r="3" spans="1:19" ht="30" customHeight="1" x14ac:dyDescent="0.4">
      <c r="A3" s="20" t="s">
        <v>23</v>
      </c>
      <c r="B3" s="20" t="s">
        <v>24</v>
      </c>
      <c r="C3" s="20" t="s">
        <v>67</v>
      </c>
      <c r="D3" s="20" t="s">
        <v>19</v>
      </c>
      <c r="E3" s="20" t="s">
        <v>20</v>
      </c>
      <c r="F3" s="20" t="s">
        <v>21</v>
      </c>
      <c r="G3" s="22">
        <v>7</v>
      </c>
      <c r="H3" s="22">
        <v>700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2">
        <v>100</v>
      </c>
      <c r="O3" s="20" t="s">
        <v>0</v>
      </c>
      <c r="P3" s="20" t="s">
        <v>0</v>
      </c>
      <c r="Q3" s="22">
        <v>600</v>
      </c>
      <c r="R3" s="20" t="s">
        <v>0</v>
      </c>
      <c r="S3" s="22">
        <v>490</v>
      </c>
    </row>
    <row r="4" spans="1:19" ht="30" customHeight="1" x14ac:dyDescent="0.4">
      <c r="A4" s="20" t="s">
        <v>25</v>
      </c>
      <c r="B4" s="20" t="s">
        <v>26</v>
      </c>
      <c r="C4" s="20" t="s">
        <v>67</v>
      </c>
      <c r="D4" s="20" t="s">
        <v>19</v>
      </c>
      <c r="E4" s="20" t="s">
        <v>20</v>
      </c>
      <c r="F4" s="20" t="s">
        <v>21</v>
      </c>
      <c r="G4" s="22">
        <v>354</v>
      </c>
      <c r="H4" s="22">
        <v>35400</v>
      </c>
      <c r="I4" s="20" t="s">
        <v>0</v>
      </c>
      <c r="J4" s="20" t="s">
        <v>0</v>
      </c>
      <c r="K4" s="20" t="s">
        <v>0</v>
      </c>
      <c r="L4" s="20" t="s">
        <v>0</v>
      </c>
      <c r="M4" s="22">
        <v>21500</v>
      </c>
      <c r="N4" s="22">
        <v>6100</v>
      </c>
      <c r="O4" s="22">
        <v>7800</v>
      </c>
      <c r="P4" s="20" t="s">
        <v>0</v>
      </c>
      <c r="Q4" s="20" t="s">
        <v>0</v>
      </c>
      <c r="R4" s="20" t="s">
        <v>0</v>
      </c>
      <c r="S4" s="22">
        <v>23275</v>
      </c>
    </row>
    <row r="5" spans="1:19" ht="30" customHeight="1" x14ac:dyDescent="0.4">
      <c r="A5" s="20" t="s">
        <v>28</v>
      </c>
      <c r="B5" s="20" t="s">
        <v>29</v>
      </c>
      <c r="C5" s="20" t="s">
        <v>68</v>
      </c>
      <c r="D5" s="20" t="s">
        <v>19</v>
      </c>
      <c r="E5" s="20" t="s">
        <v>20</v>
      </c>
      <c r="F5" s="20" t="s">
        <v>21</v>
      </c>
      <c r="G5" s="22">
        <v>45</v>
      </c>
      <c r="H5" s="22">
        <v>4500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2">
        <v>4500</v>
      </c>
      <c r="O5" s="20" t="s">
        <v>0</v>
      </c>
      <c r="P5" s="20" t="s">
        <v>0</v>
      </c>
      <c r="Q5" s="20" t="s">
        <v>0</v>
      </c>
      <c r="R5" s="20" t="s">
        <v>0</v>
      </c>
      <c r="S5" s="22">
        <v>3150</v>
      </c>
    </row>
    <row r="6" spans="1:19" ht="30" customHeight="1" x14ac:dyDescent="0.4">
      <c r="A6" s="20" t="s">
        <v>42</v>
      </c>
      <c r="B6" s="20" t="s">
        <v>43</v>
      </c>
      <c r="C6" s="20" t="s">
        <v>69</v>
      </c>
      <c r="D6" s="20" t="s">
        <v>19</v>
      </c>
      <c r="E6" s="20" t="s">
        <v>20</v>
      </c>
      <c r="F6" s="20" t="s">
        <v>22</v>
      </c>
      <c r="G6" s="22">
        <v>2</v>
      </c>
      <c r="H6" s="22">
        <v>200</v>
      </c>
      <c r="I6" s="20" t="s">
        <v>0</v>
      </c>
      <c r="J6" s="20" t="s">
        <v>0</v>
      </c>
      <c r="K6" s="22">
        <v>200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20" t="s">
        <v>0</v>
      </c>
      <c r="R6" s="20" t="s">
        <v>0</v>
      </c>
      <c r="S6" s="22">
        <v>140</v>
      </c>
    </row>
    <row r="7" spans="1:19" ht="30" customHeight="1" x14ac:dyDescent="0.4">
      <c r="A7" s="20" t="s">
        <v>30</v>
      </c>
      <c r="B7" s="20" t="s">
        <v>31</v>
      </c>
      <c r="C7" s="20" t="s">
        <v>70</v>
      </c>
      <c r="D7" s="20" t="s">
        <v>19</v>
      </c>
      <c r="E7" s="20" t="s">
        <v>20</v>
      </c>
      <c r="F7" s="20" t="s">
        <v>22</v>
      </c>
      <c r="G7" s="22">
        <v>32</v>
      </c>
      <c r="H7" s="22">
        <v>3200</v>
      </c>
      <c r="I7" s="20" t="s">
        <v>0</v>
      </c>
      <c r="J7" s="20" t="s">
        <v>0</v>
      </c>
      <c r="K7" s="22">
        <v>3200</v>
      </c>
      <c r="L7" s="20" t="s">
        <v>0</v>
      </c>
      <c r="M7" s="20" t="s">
        <v>0</v>
      </c>
      <c r="N7" s="20" t="s">
        <v>0</v>
      </c>
      <c r="O7" s="20" t="s">
        <v>0</v>
      </c>
      <c r="P7" s="20" t="s">
        <v>0</v>
      </c>
      <c r="Q7" s="20" t="s">
        <v>0</v>
      </c>
      <c r="R7" s="20" t="s">
        <v>0</v>
      </c>
      <c r="S7" s="22">
        <v>2240</v>
      </c>
    </row>
    <row r="8" spans="1:19" ht="30" customHeight="1" x14ac:dyDescent="0.4">
      <c r="A8" s="20" t="s">
        <v>30</v>
      </c>
      <c r="B8" s="20" t="s">
        <v>31</v>
      </c>
      <c r="C8" s="20" t="s">
        <v>70</v>
      </c>
      <c r="D8" s="20" t="s">
        <v>19</v>
      </c>
      <c r="E8" s="20" t="s">
        <v>20</v>
      </c>
      <c r="F8" s="20" t="s">
        <v>21</v>
      </c>
      <c r="G8" s="22">
        <v>385</v>
      </c>
      <c r="H8" s="22">
        <v>38500</v>
      </c>
      <c r="I8" s="20" t="s">
        <v>0</v>
      </c>
      <c r="J8" s="20" t="s">
        <v>0</v>
      </c>
      <c r="K8" s="20" t="s">
        <v>0</v>
      </c>
      <c r="L8" s="20" t="s">
        <v>0</v>
      </c>
      <c r="M8" s="22">
        <v>38200</v>
      </c>
      <c r="N8" s="22">
        <v>300</v>
      </c>
      <c r="O8" s="20" t="s">
        <v>0</v>
      </c>
      <c r="P8" s="20" t="s">
        <v>0</v>
      </c>
      <c r="Q8" s="20" t="s">
        <v>0</v>
      </c>
      <c r="R8" s="20" t="s">
        <v>0</v>
      </c>
      <c r="S8" s="22">
        <v>24276</v>
      </c>
    </row>
    <row r="9" spans="1:19" ht="30" customHeight="1" x14ac:dyDescent="0.4">
      <c r="A9" s="20" t="s">
        <v>32</v>
      </c>
      <c r="B9" s="20" t="s">
        <v>33</v>
      </c>
      <c r="C9" s="20" t="s">
        <v>71</v>
      </c>
      <c r="D9" s="20" t="s">
        <v>19</v>
      </c>
      <c r="E9" s="20" t="s">
        <v>20</v>
      </c>
      <c r="F9" s="20" t="s">
        <v>22</v>
      </c>
      <c r="G9" s="22">
        <v>59</v>
      </c>
      <c r="H9" s="22">
        <v>5900</v>
      </c>
      <c r="I9" s="20" t="s">
        <v>0</v>
      </c>
      <c r="J9" s="20" t="s">
        <v>0</v>
      </c>
      <c r="K9" s="22">
        <v>5900</v>
      </c>
      <c r="L9" s="20" t="s">
        <v>0</v>
      </c>
      <c r="M9" s="20" t="s">
        <v>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2">
        <v>4130</v>
      </c>
    </row>
    <row r="10" spans="1:19" ht="30" customHeight="1" x14ac:dyDescent="0.4">
      <c r="A10" s="20" t="s">
        <v>34</v>
      </c>
      <c r="B10" s="20" t="s">
        <v>35</v>
      </c>
      <c r="C10" s="20" t="s">
        <v>72</v>
      </c>
      <c r="D10" s="20" t="s">
        <v>19</v>
      </c>
      <c r="E10" s="20" t="s">
        <v>20</v>
      </c>
      <c r="F10" s="20" t="s">
        <v>22</v>
      </c>
      <c r="G10" s="22">
        <v>98</v>
      </c>
      <c r="H10" s="22">
        <v>9800</v>
      </c>
      <c r="I10" s="20" t="s">
        <v>0</v>
      </c>
      <c r="J10" s="20" t="s">
        <v>0</v>
      </c>
      <c r="K10" s="22">
        <v>9800</v>
      </c>
      <c r="L10" s="20" t="s">
        <v>0</v>
      </c>
      <c r="M10" s="20" t="s">
        <v>0</v>
      </c>
      <c r="N10" s="20" t="s">
        <v>0</v>
      </c>
      <c r="O10" s="20" t="s">
        <v>0</v>
      </c>
      <c r="P10" s="20" t="s">
        <v>0</v>
      </c>
      <c r="Q10" s="20" t="s">
        <v>0</v>
      </c>
      <c r="R10" s="20" t="s">
        <v>0</v>
      </c>
      <c r="S10" s="22">
        <v>6860</v>
      </c>
    </row>
    <row r="11" spans="1:19" ht="30" customHeight="1" x14ac:dyDescent="0.4">
      <c r="A11" s="20" t="s">
        <v>34</v>
      </c>
      <c r="B11" s="20" t="s">
        <v>35</v>
      </c>
      <c r="C11" s="20" t="s">
        <v>72</v>
      </c>
      <c r="D11" s="20" t="s">
        <v>19</v>
      </c>
      <c r="E11" s="20" t="s">
        <v>20</v>
      </c>
      <c r="F11" s="20" t="s">
        <v>21</v>
      </c>
      <c r="G11" s="22">
        <v>97</v>
      </c>
      <c r="H11" s="22">
        <v>9700</v>
      </c>
      <c r="I11" s="20" t="s">
        <v>0</v>
      </c>
      <c r="J11" s="20" t="s">
        <v>0</v>
      </c>
      <c r="K11" s="20" t="s">
        <v>0</v>
      </c>
      <c r="L11" s="20" t="s">
        <v>0</v>
      </c>
      <c r="M11" s="20" t="s">
        <v>0</v>
      </c>
      <c r="N11" s="22">
        <v>9700</v>
      </c>
      <c r="O11" s="20" t="s">
        <v>0</v>
      </c>
      <c r="P11" s="20" t="s">
        <v>0</v>
      </c>
      <c r="Q11" s="20" t="s">
        <v>0</v>
      </c>
      <c r="R11" s="20" t="s">
        <v>0</v>
      </c>
      <c r="S11" s="22">
        <v>6790</v>
      </c>
    </row>
    <row r="12" spans="1:19" ht="30" customHeight="1" x14ac:dyDescent="0.4">
      <c r="A12" s="20" t="s">
        <v>36</v>
      </c>
      <c r="B12" s="20" t="s">
        <v>37</v>
      </c>
      <c r="C12" s="20" t="s">
        <v>67</v>
      </c>
      <c r="D12" s="20" t="s">
        <v>19</v>
      </c>
      <c r="E12" s="20" t="s">
        <v>20</v>
      </c>
      <c r="F12" s="20" t="s">
        <v>22</v>
      </c>
      <c r="G12" s="22">
        <v>29</v>
      </c>
      <c r="H12" s="22">
        <v>2900</v>
      </c>
      <c r="I12" s="20" t="s">
        <v>0</v>
      </c>
      <c r="J12" s="20" t="s">
        <v>0</v>
      </c>
      <c r="K12" s="22">
        <v>2900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2">
        <v>2030</v>
      </c>
    </row>
    <row r="13" spans="1:19" ht="30" customHeight="1" x14ac:dyDescent="0.4">
      <c r="A13" s="20" t="s">
        <v>36</v>
      </c>
      <c r="B13" s="20" t="s">
        <v>37</v>
      </c>
      <c r="C13" s="20" t="s">
        <v>67</v>
      </c>
      <c r="D13" s="20" t="s">
        <v>19</v>
      </c>
      <c r="E13" s="20" t="s">
        <v>20</v>
      </c>
      <c r="F13" s="20" t="s">
        <v>21</v>
      </c>
      <c r="G13" s="22">
        <v>40</v>
      </c>
      <c r="H13" s="22">
        <v>4000</v>
      </c>
      <c r="I13" s="20" t="s">
        <v>0</v>
      </c>
      <c r="J13" s="20" t="s">
        <v>0</v>
      </c>
      <c r="K13" s="20" t="s">
        <v>0</v>
      </c>
      <c r="L13" s="20" t="s">
        <v>0</v>
      </c>
      <c r="M13" s="22">
        <v>2800</v>
      </c>
      <c r="N13" s="22">
        <v>1000</v>
      </c>
      <c r="O13" s="22">
        <v>200</v>
      </c>
      <c r="P13" s="20" t="s">
        <v>0</v>
      </c>
      <c r="Q13" s="20" t="s">
        <v>0</v>
      </c>
      <c r="R13" s="20" t="s">
        <v>0</v>
      </c>
      <c r="S13" s="22">
        <v>2604</v>
      </c>
    </row>
    <row r="14" spans="1:19" ht="30" customHeight="1" x14ac:dyDescent="0.4">
      <c r="A14" s="20" t="s">
        <v>38</v>
      </c>
      <c r="B14" s="20" t="s">
        <v>39</v>
      </c>
      <c r="C14" s="20" t="s">
        <v>73</v>
      </c>
      <c r="D14" s="20" t="s">
        <v>19</v>
      </c>
      <c r="E14" s="20" t="s">
        <v>20</v>
      </c>
      <c r="F14" s="20" t="s">
        <v>21</v>
      </c>
      <c r="G14" s="22">
        <v>4410</v>
      </c>
      <c r="H14" s="22">
        <v>441000</v>
      </c>
      <c r="I14" s="20" t="s">
        <v>0</v>
      </c>
      <c r="J14" s="20" t="s">
        <v>0</v>
      </c>
      <c r="K14" s="20" t="s">
        <v>0</v>
      </c>
      <c r="L14" s="22">
        <v>34000</v>
      </c>
      <c r="M14" s="22">
        <v>320500</v>
      </c>
      <c r="N14" s="22">
        <v>57400</v>
      </c>
      <c r="O14" s="22">
        <v>29100</v>
      </c>
      <c r="P14" s="20" t="s">
        <v>0</v>
      </c>
      <c r="Q14" s="20" t="s">
        <v>0</v>
      </c>
      <c r="R14" s="20" t="s">
        <v>0</v>
      </c>
      <c r="S14" s="22">
        <v>286265</v>
      </c>
    </row>
    <row r="15" spans="1:19" ht="30" customHeight="1" x14ac:dyDescent="0.4">
      <c r="A15" s="20" t="s">
        <v>44</v>
      </c>
      <c r="B15" s="20" t="s">
        <v>45</v>
      </c>
      <c r="C15" s="20" t="s">
        <v>74</v>
      </c>
      <c r="D15" s="20" t="s">
        <v>19</v>
      </c>
      <c r="E15" s="20" t="s">
        <v>20</v>
      </c>
      <c r="F15" s="20" t="s">
        <v>21</v>
      </c>
      <c r="G15" s="22">
        <v>561</v>
      </c>
      <c r="H15" s="22">
        <v>56100</v>
      </c>
      <c r="I15" s="20" t="s">
        <v>0</v>
      </c>
      <c r="J15" s="20" t="s">
        <v>0</v>
      </c>
      <c r="K15" s="20" t="s">
        <v>0</v>
      </c>
      <c r="L15" s="22">
        <v>52600</v>
      </c>
      <c r="M15" s="22">
        <v>2400</v>
      </c>
      <c r="N15" s="20" t="s">
        <v>0</v>
      </c>
      <c r="O15" s="22">
        <v>600</v>
      </c>
      <c r="P15" s="20" t="s">
        <v>0</v>
      </c>
      <c r="Q15" s="22">
        <v>500</v>
      </c>
      <c r="R15" s="20" t="s">
        <v>0</v>
      </c>
      <c r="S15" s="22">
        <v>39102</v>
      </c>
    </row>
    <row r="16" spans="1:19" ht="30" customHeight="1" x14ac:dyDescent="0.4">
      <c r="A16" s="20" t="s">
        <v>46</v>
      </c>
      <c r="B16" s="20" t="s">
        <v>47</v>
      </c>
      <c r="C16" s="20" t="s">
        <v>69</v>
      </c>
      <c r="D16" s="20" t="s">
        <v>19</v>
      </c>
      <c r="E16" s="20" t="s">
        <v>20</v>
      </c>
      <c r="F16" s="20" t="s">
        <v>22</v>
      </c>
      <c r="G16" s="22">
        <v>42</v>
      </c>
      <c r="H16" s="22">
        <v>4200</v>
      </c>
      <c r="I16" s="20" t="s">
        <v>0</v>
      </c>
      <c r="J16" s="20" t="s">
        <v>0</v>
      </c>
      <c r="K16" s="22">
        <v>4200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2">
        <v>2940</v>
      </c>
    </row>
    <row r="17" spans="1:19" ht="30" customHeight="1" x14ac:dyDescent="0.4">
      <c r="A17" s="20" t="s">
        <v>46</v>
      </c>
      <c r="B17" s="20" t="s">
        <v>47</v>
      </c>
      <c r="C17" s="20" t="s">
        <v>69</v>
      </c>
      <c r="D17" s="20" t="s">
        <v>19</v>
      </c>
      <c r="E17" s="20" t="s">
        <v>20</v>
      </c>
      <c r="F17" s="20" t="s">
        <v>21</v>
      </c>
      <c r="G17" s="22">
        <v>187</v>
      </c>
      <c r="H17" s="22">
        <v>18700</v>
      </c>
      <c r="I17" s="20" t="s">
        <v>0</v>
      </c>
      <c r="J17" s="20" t="s">
        <v>0</v>
      </c>
      <c r="K17" s="20" t="s">
        <v>0</v>
      </c>
      <c r="L17" s="20" t="s">
        <v>0</v>
      </c>
      <c r="M17" s="22">
        <v>14800</v>
      </c>
      <c r="N17" s="22">
        <v>900</v>
      </c>
      <c r="O17" s="22">
        <v>3000</v>
      </c>
      <c r="P17" s="20" t="s">
        <v>0</v>
      </c>
      <c r="Q17" s="20" t="s">
        <v>0</v>
      </c>
      <c r="R17" s="20" t="s">
        <v>0</v>
      </c>
      <c r="S17" s="22">
        <v>12054</v>
      </c>
    </row>
    <row r="18" spans="1:19" ht="30" customHeight="1" x14ac:dyDescent="0.4">
      <c r="A18" s="20" t="s">
        <v>48</v>
      </c>
      <c r="B18" s="20" t="s">
        <v>49</v>
      </c>
      <c r="C18" s="20" t="s">
        <v>75</v>
      </c>
      <c r="D18" s="20" t="s">
        <v>19</v>
      </c>
      <c r="E18" s="20" t="s">
        <v>20</v>
      </c>
      <c r="F18" s="20" t="s">
        <v>22</v>
      </c>
      <c r="G18" s="22">
        <v>57</v>
      </c>
      <c r="H18" s="22">
        <v>5700</v>
      </c>
      <c r="I18" s="20" t="s">
        <v>0</v>
      </c>
      <c r="J18" s="20" t="s">
        <v>0</v>
      </c>
      <c r="K18" s="22">
        <v>5700</v>
      </c>
      <c r="L18" s="20" t="s">
        <v>0</v>
      </c>
      <c r="M18" s="20" t="s">
        <v>0</v>
      </c>
      <c r="N18" s="20" t="s">
        <v>0</v>
      </c>
      <c r="O18" s="20" t="s">
        <v>0</v>
      </c>
      <c r="P18" s="20" t="s">
        <v>0</v>
      </c>
      <c r="Q18" s="20" t="s">
        <v>0</v>
      </c>
      <c r="R18" s="20" t="s">
        <v>0</v>
      </c>
      <c r="S18" s="22">
        <v>3990</v>
      </c>
    </row>
    <row r="19" spans="1:19" ht="30" customHeight="1" x14ac:dyDescent="0.4">
      <c r="A19" s="20" t="s">
        <v>48</v>
      </c>
      <c r="B19" s="20" t="s">
        <v>49</v>
      </c>
      <c r="C19" s="20" t="s">
        <v>75</v>
      </c>
      <c r="D19" s="20" t="s">
        <v>19</v>
      </c>
      <c r="E19" s="20" t="s">
        <v>20</v>
      </c>
      <c r="F19" s="20" t="s">
        <v>21</v>
      </c>
      <c r="G19" s="22">
        <v>53</v>
      </c>
      <c r="H19" s="22">
        <v>5300</v>
      </c>
      <c r="I19" s="20" t="s">
        <v>0</v>
      </c>
      <c r="J19" s="20" t="s">
        <v>0</v>
      </c>
      <c r="K19" s="20" t="s">
        <v>0</v>
      </c>
      <c r="L19" s="20" t="s">
        <v>0</v>
      </c>
      <c r="M19" s="22">
        <v>4500</v>
      </c>
      <c r="N19" s="22">
        <v>300</v>
      </c>
      <c r="O19" s="22">
        <v>500</v>
      </c>
      <c r="P19" s="20" t="s">
        <v>0</v>
      </c>
      <c r="Q19" s="20" t="s">
        <v>0</v>
      </c>
      <c r="R19" s="20" t="s">
        <v>0</v>
      </c>
      <c r="S19" s="22">
        <v>3395</v>
      </c>
    </row>
    <row r="20" spans="1:19" ht="30" customHeight="1" x14ac:dyDescent="0.4">
      <c r="A20" s="20" t="s">
        <v>50</v>
      </c>
      <c r="B20" s="20" t="s">
        <v>51</v>
      </c>
      <c r="C20" s="20" t="s">
        <v>78</v>
      </c>
      <c r="D20" s="20" t="s">
        <v>19</v>
      </c>
      <c r="E20" s="20" t="s">
        <v>20</v>
      </c>
      <c r="F20" s="20" t="s">
        <v>22</v>
      </c>
      <c r="G20" s="22">
        <v>16</v>
      </c>
      <c r="H20" s="22">
        <v>1600</v>
      </c>
      <c r="I20" s="20" t="s">
        <v>0</v>
      </c>
      <c r="J20" s="20" t="s">
        <v>0</v>
      </c>
      <c r="K20" s="22">
        <v>1600</v>
      </c>
      <c r="L20" s="20" t="s">
        <v>0</v>
      </c>
      <c r="M20" s="20" t="s">
        <v>0</v>
      </c>
      <c r="N20" s="20" t="s">
        <v>0</v>
      </c>
      <c r="O20" s="20" t="s">
        <v>0</v>
      </c>
      <c r="P20" s="20" t="s">
        <v>0</v>
      </c>
      <c r="Q20" s="20" t="s">
        <v>0</v>
      </c>
      <c r="R20" s="20" t="s">
        <v>0</v>
      </c>
      <c r="S20" s="22">
        <v>1120</v>
      </c>
    </row>
    <row r="21" spans="1:19" ht="30" customHeight="1" x14ac:dyDescent="0.4">
      <c r="A21" s="20" t="s">
        <v>50</v>
      </c>
      <c r="B21" s="20" t="s">
        <v>51</v>
      </c>
      <c r="C21" s="20" t="s">
        <v>79</v>
      </c>
      <c r="D21" s="20" t="s">
        <v>19</v>
      </c>
      <c r="E21" s="20" t="s">
        <v>20</v>
      </c>
      <c r="F21" s="20" t="s">
        <v>21</v>
      </c>
      <c r="G21" s="22">
        <v>2</v>
      </c>
      <c r="H21" s="22">
        <v>200</v>
      </c>
      <c r="I21" s="20" t="s">
        <v>0</v>
      </c>
      <c r="J21" s="20" t="s">
        <v>0</v>
      </c>
      <c r="K21" s="20" t="s">
        <v>0</v>
      </c>
      <c r="L21" s="20" t="s">
        <v>0</v>
      </c>
      <c r="M21" s="20" t="s">
        <v>0</v>
      </c>
      <c r="N21" s="22">
        <v>200</v>
      </c>
      <c r="O21" s="20" t="s">
        <v>0</v>
      </c>
      <c r="P21" s="20" t="s">
        <v>0</v>
      </c>
      <c r="Q21" s="20" t="s">
        <v>0</v>
      </c>
      <c r="R21" s="20" t="s">
        <v>0</v>
      </c>
      <c r="S21" s="22">
        <v>140</v>
      </c>
    </row>
    <row r="22" spans="1:19" ht="30" customHeight="1" x14ac:dyDescent="0.4">
      <c r="A22" s="20" t="s">
        <v>52</v>
      </c>
      <c r="B22" s="20" t="s">
        <v>53</v>
      </c>
      <c r="C22" s="20" t="s">
        <v>66</v>
      </c>
      <c r="D22" s="20" t="s">
        <v>19</v>
      </c>
      <c r="E22" s="20" t="s">
        <v>20</v>
      </c>
      <c r="F22" s="20" t="s">
        <v>22</v>
      </c>
      <c r="G22" s="22">
        <v>7</v>
      </c>
      <c r="H22" s="22">
        <v>700</v>
      </c>
      <c r="I22" s="20" t="s">
        <v>0</v>
      </c>
      <c r="J22" s="20" t="s">
        <v>0</v>
      </c>
      <c r="K22" s="22">
        <v>700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20" t="s">
        <v>0</v>
      </c>
      <c r="R22" s="20" t="s">
        <v>0</v>
      </c>
      <c r="S22" s="22">
        <v>490</v>
      </c>
    </row>
    <row r="23" spans="1:19" ht="30" customHeight="1" x14ac:dyDescent="0.4">
      <c r="A23" s="20" t="s">
        <v>52</v>
      </c>
      <c r="B23" s="20" t="s">
        <v>53</v>
      </c>
      <c r="C23" s="20" t="s">
        <v>66</v>
      </c>
      <c r="D23" s="20" t="s">
        <v>19</v>
      </c>
      <c r="E23" s="20" t="s">
        <v>20</v>
      </c>
      <c r="F23" s="20" t="s">
        <v>21</v>
      </c>
      <c r="G23" s="22">
        <v>193</v>
      </c>
      <c r="H23" s="22">
        <v>19300</v>
      </c>
      <c r="I23" s="20" t="s">
        <v>0</v>
      </c>
      <c r="J23" s="20" t="s">
        <v>0</v>
      </c>
      <c r="K23" s="20" t="s">
        <v>0</v>
      </c>
      <c r="L23" s="20" t="s">
        <v>0</v>
      </c>
      <c r="M23" s="22">
        <v>19300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2">
        <v>12159</v>
      </c>
    </row>
    <row r="24" spans="1:19" ht="30" customHeight="1" x14ac:dyDescent="0.4">
      <c r="A24" s="20" t="s">
        <v>54</v>
      </c>
      <c r="B24" s="20" t="s">
        <v>55</v>
      </c>
      <c r="C24" s="20" t="s">
        <v>67</v>
      </c>
      <c r="D24" s="20" t="s">
        <v>19</v>
      </c>
      <c r="E24" s="20" t="s">
        <v>20</v>
      </c>
      <c r="F24" s="20" t="s">
        <v>22</v>
      </c>
      <c r="G24" s="22">
        <v>49</v>
      </c>
      <c r="H24" s="22">
        <v>4900</v>
      </c>
      <c r="I24" s="20" t="s">
        <v>0</v>
      </c>
      <c r="J24" s="20" t="s">
        <v>0</v>
      </c>
      <c r="K24" s="22">
        <v>4900</v>
      </c>
      <c r="L24" s="20" t="s">
        <v>0</v>
      </c>
      <c r="M24" s="20" t="s">
        <v>0</v>
      </c>
      <c r="N24" s="20" t="s">
        <v>0</v>
      </c>
      <c r="O24" s="20" t="s">
        <v>0</v>
      </c>
      <c r="P24" s="20" t="s">
        <v>0</v>
      </c>
      <c r="Q24" s="20" t="s">
        <v>0</v>
      </c>
      <c r="R24" s="20" t="s">
        <v>0</v>
      </c>
      <c r="S24" s="22">
        <v>3430</v>
      </c>
    </row>
    <row r="25" spans="1:19" ht="30" customHeight="1" x14ac:dyDescent="0.4">
      <c r="A25" s="20" t="s">
        <v>54</v>
      </c>
      <c r="B25" s="20" t="s">
        <v>55</v>
      </c>
      <c r="C25" s="20" t="s">
        <v>67</v>
      </c>
      <c r="D25" s="20" t="s">
        <v>19</v>
      </c>
      <c r="E25" s="20" t="s">
        <v>20</v>
      </c>
      <c r="F25" s="20" t="s">
        <v>21</v>
      </c>
      <c r="G25" s="22">
        <v>753</v>
      </c>
      <c r="H25" s="22">
        <v>75300</v>
      </c>
      <c r="I25" s="20" t="s">
        <v>0</v>
      </c>
      <c r="J25" s="20" t="s">
        <v>0</v>
      </c>
      <c r="K25" s="20" t="s">
        <v>0</v>
      </c>
      <c r="L25" s="20" t="s">
        <v>0</v>
      </c>
      <c r="M25" s="22">
        <v>66700</v>
      </c>
      <c r="N25" s="22">
        <v>4600</v>
      </c>
      <c r="O25" s="22">
        <v>4000</v>
      </c>
      <c r="P25" s="20" t="s">
        <v>0</v>
      </c>
      <c r="Q25" s="20" t="s">
        <v>0</v>
      </c>
      <c r="R25" s="20" t="s">
        <v>0</v>
      </c>
      <c r="S25" s="22">
        <v>48041</v>
      </c>
    </row>
    <row r="26" spans="1:19" ht="30" customHeight="1" x14ac:dyDescent="0.4">
      <c r="A26" s="20" t="s">
        <v>56</v>
      </c>
      <c r="B26" s="20" t="s">
        <v>57</v>
      </c>
      <c r="C26" s="20" t="s">
        <v>70</v>
      </c>
      <c r="D26" s="20" t="s">
        <v>19</v>
      </c>
      <c r="E26" s="20" t="s">
        <v>20</v>
      </c>
      <c r="F26" s="20" t="s">
        <v>21</v>
      </c>
      <c r="G26" s="22">
        <v>494</v>
      </c>
      <c r="H26" s="22">
        <v>49400</v>
      </c>
      <c r="I26" s="20" t="s">
        <v>0</v>
      </c>
      <c r="J26" s="20" t="s">
        <v>0</v>
      </c>
      <c r="K26" s="20" t="s">
        <v>0</v>
      </c>
      <c r="L26" s="22">
        <v>49200</v>
      </c>
      <c r="M26" s="20" t="s">
        <v>0</v>
      </c>
      <c r="N26" s="22">
        <v>200</v>
      </c>
      <c r="O26" s="20" t="s">
        <v>0</v>
      </c>
      <c r="P26" s="20" t="s">
        <v>0</v>
      </c>
      <c r="Q26" s="20" t="s">
        <v>0</v>
      </c>
      <c r="R26" s="20" t="s">
        <v>0</v>
      </c>
      <c r="S26" s="22">
        <v>34580</v>
      </c>
    </row>
    <row r="27" spans="1:19" ht="30" customHeight="1" x14ac:dyDescent="0.4">
      <c r="A27" s="20" t="s">
        <v>58</v>
      </c>
      <c r="B27" s="20" t="s">
        <v>59</v>
      </c>
      <c r="C27" s="20" t="s">
        <v>76</v>
      </c>
      <c r="D27" s="20" t="s">
        <v>19</v>
      </c>
      <c r="E27" s="20" t="s">
        <v>20</v>
      </c>
      <c r="F27" s="20" t="s">
        <v>21</v>
      </c>
      <c r="G27" s="22">
        <v>864</v>
      </c>
      <c r="H27" s="22">
        <v>86400</v>
      </c>
      <c r="I27" s="20" t="s">
        <v>0</v>
      </c>
      <c r="J27" s="20" t="s">
        <v>0</v>
      </c>
      <c r="K27" s="20" t="s">
        <v>0</v>
      </c>
      <c r="L27" s="22">
        <v>63800</v>
      </c>
      <c r="M27" s="22">
        <v>21100</v>
      </c>
      <c r="N27" s="22">
        <v>1500</v>
      </c>
      <c r="O27" s="20" t="s">
        <v>0</v>
      </c>
      <c r="P27" s="20" t="s">
        <v>0</v>
      </c>
      <c r="Q27" s="20" t="s">
        <v>0</v>
      </c>
      <c r="R27" s="20" t="s">
        <v>0</v>
      </c>
      <c r="S27" s="22">
        <v>59003</v>
      </c>
    </row>
    <row r="28" spans="1:19" ht="30" customHeight="1" x14ac:dyDescent="0.4">
      <c r="A28" s="20" t="s">
        <v>60</v>
      </c>
      <c r="B28" s="20" t="s">
        <v>61</v>
      </c>
      <c r="C28" s="20" t="s">
        <v>66</v>
      </c>
      <c r="D28" s="20" t="s">
        <v>19</v>
      </c>
      <c r="E28" s="20" t="s">
        <v>20</v>
      </c>
      <c r="F28" s="20" t="s">
        <v>21</v>
      </c>
      <c r="G28" s="22">
        <v>652</v>
      </c>
      <c r="H28" s="22">
        <v>65200</v>
      </c>
      <c r="I28" s="20" t="s">
        <v>0</v>
      </c>
      <c r="J28" s="20" t="s">
        <v>0</v>
      </c>
      <c r="K28" s="20" t="s">
        <v>0</v>
      </c>
      <c r="L28" s="22">
        <v>53600</v>
      </c>
      <c r="M28" s="22">
        <v>11100</v>
      </c>
      <c r="N28" s="22">
        <v>500</v>
      </c>
      <c r="O28" s="20" t="s">
        <v>0</v>
      </c>
      <c r="P28" s="20" t="s">
        <v>0</v>
      </c>
      <c r="Q28" s="20" t="s">
        <v>0</v>
      </c>
      <c r="R28" s="20" t="s">
        <v>0</v>
      </c>
      <c r="S28" s="22">
        <v>44863</v>
      </c>
    </row>
    <row r="29" spans="1:19" ht="30" customHeight="1" x14ac:dyDescent="0.4">
      <c r="A29" s="20" t="s">
        <v>62</v>
      </c>
      <c r="B29" s="20" t="s">
        <v>63</v>
      </c>
      <c r="C29" s="20" t="s">
        <v>67</v>
      </c>
      <c r="D29" s="20" t="s">
        <v>19</v>
      </c>
      <c r="E29" s="20" t="s">
        <v>20</v>
      </c>
      <c r="F29" s="20" t="s">
        <v>21</v>
      </c>
      <c r="G29" s="22">
        <v>512</v>
      </c>
      <c r="H29" s="22">
        <v>51200</v>
      </c>
      <c r="I29" s="20" t="s">
        <v>0</v>
      </c>
      <c r="J29" s="20" t="s">
        <v>0</v>
      </c>
      <c r="K29" s="20" t="s">
        <v>0</v>
      </c>
      <c r="L29" s="22">
        <v>47400</v>
      </c>
      <c r="M29" s="22">
        <v>2000</v>
      </c>
      <c r="N29" s="22">
        <v>1700</v>
      </c>
      <c r="O29" s="20" t="s">
        <v>0</v>
      </c>
      <c r="P29" s="20" t="s">
        <v>0</v>
      </c>
      <c r="Q29" s="22">
        <v>100</v>
      </c>
      <c r="R29" s="20" t="s">
        <v>0</v>
      </c>
      <c r="S29" s="22">
        <v>35700</v>
      </c>
    </row>
    <row r="30" spans="1:19" ht="30" customHeight="1" x14ac:dyDescent="0.4">
      <c r="A30" s="20" t="s">
        <v>64</v>
      </c>
      <c r="B30" s="20" t="s">
        <v>65</v>
      </c>
      <c r="C30" s="20" t="s">
        <v>77</v>
      </c>
      <c r="D30" s="20" t="s">
        <v>19</v>
      </c>
      <c r="E30" s="20" t="s">
        <v>20</v>
      </c>
      <c r="F30" s="20" t="s">
        <v>21</v>
      </c>
      <c r="G30" s="22">
        <v>594</v>
      </c>
      <c r="H30" s="22">
        <v>59400</v>
      </c>
      <c r="I30" s="20" t="s">
        <v>0</v>
      </c>
      <c r="J30" s="20" t="s">
        <v>0</v>
      </c>
      <c r="K30" s="20" t="s">
        <v>0</v>
      </c>
      <c r="L30" s="22">
        <v>58900</v>
      </c>
      <c r="M30" s="22">
        <v>100</v>
      </c>
      <c r="N30" s="22">
        <v>400</v>
      </c>
      <c r="O30" s="20" t="s">
        <v>0</v>
      </c>
      <c r="P30" s="20" t="s">
        <v>0</v>
      </c>
      <c r="Q30" s="20" t="s">
        <v>0</v>
      </c>
      <c r="R30" s="20" t="s">
        <v>0</v>
      </c>
      <c r="S30" s="22">
        <v>41573</v>
      </c>
    </row>
    <row r="31" spans="1:19" ht="30" customHeight="1" x14ac:dyDescent="0.4">
      <c r="S31" s="21">
        <f>SUM(S2:S30)</f>
        <v>722344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6"/>
  <sheetViews>
    <sheetView zoomScale="88" zoomScaleNormal="88" workbookViewId="0">
      <selection activeCell="S6" sqref="S6"/>
    </sheetView>
  </sheetViews>
  <sheetFormatPr defaultRowHeight="17.399999999999999" x14ac:dyDescent="0.4"/>
  <cols>
    <col min="1" max="1" width="8.59765625" bestFit="1" customWidth="1"/>
    <col min="2" max="2" width="11.0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40</v>
      </c>
      <c r="B2" s="20" t="s">
        <v>41</v>
      </c>
      <c r="C2" s="20" t="s">
        <v>66</v>
      </c>
      <c r="D2" s="20" t="s">
        <v>19</v>
      </c>
      <c r="E2" s="20" t="s">
        <v>20</v>
      </c>
      <c r="F2" s="20" t="s">
        <v>21</v>
      </c>
      <c r="G2" s="22">
        <v>278</v>
      </c>
      <c r="H2" s="22">
        <v>27800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27800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17514</v>
      </c>
    </row>
    <row r="3" spans="1:19" x14ac:dyDescent="0.4">
      <c r="A3" s="20" t="s">
        <v>52</v>
      </c>
      <c r="B3" s="20" t="s">
        <v>53</v>
      </c>
      <c r="C3" s="20" t="s">
        <v>66</v>
      </c>
      <c r="D3" s="20" t="s">
        <v>19</v>
      </c>
      <c r="E3" s="20" t="s">
        <v>20</v>
      </c>
      <c r="F3" s="20" t="s">
        <v>22</v>
      </c>
      <c r="G3" s="22">
        <v>7</v>
      </c>
      <c r="H3" s="22">
        <v>700</v>
      </c>
      <c r="I3" s="20" t="s">
        <v>0</v>
      </c>
      <c r="J3" s="20" t="s">
        <v>0</v>
      </c>
      <c r="K3" s="22">
        <v>700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490</v>
      </c>
    </row>
    <row r="4" spans="1:19" x14ac:dyDescent="0.4">
      <c r="A4" s="20" t="s">
        <v>52</v>
      </c>
      <c r="B4" s="20" t="s">
        <v>53</v>
      </c>
      <c r="C4" s="20" t="s">
        <v>66</v>
      </c>
      <c r="D4" s="20" t="s">
        <v>19</v>
      </c>
      <c r="E4" s="20" t="s">
        <v>20</v>
      </c>
      <c r="F4" s="20" t="s">
        <v>21</v>
      </c>
      <c r="G4" s="22">
        <v>193</v>
      </c>
      <c r="H4" s="22">
        <v>19300</v>
      </c>
      <c r="I4" s="20" t="s">
        <v>0</v>
      </c>
      <c r="J4" s="20" t="s">
        <v>0</v>
      </c>
      <c r="K4" s="20" t="s">
        <v>0</v>
      </c>
      <c r="L4" s="20" t="s">
        <v>0</v>
      </c>
      <c r="M4" s="22">
        <v>19300</v>
      </c>
      <c r="N4" s="20" t="s">
        <v>0</v>
      </c>
      <c r="O4" s="20" t="s">
        <v>0</v>
      </c>
      <c r="P4" s="20" t="s">
        <v>0</v>
      </c>
      <c r="Q4" s="20" t="s">
        <v>0</v>
      </c>
      <c r="R4" s="20" t="s">
        <v>0</v>
      </c>
      <c r="S4" s="22">
        <v>12159</v>
      </c>
    </row>
    <row r="5" spans="1:19" x14ac:dyDescent="0.4">
      <c r="A5" s="20" t="s">
        <v>60</v>
      </c>
      <c r="B5" s="20" t="s">
        <v>61</v>
      </c>
      <c r="C5" s="20" t="s">
        <v>66</v>
      </c>
      <c r="D5" s="20" t="s">
        <v>19</v>
      </c>
      <c r="E5" s="20" t="s">
        <v>20</v>
      </c>
      <c r="F5" s="20" t="s">
        <v>21</v>
      </c>
      <c r="G5" s="22">
        <v>652</v>
      </c>
      <c r="H5" s="22">
        <v>65200</v>
      </c>
      <c r="I5" s="20" t="s">
        <v>0</v>
      </c>
      <c r="J5" s="20" t="s">
        <v>0</v>
      </c>
      <c r="K5" s="20" t="s">
        <v>0</v>
      </c>
      <c r="L5" s="22">
        <v>53600</v>
      </c>
      <c r="M5" s="22">
        <v>11100</v>
      </c>
      <c r="N5" s="22">
        <v>500</v>
      </c>
      <c r="O5" s="20" t="s">
        <v>0</v>
      </c>
      <c r="P5" s="20" t="s">
        <v>0</v>
      </c>
      <c r="Q5" s="20" t="s">
        <v>0</v>
      </c>
      <c r="R5" s="20" t="s">
        <v>0</v>
      </c>
      <c r="S5" s="22">
        <v>44863</v>
      </c>
    </row>
    <row r="6" spans="1:19" x14ac:dyDescent="0.4">
      <c r="S6" s="21">
        <f>SUM(S2:S5)</f>
        <v>75026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9"/>
  <sheetViews>
    <sheetView zoomScale="88" zoomScaleNormal="88" workbookViewId="0">
      <selection activeCell="S9" sqref="S9"/>
    </sheetView>
  </sheetViews>
  <sheetFormatPr defaultRowHeight="17.399999999999999" x14ac:dyDescent="0.4"/>
  <cols>
    <col min="1" max="1" width="8.59765625" bestFit="1" customWidth="1"/>
    <col min="2" max="2" width="14.7968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23</v>
      </c>
      <c r="B2" s="20" t="s">
        <v>24</v>
      </c>
      <c r="C2" s="20" t="s">
        <v>67</v>
      </c>
      <c r="D2" s="20" t="s">
        <v>19</v>
      </c>
      <c r="E2" s="20" t="s">
        <v>20</v>
      </c>
      <c r="F2" s="20" t="s">
        <v>21</v>
      </c>
      <c r="G2" s="22">
        <v>7</v>
      </c>
      <c r="H2" s="22">
        <v>700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2">
        <v>100</v>
      </c>
      <c r="O2" s="20" t="s">
        <v>0</v>
      </c>
      <c r="P2" s="20" t="s">
        <v>0</v>
      </c>
      <c r="Q2" s="22">
        <v>600</v>
      </c>
      <c r="R2" s="20" t="s">
        <v>0</v>
      </c>
      <c r="S2" s="22">
        <v>490</v>
      </c>
    </row>
    <row r="3" spans="1:19" x14ac:dyDescent="0.4">
      <c r="A3" s="20" t="s">
        <v>25</v>
      </c>
      <c r="B3" s="20" t="s">
        <v>26</v>
      </c>
      <c r="C3" s="20" t="s">
        <v>67</v>
      </c>
      <c r="D3" s="20" t="s">
        <v>19</v>
      </c>
      <c r="E3" s="20" t="s">
        <v>20</v>
      </c>
      <c r="F3" s="20" t="s">
        <v>21</v>
      </c>
      <c r="G3" s="22">
        <v>354</v>
      </c>
      <c r="H3" s="22">
        <v>35400</v>
      </c>
      <c r="I3" s="20" t="s">
        <v>0</v>
      </c>
      <c r="J3" s="20" t="s">
        <v>0</v>
      </c>
      <c r="K3" s="20" t="s">
        <v>0</v>
      </c>
      <c r="L3" s="20" t="s">
        <v>0</v>
      </c>
      <c r="M3" s="22">
        <v>21500</v>
      </c>
      <c r="N3" s="22">
        <v>6100</v>
      </c>
      <c r="O3" s="22">
        <v>7800</v>
      </c>
      <c r="P3" s="20" t="s">
        <v>0</v>
      </c>
      <c r="Q3" s="20" t="s">
        <v>0</v>
      </c>
      <c r="R3" s="20" t="s">
        <v>0</v>
      </c>
      <c r="S3" s="22">
        <v>23275</v>
      </c>
    </row>
    <row r="4" spans="1:19" x14ac:dyDescent="0.4">
      <c r="A4" s="20" t="s">
        <v>36</v>
      </c>
      <c r="B4" s="20" t="s">
        <v>37</v>
      </c>
      <c r="C4" s="20" t="s">
        <v>67</v>
      </c>
      <c r="D4" s="20" t="s">
        <v>19</v>
      </c>
      <c r="E4" s="20" t="s">
        <v>20</v>
      </c>
      <c r="F4" s="20" t="s">
        <v>22</v>
      </c>
      <c r="G4" s="22">
        <v>29</v>
      </c>
      <c r="H4" s="22">
        <v>2900</v>
      </c>
      <c r="I4" s="20" t="s">
        <v>0</v>
      </c>
      <c r="J4" s="20" t="s">
        <v>0</v>
      </c>
      <c r="K4" s="22">
        <v>2900</v>
      </c>
      <c r="L4" s="20" t="s">
        <v>0</v>
      </c>
      <c r="M4" s="20" t="s">
        <v>0</v>
      </c>
      <c r="N4" s="20" t="s">
        <v>0</v>
      </c>
      <c r="O4" s="20" t="s">
        <v>0</v>
      </c>
      <c r="P4" s="20" t="s">
        <v>0</v>
      </c>
      <c r="Q4" s="20" t="s">
        <v>0</v>
      </c>
      <c r="R4" s="20" t="s">
        <v>0</v>
      </c>
      <c r="S4" s="22">
        <v>2030</v>
      </c>
    </row>
    <row r="5" spans="1:19" x14ac:dyDescent="0.4">
      <c r="A5" s="20" t="s">
        <v>36</v>
      </c>
      <c r="B5" s="20" t="s">
        <v>37</v>
      </c>
      <c r="C5" s="20" t="s">
        <v>67</v>
      </c>
      <c r="D5" s="20" t="s">
        <v>19</v>
      </c>
      <c r="E5" s="20" t="s">
        <v>20</v>
      </c>
      <c r="F5" s="20" t="s">
        <v>21</v>
      </c>
      <c r="G5" s="22">
        <v>40</v>
      </c>
      <c r="H5" s="22">
        <v>4000</v>
      </c>
      <c r="I5" s="20" t="s">
        <v>0</v>
      </c>
      <c r="J5" s="20" t="s">
        <v>0</v>
      </c>
      <c r="K5" s="20" t="s">
        <v>0</v>
      </c>
      <c r="L5" s="20" t="s">
        <v>0</v>
      </c>
      <c r="M5" s="22">
        <v>2800</v>
      </c>
      <c r="N5" s="22">
        <v>1000</v>
      </c>
      <c r="O5" s="22">
        <v>200</v>
      </c>
      <c r="P5" s="20" t="s">
        <v>0</v>
      </c>
      <c r="Q5" s="20" t="s">
        <v>0</v>
      </c>
      <c r="R5" s="20" t="s">
        <v>0</v>
      </c>
      <c r="S5" s="22">
        <v>2604</v>
      </c>
    </row>
    <row r="6" spans="1:19" x14ac:dyDescent="0.4">
      <c r="A6" s="20" t="s">
        <v>54</v>
      </c>
      <c r="B6" s="20" t="s">
        <v>55</v>
      </c>
      <c r="C6" s="20" t="s">
        <v>67</v>
      </c>
      <c r="D6" s="20" t="s">
        <v>19</v>
      </c>
      <c r="E6" s="20" t="s">
        <v>20</v>
      </c>
      <c r="F6" s="20" t="s">
        <v>22</v>
      </c>
      <c r="G6" s="22">
        <v>49</v>
      </c>
      <c r="H6" s="22">
        <v>4900</v>
      </c>
      <c r="I6" s="20" t="s">
        <v>0</v>
      </c>
      <c r="J6" s="20" t="s">
        <v>0</v>
      </c>
      <c r="K6" s="22">
        <v>4900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20" t="s">
        <v>0</v>
      </c>
      <c r="R6" s="20" t="s">
        <v>0</v>
      </c>
      <c r="S6" s="22">
        <v>3430</v>
      </c>
    </row>
    <row r="7" spans="1:19" x14ac:dyDescent="0.4">
      <c r="A7" s="20" t="s">
        <v>54</v>
      </c>
      <c r="B7" s="20" t="s">
        <v>55</v>
      </c>
      <c r="C7" s="20" t="s">
        <v>67</v>
      </c>
      <c r="D7" s="20" t="s">
        <v>19</v>
      </c>
      <c r="E7" s="20" t="s">
        <v>20</v>
      </c>
      <c r="F7" s="20" t="s">
        <v>21</v>
      </c>
      <c r="G7" s="22">
        <v>753</v>
      </c>
      <c r="H7" s="22">
        <v>75300</v>
      </c>
      <c r="I7" s="20" t="s">
        <v>0</v>
      </c>
      <c r="J7" s="20" t="s">
        <v>0</v>
      </c>
      <c r="K7" s="20" t="s">
        <v>0</v>
      </c>
      <c r="L7" s="20" t="s">
        <v>0</v>
      </c>
      <c r="M7" s="22">
        <v>66700</v>
      </c>
      <c r="N7" s="22">
        <v>4600</v>
      </c>
      <c r="O7" s="22">
        <v>4000</v>
      </c>
      <c r="P7" s="20" t="s">
        <v>0</v>
      </c>
      <c r="Q7" s="20" t="s">
        <v>0</v>
      </c>
      <c r="R7" s="20" t="s">
        <v>0</v>
      </c>
      <c r="S7" s="22">
        <v>48041</v>
      </c>
    </row>
    <row r="8" spans="1:19" x14ac:dyDescent="0.4">
      <c r="A8" s="20" t="s">
        <v>62</v>
      </c>
      <c r="B8" s="20" t="s">
        <v>63</v>
      </c>
      <c r="C8" s="20" t="s">
        <v>67</v>
      </c>
      <c r="D8" s="20" t="s">
        <v>19</v>
      </c>
      <c r="E8" s="20" t="s">
        <v>20</v>
      </c>
      <c r="F8" s="20" t="s">
        <v>21</v>
      </c>
      <c r="G8" s="22">
        <v>512</v>
      </c>
      <c r="H8" s="22">
        <v>51200</v>
      </c>
      <c r="I8" s="20" t="s">
        <v>0</v>
      </c>
      <c r="J8" s="20" t="s">
        <v>0</v>
      </c>
      <c r="K8" s="20" t="s">
        <v>0</v>
      </c>
      <c r="L8" s="22">
        <v>47400</v>
      </c>
      <c r="M8" s="22">
        <v>2000</v>
      </c>
      <c r="N8" s="22">
        <v>1700</v>
      </c>
      <c r="O8" s="20" t="s">
        <v>0</v>
      </c>
      <c r="P8" s="20" t="s">
        <v>0</v>
      </c>
      <c r="Q8" s="22">
        <v>100</v>
      </c>
      <c r="R8" s="20" t="s">
        <v>0</v>
      </c>
      <c r="S8" s="22">
        <v>35700</v>
      </c>
    </row>
    <row r="9" spans="1:19" x14ac:dyDescent="0.4">
      <c r="S9" s="21">
        <f>SUM(S2:S8)</f>
        <v>115570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"/>
  <sheetViews>
    <sheetView zoomScale="85" zoomScaleNormal="85" workbookViewId="0"/>
  </sheetViews>
  <sheetFormatPr defaultRowHeight="17.399999999999999" x14ac:dyDescent="0.4"/>
  <cols>
    <col min="1" max="1" width="8.59765625" bestFit="1" customWidth="1"/>
    <col min="2" max="2" width="19.5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28</v>
      </c>
      <c r="B2" s="20" t="s">
        <v>29</v>
      </c>
      <c r="C2" s="20" t="s">
        <v>68</v>
      </c>
      <c r="D2" s="20" t="s">
        <v>19</v>
      </c>
      <c r="E2" s="20" t="s">
        <v>20</v>
      </c>
      <c r="F2" s="20" t="s">
        <v>21</v>
      </c>
      <c r="G2" s="22">
        <v>45</v>
      </c>
      <c r="H2" s="22">
        <v>4500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2">
        <v>4500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3150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5"/>
  <sheetViews>
    <sheetView zoomScale="88" zoomScaleNormal="88" workbookViewId="0">
      <selection activeCell="S5" sqref="S5"/>
    </sheetView>
  </sheetViews>
  <sheetFormatPr defaultRowHeight="17.399999999999999" x14ac:dyDescent="0.4"/>
  <cols>
    <col min="1" max="1" width="8.59765625" bestFit="1" customWidth="1"/>
    <col min="2" max="2" width="13.699218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42</v>
      </c>
      <c r="B2" s="20" t="s">
        <v>43</v>
      </c>
      <c r="C2" s="20" t="s">
        <v>69</v>
      </c>
      <c r="D2" s="20" t="s">
        <v>19</v>
      </c>
      <c r="E2" s="20" t="s">
        <v>20</v>
      </c>
      <c r="F2" s="20" t="s">
        <v>22</v>
      </c>
      <c r="G2" s="22">
        <v>2</v>
      </c>
      <c r="H2" s="22">
        <v>200</v>
      </c>
      <c r="I2" s="20" t="s">
        <v>0</v>
      </c>
      <c r="J2" s="20" t="s">
        <v>0</v>
      </c>
      <c r="K2" s="22">
        <v>200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140</v>
      </c>
    </row>
    <row r="3" spans="1:19" x14ac:dyDescent="0.4">
      <c r="A3" s="20" t="s">
        <v>46</v>
      </c>
      <c r="B3" s="20" t="s">
        <v>47</v>
      </c>
      <c r="C3" s="20" t="s">
        <v>69</v>
      </c>
      <c r="D3" s="20" t="s">
        <v>19</v>
      </c>
      <c r="E3" s="20" t="s">
        <v>20</v>
      </c>
      <c r="F3" s="20" t="s">
        <v>22</v>
      </c>
      <c r="G3" s="22">
        <v>42</v>
      </c>
      <c r="H3" s="22">
        <v>4200</v>
      </c>
      <c r="I3" s="20" t="s">
        <v>0</v>
      </c>
      <c r="J3" s="20" t="s">
        <v>0</v>
      </c>
      <c r="K3" s="22">
        <v>4200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2940</v>
      </c>
    </row>
    <row r="4" spans="1:19" x14ac:dyDescent="0.4">
      <c r="A4" s="20" t="s">
        <v>46</v>
      </c>
      <c r="B4" s="20" t="s">
        <v>47</v>
      </c>
      <c r="C4" s="20" t="s">
        <v>69</v>
      </c>
      <c r="D4" s="20" t="s">
        <v>19</v>
      </c>
      <c r="E4" s="20" t="s">
        <v>20</v>
      </c>
      <c r="F4" s="20" t="s">
        <v>21</v>
      </c>
      <c r="G4" s="22">
        <v>187</v>
      </c>
      <c r="H4" s="22">
        <v>18700</v>
      </c>
      <c r="I4" s="20" t="s">
        <v>0</v>
      </c>
      <c r="J4" s="20" t="s">
        <v>0</v>
      </c>
      <c r="K4" s="20" t="s">
        <v>0</v>
      </c>
      <c r="L4" s="20" t="s">
        <v>0</v>
      </c>
      <c r="M4" s="22">
        <v>14800</v>
      </c>
      <c r="N4" s="22">
        <v>900</v>
      </c>
      <c r="O4" s="22">
        <v>3000</v>
      </c>
      <c r="P4" s="20" t="s">
        <v>0</v>
      </c>
      <c r="Q4" s="20" t="s">
        <v>0</v>
      </c>
      <c r="R4" s="20" t="s">
        <v>0</v>
      </c>
      <c r="S4" s="22">
        <v>12054</v>
      </c>
    </row>
    <row r="5" spans="1:19" x14ac:dyDescent="0.4">
      <c r="S5" s="21">
        <f>SUM(S2:S4)</f>
        <v>15134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5"/>
  <sheetViews>
    <sheetView zoomScale="78" zoomScaleNormal="78" workbookViewId="0">
      <selection activeCell="S5" sqref="S5"/>
    </sheetView>
  </sheetViews>
  <sheetFormatPr defaultRowHeight="17.399999999999999" x14ac:dyDescent="0.4"/>
  <cols>
    <col min="1" max="1" width="8.59765625" bestFit="1" customWidth="1"/>
    <col min="2" max="2" width="33.5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30</v>
      </c>
      <c r="B2" s="20" t="s">
        <v>31</v>
      </c>
      <c r="C2" s="20" t="s">
        <v>70</v>
      </c>
      <c r="D2" s="20" t="s">
        <v>19</v>
      </c>
      <c r="E2" s="20" t="s">
        <v>20</v>
      </c>
      <c r="F2" s="20" t="s">
        <v>22</v>
      </c>
      <c r="G2" s="22">
        <v>32</v>
      </c>
      <c r="H2" s="22">
        <v>3200</v>
      </c>
      <c r="I2" s="20" t="s">
        <v>0</v>
      </c>
      <c r="J2" s="20" t="s">
        <v>0</v>
      </c>
      <c r="K2" s="22">
        <v>3200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2240</v>
      </c>
    </row>
    <row r="3" spans="1:19" x14ac:dyDescent="0.4">
      <c r="A3" s="20" t="s">
        <v>30</v>
      </c>
      <c r="B3" s="20" t="s">
        <v>31</v>
      </c>
      <c r="C3" s="20" t="s">
        <v>70</v>
      </c>
      <c r="D3" s="20" t="s">
        <v>19</v>
      </c>
      <c r="E3" s="20" t="s">
        <v>20</v>
      </c>
      <c r="F3" s="20" t="s">
        <v>21</v>
      </c>
      <c r="G3" s="22">
        <v>385</v>
      </c>
      <c r="H3" s="22">
        <v>38500</v>
      </c>
      <c r="I3" s="20" t="s">
        <v>0</v>
      </c>
      <c r="J3" s="20" t="s">
        <v>0</v>
      </c>
      <c r="K3" s="20" t="s">
        <v>0</v>
      </c>
      <c r="L3" s="20" t="s">
        <v>0</v>
      </c>
      <c r="M3" s="22">
        <v>38200</v>
      </c>
      <c r="N3" s="22">
        <v>300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24276</v>
      </c>
    </row>
    <row r="4" spans="1:19" x14ac:dyDescent="0.4">
      <c r="A4" s="20" t="s">
        <v>56</v>
      </c>
      <c r="B4" s="20" t="s">
        <v>57</v>
      </c>
      <c r="C4" s="20" t="s">
        <v>70</v>
      </c>
      <c r="D4" s="20" t="s">
        <v>19</v>
      </c>
      <c r="E4" s="20" t="s">
        <v>20</v>
      </c>
      <c r="F4" s="20" t="s">
        <v>21</v>
      </c>
      <c r="G4" s="22">
        <v>494</v>
      </c>
      <c r="H4" s="22">
        <v>49400</v>
      </c>
      <c r="I4" s="20" t="s">
        <v>0</v>
      </c>
      <c r="J4" s="20" t="s">
        <v>0</v>
      </c>
      <c r="K4" s="20" t="s">
        <v>0</v>
      </c>
      <c r="L4" s="22">
        <v>49200</v>
      </c>
      <c r="M4" s="20" t="s">
        <v>0</v>
      </c>
      <c r="N4" s="22">
        <v>200</v>
      </c>
      <c r="O4" s="20" t="s">
        <v>0</v>
      </c>
      <c r="P4" s="20" t="s">
        <v>0</v>
      </c>
      <c r="Q4" s="20" t="s">
        <v>0</v>
      </c>
      <c r="R4" s="20" t="s">
        <v>0</v>
      </c>
      <c r="S4" s="22">
        <v>34580</v>
      </c>
    </row>
    <row r="5" spans="1:19" x14ac:dyDescent="0.4">
      <c r="S5" s="21">
        <f>SUM(S2:S4)</f>
        <v>61096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2"/>
  <sheetViews>
    <sheetView zoomScale="91" zoomScaleNormal="91" workbookViewId="0">
      <selection activeCell="S3" sqref="S3"/>
    </sheetView>
  </sheetViews>
  <sheetFormatPr defaultRowHeight="17.399999999999999" x14ac:dyDescent="0.4"/>
  <cols>
    <col min="1" max="1" width="8.59765625" bestFit="1" customWidth="1"/>
    <col min="2" max="2" width="11.699218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32</v>
      </c>
      <c r="B2" s="20" t="s">
        <v>33</v>
      </c>
      <c r="C2" s="20" t="s">
        <v>71</v>
      </c>
      <c r="D2" s="20" t="s">
        <v>19</v>
      </c>
      <c r="E2" s="20" t="s">
        <v>20</v>
      </c>
      <c r="F2" s="20" t="s">
        <v>22</v>
      </c>
      <c r="G2" s="22">
        <v>59</v>
      </c>
      <c r="H2" s="22">
        <v>5900</v>
      </c>
      <c r="I2" s="20" t="s">
        <v>0</v>
      </c>
      <c r="J2" s="20" t="s">
        <v>0</v>
      </c>
      <c r="K2" s="22">
        <v>5900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4130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4"/>
  <sheetViews>
    <sheetView zoomScale="79" zoomScaleNormal="79" workbookViewId="0">
      <selection activeCell="S4" sqref="S4"/>
    </sheetView>
  </sheetViews>
  <sheetFormatPr defaultRowHeight="17.399999999999999" x14ac:dyDescent="0.4"/>
  <cols>
    <col min="1" max="1" width="8.59765625" bestFit="1" customWidth="1"/>
    <col min="2" max="2" width="10.39843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34</v>
      </c>
      <c r="B2" s="20" t="s">
        <v>35</v>
      </c>
      <c r="C2" s="20" t="s">
        <v>72</v>
      </c>
      <c r="D2" s="20" t="s">
        <v>19</v>
      </c>
      <c r="E2" s="20" t="s">
        <v>20</v>
      </c>
      <c r="F2" s="20" t="s">
        <v>22</v>
      </c>
      <c r="G2" s="22">
        <v>98</v>
      </c>
      <c r="H2" s="22">
        <v>9800</v>
      </c>
      <c r="I2" s="20" t="s">
        <v>0</v>
      </c>
      <c r="J2" s="20" t="s">
        <v>0</v>
      </c>
      <c r="K2" s="22">
        <v>9800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6860</v>
      </c>
    </row>
    <row r="3" spans="1:19" x14ac:dyDescent="0.4">
      <c r="A3" s="20" t="s">
        <v>34</v>
      </c>
      <c r="B3" s="20" t="s">
        <v>35</v>
      </c>
      <c r="C3" s="20" t="s">
        <v>72</v>
      </c>
      <c r="D3" s="20" t="s">
        <v>19</v>
      </c>
      <c r="E3" s="20" t="s">
        <v>20</v>
      </c>
      <c r="F3" s="20" t="s">
        <v>21</v>
      </c>
      <c r="G3" s="22">
        <v>97</v>
      </c>
      <c r="H3" s="22">
        <v>9700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2">
        <v>9700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6790</v>
      </c>
    </row>
    <row r="4" spans="1:19" x14ac:dyDescent="0.4">
      <c r="S4" s="21">
        <f>SUM(S2:S3)</f>
        <v>13650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S2"/>
  <sheetViews>
    <sheetView zoomScale="91" zoomScaleNormal="91" workbookViewId="0"/>
  </sheetViews>
  <sheetFormatPr defaultRowHeight="17.399999999999999" x14ac:dyDescent="0.4"/>
  <cols>
    <col min="1" max="1" width="8.59765625" bestFit="1" customWidth="1"/>
    <col min="2" max="2" width="13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38</v>
      </c>
      <c r="B2" s="20" t="s">
        <v>39</v>
      </c>
      <c r="C2" s="20" t="s">
        <v>73</v>
      </c>
      <c r="D2" s="20" t="s">
        <v>19</v>
      </c>
      <c r="E2" s="20" t="s">
        <v>20</v>
      </c>
      <c r="F2" s="20" t="s">
        <v>21</v>
      </c>
      <c r="G2" s="22">
        <v>4410</v>
      </c>
      <c r="H2" s="22">
        <v>441000</v>
      </c>
      <c r="I2" s="20" t="s">
        <v>0</v>
      </c>
      <c r="J2" s="20" t="s">
        <v>0</v>
      </c>
      <c r="K2" s="20" t="s">
        <v>0</v>
      </c>
      <c r="L2" s="22">
        <v>34000</v>
      </c>
      <c r="M2" s="22">
        <v>320500</v>
      </c>
      <c r="N2" s="22">
        <v>57400</v>
      </c>
      <c r="O2" s="22">
        <v>29100</v>
      </c>
      <c r="P2" s="20" t="s">
        <v>0</v>
      </c>
      <c r="Q2" s="20" t="s">
        <v>0</v>
      </c>
      <c r="R2" s="20" t="s">
        <v>0</v>
      </c>
      <c r="S2" s="22">
        <v>286265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2"/>
  <sheetViews>
    <sheetView zoomScale="83" zoomScaleNormal="83" workbookViewId="0"/>
  </sheetViews>
  <sheetFormatPr defaultRowHeight="17.399999999999999" x14ac:dyDescent="0.4"/>
  <cols>
    <col min="1" max="1" width="8.59765625" bestFit="1" customWidth="1"/>
    <col min="2" max="2" width="13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44</v>
      </c>
      <c r="B2" s="20" t="s">
        <v>45</v>
      </c>
      <c r="C2" s="20" t="s">
        <v>74</v>
      </c>
      <c r="D2" s="20" t="s">
        <v>19</v>
      </c>
      <c r="E2" s="20" t="s">
        <v>20</v>
      </c>
      <c r="F2" s="20" t="s">
        <v>21</v>
      </c>
      <c r="G2" s="22">
        <v>561</v>
      </c>
      <c r="H2" s="22">
        <v>56100</v>
      </c>
      <c r="I2" s="20" t="s">
        <v>0</v>
      </c>
      <c r="J2" s="20" t="s">
        <v>0</v>
      </c>
      <c r="K2" s="20" t="s">
        <v>0</v>
      </c>
      <c r="L2" s="22">
        <v>52600</v>
      </c>
      <c r="M2" s="22">
        <v>2400</v>
      </c>
      <c r="N2" s="20" t="s">
        <v>0</v>
      </c>
      <c r="O2" s="22">
        <v>600</v>
      </c>
      <c r="P2" s="20" t="s">
        <v>0</v>
      </c>
      <c r="Q2" s="22">
        <v>500</v>
      </c>
      <c r="R2" s="20" t="s">
        <v>0</v>
      </c>
      <c r="S2" s="22">
        <v>39102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4"/>
  <sheetViews>
    <sheetView zoomScale="83" zoomScaleNormal="83" workbookViewId="0">
      <selection activeCell="S4" sqref="S4"/>
    </sheetView>
  </sheetViews>
  <sheetFormatPr defaultRowHeight="17.399999999999999" x14ac:dyDescent="0.4"/>
  <cols>
    <col min="1" max="1" width="8.59765625" bestFit="1" customWidth="1"/>
    <col min="2" max="2" width="11.09765625" bestFit="1" customWidth="1"/>
    <col min="3" max="3" width="14.39843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48</v>
      </c>
      <c r="B2" s="20" t="s">
        <v>49</v>
      </c>
      <c r="C2" s="20" t="s">
        <v>75</v>
      </c>
      <c r="D2" s="20" t="s">
        <v>19</v>
      </c>
      <c r="E2" s="20" t="s">
        <v>20</v>
      </c>
      <c r="F2" s="20" t="s">
        <v>22</v>
      </c>
      <c r="G2" s="22">
        <v>57</v>
      </c>
      <c r="H2" s="22">
        <v>5700</v>
      </c>
      <c r="I2" s="20" t="s">
        <v>0</v>
      </c>
      <c r="J2" s="20" t="s">
        <v>0</v>
      </c>
      <c r="K2" s="22">
        <v>5700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3990</v>
      </c>
    </row>
    <row r="3" spans="1:19" x14ac:dyDescent="0.4">
      <c r="A3" s="20" t="s">
        <v>48</v>
      </c>
      <c r="B3" s="20" t="s">
        <v>49</v>
      </c>
      <c r="C3" s="20" t="s">
        <v>75</v>
      </c>
      <c r="D3" s="20" t="s">
        <v>19</v>
      </c>
      <c r="E3" s="20" t="s">
        <v>20</v>
      </c>
      <c r="F3" s="20" t="s">
        <v>21</v>
      </c>
      <c r="G3" s="22">
        <v>53</v>
      </c>
      <c r="H3" s="22">
        <v>5300</v>
      </c>
      <c r="I3" s="20" t="s">
        <v>0</v>
      </c>
      <c r="J3" s="20" t="s">
        <v>0</v>
      </c>
      <c r="K3" s="20" t="s">
        <v>0</v>
      </c>
      <c r="L3" s="20" t="s">
        <v>0</v>
      </c>
      <c r="M3" s="22">
        <v>4500</v>
      </c>
      <c r="N3" s="22">
        <v>300</v>
      </c>
      <c r="O3" s="22">
        <v>500</v>
      </c>
      <c r="P3" s="20" t="s">
        <v>0</v>
      </c>
      <c r="Q3" s="20" t="s">
        <v>0</v>
      </c>
      <c r="R3" s="20" t="s">
        <v>0</v>
      </c>
      <c r="S3" s="22">
        <v>3395</v>
      </c>
    </row>
    <row r="4" spans="1:19" x14ac:dyDescent="0.4">
      <c r="S4" s="21">
        <f>SUM(S2:S3)</f>
        <v>7385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S4"/>
  <sheetViews>
    <sheetView zoomScale="88" zoomScaleNormal="88" workbookViewId="0">
      <selection activeCell="S4" sqref="S4"/>
    </sheetView>
  </sheetViews>
  <sheetFormatPr defaultRowHeight="17.399999999999999" x14ac:dyDescent="0.4"/>
  <cols>
    <col min="1" max="1" width="8.59765625" bestFit="1" customWidth="1"/>
    <col min="2" max="2" width="10.39843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50</v>
      </c>
      <c r="B2" s="20" t="s">
        <v>51</v>
      </c>
      <c r="C2" s="20" t="s">
        <v>78</v>
      </c>
      <c r="D2" s="20" t="s">
        <v>19</v>
      </c>
      <c r="E2" s="20" t="s">
        <v>20</v>
      </c>
      <c r="F2" s="20" t="s">
        <v>22</v>
      </c>
      <c r="G2" s="22">
        <v>16</v>
      </c>
      <c r="H2" s="22">
        <v>1600</v>
      </c>
      <c r="I2" s="20" t="s">
        <v>0</v>
      </c>
      <c r="J2" s="20" t="s">
        <v>0</v>
      </c>
      <c r="K2" s="22">
        <v>1600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1120</v>
      </c>
    </row>
    <row r="3" spans="1:19" x14ac:dyDescent="0.4">
      <c r="A3" s="20" t="s">
        <v>50</v>
      </c>
      <c r="B3" s="20" t="s">
        <v>51</v>
      </c>
      <c r="C3" s="20" t="s">
        <v>79</v>
      </c>
      <c r="D3" s="20" t="s">
        <v>19</v>
      </c>
      <c r="E3" s="20" t="s">
        <v>20</v>
      </c>
      <c r="F3" s="20" t="s">
        <v>21</v>
      </c>
      <c r="G3" s="22">
        <v>2</v>
      </c>
      <c r="H3" s="22">
        <v>200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2">
        <v>200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140</v>
      </c>
    </row>
    <row r="4" spans="1:19" x14ac:dyDescent="0.4">
      <c r="S4" s="21">
        <f>SUM(S2:S3)</f>
        <v>1260</v>
      </c>
    </row>
  </sheetData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S2"/>
  <sheetViews>
    <sheetView zoomScale="82" zoomScaleNormal="82" workbookViewId="0"/>
  </sheetViews>
  <sheetFormatPr defaultRowHeight="17.399999999999999" x14ac:dyDescent="0.4"/>
  <cols>
    <col min="1" max="1" width="8.59765625" bestFit="1" customWidth="1"/>
    <col min="2" max="2" width="1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58</v>
      </c>
      <c r="B2" s="20" t="s">
        <v>59</v>
      </c>
      <c r="C2" s="20" t="s">
        <v>76</v>
      </c>
      <c r="D2" s="20" t="s">
        <v>19</v>
      </c>
      <c r="E2" s="20" t="s">
        <v>20</v>
      </c>
      <c r="F2" s="20" t="s">
        <v>21</v>
      </c>
      <c r="G2" s="22">
        <v>864</v>
      </c>
      <c r="H2" s="22">
        <v>86400</v>
      </c>
      <c r="I2" s="20" t="s">
        <v>0</v>
      </c>
      <c r="J2" s="20" t="s">
        <v>0</v>
      </c>
      <c r="K2" s="20" t="s">
        <v>0</v>
      </c>
      <c r="L2" s="22">
        <v>63800</v>
      </c>
      <c r="M2" s="22">
        <v>21100</v>
      </c>
      <c r="N2" s="22">
        <v>1500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59003</v>
      </c>
    </row>
  </sheetData>
  <phoneticPr fontId="2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S2"/>
  <sheetViews>
    <sheetView zoomScale="88" zoomScaleNormal="88" workbookViewId="0"/>
  </sheetViews>
  <sheetFormatPr defaultRowHeight="17.399999999999999" x14ac:dyDescent="0.4"/>
  <cols>
    <col min="1" max="1" width="8.59765625" bestFit="1" customWidth="1"/>
    <col min="2" max="2" width="12.39843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27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64</v>
      </c>
      <c r="B2" s="20" t="s">
        <v>65</v>
      </c>
      <c r="C2" s="20" t="s">
        <v>77</v>
      </c>
      <c r="D2" s="20" t="s">
        <v>19</v>
      </c>
      <c r="E2" s="20" t="s">
        <v>20</v>
      </c>
      <c r="F2" s="20" t="s">
        <v>21</v>
      </c>
      <c r="G2" s="22">
        <v>594</v>
      </c>
      <c r="H2" s="22">
        <v>59400</v>
      </c>
      <c r="I2" s="20" t="s">
        <v>0</v>
      </c>
      <c r="J2" s="20" t="s">
        <v>0</v>
      </c>
      <c r="K2" s="20" t="s">
        <v>0</v>
      </c>
      <c r="L2" s="22">
        <v>58900</v>
      </c>
      <c r="M2" s="22">
        <v>100</v>
      </c>
      <c r="N2" s="22">
        <v>400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41573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13</vt:i4>
      </vt:variant>
    </vt:vector>
  </HeadingPairs>
  <TitlesOfParts>
    <vt:vector size="27" baseType="lpstr">
      <vt:lpstr>정산내역(2)</vt:lpstr>
      <vt:lpstr>권용찬</vt:lpstr>
      <vt:lpstr>김광수</vt:lpstr>
      <vt:lpstr>하이후</vt:lpstr>
      <vt:lpstr>무장</vt:lpstr>
      <vt:lpstr>청빙</vt:lpstr>
      <vt:lpstr>찬동</vt:lpstr>
      <vt:lpstr>독고진</vt:lpstr>
      <vt:lpstr>담화공</vt:lpstr>
      <vt:lpstr>공든탑</vt:lpstr>
      <vt:lpstr>시계태엽오란씨</vt:lpstr>
      <vt:lpstr>가람검</vt:lpstr>
      <vt:lpstr>벗우</vt:lpstr>
      <vt:lpstr>이준영</vt:lpstr>
      <vt:lpstr>가람검!Extract</vt:lpstr>
      <vt:lpstr>공든탑!Extract</vt:lpstr>
      <vt:lpstr>권용찬!Extract</vt:lpstr>
      <vt:lpstr>김광수!Extract</vt:lpstr>
      <vt:lpstr>담화공!Extract</vt:lpstr>
      <vt:lpstr>독고진!Extract</vt:lpstr>
      <vt:lpstr>무장!Extract</vt:lpstr>
      <vt:lpstr>벗우!Extract</vt:lpstr>
      <vt:lpstr>시계태엽오란씨!Extract</vt:lpstr>
      <vt:lpstr>이준영!Extract</vt:lpstr>
      <vt:lpstr>찬동!Extract</vt:lpstr>
      <vt:lpstr>청빙!Extract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2021-11-08T05:19:07Z</dcterms:created>
  <dcterms:modified xsi:type="dcterms:W3CDTF">2022-03-06T06:03:52Z</dcterms:modified>
</cp:coreProperties>
</file>