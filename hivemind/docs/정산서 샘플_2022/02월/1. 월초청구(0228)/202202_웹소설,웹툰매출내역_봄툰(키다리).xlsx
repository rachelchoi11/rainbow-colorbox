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 tabRatio="766"/>
  </bookViews>
  <sheets>
    <sheet name="합계(2)" sheetId="7" r:id="rId1"/>
    <sheet name="더컴퍼니" sheetId="12" r:id="rId2"/>
    <sheet name="혜원" sheetId="13" r:id="rId3"/>
    <sheet name="진엔터" sheetId="14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1" hidden="1">더컴퍼니!$A$1:$AE$36</definedName>
    <definedName name="_xlnm._FilterDatabase" localSheetId="0" hidden="1">'합계(2)'!$A$1:$AE$42</definedName>
    <definedName name="AFFMST">[1]AFFMST!$A$1:$E$42</definedName>
    <definedName name="B1057365" localSheetId="1">#REF!</definedName>
    <definedName name="B1057365">#REF!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 localSheetId="1">'[2]コイン報告書_foreign CP'!#REF!</definedName>
    <definedName name="direct_item" localSheetId="0">'[2]コイン報告書_foreign CP'!#REF!</definedName>
    <definedName name="direct_item">'[2]コイン報告書_foreign CP'!#REF!</definedName>
    <definedName name="direct_items" localSheetId="1">'[2]コイン報告書_foreign CP'!#REF!</definedName>
    <definedName name="direct_items" localSheetId="0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 localSheetId="1">'[2]コイン報告書_foreign CP'!#REF!</definedName>
    <definedName name="direct_report_ym" localSheetId="0">'[2]コイン報告書_foreign CP'!#REF!</definedName>
    <definedName name="direct_report_ym">'[2]コイン報告書_foreign CP'!#REF!</definedName>
    <definedName name="_xlnm.Extract" localSheetId="1">더컴퍼니!#REF!</definedName>
    <definedName name="_xlnm.Extract" localSheetId="0">'합계(2)'!#REF!</definedName>
    <definedName name="FFF" localSheetId="1">'[2]コイン報告書_foreign CP'!#REF!</definedName>
    <definedName name="FFF" localSheetId="0">'[2]コイン報告書_foreign CP'!#REF!</definedName>
    <definedName name="FFF">'[2]コイン報告書_foreign CP'!#REF!</definedName>
    <definedName name="withholdingtaxrate">'[2]コイン報告書_foreign CP'!$W$36</definedName>
    <definedName name="ws_items" localSheetId="1">'[2]コイン報告書_foreign CP'!#REF!</definedName>
    <definedName name="ws_items" localSheetId="0">'[2]コイン報告書_foreign CP'!#REF!</definedName>
    <definedName name="ws_items">'[2]コイン報告書_foreign CP'!#REF!</definedName>
    <definedName name="ws_report_rs_ratio" localSheetId="1">'[2]コイン報告書_foreign CP'!#REF!</definedName>
    <definedName name="ws_report_rs_ratio" localSheetId="0">'[2]コイン報告書_foreign CP'!#REF!</definedName>
    <definedName name="ws_report_rs_ratio">'[2]コイン報告書_foreign CP'!#REF!</definedName>
    <definedName name="ws_report_rs_ratio1" localSheetId="1">'[2]コイン報告書_foreign CP'!#REF!</definedName>
    <definedName name="ws_report_rs_ratio1" localSheetId="0">'[2]コイン報告書_foreign CP'!#REF!</definedName>
    <definedName name="ws_report_rs_ratio1">'[2]コイン報告書_foreign CP'!#REF!</definedName>
    <definedName name="ws_report_rs_ratio2" localSheetId="1">'[2]コイン報告書_foreign CP'!#REF!</definedName>
    <definedName name="ws_report_rs_ratio2" localSheetId="0">'[2]コイン報告書_foreign CP'!#REF!</definedName>
    <definedName name="ws_report_rs_ratio2">'[2]コイン報告書_foreign CP'!#REF!</definedName>
    <definedName name="ws_report_ym" localSheetId="1">'[2]コイン報告書_foreign CP'!#REF!</definedName>
    <definedName name="ws_report_ym" localSheetId="0">'[2]コイン報告書_foreign CP'!#REF!</definedName>
    <definedName name="ws_report_ym">'[2]コイン報告書_foreign CP'!#REF!</definedName>
    <definedName name="ㄹ" localSheetId="1">'[3]コイン報告書_foreign CP'!#REF!</definedName>
    <definedName name="ㄹ" localSheetId="0">'[3]コイン報告書_foreign CP'!#REF!</definedName>
    <definedName name="ㄹ">'[3]コイン報告書_foreign CP'!#REF!</definedName>
    <definedName name="타이틀명">[4]hidden!$A$2:$A$120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4" l="1"/>
  <c r="V2" i="14"/>
  <c r="R2" i="14"/>
  <c r="S2" i="14" s="1"/>
  <c r="AD2" i="13"/>
  <c r="V2" i="13"/>
  <c r="W2" i="13" s="1"/>
  <c r="R2" i="13"/>
  <c r="Y2" i="13" s="1"/>
  <c r="R18" i="12"/>
  <c r="AD35" i="12"/>
  <c r="V35" i="12"/>
  <c r="W35" i="12" s="1"/>
  <c r="R35" i="12"/>
  <c r="S35" i="12" s="1"/>
  <c r="X35" i="12" s="1"/>
  <c r="AA35" i="12" s="1"/>
  <c r="AB35" i="12" s="1"/>
  <c r="AC35" i="12" s="1"/>
  <c r="AE35" i="12" s="1"/>
  <c r="AD34" i="12"/>
  <c r="V34" i="12"/>
  <c r="W34" i="12" s="1"/>
  <c r="R34" i="12"/>
  <c r="Y34" i="12" s="1"/>
  <c r="AD33" i="12"/>
  <c r="V33" i="12"/>
  <c r="W33" i="12" s="1"/>
  <c r="R33" i="12"/>
  <c r="S33" i="12" s="1"/>
  <c r="AD32" i="12"/>
  <c r="V32" i="12"/>
  <c r="W32" i="12" s="1"/>
  <c r="R32" i="12"/>
  <c r="Y32" i="12" s="1"/>
  <c r="AD31" i="12"/>
  <c r="V31" i="12"/>
  <c r="W31" i="12" s="1"/>
  <c r="S31" i="12"/>
  <c r="X31" i="12" s="1"/>
  <c r="AA31" i="12" s="1"/>
  <c r="AB31" i="12" s="1"/>
  <c r="AC31" i="12" s="1"/>
  <c r="AE31" i="12" s="1"/>
  <c r="R31" i="12"/>
  <c r="Y31" i="12" s="1"/>
  <c r="AD30" i="12"/>
  <c r="V30" i="12"/>
  <c r="W30" i="12" s="1"/>
  <c r="R30" i="12"/>
  <c r="S30" i="12" s="1"/>
  <c r="X30" i="12" s="1"/>
  <c r="AA30" i="12" s="1"/>
  <c r="AB30" i="12" s="1"/>
  <c r="AC30" i="12" s="1"/>
  <c r="AE30" i="12" s="1"/>
  <c r="AD29" i="12"/>
  <c r="V29" i="12"/>
  <c r="W29" i="12" s="1"/>
  <c r="R29" i="12"/>
  <c r="Y29" i="12" s="1"/>
  <c r="AD28" i="12"/>
  <c r="V28" i="12"/>
  <c r="W28" i="12" s="1"/>
  <c r="R28" i="12"/>
  <c r="AD27" i="12"/>
  <c r="Y27" i="12"/>
  <c r="V27" i="12"/>
  <c r="W27" i="12" s="1"/>
  <c r="R27" i="12"/>
  <c r="S27" i="12" s="1"/>
  <c r="AD26" i="12"/>
  <c r="V26" i="12"/>
  <c r="W26" i="12" s="1"/>
  <c r="R26" i="12"/>
  <c r="AD25" i="12"/>
  <c r="W25" i="12"/>
  <c r="V25" i="12"/>
  <c r="Y25" i="12" s="1"/>
  <c r="R25" i="12"/>
  <c r="S25" i="12" s="1"/>
  <c r="AD24" i="12"/>
  <c r="V24" i="12"/>
  <c r="W24" i="12" s="1"/>
  <c r="R24" i="12"/>
  <c r="Y24" i="12" s="1"/>
  <c r="AD23" i="12"/>
  <c r="V23" i="12"/>
  <c r="W23" i="12" s="1"/>
  <c r="R23" i="12"/>
  <c r="AD22" i="12"/>
  <c r="V22" i="12"/>
  <c r="W22" i="12" s="1"/>
  <c r="R22" i="12"/>
  <c r="Y22" i="12" s="1"/>
  <c r="AD21" i="12"/>
  <c r="V21" i="12"/>
  <c r="W21" i="12" s="1"/>
  <c r="R21" i="12"/>
  <c r="Y21" i="12" s="1"/>
  <c r="AD20" i="12"/>
  <c r="V20" i="12"/>
  <c r="W20" i="12" s="1"/>
  <c r="R20" i="12"/>
  <c r="AD19" i="12"/>
  <c r="Y19" i="12"/>
  <c r="V19" i="12"/>
  <c r="W19" i="12" s="1"/>
  <c r="S19" i="12"/>
  <c r="R19" i="12"/>
  <c r="AD18" i="12"/>
  <c r="V18" i="12"/>
  <c r="W18" i="12" s="1"/>
  <c r="S18" i="12"/>
  <c r="X18" i="12" s="1"/>
  <c r="AA18" i="12" s="1"/>
  <c r="AB18" i="12" s="1"/>
  <c r="AC18" i="12" s="1"/>
  <c r="AE18" i="12" s="1"/>
  <c r="Y18" i="12"/>
  <c r="AD17" i="12"/>
  <c r="W17" i="12"/>
  <c r="V17" i="12"/>
  <c r="R17" i="12"/>
  <c r="S17" i="12" s="1"/>
  <c r="AD16" i="12"/>
  <c r="V16" i="12"/>
  <c r="W16" i="12" s="1"/>
  <c r="R16" i="12"/>
  <c r="AD15" i="12"/>
  <c r="V15" i="12"/>
  <c r="W15" i="12" s="1"/>
  <c r="R15" i="12"/>
  <c r="AD14" i="12"/>
  <c r="Y14" i="12"/>
  <c r="V14" i="12"/>
  <c r="W14" i="12" s="1"/>
  <c r="R14" i="12"/>
  <c r="S14" i="12" s="1"/>
  <c r="AD13" i="12"/>
  <c r="V13" i="12"/>
  <c r="W13" i="12" s="1"/>
  <c r="R13" i="12"/>
  <c r="AD12" i="12"/>
  <c r="W12" i="12"/>
  <c r="X12" i="12" s="1"/>
  <c r="AA12" i="12" s="1"/>
  <c r="AB12" i="12" s="1"/>
  <c r="AC12" i="12" s="1"/>
  <c r="AE12" i="12" s="1"/>
  <c r="V12" i="12"/>
  <c r="S12" i="12"/>
  <c r="R12" i="12"/>
  <c r="Y12" i="12" s="1"/>
  <c r="AD11" i="12"/>
  <c r="Y11" i="12"/>
  <c r="V11" i="12"/>
  <c r="W11" i="12" s="1"/>
  <c r="R11" i="12"/>
  <c r="S11" i="12" s="1"/>
  <c r="AD10" i="12"/>
  <c r="V10" i="12"/>
  <c r="W10" i="12" s="1"/>
  <c r="R10" i="12"/>
  <c r="Y10" i="12" s="1"/>
  <c r="AD9" i="12"/>
  <c r="V9" i="12"/>
  <c r="Y9" i="12" s="1"/>
  <c r="R9" i="12"/>
  <c r="S9" i="12" s="1"/>
  <c r="AD8" i="12"/>
  <c r="V8" i="12"/>
  <c r="W8" i="12" s="1"/>
  <c r="R8" i="12"/>
  <c r="Y8" i="12" s="1"/>
  <c r="AD7" i="12"/>
  <c r="V7" i="12"/>
  <c r="W7" i="12" s="1"/>
  <c r="S7" i="12"/>
  <c r="X7" i="12" s="1"/>
  <c r="AA7" i="12" s="1"/>
  <c r="AB7" i="12" s="1"/>
  <c r="AC7" i="12" s="1"/>
  <c r="AE7" i="12" s="1"/>
  <c r="R7" i="12"/>
  <c r="Y7" i="12" s="1"/>
  <c r="AD6" i="12"/>
  <c r="Y6" i="12"/>
  <c r="V6" i="12"/>
  <c r="W6" i="12" s="1"/>
  <c r="X6" i="12" s="1"/>
  <c r="AA6" i="12" s="1"/>
  <c r="AB6" i="12" s="1"/>
  <c r="AC6" i="12" s="1"/>
  <c r="AE6" i="12" s="1"/>
  <c r="S6" i="12"/>
  <c r="R6" i="12"/>
  <c r="AD5" i="12"/>
  <c r="V5" i="12"/>
  <c r="W5" i="12" s="1"/>
  <c r="R5" i="12"/>
  <c r="Y5" i="12" s="1"/>
  <c r="AD4" i="12"/>
  <c r="V4" i="12"/>
  <c r="W4" i="12" s="1"/>
  <c r="R4" i="12"/>
  <c r="AD3" i="12"/>
  <c r="V3" i="12"/>
  <c r="W3" i="12" s="1"/>
  <c r="R3" i="12"/>
  <c r="S3" i="12" s="1"/>
  <c r="AD2" i="12"/>
  <c r="V2" i="12"/>
  <c r="W2" i="12" s="1"/>
  <c r="R2" i="12"/>
  <c r="Y2" i="12" s="1"/>
  <c r="AD35" i="7"/>
  <c r="V35" i="7"/>
  <c r="W35" i="7" s="1"/>
  <c r="R35" i="7"/>
  <c r="S35" i="7" s="1"/>
  <c r="AD34" i="7"/>
  <c r="V34" i="7"/>
  <c r="W34" i="7" s="1"/>
  <c r="R34" i="7"/>
  <c r="S34" i="7" s="1"/>
  <c r="AD33" i="7"/>
  <c r="V33" i="7"/>
  <c r="W33" i="7" s="1"/>
  <c r="R33" i="7"/>
  <c r="AD32" i="7"/>
  <c r="V32" i="7"/>
  <c r="W32" i="7" s="1"/>
  <c r="R32" i="7"/>
  <c r="S32" i="7" s="1"/>
  <c r="AD31" i="7"/>
  <c r="V31" i="7"/>
  <c r="W31" i="7" s="1"/>
  <c r="R31" i="7"/>
  <c r="S31" i="7" s="1"/>
  <c r="AD30" i="7"/>
  <c r="V30" i="7"/>
  <c r="R30" i="7"/>
  <c r="S30" i="7" s="1"/>
  <c r="AD29" i="7"/>
  <c r="V29" i="7"/>
  <c r="R29" i="7"/>
  <c r="S29" i="7" s="1"/>
  <c r="AD41" i="7"/>
  <c r="V41" i="7"/>
  <c r="W41" i="7" s="1"/>
  <c r="R41" i="7"/>
  <c r="S41" i="7" s="1"/>
  <c r="AD28" i="7"/>
  <c r="V28" i="7"/>
  <c r="W28" i="7" s="1"/>
  <c r="R28" i="7"/>
  <c r="AD27" i="7"/>
  <c r="V27" i="7"/>
  <c r="R27" i="7"/>
  <c r="S27" i="7" s="1"/>
  <c r="AD26" i="7"/>
  <c r="V26" i="7"/>
  <c r="W26" i="7" s="1"/>
  <c r="R26" i="7"/>
  <c r="S26" i="7" s="1"/>
  <c r="AD25" i="7"/>
  <c r="V25" i="7"/>
  <c r="W25" i="7" s="1"/>
  <c r="R25" i="7"/>
  <c r="S25" i="7" s="1"/>
  <c r="AD24" i="7"/>
  <c r="V24" i="7"/>
  <c r="W24" i="7" s="1"/>
  <c r="R24" i="7"/>
  <c r="S24" i="7" s="1"/>
  <c r="AD23" i="7"/>
  <c r="V23" i="7"/>
  <c r="R23" i="7"/>
  <c r="S23" i="7" s="1"/>
  <c r="AD22" i="7"/>
  <c r="V22" i="7"/>
  <c r="W22" i="7" s="1"/>
  <c r="R22" i="7"/>
  <c r="S22" i="7" s="1"/>
  <c r="AD21" i="7"/>
  <c r="V21" i="7"/>
  <c r="W21" i="7" s="1"/>
  <c r="R21" i="7"/>
  <c r="AD20" i="7"/>
  <c r="V20" i="7"/>
  <c r="W20" i="7" s="1"/>
  <c r="R20" i="7"/>
  <c r="AD19" i="7"/>
  <c r="V19" i="7"/>
  <c r="W19" i="7" s="1"/>
  <c r="R19" i="7"/>
  <c r="AD18" i="7"/>
  <c r="V18" i="7"/>
  <c r="W18" i="7" s="1"/>
  <c r="R18" i="7"/>
  <c r="S18" i="7" s="1"/>
  <c r="AD17" i="7"/>
  <c r="V17" i="7"/>
  <c r="W17" i="7" s="1"/>
  <c r="R17" i="7"/>
  <c r="AD16" i="7"/>
  <c r="V16" i="7"/>
  <c r="R16" i="7"/>
  <c r="S16" i="7" s="1"/>
  <c r="AD15" i="7"/>
  <c r="V15" i="7"/>
  <c r="W15" i="7" s="1"/>
  <c r="R15" i="7"/>
  <c r="S15" i="7" s="1"/>
  <c r="AD14" i="7"/>
  <c r="V14" i="7"/>
  <c r="W14" i="7" s="1"/>
  <c r="R14" i="7"/>
  <c r="AD13" i="7"/>
  <c r="V13" i="7"/>
  <c r="W13" i="7" s="1"/>
  <c r="R13" i="7"/>
  <c r="S13" i="7" s="1"/>
  <c r="AD40" i="7"/>
  <c r="V40" i="7"/>
  <c r="W40" i="7" s="1"/>
  <c r="R40" i="7"/>
  <c r="AD12" i="7"/>
  <c r="V12" i="7"/>
  <c r="W12" i="7" s="1"/>
  <c r="R12" i="7"/>
  <c r="AD39" i="7"/>
  <c r="V39" i="7"/>
  <c r="W39" i="7" s="1"/>
  <c r="R39" i="7"/>
  <c r="AD11" i="7"/>
  <c r="V11" i="7"/>
  <c r="W11" i="7" s="1"/>
  <c r="R11" i="7"/>
  <c r="AD10" i="7"/>
  <c r="V10" i="7"/>
  <c r="R10" i="7"/>
  <c r="S10" i="7" s="1"/>
  <c r="AD9" i="7"/>
  <c r="V9" i="7"/>
  <c r="R9" i="7"/>
  <c r="S9" i="7" s="1"/>
  <c r="AD8" i="7"/>
  <c r="V8" i="7"/>
  <c r="W8" i="7" s="1"/>
  <c r="R8" i="7"/>
  <c r="AD7" i="7"/>
  <c r="V7" i="7"/>
  <c r="W7" i="7" s="1"/>
  <c r="R7" i="7"/>
  <c r="S7" i="7" s="1"/>
  <c r="AD38" i="7"/>
  <c r="V38" i="7"/>
  <c r="W38" i="7" s="1"/>
  <c r="R38" i="7"/>
  <c r="AD6" i="7"/>
  <c r="V6" i="7"/>
  <c r="W6" i="7" s="1"/>
  <c r="R6" i="7"/>
  <c r="AD37" i="7"/>
  <c r="V37" i="7"/>
  <c r="W37" i="7" s="1"/>
  <c r="R37" i="7"/>
  <c r="AD5" i="7"/>
  <c r="V5" i="7"/>
  <c r="W5" i="7" s="1"/>
  <c r="R5" i="7"/>
  <c r="AD4" i="7"/>
  <c r="V4" i="7"/>
  <c r="R4" i="7"/>
  <c r="S4" i="7" s="1"/>
  <c r="AD3" i="7"/>
  <c r="V3" i="7"/>
  <c r="W3" i="7" s="1"/>
  <c r="R3" i="7"/>
  <c r="S3" i="7" s="1"/>
  <c r="AD2" i="7"/>
  <c r="V2" i="7"/>
  <c r="W2" i="7" s="1"/>
  <c r="R2" i="7"/>
  <c r="AD36" i="7"/>
  <c r="V36" i="7"/>
  <c r="W36" i="7" s="1"/>
  <c r="R36" i="7"/>
  <c r="S36" i="7" s="1"/>
  <c r="X14" i="12" l="1"/>
  <c r="AA14" i="12" s="1"/>
  <c r="AB14" i="12" s="1"/>
  <c r="AC14" i="12" s="1"/>
  <c r="AE14" i="12" s="1"/>
  <c r="Y3" i="12"/>
  <c r="Y20" i="12"/>
  <c r="Y23" i="12"/>
  <c r="X25" i="12"/>
  <c r="AA25" i="12" s="1"/>
  <c r="AB25" i="12" s="1"/>
  <c r="AC25" i="12" s="1"/>
  <c r="AE25" i="12" s="1"/>
  <c r="X3" i="12"/>
  <c r="AA3" i="12" s="1"/>
  <c r="AB3" i="12" s="1"/>
  <c r="AC3" i="12" s="1"/>
  <c r="AE3" i="12" s="1"/>
  <c r="S10" i="12"/>
  <c r="X10" i="12" s="1"/>
  <c r="AA10" i="12" s="1"/>
  <c r="AB10" i="12" s="1"/>
  <c r="AC10" i="12" s="1"/>
  <c r="AE10" i="12" s="1"/>
  <c r="S20" i="12"/>
  <c r="X20" i="12" s="1"/>
  <c r="AA20" i="12" s="1"/>
  <c r="AB20" i="12" s="1"/>
  <c r="AC20" i="12" s="1"/>
  <c r="AE20" i="12" s="1"/>
  <c r="S22" i="12"/>
  <c r="X22" i="12" s="1"/>
  <c r="AA22" i="12" s="1"/>
  <c r="AB22" i="12" s="1"/>
  <c r="AC22" i="12" s="1"/>
  <c r="AE22" i="12" s="1"/>
  <c r="S23" i="12"/>
  <c r="X23" i="12" s="1"/>
  <c r="AA23" i="12" s="1"/>
  <c r="AB23" i="12" s="1"/>
  <c r="AC23" i="12" s="1"/>
  <c r="AE23" i="12" s="1"/>
  <c r="X27" i="12"/>
  <c r="AA27" i="12" s="1"/>
  <c r="AB27" i="12" s="1"/>
  <c r="AC27" i="12" s="1"/>
  <c r="AE27" i="12" s="1"/>
  <c r="Y30" i="12"/>
  <c r="S34" i="12"/>
  <c r="X34" i="12" s="1"/>
  <c r="AA34" i="12" s="1"/>
  <c r="AB34" i="12" s="1"/>
  <c r="AC34" i="12" s="1"/>
  <c r="AE34" i="12" s="1"/>
  <c r="S2" i="12"/>
  <c r="X2" i="12" s="1"/>
  <c r="AA2" i="12" s="1"/>
  <c r="AB2" i="12" s="1"/>
  <c r="AC2" i="12" s="1"/>
  <c r="Y4" i="12"/>
  <c r="Y15" i="12"/>
  <c r="X17" i="12"/>
  <c r="AA17" i="12" s="1"/>
  <c r="AB17" i="12" s="1"/>
  <c r="AC17" i="12" s="1"/>
  <c r="AE17" i="12" s="1"/>
  <c r="S4" i="12"/>
  <c r="X4" i="12" s="1"/>
  <c r="AA4" i="12" s="1"/>
  <c r="AB4" i="12" s="1"/>
  <c r="AC4" i="12" s="1"/>
  <c r="AE4" i="12" s="1"/>
  <c r="X9" i="12"/>
  <c r="AA9" i="12" s="1"/>
  <c r="AB9" i="12" s="1"/>
  <c r="AC9" i="12" s="1"/>
  <c r="AE9" i="12" s="1"/>
  <c r="S15" i="12"/>
  <c r="X15" i="12" s="1"/>
  <c r="AA15" i="12" s="1"/>
  <c r="AB15" i="12" s="1"/>
  <c r="AC15" i="12" s="1"/>
  <c r="AE15" i="12" s="1"/>
  <c r="X33" i="12"/>
  <c r="AA33" i="12" s="1"/>
  <c r="AB33" i="12" s="1"/>
  <c r="AC33" i="12" s="1"/>
  <c r="AE33" i="12" s="1"/>
  <c r="W9" i="12"/>
  <c r="Y17" i="12"/>
  <c r="X19" i="12"/>
  <c r="AA19" i="12" s="1"/>
  <c r="AB19" i="12" s="1"/>
  <c r="AC19" i="12" s="1"/>
  <c r="AE19" i="12" s="1"/>
  <c r="Y26" i="12"/>
  <c r="Y28" i="12"/>
  <c r="X11" i="12"/>
  <c r="AA11" i="12" s="1"/>
  <c r="AB11" i="12" s="1"/>
  <c r="AC11" i="12" s="1"/>
  <c r="AE11" i="12" s="1"/>
  <c r="Y13" i="12"/>
  <c r="Y16" i="12"/>
  <c r="S26" i="12"/>
  <c r="X26" i="12" s="1"/>
  <c r="AA26" i="12" s="1"/>
  <c r="AB26" i="12" s="1"/>
  <c r="AC26" i="12" s="1"/>
  <c r="AE26" i="12" s="1"/>
  <c r="S28" i="12"/>
  <c r="X28" i="12" s="1"/>
  <c r="AA28" i="12" s="1"/>
  <c r="AB28" i="12" s="1"/>
  <c r="AC28" i="12" s="1"/>
  <c r="AE28" i="12" s="1"/>
  <c r="Y33" i="12"/>
  <c r="Y35" i="12"/>
  <c r="Y2" i="14"/>
  <c r="W2" i="14"/>
  <c r="X2" i="14" s="1"/>
  <c r="AA2" i="14" s="1"/>
  <c r="AB2" i="14" s="1"/>
  <c r="AC2" i="14" s="1"/>
  <c r="AE2" i="14" s="1"/>
  <c r="S2" i="13"/>
  <c r="X2" i="13" s="1"/>
  <c r="AA2" i="13" s="1"/>
  <c r="AB2" i="13" s="1"/>
  <c r="AC2" i="13" s="1"/>
  <c r="AE2" i="13" s="1"/>
  <c r="AE2" i="12"/>
  <c r="S13" i="12"/>
  <c r="X13" i="12" s="1"/>
  <c r="AA13" i="12" s="1"/>
  <c r="AB13" i="12" s="1"/>
  <c r="AC13" i="12" s="1"/>
  <c r="AE13" i="12" s="1"/>
  <c r="S29" i="12"/>
  <c r="X29" i="12" s="1"/>
  <c r="AA29" i="12" s="1"/>
  <c r="AB29" i="12" s="1"/>
  <c r="AC29" i="12" s="1"/>
  <c r="AE29" i="12" s="1"/>
  <c r="S8" i="12"/>
  <c r="X8" i="12" s="1"/>
  <c r="AA8" i="12" s="1"/>
  <c r="AB8" i="12" s="1"/>
  <c r="AC8" i="12" s="1"/>
  <c r="AE8" i="12" s="1"/>
  <c r="S16" i="12"/>
  <c r="X16" i="12" s="1"/>
  <c r="AA16" i="12" s="1"/>
  <c r="AB16" i="12" s="1"/>
  <c r="AC16" i="12" s="1"/>
  <c r="AE16" i="12" s="1"/>
  <c r="S24" i="12"/>
  <c r="X24" i="12" s="1"/>
  <c r="AA24" i="12" s="1"/>
  <c r="AB24" i="12" s="1"/>
  <c r="AC24" i="12" s="1"/>
  <c r="AE24" i="12" s="1"/>
  <c r="S32" i="12"/>
  <c r="X32" i="12" s="1"/>
  <c r="AA32" i="12" s="1"/>
  <c r="AB32" i="12" s="1"/>
  <c r="AC32" i="12" s="1"/>
  <c r="AE32" i="12" s="1"/>
  <c r="S5" i="12"/>
  <c r="X5" i="12" s="1"/>
  <c r="AA5" i="12" s="1"/>
  <c r="AB5" i="12" s="1"/>
  <c r="AC5" i="12" s="1"/>
  <c r="AE5" i="12" s="1"/>
  <c r="S21" i="12"/>
  <c r="X21" i="12" s="1"/>
  <c r="AA21" i="12" s="1"/>
  <c r="AB21" i="12" s="1"/>
  <c r="AC21" i="12" s="1"/>
  <c r="AE21" i="12" s="1"/>
  <c r="Y39" i="7"/>
  <c r="Y17" i="7"/>
  <c r="Y9" i="7"/>
  <c r="Y38" i="7"/>
  <c r="Y28" i="7"/>
  <c r="X35" i="7"/>
  <c r="AA35" i="7" s="1"/>
  <c r="AB35" i="7" s="1"/>
  <c r="AC35" i="7" s="1"/>
  <c r="AE35" i="7" s="1"/>
  <c r="S38" i="7"/>
  <c r="X38" i="7" s="1"/>
  <c r="AA38" i="7" s="1"/>
  <c r="AB38" i="7" s="1"/>
  <c r="AC38" i="7" s="1"/>
  <c r="AE38" i="7" s="1"/>
  <c r="Y20" i="7"/>
  <c r="Y37" i="7"/>
  <c r="S20" i="7"/>
  <c r="X20" i="7" s="1"/>
  <c r="AA20" i="7" s="1"/>
  <c r="AB20" i="7" s="1"/>
  <c r="AC20" i="7" s="1"/>
  <c r="AE20" i="7" s="1"/>
  <c r="Y6" i="7"/>
  <c r="Y21" i="7"/>
  <c r="Y30" i="7"/>
  <c r="Y33" i="7"/>
  <c r="Y12" i="7"/>
  <c r="X36" i="7"/>
  <c r="AA36" i="7" s="1"/>
  <c r="AB36" i="7" s="1"/>
  <c r="AC36" i="7" s="1"/>
  <c r="AE36" i="7" s="1"/>
  <c r="X13" i="7"/>
  <c r="AA13" i="7" s="1"/>
  <c r="AB13" i="7" s="1"/>
  <c r="AC13" i="7" s="1"/>
  <c r="AE13" i="7" s="1"/>
  <c r="X18" i="7"/>
  <c r="AA18" i="7" s="1"/>
  <c r="AB18" i="7" s="1"/>
  <c r="AC18" i="7" s="1"/>
  <c r="AE18" i="7" s="1"/>
  <c r="Y34" i="7"/>
  <c r="Y40" i="7"/>
  <c r="Y19" i="7"/>
  <c r="Y22" i="7"/>
  <c r="S39" i="7"/>
  <c r="X39" i="7" s="1"/>
  <c r="AA39" i="7" s="1"/>
  <c r="AB39" i="7" s="1"/>
  <c r="AC39" i="7" s="1"/>
  <c r="AE39" i="7" s="1"/>
  <c r="Y41" i="7"/>
  <c r="X7" i="7"/>
  <c r="AA7" i="7" s="1"/>
  <c r="AB7" i="7" s="1"/>
  <c r="AC7" i="7" s="1"/>
  <c r="AE7" i="7" s="1"/>
  <c r="Y27" i="7"/>
  <c r="Y3" i="7"/>
  <c r="S40" i="7"/>
  <c r="X40" i="7" s="1"/>
  <c r="AA40" i="7" s="1"/>
  <c r="AB40" i="7" s="1"/>
  <c r="AC40" i="7" s="1"/>
  <c r="AE40" i="7" s="1"/>
  <c r="Y23" i="7"/>
  <c r="Y26" i="7"/>
  <c r="Y32" i="7"/>
  <c r="S37" i="7"/>
  <c r="X37" i="7" s="1"/>
  <c r="AA37" i="7" s="1"/>
  <c r="AB37" i="7" s="1"/>
  <c r="AC37" i="7" s="1"/>
  <c r="AE37" i="7" s="1"/>
  <c r="Y7" i="7"/>
  <c r="Y15" i="7"/>
  <c r="S21" i="7"/>
  <c r="X21" i="7" s="1"/>
  <c r="AA21" i="7" s="1"/>
  <c r="AB21" i="7" s="1"/>
  <c r="AC21" i="7" s="1"/>
  <c r="AE21" i="7" s="1"/>
  <c r="X22" i="7"/>
  <c r="AA22" i="7" s="1"/>
  <c r="AB22" i="7" s="1"/>
  <c r="AC22" i="7" s="1"/>
  <c r="AE22" i="7" s="1"/>
  <c r="Y25" i="7"/>
  <c r="Y29" i="7"/>
  <c r="Y31" i="7"/>
  <c r="S6" i="7"/>
  <c r="X6" i="7" s="1"/>
  <c r="AA6" i="7" s="1"/>
  <c r="AB6" i="7" s="1"/>
  <c r="AC6" i="7" s="1"/>
  <c r="AE6" i="7" s="1"/>
  <c r="S19" i="7"/>
  <c r="X19" i="7" s="1"/>
  <c r="AA19" i="7" s="1"/>
  <c r="AB19" i="7" s="1"/>
  <c r="AC19" i="7" s="1"/>
  <c r="AE19" i="7" s="1"/>
  <c r="X24" i="7"/>
  <c r="AA24" i="7" s="1"/>
  <c r="AB24" i="7" s="1"/>
  <c r="AC24" i="7" s="1"/>
  <c r="AE24" i="7" s="1"/>
  <c r="Y11" i="7"/>
  <c r="Y14" i="7"/>
  <c r="X15" i="7"/>
  <c r="AA15" i="7" s="1"/>
  <c r="AB15" i="7" s="1"/>
  <c r="AC15" i="7" s="1"/>
  <c r="AE15" i="7" s="1"/>
  <c r="X41" i="7"/>
  <c r="AA41" i="7" s="1"/>
  <c r="AB41" i="7" s="1"/>
  <c r="AC41" i="7" s="1"/>
  <c r="AE41" i="7" s="1"/>
  <c r="X34" i="7"/>
  <c r="AA34" i="7" s="1"/>
  <c r="AB34" i="7" s="1"/>
  <c r="AC34" i="7" s="1"/>
  <c r="AE34" i="7" s="1"/>
  <c r="Y36" i="7"/>
  <c r="W9" i="7"/>
  <c r="X9" i="7" s="1"/>
  <c r="AA9" i="7" s="1"/>
  <c r="AB9" i="7" s="1"/>
  <c r="AC9" i="7" s="1"/>
  <c r="AE9" i="7" s="1"/>
  <c r="S12" i="7"/>
  <c r="X12" i="7" s="1"/>
  <c r="AA12" i="7" s="1"/>
  <c r="AB12" i="7" s="1"/>
  <c r="AC12" i="7" s="1"/>
  <c r="AE12" i="7" s="1"/>
  <c r="Y16" i="7"/>
  <c r="Y18" i="7"/>
  <c r="X3" i="7"/>
  <c r="AA3" i="7" s="1"/>
  <c r="AB3" i="7" s="1"/>
  <c r="AC3" i="7" s="1"/>
  <c r="AE3" i="7" s="1"/>
  <c r="Y5" i="7"/>
  <c r="Y13" i="7"/>
  <c r="W27" i="7"/>
  <c r="X27" i="7" s="1"/>
  <c r="AA27" i="7" s="1"/>
  <c r="AB27" i="7" s="1"/>
  <c r="AC27" i="7" s="1"/>
  <c r="AE27" i="7" s="1"/>
  <c r="X26" i="7"/>
  <c r="AA26" i="7" s="1"/>
  <c r="AB26" i="7" s="1"/>
  <c r="AC26" i="7" s="1"/>
  <c r="AE26" i="7" s="1"/>
  <c r="X32" i="7"/>
  <c r="AA32" i="7" s="1"/>
  <c r="AB32" i="7" s="1"/>
  <c r="AC32" i="7" s="1"/>
  <c r="AE32" i="7" s="1"/>
  <c r="Y10" i="7"/>
  <c r="W10" i="7"/>
  <c r="X10" i="7" s="1"/>
  <c r="AA10" i="7" s="1"/>
  <c r="AB10" i="7" s="1"/>
  <c r="AC10" i="7" s="1"/>
  <c r="AE10" i="7" s="1"/>
  <c r="Y4" i="7"/>
  <c r="W4" i="7"/>
  <c r="X4" i="7" s="1"/>
  <c r="AA4" i="7" s="1"/>
  <c r="AB4" i="7" s="1"/>
  <c r="AC4" i="7" s="1"/>
  <c r="AE4" i="7" s="1"/>
  <c r="Y2" i="7"/>
  <c r="S2" i="7"/>
  <c r="X2" i="7" s="1"/>
  <c r="AA2" i="7" s="1"/>
  <c r="AB2" i="7" s="1"/>
  <c r="AC2" i="7" s="1"/>
  <c r="AE2" i="7" s="1"/>
  <c r="Y8" i="7"/>
  <c r="S8" i="7"/>
  <c r="X8" i="7" s="1"/>
  <c r="AA8" i="7" s="1"/>
  <c r="AB8" i="7" s="1"/>
  <c r="AC8" i="7" s="1"/>
  <c r="AE8" i="7" s="1"/>
  <c r="X25" i="7"/>
  <c r="AA25" i="7" s="1"/>
  <c r="AB25" i="7" s="1"/>
  <c r="AC25" i="7" s="1"/>
  <c r="AE25" i="7" s="1"/>
  <c r="X31" i="7"/>
  <c r="AA31" i="7" s="1"/>
  <c r="AB31" i="7" s="1"/>
  <c r="AC31" i="7" s="1"/>
  <c r="AE31" i="7" s="1"/>
  <c r="W23" i="7"/>
  <c r="X23" i="7" s="1"/>
  <c r="AA23" i="7" s="1"/>
  <c r="AB23" i="7" s="1"/>
  <c r="AC23" i="7" s="1"/>
  <c r="AE23" i="7" s="1"/>
  <c r="Y24" i="7"/>
  <c r="S28" i="7"/>
  <c r="X28" i="7" s="1"/>
  <c r="AA28" i="7" s="1"/>
  <c r="AB28" i="7" s="1"/>
  <c r="AC28" i="7" s="1"/>
  <c r="AE28" i="7" s="1"/>
  <c r="W29" i="7"/>
  <c r="X29" i="7" s="1"/>
  <c r="AA29" i="7" s="1"/>
  <c r="AB29" i="7" s="1"/>
  <c r="AC29" i="7" s="1"/>
  <c r="AE29" i="7" s="1"/>
  <c r="S33" i="7"/>
  <c r="X33" i="7" s="1"/>
  <c r="AA33" i="7" s="1"/>
  <c r="AB33" i="7" s="1"/>
  <c r="AC33" i="7" s="1"/>
  <c r="AE33" i="7" s="1"/>
  <c r="Y35" i="7"/>
  <c r="S14" i="7"/>
  <c r="X14" i="7" s="1"/>
  <c r="AA14" i="7" s="1"/>
  <c r="AB14" i="7" s="1"/>
  <c r="AC14" i="7" s="1"/>
  <c r="AE14" i="7" s="1"/>
  <c r="W16" i="7"/>
  <c r="X16" i="7" s="1"/>
  <c r="AA16" i="7" s="1"/>
  <c r="AB16" i="7" s="1"/>
  <c r="AC16" i="7" s="1"/>
  <c r="AE16" i="7" s="1"/>
  <c r="S5" i="7"/>
  <c r="X5" i="7" s="1"/>
  <c r="AA5" i="7" s="1"/>
  <c r="AB5" i="7" s="1"/>
  <c r="AC5" i="7" s="1"/>
  <c r="AE5" i="7" s="1"/>
  <c r="S11" i="7"/>
  <c r="X11" i="7" s="1"/>
  <c r="AA11" i="7" s="1"/>
  <c r="AB11" i="7" s="1"/>
  <c r="AC11" i="7" s="1"/>
  <c r="AE11" i="7" s="1"/>
  <c r="S17" i="7"/>
  <c r="X17" i="7" s="1"/>
  <c r="AA17" i="7" s="1"/>
  <c r="AB17" i="7" s="1"/>
  <c r="AC17" i="7" s="1"/>
  <c r="AE17" i="7" s="1"/>
  <c r="W30" i="7"/>
  <c r="X30" i="7" s="1"/>
  <c r="AA30" i="7" s="1"/>
  <c r="AB30" i="7" s="1"/>
  <c r="AC30" i="7" s="1"/>
  <c r="AE30" i="7" s="1"/>
  <c r="AC36" i="12" l="1"/>
  <c r="AC42" i="7"/>
</calcChain>
</file>

<file path=xl/comments1.xml><?xml version="1.0" encoding="utf-8"?>
<comments xmlns="http://schemas.openxmlformats.org/spreadsheetml/2006/main">
  <authors>
    <author>Windows 사용자</author>
  </authors>
  <commentList>
    <comment ref="AE1" authorId="0" shapeId="0">
      <text>
        <r>
          <rPr>
            <b/>
            <sz val="9"/>
            <color indexed="81"/>
            <rFont val="돋움"/>
            <family val="3"/>
            <charset val="129"/>
          </rPr>
          <t>소멸액</t>
        </r>
        <r>
          <rPr>
            <b/>
            <sz val="9"/>
            <color indexed="81"/>
            <rFont val="Tahoma"/>
            <family val="2"/>
          </rPr>
          <t>=MG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>-RS(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정산액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>
  <authors>
    <author>Windows 사용자</author>
  </authors>
  <commentList>
    <comment ref="AE1" authorId="0" shapeId="0">
      <text>
        <r>
          <rPr>
            <b/>
            <sz val="9"/>
            <color indexed="81"/>
            <rFont val="돋움"/>
            <family val="3"/>
            <charset val="129"/>
          </rPr>
          <t>소멸액</t>
        </r>
        <r>
          <rPr>
            <b/>
            <sz val="9"/>
            <color indexed="81"/>
            <rFont val="Tahoma"/>
            <family val="2"/>
          </rPr>
          <t>=MG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>-RS(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정산액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>
  <authors>
    <author>Windows 사용자</author>
  </authors>
  <commentList>
    <comment ref="AE1" authorId="0" shapeId="0">
      <text>
        <r>
          <rPr>
            <b/>
            <sz val="9"/>
            <color indexed="81"/>
            <rFont val="돋움"/>
            <family val="3"/>
            <charset val="129"/>
          </rPr>
          <t>소멸액</t>
        </r>
        <r>
          <rPr>
            <b/>
            <sz val="9"/>
            <color indexed="81"/>
            <rFont val="Tahoma"/>
            <family val="2"/>
          </rPr>
          <t>=MG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>-RS(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정산액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4.xml><?xml version="1.0" encoding="utf-8"?>
<comments xmlns="http://schemas.openxmlformats.org/spreadsheetml/2006/main">
  <authors>
    <author>Windows 사용자</author>
  </authors>
  <commentList>
    <comment ref="AE1" authorId="0" shapeId="0">
      <text>
        <r>
          <rPr>
            <b/>
            <sz val="9"/>
            <color indexed="81"/>
            <rFont val="돋움"/>
            <family val="3"/>
            <charset val="129"/>
          </rPr>
          <t>소멸액</t>
        </r>
        <r>
          <rPr>
            <b/>
            <sz val="9"/>
            <color indexed="81"/>
            <rFont val="Tahoma"/>
            <family val="2"/>
          </rPr>
          <t>=MG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>-RS(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정산액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<sst xmlns="http://schemas.openxmlformats.org/spreadsheetml/2006/main" count="810" uniqueCount="121">
  <si>
    <t>No</t>
  </si>
  <si>
    <t>구분</t>
  </si>
  <si>
    <t>만화idx</t>
  </si>
  <si>
    <t>상태</t>
  </si>
  <si>
    <t>요일</t>
  </si>
  <si>
    <t>만화명</t>
  </si>
  <si>
    <t>CP회사명</t>
  </si>
  <si>
    <t>MCP</t>
  </si>
  <si>
    <t>작가명</t>
  </si>
  <si>
    <t>웹코인합계</t>
  </si>
  <si>
    <t>웹정산율</t>
  </si>
  <si>
    <t>앱코인합계</t>
  </si>
  <si>
    <t>앱정산율</t>
  </si>
  <si>
    <t>RS정산액</t>
    <phoneticPr fontId="4" type="noConversion"/>
  </si>
  <si>
    <t>RS-MG</t>
    <phoneticPr fontId="4" type="noConversion"/>
  </si>
  <si>
    <t>CP(정산처)</t>
    <phoneticPr fontId="6" type="noConversion"/>
  </si>
  <si>
    <t>구분</t>
    <phoneticPr fontId="4" type="noConversion"/>
  </si>
  <si>
    <t>비고</t>
    <phoneticPr fontId="4" type="noConversion"/>
  </si>
  <si>
    <t>이월 차감잔액</t>
    <phoneticPr fontId="4" type="noConversion"/>
  </si>
  <si>
    <t>콘텐츠 MG</t>
    <phoneticPr fontId="4" type="noConversion"/>
  </si>
  <si>
    <t>실지급 MG</t>
    <phoneticPr fontId="4" type="noConversion"/>
  </si>
  <si>
    <t>웹매출액</t>
    <phoneticPr fontId="4" type="noConversion"/>
  </si>
  <si>
    <t>웹정산액</t>
    <phoneticPr fontId="4" type="noConversion"/>
  </si>
  <si>
    <t>앱매출액</t>
    <phoneticPr fontId="4" type="noConversion"/>
  </si>
  <si>
    <t>앱정산액</t>
    <phoneticPr fontId="4" type="noConversion"/>
  </si>
  <si>
    <t>정산액(웹+앱)</t>
    <phoneticPr fontId="4" type="noConversion"/>
  </si>
  <si>
    <t>총매출액</t>
    <phoneticPr fontId="4" type="noConversion"/>
  </si>
  <si>
    <t>글/그림</t>
    <phoneticPr fontId="4" type="noConversion"/>
  </si>
  <si>
    <t>RS지급액(MG-RS)</t>
    <phoneticPr fontId="4" type="noConversion"/>
  </si>
  <si>
    <t>차감잔액</t>
    <phoneticPr fontId="4" type="noConversion"/>
  </si>
  <si>
    <t>MG(당월 소멸)</t>
    <phoneticPr fontId="6" type="noConversion"/>
  </si>
  <si>
    <t>단행본</t>
  </si>
  <si>
    <t>70.0%</t>
  </si>
  <si>
    <t>60.0%</t>
  </si>
  <si>
    <t>연재</t>
  </si>
  <si>
    <t>요일연재</t>
  </si>
  <si>
    <t>2.면세</t>
  </si>
  <si>
    <t>54.0%</t>
  </si>
  <si>
    <t>42.0%</t>
  </si>
  <si>
    <t>폐하, 옥체 보존하세요!</t>
  </si>
  <si>
    <t>스토리위즈(웹툰)</t>
  </si>
  <si>
    <t>백스테이지 키스신</t>
  </si>
  <si>
    <t>내 남편의 스토커</t>
  </si>
  <si>
    <t>혜원</t>
  </si>
  <si>
    <t>스토리위즈(단행본)</t>
  </si>
  <si>
    <t>수</t>
  </si>
  <si>
    <t>너랑 나랑 하면</t>
  </si>
  <si>
    <t>감옥실험</t>
  </si>
  <si>
    <t>이삼세&amp;자견</t>
  </si>
  <si>
    <t>최도비&amp;수정과</t>
  </si>
  <si>
    <t>Kantetsu&amp;Minase chiho</t>
  </si>
  <si>
    <t>녹야천학&amp;유지교자</t>
  </si>
  <si>
    <t>금</t>
  </si>
  <si>
    <t>공주전쟁</t>
  </si>
  <si>
    <t>Hujing&amp;Luojie</t>
  </si>
  <si>
    <t>단행본소설</t>
  </si>
  <si>
    <t>나는 내 연인의 것</t>
  </si>
  <si>
    <t>SISSI</t>
  </si>
  <si>
    <t>자비를 베푸소서(Miserere Nobis)</t>
  </si>
  <si>
    <t>마지막 춤은, 악인과 함께</t>
  </si>
  <si>
    <t>엠프티(Empty)</t>
  </si>
  <si>
    <t>라돌체</t>
  </si>
  <si>
    <t>신들의 성소</t>
  </si>
  <si>
    <t>중년바나나</t>
  </si>
  <si>
    <t>칼의 기억</t>
  </si>
  <si>
    <t>스토리위즈유통(웹소설)</t>
  </si>
  <si>
    <t>택스 프리(TAX FREE)</t>
  </si>
  <si>
    <t>익스클루시브(Exclusive)</t>
  </si>
  <si>
    <t>사냥꾼</t>
  </si>
  <si>
    <t>더컴퍼니</t>
  </si>
  <si>
    <t>신사동 그 사람</t>
  </si>
  <si>
    <t>폭군의 공물</t>
  </si>
  <si>
    <t>여러해살이풀</t>
  </si>
  <si>
    <t>헤로샤</t>
  </si>
  <si>
    <t>jooki</t>
  </si>
  <si>
    <t>음양상열지사</t>
  </si>
  <si>
    <t>이염</t>
  </si>
  <si>
    <t>뉴욕 키스 스캔들</t>
  </si>
  <si>
    <t>용가리맛쿠키</t>
  </si>
  <si>
    <t>사틴</t>
  </si>
  <si>
    <t>더티독</t>
  </si>
  <si>
    <t>개만도 못한,</t>
  </si>
  <si>
    <t>진도넛</t>
  </si>
  <si>
    <t>거울 호흡</t>
  </si>
  <si>
    <t>키도</t>
  </si>
  <si>
    <t>그 순간, 별이 빛났다</t>
  </si>
  <si>
    <t>성실</t>
  </si>
  <si>
    <t>너만 모르는 연애</t>
  </si>
  <si>
    <t>카에트</t>
  </si>
  <si>
    <t>다정한 내일을 위한 새벽</t>
  </si>
  <si>
    <t>나나코</t>
  </si>
  <si>
    <t>선배님, 흔들어 주세요</t>
  </si>
  <si>
    <t>김매콤</t>
  </si>
  <si>
    <t>홍염의 덫</t>
  </si>
  <si>
    <t>무슈슈</t>
  </si>
  <si>
    <t>라에르</t>
  </si>
  <si>
    <t>비터, 비터(Bitter, Bitter)</t>
  </si>
  <si>
    <t>하루하루</t>
  </si>
  <si>
    <t>너드 공략집</t>
  </si>
  <si>
    <t>이다겸</t>
  </si>
  <si>
    <t>월하연인</t>
  </si>
  <si>
    <t>귀수: 나비가 머문 별</t>
  </si>
  <si>
    <t>꼭꼭 숨어라(Wherever you are)</t>
  </si>
  <si>
    <t>감또개</t>
  </si>
  <si>
    <t>주먹 구십구</t>
  </si>
  <si>
    <t>마연</t>
  </si>
  <si>
    <t>하고 싶어</t>
  </si>
  <si>
    <t>시아</t>
  </si>
  <si>
    <t>퀸 앤 폰 (Queen&amp;Pawn)</t>
  </si>
  <si>
    <t>류마티</t>
  </si>
  <si>
    <t>은아 멸치국수집</t>
  </si>
  <si>
    <t>배추적</t>
  </si>
  <si>
    <t>패서네이팅 라이어(Fascinating Liar)</t>
  </si>
  <si>
    <t>알트파인</t>
  </si>
  <si>
    <t>센서티브 다이어리</t>
  </si>
  <si>
    <t>피모</t>
  </si>
  <si>
    <t>웹툰</t>
    <phoneticPr fontId="4" type="noConversion"/>
  </si>
  <si>
    <t>웹툰</t>
    <phoneticPr fontId="4" type="noConversion"/>
  </si>
  <si>
    <t>웹툰</t>
    <phoneticPr fontId="4" type="noConversion"/>
  </si>
  <si>
    <t>웹툰</t>
    <phoneticPr fontId="4" type="noConversion"/>
  </si>
  <si>
    <t>스토리위즈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</si>
</sst>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(* #,##0_);_(* \(#,##0\);_(* &quot;-&quot;_);_(@_)"/>
    <numFmt numFmtId="178" formatCode="_(* #,##0.00_);_(* \(#,##0.00\);_(* &quot;-&quot;??_);_(@_)"/>
    <numFmt numFmtId="179" formatCode="#,##0_ 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다키 L"/>
      <family val="3"/>
      <charset val="129"/>
    </font>
    <font>
      <sz val="8"/>
      <name val="다키 L"/>
      <family val="2"/>
      <charset val="129"/>
    </font>
    <font>
      <b/>
      <sz val="10"/>
      <color rgb="FF006100"/>
      <name val="다키 L"/>
      <family val="3"/>
      <charset val="129"/>
    </font>
    <font>
      <sz val="10"/>
      <color theme="1"/>
      <name val="다키 L"/>
      <family val="3"/>
      <charset val="129"/>
    </font>
    <font>
      <sz val="10"/>
      <color indexed="8"/>
      <name val="Helvetica"/>
      <family val="2"/>
    </font>
    <font>
      <sz val="12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Protection="0">
      <alignment vertical="top" wrapText="1"/>
    </xf>
    <xf numFmtId="0" fontId="10" fillId="0" borderId="0"/>
    <xf numFmtId="0" fontId="11" fillId="0" borderId="0"/>
    <xf numFmtId="177" fontId="12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2" fillId="0" borderId="0"/>
    <xf numFmtId="41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Protection="0">
      <alignment vertical="top" wrapText="1"/>
    </xf>
    <xf numFmtId="0" fontId="1" fillId="0" borderId="0">
      <alignment vertical="center"/>
    </xf>
    <xf numFmtId="0" fontId="9" fillId="0" borderId="0" applyNumberFormat="0" applyFill="0" applyBorder="0" applyProtection="0">
      <alignment vertical="top" wrapText="1"/>
    </xf>
    <xf numFmtId="0" fontId="1" fillId="0" borderId="0">
      <alignment vertical="center"/>
    </xf>
    <xf numFmtId="0" fontId="16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8" fillId="4" borderId="1" xfId="0" applyFont="1" applyFill="1" applyBorder="1" applyAlignment="1">
      <alignment horizontal="center" vertical="center"/>
    </xf>
    <xf numFmtId="176" fontId="8" fillId="4" borderId="1" xfId="4" applyNumberFormat="1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9" fontId="8" fillId="4" borderId="1" xfId="5" applyFont="1" applyFill="1" applyBorder="1" applyAlignment="1">
      <alignment horizontal="center" vertical="center"/>
    </xf>
    <xf numFmtId="41" fontId="8" fillId="4" borderId="1" xfId="4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176" fontId="7" fillId="4" borderId="2" xfId="1" applyNumberFormat="1" applyFont="1" applyFill="1" applyBorder="1" applyAlignment="1">
      <alignment horizontal="center" vertical="center"/>
    </xf>
    <xf numFmtId="0" fontId="8" fillId="0" borderId="0" xfId="3" applyFont="1" applyBorder="1" applyAlignment="1">
      <alignment vertical="center"/>
    </xf>
    <xf numFmtId="176" fontId="8" fillId="0" borderId="0" xfId="0" applyNumberFormat="1" applyFont="1" applyAlignment="1">
      <alignment vertical="center"/>
    </xf>
    <xf numFmtId="41" fontId="8" fillId="0" borderId="2" xfId="25" applyFont="1" applyBorder="1" applyAlignment="1">
      <alignment vertical="center"/>
    </xf>
    <xf numFmtId="41" fontId="8" fillId="0" borderId="3" xfId="25" applyFont="1" applyBorder="1" applyAlignment="1">
      <alignment vertical="center"/>
    </xf>
    <xf numFmtId="41" fontId="8" fillId="0" borderId="1" xfId="25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3" fontId="15" fillId="0" borderId="2" xfId="0" applyNumberFormat="1" applyFont="1" applyBorder="1" applyAlignment="1">
      <alignment vertical="center"/>
    </xf>
    <xf numFmtId="49" fontId="15" fillId="0" borderId="2" xfId="0" applyNumberFormat="1" applyFont="1" applyBorder="1" applyAlignment="1">
      <alignment vertical="center"/>
    </xf>
    <xf numFmtId="49" fontId="15" fillId="0" borderId="3" xfId="0" applyNumberFormat="1" applyFont="1" applyBorder="1" applyAlignment="1">
      <alignment vertical="center"/>
    </xf>
    <xf numFmtId="179" fontId="15" fillId="0" borderId="2" xfId="0" applyNumberFormat="1" applyFont="1" applyBorder="1" applyAlignment="1">
      <alignment vertical="center"/>
    </xf>
    <xf numFmtId="176" fontId="8" fillId="4" borderId="0" xfId="0" applyNumberFormat="1" applyFont="1" applyFill="1" applyAlignment="1">
      <alignment vertical="center"/>
    </xf>
    <xf numFmtId="0" fontId="0" fillId="0" borderId="1" xfId="0" applyBorder="1">
      <alignment vertical="center"/>
    </xf>
  </cellXfs>
  <cellStyles count="26">
    <cellStyle name="Comma [0] 2" xfId="9"/>
    <cellStyle name="Comma [0] 2 2" xfId="22"/>
    <cellStyle name="Normal 2" xfId="8"/>
    <cellStyle name="Normal 3" xfId="11"/>
    <cellStyle name="나쁨" xfId="2" builtinId="27"/>
    <cellStyle name="백분율 2" xfId="5"/>
    <cellStyle name="쉼표 [0]" xfId="25" builtinId="6"/>
    <cellStyle name="쉼표 [0] 2" xfId="4"/>
    <cellStyle name="쉼표 [0] 2 2" xfId="21"/>
    <cellStyle name="쉼표 [0] 3" xfId="12"/>
    <cellStyle name="쉼표 [0] 3 2" xfId="24"/>
    <cellStyle name="쉼표 [0] 4" xfId="20"/>
    <cellStyle name="쉼표 2" xfId="10"/>
    <cellStyle name="쉼표 2 2" xfId="23"/>
    <cellStyle name="좋음" xfId="1" builtinId="26"/>
    <cellStyle name="표준" xfId="0" builtinId="0"/>
    <cellStyle name="표준 2" xfId="6"/>
    <cellStyle name="표준 2 2" xfId="3"/>
    <cellStyle name="표준 2 2 2" xfId="13"/>
    <cellStyle name="표준 2 2 2 2" xfId="14"/>
    <cellStyle name="표준 2 2 2 2 2" xfId="15"/>
    <cellStyle name="표준 2 2 2 2 2 2" xfId="16"/>
    <cellStyle name="표준 2 2 2 2 2 2 2" xfId="17"/>
    <cellStyle name="표준 2 2 2 2 2 2 2 2" xfId="18"/>
    <cellStyle name="표준 2 22" xfId="7"/>
    <cellStyle name="표준 3 2 2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/Desktop/CM/&#46972;&#51064;&#45936;&#53076;/&#50808;&#48512;CP&#51221;&#49328;/&#12304;Camp%20Mobile&#12305;Payment_Sales_Report_July_201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 refreshError="1"/>
      <sheetData sheetId="3">
        <row r="17">
          <cell r="K17">
            <v>166222.22222222225</v>
          </cell>
          <cell r="L17">
            <v>1813152</v>
          </cell>
        </row>
      </sheetData>
      <sheetData sheetId="4" refreshError="1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</sheetData>
      <sheetData sheetId="1"/>
      <sheetData sheetId="2" refreshError="1"/>
      <sheetData sheetId="3">
        <row r="17">
          <cell r="K17">
            <v>166222.22222222225</v>
          </cell>
        </row>
      </sheetData>
      <sheetData sheetId="4" refreshError="1"/>
      <sheetData sheetId="5">
        <row r="10">
          <cell r="D10">
            <v>1777.7777777777778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E42"/>
  <sheetViews>
    <sheetView showGridLines="0" tabSelected="1" topLeftCell="C8" zoomScale="70" zoomScaleNormal="70" workbookViewId="0">
      <selection activeCell="I41" sqref="I41"/>
    </sheetView>
  </sheetViews>
  <sheetFormatPr defaultColWidth="8.69921875" defaultRowHeight="13.2"/>
  <cols>
    <col min="1" max="1" width="8.69921875" style="7" bestFit="1" customWidth="1"/>
    <col min="2" max="2" width="9" style="7" bestFit="1" customWidth="1"/>
    <col min="3" max="3" width="8.796875" style="7" bestFit="1" customWidth="1"/>
    <col min="4" max="4" width="9.796875" style="7" hidden="1" customWidth="1"/>
    <col min="5" max="5" width="7.19921875" style="7" hidden="1" customWidth="1"/>
    <col min="6" max="6" width="27.19921875" style="7" customWidth="1"/>
    <col min="7" max="7" width="19.69921875" style="7" hidden="1" customWidth="1"/>
    <col min="8" max="8" width="10.19921875" style="7" hidden="1" customWidth="1"/>
    <col min="9" max="9" width="18.19921875" style="7" customWidth="1"/>
    <col min="10" max="10" width="10.19921875" style="7" customWidth="1"/>
    <col min="11" max="11" width="9.59765625" style="7" customWidth="1"/>
    <col min="12" max="12" width="14.19921875" style="7" hidden="1" customWidth="1"/>
    <col min="13" max="13" width="14.19921875" style="11" hidden="1" customWidth="1"/>
    <col min="14" max="15" width="16.19921875" style="7" hidden="1" customWidth="1"/>
    <col min="16" max="16" width="10" style="7" bestFit="1" customWidth="1"/>
    <col min="17" max="17" width="8.19921875" style="7" customWidth="1"/>
    <col min="18" max="19" width="14.796875" style="7" bestFit="1" customWidth="1"/>
    <col min="20" max="20" width="10" style="7" bestFit="1" customWidth="1"/>
    <col min="21" max="21" width="8.19921875" style="7" customWidth="1"/>
    <col min="22" max="22" width="14.796875" style="7" bestFit="1" customWidth="1"/>
    <col min="23" max="23" width="13.69921875" style="7" bestFit="1" customWidth="1"/>
    <col min="24" max="24" width="15.296875" style="7" bestFit="1" customWidth="1"/>
    <col min="25" max="25" width="14.796875" style="7" bestFit="1" customWidth="1"/>
    <col min="26" max="26" width="6.796875" style="7" bestFit="1" customWidth="1"/>
    <col min="27" max="28" width="14.796875" style="7" bestFit="1" customWidth="1"/>
    <col min="29" max="29" width="18.796875" style="11" bestFit="1" customWidth="1"/>
    <col min="30" max="31" width="14.69921875" style="7" bestFit="1" customWidth="1"/>
    <col min="32" max="16384" width="8.69921875" style="7"/>
  </cols>
  <sheetData>
    <row r="1" spans="1:3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6" t="s">
        <v>15</v>
      </c>
      <c r="K1" s="1" t="s">
        <v>16</v>
      </c>
      <c r="L1" s="1" t="s">
        <v>17</v>
      </c>
      <c r="M1" s="2" t="s">
        <v>18</v>
      </c>
      <c r="N1" s="3" t="s">
        <v>19</v>
      </c>
      <c r="O1" s="3" t="s">
        <v>20</v>
      </c>
      <c r="P1" s="8" t="s">
        <v>9</v>
      </c>
      <c r="Q1" s="8" t="s">
        <v>10</v>
      </c>
      <c r="R1" s="2" t="s">
        <v>21</v>
      </c>
      <c r="S1" s="3" t="s">
        <v>22</v>
      </c>
      <c r="T1" s="8" t="s">
        <v>11</v>
      </c>
      <c r="U1" s="8" t="s">
        <v>12</v>
      </c>
      <c r="V1" s="2" t="s">
        <v>23</v>
      </c>
      <c r="W1" s="3" t="s">
        <v>24</v>
      </c>
      <c r="X1" s="1" t="s">
        <v>25</v>
      </c>
      <c r="Y1" s="1" t="s">
        <v>26</v>
      </c>
      <c r="Z1" s="4" t="s">
        <v>27</v>
      </c>
      <c r="AA1" s="1" t="s">
        <v>13</v>
      </c>
      <c r="AB1" s="1" t="s">
        <v>14</v>
      </c>
      <c r="AC1" s="9" t="s">
        <v>28</v>
      </c>
      <c r="AD1" s="5" t="s">
        <v>29</v>
      </c>
      <c r="AE1" s="10" t="s">
        <v>30</v>
      </c>
    </row>
    <row r="2" spans="1:31" ht="17.399999999999999">
      <c r="A2" s="15">
        <v>1833</v>
      </c>
      <c r="B2" s="15" t="s">
        <v>34</v>
      </c>
      <c r="C2" s="15">
        <v>20472</v>
      </c>
      <c r="D2" s="15" t="s">
        <v>55</v>
      </c>
      <c r="E2" s="16"/>
      <c r="F2" s="15" t="s">
        <v>80</v>
      </c>
      <c r="G2" s="15" t="s">
        <v>65</v>
      </c>
      <c r="H2" s="16"/>
      <c r="I2" s="15" t="s">
        <v>78</v>
      </c>
      <c r="J2" s="17" t="s">
        <v>69</v>
      </c>
      <c r="K2" s="17" t="s">
        <v>36</v>
      </c>
      <c r="L2" s="17"/>
      <c r="M2" s="20"/>
      <c r="N2" s="15"/>
      <c r="O2" s="15"/>
      <c r="P2" s="15">
        <v>209</v>
      </c>
      <c r="Q2" s="18" t="s">
        <v>32</v>
      </c>
      <c r="R2" s="12">
        <f>P2*180</f>
        <v>37620</v>
      </c>
      <c r="S2" s="12">
        <f>R2*Q2</f>
        <v>26334</v>
      </c>
      <c r="T2" s="15">
        <v>299</v>
      </c>
      <c r="U2" s="19" t="s">
        <v>33</v>
      </c>
      <c r="V2" s="14">
        <f>T2*180</f>
        <v>53820</v>
      </c>
      <c r="W2" s="14">
        <f>V2*U2</f>
        <v>32292</v>
      </c>
      <c r="X2" s="14">
        <f>S2+W2</f>
        <v>58626</v>
      </c>
      <c r="Y2" s="14">
        <f>R2+V2</f>
        <v>91440</v>
      </c>
      <c r="Z2" s="22"/>
      <c r="AA2" s="12">
        <f>IF(COUNT(Z2),X2*Z2,X2)</f>
        <v>58626</v>
      </c>
      <c r="AB2" s="12">
        <f>AA2-O2</f>
        <v>58626</v>
      </c>
      <c r="AC2" s="12">
        <f>ROUND(IF(AB2+M2&lt;0,0,AB2+M2),0)</f>
        <v>58626</v>
      </c>
      <c r="AD2" s="13">
        <f>IF(M2=0,0,IF(AC2=0,AA2+M2-O2,0))</f>
        <v>0</v>
      </c>
      <c r="AE2" s="14">
        <f>IF(AND(O2&gt;0,AC2&lt;=0),AA2-O2,0)</f>
        <v>0</v>
      </c>
    </row>
    <row r="3" spans="1:31" ht="17.399999999999999">
      <c r="A3" s="15">
        <v>1972</v>
      </c>
      <c r="B3" s="15" t="s">
        <v>34</v>
      </c>
      <c r="C3" s="15">
        <v>19188</v>
      </c>
      <c r="D3" s="15" t="s">
        <v>55</v>
      </c>
      <c r="E3" s="16"/>
      <c r="F3" s="15" t="s">
        <v>59</v>
      </c>
      <c r="G3" s="15" t="s">
        <v>65</v>
      </c>
      <c r="H3" s="16"/>
      <c r="I3" s="15" t="s">
        <v>57</v>
      </c>
      <c r="J3" s="17" t="s">
        <v>69</v>
      </c>
      <c r="K3" s="17" t="s">
        <v>36</v>
      </c>
      <c r="L3" s="17"/>
      <c r="M3" s="20"/>
      <c r="N3" s="15"/>
      <c r="O3" s="15"/>
      <c r="P3" s="15">
        <v>266</v>
      </c>
      <c r="Q3" s="18" t="s">
        <v>32</v>
      </c>
      <c r="R3" s="12">
        <f>P3*180</f>
        <v>47880</v>
      </c>
      <c r="S3" s="12">
        <f>R3*Q3</f>
        <v>33516</v>
      </c>
      <c r="T3" s="15">
        <v>180</v>
      </c>
      <c r="U3" s="19" t="s">
        <v>33</v>
      </c>
      <c r="V3" s="14">
        <f>T3*180</f>
        <v>32400</v>
      </c>
      <c r="W3" s="14">
        <f>V3*U3</f>
        <v>19440</v>
      </c>
      <c r="X3" s="14">
        <f>S3+W3</f>
        <v>52956</v>
      </c>
      <c r="Y3" s="14">
        <f>R3+V3</f>
        <v>80280</v>
      </c>
      <c r="Z3" s="22"/>
      <c r="AA3" s="12">
        <f>IF(COUNT(Z3),X3*Z3,X3)</f>
        <v>52956</v>
      </c>
      <c r="AB3" s="12">
        <f>AA3-O3</f>
        <v>52956</v>
      </c>
      <c r="AC3" s="12">
        <f>ROUND(IF(AB3+M3&lt;0,0,AB3+M3),0)</f>
        <v>52956</v>
      </c>
      <c r="AD3" s="13">
        <f>IF(M3=0,0,IF(AC3=0,AA3+M3-O3,0))</f>
        <v>0</v>
      </c>
      <c r="AE3" s="14">
        <f>IF(AND(O3&gt;0,AC3&lt;=0),AA3-O3,0)</f>
        <v>0</v>
      </c>
    </row>
    <row r="4" spans="1:31" ht="17.399999999999999">
      <c r="A4" s="15">
        <v>2294</v>
      </c>
      <c r="B4" s="15" t="s">
        <v>34</v>
      </c>
      <c r="C4" s="15">
        <v>21721</v>
      </c>
      <c r="D4" s="15" t="s">
        <v>55</v>
      </c>
      <c r="E4" s="16"/>
      <c r="F4" s="15" t="s">
        <v>104</v>
      </c>
      <c r="G4" s="15" t="s">
        <v>65</v>
      </c>
      <c r="H4" s="16"/>
      <c r="I4" s="15" t="s">
        <v>105</v>
      </c>
      <c r="J4" s="17" t="s">
        <v>69</v>
      </c>
      <c r="K4" s="17" t="s">
        <v>36</v>
      </c>
      <c r="L4" s="17"/>
      <c r="M4" s="20"/>
      <c r="N4" s="15"/>
      <c r="O4" s="15"/>
      <c r="P4" s="15">
        <v>225</v>
      </c>
      <c r="Q4" s="18" t="s">
        <v>32</v>
      </c>
      <c r="R4" s="12">
        <f>P4*180</f>
        <v>40500</v>
      </c>
      <c r="S4" s="12">
        <f>R4*Q4</f>
        <v>28350</v>
      </c>
      <c r="T4" s="15">
        <v>106</v>
      </c>
      <c r="U4" s="19" t="s">
        <v>33</v>
      </c>
      <c r="V4" s="14">
        <f>T4*180</f>
        <v>19080</v>
      </c>
      <c r="W4" s="14">
        <f>V4*U4</f>
        <v>11448</v>
      </c>
      <c r="X4" s="14">
        <f>S4+W4</f>
        <v>39798</v>
      </c>
      <c r="Y4" s="14">
        <f>R4+V4</f>
        <v>59580</v>
      </c>
      <c r="Z4" s="22"/>
      <c r="AA4" s="12">
        <f>IF(COUNT(Z4),X4*Z4,X4)</f>
        <v>39798</v>
      </c>
      <c r="AB4" s="12">
        <f>AA4-O4</f>
        <v>39798</v>
      </c>
      <c r="AC4" s="12">
        <f>ROUND(IF(AB4+M4&lt;0,0,AB4+M4),0)</f>
        <v>39798</v>
      </c>
      <c r="AD4" s="13">
        <f>IF(M4=0,0,IF(AC4=0,AA4+M4-O4,0))</f>
        <v>0</v>
      </c>
      <c r="AE4" s="14">
        <f>IF(AND(O4&gt;0,AC4&lt;=0),AA4-O4,0)</f>
        <v>0</v>
      </c>
    </row>
    <row r="5" spans="1:31" ht="17.399999999999999">
      <c r="A5" s="15">
        <v>2331</v>
      </c>
      <c r="B5" s="15" t="s">
        <v>34</v>
      </c>
      <c r="C5" s="15">
        <v>21078</v>
      </c>
      <c r="D5" s="15" t="s">
        <v>55</v>
      </c>
      <c r="E5" s="16"/>
      <c r="F5" s="15" t="s">
        <v>81</v>
      </c>
      <c r="G5" s="15" t="s">
        <v>65</v>
      </c>
      <c r="H5" s="16"/>
      <c r="I5" s="15" t="s">
        <v>82</v>
      </c>
      <c r="J5" s="17" t="s">
        <v>69</v>
      </c>
      <c r="K5" s="17" t="s">
        <v>36</v>
      </c>
      <c r="L5" s="17"/>
      <c r="M5" s="20"/>
      <c r="N5" s="15"/>
      <c r="O5" s="15"/>
      <c r="P5" s="15">
        <v>130</v>
      </c>
      <c r="Q5" s="18" t="s">
        <v>32</v>
      </c>
      <c r="R5" s="12">
        <f>P5*180</f>
        <v>23400</v>
      </c>
      <c r="S5" s="12">
        <f>R5*Q5</f>
        <v>16379.999999999998</v>
      </c>
      <c r="T5" s="15">
        <v>190</v>
      </c>
      <c r="U5" s="19" t="s">
        <v>33</v>
      </c>
      <c r="V5" s="14">
        <f>T5*180</f>
        <v>34200</v>
      </c>
      <c r="W5" s="14">
        <f>V5*U5</f>
        <v>20520</v>
      </c>
      <c r="X5" s="14">
        <f>S5+W5</f>
        <v>36900</v>
      </c>
      <c r="Y5" s="14">
        <f>R5+V5</f>
        <v>57600</v>
      </c>
      <c r="Z5" s="22"/>
      <c r="AA5" s="12">
        <f>IF(COUNT(Z5),X5*Z5,X5)</f>
        <v>36900</v>
      </c>
      <c r="AB5" s="12">
        <f>AA5-O5</f>
        <v>36900</v>
      </c>
      <c r="AC5" s="12">
        <f>ROUND(IF(AB5+M5&lt;0,0,AB5+M5),0)</f>
        <v>36900</v>
      </c>
      <c r="AD5" s="13">
        <f>IF(M5=0,0,IF(AC5=0,AA5+M5-O5,0))</f>
        <v>0</v>
      </c>
      <c r="AE5" s="14">
        <f>IF(AND(O5&gt;0,AC5&lt;=0),AA5-O5,0)</f>
        <v>0</v>
      </c>
    </row>
    <row r="6" spans="1:31" ht="17.399999999999999">
      <c r="A6" s="15">
        <v>2967</v>
      </c>
      <c r="B6" s="15" t="s">
        <v>34</v>
      </c>
      <c r="C6" s="15">
        <v>21193</v>
      </c>
      <c r="D6" s="15" t="s">
        <v>55</v>
      </c>
      <c r="E6" s="16"/>
      <c r="F6" s="15" t="s">
        <v>83</v>
      </c>
      <c r="G6" s="15" t="s">
        <v>65</v>
      </c>
      <c r="H6" s="16"/>
      <c r="I6" s="15" t="s">
        <v>84</v>
      </c>
      <c r="J6" s="17" t="s">
        <v>69</v>
      </c>
      <c r="K6" s="17" t="s">
        <v>36</v>
      </c>
      <c r="L6" s="17"/>
      <c r="M6" s="20"/>
      <c r="N6" s="15"/>
      <c r="O6" s="15"/>
      <c r="P6" s="15">
        <v>83</v>
      </c>
      <c r="Q6" s="18" t="s">
        <v>32</v>
      </c>
      <c r="R6" s="12">
        <f>P6*180</f>
        <v>14940</v>
      </c>
      <c r="S6" s="12">
        <f>R6*Q6</f>
        <v>10458</v>
      </c>
      <c r="T6" s="15">
        <v>102</v>
      </c>
      <c r="U6" s="19" t="s">
        <v>33</v>
      </c>
      <c r="V6" s="14">
        <f>T6*180</f>
        <v>18360</v>
      </c>
      <c r="W6" s="14">
        <f>V6*U6</f>
        <v>11016</v>
      </c>
      <c r="X6" s="14">
        <f>S6+W6</f>
        <v>21474</v>
      </c>
      <c r="Y6" s="14">
        <f>R6+V6</f>
        <v>33300</v>
      </c>
      <c r="Z6" s="22"/>
      <c r="AA6" s="12">
        <f>IF(COUNT(Z6),X6*Z6,X6)</f>
        <v>21474</v>
      </c>
      <c r="AB6" s="12">
        <f>AA6-O6</f>
        <v>21474</v>
      </c>
      <c r="AC6" s="12">
        <f>ROUND(IF(AB6+M6&lt;0,0,AB6+M6),0)</f>
        <v>21474</v>
      </c>
      <c r="AD6" s="13">
        <f>IF(M6=0,0,IF(AC6=0,AA6+M6-O6,0))</f>
        <v>0</v>
      </c>
      <c r="AE6" s="14">
        <f>IF(AND(O6&gt;0,AC6&lt;=0),AA6-O6,0)</f>
        <v>0</v>
      </c>
    </row>
    <row r="7" spans="1:31" ht="17.399999999999999">
      <c r="A7" s="15">
        <v>3013</v>
      </c>
      <c r="B7" s="15" t="s">
        <v>34</v>
      </c>
      <c r="C7" s="15">
        <v>18938</v>
      </c>
      <c r="D7" s="15" t="s">
        <v>55</v>
      </c>
      <c r="E7" s="16"/>
      <c r="F7" s="15" t="s">
        <v>58</v>
      </c>
      <c r="G7" s="15" t="s">
        <v>65</v>
      </c>
      <c r="H7" s="16"/>
      <c r="I7" s="15" t="s">
        <v>57</v>
      </c>
      <c r="J7" s="17" t="s">
        <v>69</v>
      </c>
      <c r="K7" s="17" t="s">
        <v>36</v>
      </c>
      <c r="L7" s="17"/>
      <c r="M7" s="20"/>
      <c r="N7" s="15"/>
      <c r="O7" s="15"/>
      <c r="P7" s="15">
        <v>127</v>
      </c>
      <c r="Q7" s="18" t="s">
        <v>32</v>
      </c>
      <c r="R7" s="12">
        <f>P7*180</f>
        <v>22860</v>
      </c>
      <c r="S7" s="12">
        <f>R7*Q7</f>
        <v>16001.999999999998</v>
      </c>
      <c r="T7" s="15">
        <v>66</v>
      </c>
      <c r="U7" s="19" t="s">
        <v>33</v>
      </c>
      <c r="V7" s="14">
        <f>T7*180</f>
        <v>11880</v>
      </c>
      <c r="W7" s="14">
        <f>V7*U7</f>
        <v>7128</v>
      </c>
      <c r="X7" s="14">
        <f>S7+W7</f>
        <v>23130</v>
      </c>
      <c r="Y7" s="14">
        <f>R7+V7</f>
        <v>34740</v>
      </c>
      <c r="Z7" s="22"/>
      <c r="AA7" s="12">
        <f>IF(COUNT(Z7),X7*Z7,X7)</f>
        <v>23130</v>
      </c>
      <c r="AB7" s="12">
        <f>AA7-O7</f>
        <v>23130</v>
      </c>
      <c r="AC7" s="12">
        <f>ROUND(IF(AB7+M7&lt;0,0,AB7+M7),0)</f>
        <v>23130</v>
      </c>
      <c r="AD7" s="13">
        <f>IF(M7=0,0,IF(AC7=0,AA7+M7-O7,0))</f>
        <v>0</v>
      </c>
      <c r="AE7" s="14">
        <f>IF(AND(O7&gt;0,AC7&lt;=0),AA7-O7,0)</f>
        <v>0</v>
      </c>
    </row>
    <row r="8" spans="1:31" ht="17.399999999999999">
      <c r="A8" s="15">
        <v>3015</v>
      </c>
      <c r="B8" s="15" t="s">
        <v>34</v>
      </c>
      <c r="C8" s="15">
        <v>18761</v>
      </c>
      <c r="D8" s="15" t="s">
        <v>55</v>
      </c>
      <c r="E8" s="16"/>
      <c r="F8" s="15" t="s">
        <v>70</v>
      </c>
      <c r="G8" s="15" t="s">
        <v>65</v>
      </c>
      <c r="H8" s="16"/>
      <c r="I8" s="15" t="s">
        <v>57</v>
      </c>
      <c r="J8" s="17" t="s">
        <v>69</v>
      </c>
      <c r="K8" s="17" t="s">
        <v>36</v>
      </c>
      <c r="L8" s="17"/>
      <c r="M8" s="20"/>
      <c r="N8" s="15"/>
      <c r="O8" s="15"/>
      <c r="P8" s="15">
        <v>107</v>
      </c>
      <c r="Q8" s="18" t="s">
        <v>32</v>
      </c>
      <c r="R8" s="12">
        <f>P8*180</f>
        <v>19260</v>
      </c>
      <c r="S8" s="12">
        <f>R8*Q8</f>
        <v>13482</v>
      </c>
      <c r="T8" s="15">
        <v>16</v>
      </c>
      <c r="U8" s="19" t="s">
        <v>33</v>
      </c>
      <c r="V8" s="14">
        <f>T8*180</f>
        <v>2880</v>
      </c>
      <c r="W8" s="14">
        <f>V8*U8</f>
        <v>1728</v>
      </c>
      <c r="X8" s="14">
        <f>S8+W8</f>
        <v>15210</v>
      </c>
      <c r="Y8" s="14">
        <f>R8+V8</f>
        <v>22140</v>
      </c>
      <c r="Z8" s="22"/>
      <c r="AA8" s="12">
        <f>IF(COUNT(Z8),X8*Z8,X8)</f>
        <v>15210</v>
      </c>
      <c r="AB8" s="12">
        <f>AA8-O8</f>
        <v>15210</v>
      </c>
      <c r="AC8" s="12">
        <f>ROUND(IF(AB8+M8&lt;0,0,AB8+M8),0)</f>
        <v>15210</v>
      </c>
      <c r="AD8" s="13">
        <f>IF(M8=0,0,IF(AC8=0,AA8+M8-O8,0))</f>
        <v>0</v>
      </c>
      <c r="AE8" s="14">
        <f>IF(AND(O8&gt;0,AC8&lt;=0),AA8-O8,0)</f>
        <v>0</v>
      </c>
    </row>
    <row r="9" spans="1:31" ht="17.399999999999999">
      <c r="A9" s="15">
        <v>3030</v>
      </c>
      <c r="B9" s="15" t="s">
        <v>34</v>
      </c>
      <c r="C9" s="15">
        <v>17911</v>
      </c>
      <c r="D9" s="15" t="s">
        <v>55</v>
      </c>
      <c r="E9" s="16"/>
      <c r="F9" s="15" t="s">
        <v>71</v>
      </c>
      <c r="G9" s="15" t="s">
        <v>65</v>
      </c>
      <c r="H9" s="16"/>
      <c r="I9" s="15" t="s">
        <v>72</v>
      </c>
      <c r="J9" s="17" t="s">
        <v>69</v>
      </c>
      <c r="K9" s="17" t="s">
        <v>36</v>
      </c>
      <c r="L9" s="17"/>
      <c r="M9" s="20"/>
      <c r="N9" s="15"/>
      <c r="O9" s="15"/>
      <c r="P9" s="15">
        <v>54</v>
      </c>
      <c r="Q9" s="18" t="s">
        <v>32</v>
      </c>
      <c r="R9" s="12">
        <f>P9*180</f>
        <v>9720</v>
      </c>
      <c r="S9" s="12">
        <f>R9*Q9</f>
        <v>6804</v>
      </c>
      <c r="T9" s="15">
        <v>91</v>
      </c>
      <c r="U9" s="19" t="s">
        <v>33</v>
      </c>
      <c r="V9" s="14">
        <f>T9*180</f>
        <v>16380</v>
      </c>
      <c r="W9" s="14">
        <f>V9*U9</f>
        <v>9828</v>
      </c>
      <c r="X9" s="14">
        <f>S9+W9</f>
        <v>16632</v>
      </c>
      <c r="Y9" s="14">
        <f>R9+V9</f>
        <v>26100</v>
      </c>
      <c r="Z9" s="22"/>
      <c r="AA9" s="12">
        <f>IF(COUNT(Z9),X9*Z9,X9)</f>
        <v>16632</v>
      </c>
      <c r="AB9" s="12">
        <f>AA9-O9</f>
        <v>16632</v>
      </c>
      <c r="AC9" s="12">
        <f>ROUND(IF(AB9+M9&lt;0,0,AB9+M9),0)</f>
        <v>16632</v>
      </c>
      <c r="AD9" s="13">
        <f>IF(M9=0,0,IF(AC9=0,AA9+M9-O9,0))</f>
        <v>0</v>
      </c>
      <c r="AE9" s="14">
        <f>IF(AND(O9&gt;0,AC9&lt;=0),AA9-O9,0)</f>
        <v>0</v>
      </c>
    </row>
    <row r="10" spans="1:31" ht="17.399999999999999">
      <c r="A10" s="15">
        <v>3161</v>
      </c>
      <c r="B10" s="15" t="s">
        <v>34</v>
      </c>
      <c r="C10" s="15">
        <v>19290</v>
      </c>
      <c r="D10" s="15" t="s">
        <v>55</v>
      </c>
      <c r="E10" s="16"/>
      <c r="F10" s="15" t="s">
        <v>67</v>
      </c>
      <c r="G10" s="15" t="s">
        <v>65</v>
      </c>
      <c r="H10" s="16"/>
      <c r="I10" s="15" t="s">
        <v>79</v>
      </c>
      <c r="J10" s="17" t="s">
        <v>69</v>
      </c>
      <c r="K10" s="17" t="s">
        <v>36</v>
      </c>
      <c r="L10" s="17"/>
      <c r="M10" s="20"/>
      <c r="N10" s="15"/>
      <c r="O10" s="15"/>
      <c r="P10" s="15">
        <v>92</v>
      </c>
      <c r="Q10" s="18" t="s">
        <v>32</v>
      </c>
      <c r="R10" s="12">
        <f>P10*180</f>
        <v>16560</v>
      </c>
      <c r="S10" s="12">
        <f>R10*Q10</f>
        <v>11592</v>
      </c>
      <c r="T10" s="15">
        <v>72</v>
      </c>
      <c r="U10" s="19" t="s">
        <v>33</v>
      </c>
      <c r="V10" s="14">
        <f>T10*180</f>
        <v>12960</v>
      </c>
      <c r="W10" s="14">
        <f>V10*U10</f>
        <v>7776</v>
      </c>
      <c r="X10" s="14">
        <f>S10+W10</f>
        <v>19368</v>
      </c>
      <c r="Y10" s="14">
        <f>R10+V10</f>
        <v>29520</v>
      </c>
      <c r="Z10" s="22"/>
      <c r="AA10" s="12">
        <f>IF(COUNT(Z10),X10*Z10,X10)</f>
        <v>19368</v>
      </c>
      <c r="AB10" s="12">
        <f>AA10-O10</f>
        <v>19368</v>
      </c>
      <c r="AC10" s="12">
        <f>ROUND(IF(AB10+M10&lt;0,0,AB10+M10),0)</f>
        <v>19368</v>
      </c>
      <c r="AD10" s="13">
        <f>IF(M10=0,0,IF(AC10=0,AA10+M10-O10,0))</f>
        <v>0</v>
      </c>
      <c r="AE10" s="14">
        <f>IF(AND(O10&gt;0,AC10&lt;=0),AA10-O10,0)</f>
        <v>0</v>
      </c>
    </row>
    <row r="11" spans="1:31" ht="17.399999999999999">
      <c r="A11" s="15">
        <v>3247</v>
      </c>
      <c r="B11" s="15" t="s">
        <v>34</v>
      </c>
      <c r="C11" s="15">
        <v>18944</v>
      </c>
      <c r="D11" s="15" t="s">
        <v>55</v>
      </c>
      <c r="E11" s="16"/>
      <c r="F11" s="15" t="s">
        <v>56</v>
      </c>
      <c r="G11" s="15" t="s">
        <v>65</v>
      </c>
      <c r="H11" s="16"/>
      <c r="I11" s="15" t="s">
        <v>57</v>
      </c>
      <c r="J11" s="17" t="s">
        <v>69</v>
      </c>
      <c r="K11" s="17" t="s">
        <v>36</v>
      </c>
      <c r="L11" s="17"/>
      <c r="M11" s="20"/>
      <c r="N11" s="15"/>
      <c r="O11" s="15"/>
      <c r="P11" s="15">
        <v>42</v>
      </c>
      <c r="Q11" s="18" t="s">
        <v>32</v>
      </c>
      <c r="R11" s="12">
        <f>P11*180</f>
        <v>7560</v>
      </c>
      <c r="S11" s="12">
        <f>R11*Q11</f>
        <v>5292</v>
      </c>
      <c r="T11" s="15">
        <v>126</v>
      </c>
      <c r="U11" s="19" t="s">
        <v>33</v>
      </c>
      <c r="V11" s="14">
        <f>T11*180</f>
        <v>22680</v>
      </c>
      <c r="W11" s="14">
        <f>V11*U11</f>
        <v>13608</v>
      </c>
      <c r="X11" s="14">
        <f>S11+W11</f>
        <v>18900</v>
      </c>
      <c r="Y11" s="14">
        <f>R11+V11</f>
        <v>30240</v>
      </c>
      <c r="Z11" s="22"/>
      <c r="AA11" s="12">
        <f>IF(COUNT(Z11),X11*Z11,X11)</f>
        <v>18900</v>
      </c>
      <c r="AB11" s="12">
        <f>AA11-O11</f>
        <v>18900</v>
      </c>
      <c r="AC11" s="12">
        <f>ROUND(IF(AB11+M11&lt;0,0,AB11+M11),0)</f>
        <v>18900</v>
      </c>
      <c r="AD11" s="13">
        <f>IF(M11=0,0,IF(AC11=0,AA11+M11-O11,0))</f>
        <v>0</v>
      </c>
      <c r="AE11" s="14">
        <f>IF(AND(O11&gt;0,AC11&lt;=0),AA11-O11,0)</f>
        <v>0</v>
      </c>
    </row>
    <row r="12" spans="1:31" ht="17.399999999999999">
      <c r="A12" s="15">
        <v>3465</v>
      </c>
      <c r="B12" s="15" t="s">
        <v>34</v>
      </c>
      <c r="C12" s="15">
        <v>21695</v>
      </c>
      <c r="D12" s="15" t="s">
        <v>55</v>
      </c>
      <c r="E12" s="16"/>
      <c r="F12" s="15" t="s">
        <v>100</v>
      </c>
      <c r="G12" s="15" t="s">
        <v>65</v>
      </c>
      <c r="H12" s="16"/>
      <c r="I12" s="15" t="s">
        <v>94</v>
      </c>
      <c r="J12" s="17" t="s">
        <v>69</v>
      </c>
      <c r="K12" s="17" t="s">
        <v>36</v>
      </c>
      <c r="L12" s="17"/>
      <c r="M12" s="20"/>
      <c r="N12" s="15"/>
      <c r="O12" s="15"/>
      <c r="P12" s="15">
        <v>88</v>
      </c>
      <c r="Q12" s="18" t="s">
        <v>32</v>
      </c>
      <c r="R12" s="12">
        <f>P12*180</f>
        <v>15840</v>
      </c>
      <c r="S12" s="12">
        <f>R12*Q12</f>
        <v>11088</v>
      </c>
      <c r="T12" s="15">
        <v>37</v>
      </c>
      <c r="U12" s="19" t="s">
        <v>33</v>
      </c>
      <c r="V12" s="14">
        <f>T12*180</f>
        <v>6660</v>
      </c>
      <c r="W12" s="14">
        <f>V12*U12</f>
        <v>3996</v>
      </c>
      <c r="X12" s="14">
        <f>S12+W12</f>
        <v>15084</v>
      </c>
      <c r="Y12" s="14">
        <f>R12+V12</f>
        <v>22500</v>
      </c>
      <c r="Z12" s="22"/>
      <c r="AA12" s="12">
        <f>IF(COUNT(Z12),X12*Z12,X12)</f>
        <v>15084</v>
      </c>
      <c r="AB12" s="12">
        <f>AA12-O12</f>
        <v>15084</v>
      </c>
      <c r="AC12" s="12">
        <f>ROUND(IF(AB12+M12&lt;0,0,AB12+M12),0)</f>
        <v>15084</v>
      </c>
      <c r="AD12" s="13">
        <f>IF(M12=0,0,IF(AC12=0,AA12+M12-O12,0))</f>
        <v>0</v>
      </c>
      <c r="AE12" s="14">
        <f>IF(AND(O12&gt;0,AC12&lt;=0),AA12-O12,0)</f>
        <v>0</v>
      </c>
    </row>
    <row r="13" spans="1:31" ht="17.399999999999999">
      <c r="A13" s="15">
        <v>3772</v>
      </c>
      <c r="B13" s="15" t="s">
        <v>34</v>
      </c>
      <c r="C13" s="15">
        <v>21514</v>
      </c>
      <c r="D13" s="15" t="s">
        <v>55</v>
      </c>
      <c r="E13" s="16"/>
      <c r="F13" s="15" t="s">
        <v>98</v>
      </c>
      <c r="G13" s="15" t="s">
        <v>65</v>
      </c>
      <c r="H13" s="16"/>
      <c r="I13" s="15" t="s">
        <v>99</v>
      </c>
      <c r="J13" s="17" t="s">
        <v>69</v>
      </c>
      <c r="K13" s="17" t="s">
        <v>36</v>
      </c>
      <c r="L13" s="17"/>
      <c r="M13" s="20"/>
      <c r="N13" s="15"/>
      <c r="O13" s="15"/>
      <c r="P13" s="15">
        <v>23</v>
      </c>
      <c r="Q13" s="18" t="s">
        <v>32</v>
      </c>
      <c r="R13" s="12">
        <f>P13*180</f>
        <v>4140</v>
      </c>
      <c r="S13" s="12">
        <f>R13*Q13</f>
        <v>2898</v>
      </c>
      <c r="T13" s="15">
        <v>2</v>
      </c>
      <c r="U13" s="19" t="s">
        <v>33</v>
      </c>
      <c r="V13" s="14">
        <f>T13*180</f>
        <v>360</v>
      </c>
      <c r="W13" s="14">
        <f>V13*U13</f>
        <v>216</v>
      </c>
      <c r="X13" s="14">
        <f>S13+W13</f>
        <v>3114</v>
      </c>
      <c r="Y13" s="14">
        <f>R13+V13</f>
        <v>4500</v>
      </c>
      <c r="Z13" s="22"/>
      <c r="AA13" s="12">
        <f>IF(COUNT(Z13),X13*Z13,X13)</f>
        <v>3114</v>
      </c>
      <c r="AB13" s="12">
        <f>AA13-O13</f>
        <v>3114</v>
      </c>
      <c r="AC13" s="12">
        <f>ROUND(IF(AB13+M13&lt;0,0,AB13+M13),0)</f>
        <v>3114</v>
      </c>
      <c r="AD13" s="13">
        <f>IF(M13=0,0,IF(AC13=0,AA13+M13-O13,0))</f>
        <v>0</v>
      </c>
      <c r="AE13" s="14">
        <f>IF(AND(O13&gt;0,AC13&lt;=0),AA13-O13,0)</f>
        <v>0</v>
      </c>
    </row>
    <row r="14" spans="1:31" ht="17.399999999999999">
      <c r="A14" s="15">
        <v>4017</v>
      </c>
      <c r="B14" s="15" t="s">
        <v>34</v>
      </c>
      <c r="C14" s="15">
        <v>21589</v>
      </c>
      <c r="D14" s="15" t="s">
        <v>55</v>
      </c>
      <c r="E14" s="16"/>
      <c r="F14" s="15" t="s">
        <v>97</v>
      </c>
      <c r="G14" s="15" t="s">
        <v>65</v>
      </c>
      <c r="H14" s="16"/>
      <c r="I14" s="15" t="s">
        <v>79</v>
      </c>
      <c r="J14" s="17" t="s">
        <v>69</v>
      </c>
      <c r="K14" s="17" t="s">
        <v>36</v>
      </c>
      <c r="L14" s="17"/>
      <c r="M14" s="20"/>
      <c r="N14" s="15"/>
      <c r="O14" s="15"/>
      <c r="P14" s="15">
        <v>80</v>
      </c>
      <c r="Q14" s="18" t="s">
        <v>32</v>
      </c>
      <c r="R14" s="12">
        <f>P14*180</f>
        <v>14400</v>
      </c>
      <c r="S14" s="12">
        <f>R14*Q14</f>
        <v>10080</v>
      </c>
      <c r="T14" s="15">
        <v>36</v>
      </c>
      <c r="U14" s="19" t="s">
        <v>33</v>
      </c>
      <c r="V14" s="14">
        <f>T14*180</f>
        <v>6480</v>
      </c>
      <c r="W14" s="14">
        <f>V14*U14</f>
        <v>3888</v>
      </c>
      <c r="X14" s="14">
        <f>S14+W14</f>
        <v>13968</v>
      </c>
      <c r="Y14" s="14">
        <f>R14+V14</f>
        <v>20880</v>
      </c>
      <c r="Z14" s="22"/>
      <c r="AA14" s="12">
        <f>IF(COUNT(Z14),X14*Z14,X14)</f>
        <v>13968</v>
      </c>
      <c r="AB14" s="12">
        <f>AA14-O14</f>
        <v>13968</v>
      </c>
      <c r="AC14" s="12">
        <f>ROUND(IF(AB14+M14&lt;0,0,AB14+M14),0)</f>
        <v>13968</v>
      </c>
      <c r="AD14" s="13">
        <f>IF(M14=0,0,IF(AC14=0,AA14+M14-O14,0))</f>
        <v>0</v>
      </c>
      <c r="AE14" s="14">
        <f>IF(AND(O14&gt;0,AC14&lt;=0),AA14-O14,0)</f>
        <v>0</v>
      </c>
    </row>
    <row r="15" spans="1:31" ht="17.399999999999999">
      <c r="A15" s="15">
        <v>4234</v>
      </c>
      <c r="B15" s="15" t="s">
        <v>34</v>
      </c>
      <c r="C15" s="15">
        <v>20149</v>
      </c>
      <c r="D15" s="15" t="s">
        <v>55</v>
      </c>
      <c r="E15" s="16"/>
      <c r="F15" s="15" t="s">
        <v>68</v>
      </c>
      <c r="G15" s="15" t="s">
        <v>65</v>
      </c>
      <c r="H15" s="16"/>
      <c r="I15" s="15" t="s">
        <v>61</v>
      </c>
      <c r="J15" s="17" t="s">
        <v>69</v>
      </c>
      <c r="K15" s="17" t="s">
        <v>36</v>
      </c>
      <c r="L15" s="17"/>
      <c r="M15" s="20"/>
      <c r="N15" s="15"/>
      <c r="O15" s="15"/>
      <c r="P15" s="15">
        <v>12</v>
      </c>
      <c r="Q15" s="18" t="s">
        <v>32</v>
      </c>
      <c r="R15" s="12">
        <f>P15*180</f>
        <v>2160</v>
      </c>
      <c r="S15" s="12">
        <f>R15*Q15</f>
        <v>1512</v>
      </c>
      <c r="T15" s="15">
        <v>47</v>
      </c>
      <c r="U15" s="19" t="s">
        <v>33</v>
      </c>
      <c r="V15" s="14">
        <f>T15*180</f>
        <v>8460</v>
      </c>
      <c r="W15" s="14">
        <f>V15*U15</f>
        <v>5076</v>
      </c>
      <c r="X15" s="14">
        <f>S15+W15</f>
        <v>6588</v>
      </c>
      <c r="Y15" s="14">
        <f>R15+V15</f>
        <v>10620</v>
      </c>
      <c r="Z15" s="22"/>
      <c r="AA15" s="12">
        <f>IF(COUNT(Z15),X15*Z15,X15)</f>
        <v>6588</v>
      </c>
      <c r="AB15" s="12">
        <f>AA15-O15</f>
        <v>6588</v>
      </c>
      <c r="AC15" s="12">
        <f>ROUND(IF(AB15+M15&lt;0,0,AB15+M15),0)</f>
        <v>6588</v>
      </c>
      <c r="AD15" s="13">
        <f>IF(M15=0,0,IF(AC15=0,AA15+M15-O15,0))</f>
        <v>0</v>
      </c>
      <c r="AE15" s="14">
        <f>IF(AND(O15&gt;0,AC15&lt;=0),AA15-O15,0)</f>
        <v>0</v>
      </c>
    </row>
    <row r="16" spans="1:31" ht="17.399999999999999">
      <c r="A16" s="15">
        <v>4488</v>
      </c>
      <c r="B16" s="15" t="s">
        <v>34</v>
      </c>
      <c r="C16" s="15">
        <v>19275</v>
      </c>
      <c r="D16" s="15" t="s">
        <v>55</v>
      </c>
      <c r="E16" s="16"/>
      <c r="F16" s="15" t="s">
        <v>64</v>
      </c>
      <c r="G16" s="15" t="s">
        <v>65</v>
      </c>
      <c r="H16" s="16"/>
      <c r="I16" s="15" t="s">
        <v>57</v>
      </c>
      <c r="J16" s="17" t="s">
        <v>69</v>
      </c>
      <c r="K16" s="17" t="s">
        <v>36</v>
      </c>
      <c r="L16" s="17"/>
      <c r="M16" s="20"/>
      <c r="N16" s="15"/>
      <c r="O16" s="15"/>
      <c r="P16" s="15">
        <v>49</v>
      </c>
      <c r="Q16" s="18" t="s">
        <v>32</v>
      </c>
      <c r="R16" s="12">
        <f>P16*180</f>
        <v>8820</v>
      </c>
      <c r="S16" s="12">
        <f>R16*Q16</f>
        <v>6174</v>
      </c>
      <c r="T16" s="15">
        <v>14</v>
      </c>
      <c r="U16" s="19" t="s">
        <v>33</v>
      </c>
      <c r="V16" s="14">
        <f>T16*180</f>
        <v>2520</v>
      </c>
      <c r="W16" s="14">
        <f>V16*U16</f>
        <v>1512</v>
      </c>
      <c r="X16" s="14">
        <f>S16+W16</f>
        <v>7686</v>
      </c>
      <c r="Y16" s="14">
        <f>R16+V16</f>
        <v>11340</v>
      </c>
      <c r="Z16" s="22"/>
      <c r="AA16" s="12">
        <f>IF(COUNT(Z16),X16*Z16,X16)</f>
        <v>7686</v>
      </c>
      <c r="AB16" s="12">
        <f>AA16-O16</f>
        <v>7686</v>
      </c>
      <c r="AC16" s="12">
        <f>ROUND(IF(AB16+M16&lt;0,0,AB16+M16),0)</f>
        <v>7686</v>
      </c>
      <c r="AD16" s="13">
        <f>IF(M16=0,0,IF(AC16=0,AA16+M16-O16,0))</f>
        <v>0</v>
      </c>
      <c r="AE16" s="14">
        <f>IF(AND(O16&gt;0,AC16&lt;=0),AA16-O16,0)</f>
        <v>0</v>
      </c>
    </row>
    <row r="17" spans="1:31" ht="17.399999999999999">
      <c r="A17" s="15">
        <v>4604</v>
      </c>
      <c r="B17" s="15" t="s">
        <v>34</v>
      </c>
      <c r="C17" s="15">
        <v>21039</v>
      </c>
      <c r="D17" s="15" t="s">
        <v>55</v>
      </c>
      <c r="E17" s="16"/>
      <c r="F17" s="15" t="s">
        <v>93</v>
      </c>
      <c r="G17" s="15" t="s">
        <v>65</v>
      </c>
      <c r="H17" s="16"/>
      <c r="I17" s="15" t="s">
        <v>94</v>
      </c>
      <c r="J17" s="17" t="s">
        <v>69</v>
      </c>
      <c r="K17" s="17" t="s">
        <v>36</v>
      </c>
      <c r="L17" s="17"/>
      <c r="M17" s="20"/>
      <c r="N17" s="15"/>
      <c r="O17" s="15"/>
      <c r="P17" s="15">
        <v>25</v>
      </c>
      <c r="Q17" s="18" t="s">
        <v>32</v>
      </c>
      <c r="R17" s="12">
        <f>P17*180</f>
        <v>4500</v>
      </c>
      <c r="S17" s="12">
        <f>R17*Q17</f>
        <v>3150</v>
      </c>
      <c r="T17" s="15">
        <v>0</v>
      </c>
      <c r="U17" s="19" t="s">
        <v>33</v>
      </c>
      <c r="V17" s="14">
        <f>T17*180</f>
        <v>0</v>
      </c>
      <c r="W17" s="14">
        <f>V17*U17</f>
        <v>0</v>
      </c>
      <c r="X17" s="14">
        <f>S17+W17</f>
        <v>3150</v>
      </c>
      <c r="Y17" s="14">
        <f>R17+V17</f>
        <v>4500</v>
      </c>
      <c r="Z17" s="22"/>
      <c r="AA17" s="12">
        <f>IF(COUNT(Z17),X17*Z17,X17)</f>
        <v>3150</v>
      </c>
      <c r="AB17" s="12">
        <f>AA17-O17</f>
        <v>3150</v>
      </c>
      <c r="AC17" s="12">
        <f>ROUND(IF(AB17+M17&lt;0,0,AB17+M17),0)</f>
        <v>3150</v>
      </c>
      <c r="AD17" s="13">
        <f>IF(M17=0,0,IF(AC17=0,AA17+M17-O17,0))</f>
        <v>0</v>
      </c>
      <c r="AE17" s="14">
        <f>IF(AND(O17&gt;0,AC17&lt;=0),AA17-O17,0)</f>
        <v>0</v>
      </c>
    </row>
    <row r="18" spans="1:31" ht="17.399999999999999">
      <c r="A18" s="15">
        <v>4675</v>
      </c>
      <c r="B18" s="15" t="s">
        <v>34</v>
      </c>
      <c r="C18" s="15">
        <v>19292</v>
      </c>
      <c r="D18" s="15" t="s">
        <v>55</v>
      </c>
      <c r="E18" s="16"/>
      <c r="F18" s="15" t="s">
        <v>66</v>
      </c>
      <c r="G18" s="15" t="s">
        <v>65</v>
      </c>
      <c r="H18" s="16"/>
      <c r="I18" s="15" t="s">
        <v>57</v>
      </c>
      <c r="J18" s="17" t="s">
        <v>69</v>
      </c>
      <c r="K18" s="17" t="s">
        <v>36</v>
      </c>
      <c r="L18" s="17"/>
      <c r="M18" s="20"/>
      <c r="N18" s="15"/>
      <c r="O18" s="15"/>
      <c r="P18" s="15">
        <v>18</v>
      </c>
      <c r="Q18" s="18" t="s">
        <v>32</v>
      </c>
      <c r="R18" s="12">
        <f>P18*180</f>
        <v>3240</v>
      </c>
      <c r="S18" s="12">
        <f>R18*Q18</f>
        <v>2268</v>
      </c>
      <c r="T18" s="15">
        <v>57</v>
      </c>
      <c r="U18" s="19" t="s">
        <v>33</v>
      </c>
      <c r="V18" s="14">
        <f>T18*180</f>
        <v>10260</v>
      </c>
      <c r="W18" s="14">
        <f>V18*U18</f>
        <v>6156</v>
      </c>
      <c r="X18" s="14">
        <f>S18+W18</f>
        <v>8424</v>
      </c>
      <c r="Y18" s="14">
        <f>R18+V18</f>
        <v>13500</v>
      </c>
      <c r="Z18" s="22"/>
      <c r="AA18" s="12">
        <f>IF(COUNT(Z18),X18*Z18,X18)</f>
        <v>8424</v>
      </c>
      <c r="AB18" s="12">
        <f>AA18-O18</f>
        <v>8424</v>
      </c>
      <c r="AC18" s="12">
        <f>ROUND(IF(AB18+M18&lt;0,0,AB18+M18),0)</f>
        <v>8424</v>
      </c>
      <c r="AD18" s="13">
        <f>IF(M18=0,0,IF(AC18=0,AA18+M18-O18,0))</f>
        <v>0</v>
      </c>
      <c r="AE18" s="14">
        <f>IF(AND(O18&gt;0,AC18&lt;=0),AA18-O18,0)</f>
        <v>0</v>
      </c>
    </row>
    <row r="19" spans="1:31" ht="17.399999999999999">
      <c r="A19" s="15">
        <v>5104</v>
      </c>
      <c r="B19" s="15" t="s">
        <v>34</v>
      </c>
      <c r="C19" s="15">
        <v>17015</v>
      </c>
      <c r="D19" s="15" t="s">
        <v>55</v>
      </c>
      <c r="E19" s="16"/>
      <c r="F19" s="15" t="s">
        <v>60</v>
      </c>
      <c r="G19" s="15" t="s">
        <v>65</v>
      </c>
      <c r="H19" s="16"/>
      <c r="I19" s="15" t="s">
        <v>61</v>
      </c>
      <c r="J19" s="17" t="s">
        <v>69</v>
      </c>
      <c r="K19" s="17" t="s">
        <v>36</v>
      </c>
      <c r="L19" s="17"/>
      <c r="M19" s="20"/>
      <c r="N19" s="15"/>
      <c r="O19" s="15"/>
      <c r="P19" s="15">
        <v>28</v>
      </c>
      <c r="Q19" s="18" t="s">
        <v>32</v>
      </c>
      <c r="R19" s="12">
        <f>P19*180</f>
        <v>5040</v>
      </c>
      <c r="S19" s="12">
        <f>R19*Q19</f>
        <v>3528</v>
      </c>
      <c r="T19" s="15">
        <v>5</v>
      </c>
      <c r="U19" s="19" t="s">
        <v>33</v>
      </c>
      <c r="V19" s="14">
        <f>T19*180</f>
        <v>900</v>
      </c>
      <c r="W19" s="14">
        <f>V19*U19</f>
        <v>540</v>
      </c>
      <c r="X19" s="14">
        <f>S19+W19</f>
        <v>4068</v>
      </c>
      <c r="Y19" s="14">
        <f>R19+V19</f>
        <v>5940</v>
      </c>
      <c r="Z19" s="22"/>
      <c r="AA19" s="12">
        <f>IF(COUNT(Z19),X19*Z19,X19)</f>
        <v>4068</v>
      </c>
      <c r="AB19" s="12">
        <f>AA19-O19</f>
        <v>4068</v>
      </c>
      <c r="AC19" s="12">
        <f>ROUND(IF(AB19+M19&lt;0,0,AB19+M19),0)</f>
        <v>4068</v>
      </c>
      <c r="AD19" s="13">
        <f>IF(M19=0,0,IF(AC19=0,AA19+M19-O19,0))</f>
        <v>0</v>
      </c>
      <c r="AE19" s="14">
        <f>IF(AND(O19&gt;0,AC19&lt;=0),AA19-O19,0)</f>
        <v>0</v>
      </c>
    </row>
    <row r="20" spans="1:31" ht="17.399999999999999">
      <c r="A20" s="15">
        <v>5182</v>
      </c>
      <c r="B20" s="15" t="s">
        <v>34</v>
      </c>
      <c r="C20" s="15">
        <v>17408</v>
      </c>
      <c r="D20" s="15" t="s">
        <v>55</v>
      </c>
      <c r="E20" s="16"/>
      <c r="F20" s="15" t="s">
        <v>62</v>
      </c>
      <c r="G20" s="15" t="s">
        <v>65</v>
      </c>
      <c r="H20" s="16"/>
      <c r="I20" s="15" t="s">
        <v>63</v>
      </c>
      <c r="J20" s="17" t="s">
        <v>69</v>
      </c>
      <c r="K20" s="17" t="s">
        <v>36</v>
      </c>
      <c r="L20" s="17"/>
      <c r="M20" s="20"/>
      <c r="N20" s="15"/>
      <c r="O20" s="15"/>
      <c r="P20" s="15">
        <v>49</v>
      </c>
      <c r="Q20" s="18" t="s">
        <v>32</v>
      </c>
      <c r="R20" s="12">
        <f>P20*180</f>
        <v>8820</v>
      </c>
      <c r="S20" s="12">
        <f>R20*Q20</f>
        <v>6174</v>
      </c>
      <c r="T20" s="15">
        <v>8</v>
      </c>
      <c r="U20" s="19" t="s">
        <v>33</v>
      </c>
      <c r="V20" s="14">
        <f>T20*180</f>
        <v>1440</v>
      </c>
      <c r="W20" s="14">
        <f>V20*U20</f>
        <v>864</v>
      </c>
      <c r="X20" s="14">
        <f>S20+W20</f>
        <v>7038</v>
      </c>
      <c r="Y20" s="14">
        <f>R20+V20</f>
        <v>10260</v>
      </c>
      <c r="Z20" s="22"/>
      <c r="AA20" s="12">
        <f>IF(COUNT(Z20),X20*Z20,X20)</f>
        <v>7038</v>
      </c>
      <c r="AB20" s="12">
        <f>AA20-O20</f>
        <v>7038</v>
      </c>
      <c r="AC20" s="12">
        <f>ROUND(IF(AB20+M20&lt;0,0,AB20+M20),0)</f>
        <v>7038</v>
      </c>
      <c r="AD20" s="13">
        <f>IF(M20=0,0,IF(AC20=0,AA20+M20-O20,0))</f>
        <v>0</v>
      </c>
      <c r="AE20" s="14">
        <f>IF(AND(O20&gt;0,AC20&lt;=0),AA20-O20,0)</f>
        <v>0</v>
      </c>
    </row>
    <row r="21" spans="1:31" ht="17.399999999999999">
      <c r="A21" s="15">
        <v>5249</v>
      </c>
      <c r="B21" s="15" t="s">
        <v>34</v>
      </c>
      <c r="C21" s="15">
        <v>21124</v>
      </c>
      <c r="D21" s="15" t="s">
        <v>55</v>
      </c>
      <c r="E21" s="16"/>
      <c r="F21" s="15" t="s">
        <v>87</v>
      </c>
      <c r="G21" s="15" t="s">
        <v>65</v>
      </c>
      <c r="H21" s="16"/>
      <c r="I21" s="15" t="s">
        <v>88</v>
      </c>
      <c r="J21" s="17" t="s">
        <v>69</v>
      </c>
      <c r="K21" s="17" t="s">
        <v>36</v>
      </c>
      <c r="L21" s="17"/>
      <c r="M21" s="20"/>
      <c r="N21" s="15"/>
      <c r="O21" s="15"/>
      <c r="P21" s="15">
        <v>26</v>
      </c>
      <c r="Q21" s="18" t="s">
        <v>32</v>
      </c>
      <c r="R21" s="12">
        <f>P21*180</f>
        <v>4680</v>
      </c>
      <c r="S21" s="12">
        <f>R21*Q21</f>
        <v>3276</v>
      </c>
      <c r="T21" s="15">
        <v>23</v>
      </c>
      <c r="U21" s="19" t="s">
        <v>33</v>
      </c>
      <c r="V21" s="14">
        <f>T21*180</f>
        <v>4140</v>
      </c>
      <c r="W21" s="14">
        <f>V21*U21</f>
        <v>2484</v>
      </c>
      <c r="X21" s="14">
        <f>S21+W21</f>
        <v>5760</v>
      </c>
      <c r="Y21" s="14">
        <f>R21+V21</f>
        <v>8820</v>
      </c>
      <c r="Z21" s="22"/>
      <c r="AA21" s="12">
        <f>IF(COUNT(Z21),X21*Z21,X21)</f>
        <v>5760</v>
      </c>
      <c r="AB21" s="12">
        <f>AA21-O21</f>
        <v>5760</v>
      </c>
      <c r="AC21" s="12">
        <f>ROUND(IF(AB21+M21&lt;0,0,AB21+M21),0)</f>
        <v>5760</v>
      </c>
      <c r="AD21" s="13">
        <f>IF(M21=0,0,IF(AC21=0,AA21+M21-O21,0))</f>
        <v>0</v>
      </c>
      <c r="AE21" s="14">
        <f>IF(AND(O21&gt;0,AC21&lt;=0),AA21-O21,0)</f>
        <v>0</v>
      </c>
    </row>
    <row r="22" spans="1:31" ht="17.399999999999999">
      <c r="A22" s="15">
        <v>5489</v>
      </c>
      <c r="B22" s="15" t="s">
        <v>34</v>
      </c>
      <c r="C22" s="15">
        <v>17973</v>
      </c>
      <c r="D22" s="15" t="s">
        <v>55</v>
      </c>
      <c r="E22" s="16"/>
      <c r="F22" s="15" t="s">
        <v>106</v>
      </c>
      <c r="G22" s="15" t="s">
        <v>65</v>
      </c>
      <c r="H22" s="16"/>
      <c r="I22" s="15" t="s">
        <v>107</v>
      </c>
      <c r="J22" s="17" t="s">
        <v>69</v>
      </c>
      <c r="K22" s="17" t="s">
        <v>36</v>
      </c>
      <c r="L22" s="17"/>
      <c r="M22" s="20"/>
      <c r="N22" s="15"/>
      <c r="O22" s="15"/>
      <c r="P22" s="15">
        <v>36</v>
      </c>
      <c r="Q22" s="18" t="s">
        <v>32</v>
      </c>
      <c r="R22" s="12">
        <f>P22*180</f>
        <v>6480</v>
      </c>
      <c r="S22" s="12">
        <f>R22*Q22</f>
        <v>4536</v>
      </c>
      <c r="T22" s="15">
        <v>19</v>
      </c>
      <c r="U22" s="19" t="s">
        <v>33</v>
      </c>
      <c r="V22" s="14">
        <f>T22*180</f>
        <v>3420</v>
      </c>
      <c r="W22" s="14">
        <f>V22*U22</f>
        <v>2052</v>
      </c>
      <c r="X22" s="14">
        <f>S22+W22</f>
        <v>6588</v>
      </c>
      <c r="Y22" s="14">
        <f>R22+V22</f>
        <v>9900</v>
      </c>
      <c r="Z22" s="22"/>
      <c r="AA22" s="12">
        <f>IF(COUNT(Z22),X22*Z22,X22)</f>
        <v>6588</v>
      </c>
      <c r="AB22" s="12">
        <f>AA22-O22</f>
        <v>6588</v>
      </c>
      <c r="AC22" s="12">
        <f>ROUND(IF(AB22+M22&lt;0,0,AB22+M22),0)</f>
        <v>6588</v>
      </c>
      <c r="AD22" s="13">
        <f>IF(M22=0,0,IF(AC22=0,AA22+M22-O22,0))</f>
        <v>0</v>
      </c>
      <c r="AE22" s="14">
        <f>IF(AND(O22&gt;0,AC22&lt;=0),AA22-O22,0)</f>
        <v>0</v>
      </c>
    </row>
    <row r="23" spans="1:31" ht="17.399999999999999">
      <c r="A23" s="15">
        <v>5495</v>
      </c>
      <c r="B23" s="15" t="s">
        <v>34</v>
      </c>
      <c r="C23" s="15">
        <v>21084</v>
      </c>
      <c r="D23" s="15" t="s">
        <v>55</v>
      </c>
      <c r="E23" s="16"/>
      <c r="F23" s="15" t="s">
        <v>91</v>
      </c>
      <c r="G23" s="15" t="s">
        <v>65</v>
      </c>
      <c r="H23" s="16"/>
      <c r="I23" s="15" t="s">
        <v>92</v>
      </c>
      <c r="J23" s="17" t="s">
        <v>69</v>
      </c>
      <c r="K23" s="17" t="s">
        <v>36</v>
      </c>
      <c r="L23" s="17"/>
      <c r="M23" s="20"/>
      <c r="N23" s="15"/>
      <c r="O23" s="15"/>
      <c r="P23" s="15">
        <v>0</v>
      </c>
      <c r="Q23" s="18" t="s">
        <v>32</v>
      </c>
      <c r="R23" s="12">
        <f>P23*180</f>
        <v>0</v>
      </c>
      <c r="S23" s="12">
        <f>R23*Q23</f>
        <v>0</v>
      </c>
      <c r="T23" s="15">
        <v>48</v>
      </c>
      <c r="U23" s="19" t="s">
        <v>33</v>
      </c>
      <c r="V23" s="14">
        <f>T23*180</f>
        <v>8640</v>
      </c>
      <c r="W23" s="14">
        <f>V23*U23</f>
        <v>5184</v>
      </c>
      <c r="X23" s="14">
        <f>S23+W23</f>
        <v>5184</v>
      </c>
      <c r="Y23" s="14">
        <f>R23+V23</f>
        <v>8640</v>
      </c>
      <c r="Z23" s="22"/>
      <c r="AA23" s="12">
        <f>IF(COUNT(Z23),X23*Z23,X23)</f>
        <v>5184</v>
      </c>
      <c r="AB23" s="12">
        <f>AA23-O23</f>
        <v>5184</v>
      </c>
      <c r="AC23" s="12">
        <f>ROUND(IF(AB23+M23&lt;0,0,AB23+M23),0)</f>
        <v>5184</v>
      </c>
      <c r="AD23" s="13">
        <f>IF(M23=0,0,IF(AC23=0,AA23+M23-O23,0))</f>
        <v>0</v>
      </c>
      <c r="AE23" s="14">
        <f>IF(AND(O23&gt;0,AC23&lt;=0),AA23-O23,0)</f>
        <v>0</v>
      </c>
    </row>
    <row r="24" spans="1:31" ht="17.399999999999999">
      <c r="A24" s="15">
        <v>5602</v>
      </c>
      <c r="B24" s="15" t="s">
        <v>34</v>
      </c>
      <c r="C24" s="15">
        <v>21066</v>
      </c>
      <c r="D24" s="15" t="s">
        <v>55</v>
      </c>
      <c r="E24" s="16"/>
      <c r="F24" s="15" t="s">
        <v>89</v>
      </c>
      <c r="G24" s="15" t="s">
        <v>65</v>
      </c>
      <c r="H24" s="16"/>
      <c r="I24" s="15" t="s">
        <v>90</v>
      </c>
      <c r="J24" s="17" t="s">
        <v>69</v>
      </c>
      <c r="K24" s="17" t="s">
        <v>36</v>
      </c>
      <c r="L24" s="17"/>
      <c r="M24" s="20"/>
      <c r="N24" s="15"/>
      <c r="O24" s="15"/>
      <c r="P24" s="15">
        <v>7</v>
      </c>
      <c r="Q24" s="18" t="s">
        <v>32</v>
      </c>
      <c r="R24" s="12">
        <f>P24*180</f>
        <v>1260</v>
      </c>
      <c r="S24" s="12">
        <f>R24*Q24</f>
        <v>882</v>
      </c>
      <c r="T24" s="15">
        <v>0</v>
      </c>
      <c r="U24" s="19" t="s">
        <v>33</v>
      </c>
      <c r="V24" s="14">
        <f>T24*180</f>
        <v>0</v>
      </c>
      <c r="W24" s="14">
        <f>V24*U24</f>
        <v>0</v>
      </c>
      <c r="X24" s="14">
        <f>S24+W24</f>
        <v>882</v>
      </c>
      <c r="Y24" s="14">
        <f>R24+V24</f>
        <v>1260</v>
      </c>
      <c r="Z24" s="22"/>
      <c r="AA24" s="12">
        <f>IF(COUNT(Z24),X24*Z24,X24)</f>
        <v>882</v>
      </c>
      <c r="AB24" s="12">
        <f>AA24-O24</f>
        <v>882</v>
      </c>
      <c r="AC24" s="12">
        <f>ROUND(IF(AB24+M24&lt;0,0,AB24+M24),0)</f>
        <v>882</v>
      </c>
      <c r="AD24" s="13">
        <f>IF(M24=0,0,IF(AC24=0,AA24+M24-O24,0))</f>
        <v>0</v>
      </c>
      <c r="AE24" s="14">
        <f>IF(AND(O24&gt;0,AC24&lt;=0),AA24-O24,0)</f>
        <v>0</v>
      </c>
    </row>
    <row r="25" spans="1:31" ht="17.399999999999999">
      <c r="A25" s="15">
        <v>6299</v>
      </c>
      <c r="B25" s="15" t="s">
        <v>34</v>
      </c>
      <c r="C25" s="15">
        <v>17563</v>
      </c>
      <c r="D25" s="15" t="s">
        <v>55</v>
      </c>
      <c r="E25" s="16"/>
      <c r="F25" s="15" t="s">
        <v>108</v>
      </c>
      <c r="G25" s="15" t="s">
        <v>65</v>
      </c>
      <c r="H25" s="16"/>
      <c r="I25" s="15" t="s">
        <v>109</v>
      </c>
      <c r="J25" s="17" t="s">
        <v>69</v>
      </c>
      <c r="K25" s="17" t="s">
        <v>36</v>
      </c>
      <c r="L25" s="17"/>
      <c r="M25" s="20"/>
      <c r="N25" s="15"/>
      <c r="O25" s="15"/>
      <c r="P25" s="15">
        <v>39</v>
      </c>
      <c r="Q25" s="18" t="s">
        <v>32</v>
      </c>
      <c r="R25" s="12">
        <f>P25*180</f>
        <v>7020</v>
      </c>
      <c r="S25" s="12">
        <f>R25*Q25</f>
        <v>4914</v>
      </c>
      <c r="T25" s="15">
        <v>0</v>
      </c>
      <c r="U25" s="19" t="s">
        <v>33</v>
      </c>
      <c r="V25" s="14">
        <f>T25*180</f>
        <v>0</v>
      </c>
      <c r="W25" s="14">
        <f>V25*U25</f>
        <v>0</v>
      </c>
      <c r="X25" s="14">
        <f>S25+W25</f>
        <v>4914</v>
      </c>
      <c r="Y25" s="14">
        <f>R25+V25</f>
        <v>7020</v>
      </c>
      <c r="Z25" s="22"/>
      <c r="AA25" s="12">
        <f>IF(COUNT(Z25),X25*Z25,X25)</f>
        <v>4914</v>
      </c>
      <c r="AB25" s="12">
        <f>AA25-O25</f>
        <v>4914</v>
      </c>
      <c r="AC25" s="12">
        <f>ROUND(IF(AB25+M25&lt;0,0,AB25+M25),0)</f>
        <v>4914</v>
      </c>
      <c r="AD25" s="13">
        <f>IF(M25=0,0,IF(AC25=0,AA25+M25-O25,0))</f>
        <v>0</v>
      </c>
      <c r="AE25" s="14">
        <f>IF(AND(O25&gt;0,AC25&lt;=0),AA25-O25,0)</f>
        <v>0</v>
      </c>
    </row>
    <row r="26" spans="1:31" ht="17.399999999999999">
      <c r="A26" s="15">
        <v>6566</v>
      </c>
      <c r="B26" s="15" t="s">
        <v>34</v>
      </c>
      <c r="C26" s="15">
        <v>18320</v>
      </c>
      <c r="D26" s="15" t="s">
        <v>55</v>
      </c>
      <c r="E26" s="16"/>
      <c r="F26" s="15" t="s">
        <v>73</v>
      </c>
      <c r="G26" s="15" t="s">
        <v>65</v>
      </c>
      <c r="H26" s="16"/>
      <c r="I26" s="15" t="s">
        <v>74</v>
      </c>
      <c r="J26" s="17" t="s">
        <v>69</v>
      </c>
      <c r="K26" s="17" t="s">
        <v>36</v>
      </c>
      <c r="L26" s="17"/>
      <c r="M26" s="20"/>
      <c r="N26" s="15"/>
      <c r="O26" s="15"/>
      <c r="P26" s="15">
        <v>28</v>
      </c>
      <c r="Q26" s="18" t="s">
        <v>32</v>
      </c>
      <c r="R26" s="12">
        <f>P26*180</f>
        <v>5040</v>
      </c>
      <c r="S26" s="12">
        <f>R26*Q26</f>
        <v>3528</v>
      </c>
      <c r="T26" s="15">
        <v>1</v>
      </c>
      <c r="U26" s="19" t="s">
        <v>33</v>
      </c>
      <c r="V26" s="14">
        <f>T26*180</f>
        <v>180</v>
      </c>
      <c r="W26" s="14">
        <f>V26*U26</f>
        <v>108</v>
      </c>
      <c r="X26" s="14">
        <f>S26+W26</f>
        <v>3636</v>
      </c>
      <c r="Y26" s="14">
        <f>R26+V26</f>
        <v>5220</v>
      </c>
      <c r="Z26" s="22"/>
      <c r="AA26" s="12">
        <f>IF(COUNT(Z26),X26*Z26,X26)</f>
        <v>3636</v>
      </c>
      <c r="AB26" s="12">
        <f>AA26-O26</f>
        <v>3636</v>
      </c>
      <c r="AC26" s="12">
        <f>ROUND(IF(AB26+M26&lt;0,0,AB26+M26),0)</f>
        <v>3636</v>
      </c>
      <c r="AD26" s="13">
        <f>IF(M26=0,0,IF(AC26=0,AA26+M26-O26,0))</f>
        <v>0</v>
      </c>
      <c r="AE26" s="14">
        <f>IF(AND(O26&gt;0,AC26&lt;=0),AA26-O26,0)</f>
        <v>0</v>
      </c>
    </row>
    <row r="27" spans="1:31" ht="17.399999999999999">
      <c r="A27" s="15">
        <v>6632</v>
      </c>
      <c r="B27" s="15" t="s">
        <v>34</v>
      </c>
      <c r="C27" s="15">
        <v>18609</v>
      </c>
      <c r="D27" s="15" t="s">
        <v>55</v>
      </c>
      <c r="E27" s="16"/>
      <c r="F27" s="15" t="s">
        <v>110</v>
      </c>
      <c r="G27" s="15" t="s">
        <v>65</v>
      </c>
      <c r="H27" s="16"/>
      <c r="I27" s="15" t="s">
        <v>111</v>
      </c>
      <c r="J27" s="17" t="s">
        <v>69</v>
      </c>
      <c r="K27" s="17" t="s">
        <v>36</v>
      </c>
      <c r="L27" s="17"/>
      <c r="M27" s="20"/>
      <c r="N27" s="15"/>
      <c r="O27" s="15"/>
      <c r="P27" s="15">
        <v>1</v>
      </c>
      <c r="Q27" s="18" t="s">
        <v>32</v>
      </c>
      <c r="R27" s="12">
        <f>P27*180</f>
        <v>180</v>
      </c>
      <c r="S27" s="12">
        <f>R27*Q27</f>
        <v>125.99999999999999</v>
      </c>
      <c r="T27" s="15">
        <v>13</v>
      </c>
      <c r="U27" s="19" t="s">
        <v>33</v>
      </c>
      <c r="V27" s="14">
        <f>T27*180</f>
        <v>2340</v>
      </c>
      <c r="W27" s="14">
        <f>V27*U27</f>
        <v>1404</v>
      </c>
      <c r="X27" s="14">
        <f>S27+W27</f>
        <v>1530</v>
      </c>
      <c r="Y27" s="14">
        <f>R27+V27</f>
        <v>2520</v>
      </c>
      <c r="Z27" s="22"/>
      <c r="AA27" s="12">
        <f>IF(COUNT(Z27),X27*Z27,X27)</f>
        <v>1530</v>
      </c>
      <c r="AB27" s="12">
        <f>AA27-O27</f>
        <v>1530</v>
      </c>
      <c r="AC27" s="12">
        <f>ROUND(IF(AB27+M27&lt;0,0,AB27+M27),0)</f>
        <v>1530</v>
      </c>
      <c r="AD27" s="13">
        <f>IF(M27=0,0,IF(AC27=0,AA27+M27-O27,0))</f>
        <v>0</v>
      </c>
      <c r="AE27" s="14">
        <f>IF(AND(O27&gt;0,AC27&lt;=0),AA27-O27,0)</f>
        <v>0</v>
      </c>
    </row>
    <row r="28" spans="1:31" ht="17.399999999999999">
      <c r="A28" s="15">
        <v>6985</v>
      </c>
      <c r="B28" s="15" t="s">
        <v>34</v>
      </c>
      <c r="C28" s="15">
        <v>20155</v>
      </c>
      <c r="D28" s="15" t="s">
        <v>55</v>
      </c>
      <c r="E28" s="16"/>
      <c r="F28" s="15" t="s">
        <v>77</v>
      </c>
      <c r="G28" s="15" t="s">
        <v>65</v>
      </c>
      <c r="H28" s="16"/>
      <c r="I28" s="15" t="s">
        <v>78</v>
      </c>
      <c r="J28" s="17" t="s">
        <v>69</v>
      </c>
      <c r="K28" s="17" t="s">
        <v>36</v>
      </c>
      <c r="L28" s="17"/>
      <c r="M28" s="20"/>
      <c r="N28" s="15"/>
      <c r="O28" s="15"/>
      <c r="P28" s="15">
        <v>25</v>
      </c>
      <c r="Q28" s="18" t="s">
        <v>32</v>
      </c>
      <c r="R28" s="12">
        <f>P28*180</f>
        <v>4500</v>
      </c>
      <c r="S28" s="12">
        <f>R28*Q28</f>
        <v>3150</v>
      </c>
      <c r="T28" s="15">
        <v>0</v>
      </c>
      <c r="U28" s="19" t="s">
        <v>33</v>
      </c>
      <c r="V28" s="14">
        <f>T28*180</f>
        <v>0</v>
      </c>
      <c r="W28" s="14">
        <f>V28*U28</f>
        <v>0</v>
      </c>
      <c r="X28" s="14">
        <f>S28+W28</f>
        <v>3150</v>
      </c>
      <c r="Y28" s="14">
        <f>R28+V28</f>
        <v>4500</v>
      </c>
      <c r="Z28" s="22"/>
      <c r="AA28" s="12">
        <f>IF(COUNT(Z28),X28*Z28,X28)</f>
        <v>3150</v>
      </c>
      <c r="AB28" s="12">
        <f>AA28-O28</f>
        <v>3150</v>
      </c>
      <c r="AC28" s="12">
        <f>ROUND(IF(AB28+M28&lt;0,0,AB28+M28),0)</f>
        <v>3150</v>
      </c>
      <c r="AD28" s="13">
        <f>IF(M28=0,0,IF(AC28=0,AA28+M28-O28,0))</f>
        <v>0</v>
      </c>
      <c r="AE28" s="14">
        <f>IF(AND(O28&gt;0,AC28&lt;=0),AA28-O28,0)</f>
        <v>0</v>
      </c>
    </row>
    <row r="29" spans="1:31" ht="17.399999999999999">
      <c r="A29" s="15">
        <v>7801</v>
      </c>
      <c r="B29" s="15" t="s">
        <v>34</v>
      </c>
      <c r="C29" s="15">
        <v>21469</v>
      </c>
      <c r="D29" s="15" t="s">
        <v>55</v>
      </c>
      <c r="E29" s="16"/>
      <c r="F29" s="15" t="s">
        <v>96</v>
      </c>
      <c r="G29" s="15" t="s">
        <v>65</v>
      </c>
      <c r="H29" s="16"/>
      <c r="I29" s="15" t="s">
        <v>95</v>
      </c>
      <c r="J29" s="17" t="s">
        <v>69</v>
      </c>
      <c r="K29" s="17" t="s">
        <v>36</v>
      </c>
      <c r="L29" s="17"/>
      <c r="M29" s="20"/>
      <c r="N29" s="15"/>
      <c r="O29" s="15"/>
      <c r="P29" s="15">
        <v>9</v>
      </c>
      <c r="Q29" s="18" t="s">
        <v>32</v>
      </c>
      <c r="R29" s="12">
        <f>P29*180</f>
        <v>1620</v>
      </c>
      <c r="S29" s="12">
        <f>R29*Q29</f>
        <v>1134</v>
      </c>
      <c r="T29" s="15">
        <v>0</v>
      </c>
      <c r="U29" s="19" t="s">
        <v>33</v>
      </c>
      <c r="V29" s="14">
        <f>T29*180</f>
        <v>0</v>
      </c>
      <c r="W29" s="14">
        <f>V29*U29</f>
        <v>0</v>
      </c>
      <c r="X29" s="14">
        <f>S29+W29</f>
        <v>1134</v>
      </c>
      <c r="Y29" s="14">
        <f>R29+V29</f>
        <v>1620</v>
      </c>
      <c r="Z29" s="22"/>
      <c r="AA29" s="12">
        <f>IF(COUNT(Z29),X29*Z29,X29)</f>
        <v>1134</v>
      </c>
      <c r="AB29" s="12">
        <f>AA29-O29</f>
        <v>1134</v>
      </c>
      <c r="AC29" s="12">
        <f>ROUND(IF(AB29+M29&lt;0,0,AB29+M29),0)</f>
        <v>1134</v>
      </c>
      <c r="AD29" s="13">
        <f>IF(M29=0,0,IF(AC29=0,AA29+M29-O29,0))</f>
        <v>0</v>
      </c>
      <c r="AE29" s="14">
        <f>IF(AND(O29&gt;0,AC29&lt;=0),AA29-O29,0)</f>
        <v>0</v>
      </c>
    </row>
    <row r="30" spans="1:31" ht="17.399999999999999">
      <c r="A30" s="15">
        <v>8718</v>
      </c>
      <c r="B30" s="15" t="s">
        <v>34</v>
      </c>
      <c r="C30" s="15">
        <v>20150</v>
      </c>
      <c r="D30" s="15" t="s">
        <v>55</v>
      </c>
      <c r="E30" s="16"/>
      <c r="F30" s="15" t="s">
        <v>75</v>
      </c>
      <c r="G30" s="15" t="s">
        <v>65</v>
      </c>
      <c r="H30" s="16"/>
      <c r="I30" s="15" t="s">
        <v>76</v>
      </c>
      <c r="J30" s="17" t="s">
        <v>69</v>
      </c>
      <c r="K30" s="17" t="s">
        <v>36</v>
      </c>
      <c r="L30" s="17"/>
      <c r="M30" s="20"/>
      <c r="N30" s="15"/>
      <c r="O30" s="15"/>
      <c r="P30" s="15">
        <v>12</v>
      </c>
      <c r="Q30" s="18" t="s">
        <v>32</v>
      </c>
      <c r="R30" s="12">
        <f>P30*180</f>
        <v>2160</v>
      </c>
      <c r="S30" s="12">
        <f>R30*Q30</f>
        <v>1512</v>
      </c>
      <c r="T30" s="15">
        <v>0</v>
      </c>
      <c r="U30" s="19" t="s">
        <v>33</v>
      </c>
      <c r="V30" s="14">
        <f>T30*180</f>
        <v>0</v>
      </c>
      <c r="W30" s="14">
        <f>V30*U30</f>
        <v>0</v>
      </c>
      <c r="X30" s="14">
        <f>S30+W30</f>
        <v>1512</v>
      </c>
      <c r="Y30" s="14">
        <f>R30+V30</f>
        <v>2160</v>
      </c>
      <c r="Z30" s="22"/>
      <c r="AA30" s="12">
        <f>IF(COUNT(Z30),X30*Z30,X30)</f>
        <v>1512</v>
      </c>
      <c r="AB30" s="12">
        <f>AA30-O30</f>
        <v>1512</v>
      </c>
      <c r="AC30" s="12">
        <f>ROUND(IF(AB30+M30&lt;0,0,AB30+M30),0)</f>
        <v>1512</v>
      </c>
      <c r="AD30" s="13">
        <f>IF(M30=0,0,IF(AC30=0,AA30+M30-O30,0))</f>
        <v>0</v>
      </c>
      <c r="AE30" s="14">
        <f>IF(AND(O30&gt;0,AC30&lt;=0),AA30-O30,0)</f>
        <v>0</v>
      </c>
    </row>
    <row r="31" spans="1:31" ht="17.399999999999999">
      <c r="A31" s="15">
        <v>9556</v>
      </c>
      <c r="B31" s="15" t="s">
        <v>34</v>
      </c>
      <c r="C31" s="15">
        <v>21081</v>
      </c>
      <c r="D31" s="15" t="s">
        <v>55</v>
      </c>
      <c r="E31" s="16"/>
      <c r="F31" s="15" t="s">
        <v>85</v>
      </c>
      <c r="G31" s="15" t="s">
        <v>65</v>
      </c>
      <c r="H31" s="16"/>
      <c r="I31" s="15" t="s">
        <v>86</v>
      </c>
      <c r="J31" s="17" t="s">
        <v>69</v>
      </c>
      <c r="K31" s="17" t="s">
        <v>36</v>
      </c>
      <c r="L31" s="17"/>
      <c r="M31" s="20"/>
      <c r="N31" s="15"/>
      <c r="O31" s="15"/>
      <c r="P31" s="15">
        <v>5</v>
      </c>
      <c r="Q31" s="18" t="s">
        <v>32</v>
      </c>
      <c r="R31" s="12">
        <f>P31*180</f>
        <v>900</v>
      </c>
      <c r="S31" s="12">
        <f>R31*Q31</f>
        <v>630</v>
      </c>
      <c r="T31" s="15">
        <v>1</v>
      </c>
      <c r="U31" s="19" t="s">
        <v>33</v>
      </c>
      <c r="V31" s="14">
        <f>T31*180</f>
        <v>180</v>
      </c>
      <c r="W31" s="14">
        <f>V31*U31</f>
        <v>108</v>
      </c>
      <c r="X31" s="14">
        <f>S31+W31</f>
        <v>738</v>
      </c>
      <c r="Y31" s="14">
        <f>R31+V31</f>
        <v>1080</v>
      </c>
      <c r="Z31" s="22"/>
      <c r="AA31" s="12">
        <f>IF(COUNT(Z31),X31*Z31,X31)</f>
        <v>738</v>
      </c>
      <c r="AB31" s="12">
        <f>AA31-O31</f>
        <v>738</v>
      </c>
      <c r="AC31" s="12">
        <f>ROUND(IF(AB31+M31&lt;0,0,AB31+M31),0)</f>
        <v>738</v>
      </c>
      <c r="AD31" s="13">
        <f>IF(M31=0,0,IF(AC31=0,AA31+M31-O31,0))</f>
        <v>0</v>
      </c>
      <c r="AE31" s="14">
        <f>IF(AND(O31&gt;0,AC31&lt;=0),AA31-O31,0)</f>
        <v>0</v>
      </c>
    </row>
    <row r="32" spans="1:31" ht="17.399999999999999">
      <c r="A32" s="15">
        <v>10150</v>
      </c>
      <c r="B32" s="15" t="s">
        <v>34</v>
      </c>
      <c r="C32" s="15">
        <v>19673</v>
      </c>
      <c r="D32" s="15" t="s">
        <v>55</v>
      </c>
      <c r="E32" s="16"/>
      <c r="F32" s="15" t="s">
        <v>112</v>
      </c>
      <c r="G32" s="15" t="s">
        <v>65</v>
      </c>
      <c r="H32" s="16"/>
      <c r="I32" s="15" t="s">
        <v>113</v>
      </c>
      <c r="J32" s="17" t="s">
        <v>69</v>
      </c>
      <c r="K32" s="17" t="s">
        <v>36</v>
      </c>
      <c r="L32" s="17"/>
      <c r="M32" s="20"/>
      <c r="N32" s="15"/>
      <c r="O32" s="15"/>
      <c r="P32" s="15">
        <v>0</v>
      </c>
      <c r="Q32" s="18" t="s">
        <v>32</v>
      </c>
      <c r="R32" s="12">
        <f>P32*180</f>
        <v>0</v>
      </c>
      <c r="S32" s="12">
        <f>R32*Q32</f>
        <v>0</v>
      </c>
      <c r="T32" s="15">
        <v>4</v>
      </c>
      <c r="U32" s="19" t="s">
        <v>33</v>
      </c>
      <c r="V32" s="14">
        <f>T32*180</f>
        <v>720</v>
      </c>
      <c r="W32" s="14">
        <f>V32*U32</f>
        <v>432</v>
      </c>
      <c r="X32" s="14">
        <f>S32+W32</f>
        <v>432</v>
      </c>
      <c r="Y32" s="14">
        <f>R32+V32</f>
        <v>720</v>
      </c>
      <c r="Z32" s="22"/>
      <c r="AA32" s="12">
        <f>IF(COUNT(Z32),X32*Z32,X32)</f>
        <v>432</v>
      </c>
      <c r="AB32" s="12">
        <f>AA32-O32</f>
        <v>432</v>
      </c>
      <c r="AC32" s="12">
        <f>ROUND(IF(AB32+M32&lt;0,0,AB32+M32),0)</f>
        <v>432</v>
      </c>
      <c r="AD32" s="13">
        <f>IF(M32=0,0,IF(AC32=0,AA32+M32-O32,0))</f>
        <v>0</v>
      </c>
      <c r="AE32" s="14">
        <f>IF(AND(O32&gt;0,AC32&lt;=0),AA32-O32,0)</f>
        <v>0</v>
      </c>
    </row>
    <row r="33" spans="1:31" ht="17.399999999999999">
      <c r="A33" s="15">
        <v>10424</v>
      </c>
      <c r="B33" s="15" t="s">
        <v>34</v>
      </c>
      <c r="C33" s="15">
        <v>21696</v>
      </c>
      <c r="D33" s="15" t="s">
        <v>55</v>
      </c>
      <c r="E33" s="16"/>
      <c r="F33" s="15" t="s">
        <v>102</v>
      </c>
      <c r="G33" s="15" t="s">
        <v>65</v>
      </c>
      <c r="H33" s="16"/>
      <c r="I33" s="15" t="s">
        <v>103</v>
      </c>
      <c r="J33" s="17" t="s">
        <v>69</v>
      </c>
      <c r="K33" s="17" t="s">
        <v>36</v>
      </c>
      <c r="L33" s="17"/>
      <c r="M33" s="20"/>
      <c r="N33" s="15"/>
      <c r="O33" s="15"/>
      <c r="P33" s="15">
        <v>0</v>
      </c>
      <c r="Q33" s="18" t="s">
        <v>32</v>
      </c>
      <c r="R33" s="12">
        <f>P33*180</f>
        <v>0</v>
      </c>
      <c r="S33" s="12">
        <f>R33*Q33</f>
        <v>0</v>
      </c>
      <c r="T33" s="15">
        <v>3</v>
      </c>
      <c r="U33" s="19" t="s">
        <v>33</v>
      </c>
      <c r="V33" s="14">
        <f>T33*180</f>
        <v>540</v>
      </c>
      <c r="W33" s="14">
        <f>V33*U33</f>
        <v>324</v>
      </c>
      <c r="X33" s="14">
        <f>S33+W33</f>
        <v>324</v>
      </c>
      <c r="Y33" s="14">
        <f>R33+V33</f>
        <v>540</v>
      </c>
      <c r="Z33" s="22"/>
      <c r="AA33" s="12">
        <f>IF(COUNT(Z33),X33*Z33,X33)</f>
        <v>324</v>
      </c>
      <c r="AB33" s="12">
        <f>AA33-O33</f>
        <v>324</v>
      </c>
      <c r="AC33" s="12">
        <f>ROUND(IF(AB33+M33&lt;0,0,AB33+M33),0)</f>
        <v>324</v>
      </c>
      <c r="AD33" s="13">
        <f>IF(M33=0,0,IF(AC33=0,AA33+M33-O33,0))</f>
        <v>0</v>
      </c>
      <c r="AE33" s="14">
        <f>IF(AND(O33&gt;0,AC33&lt;=0),AA33-O33,0)</f>
        <v>0</v>
      </c>
    </row>
    <row r="34" spans="1:31" ht="17.399999999999999">
      <c r="A34" s="15">
        <v>10527</v>
      </c>
      <c r="B34" s="15" t="s">
        <v>34</v>
      </c>
      <c r="C34" s="15">
        <v>21517</v>
      </c>
      <c r="D34" s="15" t="s">
        <v>55</v>
      </c>
      <c r="E34" s="16"/>
      <c r="F34" s="15" t="s">
        <v>101</v>
      </c>
      <c r="G34" s="15" t="s">
        <v>65</v>
      </c>
      <c r="H34" s="16"/>
      <c r="I34" s="15" t="s">
        <v>84</v>
      </c>
      <c r="J34" s="17" t="s">
        <v>69</v>
      </c>
      <c r="K34" s="17" t="s">
        <v>36</v>
      </c>
      <c r="L34" s="17"/>
      <c r="M34" s="20"/>
      <c r="N34" s="15"/>
      <c r="O34" s="15"/>
      <c r="P34" s="15">
        <v>0</v>
      </c>
      <c r="Q34" s="18" t="s">
        <v>32</v>
      </c>
      <c r="R34" s="12">
        <f>P34*180</f>
        <v>0</v>
      </c>
      <c r="S34" s="12">
        <f>R34*Q34</f>
        <v>0</v>
      </c>
      <c r="T34" s="15">
        <v>1</v>
      </c>
      <c r="U34" s="19" t="s">
        <v>33</v>
      </c>
      <c r="V34" s="14">
        <f>T34*180</f>
        <v>180</v>
      </c>
      <c r="W34" s="14">
        <f>V34*U34</f>
        <v>108</v>
      </c>
      <c r="X34" s="14">
        <f>S34+W34</f>
        <v>108</v>
      </c>
      <c r="Y34" s="14">
        <f>R34+V34</f>
        <v>180</v>
      </c>
      <c r="Z34" s="22"/>
      <c r="AA34" s="12">
        <f>IF(COUNT(Z34),X34*Z34,X34)</f>
        <v>108</v>
      </c>
      <c r="AB34" s="12">
        <f>AA34-O34</f>
        <v>108</v>
      </c>
      <c r="AC34" s="12">
        <f>ROUND(IF(AB34+M34&lt;0,0,AB34+M34),0)</f>
        <v>108</v>
      </c>
      <c r="AD34" s="13">
        <f>IF(M34=0,0,IF(AC34=0,AA34+M34-O34,0))</f>
        <v>0</v>
      </c>
      <c r="AE34" s="14">
        <f>IF(AND(O34&gt;0,AC34&lt;=0),AA34-O34,0)</f>
        <v>0</v>
      </c>
    </row>
    <row r="35" spans="1:31" ht="17.399999999999999">
      <c r="A35" s="15">
        <v>11112</v>
      </c>
      <c r="B35" s="15" t="s">
        <v>34</v>
      </c>
      <c r="C35" s="15">
        <v>17096</v>
      </c>
      <c r="D35" s="15" t="s">
        <v>55</v>
      </c>
      <c r="E35" s="16"/>
      <c r="F35" s="15" t="s">
        <v>114</v>
      </c>
      <c r="G35" s="15" t="s">
        <v>65</v>
      </c>
      <c r="H35" s="16"/>
      <c r="I35" s="15" t="s">
        <v>115</v>
      </c>
      <c r="J35" s="17" t="s">
        <v>69</v>
      </c>
      <c r="K35" s="17" t="s">
        <v>36</v>
      </c>
      <c r="L35" s="17"/>
      <c r="M35" s="20"/>
      <c r="N35" s="15"/>
      <c r="O35" s="15"/>
      <c r="P35" s="15">
        <v>0</v>
      </c>
      <c r="Q35" s="18" t="s">
        <v>32</v>
      </c>
      <c r="R35" s="12">
        <f>P35*180</f>
        <v>0</v>
      </c>
      <c r="S35" s="12">
        <f>R35*Q35</f>
        <v>0</v>
      </c>
      <c r="T35" s="15">
        <v>1</v>
      </c>
      <c r="U35" s="19" t="s">
        <v>33</v>
      </c>
      <c r="V35" s="14">
        <f>T35*180</f>
        <v>180</v>
      </c>
      <c r="W35" s="14">
        <f>V35*U35</f>
        <v>108</v>
      </c>
      <c r="X35" s="14">
        <f>S35+W35</f>
        <v>108</v>
      </c>
      <c r="Y35" s="14">
        <f>R35+V35</f>
        <v>180</v>
      </c>
      <c r="Z35" s="22"/>
      <c r="AA35" s="12">
        <f>IF(COUNT(Z35),X35*Z35,X35)</f>
        <v>108</v>
      </c>
      <c r="AB35" s="12">
        <f>AA35-O35</f>
        <v>108</v>
      </c>
      <c r="AC35" s="12">
        <f>ROUND(IF(AB35+M35&lt;0,0,AB35+M35),0)</f>
        <v>108</v>
      </c>
      <c r="AD35" s="13">
        <f>IF(M35=0,0,IF(AC35=0,AA35+M35-O35,0))</f>
        <v>0</v>
      </c>
      <c r="AE35" s="14">
        <f>IF(AND(O35&gt;0,AC35&lt;=0),AA35-O35,0)</f>
        <v>0</v>
      </c>
    </row>
    <row r="36" spans="1:31" ht="17.399999999999999">
      <c r="A36" s="15">
        <v>1535</v>
      </c>
      <c r="B36" s="15" t="s">
        <v>116</v>
      </c>
      <c r="C36" s="15">
        <v>15833</v>
      </c>
      <c r="D36" s="15" t="s">
        <v>35</v>
      </c>
      <c r="E36" s="15" t="s">
        <v>45</v>
      </c>
      <c r="F36" s="15" t="s">
        <v>46</v>
      </c>
      <c r="G36" s="15" t="s">
        <v>40</v>
      </c>
      <c r="H36" s="16"/>
      <c r="I36" s="15" t="s">
        <v>48</v>
      </c>
      <c r="J36" s="17" t="s">
        <v>120</v>
      </c>
      <c r="K36" s="17" t="s">
        <v>36</v>
      </c>
      <c r="L36" s="17"/>
      <c r="M36" s="20"/>
      <c r="N36" s="15"/>
      <c r="O36" s="15"/>
      <c r="P36" s="15">
        <v>362</v>
      </c>
      <c r="Q36" s="18" t="s">
        <v>37</v>
      </c>
      <c r="R36" s="12">
        <f>P36*180</f>
        <v>65160</v>
      </c>
      <c r="S36" s="12">
        <f>R36*Q36</f>
        <v>35186.400000000001</v>
      </c>
      <c r="T36" s="15">
        <v>289</v>
      </c>
      <c r="U36" s="19" t="s">
        <v>38</v>
      </c>
      <c r="V36" s="14">
        <f>T36*180</f>
        <v>52020</v>
      </c>
      <c r="W36" s="14">
        <f>V36*U36</f>
        <v>21848.399999999998</v>
      </c>
      <c r="X36" s="14">
        <f>S36+W36</f>
        <v>57034.8</v>
      </c>
      <c r="Y36" s="14">
        <f>R36+V36</f>
        <v>117180</v>
      </c>
      <c r="Z36" s="22"/>
      <c r="AA36" s="12">
        <f>IF(COUNT(Z36),X36*Z36,X36)</f>
        <v>57034.8</v>
      </c>
      <c r="AB36" s="12">
        <f>AA36-O36</f>
        <v>57034.8</v>
      </c>
      <c r="AC36" s="12">
        <f>ROUND(IF(AB36+M36&lt;0,0,AB36+M36),0)</f>
        <v>57035</v>
      </c>
      <c r="AD36" s="13">
        <f>IF(M36=0,0,IF(AC36=0,AA36+M36-O36,0))</f>
        <v>0</v>
      </c>
      <c r="AE36" s="14">
        <f>IF(AND(O36&gt;0,AC36&lt;=0),AA36-O36,0)</f>
        <v>0</v>
      </c>
    </row>
    <row r="37" spans="1:31" ht="17.399999999999999">
      <c r="A37" s="15">
        <v>2936</v>
      </c>
      <c r="B37" s="15" t="s">
        <v>117</v>
      </c>
      <c r="C37" s="15">
        <v>14522</v>
      </c>
      <c r="D37" s="15" t="s">
        <v>35</v>
      </c>
      <c r="E37" s="16"/>
      <c r="F37" s="15" t="s">
        <v>41</v>
      </c>
      <c r="G37" s="15" t="s">
        <v>40</v>
      </c>
      <c r="H37" s="16"/>
      <c r="I37" s="15" t="s">
        <v>49</v>
      </c>
      <c r="J37" s="17" t="s">
        <v>120</v>
      </c>
      <c r="K37" s="17" t="s">
        <v>36</v>
      </c>
      <c r="L37" s="17"/>
      <c r="M37" s="20"/>
      <c r="N37" s="15"/>
      <c r="O37" s="15"/>
      <c r="P37" s="15">
        <v>71</v>
      </c>
      <c r="Q37" s="18" t="s">
        <v>37</v>
      </c>
      <c r="R37" s="12">
        <f>P37*180</f>
        <v>12780</v>
      </c>
      <c r="S37" s="12">
        <f>R37*Q37</f>
        <v>6901.2000000000007</v>
      </c>
      <c r="T37" s="15">
        <v>168</v>
      </c>
      <c r="U37" s="19" t="s">
        <v>38</v>
      </c>
      <c r="V37" s="14">
        <f>T37*180</f>
        <v>30240</v>
      </c>
      <c r="W37" s="14">
        <f>V37*U37</f>
        <v>12700.8</v>
      </c>
      <c r="X37" s="14">
        <f>S37+W37</f>
        <v>19602</v>
      </c>
      <c r="Y37" s="14">
        <f>R37+V37</f>
        <v>43020</v>
      </c>
      <c r="Z37" s="22"/>
      <c r="AA37" s="12">
        <f>IF(COUNT(Z37),X37*Z37,X37)</f>
        <v>19602</v>
      </c>
      <c r="AB37" s="12">
        <f>AA37-O37</f>
        <v>19602</v>
      </c>
      <c r="AC37" s="12">
        <f>ROUND(IF(AB37+M37&lt;0,0,AB37+M37),0)</f>
        <v>19602</v>
      </c>
      <c r="AD37" s="13">
        <f>IF(M37=0,0,IF(AC37=0,AA37+M37-O37,0))</f>
        <v>0</v>
      </c>
      <c r="AE37" s="14">
        <f>IF(AND(O37&gt;0,AC37&lt;=0),AA37-O37,0)</f>
        <v>0</v>
      </c>
    </row>
    <row r="38" spans="1:31" ht="17.399999999999999">
      <c r="A38" s="15">
        <v>2982</v>
      </c>
      <c r="B38" s="15" t="s">
        <v>119</v>
      </c>
      <c r="C38" s="15">
        <v>16275</v>
      </c>
      <c r="D38" s="15" t="s">
        <v>31</v>
      </c>
      <c r="E38" s="16"/>
      <c r="F38" s="15" t="s">
        <v>47</v>
      </c>
      <c r="G38" s="15" t="s">
        <v>44</v>
      </c>
      <c r="H38" s="16"/>
      <c r="I38" s="15" t="s">
        <v>50</v>
      </c>
      <c r="J38" s="17" t="s">
        <v>120</v>
      </c>
      <c r="K38" s="17" t="s">
        <v>36</v>
      </c>
      <c r="L38" s="17"/>
      <c r="M38" s="20"/>
      <c r="N38" s="15"/>
      <c r="O38" s="15"/>
      <c r="P38" s="15">
        <v>138</v>
      </c>
      <c r="Q38" s="18" t="s">
        <v>32</v>
      </c>
      <c r="R38" s="12">
        <f>P38*180</f>
        <v>24840</v>
      </c>
      <c r="S38" s="12">
        <f>R38*Q38</f>
        <v>17388</v>
      </c>
      <c r="T38" s="15">
        <v>0</v>
      </c>
      <c r="U38" s="19" t="s">
        <v>33</v>
      </c>
      <c r="V38" s="14">
        <f>T38*180</f>
        <v>0</v>
      </c>
      <c r="W38" s="14">
        <f>V38*U38</f>
        <v>0</v>
      </c>
      <c r="X38" s="14">
        <f>S38+W38</f>
        <v>17388</v>
      </c>
      <c r="Y38" s="14">
        <f>R38+V38</f>
        <v>24840</v>
      </c>
      <c r="Z38" s="22"/>
      <c r="AA38" s="12">
        <f>IF(COUNT(Z38),X38*Z38,X38)</f>
        <v>17388</v>
      </c>
      <c r="AB38" s="12">
        <f>AA38-O38</f>
        <v>17388</v>
      </c>
      <c r="AC38" s="12">
        <f>ROUND(IF(AB38+M38&lt;0,0,AB38+M38),0)</f>
        <v>17388</v>
      </c>
      <c r="AD38" s="13">
        <f>IF(M38=0,0,IF(AC38=0,AA38+M38-O38,0))</f>
        <v>0</v>
      </c>
      <c r="AE38" s="14">
        <f>IF(AND(O38&gt;0,AC38&lt;=0),AA38-O38,0)</f>
        <v>0</v>
      </c>
    </row>
    <row r="39" spans="1:31" ht="17.399999999999999">
      <c r="A39" s="15">
        <v>3254</v>
      </c>
      <c r="B39" s="15" t="s">
        <v>118</v>
      </c>
      <c r="C39" s="15">
        <v>14539</v>
      </c>
      <c r="D39" s="15" t="s">
        <v>35</v>
      </c>
      <c r="E39" s="16"/>
      <c r="F39" s="15" t="s">
        <v>39</v>
      </c>
      <c r="G39" s="15" t="s">
        <v>40</v>
      </c>
      <c r="H39" s="16"/>
      <c r="I39" s="15" t="s">
        <v>51</v>
      </c>
      <c r="J39" s="17" t="s">
        <v>120</v>
      </c>
      <c r="K39" s="17" t="s">
        <v>36</v>
      </c>
      <c r="L39" s="17"/>
      <c r="M39" s="20"/>
      <c r="N39" s="15"/>
      <c r="O39" s="15"/>
      <c r="P39" s="15">
        <v>38</v>
      </c>
      <c r="Q39" s="18" t="s">
        <v>37</v>
      </c>
      <c r="R39" s="12">
        <f>P39*180</f>
        <v>6840</v>
      </c>
      <c r="S39" s="12">
        <f>R39*Q39</f>
        <v>3693.6000000000004</v>
      </c>
      <c r="T39" s="15">
        <v>146</v>
      </c>
      <c r="U39" s="19" t="s">
        <v>38</v>
      </c>
      <c r="V39" s="14">
        <f>T39*180</f>
        <v>26280</v>
      </c>
      <c r="W39" s="14">
        <f>V39*U39</f>
        <v>11037.6</v>
      </c>
      <c r="X39" s="14">
        <f>S39+W39</f>
        <v>14731.2</v>
      </c>
      <c r="Y39" s="14">
        <f>R39+V39</f>
        <v>33120</v>
      </c>
      <c r="Z39" s="22"/>
      <c r="AA39" s="12">
        <f>IF(COUNT(Z39),X39*Z39,X39)</f>
        <v>14731.2</v>
      </c>
      <c r="AB39" s="12">
        <f>AA39-O39</f>
        <v>14731.2</v>
      </c>
      <c r="AC39" s="12">
        <f>ROUND(IF(AB39+M39&lt;0,0,AB39+M39),0)</f>
        <v>14731</v>
      </c>
      <c r="AD39" s="13">
        <f>IF(M39=0,0,IF(AC39=0,AA39+M39-O39,0))</f>
        <v>0</v>
      </c>
      <c r="AE39" s="14">
        <f>IF(AND(O39&gt;0,AC39&lt;=0),AA39-O39,0)</f>
        <v>0</v>
      </c>
    </row>
    <row r="40" spans="1:31" ht="17.399999999999999">
      <c r="A40" s="15">
        <v>3487</v>
      </c>
      <c r="B40" s="15" t="s">
        <v>118</v>
      </c>
      <c r="C40" s="15">
        <v>17324</v>
      </c>
      <c r="D40" s="15" t="s">
        <v>35</v>
      </c>
      <c r="E40" s="15" t="s">
        <v>52</v>
      </c>
      <c r="F40" s="15" t="s">
        <v>53</v>
      </c>
      <c r="G40" s="15" t="s">
        <v>40</v>
      </c>
      <c r="H40" s="16"/>
      <c r="I40" s="15" t="s">
        <v>54</v>
      </c>
      <c r="J40" s="17" t="s">
        <v>120</v>
      </c>
      <c r="K40" s="17" t="s">
        <v>36</v>
      </c>
      <c r="L40" s="17"/>
      <c r="M40" s="20"/>
      <c r="N40" s="15"/>
      <c r="O40" s="15"/>
      <c r="P40" s="15">
        <v>42</v>
      </c>
      <c r="Q40" s="18" t="s">
        <v>37</v>
      </c>
      <c r="R40" s="12">
        <f>P40*180</f>
        <v>7560</v>
      </c>
      <c r="S40" s="12">
        <f>R40*Q40</f>
        <v>4082.4</v>
      </c>
      <c r="T40" s="15">
        <v>100</v>
      </c>
      <c r="U40" s="19" t="s">
        <v>38</v>
      </c>
      <c r="V40" s="14">
        <f>T40*180</f>
        <v>18000</v>
      </c>
      <c r="W40" s="14">
        <f>V40*U40</f>
        <v>7560</v>
      </c>
      <c r="X40" s="14">
        <f>S40+W40</f>
        <v>11642.4</v>
      </c>
      <c r="Y40" s="14">
        <f>R40+V40</f>
        <v>25560</v>
      </c>
      <c r="Z40" s="22"/>
      <c r="AA40" s="12">
        <f>IF(COUNT(Z40),X40*Z40,X40)</f>
        <v>11642.4</v>
      </c>
      <c r="AB40" s="12">
        <f>AA40-O40</f>
        <v>11642.4</v>
      </c>
      <c r="AC40" s="12">
        <f>ROUND(IF(AB40+M40&lt;0,0,AB40+M40),0)</f>
        <v>11642</v>
      </c>
      <c r="AD40" s="13">
        <f>IF(M40=0,0,IF(AC40=0,AA40+M40-O40,0))</f>
        <v>0</v>
      </c>
      <c r="AE40" s="14">
        <f>IF(AND(O40&gt;0,AC40&lt;=0),AA40-O40,0)</f>
        <v>0</v>
      </c>
    </row>
    <row r="41" spans="1:31" ht="17.399999999999999">
      <c r="A41" s="15">
        <v>7053</v>
      </c>
      <c r="B41" s="15" t="s">
        <v>118</v>
      </c>
      <c r="C41" s="15">
        <v>14529</v>
      </c>
      <c r="D41" s="15" t="s">
        <v>35</v>
      </c>
      <c r="E41" s="16"/>
      <c r="F41" s="15" t="s">
        <v>42</v>
      </c>
      <c r="G41" s="15" t="s">
        <v>40</v>
      </c>
      <c r="H41" s="16"/>
      <c r="I41" s="15" t="s">
        <v>43</v>
      </c>
      <c r="J41" s="17" t="s">
        <v>120</v>
      </c>
      <c r="K41" s="17" t="s">
        <v>36</v>
      </c>
      <c r="L41" s="17"/>
      <c r="M41" s="20"/>
      <c r="N41" s="15"/>
      <c r="O41" s="15"/>
      <c r="P41" s="15">
        <v>0</v>
      </c>
      <c r="Q41" s="18" t="s">
        <v>37</v>
      </c>
      <c r="R41" s="12">
        <f>P41*180</f>
        <v>0</v>
      </c>
      <c r="S41" s="12">
        <f>R41*Q41</f>
        <v>0</v>
      </c>
      <c r="T41" s="15">
        <v>13</v>
      </c>
      <c r="U41" s="19" t="s">
        <v>38</v>
      </c>
      <c r="V41" s="14">
        <f>T41*180</f>
        <v>2340</v>
      </c>
      <c r="W41" s="14">
        <f>V41*U41</f>
        <v>982.8</v>
      </c>
      <c r="X41" s="14">
        <f>S41+W41</f>
        <v>982.8</v>
      </c>
      <c r="Y41" s="14">
        <f>R41+V41</f>
        <v>2340</v>
      </c>
      <c r="Z41" s="22"/>
      <c r="AA41" s="12">
        <f>IF(COUNT(Z41),X41*Z41,X41)</f>
        <v>982.8</v>
      </c>
      <c r="AB41" s="12">
        <f>AA41-O41</f>
        <v>982.8</v>
      </c>
      <c r="AC41" s="12">
        <f>ROUND(IF(AB41+M41&lt;0,0,AB41+M41),0)</f>
        <v>983</v>
      </c>
      <c r="AD41" s="13">
        <f>IF(M41=0,0,IF(AC41=0,AA41+M41-O41,0))</f>
        <v>0</v>
      </c>
      <c r="AE41" s="14">
        <f>IF(AND(O41&gt;0,AC41&lt;=0),AA41-O41,0)</f>
        <v>0</v>
      </c>
    </row>
    <row r="42" spans="1:31">
      <c r="AC42" s="21">
        <f>SUM(AC2:AC41)</f>
        <v>529495</v>
      </c>
    </row>
  </sheetData>
  <autoFilter ref="A1:AE42">
    <sortState ref="A2:AE42">
      <sortCondition ref="J1:J42"/>
    </sortState>
  </autoFilter>
  <phoneticPr fontId="4" type="noConversion"/>
  <pageMargins left="0.75" right="0.75" top="1" bottom="1" header="0.5" footer="0.5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36"/>
  <sheetViews>
    <sheetView showGridLines="0" zoomScale="65" zoomScaleNormal="65" workbookViewId="0">
      <selection activeCell="K26" sqref="K26"/>
    </sheetView>
  </sheetViews>
  <sheetFormatPr defaultColWidth="8.69921875" defaultRowHeight="13.2"/>
  <cols>
    <col min="1" max="1" width="8.69921875" style="7" bestFit="1" customWidth="1"/>
    <col min="2" max="2" width="9" style="7" bestFit="1" customWidth="1"/>
    <col min="3" max="3" width="8.796875" style="7" bestFit="1" customWidth="1"/>
    <col min="4" max="4" width="9.796875" style="7" hidden="1" customWidth="1"/>
    <col min="5" max="5" width="7.19921875" style="7" hidden="1" customWidth="1"/>
    <col min="6" max="6" width="27.19921875" style="7" customWidth="1"/>
    <col min="7" max="7" width="19.69921875" style="7" hidden="1" customWidth="1"/>
    <col min="8" max="8" width="10.19921875" style="7" hidden="1" customWidth="1"/>
    <col min="9" max="9" width="18.19921875" style="7" customWidth="1"/>
    <col min="10" max="11" width="14.19921875" style="7" customWidth="1"/>
    <col min="12" max="12" width="14.19921875" style="7" hidden="1" customWidth="1"/>
    <col min="13" max="13" width="14.19921875" style="11" hidden="1" customWidth="1"/>
    <col min="14" max="15" width="16.19921875" style="7" hidden="1" customWidth="1"/>
    <col min="16" max="16" width="10" style="7" bestFit="1" customWidth="1"/>
    <col min="17" max="17" width="8.19921875" style="7" customWidth="1"/>
    <col min="18" max="19" width="14.796875" style="7" bestFit="1" customWidth="1"/>
    <col min="20" max="20" width="10" style="7" bestFit="1" customWidth="1"/>
    <col min="21" max="21" width="8.19921875" style="7" customWidth="1"/>
    <col min="22" max="22" width="14.796875" style="7" bestFit="1" customWidth="1"/>
    <col min="23" max="23" width="13.69921875" style="7" bestFit="1" customWidth="1"/>
    <col min="24" max="24" width="15.296875" style="7" bestFit="1" customWidth="1"/>
    <col min="25" max="25" width="14.796875" style="7" bestFit="1" customWidth="1"/>
    <col min="26" max="26" width="6.796875" style="7" bestFit="1" customWidth="1"/>
    <col min="27" max="28" width="14.796875" style="7" bestFit="1" customWidth="1"/>
    <col min="29" max="29" width="18.796875" style="11" bestFit="1" customWidth="1"/>
    <col min="30" max="31" width="14.69921875" style="7" bestFit="1" customWidth="1"/>
    <col min="32" max="16384" width="8.69921875" style="7"/>
  </cols>
  <sheetData>
    <row r="1" spans="1:3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6" t="s">
        <v>15</v>
      </c>
      <c r="K1" s="1" t="s">
        <v>16</v>
      </c>
      <c r="L1" s="1" t="s">
        <v>17</v>
      </c>
      <c r="M1" s="2" t="s">
        <v>18</v>
      </c>
      <c r="N1" s="3" t="s">
        <v>19</v>
      </c>
      <c r="O1" s="3" t="s">
        <v>20</v>
      </c>
      <c r="P1" s="8" t="s">
        <v>9</v>
      </c>
      <c r="Q1" s="8" t="s">
        <v>10</v>
      </c>
      <c r="R1" s="2" t="s">
        <v>21</v>
      </c>
      <c r="S1" s="3" t="s">
        <v>22</v>
      </c>
      <c r="T1" s="8" t="s">
        <v>11</v>
      </c>
      <c r="U1" s="8" t="s">
        <v>12</v>
      </c>
      <c r="V1" s="2" t="s">
        <v>23</v>
      </c>
      <c r="W1" s="3" t="s">
        <v>24</v>
      </c>
      <c r="X1" s="1" t="s">
        <v>25</v>
      </c>
      <c r="Y1" s="1" t="s">
        <v>26</v>
      </c>
      <c r="Z1" s="4" t="s">
        <v>27</v>
      </c>
      <c r="AA1" s="1" t="s">
        <v>13</v>
      </c>
      <c r="AB1" s="1" t="s">
        <v>14</v>
      </c>
      <c r="AC1" s="9" t="s">
        <v>28</v>
      </c>
      <c r="AD1" s="5" t="s">
        <v>29</v>
      </c>
      <c r="AE1" s="10" t="s">
        <v>30</v>
      </c>
    </row>
    <row r="2" spans="1:31" ht="17.399999999999999">
      <c r="A2" s="15">
        <v>1833</v>
      </c>
      <c r="B2" s="15" t="s">
        <v>34</v>
      </c>
      <c r="C2" s="15">
        <v>20472</v>
      </c>
      <c r="D2" s="15" t="s">
        <v>55</v>
      </c>
      <c r="E2" s="16"/>
      <c r="F2" s="15" t="s">
        <v>80</v>
      </c>
      <c r="G2" s="15" t="s">
        <v>65</v>
      </c>
      <c r="H2" s="16"/>
      <c r="I2" s="15" t="s">
        <v>78</v>
      </c>
      <c r="J2" s="17" t="s">
        <v>69</v>
      </c>
      <c r="K2" s="17" t="s">
        <v>36</v>
      </c>
      <c r="L2" s="17"/>
      <c r="M2" s="20"/>
      <c r="N2" s="15"/>
      <c r="O2" s="15"/>
      <c r="P2" s="15">
        <v>209</v>
      </c>
      <c r="Q2" s="18" t="s">
        <v>32</v>
      </c>
      <c r="R2" s="12">
        <f>P2*180</f>
        <v>37620</v>
      </c>
      <c r="S2" s="12">
        <f>R2*Q2</f>
        <v>26334</v>
      </c>
      <c r="T2" s="15">
        <v>299</v>
      </c>
      <c r="U2" s="19" t="s">
        <v>33</v>
      </c>
      <c r="V2" s="14">
        <f>T2*180</f>
        <v>53820</v>
      </c>
      <c r="W2" s="14">
        <f>V2*U2</f>
        <v>32292</v>
      </c>
      <c r="X2" s="14">
        <f>S2+W2</f>
        <v>58626</v>
      </c>
      <c r="Y2" s="14">
        <f>R2+V2</f>
        <v>91440</v>
      </c>
      <c r="Z2" s="22"/>
      <c r="AA2" s="12">
        <f>IF(COUNT(Z2),X2*Z2,X2)</f>
        <v>58626</v>
      </c>
      <c r="AB2" s="12">
        <f>AA2-O2</f>
        <v>58626</v>
      </c>
      <c r="AC2" s="12">
        <f>ROUND(IF(AB2+M2&lt;0,0,AB2+M2),0)</f>
        <v>58626</v>
      </c>
      <c r="AD2" s="13">
        <f>IF(M2=0,0,IF(AC2=0,AA2+M2-O2,0))</f>
        <v>0</v>
      </c>
      <c r="AE2" s="14">
        <f>IF(AND(O2&gt;0,AC2&lt;=0),AA2-O2,0)</f>
        <v>0</v>
      </c>
    </row>
    <row r="3" spans="1:31" ht="17.399999999999999">
      <c r="A3" s="15">
        <v>1972</v>
      </c>
      <c r="B3" s="15" t="s">
        <v>34</v>
      </c>
      <c r="C3" s="15">
        <v>19188</v>
      </c>
      <c r="D3" s="15" t="s">
        <v>55</v>
      </c>
      <c r="E3" s="16"/>
      <c r="F3" s="15" t="s">
        <v>59</v>
      </c>
      <c r="G3" s="15" t="s">
        <v>65</v>
      </c>
      <c r="H3" s="16"/>
      <c r="I3" s="15" t="s">
        <v>57</v>
      </c>
      <c r="J3" s="17" t="s">
        <v>69</v>
      </c>
      <c r="K3" s="17" t="s">
        <v>36</v>
      </c>
      <c r="L3" s="17"/>
      <c r="M3" s="20"/>
      <c r="N3" s="15"/>
      <c r="O3" s="15"/>
      <c r="P3" s="15">
        <v>266</v>
      </c>
      <c r="Q3" s="18" t="s">
        <v>32</v>
      </c>
      <c r="R3" s="12">
        <f>P3*180</f>
        <v>47880</v>
      </c>
      <c r="S3" s="12">
        <f>R3*Q3</f>
        <v>33516</v>
      </c>
      <c r="T3" s="15">
        <v>180</v>
      </c>
      <c r="U3" s="19" t="s">
        <v>33</v>
      </c>
      <c r="V3" s="14">
        <f>T3*180</f>
        <v>32400</v>
      </c>
      <c r="W3" s="14">
        <f>V3*U3</f>
        <v>19440</v>
      </c>
      <c r="X3" s="14">
        <f>S3+W3</f>
        <v>52956</v>
      </c>
      <c r="Y3" s="14">
        <f>R3+V3</f>
        <v>80280</v>
      </c>
      <c r="Z3" s="22"/>
      <c r="AA3" s="12">
        <f>IF(COUNT(Z3),X3*Z3,X3)</f>
        <v>52956</v>
      </c>
      <c r="AB3" s="12">
        <f>AA3-O3</f>
        <v>52956</v>
      </c>
      <c r="AC3" s="12">
        <f>ROUND(IF(AB3+M3&lt;0,0,AB3+M3),0)</f>
        <v>52956</v>
      </c>
      <c r="AD3" s="13">
        <f>IF(M3=0,0,IF(AC3=0,AA3+M3-O3,0))</f>
        <v>0</v>
      </c>
      <c r="AE3" s="14">
        <f>IF(AND(O3&gt;0,AC3&lt;=0),AA3-O3,0)</f>
        <v>0</v>
      </c>
    </row>
    <row r="4" spans="1:31" ht="17.399999999999999">
      <c r="A4" s="15">
        <v>2294</v>
      </c>
      <c r="B4" s="15" t="s">
        <v>34</v>
      </c>
      <c r="C4" s="15">
        <v>21721</v>
      </c>
      <c r="D4" s="15" t="s">
        <v>55</v>
      </c>
      <c r="E4" s="16"/>
      <c r="F4" s="15" t="s">
        <v>104</v>
      </c>
      <c r="G4" s="15" t="s">
        <v>65</v>
      </c>
      <c r="H4" s="16"/>
      <c r="I4" s="15" t="s">
        <v>105</v>
      </c>
      <c r="J4" s="17" t="s">
        <v>69</v>
      </c>
      <c r="K4" s="17" t="s">
        <v>36</v>
      </c>
      <c r="L4" s="17"/>
      <c r="M4" s="20"/>
      <c r="N4" s="15"/>
      <c r="O4" s="15"/>
      <c r="P4" s="15">
        <v>225</v>
      </c>
      <c r="Q4" s="18" t="s">
        <v>32</v>
      </c>
      <c r="R4" s="12">
        <f>P4*180</f>
        <v>40500</v>
      </c>
      <c r="S4" s="12">
        <f>R4*Q4</f>
        <v>28350</v>
      </c>
      <c r="T4" s="15">
        <v>106</v>
      </c>
      <c r="U4" s="19" t="s">
        <v>33</v>
      </c>
      <c r="V4" s="14">
        <f>T4*180</f>
        <v>19080</v>
      </c>
      <c r="W4" s="14">
        <f>V4*U4</f>
        <v>11448</v>
      </c>
      <c r="X4" s="14">
        <f>S4+W4</f>
        <v>39798</v>
      </c>
      <c r="Y4" s="14">
        <f>R4+V4</f>
        <v>59580</v>
      </c>
      <c r="Z4" s="22"/>
      <c r="AA4" s="12">
        <f>IF(COUNT(Z4),X4*Z4,X4)</f>
        <v>39798</v>
      </c>
      <c r="AB4" s="12">
        <f>AA4-O4</f>
        <v>39798</v>
      </c>
      <c r="AC4" s="12">
        <f>ROUND(IF(AB4+M4&lt;0,0,AB4+M4),0)</f>
        <v>39798</v>
      </c>
      <c r="AD4" s="13">
        <f>IF(M4=0,0,IF(AC4=0,AA4+M4-O4,0))</f>
        <v>0</v>
      </c>
      <c r="AE4" s="14">
        <f>IF(AND(O4&gt;0,AC4&lt;=0),AA4-O4,0)</f>
        <v>0</v>
      </c>
    </row>
    <row r="5" spans="1:31" ht="17.399999999999999">
      <c r="A5" s="15">
        <v>2331</v>
      </c>
      <c r="B5" s="15" t="s">
        <v>34</v>
      </c>
      <c r="C5" s="15">
        <v>21078</v>
      </c>
      <c r="D5" s="15" t="s">
        <v>55</v>
      </c>
      <c r="E5" s="16"/>
      <c r="F5" s="15" t="s">
        <v>81</v>
      </c>
      <c r="G5" s="15" t="s">
        <v>65</v>
      </c>
      <c r="H5" s="16"/>
      <c r="I5" s="15" t="s">
        <v>82</v>
      </c>
      <c r="J5" s="17" t="s">
        <v>69</v>
      </c>
      <c r="K5" s="17" t="s">
        <v>36</v>
      </c>
      <c r="L5" s="17"/>
      <c r="M5" s="20"/>
      <c r="N5" s="15"/>
      <c r="O5" s="15"/>
      <c r="P5" s="15">
        <v>130</v>
      </c>
      <c r="Q5" s="18" t="s">
        <v>32</v>
      </c>
      <c r="R5" s="12">
        <f>P5*180</f>
        <v>23400</v>
      </c>
      <c r="S5" s="12">
        <f>R5*Q5</f>
        <v>16379.999999999998</v>
      </c>
      <c r="T5" s="15">
        <v>190</v>
      </c>
      <c r="U5" s="19" t="s">
        <v>33</v>
      </c>
      <c r="V5" s="14">
        <f>T5*180</f>
        <v>34200</v>
      </c>
      <c r="W5" s="14">
        <f>V5*U5</f>
        <v>20520</v>
      </c>
      <c r="X5" s="14">
        <f>S5+W5</f>
        <v>36900</v>
      </c>
      <c r="Y5" s="14">
        <f>R5+V5</f>
        <v>57600</v>
      </c>
      <c r="Z5" s="22"/>
      <c r="AA5" s="12">
        <f>IF(COUNT(Z5),X5*Z5,X5)</f>
        <v>36900</v>
      </c>
      <c r="AB5" s="12">
        <f>AA5-O5</f>
        <v>36900</v>
      </c>
      <c r="AC5" s="12">
        <f>ROUND(IF(AB5+M5&lt;0,0,AB5+M5),0)</f>
        <v>36900</v>
      </c>
      <c r="AD5" s="13">
        <f>IF(M5=0,0,IF(AC5=0,AA5+M5-O5,0))</f>
        <v>0</v>
      </c>
      <c r="AE5" s="14">
        <f>IF(AND(O5&gt;0,AC5&lt;=0),AA5-O5,0)</f>
        <v>0</v>
      </c>
    </row>
    <row r="6" spans="1:31" ht="17.399999999999999">
      <c r="A6" s="15">
        <v>2967</v>
      </c>
      <c r="B6" s="15" t="s">
        <v>34</v>
      </c>
      <c r="C6" s="15">
        <v>21193</v>
      </c>
      <c r="D6" s="15" t="s">
        <v>55</v>
      </c>
      <c r="E6" s="16"/>
      <c r="F6" s="15" t="s">
        <v>83</v>
      </c>
      <c r="G6" s="15" t="s">
        <v>65</v>
      </c>
      <c r="H6" s="16"/>
      <c r="I6" s="15" t="s">
        <v>84</v>
      </c>
      <c r="J6" s="17" t="s">
        <v>69</v>
      </c>
      <c r="K6" s="17" t="s">
        <v>36</v>
      </c>
      <c r="L6" s="17"/>
      <c r="M6" s="20"/>
      <c r="N6" s="15"/>
      <c r="O6" s="15"/>
      <c r="P6" s="15">
        <v>83</v>
      </c>
      <c r="Q6" s="18" t="s">
        <v>32</v>
      </c>
      <c r="R6" s="12">
        <f>P6*180</f>
        <v>14940</v>
      </c>
      <c r="S6" s="12">
        <f>R6*Q6</f>
        <v>10458</v>
      </c>
      <c r="T6" s="15">
        <v>102</v>
      </c>
      <c r="U6" s="19" t="s">
        <v>33</v>
      </c>
      <c r="V6" s="14">
        <f>T6*180</f>
        <v>18360</v>
      </c>
      <c r="W6" s="14">
        <f>V6*U6</f>
        <v>11016</v>
      </c>
      <c r="X6" s="14">
        <f>S6+W6</f>
        <v>21474</v>
      </c>
      <c r="Y6" s="14">
        <f>R6+V6</f>
        <v>33300</v>
      </c>
      <c r="Z6" s="22"/>
      <c r="AA6" s="12">
        <f>IF(COUNT(Z6),X6*Z6,X6)</f>
        <v>21474</v>
      </c>
      <c r="AB6" s="12">
        <f>AA6-O6</f>
        <v>21474</v>
      </c>
      <c r="AC6" s="12">
        <f>ROUND(IF(AB6+M6&lt;0,0,AB6+M6),0)</f>
        <v>21474</v>
      </c>
      <c r="AD6" s="13">
        <f>IF(M6=0,0,IF(AC6=0,AA6+M6-O6,0))</f>
        <v>0</v>
      </c>
      <c r="AE6" s="14">
        <f>IF(AND(O6&gt;0,AC6&lt;=0),AA6-O6,0)</f>
        <v>0</v>
      </c>
    </row>
    <row r="7" spans="1:31" ht="17.399999999999999">
      <c r="A7" s="15">
        <v>3013</v>
      </c>
      <c r="B7" s="15" t="s">
        <v>34</v>
      </c>
      <c r="C7" s="15">
        <v>18938</v>
      </c>
      <c r="D7" s="15" t="s">
        <v>55</v>
      </c>
      <c r="E7" s="16"/>
      <c r="F7" s="15" t="s">
        <v>58</v>
      </c>
      <c r="G7" s="15" t="s">
        <v>65</v>
      </c>
      <c r="H7" s="16"/>
      <c r="I7" s="15" t="s">
        <v>57</v>
      </c>
      <c r="J7" s="17" t="s">
        <v>69</v>
      </c>
      <c r="K7" s="17" t="s">
        <v>36</v>
      </c>
      <c r="L7" s="17"/>
      <c r="M7" s="20"/>
      <c r="N7" s="15"/>
      <c r="O7" s="15"/>
      <c r="P7" s="15">
        <v>127</v>
      </c>
      <c r="Q7" s="18" t="s">
        <v>32</v>
      </c>
      <c r="R7" s="12">
        <f>P7*180</f>
        <v>22860</v>
      </c>
      <c r="S7" s="12">
        <f>R7*Q7</f>
        <v>16001.999999999998</v>
      </c>
      <c r="T7" s="15">
        <v>66</v>
      </c>
      <c r="U7" s="19" t="s">
        <v>33</v>
      </c>
      <c r="V7" s="14">
        <f>T7*180</f>
        <v>11880</v>
      </c>
      <c r="W7" s="14">
        <f>V7*U7</f>
        <v>7128</v>
      </c>
      <c r="X7" s="14">
        <f>S7+W7</f>
        <v>23130</v>
      </c>
      <c r="Y7" s="14">
        <f>R7+V7</f>
        <v>34740</v>
      </c>
      <c r="Z7" s="22"/>
      <c r="AA7" s="12">
        <f>IF(COUNT(Z7),X7*Z7,X7)</f>
        <v>23130</v>
      </c>
      <c r="AB7" s="12">
        <f>AA7-O7</f>
        <v>23130</v>
      </c>
      <c r="AC7" s="12">
        <f>ROUND(IF(AB7+M7&lt;0,0,AB7+M7),0)</f>
        <v>23130</v>
      </c>
      <c r="AD7" s="13">
        <f>IF(M7=0,0,IF(AC7=0,AA7+M7-O7,0))</f>
        <v>0</v>
      </c>
      <c r="AE7" s="14">
        <f>IF(AND(O7&gt;0,AC7&lt;=0),AA7-O7,0)</f>
        <v>0</v>
      </c>
    </row>
    <row r="8" spans="1:31" ht="17.399999999999999">
      <c r="A8" s="15">
        <v>3015</v>
      </c>
      <c r="B8" s="15" t="s">
        <v>34</v>
      </c>
      <c r="C8" s="15">
        <v>18761</v>
      </c>
      <c r="D8" s="15" t="s">
        <v>55</v>
      </c>
      <c r="E8" s="16"/>
      <c r="F8" s="15" t="s">
        <v>70</v>
      </c>
      <c r="G8" s="15" t="s">
        <v>65</v>
      </c>
      <c r="H8" s="16"/>
      <c r="I8" s="15" t="s">
        <v>57</v>
      </c>
      <c r="J8" s="17" t="s">
        <v>69</v>
      </c>
      <c r="K8" s="17" t="s">
        <v>36</v>
      </c>
      <c r="L8" s="17"/>
      <c r="M8" s="20"/>
      <c r="N8" s="15"/>
      <c r="O8" s="15"/>
      <c r="P8" s="15">
        <v>107</v>
      </c>
      <c r="Q8" s="18" t="s">
        <v>32</v>
      </c>
      <c r="R8" s="12">
        <f>P8*180</f>
        <v>19260</v>
      </c>
      <c r="S8" s="12">
        <f>R8*Q8</f>
        <v>13482</v>
      </c>
      <c r="T8" s="15">
        <v>16</v>
      </c>
      <c r="U8" s="19" t="s">
        <v>33</v>
      </c>
      <c r="V8" s="14">
        <f>T8*180</f>
        <v>2880</v>
      </c>
      <c r="W8" s="14">
        <f>V8*U8</f>
        <v>1728</v>
      </c>
      <c r="X8" s="14">
        <f>S8+W8</f>
        <v>15210</v>
      </c>
      <c r="Y8" s="14">
        <f>R8+V8</f>
        <v>22140</v>
      </c>
      <c r="Z8" s="22"/>
      <c r="AA8" s="12">
        <f>IF(COUNT(Z8),X8*Z8,X8)</f>
        <v>15210</v>
      </c>
      <c r="AB8" s="12">
        <f>AA8-O8</f>
        <v>15210</v>
      </c>
      <c r="AC8" s="12">
        <f>ROUND(IF(AB8+M8&lt;0,0,AB8+M8),0)</f>
        <v>15210</v>
      </c>
      <c r="AD8" s="13">
        <f>IF(M8=0,0,IF(AC8=0,AA8+M8-O8,0))</f>
        <v>0</v>
      </c>
      <c r="AE8" s="14">
        <f>IF(AND(O8&gt;0,AC8&lt;=0),AA8-O8,0)</f>
        <v>0</v>
      </c>
    </row>
    <row r="9" spans="1:31" ht="17.399999999999999">
      <c r="A9" s="15">
        <v>3030</v>
      </c>
      <c r="B9" s="15" t="s">
        <v>34</v>
      </c>
      <c r="C9" s="15">
        <v>17911</v>
      </c>
      <c r="D9" s="15" t="s">
        <v>55</v>
      </c>
      <c r="E9" s="16"/>
      <c r="F9" s="15" t="s">
        <v>71</v>
      </c>
      <c r="G9" s="15" t="s">
        <v>65</v>
      </c>
      <c r="H9" s="16"/>
      <c r="I9" s="15" t="s">
        <v>72</v>
      </c>
      <c r="J9" s="17" t="s">
        <v>69</v>
      </c>
      <c r="K9" s="17" t="s">
        <v>36</v>
      </c>
      <c r="L9" s="17"/>
      <c r="M9" s="20"/>
      <c r="N9" s="15"/>
      <c r="O9" s="15"/>
      <c r="P9" s="15">
        <v>54</v>
      </c>
      <c r="Q9" s="18" t="s">
        <v>32</v>
      </c>
      <c r="R9" s="12">
        <f>P9*180</f>
        <v>9720</v>
      </c>
      <c r="S9" s="12">
        <f>R9*Q9</f>
        <v>6804</v>
      </c>
      <c r="T9" s="15">
        <v>91</v>
      </c>
      <c r="U9" s="19" t="s">
        <v>33</v>
      </c>
      <c r="V9" s="14">
        <f>T9*180</f>
        <v>16380</v>
      </c>
      <c r="W9" s="14">
        <f>V9*U9</f>
        <v>9828</v>
      </c>
      <c r="X9" s="14">
        <f>S9+W9</f>
        <v>16632</v>
      </c>
      <c r="Y9" s="14">
        <f>R9+V9</f>
        <v>26100</v>
      </c>
      <c r="Z9" s="22"/>
      <c r="AA9" s="12">
        <f>IF(COUNT(Z9),X9*Z9,X9)</f>
        <v>16632</v>
      </c>
      <c r="AB9" s="12">
        <f>AA9-O9</f>
        <v>16632</v>
      </c>
      <c r="AC9" s="12">
        <f>ROUND(IF(AB9+M9&lt;0,0,AB9+M9),0)</f>
        <v>16632</v>
      </c>
      <c r="AD9" s="13">
        <f>IF(M9=0,0,IF(AC9=0,AA9+M9-O9,0))</f>
        <v>0</v>
      </c>
      <c r="AE9" s="14">
        <f>IF(AND(O9&gt;0,AC9&lt;=0),AA9-O9,0)</f>
        <v>0</v>
      </c>
    </row>
    <row r="10" spans="1:31" ht="17.399999999999999">
      <c r="A10" s="15">
        <v>3161</v>
      </c>
      <c r="B10" s="15" t="s">
        <v>34</v>
      </c>
      <c r="C10" s="15">
        <v>19290</v>
      </c>
      <c r="D10" s="15" t="s">
        <v>55</v>
      </c>
      <c r="E10" s="16"/>
      <c r="F10" s="15" t="s">
        <v>67</v>
      </c>
      <c r="G10" s="15" t="s">
        <v>65</v>
      </c>
      <c r="H10" s="16"/>
      <c r="I10" s="15" t="s">
        <v>79</v>
      </c>
      <c r="J10" s="17" t="s">
        <v>69</v>
      </c>
      <c r="K10" s="17" t="s">
        <v>36</v>
      </c>
      <c r="L10" s="17"/>
      <c r="M10" s="20"/>
      <c r="N10" s="15"/>
      <c r="O10" s="15"/>
      <c r="P10" s="15">
        <v>92</v>
      </c>
      <c r="Q10" s="18" t="s">
        <v>32</v>
      </c>
      <c r="R10" s="12">
        <f>P10*180</f>
        <v>16560</v>
      </c>
      <c r="S10" s="12">
        <f>R10*Q10</f>
        <v>11592</v>
      </c>
      <c r="T10" s="15">
        <v>72</v>
      </c>
      <c r="U10" s="19" t="s">
        <v>33</v>
      </c>
      <c r="V10" s="14">
        <f>T10*180</f>
        <v>12960</v>
      </c>
      <c r="W10" s="14">
        <f>V10*U10</f>
        <v>7776</v>
      </c>
      <c r="X10" s="14">
        <f>S10+W10</f>
        <v>19368</v>
      </c>
      <c r="Y10" s="14">
        <f>R10+V10</f>
        <v>29520</v>
      </c>
      <c r="Z10" s="22"/>
      <c r="AA10" s="12">
        <f>IF(COUNT(Z10),X10*Z10,X10)</f>
        <v>19368</v>
      </c>
      <c r="AB10" s="12">
        <f>AA10-O10</f>
        <v>19368</v>
      </c>
      <c r="AC10" s="12">
        <f>ROUND(IF(AB10+M10&lt;0,0,AB10+M10),0)</f>
        <v>19368</v>
      </c>
      <c r="AD10" s="13">
        <f>IF(M10=0,0,IF(AC10=0,AA10+M10-O10,0))</f>
        <v>0</v>
      </c>
      <c r="AE10" s="14">
        <f>IF(AND(O10&gt;0,AC10&lt;=0),AA10-O10,0)</f>
        <v>0</v>
      </c>
    </row>
    <row r="11" spans="1:31" ht="17.399999999999999">
      <c r="A11" s="15">
        <v>3247</v>
      </c>
      <c r="B11" s="15" t="s">
        <v>34</v>
      </c>
      <c r="C11" s="15">
        <v>18944</v>
      </c>
      <c r="D11" s="15" t="s">
        <v>55</v>
      </c>
      <c r="E11" s="16"/>
      <c r="F11" s="15" t="s">
        <v>56</v>
      </c>
      <c r="G11" s="15" t="s">
        <v>65</v>
      </c>
      <c r="H11" s="16"/>
      <c r="I11" s="15" t="s">
        <v>57</v>
      </c>
      <c r="J11" s="17" t="s">
        <v>69</v>
      </c>
      <c r="K11" s="17" t="s">
        <v>36</v>
      </c>
      <c r="L11" s="17"/>
      <c r="M11" s="20"/>
      <c r="N11" s="15"/>
      <c r="O11" s="15"/>
      <c r="P11" s="15">
        <v>42</v>
      </c>
      <c r="Q11" s="18" t="s">
        <v>32</v>
      </c>
      <c r="R11" s="12">
        <f>P11*180</f>
        <v>7560</v>
      </c>
      <c r="S11" s="12">
        <f>R11*Q11</f>
        <v>5292</v>
      </c>
      <c r="T11" s="15">
        <v>126</v>
      </c>
      <c r="U11" s="19" t="s">
        <v>33</v>
      </c>
      <c r="V11" s="14">
        <f>T11*180</f>
        <v>22680</v>
      </c>
      <c r="W11" s="14">
        <f>V11*U11</f>
        <v>13608</v>
      </c>
      <c r="X11" s="14">
        <f>S11+W11</f>
        <v>18900</v>
      </c>
      <c r="Y11" s="14">
        <f>R11+V11</f>
        <v>30240</v>
      </c>
      <c r="Z11" s="22"/>
      <c r="AA11" s="12">
        <f>IF(COUNT(Z11),X11*Z11,X11)</f>
        <v>18900</v>
      </c>
      <c r="AB11" s="12">
        <f>AA11-O11</f>
        <v>18900</v>
      </c>
      <c r="AC11" s="12">
        <f>ROUND(IF(AB11+M11&lt;0,0,AB11+M11),0)</f>
        <v>18900</v>
      </c>
      <c r="AD11" s="13">
        <f>IF(M11=0,0,IF(AC11=0,AA11+M11-O11,0))</f>
        <v>0</v>
      </c>
      <c r="AE11" s="14">
        <f>IF(AND(O11&gt;0,AC11&lt;=0),AA11-O11,0)</f>
        <v>0</v>
      </c>
    </row>
    <row r="12" spans="1:31" ht="17.399999999999999">
      <c r="A12" s="15">
        <v>3465</v>
      </c>
      <c r="B12" s="15" t="s">
        <v>34</v>
      </c>
      <c r="C12" s="15">
        <v>21695</v>
      </c>
      <c r="D12" s="15" t="s">
        <v>55</v>
      </c>
      <c r="E12" s="16"/>
      <c r="F12" s="15" t="s">
        <v>100</v>
      </c>
      <c r="G12" s="15" t="s">
        <v>65</v>
      </c>
      <c r="H12" s="16"/>
      <c r="I12" s="15" t="s">
        <v>94</v>
      </c>
      <c r="J12" s="17" t="s">
        <v>69</v>
      </c>
      <c r="K12" s="17" t="s">
        <v>36</v>
      </c>
      <c r="L12" s="17"/>
      <c r="M12" s="20"/>
      <c r="N12" s="15"/>
      <c r="O12" s="15"/>
      <c r="P12" s="15">
        <v>88</v>
      </c>
      <c r="Q12" s="18" t="s">
        <v>32</v>
      </c>
      <c r="R12" s="12">
        <f>P12*180</f>
        <v>15840</v>
      </c>
      <c r="S12" s="12">
        <f>R12*Q12</f>
        <v>11088</v>
      </c>
      <c r="T12" s="15">
        <v>37</v>
      </c>
      <c r="U12" s="19" t="s">
        <v>33</v>
      </c>
      <c r="V12" s="14">
        <f>T12*180</f>
        <v>6660</v>
      </c>
      <c r="W12" s="14">
        <f>V12*U12</f>
        <v>3996</v>
      </c>
      <c r="X12" s="14">
        <f>S12+W12</f>
        <v>15084</v>
      </c>
      <c r="Y12" s="14">
        <f>R12+V12</f>
        <v>22500</v>
      </c>
      <c r="Z12" s="22"/>
      <c r="AA12" s="12">
        <f>IF(COUNT(Z12),X12*Z12,X12)</f>
        <v>15084</v>
      </c>
      <c r="AB12" s="12">
        <f>AA12-O12</f>
        <v>15084</v>
      </c>
      <c r="AC12" s="12">
        <f>ROUND(IF(AB12+M12&lt;0,0,AB12+M12),0)</f>
        <v>15084</v>
      </c>
      <c r="AD12" s="13">
        <f>IF(M12=0,0,IF(AC12=0,AA12+M12-O12,0))</f>
        <v>0</v>
      </c>
      <c r="AE12" s="14">
        <f>IF(AND(O12&gt;0,AC12&lt;=0),AA12-O12,0)</f>
        <v>0</v>
      </c>
    </row>
    <row r="13" spans="1:31" ht="17.399999999999999">
      <c r="A13" s="15">
        <v>3772</v>
      </c>
      <c r="B13" s="15" t="s">
        <v>34</v>
      </c>
      <c r="C13" s="15">
        <v>21514</v>
      </c>
      <c r="D13" s="15" t="s">
        <v>55</v>
      </c>
      <c r="E13" s="16"/>
      <c r="F13" s="15" t="s">
        <v>98</v>
      </c>
      <c r="G13" s="15" t="s">
        <v>65</v>
      </c>
      <c r="H13" s="16"/>
      <c r="I13" s="15" t="s">
        <v>99</v>
      </c>
      <c r="J13" s="17" t="s">
        <v>69</v>
      </c>
      <c r="K13" s="17" t="s">
        <v>36</v>
      </c>
      <c r="L13" s="17"/>
      <c r="M13" s="20"/>
      <c r="N13" s="15"/>
      <c r="O13" s="15"/>
      <c r="P13" s="15">
        <v>23</v>
      </c>
      <c r="Q13" s="18" t="s">
        <v>32</v>
      </c>
      <c r="R13" s="12">
        <f>P13*180</f>
        <v>4140</v>
      </c>
      <c r="S13" s="12">
        <f>R13*Q13</f>
        <v>2898</v>
      </c>
      <c r="T13" s="15">
        <v>2</v>
      </c>
      <c r="U13" s="19" t="s">
        <v>33</v>
      </c>
      <c r="V13" s="14">
        <f>T13*180</f>
        <v>360</v>
      </c>
      <c r="W13" s="14">
        <f>V13*U13</f>
        <v>216</v>
      </c>
      <c r="X13" s="14">
        <f>S13+W13</f>
        <v>3114</v>
      </c>
      <c r="Y13" s="14">
        <f>R13+V13</f>
        <v>4500</v>
      </c>
      <c r="Z13" s="22"/>
      <c r="AA13" s="12">
        <f>IF(COUNT(Z13),X13*Z13,X13)</f>
        <v>3114</v>
      </c>
      <c r="AB13" s="12">
        <f>AA13-O13</f>
        <v>3114</v>
      </c>
      <c r="AC13" s="12">
        <f>ROUND(IF(AB13+M13&lt;0,0,AB13+M13),0)</f>
        <v>3114</v>
      </c>
      <c r="AD13" s="13">
        <f>IF(M13=0,0,IF(AC13=0,AA13+M13-O13,0))</f>
        <v>0</v>
      </c>
      <c r="AE13" s="14">
        <f>IF(AND(O13&gt;0,AC13&lt;=0),AA13-O13,0)</f>
        <v>0</v>
      </c>
    </row>
    <row r="14" spans="1:31" ht="17.399999999999999">
      <c r="A14" s="15">
        <v>4017</v>
      </c>
      <c r="B14" s="15" t="s">
        <v>34</v>
      </c>
      <c r="C14" s="15">
        <v>21589</v>
      </c>
      <c r="D14" s="15" t="s">
        <v>55</v>
      </c>
      <c r="E14" s="16"/>
      <c r="F14" s="15" t="s">
        <v>97</v>
      </c>
      <c r="G14" s="15" t="s">
        <v>65</v>
      </c>
      <c r="H14" s="16"/>
      <c r="I14" s="15" t="s">
        <v>79</v>
      </c>
      <c r="J14" s="17" t="s">
        <v>69</v>
      </c>
      <c r="K14" s="17" t="s">
        <v>36</v>
      </c>
      <c r="L14" s="17"/>
      <c r="M14" s="20"/>
      <c r="N14" s="15"/>
      <c r="O14" s="15"/>
      <c r="P14" s="15">
        <v>80</v>
      </c>
      <c r="Q14" s="18" t="s">
        <v>32</v>
      </c>
      <c r="R14" s="12">
        <f>P14*180</f>
        <v>14400</v>
      </c>
      <c r="S14" s="12">
        <f>R14*Q14</f>
        <v>10080</v>
      </c>
      <c r="T14" s="15">
        <v>36</v>
      </c>
      <c r="U14" s="19" t="s">
        <v>33</v>
      </c>
      <c r="V14" s="14">
        <f>T14*180</f>
        <v>6480</v>
      </c>
      <c r="W14" s="14">
        <f>V14*U14</f>
        <v>3888</v>
      </c>
      <c r="X14" s="14">
        <f>S14+W14</f>
        <v>13968</v>
      </c>
      <c r="Y14" s="14">
        <f>R14+V14</f>
        <v>20880</v>
      </c>
      <c r="Z14" s="22"/>
      <c r="AA14" s="12">
        <f>IF(COUNT(Z14),X14*Z14,X14)</f>
        <v>13968</v>
      </c>
      <c r="AB14" s="12">
        <f>AA14-O14</f>
        <v>13968</v>
      </c>
      <c r="AC14" s="12">
        <f>ROUND(IF(AB14+M14&lt;0,0,AB14+M14),0)</f>
        <v>13968</v>
      </c>
      <c r="AD14" s="13">
        <f>IF(M14=0,0,IF(AC14=0,AA14+M14-O14,0))</f>
        <v>0</v>
      </c>
      <c r="AE14" s="14">
        <f>IF(AND(O14&gt;0,AC14&lt;=0),AA14-O14,0)</f>
        <v>0</v>
      </c>
    </row>
    <row r="15" spans="1:31" ht="17.399999999999999">
      <c r="A15" s="15">
        <v>4234</v>
      </c>
      <c r="B15" s="15" t="s">
        <v>34</v>
      </c>
      <c r="C15" s="15">
        <v>20149</v>
      </c>
      <c r="D15" s="15" t="s">
        <v>55</v>
      </c>
      <c r="E15" s="16"/>
      <c r="F15" s="15" t="s">
        <v>68</v>
      </c>
      <c r="G15" s="15" t="s">
        <v>65</v>
      </c>
      <c r="H15" s="16"/>
      <c r="I15" s="15" t="s">
        <v>61</v>
      </c>
      <c r="J15" s="17" t="s">
        <v>69</v>
      </c>
      <c r="K15" s="17" t="s">
        <v>36</v>
      </c>
      <c r="L15" s="17"/>
      <c r="M15" s="20"/>
      <c r="N15" s="15"/>
      <c r="O15" s="15"/>
      <c r="P15" s="15">
        <v>12</v>
      </c>
      <c r="Q15" s="18" t="s">
        <v>32</v>
      </c>
      <c r="R15" s="12">
        <f>P15*180</f>
        <v>2160</v>
      </c>
      <c r="S15" s="12">
        <f>R15*Q15</f>
        <v>1512</v>
      </c>
      <c r="T15" s="15">
        <v>47</v>
      </c>
      <c r="U15" s="19" t="s">
        <v>33</v>
      </c>
      <c r="V15" s="14">
        <f>T15*180</f>
        <v>8460</v>
      </c>
      <c r="W15" s="14">
        <f>V15*U15</f>
        <v>5076</v>
      </c>
      <c r="X15" s="14">
        <f>S15+W15</f>
        <v>6588</v>
      </c>
      <c r="Y15" s="14">
        <f>R15+V15</f>
        <v>10620</v>
      </c>
      <c r="Z15" s="22"/>
      <c r="AA15" s="12">
        <f>IF(COUNT(Z15),X15*Z15,X15)</f>
        <v>6588</v>
      </c>
      <c r="AB15" s="12">
        <f>AA15-O15</f>
        <v>6588</v>
      </c>
      <c r="AC15" s="12">
        <f>ROUND(IF(AB15+M15&lt;0,0,AB15+M15),0)</f>
        <v>6588</v>
      </c>
      <c r="AD15" s="13">
        <f>IF(M15=0,0,IF(AC15=0,AA15+M15-O15,0))</f>
        <v>0</v>
      </c>
      <c r="AE15" s="14">
        <f>IF(AND(O15&gt;0,AC15&lt;=0),AA15-O15,0)</f>
        <v>0</v>
      </c>
    </row>
    <row r="16" spans="1:31" ht="17.399999999999999">
      <c r="A16" s="15">
        <v>4488</v>
      </c>
      <c r="B16" s="15" t="s">
        <v>34</v>
      </c>
      <c r="C16" s="15">
        <v>19275</v>
      </c>
      <c r="D16" s="15" t="s">
        <v>55</v>
      </c>
      <c r="E16" s="16"/>
      <c r="F16" s="15" t="s">
        <v>64</v>
      </c>
      <c r="G16" s="15" t="s">
        <v>65</v>
      </c>
      <c r="H16" s="16"/>
      <c r="I16" s="15" t="s">
        <v>57</v>
      </c>
      <c r="J16" s="17" t="s">
        <v>69</v>
      </c>
      <c r="K16" s="17" t="s">
        <v>36</v>
      </c>
      <c r="L16" s="17"/>
      <c r="M16" s="20"/>
      <c r="N16" s="15"/>
      <c r="O16" s="15"/>
      <c r="P16" s="15">
        <v>49</v>
      </c>
      <c r="Q16" s="18" t="s">
        <v>32</v>
      </c>
      <c r="R16" s="12">
        <f>P16*180</f>
        <v>8820</v>
      </c>
      <c r="S16" s="12">
        <f>R16*Q16</f>
        <v>6174</v>
      </c>
      <c r="T16" s="15">
        <v>14</v>
      </c>
      <c r="U16" s="19" t="s">
        <v>33</v>
      </c>
      <c r="V16" s="14">
        <f>T16*180</f>
        <v>2520</v>
      </c>
      <c r="W16" s="14">
        <f>V16*U16</f>
        <v>1512</v>
      </c>
      <c r="X16" s="14">
        <f>S16+W16</f>
        <v>7686</v>
      </c>
      <c r="Y16" s="14">
        <f>R16+V16</f>
        <v>11340</v>
      </c>
      <c r="Z16" s="22"/>
      <c r="AA16" s="12">
        <f>IF(COUNT(Z16),X16*Z16,X16)</f>
        <v>7686</v>
      </c>
      <c r="AB16" s="12">
        <f>AA16-O16</f>
        <v>7686</v>
      </c>
      <c r="AC16" s="12">
        <f>ROUND(IF(AB16+M16&lt;0,0,AB16+M16),0)</f>
        <v>7686</v>
      </c>
      <c r="AD16" s="13">
        <f>IF(M16=0,0,IF(AC16=0,AA16+M16-O16,0))</f>
        <v>0</v>
      </c>
      <c r="AE16" s="14">
        <f>IF(AND(O16&gt;0,AC16&lt;=0),AA16-O16,0)</f>
        <v>0</v>
      </c>
    </row>
    <row r="17" spans="1:31" ht="17.399999999999999">
      <c r="A17" s="15">
        <v>4604</v>
      </c>
      <c r="B17" s="15" t="s">
        <v>34</v>
      </c>
      <c r="C17" s="15">
        <v>21039</v>
      </c>
      <c r="D17" s="15" t="s">
        <v>55</v>
      </c>
      <c r="E17" s="16"/>
      <c r="F17" s="15" t="s">
        <v>93</v>
      </c>
      <c r="G17" s="15" t="s">
        <v>65</v>
      </c>
      <c r="H17" s="16"/>
      <c r="I17" s="15" t="s">
        <v>94</v>
      </c>
      <c r="J17" s="17" t="s">
        <v>69</v>
      </c>
      <c r="K17" s="17" t="s">
        <v>36</v>
      </c>
      <c r="L17" s="17"/>
      <c r="M17" s="20"/>
      <c r="N17" s="15"/>
      <c r="O17" s="15"/>
      <c r="P17" s="15">
        <v>25</v>
      </c>
      <c r="Q17" s="18" t="s">
        <v>32</v>
      </c>
      <c r="R17" s="12">
        <f>P17*180</f>
        <v>4500</v>
      </c>
      <c r="S17" s="12">
        <f>R17*Q17</f>
        <v>3150</v>
      </c>
      <c r="T17" s="15">
        <v>0</v>
      </c>
      <c r="U17" s="19" t="s">
        <v>33</v>
      </c>
      <c r="V17" s="14">
        <f>T17*180</f>
        <v>0</v>
      </c>
      <c r="W17" s="14">
        <f>V17*U17</f>
        <v>0</v>
      </c>
      <c r="X17" s="14">
        <f>S17+W17</f>
        <v>3150</v>
      </c>
      <c r="Y17" s="14">
        <f>R17+V17</f>
        <v>4500</v>
      </c>
      <c r="Z17" s="22"/>
      <c r="AA17" s="12">
        <f>IF(COUNT(Z17),X17*Z17,X17)</f>
        <v>3150</v>
      </c>
      <c r="AB17" s="12">
        <f>AA17-O17</f>
        <v>3150</v>
      </c>
      <c r="AC17" s="12">
        <f>ROUND(IF(AB17+M17&lt;0,0,AB17+M17),0)</f>
        <v>3150</v>
      </c>
      <c r="AD17" s="13">
        <f>IF(M17=0,0,IF(AC17=0,AA17+M17-O17,0))</f>
        <v>0</v>
      </c>
      <c r="AE17" s="14">
        <f>IF(AND(O17&gt;0,AC17&lt;=0),AA17-O17,0)</f>
        <v>0</v>
      </c>
    </row>
    <row r="18" spans="1:31" ht="17.399999999999999">
      <c r="A18" s="15">
        <v>4675</v>
      </c>
      <c r="B18" s="15" t="s">
        <v>34</v>
      </c>
      <c r="C18" s="15">
        <v>19292</v>
      </c>
      <c r="D18" s="15" t="s">
        <v>55</v>
      </c>
      <c r="E18" s="16"/>
      <c r="F18" s="15" t="s">
        <v>66</v>
      </c>
      <c r="G18" s="15" t="s">
        <v>65</v>
      </c>
      <c r="H18" s="16"/>
      <c r="I18" s="15" t="s">
        <v>57</v>
      </c>
      <c r="J18" s="17" t="s">
        <v>69</v>
      </c>
      <c r="K18" s="17" t="s">
        <v>36</v>
      </c>
      <c r="L18" s="17"/>
      <c r="M18" s="20"/>
      <c r="N18" s="15"/>
      <c r="O18" s="15"/>
      <c r="P18" s="15">
        <v>18</v>
      </c>
      <c r="Q18" s="18" t="s">
        <v>32</v>
      </c>
      <c r="R18" s="12">
        <f>P18*180</f>
        <v>3240</v>
      </c>
      <c r="S18" s="12">
        <f>R18*Q18</f>
        <v>2268</v>
      </c>
      <c r="T18" s="15">
        <v>57</v>
      </c>
      <c r="U18" s="19" t="s">
        <v>33</v>
      </c>
      <c r="V18" s="14">
        <f>T18*180</f>
        <v>10260</v>
      </c>
      <c r="W18" s="14">
        <f>V18*U18</f>
        <v>6156</v>
      </c>
      <c r="X18" s="14">
        <f>S18+W18</f>
        <v>8424</v>
      </c>
      <c r="Y18" s="14">
        <f>R18+V18</f>
        <v>13500</v>
      </c>
      <c r="Z18" s="22"/>
      <c r="AA18" s="12">
        <f>IF(COUNT(Z18),X18*Z18,X18)</f>
        <v>8424</v>
      </c>
      <c r="AB18" s="12">
        <f>AA18-O18</f>
        <v>8424</v>
      </c>
      <c r="AC18" s="12">
        <f>ROUND(IF(AB18+M18&lt;0,0,AB18+M18),0)</f>
        <v>8424</v>
      </c>
      <c r="AD18" s="13">
        <f>IF(M18=0,0,IF(AC18=0,AA18+M18-O18,0))</f>
        <v>0</v>
      </c>
      <c r="AE18" s="14">
        <f>IF(AND(O18&gt;0,AC18&lt;=0),AA18-O18,0)</f>
        <v>0</v>
      </c>
    </row>
    <row r="19" spans="1:31" ht="17.399999999999999">
      <c r="A19" s="15">
        <v>5104</v>
      </c>
      <c r="B19" s="15" t="s">
        <v>34</v>
      </c>
      <c r="C19" s="15">
        <v>17015</v>
      </c>
      <c r="D19" s="15" t="s">
        <v>55</v>
      </c>
      <c r="E19" s="16"/>
      <c r="F19" s="15" t="s">
        <v>60</v>
      </c>
      <c r="G19" s="15" t="s">
        <v>65</v>
      </c>
      <c r="H19" s="16"/>
      <c r="I19" s="15" t="s">
        <v>61</v>
      </c>
      <c r="J19" s="17" t="s">
        <v>69</v>
      </c>
      <c r="K19" s="17" t="s">
        <v>36</v>
      </c>
      <c r="L19" s="17"/>
      <c r="M19" s="20"/>
      <c r="N19" s="15"/>
      <c r="O19" s="15"/>
      <c r="P19" s="15">
        <v>28</v>
      </c>
      <c r="Q19" s="18" t="s">
        <v>32</v>
      </c>
      <c r="R19" s="12">
        <f>P19*180</f>
        <v>5040</v>
      </c>
      <c r="S19" s="12">
        <f>R19*Q19</f>
        <v>3528</v>
      </c>
      <c r="T19" s="15">
        <v>5</v>
      </c>
      <c r="U19" s="19" t="s">
        <v>33</v>
      </c>
      <c r="V19" s="14">
        <f>T19*180</f>
        <v>900</v>
      </c>
      <c r="W19" s="14">
        <f>V19*U19</f>
        <v>540</v>
      </c>
      <c r="X19" s="14">
        <f>S19+W19</f>
        <v>4068</v>
      </c>
      <c r="Y19" s="14">
        <f>R19+V19</f>
        <v>5940</v>
      </c>
      <c r="Z19" s="22"/>
      <c r="AA19" s="12">
        <f>IF(COUNT(Z19),X19*Z19,X19)</f>
        <v>4068</v>
      </c>
      <c r="AB19" s="12">
        <f>AA19-O19</f>
        <v>4068</v>
      </c>
      <c r="AC19" s="12">
        <f>ROUND(IF(AB19+M19&lt;0,0,AB19+M19),0)</f>
        <v>4068</v>
      </c>
      <c r="AD19" s="13">
        <f>IF(M19=0,0,IF(AC19=0,AA19+M19-O19,0))</f>
        <v>0</v>
      </c>
      <c r="AE19" s="14">
        <f>IF(AND(O19&gt;0,AC19&lt;=0),AA19-O19,0)</f>
        <v>0</v>
      </c>
    </row>
    <row r="20" spans="1:31" ht="17.399999999999999">
      <c r="A20" s="15">
        <v>5182</v>
      </c>
      <c r="B20" s="15" t="s">
        <v>34</v>
      </c>
      <c r="C20" s="15">
        <v>17408</v>
      </c>
      <c r="D20" s="15" t="s">
        <v>55</v>
      </c>
      <c r="E20" s="16"/>
      <c r="F20" s="15" t="s">
        <v>62</v>
      </c>
      <c r="G20" s="15" t="s">
        <v>65</v>
      </c>
      <c r="H20" s="16"/>
      <c r="I20" s="15" t="s">
        <v>63</v>
      </c>
      <c r="J20" s="17" t="s">
        <v>69</v>
      </c>
      <c r="K20" s="17" t="s">
        <v>36</v>
      </c>
      <c r="L20" s="17"/>
      <c r="M20" s="20"/>
      <c r="N20" s="15"/>
      <c r="O20" s="15"/>
      <c r="P20" s="15">
        <v>49</v>
      </c>
      <c r="Q20" s="18" t="s">
        <v>32</v>
      </c>
      <c r="R20" s="12">
        <f>P20*180</f>
        <v>8820</v>
      </c>
      <c r="S20" s="12">
        <f>R20*Q20</f>
        <v>6174</v>
      </c>
      <c r="T20" s="15">
        <v>8</v>
      </c>
      <c r="U20" s="19" t="s">
        <v>33</v>
      </c>
      <c r="V20" s="14">
        <f>T20*180</f>
        <v>1440</v>
      </c>
      <c r="W20" s="14">
        <f>V20*U20</f>
        <v>864</v>
      </c>
      <c r="X20" s="14">
        <f>S20+W20</f>
        <v>7038</v>
      </c>
      <c r="Y20" s="14">
        <f>R20+V20</f>
        <v>10260</v>
      </c>
      <c r="Z20" s="22"/>
      <c r="AA20" s="12">
        <f>IF(COUNT(Z20),X20*Z20,X20)</f>
        <v>7038</v>
      </c>
      <c r="AB20" s="12">
        <f>AA20-O20</f>
        <v>7038</v>
      </c>
      <c r="AC20" s="12">
        <f>ROUND(IF(AB20+M20&lt;0,0,AB20+M20),0)</f>
        <v>7038</v>
      </c>
      <c r="AD20" s="13">
        <f>IF(M20=0,0,IF(AC20=0,AA20+M20-O20,0))</f>
        <v>0</v>
      </c>
      <c r="AE20" s="14">
        <f>IF(AND(O20&gt;0,AC20&lt;=0),AA20-O20,0)</f>
        <v>0</v>
      </c>
    </row>
    <row r="21" spans="1:31" ht="17.399999999999999">
      <c r="A21" s="15">
        <v>5249</v>
      </c>
      <c r="B21" s="15" t="s">
        <v>34</v>
      </c>
      <c r="C21" s="15">
        <v>21124</v>
      </c>
      <c r="D21" s="15" t="s">
        <v>55</v>
      </c>
      <c r="E21" s="16"/>
      <c r="F21" s="15" t="s">
        <v>87</v>
      </c>
      <c r="G21" s="15" t="s">
        <v>65</v>
      </c>
      <c r="H21" s="16"/>
      <c r="I21" s="15" t="s">
        <v>88</v>
      </c>
      <c r="J21" s="17" t="s">
        <v>69</v>
      </c>
      <c r="K21" s="17" t="s">
        <v>36</v>
      </c>
      <c r="L21" s="17"/>
      <c r="M21" s="20"/>
      <c r="N21" s="15"/>
      <c r="O21" s="15"/>
      <c r="P21" s="15">
        <v>26</v>
      </c>
      <c r="Q21" s="18" t="s">
        <v>32</v>
      </c>
      <c r="R21" s="12">
        <f>P21*180</f>
        <v>4680</v>
      </c>
      <c r="S21" s="12">
        <f>R21*Q21</f>
        <v>3276</v>
      </c>
      <c r="T21" s="15">
        <v>23</v>
      </c>
      <c r="U21" s="19" t="s">
        <v>33</v>
      </c>
      <c r="V21" s="14">
        <f>T21*180</f>
        <v>4140</v>
      </c>
      <c r="W21" s="14">
        <f>V21*U21</f>
        <v>2484</v>
      </c>
      <c r="X21" s="14">
        <f>S21+W21</f>
        <v>5760</v>
      </c>
      <c r="Y21" s="14">
        <f>R21+V21</f>
        <v>8820</v>
      </c>
      <c r="Z21" s="22"/>
      <c r="AA21" s="12">
        <f>IF(COUNT(Z21),X21*Z21,X21)</f>
        <v>5760</v>
      </c>
      <c r="AB21" s="12">
        <f>AA21-O21</f>
        <v>5760</v>
      </c>
      <c r="AC21" s="12">
        <f>ROUND(IF(AB21+M21&lt;0,0,AB21+M21),0)</f>
        <v>5760</v>
      </c>
      <c r="AD21" s="13">
        <f>IF(M21=0,0,IF(AC21=0,AA21+M21-O21,0))</f>
        <v>0</v>
      </c>
      <c r="AE21" s="14">
        <f>IF(AND(O21&gt;0,AC21&lt;=0),AA21-O21,0)</f>
        <v>0</v>
      </c>
    </row>
    <row r="22" spans="1:31" ht="17.399999999999999">
      <c r="A22" s="15">
        <v>5489</v>
      </c>
      <c r="B22" s="15" t="s">
        <v>34</v>
      </c>
      <c r="C22" s="15">
        <v>17973</v>
      </c>
      <c r="D22" s="15" t="s">
        <v>55</v>
      </c>
      <c r="E22" s="16"/>
      <c r="F22" s="15" t="s">
        <v>106</v>
      </c>
      <c r="G22" s="15" t="s">
        <v>65</v>
      </c>
      <c r="H22" s="16"/>
      <c r="I22" s="15" t="s">
        <v>107</v>
      </c>
      <c r="J22" s="17" t="s">
        <v>69</v>
      </c>
      <c r="K22" s="17" t="s">
        <v>36</v>
      </c>
      <c r="L22" s="17"/>
      <c r="M22" s="20"/>
      <c r="N22" s="15"/>
      <c r="O22" s="15"/>
      <c r="P22" s="15">
        <v>36</v>
      </c>
      <c r="Q22" s="18" t="s">
        <v>32</v>
      </c>
      <c r="R22" s="12">
        <f>P22*180</f>
        <v>6480</v>
      </c>
      <c r="S22" s="12">
        <f>R22*Q22</f>
        <v>4536</v>
      </c>
      <c r="T22" s="15">
        <v>19</v>
      </c>
      <c r="U22" s="19" t="s">
        <v>33</v>
      </c>
      <c r="V22" s="14">
        <f>T22*180</f>
        <v>3420</v>
      </c>
      <c r="W22" s="14">
        <f>V22*U22</f>
        <v>2052</v>
      </c>
      <c r="X22" s="14">
        <f>S22+W22</f>
        <v>6588</v>
      </c>
      <c r="Y22" s="14">
        <f>R22+V22</f>
        <v>9900</v>
      </c>
      <c r="Z22" s="22"/>
      <c r="AA22" s="12">
        <f>IF(COUNT(Z22),X22*Z22,X22)</f>
        <v>6588</v>
      </c>
      <c r="AB22" s="12">
        <f>AA22-O22</f>
        <v>6588</v>
      </c>
      <c r="AC22" s="12">
        <f>ROUND(IF(AB22+M22&lt;0,0,AB22+M22),0)</f>
        <v>6588</v>
      </c>
      <c r="AD22" s="13">
        <f>IF(M22=0,0,IF(AC22=0,AA22+M22-O22,0))</f>
        <v>0</v>
      </c>
      <c r="AE22" s="14">
        <f>IF(AND(O22&gt;0,AC22&lt;=0),AA22-O22,0)</f>
        <v>0</v>
      </c>
    </row>
    <row r="23" spans="1:31" ht="17.399999999999999">
      <c r="A23" s="15">
        <v>5495</v>
      </c>
      <c r="B23" s="15" t="s">
        <v>34</v>
      </c>
      <c r="C23" s="15">
        <v>21084</v>
      </c>
      <c r="D23" s="15" t="s">
        <v>55</v>
      </c>
      <c r="E23" s="16"/>
      <c r="F23" s="15" t="s">
        <v>91</v>
      </c>
      <c r="G23" s="15" t="s">
        <v>65</v>
      </c>
      <c r="H23" s="16"/>
      <c r="I23" s="15" t="s">
        <v>92</v>
      </c>
      <c r="J23" s="17" t="s">
        <v>69</v>
      </c>
      <c r="K23" s="17" t="s">
        <v>36</v>
      </c>
      <c r="L23" s="17"/>
      <c r="M23" s="20"/>
      <c r="N23" s="15"/>
      <c r="O23" s="15"/>
      <c r="P23" s="15">
        <v>0</v>
      </c>
      <c r="Q23" s="18" t="s">
        <v>32</v>
      </c>
      <c r="R23" s="12">
        <f>P23*180</f>
        <v>0</v>
      </c>
      <c r="S23" s="12">
        <f>R23*Q23</f>
        <v>0</v>
      </c>
      <c r="T23" s="15">
        <v>48</v>
      </c>
      <c r="U23" s="19" t="s">
        <v>33</v>
      </c>
      <c r="V23" s="14">
        <f>T23*180</f>
        <v>8640</v>
      </c>
      <c r="W23" s="14">
        <f>V23*U23</f>
        <v>5184</v>
      </c>
      <c r="X23" s="14">
        <f>S23+W23</f>
        <v>5184</v>
      </c>
      <c r="Y23" s="14">
        <f>R23+V23</f>
        <v>8640</v>
      </c>
      <c r="Z23" s="22"/>
      <c r="AA23" s="12">
        <f>IF(COUNT(Z23),X23*Z23,X23)</f>
        <v>5184</v>
      </c>
      <c r="AB23" s="12">
        <f>AA23-O23</f>
        <v>5184</v>
      </c>
      <c r="AC23" s="12">
        <f>ROUND(IF(AB23+M23&lt;0,0,AB23+M23),0)</f>
        <v>5184</v>
      </c>
      <c r="AD23" s="13">
        <f>IF(M23=0,0,IF(AC23=0,AA23+M23-O23,0))</f>
        <v>0</v>
      </c>
      <c r="AE23" s="14">
        <f>IF(AND(O23&gt;0,AC23&lt;=0),AA23-O23,0)</f>
        <v>0</v>
      </c>
    </row>
    <row r="24" spans="1:31" ht="17.399999999999999">
      <c r="A24" s="15">
        <v>5602</v>
      </c>
      <c r="B24" s="15" t="s">
        <v>34</v>
      </c>
      <c r="C24" s="15">
        <v>21066</v>
      </c>
      <c r="D24" s="15" t="s">
        <v>55</v>
      </c>
      <c r="E24" s="16"/>
      <c r="F24" s="15" t="s">
        <v>89</v>
      </c>
      <c r="G24" s="15" t="s">
        <v>65</v>
      </c>
      <c r="H24" s="16"/>
      <c r="I24" s="15" t="s">
        <v>90</v>
      </c>
      <c r="J24" s="17" t="s">
        <v>69</v>
      </c>
      <c r="K24" s="17" t="s">
        <v>36</v>
      </c>
      <c r="L24" s="17"/>
      <c r="M24" s="20"/>
      <c r="N24" s="15"/>
      <c r="O24" s="15"/>
      <c r="P24" s="15">
        <v>7</v>
      </c>
      <c r="Q24" s="18" t="s">
        <v>32</v>
      </c>
      <c r="R24" s="12">
        <f>P24*180</f>
        <v>1260</v>
      </c>
      <c r="S24" s="12">
        <f>R24*Q24</f>
        <v>882</v>
      </c>
      <c r="T24" s="15">
        <v>0</v>
      </c>
      <c r="U24" s="19" t="s">
        <v>33</v>
      </c>
      <c r="V24" s="14">
        <f>T24*180</f>
        <v>0</v>
      </c>
      <c r="W24" s="14">
        <f>V24*U24</f>
        <v>0</v>
      </c>
      <c r="X24" s="14">
        <f>S24+W24</f>
        <v>882</v>
      </c>
      <c r="Y24" s="14">
        <f>R24+V24</f>
        <v>1260</v>
      </c>
      <c r="Z24" s="22"/>
      <c r="AA24" s="12">
        <f>IF(COUNT(Z24),X24*Z24,X24)</f>
        <v>882</v>
      </c>
      <c r="AB24" s="12">
        <f>AA24-O24</f>
        <v>882</v>
      </c>
      <c r="AC24" s="12">
        <f>ROUND(IF(AB24+M24&lt;0,0,AB24+M24),0)</f>
        <v>882</v>
      </c>
      <c r="AD24" s="13">
        <f>IF(M24=0,0,IF(AC24=0,AA24+M24-O24,0))</f>
        <v>0</v>
      </c>
      <c r="AE24" s="14">
        <f>IF(AND(O24&gt;0,AC24&lt;=0),AA24-O24,0)</f>
        <v>0</v>
      </c>
    </row>
    <row r="25" spans="1:31" ht="17.399999999999999">
      <c r="A25" s="15">
        <v>6299</v>
      </c>
      <c r="B25" s="15" t="s">
        <v>34</v>
      </c>
      <c r="C25" s="15">
        <v>17563</v>
      </c>
      <c r="D25" s="15" t="s">
        <v>55</v>
      </c>
      <c r="E25" s="16"/>
      <c r="F25" s="15" t="s">
        <v>108</v>
      </c>
      <c r="G25" s="15" t="s">
        <v>65</v>
      </c>
      <c r="H25" s="16"/>
      <c r="I25" s="15" t="s">
        <v>109</v>
      </c>
      <c r="J25" s="17" t="s">
        <v>69</v>
      </c>
      <c r="K25" s="17" t="s">
        <v>36</v>
      </c>
      <c r="L25" s="17"/>
      <c r="M25" s="20"/>
      <c r="N25" s="15"/>
      <c r="O25" s="15"/>
      <c r="P25" s="15">
        <v>39</v>
      </c>
      <c r="Q25" s="18" t="s">
        <v>32</v>
      </c>
      <c r="R25" s="12">
        <f>P25*180</f>
        <v>7020</v>
      </c>
      <c r="S25" s="12">
        <f>R25*Q25</f>
        <v>4914</v>
      </c>
      <c r="T25" s="15">
        <v>0</v>
      </c>
      <c r="U25" s="19" t="s">
        <v>33</v>
      </c>
      <c r="V25" s="14">
        <f>T25*180</f>
        <v>0</v>
      </c>
      <c r="W25" s="14">
        <f>V25*U25</f>
        <v>0</v>
      </c>
      <c r="X25" s="14">
        <f>S25+W25</f>
        <v>4914</v>
      </c>
      <c r="Y25" s="14">
        <f>R25+V25</f>
        <v>7020</v>
      </c>
      <c r="Z25" s="22"/>
      <c r="AA25" s="12">
        <f>IF(COUNT(Z25),X25*Z25,X25)</f>
        <v>4914</v>
      </c>
      <c r="AB25" s="12">
        <f>AA25-O25</f>
        <v>4914</v>
      </c>
      <c r="AC25" s="12">
        <f>ROUND(IF(AB25+M25&lt;0,0,AB25+M25),0)</f>
        <v>4914</v>
      </c>
      <c r="AD25" s="13">
        <f>IF(M25=0,0,IF(AC25=0,AA25+M25-O25,0))</f>
        <v>0</v>
      </c>
      <c r="AE25" s="14">
        <f>IF(AND(O25&gt;0,AC25&lt;=0),AA25-O25,0)</f>
        <v>0</v>
      </c>
    </row>
    <row r="26" spans="1:31" ht="17.399999999999999">
      <c r="A26" s="15">
        <v>6566</v>
      </c>
      <c r="B26" s="15" t="s">
        <v>34</v>
      </c>
      <c r="C26" s="15">
        <v>18320</v>
      </c>
      <c r="D26" s="15" t="s">
        <v>55</v>
      </c>
      <c r="E26" s="16"/>
      <c r="F26" s="15" t="s">
        <v>73</v>
      </c>
      <c r="G26" s="15" t="s">
        <v>65</v>
      </c>
      <c r="H26" s="16"/>
      <c r="I26" s="15" t="s">
        <v>74</v>
      </c>
      <c r="J26" s="17" t="s">
        <v>69</v>
      </c>
      <c r="K26" s="17" t="s">
        <v>36</v>
      </c>
      <c r="L26" s="17"/>
      <c r="M26" s="20"/>
      <c r="N26" s="15"/>
      <c r="O26" s="15"/>
      <c r="P26" s="15">
        <v>28</v>
      </c>
      <c r="Q26" s="18" t="s">
        <v>32</v>
      </c>
      <c r="R26" s="12">
        <f>P26*180</f>
        <v>5040</v>
      </c>
      <c r="S26" s="12">
        <f>R26*Q26</f>
        <v>3528</v>
      </c>
      <c r="T26" s="15">
        <v>1</v>
      </c>
      <c r="U26" s="19" t="s">
        <v>33</v>
      </c>
      <c r="V26" s="14">
        <f>T26*180</f>
        <v>180</v>
      </c>
      <c r="W26" s="14">
        <f>V26*U26</f>
        <v>108</v>
      </c>
      <c r="X26" s="14">
        <f>S26+W26</f>
        <v>3636</v>
      </c>
      <c r="Y26" s="14">
        <f>R26+V26</f>
        <v>5220</v>
      </c>
      <c r="Z26" s="22"/>
      <c r="AA26" s="12">
        <f>IF(COUNT(Z26),X26*Z26,X26)</f>
        <v>3636</v>
      </c>
      <c r="AB26" s="12">
        <f>AA26-O26</f>
        <v>3636</v>
      </c>
      <c r="AC26" s="12">
        <f>ROUND(IF(AB26+M26&lt;0,0,AB26+M26),0)</f>
        <v>3636</v>
      </c>
      <c r="AD26" s="13">
        <f>IF(M26=0,0,IF(AC26=0,AA26+M26-O26,0))</f>
        <v>0</v>
      </c>
      <c r="AE26" s="14">
        <f>IF(AND(O26&gt;0,AC26&lt;=0),AA26-O26,0)</f>
        <v>0</v>
      </c>
    </row>
    <row r="27" spans="1:31" ht="17.399999999999999">
      <c r="A27" s="15">
        <v>6632</v>
      </c>
      <c r="B27" s="15" t="s">
        <v>34</v>
      </c>
      <c r="C27" s="15">
        <v>18609</v>
      </c>
      <c r="D27" s="15" t="s">
        <v>55</v>
      </c>
      <c r="E27" s="16"/>
      <c r="F27" s="15" t="s">
        <v>110</v>
      </c>
      <c r="G27" s="15" t="s">
        <v>65</v>
      </c>
      <c r="H27" s="16"/>
      <c r="I27" s="15" t="s">
        <v>111</v>
      </c>
      <c r="J27" s="17" t="s">
        <v>69</v>
      </c>
      <c r="K27" s="17" t="s">
        <v>36</v>
      </c>
      <c r="L27" s="17"/>
      <c r="M27" s="20"/>
      <c r="N27" s="15"/>
      <c r="O27" s="15"/>
      <c r="P27" s="15">
        <v>1</v>
      </c>
      <c r="Q27" s="18" t="s">
        <v>32</v>
      </c>
      <c r="R27" s="12">
        <f>P27*180</f>
        <v>180</v>
      </c>
      <c r="S27" s="12">
        <f>R27*Q27</f>
        <v>125.99999999999999</v>
      </c>
      <c r="T27" s="15">
        <v>13</v>
      </c>
      <c r="U27" s="19" t="s">
        <v>33</v>
      </c>
      <c r="V27" s="14">
        <f>T27*180</f>
        <v>2340</v>
      </c>
      <c r="W27" s="14">
        <f>V27*U27</f>
        <v>1404</v>
      </c>
      <c r="X27" s="14">
        <f>S27+W27</f>
        <v>1530</v>
      </c>
      <c r="Y27" s="14">
        <f>R27+V27</f>
        <v>2520</v>
      </c>
      <c r="Z27" s="22"/>
      <c r="AA27" s="12">
        <f>IF(COUNT(Z27),X27*Z27,X27)</f>
        <v>1530</v>
      </c>
      <c r="AB27" s="12">
        <f>AA27-O27</f>
        <v>1530</v>
      </c>
      <c r="AC27" s="12">
        <f>ROUND(IF(AB27+M27&lt;0,0,AB27+M27),0)</f>
        <v>1530</v>
      </c>
      <c r="AD27" s="13">
        <f>IF(M27=0,0,IF(AC27=0,AA27+M27-O27,0))</f>
        <v>0</v>
      </c>
      <c r="AE27" s="14">
        <f>IF(AND(O27&gt;0,AC27&lt;=0),AA27-O27,0)</f>
        <v>0</v>
      </c>
    </row>
    <row r="28" spans="1:31" ht="17.399999999999999">
      <c r="A28" s="15">
        <v>6985</v>
      </c>
      <c r="B28" s="15" t="s">
        <v>34</v>
      </c>
      <c r="C28" s="15">
        <v>20155</v>
      </c>
      <c r="D28" s="15" t="s">
        <v>55</v>
      </c>
      <c r="E28" s="16"/>
      <c r="F28" s="15" t="s">
        <v>77</v>
      </c>
      <c r="G28" s="15" t="s">
        <v>65</v>
      </c>
      <c r="H28" s="16"/>
      <c r="I28" s="15" t="s">
        <v>78</v>
      </c>
      <c r="J28" s="17" t="s">
        <v>69</v>
      </c>
      <c r="K28" s="17" t="s">
        <v>36</v>
      </c>
      <c r="L28" s="17"/>
      <c r="M28" s="20"/>
      <c r="N28" s="15"/>
      <c r="O28" s="15"/>
      <c r="P28" s="15">
        <v>25</v>
      </c>
      <c r="Q28" s="18" t="s">
        <v>32</v>
      </c>
      <c r="R28" s="12">
        <f>P28*180</f>
        <v>4500</v>
      </c>
      <c r="S28" s="12">
        <f>R28*Q28</f>
        <v>3150</v>
      </c>
      <c r="T28" s="15">
        <v>0</v>
      </c>
      <c r="U28" s="19" t="s">
        <v>33</v>
      </c>
      <c r="V28" s="14">
        <f>T28*180</f>
        <v>0</v>
      </c>
      <c r="W28" s="14">
        <f>V28*U28</f>
        <v>0</v>
      </c>
      <c r="X28" s="14">
        <f>S28+W28</f>
        <v>3150</v>
      </c>
      <c r="Y28" s="14">
        <f>R28+V28</f>
        <v>4500</v>
      </c>
      <c r="Z28" s="22"/>
      <c r="AA28" s="12">
        <f>IF(COUNT(Z28),X28*Z28,X28)</f>
        <v>3150</v>
      </c>
      <c r="AB28" s="12">
        <f>AA28-O28</f>
        <v>3150</v>
      </c>
      <c r="AC28" s="12">
        <f>ROUND(IF(AB28+M28&lt;0,0,AB28+M28),0)</f>
        <v>3150</v>
      </c>
      <c r="AD28" s="13">
        <f>IF(M28=0,0,IF(AC28=0,AA28+M28-O28,0))</f>
        <v>0</v>
      </c>
      <c r="AE28" s="14">
        <f>IF(AND(O28&gt;0,AC28&lt;=0),AA28-O28,0)</f>
        <v>0</v>
      </c>
    </row>
    <row r="29" spans="1:31" ht="17.399999999999999">
      <c r="A29" s="15">
        <v>7801</v>
      </c>
      <c r="B29" s="15" t="s">
        <v>34</v>
      </c>
      <c r="C29" s="15">
        <v>21469</v>
      </c>
      <c r="D29" s="15" t="s">
        <v>55</v>
      </c>
      <c r="E29" s="16"/>
      <c r="F29" s="15" t="s">
        <v>96</v>
      </c>
      <c r="G29" s="15" t="s">
        <v>65</v>
      </c>
      <c r="H29" s="16"/>
      <c r="I29" s="15" t="s">
        <v>95</v>
      </c>
      <c r="J29" s="17" t="s">
        <v>69</v>
      </c>
      <c r="K29" s="17" t="s">
        <v>36</v>
      </c>
      <c r="L29" s="17"/>
      <c r="M29" s="20"/>
      <c r="N29" s="15"/>
      <c r="O29" s="15"/>
      <c r="P29" s="15">
        <v>9</v>
      </c>
      <c r="Q29" s="18" t="s">
        <v>32</v>
      </c>
      <c r="R29" s="12">
        <f>P29*180</f>
        <v>1620</v>
      </c>
      <c r="S29" s="12">
        <f>R29*Q29</f>
        <v>1134</v>
      </c>
      <c r="T29" s="15">
        <v>0</v>
      </c>
      <c r="U29" s="19" t="s">
        <v>33</v>
      </c>
      <c r="V29" s="14">
        <f>T29*180</f>
        <v>0</v>
      </c>
      <c r="W29" s="14">
        <f>V29*U29</f>
        <v>0</v>
      </c>
      <c r="X29" s="14">
        <f>S29+W29</f>
        <v>1134</v>
      </c>
      <c r="Y29" s="14">
        <f>R29+V29</f>
        <v>1620</v>
      </c>
      <c r="Z29" s="22"/>
      <c r="AA29" s="12">
        <f>IF(COUNT(Z29),X29*Z29,X29)</f>
        <v>1134</v>
      </c>
      <c r="AB29" s="12">
        <f>AA29-O29</f>
        <v>1134</v>
      </c>
      <c r="AC29" s="12">
        <f>ROUND(IF(AB29+M29&lt;0,0,AB29+M29),0)</f>
        <v>1134</v>
      </c>
      <c r="AD29" s="13">
        <f>IF(M29=0,0,IF(AC29=0,AA29+M29-O29,0))</f>
        <v>0</v>
      </c>
      <c r="AE29" s="14">
        <f>IF(AND(O29&gt;0,AC29&lt;=0),AA29-O29,0)</f>
        <v>0</v>
      </c>
    </row>
    <row r="30" spans="1:31" ht="17.399999999999999">
      <c r="A30" s="15">
        <v>8718</v>
      </c>
      <c r="B30" s="15" t="s">
        <v>34</v>
      </c>
      <c r="C30" s="15">
        <v>20150</v>
      </c>
      <c r="D30" s="15" t="s">
        <v>55</v>
      </c>
      <c r="E30" s="16"/>
      <c r="F30" s="15" t="s">
        <v>75</v>
      </c>
      <c r="G30" s="15" t="s">
        <v>65</v>
      </c>
      <c r="H30" s="16"/>
      <c r="I30" s="15" t="s">
        <v>76</v>
      </c>
      <c r="J30" s="17" t="s">
        <v>69</v>
      </c>
      <c r="K30" s="17" t="s">
        <v>36</v>
      </c>
      <c r="L30" s="17"/>
      <c r="M30" s="20"/>
      <c r="N30" s="15"/>
      <c r="O30" s="15"/>
      <c r="P30" s="15">
        <v>12</v>
      </c>
      <c r="Q30" s="18" t="s">
        <v>32</v>
      </c>
      <c r="R30" s="12">
        <f>P30*180</f>
        <v>2160</v>
      </c>
      <c r="S30" s="12">
        <f>R30*Q30</f>
        <v>1512</v>
      </c>
      <c r="T30" s="15">
        <v>0</v>
      </c>
      <c r="U30" s="19" t="s">
        <v>33</v>
      </c>
      <c r="V30" s="14">
        <f>T30*180</f>
        <v>0</v>
      </c>
      <c r="W30" s="14">
        <f>V30*U30</f>
        <v>0</v>
      </c>
      <c r="X30" s="14">
        <f>S30+W30</f>
        <v>1512</v>
      </c>
      <c r="Y30" s="14">
        <f>R30+V30</f>
        <v>2160</v>
      </c>
      <c r="Z30" s="22"/>
      <c r="AA30" s="12">
        <f>IF(COUNT(Z30),X30*Z30,X30)</f>
        <v>1512</v>
      </c>
      <c r="AB30" s="12">
        <f>AA30-O30</f>
        <v>1512</v>
      </c>
      <c r="AC30" s="12">
        <f>ROUND(IF(AB30+M30&lt;0,0,AB30+M30),0)</f>
        <v>1512</v>
      </c>
      <c r="AD30" s="13">
        <f>IF(M30=0,0,IF(AC30=0,AA30+M30-O30,0))</f>
        <v>0</v>
      </c>
      <c r="AE30" s="14">
        <f>IF(AND(O30&gt;0,AC30&lt;=0),AA30-O30,0)</f>
        <v>0</v>
      </c>
    </row>
    <row r="31" spans="1:31" ht="17.399999999999999">
      <c r="A31" s="15">
        <v>9556</v>
      </c>
      <c r="B31" s="15" t="s">
        <v>34</v>
      </c>
      <c r="C31" s="15">
        <v>21081</v>
      </c>
      <c r="D31" s="15" t="s">
        <v>55</v>
      </c>
      <c r="E31" s="16"/>
      <c r="F31" s="15" t="s">
        <v>85</v>
      </c>
      <c r="G31" s="15" t="s">
        <v>65</v>
      </c>
      <c r="H31" s="16"/>
      <c r="I31" s="15" t="s">
        <v>86</v>
      </c>
      <c r="J31" s="17" t="s">
        <v>69</v>
      </c>
      <c r="K31" s="17" t="s">
        <v>36</v>
      </c>
      <c r="L31" s="17"/>
      <c r="M31" s="20"/>
      <c r="N31" s="15"/>
      <c r="O31" s="15"/>
      <c r="P31" s="15">
        <v>5</v>
      </c>
      <c r="Q31" s="18" t="s">
        <v>32</v>
      </c>
      <c r="R31" s="12">
        <f>P31*180</f>
        <v>900</v>
      </c>
      <c r="S31" s="12">
        <f>R31*Q31</f>
        <v>630</v>
      </c>
      <c r="T31" s="15">
        <v>1</v>
      </c>
      <c r="U31" s="19" t="s">
        <v>33</v>
      </c>
      <c r="V31" s="14">
        <f>T31*180</f>
        <v>180</v>
      </c>
      <c r="W31" s="14">
        <f>V31*U31</f>
        <v>108</v>
      </c>
      <c r="X31" s="14">
        <f>S31+W31</f>
        <v>738</v>
      </c>
      <c r="Y31" s="14">
        <f>R31+V31</f>
        <v>1080</v>
      </c>
      <c r="Z31" s="22"/>
      <c r="AA31" s="12">
        <f>IF(COUNT(Z31),X31*Z31,X31)</f>
        <v>738</v>
      </c>
      <c r="AB31" s="12">
        <f>AA31-O31</f>
        <v>738</v>
      </c>
      <c r="AC31" s="12">
        <f>ROUND(IF(AB31+M31&lt;0,0,AB31+M31),0)</f>
        <v>738</v>
      </c>
      <c r="AD31" s="13">
        <f>IF(M31=0,0,IF(AC31=0,AA31+M31-O31,0))</f>
        <v>0</v>
      </c>
      <c r="AE31" s="14">
        <f>IF(AND(O31&gt;0,AC31&lt;=0),AA31-O31,0)</f>
        <v>0</v>
      </c>
    </row>
    <row r="32" spans="1:31" ht="17.399999999999999">
      <c r="A32" s="15">
        <v>10150</v>
      </c>
      <c r="B32" s="15" t="s">
        <v>34</v>
      </c>
      <c r="C32" s="15">
        <v>19673</v>
      </c>
      <c r="D32" s="15" t="s">
        <v>55</v>
      </c>
      <c r="E32" s="16"/>
      <c r="F32" s="15" t="s">
        <v>112</v>
      </c>
      <c r="G32" s="15" t="s">
        <v>65</v>
      </c>
      <c r="H32" s="16"/>
      <c r="I32" s="15" t="s">
        <v>113</v>
      </c>
      <c r="J32" s="17" t="s">
        <v>69</v>
      </c>
      <c r="K32" s="17" t="s">
        <v>36</v>
      </c>
      <c r="L32" s="17"/>
      <c r="M32" s="20"/>
      <c r="N32" s="15"/>
      <c r="O32" s="15"/>
      <c r="P32" s="15">
        <v>0</v>
      </c>
      <c r="Q32" s="18" t="s">
        <v>32</v>
      </c>
      <c r="R32" s="12">
        <f>P32*180</f>
        <v>0</v>
      </c>
      <c r="S32" s="12">
        <f>R32*Q32</f>
        <v>0</v>
      </c>
      <c r="T32" s="15">
        <v>4</v>
      </c>
      <c r="U32" s="19" t="s">
        <v>33</v>
      </c>
      <c r="V32" s="14">
        <f>T32*180</f>
        <v>720</v>
      </c>
      <c r="W32" s="14">
        <f>V32*U32</f>
        <v>432</v>
      </c>
      <c r="X32" s="14">
        <f>S32+W32</f>
        <v>432</v>
      </c>
      <c r="Y32" s="14">
        <f>R32+V32</f>
        <v>720</v>
      </c>
      <c r="Z32" s="22"/>
      <c r="AA32" s="12">
        <f>IF(COUNT(Z32),X32*Z32,X32)</f>
        <v>432</v>
      </c>
      <c r="AB32" s="12">
        <f>AA32-O32</f>
        <v>432</v>
      </c>
      <c r="AC32" s="12">
        <f>ROUND(IF(AB32+M32&lt;0,0,AB32+M32),0)</f>
        <v>432</v>
      </c>
      <c r="AD32" s="13">
        <f>IF(M32=0,0,IF(AC32=0,AA32+M32-O32,0))</f>
        <v>0</v>
      </c>
      <c r="AE32" s="14">
        <f>IF(AND(O32&gt;0,AC32&lt;=0),AA32-O32,0)</f>
        <v>0</v>
      </c>
    </row>
    <row r="33" spans="1:31" ht="17.399999999999999">
      <c r="A33" s="15">
        <v>10424</v>
      </c>
      <c r="B33" s="15" t="s">
        <v>34</v>
      </c>
      <c r="C33" s="15">
        <v>21696</v>
      </c>
      <c r="D33" s="15" t="s">
        <v>55</v>
      </c>
      <c r="E33" s="16"/>
      <c r="F33" s="15" t="s">
        <v>102</v>
      </c>
      <c r="G33" s="15" t="s">
        <v>65</v>
      </c>
      <c r="H33" s="16"/>
      <c r="I33" s="15" t="s">
        <v>103</v>
      </c>
      <c r="J33" s="17" t="s">
        <v>69</v>
      </c>
      <c r="K33" s="17" t="s">
        <v>36</v>
      </c>
      <c r="L33" s="17"/>
      <c r="M33" s="20"/>
      <c r="N33" s="15"/>
      <c r="O33" s="15"/>
      <c r="P33" s="15">
        <v>0</v>
      </c>
      <c r="Q33" s="18" t="s">
        <v>32</v>
      </c>
      <c r="R33" s="12">
        <f>P33*180</f>
        <v>0</v>
      </c>
      <c r="S33" s="12">
        <f>R33*Q33</f>
        <v>0</v>
      </c>
      <c r="T33" s="15">
        <v>3</v>
      </c>
      <c r="U33" s="19" t="s">
        <v>33</v>
      </c>
      <c r="V33" s="14">
        <f>T33*180</f>
        <v>540</v>
      </c>
      <c r="W33" s="14">
        <f>V33*U33</f>
        <v>324</v>
      </c>
      <c r="X33" s="14">
        <f>S33+W33</f>
        <v>324</v>
      </c>
      <c r="Y33" s="14">
        <f>R33+V33</f>
        <v>540</v>
      </c>
      <c r="Z33" s="22"/>
      <c r="AA33" s="12">
        <f>IF(COUNT(Z33),X33*Z33,X33)</f>
        <v>324</v>
      </c>
      <c r="AB33" s="12">
        <f>AA33-O33</f>
        <v>324</v>
      </c>
      <c r="AC33" s="12">
        <f>ROUND(IF(AB33+M33&lt;0,0,AB33+M33),0)</f>
        <v>324</v>
      </c>
      <c r="AD33" s="13">
        <f>IF(M33=0,0,IF(AC33=0,AA33+M33-O33,0))</f>
        <v>0</v>
      </c>
      <c r="AE33" s="14">
        <f>IF(AND(O33&gt;0,AC33&lt;=0),AA33-O33,0)</f>
        <v>0</v>
      </c>
    </row>
    <row r="34" spans="1:31" ht="17.399999999999999">
      <c r="A34" s="15">
        <v>10527</v>
      </c>
      <c r="B34" s="15" t="s">
        <v>34</v>
      </c>
      <c r="C34" s="15">
        <v>21517</v>
      </c>
      <c r="D34" s="15" t="s">
        <v>55</v>
      </c>
      <c r="E34" s="16"/>
      <c r="F34" s="15" t="s">
        <v>101</v>
      </c>
      <c r="G34" s="15" t="s">
        <v>65</v>
      </c>
      <c r="H34" s="16"/>
      <c r="I34" s="15" t="s">
        <v>84</v>
      </c>
      <c r="J34" s="17" t="s">
        <v>69</v>
      </c>
      <c r="K34" s="17" t="s">
        <v>36</v>
      </c>
      <c r="L34" s="17"/>
      <c r="M34" s="20"/>
      <c r="N34" s="15"/>
      <c r="O34" s="15"/>
      <c r="P34" s="15">
        <v>0</v>
      </c>
      <c r="Q34" s="18" t="s">
        <v>32</v>
      </c>
      <c r="R34" s="12">
        <f>P34*180</f>
        <v>0</v>
      </c>
      <c r="S34" s="12">
        <f>R34*Q34</f>
        <v>0</v>
      </c>
      <c r="T34" s="15">
        <v>1</v>
      </c>
      <c r="U34" s="19" t="s">
        <v>33</v>
      </c>
      <c r="V34" s="14">
        <f>T34*180</f>
        <v>180</v>
      </c>
      <c r="W34" s="14">
        <f>V34*U34</f>
        <v>108</v>
      </c>
      <c r="X34" s="14">
        <f>S34+W34</f>
        <v>108</v>
      </c>
      <c r="Y34" s="14">
        <f>R34+V34</f>
        <v>180</v>
      </c>
      <c r="Z34" s="22"/>
      <c r="AA34" s="12">
        <f>IF(COUNT(Z34),X34*Z34,X34)</f>
        <v>108</v>
      </c>
      <c r="AB34" s="12">
        <f>AA34-O34</f>
        <v>108</v>
      </c>
      <c r="AC34" s="12">
        <f>ROUND(IF(AB34+M34&lt;0,0,AB34+M34),0)</f>
        <v>108</v>
      </c>
      <c r="AD34" s="13">
        <f>IF(M34=0,0,IF(AC34=0,AA34+M34-O34,0))</f>
        <v>0</v>
      </c>
      <c r="AE34" s="14">
        <f>IF(AND(O34&gt;0,AC34&lt;=0),AA34-O34,0)</f>
        <v>0</v>
      </c>
    </row>
    <row r="35" spans="1:31" ht="17.399999999999999">
      <c r="A35" s="15">
        <v>11112</v>
      </c>
      <c r="B35" s="15" t="s">
        <v>34</v>
      </c>
      <c r="C35" s="15">
        <v>17096</v>
      </c>
      <c r="D35" s="15" t="s">
        <v>55</v>
      </c>
      <c r="E35" s="16"/>
      <c r="F35" s="15" t="s">
        <v>114</v>
      </c>
      <c r="G35" s="15" t="s">
        <v>65</v>
      </c>
      <c r="H35" s="16"/>
      <c r="I35" s="15" t="s">
        <v>115</v>
      </c>
      <c r="J35" s="17" t="s">
        <v>69</v>
      </c>
      <c r="K35" s="17" t="s">
        <v>36</v>
      </c>
      <c r="L35" s="17"/>
      <c r="M35" s="20"/>
      <c r="N35" s="15"/>
      <c r="O35" s="15"/>
      <c r="P35" s="15">
        <v>0</v>
      </c>
      <c r="Q35" s="18" t="s">
        <v>32</v>
      </c>
      <c r="R35" s="12">
        <f>P35*180</f>
        <v>0</v>
      </c>
      <c r="S35" s="12">
        <f>R35*Q35</f>
        <v>0</v>
      </c>
      <c r="T35" s="15">
        <v>1</v>
      </c>
      <c r="U35" s="19" t="s">
        <v>33</v>
      </c>
      <c r="V35" s="14">
        <f>T35*180</f>
        <v>180</v>
      </c>
      <c r="W35" s="14">
        <f>V35*U35</f>
        <v>108</v>
      </c>
      <c r="X35" s="14">
        <f>S35+W35</f>
        <v>108</v>
      </c>
      <c r="Y35" s="14">
        <f>R35+V35</f>
        <v>180</v>
      </c>
      <c r="Z35" s="22"/>
      <c r="AA35" s="12">
        <f>IF(COUNT(Z35),X35*Z35,X35)</f>
        <v>108</v>
      </c>
      <c r="AB35" s="12">
        <f>AA35-O35</f>
        <v>108</v>
      </c>
      <c r="AC35" s="12">
        <f>ROUND(IF(AB35+M35&lt;0,0,AB35+M35),0)</f>
        <v>108</v>
      </c>
      <c r="AD35" s="13">
        <f>IF(M35=0,0,IF(AC35=0,AA35+M35-O35,0))</f>
        <v>0</v>
      </c>
      <c r="AE35" s="14">
        <f>IF(AND(O35&gt;0,AC35&lt;=0),AA35-O35,0)</f>
        <v>0</v>
      </c>
    </row>
    <row r="36" spans="1:31">
      <c r="AC36" s="21">
        <f>SUM(AC2:AC35)</f>
        <v>408114</v>
      </c>
    </row>
  </sheetData>
  <autoFilter ref="A1:AE36">
    <sortState ref="A2:AE42">
      <sortCondition ref="J1:J42"/>
    </sortState>
  </autoFilter>
  <phoneticPr fontId="4" type="noConversion"/>
  <pageMargins left="0.75" right="0.75" top="1" bottom="1" header="0.5" footer="0.5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2"/>
  <sheetViews>
    <sheetView zoomScale="78" zoomScaleNormal="78" workbookViewId="0">
      <selection activeCell="D19" sqref="D19"/>
    </sheetView>
  </sheetViews>
  <sheetFormatPr defaultRowHeight="17.399999999999999"/>
  <cols>
    <col min="2" max="2" width="6.09765625" customWidth="1"/>
    <col min="5" max="5" width="1.3984375" customWidth="1"/>
    <col min="6" max="6" width="10.296875" customWidth="1"/>
    <col min="7" max="7" width="13" customWidth="1"/>
    <col min="12" max="13" width="0" hidden="1" customWidth="1"/>
    <col min="14" max="15" width="8.796875" hidden="1" customWidth="1"/>
    <col min="29" max="29" width="19" customWidth="1"/>
  </cols>
  <sheetData>
    <row r="1" spans="1:31" s="7" customFormat="1" ht="13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6" t="s">
        <v>15</v>
      </c>
      <c r="K1" s="1" t="s">
        <v>16</v>
      </c>
      <c r="L1" s="1" t="s">
        <v>17</v>
      </c>
      <c r="M1" s="2" t="s">
        <v>18</v>
      </c>
      <c r="N1" s="3" t="s">
        <v>19</v>
      </c>
      <c r="O1" s="3" t="s">
        <v>20</v>
      </c>
      <c r="P1" s="8" t="s">
        <v>9</v>
      </c>
      <c r="Q1" s="8" t="s">
        <v>10</v>
      </c>
      <c r="R1" s="2" t="s">
        <v>21</v>
      </c>
      <c r="S1" s="3" t="s">
        <v>22</v>
      </c>
      <c r="T1" s="8" t="s">
        <v>11</v>
      </c>
      <c r="U1" s="8" t="s">
        <v>12</v>
      </c>
      <c r="V1" s="2" t="s">
        <v>23</v>
      </c>
      <c r="W1" s="3" t="s">
        <v>24</v>
      </c>
      <c r="X1" s="1" t="s">
        <v>25</v>
      </c>
      <c r="Y1" s="1" t="s">
        <v>26</v>
      </c>
      <c r="Z1" s="4" t="s">
        <v>27</v>
      </c>
      <c r="AA1" s="1" t="s">
        <v>13</v>
      </c>
      <c r="AB1" s="1" t="s">
        <v>14</v>
      </c>
      <c r="AC1" s="9" t="s">
        <v>28</v>
      </c>
      <c r="AD1" s="5" t="s">
        <v>29</v>
      </c>
      <c r="AE1" s="10" t="s">
        <v>30</v>
      </c>
    </row>
    <row r="2" spans="1:31" s="7" customFormat="1">
      <c r="A2" s="15">
        <v>7053</v>
      </c>
      <c r="B2" s="15" t="s">
        <v>118</v>
      </c>
      <c r="C2" s="15">
        <v>14529</v>
      </c>
      <c r="D2" s="15" t="s">
        <v>35</v>
      </c>
      <c r="E2" s="16"/>
      <c r="F2" s="15" t="s">
        <v>42</v>
      </c>
      <c r="G2" s="15" t="s">
        <v>40</v>
      </c>
      <c r="H2" s="16"/>
      <c r="I2" s="15" t="s">
        <v>43</v>
      </c>
      <c r="J2" s="17" t="s">
        <v>120</v>
      </c>
      <c r="K2" s="17" t="s">
        <v>36</v>
      </c>
      <c r="L2" s="17"/>
      <c r="M2" s="20"/>
      <c r="N2" s="15"/>
      <c r="O2" s="15"/>
      <c r="P2" s="15">
        <v>0</v>
      </c>
      <c r="Q2" s="18" t="s">
        <v>37</v>
      </c>
      <c r="R2" s="12">
        <f>P2*180</f>
        <v>0</v>
      </c>
      <c r="S2" s="12">
        <f>R2*Q2</f>
        <v>0</v>
      </c>
      <c r="T2" s="15">
        <v>13</v>
      </c>
      <c r="U2" s="19" t="s">
        <v>38</v>
      </c>
      <c r="V2" s="14">
        <f>T2*180</f>
        <v>2340</v>
      </c>
      <c r="W2" s="14">
        <f>V2*U2</f>
        <v>982.8</v>
      </c>
      <c r="X2" s="14">
        <f>S2+W2</f>
        <v>982.8</v>
      </c>
      <c r="Y2" s="14">
        <f>R2+V2</f>
        <v>2340</v>
      </c>
      <c r="Z2" s="22"/>
      <c r="AA2" s="12">
        <f>IF(COUNT(Z2),X2*Z2,X2)</f>
        <v>982.8</v>
      </c>
      <c r="AB2" s="12">
        <f>AA2-O2</f>
        <v>982.8</v>
      </c>
      <c r="AC2" s="12">
        <f>ROUND(IF(AB2+M2&lt;0,0,AB2+M2),0)</f>
        <v>983</v>
      </c>
      <c r="AD2" s="13">
        <f>IF(M2=0,0,IF(AC2=0,AA2+M2-O2,0))</f>
        <v>0</v>
      </c>
      <c r="AE2" s="14">
        <f>IF(AND(O2&gt;0,AC2&lt;=0),AA2-O2,0)</f>
        <v>0</v>
      </c>
    </row>
  </sheetData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2"/>
  <sheetViews>
    <sheetView zoomScale="69" zoomScaleNormal="69" workbookViewId="0">
      <selection activeCell="I1" sqref="I1"/>
    </sheetView>
  </sheetViews>
  <sheetFormatPr defaultRowHeight="17.399999999999999"/>
  <cols>
    <col min="5" max="5" width="4.296875" customWidth="1"/>
    <col min="6" max="6" width="18.3984375" customWidth="1"/>
    <col min="9" max="9" width="12" customWidth="1"/>
    <col min="12" max="14" width="0" hidden="1" customWidth="1"/>
    <col min="15" max="15" width="8.796875" hidden="1" customWidth="1"/>
  </cols>
  <sheetData>
    <row r="1" spans="1:31" s="7" customFormat="1" ht="13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6" t="s">
        <v>15</v>
      </c>
      <c r="K1" s="1" t="s">
        <v>16</v>
      </c>
      <c r="L1" s="1" t="s">
        <v>17</v>
      </c>
      <c r="M1" s="2" t="s">
        <v>18</v>
      </c>
      <c r="N1" s="3" t="s">
        <v>19</v>
      </c>
      <c r="O1" s="3" t="s">
        <v>20</v>
      </c>
      <c r="P1" s="8" t="s">
        <v>9</v>
      </c>
      <c r="Q1" s="8" t="s">
        <v>10</v>
      </c>
      <c r="R1" s="2" t="s">
        <v>21</v>
      </c>
      <c r="S1" s="3" t="s">
        <v>22</v>
      </c>
      <c r="T1" s="8" t="s">
        <v>11</v>
      </c>
      <c r="U1" s="8" t="s">
        <v>12</v>
      </c>
      <c r="V1" s="2" t="s">
        <v>23</v>
      </c>
      <c r="W1" s="3" t="s">
        <v>24</v>
      </c>
      <c r="X1" s="1" t="s">
        <v>25</v>
      </c>
      <c r="Y1" s="1" t="s">
        <v>26</v>
      </c>
      <c r="Z1" s="4" t="s">
        <v>27</v>
      </c>
      <c r="AA1" s="1" t="s">
        <v>13</v>
      </c>
      <c r="AB1" s="1" t="s">
        <v>14</v>
      </c>
      <c r="AC1" s="9" t="s">
        <v>28</v>
      </c>
      <c r="AD1" s="5" t="s">
        <v>29</v>
      </c>
      <c r="AE1" s="10" t="s">
        <v>30</v>
      </c>
    </row>
    <row r="2" spans="1:31" s="7" customFormat="1">
      <c r="A2" s="15">
        <v>2936</v>
      </c>
      <c r="B2" s="15" t="s">
        <v>117</v>
      </c>
      <c r="C2" s="15">
        <v>14522</v>
      </c>
      <c r="D2" s="15" t="s">
        <v>35</v>
      </c>
      <c r="E2" s="16"/>
      <c r="F2" s="15" t="s">
        <v>41</v>
      </c>
      <c r="G2" s="15" t="s">
        <v>40</v>
      </c>
      <c r="H2" s="16"/>
      <c r="I2" s="15" t="s">
        <v>49</v>
      </c>
      <c r="J2" s="17" t="s">
        <v>120</v>
      </c>
      <c r="K2" s="17" t="s">
        <v>36</v>
      </c>
      <c r="L2" s="17"/>
      <c r="M2" s="20"/>
      <c r="N2" s="15"/>
      <c r="O2" s="15"/>
      <c r="P2" s="15">
        <v>71</v>
      </c>
      <c r="Q2" s="18" t="s">
        <v>37</v>
      </c>
      <c r="R2" s="12">
        <f>P2*180</f>
        <v>12780</v>
      </c>
      <c r="S2" s="12">
        <f>R2*Q2</f>
        <v>6901.2000000000007</v>
      </c>
      <c r="T2" s="15">
        <v>168</v>
      </c>
      <c r="U2" s="19" t="s">
        <v>38</v>
      </c>
      <c r="V2" s="14">
        <f>T2*180</f>
        <v>30240</v>
      </c>
      <c r="W2" s="14">
        <f>V2*U2</f>
        <v>12700.8</v>
      </c>
      <c r="X2" s="14">
        <f>S2+W2</f>
        <v>19602</v>
      </c>
      <c r="Y2" s="14">
        <f>R2+V2</f>
        <v>43020</v>
      </c>
      <c r="Z2" s="22"/>
      <c r="AA2" s="12">
        <f>IF(COUNT(Z2),X2*Z2,X2)</f>
        <v>19602</v>
      </c>
      <c r="AB2" s="12">
        <f>AA2-O2</f>
        <v>19602</v>
      </c>
      <c r="AC2" s="12">
        <f>ROUND(IF(AB2+M2&lt;0,0,AB2+M2),0)</f>
        <v>19602</v>
      </c>
      <c r="AD2" s="13">
        <f>IF(M2=0,0,IF(AC2=0,AA2+M2-O2,0))</f>
        <v>0</v>
      </c>
      <c r="AE2" s="14">
        <f>IF(AND(O2&gt;0,AC2&lt;=0),AA2-O2,0)</f>
        <v>0</v>
      </c>
    </row>
  </sheetData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합계(2)</vt:lpstr>
      <vt:lpstr>더컴퍼니</vt:lpstr>
      <vt:lpstr>혜원</vt:lpstr>
      <vt:lpstr>진엔터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Daouincube_J.I.KO</dc:creator>
  <cp:lastModifiedBy>jihui</cp:lastModifiedBy>
  <dcterms:created xsi:type="dcterms:W3CDTF">2018-07-13T01:51:38Z</dcterms:created>
  <dcterms:modified xsi:type="dcterms:W3CDTF">2022-03-07T02:18:37Z</dcterms:modified>
</cp:coreProperties>
</file>