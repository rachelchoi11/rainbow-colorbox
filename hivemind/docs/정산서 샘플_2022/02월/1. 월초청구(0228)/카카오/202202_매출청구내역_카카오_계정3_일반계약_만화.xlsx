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27132" yWindow="0" windowWidth="23040" windowHeight="10812" tabRatio="885"/>
  </bookViews>
  <sheets>
    <sheet name="일반계약_만화(2)" sheetId="126" r:id="rId1"/>
    <sheet name="진엔터" sheetId="127" r:id="rId2"/>
    <sheet name="혜원" sheetId="134" r:id="rId3"/>
  </sheets>
  <definedNames>
    <definedName name="_xlnm._FilterDatabase" localSheetId="0" hidden="1">'일반계약_만화(2)'!$A$1:$AP$1</definedName>
    <definedName name="_xlnm.Extract" localSheetId="0">'일반계약_만화(2)'!#REF!</definedName>
    <definedName name="_xlnm.Extract" localSheetId="1">진엔터!$A$1:$AP$1</definedName>
    <definedName name="_xlnm.Extract" localSheetId="2">혜원!$A$1:$AP$1</definedName>
  </definedNames>
  <calcPr calcId="152511"/>
</workbook>
</file>

<file path=xl/calcChain.xml><?xml version="1.0" encoding="utf-8"?>
<calcChain xmlns="http://schemas.openxmlformats.org/spreadsheetml/2006/main">
  <c r="AP8" i="127" l="1"/>
  <c r="AP6" i="134"/>
</calcChain>
</file>

<file path=xl/sharedStrings.xml><?xml version="1.0" encoding="utf-8"?>
<sst xmlns="http://schemas.openxmlformats.org/spreadsheetml/2006/main" count="834" uniqueCount="77">
  <si>
    <t/>
  </si>
  <si>
    <t>사업자명</t>
  </si>
  <si>
    <t>사업자번호</t>
  </si>
  <si>
    <t>발행자명</t>
  </si>
  <si>
    <t>계약UID</t>
  </si>
  <si>
    <t>계약유형</t>
  </si>
  <si>
    <t>당월신규계약여부</t>
  </si>
  <si>
    <t>카테고리</t>
  </si>
  <si>
    <t>시리즈ID</t>
  </si>
  <si>
    <t>시리즈명</t>
  </si>
  <si>
    <t>작가명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</si>
  <si>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</si>
  <si>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</si>
  <si>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</si>
  <si>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</si>
  <si>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</si>
  <si>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</si>
  <si>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</si>
  <si>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</si>
  <si>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</si>
  <si>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</si>
  <si>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</si>
  <si>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일반계약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</si>
  <si>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</si>
  <si>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</si>
  <si>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</si>
  <si>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</si>
  <si>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</si>
  <si>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</si>
  <si>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</si>
  <si>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</si>
  <si>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</si>
  <si>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</si>
  <si>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</si>
  <si>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</si>
  <si>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</si>
  <si>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</si>
  <si>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</si>
  <si>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</si>
  <si>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</si>
  <si>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</si>
  <si>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</si>
  <si>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</si>
  <si>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</si>
  <si>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</si>
  <si>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</si>
  <si>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</si>
  <si>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</si>
  <si>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로맨틱 시그널</t>
  </si>
  <si>
    <t>계약연애, 오늘부터 1일</t>
  </si>
  <si>
    <t>원기공장</t>
  </si>
  <si>
    <t>폐하, 옥체 보존하세요!</t>
  </si>
  <si>
    <t>lvyeqianhe x youzhijiaozi</t>
  </si>
  <si>
    <t>주식회사 스토리위즈</t>
  </si>
  <si>
    <t>3828601768</t>
  </si>
  <si>
    <t>연애 2분의 1</t>
  </si>
  <si>
    <t>너랑 나랑 하면</t>
  </si>
  <si>
    <t>Bless+cangshukou</t>
  </si>
  <si>
    <t>storywiz</t>
  </si>
  <si>
    <t>백스테이지 키스신</t>
  </si>
  <si>
    <t>최도비,수정과</t>
  </si>
  <si>
    <t>내 남편의 스토커</t>
  </si>
  <si>
    <t>혜원</t>
  </si>
  <si>
    <t>공주전쟁</t>
  </si>
  <si>
    <t>Hujing×Luojie</t>
  </si>
  <si>
    <t>별빛 아래 우리</t>
  </si>
  <si>
    <t>건일</t>
  </si>
  <si>
    <t>특별+일반</t>
  </si>
  <si>
    <t>계약(과+면세)</t>
  </si>
  <si>
    <t>ISBN(유+무)</t>
  </si>
  <si>
    <t>CP정산율_안드로이드+이벤트캐시</t>
  </si>
  <si>
    <t>ZHUPI/YANGXUETU</t>
  </si>
  <si>
    <t>NISANSUI/ZIQUAN</t>
  </si>
  <si>
    <t>냄새를 보는 소녀 [완결]</t>
  </si>
  <si>
    <t>만취</t>
  </si>
  <si>
    <t>고스트램프 : 귀취등</t>
  </si>
  <si>
    <t>경기공장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</si>
</sst>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50"/>
  <sheetViews>
    <sheetView tabSelected="1" zoomScale="55" zoomScaleNormal="55" workbookViewId="0">
      <selection activeCell="G54" sqref="G54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35.69921875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</row>
    <row r="2" spans="1:42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52513817</v>
      </c>
      <c r="K2" s="3" t="s">
        <v>48</v>
      </c>
      <c r="L2" s="3"/>
      <c r="M2" s="3"/>
      <c r="N2" s="3" t="s">
        <v>57</v>
      </c>
      <c r="O2" s="3" t="s">
        <v>19</v>
      </c>
      <c r="P2" s="3">
        <v>0.7</v>
      </c>
      <c r="Q2" s="3">
        <v>0.6</v>
      </c>
      <c r="R2" s="4" t="s">
        <v>47</v>
      </c>
      <c r="S2" s="4">
        <v>100</v>
      </c>
      <c r="T2" s="4">
        <v>900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900</v>
      </c>
      <c r="AD2" s="4">
        <v>900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900</v>
      </c>
      <c r="AN2" s="4">
        <v>630</v>
      </c>
      <c r="AO2" s="4">
        <v>0</v>
      </c>
      <c r="AP2" s="4">
        <v>630</v>
      </c>
    </row>
    <row r="3" spans="1:42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56451540</v>
      </c>
      <c r="K3" s="3" t="s">
        <v>63</v>
      </c>
      <c r="L3" s="3"/>
      <c r="M3" s="3"/>
      <c r="N3" s="3" t="s">
        <v>64</v>
      </c>
      <c r="O3" s="3" t="s">
        <v>19</v>
      </c>
      <c r="P3" s="3">
        <v>0.7</v>
      </c>
      <c r="Q3" s="3">
        <v>0.6</v>
      </c>
      <c r="R3" s="4" t="s">
        <v>21</v>
      </c>
      <c r="S3" s="4">
        <v>400</v>
      </c>
      <c r="T3" s="4">
        <v>12400</v>
      </c>
      <c r="U3" s="4">
        <v>11500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900</v>
      </c>
      <c r="AD3" s="4">
        <v>12400</v>
      </c>
      <c r="AE3" s="4">
        <v>11500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900</v>
      </c>
      <c r="AN3" s="4">
        <v>8680</v>
      </c>
      <c r="AO3" s="4">
        <v>0</v>
      </c>
      <c r="AP3" s="4">
        <v>8680</v>
      </c>
    </row>
    <row r="4" spans="1:42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56451540</v>
      </c>
      <c r="K4" s="3" t="s">
        <v>63</v>
      </c>
      <c r="L4" s="3"/>
      <c r="M4" s="3"/>
      <c r="N4" s="3" t="s">
        <v>64</v>
      </c>
      <c r="O4" s="3" t="s">
        <v>19</v>
      </c>
      <c r="P4" s="3">
        <v>0.7</v>
      </c>
      <c r="Q4" s="3">
        <v>0.6</v>
      </c>
      <c r="R4" s="4" t="s">
        <v>20</v>
      </c>
      <c r="S4" s="4">
        <v>3600</v>
      </c>
      <c r="T4" s="4">
        <v>14400</v>
      </c>
      <c r="U4" s="4">
        <v>14400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14400</v>
      </c>
      <c r="AE4" s="4">
        <v>14400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10080</v>
      </c>
      <c r="AO4" s="4">
        <v>0</v>
      </c>
      <c r="AP4" s="4">
        <v>10080</v>
      </c>
    </row>
    <row r="5" spans="1:42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56451540</v>
      </c>
      <c r="K5" s="3" t="s">
        <v>63</v>
      </c>
      <c r="L5" s="3"/>
      <c r="M5" s="3"/>
      <c r="N5" s="3" t="s">
        <v>64</v>
      </c>
      <c r="O5" s="3" t="s">
        <v>19</v>
      </c>
      <c r="P5" s="3">
        <v>0.7</v>
      </c>
      <c r="Q5" s="3">
        <v>0.6</v>
      </c>
      <c r="R5" s="4" t="s">
        <v>20</v>
      </c>
      <c r="S5" s="4">
        <v>7200</v>
      </c>
      <c r="T5" s="4">
        <v>-4000</v>
      </c>
      <c r="U5" s="4">
        <v>-4000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-4000</v>
      </c>
      <c r="AE5" s="4">
        <v>-4000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-2800</v>
      </c>
      <c r="AO5" s="4">
        <v>0</v>
      </c>
      <c r="AP5" s="4">
        <v>-2800</v>
      </c>
    </row>
    <row r="6" spans="1:42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56451540</v>
      </c>
      <c r="K6" s="3" t="s">
        <v>63</v>
      </c>
      <c r="L6" s="3"/>
      <c r="M6" s="3"/>
      <c r="N6" s="3" t="s">
        <v>64</v>
      </c>
      <c r="O6" s="3" t="s">
        <v>19</v>
      </c>
      <c r="P6" s="3">
        <v>0.7</v>
      </c>
      <c r="Q6" s="3">
        <v>0.6</v>
      </c>
      <c r="R6" s="4" t="s">
        <v>47</v>
      </c>
      <c r="S6" s="4">
        <v>200</v>
      </c>
      <c r="T6" s="4">
        <v>270800</v>
      </c>
      <c r="U6" s="4">
        <v>150450</v>
      </c>
      <c r="V6" s="4">
        <v>0</v>
      </c>
      <c r="W6" s="4">
        <v>0</v>
      </c>
      <c r="X6" s="4">
        <v>0</v>
      </c>
      <c r="Y6" s="4">
        <v>8300</v>
      </c>
      <c r="Z6" s="4">
        <v>5300</v>
      </c>
      <c r="AA6" s="4">
        <v>0</v>
      </c>
      <c r="AB6" s="4">
        <v>0</v>
      </c>
      <c r="AC6" s="4">
        <v>106750</v>
      </c>
      <c r="AD6" s="4">
        <v>272990</v>
      </c>
      <c r="AE6" s="4">
        <v>150450</v>
      </c>
      <c r="AF6" s="4">
        <v>0</v>
      </c>
      <c r="AG6" s="4">
        <v>0</v>
      </c>
      <c r="AH6" s="4">
        <v>0</v>
      </c>
      <c r="AI6" s="4">
        <v>9960</v>
      </c>
      <c r="AJ6" s="4">
        <v>5830</v>
      </c>
      <c r="AK6" s="4">
        <v>0</v>
      </c>
      <c r="AL6" s="4">
        <v>0</v>
      </c>
      <c r="AM6" s="4">
        <v>106750</v>
      </c>
      <c r="AN6" s="4">
        <v>189514</v>
      </c>
      <c r="AO6" s="4">
        <v>0</v>
      </c>
      <c r="AP6" s="4">
        <v>189514</v>
      </c>
    </row>
    <row r="7" spans="1:42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56451540</v>
      </c>
      <c r="K7" s="3" t="s">
        <v>63</v>
      </c>
      <c r="L7" s="3"/>
      <c r="M7" s="3"/>
      <c r="N7" s="3" t="s">
        <v>64</v>
      </c>
      <c r="O7" s="3" t="s">
        <v>19</v>
      </c>
      <c r="P7" s="3">
        <v>0.7</v>
      </c>
      <c r="Q7" s="3">
        <v>0.6</v>
      </c>
      <c r="R7" s="4" t="s">
        <v>24</v>
      </c>
      <c r="S7" s="4">
        <v>1800</v>
      </c>
      <c r="T7" s="4">
        <v>115600</v>
      </c>
      <c r="U7" s="4">
        <v>81300</v>
      </c>
      <c r="V7" s="4">
        <v>0</v>
      </c>
      <c r="W7" s="4">
        <v>0</v>
      </c>
      <c r="X7" s="4">
        <v>0</v>
      </c>
      <c r="Y7" s="4">
        <v>3600</v>
      </c>
      <c r="Z7" s="4">
        <v>19000</v>
      </c>
      <c r="AA7" s="4">
        <v>0</v>
      </c>
      <c r="AB7" s="4">
        <v>0</v>
      </c>
      <c r="AC7" s="4">
        <v>11700</v>
      </c>
      <c r="AD7" s="4">
        <v>118220</v>
      </c>
      <c r="AE7" s="4">
        <v>81300</v>
      </c>
      <c r="AF7" s="4">
        <v>0</v>
      </c>
      <c r="AG7" s="4">
        <v>0</v>
      </c>
      <c r="AH7" s="4">
        <v>0</v>
      </c>
      <c r="AI7" s="4">
        <v>4320</v>
      </c>
      <c r="AJ7" s="4">
        <v>20900</v>
      </c>
      <c r="AK7" s="4">
        <v>0</v>
      </c>
      <c r="AL7" s="4">
        <v>0</v>
      </c>
      <c r="AM7" s="4">
        <v>11700</v>
      </c>
      <c r="AN7" s="4">
        <v>80232</v>
      </c>
      <c r="AO7" s="4">
        <v>0</v>
      </c>
      <c r="AP7" s="4">
        <v>80232</v>
      </c>
    </row>
    <row r="8" spans="1:42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56451540</v>
      </c>
      <c r="K8" s="3" t="s">
        <v>63</v>
      </c>
      <c r="L8" s="3"/>
      <c r="M8" s="3"/>
      <c r="N8" s="3" t="s">
        <v>64</v>
      </c>
      <c r="O8" s="3" t="s">
        <v>19</v>
      </c>
      <c r="P8" s="3">
        <v>0.7</v>
      </c>
      <c r="Q8" s="3">
        <v>0.6</v>
      </c>
      <c r="R8" s="4" t="s">
        <v>24</v>
      </c>
      <c r="S8" s="4">
        <v>3600</v>
      </c>
      <c r="T8" s="4">
        <v>57600</v>
      </c>
      <c r="U8" s="4">
        <v>52200</v>
      </c>
      <c r="V8" s="4">
        <v>0</v>
      </c>
      <c r="W8" s="4">
        <v>0</v>
      </c>
      <c r="X8" s="4">
        <v>0</v>
      </c>
      <c r="Y8" s="4">
        <v>0</v>
      </c>
      <c r="Z8" s="4">
        <v>3600</v>
      </c>
      <c r="AA8" s="4">
        <v>0</v>
      </c>
      <c r="AB8" s="4">
        <v>0</v>
      </c>
      <c r="AC8" s="4">
        <v>1800</v>
      </c>
      <c r="AD8" s="4">
        <v>57960</v>
      </c>
      <c r="AE8" s="4">
        <v>52200</v>
      </c>
      <c r="AF8" s="4">
        <v>0</v>
      </c>
      <c r="AG8" s="4">
        <v>0</v>
      </c>
      <c r="AH8" s="4">
        <v>0</v>
      </c>
      <c r="AI8" s="4">
        <v>0</v>
      </c>
      <c r="AJ8" s="4">
        <v>3960</v>
      </c>
      <c r="AK8" s="4">
        <v>0</v>
      </c>
      <c r="AL8" s="4">
        <v>0</v>
      </c>
      <c r="AM8" s="4">
        <v>1800</v>
      </c>
      <c r="AN8" s="4">
        <v>40176</v>
      </c>
      <c r="AO8" s="4">
        <v>0</v>
      </c>
      <c r="AP8" s="4">
        <v>40176</v>
      </c>
    </row>
    <row r="9" spans="1:42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56451540</v>
      </c>
      <c r="K9" s="3" t="s">
        <v>63</v>
      </c>
      <c r="L9" s="3"/>
      <c r="M9" s="3"/>
      <c r="N9" s="3" t="s">
        <v>64</v>
      </c>
      <c r="O9" s="3" t="s">
        <v>19</v>
      </c>
      <c r="P9" s="3">
        <v>0.7</v>
      </c>
      <c r="Q9" s="3">
        <v>0.6</v>
      </c>
      <c r="R9" s="4" t="s">
        <v>24</v>
      </c>
      <c r="S9" s="4">
        <v>7200</v>
      </c>
      <c r="T9" s="4">
        <v>55600</v>
      </c>
      <c r="U9" s="4">
        <v>40500</v>
      </c>
      <c r="V9" s="4">
        <v>0</v>
      </c>
      <c r="W9" s="4">
        <v>0</v>
      </c>
      <c r="X9" s="4">
        <v>0</v>
      </c>
      <c r="Y9" s="4">
        <v>0</v>
      </c>
      <c r="Z9" s="4">
        <v>14400</v>
      </c>
      <c r="AA9" s="4">
        <v>0</v>
      </c>
      <c r="AB9" s="4">
        <v>0</v>
      </c>
      <c r="AC9" s="4">
        <v>700</v>
      </c>
      <c r="AD9" s="4">
        <v>57040</v>
      </c>
      <c r="AE9" s="4">
        <v>40500</v>
      </c>
      <c r="AF9" s="4">
        <v>0</v>
      </c>
      <c r="AG9" s="4">
        <v>0</v>
      </c>
      <c r="AH9" s="4">
        <v>0</v>
      </c>
      <c r="AI9" s="4">
        <v>0</v>
      </c>
      <c r="AJ9" s="4">
        <v>15840</v>
      </c>
      <c r="AK9" s="4">
        <v>0</v>
      </c>
      <c r="AL9" s="4">
        <v>0</v>
      </c>
      <c r="AM9" s="4">
        <v>700</v>
      </c>
      <c r="AN9" s="4">
        <v>38344</v>
      </c>
      <c r="AO9" s="4">
        <v>0</v>
      </c>
      <c r="AP9" s="4">
        <v>38344</v>
      </c>
    </row>
    <row r="10" spans="1:42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51188786</v>
      </c>
      <c r="K10" s="3" t="s">
        <v>51</v>
      </c>
      <c r="L10" s="3"/>
      <c r="M10" s="3"/>
      <c r="N10" s="3" t="s">
        <v>52</v>
      </c>
      <c r="O10" s="3" t="s">
        <v>19</v>
      </c>
      <c r="P10" s="3">
        <v>0.7</v>
      </c>
      <c r="Q10" s="3">
        <v>0.6</v>
      </c>
      <c r="R10" s="4" t="s">
        <v>21</v>
      </c>
      <c r="S10" s="4">
        <v>200</v>
      </c>
      <c r="T10" s="4">
        <v>5800</v>
      </c>
      <c r="U10" s="4">
        <v>3400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2400</v>
      </c>
      <c r="AD10" s="4">
        <v>5800</v>
      </c>
      <c r="AE10" s="4">
        <v>3400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2400</v>
      </c>
      <c r="AN10" s="4">
        <v>4060</v>
      </c>
      <c r="AO10" s="4">
        <v>0</v>
      </c>
      <c r="AP10" s="4">
        <v>4060</v>
      </c>
    </row>
    <row r="11" spans="1:42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51188786</v>
      </c>
      <c r="K11" s="3" t="s">
        <v>51</v>
      </c>
      <c r="L11" s="3"/>
      <c r="M11" s="3"/>
      <c r="N11" s="3" t="s">
        <v>52</v>
      </c>
      <c r="O11" s="3" t="s">
        <v>19</v>
      </c>
      <c r="P11" s="3">
        <v>0.7</v>
      </c>
      <c r="Q11" s="3">
        <v>0.6</v>
      </c>
      <c r="R11" s="4" t="s">
        <v>20</v>
      </c>
      <c r="S11" s="4">
        <v>1800</v>
      </c>
      <c r="T11" s="4">
        <v>7200</v>
      </c>
      <c r="U11" s="4">
        <v>7200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7200</v>
      </c>
      <c r="AE11" s="4">
        <v>7200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5040</v>
      </c>
      <c r="AO11" s="4">
        <v>0</v>
      </c>
      <c r="AP11" s="4">
        <v>5040</v>
      </c>
    </row>
    <row r="12" spans="1:42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51188786</v>
      </c>
      <c r="K12" s="3" t="s">
        <v>51</v>
      </c>
      <c r="L12" s="3"/>
      <c r="M12" s="3"/>
      <c r="N12" s="3" t="s">
        <v>52</v>
      </c>
      <c r="O12" s="3" t="s">
        <v>19</v>
      </c>
      <c r="P12" s="3">
        <v>0.7</v>
      </c>
      <c r="Q12" s="3">
        <v>0.6</v>
      </c>
      <c r="R12" s="4" t="s">
        <v>20</v>
      </c>
      <c r="S12" s="4">
        <v>7200</v>
      </c>
      <c r="T12" s="4">
        <v>14400</v>
      </c>
      <c r="U12" s="4">
        <v>14400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14400</v>
      </c>
      <c r="AE12" s="4">
        <v>14400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10080</v>
      </c>
      <c r="AO12" s="4">
        <v>0</v>
      </c>
      <c r="AP12" s="4">
        <v>10080</v>
      </c>
    </row>
    <row r="13" spans="1:42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51188786</v>
      </c>
      <c r="K13" s="3" t="s">
        <v>51</v>
      </c>
      <c r="L13" s="3"/>
      <c r="M13" s="3"/>
      <c r="N13" s="3" t="s">
        <v>52</v>
      </c>
      <c r="O13" s="3" t="s">
        <v>19</v>
      </c>
      <c r="P13" s="3">
        <v>0.7</v>
      </c>
      <c r="Q13" s="3">
        <v>0.6</v>
      </c>
      <c r="R13" s="4" t="s">
        <v>47</v>
      </c>
      <c r="S13" s="4">
        <v>100</v>
      </c>
      <c r="T13" s="4">
        <v>31400</v>
      </c>
      <c r="U13" s="4">
        <v>2750</v>
      </c>
      <c r="V13" s="4">
        <v>0</v>
      </c>
      <c r="W13" s="4">
        <v>0</v>
      </c>
      <c r="X13" s="4">
        <v>0</v>
      </c>
      <c r="Y13" s="4">
        <v>0</v>
      </c>
      <c r="Z13" s="4">
        <v>3400</v>
      </c>
      <c r="AA13" s="4">
        <v>0</v>
      </c>
      <c r="AB13" s="4">
        <v>0</v>
      </c>
      <c r="AC13" s="4">
        <v>25250</v>
      </c>
      <c r="AD13" s="4">
        <v>31740</v>
      </c>
      <c r="AE13" s="4">
        <v>2750</v>
      </c>
      <c r="AF13" s="4">
        <v>0</v>
      </c>
      <c r="AG13" s="4">
        <v>0</v>
      </c>
      <c r="AH13" s="4">
        <v>0</v>
      </c>
      <c r="AI13" s="4">
        <v>0</v>
      </c>
      <c r="AJ13" s="4">
        <v>3740</v>
      </c>
      <c r="AK13" s="4">
        <v>0</v>
      </c>
      <c r="AL13" s="4">
        <v>0</v>
      </c>
      <c r="AM13" s="4">
        <v>25250</v>
      </c>
      <c r="AN13" s="4">
        <v>21844</v>
      </c>
      <c r="AO13" s="4">
        <v>0</v>
      </c>
      <c r="AP13" s="4">
        <v>21844</v>
      </c>
    </row>
    <row r="14" spans="1:42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51188786</v>
      </c>
      <c r="K14" s="3" t="s">
        <v>51</v>
      </c>
      <c r="L14" s="3"/>
      <c r="M14" s="3"/>
      <c r="N14" s="3" t="s">
        <v>52</v>
      </c>
      <c r="O14" s="3" t="s">
        <v>19</v>
      </c>
      <c r="P14" s="3">
        <v>0.7</v>
      </c>
      <c r="Q14" s="3">
        <v>0.6</v>
      </c>
      <c r="R14" s="4" t="s">
        <v>24</v>
      </c>
      <c r="S14" s="4">
        <v>900</v>
      </c>
      <c r="T14" s="4">
        <v>6800</v>
      </c>
      <c r="U14" s="4">
        <v>600</v>
      </c>
      <c r="V14" s="4">
        <v>0</v>
      </c>
      <c r="W14" s="4">
        <v>0</v>
      </c>
      <c r="X14" s="4">
        <v>0</v>
      </c>
      <c r="Y14" s="4">
        <v>0</v>
      </c>
      <c r="Z14" s="4">
        <v>3600</v>
      </c>
      <c r="AA14" s="4">
        <v>0</v>
      </c>
      <c r="AB14" s="4">
        <v>0</v>
      </c>
      <c r="AC14" s="4">
        <v>2600</v>
      </c>
      <c r="AD14" s="4">
        <v>7160</v>
      </c>
      <c r="AE14" s="4">
        <v>600</v>
      </c>
      <c r="AF14" s="4">
        <v>0</v>
      </c>
      <c r="AG14" s="4">
        <v>0</v>
      </c>
      <c r="AH14" s="4">
        <v>0</v>
      </c>
      <c r="AI14" s="4">
        <v>0</v>
      </c>
      <c r="AJ14" s="4">
        <v>3960</v>
      </c>
      <c r="AK14" s="4">
        <v>0</v>
      </c>
      <c r="AL14" s="4">
        <v>0</v>
      </c>
      <c r="AM14" s="4">
        <v>2600</v>
      </c>
      <c r="AN14" s="4">
        <v>4616</v>
      </c>
      <c r="AO14" s="4">
        <v>0</v>
      </c>
      <c r="AP14" s="4">
        <v>4616</v>
      </c>
    </row>
    <row r="15" spans="1:42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51188786</v>
      </c>
      <c r="K15" s="3" t="s">
        <v>51</v>
      </c>
      <c r="L15" s="3"/>
      <c r="M15" s="3"/>
      <c r="N15" s="3" t="s">
        <v>52</v>
      </c>
      <c r="O15" s="3" t="s">
        <v>19</v>
      </c>
      <c r="P15" s="3">
        <v>0.7</v>
      </c>
      <c r="Q15" s="3">
        <v>0.6</v>
      </c>
      <c r="R15" s="4" t="s">
        <v>24</v>
      </c>
      <c r="S15" s="4">
        <v>1800</v>
      </c>
      <c r="T15" s="4">
        <v>0</v>
      </c>
      <c r="U15" s="4">
        <v>-1800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1800</v>
      </c>
      <c r="AD15" s="4">
        <v>0</v>
      </c>
      <c r="AE15" s="4">
        <v>-1800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1800</v>
      </c>
      <c r="AN15" s="4">
        <v>0</v>
      </c>
      <c r="AO15" s="4">
        <v>0</v>
      </c>
      <c r="AP15" s="4">
        <v>0</v>
      </c>
    </row>
    <row r="16" spans="1:42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51188786</v>
      </c>
      <c r="K16" s="3" t="s">
        <v>51</v>
      </c>
      <c r="L16" s="3"/>
      <c r="M16" s="3"/>
      <c r="N16" s="3" t="s">
        <v>52</v>
      </c>
      <c r="O16" s="3" t="s">
        <v>19</v>
      </c>
      <c r="P16" s="3">
        <v>0.7</v>
      </c>
      <c r="Q16" s="3">
        <v>0.6</v>
      </c>
      <c r="R16" s="4" t="s">
        <v>24</v>
      </c>
      <c r="S16" s="4">
        <v>3600</v>
      </c>
      <c r="T16" s="4">
        <v>11300</v>
      </c>
      <c r="U16" s="4">
        <v>11000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300</v>
      </c>
      <c r="AD16" s="4">
        <v>11300</v>
      </c>
      <c r="AE16" s="4">
        <v>11000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300</v>
      </c>
      <c r="AN16" s="4">
        <v>7910</v>
      </c>
      <c r="AO16" s="4">
        <v>0</v>
      </c>
      <c r="AP16" s="4">
        <v>7910</v>
      </c>
    </row>
    <row r="17" spans="1:42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55269331</v>
      </c>
      <c r="K17" s="3" t="s">
        <v>56</v>
      </c>
      <c r="L17" s="3"/>
      <c r="M17" s="3"/>
      <c r="N17" s="3" t="s">
        <v>72</v>
      </c>
      <c r="O17" s="3" t="s">
        <v>19</v>
      </c>
      <c r="P17" s="3">
        <v>0.7</v>
      </c>
      <c r="Q17" s="3">
        <v>0.6</v>
      </c>
      <c r="R17" s="4" t="s">
        <v>21</v>
      </c>
      <c r="S17" s="4">
        <v>400</v>
      </c>
      <c r="T17" s="4">
        <v>13600</v>
      </c>
      <c r="U17" s="4">
        <v>3400</v>
      </c>
      <c r="V17" s="4">
        <v>0</v>
      </c>
      <c r="W17" s="4">
        <v>0</v>
      </c>
      <c r="X17" s="4">
        <v>0</v>
      </c>
      <c r="Y17" s="4">
        <v>300</v>
      </c>
      <c r="Z17" s="4">
        <v>0</v>
      </c>
      <c r="AA17" s="4">
        <v>0</v>
      </c>
      <c r="AB17" s="4">
        <v>0</v>
      </c>
      <c r="AC17" s="4">
        <v>9900</v>
      </c>
      <c r="AD17" s="4">
        <v>13660</v>
      </c>
      <c r="AE17" s="4">
        <v>3400</v>
      </c>
      <c r="AF17" s="4">
        <v>0</v>
      </c>
      <c r="AG17" s="4">
        <v>0</v>
      </c>
      <c r="AH17" s="4">
        <v>0</v>
      </c>
      <c r="AI17" s="4">
        <v>360</v>
      </c>
      <c r="AJ17" s="4">
        <v>0</v>
      </c>
      <c r="AK17" s="4">
        <v>0</v>
      </c>
      <c r="AL17" s="4">
        <v>0</v>
      </c>
      <c r="AM17" s="4">
        <v>9900</v>
      </c>
      <c r="AN17" s="4">
        <v>9526</v>
      </c>
      <c r="AO17" s="4">
        <v>0</v>
      </c>
      <c r="AP17" s="4">
        <v>9526</v>
      </c>
    </row>
    <row r="18" spans="1:42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55269331</v>
      </c>
      <c r="K18" s="3" t="s">
        <v>56</v>
      </c>
      <c r="L18" s="3"/>
      <c r="M18" s="3"/>
      <c r="N18" s="3" t="s">
        <v>72</v>
      </c>
      <c r="O18" s="3" t="s">
        <v>19</v>
      </c>
      <c r="P18" s="3">
        <v>0.7</v>
      </c>
      <c r="Q18" s="3">
        <v>0.6</v>
      </c>
      <c r="R18" s="4" t="s">
        <v>20</v>
      </c>
      <c r="S18" s="4">
        <v>3600</v>
      </c>
      <c r="T18" s="4">
        <v>-1600</v>
      </c>
      <c r="U18" s="4">
        <v>-1600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-1600</v>
      </c>
      <c r="AE18" s="4">
        <v>-1600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-1120</v>
      </c>
      <c r="AO18" s="4">
        <v>0</v>
      </c>
      <c r="AP18" s="4">
        <v>-1120</v>
      </c>
    </row>
    <row r="19" spans="1:42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55269331</v>
      </c>
      <c r="K19" s="3" t="s">
        <v>56</v>
      </c>
      <c r="L19" s="3"/>
      <c r="M19" s="3"/>
      <c r="N19" s="3" t="s">
        <v>72</v>
      </c>
      <c r="O19" s="3" t="s">
        <v>19</v>
      </c>
      <c r="P19" s="3">
        <v>0.7</v>
      </c>
      <c r="Q19" s="3">
        <v>0.6</v>
      </c>
      <c r="R19" s="4" t="s">
        <v>20</v>
      </c>
      <c r="S19" s="4">
        <v>7200</v>
      </c>
      <c r="T19" s="4">
        <v>7200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7200</v>
      </c>
      <c r="AD19" s="4">
        <v>7200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7200</v>
      </c>
      <c r="AN19" s="4">
        <v>5040</v>
      </c>
      <c r="AO19" s="4">
        <v>0</v>
      </c>
      <c r="AP19" s="4">
        <v>5040</v>
      </c>
    </row>
    <row r="20" spans="1:42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55269331</v>
      </c>
      <c r="K20" s="3" t="s">
        <v>56</v>
      </c>
      <c r="L20" s="3"/>
      <c r="M20" s="3"/>
      <c r="N20" s="3" t="s">
        <v>72</v>
      </c>
      <c r="O20" s="3" t="s">
        <v>19</v>
      </c>
      <c r="P20" s="3">
        <v>0.7</v>
      </c>
      <c r="Q20" s="3">
        <v>0.6</v>
      </c>
      <c r="R20" s="4" t="s">
        <v>47</v>
      </c>
      <c r="S20" s="4">
        <v>200</v>
      </c>
      <c r="T20" s="4">
        <v>207000</v>
      </c>
      <c r="U20" s="4">
        <v>56700</v>
      </c>
      <c r="V20" s="4">
        <v>0</v>
      </c>
      <c r="W20" s="4">
        <v>0</v>
      </c>
      <c r="X20" s="4">
        <v>0</v>
      </c>
      <c r="Y20" s="4">
        <v>9100</v>
      </c>
      <c r="Z20" s="4">
        <v>2200</v>
      </c>
      <c r="AA20" s="4">
        <v>0</v>
      </c>
      <c r="AB20" s="4">
        <v>0</v>
      </c>
      <c r="AC20" s="4">
        <v>139000</v>
      </c>
      <c r="AD20" s="4">
        <v>209040</v>
      </c>
      <c r="AE20" s="4">
        <v>56700</v>
      </c>
      <c r="AF20" s="4">
        <v>0</v>
      </c>
      <c r="AG20" s="4">
        <v>0</v>
      </c>
      <c r="AH20" s="4">
        <v>0</v>
      </c>
      <c r="AI20" s="4">
        <v>10920</v>
      </c>
      <c r="AJ20" s="4">
        <v>2420</v>
      </c>
      <c r="AK20" s="4">
        <v>0</v>
      </c>
      <c r="AL20" s="4">
        <v>0</v>
      </c>
      <c r="AM20" s="4">
        <v>139000</v>
      </c>
      <c r="AN20" s="4">
        <v>144994</v>
      </c>
      <c r="AO20" s="4">
        <v>0</v>
      </c>
      <c r="AP20" s="4">
        <v>144994</v>
      </c>
    </row>
    <row r="21" spans="1:42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55269331</v>
      </c>
      <c r="K21" s="3" t="s">
        <v>56</v>
      </c>
      <c r="L21" s="3"/>
      <c r="M21" s="3"/>
      <c r="N21" s="3" t="s">
        <v>72</v>
      </c>
      <c r="O21" s="3" t="s">
        <v>19</v>
      </c>
      <c r="P21" s="3">
        <v>0.7</v>
      </c>
      <c r="Q21" s="3">
        <v>0.6</v>
      </c>
      <c r="R21" s="4" t="s">
        <v>24</v>
      </c>
      <c r="S21" s="4">
        <v>1800</v>
      </c>
      <c r="T21" s="4">
        <v>100800</v>
      </c>
      <c r="U21" s="4">
        <v>59550</v>
      </c>
      <c r="V21" s="4">
        <v>0</v>
      </c>
      <c r="W21" s="4">
        <v>0</v>
      </c>
      <c r="X21" s="4">
        <v>0</v>
      </c>
      <c r="Y21" s="4">
        <v>7100</v>
      </c>
      <c r="Z21" s="4">
        <v>6900</v>
      </c>
      <c r="AA21" s="4">
        <v>0</v>
      </c>
      <c r="AB21" s="4">
        <v>0</v>
      </c>
      <c r="AC21" s="4">
        <v>27250</v>
      </c>
      <c r="AD21" s="4">
        <v>102910</v>
      </c>
      <c r="AE21" s="4">
        <v>59550</v>
      </c>
      <c r="AF21" s="4">
        <v>0</v>
      </c>
      <c r="AG21" s="4">
        <v>0</v>
      </c>
      <c r="AH21" s="4">
        <v>0</v>
      </c>
      <c r="AI21" s="4">
        <v>8520</v>
      </c>
      <c r="AJ21" s="4">
        <v>7590</v>
      </c>
      <c r="AK21" s="4">
        <v>0</v>
      </c>
      <c r="AL21" s="4">
        <v>0</v>
      </c>
      <c r="AM21" s="4">
        <v>27250</v>
      </c>
      <c r="AN21" s="4">
        <v>70426</v>
      </c>
      <c r="AO21" s="4">
        <v>0</v>
      </c>
      <c r="AP21" s="4">
        <v>70426</v>
      </c>
    </row>
    <row r="22" spans="1:42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55269331</v>
      </c>
      <c r="K22" s="3" t="s">
        <v>56</v>
      </c>
      <c r="L22" s="3"/>
      <c r="M22" s="3"/>
      <c r="N22" s="3" t="s">
        <v>72</v>
      </c>
      <c r="O22" s="3" t="s">
        <v>19</v>
      </c>
      <c r="P22" s="3">
        <v>0.7</v>
      </c>
      <c r="Q22" s="3">
        <v>0.6</v>
      </c>
      <c r="R22" s="4" t="s">
        <v>24</v>
      </c>
      <c r="S22" s="4">
        <v>3600</v>
      </c>
      <c r="T22" s="4">
        <v>34200</v>
      </c>
      <c r="U22" s="4">
        <v>33900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300</v>
      </c>
      <c r="AD22" s="4">
        <v>34200</v>
      </c>
      <c r="AE22" s="4">
        <v>33900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300</v>
      </c>
      <c r="AN22" s="4">
        <v>23940</v>
      </c>
      <c r="AO22" s="4">
        <v>0</v>
      </c>
      <c r="AP22" s="4">
        <v>23940</v>
      </c>
    </row>
    <row r="23" spans="1:42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55269331</v>
      </c>
      <c r="K23" s="3" t="s">
        <v>56</v>
      </c>
      <c r="L23" s="3"/>
      <c r="M23" s="3"/>
      <c r="N23" s="3" t="s">
        <v>72</v>
      </c>
      <c r="O23" s="3" t="s">
        <v>19</v>
      </c>
      <c r="P23" s="3">
        <v>0.7</v>
      </c>
      <c r="Q23" s="3">
        <v>0.6</v>
      </c>
      <c r="R23" s="4" t="s">
        <v>24</v>
      </c>
      <c r="S23" s="4">
        <v>7200</v>
      </c>
      <c r="T23" s="4">
        <v>33200</v>
      </c>
      <c r="U23" s="4">
        <v>33200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33200</v>
      </c>
      <c r="AE23" s="4">
        <v>33200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23240</v>
      </c>
      <c r="AO23" s="4">
        <v>0</v>
      </c>
      <c r="AP23" s="4">
        <v>23240</v>
      </c>
    </row>
    <row r="24" spans="1:42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54953089</v>
      </c>
      <c r="K24" s="3" t="s">
        <v>55</v>
      </c>
      <c r="L24" s="3"/>
      <c r="M24" s="3"/>
      <c r="N24" s="3" t="s">
        <v>71</v>
      </c>
      <c r="O24" s="3" t="s">
        <v>19</v>
      </c>
      <c r="P24" s="3">
        <v>0.7</v>
      </c>
      <c r="Q24" s="3">
        <v>0.6</v>
      </c>
      <c r="R24" s="4" t="s">
        <v>47</v>
      </c>
      <c r="S24" s="4">
        <v>100</v>
      </c>
      <c r="T24" s="4">
        <v>2300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2300</v>
      </c>
      <c r="AD24" s="4">
        <v>2300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2300</v>
      </c>
      <c r="AN24" s="4">
        <v>1610</v>
      </c>
      <c r="AO24" s="4">
        <v>0</v>
      </c>
      <c r="AP24" s="4">
        <v>1610</v>
      </c>
    </row>
    <row r="25" spans="1:42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57328143</v>
      </c>
      <c r="K25" s="3" t="s">
        <v>65</v>
      </c>
      <c r="L25" s="3"/>
      <c r="M25" s="3"/>
      <c r="N25" s="3" t="s">
        <v>66</v>
      </c>
      <c r="O25" s="3" t="s">
        <v>19</v>
      </c>
      <c r="P25" s="3">
        <v>0.7</v>
      </c>
      <c r="Q25" s="3">
        <v>0.6</v>
      </c>
      <c r="R25" s="4" t="s">
        <v>21</v>
      </c>
      <c r="S25" s="4">
        <v>400</v>
      </c>
      <c r="T25" s="4">
        <v>47600</v>
      </c>
      <c r="U25" s="4">
        <v>14900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32700</v>
      </c>
      <c r="AD25" s="4">
        <v>47600</v>
      </c>
      <c r="AE25" s="4">
        <v>14900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32700</v>
      </c>
      <c r="AN25" s="4">
        <v>33320</v>
      </c>
      <c r="AO25" s="4">
        <v>0</v>
      </c>
      <c r="AP25" s="4">
        <v>33320</v>
      </c>
    </row>
    <row r="26" spans="1:42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57328143</v>
      </c>
      <c r="K26" s="3" t="s">
        <v>65</v>
      </c>
      <c r="L26" s="3"/>
      <c r="M26" s="3"/>
      <c r="N26" s="3" t="s">
        <v>66</v>
      </c>
      <c r="O26" s="3" t="s">
        <v>19</v>
      </c>
      <c r="P26" s="3">
        <v>0.7</v>
      </c>
      <c r="Q26" s="3">
        <v>0.6</v>
      </c>
      <c r="R26" s="4" t="s">
        <v>20</v>
      </c>
      <c r="S26" s="4">
        <v>3600</v>
      </c>
      <c r="T26" s="4">
        <v>28800</v>
      </c>
      <c r="U26" s="4">
        <v>24900</v>
      </c>
      <c r="V26" s="4">
        <v>0</v>
      </c>
      <c r="W26" s="4">
        <v>0</v>
      </c>
      <c r="X26" s="4">
        <v>0</v>
      </c>
      <c r="Y26" s="4">
        <v>0</v>
      </c>
      <c r="Z26" s="4">
        <v>3600</v>
      </c>
      <c r="AA26" s="4">
        <v>0</v>
      </c>
      <c r="AB26" s="4">
        <v>0</v>
      </c>
      <c r="AC26" s="4">
        <v>300</v>
      </c>
      <c r="AD26" s="4">
        <v>29160</v>
      </c>
      <c r="AE26" s="4">
        <v>24900</v>
      </c>
      <c r="AF26" s="4">
        <v>0</v>
      </c>
      <c r="AG26" s="4">
        <v>0</v>
      </c>
      <c r="AH26" s="4">
        <v>0</v>
      </c>
      <c r="AI26" s="4">
        <v>0</v>
      </c>
      <c r="AJ26" s="4">
        <v>3960</v>
      </c>
      <c r="AK26" s="4">
        <v>0</v>
      </c>
      <c r="AL26" s="4">
        <v>0</v>
      </c>
      <c r="AM26" s="4">
        <v>300</v>
      </c>
      <c r="AN26" s="4">
        <v>20016</v>
      </c>
      <c r="AO26" s="4">
        <v>0</v>
      </c>
      <c r="AP26" s="4">
        <v>20016</v>
      </c>
    </row>
    <row r="27" spans="1:42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57328143</v>
      </c>
      <c r="K27" s="3" t="s">
        <v>65</v>
      </c>
      <c r="L27" s="3"/>
      <c r="M27" s="3"/>
      <c r="N27" s="3" t="s">
        <v>66</v>
      </c>
      <c r="O27" s="3" t="s">
        <v>19</v>
      </c>
      <c r="P27" s="3">
        <v>0.7</v>
      </c>
      <c r="Q27" s="3">
        <v>0.6</v>
      </c>
      <c r="R27" s="4" t="s">
        <v>20</v>
      </c>
      <c r="S27" s="4">
        <v>7200</v>
      </c>
      <c r="T27" s="4">
        <v>7200</v>
      </c>
      <c r="U27" s="4">
        <v>7200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7200</v>
      </c>
      <c r="AE27" s="4">
        <v>7200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5040</v>
      </c>
      <c r="AO27" s="4">
        <v>0</v>
      </c>
      <c r="AP27" s="4">
        <v>5040</v>
      </c>
    </row>
    <row r="28" spans="1:42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57328143</v>
      </c>
      <c r="K28" s="3" t="s">
        <v>65</v>
      </c>
      <c r="L28" s="3"/>
      <c r="M28" s="3"/>
      <c r="N28" s="3" t="s">
        <v>66</v>
      </c>
      <c r="O28" s="3" t="s">
        <v>19</v>
      </c>
      <c r="P28" s="3">
        <v>0.7</v>
      </c>
      <c r="Q28" s="3">
        <v>0.6</v>
      </c>
      <c r="R28" s="4" t="s">
        <v>47</v>
      </c>
      <c r="S28" s="4">
        <v>200</v>
      </c>
      <c r="T28" s="4">
        <v>349000</v>
      </c>
      <c r="U28" s="4">
        <v>72000</v>
      </c>
      <c r="V28" s="4">
        <v>0</v>
      </c>
      <c r="W28" s="4">
        <v>0</v>
      </c>
      <c r="X28" s="4">
        <v>0</v>
      </c>
      <c r="Y28" s="4">
        <v>4800</v>
      </c>
      <c r="Z28" s="4">
        <v>7500</v>
      </c>
      <c r="AA28" s="4">
        <v>0</v>
      </c>
      <c r="AB28" s="4">
        <v>0</v>
      </c>
      <c r="AC28" s="4">
        <v>264700</v>
      </c>
      <c r="AD28" s="4">
        <v>350710</v>
      </c>
      <c r="AE28" s="4">
        <v>72000</v>
      </c>
      <c r="AF28" s="4">
        <v>0</v>
      </c>
      <c r="AG28" s="4">
        <v>0</v>
      </c>
      <c r="AH28" s="4">
        <v>0</v>
      </c>
      <c r="AI28" s="4">
        <v>5760</v>
      </c>
      <c r="AJ28" s="4">
        <v>8250</v>
      </c>
      <c r="AK28" s="4">
        <v>0</v>
      </c>
      <c r="AL28" s="4">
        <v>0</v>
      </c>
      <c r="AM28" s="4">
        <v>264700</v>
      </c>
      <c r="AN28" s="4">
        <v>244096</v>
      </c>
      <c r="AO28" s="4">
        <v>0</v>
      </c>
      <c r="AP28" s="4">
        <v>244096</v>
      </c>
    </row>
    <row r="29" spans="1:42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57328143</v>
      </c>
      <c r="K29" s="3" t="s">
        <v>65</v>
      </c>
      <c r="L29" s="3"/>
      <c r="M29" s="3"/>
      <c r="N29" s="3" t="s">
        <v>66</v>
      </c>
      <c r="O29" s="3" t="s">
        <v>19</v>
      </c>
      <c r="P29" s="3">
        <v>0.7</v>
      </c>
      <c r="Q29" s="3">
        <v>0.6</v>
      </c>
      <c r="R29" s="4" t="s">
        <v>24</v>
      </c>
      <c r="S29" s="4">
        <v>1800</v>
      </c>
      <c r="T29" s="4">
        <v>159600</v>
      </c>
      <c r="U29" s="4">
        <v>92100</v>
      </c>
      <c r="V29" s="4">
        <v>0</v>
      </c>
      <c r="W29" s="4">
        <v>0</v>
      </c>
      <c r="X29" s="4">
        <v>0</v>
      </c>
      <c r="Y29" s="4">
        <v>4150</v>
      </c>
      <c r="Z29" s="4">
        <v>21050</v>
      </c>
      <c r="AA29" s="4">
        <v>0</v>
      </c>
      <c r="AB29" s="4">
        <v>0</v>
      </c>
      <c r="AC29" s="4">
        <v>42300</v>
      </c>
      <c r="AD29" s="4">
        <v>162535</v>
      </c>
      <c r="AE29" s="4">
        <v>92100</v>
      </c>
      <c r="AF29" s="4">
        <v>0</v>
      </c>
      <c r="AG29" s="4">
        <v>0</v>
      </c>
      <c r="AH29" s="4">
        <v>0</v>
      </c>
      <c r="AI29" s="4">
        <v>4980</v>
      </c>
      <c r="AJ29" s="4">
        <v>23155</v>
      </c>
      <c r="AK29" s="4">
        <v>0</v>
      </c>
      <c r="AL29" s="4">
        <v>0</v>
      </c>
      <c r="AM29" s="4">
        <v>42300</v>
      </c>
      <c r="AN29" s="4">
        <v>110961</v>
      </c>
      <c r="AO29" s="4">
        <v>0</v>
      </c>
      <c r="AP29" s="4">
        <v>110961</v>
      </c>
    </row>
    <row r="30" spans="1:42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57328143</v>
      </c>
      <c r="K30" s="3" t="s">
        <v>65</v>
      </c>
      <c r="L30" s="3"/>
      <c r="M30" s="3"/>
      <c r="N30" s="3" t="s">
        <v>66</v>
      </c>
      <c r="O30" s="3" t="s">
        <v>19</v>
      </c>
      <c r="P30" s="3">
        <v>0.7</v>
      </c>
      <c r="Q30" s="3">
        <v>0.6</v>
      </c>
      <c r="R30" s="4" t="s">
        <v>24</v>
      </c>
      <c r="S30" s="4">
        <v>3600</v>
      </c>
      <c r="T30" s="4">
        <v>93600</v>
      </c>
      <c r="U30" s="4">
        <v>59000</v>
      </c>
      <c r="V30" s="4">
        <v>0</v>
      </c>
      <c r="W30" s="4">
        <v>0</v>
      </c>
      <c r="X30" s="4">
        <v>0</v>
      </c>
      <c r="Y30" s="4">
        <v>150</v>
      </c>
      <c r="Z30" s="4">
        <v>21350</v>
      </c>
      <c r="AA30" s="4">
        <v>0</v>
      </c>
      <c r="AB30" s="4">
        <v>0</v>
      </c>
      <c r="AC30" s="4">
        <v>13100</v>
      </c>
      <c r="AD30" s="4">
        <v>95765</v>
      </c>
      <c r="AE30" s="4">
        <v>59000</v>
      </c>
      <c r="AF30" s="4">
        <v>0</v>
      </c>
      <c r="AG30" s="4">
        <v>0</v>
      </c>
      <c r="AH30" s="4">
        <v>0</v>
      </c>
      <c r="AI30" s="4">
        <v>180</v>
      </c>
      <c r="AJ30" s="4">
        <v>23485</v>
      </c>
      <c r="AK30" s="4">
        <v>0</v>
      </c>
      <c r="AL30" s="4">
        <v>0</v>
      </c>
      <c r="AM30" s="4">
        <v>13100</v>
      </c>
      <c r="AN30" s="4">
        <v>64669</v>
      </c>
      <c r="AO30" s="4">
        <v>0</v>
      </c>
      <c r="AP30" s="4">
        <v>64669</v>
      </c>
    </row>
    <row r="31" spans="1:42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57328143</v>
      </c>
      <c r="K31" s="3" t="s">
        <v>65</v>
      </c>
      <c r="L31" s="3"/>
      <c r="M31" s="3"/>
      <c r="N31" s="3" t="s">
        <v>66</v>
      </c>
      <c r="O31" s="3" t="s">
        <v>19</v>
      </c>
      <c r="P31" s="3">
        <v>0.7</v>
      </c>
      <c r="Q31" s="3">
        <v>0.6</v>
      </c>
      <c r="R31" s="4" t="s">
        <v>24</v>
      </c>
      <c r="S31" s="4">
        <v>7200</v>
      </c>
      <c r="T31" s="4">
        <v>72000</v>
      </c>
      <c r="U31" s="4">
        <v>61200</v>
      </c>
      <c r="V31" s="4">
        <v>0</v>
      </c>
      <c r="W31" s="4">
        <v>0</v>
      </c>
      <c r="X31" s="4">
        <v>0</v>
      </c>
      <c r="Y31" s="4">
        <v>0</v>
      </c>
      <c r="Z31" s="4">
        <v>7200</v>
      </c>
      <c r="AA31" s="4">
        <v>0</v>
      </c>
      <c r="AB31" s="4">
        <v>0</v>
      </c>
      <c r="AC31" s="4">
        <v>3600</v>
      </c>
      <c r="AD31" s="4">
        <v>72720</v>
      </c>
      <c r="AE31" s="4">
        <v>61200</v>
      </c>
      <c r="AF31" s="4">
        <v>0</v>
      </c>
      <c r="AG31" s="4">
        <v>0</v>
      </c>
      <c r="AH31" s="4">
        <v>0</v>
      </c>
      <c r="AI31" s="4">
        <v>0</v>
      </c>
      <c r="AJ31" s="4">
        <v>7920</v>
      </c>
      <c r="AK31" s="4">
        <v>0</v>
      </c>
      <c r="AL31" s="4">
        <v>0</v>
      </c>
      <c r="AM31" s="4">
        <v>3600</v>
      </c>
      <c r="AN31" s="4">
        <v>50112</v>
      </c>
      <c r="AO31" s="4">
        <v>0</v>
      </c>
      <c r="AP31" s="4">
        <v>50112</v>
      </c>
    </row>
    <row r="32" spans="1:42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53747796</v>
      </c>
      <c r="K32" s="3" t="s">
        <v>75</v>
      </c>
      <c r="L32" s="3"/>
      <c r="M32" s="3"/>
      <c r="N32" s="3" t="s">
        <v>76</v>
      </c>
      <c r="O32" s="3" t="s">
        <v>19</v>
      </c>
      <c r="P32" s="3">
        <v>0.7</v>
      </c>
      <c r="Q32" s="3">
        <v>0.6</v>
      </c>
      <c r="R32" s="4" t="s">
        <v>24</v>
      </c>
      <c r="S32" s="4">
        <v>1800</v>
      </c>
      <c r="T32" s="4">
        <v>-1300</v>
      </c>
      <c r="U32" s="4">
        <v>-1300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-1300</v>
      </c>
      <c r="AE32" s="4">
        <v>-1300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-910</v>
      </c>
      <c r="AO32" s="4">
        <v>0</v>
      </c>
      <c r="AP32" s="4">
        <v>-910</v>
      </c>
    </row>
    <row r="33" spans="1:42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50195327</v>
      </c>
      <c r="K33" s="3" t="s">
        <v>73</v>
      </c>
      <c r="L33" s="3"/>
      <c r="M33" s="3"/>
      <c r="N33" s="3" t="s">
        <v>74</v>
      </c>
      <c r="O33" s="3" t="s">
        <v>19</v>
      </c>
      <c r="P33" s="3">
        <v>0.7</v>
      </c>
      <c r="Q33" s="3">
        <v>0.6</v>
      </c>
      <c r="R33" s="4" t="s">
        <v>24</v>
      </c>
      <c r="S33" s="4">
        <v>7000</v>
      </c>
      <c r="T33" s="4">
        <v>-4000</v>
      </c>
      <c r="U33" s="4">
        <v>0</v>
      </c>
      <c r="V33" s="4">
        <v>0</v>
      </c>
      <c r="W33" s="4">
        <v>0</v>
      </c>
      <c r="X33" s="4">
        <v>-4000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-5224.7623999999996</v>
      </c>
      <c r="AE33" s="4">
        <v>0</v>
      </c>
      <c r="AF33" s="4">
        <v>0</v>
      </c>
      <c r="AG33" s="4">
        <v>0</v>
      </c>
      <c r="AH33" s="4">
        <v>-5224.7623999999996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-3135</v>
      </c>
      <c r="AO33" s="4">
        <v>0</v>
      </c>
      <c r="AP33" s="4">
        <v>-3135</v>
      </c>
    </row>
    <row r="34" spans="1:42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50540426</v>
      </c>
      <c r="K34" s="3" t="s">
        <v>49</v>
      </c>
      <c r="L34" s="3"/>
      <c r="M34" s="3"/>
      <c r="N34" s="3" t="s">
        <v>50</v>
      </c>
      <c r="O34" s="3" t="s">
        <v>19</v>
      </c>
      <c r="P34" s="3">
        <v>0.7</v>
      </c>
      <c r="Q34" s="3">
        <v>0.6</v>
      </c>
      <c r="R34" s="4" t="s">
        <v>21</v>
      </c>
      <c r="S34" s="4">
        <v>200</v>
      </c>
      <c r="T34" s="4">
        <v>4200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4200</v>
      </c>
      <c r="AD34" s="4">
        <v>4200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4200</v>
      </c>
      <c r="AN34" s="4">
        <v>2940</v>
      </c>
      <c r="AO34" s="4">
        <v>0</v>
      </c>
      <c r="AP34" s="4">
        <v>2940</v>
      </c>
    </row>
    <row r="35" spans="1:42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50540426</v>
      </c>
      <c r="K35" s="3" t="s">
        <v>49</v>
      </c>
      <c r="L35" s="3"/>
      <c r="M35" s="3"/>
      <c r="N35" s="3" t="s">
        <v>50</v>
      </c>
      <c r="O35" s="3" t="s">
        <v>19</v>
      </c>
      <c r="P35" s="3">
        <v>0.7</v>
      </c>
      <c r="Q35" s="3">
        <v>0.6</v>
      </c>
      <c r="R35" s="4" t="s">
        <v>20</v>
      </c>
      <c r="S35" s="4">
        <v>1800</v>
      </c>
      <c r="T35" s="4">
        <v>1800</v>
      </c>
      <c r="U35" s="4">
        <v>1800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1800</v>
      </c>
      <c r="AE35" s="4">
        <v>1800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1260</v>
      </c>
      <c r="AO35" s="4">
        <v>0</v>
      </c>
      <c r="AP35" s="4">
        <v>1260</v>
      </c>
    </row>
    <row r="36" spans="1:42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50540426</v>
      </c>
      <c r="K36" s="3" t="s">
        <v>49</v>
      </c>
      <c r="L36" s="3"/>
      <c r="M36" s="3"/>
      <c r="N36" s="3" t="s">
        <v>50</v>
      </c>
      <c r="O36" s="3" t="s">
        <v>19</v>
      </c>
      <c r="P36" s="3">
        <v>0.7</v>
      </c>
      <c r="Q36" s="3">
        <v>0.6</v>
      </c>
      <c r="R36" s="4" t="s">
        <v>20</v>
      </c>
      <c r="S36" s="4">
        <v>3600</v>
      </c>
      <c r="T36" s="4">
        <v>3600</v>
      </c>
      <c r="U36" s="4">
        <v>3600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3600</v>
      </c>
      <c r="AE36" s="4">
        <v>3600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2520</v>
      </c>
      <c r="AO36" s="4">
        <v>0</v>
      </c>
      <c r="AP36" s="4">
        <v>2520</v>
      </c>
    </row>
    <row r="37" spans="1:42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50540426</v>
      </c>
      <c r="K37" s="3" t="s">
        <v>49</v>
      </c>
      <c r="L37" s="3"/>
      <c r="M37" s="3"/>
      <c r="N37" s="3" t="s">
        <v>50</v>
      </c>
      <c r="O37" s="3" t="s">
        <v>19</v>
      </c>
      <c r="P37" s="3">
        <v>0.7</v>
      </c>
      <c r="Q37" s="3">
        <v>0.6</v>
      </c>
      <c r="R37" s="4" t="s">
        <v>20</v>
      </c>
      <c r="S37" s="4">
        <v>7200</v>
      </c>
      <c r="T37" s="4">
        <v>11600</v>
      </c>
      <c r="U37" s="4">
        <v>11600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11600</v>
      </c>
      <c r="AE37" s="4">
        <v>11600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8120</v>
      </c>
      <c r="AO37" s="4">
        <v>0</v>
      </c>
      <c r="AP37" s="4">
        <v>8120</v>
      </c>
    </row>
    <row r="38" spans="1:42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50540426</v>
      </c>
      <c r="K38" s="3" t="s">
        <v>49</v>
      </c>
      <c r="L38" s="3"/>
      <c r="M38" s="3"/>
      <c r="N38" s="3" t="s">
        <v>50</v>
      </c>
      <c r="O38" s="3" t="s">
        <v>19</v>
      </c>
      <c r="P38" s="3">
        <v>0.7</v>
      </c>
      <c r="Q38" s="3">
        <v>0.6</v>
      </c>
      <c r="R38" s="4" t="s">
        <v>47</v>
      </c>
      <c r="S38" s="4">
        <v>100</v>
      </c>
      <c r="T38" s="4">
        <v>43200</v>
      </c>
      <c r="U38" s="4">
        <v>10500</v>
      </c>
      <c r="V38" s="4">
        <v>0</v>
      </c>
      <c r="W38" s="4">
        <v>0</v>
      </c>
      <c r="X38" s="4">
        <v>0</v>
      </c>
      <c r="Y38" s="4">
        <v>300</v>
      </c>
      <c r="Z38" s="4">
        <v>0</v>
      </c>
      <c r="AA38" s="4">
        <v>0</v>
      </c>
      <c r="AB38" s="4">
        <v>0</v>
      </c>
      <c r="AC38" s="4">
        <v>32400</v>
      </c>
      <c r="AD38" s="4">
        <v>43260</v>
      </c>
      <c r="AE38" s="4">
        <v>10500</v>
      </c>
      <c r="AF38" s="4">
        <v>0</v>
      </c>
      <c r="AG38" s="4">
        <v>0</v>
      </c>
      <c r="AH38" s="4">
        <v>0</v>
      </c>
      <c r="AI38" s="4">
        <v>360</v>
      </c>
      <c r="AJ38" s="4">
        <v>0</v>
      </c>
      <c r="AK38" s="4">
        <v>0</v>
      </c>
      <c r="AL38" s="4">
        <v>0</v>
      </c>
      <c r="AM38" s="4">
        <v>32400</v>
      </c>
      <c r="AN38" s="4">
        <v>30246</v>
      </c>
      <c r="AO38" s="4">
        <v>0</v>
      </c>
      <c r="AP38" s="4">
        <v>30246</v>
      </c>
    </row>
    <row r="39" spans="1:42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50540426</v>
      </c>
      <c r="K39" s="3" t="s">
        <v>49</v>
      </c>
      <c r="L39" s="3"/>
      <c r="M39" s="3"/>
      <c r="N39" s="3" t="s">
        <v>50</v>
      </c>
      <c r="O39" s="3" t="s">
        <v>19</v>
      </c>
      <c r="P39" s="3">
        <v>0.7</v>
      </c>
      <c r="Q39" s="3">
        <v>0.6</v>
      </c>
      <c r="R39" s="4" t="s">
        <v>24</v>
      </c>
      <c r="S39" s="4">
        <v>900</v>
      </c>
      <c r="T39" s="4">
        <v>19600</v>
      </c>
      <c r="U39" s="4">
        <v>12000</v>
      </c>
      <c r="V39" s="4">
        <v>0</v>
      </c>
      <c r="W39" s="4">
        <v>0</v>
      </c>
      <c r="X39" s="4">
        <v>0</v>
      </c>
      <c r="Y39" s="4">
        <v>2700</v>
      </c>
      <c r="Z39" s="4">
        <v>0</v>
      </c>
      <c r="AA39" s="4">
        <v>0</v>
      </c>
      <c r="AB39" s="4">
        <v>0</v>
      </c>
      <c r="AC39" s="4">
        <v>4900</v>
      </c>
      <c r="AD39" s="4">
        <v>20140</v>
      </c>
      <c r="AE39" s="4">
        <v>12000</v>
      </c>
      <c r="AF39" s="4">
        <v>0</v>
      </c>
      <c r="AG39" s="4">
        <v>0</v>
      </c>
      <c r="AH39" s="4">
        <v>0</v>
      </c>
      <c r="AI39" s="4">
        <v>3240</v>
      </c>
      <c r="AJ39" s="4">
        <v>0</v>
      </c>
      <c r="AK39" s="4">
        <v>0</v>
      </c>
      <c r="AL39" s="4">
        <v>0</v>
      </c>
      <c r="AM39" s="4">
        <v>4900</v>
      </c>
      <c r="AN39" s="4">
        <v>13774</v>
      </c>
      <c r="AO39" s="4">
        <v>0</v>
      </c>
      <c r="AP39" s="4">
        <v>13774</v>
      </c>
    </row>
    <row r="40" spans="1:42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50540426</v>
      </c>
      <c r="K40" s="3" t="s">
        <v>49</v>
      </c>
      <c r="L40" s="3"/>
      <c r="M40" s="3"/>
      <c r="N40" s="3" t="s">
        <v>50</v>
      </c>
      <c r="O40" s="3" t="s">
        <v>19</v>
      </c>
      <c r="P40" s="3">
        <v>0.7</v>
      </c>
      <c r="Q40" s="3">
        <v>0.6</v>
      </c>
      <c r="R40" s="4" t="s">
        <v>24</v>
      </c>
      <c r="S40" s="4">
        <v>1800</v>
      </c>
      <c r="T40" s="4">
        <v>5400</v>
      </c>
      <c r="U40" s="4">
        <v>1800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3600</v>
      </c>
      <c r="AD40" s="4">
        <v>5400</v>
      </c>
      <c r="AE40" s="4">
        <v>1800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3600</v>
      </c>
      <c r="AN40" s="4">
        <v>3780</v>
      </c>
      <c r="AO40" s="4">
        <v>0</v>
      </c>
      <c r="AP40" s="4">
        <v>3780</v>
      </c>
    </row>
    <row r="41" spans="1:42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52303465</v>
      </c>
      <c r="K41" s="3" t="s">
        <v>59</v>
      </c>
      <c r="L41" s="3"/>
      <c r="M41" s="3"/>
      <c r="N41" s="3" t="s">
        <v>60</v>
      </c>
      <c r="O41" s="3" t="s">
        <v>19</v>
      </c>
      <c r="P41" s="3">
        <v>0.7</v>
      </c>
      <c r="Q41" s="3">
        <v>0.6</v>
      </c>
      <c r="R41" s="4" t="s">
        <v>24</v>
      </c>
      <c r="S41" s="4">
        <v>3600</v>
      </c>
      <c r="T41" s="4">
        <v>130400</v>
      </c>
      <c r="U41" s="4">
        <v>114820</v>
      </c>
      <c r="V41" s="4">
        <v>0</v>
      </c>
      <c r="W41" s="4">
        <v>0</v>
      </c>
      <c r="X41" s="4">
        <v>0</v>
      </c>
      <c r="Y41" s="4">
        <v>3530</v>
      </c>
      <c r="Z41" s="4">
        <v>3600</v>
      </c>
      <c r="AA41" s="4">
        <v>0</v>
      </c>
      <c r="AB41" s="4">
        <v>0</v>
      </c>
      <c r="AC41" s="4">
        <v>8450</v>
      </c>
      <c r="AD41" s="4">
        <v>131466</v>
      </c>
      <c r="AE41" s="4">
        <v>114820</v>
      </c>
      <c r="AF41" s="4">
        <v>0</v>
      </c>
      <c r="AG41" s="4">
        <v>0</v>
      </c>
      <c r="AH41" s="4">
        <v>0</v>
      </c>
      <c r="AI41" s="4">
        <v>4236</v>
      </c>
      <c r="AJ41" s="4">
        <v>3960</v>
      </c>
      <c r="AK41" s="4">
        <v>0</v>
      </c>
      <c r="AL41" s="4">
        <v>0</v>
      </c>
      <c r="AM41" s="4">
        <v>8450</v>
      </c>
      <c r="AN41" s="4">
        <v>91207</v>
      </c>
      <c r="AO41" s="4">
        <v>0</v>
      </c>
      <c r="AP41" s="4">
        <v>91207</v>
      </c>
    </row>
    <row r="42" spans="1:42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52303465</v>
      </c>
      <c r="K42" s="3" t="s">
        <v>59</v>
      </c>
      <c r="L42" s="3"/>
      <c r="M42" s="3"/>
      <c r="N42" s="3" t="s">
        <v>60</v>
      </c>
      <c r="O42" s="3" t="s">
        <v>19</v>
      </c>
      <c r="P42" s="3">
        <v>0.7</v>
      </c>
      <c r="Q42" s="3">
        <v>0.6</v>
      </c>
      <c r="R42" s="4" t="s">
        <v>24</v>
      </c>
      <c r="S42" s="4">
        <v>7200</v>
      </c>
      <c r="T42" s="4">
        <v>122400</v>
      </c>
      <c r="U42" s="4">
        <v>106900</v>
      </c>
      <c r="V42" s="4">
        <v>0</v>
      </c>
      <c r="W42" s="4">
        <v>0</v>
      </c>
      <c r="X42" s="4">
        <v>0</v>
      </c>
      <c r="Y42" s="4">
        <v>0</v>
      </c>
      <c r="Z42" s="4">
        <v>7200</v>
      </c>
      <c r="AA42" s="4">
        <v>0</v>
      </c>
      <c r="AB42" s="4">
        <v>0</v>
      </c>
      <c r="AC42" s="4">
        <v>8300</v>
      </c>
      <c r="AD42" s="4">
        <v>123120</v>
      </c>
      <c r="AE42" s="4">
        <v>106900</v>
      </c>
      <c r="AF42" s="4">
        <v>0</v>
      </c>
      <c r="AG42" s="4">
        <v>0</v>
      </c>
      <c r="AH42" s="4">
        <v>0</v>
      </c>
      <c r="AI42" s="4">
        <v>0</v>
      </c>
      <c r="AJ42" s="4">
        <v>7920</v>
      </c>
      <c r="AK42" s="4">
        <v>0</v>
      </c>
      <c r="AL42" s="4">
        <v>0</v>
      </c>
      <c r="AM42" s="4">
        <v>8300</v>
      </c>
      <c r="AN42" s="4">
        <v>85392</v>
      </c>
      <c r="AO42" s="4">
        <v>0</v>
      </c>
      <c r="AP42" s="4">
        <v>85392</v>
      </c>
    </row>
    <row r="43" spans="1:42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52303465</v>
      </c>
      <c r="K43" s="3" t="s">
        <v>59</v>
      </c>
      <c r="L43" s="3"/>
      <c r="M43" s="3"/>
      <c r="N43" s="3" t="s">
        <v>60</v>
      </c>
      <c r="O43" s="3" t="s">
        <v>19</v>
      </c>
      <c r="P43" s="3">
        <v>0.7</v>
      </c>
      <c r="Q43" s="3">
        <v>0.6</v>
      </c>
      <c r="R43" s="4" t="s">
        <v>21</v>
      </c>
      <c r="S43" s="4">
        <v>400</v>
      </c>
      <c r="T43" s="4">
        <v>400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400</v>
      </c>
      <c r="AD43" s="4">
        <v>400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400</v>
      </c>
      <c r="AN43" s="4">
        <v>280</v>
      </c>
      <c r="AO43" s="4">
        <v>0</v>
      </c>
      <c r="AP43" s="4">
        <v>280</v>
      </c>
    </row>
    <row r="44" spans="1:42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52303465</v>
      </c>
      <c r="K44" s="3" t="s">
        <v>59</v>
      </c>
      <c r="L44" s="3"/>
      <c r="M44" s="3"/>
      <c r="N44" s="3" t="s">
        <v>60</v>
      </c>
      <c r="O44" s="3" t="s">
        <v>19</v>
      </c>
      <c r="P44" s="3">
        <v>0.7</v>
      </c>
      <c r="Q44" s="3">
        <v>0.6</v>
      </c>
      <c r="R44" s="4" t="s">
        <v>20</v>
      </c>
      <c r="S44" s="4">
        <v>3600</v>
      </c>
      <c r="T44" s="4">
        <v>6400</v>
      </c>
      <c r="U44" s="4">
        <v>6000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400</v>
      </c>
      <c r="AD44" s="4">
        <v>6400</v>
      </c>
      <c r="AE44" s="4">
        <v>6000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400</v>
      </c>
      <c r="AN44" s="4">
        <v>4480</v>
      </c>
      <c r="AO44" s="4">
        <v>0</v>
      </c>
      <c r="AP44" s="4">
        <v>4480</v>
      </c>
    </row>
    <row r="45" spans="1:42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52303465</v>
      </c>
      <c r="K45" s="3" t="s">
        <v>59</v>
      </c>
      <c r="L45" s="3"/>
      <c r="M45" s="3"/>
      <c r="N45" s="3" t="s">
        <v>60</v>
      </c>
      <c r="O45" s="3" t="s">
        <v>19</v>
      </c>
      <c r="P45" s="3">
        <v>0.7</v>
      </c>
      <c r="Q45" s="3">
        <v>0.6</v>
      </c>
      <c r="R45" s="4" t="s">
        <v>47</v>
      </c>
      <c r="S45" s="4">
        <v>200</v>
      </c>
      <c r="T45" s="4">
        <v>293000</v>
      </c>
      <c r="U45" s="4">
        <v>110700</v>
      </c>
      <c r="V45" s="4">
        <v>0</v>
      </c>
      <c r="W45" s="4">
        <v>0</v>
      </c>
      <c r="X45" s="4">
        <v>0</v>
      </c>
      <c r="Y45" s="4">
        <v>11450</v>
      </c>
      <c r="Z45" s="4">
        <v>9950</v>
      </c>
      <c r="AA45" s="4">
        <v>0</v>
      </c>
      <c r="AB45" s="4">
        <v>0</v>
      </c>
      <c r="AC45" s="4">
        <v>160900</v>
      </c>
      <c r="AD45" s="4">
        <v>296285</v>
      </c>
      <c r="AE45" s="4">
        <v>110700</v>
      </c>
      <c r="AF45" s="4">
        <v>0</v>
      </c>
      <c r="AG45" s="4">
        <v>0</v>
      </c>
      <c r="AH45" s="4">
        <v>0</v>
      </c>
      <c r="AI45" s="4">
        <v>13740</v>
      </c>
      <c r="AJ45" s="4">
        <v>10945</v>
      </c>
      <c r="AK45" s="4">
        <v>0</v>
      </c>
      <c r="AL45" s="4">
        <v>0</v>
      </c>
      <c r="AM45" s="4">
        <v>160900</v>
      </c>
      <c r="AN45" s="4">
        <v>204931</v>
      </c>
      <c r="AO45" s="4">
        <v>0</v>
      </c>
      <c r="AP45" s="4">
        <v>204931</v>
      </c>
    </row>
    <row r="46" spans="1:42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52303465</v>
      </c>
      <c r="K46" s="3" t="s">
        <v>59</v>
      </c>
      <c r="L46" s="3"/>
      <c r="M46" s="3"/>
      <c r="N46" s="3" t="s">
        <v>60</v>
      </c>
      <c r="O46" s="3" t="s">
        <v>19</v>
      </c>
      <c r="P46" s="3">
        <v>0.7</v>
      </c>
      <c r="Q46" s="3">
        <v>0.6</v>
      </c>
      <c r="R46" s="4" t="s">
        <v>24</v>
      </c>
      <c r="S46" s="4">
        <v>1800</v>
      </c>
      <c r="T46" s="4">
        <v>299800</v>
      </c>
      <c r="U46" s="4">
        <v>234230</v>
      </c>
      <c r="V46" s="4">
        <v>0</v>
      </c>
      <c r="W46" s="4">
        <v>0</v>
      </c>
      <c r="X46" s="4">
        <v>0</v>
      </c>
      <c r="Y46" s="4">
        <v>4650</v>
      </c>
      <c r="Z46" s="4">
        <v>18720</v>
      </c>
      <c r="AA46" s="4">
        <v>0</v>
      </c>
      <c r="AB46" s="4">
        <v>0</v>
      </c>
      <c r="AC46" s="4">
        <v>42200</v>
      </c>
      <c r="AD46" s="4">
        <v>302602</v>
      </c>
      <c r="AE46" s="4">
        <v>234230</v>
      </c>
      <c r="AF46" s="4">
        <v>0</v>
      </c>
      <c r="AG46" s="4">
        <v>0</v>
      </c>
      <c r="AH46" s="4">
        <v>0</v>
      </c>
      <c r="AI46" s="4">
        <v>5580</v>
      </c>
      <c r="AJ46" s="4">
        <v>20592</v>
      </c>
      <c r="AK46" s="4">
        <v>0</v>
      </c>
      <c r="AL46" s="4">
        <v>0</v>
      </c>
      <c r="AM46" s="4">
        <v>42200</v>
      </c>
      <c r="AN46" s="4">
        <v>209204</v>
      </c>
      <c r="AO46" s="4">
        <v>0</v>
      </c>
      <c r="AP46" s="4">
        <v>209204</v>
      </c>
    </row>
    <row r="47" spans="1:42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53879878</v>
      </c>
      <c r="K47" s="3" t="s">
        <v>61</v>
      </c>
      <c r="L47" s="3"/>
      <c r="M47" s="3"/>
      <c r="N47" s="3" t="s">
        <v>62</v>
      </c>
      <c r="O47" s="3" t="s">
        <v>19</v>
      </c>
      <c r="P47" s="3">
        <v>0.7</v>
      </c>
      <c r="Q47" s="3">
        <v>0.6</v>
      </c>
      <c r="R47" s="4" t="s">
        <v>47</v>
      </c>
      <c r="S47" s="4">
        <v>200</v>
      </c>
      <c r="T47" s="4">
        <v>157400</v>
      </c>
      <c r="U47" s="4">
        <v>19550</v>
      </c>
      <c r="V47" s="4">
        <v>0</v>
      </c>
      <c r="W47" s="4">
        <v>0</v>
      </c>
      <c r="X47" s="4">
        <v>0</v>
      </c>
      <c r="Y47" s="4">
        <v>0</v>
      </c>
      <c r="Z47" s="4">
        <v>1000</v>
      </c>
      <c r="AA47" s="4">
        <v>0</v>
      </c>
      <c r="AB47" s="4">
        <v>0</v>
      </c>
      <c r="AC47" s="4">
        <v>136850</v>
      </c>
      <c r="AD47" s="4">
        <v>157500</v>
      </c>
      <c r="AE47" s="4">
        <v>19550</v>
      </c>
      <c r="AF47" s="4">
        <v>0</v>
      </c>
      <c r="AG47" s="4">
        <v>0</v>
      </c>
      <c r="AH47" s="4">
        <v>0</v>
      </c>
      <c r="AI47" s="4">
        <v>0</v>
      </c>
      <c r="AJ47" s="4">
        <v>1100</v>
      </c>
      <c r="AK47" s="4">
        <v>0</v>
      </c>
      <c r="AL47" s="4">
        <v>0</v>
      </c>
      <c r="AM47" s="4">
        <v>136850</v>
      </c>
      <c r="AN47" s="4">
        <v>110140</v>
      </c>
      <c r="AO47" s="4">
        <v>0</v>
      </c>
      <c r="AP47" s="4">
        <v>110140</v>
      </c>
    </row>
    <row r="48" spans="1:42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53879878</v>
      </c>
      <c r="K48" s="3" t="s">
        <v>61</v>
      </c>
      <c r="L48" s="3"/>
      <c r="M48" s="3"/>
      <c r="N48" s="3" t="s">
        <v>62</v>
      </c>
      <c r="O48" s="3" t="s">
        <v>19</v>
      </c>
      <c r="P48" s="3">
        <v>0.7</v>
      </c>
      <c r="Q48" s="3">
        <v>0.6</v>
      </c>
      <c r="R48" s="4" t="s">
        <v>24</v>
      </c>
      <c r="S48" s="4">
        <v>1800</v>
      </c>
      <c r="T48" s="4">
        <v>99800</v>
      </c>
      <c r="U48" s="4">
        <v>56400</v>
      </c>
      <c r="V48" s="4">
        <v>0</v>
      </c>
      <c r="W48" s="4">
        <v>0</v>
      </c>
      <c r="X48" s="4">
        <v>0</v>
      </c>
      <c r="Y48" s="4">
        <v>0</v>
      </c>
      <c r="Z48" s="4">
        <v>1800</v>
      </c>
      <c r="AA48" s="4">
        <v>0</v>
      </c>
      <c r="AB48" s="4">
        <v>0</v>
      </c>
      <c r="AC48" s="4">
        <v>41600</v>
      </c>
      <c r="AD48" s="4">
        <v>99980</v>
      </c>
      <c r="AE48" s="4">
        <v>56400</v>
      </c>
      <c r="AF48" s="4">
        <v>0</v>
      </c>
      <c r="AG48" s="4">
        <v>0</v>
      </c>
      <c r="AH48" s="4">
        <v>0</v>
      </c>
      <c r="AI48" s="4">
        <v>0</v>
      </c>
      <c r="AJ48" s="4">
        <v>1980</v>
      </c>
      <c r="AK48" s="4">
        <v>0</v>
      </c>
      <c r="AL48" s="4">
        <v>0</v>
      </c>
      <c r="AM48" s="4">
        <v>41600</v>
      </c>
      <c r="AN48" s="4">
        <v>69788</v>
      </c>
      <c r="AO48" s="4">
        <v>0</v>
      </c>
      <c r="AP48" s="4">
        <v>69788</v>
      </c>
    </row>
    <row r="49" spans="1:42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53879878</v>
      </c>
      <c r="K49" s="3" t="s">
        <v>61</v>
      </c>
      <c r="L49" s="3"/>
      <c r="M49" s="3"/>
      <c r="N49" s="3" t="s">
        <v>62</v>
      </c>
      <c r="O49" s="3" t="s">
        <v>19</v>
      </c>
      <c r="P49" s="3">
        <v>0.7</v>
      </c>
      <c r="Q49" s="3">
        <v>0.6</v>
      </c>
      <c r="R49" s="4" t="s">
        <v>24</v>
      </c>
      <c r="S49" s="4">
        <v>5400</v>
      </c>
      <c r="T49" s="4">
        <v>21600</v>
      </c>
      <c r="U49" s="4">
        <v>10800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10800</v>
      </c>
      <c r="AD49" s="4">
        <v>21600</v>
      </c>
      <c r="AE49" s="4">
        <v>10800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10800</v>
      </c>
      <c r="AN49" s="4">
        <v>15120</v>
      </c>
      <c r="AO49" s="4">
        <v>0</v>
      </c>
      <c r="AP49" s="4">
        <v>15120</v>
      </c>
    </row>
    <row r="50" spans="1:42" x14ac:dyDescent="0.4">
      <c r="A50" s="3" t="s">
        <v>22</v>
      </c>
      <c r="B50" s="3" t="s">
        <v>53</v>
      </c>
      <c r="C50" s="3" t="s">
        <v>54</v>
      </c>
      <c r="D50" s="3" t="s">
        <v>58</v>
      </c>
      <c r="E50" s="3"/>
      <c r="F50" s="3" t="s">
        <v>0</v>
      </c>
      <c r="G50" s="3" t="s">
        <v>17</v>
      </c>
      <c r="H50" s="3" t="s">
        <v>18</v>
      </c>
      <c r="I50" s="3" t="s">
        <v>23</v>
      </c>
      <c r="J50" s="3">
        <v>53879878</v>
      </c>
      <c r="K50" s="3" t="s">
        <v>61</v>
      </c>
      <c r="L50" s="3"/>
      <c r="M50" s="3"/>
      <c r="N50" s="3" t="s">
        <v>62</v>
      </c>
      <c r="O50" s="3" t="s">
        <v>19</v>
      </c>
      <c r="P50" s="3">
        <v>0.7</v>
      </c>
      <c r="Q50" s="3">
        <v>0.6</v>
      </c>
      <c r="R50" s="4" t="s">
        <v>24</v>
      </c>
      <c r="S50" s="4">
        <v>10800</v>
      </c>
      <c r="T50" s="4">
        <v>10800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10800</v>
      </c>
      <c r="AD50" s="4">
        <v>10800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10800</v>
      </c>
      <c r="AN50" s="4">
        <v>7560</v>
      </c>
      <c r="AO50" s="4">
        <v>0</v>
      </c>
      <c r="AP50" s="4">
        <v>7560</v>
      </c>
    </row>
  </sheetData>
  <autoFilter ref="A1:AP1">
    <sortState ref="A2:AP50">
      <sortCondition ref="N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8"/>
  <sheetViews>
    <sheetView topLeftCell="S1" zoomScale="78" zoomScaleNormal="78" workbookViewId="0">
      <selection activeCell="S2" sqref="A2:XFD7"/>
    </sheetView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</row>
    <row r="2" spans="1:42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52303465</v>
      </c>
      <c r="K2" s="3" t="s">
        <v>59</v>
      </c>
      <c r="L2" s="3"/>
      <c r="M2" s="3"/>
      <c r="N2" s="3" t="s">
        <v>60</v>
      </c>
      <c r="O2" s="3" t="s">
        <v>19</v>
      </c>
      <c r="P2" s="3">
        <v>0.7</v>
      </c>
      <c r="Q2" s="3">
        <v>0.6</v>
      </c>
      <c r="R2" s="4" t="s">
        <v>24</v>
      </c>
      <c r="S2" s="4">
        <v>3600</v>
      </c>
      <c r="T2" s="4">
        <v>130400</v>
      </c>
      <c r="U2" s="4">
        <v>114820</v>
      </c>
      <c r="V2" s="4">
        <v>0</v>
      </c>
      <c r="W2" s="4">
        <v>0</v>
      </c>
      <c r="X2" s="4">
        <v>0</v>
      </c>
      <c r="Y2" s="4">
        <v>3530</v>
      </c>
      <c r="Z2" s="4">
        <v>3600</v>
      </c>
      <c r="AA2" s="4">
        <v>0</v>
      </c>
      <c r="AB2" s="4">
        <v>0</v>
      </c>
      <c r="AC2" s="4">
        <v>8450</v>
      </c>
      <c r="AD2" s="4">
        <v>131466</v>
      </c>
      <c r="AE2" s="4">
        <v>114820</v>
      </c>
      <c r="AF2" s="4">
        <v>0</v>
      </c>
      <c r="AG2" s="4">
        <v>0</v>
      </c>
      <c r="AH2" s="4">
        <v>0</v>
      </c>
      <c r="AI2" s="4">
        <v>4236</v>
      </c>
      <c r="AJ2" s="4">
        <v>3960</v>
      </c>
      <c r="AK2" s="4">
        <v>0</v>
      </c>
      <c r="AL2" s="4">
        <v>0</v>
      </c>
      <c r="AM2" s="4">
        <v>8450</v>
      </c>
      <c r="AN2" s="4">
        <v>91207</v>
      </c>
      <c r="AO2" s="4">
        <v>0</v>
      </c>
      <c r="AP2" s="4">
        <v>91207</v>
      </c>
    </row>
    <row r="3" spans="1:42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52303465</v>
      </c>
      <c r="K3" s="3" t="s">
        <v>59</v>
      </c>
      <c r="L3" s="3"/>
      <c r="M3" s="3"/>
      <c r="N3" s="3" t="s">
        <v>60</v>
      </c>
      <c r="O3" s="3" t="s">
        <v>19</v>
      </c>
      <c r="P3" s="3">
        <v>0.7</v>
      </c>
      <c r="Q3" s="3">
        <v>0.6</v>
      </c>
      <c r="R3" s="4" t="s">
        <v>24</v>
      </c>
      <c r="S3" s="4">
        <v>7200</v>
      </c>
      <c r="T3" s="4">
        <v>122400</v>
      </c>
      <c r="U3" s="4">
        <v>106900</v>
      </c>
      <c r="V3" s="4">
        <v>0</v>
      </c>
      <c r="W3" s="4">
        <v>0</v>
      </c>
      <c r="X3" s="4">
        <v>0</v>
      </c>
      <c r="Y3" s="4">
        <v>0</v>
      </c>
      <c r="Z3" s="4">
        <v>7200</v>
      </c>
      <c r="AA3" s="4">
        <v>0</v>
      </c>
      <c r="AB3" s="4">
        <v>0</v>
      </c>
      <c r="AC3" s="4">
        <v>8300</v>
      </c>
      <c r="AD3" s="4">
        <v>123120</v>
      </c>
      <c r="AE3" s="4">
        <v>106900</v>
      </c>
      <c r="AF3" s="4">
        <v>0</v>
      </c>
      <c r="AG3" s="4">
        <v>0</v>
      </c>
      <c r="AH3" s="4">
        <v>0</v>
      </c>
      <c r="AI3" s="4">
        <v>0</v>
      </c>
      <c r="AJ3" s="4">
        <v>7920</v>
      </c>
      <c r="AK3" s="4">
        <v>0</v>
      </c>
      <c r="AL3" s="4">
        <v>0</v>
      </c>
      <c r="AM3" s="4">
        <v>8300</v>
      </c>
      <c r="AN3" s="4">
        <v>85392</v>
      </c>
      <c r="AO3" s="4">
        <v>0</v>
      </c>
      <c r="AP3" s="4">
        <v>85392</v>
      </c>
    </row>
    <row r="4" spans="1:42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52303465</v>
      </c>
      <c r="K4" s="3" t="s">
        <v>59</v>
      </c>
      <c r="L4" s="3"/>
      <c r="M4" s="3"/>
      <c r="N4" s="3" t="s">
        <v>60</v>
      </c>
      <c r="O4" s="3" t="s">
        <v>19</v>
      </c>
      <c r="P4" s="3">
        <v>0.7</v>
      </c>
      <c r="Q4" s="3">
        <v>0.6</v>
      </c>
      <c r="R4" s="4" t="s">
        <v>21</v>
      </c>
      <c r="S4" s="4">
        <v>400</v>
      </c>
      <c r="T4" s="4">
        <v>400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400</v>
      </c>
      <c r="AD4" s="4">
        <v>400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400</v>
      </c>
      <c r="AN4" s="4">
        <v>280</v>
      </c>
      <c r="AO4" s="4">
        <v>0</v>
      </c>
      <c r="AP4" s="4">
        <v>280</v>
      </c>
    </row>
    <row r="5" spans="1:42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52303465</v>
      </c>
      <c r="K5" s="3" t="s">
        <v>59</v>
      </c>
      <c r="L5" s="3"/>
      <c r="M5" s="3"/>
      <c r="N5" s="3" t="s">
        <v>60</v>
      </c>
      <c r="O5" s="3" t="s">
        <v>19</v>
      </c>
      <c r="P5" s="3">
        <v>0.7</v>
      </c>
      <c r="Q5" s="3">
        <v>0.6</v>
      </c>
      <c r="R5" s="4" t="s">
        <v>20</v>
      </c>
      <c r="S5" s="4">
        <v>3600</v>
      </c>
      <c r="T5" s="4">
        <v>6400</v>
      </c>
      <c r="U5" s="4">
        <v>6000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400</v>
      </c>
      <c r="AD5" s="4">
        <v>6400</v>
      </c>
      <c r="AE5" s="4">
        <v>6000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400</v>
      </c>
      <c r="AN5" s="4">
        <v>4480</v>
      </c>
      <c r="AO5" s="4">
        <v>0</v>
      </c>
      <c r="AP5" s="4">
        <v>4480</v>
      </c>
    </row>
    <row r="6" spans="1:42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52303465</v>
      </c>
      <c r="K6" s="3" t="s">
        <v>59</v>
      </c>
      <c r="L6" s="3"/>
      <c r="M6" s="3"/>
      <c r="N6" s="3" t="s">
        <v>60</v>
      </c>
      <c r="O6" s="3" t="s">
        <v>19</v>
      </c>
      <c r="P6" s="3">
        <v>0.7</v>
      </c>
      <c r="Q6" s="3">
        <v>0.6</v>
      </c>
      <c r="R6" s="4" t="s">
        <v>47</v>
      </c>
      <c r="S6" s="4">
        <v>200</v>
      </c>
      <c r="T6" s="4">
        <v>293000</v>
      </c>
      <c r="U6" s="4">
        <v>110700</v>
      </c>
      <c r="V6" s="4">
        <v>0</v>
      </c>
      <c r="W6" s="4">
        <v>0</v>
      </c>
      <c r="X6" s="4">
        <v>0</v>
      </c>
      <c r="Y6" s="4">
        <v>11450</v>
      </c>
      <c r="Z6" s="4">
        <v>9950</v>
      </c>
      <c r="AA6" s="4">
        <v>0</v>
      </c>
      <c r="AB6" s="4">
        <v>0</v>
      </c>
      <c r="AC6" s="4">
        <v>160900</v>
      </c>
      <c r="AD6" s="4">
        <v>296285</v>
      </c>
      <c r="AE6" s="4">
        <v>110700</v>
      </c>
      <c r="AF6" s="4">
        <v>0</v>
      </c>
      <c r="AG6" s="4">
        <v>0</v>
      </c>
      <c r="AH6" s="4">
        <v>0</v>
      </c>
      <c r="AI6" s="4">
        <v>13740</v>
      </c>
      <c r="AJ6" s="4">
        <v>10945</v>
      </c>
      <c r="AK6" s="4">
        <v>0</v>
      </c>
      <c r="AL6" s="4">
        <v>0</v>
      </c>
      <c r="AM6" s="4">
        <v>160900</v>
      </c>
      <c r="AN6" s="4">
        <v>204931</v>
      </c>
      <c r="AO6" s="4">
        <v>0</v>
      </c>
      <c r="AP6" s="4">
        <v>204931</v>
      </c>
    </row>
    <row r="7" spans="1:42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52303465</v>
      </c>
      <c r="K7" s="3" t="s">
        <v>59</v>
      </c>
      <c r="L7" s="3"/>
      <c r="M7" s="3"/>
      <c r="N7" s="3" t="s">
        <v>60</v>
      </c>
      <c r="O7" s="3" t="s">
        <v>19</v>
      </c>
      <c r="P7" s="3">
        <v>0.7</v>
      </c>
      <c r="Q7" s="3">
        <v>0.6</v>
      </c>
      <c r="R7" s="4" t="s">
        <v>24</v>
      </c>
      <c r="S7" s="4">
        <v>1800</v>
      </c>
      <c r="T7" s="4">
        <v>299800</v>
      </c>
      <c r="U7" s="4">
        <v>234230</v>
      </c>
      <c r="V7" s="4">
        <v>0</v>
      </c>
      <c r="W7" s="4">
        <v>0</v>
      </c>
      <c r="X7" s="4">
        <v>0</v>
      </c>
      <c r="Y7" s="4">
        <v>4650</v>
      </c>
      <c r="Z7" s="4">
        <v>18720</v>
      </c>
      <c r="AA7" s="4">
        <v>0</v>
      </c>
      <c r="AB7" s="4">
        <v>0</v>
      </c>
      <c r="AC7" s="4">
        <v>42200</v>
      </c>
      <c r="AD7" s="4">
        <v>302602</v>
      </c>
      <c r="AE7" s="4">
        <v>234230</v>
      </c>
      <c r="AF7" s="4">
        <v>0</v>
      </c>
      <c r="AG7" s="4">
        <v>0</v>
      </c>
      <c r="AH7" s="4">
        <v>0</v>
      </c>
      <c r="AI7" s="4">
        <v>5580</v>
      </c>
      <c r="AJ7" s="4">
        <v>20592</v>
      </c>
      <c r="AK7" s="4">
        <v>0</v>
      </c>
      <c r="AL7" s="4">
        <v>0</v>
      </c>
      <c r="AM7" s="4">
        <v>42200</v>
      </c>
      <c r="AN7" s="4">
        <v>209204</v>
      </c>
      <c r="AO7" s="4">
        <v>0</v>
      </c>
      <c r="AP7" s="4">
        <v>209204</v>
      </c>
    </row>
    <row r="8" spans="1:42" x14ac:dyDescent="0.4">
      <c r="AP8" s="5">
        <f>SUM(AP2:AP7)</f>
        <v>595494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6"/>
  <sheetViews>
    <sheetView topLeftCell="Q1" zoomScale="66" zoomScaleNormal="66" workbookViewId="0">
      <selection activeCell="Q6" sqref="A6:XFD9"/>
    </sheetView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</row>
    <row r="2" spans="1:42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53879878</v>
      </c>
      <c r="K2" s="3" t="s">
        <v>61</v>
      </c>
      <c r="L2" s="3"/>
      <c r="M2" s="3"/>
      <c r="N2" s="3" t="s">
        <v>62</v>
      </c>
      <c r="O2" s="3" t="s">
        <v>19</v>
      </c>
      <c r="P2" s="3">
        <v>0.7</v>
      </c>
      <c r="Q2" s="3">
        <v>0.6</v>
      </c>
      <c r="R2" s="4" t="s">
        <v>47</v>
      </c>
      <c r="S2" s="4">
        <v>200</v>
      </c>
      <c r="T2" s="4">
        <v>157400</v>
      </c>
      <c r="U2" s="4">
        <v>19550</v>
      </c>
      <c r="V2" s="4">
        <v>0</v>
      </c>
      <c r="W2" s="4">
        <v>0</v>
      </c>
      <c r="X2" s="4">
        <v>0</v>
      </c>
      <c r="Y2" s="4">
        <v>0</v>
      </c>
      <c r="Z2" s="4">
        <v>1000</v>
      </c>
      <c r="AA2" s="4">
        <v>0</v>
      </c>
      <c r="AB2" s="4">
        <v>0</v>
      </c>
      <c r="AC2" s="4">
        <v>136850</v>
      </c>
      <c r="AD2" s="4">
        <v>157500</v>
      </c>
      <c r="AE2" s="4">
        <v>19550</v>
      </c>
      <c r="AF2" s="4">
        <v>0</v>
      </c>
      <c r="AG2" s="4">
        <v>0</v>
      </c>
      <c r="AH2" s="4">
        <v>0</v>
      </c>
      <c r="AI2" s="4">
        <v>0</v>
      </c>
      <c r="AJ2" s="4">
        <v>1100</v>
      </c>
      <c r="AK2" s="4">
        <v>0</v>
      </c>
      <c r="AL2" s="4">
        <v>0</v>
      </c>
      <c r="AM2" s="4">
        <v>136850</v>
      </c>
      <c r="AN2" s="4">
        <v>110140</v>
      </c>
      <c r="AO2" s="4">
        <v>0</v>
      </c>
      <c r="AP2" s="4">
        <v>110140</v>
      </c>
    </row>
    <row r="3" spans="1:42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53879878</v>
      </c>
      <c r="K3" s="3" t="s">
        <v>61</v>
      </c>
      <c r="L3" s="3"/>
      <c r="M3" s="3"/>
      <c r="N3" s="3" t="s">
        <v>62</v>
      </c>
      <c r="O3" s="3" t="s">
        <v>19</v>
      </c>
      <c r="P3" s="3">
        <v>0.7</v>
      </c>
      <c r="Q3" s="3">
        <v>0.6</v>
      </c>
      <c r="R3" s="4" t="s">
        <v>24</v>
      </c>
      <c r="S3" s="4">
        <v>1800</v>
      </c>
      <c r="T3" s="4">
        <v>99800</v>
      </c>
      <c r="U3" s="4">
        <v>56400</v>
      </c>
      <c r="V3" s="4">
        <v>0</v>
      </c>
      <c r="W3" s="4">
        <v>0</v>
      </c>
      <c r="X3" s="4">
        <v>0</v>
      </c>
      <c r="Y3" s="4">
        <v>0</v>
      </c>
      <c r="Z3" s="4">
        <v>1800</v>
      </c>
      <c r="AA3" s="4">
        <v>0</v>
      </c>
      <c r="AB3" s="4">
        <v>0</v>
      </c>
      <c r="AC3" s="4">
        <v>41600</v>
      </c>
      <c r="AD3" s="4">
        <v>99980</v>
      </c>
      <c r="AE3" s="4">
        <v>56400</v>
      </c>
      <c r="AF3" s="4">
        <v>0</v>
      </c>
      <c r="AG3" s="4">
        <v>0</v>
      </c>
      <c r="AH3" s="4">
        <v>0</v>
      </c>
      <c r="AI3" s="4">
        <v>0</v>
      </c>
      <c r="AJ3" s="4">
        <v>1980</v>
      </c>
      <c r="AK3" s="4">
        <v>0</v>
      </c>
      <c r="AL3" s="4">
        <v>0</v>
      </c>
      <c r="AM3" s="4">
        <v>41600</v>
      </c>
      <c r="AN3" s="4">
        <v>69788</v>
      </c>
      <c r="AO3" s="4">
        <v>0</v>
      </c>
      <c r="AP3" s="4">
        <v>69788</v>
      </c>
    </row>
    <row r="4" spans="1:42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53879878</v>
      </c>
      <c r="K4" s="3" t="s">
        <v>61</v>
      </c>
      <c r="L4" s="3"/>
      <c r="M4" s="3"/>
      <c r="N4" s="3" t="s">
        <v>62</v>
      </c>
      <c r="O4" s="3" t="s">
        <v>19</v>
      </c>
      <c r="P4" s="3">
        <v>0.7</v>
      </c>
      <c r="Q4" s="3">
        <v>0.6</v>
      </c>
      <c r="R4" s="4" t="s">
        <v>24</v>
      </c>
      <c r="S4" s="4">
        <v>5400</v>
      </c>
      <c r="T4" s="4">
        <v>21600</v>
      </c>
      <c r="U4" s="4">
        <v>10800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10800</v>
      </c>
      <c r="AD4" s="4">
        <v>21600</v>
      </c>
      <c r="AE4" s="4">
        <v>10800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10800</v>
      </c>
      <c r="AN4" s="4">
        <v>15120</v>
      </c>
      <c r="AO4" s="4">
        <v>0</v>
      </c>
      <c r="AP4" s="4">
        <v>15120</v>
      </c>
    </row>
    <row r="5" spans="1:42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53879878</v>
      </c>
      <c r="K5" s="3" t="s">
        <v>61</v>
      </c>
      <c r="L5" s="3"/>
      <c r="M5" s="3"/>
      <c r="N5" s="3" t="s">
        <v>62</v>
      </c>
      <c r="O5" s="3" t="s">
        <v>19</v>
      </c>
      <c r="P5" s="3">
        <v>0.7</v>
      </c>
      <c r="Q5" s="3">
        <v>0.6</v>
      </c>
      <c r="R5" s="4" t="s">
        <v>24</v>
      </c>
      <c r="S5" s="4">
        <v>10800</v>
      </c>
      <c r="T5" s="4">
        <v>10800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10800</v>
      </c>
      <c r="AD5" s="4">
        <v>10800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10800</v>
      </c>
      <c r="AN5" s="4">
        <v>7560</v>
      </c>
      <c r="AO5" s="4">
        <v>0</v>
      </c>
      <c r="AP5" s="4">
        <v>7560</v>
      </c>
    </row>
    <row r="6" spans="1:42" x14ac:dyDescent="0.4">
      <c r="AP6" s="5">
        <f>SUM(AP2:AP5)</f>
        <v>202608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일반계약_만화(2)</vt:lpstr>
      <vt:lpstr>진엔터</vt:lpstr>
      <vt:lpstr>혜원</vt:lpstr>
      <vt:lpstr>진엔터!Extract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2022-03-07T05:40:56Z</dcterms:modified>
</cp:coreProperties>
</file>