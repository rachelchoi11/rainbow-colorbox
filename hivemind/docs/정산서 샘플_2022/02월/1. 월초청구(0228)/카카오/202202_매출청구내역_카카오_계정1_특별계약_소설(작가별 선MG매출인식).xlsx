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카카오\"/>
    </mc:Choice>
  </mc:AlternateContent>
  <bookViews>
    <workbookView xWindow="0" yWindow="0" windowWidth="23040" windowHeight="9300" tabRatio="595" activeTab="1"/>
  </bookViews>
  <sheets>
    <sheet name="특별계약(2)" sheetId="97" r:id="rId1"/>
    <sheet name="김광수" sheetId="107" r:id="rId2"/>
    <sheet name="몸서리" sheetId="108" r:id="rId3"/>
    <sheet name="김정연" sheetId="109" r:id="rId4"/>
  </sheets>
  <definedNames>
    <definedName name="_xlnm._FilterDatabase" localSheetId="0" hidden="1">'특별계약(2)'!$A$1:$AP$1</definedName>
    <definedName name="_xlnm.Extract" localSheetId="1">김광수!$A$1:$AP$1</definedName>
    <definedName name="_xlnm.Extract" localSheetId="0">'특별계약(2)'!#REF!</definedName>
  </definedNames>
  <calcPr calcId="152511"/>
</workbook>
</file>

<file path=xl/calcChain.xml><?xml version="1.0" encoding="utf-8"?>
<calcChain xmlns="http://schemas.openxmlformats.org/spreadsheetml/2006/main">
  <c r="AP45" i="97" l="1"/>
  <c r="AP44" i="97"/>
  <c r="D10" i="109"/>
  <c r="AP5" i="109"/>
  <c r="C10" i="109" s="1"/>
  <c r="D9" i="109"/>
  <c r="D14" i="108" l="1"/>
  <c r="C14" i="108"/>
  <c r="D13" i="108" l="1"/>
  <c r="D11" i="108" l="1"/>
  <c r="D10" i="108" l="1"/>
  <c r="AP6" i="108"/>
  <c r="D12" i="108" s="1"/>
  <c r="AP39" i="107"/>
  <c r="C90" i="107" s="1"/>
  <c r="D90" i="107" s="1"/>
  <c r="C92" i="107" l="1"/>
  <c r="B92" i="107"/>
  <c r="D75" i="107"/>
  <c r="D76" i="107" s="1"/>
  <c r="D77" i="107" s="1"/>
  <c r="D78" i="107" s="1"/>
  <c r="D79" i="107" s="1"/>
  <c r="D80" i="107" s="1"/>
  <c r="D81" i="107" s="1"/>
  <c r="D82" i="107" s="1"/>
  <c r="D83" i="107" s="1"/>
  <c r="D84" i="107" s="1"/>
  <c r="D85" i="107" s="1"/>
  <c r="D86" i="107" s="1"/>
  <c r="D87" i="107" s="1"/>
  <c r="D88" i="107" s="1"/>
  <c r="D89" i="107" s="1"/>
</calcChain>
</file>

<file path=xl/comments1.xml><?xml version="1.0" encoding="utf-8"?>
<comments xmlns="http://schemas.openxmlformats.org/spreadsheetml/2006/main">
  <authors>
    <author>정승민(웹소설사업팀)</author>
    <author>jihui</author>
  </authors>
  <commentList>
    <comment ref="B67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70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3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5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8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8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2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4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6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7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9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90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</commentList>
</comments>
</file>

<file path=xl/sharedStrings.xml><?xml version="1.0" encoding="utf-8"?>
<sst xmlns="http://schemas.openxmlformats.org/spreadsheetml/2006/main" count="1304" uniqueCount="117">
  <si>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</si>
  <si>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</si>
  <si>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</si>
  <si>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</si>
  <si>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</si>
  <si>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</si>
  <si>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</si>
  <si>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</si>
  <si>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</si>
  <si>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</si>
  <si>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</si>
  <si>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</si>
  <si>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</si>
  <si>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</si>
  <si>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</si>
  <si>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</si>
  <si>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</si>
  <si>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</si>
  <si>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</si>
  <si>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</si>
  <si>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</si>
  <si>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</si>
  <si>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</si>
  <si>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</si>
  <si>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</si>
  <si>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</si>
  <si>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</si>
  <si>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</si>
  <si>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</si>
  <si>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</si>
  <si>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</si>
  <si>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</si>
  <si>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</si>
  <si>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</si>
  <si>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</si>
  <si>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</si>
  <si>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</si>
  <si>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</si>
  <si>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</si>
  <si>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</si>
  <si>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</si>
  <si>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</si>
  <si>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</si>
  <si>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</si>
  <si>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</si>
  <si>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</si>
  <si>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</si>
  <si>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</si>
  <si>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</si>
  <si>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</si>
  <si>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김광수</t>
  </si>
  <si>
    <t>21세기 대마법사</t>
  </si>
  <si>
    <t>회귀의 전설</t>
  </si>
  <si>
    <t>영웅</t>
  </si>
  <si>
    <t>화산지애</t>
  </si>
  <si>
    <t>마계대공 연대기</t>
  </si>
  <si>
    <t>마스터K</t>
  </si>
  <si>
    <t>주식회사 스토리위즈</t>
  </si>
  <si>
    <t>3828601768</t>
  </si>
  <si>
    <t>스토리위즈</t>
  </si>
  <si>
    <t>1943.0</t>
  </si>
  <si>
    <t>회귀의 전설 [단행본]</t>
  </si>
  <si>
    <t>화산지애 [단행본]</t>
  </si>
  <si>
    <t>단일 대여 이용권</t>
  </si>
  <si>
    <t>21세기 대마법사 [단행본]</t>
  </si>
  <si>
    <t>마계대공 연대기 [단행본]</t>
  </si>
  <si>
    <t>마스터K [단행본]</t>
  </si>
  <si>
    <t>프리 나이트 [단행본]</t>
  </si>
  <si>
    <t>ㅇ MG차감 내역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</si>
  <si>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</si>
  <si>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</si>
  <si>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</si>
  <si>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</si>
  <si>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합계</t>
    <phoneticPr fontId="1" type="noConversion"/>
  </si>
  <si>
    <t>포르트무스</t>
  </si>
  <si>
    <t>영웅 [단행본][개정판]</t>
  </si>
  <si>
    <t>시리즈 대여 이용권 패키지</t>
  </si>
  <si>
    <t>2995.0</t>
  </si>
  <si>
    <t>혼자서는 못 해요</t>
  </si>
  <si>
    <t>몸서리</t>
  </si>
  <si>
    <t xml:space="preserve">SW 매출 </t>
    <phoneticPr fontId="3" type="noConversion"/>
  </si>
  <si>
    <t>포르트무스 [단행본]</t>
  </si>
  <si>
    <t>아르테온</t>
  </si>
  <si>
    <t>3167.0</t>
  </si>
  <si>
    <t>세자마마의 은밀한 취향</t>
  </si>
  <si>
    <t>김정연</t>
  </si>
  <si>
    <t>연재 예정작 이용권</t>
  </si>
  <si>
    <t>바람의 기사, 아르테온 [단행본]</t>
  </si>
  <si>
    <t>발행자가 부여하는 코드</t>
    <phoneticPr fontId="1" type="noConversion"/>
  </si>
  <si>
    <t>레이블</t>
    <phoneticPr fontId="1" type="noConversion"/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</si>
  <si>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</si>
  <si>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</si>
  <si>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</si>
  <si>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</si>
  <si>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</si>
  <si>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</si>
  <si>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</si>
  <si>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</si>
  <si>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</si>
  <si>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</si>
  <si>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</si>
  <si>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</si>
  <si>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</si>
  <si>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</si>
  <si>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</si>
  <si>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</si>
  <si>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</si>
  <si>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</si>
  <si>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</si>
  <si>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</si>
  <si>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</si>
  <si>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</si>
  <si>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</si>
  <si>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</si>
  <si>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</si>
  <si>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1월 정산 누락</t>
    <phoneticPr fontId="1" type="noConversion"/>
  </si>
  <si>
    <t>1월 정산오류 보정(타 작가 정산금 정산)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</si>
</sst>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3" xfId="0" applyNumberFormat="1" applyBorder="1">
      <alignment vertical="center"/>
    </xf>
    <xf numFmtId="0" fontId="0" fillId="0" borderId="3" xfId="0" applyBorder="1">
      <alignment vertical="center"/>
    </xf>
    <xf numFmtId="0" fontId="6" fillId="0" borderId="3" xfId="0" applyFont="1" applyBorder="1" applyAlignment="1">
      <alignment horizontal="center" vertical="center"/>
    </xf>
    <xf numFmtId="41" fontId="6" fillId="0" borderId="3" xfId="0" applyNumberFormat="1" applyFont="1" applyBorder="1">
      <alignment vertical="center"/>
    </xf>
    <xf numFmtId="41" fontId="0" fillId="0" borderId="0" xfId="3" applyFont="1">
      <alignment vertical="center"/>
    </xf>
    <xf numFmtId="41" fontId="0" fillId="0" borderId="0" xfId="0" applyNumberFormat="1">
      <alignment vertical="center"/>
    </xf>
    <xf numFmtId="41" fontId="0" fillId="0" borderId="4" xfId="3" applyFont="1" applyBorder="1">
      <alignment vertical="center"/>
    </xf>
    <xf numFmtId="0" fontId="0" fillId="0" borderId="0" xfId="0" applyBorder="1" applyAlignment="1"/>
    <xf numFmtId="3" fontId="0" fillId="0" borderId="0" xfId="0" applyNumberFormat="1" applyBorder="1" applyAlignment="1"/>
    <xf numFmtId="3" fontId="0" fillId="3" borderId="0" xfId="0" applyNumberFormat="1" applyFill="1" applyBorder="1" applyAlignment="1"/>
    <xf numFmtId="3" fontId="0" fillId="5" borderId="0" xfId="0" applyNumberFormat="1" applyFill="1">
      <alignment vertical="center"/>
    </xf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</cellXfs>
  <cellStyles count="5">
    <cellStyle name="쉼표 [0]" xfId="3" builtinId="6"/>
    <cellStyle name="쉼표 [0] 3" xfId="2"/>
    <cellStyle name="표준" xfId="0" builtinId="0"/>
    <cellStyle name="표준 3" xfId="1"/>
    <cellStyle name="표준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45"/>
  <sheetViews>
    <sheetView topLeftCell="A13" zoomScale="55" zoomScaleNormal="55" workbookViewId="0">
      <selection activeCell="AP48" sqref="AP48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5.89843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46750620</v>
      </c>
      <c r="K2" s="3" t="s">
        <v>55</v>
      </c>
      <c r="L2" s="3"/>
      <c r="M2" s="3"/>
      <c r="N2" s="3" t="s">
        <v>50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53800</v>
      </c>
      <c r="U2" s="4">
        <v>7200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46600</v>
      </c>
      <c r="AD2" s="4">
        <v>53800</v>
      </c>
      <c r="AE2" s="4">
        <v>7200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46600</v>
      </c>
      <c r="AN2" s="4">
        <v>29590</v>
      </c>
      <c r="AO2" s="4">
        <v>0</v>
      </c>
      <c r="AP2" s="4">
        <v>29590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46750620</v>
      </c>
      <c r="K3" s="3" t="s">
        <v>55</v>
      </c>
      <c r="L3" s="3"/>
      <c r="M3" s="3"/>
      <c r="N3" s="3" t="s">
        <v>50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1800</v>
      </c>
      <c r="T3" s="4">
        <v>104400</v>
      </c>
      <c r="U3" s="4">
        <v>83300</v>
      </c>
      <c r="V3" s="4">
        <v>0</v>
      </c>
      <c r="W3" s="4">
        <v>0</v>
      </c>
      <c r="X3" s="4">
        <v>0</v>
      </c>
      <c r="Y3" s="4">
        <v>0</v>
      </c>
      <c r="Z3" s="4">
        <v>3100</v>
      </c>
      <c r="AA3" s="4">
        <v>0</v>
      </c>
      <c r="AB3" s="4">
        <v>0</v>
      </c>
      <c r="AC3" s="4">
        <v>18000</v>
      </c>
      <c r="AD3" s="4">
        <v>104710</v>
      </c>
      <c r="AE3" s="4">
        <v>83300</v>
      </c>
      <c r="AF3" s="4">
        <v>0</v>
      </c>
      <c r="AG3" s="4">
        <v>0</v>
      </c>
      <c r="AH3" s="4">
        <v>0</v>
      </c>
      <c r="AI3" s="4">
        <v>0</v>
      </c>
      <c r="AJ3" s="4">
        <v>3410</v>
      </c>
      <c r="AK3" s="4">
        <v>0</v>
      </c>
      <c r="AL3" s="4">
        <v>0</v>
      </c>
      <c r="AM3" s="4">
        <v>18000</v>
      </c>
      <c r="AN3" s="4">
        <v>57591</v>
      </c>
      <c r="AO3" s="4">
        <v>0</v>
      </c>
      <c r="AP3" s="4">
        <v>57591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46750620</v>
      </c>
      <c r="K4" s="3" t="s">
        <v>55</v>
      </c>
      <c r="L4" s="3"/>
      <c r="M4" s="3"/>
      <c r="N4" s="3" t="s">
        <v>50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18000</v>
      </c>
      <c r="T4" s="4">
        <v>126000</v>
      </c>
      <c r="U4" s="4">
        <v>123700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2300</v>
      </c>
      <c r="AD4" s="4">
        <v>126000</v>
      </c>
      <c r="AE4" s="4">
        <v>123700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2300</v>
      </c>
      <c r="AN4" s="4">
        <v>69300</v>
      </c>
      <c r="AO4" s="4">
        <v>0</v>
      </c>
      <c r="AP4" s="4">
        <v>69300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60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46805146</v>
      </c>
      <c r="K5" s="3" t="s">
        <v>56</v>
      </c>
      <c r="L5" s="3"/>
      <c r="M5" s="3"/>
      <c r="N5" s="3" t="s">
        <v>50</v>
      </c>
      <c r="O5" s="3" t="s">
        <v>23</v>
      </c>
      <c r="P5" s="3">
        <v>0.55000000000000004</v>
      </c>
      <c r="Q5" s="3">
        <v>0.55000000000000004</v>
      </c>
      <c r="R5" s="4" t="s">
        <v>25</v>
      </c>
      <c r="S5" s="4">
        <v>100</v>
      </c>
      <c r="T5" s="4">
        <v>6100</v>
      </c>
      <c r="U5" s="4">
        <v>2100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4000</v>
      </c>
      <c r="AD5" s="4">
        <v>6100</v>
      </c>
      <c r="AE5" s="4">
        <v>2100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4000</v>
      </c>
      <c r="AN5" s="4">
        <v>3355</v>
      </c>
      <c r="AO5" s="4">
        <v>0</v>
      </c>
      <c r="AP5" s="4">
        <v>3355</v>
      </c>
    </row>
    <row r="6" spans="1:42" x14ac:dyDescent="0.4">
      <c r="A6" s="3" t="s">
        <v>48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49</v>
      </c>
      <c r="G6" s="3" t="s">
        <v>20</v>
      </c>
      <c r="H6" s="3" t="s">
        <v>21</v>
      </c>
      <c r="I6" s="3" t="s">
        <v>22</v>
      </c>
      <c r="J6" s="3">
        <v>46805146</v>
      </c>
      <c r="K6" s="3" t="s">
        <v>56</v>
      </c>
      <c r="L6" s="3"/>
      <c r="M6" s="3"/>
      <c r="N6" s="3" t="s">
        <v>50</v>
      </c>
      <c r="O6" s="3" t="s">
        <v>23</v>
      </c>
      <c r="P6" s="3">
        <v>0.55000000000000004</v>
      </c>
      <c r="Q6" s="3">
        <v>0.55000000000000004</v>
      </c>
      <c r="R6" s="4" t="s">
        <v>24</v>
      </c>
      <c r="S6" s="4">
        <v>1800</v>
      </c>
      <c r="T6" s="4">
        <v>21000</v>
      </c>
      <c r="U6" s="4">
        <v>13800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7200</v>
      </c>
      <c r="AD6" s="4">
        <v>21000</v>
      </c>
      <c r="AE6" s="4">
        <v>13800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7200</v>
      </c>
      <c r="AN6" s="4">
        <v>11550</v>
      </c>
      <c r="AO6" s="4">
        <v>0</v>
      </c>
      <c r="AP6" s="4">
        <v>11550</v>
      </c>
    </row>
    <row r="7" spans="1:42" x14ac:dyDescent="0.4">
      <c r="A7" s="3" t="s">
        <v>48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49</v>
      </c>
      <c r="G7" s="3" t="s">
        <v>20</v>
      </c>
      <c r="H7" s="3" t="s">
        <v>21</v>
      </c>
      <c r="I7" s="3" t="s">
        <v>22</v>
      </c>
      <c r="J7" s="3">
        <v>46805146</v>
      </c>
      <c r="K7" s="3" t="s">
        <v>56</v>
      </c>
      <c r="L7" s="3"/>
      <c r="M7" s="3"/>
      <c r="N7" s="3" t="s">
        <v>50</v>
      </c>
      <c r="O7" s="3" t="s">
        <v>23</v>
      </c>
      <c r="P7" s="3">
        <v>0.55000000000000004</v>
      </c>
      <c r="Q7" s="3">
        <v>0.55000000000000004</v>
      </c>
      <c r="R7" s="4" t="s">
        <v>24</v>
      </c>
      <c r="S7" s="4">
        <v>9000</v>
      </c>
      <c r="T7" s="4">
        <v>9000</v>
      </c>
      <c r="U7" s="4">
        <v>9000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9000</v>
      </c>
      <c r="AE7" s="4">
        <v>9000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4950</v>
      </c>
      <c r="AO7" s="4">
        <v>0</v>
      </c>
      <c r="AP7" s="4">
        <v>4950</v>
      </c>
    </row>
    <row r="8" spans="1:42" x14ac:dyDescent="0.4">
      <c r="A8" s="3" t="s">
        <v>48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49</v>
      </c>
      <c r="G8" s="3" t="s">
        <v>20</v>
      </c>
      <c r="H8" s="3" t="s">
        <v>21</v>
      </c>
      <c r="I8" s="3" t="s">
        <v>22</v>
      </c>
      <c r="J8" s="3">
        <v>46855943</v>
      </c>
      <c r="K8" s="3" t="s">
        <v>82</v>
      </c>
      <c r="L8" s="3"/>
      <c r="M8" s="3"/>
      <c r="N8" s="3" t="s">
        <v>50</v>
      </c>
      <c r="O8" s="3" t="s">
        <v>23</v>
      </c>
      <c r="P8" s="3">
        <v>0.55000000000000004</v>
      </c>
      <c r="Q8" s="3">
        <v>0.55000000000000004</v>
      </c>
      <c r="R8" s="4" t="s">
        <v>24</v>
      </c>
      <c r="S8" s="4">
        <v>2300</v>
      </c>
      <c r="T8" s="4">
        <v>4600</v>
      </c>
      <c r="U8" s="4">
        <v>4300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300</v>
      </c>
      <c r="AD8" s="4">
        <v>4600</v>
      </c>
      <c r="AE8" s="4">
        <v>4300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300</v>
      </c>
      <c r="AN8" s="4">
        <v>2530</v>
      </c>
      <c r="AO8" s="4">
        <v>0</v>
      </c>
      <c r="AP8" s="4">
        <v>2530</v>
      </c>
    </row>
    <row r="9" spans="1:42" x14ac:dyDescent="0.4">
      <c r="A9" s="3" t="s">
        <v>48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49</v>
      </c>
      <c r="G9" s="3" t="s">
        <v>20</v>
      </c>
      <c r="H9" s="3" t="s">
        <v>21</v>
      </c>
      <c r="I9" s="3" t="s">
        <v>22</v>
      </c>
      <c r="J9" s="3">
        <v>46911703</v>
      </c>
      <c r="K9" s="3" t="s">
        <v>51</v>
      </c>
      <c r="L9" s="3"/>
      <c r="M9" s="3"/>
      <c r="N9" s="3" t="s">
        <v>50</v>
      </c>
      <c r="O9" s="3" t="s">
        <v>23</v>
      </c>
      <c r="P9" s="3">
        <v>0.55000000000000004</v>
      </c>
      <c r="Q9" s="3">
        <v>0.55000000000000004</v>
      </c>
      <c r="R9" s="4" t="s">
        <v>25</v>
      </c>
      <c r="S9" s="4">
        <v>100</v>
      </c>
      <c r="T9" s="4">
        <v>63300</v>
      </c>
      <c r="U9" s="4">
        <v>5800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57500</v>
      </c>
      <c r="AD9" s="4">
        <v>63300</v>
      </c>
      <c r="AE9" s="4">
        <v>5800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57500</v>
      </c>
      <c r="AN9" s="4">
        <v>34815</v>
      </c>
      <c r="AO9" s="4">
        <v>0</v>
      </c>
      <c r="AP9" s="4">
        <v>34815</v>
      </c>
    </row>
    <row r="10" spans="1:42" x14ac:dyDescent="0.4">
      <c r="A10" s="3" t="s">
        <v>48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49</v>
      </c>
      <c r="G10" s="3" t="s">
        <v>20</v>
      </c>
      <c r="H10" s="3" t="s">
        <v>21</v>
      </c>
      <c r="I10" s="3" t="s">
        <v>22</v>
      </c>
      <c r="J10" s="3">
        <v>46911703</v>
      </c>
      <c r="K10" s="3" t="s">
        <v>51</v>
      </c>
      <c r="L10" s="3"/>
      <c r="M10" s="3"/>
      <c r="N10" s="3" t="s">
        <v>50</v>
      </c>
      <c r="O10" s="3" t="s">
        <v>23</v>
      </c>
      <c r="P10" s="3">
        <v>0.55000000000000004</v>
      </c>
      <c r="Q10" s="3">
        <v>0.55000000000000004</v>
      </c>
      <c r="R10" s="4" t="s">
        <v>24</v>
      </c>
      <c r="S10" s="4">
        <v>1800</v>
      </c>
      <c r="T10" s="4">
        <v>34900</v>
      </c>
      <c r="U10" s="4">
        <v>28800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6100</v>
      </c>
      <c r="AD10" s="4">
        <v>34900</v>
      </c>
      <c r="AE10" s="4">
        <v>28800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6100</v>
      </c>
      <c r="AN10" s="4">
        <v>19195</v>
      </c>
      <c r="AO10" s="4">
        <v>0</v>
      </c>
      <c r="AP10" s="4">
        <v>19195</v>
      </c>
    </row>
    <row r="11" spans="1:42" x14ac:dyDescent="0.4">
      <c r="A11" s="3" t="s">
        <v>48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49</v>
      </c>
      <c r="G11" s="3" t="s">
        <v>20</v>
      </c>
      <c r="H11" s="3" t="s">
        <v>21</v>
      </c>
      <c r="I11" s="3" t="s">
        <v>22</v>
      </c>
      <c r="J11" s="3">
        <v>46911703</v>
      </c>
      <c r="K11" s="3" t="s">
        <v>51</v>
      </c>
      <c r="L11" s="3"/>
      <c r="M11" s="3"/>
      <c r="N11" s="3" t="s">
        <v>50</v>
      </c>
      <c r="O11" s="3" t="s">
        <v>23</v>
      </c>
      <c r="P11" s="3">
        <v>0.55000000000000004</v>
      </c>
      <c r="Q11" s="3">
        <v>0.55000000000000004</v>
      </c>
      <c r="R11" s="4" t="s">
        <v>24</v>
      </c>
      <c r="S11" s="4">
        <v>9000</v>
      </c>
      <c r="T11" s="4">
        <v>72000</v>
      </c>
      <c r="U11" s="4">
        <v>72000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72000</v>
      </c>
      <c r="AE11" s="4">
        <v>72000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39600</v>
      </c>
      <c r="AO11" s="4">
        <v>0</v>
      </c>
      <c r="AP11" s="4">
        <v>39600</v>
      </c>
    </row>
    <row r="12" spans="1:42" x14ac:dyDescent="0.4">
      <c r="A12" s="3" t="s">
        <v>48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49</v>
      </c>
      <c r="G12" s="3" t="s">
        <v>20</v>
      </c>
      <c r="H12" s="3" t="s">
        <v>21</v>
      </c>
      <c r="I12" s="3" t="s">
        <v>22</v>
      </c>
      <c r="J12" s="3">
        <v>46911703</v>
      </c>
      <c r="K12" s="3" t="s">
        <v>51</v>
      </c>
      <c r="L12" s="3"/>
      <c r="M12" s="3"/>
      <c r="N12" s="3" t="s">
        <v>50</v>
      </c>
      <c r="O12" s="3" t="s">
        <v>23</v>
      </c>
      <c r="P12" s="3">
        <v>0.55000000000000004</v>
      </c>
      <c r="Q12" s="3">
        <v>0.55000000000000004</v>
      </c>
      <c r="R12" s="4" t="s">
        <v>24</v>
      </c>
      <c r="S12" s="4">
        <v>27000</v>
      </c>
      <c r="T12" s="4">
        <v>27000</v>
      </c>
      <c r="U12" s="4">
        <v>27000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27000</v>
      </c>
      <c r="AE12" s="4">
        <v>27000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14850</v>
      </c>
      <c r="AO12" s="4">
        <v>0</v>
      </c>
      <c r="AP12" s="4">
        <v>14850</v>
      </c>
    </row>
    <row r="13" spans="1:42" x14ac:dyDescent="0.4">
      <c r="A13" s="3" t="s">
        <v>48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49</v>
      </c>
      <c r="G13" s="3" t="s">
        <v>20</v>
      </c>
      <c r="H13" s="3" t="s">
        <v>21</v>
      </c>
      <c r="I13" s="3" t="s">
        <v>22</v>
      </c>
      <c r="J13" s="3">
        <v>47226086</v>
      </c>
      <c r="K13" s="3" t="s">
        <v>54</v>
      </c>
      <c r="L13" s="3"/>
      <c r="M13" s="3"/>
      <c r="N13" s="3" t="s">
        <v>50</v>
      </c>
      <c r="O13" s="3" t="s">
        <v>23</v>
      </c>
      <c r="P13" s="3">
        <v>0.55000000000000004</v>
      </c>
      <c r="Q13" s="3">
        <v>0.55000000000000004</v>
      </c>
      <c r="R13" s="4" t="s">
        <v>25</v>
      </c>
      <c r="S13" s="4">
        <v>100</v>
      </c>
      <c r="T13" s="4">
        <v>7600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7600</v>
      </c>
      <c r="AD13" s="4">
        <v>7600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7600</v>
      </c>
      <c r="AN13" s="4">
        <v>4180</v>
      </c>
      <c r="AO13" s="4">
        <v>0</v>
      </c>
      <c r="AP13" s="4">
        <v>4180</v>
      </c>
    </row>
    <row r="14" spans="1:42" x14ac:dyDescent="0.4">
      <c r="A14" s="3" t="s">
        <v>48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49</v>
      </c>
      <c r="G14" s="3" t="s">
        <v>20</v>
      </c>
      <c r="H14" s="3" t="s">
        <v>21</v>
      </c>
      <c r="I14" s="3" t="s">
        <v>22</v>
      </c>
      <c r="J14" s="3">
        <v>47226086</v>
      </c>
      <c r="K14" s="3" t="s">
        <v>54</v>
      </c>
      <c r="L14" s="3"/>
      <c r="M14" s="3"/>
      <c r="N14" s="3" t="s">
        <v>50</v>
      </c>
      <c r="O14" s="3" t="s">
        <v>23</v>
      </c>
      <c r="P14" s="3">
        <v>0.55000000000000004</v>
      </c>
      <c r="Q14" s="3">
        <v>0.55000000000000004</v>
      </c>
      <c r="R14" s="4" t="s">
        <v>24</v>
      </c>
      <c r="S14" s="4">
        <v>1800</v>
      </c>
      <c r="T14" s="4">
        <v>9000</v>
      </c>
      <c r="U14" s="4">
        <v>3600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5400</v>
      </c>
      <c r="AD14" s="4">
        <v>9000</v>
      </c>
      <c r="AE14" s="4">
        <v>3600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5400</v>
      </c>
      <c r="AN14" s="4">
        <v>4950</v>
      </c>
      <c r="AO14" s="4">
        <v>0</v>
      </c>
      <c r="AP14" s="4">
        <v>4950</v>
      </c>
    </row>
    <row r="15" spans="1:42" x14ac:dyDescent="0.4">
      <c r="A15" s="3" t="s">
        <v>48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49</v>
      </c>
      <c r="G15" s="3" t="s">
        <v>20</v>
      </c>
      <c r="H15" s="3" t="s">
        <v>21</v>
      </c>
      <c r="I15" s="3" t="s">
        <v>22</v>
      </c>
      <c r="J15" s="3">
        <v>48362175</v>
      </c>
      <c r="K15" s="3" t="s">
        <v>53</v>
      </c>
      <c r="L15" s="3"/>
      <c r="M15" s="3"/>
      <c r="N15" s="3" t="s">
        <v>50</v>
      </c>
      <c r="O15" s="3" t="s">
        <v>23</v>
      </c>
      <c r="P15" s="3">
        <v>0.55000000000000004</v>
      </c>
      <c r="Q15" s="3">
        <v>0.55000000000000004</v>
      </c>
      <c r="R15" s="4" t="s">
        <v>25</v>
      </c>
      <c r="S15" s="4">
        <v>100</v>
      </c>
      <c r="T15" s="4">
        <v>6200</v>
      </c>
      <c r="U15" s="4">
        <v>3100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3100</v>
      </c>
      <c r="AD15" s="4">
        <v>6200</v>
      </c>
      <c r="AE15" s="4">
        <v>3100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3100</v>
      </c>
      <c r="AN15" s="4">
        <v>3410</v>
      </c>
      <c r="AO15" s="4">
        <v>0</v>
      </c>
      <c r="AP15" s="4">
        <v>3410</v>
      </c>
    </row>
    <row r="16" spans="1:42" x14ac:dyDescent="0.4">
      <c r="A16" s="3" t="s">
        <v>48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49</v>
      </c>
      <c r="G16" s="3" t="s">
        <v>20</v>
      </c>
      <c r="H16" s="3" t="s">
        <v>21</v>
      </c>
      <c r="I16" s="3" t="s">
        <v>22</v>
      </c>
      <c r="J16" s="3">
        <v>48362175</v>
      </c>
      <c r="K16" s="3" t="s">
        <v>53</v>
      </c>
      <c r="L16" s="3"/>
      <c r="M16" s="3"/>
      <c r="N16" s="3" t="s">
        <v>50</v>
      </c>
      <c r="O16" s="3" t="s">
        <v>23</v>
      </c>
      <c r="P16" s="3">
        <v>0.55000000000000004</v>
      </c>
      <c r="Q16" s="3">
        <v>0.55000000000000004</v>
      </c>
      <c r="R16" s="4" t="s">
        <v>24</v>
      </c>
      <c r="S16" s="4">
        <v>2300</v>
      </c>
      <c r="T16" s="4">
        <v>9200</v>
      </c>
      <c r="U16" s="4">
        <v>9100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100</v>
      </c>
      <c r="AD16" s="4">
        <v>9200</v>
      </c>
      <c r="AE16" s="4">
        <v>9100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100</v>
      </c>
      <c r="AN16" s="4">
        <v>5060</v>
      </c>
      <c r="AO16" s="4">
        <v>0</v>
      </c>
      <c r="AP16" s="4">
        <v>5060</v>
      </c>
    </row>
    <row r="17" spans="1:42" x14ac:dyDescent="0.4">
      <c r="A17" s="3" t="s">
        <v>48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49</v>
      </c>
      <c r="G17" s="3" t="s">
        <v>20</v>
      </c>
      <c r="H17" s="3" t="s">
        <v>21</v>
      </c>
      <c r="I17" s="3" t="s">
        <v>22</v>
      </c>
      <c r="J17" s="3">
        <v>48362175</v>
      </c>
      <c r="K17" s="3" t="s">
        <v>53</v>
      </c>
      <c r="L17" s="3"/>
      <c r="M17" s="3"/>
      <c r="N17" s="3" t="s">
        <v>50</v>
      </c>
      <c r="O17" s="3" t="s">
        <v>23</v>
      </c>
      <c r="P17" s="3">
        <v>0.55000000000000004</v>
      </c>
      <c r="Q17" s="3">
        <v>0.55000000000000004</v>
      </c>
      <c r="R17" s="4" t="s">
        <v>24</v>
      </c>
      <c r="S17" s="4">
        <v>4500</v>
      </c>
      <c r="T17" s="4">
        <v>4500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4500</v>
      </c>
      <c r="AD17" s="4">
        <v>4500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4500</v>
      </c>
      <c r="AN17" s="4">
        <v>2475</v>
      </c>
      <c r="AO17" s="4">
        <v>0</v>
      </c>
      <c r="AP17" s="4">
        <v>2475</v>
      </c>
    </row>
    <row r="18" spans="1:42" x14ac:dyDescent="0.4">
      <c r="A18" s="3" t="s">
        <v>48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49</v>
      </c>
      <c r="G18" s="3" t="s">
        <v>20</v>
      </c>
      <c r="H18" s="3" t="s">
        <v>21</v>
      </c>
      <c r="I18" s="3" t="s">
        <v>22</v>
      </c>
      <c r="J18" s="3">
        <v>48362175</v>
      </c>
      <c r="K18" s="3" t="s">
        <v>53</v>
      </c>
      <c r="L18" s="3"/>
      <c r="M18" s="3"/>
      <c r="N18" s="3" t="s">
        <v>50</v>
      </c>
      <c r="O18" s="3" t="s">
        <v>23</v>
      </c>
      <c r="P18" s="3">
        <v>0.55000000000000004</v>
      </c>
      <c r="Q18" s="3">
        <v>0.55000000000000004</v>
      </c>
      <c r="R18" s="4" t="s">
        <v>24</v>
      </c>
      <c r="S18" s="4">
        <v>9000</v>
      </c>
      <c r="T18" s="4">
        <v>9000</v>
      </c>
      <c r="U18" s="4">
        <v>9000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9000</v>
      </c>
      <c r="AE18" s="4">
        <v>9000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4950</v>
      </c>
      <c r="AO18" s="4">
        <v>0</v>
      </c>
      <c r="AP18" s="4">
        <v>4950</v>
      </c>
    </row>
    <row r="19" spans="1:42" x14ac:dyDescent="0.4">
      <c r="A19" s="3" t="s">
        <v>48</v>
      </c>
      <c r="B19" s="3" t="s">
        <v>57</v>
      </c>
      <c r="C19" s="3" t="s">
        <v>58</v>
      </c>
      <c r="D19" s="3" t="s">
        <v>59</v>
      </c>
      <c r="E19" s="3" t="s">
        <v>60</v>
      </c>
      <c r="F19" s="3" t="s">
        <v>49</v>
      </c>
      <c r="G19" s="3" t="s">
        <v>20</v>
      </c>
      <c r="H19" s="3" t="s">
        <v>21</v>
      </c>
      <c r="I19" s="3" t="s">
        <v>22</v>
      </c>
      <c r="J19" s="3">
        <v>50827118</v>
      </c>
      <c r="K19" s="3" t="s">
        <v>52</v>
      </c>
      <c r="L19" s="3"/>
      <c r="M19" s="3"/>
      <c r="N19" s="3" t="s">
        <v>50</v>
      </c>
      <c r="O19" s="3" t="s">
        <v>23</v>
      </c>
      <c r="P19" s="3">
        <v>0.55000000000000004</v>
      </c>
      <c r="Q19" s="3">
        <v>0.55000000000000004</v>
      </c>
      <c r="R19" s="4" t="s">
        <v>25</v>
      </c>
      <c r="S19" s="4">
        <v>100</v>
      </c>
      <c r="T19" s="4">
        <v>10147000</v>
      </c>
      <c r="U19" s="4">
        <v>2662450</v>
      </c>
      <c r="V19" s="4">
        <v>0</v>
      </c>
      <c r="W19" s="4">
        <v>0</v>
      </c>
      <c r="X19" s="4">
        <v>0</v>
      </c>
      <c r="Y19" s="4">
        <v>24200</v>
      </c>
      <c r="Z19" s="4">
        <v>97700</v>
      </c>
      <c r="AA19" s="4">
        <v>0</v>
      </c>
      <c r="AB19" s="4">
        <v>0</v>
      </c>
      <c r="AC19" s="4">
        <v>7362650</v>
      </c>
      <c r="AD19" s="4">
        <v>10161610</v>
      </c>
      <c r="AE19" s="4">
        <v>2662450</v>
      </c>
      <c r="AF19" s="4">
        <v>0</v>
      </c>
      <c r="AG19" s="4">
        <v>0</v>
      </c>
      <c r="AH19" s="4">
        <v>0</v>
      </c>
      <c r="AI19" s="4">
        <v>29040</v>
      </c>
      <c r="AJ19" s="4">
        <v>107470</v>
      </c>
      <c r="AK19" s="4">
        <v>0</v>
      </c>
      <c r="AL19" s="4">
        <v>0</v>
      </c>
      <c r="AM19" s="4">
        <v>7362650</v>
      </c>
      <c r="AN19" s="4">
        <v>5588886</v>
      </c>
      <c r="AO19" s="4">
        <v>0</v>
      </c>
      <c r="AP19" s="4">
        <v>5588886</v>
      </c>
    </row>
    <row r="20" spans="1:42" x14ac:dyDescent="0.4">
      <c r="A20" s="3" t="s">
        <v>48</v>
      </c>
      <c r="B20" s="3" t="s">
        <v>57</v>
      </c>
      <c r="C20" s="3" t="s">
        <v>58</v>
      </c>
      <c r="D20" s="3" t="s">
        <v>59</v>
      </c>
      <c r="E20" s="3" t="s">
        <v>60</v>
      </c>
      <c r="F20" s="3" t="s">
        <v>49</v>
      </c>
      <c r="G20" s="3" t="s">
        <v>20</v>
      </c>
      <c r="H20" s="3" t="s">
        <v>21</v>
      </c>
      <c r="I20" s="3" t="s">
        <v>22</v>
      </c>
      <c r="J20" s="3">
        <v>50827118</v>
      </c>
      <c r="K20" s="3" t="s">
        <v>52</v>
      </c>
      <c r="L20" s="3"/>
      <c r="M20" s="3"/>
      <c r="N20" s="3" t="s">
        <v>50</v>
      </c>
      <c r="O20" s="3" t="s">
        <v>23</v>
      </c>
      <c r="P20" s="3">
        <v>0.55000000000000004</v>
      </c>
      <c r="Q20" s="3">
        <v>0.55000000000000004</v>
      </c>
      <c r="R20" s="4" t="s">
        <v>24</v>
      </c>
      <c r="S20" s="4">
        <v>2700</v>
      </c>
      <c r="T20" s="4">
        <v>10669100</v>
      </c>
      <c r="U20" s="4">
        <v>8466000</v>
      </c>
      <c r="V20" s="4">
        <v>0</v>
      </c>
      <c r="W20" s="4">
        <v>0</v>
      </c>
      <c r="X20" s="4">
        <v>0</v>
      </c>
      <c r="Y20" s="4">
        <v>27100</v>
      </c>
      <c r="Z20" s="4">
        <v>257300</v>
      </c>
      <c r="AA20" s="4">
        <v>0</v>
      </c>
      <c r="AB20" s="4">
        <v>0</v>
      </c>
      <c r="AC20" s="4">
        <v>1918700</v>
      </c>
      <c r="AD20" s="4">
        <v>10700250</v>
      </c>
      <c r="AE20" s="4">
        <v>8466000</v>
      </c>
      <c r="AF20" s="4">
        <v>0</v>
      </c>
      <c r="AG20" s="4">
        <v>0</v>
      </c>
      <c r="AH20" s="4">
        <v>0</v>
      </c>
      <c r="AI20" s="4">
        <v>32520</v>
      </c>
      <c r="AJ20" s="4">
        <v>283030</v>
      </c>
      <c r="AK20" s="4">
        <v>0</v>
      </c>
      <c r="AL20" s="4">
        <v>0</v>
      </c>
      <c r="AM20" s="4">
        <v>1918700</v>
      </c>
      <c r="AN20" s="4">
        <v>5885138</v>
      </c>
      <c r="AO20" s="4">
        <v>0</v>
      </c>
      <c r="AP20" s="4">
        <v>5885138</v>
      </c>
    </row>
    <row r="21" spans="1:42" x14ac:dyDescent="0.4">
      <c r="A21" s="3" t="s">
        <v>48</v>
      </c>
      <c r="B21" s="3" t="s">
        <v>57</v>
      </c>
      <c r="C21" s="3" t="s">
        <v>58</v>
      </c>
      <c r="D21" s="3" t="s">
        <v>59</v>
      </c>
      <c r="E21" s="3" t="s">
        <v>60</v>
      </c>
      <c r="F21" s="3" t="s">
        <v>49</v>
      </c>
      <c r="G21" s="3" t="s">
        <v>20</v>
      </c>
      <c r="H21" s="3" t="s">
        <v>21</v>
      </c>
      <c r="I21" s="3" t="s">
        <v>22</v>
      </c>
      <c r="J21" s="3">
        <v>50827118</v>
      </c>
      <c r="K21" s="3" t="s">
        <v>52</v>
      </c>
      <c r="L21" s="3"/>
      <c r="M21" s="3"/>
      <c r="N21" s="3" t="s">
        <v>50</v>
      </c>
      <c r="O21" s="3" t="s">
        <v>23</v>
      </c>
      <c r="P21" s="3">
        <v>0.55000000000000004</v>
      </c>
      <c r="Q21" s="3">
        <v>0.55000000000000004</v>
      </c>
      <c r="R21" s="4" t="s">
        <v>24</v>
      </c>
      <c r="S21" s="4">
        <v>4500</v>
      </c>
      <c r="T21" s="4">
        <v>8453200</v>
      </c>
      <c r="U21" s="4">
        <v>7211870</v>
      </c>
      <c r="V21" s="4">
        <v>0</v>
      </c>
      <c r="W21" s="4">
        <v>0</v>
      </c>
      <c r="X21" s="4">
        <v>0</v>
      </c>
      <c r="Y21" s="4">
        <v>46200</v>
      </c>
      <c r="Z21" s="4">
        <v>138030</v>
      </c>
      <c r="AA21" s="4">
        <v>0</v>
      </c>
      <c r="AB21" s="4">
        <v>0</v>
      </c>
      <c r="AC21" s="4">
        <v>1057100</v>
      </c>
      <c r="AD21" s="4">
        <v>8476243</v>
      </c>
      <c r="AE21" s="4">
        <v>7211870</v>
      </c>
      <c r="AF21" s="4">
        <v>0</v>
      </c>
      <c r="AG21" s="4">
        <v>0</v>
      </c>
      <c r="AH21" s="4">
        <v>0</v>
      </c>
      <c r="AI21" s="4">
        <v>55440</v>
      </c>
      <c r="AJ21" s="4">
        <v>151833</v>
      </c>
      <c r="AK21" s="4">
        <v>0</v>
      </c>
      <c r="AL21" s="4">
        <v>0</v>
      </c>
      <c r="AM21" s="4">
        <v>1057100</v>
      </c>
      <c r="AN21" s="4">
        <v>4661934</v>
      </c>
      <c r="AO21" s="4">
        <v>0</v>
      </c>
      <c r="AP21" s="4">
        <v>4661934</v>
      </c>
    </row>
    <row r="22" spans="1:42" x14ac:dyDescent="0.4">
      <c r="A22" s="3" t="s">
        <v>48</v>
      </c>
      <c r="B22" s="3" t="s">
        <v>57</v>
      </c>
      <c r="C22" s="3" t="s">
        <v>58</v>
      </c>
      <c r="D22" s="3" t="s">
        <v>59</v>
      </c>
      <c r="E22" s="3" t="s">
        <v>60</v>
      </c>
      <c r="F22" s="3" t="s">
        <v>49</v>
      </c>
      <c r="G22" s="3" t="s">
        <v>20</v>
      </c>
      <c r="H22" s="3" t="s">
        <v>21</v>
      </c>
      <c r="I22" s="3" t="s">
        <v>22</v>
      </c>
      <c r="J22" s="3">
        <v>50827118</v>
      </c>
      <c r="K22" s="3" t="s">
        <v>52</v>
      </c>
      <c r="L22" s="3"/>
      <c r="M22" s="3"/>
      <c r="N22" s="3" t="s">
        <v>50</v>
      </c>
      <c r="O22" s="3" t="s">
        <v>23</v>
      </c>
      <c r="P22" s="3">
        <v>0.55000000000000004</v>
      </c>
      <c r="Q22" s="3">
        <v>0.55000000000000004</v>
      </c>
      <c r="R22" s="4" t="s">
        <v>24</v>
      </c>
      <c r="S22" s="4">
        <v>9000</v>
      </c>
      <c r="T22" s="4">
        <v>20116700</v>
      </c>
      <c r="U22" s="4">
        <v>17542380</v>
      </c>
      <c r="V22" s="4">
        <v>0</v>
      </c>
      <c r="W22" s="4">
        <v>0</v>
      </c>
      <c r="X22" s="4">
        <v>-2000</v>
      </c>
      <c r="Y22" s="4">
        <v>40700</v>
      </c>
      <c r="Z22" s="4">
        <v>1101170</v>
      </c>
      <c r="AA22" s="4">
        <v>0</v>
      </c>
      <c r="AB22" s="4">
        <v>0</v>
      </c>
      <c r="AC22" s="4">
        <v>1434450</v>
      </c>
      <c r="AD22" s="4">
        <v>20234344.618799999</v>
      </c>
      <c r="AE22" s="4">
        <v>17542380</v>
      </c>
      <c r="AF22" s="4">
        <v>0</v>
      </c>
      <c r="AG22" s="4">
        <v>0</v>
      </c>
      <c r="AH22" s="4">
        <v>-2612.3811999999998</v>
      </c>
      <c r="AI22" s="4">
        <v>48840</v>
      </c>
      <c r="AJ22" s="4">
        <v>1211287</v>
      </c>
      <c r="AK22" s="4">
        <v>0</v>
      </c>
      <c r="AL22" s="4">
        <v>0</v>
      </c>
      <c r="AM22" s="4">
        <v>1434450</v>
      </c>
      <c r="AN22" s="4">
        <v>11128890</v>
      </c>
      <c r="AO22" s="4">
        <v>0</v>
      </c>
      <c r="AP22" s="4">
        <v>11128890</v>
      </c>
    </row>
    <row r="23" spans="1:42" x14ac:dyDescent="0.4">
      <c r="A23" s="3" t="s">
        <v>48</v>
      </c>
      <c r="B23" s="3" t="s">
        <v>57</v>
      </c>
      <c r="C23" s="3" t="s">
        <v>58</v>
      </c>
      <c r="D23" s="3" t="s">
        <v>59</v>
      </c>
      <c r="E23" s="3" t="s">
        <v>60</v>
      </c>
      <c r="F23" s="3" t="s">
        <v>49</v>
      </c>
      <c r="G23" s="3" t="s">
        <v>20</v>
      </c>
      <c r="H23" s="3" t="s">
        <v>21</v>
      </c>
      <c r="I23" s="3" t="s">
        <v>22</v>
      </c>
      <c r="J23" s="3">
        <v>55423371</v>
      </c>
      <c r="K23" s="3" t="s">
        <v>74</v>
      </c>
      <c r="L23" s="3"/>
      <c r="M23" s="3"/>
      <c r="N23" s="3" t="s">
        <v>50</v>
      </c>
      <c r="O23" s="3" t="s">
        <v>23</v>
      </c>
      <c r="P23" s="3">
        <v>0.55000000000000004</v>
      </c>
      <c r="Q23" s="3">
        <v>0.55000000000000004</v>
      </c>
      <c r="R23" s="4" t="s">
        <v>25</v>
      </c>
      <c r="S23" s="4">
        <v>100</v>
      </c>
      <c r="T23" s="4">
        <v>15800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15800</v>
      </c>
      <c r="AD23" s="4">
        <v>15800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15800</v>
      </c>
      <c r="AN23" s="4">
        <v>8690</v>
      </c>
      <c r="AO23" s="4">
        <v>0</v>
      </c>
      <c r="AP23" s="4">
        <v>8690</v>
      </c>
    </row>
    <row r="24" spans="1:42" x14ac:dyDescent="0.4">
      <c r="A24" s="3" t="s">
        <v>48</v>
      </c>
      <c r="B24" s="3" t="s">
        <v>57</v>
      </c>
      <c r="C24" s="3" t="s">
        <v>58</v>
      </c>
      <c r="D24" s="3" t="s">
        <v>59</v>
      </c>
      <c r="E24" s="3" t="s">
        <v>60</v>
      </c>
      <c r="F24" s="3" t="s">
        <v>49</v>
      </c>
      <c r="G24" s="3" t="s">
        <v>20</v>
      </c>
      <c r="H24" s="3" t="s">
        <v>21</v>
      </c>
      <c r="I24" s="3" t="s">
        <v>22</v>
      </c>
      <c r="J24" s="3">
        <v>55879886</v>
      </c>
      <c r="K24" s="3" t="s">
        <v>61</v>
      </c>
      <c r="L24" s="3"/>
      <c r="M24" s="3"/>
      <c r="N24" s="3" t="s">
        <v>50</v>
      </c>
      <c r="O24" s="3" t="s">
        <v>23</v>
      </c>
      <c r="P24" s="3">
        <v>0.55000000000000004</v>
      </c>
      <c r="Q24" s="3">
        <v>0.55000000000000004</v>
      </c>
      <c r="R24" s="4" t="s">
        <v>25</v>
      </c>
      <c r="S24" s="4">
        <v>3200</v>
      </c>
      <c r="T24" s="4">
        <v>2176000</v>
      </c>
      <c r="U24" s="4">
        <v>1667650</v>
      </c>
      <c r="V24" s="4">
        <v>0</v>
      </c>
      <c r="W24" s="4">
        <v>0</v>
      </c>
      <c r="X24" s="4">
        <v>0</v>
      </c>
      <c r="Y24" s="4">
        <v>28200</v>
      </c>
      <c r="Z24" s="4">
        <v>313250</v>
      </c>
      <c r="AA24" s="4">
        <v>0</v>
      </c>
      <c r="AB24" s="4">
        <v>0</v>
      </c>
      <c r="AC24" s="4">
        <v>166900</v>
      </c>
      <c r="AD24" s="4">
        <v>2212965</v>
      </c>
      <c r="AE24" s="4">
        <v>1667650</v>
      </c>
      <c r="AF24" s="4">
        <v>0</v>
      </c>
      <c r="AG24" s="4">
        <v>0</v>
      </c>
      <c r="AH24" s="4">
        <v>0</v>
      </c>
      <c r="AI24" s="4">
        <v>33840</v>
      </c>
      <c r="AJ24" s="4">
        <v>344575</v>
      </c>
      <c r="AK24" s="4">
        <v>0</v>
      </c>
      <c r="AL24" s="4">
        <v>0</v>
      </c>
      <c r="AM24" s="4">
        <v>166900</v>
      </c>
      <c r="AN24" s="4">
        <v>1217131</v>
      </c>
      <c r="AO24" s="4">
        <v>0</v>
      </c>
      <c r="AP24" s="4">
        <v>1217131</v>
      </c>
    </row>
    <row r="25" spans="1:42" x14ac:dyDescent="0.4">
      <c r="A25" s="3" t="s">
        <v>48</v>
      </c>
      <c r="B25" s="3" t="s">
        <v>57</v>
      </c>
      <c r="C25" s="3" t="s">
        <v>58</v>
      </c>
      <c r="D25" s="3" t="s">
        <v>59</v>
      </c>
      <c r="E25" s="3" t="s">
        <v>60</v>
      </c>
      <c r="F25" s="3" t="s">
        <v>49</v>
      </c>
      <c r="G25" s="3" t="s">
        <v>20</v>
      </c>
      <c r="H25" s="3" t="s">
        <v>21</v>
      </c>
      <c r="I25" s="3" t="s">
        <v>22</v>
      </c>
      <c r="J25" s="3">
        <v>55879886</v>
      </c>
      <c r="K25" s="3" t="s">
        <v>61</v>
      </c>
      <c r="L25" s="3"/>
      <c r="M25" s="3"/>
      <c r="N25" s="3" t="s">
        <v>50</v>
      </c>
      <c r="O25" s="3" t="s">
        <v>23</v>
      </c>
      <c r="P25" s="3">
        <v>0.55000000000000004</v>
      </c>
      <c r="Q25" s="3">
        <v>0.55000000000000004</v>
      </c>
      <c r="R25" s="4" t="s">
        <v>24</v>
      </c>
      <c r="S25" s="4">
        <v>67200</v>
      </c>
      <c r="T25" s="4">
        <v>134400</v>
      </c>
      <c r="U25" s="4">
        <v>134400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134400</v>
      </c>
      <c r="AE25" s="4">
        <v>134400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73920</v>
      </c>
      <c r="AO25" s="4">
        <v>0</v>
      </c>
      <c r="AP25" s="4">
        <v>73920</v>
      </c>
    </row>
    <row r="26" spans="1:42" x14ac:dyDescent="0.4">
      <c r="A26" s="3" t="s">
        <v>48</v>
      </c>
      <c r="B26" s="3" t="s">
        <v>57</v>
      </c>
      <c r="C26" s="3" t="s">
        <v>58</v>
      </c>
      <c r="D26" s="3" t="s">
        <v>59</v>
      </c>
      <c r="E26" s="3" t="s">
        <v>60</v>
      </c>
      <c r="F26" s="3" t="s">
        <v>49</v>
      </c>
      <c r="G26" s="3" t="s">
        <v>20</v>
      </c>
      <c r="H26" s="3" t="s">
        <v>21</v>
      </c>
      <c r="I26" s="3" t="s">
        <v>22</v>
      </c>
      <c r="J26" s="3">
        <v>56499021</v>
      </c>
      <c r="K26" s="3" t="s">
        <v>64</v>
      </c>
      <c r="L26" s="3"/>
      <c r="M26" s="3"/>
      <c r="N26" s="3" t="s">
        <v>50</v>
      </c>
      <c r="O26" s="3" t="s">
        <v>23</v>
      </c>
      <c r="P26" s="3">
        <v>0.55000000000000004</v>
      </c>
      <c r="Q26" s="3">
        <v>0.55000000000000004</v>
      </c>
      <c r="R26" s="4" t="s">
        <v>25</v>
      </c>
      <c r="S26" s="4">
        <v>3200</v>
      </c>
      <c r="T26" s="4">
        <v>6400</v>
      </c>
      <c r="U26" s="4">
        <v>6300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100</v>
      </c>
      <c r="AD26" s="4">
        <v>6400</v>
      </c>
      <c r="AE26" s="4">
        <v>6300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100</v>
      </c>
      <c r="AN26" s="4">
        <v>3520</v>
      </c>
      <c r="AO26" s="4">
        <v>0</v>
      </c>
      <c r="AP26" s="4">
        <v>3520</v>
      </c>
    </row>
    <row r="27" spans="1:42" x14ac:dyDescent="0.4">
      <c r="A27" s="3" t="s">
        <v>48</v>
      </c>
      <c r="B27" s="3" t="s">
        <v>57</v>
      </c>
      <c r="C27" s="3" t="s">
        <v>58</v>
      </c>
      <c r="D27" s="3" t="s">
        <v>59</v>
      </c>
      <c r="E27" s="3" t="s">
        <v>60</v>
      </c>
      <c r="F27" s="3" t="s">
        <v>49</v>
      </c>
      <c r="G27" s="3" t="s">
        <v>20</v>
      </c>
      <c r="H27" s="3" t="s">
        <v>21</v>
      </c>
      <c r="I27" s="3" t="s">
        <v>22</v>
      </c>
      <c r="J27" s="3">
        <v>56499021</v>
      </c>
      <c r="K27" s="3" t="s">
        <v>64</v>
      </c>
      <c r="L27" s="3"/>
      <c r="M27" s="3"/>
      <c r="N27" s="3" t="s">
        <v>50</v>
      </c>
      <c r="O27" s="3" t="s">
        <v>23</v>
      </c>
      <c r="P27" s="3">
        <v>0.55000000000000004</v>
      </c>
      <c r="Q27" s="3">
        <v>0.55000000000000004</v>
      </c>
      <c r="R27" s="4" t="s">
        <v>63</v>
      </c>
      <c r="S27" s="4">
        <v>900</v>
      </c>
      <c r="T27" s="4">
        <v>82800</v>
      </c>
      <c r="U27" s="4">
        <v>54200</v>
      </c>
      <c r="V27" s="4">
        <v>0</v>
      </c>
      <c r="W27" s="4">
        <v>0</v>
      </c>
      <c r="X27" s="4">
        <v>0</v>
      </c>
      <c r="Y27" s="4">
        <v>750</v>
      </c>
      <c r="Z27" s="4">
        <v>4950</v>
      </c>
      <c r="AA27" s="4">
        <v>0</v>
      </c>
      <c r="AB27" s="4">
        <v>0</v>
      </c>
      <c r="AC27" s="4">
        <v>22900</v>
      </c>
      <c r="AD27" s="4">
        <v>83445</v>
      </c>
      <c r="AE27" s="4">
        <v>54200</v>
      </c>
      <c r="AF27" s="4">
        <v>0</v>
      </c>
      <c r="AG27" s="4">
        <v>0</v>
      </c>
      <c r="AH27" s="4">
        <v>0</v>
      </c>
      <c r="AI27" s="4">
        <v>900</v>
      </c>
      <c r="AJ27" s="4">
        <v>5445</v>
      </c>
      <c r="AK27" s="4">
        <v>0</v>
      </c>
      <c r="AL27" s="4">
        <v>0</v>
      </c>
      <c r="AM27" s="4">
        <v>22900</v>
      </c>
      <c r="AN27" s="4">
        <v>45895</v>
      </c>
      <c r="AO27" s="4">
        <v>0</v>
      </c>
      <c r="AP27" s="4">
        <v>45895</v>
      </c>
    </row>
    <row r="28" spans="1:42" x14ac:dyDescent="0.4">
      <c r="A28" s="3" t="s">
        <v>48</v>
      </c>
      <c r="B28" s="3" t="s">
        <v>57</v>
      </c>
      <c r="C28" s="3" t="s">
        <v>58</v>
      </c>
      <c r="D28" s="3" t="s">
        <v>59</v>
      </c>
      <c r="E28" s="3" t="s">
        <v>60</v>
      </c>
      <c r="F28" s="3" t="s">
        <v>49</v>
      </c>
      <c r="G28" s="3" t="s">
        <v>20</v>
      </c>
      <c r="H28" s="3" t="s">
        <v>21</v>
      </c>
      <c r="I28" s="3" t="s">
        <v>22</v>
      </c>
      <c r="J28" s="3">
        <v>56499157</v>
      </c>
      <c r="K28" s="3" t="s">
        <v>62</v>
      </c>
      <c r="L28" s="3"/>
      <c r="M28" s="3"/>
      <c r="N28" s="3" t="s">
        <v>50</v>
      </c>
      <c r="O28" s="3" t="s">
        <v>23</v>
      </c>
      <c r="P28" s="3">
        <v>0.55000000000000004</v>
      </c>
      <c r="Q28" s="3">
        <v>0.55000000000000004</v>
      </c>
      <c r="R28" s="4" t="s">
        <v>63</v>
      </c>
      <c r="S28" s="4">
        <v>900</v>
      </c>
      <c r="T28" s="4">
        <v>23400</v>
      </c>
      <c r="U28" s="4">
        <v>16200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7200</v>
      </c>
      <c r="AD28" s="4">
        <v>23400</v>
      </c>
      <c r="AE28" s="4">
        <v>16200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7200</v>
      </c>
      <c r="AN28" s="4">
        <v>12870</v>
      </c>
      <c r="AO28" s="4">
        <v>0</v>
      </c>
      <c r="AP28" s="4">
        <v>12870</v>
      </c>
    </row>
    <row r="29" spans="1:42" x14ac:dyDescent="0.4">
      <c r="A29" s="3" t="s">
        <v>48</v>
      </c>
      <c r="B29" s="3" t="s">
        <v>57</v>
      </c>
      <c r="C29" s="3" t="s">
        <v>58</v>
      </c>
      <c r="D29" s="3" t="s">
        <v>59</v>
      </c>
      <c r="E29" s="3" t="s">
        <v>60</v>
      </c>
      <c r="F29" s="3" t="s">
        <v>49</v>
      </c>
      <c r="G29" s="3" t="s">
        <v>20</v>
      </c>
      <c r="H29" s="3" t="s">
        <v>21</v>
      </c>
      <c r="I29" s="3" t="s">
        <v>22</v>
      </c>
      <c r="J29" s="3">
        <v>56499157</v>
      </c>
      <c r="K29" s="3" t="s">
        <v>62</v>
      </c>
      <c r="L29" s="3"/>
      <c r="M29" s="3"/>
      <c r="N29" s="3" t="s">
        <v>50</v>
      </c>
      <c r="O29" s="3" t="s">
        <v>23</v>
      </c>
      <c r="P29" s="3">
        <v>0.55000000000000004</v>
      </c>
      <c r="Q29" s="3">
        <v>0.55000000000000004</v>
      </c>
      <c r="R29" s="4" t="s">
        <v>76</v>
      </c>
      <c r="S29" s="4">
        <v>7200</v>
      </c>
      <c r="T29" s="4">
        <v>7200</v>
      </c>
      <c r="U29" s="4">
        <v>6900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300</v>
      </c>
      <c r="AD29" s="4">
        <v>7200</v>
      </c>
      <c r="AE29" s="4">
        <v>6900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300</v>
      </c>
      <c r="AN29" s="4">
        <v>3960</v>
      </c>
      <c r="AO29" s="4">
        <v>0</v>
      </c>
      <c r="AP29" s="4">
        <v>3960</v>
      </c>
    </row>
    <row r="30" spans="1:42" x14ac:dyDescent="0.4">
      <c r="A30" s="3" t="s">
        <v>48</v>
      </c>
      <c r="B30" s="3" t="s">
        <v>57</v>
      </c>
      <c r="C30" s="3" t="s">
        <v>58</v>
      </c>
      <c r="D30" s="3" t="s">
        <v>59</v>
      </c>
      <c r="E30" s="3" t="s">
        <v>60</v>
      </c>
      <c r="F30" s="3" t="s">
        <v>49</v>
      </c>
      <c r="G30" s="3" t="s">
        <v>20</v>
      </c>
      <c r="H30" s="3" t="s">
        <v>21</v>
      </c>
      <c r="I30" s="3" t="s">
        <v>22</v>
      </c>
      <c r="J30" s="3">
        <v>56499706</v>
      </c>
      <c r="K30" s="3" t="s">
        <v>81</v>
      </c>
      <c r="L30" s="3"/>
      <c r="M30" s="3"/>
      <c r="N30" s="3" t="s">
        <v>50</v>
      </c>
      <c r="O30" s="3" t="s">
        <v>23</v>
      </c>
      <c r="P30" s="3">
        <v>0.55000000000000004</v>
      </c>
      <c r="Q30" s="3">
        <v>0.55000000000000004</v>
      </c>
      <c r="R30" s="4" t="s">
        <v>25</v>
      </c>
      <c r="S30" s="4">
        <v>3200</v>
      </c>
      <c r="T30" s="4">
        <v>6400</v>
      </c>
      <c r="U30" s="4">
        <v>6400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6400</v>
      </c>
      <c r="AE30" s="4">
        <v>6400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3520</v>
      </c>
      <c r="AO30" s="4">
        <v>0</v>
      </c>
      <c r="AP30" s="4">
        <v>3520</v>
      </c>
    </row>
    <row r="31" spans="1:42" x14ac:dyDescent="0.4">
      <c r="A31" s="3" t="s">
        <v>48</v>
      </c>
      <c r="B31" s="3" t="s">
        <v>57</v>
      </c>
      <c r="C31" s="3" t="s">
        <v>58</v>
      </c>
      <c r="D31" s="3" t="s">
        <v>59</v>
      </c>
      <c r="E31" s="3" t="s">
        <v>60</v>
      </c>
      <c r="F31" s="3" t="s">
        <v>49</v>
      </c>
      <c r="G31" s="3" t="s">
        <v>20</v>
      </c>
      <c r="H31" s="3" t="s">
        <v>21</v>
      </c>
      <c r="I31" s="3" t="s">
        <v>22</v>
      </c>
      <c r="J31" s="3">
        <v>56499756</v>
      </c>
      <c r="K31" s="3" t="s">
        <v>75</v>
      </c>
      <c r="L31" s="3"/>
      <c r="M31" s="3"/>
      <c r="N31" s="3" t="s">
        <v>50</v>
      </c>
      <c r="O31" s="3" t="s">
        <v>23</v>
      </c>
      <c r="P31" s="3">
        <v>0.55000000000000004</v>
      </c>
      <c r="Q31" s="3">
        <v>0.55000000000000004</v>
      </c>
      <c r="R31" s="4" t="s">
        <v>25</v>
      </c>
      <c r="S31" s="4">
        <v>3200</v>
      </c>
      <c r="T31" s="4">
        <v>51200</v>
      </c>
      <c r="U31" s="4">
        <v>50500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700</v>
      </c>
      <c r="AD31" s="4">
        <v>51200</v>
      </c>
      <c r="AE31" s="4">
        <v>50500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700</v>
      </c>
      <c r="AN31" s="4">
        <v>28160</v>
      </c>
      <c r="AO31" s="4">
        <v>0</v>
      </c>
      <c r="AP31" s="4">
        <v>28160</v>
      </c>
    </row>
    <row r="32" spans="1:42" x14ac:dyDescent="0.4">
      <c r="A32" s="3" t="s">
        <v>48</v>
      </c>
      <c r="B32" s="3" t="s">
        <v>57</v>
      </c>
      <c r="C32" s="3" t="s">
        <v>58</v>
      </c>
      <c r="D32" s="3" t="s">
        <v>59</v>
      </c>
      <c r="E32" s="3" t="s">
        <v>60</v>
      </c>
      <c r="F32" s="3" t="s">
        <v>49</v>
      </c>
      <c r="G32" s="3" t="s">
        <v>20</v>
      </c>
      <c r="H32" s="3" t="s">
        <v>21</v>
      </c>
      <c r="I32" s="3" t="s">
        <v>22</v>
      </c>
      <c r="J32" s="3">
        <v>56529116</v>
      </c>
      <c r="K32" s="3" t="s">
        <v>65</v>
      </c>
      <c r="L32" s="3"/>
      <c r="M32" s="3"/>
      <c r="N32" s="3" t="s">
        <v>50</v>
      </c>
      <c r="O32" s="3" t="s">
        <v>23</v>
      </c>
      <c r="P32" s="3">
        <v>0.55000000000000004</v>
      </c>
      <c r="Q32" s="3">
        <v>0.55000000000000004</v>
      </c>
      <c r="R32" s="4" t="s">
        <v>63</v>
      </c>
      <c r="S32" s="4">
        <v>900</v>
      </c>
      <c r="T32" s="4">
        <v>99000</v>
      </c>
      <c r="U32" s="4">
        <v>63500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35500</v>
      </c>
      <c r="AD32" s="4">
        <v>99000</v>
      </c>
      <c r="AE32" s="4">
        <v>63500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35500</v>
      </c>
      <c r="AN32" s="4">
        <v>54450</v>
      </c>
      <c r="AO32" s="4">
        <v>0</v>
      </c>
      <c r="AP32" s="4">
        <v>54450</v>
      </c>
    </row>
    <row r="33" spans="1:42" x14ac:dyDescent="0.4">
      <c r="A33" s="3" t="s">
        <v>48</v>
      </c>
      <c r="B33" s="3" t="s">
        <v>57</v>
      </c>
      <c r="C33" s="3" t="s">
        <v>58</v>
      </c>
      <c r="D33" s="3" t="s">
        <v>59</v>
      </c>
      <c r="E33" s="3" t="s">
        <v>60</v>
      </c>
      <c r="F33" s="3" t="s">
        <v>49</v>
      </c>
      <c r="G33" s="3" t="s">
        <v>20</v>
      </c>
      <c r="H33" s="3" t="s">
        <v>21</v>
      </c>
      <c r="I33" s="3" t="s">
        <v>22</v>
      </c>
      <c r="J33" s="3">
        <v>56529116</v>
      </c>
      <c r="K33" s="3" t="s">
        <v>65</v>
      </c>
      <c r="L33" s="3"/>
      <c r="M33" s="3"/>
      <c r="N33" s="3" t="s">
        <v>50</v>
      </c>
      <c r="O33" s="3" t="s">
        <v>23</v>
      </c>
      <c r="P33" s="3">
        <v>0.55000000000000004</v>
      </c>
      <c r="Q33" s="3">
        <v>0.55000000000000004</v>
      </c>
      <c r="R33" s="4" t="s">
        <v>76</v>
      </c>
      <c r="S33" s="4">
        <v>26100</v>
      </c>
      <c r="T33" s="4">
        <v>-3600</v>
      </c>
      <c r="U33" s="4">
        <v>-3600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-3600</v>
      </c>
      <c r="AE33" s="4">
        <v>-3600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-1980</v>
      </c>
      <c r="AO33" s="4">
        <v>0</v>
      </c>
      <c r="AP33" s="4">
        <v>-1980</v>
      </c>
    </row>
    <row r="34" spans="1:42" x14ac:dyDescent="0.4">
      <c r="A34" s="3" t="s">
        <v>48</v>
      </c>
      <c r="B34" s="3" t="s">
        <v>57</v>
      </c>
      <c r="C34" s="3" t="s">
        <v>58</v>
      </c>
      <c r="D34" s="3" t="s">
        <v>59</v>
      </c>
      <c r="E34" s="3" t="s">
        <v>60</v>
      </c>
      <c r="F34" s="3" t="s">
        <v>49</v>
      </c>
      <c r="G34" s="3" t="s">
        <v>20</v>
      </c>
      <c r="H34" s="3" t="s">
        <v>21</v>
      </c>
      <c r="I34" s="3" t="s">
        <v>22</v>
      </c>
      <c r="J34" s="3">
        <v>56529166</v>
      </c>
      <c r="K34" s="3" t="s">
        <v>66</v>
      </c>
      <c r="L34" s="3"/>
      <c r="M34" s="3"/>
      <c r="N34" s="3" t="s">
        <v>50</v>
      </c>
      <c r="O34" s="3" t="s">
        <v>23</v>
      </c>
      <c r="P34" s="3">
        <v>0.55000000000000004</v>
      </c>
      <c r="Q34" s="3">
        <v>0.55000000000000004</v>
      </c>
      <c r="R34" s="4" t="s">
        <v>63</v>
      </c>
      <c r="S34" s="4">
        <v>900</v>
      </c>
      <c r="T34" s="4">
        <v>45000</v>
      </c>
      <c r="U34" s="4">
        <v>33950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11050</v>
      </c>
      <c r="AD34" s="4">
        <v>45000</v>
      </c>
      <c r="AE34" s="4">
        <v>33950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11050</v>
      </c>
      <c r="AN34" s="4">
        <v>24750</v>
      </c>
      <c r="AO34" s="4">
        <v>0</v>
      </c>
      <c r="AP34" s="4">
        <v>24750</v>
      </c>
    </row>
    <row r="35" spans="1:42" x14ac:dyDescent="0.4">
      <c r="A35" s="3" t="s">
        <v>48</v>
      </c>
      <c r="B35" s="3" t="s">
        <v>57</v>
      </c>
      <c r="C35" s="3" t="s">
        <v>58</v>
      </c>
      <c r="D35" s="3" t="s">
        <v>59</v>
      </c>
      <c r="E35" s="3" t="s">
        <v>60</v>
      </c>
      <c r="F35" s="3" t="s">
        <v>49</v>
      </c>
      <c r="G35" s="3" t="s">
        <v>20</v>
      </c>
      <c r="H35" s="3" t="s">
        <v>21</v>
      </c>
      <c r="I35" s="3" t="s">
        <v>22</v>
      </c>
      <c r="J35" s="3">
        <v>56540396</v>
      </c>
      <c r="K35" s="3" t="s">
        <v>67</v>
      </c>
      <c r="L35" s="3"/>
      <c r="M35" s="3"/>
      <c r="N35" s="3" t="s">
        <v>50</v>
      </c>
      <c r="O35" s="3" t="s">
        <v>23</v>
      </c>
      <c r="P35" s="3">
        <v>0.55000000000000004</v>
      </c>
      <c r="Q35" s="3">
        <v>0.55000000000000004</v>
      </c>
      <c r="R35" s="4" t="s">
        <v>25</v>
      </c>
      <c r="S35" s="4">
        <v>3200</v>
      </c>
      <c r="T35" s="4">
        <v>28800</v>
      </c>
      <c r="U35" s="4">
        <v>25600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3200</v>
      </c>
      <c r="AD35" s="4">
        <v>28800</v>
      </c>
      <c r="AE35" s="4">
        <v>25600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3200</v>
      </c>
      <c r="AN35" s="4">
        <v>15840</v>
      </c>
      <c r="AO35" s="4">
        <v>0</v>
      </c>
      <c r="AP35" s="4">
        <v>15840</v>
      </c>
    </row>
    <row r="36" spans="1:42" x14ac:dyDescent="0.4">
      <c r="A36" s="3" t="s">
        <v>48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49</v>
      </c>
      <c r="G36" s="3" t="s">
        <v>20</v>
      </c>
      <c r="H36" s="3" t="s">
        <v>21</v>
      </c>
      <c r="I36" s="3" t="s">
        <v>22</v>
      </c>
      <c r="J36" s="3">
        <v>56540396</v>
      </c>
      <c r="K36" s="3" t="s">
        <v>67</v>
      </c>
      <c r="L36" s="3"/>
      <c r="M36" s="3"/>
      <c r="N36" s="3" t="s">
        <v>50</v>
      </c>
      <c r="O36" s="3" t="s">
        <v>23</v>
      </c>
      <c r="P36" s="3">
        <v>0.55000000000000004</v>
      </c>
      <c r="Q36" s="3">
        <v>0.55000000000000004</v>
      </c>
      <c r="R36" s="4" t="s">
        <v>63</v>
      </c>
      <c r="S36" s="4">
        <v>900</v>
      </c>
      <c r="T36" s="4">
        <v>35100</v>
      </c>
      <c r="U36" s="4">
        <v>28300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6800</v>
      </c>
      <c r="AD36" s="4">
        <v>35100</v>
      </c>
      <c r="AE36" s="4">
        <v>28300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6800</v>
      </c>
      <c r="AN36" s="4">
        <v>19305</v>
      </c>
      <c r="AO36" s="4">
        <v>0</v>
      </c>
      <c r="AP36" s="4">
        <v>19305</v>
      </c>
    </row>
    <row r="37" spans="1:42" x14ac:dyDescent="0.4">
      <c r="A37" s="3" t="s">
        <v>48</v>
      </c>
      <c r="B37" s="3" t="s">
        <v>57</v>
      </c>
      <c r="C37" s="3" t="s">
        <v>58</v>
      </c>
      <c r="D37" s="3" t="s">
        <v>59</v>
      </c>
      <c r="E37" s="3" t="s">
        <v>60</v>
      </c>
      <c r="F37" s="3" t="s">
        <v>49</v>
      </c>
      <c r="G37" s="3" t="s">
        <v>20</v>
      </c>
      <c r="H37" s="3" t="s">
        <v>21</v>
      </c>
      <c r="I37" s="3" t="s">
        <v>22</v>
      </c>
      <c r="J37" s="3">
        <v>56540480</v>
      </c>
      <c r="K37" s="3" t="s">
        <v>87</v>
      </c>
      <c r="L37" s="3"/>
      <c r="M37" s="3"/>
      <c r="N37" s="3" t="s">
        <v>50</v>
      </c>
      <c r="O37" s="3" t="s">
        <v>23</v>
      </c>
      <c r="P37" s="3">
        <v>0.55000000000000004</v>
      </c>
      <c r="Q37" s="3">
        <v>0.55000000000000004</v>
      </c>
      <c r="R37" s="4" t="s">
        <v>63</v>
      </c>
      <c r="S37" s="4">
        <v>900</v>
      </c>
      <c r="T37" s="4">
        <v>19800</v>
      </c>
      <c r="U37" s="4">
        <v>18700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1100</v>
      </c>
      <c r="AD37" s="4">
        <v>19800</v>
      </c>
      <c r="AE37" s="4">
        <v>18700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1100</v>
      </c>
      <c r="AN37" s="4">
        <v>10890</v>
      </c>
      <c r="AO37" s="4">
        <v>0</v>
      </c>
      <c r="AP37" s="4">
        <v>10890</v>
      </c>
    </row>
    <row r="38" spans="1:42" x14ac:dyDescent="0.4">
      <c r="A38" s="3" t="s">
        <v>48</v>
      </c>
      <c r="B38" s="3" t="s">
        <v>57</v>
      </c>
      <c r="C38" s="3" t="s">
        <v>58</v>
      </c>
      <c r="D38" s="3" t="s">
        <v>59</v>
      </c>
      <c r="E38" s="3" t="s">
        <v>83</v>
      </c>
      <c r="F38" s="3" t="s">
        <v>49</v>
      </c>
      <c r="G38" s="3" t="s">
        <v>20</v>
      </c>
      <c r="H38" s="3" t="s">
        <v>21</v>
      </c>
      <c r="I38" s="3" t="s">
        <v>22</v>
      </c>
      <c r="J38" s="3">
        <v>58620838</v>
      </c>
      <c r="K38" s="3" t="s">
        <v>84</v>
      </c>
      <c r="L38" s="3"/>
      <c r="M38" s="3"/>
      <c r="N38" s="3" t="s">
        <v>85</v>
      </c>
      <c r="O38" s="3" t="s">
        <v>23</v>
      </c>
      <c r="P38" s="3">
        <v>0.55000000000000004</v>
      </c>
      <c r="Q38" s="3">
        <v>0.55000000000000004</v>
      </c>
      <c r="R38" s="4" t="s">
        <v>25</v>
      </c>
      <c r="S38" s="4">
        <v>100</v>
      </c>
      <c r="T38" s="4">
        <v>1140800</v>
      </c>
      <c r="U38" s="4">
        <v>740900</v>
      </c>
      <c r="V38" s="4">
        <v>0</v>
      </c>
      <c r="W38" s="4">
        <v>0</v>
      </c>
      <c r="X38" s="4">
        <v>0</v>
      </c>
      <c r="Y38" s="4">
        <v>11000</v>
      </c>
      <c r="Z38" s="4">
        <v>52950</v>
      </c>
      <c r="AA38" s="4">
        <v>0</v>
      </c>
      <c r="AB38" s="4">
        <v>0</v>
      </c>
      <c r="AC38" s="4">
        <v>335950</v>
      </c>
      <c r="AD38" s="4">
        <v>1148295</v>
      </c>
      <c r="AE38" s="4">
        <v>740900</v>
      </c>
      <c r="AF38" s="4">
        <v>0</v>
      </c>
      <c r="AG38" s="4">
        <v>0</v>
      </c>
      <c r="AH38" s="4">
        <v>0</v>
      </c>
      <c r="AI38" s="4">
        <v>13200</v>
      </c>
      <c r="AJ38" s="4">
        <v>58245</v>
      </c>
      <c r="AK38" s="4">
        <v>0</v>
      </c>
      <c r="AL38" s="4">
        <v>0</v>
      </c>
      <c r="AM38" s="4">
        <v>335950</v>
      </c>
      <c r="AN38" s="4">
        <v>631562</v>
      </c>
      <c r="AO38" s="4">
        <v>0</v>
      </c>
      <c r="AP38" s="4">
        <v>631562</v>
      </c>
    </row>
    <row r="39" spans="1:42" x14ac:dyDescent="0.4">
      <c r="A39" s="3" t="s">
        <v>48</v>
      </c>
      <c r="B39" s="3" t="s">
        <v>57</v>
      </c>
      <c r="C39" s="3" t="s">
        <v>58</v>
      </c>
      <c r="D39" s="3" t="s">
        <v>59</v>
      </c>
      <c r="E39" s="3" t="s">
        <v>83</v>
      </c>
      <c r="F39" s="3" t="s">
        <v>49</v>
      </c>
      <c r="G39" s="3" t="s">
        <v>20</v>
      </c>
      <c r="H39" s="3" t="s">
        <v>21</v>
      </c>
      <c r="I39" s="3" t="s">
        <v>22</v>
      </c>
      <c r="J39" s="3">
        <v>58620838</v>
      </c>
      <c r="K39" s="3" t="s">
        <v>84</v>
      </c>
      <c r="L39" s="3"/>
      <c r="M39" s="3"/>
      <c r="N39" s="3" t="s">
        <v>85</v>
      </c>
      <c r="O39" s="3" t="s">
        <v>23</v>
      </c>
      <c r="P39" s="3">
        <v>0.55000000000000004</v>
      </c>
      <c r="Q39" s="3">
        <v>0.55000000000000004</v>
      </c>
      <c r="R39" s="4" t="s">
        <v>86</v>
      </c>
      <c r="S39" s="4">
        <v>100</v>
      </c>
      <c r="T39" s="4">
        <v>687100</v>
      </c>
      <c r="U39" s="4">
        <v>408650</v>
      </c>
      <c r="V39" s="4">
        <v>0</v>
      </c>
      <c r="W39" s="4">
        <v>0</v>
      </c>
      <c r="X39" s="4">
        <v>100</v>
      </c>
      <c r="Y39" s="4">
        <v>8000</v>
      </c>
      <c r="Z39" s="4">
        <v>24400</v>
      </c>
      <c r="AA39" s="4">
        <v>0</v>
      </c>
      <c r="AB39" s="4">
        <v>0</v>
      </c>
      <c r="AC39" s="4">
        <v>245950</v>
      </c>
      <c r="AD39" s="4">
        <v>691170.61910000001</v>
      </c>
      <c r="AE39" s="4">
        <v>408650</v>
      </c>
      <c r="AF39" s="4">
        <v>0</v>
      </c>
      <c r="AG39" s="4">
        <v>0</v>
      </c>
      <c r="AH39" s="4">
        <v>130.6191</v>
      </c>
      <c r="AI39" s="4">
        <v>9600</v>
      </c>
      <c r="AJ39" s="4">
        <v>26840</v>
      </c>
      <c r="AK39" s="4">
        <v>0</v>
      </c>
      <c r="AL39" s="4">
        <v>0</v>
      </c>
      <c r="AM39" s="4">
        <v>245950</v>
      </c>
      <c r="AN39" s="4">
        <v>380144</v>
      </c>
      <c r="AO39" s="4">
        <v>0</v>
      </c>
      <c r="AP39" s="4">
        <v>380144</v>
      </c>
    </row>
    <row r="40" spans="1:42" x14ac:dyDescent="0.4">
      <c r="A40" s="3" t="s">
        <v>48</v>
      </c>
      <c r="B40" s="3" t="s">
        <v>57</v>
      </c>
      <c r="C40" s="3" t="s">
        <v>58</v>
      </c>
      <c r="D40" s="3" t="s">
        <v>59</v>
      </c>
      <c r="E40" s="3" t="s">
        <v>77</v>
      </c>
      <c r="F40" s="3" t="s">
        <v>49</v>
      </c>
      <c r="G40" s="3" t="s">
        <v>20</v>
      </c>
      <c r="H40" s="3" t="s">
        <v>21</v>
      </c>
      <c r="I40" s="3" t="s">
        <v>22</v>
      </c>
      <c r="J40" s="3">
        <v>58140713</v>
      </c>
      <c r="K40" s="3" t="s">
        <v>78</v>
      </c>
      <c r="L40" s="3"/>
      <c r="M40" s="3"/>
      <c r="N40" s="3" t="s">
        <v>79</v>
      </c>
      <c r="O40" s="3" t="s">
        <v>23</v>
      </c>
      <c r="P40" s="3">
        <v>0.55000000000000004</v>
      </c>
      <c r="Q40" s="3">
        <v>0.55000000000000004</v>
      </c>
      <c r="R40" s="4" t="s">
        <v>25</v>
      </c>
      <c r="S40" s="4">
        <v>100</v>
      </c>
      <c r="T40" s="4">
        <v>380500</v>
      </c>
      <c r="U40" s="4">
        <v>124000</v>
      </c>
      <c r="V40" s="4">
        <v>0</v>
      </c>
      <c r="W40" s="4">
        <v>0</v>
      </c>
      <c r="X40" s="4">
        <v>0</v>
      </c>
      <c r="Y40" s="4">
        <v>0</v>
      </c>
      <c r="Z40" s="4">
        <v>2100</v>
      </c>
      <c r="AA40" s="4">
        <v>0</v>
      </c>
      <c r="AB40" s="4">
        <v>0</v>
      </c>
      <c r="AC40" s="4">
        <v>254400</v>
      </c>
      <c r="AD40" s="4">
        <v>380710</v>
      </c>
      <c r="AE40" s="4">
        <v>124000</v>
      </c>
      <c r="AF40" s="4">
        <v>0</v>
      </c>
      <c r="AG40" s="4">
        <v>0</v>
      </c>
      <c r="AH40" s="4">
        <v>0</v>
      </c>
      <c r="AI40" s="4">
        <v>0</v>
      </c>
      <c r="AJ40" s="4">
        <v>2310</v>
      </c>
      <c r="AK40" s="4">
        <v>0</v>
      </c>
      <c r="AL40" s="4">
        <v>0</v>
      </c>
      <c r="AM40" s="4">
        <v>254400</v>
      </c>
      <c r="AN40" s="4">
        <v>209391</v>
      </c>
      <c r="AO40" s="4">
        <v>0</v>
      </c>
      <c r="AP40" s="4">
        <v>209391</v>
      </c>
    </row>
    <row r="41" spans="1:42" x14ac:dyDescent="0.4">
      <c r="A41" s="3" t="s">
        <v>48</v>
      </c>
      <c r="B41" s="3" t="s">
        <v>57</v>
      </c>
      <c r="C41" s="3" t="s">
        <v>58</v>
      </c>
      <c r="D41" s="3" t="s">
        <v>59</v>
      </c>
      <c r="E41" s="3" t="s">
        <v>77</v>
      </c>
      <c r="F41" s="3" t="s">
        <v>49</v>
      </c>
      <c r="G41" s="3" t="s">
        <v>20</v>
      </c>
      <c r="H41" s="3" t="s">
        <v>21</v>
      </c>
      <c r="I41" s="3" t="s">
        <v>22</v>
      </c>
      <c r="J41" s="3">
        <v>58140713</v>
      </c>
      <c r="K41" s="3" t="s">
        <v>78</v>
      </c>
      <c r="L41" s="3"/>
      <c r="M41" s="3"/>
      <c r="N41" s="3" t="s">
        <v>79</v>
      </c>
      <c r="O41" s="3" t="s">
        <v>23</v>
      </c>
      <c r="P41" s="3">
        <v>0.55000000000000004</v>
      </c>
      <c r="Q41" s="3">
        <v>0.55000000000000004</v>
      </c>
      <c r="R41" s="4" t="s">
        <v>24</v>
      </c>
      <c r="S41" s="4">
        <v>1900</v>
      </c>
      <c r="T41" s="4">
        <v>149100</v>
      </c>
      <c r="U41" s="4">
        <v>115700</v>
      </c>
      <c r="V41" s="4">
        <v>0</v>
      </c>
      <c r="W41" s="4">
        <v>0</v>
      </c>
      <c r="X41" s="4">
        <v>0</v>
      </c>
      <c r="Y41" s="4">
        <v>0</v>
      </c>
      <c r="Z41" s="4">
        <v>5700</v>
      </c>
      <c r="AA41" s="4">
        <v>0</v>
      </c>
      <c r="AB41" s="4">
        <v>0</v>
      </c>
      <c r="AC41" s="4">
        <v>27700</v>
      </c>
      <c r="AD41" s="4">
        <v>149670</v>
      </c>
      <c r="AE41" s="4">
        <v>115700</v>
      </c>
      <c r="AF41" s="4">
        <v>0</v>
      </c>
      <c r="AG41" s="4">
        <v>0</v>
      </c>
      <c r="AH41" s="4">
        <v>0</v>
      </c>
      <c r="AI41" s="4">
        <v>0</v>
      </c>
      <c r="AJ41" s="4">
        <v>6270</v>
      </c>
      <c r="AK41" s="4">
        <v>0</v>
      </c>
      <c r="AL41" s="4">
        <v>0</v>
      </c>
      <c r="AM41" s="4">
        <v>27700</v>
      </c>
      <c r="AN41" s="4">
        <v>82319</v>
      </c>
      <c r="AO41" s="4">
        <v>0</v>
      </c>
      <c r="AP41" s="4">
        <v>82319</v>
      </c>
    </row>
    <row r="42" spans="1:42" x14ac:dyDescent="0.4">
      <c r="A42" s="3" t="s">
        <v>48</v>
      </c>
      <c r="B42" s="3" t="s">
        <v>57</v>
      </c>
      <c r="C42" s="3" t="s">
        <v>58</v>
      </c>
      <c r="D42" s="3" t="s">
        <v>59</v>
      </c>
      <c r="E42" s="3" t="s">
        <v>77</v>
      </c>
      <c r="F42" s="3" t="s">
        <v>49</v>
      </c>
      <c r="G42" s="3" t="s">
        <v>20</v>
      </c>
      <c r="H42" s="3" t="s">
        <v>21</v>
      </c>
      <c r="I42" s="3" t="s">
        <v>22</v>
      </c>
      <c r="J42" s="3">
        <v>58140713</v>
      </c>
      <c r="K42" s="3" t="s">
        <v>78</v>
      </c>
      <c r="L42" s="3"/>
      <c r="M42" s="3"/>
      <c r="N42" s="3" t="s">
        <v>79</v>
      </c>
      <c r="O42" s="3" t="s">
        <v>23</v>
      </c>
      <c r="P42" s="3">
        <v>0.55000000000000004</v>
      </c>
      <c r="Q42" s="3">
        <v>0.55000000000000004</v>
      </c>
      <c r="R42" s="4" t="s">
        <v>24</v>
      </c>
      <c r="S42" s="4">
        <v>4600</v>
      </c>
      <c r="T42" s="4">
        <v>15600</v>
      </c>
      <c r="U42" s="4">
        <v>15000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600</v>
      </c>
      <c r="AD42" s="4">
        <v>15600</v>
      </c>
      <c r="AE42" s="4">
        <v>15000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600</v>
      </c>
      <c r="AN42" s="4">
        <v>8580</v>
      </c>
      <c r="AO42" s="4">
        <v>0</v>
      </c>
      <c r="AP42" s="4">
        <v>8580</v>
      </c>
    </row>
    <row r="43" spans="1:42" x14ac:dyDescent="0.4">
      <c r="A43" s="3" t="s">
        <v>48</v>
      </c>
      <c r="B43" s="3" t="s">
        <v>57</v>
      </c>
      <c r="C43" s="3" t="s">
        <v>58</v>
      </c>
      <c r="D43" s="3" t="s">
        <v>59</v>
      </c>
      <c r="E43" s="3" t="s">
        <v>77</v>
      </c>
      <c r="F43" s="3" t="s">
        <v>49</v>
      </c>
      <c r="G43" s="3" t="s">
        <v>20</v>
      </c>
      <c r="H43" s="3" t="s">
        <v>21</v>
      </c>
      <c r="I43" s="3" t="s">
        <v>22</v>
      </c>
      <c r="J43" s="3">
        <v>58140713</v>
      </c>
      <c r="K43" s="3" t="s">
        <v>78</v>
      </c>
      <c r="L43" s="3"/>
      <c r="M43" s="3"/>
      <c r="N43" s="3" t="s">
        <v>79</v>
      </c>
      <c r="O43" s="3" t="s">
        <v>23</v>
      </c>
      <c r="P43" s="3">
        <v>0.55000000000000004</v>
      </c>
      <c r="Q43" s="3">
        <v>0.55000000000000004</v>
      </c>
      <c r="R43" s="4" t="s">
        <v>24</v>
      </c>
      <c r="S43" s="4">
        <v>7200</v>
      </c>
      <c r="T43" s="4">
        <v>36000</v>
      </c>
      <c r="U43" s="4">
        <v>36000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36000</v>
      </c>
      <c r="AE43" s="4">
        <v>36000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19800</v>
      </c>
      <c r="AO43" s="4">
        <v>0</v>
      </c>
      <c r="AP43" s="4">
        <v>19800</v>
      </c>
    </row>
    <row r="44" spans="1:42" x14ac:dyDescent="0.4">
      <c r="AP44" s="22">
        <f>SUM(AP2:AP43)</f>
        <v>30429916</v>
      </c>
    </row>
    <row r="45" spans="1:42" x14ac:dyDescent="0.4">
      <c r="AP45" s="22">
        <f>김광수!AP39+몸서리!AP6+김정연!AP5</f>
        <v>30429916</v>
      </c>
    </row>
  </sheetData>
  <autoFilter ref="A1:AP1">
    <sortState ref="A2:AP43">
      <sortCondition ref="N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Q92"/>
  <sheetViews>
    <sheetView tabSelected="1" topLeftCell="A61" zoomScale="55" zoomScaleNormal="55" workbookViewId="0">
      <selection activeCell="B98" sqref="B98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7.296875" customWidth="1"/>
    <col min="4" max="4" width="14.69921875" customWidth="1"/>
    <col min="5" max="5" width="8.09765625" bestFit="1" customWidth="1"/>
    <col min="6" max="6" width="8.59765625" bestFit="1" customWidth="1"/>
    <col min="7" max="7" width="5.59765625" customWidth="1"/>
    <col min="8" max="8" width="1.8984375" customWidth="1"/>
    <col min="9" max="9" width="5.09765625" customWidth="1"/>
    <col min="10" max="10" width="9.3984375" bestFit="1" customWidth="1"/>
    <col min="11" max="11" width="22.5" customWidth="1"/>
    <col min="12" max="12" width="21.5" hidden="1" customWidth="1"/>
    <col min="13" max="13" width="6.796875" hidden="1" customWidth="1"/>
    <col min="14" max="14" width="6.796875" bestFit="1" customWidth="1"/>
    <col min="15" max="15" width="3" customWidth="1"/>
    <col min="16" max="16" width="4.8984375" customWidth="1"/>
    <col min="17" max="17" width="6.19921875" customWidth="1"/>
    <col min="18" max="18" width="24.09765625" bestFit="1" customWidth="1"/>
    <col min="19" max="19" width="11.09765625" bestFit="1" customWidth="1"/>
    <col min="20" max="21" width="10.19921875" bestFit="1" customWidth="1"/>
    <col min="22" max="22" width="8.3984375" hidden="1" customWidth="1"/>
    <col min="23" max="24" width="8.8984375" hidden="1" customWidth="1"/>
    <col min="25" max="26" width="8.8984375" bestFit="1" customWidth="1"/>
    <col min="27" max="28" width="2.5" customWidth="1"/>
    <col min="29" max="29" width="15.19921875" bestFit="1" customWidth="1"/>
    <col min="30" max="31" width="10.19921875" bestFit="1" customWidth="1"/>
    <col min="32" max="32" width="8.3984375" hidden="1" customWidth="1"/>
    <col min="33" max="34" width="8.8984375" hidden="1" customWidth="1"/>
    <col min="35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1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46750620</v>
      </c>
      <c r="K2" s="3" t="s">
        <v>55</v>
      </c>
      <c r="L2" s="3"/>
      <c r="M2" s="3"/>
      <c r="N2" s="3" t="s">
        <v>50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53800</v>
      </c>
      <c r="U2" s="4">
        <v>7200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46600</v>
      </c>
      <c r="AD2" s="4">
        <v>53800</v>
      </c>
      <c r="AE2" s="4">
        <v>7200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46600</v>
      </c>
      <c r="AN2" s="4">
        <v>29590</v>
      </c>
      <c r="AO2" s="4">
        <v>0</v>
      </c>
      <c r="AP2" s="4">
        <v>29590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46750620</v>
      </c>
      <c r="K3" s="3" t="s">
        <v>55</v>
      </c>
      <c r="L3" s="3"/>
      <c r="M3" s="3"/>
      <c r="N3" s="3" t="s">
        <v>50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1800</v>
      </c>
      <c r="T3" s="4">
        <v>104400</v>
      </c>
      <c r="U3" s="4">
        <v>83300</v>
      </c>
      <c r="V3" s="4">
        <v>0</v>
      </c>
      <c r="W3" s="4">
        <v>0</v>
      </c>
      <c r="X3" s="4">
        <v>0</v>
      </c>
      <c r="Y3" s="4">
        <v>0</v>
      </c>
      <c r="Z3" s="4">
        <v>3100</v>
      </c>
      <c r="AA3" s="4">
        <v>0</v>
      </c>
      <c r="AB3" s="4">
        <v>0</v>
      </c>
      <c r="AC3" s="4">
        <v>18000</v>
      </c>
      <c r="AD3" s="4">
        <v>104710</v>
      </c>
      <c r="AE3" s="4">
        <v>83300</v>
      </c>
      <c r="AF3" s="4">
        <v>0</v>
      </c>
      <c r="AG3" s="4">
        <v>0</v>
      </c>
      <c r="AH3" s="4">
        <v>0</v>
      </c>
      <c r="AI3" s="4">
        <v>0</v>
      </c>
      <c r="AJ3" s="4">
        <v>3410</v>
      </c>
      <c r="AK3" s="4">
        <v>0</v>
      </c>
      <c r="AL3" s="4">
        <v>0</v>
      </c>
      <c r="AM3" s="4">
        <v>18000</v>
      </c>
      <c r="AN3" s="4">
        <v>57591</v>
      </c>
      <c r="AO3" s="4">
        <v>0</v>
      </c>
      <c r="AP3" s="4">
        <v>57591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46750620</v>
      </c>
      <c r="K4" s="3" t="s">
        <v>55</v>
      </c>
      <c r="L4" s="3"/>
      <c r="M4" s="3"/>
      <c r="N4" s="3" t="s">
        <v>50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18000</v>
      </c>
      <c r="T4" s="4">
        <v>126000</v>
      </c>
      <c r="U4" s="4">
        <v>123700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2300</v>
      </c>
      <c r="AD4" s="4">
        <v>126000</v>
      </c>
      <c r="AE4" s="4">
        <v>123700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2300</v>
      </c>
      <c r="AN4" s="4">
        <v>69300</v>
      </c>
      <c r="AO4" s="4">
        <v>0</v>
      </c>
      <c r="AP4" s="4">
        <v>69300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60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46805146</v>
      </c>
      <c r="K5" s="3" t="s">
        <v>56</v>
      </c>
      <c r="L5" s="3"/>
      <c r="M5" s="3"/>
      <c r="N5" s="3" t="s">
        <v>50</v>
      </c>
      <c r="O5" s="3" t="s">
        <v>23</v>
      </c>
      <c r="P5" s="3">
        <v>0.55000000000000004</v>
      </c>
      <c r="Q5" s="3">
        <v>0.55000000000000004</v>
      </c>
      <c r="R5" s="4" t="s">
        <v>25</v>
      </c>
      <c r="S5" s="4">
        <v>100</v>
      </c>
      <c r="T5" s="4">
        <v>6100</v>
      </c>
      <c r="U5" s="4">
        <v>2100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4000</v>
      </c>
      <c r="AD5" s="4">
        <v>6100</v>
      </c>
      <c r="AE5" s="4">
        <v>2100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4000</v>
      </c>
      <c r="AN5" s="4">
        <v>3355</v>
      </c>
      <c r="AO5" s="4">
        <v>0</v>
      </c>
      <c r="AP5" s="4">
        <v>3355</v>
      </c>
    </row>
    <row r="6" spans="1:42" x14ac:dyDescent="0.4">
      <c r="A6" s="3" t="s">
        <v>48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49</v>
      </c>
      <c r="G6" s="3" t="s">
        <v>20</v>
      </c>
      <c r="H6" s="3" t="s">
        <v>21</v>
      </c>
      <c r="I6" s="3" t="s">
        <v>22</v>
      </c>
      <c r="J6" s="3">
        <v>46805146</v>
      </c>
      <c r="K6" s="3" t="s">
        <v>56</v>
      </c>
      <c r="L6" s="3"/>
      <c r="M6" s="3"/>
      <c r="N6" s="3" t="s">
        <v>50</v>
      </c>
      <c r="O6" s="3" t="s">
        <v>23</v>
      </c>
      <c r="P6" s="3">
        <v>0.55000000000000004</v>
      </c>
      <c r="Q6" s="3">
        <v>0.55000000000000004</v>
      </c>
      <c r="R6" s="4" t="s">
        <v>24</v>
      </c>
      <c r="S6" s="4">
        <v>1800</v>
      </c>
      <c r="T6" s="4">
        <v>21000</v>
      </c>
      <c r="U6" s="4">
        <v>13800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7200</v>
      </c>
      <c r="AD6" s="4">
        <v>21000</v>
      </c>
      <c r="AE6" s="4">
        <v>13800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7200</v>
      </c>
      <c r="AN6" s="4">
        <v>11550</v>
      </c>
      <c r="AO6" s="4">
        <v>0</v>
      </c>
      <c r="AP6" s="4">
        <v>11550</v>
      </c>
    </row>
    <row r="7" spans="1:42" x14ac:dyDescent="0.4">
      <c r="A7" s="3" t="s">
        <v>48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49</v>
      </c>
      <c r="G7" s="3" t="s">
        <v>20</v>
      </c>
      <c r="H7" s="3" t="s">
        <v>21</v>
      </c>
      <c r="I7" s="3" t="s">
        <v>22</v>
      </c>
      <c r="J7" s="3">
        <v>46805146</v>
      </c>
      <c r="K7" s="3" t="s">
        <v>56</v>
      </c>
      <c r="L7" s="3"/>
      <c r="M7" s="3"/>
      <c r="N7" s="3" t="s">
        <v>50</v>
      </c>
      <c r="O7" s="3" t="s">
        <v>23</v>
      </c>
      <c r="P7" s="3">
        <v>0.55000000000000004</v>
      </c>
      <c r="Q7" s="3">
        <v>0.55000000000000004</v>
      </c>
      <c r="R7" s="4" t="s">
        <v>24</v>
      </c>
      <c r="S7" s="4">
        <v>9000</v>
      </c>
      <c r="T7" s="4">
        <v>9000</v>
      </c>
      <c r="U7" s="4">
        <v>9000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9000</v>
      </c>
      <c r="AE7" s="4">
        <v>9000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4950</v>
      </c>
      <c r="AO7" s="4">
        <v>0</v>
      </c>
      <c r="AP7" s="4">
        <v>4950</v>
      </c>
    </row>
    <row r="8" spans="1:42" x14ac:dyDescent="0.4">
      <c r="A8" s="3" t="s">
        <v>48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49</v>
      </c>
      <c r="G8" s="3" t="s">
        <v>20</v>
      </c>
      <c r="H8" s="3" t="s">
        <v>21</v>
      </c>
      <c r="I8" s="3" t="s">
        <v>22</v>
      </c>
      <c r="J8" s="3">
        <v>46855943</v>
      </c>
      <c r="K8" s="3" t="s">
        <v>82</v>
      </c>
      <c r="L8" s="3"/>
      <c r="M8" s="3"/>
      <c r="N8" s="3" t="s">
        <v>50</v>
      </c>
      <c r="O8" s="3" t="s">
        <v>23</v>
      </c>
      <c r="P8" s="3">
        <v>0.55000000000000004</v>
      </c>
      <c r="Q8" s="3">
        <v>0.55000000000000004</v>
      </c>
      <c r="R8" s="4" t="s">
        <v>24</v>
      </c>
      <c r="S8" s="4">
        <v>2300</v>
      </c>
      <c r="T8" s="4">
        <v>4600</v>
      </c>
      <c r="U8" s="4">
        <v>4300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300</v>
      </c>
      <c r="AD8" s="4">
        <v>4600</v>
      </c>
      <c r="AE8" s="4">
        <v>4300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300</v>
      </c>
      <c r="AN8" s="4">
        <v>2530</v>
      </c>
      <c r="AO8" s="4">
        <v>0</v>
      </c>
      <c r="AP8" s="4">
        <v>2530</v>
      </c>
    </row>
    <row r="9" spans="1:42" x14ac:dyDescent="0.4">
      <c r="A9" s="3" t="s">
        <v>48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49</v>
      </c>
      <c r="G9" s="3" t="s">
        <v>20</v>
      </c>
      <c r="H9" s="3" t="s">
        <v>21</v>
      </c>
      <c r="I9" s="3" t="s">
        <v>22</v>
      </c>
      <c r="J9" s="3">
        <v>46911703</v>
      </c>
      <c r="K9" s="3" t="s">
        <v>51</v>
      </c>
      <c r="L9" s="3"/>
      <c r="M9" s="3"/>
      <c r="N9" s="3" t="s">
        <v>50</v>
      </c>
      <c r="O9" s="3" t="s">
        <v>23</v>
      </c>
      <c r="P9" s="3">
        <v>0.55000000000000004</v>
      </c>
      <c r="Q9" s="3">
        <v>0.55000000000000004</v>
      </c>
      <c r="R9" s="4" t="s">
        <v>25</v>
      </c>
      <c r="S9" s="4">
        <v>100</v>
      </c>
      <c r="T9" s="4">
        <v>63300</v>
      </c>
      <c r="U9" s="4">
        <v>5800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57500</v>
      </c>
      <c r="AD9" s="4">
        <v>63300</v>
      </c>
      <c r="AE9" s="4">
        <v>5800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57500</v>
      </c>
      <c r="AN9" s="4">
        <v>34815</v>
      </c>
      <c r="AO9" s="4">
        <v>0</v>
      </c>
      <c r="AP9" s="4">
        <v>34815</v>
      </c>
    </row>
    <row r="10" spans="1:42" x14ac:dyDescent="0.4">
      <c r="A10" s="3" t="s">
        <v>48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49</v>
      </c>
      <c r="G10" s="3" t="s">
        <v>20</v>
      </c>
      <c r="H10" s="3" t="s">
        <v>21</v>
      </c>
      <c r="I10" s="3" t="s">
        <v>22</v>
      </c>
      <c r="J10" s="3">
        <v>46911703</v>
      </c>
      <c r="K10" s="3" t="s">
        <v>51</v>
      </c>
      <c r="L10" s="3"/>
      <c r="M10" s="3"/>
      <c r="N10" s="3" t="s">
        <v>50</v>
      </c>
      <c r="O10" s="3" t="s">
        <v>23</v>
      </c>
      <c r="P10" s="3">
        <v>0.55000000000000004</v>
      </c>
      <c r="Q10" s="3">
        <v>0.55000000000000004</v>
      </c>
      <c r="R10" s="4" t="s">
        <v>24</v>
      </c>
      <c r="S10" s="4">
        <v>1800</v>
      </c>
      <c r="T10" s="4">
        <v>34900</v>
      </c>
      <c r="U10" s="4">
        <v>28800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6100</v>
      </c>
      <c r="AD10" s="4">
        <v>34900</v>
      </c>
      <c r="AE10" s="4">
        <v>28800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6100</v>
      </c>
      <c r="AN10" s="4">
        <v>19195</v>
      </c>
      <c r="AO10" s="4">
        <v>0</v>
      </c>
      <c r="AP10" s="4">
        <v>19195</v>
      </c>
    </row>
    <row r="11" spans="1:42" x14ac:dyDescent="0.4">
      <c r="A11" s="3" t="s">
        <v>48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49</v>
      </c>
      <c r="G11" s="3" t="s">
        <v>20</v>
      </c>
      <c r="H11" s="3" t="s">
        <v>21</v>
      </c>
      <c r="I11" s="3" t="s">
        <v>22</v>
      </c>
      <c r="J11" s="3">
        <v>46911703</v>
      </c>
      <c r="K11" s="3" t="s">
        <v>51</v>
      </c>
      <c r="L11" s="3"/>
      <c r="M11" s="3"/>
      <c r="N11" s="3" t="s">
        <v>50</v>
      </c>
      <c r="O11" s="3" t="s">
        <v>23</v>
      </c>
      <c r="P11" s="3">
        <v>0.55000000000000004</v>
      </c>
      <c r="Q11" s="3">
        <v>0.55000000000000004</v>
      </c>
      <c r="R11" s="4" t="s">
        <v>24</v>
      </c>
      <c r="S11" s="4">
        <v>9000</v>
      </c>
      <c r="T11" s="4">
        <v>72000</v>
      </c>
      <c r="U11" s="4">
        <v>72000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72000</v>
      </c>
      <c r="AE11" s="4">
        <v>72000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39600</v>
      </c>
      <c r="AO11" s="4">
        <v>0</v>
      </c>
      <c r="AP11" s="4">
        <v>39600</v>
      </c>
    </row>
    <row r="12" spans="1:42" x14ac:dyDescent="0.4">
      <c r="A12" s="3" t="s">
        <v>48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49</v>
      </c>
      <c r="G12" s="3" t="s">
        <v>20</v>
      </c>
      <c r="H12" s="3" t="s">
        <v>21</v>
      </c>
      <c r="I12" s="3" t="s">
        <v>22</v>
      </c>
      <c r="J12" s="3">
        <v>46911703</v>
      </c>
      <c r="K12" s="3" t="s">
        <v>51</v>
      </c>
      <c r="L12" s="3"/>
      <c r="M12" s="3"/>
      <c r="N12" s="3" t="s">
        <v>50</v>
      </c>
      <c r="O12" s="3" t="s">
        <v>23</v>
      </c>
      <c r="P12" s="3">
        <v>0.55000000000000004</v>
      </c>
      <c r="Q12" s="3">
        <v>0.55000000000000004</v>
      </c>
      <c r="R12" s="4" t="s">
        <v>24</v>
      </c>
      <c r="S12" s="4">
        <v>27000</v>
      </c>
      <c r="T12" s="4">
        <v>27000</v>
      </c>
      <c r="U12" s="4">
        <v>27000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27000</v>
      </c>
      <c r="AE12" s="4">
        <v>27000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14850</v>
      </c>
      <c r="AO12" s="4">
        <v>0</v>
      </c>
      <c r="AP12" s="4">
        <v>14850</v>
      </c>
    </row>
    <row r="13" spans="1:42" x14ac:dyDescent="0.4">
      <c r="A13" s="3" t="s">
        <v>48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49</v>
      </c>
      <c r="G13" s="3" t="s">
        <v>20</v>
      </c>
      <c r="H13" s="3" t="s">
        <v>21</v>
      </c>
      <c r="I13" s="3" t="s">
        <v>22</v>
      </c>
      <c r="J13" s="3">
        <v>47226086</v>
      </c>
      <c r="K13" s="3" t="s">
        <v>54</v>
      </c>
      <c r="L13" s="3"/>
      <c r="M13" s="3"/>
      <c r="N13" s="3" t="s">
        <v>50</v>
      </c>
      <c r="O13" s="3" t="s">
        <v>23</v>
      </c>
      <c r="P13" s="3">
        <v>0.55000000000000004</v>
      </c>
      <c r="Q13" s="3">
        <v>0.55000000000000004</v>
      </c>
      <c r="R13" s="4" t="s">
        <v>25</v>
      </c>
      <c r="S13" s="4">
        <v>100</v>
      </c>
      <c r="T13" s="4">
        <v>7600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7600</v>
      </c>
      <c r="AD13" s="4">
        <v>7600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7600</v>
      </c>
      <c r="AN13" s="4">
        <v>4180</v>
      </c>
      <c r="AO13" s="4">
        <v>0</v>
      </c>
      <c r="AP13" s="4">
        <v>4180</v>
      </c>
    </row>
    <row r="14" spans="1:42" x14ac:dyDescent="0.4">
      <c r="A14" s="3" t="s">
        <v>48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49</v>
      </c>
      <c r="G14" s="3" t="s">
        <v>20</v>
      </c>
      <c r="H14" s="3" t="s">
        <v>21</v>
      </c>
      <c r="I14" s="3" t="s">
        <v>22</v>
      </c>
      <c r="J14" s="3">
        <v>47226086</v>
      </c>
      <c r="K14" s="3" t="s">
        <v>54</v>
      </c>
      <c r="L14" s="3"/>
      <c r="M14" s="3"/>
      <c r="N14" s="3" t="s">
        <v>50</v>
      </c>
      <c r="O14" s="3" t="s">
        <v>23</v>
      </c>
      <c r="P14" s="3">
        <v>0.55000000000000004</v>
      </c>
      <c r="Q14" s="3">
        <v>0.55000000000000004</v>
      </c>
      <c r="R14" s="4" t="s">
        <v>24</v>
      </c>
      <c r="S14" s="4">
        <v>1800</v>
      </c>
      <c r="T14" s="4">
        <v>9000</v>
      </c>
      <c r="U14" s="4">
        <v>3600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5400</v>
      </c>
      <c r="AD14" s="4">
        <v>9000</v>
      </c>
      <c r="AE14" s="4">
        <v>3600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5400</v>
      </c>
      <c r="AN14" s="4">
        <v>4950</v>
      </c>
      <c r="AO14" s="4">
        <v>0</v>
      </c>
      <c r="AP14" s="4">
        <v>4950</v>
      </c>
    </row>
    <row r="15" spans="1:42" x14ac:dyDescent="0.4">
      <c r="A15" s="3" t="s">
        <v>48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49</v>
      </c>
      <c r="G15" s="3" t="s">
        <v>20</v>
      </c>
      <c r="H15" s="3" t="s">
        <v>21</v>
      </c>
      <c r="I15" s="3" t="s">
        <v>22</v>
      </c>
      <c r="J15" s="3">
        <v>48362175</v>
      </c>
      <c r="K15" s="3" t="s">
        <v>53</v>
      </c>
      <c r="L15" s="3"/>
      <c r="M15" s="3"/>
      <c r="N15" s="3" t="s">
        <v>50</v>
      </c>
      <c r="O15" s="3" t="s">
        <v>23</v>
      </c>
      <c r="P15" s="3">
        <v>0.55000000000000004</v>
      </c>
      <c r="Q15" s="3">
        <v>0.55000000000000004</v>
      </c>
      <c r="R15" s="4" t="s">
        <v>25</v>
      </c>
      <c r="S15" s="4">
        <v>100</v>
      </c>
      <c r="T15" s="4">
        <v>6200</v>
      </c>
      <c r="U15" s="4">
        <v>3100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3100</v>
      </c>
      <c r="AD15" s="4">
        <v>6200</v>
      </c>
      <c r="AE15" s="4">
        <v>3100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3100</v>
      </c>
      <c r="AN15" s="4">
        <v>3410</v>
      </c>
      <c r="AO15" s="4">
        <v>0</v>
      </c>
      <c r="AP15" s="4">
        <v>3410</v>
      </c>
    </row>
    <row r="16" spans="1:42" x14ac:dyDescent="0.4">
      <c r="A16" s="3" t="s">
        <v>48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49</v>
      </c>
      <c r="G16" s="3" t="s">
        <v>20</v>
      </c>
      <c r="H16" s="3" t="s">
        <v>21</v>
      </c>
      <c r="I16" s="3" t="s">
        <v>22</v>
      </c>
      <c r="J16" s="3">
        <v>48362175</v>
      </c>
      <c r="K16" s="3" t="s">
        <v>53</v>
      </c>
      <c r="L16" s="3"/>
      <c r="M16" s="3"/>
      <c r="N16" s="3" t="s">
        <v>50</v>
      </c>
      <c r="O16" s="3" t="s">
        <v>23</v>
      </c>
      <c r="P16" s="3">
        <v>0.55000000000000004</v>
      </c>
      <c r="Q16" s="3">
        <v>0.55000000000000004</v>
      </c>
      <c r="R16" s="4" t="s">
        <v>24</v>
      </c>
      <c r="S16" s="4">
        <v>2300</v>
      </c>
      <c r="T16" s="4">
        <v>9200</v>
      </c>
      <c r="U16" s="4">
        <v>9100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100</v>
      </c>
      <c r="AD16" s="4">
        <v>9200</v>
      </c>
      <c r="AE16" s="4">
        <v>9100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100</v>
      </c>
      <c r="AN16" s="4">
        <v>5060</v>
      </c>
      <c r="AO16" s="4">
        <v>0</v>
      </c>
      <c r="AP16" s="4">
        <v>5060</v>
      </c>
    </row>
    <row r="17" spans="1:42" x14ac:dyDescent="0.4">
      <c r="A17" s="3" t="s">
        <v>48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49</v>
      </c>
      <c r="G17" s="3" t="s">
        <v>20</v>
      </c>
      <c r="H17" s="3" t="s">
        <v>21</v>
      </c>
      <c r="I17" s="3" t="s">
        <v>22</v>
      </c>
      <c r="J17" s="3">
        <v>48362175</v>
      </c>
      <c r="K17" s="3" t="s">
        <v>53</v>
      </c>
      <c r="L17" s="3"/>
      <c r="M17" s="3"/>
      <c r="N17" s="3" t="s">
        <v>50</v>
      </c>
      <c r="O17" s="3" t="s">
        <v>23</v>
      </c>
      <c r="P17" s="3">
        <v>0.55000000000000004</v>
      </c>
      <c r="Q17" s="3">
        <v>0.55000000000000004</v>
      </c>
      <c r="R17" s="4" t="s">
        <v>24</v>
      </c>
      <c r="S17" s="4">
        <v>4500</v>
      </c>
      <c r="T17" s="4">
        <v>4500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4500</v>
      </c>
      <c r="AD17" s="4">
        <v>4500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4500</v>
      </c>
      <c r="AN17" s="4">
        <v>2475</v>
      </c>
      <c r="AO17" s="4">
        <v>0</v>
      </c>
      <c r="AP17" s="4">
        <v>2475</v>
      </c>
    </row>
    <row r="18" spans="1:42" x14ac:dyDescent="0.4">
      <c r="A18" s="3" t="s">
        <v>48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49</v>
      </c>
      <c r="G18" s="3" t="s">
        <v>20</v>
      </c>
      <c r="H18" s="3" t="s">
        <v>21</v>
      </c>
      <c r="I18" s="3" t="s">
        <v>22</v>
      </c>
      <c r="J18" s="3">
        <v>48362175</v>
      </c>
      <c r="K18" s="3" t="s">
        <v>53</v>
      </c>
      <c r="L18" s="3"/>
      <c r="M18" s="3"/>
      <c r="N18" s="3" t="s">
        <v>50</v>
      </c>
      <c r="O18" s="3" t="s">
        <v>23</v>
      </c>
      <c r="P18" s="3">
        <v>0.55000000000000004</v>
      </c>
      <c r="Q18" s="3">
        <v>0.55000000000000004</v>
      </c>
      <c r="R18" s="4" t="s">
        <v>24</v>
      </c>
      <c r="S18" s="4">
        <v>9000</v>
      </c>
      <c r="T18" s="4">
        <v>9000</v>
      </c>
      <c r="U18" s="4">
        <v>9000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9000</v>
      </c>
      <c r="AE18" s="4">
        <v>9000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4950</v>
      </c>
      <c r="AO18" s="4">
        <v>0</v>
      </c>
      <c r="AP18" s="4">
        <v>4950</v>
      </c>
    </row>
    <row r="19" spans="1:42" x14ac:dyDescent="0.4">
      <c r="A19" s="3" t="s">
        <v>48</v>
      </c>
      <c r="B19" s="3" t="s">
        <v>57</v>
      </c>
      <c r="C19" s="3" t="s">
        <v>58</v>
      </c>
      <c r="D19" s="3" t="s">
        <v>59</v>
      </c>
      <c r="E19" s="3" t="s">
        <v>60</v>
      </c>
      <c r="F19" s="3" t="s">
        <v>49</v>
      </c>
      <c r="G19" s="3" t="s">
        <v>20</v>
      </c>
      <c r="H19" s="3" t="s">
        <v>21</v>
      </c>
      <c r="I19" s="3" t="s">
        <v>22</v>
      </c>
      <c r="J19" s="3">
        <v>50827118</v>
      </c>
      <c r="K19" s="3" t="s">
        <v>52</v>
      </c>
      <c r="L19" s="3"/>
      <c r="M19" s="3"/>
      <c r="N19" s="3" t="s">
        <v>50</v>
      </c>
      <c r="O19" s="3" t="s">
        <v>23</v>
      </c>
      <c r="P19" s="3">
        <v>0.55000000000000004</v>
      </c>
      <c r="Q19" s="3">
        <v>0.55000000000000004</v>
      </c>
      <c r="R19" s="4" t="s">
        <v>25</v>
      </c>
      <c r="S19" s="4">
        <v>100</v>
      </c>
      <c r="T19" s="4">
        <v>10147000</v>
      </c>
      <c r="U19" s="4">
        <v>2662450</v>
      </c>
      <c r="V19" s="4">
        <v>0</v>
      </c>
      <c r="W19" s="4">
        <v>0</v>
      </c>
      <c r="X19" s="4">
        <v>0</v>
      </c>
      <c r="Y19" s="4">
        <v>24200</v>
      </c>
      <c r="Z19" s="4">
        <v>97700</v>
      </c>
      <c r="AA19" s="4">
        <v>0</v>
      </c>
      <c r="AB19" s="4">
        <v>0</v>
      </c>
      <c r="AC19" s="4">
        <v>7362650</v>
      </c>
      <c r="AD19" s="4">
        <v>10161610</v>
      </c>
      <c r="AE19" s="4">
        <v>2662450</v>
      </c>
      <c r="AF19" s="4">
        <v>0</v>
      </c>
      <c r="AG19" s="4">
        <v>0</v>
      </c>
      <c r="AH19" s="4">
        <v>0</v>
      </c>
      <c r="AI19" s="4">
        <v>29040</v>
      </c>
      <c r="AJ19" s="4">
        <v>107470</v>
      </c>
      <c r="AK19" s="4">
        <v>0</v>
      </c>
      <c r="AL19" s="4">
        <v>0</v>
      </c>
      <c r="AM19" s="4">
        <v>7362650</v>
      </c>
      <c r="AN19" s="4">
        <v>5588886</v>
      </c>
      <c r="AO19" s="4">
        <v>0</v>
      </c>
      <c r="AP19" s="4">
        <v>5588886</v>
      </c>
    </row>
    <row r="20" spans="1:42" x14ac:dyDescent="0.4">
      <c r="A20" s="3" t="s">
        <v>48</v>
      </c>
      <c r="B20" s="3" t="s">
        <v>57</v>
      </c>
      <c r="C20" s="3" t="s">
        <v>58</v>
      </c>
      <c r="D20" s="3" t="s">
        <v>59</v>
      </c>
      <c r="E20" s="3" t="s">
        <v>60</v>
      </c>
      <c r="F20" s="3" t="s">
        <v>49</v>
      </c>
      <c r="G20" s="3" t="s">
        <v>20</v>
      </c>
      <c r="H20" s="3" t="s">
        <v>21</v>
      </c>
      <c r="I20" s="3" t="s">
        <v>22</v>
      </c>
      <c r="J20" s="3">
        <v>50827118</v>
      </c>
      <c r="K20" s="3" t="s">
        <v>52</v>
      </c>
      <c r="L20" s="3"/>
      <c r="M20" s="3"/>
      <c r="N20" s="3" t="s">
        <v>50</v>
      </c>
      <c r="O20" s="3" t="s">
        <v>23</v>
      </c>
      <c r="P20" s="3">
        <v>0.55000000000000004</v>
      </c>
      <c r="Q20" s="3">
        <v>0.55000000000000004</v>
      </c>
      <c r="R20" s="4" t="s">
        <v>24</v>
      </c>
      <c r="S20" s="4">
        <v>2700</v>
      </c>
      <c r="T20" s="4">
        <v>10669100</v>
      </c>
      <c r="U20" s="4">
        <v>8466000</v>
      </c>
      <c r="V20" s="4">
        <v>0</v>
      </c>
      <c r="W20" s="4">
        <v>0</v>
      </c>
      <c r="X20" s="4">
        <v>0</v>
      </c>
      <c r="Y20" s="4">
        <v>27100</v>
      </c>
      <c r="Z20" s="4">
        <v>257300</v>
      </c>
      <c r="AA20" s="4">
        <v>0</v>
      </c>
      <c r="AB20" s="4">
        <v>0</v>
      </c>
      <c r="AC20" s="4">
        <v>1918700</v>
      </c>
      <c r="AD20" s="4">
        <v>10700250</v>
      </c>
      <c r="AE20" s="4">
        <v>8466000</v>
      </c>
      <c r="AF20" s="4">
        <v>0</v>
      </c>
      <c r="AG20" s="4">
        <v>0</v>
      </c>
      <c r="AH20" s="4">
        <v>0</v>
      </c>
      <c r="AI20" s="4">
        <v>32520</v>
      </c>
      <c r="AJ20" s="4">
        <v>283030</v>
      </c>
      <c r="AK20" s="4">
        <v>0</v>
      </c>
      <c r="AL20" s="4">
        <v>0</v>
      </c>
      <c r="AM20" s="4">
        <v>1918700</v>
      </c>
      <c r="AN20" s="4">
        <v>5885138</v>
      </c>
      <c r="AO20" s="4">
        <v>0</v>
      </c>
      <c r="AP20" s="4">
        <v>5885138</v>
      </c>
    </row>
    <row r="21" spans="1:42" x14ac:dyDescent="0.4">
      <c r="A21" s="3" t="s">
        <v>48</v>
      </c>
      <c r="B21" s="3" t="s">
        <v>57</v>
      </c>
      <c r="C21" s="3" t="s">
        <v>58</v>
      </c>
      <c r="D21" s="3" t="s">
        <v>59</v>
      </c>
      <c r="E21" s="3" t="s">
        <v>60</v>
      </c>
      <c r="F21" s="3" t="s">
        <v>49</v>
      </c>
      <c r="G21" s="3" t="s">
        <v>20</v>
      </c>
      <c r="H21" s="3" t="s">
        <v>21</v>
      </c>
      <c r="I21" s="3" t="s">
        <v>22</v>
      </c>
      <c r="J21" s="3">
        <v>50827118</v>
      </c>
      <c r="K21" s="3" t="s">
        <v>52</v>
      </c>
      <c r="L21" s="3"/>
      <c r="M21" s="3"/>
      <c r="N21" s="3" t="s">
        <v>50</v>
      </c>
      <c r="O21" s="3" t="s">
        <v>23</v>
      </c>
      <c r="P21" s="3">
        <v>0.55000000000000004</v>
      </c>
      <c r="Q21" s="3">
        <v>0.55000000000000004</v>
      </c>
      <c r="R21" s="4" t="s">
        <v>24</v>
      </c>
      <c r="S21" s="4">
        <v>4500</v>
      </c>
      <c r="T21" s="4">
        <v>8453200</v>
      </c>
      <c r="U21" s="4">
        <v>7211870</v>
      </c>
      <c r="V21" s="4">
        <v>0</v>
      </c>
      <c r="W21" s="4">
        <v>0</v>
      </c>
      <c r="X21" s="4">
        <v>0</v>
      </c>
      <c r="Y21" s="4">
        <v>46200</v>
      </c>
      <c r="Z21" s="4">
        <v>138030</v>
      </c>
      <c r="AA21" s="4">
        <v>0</v>
      </c>
      <c r="AB21" s="4">
        <v>0</v>
      </c>
      <c r="AC21" s="4">
        <v>1057100</v>
      </c>
      <c r="AD21" s="4">
        <v>8476243</v>
      </c>
      <c r="AE21" s="4">
        <v>7211870</v>
      </c>
      <c r="AF21" s="4">
        <v>0</v>
      </c>
      <c r="AG21" s="4">
        <v>0</v>
      </c>
      <c r="AH21" s="4">
        <v>0</v>
      </c>
      <c r="AI21" s="4">
        <v>55440</v>
      </c>
      <c r="AJ21" s="4">
        <v>151833</v>
      </c>
      <c r="AK21" s="4">
        <v>0</v>
      </c>
      <c r="AL21" s="4">
        <v>0</v>
      </c>
      <c r="AM21" s="4">
        <v>1057100</v>
      </c>
      <c r="AN21" s="4">
        <v>4661934</v>
      </c>
      <c r="AO21" s="4">
        <v>0</v>
      </c>
      <c r="AP21" s="4">
        <v>4661934</v>
      </c>
    </row>
    <row r="22" spans="1:42" x14ac:dyDescent="0.4">
      <c r="A22" s="3" t="s">
        <v>48</v>
      </c>
      <c r="B22" s="3" t="s">
        <v>57</v>
      </c>
      <c r="C22" s="3" t="s">
        <v>58</v>
      </c>
      <c r="D22" s="3" t="s">
        <v>59</v>
      </c>
      <c r="E22" s="3" t="s">
        <v>60</v>
      </c>
      <c r="F22" s="3" t="s">
        <v>49</v>
      </c>
      <c r="G22" s="3" t="s">
        <v>20</v>
      </c>
      <c r="H22" s="3" t="s">
        <v>21</v>
      </c>
      <c r="I22" s="3" t="s">
        <v>22</v>
      </c>
      <c r="J22" s="3">
        <v>50827118</v>
      </c>
      <c r="K22" s="3" t="s">
        <v>52</v>
      </c>
      <c r="L22" s="3"/>
      <c r="M22" s="3"/>
      <c r="N22" s="3" t="s">
        <v>50</v>
      </c>
      <c r="O22" s="3" t="s">
        <v>23</v>
      </c>
      <c r="P22" s="3">
        <v>0.55000000000000004</v>
      </c>
      <c r="Q22" s="3">
        <v>0.55000000000000004</v>
      </c>
      <c r="R22" s="4" t="s">
        <v>24</v>
      </c>
      <c r="S22" s="4">
        <v>9000</v>
      </c>
      <c r="T22" s="4">
        <v>20116700</v>
      </c>
      <c r="U22" s="4">
        <v>17542380</v>
      </c>
      <c r="V22" s="4">
        <v>0</v>
      </c>
      <c r="W22" s="4">
        <v>0</v>
      </c>
      <c r="X22" s="4">
        <v>-2000</v>
      </c>
      <c r="Y22" s="4">
        <v>40700</v>
      </c>
      <c r="Z22" s="4">
        <v>1101170</v>
      </c>
      <c r="AA22" s="4">
        <v>0</v>
      </c>
      <c r="AB22" s="4">
        <v>0</v>
      </c>
      <c r="AC22" s="4">
        <v>1434450</v>
      </c>
      <c r="AD22" s="4">
        <v>20234344.618799999</v>
      </c>
      <c r="AE22" s="4">
        <v>17542380</v>
      </c>
      <c r="AF22" s="4">
        <v>0</v>
      </c>
      <c r="AG22" s="4">
        <v>0</v>
      </c>
      <c r="AH22" s="4">
        <v>-2612.3811999999998</v>
      </c>
      <c r="AI22" s="4">
        <v>48840</v>
      </c>
      <c r="AJ22" s="4">
        <v>1211287</v>
      </c>
      <c r="AK22" s="4">
        <v>0</v>
      </c>
      <c r="AL22" s="4">
        <v>0</v>
      </c>
      <c r="AM22" s="4">
        <v>1434450</v>
      </c>
      <c r="AN22" s="4">
        <v>11128890</v>
      </c>
      <c r="AO22" s="4">
        <v>0</v>
      </c>
      <c r="AP22" s="4">
        <v>11128890</v>
      </c>
    </row>
    <row r="23" spans="1:42" x14ac:dyDescent="0.4">
      <c r="A23" s="3" t="s">
        <v>48</v>
      </c>
      <c r="B23" s="3" t="s">
        <v>57</v>
      </c>
      <c r="C23" s="3" t="s">
        <v>58</v>
      </c>
      <c r="D23" s="3" t="s">
        <v>59</v>
      </c>
      <c r="E23" s="3" t="s">
        <v>60</v>
      </c>
      <c r="F23" s="3" t="s">
        <v>49</v>
      </c>
      <c r="G23" s="3" t="s">
        <v>20</v>
      </c>
      <c r="H23" s="3" t="s">
        <v>21</v>
      </c>
      <c r="I23" s="3" t="s">
        <v>22</v>
      </c>
      <c r="J23" s="3">
        <v>55423371</v>
      </c>
      <c r="K23" s="3" t="s">
        <v>74</v>
      </c>
      <c r="L23" s="3"/>
      <c r="M23" s="3"/>
      <c r="N23" s="3" t="s">
        <v>50</v>
      </c>
      <c r="O23" s="3" t="s">
        <v>23</v>
      </c>
      <c r="P23" s="3">
        <v>0.55000000000000004</v>
      </c>
      <c r="Q23" s="3">
        <v>0.55000000000000004</v>
      </c>
      <c r="R23" s="4" t="s">
        <v>25</v>
      </c>
      <c r="S23" s="4">
        <v>100</v>
      </c>
      <c r="T23" s="4">
        <v>15800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15800</v>
      </c>
      <c r="AD23" s="4">
        <v>15800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15800</v>
      </c>
      <c r="AN23" s="4">
        <v>8690</v>
      </c>
      <c r="AO23" s="4">
        <v>0</v>
      </c>
      <c r="AP23" s="4">
        <v>8690</v>
      </c>
    </row>
    <row r="24" spans="1:42" x14ac:dyDescent="0.4">
      <c r="A24" s="3" t="s">
        <v>48</v>
      </c>
      <c r="B24" s="3" t="s">
        <v>57</v>
      </c>
      <c r="C24" s="3" t="s">
        <v>58</v>
      </c>
      <c r="D24" s="3" t="s">
        <v>59</v>
      </c>
      <c r="E24" s="3" t="s">
        <v>60</v>
      </c>
      <c r="F24" s="3" t="s">
        <v>49</v>
      </c>
      <c r="G24" s="3" t="s">
        <v>20</v>
      </c>
      <c r="H24" s="3" t="s">
        <v>21</v>
      </c>
      <c r="I24" s="3" t="s">
        <v>22</v>
      </c>
      <c r="J24" s="3">
        <v>55879886</v>
      </c>
      <c r="K24" s="3" t="s">
        <v>61</v>
      </c>
      <c r="L24" s="3"/>
      <c r="M24" s="3"/>
      <c r="N24" s="3" t="s">
        <v>50</v>
      </c>
      <c r="O24" s="3" t="s">
        <v>23</v>
      </c>
      <c r="P24" s="3">
        <v>0.55000000000000004</v>
      </c>
      <c r="Q24" s="3">
        <v>0.55000000000000004</v>
      </c>
      <c r="R24" s="4" t="s">
        <v>25</v>
      </c>
      <c r="S24" s="4">
        <v>3200</v>
      </c>
      <c r="T24" s="4">
        <v>2176000</v>
      </c>
      <c r="U24" s="4">
        <v>1667650</v>
      </c>
      <c r="V24" s="4">
        <v>0</v>
      </c>
      <c r="W24" s="4">
        <v>0</v>
      </c>
      <c r="X24" s="4">
        <v>0</v>
      </c>
      <c r="Y24" s="4">
        <v>28200</v>
      </c>
      <c r="Z24" s="4">
        <v>313250</v>
      </c>
      <c r="AA24" s="4">
        <v>0</v>
      </c>
      <c r="AB24" s="4">
        <v>0</v>
      </c>
      <c r="AC24" s="4">
        <v>166900</v>
      </c>
      <c r="AD24" s="4">
        <v>2212965</v>
      </c>
      <c r="AE24" s="4">
        <v>1667650</v>
      </c>
      <c r="AF24" s="4">
        <v>0</v>
      </c>
      <c r="AG24" s="4">
        <v>0</v>
      </c>
      <c r="AH24" s="4">
        <v>0</v>
      </c>
      <c r="AI24" s="4">
        <v>33840</v>
      </c>
      <c r="AJ24" s="4">
        <v>344575</v>
      </c>
      <c r="AK24" s="4">
        <v>0</v>
      </c>
      <c r="AL24" s="4">
        <v>0</v>
      </c>
      <c r="AM24" s="4">
        <v>166900</v>
      </c>
      <c r="AN24" s="4">
        <v>1217131</v>
      </c>
      <c r="AO24" s="4">
        <v>0</v>
      </c>
      <c r="AP24" s="4">
        <v>1217131</v>
      </c>
    </row>
    <row r="25" spans="1:42" x14ac:dyDescent="0.4">
      <c r="A25" s="3" t="s">
        <v>48</v>
      </c>
      <c r="B25" s="3" t="s">
        <v>57</v>
      </c>
      <c r="C25" s="3" t="s">
        <v>58</v>
      </c>
      <c r="D25" s="3" t="s">
        <v>59</v>
      </c>
      <c r="E25" s="3" t="s">
        <v>60</v>
      </c>
      <c r="F25" s="3" t="s">
        <v>49</v>
      </c>
      <c r="G25" s="3" t="s">
        <v>20</v>
      </c>
      <c r="H25" s="3" t="s">
        <v>21</v>
      </c>
      <c r="I25" s="3" t="s">
        <v>22</v>
      </c>
      <c r="J25" s="3">
        <v>55879886</v>
      </c>
      <c r="K25" s="3" t="s">
        <v>61</v>
      </c>
      <c r="L25" s="3"/>
      <c r="M25" s="3"/>
      <c r="N25" s="3" t="s">
        <v>50</v>
      </c>
      <c r="O25" s="3" t="s">
        <v>23</v>
      </c>
      <c r="P25" s="3">
        <v>0.55000000000000004</v>
      </c>
      <c r="Q25" s="3">
        <v>0.55000000000000004</v>
      </c>
      <c r="R25" s="4" t="s">
        <v>24</v>
      </c>
      <c r="S25" s="4">
        <v>67200</v>
      </c>
      <c r="T25" s="4">
        <v>134400</v>
      </c>
      <c r="U25" s="4">
        <v>134400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134400</v>
      </c>
      <c r="AE25" s="4">
        <v>134400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73920</v>
      </c>
      <c r="AO25" s="4">
        <v>0</v>
      </c>
      <c r="AP25" s="4">
        <v>73920</v>
      </c>
    </row>
    <row r="26" spans="1:42" x14ac:dyDescent="0.4">
      <c r="A26" s="3" t="s">
        <v>48</v>
      </c>
      <c r="B26" s="3" t="s">
        <v>57</v>
      </c>
      <c r="C26" s="3" t="s">
        <v>58</v>
      </c>
      <c r="D26" s="3" t="s">
        <v>59</v>
      </c>
      <c r="E26" s="3" t="s">
        <v>60</v>
      </c>
      <c r="F26" s="3" t="s">
        <v>49</v>
      </c>
      <c r="G26" s="3" t="s">
        <v>20</v>
      </c>
      <c r="H26" s="3" t="s">
        <v>21</v>
      </c>
      <c r="I26" s="3" t="s">
        <v>22</v>
      </c>
      <c r="J26" s="3">
        <v>56499021</v>
      </c>
      <c r="K26" s="3" t="s">
        <v>64</v>
      </c>
      <c r="L26" s="3"/>
      <c r="M26" s="3"/>
      <c r="N26" s="3" t="s">
        <v>50</v>
      </c>
      <c r="O26" s="3" t="s">
        <v>23</v>
      </c>
      <c r="P26" s="3">
        <v>0.55000000000000004</v>
      </c>
      <c r="Q26" s="3">
        <v>0.55000000000000004</v>
      </c>
      <c r="R26" s="4" t="s">
        <v>25</v>
      </c>
      <c r="S26" s="4">
        <v>3200</v>
      </c>
      <c r="T26" s="4">
        <v>6400</v>
      </c>
      <c r="U26" s="4">
        <v>6300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100</v>
      </c>
      <c r="AD26" s="4">
        <v>6400</v>
      </c>
      <c r="AE26" s="4">
        <v>6300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100</v>
      </c>
      <c r="AN26" s="4">
        <v>3520</v>
      </c>
      <c r="AO26" s="4">
        <v>0</v>
      </c>
      <c r="AP26" s="4">
        <v>3520</v>
      </c>
    </row>
    <row r="27" spans="1:42" x14ac:dyDescent="0.4">
      <c r="A27" s="3" t="s">
        <v>48</v>
      </c>
      <c r="B27" s="3" t="s">
        <v>57</v>
      </c>
      <c r="C27" s="3" t="s">
        <v>58</v>
      </c>
      <c r="D27" s="3" t="s">
        <v>59</v>
      </c>
      <c r="E27" s="3" t="s">
        <v>60</v>
      </c>
      <c r="F27" s="3" t="s">
        <v>49</v>
      </c>
      <c r="G27" s="3" t="s">
        <v>20</v>
      </c>
      <c r="H27" s="3" t="s">
        <v>21</v>
      </c>
      <c r="I27" s="3" t="s">
        <v>22</v>
      </c>
      <c r="J27" s="3">
        <v>56499021</v>
      </c>
      <c r="K27" s="3" t="s">
        <v>64</v>
      </c>
      <c r="L27" s="3"/>
      <c r="M27" s="3"/>
      <c r="N27" s="3" t="s">
        <v>50</v>
      </c>
      <c r="O27" s="3" t="s">
        <v>23</v>
      </c>
      <c r="P27" s="3">
        <v>0.55000000000000004</v>
      </c>
      <c r="Q27" s="3">
        <v>0.55000000000000004</v>
      </c>
      <c r="R27" s="4" t="s">
        <v>63</v>
      </c>
      <c r="S27" s="4">
        <v>900</v>
      </c>
      <c r="T27" s="4">
        <v>82800</v>
      </c>
      <c r="U27" s="4">
        <v>54200</v>
      </c>
      <c r="V27" s="4">
        <v>0</v>
      </c>
      <c r="W27" s="4">
        <v>0</v>
      </c>
      <c r="X27" s="4">
        <v>0</v>
      </c>
      <c r="Y27" s="4">
        <v>750</v>
      </c>
      <c r="Z27" s="4">
        <v>4950</v>
      </c>
      <c r="AA27" s="4">
        <v>0</v>
      </c>
      <c r="AB27" s="4">
        <v>0</v>
      </c>
      <c r="AC27" s="4">
        <v>22900</v>
      </c>
      <c r="AD27" s="4">
        <v>83445</v>
      </c>
      <c r="AE27" s="4">
        <v>54200</v>
      </c>
      <c r="AF27" s="4">
        <v>0</v>
      </c>
      <c r="AG27" s="4">
        <v>0</v>
      </c>
      <c r="AH27" s="4">
        <v>0</v>
      </c>
      <c r="AI27" s="4">
        <v>900</v>
      </c>
      <c r="AJ27" s="4">
        <v>5445</v>
      </c>
      <c r="AK27" s="4">
        <v>0</v>
      </c>
      <c r="AL27" s="4">
        <v>0</v>
      </c>
      <c r="AM27" s="4">
        <v>22900</v>
      </c>
      <c r="AN27" s="4">
        <v>45895</v>
      </c>
      <c r="AO27" s="4">
        <v>0</v>
      </c>
      <c r="AP27" s="4">
        <v>45895</v>
      </c>
    </row>
    <row r="28" spans="1:42" x14ac:dyDescent="0.4">
      <c r="A28" s="3" t="s">
        <v>48</v>
      </c>
      <c r="B28" s="3" t="s">
        <v>57</v>
      </c>
      <c r="C28" s="3" t="s">
        <v>58</v>
      </c>
      <c r="D28" s="3" t="s">
        <v>59</v>
      </c>
      <c r="E28" s="3" t="s">
        <v>60</v>
      </c>
      <c r="F28" s="3" t="s">
        <v>49</v>
      </c>
      <c r="G28" s="3" t="s">
        <v>20</v>
      </c>
      <c r="H28" s="3" t="s">
        <v>21</v>
      </c>
      <c r="I28" s="3" t="s">
        <v>22</v>
      </c>
      <c r="J28" s="3">
        <v>56499157</v>
      </c>
      <c r="K28" s="3" t="s">
        <v>62</v>
      </c>
      <c r="L28" s="3"/>
      <c r="M28" s="3"/>
      <c r="N28" s="3" t="s">
        <v>50</v>
      </c>
      <c r="O28" s="3" t="s">
        <v>23</v>
      </c>
      <c r="P28" s="3">
        <v>0.55000000000000004</v>
      </c>
      <c r="Q28" s="3">
        <v>0.55000000000000004</v>
      </c>
      <c r="R28" s="4" t="s">
        <v>63</v>
      </c>
      <c r="S28" s="4">
        <v>900</v>
      </c>
      <c r="T28" s="4">
        <v>23400</v>
      </c>
      <c r="U28" s="4">
        <v>16200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7200</v>
      </c>
      <c r="AD28" s="4">
        <v>23400</v>
      </c>
      <c r="AE28" s="4">
        <v>16200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7200</v>
      </c>
      <c r="AN28" s="4">
        <v>12870</v>
      </c>
      <c r="AO28" s="4">
        <v>0</v>
      </c>
      <c r="AP28" s="4">
        <v>12870</v>
      </c>
    </row>
    <row r="29" spans="1:42" x14ac:dyDescent="0.4">
      <c r="A29" s="3" t="s">
        <v>48</v>
      </c>
      <c r="B29" s="3" t="s">
        <v>57</v>
      </c>
      <c r="C29" s="3" t="s">
        <v>58</v>
      </c>
      <c r="D29" s="3" t="s">
        <v>59</v>
      </c>
      <c r="E29" s="3" t="s">
        <v>60</v>
      </c>
      <c r="F29" s="3" t="s">
        <v>49</v>
      </c>
      <c r="G29" s="3" t="s">
        <v>20</v>
      </c>
      <c r="H29" s="3" t="s">
        <v>21</v>
      </c>
      <c r="I29" s="3" t="s">
        <v>22</v>
      </c>
      <c r="J29" s="3">
        <v>56499157</v>
      </c>
      <c r="K29" s="3" t="s">
        <v>62</v>
      </c>
      <c r="L29" s="3"/>
      <c r="M29" s="3"/>
      <c r="N29" s="3" t="s">
        <v>50</v>
      </c>
      <c r="O29" s="3" t="s">
        <v>23</v>
      </c>
      <c r="P29" s="3">
        <v>0.55000000000000004</v>
      </c>
      <c r="Q29" s="3">
        <v>0.55000000000000004</v>
      </c>
      <c r="R29" s="4" t="s">
        <v>76</v>
      </c>
      <c r="S29" s="4">
        <v>7200</v>
      </c>
      <c r="T29" s="4">
        <v>7200</v>
      </c>
      <c r="U29" s="4">
        <v>6900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300</v>
      </c>
      <c r="AD29" s="4">
        <v>7200</v>
      </c>
      <c r="AE29" s="4">
        <v>6900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300</v>
      </c>
      <c r="AN29" s="4">
        <v>3960</v>
      </c>
      <c r="AO29" s="4">
        <v>0</v>
      </c>
      <c r="AP29" s="4">
        <v>3960</v>
      </c>
    </row>
    <row r="30" spans="1:42" x14ac:dyDescent="0.4">
      <c r="A30" s="3" t="s">
        <v>48</v>
      </c>
      <c r="B30" s="3" t="s">
        <v>57</v>
      </c>
      <c r="C30" s="3" t="s">
        <v>58</v>
      </c>
      <c r="D30" s="3" t="s">
        <v>59</v>
      </c>
      <c r="E30" s="3" t="s">
        <v>60</v>
      </c>
      <c r="F30" s="3" t="s">
        <v>49</v>
      </c>
      <c r="G30" s="3" t="s">
        <v>20</v>
      </c>
      <c r="H30" s="3" t="s">
        <v>21</v>
      </c>
      <c r="I30" s="3" t="s">
        <v>22</v>
      </c>
      <c r="J30" s="3">
        <v>56499706</v>
      </c>
      <c r="K30" s="3" t="s">
        <v>81</v>
      </c>
      <c r="L30" s="3"/>
      <c r="M30" s="3"/>
      <c r="N30" s="3" t="s">
        <v>50</v>
      </c>
      <c r="O30" s="3" t="s">
        <v>23</v>
      </c>
      <c r="P30" s="3">
        <v>0.55000000000000004</v>
      </c>
      <c r="Q30" s="3">
        <v>0.55000000000000004</v>
      </c>
      <c r="R30" s="4" t="s">
        <v>25</v>
      </c>
      <c r="S30" s="4">
        <v>3200</v>
      </c>
      <c r="T30" s="4">
        <v>6400</v>
      </c>
      <c r="U30" s="4">
        <v>6400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6400</v>
      </c>
      <c r="AE30" s="4">
        <v>6400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3520</v>
      </c>
      <c r="AO30" s="4">
        <v>0</v>
      </c>
      <c r="AP30" s="4">
        <v>3520</v>
      </c>
    </row>
    <row r="31" spans="1:42" x14ac:dyDescent="0.4">
      <c r="A31" s="3" t="s">
        <v>48</v>
      </c>
      <c r="B31" s="3" t="s">
        <v>57</v>
      </c>
      <c r="C31" s="3" t="s">
        <v>58</v>
      </c>
      <c r="D31" s="3" t="s">
        <v>59</v>
      </c>
      <c r="E31" s="3" t="s">
        <v>60</v>
      </c>
      <c r="F31" s="3" t="s">
        <v>49</v>
      </c>
      <c r="G31" s="3" t="s">
        <v>20</v>
      </c>
      <c r="H31" s="3" t="s">
        <v>21</v>
      </c>
      <c r="I31" s="3" t="s">
        <v>22</v>
      </c>
      <c r="J31" s="3">
        <v>56499756</v>
      </c>
      <c r="K31" s="3" t="s">
        <v>75</v>
      </c>
      <c r="L31" s="3"/>
      <c r="M31" s="3"/>
      <c r="N31" s="3" t="s">
        <v>50</v>
      </c>
      <c r="O31" s="3" t="s">
        <v>23</v>
      </c>
      <c r="P31" s="3">
        <v>0.55000000000000004</v>
      </c>
      <c r="Q31" s="3">
        <v>0.55000000000000004</v>
      </c>
      <c r="R31" s="4" t="s">
        <v>25</v>
      </c>
      <c r="S31" s="4">
        <v>3200</v>
      </c>
      <c r="T31" s="4">
        <v>51200</v>
      </c>
      <c r="U31" s="4">
        <v>50500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700</v>
      </c>
      <c r="AD31" s="4">
        <v>51200</v>
      </c>
      <c r="AE31" s="4">
        <v>50500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700</v>
      </c>
      <c r="AN31" s="4">
        <v>28160</v>
      </c>
      <c r="AO31" s="4">
        <v>0</v>
      </c>
      <c r="AP31" s="4">
        <v>28160</v>
      </c>
    </row>
    <row r="32" spans="1:42" x14ac:dyDescent="0.4">
      <c r="A32" s="3" t="s">
        <v>48</v>
      </c>
      <c r="B32" s="3" t="s">
        <v>57</v>
      </c>
      <c r="C32" s="3" t="s">
        <v>58</v>
      </c>
      <c r="D32" s="3" t="s">
        <v>59</v>
      </c>
      <c r="E32" s="3" t="s">
        <v>60</v>
      </c>
      <c r="F32" s="3" t="s">
        <v>49</v>
      </c>
      <c r="G32" s="3" t="s">
        <v>20</v>
      </c>
      <c r="H32" s="3" t="s">
        <v>21</v>
      </c>
      <c r="I32" s="3" t="s">
        <v>22</v>
      </c>
      <c r="J32" s="3">
        <v>56529116</v>
      </c>
      <c r="K32" s="3" t="s">
        <v>65</v>
      </c>
      <c r="L32" s="3"/>
      <c r="M32" s="3"/>
      <c r="N32" s="3" t="s">
        <v>50</v>
      </c>
      <c r="O32" s="3" t="s">
        <v>23</v>
      </c>
      <c r="P32" s="3">
        <v>0.55000000000000004</v>
      </c>
      <c r="Q32" s="3">
        <v>0.55000000000000004</v>
      </c>
      <c r="R32" s="4" t="s">
        <v>63</v>
      </c>
      <c r="S32" s="4">
        <v>900</v>
      </c>
      <c r="T32" s="4">
        <v>99000</v>
      </c>
      <c r="U32" s="4">
        <v>63500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35500</v>
      </c>
      <c r="AD32" s="4">
        <v>99000</v>
      </c>
      <c r="AE32" s="4">
        <v>63500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35500</v>
      </c>
      <c r="AN32" s="4">
        <v>54450</v>
      </c>
      <c r="AO32" s="4">
        <v>0</v>
      </c>
      <c r="AP32" s="4">
        <v>54450</v>
      </c>
    </row>
    <row r="33" spans="1:43" x14ac:dyDescent="0.4">
      <c r="A33" s="3" t="s">
        <v>48</v>
      </c>
      <c r="B33" s="3" t="s">
        <v>57</v>
      </c>
      <c r="C33" s="3" t="s">
        <v>58</v>
      </c>
      <c r="D33" s="3" t="s">
        <v>59</v>
      </c>
      <c r="E33" s="3" t="s">
        <v>60</v>
      </c>
      <c r="F33" s="3" t="s">
        <v>49</v>
      </c>
      <c r="G33" s="3" t="s">
        <v>20</v>
      </c>
      <c r="H33" s="3" t="s">
        <v>21</v>
      </c>
      <c r="I33" s="3" t="s">
        <v>22</v>
      </c>
      <c r="J33" s="3">
        <v>56529116</v>
      </c>
      <c r="K33" s="3" t="s">
        <v>65</v>
      </c>
      <c r="L33" s="3"/>
      <c r="M33" s="3"/>
      <c r="N33" s="3" t="s">
        <v>50</v>
      </c>
      <c r="O33" s="3" t="s">
        <v>23</v>
      </c>
      <c r="P33" s="3">
        <v>0.55000000000000004</v>
      </c>
      <c r="Q33" s="3">
        <v>0.55000000000000004</v>
      </c>
      <c r="R33" s="4" t="s">
        <v>76</v>
      </c>
      <c r="S33" s="4">
        <v>26100</v>
      </c>
      <c r="T33" s="4">
        <v>-3600</v>
      </c>
      <c r="U33" s="4">
        <v>-3600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-3600</v>
      </c>
      <c r="AE33" s="4">
        <v>-3600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-1980</v>
      </c>
      <c r="AO33" s="4">
        <v>0</v>
      </c>
      <c r="AP33" s="4">
        <v>-1980</v>
      </c>
    </row>
    <row r="34" spans="1:43" x14ac:dyDescent="0.4">
      <c r="A34" s="3" t="s">
        <v>48</v>
      </c>
      <c r="B34" s="3" t="s">
        <v>57</v>
      </c>
      <c r="C34" s="3" t="s">
        <v>58</v>
      </c>
      <c r="D34" s="3" t="s">
        <v>59</v>
      </c>
      <c r="E34" s="3" t="s">
        <v>60</v>
      </c>
      <c r="F34" s="3" t="s">
        <v>49</v>
      </c>
      <c r="G34" s="3" t="s">
        <v>20</v>
      </c>
      <c r="H34" s="3" t="s">
        <v>21</v>
      </c>
      <c r="I34" s="3" t="s">
        <v>22</v>
      </c>
      <c r="J34" s="3">
        <v>56529166</v>
      </c>
      <c r="K34" s="3" t="s">
        <v>66</v>
      </c>
      <c r="L34" s="3"/>
      <c r="M34" s="3"/>
      <c r="N34" s="3" t="s">
        <v>50</v>
      </c>
      <c r="O34" s="3" t="s">
        <v>23</v>
      </c>
      <c r="P34" s="3">
        <v>0.55000000000000004</v>
      </c>
      <c r="Q34" s="3">
        <v>0.55000000000000004</v>
      </c>
      <c r="R34" s="4" t="s">
        <v>63</v>
      </c>
      <c r="S34" s="4">
        <v>900</v>
      </c>
      <c r="T34" s="4">
        <v>45000</v>
      </c>
      <c r="U34" s="4">
        <v>33950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11050</v>
      </c>
      <c r="AD34" s="4">
        <v>45000</v>
      </c>
      <c r="AE34" s="4">
        <v>33950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11050</v>
      </c>
      <c r="AN34" s="4">
        <v>24750</v>
      </c>
      <c r="AO34" s="4">
        <v>0</v>
      </c>
      <c r="AP34" s="4">
        <v>24750</v>
      </c>
    </row>
    <row r="35" spans="1:43" x14ac:dyDescent="0.4">
      <c r="A35" s="3" t="s">
        <v>48</v>
      </c>
      <c r="B35" s="3" t="s">
        <v>57</v>
      </c>
      <c r="C35" s="3" t="s">
        <v>58</v>
      </c>
      <c r="D35" s="3" t="s">
        <v>59</v>
      </c>
      <c r="E35" s="3" t="s">
        <v>60</v>
      </c>
      <c r="F35" s="3" t="s">
        <v>49</v>
      </c>
      <c r="G35" s="3" t="s">
        <v>20</v>
      </c>
      <c r="H35" s="3" t="s">
        <v>21</v>
      </c>
      <c r="I35" s="3" t="s">
        <v>22</v>
      </c>
      <c r="J35" s="3">
        <v>56540396</v>
      </c>
      <c r="K35" s="3" t="s">
        <v>67</v>
      </c>
      <c r="L35" s="3"/>
      <c r="M35" s="3"/>
      <c r="N35" s="3" t="s">
        <v>50</v>
      </c>
      <c r="O35" s="3" t="s">
        <v>23</v>
      </c>
      <c r="P35" s="3">
        <v>0.55000000000000004</v>
      </c>
      <c r="Q35" s="3">
        <v>0.55000000000000004</v>
      </c>
      <c r="R35" s="4" t="s">
        <v>25</v>
      </c>
      <c r="S35" s="4">
        <v>3200</v>
      </c>
      <c r="T35" s="4">
        <v>28800</v>
      </c>
      <c r="U35" s="4">
        <v>25600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3200</v>
      </c>
      <c r="AD35" s="4">
        <v>28800</v>
      </c>
      <c r="AE35" s="4">
        <v>25600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3200</v>
      </c>
      <c r="AN35" s="4">
        <v>15840</v>
      </c>
      <c r="AO35" s="4">
        <v>0</v>
      </c>
      <c r="AP35" s="4">
        <v>15840</v>
      </c>
    </row>
    <row r="36" spans="1:43" x14ac:dyDescent="0.4">
      <c r="A36" s="3" t="s">
        <v>48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49</v>
      </c>
      <c r="G36" s="3" t="s">
        <v>20</v>
      </c>
      <c r="H36" s="3" t="s">
        <v>21</v>
      </c>
      <c r="I36" s="3" t="s">
        <v>22</v>
      </c>
      <c r="J36" s="3">
        <v>56540396</v>
      </c>
      <c r="K36" s="3" t="s">
        <v>67</v>
      </c>
      <c r="L36" s="3"/>
      <c r="M36" s="3"/>
      <c r="N36" s="3" t="s">
        <v>50</v>
      </c>
      <c r="O36" s="3" t="s">
        <v>23</v>
      </c>
      <c r="P36" s="3">
        <v>0.55000000000000004</v>
      </c>
      <c r="Q36" s="3">
        <v>0.55000000000000004</v>
      </c>
      <c r="R36" s="4" t="s">
        <v>63</v>
      </c>
      <c r="S36" s="4">
        <v>900</v>
      </c>
      <c r="T36" s="4">
        <v>35100</v>
      </c>
      <c r="U36" s="4">
        <v>28300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6800</v>
      </c>
      <c r="AD36" s="4">
        <v>35100</v>
      </c>
      <c r="AE36" s="4">
        <v>28300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6800</v>
      </c>
      <c r="AN36" s="4">
        <v>19305</v>
      </c>
      <c r="AO36" s="4">
        <v>0</v>
      </c>
      <c r="AP36" s="4">
        <v>19305</v>
      </c>
    </row>
    <row r="37" spans="1:43" x14ac:dyDescent="0.4">
      <c r="A37" s="3" t="s">
        <v>48</v>
      </c>
      <c r="B37" s="3" t="s">
        <v>57</v>
      </c>
      <c r="C37" s="3" t="s">
        <v>58</v>
      </c>
      <c r="D37" s="3" t="s">
        <v>59</v>
      </c>
      <c r="E37" s="3" t="s">
        <v>83</v>
      </c>
      <c r="F37" s="3" t="s">
        <v>49</v>
      </c>
      <c r="G37" s="3" t="s">
        <v>20</v>
      </c>
      <c r="H37" s="3" t="s">
        <v>21</v>
      </c>
      <c r="I37" s="3" t="s">
        <v>22</v>
      </c>
      <c r="J37" s="3">
        <v>58620838</v>
      </c>
      <c r="K37" s="3" t="s">
        <v>84</v>
      </c>
      <c r="L37" s="3"/>
      <c r="M37" s="3"/>
      <c r="N37" s="3" t="s">
        <v>85</v>
      </c>
      <c r="O37" s="3" t="s">
        <v>23</v>
      </c>
      <c r="P37" s="3">
        <v>0.55000000000000004</v>
      </c>
      <c r="Q37" s="3">
        <v>0.55000000000000004</v>
      </c>
      <c r="R37" s="4" t="s">
        <v>86</v>
      </c>
      <c r="S37" s="4">
        <v>100</v>
      </c>
      <c r="T37" s="4">
        <v>1922400</v>
      </c>
      <c r="U37" s="4">
        <v>1418900</v>
      </c>
      <c r="V37" s="4">
        <v>0</v>
      </c>
      <c r="W37" s="4">
        <v>0</v>
      </c>
      <c r="X37" s="4">
        <v>200</v>
      </c>
      <c r="Y37" s="4">
        <v>12550</v>
      </c>
      <c r="Z37" s="4">
        <v>59550</v>
      </c>
      <c r="AA37" s="4">
        <v>2000</v>
      </c>
      <c r="AB37" s="4">
        <v>0</v>
      </c>
      <c r="AC37" s="4">
        <v>429200</v>
      </c>
      <c r="AD37" s="4">
        <v>1931528.236</v>
      </c>
      <c r="AE37" s="4">
        <v>1418900</v>
      </c>
      <c r="AF37" s="4">
        <v>0</v>
      </c>
      <c r="AG37" s="4">
        <v>0</v>
      </c>
      <c r="AH37" s="4">
        <v>260.29419999999999</v>
      </c>
      <c r="AI37" s="4">
        <v>15060</v>
      </c>
      <c r="AJ37" s="4">
        <v>65505</v>
      </c>
      <c r="AK37" s="4">
        <v>2602.9418000000001</v>
      </c>
      <c r="AL37" s="4">
        <v>0</v>
      </c>
      <c r="AM37" s="4">
        <v>429200</v>
      </c>
      <c r="AN37" s="4">
        <v>1062341</v>
      </c>
      <c r="AO37" s="4">
        <v>0</v>
      </c>
      <c r="AP37" s="4">
        <v>-1062341</v>
      </c>
      <c r="AQ37" t="s">
        <v>116</v>
      </c>
    </row>
    <row r="38" spans="1:43" x14ac:dyDescent="0.4">
      <c r="A38" s="3" t="s">
        <v>48</v>
      </c>
      <c r="B38" s="3" t="s">
        <v>57</v>
      </c>
      <c r="C38" s="3" t="s">
        <v>58</v>
      </c>
      <c r="D38" s="3" t="s">
        <v>59</v>
      </c>
      <c r="E38" s="3" t="s">
        <v>60</v>
      </c>
      <c r="F38" s="3" t="s">
        <v>49</v>
      </c>
      <c r="G38" s="3" t="s">
        <v>20</v>
      </c>
      <c r="H38" s="3" t="s">
        <v>21</v>
      </c>
      <c r="I38" s="3" t="s">
        <v>22</v>
      </c>
      <c r="J38" s="3">
        <v>56540480</v>
      </c>
      <c r="K38" s="3" t="s">
        <v>87</v>
      </c>
      <c r="L38" s="3"/>
      <c r="M38" s="3"/>
      <c r="N38" s="3" t="s">
        <v>50</v>
      </c>
      <c r="O38" s="3" t="s">
        <v>23</v>
      </c>
      <c r="P38" s="3">
        <v>0.55000000000000004</v>
      </c>
      <c r="Q38" s="3">
        <v>0.55000000000000004</v>
      </c>
      <c r="R38" s="4" t="s">
        <v>63</v>
      </c>
      <c r="S38" s="4">
        <v>900</v>
      </c>
      <c r="T38" s="4">
        <v>19800</v>
      </c>
      <c r="U38" s="4">
        <v>18700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1100</v>
      </c>
      <c r="AD38" s="4">
        <v>19800</v>
      </c>
      <c r="AE38" s="4">
        <v>18700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1100</v>
      </c>
      <c r="AN38" s="4">
        <v>10890</v>
      </c>
      <c r="AO38" s="4">
        <v>0</v>
      </c>
      <c r="AP38" s="4">
        <v>10890</v>
      </c>
    </row>
    <row r="39" spans="1:43" x14ac:dyDescent="0.4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20">
        <f>SUM(AP2:AP38)</f>
        <v>28035779</v>
      </c>
    </row>
    <row r="40" spans="1:43" x14ac:dyDescent="0.4">
      <c r="A40" s="5" t="s">
        <v>68</v>
      </c>
      <c r="B40" s="6"/>
      <c r="C40" s="6"/>
      <c r="D40" s="7"/>
    </row>
    <row r="41" spans="1:43" x14ac:dyDescent="0.4">
      <c r="A41" s="8" t="s">
        <v>69</v>
      </c>
      <c r="B41" s="8" t="s">
        <v>70</v>
      </c>
      <c r="C41" s="8" t="s">
        <v>71</v>
      </c>
      <c r="D41" s="8" t="s">
        <v>72</v>
      </c>
    </row>
    <row r="42" spans="1:43" x14ac:dyDescent="0.4">
      <c r="A42" s="9">
        <v>201802</v>
      </c>
      <c r="B42" s="10">
        <v>70000000</v>
      </c>
      <c r="C42" s="10">
        <v>47732344</v>
      </c>
      <c r="D42" s="11">
        <v>22267656</v>
      </c>
    </row>
    <row r="43" spans="1:43" x14ac:dyDescent="0.4">
      <c r="A43" s="9">
        <v>201803</v>
      </c>
      <c r="B43" s="10">
        <v>50000000</v>
      </c>
      <c r="C43" s="10">
        <v>35701360</v>
      </c>
      <c r="D43" s="11">
        <v>36566296</v>
      </c>
    </row>
    <row r="44" spans="1:43" x14ac:dyDescent="0.4">
      <c r="A44" s="9">
        <v>201804</v>
      </c>
      <c r="B44" s="10">
        <v>50000000</v>
      </c>
      <c r="C44" s="10">
        <v>38938960</v>
      </c>
      <c r="D44" s="11">
        <v>47627336</v>
      </c>
    </row>
    <row r="45" spans="1:43" x14ac:dyDescent="0.4">
      <c r="A45" s="9">
        <v>201805</v>
      </c>
      <c r="B45" s="12"/>
      <c r="C45" s="10">
        <v>26553752</v>
      </c>
      <c r="D45" s="11">
        <v>21073584</v>
      </c>
    </row>
    <row r="46" spans="1:43" x14ac:dyDescent="0.4">
      <c r="A46" s="9">
        <v>201806</v>
      </c>
      <c r="B46" s="10">
        <v>50000000</v>
      </c>
      <c r="C46" s="10">
        <v>34500112</v>
      </c>
      <c r="D46" s="11">
        <v>36573472</v>
      </c>
    </row>
    <row r="47" spans="1:43" x14ac:dyDescent="0.4">
      <c r="A47" s="9">
        <v>201807</v>
      </c>
      <c r="B47" s="12"/>
      <c r="C47" s="10">
        <v>23175045</v>
      </c>
      <c r="D47" s="11">
        <v>13398427</v>
      </c>
    </row>
    <row r="48" spans="1:43" x14ac:dyDescent="0.4">
      <c r="A48" s="9">
        <v>201808</v>
      </c>
      <c r="B48" s="10">
        <v>50000000</v>
      </c>
      <c r="C48" s="10">
        <v>18766387</v>
      </c>
      <c r="D48" s="11">
        <v>44632040</v>
      </c>
    </row>
    <row r="49" spans="1:4" x14ac:dyDescent="0.4">
      <c r="A49" s="9">
        <v>201809</v>
      </c>
      <c r="B49" s="12"/>
      <c r="C49" s="10">
        <v>18646713</v>
      </c>
      <c r="D49" s="11">
        <v>25985327</v>
      </c>
    </row>
    <row r="50" spans="1:4" x14ac:dyDescent="0.4">
      <c r="A50" s="9">
        <v>201810</v>
      </c>
      <c r="B50" s="12"/>
      <c r="C50" s="10">
        <v>18925467</v>
      </c>
      <c r="D50" s="11">
        <v>7059860</v>
      </c>
    </row>
    <row r="51" spans="1:4" x14ac:dyDescent="0.4">
      <c r="A51" s="9">
        <v>201811</v>
      </c>
      <c r="B51" s="10">
        <v>50000000</v>
      </c>
      <c r="C51" s="10">
        <v>16885860</v>
      </c>
      <c r="D51" s="11">
        <v>40174000</v>
      </c>
    </row>
    <row r="52" spans="1:4" x14ac:dyDescent="0.4">
      <c r="A52" s="9">
        <v>201812</v>
      </c>
      <c r="B52" s="12"/>
      <c r="C52" s="10">
        <v>19348657</v>
      </c>
      <c r="D52" s="11">
        <v>20825343</v>
      </c>
    </row>
    <row r="53" spans="1:4" x14ac:dyDescent="0.4">
      <c r="A53" s="9">
        <v>201901</v>
      </c>
      <c r="B53" s="10">
        <v>50000000</v>
      </c>
      <c r="C53" s="10">
        <v>31454346</v>
      </c>
      <c r="D53" s="11">
        <v>39370997</v>
      </c>
    </row>
    <row r="54" spans="1:4" x14ac:dyDescent="0.4">
      <c r="A54" s="9">
        <v>201902</v>
      </c>
      <c r="B54" s="12"/>
      <c r="C54" s="10">
        <v>30366346</v>
      </c>
      <c r="D54" s="11">
        <v>9004651</v>
      </c>
    </row>
    <row r="55" spans="1:4" x14ac:dyDescent="0.4">
      <c r="A55" s="9">
        <v>201903</v>
      </c>
      <c r="B55" s="10">
        <v>50000000</v>
      </c>
      <c r="C55" s="10">
        <v>24049528</v>
      </c>
      <c r="D55" s="11">
        <v>34955123</v>
      </c>
    </row>
    <row r="56" spans="1:4" x14ac:dyDescent="0.4">
      <c r="A56" s="9">
        <v>201904</v>
      </c>
      <c r="B56" s="12"/>
      <c r="C56" s="10">
        <v>25754341</v>
      </c>
      <c r="D56" s="11">
        <v>9200782</v>
      </c>
    </row>
    <row r="57" spans="1:4" x14ac:dyDescent="0.4">
      <c r="A57" s="9">
        <v>201905</v>
      </c>
      <c r="B57" s="10">
        <v>50000000</v>
      </c>
      <c r="C57" s="10">
        <v>24706125</v>
      </c>
      <c r="D57" s="11">
        <v>34494657</v>
      </c>
    </row>
    <row r="58" spans="1:4" x14ac:dyDescent="0.4">
      <c r="A58" s="9">
        <v>201906</v>
      </c>
      <c r="B58" s="12"/>
      <c r="C58" s="10">
        <v>20303678</v>
      </c>
      <c r="D58" s="11">
        <v>14190979</v>
      </c>
    </row>
    <row r="59" spans="1:4" x14ac:dyDescent="0.4">
      <c r="A59" s="9">
        <v>201907</v>
      </c>
      <c r="B59" s="10">
        <v>50000000</v>
      </c>
      <c r="C59" s="10">
        <v>23411246</v>
      </c>
      <c r="D59" s="11">
        <v>40779733</v>
      </c>
    </row>
    <row r="60" spans="1:4" x14ac:dyDescent="0.4">
      <c r="A60" s="9">
        <v>201908</v>
      </c>
      <c r="B60" s="12"/>
      <c r="C60" s="10">
        <v>21883444</v>
      </c>
      <c r="D60" s="11">
        <v>18896289</v>
      </c>
    </row>
    <row r="61" spans="1:4" x14ac:dyDescent="0.4">
      <c r="A61" s="9">
        <v>201909</v>
      </c>
      <c r="B61" s="10">
        <v>50000000</v>
      </c>
      <c r="C61" s="10">
        <v>28787704</v>
      </c>
      <c r="D61" s="11">
        <v>40108585</v>
      </c>
    </row>
    <row r="62" spans="1:4" x14ac:dyDescent="0.4">
      <c r="A62" s="9">
        <v>201910</v>
      </c>
      <c r="B62" s="10"/>
      <c r="C62" s="10">
        <v>22129363</v>
      </c>
      <c r="D62" s="11">
        <v>17979222</v>
      </c>
    </row>
    <row r="63" spans="1:4" x14ac:dyDescent="0.4">
      <c r="A63" s="9">
        <v>201911</v>
      </c>
      <c r="B63" s="10">
        <v>50000000</v>
      </c>
      <c r="C63" s="16">
        <v>20240340</v>
      </c>
      <c r="D63" s="11">
        <v>47738882</v>
      </c>
    </row>
    <row r="64" spans="1:4" x14ac:dyDescent="0.4">
      <c r="A64" s="9">
        <v>201912</v>
      </c>
      <c r="B64" s="10"/>
      <c r="C64" s="10">
        <v>21290069</v>
      </c>
      <c r="D64" s="11">
        <v>26448813</v>
      </c>
    </row>
    <row r="65" spans="1:4" x14ac:dyDescent="0.4">
      <c r="A65" s="9">
        <v>202001</v>
      </c>
      <c r="B65" s="10">
        <v>50000000</v>
      </c>
      <c r="C65" s="15">
        <v>31440912</v>
      </c>
      <c r="D65" s="10">
        <v>45007901</v>
      </c>
    </row>
    <row r="66" spans="1:4" x14ac:dyDescent="0.4">
      <c r="A66" s="9">
        <v>202002</v>
      </c>
      <c r="B66" s="10"/>
      <c r="C66" s="17">
        <v>19283081</v>
      </c>
      <c r="D66" s="11">
        <v>25724820</v>
      </c>
    </row>
    <row r="67" spans="1:4" x14ac:dyDescent="0.4">
      <c r="A67" s="9">
        <v>202003</v>
      </c>
      <c r="B67" s="10">
        <v>50000000</v>
      </c>
      <c r="C67" s="17">
        <v>19822793</v>
      </c>
      <c r="D67" s="11">
        <v>55902027</v>
      </c>
    </row>
    <row r="68" spans="1:4" x14ac:dyDescent="0.4">
      <c r="A68" s="9">
        <v>202004</v>
      </c>
      <c r="B68" s="10"/>
      <c r="C68" s="17">
        <v>24700114</v>
      </c>
      <c r="D68" s="11">
        <v>31201913</v>
      </c>
    </row>
    <row r="69" spans="1:4" x14ac:dyDescent="0.4">
      <c r="A69" s="9">
        <v>202005</v>
      </c>
      <c r="B69" s="10"/>
      <c r="C69" s="17">
        <v>20221802</v>
      </c>
      <c r="D69" s="11">
        <v>10980111</v>
      </c>
    </row>
    <row r="70" spans="1:4" x14ac:dyDescent="0.4">
      <c r="A70" s="9">
        <v>202006</v>
      </c>
      <c r="B70" s="10">
        <v>50000000</v>
      </c>
      <c r="C70" s="17">
        <v>20465615</v>
      </c>
      <c r="D70" s="11">
        <v>40514496</v>
      </c>
    </row>
    <row r="71" spans="1:4" x14ac:dyDescent="0.4">
      <c r="A71" s="9">
        <v>202007</v>
      </c>
      <c r="B71" s="10"/>
      <c r="C71" s="17">
        <v>17162548</v>
      </c>
      <c r="D71" s="11">
        <v>23351948</v>
      </c>
    </row>
    <row r="72" spans="1:4" x14ac:dyDescent="0.4">
      <c r="A72" s="9">
        <v>202008</v>
      </c>
      <c r="B72" s="10"/>
      <c r="C72" s="17">
        <v>18524835</v>
      </c>
      <c r="D72" s="11">
        <v>4827113</v>
      </c>
    </row>
    <row r="73" spans="1:4" x14ac:dyDescent="0.4">
      <c r="A73" s="9">
        <v>202009</v>
      </c>
      <c r="B73" s="10">
        <v>50000000</v>
      </c>
      <c r="C73" s="17">
        <v>18377819</v>
      </c>
      <c r="D73" s="11">
        <v>36449294</v>
      </c>
    </row>
    <row r="74" spans="1:4" x14ac:dyDescent="0.4">
      <c r="A74" s="9">
        <v>202010</v>
      </c>
      <c r="B74" s="10"/>
      <c r="C74" s="17">
        <v>12130233</v>
      </c>
      <c r="D74" s="11">
        <v>24319061</v>
      </c>
    </row>
    <row r="75" spans="1:4" x14ac:dyDescent="0.4">
      <c r="A75" s="9">
        <v>202011</v>
      </c>
      <c r="B75" s="10">
        <v>50000000</v>
      </c>
      <c r="C75" s="17">
        <v>28409569</v>
      </c>
      <c r="D75" s="11">
        <f>D74-C75+B75</f>
        <v>45909492</v>
      </c>
    </row>
    <row r="76" spans="1:4" x14ac:dyDescent="0.4">
      <c r="A76" s="9">
        <v>202012</v>
      </c>
      <c r="B76" s="10"/>
      <c r="C76" s="17">
        <v>20659980</v>
      </c>
      <c r="D76" s="11">
        <f>D75-C76</f>
        <v>25249512</v>
      </c>
    </row>
    <row r="77" spans="1:4" x14ac:dyDescent="0.4">
      <c r="A77" s="9">
        <v>202101</v>
      </c>
      <c r="B77" s="10"/>
      <c r="C77" s="17">
        <v>18057602</v>
      </c>
      <c r="D77" s="11">
        <f>D76-C77</f>
        <v>7191910</v>
      </c>
    </row>
    <row r="78" spans="1:4" x14ac:dyDescent="0.4">
      <c r="A78" s="9">
        <v>202102</v>
      </c>
      <c r="B78" s="10">
        <v>50000000</v>
      </c>
      <c r="C78" s="17">
        <v>11866625</v>
      </c>
      <c r="D78" s="11">
        <f t="shared" ref="D78:D83" si="0">D77+B78-C78</f>
        <v>45325285</v>
      </c>
    </row>
    <row r="79" spans="1:4" x14ac:dyDescent="0.4">
      <c r="A79" s="9">
        <v>202103</v>
      </c>
      <c r="B79" s="10"/>
      <c r="C79" s="17">
        <v>17540528</v>
      </c>
      <c r="D79" s="11">
        <f t="shared" si="0"/>
        <v>27784757</v>
      </c>
    </row>
    <row r="80" spans="1:4" x14ac:dyDescent="0.4">
      <c r="A80" s="9">
        <v>202104</v>
      </c>
      <c r="B80" s="10"/>
      <c r="C80" s="17">
        <v>12625804</v>
      </c>
      <c r="D80" s="11">
        <f t="shared" si="0"/>
        <v>15158953</v>
      </c>
    </row>
    <row r="81" spans="1:4" x14ac:dyDescent="0.4">
      <c r="A81" s="9">
        <v>202105</v>
      </c>
      <c r="B81" s="10"/>
      <c r="C81" s="17">
        <v>10775038</v>
      </c>
      <c r="D81" s="11">
        <f t="shared" si="0"/>
        <v>4383915</v>
      </c>
    </row>
    <row r="82" spans="1:4" x14ac:dyDescent="0.4">
      <c r="A82" s="9">
        <v>202106</v>
      </c>
      <c r="B82" s="10">
        <v>50000000</v>
      </c>
      <c r="C82" s="17">
        <v>21998758</v>
      </c>
      <c r="D82" s="11">
        <f t="shared" si="0"/>
        <v>32385157</v>
      </c>
    </row>
    <row r="83" spans="1:4" x14ac:dyDescent="0.4">
      <c r="A83" s="9">
        <v>202107</v>
      </c>
      <c r="B83" s="10"/>
      <c r="C83" s="17">
        <v>14341856</v>
      </c>
      <c r="D83" s="11">
        <f t="shared" si="0"/>
        <v>18043301</v>
      </c>
    </row>
    <row r="84" spans="1:4" x14ac:dyDescent="0.4">
      <c r="A84" s="9">
        <v>202108</v>
      </c>
      <c r="B84" s="10">
        <v>50000000</v>
      </c>
      <c r="C84" s="17">
        <v>32878577</v>
      </c>
      <c r="D84" s="11">
        <f>D83+B84-C84</f>
        <v>35164724</v>
      </c>
    </row>
    <row r="85" spans="1:4" x14ac:dyDescent="0.4">
      <c r="A85" s="9">
        <v>202109</v>
      </c>
      <c r="B85" s="10"/>
      <c r="C85" s="17">
        <v>18768367</v>
      </c>
      <c r="D85" s="11">
        <f>D84+B85-C85</f>
        <v>16396357</v>
      </c>
    </row>
    <row r="86" spans="1:4" x14ac:dyDescent="0.4">
      <c r="A86" s="9">
        <v>202110</v>
      </c>
      <c r="B86" s="10">
        <v>100000000</v>
      </c>
      <c r="C86" s="17">
        <v>77924216</v>
      </c>
      <c r="D86" s="11">
        <f>D85+B86-C86</f>
        <v>38472141</v>
      </c>
    </row>
    <row r="87" spans="1:4" x14ac:dyDescent="0.4">
      <c r="A87" s="9">
        <v>202111</v>
      </c>
      <c r="B87" s="10">
        <v>50000000</v>
      </c>
      <c r="C87" s="17">
        <v>46002098</v>
      </c>
      <c r="D87" s="11">
        <f>D86-C87+B87</f>
        <v>42470043</v>
      </c>
    </row>
    <row r="88" spans="1:4" x14ac:dyDescent="0.4">
      <c r="A88" s="9">
        <v>202112</v>
      </c>
      <c r="B88" s="10"/>
      <c r="C88" s="17">
        <v>39160141</v>
      </c>
      <c r="D88" s="11">
        <f>D87-C88+B88</f>
        <v>3309902</v>
      </c>
    </row>
    <row r="89" spans="1:4" x14ac:dyDescent="0.4">
      <c r="A89" s="9">
        <v>202201</v>
      </c>
      <c r="B89" s="10">
        <v>50000000</v>
      </c>
      <c r="C89" s="17">
        <v>35237226</v>
      </c>
      <c r="D89" s="11">
        <f>D88+B89-C89</f>
        <v>18072676</v>
      </c>
    </row>
    <row r="90" spans="1:4" x14ac:dyDescent="0.4">
      <c r="A90" s="9">
        <v>202202</v>
      </c>
      <c r="B90" s="10">
        <v>50000000</v>
      </c>
      <c r="C90" s="17">
        <f>AP39</f>
        <v>28035779</v>
      </c>
      <c r="D90" s="11">
        <f>D89+B90-C90</f>
        <v>40036897</v>
      </c>
    </row>
    <row r="91" spans="1:4" x14ac:dyDescent="0.4">
      <c r="A91" s="9"/>
      <c r="B91" s="10"/>
      <c r="C91" s="17"/>
      <c r="D91" s="11"/>
    </row>
    <row r="92" spans="1:4" x14ac:dyDescent="0.4">
      <c r="A92" s="13" t="s">
        <v>73</v>
      </c>
      <c r="B92" s="14">
        <f>SUM(B40:B91)</f>
        <v>1270000000</v>
      </c>
      <c r="C92" s="14">
        <f>SUM(C42:C91)</f>
        <v>1229963103</v>
      </c>
      <c r="D92" s="14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"/>
  <sheetViews>
    <sheetView zoomScale="60" zoomScaleNormal="60" workbookViewId="0">
      <selection activeCell="D34" sqref="D34"/>
    </sheetView>
  </sheetViews>
  <sheetFormatPr defaultRowHeight="17.399999999999999" x14ac:dyDescent="0.4"/>
  <cols>
    <col min="2" max="2" width="11.296875" customWidth="1"/>
    <col min="3" max="3" width="11.59765625" customWidth="1"/>
    <col min="4" max="4" width="12" customWidth="1"/>
    <col min="6" max="6" width="5" customWidth="1"/>
    <col min="7" max="7" width="4.796875" customWidth="1"/>
    <col min="8" max="8" width="5" customWidth="1"/>
    <col min="13" max="13" width="2.796875" customWidth="1"/>
    <col min="15" max="15" width="3.5" customWidth="1"/>
    <col min="22" max="24" width="3.296875" customWidth="1"/>
    <col min="27" max="27" width="6" customWidth="1"/>
    <col min="32" max="34" width="2.296875" customWidth="1"/>
    <col min="37" max="38" width="4.296875" customWidth="1"/>
    <col min="42" max="42" width="9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77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58140713</v>
      </c>
      <c r="K2" s="3" t="s">
        <v>78</v>
      </c>
      <c r="L2" s="3"/>
      <c r="M2" s="3"/>
      <c r="N2" s="3" t="s">
        <v>79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380500</v>
      </c>
      <c r="U2" s="4">
        <v>124000</v>
      </c>
      <c r="V2" s="4">
        <v>0</v>
      </c>
      <c r="W2" s="4">
        <v>0</v>
      </c>
      <c r="X2" s="4">
        <v>0</v>
      </c>
      <c r="Y2" s="4">
        <v>0</v>
      </c>
      <c r="Z2" s="4">
        <v>2100</v>
      </c>
      <c r="AA2" s="4">
        <v>0</v>
      </c>
      <c r="AB2" s="4">
        <v>0</v>
      </c>
      <c r="AC2" s="4">
        <v>254400</v>
      </c>
      <c r="AD2" s="4">
        <v>380710</v>
      </c>
      <c r="AE2" s="4">
        <v>124000</v>
      </c>
      <c r="AF2" s="4">
        <v>0</v>
      </c>
      <c r="AG2" s="4">
        <v>0</v>
      </c>
      <c r="AH2" s="4">
        <v>0</v>
      </c>
      <c r="AI2" s="4">
        <v>0</v>
      </c>
      <c r="AJ2" s="4">
        <v>2310</v>
      </c>
      <c r="AK2" s="4">
        <v>0</v>
      </c>
      <c r="AL2" s="4">
        <v>0</v>
      </c>
      <c r="AM2" s="4">
        <v>254400</v>
      </c>
      <c r="AN2" s="4">
        <v>209391</v>
      </c>
      <c r="AO2" s="4">
        <v>0</v>
      </c>
      <c r="AP2" s="4">
        <v>209391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77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58140713</v>
      </c>
      <c r="K3" s="3" t="s">
        <v>78</v>
      </c>
      <c r="L3" s="3"/>
      <c r="M3" s="3"/>
      <c r="N3" s="3" t="s">
        <v>79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1900</v>
      </c>
      <c r="T3" s="4">
        <v>149100</v>
      </c>
      <c r="U3" s="4">
        <v>115700</v>
      </c>
      <c r="V3" s="4">
        <v>0</v>
      </c>
      <c r="W3" s="4">
        <v>0</v>
      </c>
      <c r="X3" s="4">
        <v>0</v>
      </c>
      <c r="Y3" s="4">
        <v>0</v>
      </c>
      <c r="Z3" s="4">
        <v>5700</v>
      </c>
      <c r="AA3" s="4">
        <v>0</v>
      </c>
      <c r="AB3" s="4">
        <v>0</v>
      </c>
      <c r="AC3" s="4">
        <v>27700</v>
      </c>
      <c r="AD3" s="4">
        <v>149670</v>
      </c>
      <c r="AE3" s="4">
        <v>115700</v>
      </c>
      <c r="AF3" s="4">
        <v>0</v>
      </c>
      <c r="AG3" s="4">
        <v>0</v>
      </c>
      <c r="AH3" s="4">
        <v>0</v>
      </c>
      <c r="AI3" s="4">
        <v>0</v>
      </c>
      <c r="AJ3" s="4">
        <v>6270</v>
      </c>
      <c r="AK3" s="4">
        <v>0</v>
      </c>
      <c r="AL3" s="4">
        <v>0</v>
      </c>
      <c r="AM3" s="4">
        <v>27700</v>
      </c>
      <c r="AN3" s="4">
        <v>82319</v>
      </c>
      <c r="AO3" s="4">
        <v>0</v>
      </c>
      <c r="AP3" s="4">
        <v>82319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77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58140713</v>
      </c>
      <c r="K4" s="3" t="s">
        <v>78</v>
      </c>
      <c r="L4" s="3"/>
      <c r="M4" s="3"/>
      <c r="N4" s="3" t="s">
        <v>79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4600</v>
      </c>
      <c r="T4" s="4">
        <v>15600</v>
      </c>
      <c r="U4" s="4">
        <v>15000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600</v>
      </c>
      <c r="AD4" s="4">
        <v>15600</v>
      </c>
      <c r="AE4" s="4">
        <v>15000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600</v>
      </c>
      <c r="AN4" s="4">
        <v>8580</v>
      </c>
      <c r="AO4" s="4">
        <v>0</v>
      </c>
      <c r="AP4" s="4">
        <v>8580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77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58140713</v>
      </c>
      <c r="K5" s="3" t="s">
        <v>78</v>
      </c>
      <c r="L5" s="3"/>
      <c r="M5" s="3"/>
      <c r="N5" s="3" t="s">
        <v>79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7200</v>
      </c>
      <c r="T5" s="4">
        <v>36000</v>
      </c>
      <c r="U5" s="4">
        <v>36000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36000</v>
      </c>
      <c r="AE5" s="4">
        <v>36000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19800</v>
      </c>
      <c r="AO5" s="4">
        <v>0</v>
      </c>
      <c r="AP5" s="4">
        <v>19800</v>
      </c>
    </row>
    <row r="6" spans="1:42" x14ac:dyDescent="0.4">
      <c r="AP6" s="21">
        <f>SUM(AP2:AP5)</f>
        <v>320090</v>
      </c>
    </row>
    <row r="8" spans="1:42" x14ac:dyDescent="0.4">
      <c r="A8" s="5" t="s">
        <v>68</v>
      </c>
      <c r="B8" s="6"/>
      <c r="C8" s="6"/>
      <c r="D8" s="7"/>
    </row>
    <row r="9" spans="1:42" x14ac:dyDescent="0.4">
      <c r="A9" s="8" t="s">
        <v>69</v>
      </c>
      <c r="B9" s="8" t="s">
        <v>70</v>
      </c>
      <c r="C9" s="8" t="s">
        <v>80</v>
      </c>
      <c r="D9" s="8" t="s">
        <v>72</v>
      </c>
    </row>
    <row r="10" spans="1:42" x14ac:dyDescent="0.4">
      <c r="A10" s="9">
        <v>202110</v>
      </c>
      <c r="B10" s="10">
        <v>10000000</v>
      </c>
      <c r="C10" s="10">
        <v>7140751</v>
      </c>
      <c r="D10" s="11">
        <f>B10-C10</f>
        <v>2859249</v>
      </c>
    </row>
    <row r="11" spans="1:42" x14ac:dyDescent="0.4">
      <c r="A11" s="9">
        <v>202111</v>
      </c>
      <c r="B11" s="10">
        <v>10000000</v>
      </c>
      <c r="C11" s="10">
        <v>3430957</v>
      </c>
      <c r="D11" s="11">
        <f>D10+B11-C11</f>
        <v>9428292</v>
      </c>
    </row>
    <row r="12" spans="1:42" x14ac:dyDescent="0.4">
      <c r="A12" s="9">
        <v>202112</v>
      </c>
      <c r="B12" s="10"/>
      <c r="C12" s="10">
        <v>816063</v>
      </c>
      <c r="D12" s="11">
        <f>D11+B12-C12</f>
        <v>8612229</v>
      </c>
    </row>
    <row r="13" spans="1:42" x14ac:dyDescent="0.4">
      <c r="A13" s="9">
        <v>202201</v>
      </c>
      <c r="B13" s="10"/>
      <c r="C13" s="10">
        <v>877784</v>
      </c>
      <c r="D13" s="11">
        <f>D12-C13</f>
        <v>7734445</v>
      </c>
    </row>
    <row r="14" spans="1:42" x14ac:dyDescent="0.4">
      <c r="A14" s="9">
        <v>202202</v>
      </c>
      <c r="B14" s="10"/>
      <c r="C14" s="10">
        <f>AP6</f>
        <v>320090</v>
      </c>
      <c r="D14" s="11">
        <f>D13-C14</f>
        <v>7414355</v>
      </c>
    </row>
    <row r="15" spans="1:42" x14ac:dyDescent="0.4">
      <c r="A15" s="12"/>
      <c r="B15" s="12"/>
      <c r="C15" s="12"/>
      <c r="D15" s="1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"/>
  <sheetViews>
    <sheetView topLeftCell="J1" zoomScale="63" zoomScaleNormal="63" workbookViewId="0">
      <selection activeCell="M25" sqref="M25"/>
    </sheetView>
  </sheetViews>
  <sheetFormatPr defaultRowHeight="17.399999999999999" x14ac:dyDescent="0.4"/>
  <cols>
    <col min="1" max="1" width="11.69921875" customWidth="1"/>
    <col min="2" max="2" width="13" customWidth="1"/>
    <col min="3" max="3" width="12.09765625" customWidth="1"/>
    <col min="4" max="4" width="14.296875" customWidth="1"/>
    <col min="42" max="42" width="10.5" customWidth="1"/>
  </cols>
  <sheetData>
    <row r="1" spans="1:43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88</v>
      </c>
      <c r="M1" s="1" t="s">
        <v>89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2" t="s">
        <v>100</v>
      </c>
      <c r="AE1" s="1" t="s">
        <v>101</v>
      </c>
      <c r="AF1" s="1" t="s">
        <v>102</v>
      </c>
      <c r="AG1" s="1" t="s">
        <v>103</v>
      </c>
      <c r="AH1" s="1" t="s">
        <v>104</v>
      </c>
      <c r="AI1" s="1" t="s">
        <v>105</v>
      </c>
      <c r="AJ1" s="1" t="s">
        <v>106</v>
      </c>
      <c r="AK1" s="1" t="s">
        <v>107</v>
      </c>
      <c r="AL1" s="1" t="s">
        <v>108</v>
      </c>
      <c r="AM1" s="1" t="s">
        <v>109</v>
      </c>
      <c r="AN1" s="1" t="s">
        <v>17</v>
      </c>
      <c r="AO1" s="1" t="s">
        <v>18</v>
      </c>
      <c r="AP1" s="2" t="s">
        <v>19</v>
      </c>
    </row>
    <row r="2" spans="1:43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83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58620838</v>
      </c>
      <c r="K2" s="3" t="s">
        <v>84</v>
      </c>
      <c r="L2" s="3"/>
      <c r="M2" s="3"/>
      <c r="N2" s="3" t="s">
        <v>85</v>
      </c>
      <c r="O2" s="3" t="s">
        <v>23</v>
      </c>
      <c r="P2" s="3">
        <v>0.55000000000000004</v>
      </c>
      <c r="Q2" s="3">
        <v>0.55000000000000004</v>
      </c>
      <c r="R2" s="4" t="s">
        <v>86</v>
      </c>
      <c r="S2" s="4">
        <v>100</v>
      </c>
      <c r="T2" s="4">
        <v>1922400</v>
      </c>
      <c r="U2" s="4">
        <v>1418900</v>
      </c>
      <c r="V2" s="4">
        <v>0</v>
      </c>
      <c r="W2" s="4">
        <v>0</v>
      </c>
      <c r="X2" s="4">
        <v>200</v>
      </c>
      <c r="Y2" s="4">
        <v>12550</v>
      </c>
      <c r="Z2" s="4">
        <v>59550</v>
      </c>
      <c r="AA2" s="4">
        <v>2000</v>
      </c>
      <c r="AB2" s="4">
        <v>0</v>
      </c>
      <c r="AC2" s="4">
        <v>429200</v>
      </c>
      <c r="AD2" s="4">
        <v>1931528.236</v>
      </c>
      <c r="AE2" s="4">
        <v>1418900</v>
      </c>
      <c r="AF2" s="4">
        <v>0</v>
      </c>
      <c r="AG2" s="4">
        <v>0</v>
      </c>
      <c r="AH2" s="4">
        <v>260.29419999999999</v>
      </c>
      <c r="AI2" s="4">
        <v>15060</v>
      </c>
      <c r="AJ2" s="4">
        <v>65505</v>
      </c>
      <c r="AK2" s="4">
        <v>2602.9418000000001</v>
      </c>
      <c r="AL2" s="4">
        <v>0</v>
      </c>
      <c r="AM2" s="4">
        <v>429200</v>
      </c>
      <c r="AN2" s="4">
        <v>1062341</v>
      </c>
      <c r="AO2" s="4">
        <v>0</v>
      </c>
      <c r="AP2" s="4">
        <v>1062341</v>
      </c>
      <c r="AQ2" t="s">
        <v>115</v>
      </c>
    </row>
    <row r="3" spans="1:43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83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58620838</v>
      </c>
      <c r="K3" s="3" t="s">
        <v>84</v>
      </c>
      <c r="L3" s="3"/>
      <c r="M3" s="3"/>
      <c r="N3" s="3" t="s">
        <v>85</v>
      </c>
      <c r="O3" s="3" t="s">
        <v>23</v>
      </c>
      <c r="P3" s="3">
        <v>0.55000000000000004</v>
      </c>
      <c r="Q3" s="3">
        <v>0.55000000000000004</v>
      </c>
      <c r="R3" s="4" t="s">
        <v>25</v>
      </c>
      <c r="S3" s="4">
        <v>100</v>
      </c>
      <c r="T3" s="4">
        <v>1140800</v>
      </c>
      <c r="U3" s="4">
        <v>740900</v>
      </c>
      <c r="V3" s="4">
        <v>0</v>
      </c>
      <c r="W3" s="4">
        <v>0</v>
      </c>
      <c r="X3" s="4">
        <v>0</v>
      </c>
      <c r="Y3" s="4">
        <v>11000</v>
      </c>
      <c r="Z3" s="4">
        <v>52950</v>
      </c>
      <c r="AA3" s="4">
        <v>0</v>
      </c>
      <c r="AB3" s="4">
        <v>0</v>
      </c>
      <c r="AC3" s="4">
        <v>335950</v>
      </c>
      <c r="AD3" s="4">
        <v>1148295</v>
      </c>
      <c r="AE3" s="4">
        <v>740900</v>
      </c>
      <c r="AF3" s="4">
        <v>0</v>
      </c>
      <c r="AG3" s="4">
        <v>0</v>
      </c>
      <c r="AH3" s="4">
        <v>0</v>
      </c>
      <c r="AI3" s="4">
        <v>13200</v>
      </c>
      <c r="AJ3" s="4">
        <v>58245</v>
      </c>
      <c r="AK3" s="4">
        <v>0</v>
      </c>
      <c r="AL3" s="4">
        <v>0</v>
      </c>
      <c r="AM3" s="4">
        <v>335950</v>
      </c>
      <c r="AN3" s="4">
        <v>631562</v>
      </c>
      <c r="AO3" s="4">
        <v>0</v>
      </c>
      <c r="AP3" s="4">
        <v>631562</v>
      </c>
    </row>
    <row r="4" spans="1:43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83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58620838</v>
      </c>
      <c r="K4" s="3" t="s">
        <v>84</v>
      </c>
      <c r="L4" s="3"/>
      <c r="M4" s="3"/>
      <c r="N4" s="3" t="s">
        <v>85</v>
      </c>
      <c r="O4" s="3" t="s">
        <v>23</v>
      </c>
      <c r="P4" s="3">
        <v>0.55000000000000004</v>
      </c>
      <c r="Q4" s="3">
        <v>0.55000000000000004</v>
      </c>
      <c r="R4" s="4" t="s">
        <v>86</v>
      </c>
      <c r="S4" s="4">
        <v>100</v>
      </c>
      <c r="T4" s="4">
        <v>687100</v>
      </c>
      <c r="U4" s="4">
        <v>408650</v>
      </c>
      <c r="V4" s="4">
        <v>0</v>
      </c>
      <c r="W4" s="4">
        <v>0</v>
      </c>
      <c r="X4" s="4">
        <v>100</v>
      </c>
      <c r="Y4" s="4">
        <v>8000</v>
      </c>
      <c r="Z4" s="4">
        <v>24400</v>
      </c>
      <c r="AA4" s="4">
        <v>0</v>
      </c>
      <c r="AB4" s="4">
        <v>0</v>
      </c>
      <c r="AC4" s="4">
        <v>245950</v>
      </c>
      <c r="AD4" s="4">
        <v>691170.61910000001</v>
      </c>
      <c r="AE4" s="4">
        <v>408650</v>
      </c>
      <c r="AF4" s="4">
        <v>0</v>
      </c>
      <c r="AG4" s="4">
        <v>0</v>
      </c>
      <c r="AH4" s="4">
        <v>130.6191</v>
      </c>
      <c r="AI4" s="4">
        <v>9600</v>
      </c>
      <c r="AJ4" s="4">
        <v>26840</v>
      </c>
      <c r="AK4" s="4">
        <v>0</v>
      </c>
      <c r="AL4" s="4">
        <v>0</v>
      </c>
      <c r="AM4" s="4">
        <v>245950</v>
      </c>
      <c r="AN4" s="4">
        <v>380144</v>
      </c>
      <c r="AO4" s="4">
        <v>0</v>
      </c>
      <c r="AP4" s="4">
        <v>380144</v>
      </c>
    </row>
    <row r="5" spans="1:43" x14ac:dyDescent="0.4">
      <c r="AP5" s="23">
        <f>SUM(AP2:AP4)</f>
        <v>2074047</v>
      </c>
    </row>
    <row r="7" spans="1:43" x14ac:dyDescent="0.4">
      <c r="A7" s="5" t="s">
        <v>110</v>
      </c>
    </row>
    <row r="8" spans="1:43" x14ac:dyDescent="0.4">
      <c r="A8" s="8" t="s">
        <v>111</v>
      </c>
      <c r="B8" s="8" t="s">
        <v>112</v>
      </c>
      <c r="C8" s="8" t="s">
        <v>113</v>
      </c>
      <c r="D8" s="8" t="s">
        <v>114</v>
      </c>
    </row>
    <row r="9" spans="1:43" x14ac:dyDescent="0.4">
      <c r="A9" s="9">
        <v>202111</v>
      </c>
      <c r="B9" s="10">
        <v>10000000</v>
      </c>
      <c r="C9" s="10">
        <v>0</v>
      </c>
      <c r="D9" s="11">
        <f>B9-C9</f>
        <v>10000000</v>
      </c>
    </row>
    <row r="10" spans="1:43" x14ac:dyDescent="0.4">
      <c r="A10" s="9">
        <v>202202</v>
      </c>
      <c r="B10" s="10">
        <v>0</v>
      </c>
      <c r="C10" s="10">
        <f>AP5</f>
        <v>2074047</v>
      </c>
      <c r="D10" s="11">
        <f>D9-C10</f>
        <v>7925953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특별계약(2)</vt:lpstr>
      <vt:lpstr>김광수</vt:lpstr>
      <vt:lpstr>몸서리</vt:lpstr>
      <vt:lpstr>김정연</vt:lpstr>
      <vt:lpstr>김광수!Extract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2022-03-07T05:43:52Z</dcterms:modified>
</cp:coreProperties>
</file>