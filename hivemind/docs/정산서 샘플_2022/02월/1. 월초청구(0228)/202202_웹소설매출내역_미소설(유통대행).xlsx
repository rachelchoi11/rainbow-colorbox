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1" r:id="rId1"/>
    <sheet name="에필로그" sheetId="2" r:id="rId2"/>
    <sheet name="더컴퍼니" sheetId="3" r:id="rId3"/>
  </sheets>
  <definedNames>
    <definedName name="_xlnm._FilterDatabase" localSheetId="0" hidden="1">'합계(2)'!$A$1:$L$22</definedName>
    <definedName name="_xlnm.Extract" localSheetId="2">더컴퍼니!$A$1:$L$1</definedName>
    <definedName name="_xlnm.Extract" localSheetId="1">에필로그!$A$1:$L$1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J15" i="3" l="1"/>
  <c r="J9" i="2"/>
  <c r="J22" i="1" l="1"/>
</calcChain>
</file>

<file path=xl/sharedStrings.xml><?xml version="1.0" encoding="utf-8"?>
<sst xmlns="http://schemas.openxmlformats.org/spreadsheetml/2006/main" count="196" uniqueCount="48">
  <si>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</si>
  <si>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</si>
  <si>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</si>
  <si>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</si>
  <si>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</si>
  <si>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</si>
  <si>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</si>
  <si>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</si>
  <si>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</si>
  <si>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</si>
  <si>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남창목가</t>
  </si>
  <si>
    <t>출판사(정산처)</t>
    <phoneticPr fontId="20" type="noConversion"/>
  </si>
  <si>
    <t>전설이 돼라</t>
  </si>
  <si>
    <t>출판사(작가)</t>
    <phoneticPr fontId="20" type="noConversion"/>
  </si>
  <si>
    <t>전장의 금기</t>
  </si>
  <si>
    <t>강호, 미치다</t>
  </si>
  <si>
    <t>악당의 리턴</t>
  </si>
  <si>
    <t>[BL] 반하는 세계</t>
  </si>
  <si>
    <t>[BL] 클라우드 나인(Cloud 9)</t>
  </si>
  <si>
    <t>이리 와 봐 [외전포함]</t>
  </si>
  <si>
    <t>2022년02월</t>
  </si>
  <si>
    <t>[BL] 하고 싶어</t>
  </si>
  <si>
    <t>벗어 주세요</t>
  </si>
  <si>
    <t>대공의 아내</t>
  </si>
  <si>
    <t>[BL] 얼음이 녹아내리는 동안</t>
  </si>
  <si>
    <t>[BL] 피할 수 없으면 즐겨라</t>
  </si>
  <si>
    <t>이 맛에 회장한다</t>
  </si>
  <si>
    <t>90일간의 화양연화 [개정판]</t>
  </si>
  <si>
    <t>진짜 사나이</t>
  </si>
  <si>
    <t>이기적인 파트너 [외전증보판]</t>
  </si>
  <si>
    <t>폭풍처럼 오다</t>
  </si>
  <si>
    <t>반하는 세계</t>
  </si>
  <si>
    <t>최재봉</t>
  </si>
  <si>
    <t>협행마</t>
  </si>
  <si>
    <t>시아</t>
  </si>
  <si>
    <t>강산</t>
  </si>
  <si>
    <t>주해나</t>
  </si>
  <si>
    <t>문시티</t>
  </si>
  <si>
    <t>용가리맛쿠키</t>
  </si>
  <si>
    <t>최강주</t>
  </si>
  <si>
    <t>강소아</t>
  </si>
  <si>
    <t>투즈</t>
  </si>
  <si>
    <t>한슬</t>
    <phoneticPr fontId="20" type="noConversion"/>
  </si>
  <si>
    <t>jooki</t>
  </si>
  <si>
    <t>나나코</t>
  </si>
  <si>
    <t>도로시</t>
    <phoneticPr fontId="20" type="noConversion"/>
  </si>
  <si>
    <t>에필로그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</si>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</sst>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33" borderId="11" xfId="0" applyFill="1" applyBorder="1">
      <alignment vertical="center"/>
    </xf>
    <xf numFmtId="3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2"/>
  <sheetViews>
    <sheetView showGridLines="0" tabSelected="1" zoomScale="82" zoomScaleNormal="82" workbookViewId="0">
      <selection activeCell="C22" sqref="C22"/>
    </sheetView>
  </sheetViews>
  <sheetFormatPr defaultRowHeight="17.399999999999999" x14ac:dyDescent="0.4"/>
  <cols>
    <col min="1" max="1" width="32.19921875" customWidth="1"/>
    <col min="2" max="2" width="14.296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13</v>
      </c>
      <c r="L1" s="7" t="s">
        <v>11</v>
      </c>
    </row>
    <row r="2" spans="1:12" x14ac:dyDescent="0.4">
      <c r="A2" s="4" t="s">
        <v>10</v>
      </c>
      <c r="B2" s="4" t="s">
        <v>20</v>
      </c>
      <c r="C2" s="4">
        <v>565</v>
      </c>
      <c r="D2" s="4">
        <v>565</v>
      </c>
      <c r="E2" s="5">
        <v>0.7</v>
      </c>
      <c r="F2" s="6">
        <v>56500</v>
      </c>
      <c r="G2" s="6">
        <v>5650</v>
      </c>
      <c r="H2" s="6">
        <v>35595</v>
      </c>
      <c r="I2" s="4">
        <v>0</v>
      </c>
      <c r="J2" s="6">
        <v>35595</v>
      </c>
      <c r="K2" t="s">
        <v>32</v>
      </c>
      <c r="L2" t="s">
        <v>46</v>
      </c>
    </row>
    <row r="3" spans="1:12" x14ac:dyDescent="0.4">
      <c r="A3" s="4" t="s">
        <v>14</v>
      </c>
      <c r="B3" s="4" t="s">
        <v>20</v>
      </c>
      <c r="C3" s="4">
        <v>443</v>
      </c>
      <c r="D3" s="4">
        <v>443</v>
      </c>
      <c r="E3" s="5">
        <v>0.7</v>
      </c>
      <c r="F3" s="6">
        <v>44300</v>
      </c>
      <c r="G3" s="6">
        <v>4430</v>
      </c>
      <c r="H3" s="6">
        <v>27909</v>
      </c>
      <c r="I3" s="4">
        <v>0</v>
      </c>
      <c r="J3" s="6">
        <v>27909</v>
      </c>
      <c r="K3" t="s">
        <v>33</v>
      </c>
      <c r="L3" t="s">
        <v>46</v>
      </c>
    </row>
    <row r="4" spans="1:12" x14ac:dyDescent="0.4">
      <c r="A4" s="4" t="s">
        <v>21</v>
      </c>
      <c r="B4" s="4" t="s">
        <v>20</v>
      </c>
      <c r="C4" s="4">
        <v>408</v>
      </c>
      <c r="D4" s="4">
        <v>408</v>
      </c>
      <c r="E4" s="5">
        <v>0.7</v>
      </c>
      <c r="F4" s="6">
        <v>40800</v>
      </c>
      <c r="G4" s="6">
        <v>4080</v>
      </c>
      <c r="H4" s="6">
        <v>25704</v>
      </c>
      <c r="I4" s="4">
        <v>0</v>
      </c>
      <c r="J4" s="6">
        <v>25704</v>
      </c>
      <c r="K4" t="s">
        <v>34</v>
      </c>
      <c r="L4" t="s">
        <v>47</v>
      </c>
    </row>
    <row r="5" spans="1:12" x14ac:dyDescent="0.4">
      <c r="A5" s="4" t="s">
        <v>16</v>
      </c>
      <c r="B5" s="4" t="s">
        <v>20</v>
      </c>
      <c r="C5" s="4">
        <v>175</v>
      </c>
      <c r="D5" s="4">
        <v>175</v>
      </c>
      <c r="E5" s="5">
        <v>0.7</v>
      </c>
      <c r="F5" s="6">
        <v>17500</v>
      </c>
      <c r="G5" s="6">
        <v>1750</v>
      </c>
      <c r="H5" s="6">
        <v>11025</v>
      </c>
      <c r="I5" s="4">
        <v>0</v>
      </c>
      <c r="J5" s="6">
        <v>11025</v>
      </c>
      <c r="K5" t="s">
        <v>35</v>
      </c>
      <c r="L5" t="s">
        <v>46</v>
      </c>
    </row>
    <row r="6" spans="1:12" x14ac:dyDescent="0.4">
      <c r="A6" s="4" t="s">
        <v>22</v>
      </c>
      <c r="B6" s="4" t="s">
        <v>20</v>
      </c>
      <c r="C6" s="4">
        <v>120</v>
      </c>
      <c r="D6" s="4">
        <v>120</v>
      </c>
      <c r="E6" s="5">
        <v>0.7</v>
      </c>
      <c r="F6" s="6">
        <v>12000</v>
      </c>
      <c r="G6" s="6">
        <v>1200</v>
      </c>
      <c r="H6" s="6">
        <v>7560</v>
      </c>
      <c r="I6" s="4">
        <v>0</v>
      </c>
      <c r="J6" s="6">
        <v>7560</v>
      </c>
      <c r="K6" t="s">
        <v>36</v>
      </c>
      <c r="L6" t="s">
        <v>47</v>
      </c>
    </row>
    <row r="7" spans="1:12" x14ac:dyDescent="0.4">
      <c r="A7" s="4" t="s">
        <v>23</v>
      </c>
      <c r="B7" s="4" t="s">
        <v>20</v>
      </c>
      <c r="C7" s="4">
        <v>83</v>
      </c>
      <c r="D7" s="4">
        <v>83</v>
      </c>
      <c r="E7" s="5">
        <v>0.7</v>
      </c>
      <c r="F7" s="6">
        <v>8300</v>
      </c>
      <c r="G7" s="4">
        <v>830</v>
      </c>
      <c r="H7" s="6">
        <v>5229</v>
      </c>
      <c r="I7" s="4">
        <v>0</v>
      </c>
      <c r="J7" s="6">
        <v>5229</v>
      </c>
      <c r="K7" t="s">
        <v>37</v>
      </c>
      <c r="L7" t="s">
        <v>47</v>
      </c>
    </row>
    <row r="8" spans="1:12" x14ac:dyDescent="0.4">
      <c r="A8" s="4" t="s">
        <v>24</v>
      </c>
      <c r="B8" s="4" t="s">
        <v>20</v>
      </c>
      <c r="C8" s="4">
        <v>77</v>
      </c>
      <c r="D8" s="4">
        <v>77</v>
      </c>
      <c r="E8" s="5">
        <v>0.7</v>
      </c>
      <c r="F8" s="6">
        <v>7700</v>
      </c>
      <c r="G8" s="4">
        <v>770</v>
      </c>
      <c r="H8" s="6">
        <v>4851</v>
      </c>
      <c r="I8" s="4">
        <v>0</v>
      </c>
      <c r="J8" s="6">
        <v>4851</v>
      </c>
      <c r="K8" t="s">
        <v>38</v>
      </c>
      <c r="L8" t="s">
        <v>47</v>
      </c>
    </row>
    <row r="9" spans="1:12" x14ac:dyDescent="0.4">
      <c r="A9" s="4" t="s">
        <v>15</v>
      </c>
      <c r="B9" s="4" t="s">
        <v>20</v>
      </c>
      <c r="C9" s="4">
        <v>49</v>
      </c>
      <c r="D9" s="4">
        <v>49</v>
      </c>
      <c r="E9" s="5">
        <v>0.7</v>
      </c>
      <c r="F9" s="6">
        <v>4900</v>
      </c>
      <c r="G9" s="4">
        <v>490</v>
      </c>
      <c r="H9" s="6">
        <v>3087</v>
      </c>
      <c r="I9" s="4">
        <v>0</v>
      </c>
      <c r="J9" s="6">
        <v>3087</v>
      </c>
      <c r="K9" t="s">
        <v>32</v>
      </c>
      <c r="L9" t="s">
        <v>46</v>
      </c>
    </row>
    <row r="10" spans="1:12" x14ac:dyDescent="0.4">
      <c r="A10" s="4" t="s">
        <v>25</v>
      </c>
      <c r="B10" s="4" t="s">
        <v>20</v>
      </c>
      <c r="C10" s="4">
        <v>43</v>
      </c>
      <c r="D10" s="4">
        <v>43</v>
      </c>
      <c r="E10" s="5">
        <v>0.7</v>
      </c>
      <c r="F10" s="6">
        <v>4300</v>
      </c>
      <c r="G10" s="4">
        <v>430</v>
      </c>
      <c r="H10" s="6">
        <v>2709</v>
      </c>
      <c r="I10" s="4">
        <v>0</v>
      </c>
      <c r="J10" s="6">
        <v>2709</v>
      </c>
      <c r="K10" t="s">
        <v>42</v>
      </c>
      <c r="L10" t="s">
        <v>47</v>
      </c>
    </row>
    <row r="11" spans="1:12" x14ac:dyDescent="0.4">
      <c r="A11" s="4" t="s">
        <v>26</v>
      </c>
      <c r="B11" s="4" t="s">
        <v>20</v>
      </c>
      <c r="C11" s="4">
        <v>35</v>
      </c>
      <c r="D11" s="4">
        <v>35</v>
      </c>
      <c r="E11" s="5">
        <v>0.7</v>
      </c>
      <c r="F11" s="6">
        <v>3500</v>
      </c>
      <c r="G11" s="4">
        <v>350</v>
      </c>
      <c r="H11" s="6">
        <v>2205</v>
      </c>
      <c r="I11" s="4">
        <v>0</v>
      </c>
      <c r="J11" s="6">
        <v>2205</v>
      </c>
      <c r="K11" t="s">
        <v>33</v>
      </c>
      <c r="L11" t="s">
        <v>46</v>
      </c>
    </row>
    <row r="12" spans="1:12" x14ac:dyDescent="0.4">
      <c r="A12" s="4" t="s">
        <v>18</v>
      </c>
      <c r="B12" s="4" t="s">
        <v>20</v>
      </c>
      <c r="C12" s="4">
        <v>29</v>
      </c>
      <c r="D12" s="4">
        <v>29</v>
      </c>
      <c r="E12" s="5">
        <v>0.7</v>
      </c>
      <c r="F12" s="6">
        <v>2900</v>
      </c>
      <c r="G12" s="4">
        <v>290</v>
      </c>
      <c r="H12" s="6">
        <v>1827</v>
      </c>
      <c r="I12" s="4">
        <v>0</v>
      </c>
      <c r="J12" s="6">
        <v>1827</v>
      </c>
      <c r="K12" t="s">
        <v>43</v>
      </c>
      <c r="L12" t="s">
        <v>47</v>
      </c>
    </row>
    <row r="13" spans="1:12" x14ac:dyDescent="0.4">
      <c r="A13" s="4" t="s">
        <v>19</v>
      </c>
      <c r="B13" s="4" t="s">
        <v>20</v>
      </c>
      <c r="C13" s="4">
        <v>8</v>
      </c>
      <c r="D13" s="4">
        <v>176</v>
      </c>
      <c r="E13" s="5">
        <v>0.7</v>
      </c>
      <c r="F13" s="6">
        <v>17600</v>
      </c>
      <c r="G13" s="6">
        <v>1760</v>
      </c>
      <c r="H13" s="6">
        <v>11088</v>
      </c>
      <c r="I13" s="4">
        <v>0</v>
      </c>
      <c r="J13" s="6">
        <v>11088</v>
      </c>
      <c r="K13" t="s">
        <v>39</v>
      </c>
      <c r="L13" t="s">
        <v>47</v>
      </c>
    </row>
    <row r="14" spans="1:12" x14ac:dyDescent="0.4">
      <c r="A14" s="4" t="s">
        <v>17</v>
      </c>
      <c r="B14" s="4" t="s">
        <v>20</v>
      </c>
      <c r="C14" s="4">
        <v>7</v>
      </c>
      <c r="D14" s="4">
        <v>7</v>
      </c>
      <c r="E14" s="5">
        <v>0.7</v>
      </c>
      <c r="F14" s="4">
        <v>700</v>
      </c>
      <c r="G14" s="4">
        <v>70</v>
      </c>
      <c r="H14" s="4">
        <v>441</v>
      </c>
      <c r="I14" s="4">
        <v>0</v>
      </c>
      <c r="J14" s="4">
        <v>441</v>
      </c>
      <c r="K14" t="s">
        <v>44</v>
      </c>
      <c r="L14" t="s">
        <v>47</v>
      </c>
    </row>
    <row r="15" spans="1:12" x14ac:dyDescent="0.4">
      <c r="A15" s="4" t="s">
        <v>27</v>
      </c>
      <c r="B15" s="4" t="s">
        <v>20</v>
      </c>
      <c r="C15" s="4">
        <v>2</v>
      </c>
      <c r="D15" s="4">
        <v>72</v>
      </c>
      <c r="E15" s="5">
        <v>0.7</v>
      </c>
      <c r="F15" s="6">
        <v>7200</v>
      </c>
      <c r="G15" s="4">
        <v>720</v>
      </c>
      <c r="H15" s="6">
        <v>4536</v>
      </c>
      <c r="I15" s="4">
        <v>0</v>
      </c>
      <c r="J15" s="6">
        <v>4536</v>
      </c>
      <c r="K15" t="s">
        <v>45</v>
      </c>
      <c r="L15" t="s">
        <v>47</v>
      </c>
    </row>
    <row r="16" spans="1:12" x14ac:dyDescent="0.4">
      <c r="A16" s="4" t="s">
        <v>28</v>
      </c>
      <c r="B16" s="4" t="s">
        <v>20</v>
      </c>
      <c r="C16" s="4">
        <v>2</v>
      </c>
      <c r="D16" s="4">
        <v>2</v>
      </c>
      <c r="E16" s="5">
        <v>0.7</v>
      </c>
      <c r="F16" s="4">
        <v>200</v>
      </c>
      <c r="G16" s="4">
        <v>20</v>
      </c>
      <c r="H16" s="4">
        <v>126</v>
      </c>
      <c r="I16" s="4">
        <v>0</v>
      </c>
      <c r="J16" s="4">
        <v>126</v>
      </c>
      <c r="K16" t="s">
        <v>35</v>
      </c>
      <c r="L16" t="s">
        <v>46</v>
      </c>
    </row>
    <row r="17" spans="1:12" x14ac:dyDescent="0.4">
      <c r="A17" s="4" t="s">
        <v>29</v>
      </c>
      <c r="B17" s="4" t="s">
        <v>20</v>
      </c>
      <c r="C17" s="4">
        <v>2</v>
      </c>
      <c r="D17" s="4">
        <v>82</v>
      </c>
      <c r="E17" s="5">
        <v>0.7</v>
      </c>
      <c r="F17" s="6">
        <v>8200</v>
      </c>
      <c r="G17" s="4">
        <v>820</v>
      </c>
      <c r="H17" s="6">
        <v>5166</v>
      </c>
      <c r="I17" s="4">
        <v>0</v>
      </c>
      <c r="J17" s="6">
        <v>5166</v>
      </c>
      <c r="K17" t="s">
        <v>40</v>
      </c>
      <c r="L17" t="s">
        <v>47</v>
      </c>
    </row>
    <row r="18" spans="1:12" x14ac:dyDescent="0.4">
      <c r="A18" s="4" t="s">
        <v>12</v>
      </c>
      <c r="B18" s="4" t="s">
        <v>20</v>
      </c>
      <c r="C18" s="4">
        <v>1</v>
      </c>
      <c r="D18" s="4">
        <v>1</v>
      </c>
      <c r="E18" s="5">
        <v>0.7</v>
      </c>
      <c r="F18" s="4">
        <v>100</v>
      </c>
      <c r="G18" s="4">
        <v>10</v>
      </c>
      <c r="H18" s="4">
        <v>63</v>
      </c>
      <c r="I18" s="4">
        <v>0</v>
      </c>
      <c r="J18" s="4">
        <v>63</v>
      </c>
      <c r="K18" t="s">
        <v>35</v>
      </c>
      <c r="L18" t="s">
        <v>46</v>
      </c>
    </row>
    <row r="19" spans="1:12" x14ac:dyDescent="0.4">
      <c r="A19" s="4" t="s">
        <v>30</v>
      </c>
      <c r="B19" s="4" t="s">
        <v>20</v>
      </c>
      <c r="C19" s="4">
        <v>1</v>
      </c>
      <c r="D19" s="4">
        <v>35</v>
      </c>
      <c r="E19" s="5">
        <v>0.7</v>
      </c>
      <c r="F19" s="6">
        <v>3500</v>
      </c>
      <c r="G19" s="4">
        <v>350</v>
      </c>
      <c r="H19" s="6">
        <v>2205</v>
      </c>
      <c r="I19" s="4">
        <v>0</v>
      </c>
      <c r="J19" s="6">
        <v>2205</v>
      </c>
      <c r="K19" t="s">
        <v>41</v>
      </c>
      <c r="L19" t="s">
        <v>47</v>
      </c>
    </row>
    <row r="20" spans="1:12" x14ac:dyDescent="0.4">
      <c r="A20" s="4" t="s">
        <v>31</v>
      </c>
      <c r="B20" s="4" t="s">
        <v>20</v>
      </c>
      <c r="C20" s="4">
        <v>1</v>
      </c>
      <c r="D20" s="4">
        <v>30</v>
      </c>
      <c r="E20" s="5">
        <v>0.7</v>
      </c>
      <c r="F20" s="6">
        <v>3000</v>
      </c>
      <c r="G20" s="4">
        <v>300</v>
      </c>
      <c r="H20" s="6">
        <v>1890</v>
      </c>
      <c r="I20" s="4">
        <v>0</v>
      </c>
      <c r="J20" s="6">
        <v>1890</v>
      </c>
      <c r="K20" t="s">
        <v>44</v>
      </c>
      <c r="L20" t="s">
        <v>47</v>
      </c>
    </row>
    <row r="21" spans="1:12" x14ac:dyDescent="0.4">
      <c r="A21" s="4" t="s">
        <v>23</v>
      </c>
      <c r="B21" s="4" t="s">
        <v>20</v>
      </c>
      <c r="C21" s="4">
        <v>1</v>
      </c>
      <c r="D21" s="4">
        <v>32</v>
      </c>
      <c r="E21" s="5">
        <v>0.7</v>
      </c>
      <c r="F21" s="6">
        <v>3200</v>
      </c>
      <c r="G21" s="4">
        <v>320</v>
      </c>
      <c r="H21" s="6">
        <v>2016</v>
      </c>
      <c r="I21" s="4">
        <v>0</v>
      </c>
      <c r="J21" s="6">
        <v>2016</v>
      </c>
      <c r="K21" t="s">
        <v>37</v>
      </c>
      <c r="L21" t="s">
        <v>47</v>
      </c>
    </row>
    <row r="22" spans="1:12" x14ac:dyDescent="0.4">
      <c r="J22" s="8">
        <f>SUM(J2:J21)</f>
        <v>155232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"/>
  <sheetViews>
    <sheetView workbookViewId="0">
      <selection activeCell="J9" sqref="J9"/>
    </sheetView>
  </sheetViews>
  <sheetFormatPr defaultRowHeight="17.399999999999999" x14ac:dyDescent="0.4"/>
  <cols>
    <col min="2" max="2" width="8.5" bestFit="1" customWidth="1"/>
    <col min="5" max="5" width="6.5" bestFit="1" customWidth="1"/>
    <col min="6" max="7" width="8.19921875" bestFit="1" customWidth="1"/>
    <col min="8" max="8" width="9.3984375" bestFit="1" customWidth="1"/>
    <col min="9" max="9" width="8.09765625" bestFit="1" customWidth="1"/>
    <col min="10" max="10" width="8.19921875" bestFit="1" customWidth="1"/>
    <col min="11" max="11" width="11.5" bestFit="1" customWidth="1"/>
    <col min="12" max="12" width="13.5" bestFit="1" customWidth="1"/>
  </cols>
  <sheetData>
    <row r="1" spans="1:12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13</v>
      </c>
      <c r="L1" s="7" t="s">
        <v>11</v>
      </c>
    </row>
    <row r="2" spans="1:12" ht="31.2" x14ac:dyDescent="0.4">
      <c r="A2" s="4" t="s">
        <v>10</v>
      </c>
      <c r="B2" s="4" t="s">
        <v>20</v>
      </c>
      <c r="C2" s="4">
        <v>565</v>
      </c>
      <c r="D2" s="4">
        <v>565</v>
      </c>
      <c r="E2" s="5">
        <v>0.7</v>
      </c>
      <c r="F2" s="6">
        <v>56500</v>
      </c>
      <c r="G2" s="6">
        <v>5650</v>
      </c>
      <c r="H2" s="6">
        <v>35595</v>
      </c>
      <c r="I2" s="4">
        <v>0</v>
      </c>
      <c r="J2" s="6">
        <v>35595</v>
      </c>
      <c r="K2" t="s">
        <v>32</v>
      </c>
      <c r="L2" t="s">
        <v>46</v>
      </c>
    </row>
    <row r="3" spans="1:12" ht="31.2" x14ac:dyDescent="0.4">
      <c r="A3" s="4" t="s">
        <v>14</v>
      </c>
      <c r="B3" s="4" t="s">
        <v>20</v>
      </c>
      <c r="C3" s="4">
        <v>443</v>
      </c>
      <c r="D3" s="4">
        <v>443</v>
      </c>
      <c r="E3" s="5">
        <v>0.7</v>
      </c>
      <c r="F3" s="6">
        <v>44300</v>
      </c>
      <c r="G3" s="6">
        <v>4430</v>
      </c>
      <c r="H3" s="6">
        <v>27909</v>
      </c>
      <c r="I3" s="4">
        <v>0</v>
      </c>
      <c r="J3" s="6">
        <v>27909</v>
      </c>
      <c r="K3" t="s">
        <v>33</v>
      </c>
      <c r="L3" t="s">
        <v>46</v>
      </c>
    </row>
    <row r="4" spans="1:12" ht="31.2" x14ac:dyDescent="0.4">
      <c r="A4" s="4" t="s">
        <v>16</v>
      </c>
      <c r="B4" s="4" t="s">
        <v>20</v>
      </c>
      <c r="C4" s="4">
        <v>175</v>
      </c>
      <c r="D4" s="4">
        <v>175</v>
      </c>
      <c r="E4" s="5">
        <v>0.7</v>
      </c>
      <c r="F4" s="6">
        <v>17500</v>
      </c>
      <c r="G4" s="6">
        <v>1750</v>
      </c>
      <c r="H4" s="6">
        <v>11025</v>
      </c>
      <c r="I4" s="4">
        <v>0</v>
      </c>
      <c r="J4" s="6">
        <v>11025</v>
      </c>
      <c r="K4" t="s">
        <v>35</v>
      </c>
      <c r="L4" t="s">
        <v>46</v>
      </c>
    </row>
    <row r="5" spans="1:12" ht="31.2" x14ac:dyDescent="0.4">
      <c r="A5" s="4" t="s">
        <v>15</v>
      </c>
      <c r="B5" s="4" t="s">
        <v>20</v>
      </c>
      <c r="C5" s="4">
        <v>49</v>
      </c>
      <c r="D5" s="4">
        <v>49</v>
      </c>
      <c r="E5" s="5">
        <v>0.7</v>
      </c>
      <c r="F5" s="6">
        <v>4900</v>
      </c>
      <c r="G5" s="4">
        <v>490</v>
      </c>
      <c r="H5" s="6">
        <v>3087</v>
      </c>
      <c r="I5" s="4">
        <v>0</v>
      </c>
      <c r="J5" s="6">
        <v>3087</v>
      </c>
      <c r="K5" t="s">
        <v>32</v>
      </c>
      <c r="L5" t="s">
        <v>46</v>
      </c>
    </row>
    <row r="6" spans="1:12" ht="31.2" x14ac:dyDescent="0.4">
      <c r="A6" s="4" t="s">
        <v>26</v>
      </c>
      <c r="B6" s="4" t="s">
        <v>20</v>
      </c>
      <c r="C6" s="4">
        <v>35</v>
      </c>
      <c r="D6" s="4">
        <v>35</v>
      </c>
      <c r="E6" s="5">
        <v>0.7</v>
      </c>
      <c r="F6" s="6">
        <v>3500</v>
      </c>
      <c r="G6" s="4">
        <v>350</v>
      </c>
      <c r="H6" s="6">
        <v>2205</v>
      </c>
      <c r="I6" s="4">
        <v>0</v>
      </c>
      <c r="J6" s="6">
        <v>2205</v>
      </c>
      <c r="K6" t="s">
        <v>33</v>
      </c>
      <c r="L6" t="s">
        <v>46</v>
      </c>
    </row>
    <row r="7" spans="1:12" ht="31.2" x14ac:dyDescent="0.4">
      <c r="A7" s="4" t="s">
        <v>28</v>
      </c>
      <c r="B7" s="4" t="s">
        <v>20</v>
      </c>
      <c r="C7" s="4">
        <v>2</v>
      </c>
      <c r="D7" s="4">
        <v>2</v>
      </c>
      <c r="E7" s="5">
        <v>0.7</v>
      </c>
      <c r="F7" s="4">
        <v>200</v>
      </c>
      <c r="G7" s="4">
        <v>20</v>
      </c>
      <c r="H7" s="4">
        <v>126</v>
      </c>
      <c r="I7" s="4">
        <v>0</v>
      </c>
      <c r="J7" s="4">
        <v>126</v>
      </c>
      <c r="K7" t="s">
        <v>35</v>
      </c>
      <c r="L7" t="s">
        <v>46</v>
      </c>
    </row>
    <row r="8" spans="1:12" ht="31.2" x14ac:dyDescent="0.4">
      <c r="A8" s="4" t="s">
        <v>12</v>
      </c>
      <c r="B8" s="4" t="s">
        <v>20</v>
      </c>
      <c r="C8" s="4">
        <v>1</v>
      </c>
      <c r="D8" s="4">
        <v>1</v>
      </c>
      <c r="E8" s="5">
        <v>0.7</v>
      </c>
      <c r="F8" s="4">
        <v>100</v>
      </c>
      <c r="G8" s="4">
        <v>10</v>
      </c>
      <c r="H8" s="4">
        <v>63</v>
      </c>
      <c r="I8" s="4">
        <v>0</v>
      </c>
      <c r="J8" s="4">
        <v>63</v>
      </c>
      <c r="K8" t="s">
        <v>35</v>
      </c>
      <c r="L8" t="s">
        <v>46</v>
      </c>
    </row>
    <row r="9" spans="1:12" x14ac:dyDescent="0.4">
      <c r="J9" s="8">
        <f>SUM(J2:J8)</f>
        <v>80010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"/>
  <sheetViews>
    <sheetView topLeftCell="A13" workbookViewId="0">
      <selection activeCell="J15" sqref="J15"/>
    </sheetView>
  </sheetViews>
  <sheetFormatPr defaultRowHeight="17.399999999999999" x14ac:dyDescent="0.4"/>
  <cols>
    <col min="1" max="1" width="9.3984375" bestFit="1" customWidth="1"/>
    <col min="2" max="2" width="8.5" bestFit="1" customWidth="1"/>
    <col min="5" max="5" width="6.5" bestFit="1" customWidth="1"/>
    <col min="6" max="7" width="8.19921875" bestFit="1" customWidth="1"/>
    <col min="8" max="8" width="9.3984375" bestFit="1" customWidth="1"/>
    <col min="9" max="9" width="8.09765625" bestFit="1" customWidth="1"/>
    <col min="10" max="10" width="8.19921875" bestFit="1" customWidth="1"/>
    <col min="11" max="11" width="12.3984375" bestFit="1" customWidth="1"/>
    <col min="12" max="12" width="13.5" bestFit="1" customWidth="1"/>
  </cols>
  <sheetData>
    <row r="1" spans="1:12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13</v>
      </c>
      <c r="L1" s="7" t="s">
        <v>11</v>
      </c>
    </row>
    <row r="2" spans="1:12" ht="31.2" x14ac:dyDescent="0.4">
      <c r="A2" s="4" t="s">
        <v>21</v>
      </c>
      <c r="B2" s="4" t="s">
        <v>20</v>
      </c>
      <c r="C2" s="4">
        <v>408</v>
      </c>
      <c r="D2" s="4">
        <v>408</v>
      </c>
      <c r="E2" s="5">
        <v>0.7</v>
      </c>
      <c r="F2" s="6">
        <v>40800</v>
      </c>
      <c r="G2" s="6">
        <v>4080</v>
      </c>
      <c r="H2" s="6">
        <v>25704</v>
      </c>
      <c r="I2" s="4">
        <v>0</v>
      </c>
      <c r="J2" s="6">
        <v>25704</v>
      </c>
      <c r="K2" t="s">
        <v>34</v>
      </c>
      <c r="L2" t="s">
        <v>47</v>
      </c>
    </row>
    <row r="3" spans="1:12" ht="31.2" x14ac:dyDescent="0.4">
      <c r="A3" s="4" t="s">
        <v>22</v>
      </c>
      <c r="B3" s="4" t="s">
        <v>20</v>
      </c>
      <c r="C3" s="4">
        <v>120</v>
      </c>
      <c r="D3" s="4">
        <v>120</v>
      </c>
      <c r="E3" s="5">
        <v>0.7</v>
      </c>
      <c r="F3" s="6">
        <v>12000</v>
      </c>
      <c r="G3" s="6">
        <v>1200</v>
      </c>
      <c r="H3" s="6">
        <v>7560</v>
      </c>
      <c r="I3" s="4">
        <v>0</v>
      </c>
      <c r="J3" s="6">
        <v>7560</v>
      </c>
      <c r="K3" t="s">
        <v>36</v>
      </c>
      <c r="L3" t="s">
        <v>47</v>
      </c>
    </row>
    <row r="4" spans="1:12" ht="31.2" x14ac:dyDescent="0.4">
      <c r="A4" s="4" t="s">
        <v>23</v>
      </c>
      <c r="B4" s="4" t="s">
        <v>20</v>
      </c>
      <c r="C4" s="4">
        <v>83</v>
      </c>
      <c r="D4" s="4">
        <v>83</v>
      </c>
      <c r="E4" s="5">
        <v>0.7</v>
      </c>
      <c r="F4" s="6">
        <v>8300</v>
      </c>
      <c r="G4" s="4">
        <v>830</v>
      </c>
      <c r="H4" s="6">
        <v>5229</v>
      </c>
      <c r="I4" s="4">
        <v>0</v>
      </c>
      <c r="J4" s="6">
        <v>5229</v>
      </c>
      <c r="K4" t="s">
        <v>37</v>
      </c>
      <c r="L4" t="s">
        <v>47</v>
      </c>
    </row>
    <row r="5" spans="1:12" ht="46.8" x14ac:dyDescent="0.4">
      <c r="A5" s="4" t="s">
        <v>24</v>
      </c>
      <c r="B5" s="4" t="s">
        <v>20</v>
      </c>
      <c r="C5" s="4">
        <v>77</v>
      </c>
      <c r="D5" s="4">
        <v>77</v>
      </c>
      <c r="E5" s="5">
        <v>0.7</v>
      </c>
      <c r="F5" s="6">
        <v>7700</v>
      </c>
      <c r="G5" s="4">
        <v>770</v>
      </c>
      <c r="H5" s="6">
        <v>4851</v>
      </c>
      <c r="I5" s="4">
        <v>0</v>
      </c>
      <c r="J5" s="6">
        <v>4851</v>
      </c>
      <c r="K5" t="s">
        <v>38</v>
      </c>
      <c r="L5" t="s">
        <v>47</v>
      </c>
    </row>
    <row r="6" spans="1:12" ht="46.8" x14ac:dyDescent="0.4">
      <c r="A6" s="4" t="s">
        <v>25</v>
      </c>
      <c r="B6" s="4" t="s">
        <v>20</v>
      </c>
      <c r="C6" s="4">
        <v>43</v>
      </c>
      <c r="D6" s="4">
        <v>43</v>
      </c>
      <c r="E6" s="5">
        <v>0.7</v>
      </c>
      <c r="F6" s="6">
        <v>4300</v>
      </c>
      <c r="G6" s="4">
        <v>430</v>
      </c>
      <c r="H6" s="6">
        <v>2709</v>
      </c>
      <c r="I6" s="4">
        <v>0</v>
      </c>
      <c r="J6" s="6">
        <v>2709</v>
      </c>
      <c r="K6" t="s">
        <v>42</v>
      </c>
      <c r="L6" t="s">
        <v>47</v>
      </c>
    </row>
    <row r="7" spans="1:12" ht="46.8" x14ac:dyDescent="0.4">
      <c r="A7" s="4" t="s">
        <v>18</v>
      </c>
      <c r="B7" s="4" t="s">
        <v>20</v>
      </c>
      <c r="C7" s="4">
        <v>29</v>
      </c>
      <c r="D7" s="4">
        <v>29</v>
      </c>
      <c r="E7" s="5">
        <v>0.7</v>
      </c>
      <c r="F7" s="6">
        <v>2900</v>
      </c>
      <c r="G7" s="4">
        <v>290</v>
      </c>
      <c r="H7" s="6">
        <v>1827</v>
      </c>
      <c r="I7" s="4">
        <v>0</v>
      </c>
      <c r="J7" s="6">
        <v>1827</v>
      </c>
      <c r="K7" t="s">
        <v>43</v>
      </c>
      <c r="L7" t="s">
        <v>47</v>
      </c>
    </row>
    <row r="8" spans="1:12" ht="31.2" x14ac:dyDescent="0.4">
      <c r="A8" s="4" t="s">
        <v>19</v>
      </c>
      <c r="B8" s="4" t="s">
        <v>20</v>
      </c>
      <c r="C8" s="4">
        <v>8</v>
      </c>
      <c r="D8" s="4">
        <v>176</v>
      </c>
      <c r="E8" s="5">
        <v>0.7</v>
      </c>
      <c r="F8" s="6">
        <v>17600</v>
      </c>
      <c r="G8" s="6">
        <v>1760</v>
      </c>
      <c r="H8" s="6">
        <v>11088</v>
      </c>
      <c r="I8" s="4">
        <v>0</v>
      </c>
      <c r="J8" s="6">
        <v>11088</v>
      </c>
      <c r="K8" t="s">
        <v>39</v>
      </c>
      <c r="L8" t="s">
        <v>47</v>
      </c>
    </row>
    <row r="9" spans="1:12" ht="31.2" x14ac:dyDescent="0.4">
      <c r="A9" s="4" t="s">
        <v>17</v>
      </c>
      <c r="B9" s="4" t="s">
        <v>20</v>
      </c>
      <c r="C9" s="4">
        <v>7</v>
      </c>
      <c r="D9" s="4">
        <v>7</v>
      </c>
      <c r="E9" s="5">
        <v>0.7</v>
      </c>
      <c r="F9" s="4">
        <v>700</v>
      </c>
      <c r="G9" s="4">
        <v>70</v>
      </c>
      <c r="H9" s="4">
        <v>441</v>
      </c>
      <c r="I9" s="4">
        <v>0</v>
      </c>
      <c r="J9" s="4">
        <v>441</v>
      </c>
      <c r="K9" t="s">
        <v>44</v>
      </c>
      <c r="L9" t="s">
        <v>47</v>
      </c>
    </row>
    <row r="10" spans="1:12" ht="46.8" x14ac:dyDescent="0.4">
      <c r="A10" s="4" t="s">
        <v>27</v>
      </c>
      <c r="B10" s="4" t="s">
        <v>20</v>
      </c>
      <c r="C10" s="4">
        <v>2</v>
      </c>
      <c r="D10" s="4">
        <v>72</v>
      </c>
      <c r="E10" s="5">
        <v>0.7</v>
      </c>
      <c r="F10" s="6">
        <v>7200</v>
      </c>
      <c r="G10" s="4">
        <v>720</v>
      </c>
      <c r="H10" s="6">
        <v>4536</v>
      </c>
      <c r="I10" s="4">
        <v>0</v>
      </c>
      <c r="J10" s="6">
        <v>4536</v>
      </c>
      <c r="K10" t="s">
        <v>45</v>
      </c>
      <c r="L10" t="s">
        <v>47</v>
      </c>
    </row>
    <row r="11" spans="1:12" ht="46.8" x14ac:dyDescent="0.4">
      <c r="A11" s="4" t="s">
        <v>29</v>
      </c>
      <c r="B11" s="4" t="s">
        <v>20</v>
      </c>
      <c r="C11" s="4">
        <v>2</v>
      </c>
      <c r="D11" s="4">
        <v>82</v>
      </c>
      <c r="E11" s="5">
        <v>0.7</v>
      </c>
      <c r="F11" s="6">
        <v>8200</v>
      </c>
      <c r="G11" s="4">
        <v>820</v>
      </c>
      <c r="H11" s="6">
        <v>5166</v>
      </c>
      <c r="I11" s="4">
        <v>0</v>
      </c>
      <c r="J11" s="6">
        <v>5166</v>
      </c>
      <c r="K11" t="s">
        <v>40</v>
      </c>
      <c r="L11" t="s">
        <v>47</v>
      </c>
    </row>
    <row r="12" spans="1:12" ht="31.2" x14ac:dyDescent="0.4">
      <c r="A12" s="4" t="s">
        <v>30</v>
      </c>
      <c r="B12" s="4" t="s">
        <v>20</v>
      </c>
      <c r="C12" s="4">
        <v>1</v>
      </c>
      <c r="D12" s="4">
        <v>35</v>
      </c>
      <c r="E12" s="5">
        <v>0.7</v>
      </c>
      <c r="F12" s="6">
        <v>3500</v>
      </c>
      <c r="G12" s="4">
        <v>350</v>
      </c>
      <c r="H12" s="6">
        <v>2205</v>
      </c>
      <c r="I12" s="4">
        <v>0</v>
      </c>
      <c r="J12" s="6">
        <v>2205</v>
      </c>
      <c r="K12" t="s">
        <v>41</v>
      </c>
      <c r="L12" t="s">
        <v>47</v>
      </c>
    </row>
    <row r="13" spans="1:12" ht="31.2" x14ac:dyDescent="0.4">
      <c r="A13" s="4" t="s">
        <v>31</v>
      </c>
      <c r="B13" s="4" t="s">
        <v>20</v>
      </c>
      <c r="C13" s="4">
        <v>1</v>
      </c>
      <c r="D13" s="4">
        <v>30</v>
      </c>
      <c r="E13" s="5">
        <v>0.7</v>
      </c>
      <c r="F13" s="6">
        <v>3000</v>
      </c>
      <c r="G13" s="4">
        <v>300</v>
      </c>
      <c r="H13" s="6">
        <v>1890</v>
      </c>
      <c r="I13" s="4">
        <v>0</v>
      </c>
      <c r="J13" s="6">
        <v>1890</v>
      </c>
      <c r="K13" t="s">
        <v>44</v>
      </c>
      <c r="L13" t="s">
        <v>47</v>
      </c>
    </row>
    <row r="14" spans="1:12" ht="31.2" x14ac:dyDescent="0.4">
      <c r="A14" s="4" t="s">
        <v>23</v>
      </c>
      <c r="B14" s="4" t="s">
        <v>20</v>
      </c>
      <c r="C14" s="4">
        <v>1</v>
      </c>
      <c r="D14" s="4">
        <v>32</v>
      </c>
      <c r="E14" s="5">
        <v>0.7</v>
      </c>
      <c r="F14" s="6">
        <v>3200</v>
      </c>
      <c r="G14" s="4">
        <v>320</v>
      </c>
      <c r="H14" s="6">
        <v>2016</v>
      </c>
      <c r="I14" s="4">
        <v>0</v>
      </c>
      <c r="J14" s="6">
        <v>2016</v>
      </c>
      <c r="K14" t="s">
        <v>37</v>
      </c>
      <c r="L14" t="s">
        <v>47</v>
      </c>
    </row>
    <row r="15" spans="1:12" x14ac:dyDescent="0.4">
      <c r="J15" s="8">
        <f>SUM(J2:J14)</f>
        <v>75222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합계(2)</vt:lpstr>
      <vt:lpstr>에필로그</vt:lpstr>
      <vt:lpstr>더컴퍼니</vt:lpstr>
      <vt:lpstr>더컴퍼니!Extract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2021-08-03T05:53:30Z</dcterms:created>
  <dcterms:modified xsi:type="dcterms:W3CDTF">2022-03-06T06:06:48Z</dcterms:modified>
</cp:coreProperties>
</file>