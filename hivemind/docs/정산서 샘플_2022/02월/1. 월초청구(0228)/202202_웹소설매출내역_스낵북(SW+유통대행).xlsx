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5200" windowHeight="12684" tabRatio="900" activeTab="1"/>
  </bookViews>
  <sheets>
    <sheet name="합계(2)" sheetId="39" r:id="rId1"/>
    <sheet name="스토리위즈" sheetId="40" r:id="rId2"/>
    <sheet name="에필로그" sheetId="41" r:id="rId3"/>
  </sheets>
  <definedNames>
    <definedName name="_xlnm._FilterDatabase" localSheetId="0" hidden="1">'합계(2)'!$A$1:$G$18</definedName>
    <definedName name="_xlnm.Extract" localSheetId="1">스토리위즈!$A$1:$G$1</definedName>
    <definedName name="_xlnm.Extract" localSheetId="2">에필로그!$A$1:$G$1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F11" i="40" l="1"/>
  <c r="F9" i="41"/>
  <c r="F18" i="39" l="1"/>
</calcChain>
</file>

<file path=xl/sharedStrings.xml><?xml version="1.0" encoding="utf-8"?>
<sst xmlns="http://schemas.openxmlformats.org/spreadsheetml/2006/main" count="117" uniqueCount="32">
  <si>
    <t>작품ID</t>
  </si>
  <si>
    <t>작품명</t>
  </si>
  <si>
    <t>필자명</t>
  </si>
  <si>
    <t>정산비율</t>
  </si>
  <si>
    <t>판매(원)</t>
  </si>
  <si>
    <t>정산(원)</t>
  </si>
  <si>
    <t>디버프 마스터</t>
  </si>
  <si>
    <t>티끌 모아 대박</t>
  </si>
  <si>
    <t>강호유정</t>
  </si>
  <si>
    <t>무장</t>
  </si>
  <si>
    <t>갓 오브 블랙필드</t>
  </si>
  <si>
    <t>이한애비</t>
  </si>
  <si>
    <t>흑막의 신</t>
  </si>
  <si>
    <t>회귀의 전설</t>
  </si>
  <si>
    <t>백범(白帆)</t>
  </si>
  <si>
    <t>악당의 리턴</t>
  </si>
  <si>
    <t>시계태엽오란씨</t>
  </si>
  <si>
    <t>더 캡틴</t>
  </si>
  <si>
    <t>고검환정록</t>
  </si>
  <si>
    <t>베놈 마스터</t>
  </si>
  <si>
    <t>직하인</t>
  </si>
  <si>
    <t>자모검</t>
  </si>
  <si>
    <t>서강후</t>
  </si>
  <si>
    <t>원코인 게이머 아포칼립스</t>
  </si>
  <si>
    <t>회귀했는데 FFF급 부두술사</t>
  </si>
  <si>
    <t>칵테일로 레벨업</t>
  </si>
  <si>
    <t>김광수</t>
  </si>
  <si>
    <t>빡선생</t>
  </si>
  <si>
    <t>담화공</t>
  </si>
  <si>
    <t>출판사</t>
    <phoneticPr fontId="18" type="noConversion"/>
  </si>
  <si>
    <t>에필로그</t>
  </si>
  <si>
    <t>스토리위즈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</si>
</sst>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19" fillId="0" borderId="0" xfId="43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2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합계(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8"/>
  <sheetViews>
    <sheetView workbookViewId="0">
      <selection activeCell="D20" sqref="D20"/>
    </sheetView>
  </sheetViews>
  <sheetFormatPr defaultRowHeight="17.399999999999999"/>
  <cols>
    <col min="2" max="2" width="26.296875" bestFit="1" customWidth="1"/>
    <col min="3" max="3" width="14.3984375" bestFit="1" customWidth="1"/>
    <col min="4" max="4" width="14.3984375" customWidth="1"/>
    <col min="6" max="6" width="9.19921875" bestFit="1" customWidth="1"/>
    <col min="7" max="7" width="12.796875" customWidth="1"/>
  </cols>
  <sheetData>
    <row r="1" spans="1:7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29</v>
      </c>
    </row>
    <row r="2" spans="1:7">
      <c r="A2" s="3">
        <v>14799</v>
      </c>
      <c r="B2" s="3" t="s">
        <v>10</v>
      </c>
      <c r="C2" s="3" t="s">
        <v>9</v>
      </c>
      <c r="D2" s="3">
        <v>70</v>
      </c>
      <c r="E2" s="3">
        <v>30200</v>
      </c>
      <c r="F2" s="3">
        <v>21140</v>
      </c>
      <c r="G2" s="3" t="s">
        <v>31</v>
      </c>
    </row>
    <row r="3" spans="1:7">
      <c r="A3" s="3">
        <v>14802</v>
      </c>
      <c r="B3" s="3" t="s">
        <v>8</v>
      </c>
      <c r="C3" s="3" t="s">
        <v>9</v>
      </c>
      <c r="D3" s="3">
        <v>70</v>
      </c>
      <c r="E3" s="3">
        <v>9800</v>
      </c>
      <c r="F3" s="3">
        <v>6860</v>
      </c>
      <c r="G3" s="3" t="s">
        <v>31</v>
      </c>
    </row>
    <row r="4" spans="1:7">
      <c r="A4" s="3">
        <v>14842</v>
      </c>
      <c r="B4" s="3" t="s">
        <v>18</v>
      </c>
      <c r="C4" s="3" t="s">
        <v>20</v>
      </c>
      <c r="D4" s="3">
        <v>70</v>
      </c>
      <c r="E4" s="3">
        <v>990</v>
      </c>
      <c r="F4" s="3">
        <v>693</v>
      </c>
      <c r="G4" s="3" t="s">
        <v>30</v>
      </c>
    </row>
    <row r="5" spans="1:7">
      <c r="A5" s="3">
        <v>14840</v>
      </c>
      <c r="B5" s="3" t="s">
        <v>17</v>
      </c>
      <c r="C5" s="3" t="s">
        <v>14</v>
      </c>
      <c r="D5" s="3">
        <v>70</v>
      </c>
      <c r="E5" s="3">
        <v>8000</v>
      </c>
      <c r="F5" s="3">
        <v>5600</v>
      </c>
      <c r="G5" s="3" t="s">
        <v>30</v>
      </c>
    </row>
    <row r="6" spans="1:7">
      <c r="A6" s="3">
        <v>14840</v>
      </c>
      <c r="B6" s="3" t="s">
        <v>17</v>
      </c>
      <c r="C6" s="3" t="s">
        <v>14</v>
      </c>
      <c r="D6" s="3">
        <v>70</v>
      </c>
      <c r="E6" s="3">
        <v>16700</v>
      </c>
      <c r="F6" s="3">
        <v>11690</v>
      </c>
      <c r="G6" s="3" t="s">
        <v>30</v>
      </c>
    </row>
    <row r="7" spans="1:7">
      <c r="A7" s="3">
        <v>14739</v>
      </c>
      <c r="B7" s="3" t="s">
        <v>6</v>
      </c>
      <c r="C7" s="3" t="s">
        <v>28</v>
      </c>
      <c r="D7" s="3">
        <v>70</v>
      </c>
      <c r="E7" s="3">
        <v>115800</v>
      </c>
      <c r="F7" s="3">
        <v>81060</v>
      </c>
      <c r="G7" s="3" t="s">
        <v>31</v>
      </c>
    </row>
    <row r="8" spans="1:7">
      <c r="A8" s="3">
        <v>14739</v>
      </c>
      <c r="B8" s="3" t="s">
        <v>6</v>
      </c>
      <c r="C8" s="3" t="s">
        <v>28</v>
      </c>
      <c r="D8" s="3">
        <v>70</v>
      </c>
      <c r="E8" s="3">
        <v>326100</v>
      </c>
      <c r="F8" s="3">
        <v>228270</v>
      </c>
      <c r="G8" s="3" t="s">
        <v>31</v>
      </c>
    </row>
    <row r="9" spans="1:7">
      <c r="A9" s="3">
        <v>13775</v>
      </c>
      <c r="B9" s="3" t="s">
        <v>19</v>
      </c>
      <c r="C9" s="3" t="s">
        <v>16</v>
      </c>
      <c r="D9" s="3">
        <v>70</v>
      </c>
      <c r="E9" s="3">
        <v>7400</v>
      </c>
      <c r="F9" s="3">
        <v>5180</v>
      </c>
      <c r="G9" s="3" t="s">
        <v>31</v>
      </c>
    </row>
    <row r="10" spans="1:7">
      <c r="A10" s="3">
        <v>14460</v>
      </c>
      <c r="B10" s="3" t="s">
        <v>15</v>
      </c>
      <c r="C10" s="3" t="s">
        <v>14</v>
      </c>
      <c r="D10" s="3">
        <v>70</v>
      </c>
      <c r="E10" s="3">
        <v>6200</v>
      </c>
      <c r="F10" s="3">
        <v>4340</v>
      </c>
      <c r="G10" s="3" t="s">
        <v>30</v>
      </c>
    </row>
    <row r="11" spans="1:7">
      <c r="A11" s="3">
        <v>14844</v>
      </c>
      <c r="B11" s="3" t="s">
        <v>23</v>
      </c>
      <c r="C11" s="3" t="s">
        <v>11</v>
      </c>
      <c r="D11" s="3">
        <v>70</v>
      </c>
      <c r="E11" s="3">
        <v>16800</v>
      </c>
      <c r="F11" s="3">
        <v>11760</v>
      </c>
      <c r="G11" s="3" t="s">
        <v>31</v>
      </c>
    </row>
    <row r="12" spans="1:7">
      <c r="A12" s="3">
        <v>14843</v>
      </c>
      <c r="B12" s="3" t="s">
        <v>21</v>
      </c>
      <c r="C12" s="3" t="s">
        <v>20</v>
      </c>
      <c r="D12" s="3">
        <v>70</v>
      </c>
      <c r="E12" s="3">
        <v>1080</v>
      </c>
      <c r="F12" s="3">
        <v>756</v>
      </c>
      <c r="G12" s="3" t="s">
        <v>30</v>
      </c>
    </row>
    <row r="13" spans="1:7">
      <c r="A13" s="3">
        <v>14737</v>
      </c>
      <c r="B13" s="3" t="s">
        <v>25</v>
      </c>
      <c r="C13" s="3" t="s">
        <v>22</v>
      </c>
      <c r="D13" s="3">
        <v>70</v>
      </c>
      <c r="E13" s="3">
        <v>35000</v>
      </c>
      <c r="F13" s="3">
        <v>24500</v>
      </c>
      <c r="G13" s="3" t="s">
        <v>31</v>
      </c>
    </row>
    <row r="14" spans="1:7">
      <c r="A14" s="3">
        <v>14807</v>
      </c>
      <c r="B14" s="3" t="s">
        <v>7</v>
      </c>
      <c r="C14" s="3" t="s">
        <v>14</v>
      </c>
      <c r="D14" s="3">
        <v>70</v>
      </c>
      <c r="E14" s="3">
        <v>4500</v>
      </c>
      <c r="F14" s="3">
        <v>3150</v>
      </c>
      <c r="G14" s="3" t="s">
        <v>30</v>
      </c>
    </row>
    <row r="15" spans="1:7">
      <c r="A15" s="3">
        <v>13795</v>
      </c>
      <c r="B15" s="3" t="s">
        <v>13</v>
      </c>
      <c r="C15" s="3" t="s">
        <v>26</v>
      </c>
      <c r="D15" s="3">
        <v>70</v>
      </c>
      <c r="E15" s="3">
        <v>165930</v>
      </c>
      <c r="F15" s="3">
        <v>116151</v>
      </c>
      <c r="G15" s="3" t="s">
        <v>31</v>
      </c>
    </row>
    <row r="16" spans="1:7">
      <c r="A16" s="3">
        <v>14845</v>
      </c>
      <c r="B16" s="3" t="s">
        <v>24</v>
      </c>
      <c r="C16" s="3" t="s">
        <v>27</v>
      </c>
      <c r="D16" s="3">
        <v>70</v>
      </c>
      <c r="E16" s="3">
        <v>31870</v>
      </c>
      <c r="F16" s="3">
        <v>22309</v>
      </c>
      <c r="G16" s="3" t="s">
        <v>31</v>
      </c>
    </row>
    <row r="17" spans="1:7">
      <c r="A17" s="3">
        <v>14841</v>
      </c>
      <c r="B17" s="3" t="s">
        <v>12</v>
      </c>
      <c r="C17" s="3" t="s">
        <v>14</v>
      </c>
      <c r="D17" s="3">
        <v>70</v>
      </c>
      <c r="E17" s="3">
        <v>32040</v>
      </c>
      <c r="F17" s="3">
        <v>22428</v>
      </c>
      <c r="G17" s="3" t="s">
        <v>30</v>
      </c>
    </row>
    <row r="18" spans="1:7">
      <c r="F18" s="1">
        <f>SUM(F2:F17)</f>
        <v>565887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1"/>
  <sheetViews>
    <sheetView tabSelected="1" workbookViewId="0">
      <selection activeCell="F11" sqref="F11"/>
    </sheetView>
  </sheetViews>
  <sheetFormatPr defaultRowHeight="17.399999999999999"/>
  <cols>
    <col min="1" max="1" width="6.796875" bestFit="1" customWidth="1"/>
    <col min="2" max="2" width="24.5" bestFit="1" customWidth="1"/>
    <col min="3" max="3" width="14.3984375" bestFit="1" customWidth="1"/>
    <col min="4" max="4" width="8.59765625" bestFit="1" customWidth="1"/>
    <col min="5" max="6" width="7.796875" bestFit="1" customWidth="1"/>
    <col min="7" max="7" width="10.3984375" bestFit="1" customWidth="1"/>
  </cols>
  <sheetData>
    <row r="1" spans="1:7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29</v>
      </c>
    </row>
    <row r="2" spans="1:7">
      <c r="A2" s="3">
        <v>14799</v>
      </c>
      <c r="B2" s="3" t="s">
        <v>10</v>
      </c>
      <c r="C2" s="3" t="s">
        <v>9</v>
      </c>
      <c r="D2" s="3">
        <v>70</v>
      </c>
      <c r="E2" s="3">
        <v>30200</v>
      </c>
      <c r="F2" s="3">
        <v>21140</v>
      </c>
      <c r="G2" s="3" t="s">
        <v>31</v>
      </c>
    </row>
    <row r="3" spans="1:7">
      <c r="A3" s="3">
        <v>14802</v>
      </c>
      <c r="B3" s="3" t="s">
        <v>8</v>
      </c>
      <c r="C3" s="3" t="s">
        <v>9</v>
      </c>
      <c r="D3" s="3">
        <v>70</v>
      </c>
      <c r="E3" s="3">
        <v>9800</v>
      </c>
      <c r="F3" s="3">
        <v>6860</v>
      </c>
      <c r="G3" s="3" t="s">
        <v>31</v>
      </c>
    </row>
    <row r="4" spans="1:7">
      <c r="A4" s="3">
        <v>14739</v>
      </c>
      <c r="B4" s="3" t="s">
        <v>6</v>
      </c>
      <c r="C4" s="3" t="s">
        <v>28</v>
      </c>
      <c r="D4" s="3">
        <v>70</v>
      </c>
      <c r="E4" s="3">
        <v>115800</v>
      </c>
      <c r="F4" s="3">
        <v>81060</v>
      </c>
      <c r="G4" s="3" t="s">
        <v>31</v>
      </c>
    </row>
    <row r="5" spans="1:7">
      <c r="A5" s="3">
        <v>14739</v>
      </c>
      <c r="B5" s="3" t="s">
        <v>6</v>
      </c>
      <c r="C5" s="3" t="s">
        <v>28</v>
      </c>
      <c r="D5" s="3">
        <v>70</v>
      </c>
      <c r="E5" s="3">
        <v>326100</v>
      </c>
      <c r="F5" s="3">
        <v>228270</v>
      </c>
      <c r="G5" s="3" t="s">
        <v>31</v>
      </c>
    </row>
    <row r="6" spans="1:7">
      <c r="A6" s="3">
        <v>13775</v>
      </c>
      <c r="B6" s="3" t="s">
        <v>19</v>
      </c>
      <c r="C6" s="3" t="s">
        <v>16</v>
      </c>
      <c r="D6" s="3">
        <v>70</v>
      </c>
      <c r="E6" s="3">
        <v>7400</v>
      </c>
      <c r="F6" s="3">
        <v>5180</v>
      </c>
      <c r="G6" s="3" t="s">
        <v>31</v>
      </c>
    </row>
    <row r="7" spans="1:7">
      <c r="A7" s="3">
        <v>14844</v>
      </c>
      <c r="B7" s="3" t="s">
        <v>23</v>
      </c>
      <c r="C7" s="3" t="s">
        <v>11</v>
      </c>
      <c r="D7" s="3">
        <v>70</v>
      </c>
      <c r="E7" s="3">
        <v>16800</v>
      </c>
      <c r="F7" s="3">
        <v>11760</v>
      </c>
      <c r="G7" s="3" t="s">
        <v>31</v>
      </c>
    </row>
    <row r="8" spans="1:7">
      <c r="A8" s="3">
        <v>14737</v>
      </c>
      <c r="B8" s="3" t="s">
        <v>25</v>
      </c>
      <c r="C8" s="3" t="s">
        <v>22</v>
      </c>
      <c r="D8" s="3">
        <v>70</v>
      </c>
      <c r="E8" s="3">
        <v>35000</v>
      </c>
      <c r="F8" s="3">
        <v>24500</v>
      </c>
      <c r="G8" s="3" t="s">
        <v>31</v>
      </c>
    </row>
    <row r="9" spans="1:7">
      <c r="A9" s="3">
        <v>13795</v>
      </c>
      <c r="B9" s="3" t="s">
        <v>13</v>
      </c>
      <c r="C9" s="3" t="s">
        <v>26</v>
      </c>
      <c r="D9" s="3">
        <v>70</v>
      </c>
      <c r="E9" s="3">
        <v>165930</v>
      </c>
      <c r="F9" s="3">
        <v>116151</v>
      </c>
      <c r="G9" s="3" t="s">
        <v>31</v>
      </c>
    </row>
    <row r="10" spans="1:7">
      <c r="A10" s="3">
        <v>14845</v>
      </c>
      <c r="B10" s="3" t="s">
        <v>24</v>
      </c>
      <c r="C10" s="3" t="s">
        <v>27</v>
      </c>
      <c r="D10" s="3">
        <v>70</v>
      </c>
      <c r="E10" s="3">
        <v>31870</v>
      </c>
      <c r="F10" s="3">
        <v>22309</v>
      </c>
      <c r="G10" s="3" t="s">
        <v>31</v>
      </c>
    </row>
    <row r="11" spans="1:7">
      <c r="F11" s="1">
        <f>SUM(F2:F10)</f>
        <v>517230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9"/>
  <sheetViews>
    <sheetView workbookViewId="0">
      <selection activeCell="F9" sqref="F9"/>
    </sheetView>
  </sheetViews>
  <sheetFormatPr defaultRowHeight="17.399999999999999"/>
  <cols>
    <col min="1" max="1" width="6.796875" bestFit="1" customWidth="1"/>
    <col min="2" max="2" width="13.69921875" bestFit="1" customWidth="1"/>
    <col min="3" max="3" width="9.59765625" bestFit="1" customWidth="1"/>
    <col min="4" max="4" width="8.59765625" bestFit="1" customWidth="1"/>
    <col min="5" max="6" width="7.796875" bestFit="1" customWidth="1"/>
    <col min="7" max="7" width="8.59765625" bestFit="1" customWidth="1"/>
  </cols>
  <sheetData>
    <row r="1" spans="1:7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29</v>
      </c>
    </row>
    <row r="2" spans="1:7">
      <c r="A2" s="3">
        <v>14842</v>
      </c>
      <c r="B2" s="3" t="s">
        <v>18</v>
      </c>
      <c r="C2" s="3" t="s">
        <v>20</v>
      </c>
      <c r="D2" s="3">
        <v>70</v>
      </c>
      <c r="E2" s="3">
        <v>990</v>
      </c>
      <c r="F2" s="3">
        <v>693</v>
      </c>
      <c r="G2" s="3" t="s">
        <v>30</v>
      </c>
    </row>
    <row r="3" spans="1:7">
      <c r="A3" s="3">
        <v>14840</v>
      </c>
      <c r="B3" s="3" t="s">
        <v>17</v>
      </c>
      <c r="C3" s="3" t="s">
        <v>14</v>
      </c>
      <c r="D3" s="3">
        <v>70</v>
      </c>
      <c r="E3" s="3">
        <v>8000</v>
      </c>
      <c r="F3" s="3">
        <v>5600</v>
      </c>
      <c r="G3" s="3" t="s">
        <v>30</v>
      </c>
    </row>
    <row r="4" spans="1:7">
      <c r="A4" s="3">
        <v>14840</v>
      </c>
      <c r="B4" s="3" t="s">
        <v>17</v>
      </c>
      <c r="C4" s="3" t="s">
        <v>14</v>
      </c>
      <c r="D4" s="3">
        <v>70</v>
      </c>
      <c r="E4" s="3">
        <v>16700</v>
      </c>
      <c r="F4" s="3">
        <v>11690</v>
      </c>
      <c r="G4" s="3" t="s">
        <v>30</v>
      </c>
    </row>
    <row r="5" spans="1:7">
      <c r="A5" s="3">
        <v>14460</v>
      </c>
      <c r="B5" s="3" t="s">
        <v>15</v>
      </c>
      <c r="C5" s="3" t="s">
        <v>14</v>
      </c>
      <c r="D5" s="3">
        <v>70</v>
      </c>
      <c r="E5" s="3">
        <v>6200</v>
      </c>
      <c r="F5" s="3">
        <v>4340</v>
      </c>
      <c r="G5" s="3" t="s">
        <v>30</v>
      </c>
    </row>
    <row r="6" spans="1:7">
      <c r="A6" s="3">
        <v>14843</v>
      </c>
      <c r="B6" s="3" t="s">
        <v>21</v>
      </c>
      <c r="C6" s="3" t="s">
        <v>20</v>
      </c>
      <c r="D6" s="3">
        <v>70</v>
      </c>
      <c r="E6" s="3">
        <v>1080</v>
      </c>
      <c r="F6" s="3">
        <v>756</v>
      </c>
      <c r="G6" s="3" t="s">
        <v>30</v>
      </c>
    </row>
    <row r="7" spans="1:7">
      <c r="A7" s="3">
        <v>14807</v>
      </c>
      <c r="B7" s="3" t="s">
        <v>7</v>
      </c>
      <c r="C7" s="3" t="s">
        <v>14</v>
      </c>
      <c r="D7" s="3">
        <v>70</v>
      </c>
      <c r="E7" s="3">
        <v>4500</v>
      </c>
      <c r="F7" s="3">
        <v>3150</v>
      </c>
      <c r="G7" s="3" t="s">
        <v>30</v>
      </c>
    </row>
    <row r="8" spans="1:7">
      <c r="A8" s="3">
        <v>14841</v>
      </c>
      <c r="B8" s="3" t="s">
        <v>12</v>
      </c>
      <c r="C8" s="3" t="s">
        <v>14</v>
      </c>
      <c r="D8" s="3">
        <v>70</v>
      </c>
      <c r="E8" s="3">
        <v>32040</v>
      </c>
      <c r="F8" s="3">
        <v>22428</v>
      </c>
      <c r="G8" s="3" t="s">
        <v>30</v>
      </c>
    </row>
    <row r="9" spans="1:7">
      <c r="F9" s="1">
        <f>SUM(F2:F8)</f>
        <v>48657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합계(2)</vt:lpstr>
      <vt:lpstr>스토리위즈</vt:lpstr>
      <vt:lpstr>에필로그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2020-10-06T07:43:35Z</dcterms:created>
  <dcterms:modified xsi:type="dcterms:W3CDTF">2022-03-06T06:00:30Z</dcterms:modified>
</cp:coreProperties>
</file>