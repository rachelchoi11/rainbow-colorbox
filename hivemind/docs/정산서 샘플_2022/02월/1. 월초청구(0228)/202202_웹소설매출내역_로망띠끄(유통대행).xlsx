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"/>
    </mc:Choice>
  </mc:AlternateContent>
  <bookViews>
    <workbookView xWindow="0" yWindow="0" windowWidth="23040" windowHeight="8952"/>
  </bookViews>
  <sheets>
    <sheet name="합계(2)" sheetId="2" r:id="rId1"/>
    <sheet name="더컴퍼니" sheetId="3" r:id="rId2"/>
    <sheet name="에필로그" sheetId="4" r:id="rId3"/>
  </sheets>
  <definedNames>
    <definedName name="_xlnm._FilterDatabase" localSheetId="1" hidden="1">더컴퍼니!$A$1:$L$1</definedName>
    <definedName name="_xlnm._FilterDatabase" localSheetId="2" hidden="1">에필로그!$A$1:$L$1</definedName>
    <definedName name="_xlnm._FilterDatabase" localSheetId="0" hidden="1">'합계(2)'!$A$1:$L$1</definedName>
    <definedName name="_xlnm.Extract" localSheetId="1">더컴퍼니!#REF!</definedName>
    <definedName name="_xlnm.Extract" localSheetId="2">에필로그!#REF!</definedName>
    <definedName name="_xlnm.Extract" localSheetId="0">'합계(2)'!#REF!</definedName>
  </definedNames>
  <calcPr calcId="152511"/>
</workbook>
</file>

<file path=xl/calcChain.xml><?xml version="1.0" encoding="utf-8"?>
<calcChain xmlns="http://schemas.openxmlformats.org/spreadsheetml/2006/main">
  <c r="H10" i="4" l="1"/>
  <c r="H9" i="3"/>
  <c r="H17" i="2" l="1"/>
</calcChain>
</file>

<file path=xl/sharedStrings.xml><?xml version="1.0" encoding="utf-8"?>
<sst xmlns="http://schemas.openxmlformats.org/spreadsheetml/2006/main" count="243" uniqueCount="68">
  <si>
    <t>도서코드</t>
  </si>
  <si>
    <t>구분</t>
  </si>
  <si>
    <t>도서명</t>
  </si>
  <si>
    <t>출판사명</t>
  </si>
  <si>
    <t>저자</t>
  </si>
  <si>
    <t>판매량</t>
  </si>
  <si>
    <t>판매액</t>
  </si>
  <si>
    <t>정산액</t>
  </si>
  <si>
    <t>등록일</t>
  </si>
  <si>
    <t>판매처</t>
  </si>
  <si>
    <t>isbn</t>
  </si>
  <si>
    <t>로망띠끄</t>
  </si>
  <si>
    <t>07월</t>
  </si>
  <si>
    <t>09월</t>
  </si>
  <si>
    <t>nusw8986</t>
  </si>
  <si>
    <t>이세계 최강 군바리 9권 (완결)</t>
  </si>
  <si>
    <t>에필로그</t>
  </si>
  <si>
    <t>협행마</t>
  </si>
  <si>
    <t>12월</t>
  </si>
  <si>
    <t>9791164483723</t>
  </si>
  <si>
    <t>nusw8985</t>
  </si>
  <si>
    <t>이세계 최강 군바리 8권</t>
  </si>
  <si>
    <t>9791164483716</t>
  </si>
  <si>
    <t>nusw8984</t>
  </si>
  <si>
    <t>이세계 최강 군바리 7권</t>
  </si>
  <si>
    <t>9791164483709</t>
  </si>
  <si>
    <t>nusw8983</t>
  </si>
  <si>
    <t>이세계 최강 군바리 6권</t>
  </si>
  <si>
    <t>9791164483693</t>
  </si>
  <si>
    <t>nusw8982</t>
  </si>
  <si>
    <t>이세계 최강 군바리 5권</t>
  </si>
  <si>
    <t>9791164483686</t>
  </si>
  <si>
    <t>nusw8981</t>
  </si>
  <si>
    <t>이세계 최강 군바리 4권</t>
  </si>
  <si>
    <t>9791164483679</t>
  </si>
  <si>
    <t>nusw8980</t>
  </si>
  <si>
    <t>이세계 최강 군바리 3권</t>
  </si>
  <si>
    <t>9791164483662</t>
  </si>
  <si>
    <t>nusw8979</t>
  </si>
  <si>
    <t>이세계 최강 군바리 2권</t>
  </si>
  <si>
    <t>9791164483655</t>
  </si>
  <si>
    <t>tcsw532</t>
  </si>
  <si>
    <t>가장 완벽한 인질 (외전)</t>
  </si>
  <si>
    <t>주해나</t>
  </si>
  <si>
    <t>10월</t>
  </si>
  <si>
    <t>9791164899760</t>
  </si>
  <si>
    <t>tcsw531</t>
  </si>
  <si>
    <t>가장 완벽한 인질</t>
  </si>
  <si>
    <t>9791164899630</t>
  </si>
  <si>
    <t>tcsw524</t>
  </si>
  <si>
    <t>내가 사랑하는 총리님 (외전)</t>
  </si>
  <si>
    <t>벨</t>
  </si>
  <si>
    <t>9791164899111</t>
  </si>
  <si>
    <t>tcsw522</t>
  </si>
  <si>
    <t>내가 사랑하는 총리님 1권</t>
  </si>
  <si>
    <t>9791164899081</t>
  </si>
  <si>
    <t>tcsw043</t>
  </si>
  <si>
    <t>[BL] 원수를 사랑하라</t>
  </si>
  <si>
    <t>쿠노Kuno</t>
  </si>
  <si>
    <t>9791190132718</t>
  </si>
  <si>
    <t>tcsw013</t>
  </si>
  <si>
    <t>[BL] 모어 댄 블루(More than BLUE) 2권 (완결)</t>
  </si>
  <si>
    <t>나나코</t>
  </si>
  <si>
    <t>9791190132909</t>
  </si>
  <si>
    <t>tcsw012</t>
  </si>
  <si>
    <t>[BL] 모어 댄 블루(More than BLUE) 1권</t>
  </si>
  <si>
    <t>9791190132893</t>
  </si>
  <si>
    <t>더컴퍼니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</si>
</sst>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333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33" borderId="0" xfId="0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/>
    </xf>
    <xf numFmtId="49" fontId="0" fillId="34" borderId="10" xfId="0" applyNumberFormat="1" applyFill="1" applyBorder="1" applyAlignment="1">
      <alignment horizontal="center" vertical="center" wrapText="1"/>
    </xf>
    <xf numFmtId="3" fontId="0" fillId="35" borderId="10" xfId="0" applyNumberFormat="1" applyFill="1" applyBorder="1" applyAlignment="1">
      <alignment horizontal="right" vertical="center" wrapText="1"/>
    </xf>
    <xf numFmtId="3" fontId="0" fillId="34" borderId="10" xfId="0" applyNumberFormat="1" applyFill="1" applyBorder="1" applyAlignment="1">
      <alignment horizontal="right" vertical="center" wrapText="1"/>
    </xf>
    <xf numFmtId="0" fontId="0" fillId="33" borderId="11" xfId="0" applyFill="1" applyBorder="1" applyAlignment="1">
      <alignment horizontal="center" vertical="center"/>
    </xf>
    <xf numFmtId="0" fontId="0" fillId="34" borderId="10" xfId="0" applyFill="1" applyBorder="1" applyAlignment="1">
      <alignment horizontal="right" vertical="center" wrapText="1"/>
    </xf>
    <xf numFmtId="0" fontId="0" fillId="35" borderId="10" xfId="0" applyFill="1" applyBorder="1" applyAlignment="1">
      <alignment horizontal="right" vertical="center" wrapText="1"/>
    </xf>
    <xf numFmtId="3" fontId="0" fillId="36" borderId="0" xfId="0" applyNumberForma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7"/>
  <sheetViews>
    <sheetView showGridLines="0" tabSelected="1" workbookViewId="0">
      <selection activeCell="F18" sqref="F18"/>
    </sheetView>
  </sheetViews>
  <sheetFormatPr defaultRowHeight="17.399999999999999" x14ac:dyDescent="0.4"/>
  <cols>
    <col min="1" max="1" width="13.796875" customWidth="1"/>
    <col min="2" max="2" width="6.59765625" customWidth="1"/>
    <col min="3" max="3" width="46.3984375" customWidth="1"/>
    <col min="4" max="4" width="11.296875" customWidth="1"/>
    <col min="5" max="5" width="17.09765625" customWidth="1"/>
    <col min="6" max="6" width="15.296875" customWidth="1"/>
    <col min="7" max="7" width="8.8984375" customWidth="1"/>
    <col min="8" max="8" width="9.09765625" customWidth="1"/>
    <col min="9" max="9" width="8.8984375" customWidth="1"/>
    <col min="10" max="10" width="11.296875" customWidth="1"/>
    <col min="11" max="11" width="20.19921875" customWidth="1"/>
    <col min="12" max="12" width="12.19921875" customWidth="1"/>
  </cols>
  <sheetData>
    <row r="1" spans="1:12" s="1" customFormat="1" ht="18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8"/>
    </row>
    <row r="2" spans="1:12" x14ac:dyDescent="0.4">
      <c r="A2" s="3" t="s">
        <v>14</v>
      </c>
      <c r="B2" s="3"/>
      <c r="C2" s="3" t="s">
        <v>15</v>
      </c>
      <c r="D2" s="3" t="s">
        <v>16</v>
      </c>
      <c r="E2" s="4" t="s">
        <v>17</v>
      </c>
      <c r="F2" s="4">
        <v>1</v>
      </c>
      <c r="G2" s="6">
        <v>2500</v>
      </c>
      <c r="H2" s="7">
        <v>1750</v>
      </c>
      <c r="I2" s="4" t="s">
        <v>18</v>
      </c>
      <c r="J2" s="4" t="s">
        <v>11</v>
      </c>
      <c r="K2" s="5" t="s">
        <v>19</v>
      </c>
    </row>
    <row r="3" spans="1:12" x14ac:dyDescent="0.4">
      <c r="A3" s="3" t="s">
        <v>20</v>
      </c>
      <c r="B3" s="3"/>
      <c r="C3" s="3" t="s">
        <v>21</v>
      </c>
      <c r="D3" s="3" t="s">
        <v>16</v>
      </c>
      <c r="E3" s="4" t="s">
        <v>17</v>
      </c>
      <c r="F3" s="4">
        <v>1</v>
      </c>
      <c r="G3" s="6">
        <v>2500</v>
      </c>
      <c r="H3" s="7">
        <v>1750</v>
      </c>
      <c r="I3" s="4" t="s">
        <v>18</v>
      </c>
      <c r="J3" s="4" t="s">
        <v>11</v>
      </c>
      <c r="K3" s="5" t="s">
        <v>22</v>
      </c>
    </row>
    <row r="4" spans="1:12" x14ac:dyDescent="0.4">
      <c r="A4" s="3" t="s">
        <v>23</v>
      </c>
      <c r="B4" s="3"/>
      <c r="C4" s="3" t="s">
        <v>24</v>
      </c>
      <c r="D4" s="3" t="s">
        <v>16</v>
      </c>
      <c r="E4" s="4" t="s">
        <v>17</v>
      </c>
      <c r="F4" s="4">
        <v>1</v>
      </c>
      <c r="G4" s="6">
        <v>2500</v>
      </c>
      <c r="H4" s="7">
        <v>1750</v>
      </c>
      <c r="I4" s="4" t="s">
        <v>18</v>
      </c>
      <c r="J4" s="4" t="s">
        <v>11</v>
      </c>
      <c r="K4" s="5" t="s">
        <v>25</v>
      </c>
    </row>
    <row r="5" spans="1:12" x14ac:dyDescent="0.4">
      <c r="A5" s="3" t="s">
        <v>26</v>
      </c>
      <c r="B5" s="3"/>
      <c r="C5" s="3" t="s">
        <v>27</v>
      </c>
      <c r="D5" s="3" t="s">
        <v>16</v>
      </c>
      <c r="E5" s="4" t="s">
        <v>17</v>
      </c>
      <c r="F5" s="4">
        <v>1</v>
      </c>
      <c r="G5" s="6">
        <v>2500</v>
      </c>
      <c r="H5" s="7">
        <v>1750</v>
      </c>
      <c r="I5" s="4" t="s">
        <v>18</v>
      </c>
      <c r="J5" s="4" t="s">
        <v>11</v>
      </c>
      <c r="K5" s="5" t="s">
        <v>28</v>
      </c>
    </row>
    <row r="6" spans="1:12" x14ac:dyDescent="0.4">
      <c r="A6" s="3" t="s">
        <v>29</v>
      </c>
      <c r="B6" s="3"/>
      <c r="C6" s="3" t="s">
        <v>30</v>
      </c>
      <c r="D6" s="3" t="s">
        <v>16</v>
      </c>
      <c r="E6" s="4" t="s">
        <v>17</v>
      </c>
      <c r="F6" s="4">
        <v>1</v>
      </c>
      <c r="G6" s="6">
        <v>2500</v>
      </c>
      <c r="H6" s="7">
        <v>1750</v>
      </c>
      <c r="I6" s="4" t="s">
        <v>18</v>
      </c>
      <c r="J6" s="4" t="s">
        <v>11</v>
      </c>
      <c r="K6" s="5" t="s">
        <v>31</v>
      </c>
    </row>
    <row r="7" spans="1:12" x14ac:dyDescent="0.4">
      <c r="A7" s="3" t="s">
        <v>32</v>
      </c>
      <c r="B7" s="3"/>
      <c r="C7" s="3" t="s">
        <v>33</v>
      </c>
      <c r="D7" s="3" t="s">
        <v>16</v>
      </c>
      <c r="E7" s="4" t="s">
        <v>17</v>
      </c>
      <c r="F7" s="4">
        <v>1</v>
      </c>
      <c r="G7" s="6">
        <v>2500</v>
      </c>
      <c r="H7" s="7">
        <v>1750</v>
      </c>
      <c r="I7" s="4" t="s">
        <v>18</v>
      </c>
      <c r="J7" s="4" t="s">
        <v>11</v>
      </c>
      <c r="K7" s="5" t="s">
        <v>34</v>
      </c>
    </row>
    <row r="8" spans="1:12" x14ac:dyDescent="0.4">
      <c r="A8" s="3" t="s">
        <v>35</v>
      </c>
      <c r="B8" s="3"/>
      <c r="C8" s="3" t="s">
        <v>36</v>
      </c>
      <c r="D8" s="3" t="s">
        <v>16</v>
      </c>
      <c r="E8" s="4" t="s">
        <v>17</v>
      </c>
      <c r="F8" s="4">
        <v>1</v>
      </c>
      <c r="G8" s="6">
        <v>2500</v>
      </c>
      <c r="H8" s="7">
        <v>1750</v>
      </c>
      <c r="I8" s="4" t="s">
        <v>18</v>
      </c>
      <c r="J8" s="4" t="s">
        <v>11</v>
      </c>
      <c r="K8" s="5" t="s">
        <v>37</v>
      </c>
    </row>
    <row r="9" spans="1:12" x14ac:dyDescent="0.4">
      <c r="A9" s="3" t="s">
        <v>38</v>
      </c>
      <c r="B9" s="3"/>
      <c r="C9" s="3" t="s">
        <v>39</v>
      </c>
      <c r="D9" s="3" t="s">
        <v>16</v>
      </c>
      <c r="E9" s="4" t="s">
        <v>17</v>
      </c>
      <c r="F9" s="4">
        <v>1</v>
      </c>
      <c r="G9" s="6">
        <v>2500</v>
      </c>
      <c r="H9" s="7">
        <v>1750</v>
      </c>
      <c r="I9" s="4" t="s">
        <v>18</v>
      </c>
      <c r="J9" s="4" t="s">
        <v>11</v>
      </c>
      <c r="K9" s="5" t="s">
        <v>40</v>
      </c>
    </row>
    <row r="10" spans="1:12" x14ac:dyDescent="0.4">
      <c r="A10" s="3" t="s">
        <v>41</v>
      </c>
      <c r="B10" s="3"/>
      <c r="C10" s="3" t="s">
        <v>42</v>
      </c>
      <c r="D10" s="3" t="s">
        <v>67</v>
      </c>
      <c r="E10" s="4" t="s">
        <v>43</v>
      </c>
      <c r="F10" s="4">
        <v>1</v>
      </c>
      <c r="G10" s="10">
        <v>200</v>
      </c>
      <c r="H10" s="9">
        <v>140</v>
      </c>
      <c r="I10" s="4" t="s">
        <v>44</v>
      </c>
      <c r="J10" s="4" t="s">
        <v>11</v>
      </c>
      <c r="K10" s="5" t="s">
        <v>45</v>
      </c>
    </row>
    <row r="11" spans="1:12" x14ac:dyDescent="0.4">
      <c r="A11" s="3" t="s">
        <v>46</v>
      </c>
      <c r="B11" s="3"/>
      <c r="C11" s="3" t="s">
        <v>47</v>
      </c>
      <c r="D11" s="3" t="s">
        <v>67</v>
      </c>
      <c r="E11" s="4" t="s">
        <v>43</v>
      </c>
      <c r="F11" s="4">
        <v>1</v>
      </c>
      <c r="G11" s="6">
        <v>3600</v>
      </c>
      <c r="H11" s="7">
        <v>2520</v>
      </c>
      <c r="I11" s="4" t="s">
        <v>44</v>
      </c>
      <c r="J11" s="4" t="s">
        <v>11</v>
      </c>
      <c r="K11" s="5" t="s">
        <v>48</v>
      </c>
    </row>
    <row r="12" spans="1:12" x14ac:dyDescent="0.4">
      <c r="A12" s="3" t="s">
        <v>49</v>
      </c>
      <c r="B12" s="3"/>
      <c r="C12" s="3" t="s">
        <v>50</v>
      </c>
      <c r="D12" s="3" t="s">
        <v>67</v>
      </c>
      <c r="E12" s="4" t="s">
        <v>51</v>
      </c>
      <c r="F12" s="4">
        <v>1</v>
      </c>
      <c r="G12" s="10">
        <v>600</v>
      </c>
      <c r="H12" s="9">
        <v>420</v>
      </c>
      <c r="I12" s="4" t="s">
        <v>13</v>
      </c>
      <c r="J12" s="4" t="s">
        <v>11</v>
      </c>
      <c r="K12" s="5" t="s">
        <v>52</v>
      </c>
    </row>
    <row r="13" spans="1:12" x14ac:dyDescent="0.4">
      <c r="A13" s="3" t="s">
        <v>53</v>
      </c>
      <c r="B13" s="3"/>
      <c r="C13" s="3" t="s">
        <v>54</v>
      </c>
      <c r="D13" s="3" t="s">
        <v>67</v>
      </c>
      <c r="E13" s="4" t="s">
        <v>51</v>
      </c>
      <c r="F13" s="4">
        <v>1</v>
      </c>
      <c r="G13" s="6">
        <v>3500</v>
      </c>
      <c r="H13" s="7">
        <v>2450</v>
      </c>
      <c r="I13" s="4" t="s">
        <v>13</v>
      </c>
      <c r="J13" s="4" t="s">
        <v>11</v>
      </c>
      <c r="K13" s="5" t="s">
        <v>55</v>
      </c>
    </row>
    <row r="14" spans="1:12" x14ac:dyDescent="0.4">
      <c r="A14" s="3" t="s">
        <v>56</v>
      </c>
      <c r="B14" s="3"/>
      <c r="C14" s="3" t="s">
        <v>57</v>
      </c>
      <c r="D14" s="3" t="s">
        <v>67</v>
      </c>
      <c r="E14" s="4" t="s">
        <v>58</v>
      </c>
      <c r="F14" s="4">
        <v>1</v>
      </c>
      <c r="G14" s="6">
        <v>4200</v>
      </c>
      <c r="H14" s="7">
        <v>2940</v>
      </c>
      <c r="I14" s="4" t="s">
        <v>12</v>
      </c>
      <c r="J14" s="4" t="s">
        <v>11</v>
      </c>
      <c r="K14" s="5" t="s">
        <v>59</v>
      </c>
    </row>
    <row r="15" spans="1:12" x14ac:dyDescent="0.4">
      <c r="A15" s="3" t="s">
        <v>60</v>
      </c>
      <c r="B15" s="3"/>
      <c r="C15" s="3" t="s">
        <v>61</v>
      </c>
      <c r="D15" s="3" t="s">
        <v>67</v>
      </c>
      <c r="E15" s="4" t="s">
        <v>62</v>
      </c>
      <c r="F15" s="4">
        <v>1</v>
      </c>
      <c r="G15" s="6">
        <v>3200</v>
      </c>
      <c r="H15" s="7">
        <v>2240</v>
      </c>
      <c r="I15" s="4" t="s">
        <v>12</v>
      </c>
      <c r="J15" s="4" t="s">
        <v>11</v>
      </c>
      <c r="K15" s="5" t="s">
        <v>63</v>
      </c>
    </row>
    <row r="16" spans="1:12" x14ac:dyDescent="0.4">
      <c r="A16" s="3" t="s">
        <v>64</v>
      </c>
      <c r="B16" s="3"/>
      <c r="C16" s="3" t="s">
        <v>65</v>
      </c>
      <c r="D16" s="3" t="s">
        <v>67</v>
      </c>
      <c r="E16" s="4" t="s">
        <v>62</v>
      </c>
      <c r="F16" s="4">
        <v>1</v>
      </c>
      <c r="G16" s="6">
        <v>3200</v>
      </c>
      <c r="H16" s="7">
        <v>2240</v>
      </c>
      <c r="I16" s="4" t="s">
        <v>12</v>
      </c>
      <c r="J16" s="4" t="s">
        <v>11</v>
      </c>
      <c r="K16" s="5" t="s">
        <v>66</v>
      </c>
    </row>
    <row r="17" spans="8:8" x14ac:dyDescent="0.4">
      <c r="H17" s="11">
        <f>SUM(H2:H16)</f>
        <v>26950</v>
      </c>
    </row>
  </sheetData>
  <phoneticPr fontId="19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showGridLines="0" workbookViewId="0">
      <selection activeCell="D13" sqref="D13"/>
    </sheetView>
  </sheetViews>
  <sheetFormatPr defaultRowHeight="17.399999999999999" x14ac:dyDescent="0.4"/>
  <cols>
    <col min="1" max="1" width="13.796875" customWidth="1"/>
    <col min="2" max="2" width="6.59765625" customWidth="1"/>
    <col min="3" max="3" width="46.3984375" customWidth="1"/>
    <col min="4" max="4" width="11.296875" customWidth="1"/>
    <col min="5" max="5" width="17.09765625" customWidth="1"/>
    <col min="6" max="6" width="15.296875" customWidth="1"/>
    <col min="7" max="7" width="8.8984375" customWidth="1"/>
    <col min="8" max="8" width="9.09765625" customWidth="1"/>
    <col min="9" max="9" width="8.8984375" customWidth="1"/>
    <col min="10" max="10" width="11.296875" customWidth="1"/>
    <col min="11" max="11" width="20.19921875" customWidth="1"/>
    <col min="12" max="12" width="12.19921875" customWidth="1"/>
  </cols>
  <sheetData>
    <row r="1" spans="1:12" s="1" customFormat="1" ht="18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8"/>
    </row>
    <row r="2" spans="1:12" x14ac:dyDescent="0.4">
      <c r="A2" s="3" t="s">
        <v>41</v>
      </c>
      <c r="B2" s="3"/>
      <c r="C2" s="3" t="s">
        <v>42</v>
      </c>
      <c r="D2" s="3" t="s">
        <v>67</v>
      </c>
      <c r="E2" s="4" t="s">
        <v>43</v>
      </c>
      <c r="F2" s="4">
        <v>1</v>
      </c>
      <c r="G2" s="10">
        <v>200</v>
      </c>
      <c r="H2" s="9">
        <v>140</v>
      </c>
      <c r="I2" s="4" t="s">
        <v>44</v>
      </c>
      <c r="J2" s="4" t="s">
        <v>11</v>
      </c>
      <c r="K2" s="5" t="s">
        <v>45</v>
      </c>
    </row>
    <row r="3" spans="1:12" x14ac:dyDescent="0.4">
      <c r="A3" s="3" t="s">
        <v>46</v>
      </c>
      <c r="B3" s="3"/>
      <c r="C3" s="3" t="s">
        <v>47</v>
      </c>
      <c r="D3" s="3" t="s">
        <v>67</v>
      </c>
      <c r="E3" s="4" t="s">
        <v>43</v>
      </c>
      <c r="F3" s="4">
        <v>1</v>
      </c>
      <c r="G3" s="6">
        <v>3600</v>
      </c>
      <c r="H3" s="7">
        <v>2520</v>
      </c>
      <c r="I3" s="4" t="s">
        <v>44</v>
      </c>
      <c r="J3" s="4" t="s">
        <v>11</v>
      </c>
      <c r="K3" s="5" t="s">
        <v>48</v>
      </c>
    </row>
    <row r="4" spans="1:12" x14ac:dyDescent="0.4">
      <c r="A4" s="3" t="s">
        <v>49</v>
      </c>
      <c r="B4" s="3"/>
      <c r="C4" s="3" t="s">
        <v>50</v>
      </c>
      <c r="D4" s="3" t="s">
        <v>67</v>
      </c>
      <c r="E4" s="4" t="s">
        <v>51</v>
      </c>
      <c r="F4" s="4">
        <v>1</v>
      </c>
      <c r="G4" s="10">
        <v>600</v>
      </c>
      <c r="H4" s="9">
        <v>420</v>
      </c>
      <c r="I4" s="4" t="s">
        <v>13</v>
      </c>
      <c r="J4" s="4" t="s">
        <v>11</v>
      </c>
      <c r="K4" s="5" t="s">
        <v>52</v>
      </c>
    </row>
    <row r="5" spans="1:12" x14ac:dyDescent="0.4">
      <c r="A5" s="3" t="s">
        <v>53</v>
      </c>
      <c r="B5" s="3"/>
      <c r="C5" s="3" t="s">
        <v>54</v>
      </c>
      <c r="D5" s="3" t="s">
        <v>67</v>
      </c>
      <c r="E5" s="4" t="s">
        <v>51</v>
      </c>
      <c r="F5" s="4">
        <v>1</v>
      </c>
      <c r="G5" s="6">
        <v>3500</v>
      </c>
      <c r="H5" s="7">
        <v>2450</v>
      </c>
      <c r="I5" s="4" t="s">
        <v>13</v>
      </c>
      <c r="J5" s="4" t="s">
        <v>11</v>
      </c>
      <c r="K5" s="5" t="s">
        <v>55</v>
      </c>
    </row>
    <row r="6" spans="1:12" x14ac:dyDescent="0.4">
      <c r="A6" s="3" t="s">
        <v>56</v>
      </c>
      <c r="B6" s="3"/>
      <c r="C6" s="3" t="s">
        <v>57</v>
      </c>
      <c r="D6" s="3" t="s">
        <v>67</v>
      </c>
      <c r="E6" s="4" t="s">
        <v>58</v>
      </c>
      <c r="F6" s="4">
        <v>1</v>
      </c>
      <c r="G6" s="6">
        <v>4200</v>
      </c>
      <c r="H6" s="7">
        <v>2940</v>
      </c>
      <c r="I6" s="4" t="s">
        <v>12</v>
      </c>
      <c r="J6" s="4" t="s">
        <v>11</v>
      </c>
      <c r="K6" s="5" t="s">
        <v>59</v>
      </c>
    </row>
    <row r="7" spans="1:12" x14ac:dyDescent="0.4">
      <c r="A7" s="3" t="s">
        <v>60</v>
      </c>
      <c r="B7" s="3"/>
      <c r="C7" s="3" t="s">
        <v>61</v>
      </c>
      <c r="D7" s="3" t="s">
        <v>67</v>
      </c>
      <c r="E7" s="4" t="s">
        <v>62</v>
      </c>
      <c r="F7" s="4">
        <v>1</v>
      </c>
      <c r="G7" s="6">
        <v>3200</v>
      </c>
      <c r="H7" s="7">
        <v>2240</v>
      </c>
      <c r="I7" s="4" t="s">
        <v>12</v>
      </c>
      <c r="J7" s="4" t="s">
        <v>11</v>
      </c>
      <c r="K7" s="5" t="s">
        <v>63</v>
      </c>
    </row>
    <row r="8" spans="1:12" x14ac:dyDescent="0.4">
      <c r="A8" s="3" t="s">
        <v>64</v>
      </c>
      <c r="B8" s="3"/>
      <c r="C8" s="3" t="s">
        <v>65</v>
      </c>
      <c r="D8" s="3" t="s">
        <v>67</v>
      </c>
      <c r="E8" s="4" t="s">
        <v>62</v>
      </c>
      <c r="F8" s="4">
        <v>1</v>
      </c>
      <c r="G8" s="6">
        <v>3200</v>
      </c>
      <c r="H8" s="7">
        <v>2240</v>
      </c>
      <c r="I8" s="4" t="s">
        <v>12</v>
      </c>
      <c r="J8" s="4" t="s">
        <v>11</v>
      </c>
      <c r="K8" s="5" t="s">
        <v>66</v>
      </c>
    </row>
    <row r="9" spans="1:12" x14ac:dyDescent="0.4">
      <c r="H9" s="11">
        <f>SUM(H2:H8)</f>
        <v>12950</v>
      </c>
    </row>
  </sheetData>
  <phoneticPr fontId="19" type="noConversion"/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showGridLines="0" workbookViewId="0">
      <selection activeCell="A10" sqref="A10:XFD16"/>
    </sheetView>
  </sheetViews>
  <sheetFormatPr defaultRowHeight="17.399999999999999" x14ac:dyDescent="0.4"/>
  <cols>
    <col min="1" max="1" width="13.796875" customWidth="1"/>
    <col min="2" max="2" width="6.59765625" customWidth="1"/>
    <col min="3" max="3" width="46.3984375" customWidth="1"/>
    <col min="4" max="4" width="11.296875" customWidth="1"/>
    <col min="5" max="5" width="17.09765625" customWidth="1"/>
    <col min="6" max="6" width="15.296875" customWidth="1"/>
    <col min="7" max="7" width="8.8984375" customWidth="1"/>
    <col min="8" max="8" width="9.09765625" customWidth="1"/>
    <col min="9" max="9" width="8.8984375" customWidth="1"/>
    <col min="10" max="10" width="11.296875" customWidth="1"/>
    <col min="11" max="11" width="20.19921875" customWidth="1"/>
    <col min="12" max="12" width="12.19921875" customWidth="1"/>
  </cols>
  <sheetData>
    <row r="1" spans="1:12" s="1" customFormat="1" ht="18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8"/>
    </row>
    <row r="2" spans="1:12" x14ac:dyDescent="0.4">
      <c r="A2" s="3" t="s">
        <v>14</v>
      </c>
      <c r="B2" s="3"/>
      <c r="C2" s="3" t="s">
        <v>15</v>
      </c>
      <c r="D2" s="3" t="s">
        <v>16</v>
      </c>
      <c r="E2" s="4" t="s">
        <v>17</v>
      </c>
      <c r="F2" s="4">
        <v>1</v>
      </c>
      <c r="G2" s="6">
        <v>2500</v>
      </c>
      <c r="H2" s="7">
        <v>1750</v>
      </c>
      <c r="I2" s="4" t="s">
        <v>18</v>
      </c>
      <c r="J2" s="4" t="s">
        <v>11</v>
      </c>
      <c r="K2" s="5" t="s">
        <v>19</v>
      </c>
    </row>
    <row r="3" spans="1:12" x14ac:dyDescent="0.4">
      <c r="A3" s="3" t="s">
        <v>20</v>
      </c>
      <c r="B3" s="3"/>
      <c r="C3" s="3" t="s">
        <v>21</v>
      </c>
      <c r="D3" s="3" t="s">
        <v>16</v>
      </c>
      <c r="E3" s="4" t="s">
        <v>17</v>
      </c>
      <c r="F3" s="4">
        <v>1</v>
      </c>
      <c r="G3" s="6">
        <v>2500</v>
      </c>
      <c r="H3" s="7">
        <v>1750</v>
      </c>
      <c r="I3" s="4" t="s">
        <v>18</v>
      </c>
      <c r="J3" s="4" t="s">
        <v>11</v>
      </c>
      <c r="K3" s="5" t="s">
        <v>22</v>
      </c>
    </row>
    <row r="4" spans="1:12" x14ac:dyDescent="0.4">
      <c r="A4" s="3" t="s">
        <v>23</v>
      </c>
      <c r="B4" s="3"/>
      <c r="C4" s="3" t="s">
        <v>24</v>
      </c>
      <c r="D4" s="3" t="s">
        <v>16</v>
      </c>
      <c r="E4" s="4" t="s">
        <v>17</v>
      </c>
      <c r="F4" s="4">
        <v>1</v>
      </c>
      <c r="G4" s="6">
        <v>2500</v>
      </c>
      <c r="H4" s="7">
        <v>1750</v>
      </c>
      <c r="I4" s="4" t="s">
        <v>18</v>
      </c>
      <c r="J4" s="4" t="s">
        <v>11</v>
      </c>
      <c r="K4" s="5" t="s">
        <v>25</v>
      </c>
    </row>
    <row r="5" spans="1:12" x14ac:dyDescent="0.4">
      <c r="A5" s="3" t="s">
        <v>26</v>
      </c>
      <c r="B5" s="3"/>
      <c r="C5" s="3" t="s">
        <v>27</v>
      </c>
      <c r="D5" s="3" t="s">
        <v>16</v>
      </c>
      <c r="E5" s="4" t="s">
        <v>17</v>
      </c>
      <c r="F5" s="4">
        <v>1</v>
      </c>
      <c r="G5" s="6">
        <v>2500</v>
      </c>
      <c r="H5" s="7">
        <v>1750</v>
      </c>
      <c r="I5" s="4" t="s">
        <v>18</v>
      </c>
      <c r="J5" s="4" t="s">
        <v>11</v>
      </c>
      <c r="K5" s="5" t="s">
        <v>28</v>
      </c>
    </row>
    <row r="6" spans="1:12" x14ac:dyDescent="0.4">
      <c r="A6" s="3" t="s">
        <v>29</v>
      </c>
      <c r="B6" s="3"/>
      <c r="C6" s="3" t="s">
        <v>30</v>
      </c>
      <c r="D6" s="3" t="s">
        <v>16</v>
      </c>
      <c r="E6" s="4" t="s">
        <v>17</v>
      </c>
      <c r="F6" s="4">
        <v>1</v>
      </c>
      <c r="G6" s="6">
        <v>2500</v>
      </c>
      <c r="H6" s="7">
        <v>1750</v>
      </c>
      <c r="I6" s="4" t="s">
        <v>18</v>
      </c>
      <c r="J6" s="4" t="s">
        <v>11</v>
      </c>
      <c r="K6" s="5" t="s">
        <v>31</v>
      </c>
    </row>
    <row r="7" spans="1:12" x14ac:dyDescent="0.4">
      <c r="A7" s="3" t="s">
        <v>32</v>
      </c>
      <c r="B7" s="3"/>
      <c r="C7" s="3" t="s">
        <v>33</v>
      </c>
      <c r="D7" s="3" t="s">
        <v>16</v>
      </c>
      <c r="E7" s="4" t="s">
        <v>17</v>
      </c>
      <c r="F7" s="4">
        <v>1</v>
      </c>
      <c r="G7" s="6">
        <v>2500</v>
      </c>
      <c r="H7" s="7">
        <v>1750</v>
      </c>
      <c r="I7" s="4" t="s">
        <v>18</v>
      </c>
      <c r="J7" s="4" t="s">
        <v>11</v>
      </c>
      <c r="K7" s="5" t="s">
        <v>34</v>
      </c>
    </row>
    <row r="8" spans="1:12" x14ac:dyDescent="0.4">
      <c r="A8" s="3" t="s">
        <v>35</v>
      </c>
      <c r="B8" s="3"/>
      <c r="C8" s="3" t="s">
        <v>36</v>
      </c>
      <c r="D8" s="3" t="s">
        <v>16</v>
      </c>
      <c r="E8" s="4" t="s">
        <v>17</v>
      </c>
      <c r="F8" s="4">
        <v>1</v>
      </c>
      <c r="G8" s="6">
        <v>2500</v>
      </c>
      <c r="H8" s="7">
        <v>1750</v>
      </c>
      <c r="I8" s="4" t="s">
        <v>18</v>
      </c>
      <c r="J8" s="4" t="s">
        <v>11</v>
      </c>
      <c r="K8" s="5" t="s">
        <v>37</v>
      </c>
    </row>
    <row r="9" spans="1:12" x14ac:dyDescent="0.4">
      <c r="A9" s="3" t="s">
        <v>38</v>
      </c>
      <c r="B9" s="3"/>
      <c r="C9" s="3" t="s">
        <v>39</v>
      </c>
      <c r="D9" s="3" t="s">
        <v>16</v>
      </c>
      <c r="E9" s="4" t="s">
        <v>17</v>
      </c>
      <c r="F9" s="4">
        <v>1</v>
      </c>
      <c r="G9" s="6">
        <v>2500</v>
      </c>
      <c r="H9" s="7">
        <v>1750</v>
      </c>
      <c r="I9" s="4" t="s">
        <v>18</v>
      </c>
      <c r="J9" s="4" t="s">
        <v>11</v>
      </c>
      <c r="K9" s="5" t="s">
        <v>40</v>
      </c>
    </row>
    <row r="10" spans="1:12" x14ac:dyDescent="0.4">
      <c r="H10" s="11">
        <f>SUM(H2:H9)</f>
        <v>14000</v>
      </c>
    </row>
  </sheetData>
  <phoneticPr fontId="1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합계(2)</vt:lpstr>
      <vt:lpstr>더컴퍼니</vt:lpstr>
      <vt:lpstr>에필로그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jihui</cp:lastModifiedBy>
  <dcterms:created xsi:type="dcterms:W3CDTF">2021-10-05T03:08:35Z</dcterms:created>
  <dcterms:modified xsi:type="dcterms:W3CDTF">2022-03-06T06:08:38Z</dcterms:modified>
</cp:coreProperties>
</file>