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863"/>
  </bookViews>
  <sheets>
    <sheet name="합계 (2)" sheetId="230" r:id="rId1"/>
  </sheets>
  <definedNames>
    <definedName name="_xlnm._FilterDatabase" localSheetId="0" hidden="1">'합계 (2)'!$A$1:$AM$32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U85" i="230" l="1"/>
  <c r="AW85" i="230"/>
  <c r="AV79" i="230"/>
  <c r="AW79" i="230"/>
  <c r="AV80" i="230"/>
  <c r="AW80" i="230"/>
  <c r="AV81" i="230"/>
  <c r="AW81" i="230" s="1"/>
  <c r="AV82" i="230"/>
  <c r="AW82" i="230"/>
  <c r="AV83" i="230"/>
  <c r="AW83" i="230"/>
  <c r="AV84" i="230"/>
  <c r="AW84" i="230"/>
  <c r="AV75" i="230" l="1"/>
  <c r="AW75" i="230" s="1"/>
  <c r="AV76" i="230"/>
  <c r="AW76" i="230" s="1"/>
  <c r="AV77" i="230"/>
  <c r="AW77" i="230"/>
  <c r="AV78" i="230"/>
  <c r="AW78" i="230" s="1"/>
  <c r="AV74" i="230" l="1"/>
  <c r="AW74" i="230" s="1"/>
  <c r="AV73" i="230" l="1"/>
  <c r="AW73" i="230" s="1"/>
  <c r="AV56" i="230" l="1"/>
  <c r="AW56" i="230" s="1"/>
  <c r="AV57" i="230"/>
  <c r="AW57" i="230" s="1"/>
  <c r="AV58" i="230"/>
  <c r="AW58" i="230" s="1"/>
  <c r="AV59" i="230"/>
  <c r="AW59" i="230" s="1"/>
  <c r="AV60" i="230"/>
  <c r="AW60" i="230" s="1"/>
  <c r="AV61" i="230"/>
  <c r="AW61" i="230" s="1"/>
  <c r="AV62" i="230"/>
  <c r="AW62" i="230" s="1"/>
  <c r="AV63" i="230"/>
  <c r="AW63" i="230" s="1"/>
  <c r="AV64" i="230"/>
  <c r="AW64" i="230" s="1"/>
  <c r="AV65" i="230"/>
  <c r="AW65" i="230" s="1"/>
  <c r="AV66" i="230"/>
  <c r="AW66" i="230" s="1"/>
  <c r="AV67" i="230"/>
  <c r="AW67" i="230" s="1"/>
  <c r="AV68" i="230"/>
  <c r="AW68" i="230" s="1"/>
  <c r="AV69" i="230"/>
  <c r="AW69" i="230" s="1"/>
  <c r="AV70" i="230"/>
  <c r="AW70" i="230" s="1"/>
  <c r="AV71" i="230"/>
  <c r="AW71" i="230" s="1"/>
  <c r="AV72" i="230"/>
  <c r="AW72" i="230" s="1"/>
  <c r="AV51" i="230" l="1"/>
  <c r="AW51" i="230" s="1"/>
  <c r="AV52" i="230"/>
  <c r="AW52" i="230" s="1"/>
  <c r="AV53" i="230"/>
  <c r="AW53" i="230" s="1"/>
  <c r="AV54" i="230"/>
  <c r="AW54" i="230" s="1"/>
  <c r="AV55" i="230"/>
  <c r="AW55" i="230" s="1"/>
  <c r="AV3" i="230" l="1"/>
  <c r="AW3" i="230" s="1"/>
  <c r="AV4" i="230"/>
  <c r="AW4" i="230" s="1"/>
  <c r="AV5" i="230"/>
  <c r="AW5" i="230" s="1"/>
  <c r="AV6" i="230"/>
  <c r="AW6" i="230" s="1"/>
  <c r="AV7" i="230"/>
  <c r="AW7" i="230" s="1"/>
  <c r="AV8" i="230"/>
  <c r="AW8" i="230" s="1"/>
  <c r="AV9" i="230"/>
  <c r="AW9" i="230" s="1"/>
  <c r="AV10" i="230"/>
  <c r="AW10" i="230" s="1"/>
  <c r="AV11" i="230"/>
  <c r="AW11" i="230" s="1"/>
  <c r="AV12" i="230"/>
  <c r="AW12" i="230" s="1"/>
  <c r="AV13" i="230"/>
  <c r="AW13" i="230" s="1"/>
  <c r="AV14" i="230"/>
  <c r="AW14" i="230" s="1"/>
  <c r="AV15" i="230"/>
  <c r="AW15" i="230" s="1"/>
  <c r="AV16" i="230"/>
  <c r="AW16" i="230" s="1"/>
  <c r="AV17" i="230"/>
  <c r="AW17" i="230" s="1"/>
  <c r="AV18" i="230"/>
  <c r="AW18" i="230" s="1"/>
  <c r="AV19" i="230"/>
  <c r="AW19" i="230" s="1"/>
  <c r="AV20" i="230"/>
  <c r="AW20" i="230" s="1"/>
  <c r="AV21" i="230"/>
  <c r="AW21" i="230" s="1"/>
  <c r="AV22" i="230"/>
  <c r="AW22" i="230" s="1"/>
  <c r="AV23" i="230"/>
  <c r="AW23" i="230" s="1"/>
  <c r="AV24" i="230"/>
  <c r="AW24" i="230" s="1"/>
  <c r="AV25" i="230"/>
  <c r="AW25" i="230" s="1"/>
  <c r="AV26" i="230"/>
  <c r="AW26" i="230" s="1"/>
  <c r="AV27" i="230"/>
  <c r="AW27" i="230" s="1"/>
  <c r="AV28" i="230"/>
  <c r="AW28" i="230" s="1"/>
  <c r="AV29" i="230"/>
  <c r="AW29" i="230" s="1"/>
  <c r="AV30" i="230"/>
  <c r="AW30" i="230" s="1"/>
  <c r="AV31" i="230"/>
  <c r="AW31" i="230" s="1"/>
  <c r="AV32" i="230"/>
  <c r="AW32" i="230" s="1"/>
  <c r="AV33" i="230"/>
  <c r="AW33" i="230" s="1"/>
  <c r="AV34" i="230"/>
  <c r="AW34" i="230" s="1"/>
  <c r="AV35" i="230"/>
  <c r="AW35" i="230" s="1"/>
  <c r="AV36" i="230"/>
  <c r="AW36" i="230" s="1"/>
  <c r="AV37" i="230"/>
  <c r="AW37" i="230" s="1"/>
  <c r="AV38" i="230"/>
  <c r="AW38" i="230" s="1"/>
  <c r="AV39" i="230"/>
  <c r="AW39" i="230" s="1"/>
  <c r="AV40" i="230"/>
  <c r="AW40" i="230" s="1"/>
  <c r="AV41" i="230"/>
  <c r="AW41" i="230" s="1"/>
  <c r="AV42" i="230"/>
  <c r="AW42" i="230" s="1"/>
  <c r="AV43" i="230"/>
  <c r="AW43" i="230" s="1"/>
  <c r="AV44" i="230"/>
  <c r="AW44" i="230" s="1"/>
  <c r="AV45" i="230"/>
  <c r="AW45" i="230" s="1"/>
  <c r="AV46" i="230"/>
  <c r="AW46" i="230" s="1"/>
  <c r="AV47" i="230"/>
  <c r="AW47" i="230" s="1"/>
  <c r="AV48" i="230"/>
  <c r="AW48" i="230" s="1"/>
  <c r="AV49" i="230"/>
  <c r="AW49" i="230" s="1"/>
  <c r="AV50" i="230"/>
  <c r="AW50" i="230" s="1"/>
  <c r="AV2" i="230"/>
  <c r="AW2" i="230" l="1"/>
</calcChain>
</file>

<file path=xl/sharedStrings.xml><?xml version="1.0" encoding="utf-8"?>
<sst xmlns="http://schemas.openxmlformats.org/spreadsheetml/2006/main" count="634" uniqueCount="145">
  <si>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</si>
  <si>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</si>
  <si>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</si>
  <si>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</si>
  <si>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</si>
  <si>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</si>
  <si>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</si>
  <si>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</si>
  <si>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</si>
  <si>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</si>
  <si>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</si>
  <si>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</si>
  <si>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스토리위즈</t>
  </si>
  <si>
    <t>12세 이상 이용가능</t>
  </si>
  <si>
    <t>최종 보스 : 빛을 향해 달리는 그림자 [독점]</t>
  </si>
  <si>
    <t>스토리위즈_1</t>
  </si>
  <si>
    <t>무장</t>
  </si>
  <si>
    <t>회귀의 전설 [단행본]</t>
  </si>
  <si>
    <t>예로나</t>
  </si>
  <si>
    <t>BJ소드마스터 [독점]</t>
  </si>
  <si>
    <t>이동열</t>
  </si>
  <si>
    <t>2020.07.24</t>
  </si>
  <si>
    <t>구유</t>
  </si>
  <si>
    <t>로드 오브 머니</t>
  </si>
  <si>
    <t>2018.08.02</t>
  </si>
  <si>
    <t>SSS급 마왕의 귀환</t>
  </si>
  <si>
    <t>2019.06.14</t>
  </si>
  <si>
    <t>형사의 게임</t>
  </si>
  <si>
    <t>2017.04.11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</si>
  <si>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</si>
  <si>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</si>
  <si>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</si>
  <si>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</si>
  <si>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</si>
  <si>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</si>
  <si>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</si>
  <si>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</si>
  <si>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</si>
  <si>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</si>
  <si>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</si>
  <si>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</si>
  <si>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</si>
  <si>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</si>
  <si>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</si>
  <si>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2021.02.19</t>
  </si>
  <si>
    <t>2021.03.06</t>
  </si>
  <si>
    <t>2021.03.26</t>
  </si>
  <si>
    <t>온서</t>
  </si>
  <si>
    <t>세상</t>
  </si>
  <si>
    <t>망작 리메이커 [독점]</t>
  </si>
  <si>
    <t>덕킹</t>
  </si>
  <si>
    <t>진문</t>
  </si>
  <si>
    <t>올마스터가 된 비전서고 [독점]</t>
  </si>
  <si>
    <t>글면증</t>
  </si>
  <si>
    <t>위험한 신혼부부 [독점]</t>
  </si>
  <si>
    <t>박수정(방울마마)</t>
  </si>
  <si>
    <t>2016.07.20</t>
  </si>
  <si>
    <t>2021.08.03</t>
  </si>
  <si>
    <t>리얼 머니 [독점]</t>
  </si>
  <si>
    <t>2020.06.03</t>
  </si>
  <si>
    <t>회귀자의 슬기로운 복수생활 [독점]</t>
  </si>
  <si>
    <t>구공</t>
  </si>
  <si>
    <t>화산검제 [은천검제 2부 연재]</t>
  </si>
  <si>
    <t>2020.03.24</t>
  </si>
  <si>
    <t>절대자의 귀환</t>
  </si>
  <si>
    <t>장유진</t>
  </si>
  <si>
    <t>2021.01.19</t>
  </si>
  <si>
    <t>위대한 가문의 망나니가 되다 [독점]</t>
  </si>
  <si>
    <t>바나바다</t>
  </si>
  <si>
    <t>공작가의 남루한 신부</t>
  </si>
  <si>
    <t>무성매직</t>
  </si>
  <si>
    <t>2021.04.08</t>
  </si>
  <si>
    <t>갓 오브 블랙필드 [개정판][단행본]</t>
  </si>
  <si>
    <t>2020.06.24</t>
  </si>
  <si>
    <t>갓 오브 블랙필드</t>
  </si>
  <si>
    <t>2017.02.27</t>
  </si>
  <si>
    <t>2021.11.18</t>
  </si>
  <si>
    <t>강호유정</t>
  </si>
  <si>
    <t>2020.08.25</t>
  </si>
  <si>
    <t>청빙</t>
  </si>
  <si>
    <t>라스트 서바이버 : 진화로 살아남아라!</t>
  </si>
  <si>
    <t>그라운드의 지배자</t>
  </si>
  <si>
    <t>2016.05.30</t>
  </si>
  <si>
    <t>나 혼자 스킬융합 [독점]</t>
  </si>
  <si>
    <t>붕어빵</t>
  </si>
  <si>
    <t>공든탑</t>
  </si>
  <si>
    <t>도폐풍운록</t>
  </si>
  <si>
    <t>2021.01.29</t>
  </si>
  <si>
    <t>컬러 러쉬 [BL]</t>
  </si>
  <si>
    <t>2021.04.07</t>
  </si>
  <si>
    <t>레이디 스칼렛</t>
  </si>
  <si>
    <t>불고기자리</t>
  </si>
  <si>
    <t>2020.08.20</t>
  </si>
  <si>
    <t>이린비</t>
  </si>
  <si>
    <t>문답무용 - 삼국지 유비의 모사가 되었다 [단행본]</t>
  </si>
  <si>
    <t>2021.05.20</t>
  </si>
  <si>
    <t>신입사원이 이렇게 일을 잘했다고? [독점]</t>
  </si>
  <si>
    <t>왕십리글쟁이</t>
  </si>
  <si>
    <t>신인류 좀비의 아포칼립스 [독점]</t>
  </si>
  <si>
    <t>모험왕선우</t>
  </si>
  <si>
    <t>2021.12.08</t>
  </si>
  <si>
    <t>도폐풍운록 [단행본]</t>
  </si>
  <si>
    <t>2022.01.27</t>
  </si>
  <si>
    <t>선유문주</t>
  </si>
  <si>
    <t>임신부터 할까요?</t>
  </si>
  <si>
    <t>칵테일로 레벨업 [독점]</t>
  </si>
  <si>
    <t>서강후</t>
  </si>
  <si>
    <t>2021.11.01</t>
  </si>
  <si>
    <t>로드 오브 머니 [단행본]</t>
  </si>
  <si>
    <t>2019.08.05</t>
  </si>
  <si>
    <t>선유문주 [단행본]</t>
  </si>
  <si>
    <t>2022.03.05</t>
  </si>
  <si>
    <t>2022.03.04</t>
  </si>
  <si>
    <t>SSS급 마왕의 귀환 [단행본]</t>
  </si>
  <si>
    <t>2020.03.19</t>
  </si>
  <si>
    <t>이과생 둘이 회귀했다</t>
  </si>
  <si>
    <t>하이후</t>
  </si>
  <si>
    <t>2020.07.10</t>
  </si>
  <si>
    <t>유성하소월 [1~83화]</t>
  </si>
  <si>
    <t>se1392001</t>
  </si>
  <si>
    <t>2019.01.31</t>
  </si>
  <si>
    <t>말빨</t>
  </si>
  <si>
    <t>2020.02.12</t>
  </si>
  <si>
    <t>드래곤은 나 혼자 잡는다</t>
  </si>
  <si>
    <t>2018.12.17</t>
  </si>
  <si>
    <t>유성하소월 [84~122화]</t>
  </si>
  <si>
    <t>se1392084</t>
  </si>
  <si>
    <t>2014.09.12</t>
  </si>
  <si>
    <t>호랑이 신을 길들여 버렸다</t>
  </si>
  <si>
    <t>부엉이콩</t>
  </si>
  <si>
    <t>2021.11.19</t>
  </si>
  <si>
    <t>간신이 나라를 살림</t>
  </si>
  <si>
    <t>루이세</t>
  </si>
  <si>
    <t>2020.01.22</t>
  </si>
  <si>
    <t>N스토어(PC)</t>
    <phoneticPr fontId="18" type="noConversion"/>
  </si>
  <si>
    <t>기사가문 망나니는 10클래스 [단행본]</t>
  </si>
  <si>
    <t>2020.08.26</t>
  </si>
  <si>
    <t>라지에르의 서 [단행본]</t>
  </si>
  <si>
    <t>2018.01.05</t>
  </si>
  <si>
    <t>PC뷰어 (PC)</t>
    <phoneticPr fontId="18" type="noConversion"/>
  </si>
  <si>
    <t>컬러 러쉬 [BL][단행본]</t>
  </si>
  <si>
    <t>2021.04.13</t>
  </si>
  <si>
    <t>여왕 아델</t>
  </si>
  <si>
    <t>2018.01.25</t>
  </si>
  <si>
    <t>N스토어(MW)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</si>
</sst>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" fontId="22" fillId="0" borderId="0" xfId="0" applyNumberFormat="1" applyFont="1" applyAlignment="1">
      <alignment vertical="center" wrapText="1"/>
    </xf>
    <xf numFmtId="41" fontId="0" fillId="34" borderId="0" xfId="42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85"/>
  <sheetViews>
    <sheetView tabSelected="1" topLeftCell="R67" zoomScale="81" zoomScaleNormal="81" workbookViewId="0">
      <selection activeCell="AP87" sqref="AP87"/>
    </sheetView>
  </sheetViews>
  <sheetFormatPr defaultColWidth="8.69921875" defaultRowHeight="17.399999999999999" x14ac:dyDescent="0.4"/>
  <cols>
    <col min="1" max="1" width="13.59765625" style="6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6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09765625" style="1" bestFit="1" customWidth="1"/>
    <col min="48" max="48" width="11.69921875" style="1" bestFit="1" customWidth="1"/>
    <col min="49" max="49" width="11.09765625" style="1" bestFit="1" customWidth="1"/>
    <col min="50" max="16384" width="8.69921875" style="1"/>
  </cols>
  <sheetData>
    <row r="1" spans="1:49" ht="38.4" x14ac:dyDescent="0.4">
      <c r="A1" s="5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29</v>
      </c>
      <c r="K1" s="13" t="s">
        <v>30</v>
      </c>
      <c r="L1" s="13" t="s">
        <v>31</v>
      </c>
      <c r="M1" s="13" t="s">
        <v>32</v>
      </c>
      <c r="N1" s="13" t="s">
        <v>33</v>
      </c>
      <c r="O1" s="13" t="s">
        <v>34</v>
      </c>
      <c r="P1" s="13" t="s">
        <v>35</v>
      </c>
      <c r="Q1" s="13" t="s">
        <v>36</v>
      </c>
      <c r="R1" s="13" t="s">
        <v>37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29</v>
      </c>
      <c r="AC1" s="13" t="s">
        <v>38</v>
      </c>
      <c r="AD1" s="13" t="s">
        <v>39</v>
      </c>
      <c r="AE1" s="13" t="s">
        <v>29</v>
      </c>
      <c r="AF1" s="13" t="s">
        <v>38</v>
      </c>
      <c r="AG1" s="13" t="s">
        <v>39</v>
      </c>
      <c r="AH1" s="13" t="s">
        <v>29</v>
      </c>
      <c r="AI1" s="13" t="s">
        <v>38</v>
      </c>
      <c r="AJ1" s="13" t="s">
        <v>39</v>
      </c>
      <c r="AK1" s="13" t="s">
        <v>29</v>
      </c>
      <c r="AL1" s="13" t="s">
        <v>38</v>
      </c>
      <c r="AM1" s="13" t="s">
        <v>39</v>
      </c>
      <c r="AN1" s="14" t="s">
        <v>40</v>
      </c>
      <c r="AO1" s="13" t="s">
        <v>29</v>
      </c>
      <c r="AP1" s="13" t="s">
        <v>38</v>
      </c>
      <c r="AQ1" s="13" t="s">
        <v>39</v>
      </c>
      <c r="AR1" s="13" t="s">
        <v>29</v>
      </c>
      <c r="AS1" s="13" t="s">
        <v>38</v>
      </c>
      <c r="AT1" s="13" t="s">
        <v>39</v>
      </c>
      <c r="AU1" s="14" t="s">
        <v>41</v>
      </c>
      <c r="AV1" s="15" t="s">
        <v>42</v>
      </c>
      <c r="AW1" s="16" t="s">
        <v>43</v>
      </c>
    </row>
    <row r="2" spans="1:49" ht="19.2" x14ac:dyDescent="0.4">
      <c r="A2" s="6" t="s">
        <v>134</v>
      </c>
      <c r="B2" s="7" t="s">
        <v>72</v>
      </c>
      <c r="C2" s="7">
        <v>324335</v>
      </c>
      <c r="D2" s="8"/>
      <c r="E2" s="7" t="s">
        <v>15</v>
      </c>
      <c r="F2" s="7" t="s">
        <v>16</v>
      </c>
      <c r="G2" s="7" t="s">
        <v>12</v>
      </c>
      <c r="H2" s="9" t="s">
        <v>13</v>
      </c>
      <c r="I2" s="9" t="s">
        <v>73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2</v>
      </c>
      <c r="AF2" s="10">
        <v>6400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14</v>
      </c>
      <c r="AS2" s="10">
        <v>44600</v>
      </c>
      <c r="AT2" s="9">
        <v>200</v>
      </c>
      <c r="AU2" s="11">
        <v>51200</v>
      </c>
      <c r="AV2" s="17">
        <f>AU2-AN2</f>
        <v>51200</v>
      </c>
      <c r="AW2" s="1">
        <f>AV2*70%</f>
        <v>35840</v>
      </c>
    </row>
    <row r="3" spans="1:49" ht="19.2" x14ac:dyDescent="0.4">
      <c r="A3" s="6" t="s">
        <v>134</v>
      </c>
      <c r="B3" s="7" t="s">
        <v>108</v>
      </c>
      <c r="C3" s="7">
        <v>370935</v>
      </c>
      <c r="D3" s="8"/>
      <c r="E3" s="7" t="s">
        <v>15</v>
      </c>
      <c r="F3" s="7" t="s">
        <v>16</v>
      </c>
      <c r="G3" s="7" t="s">
        <v>12</v>
      </c>
      <c r="H3" s="9" t="s">
        <v>8</v>
      </c>
      <c r="I3" s="9" t="s">
        <v>109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14</v>
      </c>
      <c r="AF3" s="10">
        <v>44800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11">
        <v>44800</v>
      </c>
      <c r="AV3" s="17">
        <f t="shared" ref="AV3:AV50" si="0">AU3-AN3</f>
        <v>44800</v>
      </c>
      <c r="AW3" s="1">
        <f t="shared" ref="AW3:AW50" si="1">AV3*70%</f>
        <v>31359.999999999996</v>
      </c>
    </row>
    <row r="4" spans="1:49" ht="19.2" x14ac:dyDescent="0.4">
      <c r="A4" s="6" t="s">
        <v>134</v>
      </c>
      <c r="B4" s="7" t="s">
        <v>110</v>
      </c>
      <c r="C4" s="7">
        <v>458566</v>
      </c>
      <c r="D4" s="8"/>
      <c r="E4" s="7" t="s">
        <v>15</v>
      </c>
      <c r="F4" s="7" t="s">
        <v>16</v>
      </c>
      <c r="G4" s="7" t="s">
        <v>12</v>
      </c>
      <c r="H4" s="9" t="s">
        <v>8</v>
      </c>
      <c r="I4" s="9" t="s">
        <v>102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10</v>
      </c>
      <c r="AF4" s="10">
        <v>29300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2</v>
      </c>
      <c r="AS4" s="10">
        <v>5900</v>
      </c>
      <c r="AT4" s="9">
        <v>0</v>
      </c>
      <c r="AU4" s="11">
        <v>35200</v>
      </c>
      <c r="AV4" s="17">
        <f t="shared" si="0"/>
        <v>35200</v>
      </c>
      <c r="AW4" s="1">
        <f t="shared" si="1"/>
        <v>24640</v>
      </c>
    </row>
    <row r="5" spans="1:49" ht="19.2" x14ac:dyDescent="0.4">
      <c r="A5" s="6" t="s">
        <v>134</v>
      </c>
      <c r="B5" s="7" t="s">
        <v>17</v>
      </c>
      <c r="C5" s="7">
        <v>414278</v>
      </c>
      <c r="D5" s="8"/>
      <c r="E5" s="7" t="s">
        <v>15</v>
      </c>
      <c r="F5" s="7" t="s">
        <v>9</v>
      </c>
      <c r="G5" s="7" t="s">
        <v>12</v>
      </c>
      <c r="H5" s="9" t="s">
        <v>11</v>
      </c>
      <c r="I5" s="9" t="s">
        <v>44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9</v>
      </c>
      <c r="AF5" s="10">
        <v>28800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11">
        <v>28800</v>
      </c>
      <c r="AV5" s="17">
        <f t="shared" si="0"/>
        <v>28800</v>
      </c>
      <c r="AW5" s="1">
        <f t="shared" si="1"/>
        <v>20160</v>
      </c>
    </row>
    <row r="6" spans="1:49" ht="19.2" x14ac:dyDescent="0.4">
      <c r="A6" s="6" t="s">
        <v>134</v>
      </c>
      <c r="B6" s="7" t="s">
        <v>96</v>
      </c>
      <c r="C6" s="7">
        <v>454534</v>
      </c>
      <c r="D6" s="8"/>
      <c r="E6" s="7" t="s">
        <v>15</v>
      </c>
      <c r="F6" s="7" t="s">
        <v>97</v>
      </c>
      <c r="G6" s="7" t="s">
        <v>12</v>
      </c>
      <c r="H6" s="9" t="s">
        <v>8</v>
      </c>
      <c r="I6" s="9" t="s">
        <v>111</v>
      </c>
      <c r="J6" s="9">
        <v>3</v>
      </c>
      <c r="K6" s="9">
        <v>5</v>
      </c>
      <c r="L6" s="9">
        <v>300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135</v>
      </c>
      <c r="AF6" s="10">
        <v>5900</v>
      </c>
      <c r="AG6" s="10">
        <v>7600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17</v>
      </c>
      <c r="AS6" s="10">
        <v>1700</v>
      </c>
      <c r="AT6" s="9">
        <v>0</v>
      </c>
      <c r="AU6" s="11">
        <v>15500</v>
      </c>
      <c r="AV6" s="17">
        <f t="shared" si="0"/>
        <v>15500</v>
      </c>
      <c r="AW6" s="1">
        <f t="shared" si="1"/>
        <v>10850</v>
      </c>
    </row>
    <row r="7" spans="1:49" ht="19.2" x14ac:dyDescent="0.4">
      <c r="A7" s="6" t="s">
        <v>134</v>
      </c>
      <c r="B7" s="7" t="s">
        <v>101</v>
      </c>
      <c r="C7" s="7">
        <v>458568</v>
      </c>
      <c r="D7" s="8"/>
      <c r="E7" s="7" t="s">
        <v>15</v>
      </c>
      <c r="F7" s="7" t="s">
        <v>16</v>
      </c>
      <c r="G7" s="7" t="s">
        <v>12</v>
      </c>
      <c r="H7" s="9" t="s">
        <v>8</v>
      </c>
      <c r="I7" s="9" t="s">
        <v>102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3</v>
      </c>
      <c r="AF7" s="10">
        <v>9600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1</v>
      </c>
      <c r="AS7" s="10">
        <v>3200</v>
      </c>
      <c r="AT7" s="9">
        <v>0</v>
      </c>
      <c r="AU7" s="11">
        <v>12800</v>
      </c>
      <c r="AV7" s="17">
        <f t="shared" si="0"/>
        <v>12800</v>
      </c>
      <c r="AW7" s="1">
        <f t="shared" si="1"/>
        <v>8960</v>
      </c>
    </row>
    <row r="8" spans="1:49" ht="19.2" x14ac:dyDescent="0.4">
      <c r="A8" s="6" t="s">
        <v>134</v>
      </c>
      <c r="B8" s="7" t="s">
        <v>83</v>
      </c>
      <c r="C8" s="7">
        <v>449889</v>
      </c>
      <c r="D8" s="8"/>
      <c r="E8" s="7" t="s">
        <v>15</v>
      </c>
      <c r="F8" s="7" t="s">
        <v>84</v>
      </c>
      <c r="G8" s="7" t="s">
        <v>12</v>
      </c>
      <c r="H8" s="9" t="s">
        <v>8</v>
      </c>
      <c r="I8" s="9" t="s">
        <v>112</v>
      </c>
      <c r="J8" s="9">
        <v>1</v>
      </c>
      <c r="K8" s="9">
        <v>413</v>
      </c>
      <c r="L8" s="9">
        <v>100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85</v>
      </c>
      <c r="AF8" s="10">
        <v>4100</v>
      </c>
      <c r="AG8" s="10">
        <v>4400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22</v>
      </c>
      <c r="AS8" s="10">
        <v>1900</v>
      </c>
      <c r="AT8" s="9">
        <v>300</v>
      </c>
      <c r="AU8" s="11">
        <v>10800</v>
      </c>
      <c r="AV8" s="17">
        <f t="shared" si="0"/>
        <v>10800</v>
      </c>
      <c r="AW8" s="1">
        <f t="shared" si="1"/>
        <v>7559.9999999999991</v>
      </c>
    </row>
    <row r="9" spans="1:49" ht="19.2" x14ac:dyDescent="0.4">
      <c r="A9" s="6" t="s">
        <v>134</v>
      </c>
      <c r="B9" s="7" t="s">
        <v>113</v>
      </c>
      <c r="C9" s="7">
        <v>392777</v>
      </c>
      <c r="D9" s="8"/>
      <c r="E9" s="7" t="s">
        <v>15</v>
      </c>
      <c r="F9" s="7" t="s">
        <v>22</v>
      </c>
      <c r="G9" s="7" t="s">
        <v>12</v>
      </c>
      <c r="H9" s="9" t="s">
        <v>8</v>
      </c>
      <c r="I9" s="9" t="s">
        <v>114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2</v>
      </c>
      <c r="AF9" s="10">
        <v>6400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11">
        <v>6400</v>
      </c>
      <c r="AV9" s="17">
        <f t="shared" si="0"/>
        <v>6400</v>
      </c>
      <c r="AW9" s="1">
        <f t="shared" si="1"/>
        <v>4480</v>
      </c>
    </row>
    <row r="10" spans="1:49" ht="19.2" x14ac:dyDescent="0.4">
      <c r="A10" s="6" t="s">
        <v>134</v>
      </c>
      <c r="B10" s="7" t="s">
        <v>74</v>
      </c>
      <c r="C10" s="7">
        <v>178856</v>
      </c>
      <c r="D10" s="8"/>
      <c r="E10" s="7" t="s">
        <v>15</v>
      </c>
      <c r="F10" s="7" t="s">
        <v>16</v>
      </c>
      <c r="G10" s="7" t="s">
        <v>12</v>
      </c>
      <c r="H10" s="9" t="s">
        <v>13</v>
      </c>
      <c r="I10" s="9" t="s">
        <v>75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16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32</v>
      </c>
      <c r="AF10" s="10">
        <v>3100</v>
      </c>
      <c r="AG10" s="9">
        <v>100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8</v>
      </c>
      <c r="AS10" s="9">
        <v>800</v>
      </c>
      <c r="AT10" s="9">
        <v>0</v>
      </c>
      <c r="AU10" s="11">
        <v>4000</v>
      </c>
      <c r="AV10" s="17">
        <f t="shared" si="0"/>
        <v>4000</v>
      </c>
      <c r="AW10" s="1">
        <f t="shared" si="1"/>
        <v>2800</v>
      </c>
    </row>
    <row r="11" spans="1:49" ht="19.2" x14ac:dyDescent="0.4">
      <c r="A11" s="6" t="s">
        <v>134</v>
      </c>
      <c r="B11" s="7" t="s">
        <v>67</v>
      </c>
      <c r="C11" s="7">
        <v>445688</v>
      </c>
      <c r="D11" s="8"/>
      <c r="E11" s="7" t="s">
        <v>15</v>
      </c>
      <c r="F11" s="7" t="s">
        <v>68</v>
      </c>
      <c r="G11" s="7" t="s">
        <v>12</v>
      </c>
      <c r="H11" s="9" t="s">
        <v>8</v>
      </c>
      <c r="I11" s="9" t="s">
        <v>111</v>
      </c>
      <c r="J11" s="9">
        <v>0</v>
      </c>
      <c r="K11" s="9">
        <v>92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23</v>
      </c>
      <c r="AF11" s="10">
        <v>1800</v>
      </c>
      <c r="AG11" s="9">
        <v>500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9</v>
      </c>
      <c r="AS11" s="9">
        <v>900</v>
      </c>
      <c r="AT11" s="9">
        <v>0</v>
      </c>
      <c r="AU11" s="11">
        <v>3200</v>
      </c>
      <c r="AV11" s="17">
        <f t="shared" si="0"/>
        <v>3200</v>
      </c>
      <c r="AW11" s="1">
        <f t="shared" si="1"/>
        <v>2240</v>
      </c>
    </row>
    <row r="12" spans="1:49" ht="19.2" x14ac:dyDescent="0.4">
      <c r="A12" s="6" t="s">
        <v>134</v>
      </c>
      <c r="B12" s="7" t="s">
        <v>60</v>
      </c>
      <c r="C12" s="7">
        <v>442274</v>
      </c>
      <c r="D12" s="8"/>
      <c r="E12" s="7" t="s">
        <v>15</v>
      </c>
      <c r="F12" s="7" t="s">
        <v>61</v>
      </c>
      <c r="G12" s="7" t="s">
        <v>12</v>
      </c>
      <c r="H12" s="9" t="s">
        <v>8</v>
      </c>
      <c r="I12" s="9" t="s">
        <v>112</v>
      </c>
      <c r="J12" s="9">
        <v>0</v>
      </c>
      <c r="K12" s="9">
        <v>54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22</v>
      </c>
      <c r="AF12" s="10">
        <v>2200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1</v>
      </c>
      <c r="AS12" s="9">
        <v>100</v>
      </c>
      <c r="AT12" s="9">
        <v>0</v>
      </c>
      <c r="AU12" s="11">
        <v>2300</v>
      </c>
      <c r="AV12" s="17">
        <f t="shared" si="0"/>
        <v>2300</v>
      </c>
      <c r="AW12" s="1">
        <f t="shared" si="1"/>
        <v>1610</v>
      </c>
    </row>
    <row r="13" spans="1:49" ht="19.2" x14ac:dyDescent="0.4">
      <c r="A13" s="6" t="s">
        <v>134</v>
      </c>
      <c r="B13" s="7" t="s">
        <v>103</v>
      </c>
      <c r="C13" s="7">
        <v>458561</v>
      </c>
      <c r="D13" s="8"/>
      <c r="E13" s="7" t="s">
        <v>15</v>
      </c>
      <c r="F13" s="7" t="s">
        <v>16</v>
      </c>
      <c r="G13" s="7" t="s">
        <v>12</v>
      </c>
      <c r="H13" s="9" t="s">
        <v>8</v>
      </c>
      <c r="I13" s="9" t="s">
        <v>102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11</v>
      </c>
      <c r="AF13" s="10">
        <v>1100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5</v>
      </c>
      <c r="AS13" s="9">
        <v>500</v>
      </c>
      <c r="AT13" s="9">
        <v>0</v>
      </c>
      <c r="AU13" s="11">
        <v>1600</v>
      </c>
      <c r="AV13" s="17">
        <f t="shared" si="0"/>
        <v>1600</v>
      </c>
      <c r="AW13" s="1">
        <f t="shared" si="1"/>
        <v>1120</v>
      </c>
    </row>
    <row r="14" spans="1:49" ht="19.2" x14ac:dyDescent="0.4">
      <c r="A14" s="6" t="s">
        <v>134</v>
      </c>
      <c r="B14" s="7" t="s">
        <v>90</v>
      </c>
      <c r="C14" s="7">
        <v>406872</v>
      </c>
      <c r="D14" s="8"/>
      <c r="E14" s="7" t="s">
        <v>15</v>
      </c>
      <c r="F14" s="7" t="s">
        <v>91</v>
      </c>
      <c r="G14" s="7" t="s">
        <v>12</v>
      </c>
      <c r="H14" s="9" t="s">
        <v>13</v>
      </c>
      <c r="I14" s="9" t="s">
        <v>92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16</v>
      </c>
      <c r="AF14" s="10">
        <v>1600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11">
        <v>1600</v>
      </c>
      <c r="AV14" s="17">
        <f t="shared" si="0"/>
        <v>1600</v>
      </c>
      <c r="AW14" s="1">
        <f t="shared" si="1"/>
        <v>1120</v>
      </c>
    </row>
    <row r="15" spans="1:49" ht="19.2" x14ac:dyDescent="0.4">
      <c r="A15" s="6" t="s">
        <v>134</v>
      </c>
      <c r="B15" s="7" t="s">
        <v>86</v>
      </c>
      <c r="C15" s="7">
        <v>423328</v>
      </c>
      <c r="D15" s="8"/>
      <c r="E15" s="7" t="s">
        <v>15</v>
      </c>
      <c r="F15" s="7" t="s">
        <v>16</v>
      </c>
      <c r="G15" s="7" t="s">
        <v>12</v>
      </c>
      <c r="H15" s="9" t="s">
        <v>8</v>
      </c>
      <c r="I15" s="9" t="s">
        <v>87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15</v>
      </c>
      <c r="AF15" s="10">
        <v>1500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11">
        <v>1500</v>
      </c>
      <c r="AV15" s="17">
        <f t="shared" si="0"/>
        <v>1500</v>
      </c>
      <c r="AW15" s="1">
        <f t="shared" si="1"/>
        <v>1050</v>
      </c>
    </row>
    <row r="16" spans="1:49" ht="19.2" x14ac:dyDescent="0.4">
      <c r="A16" s="6" t="s">
        <v>134</v>
      </c>
      <c r="B16" s="7" t="s">
        <v>23</v>
      </c>
      <c r="C16" s="7">
        <v>321812</v>
      </c>
      <c r="D16" s="8"/>
      <c r="E16" s="7" t="s">
        <v>15</v>
      </c>
      <c r="F16" s="7" t="s">
        <v>16</v>
      </c>
      <c r="G16" s="7" t="s">
        <v>12</v>
      </c>
      <c r="H16" s="9" t="s">
        <v>8</v>
      </c>
      <c r="I16" s="9" t="s">
        <v>24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13</v>
      </c>
      <c r="AF16" s="10">
        <v>1300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1</v>
      </c>
      <c r="AS16" s="9">
        <v>100</v>
      </c>
      <c r="AT16" s="9">
        <v>0</v>
      </c>
      <c r="AU16" s="11">
        <v>1400</v>
      </c>
      <c r="AV16" s="17">
        <f t="shared" si="0"/>
        <v>1400</v>
      </c>
      <c r="AW16" s="1">
        <f t="shared" si="1"/>
        <v>979.99999999999989</v>
      </c>
    </row>
    <row r="17" spans="1:49" ht="19.2" x14ac:dyDescent="0.4">
      <c r="A17" s="6" t="s">
        <v>134</v>
      </c>
      <c r="B17" s="7" t="s">
        <v>69</v>
      </c>
      <c r="C17" s="7">
        <v>429621</v>
      </c>
      <c r="D17" s="8"/>
      <c r="E17" s="7" t="s">
        <v>15</v>
      </c>
      <c r="F17" s="7" t="s">
        <v>70</v>
      </c>
      <c r="G17" s="7" t="s">
        <v>12</v>
      </c>
      <c r="H17" s="9" t="s">
        <v>11</v>
      </c>
      <c r="I17" s="9" t="s">
        <v>71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11</v>
      </c>
      <c r="AF17" s="10">
        <v>1100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11">
        <v>1100</v>
      </c>
      <c r="AV17" s="17">
        <f t="shared" si="0"/>
        <v>1100</v>
      </c>
      <c r="AW17" s="1">
        <f t="shared" si="1"/>
        <v>770</v>
      </c>
    </row>
    <row r="18" spans="1:49" ht="19.2" x14ac:dyDescent="0.4">
      <c r="A18" s="6" t="s">
        <v>134</v>
      </c>
      <c r="B18" s="7" t="s">
        <v>19</v>
      </c>
      <c r="C18" s="7">
        <v>387417</v>
      </c>
      <c r="D18" s="8"/>
      <c r="E18" s="7" t="s">
        <v>15</v>
      </c>
      <c r="F18" s="7" t="s">
        <v>20</v>
      </c>
      <c r="G18" s="7" t="s">
        <v>12</v>
      </c>
      <c r="H18" s="9" t="s">
        <v>8</v>
      </c>
      <c r="I18" s="9" t="s">
        <v>21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6</v>
      </c>
      <c r="AF18" s="9">
        <v>500</v>
      </c>
      <c r="AG18" s="9">
        <v>100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1</v>
      </c>
      <c r="AS18" s="9">
        <v>100</v>
      </c>
      <c r="AT18" s="9">
        <v>0</v>
      </c>
      <c r="AU18" s="12">
        <v>700</v>
      </c>
      <c r="AV18" s="17">
        <f t="shared" si="0"/>
        <v>700</v>
      </c>
      <c r="AW18" s="1">
        <f t="shared" si="1"/>
        <v>489.99999999999994</v>
      </c>
    </row>
    <row r="19" spans="1:49" ht="19.2" x14ac:dyDescent="0.4">
      <c r="A19" s="6" t="s">
        <v>134</v>
      </c>
      <c r="B19" s="7" t="s">
        <v>14</v>
      </c>
      <c r="C19" s="7">
        <v>369220</v>
      </c>
      <c r="D19" s="8"/>
      <c r="E19" s="7" t="s">
        <v>15</v>
      </c>
      <c r="F19" s="7" t="s">
        <v>16</v>
      </c>
      <c r="G19" s="7" t="s">
        <v>12</v>
      </c>
      <c r="H19" s="9" t="s">
        <v>8</v>
      </c>
      <c r="I19" s="9" t="s">
        <v>45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4</v>
      </c>
      <c r="AF19" s="9">
        <v>400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3</v>
      </c>
      <c r="AS19" s="9">
        <v>300</v>
      </c>
      <c r="AT19" s="9">
        <v>0</v>
      </c>
      <c r="AU19" s="12">
        <v>700</v>
      </c>
      <c r="AV19" s="17">
        <f t="shared" si="0"/>
        <v>700</v>
      </c>
      <c r="AW19" s="1">
        <f t="shared" si="1"/>
        <v>489.99999999999994</v>
      </c>
    </row>
    <row r="20" spans="1:49" ht="19.2" x14ac:dyDescent="0.4">
      <c r="A20" s="6" t="s">
        <v>134</v>
      </c>
      <c r="B20" s="7" t="s">
        <v>80</v>
      </c>
      <c r="C20" s="7">
        <v>428319</v>
      </c>
      <c r="D20" s="8"/>
      <c r="E20" s="7" t="s">
        <v>15</v>
      </c>
      <c r="F20" s="7" t="s">
        <v>79</v>
      </c>
      <c r="G20" s="7" t="s">
        <v>12</v>
      </c>
      <c r="H20" s="9" t="s">
        <v>8</v>
      </c>
      <c r="I20" s="9" t="s">
        <v>46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6</v>
      </c>
      <c r="AF20" s="9">
        <v>600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12">
        <v>600</v>
      </c>
      <c r="AV20" s="17">
        <f t="shared" si="0"/>
        <v>600</v>
      </c>
      <c r="AW20" s="1">
        <f t="shared" si="1"/>
        <v>420</v>
      </c>
    </row>
    <row r="21" spans="1:49" ht="28.8" x14ac:dyDescent="0.4">
      <c r="A21" s="6" t="s">
        <v>134</v>
      </c>
      <c r="B21" s="7" t="s">
        <v>54</v>
      </c>
      <c r="C21" s="7">
        <v>219203</v>
      </c>
      <c r="D21" s="8"/>
      <c r="E21" s="7" t="s">
        <v>15</v>
      </c>
      <c r="F21" s="7" t="s">
        <v>55</v>
      </c>
      <c r="G21" s="7" t="s">
        <v>12</v>
      </c>
      <c r="H21" s="9" t="s">
        <v>8</v>
      </c>
      <c r="I21" s="9" t="s">
        <v>56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3</v>
      </c>
      <c r="AC21" s="9">
        <v>300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1</v>
      </c>
      <c r="AS21" s="9">
        <v>300</v>
      </c>
      <c r="AT21" s="9">
        <v>0</v>
      </c>
      <c r="AU21" s="12">
        <v>600</v>
      </c>
      <c r="AV21" s="17">
        <f t="shared" si="0"/>
        <v>600</v>
      </c>
      <c r="AW21" s="1">
        <f t="shared" si="1"/>
        <v>420</v>
      </c>
    </row>
    <row r="22" spans="1:49" ht="19.2" x14ac:dyDescent="0.4">
      <c r="A22" s="6" t="s">
        <v>134</v>
      </c>
      <c r="B22" s="7" t="s">
        <v>115</v>
      </c>
      <c r="C22" s="7">
        <v>382640</v>
      </c>
      <c r="D22" s="8"/>
      <c r="E22" s="7" t="s">
        <v>15</v>
      </c>
      <c r="F22" s="7" t="s">
        <v>116</v>
      </c>
      <c r="G22" s="7" t="s">
        <v>12</v>
      </c>
      <c r="H22" s="9" t="s">
        <v>8</v>
      </c>
      <c r="I22" s="9" t="s">
        <v>117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5</v>
      </c>
      <c r="AF22" s="9">
        <v>0</v>
      </c>
      <c r="AG22" s="9">
        <v>500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12">
        <v>500</v>
      </c>
      <c r="AV22" s="17">
        <f t="shared" si="0"/>
        <v>500</v>
      </c>
      <c r="AW22" s="1">
        <f t="shared" si="1"/>
        <v>350</v>
      </c>
    </row>
    <row r="23" spans="1:49" ht="19.2" x14ac:dyDescent="0.4">
      <c r="A23" s="6" t="s">
        <v>134</v>
      </c>
      <c r="B23" s="7" t="s">
        <v>118</v>
      </c>
      <c r="C23" s="7">
        <v>351033</v>
      </c>
      <c r="D23" s="8" t="s">
        <v>119</v>
      </c>
      <c r="E23" s="7" t="s">
        <v>15</v>
      </c>
      <c r="F23" s="7" t="s">
        <v>16</v>
      </c>
      <c r="G23" s="7" t="s">
        <v>12</v>
      </c>
      <c r="H23" s="9" t="s">
        <v>8</v>
      </c>
      <c r="I23" s="9" t="s">
        <v>120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4</v>
      </c>
      <c r="AF23" s="9">
        <v>400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12">
        <v>400</v>
      </c>
      <c r="AV23" s="17">
        <f t="shared" si="0"/>
        <v>400</v>
      </c>
      <c r="AW23" s="1">
        <f t="shared" si="1"/>
        <v>280</v>
      </c>
    </row>
    <row r="24" spans="1:49" ht="19.2" x14ac:dyDescent="0.4">
      <c r="A24" s="6" t="s">
        <v>134</v>
      </c>
      <c r="B24" s="7" t="s">
        <v>58</v>
      </c>
      <c r="C24" s="7">
        <v>371774</v>
      </c>
      <c r="D24" s="8"/>
      <c r="E24" s="7" t="s">
        <v>15</v>
      </c>
      <c r="F24" s="7" t="s">
        <v>51</v>
      </c>
      <c r="G24" s="7" t="s">
        <v>12</v>
      </c>
      <c r="H24" s="9" t="s">
        <v>8</v>
      </c>
      <c r="I24" s="9" t="s">
        <v>59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2</v>
      </c>
      <c r="AF24" s="9">
        <v>100</v>
      </c>
      <c r="AG24" s="9">
        <v>100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12">
        <v>200</v>
      </c>
      <c r="AV24" s="17">
        <f t="shared" si="0"/>
        <v>200</v>
      </c>
      <c r="AW24" s="1">
        <f t="shared" si="1"/>
        <v>140</v>
      </c>
    </row>
    <row r="25" spans="1:49" ht="19.2" x14ac:dyDescent="0.4">
      <c r="A25" s="6" t="s">
        <v>134</v>
      </c>
      <c r="B25" s="7" t="s">
        <v>121</v>
      </c>
      <c r="C25" s="7">
        <v>388999</v>
      </c>
      <c r="D25" s="8"/>
      <c r="E25" s="7" t="s">
        <v>15</v>
      </c>
      <c r="F25" s="7" t="s">
        <v>20</v>
      </c>
      <c r="G25" s="7" t="s">
        <v>12</v>
      </c>
      <c r="H25" s="9" t="s">
        <v>8</v>
      </c>
      <c r="I25" s="9" t="s">
        <v>122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2</v>
      </c>
      <c r="AF25" s="9">
        <v>200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12">
        <v>200</v>
      </c>
      <c r="AV25" s="17">
        <f t="shared" si="0"/>
        <v>200</v>
      </c>
      <c r="AW25" s="1">
        <f t="shared" si="1"/>
        <v>140</v>
      </c>
    </row>
    <row r="26" spans="1:49" ht="19.2" x14ac:dyDescent="0.4">
      <c r="A26" s="6" t="s">
        <v>134</v>
      </c>
      <c r="B26" s="7" t="s">
        <v>123</v>
      </c>
      <c r="C26" s="7">
        <v>335995</v>
      </c>
      <c r="D26" s="8"/>
      <c r="E26" s="7" t="s">
        <v>15</v>
      </c>
      <c r="F26" s="7" t="s">
        <v>51</v>
      </c>
      <c r="G26" s="7" t="s">
        <v>12</v>
      </c>
      <c r="H26" s="9" t="s">
        <v>8</v>
      </c>
      <c r="I26" s="9" t="s">
        <v>124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1</v>
      </c>
      <c r="AS26" s="9">
        <v>100</v>
      </c>
      <c r="AT26" s="9">
        <v>0</v>
      </c>
      <c r="AU26" s="12">
        <v>100</v>
      </c>
      <c r="AV26" s="17">
        <f t="shared" si="0"/>
        <v>100</v>
      </c>
      <c r="AW26" s="1">
        <f t="shared" si="1"/>
        <v>70</v>
      </c>
    </row>
    <row r="27" spans="1:49" ht="19.2" x14ac:dyDescent="0.4">
      <c r="A27" s="6" t="s">
        <v>134</v>
      </c>
      <c r="B27" s="7" t="s">
        <v>105</v>
      </c>
      <c r="C27" s="7">
        <v>433508</v>
      </c>
      <c r="D27" s="8"/>
      <c r="E27" s="7" t="s">
        <v>15</v>
      </c>
      <c r="F27" s="7" t="s">
        <v>106</v>
      </c>
      <c r="G27" s="7" t="s">
        <v>12</v>
      </c>
      <c r="H27" s="9" t="s">
        <v>8</v>
      </c>
      <c r="I27" s="9" t="s">
        <v>107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100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12">
        <v>100</v>
      </c>
      <c r="AV27" s="17">
        <f t="shared" si="0"/>
        <v>100</v>
      </c>
      <c r="AW27" s="1">
        <f t="shared" si="1"/>
        <v>70</v>
      </c>
    </row>
    <row r="28" spans="1:49" ht="19.2" x14ac:dyDescent="0.4">
      <c r="A28" s="6" t="s">
        <v>134</v>
      </c>
      <c r="B28" s="7" t="s">
        <v>98</v>
      </c>
      <c r="C28" s="7">
        <v>434847</v>
      </c>
      <c r="D28" s="8"/>
      <c r="E28" s="7" t="s">
        <v>15</v>
      </c>
      <c r="F28" s="7" t="s">
        <v>99</v>
      </c>
      <c r="G28" s="7" t="s">
        <v>12</v>
      </c>
      <c r="H28" s="9" t="s">
        <v>8</v>
      </c>
      <c r="I28" s="9" t="s">
        <v>100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9">
        <v>100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12">
        <v>100</v>
      </c>
      <c r="AV28" s="17">
        <f t="shared" si="0"/>
        <v>100</v>
      </c>
      <c r="AW28" s="1">
        <f t="shared" si="1"/>
        <v>70</v>
      </c>
    </row>
    <row r="29" spans="1:49" ht="19.2" x14ac:dyDescent="0.4">
      <c r="A29" s="6" t="s">
        <v>134</v>
      </c>
      <c r="B29" s="7" t="s">
        <v>125</v>
      </c>
      <c r="C29" s="7">
        <v>157002</v>
      </c>
      <c r="D29" s="8" t="s">
        <v>126</v>
      </c>
      <c r="E29" s="7" t="s">
        <v>15</v>
      </c>
      <c r="F29" s="7" t="s">
        <v>16</v>
      </c>
      <c r="G29" s="7" t="s">
        <v>12</v>
      </c>
      <c r="H29" s="9" t="s">
        <v>8</v>
      </c>
      <c r="I29" s="9" t="s">
        <v>127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100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12">
        <v>100</v>
      </c>
      <c r="AV29" s="17">
        <f t="shared" si="0"/>
        <v>100</v>
      </c>
      <c r="AW29" s="1">
        <f t="shared" si="1"/>
        <v>70</v>
      </c>
    </row>
    <row r="30" spans="1:49" ht="19.2" x14ac:dyDescent="0.4">
      <c r="A30" s="6" t="s">
        <v>134</v>
      </c>
      <c r="B30" s="7" t="s">
        <v>52</v>
      </c>
      <c r="C30" s="7">
        <v>434558</v>
      </c>
      <c r="D30" s="8"/>
      <c r="E30" s="7" t="s">
        <v>15</v>
      </c>
      <c r="F30" s="7" t="s">
        <v>53</v>
      </c>
      <c r="G30" s="7" t="s">
        <v>12</v>
      </c>
      <c r="H30" s="9" t="s">
        <v>8</v>
      </c>
      <c r="I30" s="9" t="s">
        <v>76</v>
      </c>
      <c r="J30" s="9">
        <v>0</v>
      </c>
      <c r="K30" s="9">
        <v>7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</v>
      </c>
      <c r="AF30" s="9">
        <v>100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12">
        <v>100</v>
      </c>
      <c r="AV30" s="17">
        <f t="shared" si="0"/>
        <v>100</v>
      </c>
      <c r="AW30" s="1">
        <f t="shared" si="1"/>
        <v>70</v>
      </c>
    </row>
    <row r="31" spans="1:49" ht="19.2" x14ac:dyDescent="0.4">
      <c r="A31" s="6" t="s">
        <v>134</v>
      </c>
      <c r="B31" s="7" t="s">
        <v>128</v>
      </c>
      <c r="C31" s="7">
        <v>440303</v>
      </c>
      <c r="D31" s="8"/>
      <c r="E31" s="7" t="s">
        <v>15</v>
      </c>
      <c r="F31" s="7" t="s">
        <v>129</v>
      </c>
      <c r="G31" s="7" t="s">
        <v>12</v>
      </c>
      <c r="H31" s="9" t="s">
        <v>8</v>
      </c>
      <c r="I31" s="9" t="s">
        <v>130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</v>
      </c>
      <c r="AF31" s="9">
        <v>100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12">
        <v>100</v>
      </c>
      <c r="AV31" s="17">
        <f t="shared" si="0"/>
        <v>100</v>
      </c>
      <c r="AW31" s="1">
        <f t="shared" si="1"/>
        <v>70</v>
      </c>
    </row>
    <row r="32" spans="1:49" ht="19.2" x14ac:dyDescent="0.4">
      <c r="A32" s="6" t="s">
        <v>134</v>
      </c>
      <c r="B32" s="7" t="s">
        <v>49</v>
      </c>
      <c r="C32" s="7">
        <v>425414</v>
      </c>
      <c r="D32" s="8"/>
      <c r="E32" s="7" t="s">
        <v>15</v>
      </c>
      <c r="F32" s="7" t="s">
        <v>50</v>
      </c>
      <c r="G32" s="7" t="s">
        <v>12</v>
      </c>
      <c r="H32" s="9" t="s">
        <v>8</v>
      </c>
      <c r="I32" s="9" t="s">
        <v>57</v>
      </c>
      <c r="J32" s="9">
        <v>0</v>
      </c>
      <c r="K32" s="9">
        <v>1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12">
        <v>0</v>
      </c>
      <c r="AV32" s="17">
        <f t="shared" si="0"/>
        <v>0</v>
      </c>
      <c r="AW32" s="1">
        <f t="shared" si="1"/>
        <v>0</v>
      </c>
    </row>
    <row r="33" spans="1:49" ht="19.2" x14ac:dyDescent="0.4">
      <c r="A33" s="6" t="s">
        <v>134</v>
      </c>
      <c r="B33" s="7" t="s">
        <v>131</v>
      </c>
      <c r="C33" s="7">
        <v>386960</v>
      </c>
      <c r="D33" s="8"/>
      <c r="E33" s="7" t="s">
        <v>15</v>
      </c>
      <c r="F33" s="7" t="s">
        <v>132</v>
      </c>
      <c r="G33" s="7" t="s">
        <v>12</v>
      </c>
      <c r="H33" s="9" t="s">
        <v>8</v>
      </c>
      <c r="I33" s="9" t="s">
        <v>133</v>
      </c>
      <c r="J33" s="9">
        <v>0</v>
      </c>
      <c r="K33" s="9">
        <v>1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12">
        <v>0</v>
      </c>
      <c r="AV33" s="17">
        <f t="shared" si="0"/>
        <v>0</v>
      </c>
      <c r="AW33" s="1">
        <f t="shared" si="1"/>
        <v>0</v>
      </c>
    </row>
    <row r="34" spans="1:49" ht="19.2" x14ac:dyDescent="0.4">
      <c r="A34" s="6" t="s">
        <v>139</v>
      </c>
      <c r="B34" s="7" t="s">
        <v>74</v>
      </c>
      <c r="C34" s="7">
        <v>178856</v>
      </c>
      <c r="D34" s="8"/>
      <c r="E34" s="7" t="s">
        <v>15</v>
      </c>
      <c r="F34" s="7" t="s">
        <v>16</v>
      </c>
      <c r="G34" s="7" t="s">
        <v>12</v>
      </c>
      <c r="H34" s="9" t="s">
        <v>13</v>
      </c>
      <c r="I34" s="9" t="s">
        <v>75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1</v>
      </c>
      <c r="T34" s="9">
        <v>295</v>
      </c>
      <c r="U34" s="9">
        <v>0</v>
      </c>
      <c r="V34" s="9">
        <v>100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10">
        <v>1684</v>
      </c>
      <c r="AF34" s="10">
        <v>159000</v>
      </c>
      <c r="AG34" s="10">
        <v>9400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483</v>
      </c>
      <c r="AS34" s="10">
        <v>46900</v>
      </c>
      <c r="AT34" s="10">
        <v>1400</v>
      </c>
      <c r="AU34" s="11">
        <v>216800</v>
      </c>
      <c r="AV34" s="17">
        <f t="shared" si="0"/>
        <v>216800</v>
      </c>
      <c r="AW34" s="1">
        <f t="shared" si="1"/>
        <v>151760</v>
      </c>
    </row>
    <row r="35" spans="1:49" ht="19.2" x14ac:dyDescent="0.4">
      <c r="A35" s="6" t="s">
        <v>139</v>
      </c>
      <c r="B35" s="7" t="s">
        <v>17</v>
      </c>
      <c r="C35" s="7">
        <v>414278</v>
      </c>
      <c r="D35" s="8"/>
      <c r="E35" s="7" t="s">
        <v>15</v>
      </c>
      <c r="F35" s="7" t="s">
        <v>9</v>
      </c>
      <c r="G35" s="7" t="s">
        <v>12</v>
      </c>
      <c r="H35" s="9" t="s">
        <v>11</v>
      </c>
      <c r="I35" s="9" t="s">
        <v>44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51</v>
      </c>
      <c r="AF35" s="10">
        <v>150400</v>
      </c>
      <c r="AG35" s="10">
        <v>12800</v>
      </c>
      <c r="AH35" s="9">
        <v>0</v>
      </c>
      <c r="AI35" s="9">
        <v>0</v>
      </c>
      <c r="AJ35" s="9">
        <v>0</v>
      </c>
      <c r="AK35" s="9">
        <v>1</v>
      </c>
      <c r="AL35" s="10">
        <v>3840</v>
      </c>
      <c r="AM35" s="9">
        <v>0</v>
      </c>
      <c r="AN35" s="18">
        <v>1152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11">
        <v>167040</v>
      </c>
      <c r="AV35" s="17">
        <f t="shared" si="0"/>
        <v>165888</v>
      </c>
      <c r="AW35" s="1">
        <f t="shared" si="1"/>
        <v>116121.59999999999</v>
      </c>
    </row>
    <row r="36" spans="1:49" ht="19.2" x14ac:dyDescent="0.4">
      <c r="A36" s="6" t="s">
        <v>139</v>
      </c>
      <c r="B36" s="7" t="s">
        <v>14</v>
      </c>
      <c r="C36" s="7">
        <v>369220</v>
      </c>
      <c r="D36" s="8"/>
      <c r="E36" s="7" t="s">
        <v>15</v>
      </c>
      <c r="F36" s="7" t="s">
        <v>16</v>
      </c>
      <c r="G36" s="7" t="s">
        <v>12</v>
      </c>
      <c r="H36" s="9" t="s">
        <v>8</v>
      </c>
      <c r="I36" s="9" t="s">
        <v>45</v>
      </c>
      <c r="J36" s="9">
        <v>0</v>
      </c>
      <c r="K36" s="9">
        <v>11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8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686</v>
      </c>
      <c r="AF36" s="10">
        <v>68100</v>
      </c>
      <c r="AG36" s="9">
        <v>500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660</v>
      </c>
      <c r="AS36" s="10">
        <v>65600</v>
      </c>
      <c r="AT36" s="9">
        <v>400</v>
      </c>
      <c r="AU36" s="11">
        <v>134600</v>
      </c>
      <c r="AV36" s="17">
        <f t="shared" si="0"/>
        <v>134600</v>
      </c>
      <c r="AW36" s="1">
        <f t="shared" si="1"/>
        <v>94220</v>
      </c>
    </row>
    <row r="37" spans="1:49" ht="19.2" x14ac:dyDescent="0.4">
      <c r="A37" s="6" t="s">
        <v>139</v>
      </c>
      <c r="B37" s="7" t="s">
        <v>83</v>
      </c>
      <c r="C37" s="7">
        <v>449889</v>
      </c>
      <c r="D37" s="8"/>
      <c r="E37" s="7" t="s">
        <v>15</v>
      </c>
      <c r="F37" s="7" t="s">
        <v>84</v>
      </c>
      <c r="G37" s="7" t="s">
        <v>12</v>
      </c>
      <c r="H37" s="9" t="s">
        <v>8</v>
      </c>
      <c r="I37" s="9" t="s">
        <v>112</v>
      </c>
      <c r="J37" s="9">
        <v>24</v>
      </c>
      <c r="K37" s="9">
        <v>89</v>
      </c>
      <c r="L37" s="10">
        <v>2400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632</v>
      </c>
      <c r="AF37" s="10">
        <v>52400</v>
      </c>
      <c r="AG37" s="10">
        <v>10800</v>
      </c>
      <c r="AH37" s="9">
        <v>0</v>
      </c>
      <c r="AI37" s="9">
        <v>0</v>
      </c>
      <c r="AJ37" s="9">
        <v>0</v>
      </c>
      <c r="AK37" s="9">
        <v>1</v>
      </c>
      <c r="AL37" s="9">
        <v>120</v>
      </c>
      <c r="AM37" s="9">
        <v>0</v>
      </c>
      <c r="AN37" s="9">
        <v>36</v>
      </c>
      <c r="AO37" s="9">
        <v>0</v>
      </c>
      <c r="AP37" s="9">
        <v>0</v>
      </c>
      <c r="AQ37" s="9">
        <v>0</v>
      </c>
      <c r="AR37" s="9">
        <v>399</v>
      </c>
      <c r="AS37" s="10">
        <v>38600</v>
      </c>
      <c r="AT37" s="10">
        <v>1300</v>
      </c>
      <c r="AU37" s="11">
        <v>105620</v>
      </c>
      <c r="AV37" s="17">
        <f t="shared" si="0"/>
        <v>105584</v>
      </c>
      <c r="AW37" s="1">
        <f t="shared" si="1"/>
        <v>73908.799999999988</v>
      </c>
    </row>
    <row r="38" spans="1:49" ht="19.2" x14ac:dyDescent="0.4">
      <c r="A38" s="6" t="s">
        <v>139</v>
      </c>
      <c r="B38" s="7" t="s">
        <v>67</v>
      </c>
      <c r="C38" s="7">
        <v>445688</v>
      </c>
      <c r="D38" s="8"/>
      <c r="E38" s="7" t="s">
        <v>15</v>
      </c>
      <c r="F38" s="7" t="s">
        <v>68</v>
      </c>
      <c r="G38" s="7" t="s">
        <v>12</v>
      </c>
      <c r="H38" s="9" t="s">
        <v>8</v>
      </c>
      <c r="I38" s="9" t="s">
        <v>111</v>
      </c>
      <c r="J38" s="9">
        <v>0</v>
      </c>
      <c r="K38" s="9">
        <v>11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445</v>
      </c>
      <c r="AF38" s="10">
        <v>41000</v>
      </c>
      <c r="AG38" s="10">
        <v>3500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365</v>
      </c>
      <c r="AS38" s="10">
        <v>34500</v>
      </c>
      <c r="AT38" s="10">
        <v>2000</v>
      </c>
      <c r="AU38" s="11">
        <v>81000</v>
      </c>
      <c r="AV38" s="17">
        <f t="shared" si="0"/>
        <v>81000</v>
      </c>
      <c r="AW38" s="1">
        <f t="shared" si="1"/>
        <v>56700</v>
      </c>
    </row>
    <row r="39" spans="1:49" ht="19.2" x14ac:dyDescent="0.4">
      <c r="A39" s="6" t="s">
        <v>139</v>
      </c>
      <c r="B39" s="7" t="s">
        <v>101</v>
      </c>
      <c r="C39" s="7">
        <v>458568</v>
      </c>
      <c r="D39" s="8"/>
      <c r="E39" s="7" t="s">
        <v>15</v>
      </c>
      <c r="F39" s="7" t="s">
        <v>16</v>
      </c>
      <c r="G39" s="7" t="s">
        <v>12</v>
      </c>
      <c r="H39" s="9" t="s">
        <v>8</v>
      </c>
      <c r="I39" s="9" t="s">
        <v>102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22</v>
      </c>
      <c r="AF39" s="10">
        <v>67200</v>
      </c>
      <c r="AG39" s="10">
        <v>3200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11">
        <v>70400</v>
      </c>
      <c r="AV39" s="17">
        <f t="shared" si="0"/>
        <v>70400</v>
      </c>
      <c r="AW39" s="1">
        <f t="shared" si="1"/>
        <v>49280</v>
      </c>
    </row>
    <row r="40" spans="1:49" ht="19.2" x14ac:dyDescent="0.4">
      <c r="A40" s="6" t="s">
        <v>139</v>
      </c>
      <c r="B40" s="7" t="s">
        <v>96</v>
      </c>
      <c r="C40" s="7">
        <v>454534</v>
      </c>
      <c r="D40" s="8"/>
      <c r="E40" s="7" t="s">
        <v>15</v>
      </c>
      <c r="F40" s="7" t="s">
        <v>97</v>
      </c>
      <c r="G40" s="7" t="s">
        <v>12</v>
      </c>
      <c r="H40" s="9" t="s">
        <v>8</v>
      </c>
      <c r="I40" s="9" t="s">
        <v>111</v>
      </c>
      <c r="J40" s="9">
        <v>113</v>
      </c>
      <c r="K40" s="9">
        <v>8</v>
      </c>
      <c r="L40" s="10">
        <v>11300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374</v>
      </c>
      <c r="AF40" s="10">
        <v>31500</v>
      </c>
      <c r="AG40" s="10">
        <v>5900</v>
      </c>
      <c r="AH40" s="9">
        <v>0</v>
      </c>
      <c r="AI40" s="9">
        <v>0</v>
      </c>
      <c r="AJ40" s="9">
        <v>0</v>
      </c>
      <c r="AK40" s="9">
        <v>20</v>
      </c>
      <c r="AL40" s="10">
        <v>2400</v>
      </c>
      <c r="AM40" s="9">
        <v>0</v>
      </c>
      <c r="AN40" s="9">
        <v>720</v>
      </c>
      <c r="AO40" s="9">
        <v>0</v>
      </c>
      <c r="AP40" s="9">
        <v>0</v>
      </c>
      <c r="AQ40" s="9">
        <v>0</v>
      </c>
      <c r="AR40" s="9">
        <v>54</v>
      </c>
      <c r="AS40" s="10">
        <v>5400</v>
      </c>
      <c r="AT40" s="9">
        <v>0</v>
      </c>
      <c r="AU40" s="11">
        <v>56500</v>
      </c>
      <c r="AV40" s="17">
        <f t="shared" si="0"/>
        <v>55780</v>
      </c>
      <c r="AW40" s="1">
        <f t="shared" si="1"/>
        <v>39046</v>
      </c>
    </row>
    <row r="41" spans="1:49" ht="19.2" x14ac:dyDescent="0.4">
      <c r="A41" s="6" t="s">
        <v>139</v>
      </c>
      <c r="B41" s="7" t="s">
        <v>110</v>
      </c>
      <c r="C41" s="7">
        <v>458566</v>
      </c>
      <c r="D41" s="8"/>
      <c r="E41" s="7" t="s">
        <v>15</v>
      </c>
      <c r="F41" s="7" t="s">
        <v>16</v>
      </c>
      <c r="G41" s="7" t="s">
        <v>12</v>
      </c>
      <c r="H41" s="9" t="s">
        <v>8</v>
      </c>
      <c r="I41" s="9" t="s">
        <v>102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11</v>
      </c>
      <c r="AF41" s="10">
        <v>35200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2</v>
      </c>
      <c r="AS41" s="10">
        <v>6000</v>
      </c>
      <c r="AT41" s="9">
        <v>400</v>
      </c>
      <c r="AU41" s="11">
        <v>41600</v>
      </c>
      <c r="AV41" s="17">
        <f t="shared" si="0"/>
        <v>41600</v>
      </c>
      <c r="AW41" s="1">
        <f t="shared" si="1"/>
        <v>29119.999999999996</v>
      </c>
    </row>
    <row r="42" spans="1:49" ht="19.2" x14ac:dyDescent="0.4">
      <c r="A42" s="6" t="s">
        <v>139</v>
      </c>
      <c r="B42" s="7" t="s">
        <v>23</v>
      </c>
      <c r="C42" s="7">
        <v>321812</v>
      </c>
      <c r="D42" s="8"/>
      <c r="E42" s="7" t="s">
        <v>15</v>
      </c>
      <c r="F42" s="7" t="s">
        <v>16</v>
      </c>
      <c r="G42" s="7" t="s">
        <v>12</v>
      </c>
      <c r="H42" s="9" t="s">
        <v>8</v>
      </c>
      <c r="I42" s="9" t="s">
        <v>24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242</v>
      </c>
      <c r="AF42" s="10">
        <v>24200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162</v>
      </c>
      <c r="AS42" s="10">
        <v>15800</v>
      </c>
      <c r="AT42" s="9">
        <v>400</v>
      </c>
      <c r="AU42" s="11">
        <v>40400</v>
      </c>
      <c r="AV42" s="17">
        <f t="shared" si="0"/>
        <v>40400</v>
      </c>
      <c r="AW42" s="1">
        <f t="shared" si="1"/>
        <v>28280</v>
      </c>
    </row>
    <row r="43" spans="1:49" ht="19.2" x14ac:dyDescent="0.4">
      <c r="A43" s="6" t="s">
        <v>139</v>
      </c>
      <c r="B43" s="7" t="s">
        <v>72</v>
      </c>
      <c r="C43" s="7">
        <v>324335</v>
      </c>
      <c r="D43" s="8"/>
      <c r="E43" s="7" t="s">
        <v>15</v>
      </c>
      <c r="F43" s="7" t="s">
        <v>16</v>
      </c>
      <c r="G43" s="7" t="s">
        <v>12</v>
      </c>
      <c r="H43" s="9" t="s">
        <v>13</v>
      </c>
      <c r="I43" s="9" t="s">
        <v>73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12</v>
      </c>
      <c r="AF43" s="10">
        <v>38400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11">
        <v>38400</v>
      </c>
      <c r="AV43" s="17">
        <f t="shared" si="0"/>
        <v>38400</v>
      </c>
      <c r="AW43" s="1">
        <f t="shared" si="1"/>
        <v>26880</v>
      </c>
    </row>
    <row r="44" spans="1:49" ht="19.2" x14ac:dyDescent="0.4">
      <c r="A44" s="6" t="s">
        <v>139</v>
      </c>
      <c r="B44" s="7" t="s">
        <v>81</v>
      </c>
      <c r="C44" s="7">
        <v>211158</v>
      </c>
      <c r="D44" s="8"/>
      <c r="E44" s="7" t="s">
        <v>15</v>
      </c>
      <c r="F44" s="7" t="s">
        <v>16</v>
      </c>
      <c r="G44" s="7" t="s">
        <v>12</v>
      </c>
      <c r="H44" s="9" t="s">
        <v>8</v>
      </c>
      <c r="I44" s="9" t="s">
        <v>82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37</v>
      </c>
      <c r="AF44" s="10">
        <v>3700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318</v>
      </c>
      <c r="AS44" s="10">
        <v>31100</v>
      </c>
      <c r="AT44" s="9">
        <v>700</v>
      </c>
      <c r="AU44" s="11">
        <v>35500</v>
      </c>
      <c r="AV44" s="17">
        <f t="shared" si="0"/>
        <v>35500</v>
      </c>
      <c r="AW44" s="1">
        <f t="shared" si="1"/>
        <v>24850</v>
      </c>
    </row>
    <row r="45" spans="1:49" ht="19.2" x14ac:dyDescent="0.4">
      <c r="A45" s="6" t="s">
        <v>139</v>
      </c>
      <c r="B45" s="7" t="s">
        <v>103</v>
      </c>
      <c r="C45" s="7">
        <v>458561</v>
      </c>
      <c r="D45" s="8"/>
      <c r="E45" s="7" t="s">
        <v>15</v>
      </c>
      <c r="F45" s="7" t="s">
        <v>16</v>
      </c>
      <c r="G45" s="7" t="s">
        <v>12</v>
      </c>
      <c r="H45" s="9" t="s">
        <v>8</v>
      </c>
      <c r="I45" s="9" t="s">
        <v>102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204</v>
      </c>
      <c r="AF45" s="10">
        <v>19700</v>
      </c>
      <c r="AG45" s="9">
        <v>700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24</v>
      </c>
      <c r="AS45" s="10">
        <v>2400</v>
      </c>
      <c r="AT45" s="9">
        <v>0</v>
      </c>
      <c r="AU45" s="11">
        <v>22800</v>
      </c>
      <c r="AV45" s="17">
        <f t="shared" si="0"/>
        <v>22800</v>
      </c>
      <c r="AW45" s="1">
        <f t="shared" si="1"/>
        <v>15959.999999999998</v>
      </c>
    </row>
    <row r="46" spans="1:49" ht="19.2" x14ac:dyDescent="0.4">
      <c r="A46" s="6" t="s">
        <v>139</v>
      </c>
      <c r="B46" s="7" t="s">
        <v>19</v>
      </c>
      <c r="C46" s="7">
        <v>387417</v>
      </c>
      <c r="D46" s="8"/>
      <c r="E46" s="7" t="s">
        <v>15</v>
      </c>
      <c r="F46" s="7" t="s">
        <v>20</v>
      </c>
      <c r="G46" s="7" t="s">
        <v>12</v>
      </c>
      <c r="H46" s="9" t="s">
        <v>8</v>
      </c>
      <c r="I46" s="9" t="s">
        <v>21</v>
      </c>
      <c r="J46" s="9">
        <v>0</v>
      </c>
      <c r="K46" s="9">
        <v>5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162</v>
      </c>
      <c r="AF46" s="10">
        <v>14700</v>
      </c>
      <c r="AG46" s="10">
        <v>1500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11">
        <v>16200</v>
      </c>
      <c r="AV46" s="17">
        <f t="shared" si="0"/>
        <v>16200</v>
      </c>
      <c r="AW46" s="1">
        <f t="shared" si="1"/>
        <v>11340</v>
      </c>
    </row>
    <row r="47" spans="1:49" ht="19.2" x14ac:dyDescent="0.4">
      <c r="A47" s="6" t="s">
        <v>139</v>
      </c>
      <c r="B47" s="7" t="s">
        <v>121</v>
      </c>
      <c r="C47" s="7">
        <v>388999</v>
      </c>
      <c r="D47" s="8"/>
      <c r="E47" s="7" t="s">
        <v>15</v>
      </c>
      <c r="F47" s="7" t="s">
        <v>20</v>
      </c>
      <c r="G47" s="7" t="s">
        <v>12</v>
      </c>
      <c r="H47" s="9" t="s">
        <v>8</v>
      </c>
      <c r="I47" s="9" t="s">
        <v>122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49</v>
      </c>
      <c r="AF47" s="10">
        <v>4900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97</v>
      </c>
      <c r="AS47" s="10">
        <v>9500</v>
      </c>
      <c r="AT47" s="9">
        <v>200</v>
      </c>
      <c r="AU47" s="11">
        <v>14600</v>
      </c>
      <c r="AV47" s="17">
        <f t="shared" si="0"/>
        <v>14600</v>
      </c>
      <c r="AW47" s="1">
        <f t="shared" si="1"/>
        <v>10220</v>
      </c>
    </row>
    <row r="48" spans="1:49" ht="19.2" x14ac:dyDescent="0.4">
      <c r="A48" s="6" t="s">
        <v>139</v>
      </c>
      <c r="B48" s="7" t="s">
        <v>86</v>
      </c>
      <c r="C48" s="7">
        <v>423328</v>
      </c>
      <c r="D48" s="8"/>
      <c r="E48" s="7" t="s">
        <v>15</v>
      </c>
      <c r="F48" s="7" t="s">
        <v>16</v>
      </c>
      <c r="G48" s="7" t="s">
        <v>12</v>
      </c>
      <c r="H48" s="9" t="s">
        <v>8</v>
      </c>
      <c r="I48" s="9" t="s">
        <v>87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141</v>
      </c>
      <c r="AF48" s="10">
        <v>14100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1</v>
      </c>
      <c r="AS48" s="9">
        <v>100</v>
      </c>
      <c r="AT48" s="9">
        <v>0</v>
      </c>
      <c r="AU48" s="11">
        <v>14200</v>
      </c>
      <c r="AV48" s="17">
        <f t="shared" si="0"/>
        <v>14200</v>
      </c>
      <c r="AW48" s="1">
        <f t="shared" si="1"/>
        <v>9940</v>
      </c>
    </row>
    <row r="49" spans="1:49" ht="19.2" x14ac:dyDescent="0.4">
      <c r="A49" s="6" t="s">
        <v>139</v>
      </c>
      <c r="B49" s="7" t="s">
        <v>80</v>
      </c>
      <c r="C49" s="7">
        <v>428319</v>
      </c>
      <c r="D49" s="8"/>
      <c r="E49" s="7" t="s">
        <v>15</v>
      </c>
      <c r="F49" s="7" t="s">
        <v>79</v>
      </c>
      <c r="G49" s="7" t="s">
        <v>12</v>
      </c>
      <c r="H49" s="9" t="s">
        <v>8</v>
      </c>
      <c r="I49" s="9" t="s">
        <v>46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140</v>
      </c>
      <c r="AF49" s="10">
        <v>14000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11">
        <v>14000</v>
      </c>
      <c r="AV49" s="17">
        <f t="shared" si="0"/>
        <v>14000</v>
      </c>
      <c r="AW49" s="1">
        <f t="shared" si="1"/>
        <v>9800</v>
      </c>
    </row>
    <row r="50" spans="1:49" ht="19.2" x14ac:dyDescent="0.4">
      <c r="A50" s="6" t="s">
        <v>139</v>
      </c>
      <c r="B50" s="7" t="s">
        <v>64</v>
      </c>
      <c r="C50" s="7">
        <v>422032</v>
      </c>
      <c r="D50" s="8"/>
      <c r="E50" s="7" t="s">
        <v>15</v>
      </c>
      <c r="F50" s="7" t="s">
        <v>65</v>
      </c>
      <c r="G50" s="7" t="s">
        <v>12</v>
      </c>
      <c r="H50" s="9" t="s">
        <v>13</v>
      </c>
      <c r="I50" s="9" t="s">
        <v>66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135</v>
      </c>
      <c r="AF50" s="10">
        <v>13500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11">
        <v>13500</v>
      </c>
      <c r="AV50" s="17">
        <f t="shared" si="0"/>
        <v>13500</v>
      </c>
      <c r="AW50" s="1">
        <f t="shared" si="1"/>
        <v>9450</v>
      </c>
    </row>
    <row r="51" spans="1:49" ht="19.2" x14ac:dyDescent="0.4">
      <c r="A51" s="6" t="s">
        <v>139</v>
      </c>
      <c r="B51" s="7" t="s">
        <v>94</v>
      </c>
      <c r="C51" s="7">
        <v>431511</v>
      </c>
      <c r="D51" s="8"/>
      <c r="E51" s="7" t="s">
        <v>15</v>
      </c>
      <c r="F51" s="7" t="s">
        <v>79</v>
      </c>
      <c r="G51" s="7" t="s">
        <v>12</v>
      </c>
      <c r="H51" s="9" t="s">
        <v>8</v>
      </c>
      <c r="I51" s="9" t="s">
        <v>95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4</v>
      </c>
      <c r="AL51" s="9">
        <v>0</v>
      </c>
      <c r="AM51" s="10">
        <v>12800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11">
        <v>12800</v>
      </c>
      <c r="AV51" s="17">
        <f t="shared" ref="AV51:AV55" si="2">AU51-AN51</f>
        <v>12800</v>
      </c>
      <c r="AW51" s="1">
        <f t="shared" ref="AW51:AW55" si="3">AV51*70%</f>
        <v>8960</v>
      </c>
    </row>
    <row r="52" spans="1:49" ht="19.2" x14ac:dyDescent="0.4">
      <c r="A52" s="6" t="s">
        <v>139</v>
      </c>
      <c r="B52" s="7" t="s">
        <v>135</v>
      </c>
      <c r="C52" s="7">
        <v>408593</v>
      </c>
      <c r="D52" s="8"/>
      <c r="E52" s="7" t="s">
        <v>15</v>
      </c>
      <c r="F52" s="7" t="s">
        <v>18</v>
      </c>
      <c r="G52" s="7" t="s">
        <v>12</v>
      </c>
      <c r="H52" s="9" t="s">
        <v>8</v>
      </c>
      <c r="I52" s="9" t="s">
        <v>136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2</v>
      </c>
      <c r="AF52" s="10">
        <v>6400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1</v>
      </c>
      <c r="AS52" s="10">
        <v>3200</v>
      </c>
      <c r="AT52" s="9">
        <v>0</v>
      </c>
      <c r="AU52" s="11">
        <v>9600</v>
      </c>
      <c r="AV52" s="17">
        <f t="shared" si="2"/>
        <v>9600</v>
      </c>
      <c r="AW52" s="1">
        <f t="shared" si="3"/>
        <v>6720</v>
      </c>
    </row>
    <row r="53" spans="1:49" ht="19.2" x14ac:dyDescent="0.4">
      <c r="A53" s="6" t="s">
        <v>139</v>
      </c>
      <c r="B53" s="7" t="s">
        <v>118</v>
      </c>
      <c r="C53" s="7">
        <v>351033</v>
      </c>
      <c r="D53" s="8" t="s">
        <v>119</v>
      </c>
      <c r="E53" s="7" t="s">
        <v>15</v>
      </c>
      <c r="F53" s="7" t="s">
        <v>16</v>
      </c>
      <c r="G53" s="7" t="s">
        <v>12</v>
      </c>
      <c r="H53" s="9" t="s">
        <v>8</v>
      </c>
      <c r="I53" s="9" t="s">
        <v>120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89</v>
      </c>
      <c r="AF53" s="10">
        <v>8900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11">
        <v>8900</v>
      </c>
      <c r="AV53" s="17">
        <f t="shared" si="2"/>
        <v>8900</v>
      </c>
      <c r="AW53" s="1">
        <f t="shared" si="3"/>
        <v>6230</v>
      </c>
    </row>
    <row r="54" spans="1:49" ht="19.2" x14ac:dyDescent="0.4">
      <c r="A54" s="6" t="s">
        <v>139</v>
      </c>
      <c r="B54" s="7" t="s">
        <v>90</v>
      </c>
      <c r="C54" s="7">
        <v>406872</v>
      </c>
      <c r="D54" s="8"/>
      <c r="E54" s="7" t="s">
        <v>15</v>
      </c>
      <c r="F54" s="7" t="s">
        <v>91</v>
      </c>
      <c r="G54" s="7" t="s">
        <v>12</v>
      </c>
      <c r="H54" s="9" t="s">
        <v>13</v>
      </c>
      <c r="I54" s="9" t="s">
        <v>92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85</v>
      </c>
      <c r="AF54" s="10">
        <v>8500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11">
        <v>8500</v>
      </c>
      <c r="AV54" s="17">
        <f t="shared" si="2"/>
        <v>8500</v>
      </c>
      <c r="AW54" s="1">
        <f t="shared" si="3"/>
        <v>5950</v>
      </c>
    </row>
    <row r="55" spans="1:49" ht="19.2" x14ac:dyDescent="0.4">
      <c r="A55" s="6" t="s">
        <v>139</v>
      </c>
      <c r="B55" s="7" t="s">
        <v>128</v>
      </c>
      <c r="C55" s="7">
        <v>440303</v>
      </c>
      <c r="D55" s="8"/>
      <c r="E55" s="7" t="s">
        <v>15</v>
      </c>
      <c r="F55" s="7" t="s">
        <v>129</v>
      </c>
      <c r="G55" s="7" t="s">
        <v>12</v>
      </c>
      <c r="H55" s="9" t="s">
        <v>8</v>
      </c>
      <c r="I55" s="9" t="s">
        <v>130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80</v>
      </c>
      <c r="AF55" s="10">
        <v>8000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11">
        <v>8000</v>
      </c>
      <c r="AV55" s="17">
        <f t="shared" si="2"/>
        <v>8000</v>
      </c>
      <c r="AW55" s="1">
        <f t="shared" si="3"/>
        <v>5600</v>
      </c>
    </row>
    <row r="56" spans="1:49" ht="19.2" x14ac:dyDescent="0.4">
      <c r="A56" s="6" t="s">
        <v>139</v>
      </c>
      <c r="B56" s="7" t="s">
        <v>113</v>
      </c>
      <c r="C56" s="7">
        <v>392777</v>
      </c>
      <c r="D56" s="8"/>
      <c r="E56" s="7" t="s">
        <v>15</v>
      </c>
      <c r="F56" s="7" t="s">
        <v>22</v>
      </c>
      <c r="G56" s="7" t="s">
        <v>12</v>
      </c>
      <c r="H56" s="9" t="s">
        <v>8</v>
      </c>
      <c r="I56" s="9" t="s">
        <v>114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2</v>
      </c>
      <c r="AF56" s="10">
        <v>6400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11">
        <v>6400</v>
      </c>
      <c r="AV56" s="17">
        <f t="shared" ref="AV56:AV72" si="4">AU56-AN56</f>
        <v>6400</v>
      </c>
      <c r="AW56" s="1">
        <f t="shared" ref="AW56:AW72" si="5">AV56*70%</f>
        <v>4480</v>
      </c>
    </row>
    <row r="57" spans="1:49" ht="19.2" x14ac:dyDescent="0.4">
      <c r="A57" s="6" t="s">
        <v>139</v>
      </c>
      <c r="B57" s="7" t="s">
        <v>98</v>
      </c>
      <c r="C57" s="7">
        <v>434847</v>
      </c>
      <c r="D57" s="8"/>
      <c r="E57" s="7" t="s">
        <v>15</v>
      </c>
      <c r="F57" s="7" t="s">
        <v>99</v>
      </c>
      <c r="G57" s="7" t="s">
        <v>12</v>
      </c>
      <c r="H57" s="9" t="s">
        <v>8</v>
      </c>
      <c r="I57" s="9" t="s">
        <v>100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60</v>
      </c>
      <c r="AF57" s="10">
        <v>6000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11">
        <v>6000</v>
      </c>
      <c r="AV57" s="17">
        <f t="shared" si="4"/>
        <v>6000</v>
      </c>
      <c r="AW57" s="1">
        <f t="shared" si="5"/>
        <v>4200</v>
      </c>
    </row>
    <row r="58" spans="1:49" ht="19.2" x14ac:dyDescent="0.4">
      <c r="A58" s="6" t="s">
        <v>139</v>
      </c>
      <c r="B58" s="7" t="s">
        <v>60</v>
      </c>
      <c r="C58" s="7">
        <v>442274</v>
      </c>
      <c r="D58" s="8"/>
      <c r="E58" s="7" t="s">
        <v>15</v>
      </c>
      <c r="F58" s="7" t="s">
        <v>61</v>
      </c>
      <c r="G58" s="7" t="s">
        <v>12</v>
      </c>
      <c r="H58" s="9" t="s">
        <v>8</v>
      </c>
      <c r="I58" s="9" t="s">
        <v>112</v>
      </c>
      <c r="J58" s="9">
        <v>0</v>
      </c>
      <c r="K58" s="9">
        <v>9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50</v>
      </c>
      <c r="AF58" s="10">
        <v>4800</v>
      </c>
      <c r="AG58" s="9">
        <v>200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11">
        <v>5000</v>
      </c>
      <c r="AV58" s="17">
        <f t="shared" si="4"/>
        <v>5000</v>
      </c>
      <c r="AW58" s="1">
        <f t="shared" si="5"/>
        <v>3500</v>
      </c>
    </row>
    <row r="59" spans="1:49" ht="19.2" x14ac:dyDescent="0.4">
      <c r="A59" s="6" t="s">
        <v>139</v>
      </c>
      <c r="B59" s="7" t="s">
        <v>52</v>
      </c>
      <c r="C59" s="7">
        <v>434558</v>
      </c>
      <c r="D59" s="8"/>
      <c r="E59" s="7" t="s">
        <v>15</v>
      </c>
      <c r="F59" s="7" t="s">
        <v>53</v>
      </c>
      <c r="G59" s="7" t="s">
        <v>12</v>
      </c>
      <c r="H59" s="9" t="s">
        <v>8</v>
      </c>
      <c r="I59" s="9" t="s">
        <v>76</v>
      </c>
      <c r="J59" s="9">
        <v>0</v>
      </c>
      <c r="K59" s="9">
        <v>2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50</v>
      </c>
      <c r="AF59" s="10">
        <v>5000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11">
        <v>5000</v>
      </c>
      <c r="AV59" s="17">
        <f t="shared" si="4"/>
        <v>5000</v>
      </c>
      <c r="AW59" s="1">
        <f t="shared" si="5"/>
        <v>3500</v>
      </c>
    </row>
    <row r="60" spans="1:49" ht="19.2" x14ac:dyDescent="0.4">
      <c r="A60" s="6" t="s">
        <v>139</v>
      </c>
      <c r="B60" s="7" t="s">
        <v>69</v>
      </c>
      <c r="C60" s="7">
        <v>429621</v>
      </c>
      <c r="D60" s="8"/>
      <c r="E60" s="7" t="s">
        <v>15</v>
      </c>
      <c r="F60" s="7" t="s">
        <v>70</v>
      </c>
      <c r="G60" s="7" t="s">
        <v>12</v>
      </c>
      <c r="H60" s="9" t="s">
        <v>11</v>
      </c>
      <c r="I60" s="9" t="s">
        <v>71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40</v>
      </c>
      <c r="AF60" s="10">
        <v>4000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11">
        <v>4000</v>
      </c>
      <c r="AV60" s="17">
        <f t="shared" si="4"/>
        <v>4000</v>
      </c>
      <c r="AW60" s="1">
        <f t="shared" si="5"/>
        <v>2800</v>
      </c>
    </row>
    <row r="61" spans="1:49" ht="19.2" x14ac:dyDescent="0.4">
      <c r="A61" s="6" t="s">
        <v>139</v>
      </c>
      <c r="B61" s="7" t="s">
        <v>58</v>
      </c>
      <c r="C61" s="7">
        <v>371774</v>
      </c>
      <c r="D61" s="8"/>
      <c r="E61" s="7" t="s">
        <v>15</v>
      </c>
      <c r="F61" s="7" t="s">
        <v>51</v>
      </c>
      <c r="G61" s="7" t="s">
        <v>12</v>
      </c>
      <c r="H61" s="9" t="s">
        <v>8</v>
      </c>
      <c r="I61" s="9" t="s">
        <v>59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33</v>
      </c>
      <c r="AF61" s="10">
        <v>2800</v>
      </c>
      <c r="AG61" s="9">
        <v>500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11">
        <v>3300</v>
      </c>
      <c r="AV61" s="17">
        <f t="shared" si="4"/>
        <v>3300</v>
      </c>
      <c r="AW61" s="1">
        <f t="shared" si="5"/>
        <v>2310</v>
      </c>
    </row>
    <row r="62" spans="1:49" ht="28.8" x14ac:dyDescent="0.4">
      <c r="A62" s="6" t="s">
        <v>139</v>
      </c>
      <c r="B62" s="7" t="s">
        <v>54</v>
      </c>
      <c r="C62" s="7">
        <v>219203</v>
      </c>
      <c r="D62" s="8"/>
      <c r="E62" s="7" t="s">
        <v>15</v>
      </c>
      <c r="F62" s="7" t="s">
        <v>55</v>
      </c>
      <c r="G62" s="7" t="s">
        <v>12</v>
      </c>
      <c r="H62" s="9" t="s">
        <v>8</v>
      </c>
      <c r="I62" s="9" t="s">
        <v>56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26</v>
      </c>
      <c r="AC62" s="10">
        <v>2600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11">
        <v>2600</v>
      </c>
      <c r="AV62" s="17">
        <f t="shared" si="4"/>
        <v>2600</v>
      </c>
      <c r="AW62" s="1">
        <f t="shared" si="5"/>
        <v>1819.9999999999998</v>
      </c>
    </row>
    <row r="63" spans="1:49" ht="19.2" x14ac:dyDescent="0.4">
      <c r="A63" s="6" t="s">
        <v>139</v>
      </c>
      <c r="B63" s="7" t="s">
        <v>62</v>
      </c>
      <c r="C63" s="7">
        <v>379813</v>
      </c>
      <c r="D63" s="8"/>
      <c r="E63" s="7" t="s">
        <v>15</v>
      </c>
      <c r="F63" s="7" t="s">
        <v>16</v>
      </c>
      <c r="G63" s="7" t="s">
        <v>12</v>
      </c>
      <c r="H63" s="9" t="s">
        <v>8</v>
      </c>
      <c r="I63" s="9" t="s">
        <v>63</v>
      </c>
      <c r="J63" s="9">
        <v>0</v>
      </c>
      <c r="K63" s="9">
        <v>4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23</v>
      </c>
      <c r="AF63" s="10">
        <v>1900</v>
      </c>
      <c r="AG63" s="9">
        <v>400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11">
        <v>2300</v>
      </c>
      <c r="AV63" s="17">
        <f t="shared" si="4"/>
        <v>2300</v>
      </c>
      <c r="AW63" s="1">
        <f t="shared" si="5"/>
        <v>1610</v>
      </c>
    </row>
    <row r="64" spans="1:49" ht="19.2" x14ac:dyDescent="0.4">
      <c r="A64" s="6" t="s">
        <v>139</v>
      </c>
      <c r="B64" s="7" t="s">
        <v>137</v>
      </c>
      <c r="C64" s="7">
        <v>299970</v>
      </c>
      <c r="D64" s="8"/>
      <c r="E64" s="7" t="s">
        <v>15</v>
      </c>
      <c r="F64" s="7" t="s">
        <v>85</v>
      </c>
      <c r="G64" s="7" t="s">
        <v>12</v>
      </c>
      <c r="H64" s="9" t="s">
        <v>8</v>
      </c>
      <c r="I64" s="9" t="s">
        <v>138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2</v>
      </c>
      <c r="AP64" s="10">
        <v>1800</v>
      </c>
      <c r="AQ64" s="9">
        <v>0</v>
      </c>
      <c r="AR64" s="9">
        <v>0</v>
      </c>
      <c r="AS64" s="9">
        <v>0</v>
      </c>
      <c r="AT64" s="9">
        <v>0</v>
      </c>
      <c r="AU64" s="11">
        <v>1800</v>
      </c>
      <c r="AV64" s="17">
        <f t="shared" si="4"/>
        <v>1800</v>
      </c>
      <c r="AW64" s="1">
        <f t="shared" si="5"/>
        <v>1260</v>
      </c>
    </row>
    <row r="65" spans="1:49" ht="19.2" x14ac:dyDescent="0.4">
      <c r="A65" s="6" t="s">
        <v>139</v>
      </c>
      <c r="B65" s="7" t="s">
        <v>125</v>
      </c>
      <c r="C65" s="7">
        <v>157002</v>
      </c>
      <c r="D65" s="8" t="s">
        <v>126</v>
      </c>
      <c r="E65" s="7" t="s">
        <v>15</v>
      </c>
      <c r="F65" s="7" t="s">
        <v>16</v>
      </c>
      <c r="G65" s="7" t="s">
        <v>12</v>
      </c>
      <c r="H65" s="9" t="s">
        <v>8</v>
      </c>
      <c r="I65" s="9" t="s">
        <v>127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18</v>
      </c>
      <c r="AF65" s="10">
        <v>1800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11">
        <v>1800</v>
      </c>
      <c r="AV65" s="17">
        <f t="shared" si="4"/>
        <v>1800</v>
      </c>
      <c r="AW65" s="1">
        <f t="shared" si="5"/>
        <v>1260</v>
      </c>
    </row>
    <row r="66" spans="1:49" ht="19.2" x14ac:dyDescent="0.4">
      <c r="A66" s="6" t="s">
        <v>139</v>
      </c>
      <c r="B66" s="7" t="s">
        <v>115</v>
      </c>
      <c r="C66" s="7">
        <v>382640</v>
      </c>
      <c r="D66" s="8"/>
      <c r="E66" s="7" t="s">
        <v>15</v>
      </c>
      <c r="F66" s="7" t="s">
        <v>116</v>
      </c>
      <c r="G66" s="7" t="s">
        <v>12</v>
      </c>
      <c r="H66" s="9" t="s">
        <v>8</v>
      </c>
      <c r="I66" s="9" t="s">
        <v>117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7</v>
      </c>
      <c r="AF66" s="9">
        <v>0</v>
      </c>
      <c r="AG66" s="9">
        <v>700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12">
        <v>700</v>
      </c>
      <c r="AV66" s="17">
        <f t="shared" si="4"/>
        <v>700</v>
      </c>
      <c r="AW66" s="1">
        <f t="shared" si="5"/>
        <v>489.99999999999994</v>
      </c>
    </row>
    <row r="67" spans="1:49" ht="19.2" x14ac:dyDescent="0.4">
      <c r="A67" s="6" t="s">
        <v>139</v>
      </c>
      <c r="B67" s="7" t="s">
        <v>77</v>
      </c>
      <c r="C67" s="7">
        <v>407733</v>
      </c>
      <c r="D67" s="8"/>
      <c r="E67" s="7" t="s">
        <v>15</v>
      </c>
      <c r="F67" s="7" t="s">
        <v>16</v>
      </c>
      <c r="G67" s="7" t="s">
        <v>12</v>
      </c>
      <c r="H67" s="9" t="s">
        <v>8</v>
      </c>
      <c r="I67" s="9" t="s">
        <v>78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5</v>
      </c>
      <c r="AF67" s="9">
        <v>500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12">
        <v>500</v>
      </c>
      <c r="AV67" s="17">
        <f t="shared" si="4"/>
        <v>500</v>
      </c>
      <c r="AW67" s="1">
        <f t="shared" si="5"/>
        <v>350</v>
      </c>
    </row>
    <row r="68" spans="1:49" ht="19.2" x14ac:dyDescent="0.4">
      <c r="A68" s="6" t="s">
        <v>139</v>
      </c>
      <c r="B68" s="7" t="s">
        <v>123</v>
      </c>
      <c r="C68" s="7">
        <v>335995</v>
      </c>
      <c r="D68" s="8"/>
      <c r="E68" s="7" t="s">
        <v>15</v>
      </c>
      <c r="F68" s="7" t="s">
        <v>51</v>
      </c>
      <c r="G68" s="7" t="s">
        <v>12</v>
      </c>
      <c r="H68" s="9" t="s">
        <v>8</v>
      </c>
      <c r="I68" s="9" t="s">
        <v>124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5</v>
      </c>
      <c r="AS68" s="9">
        <v>500</v>
      </c>
      <c r="AT68" s="9">
        <v>0</v>
      </c>
      <c r="AU68" s="12">
        <v>500</v>
      </c>
      <c r="AV68" s="17">
        <f t="shared" si="4"/>
        <v>500</v>
      </c>
      <c r="AW68" s="1">
        <f t="shared" si="5"/>
        <v>350</v>
      </c>
    </row>
    <row r="69" spans="1:49" ht="19.2" x14ac:dyDescent="0.4">
      <c r="A69" s="6" t="s">
        <v>139</v>
      </c>
      <c r="B69" s="7" t="s">
        <v>25</v>
      </c>
      <c r="C69" s="7">
        <v>364724</v>
      </c>
      <c r="D69" s="8"/>
      <c r="E69" s="7" t="s">
        <v>15</v>
      </c>
      <c r="F69" s="7" t="s">
        <v>22</v>
      </c>
      <c r="G69" s="7" t="s">
        <v>12</v>
      </c>
      <c r="H69" s="9" t="s">
        <v>8</v>
      </c>
      <c r="I69" s="9" t="s">
        <v>26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1</v>
      </c>
      <c r="AF69" s="9">
        <v>100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3</v>
      </c>
      <c r="AS69" s="9">
        <v>300</v>
      </c>
      <c r="AT69" s="9">
        <v>0</v>
      </c>
      <c r="AU69" s="12">
        <v>400</v>
      </c>
      <c r="AV69" s="17">
        <f t="shared" si="4"/>
        <v>400</v>
      </c>
      <c r="AW69" s="1">
        <f t="shared" si="5"/>
        <v>280</v>
      </c>
    </row>
    <row r="70" spans="1:49" ht="19.2" x14ac:dyDescent="0.4">
      <c r="A70" s="6" t="s">
        <v>139</v>
      </c>
      <c r="B70" s="7" t="s">
        <v>104</v>
      </c>
      <c r="C70" s="7">
        <v>428379</v>
      </c>
      <c r="D70" s="8"/>
      <c r="E70" s="7" t="s">
        <v>15</v>
      </c>
      <c r="F70" s="7" t="s">
        <v>47</v>
      </c>
      <c r="G70" s="7" t="s">
        <v>12</v>
      </c>
      <c r="H70" s="9" t="s">
        <v>11</v>
      </c>
      <c r="I70" s="9" t="s">
        <v>46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4</v>
      </c>
      <c r="AF70" s="9">
        <v>400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12">
        <v>400</v>
      </c>
      <c r="AV70" s="17">
        <f t="shared" si="4"/>
        <v>400</v>
      </c>
      <c r="AW70" s="1">
        <f t="shared" si="5"/>
        <v>280</v>
      </c>
    </row>
    <row r="71" spans="1:49" ht="19.2" x14ac:dyDescent="0.4">
      <c r="A71" s="6" t="s">
        <v>139</v>
      </c>
      <c r="B71" s="7" t="s">
        <v>27</v>
      </c>
      <c r="C71" s="7">
        <v>245889</v>
      </c>
      <c r="D71" s="8"/>
      <c r="E71" s="7" t="s">
        <v>15</v>
      </c>
      <c r="F71" s="7" t="s">
        <v>16</v>
      </c>
      <c r="G71" s="7" t="s">
        <v>12</v>
      </c>
      <c r="H71" s="9" t="s">
        <v>8</v>
      </c>
      <c r="I71" s="9" t="s">
        <v>28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1</v>
      </c>
      <c r="AS71" s="9">
        <v>100</v>
      </c>
      <c r="AT71" s="9">
        <v>0</v>
      </c>
      <c r="AU71" s="12">
        <v>100</v>
      </c>
      <c r="AV71" s="17">
        <f t="shared" si="4"/>
        <v>100</v>
      </c>
      <c r="AW71" s="1">
        <f t="shared" si="5"/>
        <v>70</v>
      </c>
    </row>
    <row r="72" spans="1:49" ht="19.2" x14ac:dyDescent="0.4">
      <c r="A72" s="6" t="s">
        <v>139</v>
      </c>
      <c r="B72" s="7" t="s">
        <v>131</v>
      </c>
      <c r="C72" s="7">
        <v>386960</v>
      </c>
      <c r="D72" s="8"/>
      <c r="E72" s="7" t="s">
        <v>15</v>
      </c>
      <c r="F72" s="7" t="s">
        <v>132</v>
      </c>
      <c r="G72" s="7" t="s">
        <v>12</v>
      </c>
      <c r="H72" s="9" t="s">
        <v>8</v>
      </c>
      <c r="I72" s="9" t="s">
        <v>133</v>
      </c>
      <c r="J72" s="9">
        <v>0</v>
      </c>
      <c r="K72" s="9">
        <v>9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12">
        <v>0</v>
      </c>
      <c r="AV72" s="17">
        <f t="shared" si="4"/>
        <v>0</v>
      </c>
      <c r="AW72" s="1">
        <f t="shared" si="5"/>
        <v>0</v>
      </c>
    </row>
    <row r="73" spans="1:49" ht="19.2" x14ac:dyDescent="0.4">
      <c r="A73" s="6" t="s">
        <v>144</v>
      </c>
      <c r="B73" s="7" t="s">
        <v>140</v>
      </c>
      <c r="C73" s="7">
        <v>429534</v>
      </c>
      <c r="D73" s="8"/>
      <c r="E73" s="7" t="s">
        <v>15</v>
      </c>
      <c r="F73" s="7" t="s">
        <v>48</v>
      </c>
      <c r="G73" s="7" t="s">
        <v>12</v>
      </c>
      <c r="H73" s="9" t="s">
        <v>8</v>
      </c>
      <c r="I73" s="9" t="s">
        <v>141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3</v>
      </c>
      <c r="AF73" s="10">
        <v>8400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11">
        <v>8400</v>
      </c>
      <c r="AV73" s="17">
        <f t="shared" ref="AV73:AV74" si="6">AU73-AN73</f>
        <v>8400</v>
      </c>
      <c r="AW73" s="1">
        <f t="shared" ref="AW73:AW74" si="7">AV73*70%</f>
        <v>5880</v>
      </c>
    </row>
    <row r="74" spans="1:49" ht="19.2" x14ac:dyDescent="0.4">
      <c r="A74" s="6" t="s">
        <v>144</v>
      </c>
      <c r="B74" s="7" t="s">
        <v>23</v>
      </c>
      <c r="C74" s="7">
        <v>321812</v>
      </c>
      <c r="D74" s="8"/>
      <c r="E74" s="7" t="s">
        <v>15</v>
      </c>
      <c r="F74" s="7" t="s">
        <v>16</v>
      </c>
      <c r="G74" s="7" t="s">
        <v>12</v>
      </c>
      <c r="H74" s="9" t="s">
        <v>8</v>
      </c>
      <c r="I74" s="9" t="s">
        <v>24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15</v>
      </c>
      <c r="AF74" s="10">
        <v>1300</v>
      </c>
      <c r="AG74" s="9">
        <v>200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11">
        <v>1500</v>
      </c>
      <c r="AV74" s="17">
        <f t="shared" si="6"/>
        <v>1500</v>
      </c>
      <c r="AW74" s="1">
        <f t="shared" si="7"/>
        <v>1050</v>
      </c>
    </row>
    <row r="75" spans="1:49" ht="19.2" x14ac:dyDescent="0.4">
      <c r="A75" s="6" t="s">
        <v>144</v>
      </c>
      <c r="B75" s="7" t="s">
        <v>96</v>
      </c>
      <c r="C75" s="7">
        <v>454534</v>
      </c>
      <c r="D75" s="8"/>
      <c r="E75" s="7" t="s">
        <v>15</v>
      </c>
      <c r="F75" s="7" t="s">
        <v>97</v>
      </c>
      <c r="G75" s="7" t="s">
        <v>12</v>
      </c>
      <c r="H75" s="9" t="s">
        <v>8</v>
      </c>
      <c r="I75" s="9" t="s">
        <v>111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13</v>
      </c>
      <c r="AF75" s="10">
        <v>1300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11">
        <v>1300</v>
      </c>
      <c r="AV75" s="17">
        <f t="shared" ref="AV75:AV78" si="8">AU75-AN75</f>
        <v>1300</v>
      </c>
      <c r="AW75" s="1">
        <f t="shared" ref="AW75:AW78" si="9">AV75*70%</f>
        <v>909.99999999999989</v>
      </c>
    </row>
    <row r="76" spans="1:49" ht="19.2" x14ac:dyDescent="0.4">
      <c r="A76" s="6" t="s">
        <v>144</v>
      </c>
      <c r="B76" s="7" t="s">
        <v>74</v>
      </c>
      <c r="C76" s="7">
        <v>178856</v>
      </c>
      <c r="D76" s="8"/>
      <c r="E76" s="7" t="s">
        <v>15</v>
      </c>
      <c r="F76" s="7" t="s">
        <v>16</v>
      </c>
      <c r="G76" s="7" t="s">
        <v>12</v>
      </c>
      <c r="H76" s="9" t="s">
        <v>13</v>
      </c>
      <c r="I76" s="9" t="s">
        <v>75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10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7</v>
      </c>
      <c r="AF76" s="9">
        <v>500</v>
      </c>
      <c r="AG76" s="9">
        <v>200</v>
      </c>
      <c r="AH76" s="9">
        <v>0</v>
      </c>
      <c r="AI76" s="9">
        <v>0</v>
      </c>
      <c r="AJ76" s="9">
        <v>0</v>
      </c>
      <c r="AK76" s="9">
        <v>1</v>
      </c>
      <c r="AL76" s="9">
        <v>109</v>
      </c>
      <c r="AM76" s="9">
        <v>0</v>
      </c>
      <c r="AN76" s="9">
        <v>32.700000000000003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12">
        <v>809</v>
      </c>
      <c r="AV76" s="17">
        <f t="shared" si="8"/>
        <v>776.3</v>
      </c>
      <c r="AW76" s="1">
        <f t="shared" si="9"/>
        <v>543.41</v>
      </c>
    </row>
    <row r="77" spans="1:49" ht="28.8" x14ac:dyDescent="0.4">
      <c r="A77" s="6" t="s">
        <v>144</v>
      </c>
      <c r="B77" s="7" t="s">
        <v>54</v>
      </c>
      <c r="C77" s="7">
        <v>219203</v>
      </c>
      <c r="D77" s="8"/>
      <c r="E77" s="7" t="s">
        <v>15</v>
      </c>
      <c r="F77" s="7" t="s">
        <v>55</v>
      </c>
      <c r="G77" s="7" t="s">
        <v>12</v>
      </c>
      <c r="H77" s="9" t="s">
        <v>8</v>
      </c>
      <c r="I77" s="9" t="s">
        <v>56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5</v>
      </c>
      <c r="AC77" s="9">
        <v>500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12">
        <v>500</v>
      </c>
      <c r="AV77" s="17">
        <f t="shared" si="8"/>
        <v>500</v>
      </c>
      <c r="AW77" s="1">
        <f t="shared" si="9"/>
        <v>350</v>
      </c>
    </row>
    <row r="78" spans="1:49" ht="19.2" x14ac:dyDescent="0.4">
      <c r="A78" s="6" t="s">
        <v>144</v>
      </c>
      <c r="B78" s="7" t="s">
        <v>88</v>
      </c>
      <c r="C78" s="7">
        <v>429496</v>
      </c>
      <c r="D78" s="8"/>
      <c r="E78" s="7" t="s">
        <v>15</v>
      </c>
      <c r="F78" s="7" t="s">
        <v>48</v>
      </c>
      <c r="G78" s="7" t="s">
        <v>12</v>
      </c>
      <c r="H78" s="9" t="s">
        <v>8</v>
      </c>
      <c r="I78" s="9" t="s">
        <v>89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2</v>
      </c>
      <c r="AF78" s="9">
        <v>200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12">
        <v>200</v>
      </c>
      <c r="AV78" s="17">
        <f t="shared" si="8"/>
        <v>200</v>
      </c>
      <c r="AW78" s="1">
        <f t="shared" si="9"/>
        <v>140</v>
      </c>
    </row>
    <row r="79" spans="1:49" ht="19.2" x14ac:dyDescent="0.4">
      <c r="A79" s="6" t="s">
        <v>144</v>
      </c>
      <c r="B79" s="7" t="s">
        <v>83</v>
      </c>
      <c r="C79" s="7">
        <v>449889</v>
      </c>
      <c r="D79" s="8"/>
      <c r="E79" s="7" t="s">
        <v>15</v>
      </c>
      <c r="F79" s="7" t="s">
        <v>84</v>
      </c>
      <c r="G79" s="7" t="s">
        <v>12</v>
      </c>
      <c r="H79" s="9" t="s">
        <v>8</v>
      </c>
      <c r="I79" s="9" t="s">
        <v>112</v>
      </c>
      <c r="J79" s="9">
        <v>0</v>
      </c>
      <c r="K79" s="9">
        <v>30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1</v>
      </c>
      <c r="AF79" s="9">
        <v>100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12">
        <v>100</v>
      </c>
      <c r="AV79" s="17">
        <f t="shared" ref="AV79:AV84" si="10">AU79-AN79</f>
        <v>100</v>
      </c>
      <c r="AW79" s="1">
        <f t="shared" ref="AW79:AW84" si="11">AV79*70%</f>
        <v>70</v>
      </c>
    </row>
    <row r="80" spans="1:49" ht="19.2" x14ac:dyDescent="0.4">
      <c r="A80" s="6" t="s">
        <v>144</v>
      </c>
      <c r="B80" s="7" t="s">
        <v>142</v>
      </c>
      <c r="C80" s="7">
        <v>297776</v>
      </c>
      <c r="D80" s="8"/>
      <c r="E80" s="7" t="s">
        <v>15</v>
      </c>
      <c r="F80" s="7" t="s">
        <v>93</v>
      </c>
      <c r="G80" s="7" t="s">
        <v>12</v>
      </c>
      <c r="H80" s="9" t="s">
        <v>13</v>
      </c>
      <c r="I80" s="9" t="s">
        <v>143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</v>
      </c>
      <c r="AF80" s="9">
        <v>0</v>
      </c>
      <c r="AG80" s="9">
        <v>100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12">
        <v>100</v>
      </c>
      <c r="AV80" s="17">
        <f t="shared" si="10"/>
        <v>100</v>
      </c>
      <c r="AW80" s="1">
        <f t="shared" si="11"/>
        <v>70</v>
      </c>
    </row>
    <row r="81" spans="1:49" ht="19.2" x14ac:dyDescent="0.4">
      <c r="A81" s="6" t="s">
        <v>144</v>
      </c>
      <c r="B81" s="7" t="s">
        <v>14</v>
      </c>
      <c r="C81" s="7">
        <v>369220</v>
      </c>
      <c r="D81" s="8"/>
      <c r="E81" s="7" t="s">
        <v>15</v>
      </c>
      <c r="F81" s="7" t="s">
        <v>16</v>
      </c>
      <c r="G81" s="7" t="s">
        <v>12</v>
      </c>
      <c r="H81" s="9" t="s">
        <v>8</v>
      </c>
      <c r="I81" s="9" t="s">
        <v>45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1</v>
      </c>
      <c r="AF81" s="9">
        <v>100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12">
        <v>100</v>
      </c>
      <c r="AV81" s="17">
        <f t="shared" si="10"/>
        <v>100</v>
      </c>
      <c r="AW81" s="1">
        <f t="shared" si="11"/>
        <v>70</v>
      </c>
    </row>
    <row r="82" spans="1:49" ht="19.2" x14ac:dyDescent="0.4">
      <c r="A82" s="6" t="s">
        <v>144</v>
      </c>
      <c r="B82" s="7" t="s">
        <v>104</v>
      </c>
      <c r="C82" s="7">
        <v>428379</v>
      </c>
      <c r="D82" s="8"/>
      <c r="E82" s="7" t="s">
        <v>15</v>
      </c>
      <c r="F82" s="7" t="s">
        <v>47</v>
      </c>
      <c r="G82" s="7" t="s">
        <v>12</v>
      </c>
      <c r="H82" s="9" t="s">
        <v>11</v>
      </c>
      <c r="I82" s="9" t="s">
        <v>46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1</v>
      </c>
      <c r="AF82" s="9">
        <v>100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12">
        <v>100</v>
      </c>
      <c r="AV82" s="17">
        <f t="shared" si="10"/>
        <v>100</v>
      </c>
      <c r="AW82" s="1">
        <f t="shared" si="11"/>
        <v>70</v>
      </c>
    </row>
    <row r="83" spans="1:49" ht="19.2" x14ac:dyDescent="0.4">
      <c r="A83" s="6" t="s">
        <v>144</v>
      </c>
      <c r="B83" s="7" t="s">
        <v>27</v>
      </c>
      <c r="C83" s="7">
        <v>245889</v>
      </c>
      <c r="D83" s="8"/>
      <c r="E83" s="7" t="s">
        <v>15</v>
      </c>
      <c r="F83" s="7" t="s">
        <v>16</v>
      </c>
      <c r="G83" s="7" t="s">
        <v>12</v>
      </c>
      <c r="H83" s="9" t="s">
        <v>8</v>
      </c>
      <c r="I83" s="9" t="s">
        <v>28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9">
        <v>100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12">
        <v>100</v>
      </c>
      <c r="AV83" s="17">
        <f t="shared" si="10"/>
        <v>100</v>
      </c>
      <c r="AW83" s="1">
        <f t="shared" si="11"/>
        <v>70</v>
      </c>
    </row>
    <row r="84" spans="1:49" ht="19.2" x14ac:dyDescent="0.4">
      <c r="A84" s="6" t="s">
        <v>144</v>
      </c>
      <c r="B84" s="7" t="s">
        <v>115</v>
      </c>
      <c r="C84" s="7">
        <v>382640</v>
      </c>
      <c r="D84" s="8"/>
      <c r="E84" s="7" t="s">
        <v>15</v>
      </c>
      <c r="F84" s="7" t="s">
        <v>116</v>
      </c>
      <c r="G84" s="7" t="s">
        <v>12</v>
      </c>
      <c r="H84" s="9" t="s">
        <v>8</v>
      </c>
      <c r="I84" s="9" t="s">
        <v>117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1</v>
      </c>
      <c r="AF84" s="9">
        <v>0</v>
      </c>
      <c r="AG84" s="9">
        <v>100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12">
        <v>100</v>
      </c>
      <c r="AV84" s="17">
        <f t="shared" si="10"/>
        <v>100</v>
      </c>
      <c r="AW84" s="1">
        <f t="shared" si="11"/>
        <v>70</v>
      </c>
    </row>
    <row r="85" spans="1:49" x14ac:dyDescent="0.4">
      <c r="AU85" s="20">
        <f>SUM(AU2:AU84)</f>
        <v>1411769</v>
      </c>
      <c r="AW85" s="19">
        <f>SUM(AW2:AW84)</f>
        <v>986879.80999999994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2022-03-05T06:10:42Z</dcterms:modified>
</cp:coreProperties>
</file>