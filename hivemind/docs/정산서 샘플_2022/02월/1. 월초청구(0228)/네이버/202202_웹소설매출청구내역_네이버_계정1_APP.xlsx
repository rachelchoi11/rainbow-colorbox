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네이버\"/>
    </mc:Choice>
  </mc:AlternateContent>
  <bookViews>
    <workbookView xWindow="0" yWindow="0" windowWidth="23040" windowHeight="8952" tabRatio="766"/>
  </bookViews>
  <sheets>
    <sheet name="합계 (2)" sheetId="412" r:id="rId1"/>
  </sheets>
  <definedNames>
    <definedName name="_xlnm._FilterDatabase" localSheetId="0" hidden="1">'합계 (2)'!$A$1:$AM$1</definedName>
    <definedName name="_xlnm.Extract" localSheetId="0">'합계 (2)'!#REF!</definedName>
  </definedNames>
  <calcPr calcId="152511"/>
</workbook>
</file>

<file path=xl/calcChain.xml><?xml version="1.0" encoding="utf-8"?>
<calcChain xmlns="http://schemas.openxmlformats.org/spreadsheetml/2006/main">
  <c r="AU138" i="412" l="1"/>
  <c r="AW138" i="412" l="1"/>
  <c r="AV130" i="412" l="1"/>
  <c r="AW130" i="412"/>
  <c r="AV131" i="412"/>
  <c r="AW131" i="412" s="1"/>
  <c r="AV132" i="412"/>
  <c r="AW132" i="412" s="1"/>
  <c r="AV133" i="412"/>
  <c r="AW133" i="412" s="1"/>
  <c r="AV134" i="412"/>
  <c r="AW134" i="412" s="1"/>
  <c r="AV135" i="412"/>
  <c r="AW135" i="412" s="1"/>
  <c r="AV136" i="412"/>
  <c r="AW136" i="412"/>
  <c r="AV137" i="412"/>
  <c r="AW137" i="412" s="1"/>
  <c r="AV124" i="412" l="1"/>
  <c r="AW124" i="412" s="1"/>
  <c r="AV125" i="412"/>
  <c r="AW125" i="412" s="1"/>
  <c r="AV126" i="412"/>
  <c r="AW126" i="412" s="1"/>
  <c r="AV127" i="412"/>
  <c r="AW127" i="412" s="1"/>
  <c r="AV128" i="412"/>
  <c r="AW128" i="412" s="1"/>
  <c r="AV129" i="412"/>
  <c r="AW129" i="412" s="1"/>
  <c r="AV3" i="412" l="1"/>
  <c r="AW3" i="412" s="1"/>
  <c r="AV4" i="412"/>
  <c r="AW4" i="412" s="1"/>
  <c r="AV5" i="412"/>
  <c r="AW5" i="412" s="1"/>
  <c r="AV6" i="412"/>
  <c r="AW6" i="412" s="1"/>
  <c r="AV7" i="412"/>
  <c r="AW7" i="412" s="1"/>
  <c r="AV8" i="412"/>
  <c r="AW8" i="412" s="1"/>
  <c r="AV9" i="412"/>
  <c r="AW9" i="412" s="1"/>
  <c r="AV10" i="412"/>
  <c r="AW10" i="412" s="1"/>
  <c r="AV11" i="412"/>
  <c r="AW11" i="412" s="1"/>
  <c r="AV12" i="412"/>
  <c r="AW12" i="412" s="1"/>
  <c r="AV13" i="412"/>
  <c r="AW13" i="412" s="1"/>
  <c r="AV14" i="412"/>
  <c r="AW14" i="412" s="1"/>
  <c r="AV15" i="412"/>
  <c r="AW15" i="412" s="1"/>
  <c r="AV16" i="412"/>
  <c r="AW16" i="412" s="1"/>
  <c r="AV17" i="412"/>
  <c r="AW17" i="412" s="1"/>
  <c r="AV18" i="412"/>
  <c r="AW18" i="412" s="1"/>
  <c r="AV19" i="412"/>
  <c r="AW19" i="412" s="1"/>
  <c r="AV20" i="412"/>
  <c r="AW20" i="412" s="1"/>
  <c r="AV21" i="412"/>
  <c r="AW21" i="412" s="1"/>
  <c r="AV22" i="412"/>
  <c r="AW22" i="412" s="1"/>
  <c r="AV23" i="412"/>
  <c r="AW23" i="412" s="1"/>
  <c r="AV24" i="412"/>
  <c r="AW24" i="412" s="1"/>
  <c r="AV25" i="412"/>
  <c r="AW25" i="412" s="1"/>
  <c r="AV26" i="412"/>
  <c r="AW26" i="412" s="1"/>
  <c r="AV27" i="412"/>
  <c r="AW27" i="412" s="1"/>
  <c r="AV28" i="412"/>
  <c r="AW28" i="412" s="1"/>
  <c r="AV29" i="412"/>
  <c r="AW29" i="412" s="1"/>
  <c r="AV30" i="412"/>
  <c r="AW30" i="412" s="1"/>
  <c r="AV31" i="412"/>
  <c r="AW31" i="412" s="1"/>
  <c r="AV32" i="412"/>
  <c r="AW32" i="412" s="1"/>
  <c r="AV33" i="412"/>
  <c r="AW33" i="412" s="1"/>
  <c r="AV34" i="412"/>
  <c r="AW34" i="412" s="1"/>
  <c r="AV35" i="412"/>
  <c r="AW35" i="412" s="1"/>
  <c r="AV36" i="412"/>
  <c r="AW36" i="412" s="1"/>
  <c r="AV37" i="412"/>
  <c r="AW37" i="412" s="1"/>
  <c r="AV38" i="412"/>
  <c r="AW38" i="412" s="1"/>
  <c r="AV39" i="412"/>
  <c r="AW39" i="412" s="1"/>
  <c r="AV40" i="412"/>
  <c r="AW40" i="412" s="1"/>
  <c r="AV41" i="412"/>
  <c r="AW41" i="412" s="1"/>
  <c r="AV42" i="412"/>
  <c r="AW42" i="412" s="1"/>
  <c r="AV43" i="412"/>
  <c r="AW43" i="412" s="1"/>
  <c r="AV44" i="412"/>
  <c r="AW44" i="412" s="1"/>
  <c r="AV45" i="412"/>
  <c r="AW45" i="412" s="1"/>
  <c r="AV46" i="412"/>
  <c r="AW46" i="412" s="1"/>
  <c r="AV47" i="412"/>
  <c r="AW47" i="412" s="1"/>
  <c r="AV48" i="412"/>
  <c r="AW48" i="412" s="1"/>
  <c r="AV49" i="412"/>
  <c r="AW49" i="412" s="1"/>
  <c r="AV50" i="412"/>
  <c r="AW50" i="412" s="1"/>
  <c r="AV51" i="412"/>
  <c r="AW51" i="412" s="1"/>
  <c r="AV52" i="412"/>
  <c r="AW52" i="412" s="1"/>
  <c r="AV53" i="412"/>
  <c r="AW53" i="412" s="1"/>
  <c r="AV54" i="412"/>
  <c r="AW54" i="412" s="1"/>
  <c r="AV55" i="412"/>
  <c r="AW55" i="412" s="1"/>
  <c r="AV56" i="412"/>
  <c r="AW56" i="412" s="1"/>
  <c r="AV57" i="412"/>
  <c r="AW57" i="412" s="1"/>
  <c r="AV58" i="412"/>
  <c r="AW58" i="412" s="1"/>
  <c r="AV59" i="412"/>
  <c r="AW59" i="412" s="1"/>
  <c r="AV60" i="412"/>
  <c r="AW60" i="412" s="1"/>
  <c r="AV61" i="412"/>
  <c r="AW61" i="412" s="1"/>
  <c r="AV62" i="412"/>
  <c r="AW62" i="412" s="1"/>
  <c r="AV63" i="412"/>
  <c r="AW63" i="412" s="1"/>
  <c r="AV64" i="412"/>
  <c r="AW64" i="412" s="1"/>
  <c r="AV65" i="412"/>
  <c r="AW65" i="412" s="1"/>
  <c r="AV66" i="412"/>
  <c r="AW66" i="412" s="1"/>
  <c r="AV67" i="412"/>
  <c r="AW67" i="412" s="1"/>
  <c r="AV68" i="412"/>
  <c r="AW68" i="412" s="1"/>
  <c r="AV69" i="412"/>
  <c r="AW69" i="412" s="1"/>
  <c r="AV70" i="412"/>
  <c r="AW70" i="412" s="1"/>
  <c r="AV71" i="412"/>
  <c r="AW71" i="412" s="1"/>
  <c r="AV72" i="412"/>
  <c r="AW72" i="412" s="1"/>
  <c r="AV73" i="412"/>
  <c r="AW73" i="412" s="1"/>
  <c r="AV74" i="412"/>
  <c r="AW74" i="412" s="1"/>
  <c r="AV75" i="412"/>
  <c r="AW75" i="412" s="1"/>
  <c r="AV76" i="412"/>
  <c r="AW76" i="412" s="1"/>
  <c r="AV77" i="412"/>
  <c r="AW77" i="412" s="1"/>
  <c r="AV78" i="412"/>
  <c r="AW78" i="412" s="1"/>
  <c r="AV79" i="412"/>
  <c r="AW79" i="412" s="1"/>
  <c r="AV80" i="412"/>
  <c r="AW80" i="412" s="1"/>
  <c r="AV81" i="412"/>
  <c r="AW81" i="412" s="1"/>
  <c r="AV82" i="412"/>
  <c r="AW82" i="412" s="1"/>
  <c r="AV83" i="412"/>
  <c r="AW83" i="412" s="1"/>
  <c r="AV84" i="412"/>
  <c r="AW84" i="412" s="1"/>
  <c r="AV85" i="412"/>
  <c r="AW85" i="412" s="1"/>
  <c r="AV86" i="412"/>
  <c r="AW86" i="412" s="1"/>
  <c r="AV87" i="412"/>
  <c r="AW87" i="412" s="1"/>
  <c r="AV88" i="412"/>
  <c r="AW88" i="412" s="1"/>
  <c r="AV89" i="412"/>
  <c r="AW89" i="412" s="1"/>
  <c r="AV90" i="412"/>
  <c r="AW90" i="412" s="1"/>
  <c r="AV91" i="412"/>
  <c r="AW91" i="412" s="1"/>
  <c r="AV92" i="412"/>
  <c r="AW92" i="412" s="1"/>
  <c r="AV93" i="412"/>
  <c r="AW93" i="412" s="1"/>
  <c r="AV94" i="412"/>
  <c r="AW94" i="412" s="1"/>
  <c r="AV95" i="412"/>
  <c r="AW95" i="412" s="1"/>
  <c r="AV96" i="412"/>
  <c r="AW96" i="412" s="1"/>
  <c r="AV97" i="412"/>
  <c r="AW97" i="412" s="1"/>
  <c r="AV98" i="412"/>
  <c r="AW98" i="412" s="1"/>
  <c r="AV99" i="412"/>
  <c r="AW99" i="412" s="1"/>
  <c r="AV100" i="412"/>
  <c r="AW100" i="412" s="1"/>
  <c r="AV101" i="412"/>
  <c r="AW101" i="412" s="1"/>
  <c r="AV102" i="412"/>
  <c r="AW102" i="412" s="1"/>
  <c r="AV103" i="412"/>
  <c r="AW103" i="412" s="1"/>
  <c r="AV104" i="412"/>
  <c r="AW104" i="412" s="1"/>
  <c r="AV105" i="412"/>
  <c r="AW105" i="412" s="1"/>
  <c r="AV106" i="412"/>
  <c r="AW106" i="412" s="1"/>
  <c r="AV107" i="412"/>
  <c r="AW107" i="412" s="1"/>
  <c r="AV108" i="412"/>
  <c r="AW108" i="412" s="1"/>
  <c r="AV109" i="412"/>
  <c r="AW109" i="412" s="1"/>
  <c r="AV110" i="412"/>
  <c r="AW110" i="412" s="1"/>
  <c r="AV111" i="412"/>
  <c r="AW111" i="412" s="1"/>
  <c r="AV112" i="412"/>
  <c r="AW112" i="412" s="1"/>
  <c r="AV113" i="412"/>
  <c r="AW113" i="412" s="1"/>
  <c r="AV114" i="412"/>
  <c r="AW114" i="412" s="1"/>
  <c r="AV115" i="412"/>
  <c r="AW115" i="412" s="1"/>
  <c r="AV116" i="412"/>
  <c r="AW116" i="412" s="1"/>
  <c r="AV117" i="412"/>
  <c r="AW117" i="412" s="1"/>
  <c r="AV118" i="412"/>
  <c r="AW118" i="412" s="1"/>
  <c r="AV119" i="412"/>
  <c r="AW119" i="412" s="1"/>
  <c r="AV120" i="412"/>
  <c r="AW120" i="412" s="1"/>
  <c r="AV121" i="412"/>
  <c r="AW121" i="412" s="1"/>
  <c r="AV122" i="412"/>
  <c r="AW122" i="412" s="1"/>
  <c r="AV123" i="412"/>
  <c r="AW123" i="412" s="1"/>
  <c r="AV2" i="412"/>
  <c r="AW2" i="412" s="1"/>
</calcChain>
</file>

<file path=xl/sharedStrings.xml><?xml version="1.0" encoding="utf-8"?>
<sst xmlns="http://schemas.openxmlformats.org/spreadsheetml/2006/main" count="1001" uniqueCount="157">
  <si>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</si>
  <si>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</si>
  <si>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</si>
  <si>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</si>
  <si>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</si>
  <si>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</si>
  <si>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</si>
  <si>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</si>
  <si>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전체이용가</t>
  </si>
  <si>
    <t>15세 이상 이용가능</t>
  </si>
  <si>
    <t>구분</t>
    <phoneticPr fontId="20" type="noConversion"/>
  </si>
  <si>
    <t>2018.02.21</t>
  </si>
  <si>
    <t>12세 이상 이용가능</t>
  </si>
  <si>
    <t>스토리위즈</t>
  </si>
  <si>
    <t>권용찬</t>
  </si>
  <si>
    <t>김광수</t>
  </si>
  <si>
    <t>회귀의 전설</t>
  </si>
  <si>
    <t>다크메이지 [단행본]</t>
  </si>
  <si>
    <t>김정률</t>
  </si>
  <si>
    <t>2014.10.23</t>
  </si>
  <si>
    <t>소드엠페러 [단행본]</t>
  </si>
  <si>
    <t>2014.10.22</t>
  </si>
  <si>
    <t>트루베니아 연대기 [단행본]</t>
  </si>
  <si>
    <t>21세기 대마법사</t>
  </si>
  <si>
    <t>주식회사 스토리위즈</t>
  </si>
  <si>
    <t>2020.09.16</t>
  </si>
  <si>
    <t>마계대공 연대기 [단행본]</t>
  </si>
  <si>
    <t>2014.08.20</t>
  </si>
  <si>
    <t>21세기 대마법사 [단행본]</t>
  </si>
  <si>
    <t>2014.07.24</t>
  </si>
  <si>
    <t>소드엠페러</t>
  </si>
  <si>
    <t>2020.12.18</t>
  </si>
  <si>
    <t>마신부활 [독점]</t>
  </si>
  <si>
    <t>만렙도끼</t>
  </si>
  <si>
    <t>하프블러드 [단행본]</t>
  </si>
  <si>
    <t>2014.10.21</t>
  </si>
  <si>
    <t>마왕 데이몬 [단행본]</t>
  </si>
  <si>
    <t>소드마스터의 환생 [독점]</t>
  </si>
  <si>
    <t>파란영</t>
  </si>
  <si>
    <t>2019.05.22</t>
  </si>
  <si>
    <t>데이몬 [단행본]</t>
  </si>
  <si>
    <t>2014.10.20</t>
  </si>
  <si>
    <t>블레이드헌터 [단행본]</t>
  </si>
  <si>
    <t>아나크레온 [단행본]</t>
  </si>
  <si>
    <t>2014.11.18</t>
  </si>
  <si>
    <t>만인지상 [단행본]</t>
  </si>
  <si>
    <t>전혁</t>
  </si>
  <si>
    <t>2015.05.27</t>
  </si>
  <si>
    <t>2020.08.12</t>
  </si>
  <si>
    <t>검령천하: 나의 검 너의 노래 [독점]</t>
  </si>
  <si>
    <t>금시조</t>
  </si>
  <si>
    <t>2020.08.10</t>
  </si>
  <si>
    <t>스피릿 소드 [단행본]</t>
  </si>
  <si>
    <t>2017.03.23</t>
  </si>
  <si>
    <t>마스터 K [단행본]</t>
  </si>
  <si>
    <t>2014.07.02</t>
  </si>
  <si>
    <t>스피릿 소드</t>
  </si>
  <si>
    <t>2016.07.06</t>
  </si>
  <si>
    <t>스트라이커</t>
  </si>
  <si>
    <t>독고진</t>
  </si>
  <si>
    <t>2016.05.25</t>
  </si>
  <si>
    <t>아나크레온</t>
  </si>
  <si>
    <t>2014.10.29</t>
  </si>
  <si>
    <t>월풍 [단행본]</t>
  </si>
  <si>
    <t>철중쟁쟁 [단행본]</t>
  </si>
  <si>
    <t>2016.03.17</t>
  </si>
  <si>
    <t>하프블러드</t>
  </si>
  <si>
    <t>트루베니아 연대기</t>
  </si>
  <si>
    <t>2020.10.13</t>
  </si>
  <si>
    <t>신궁전설 [단행본]</t>
  </si>
  <si>
    <t>2015.05.28</t>
  </si>
  <si>
    <t>신마협도 [단행본]</t>
  </si>
  <si>
    <t>2017.08.22</t>
  </si>
  <si>
    <t>화산지애 [단행본]</t>
  </si>
  <si>
    <t>2015.03.05</t>
  </si>
  <si>
    <t>데이몬</t>
  </si>
  <si>
    <t>2020.10.27</t>
  </si>
  <si>
    <t>절대비만 [단행본]</t>
  </si>
  <si>
    <t>2020.08.07</t>
  </si>
  <si>
    <t>영웅[개정판]</t>
  </si>
  <si>
    <t>2016.04.13</t>
  </si>
  <si>
    <t>칼 [단행본]</t>
  </si>
  <si>
    <t>작가무림</t>
  </si>
  <si>
    <t>군주</t>
  </si>
  <si>
    <t>상계무적 [단행본]</t>
  </si>
  <si>
    <t>2015.07.03</t>
  </si>
  <si>
    <t>천조를 가진 남자</t>
  </si>
  <si>
    <t>두경</t>
  </si>
  <si>
    <t>2017.11.15</t>
  </si>
  <si>
    <t>용중신권 [단행본]</t>
  </si>
  <si>
    <t>작가무림 [단행본]</t>
  </si>
  <si>
    <t>2020.09.11</t>
  </si>
  <si>
    <t>천조를 가진 남자 [단행본]</t>
  </si>
  <si>
    <t>스트라이커 [완전판] [단행본]</t>
  </si>
  <si>
    <t>2016.11.29</t>
  </si>
  <si>
    <t>절륜공자 [단행본]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</si>
  <si>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</si>
  <si>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</si>
  <si>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</si>
  <si>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</si>
  <si>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</si>
  <si>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</si>
  <si>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</si>
  <si>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</si>
  <si>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</si>
  <si>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</si>
  <si>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</si>
  <si>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i쿠키 수수료</t>
  </si>
  <si>
    <t>합계</t>
  </si>
  <si>
    <t>순매출(합계-수수료)</t>
    <phoneticPr fontId="20" type="noConversion"/>
  </si>
  <si>
    <t>SW 매출</t>
    <phoneticPr fontId="20" type="noConversion"/>
  </si>
  <si>
    <t>2021.02.20</t>
  </si>
  <si>
    <t>용중신권</t>
  </si>
  <si>
    <t>파계 [단행본]</t>
  </si>
  <si>
    <t>2016.06.10</t>
  </si>
  <si>
    <t>수적왕 [단행본]</t>
  </si>
  <si>
    <t>2016.03.15</t>
  </si>
  <si>
    <t>수적왕</t>
  </si>
  <si>
    <t>절륜공자</t>
  </si>
  <si>
    <t>소드마스터의 환생 [단행본]</t>
  </si>
  <si>
    <t>게이트 헌터</t>
  </si>
  <si>
    <t>2016.12.25</t>
  </si>
  <si>
    <t>2021.08.12</t>
  </si>
  <si>
    <t>바람의 기사, 아르테온 [단행본]</t>
  </si>
  <si>
    <t>2014.11.27</t>
  </si>
  <si>
    <t>독종무쌍 [단행본]</t>
  </si>
  <si>
    <t>2015.04.17</t>
  </si>
  <si>
    <t>레이드 만물상점</t>
  </si>
  <si>
    <t>2016.01.22</t>
  </si>
  <si>
    <t>절대비만</t>
  </si>
  <si>
    <t>레이드 만물상점[완전판] [단행본]</t>
  </si>
  <si>
    <t>2016.06.16</t>
  </si>
  <si>
    <t>프리 나이트 [단행본]</t>
  </si>
  <si>
    <t>2014.10.01</t>
  </si>
  <si>
    <t>철중쟁쟁</t>
  </si>
  <si>
    <t>화산지애</t>
  </si>
  <si>
    <t>2020.09.07</t>
  </si>
  <si>
    <t>스포트라이트</t>
  </si>
  <si>
    <t>2018.03.29</t>
  </si>
  <si>
    <t>신마협도</t>
  </si>
  <si>
    <t>게이트 헌터 [완전판] [단행본]</t>
  </si>
  <si>
    <t>2017.04.26</t>
  </si>
  <si>
    <t>신을 죽이러 갑니다</t>
  </si>
  <si>
    <t>2018.08.24</t>
  </si>
  <si>
    <t>포르트무스</t>
  </si>
  <si>
    <t>2019.10.01</t>
  </si>
  <si>
    <t>신규무사</t>
  </si>
  <si>
    <t>2018.11.06</t>
  </si>
  <si>
    <t>검산도해</t>
  </si>
  <si>
    <t>2020.04.28</t>
  </si>
  <si>
    <t>바람의 기사, 아르테온</t>
  </si>
  <si>
    <t>2020.09.08</t>
  </si>
  <si>
    <t>독종무쌍</t>
  </si>
  <si>
    <t>칼</t>
  </si>
  <si>
    <t>시리즈APP</t>
    <phoneticPr fontId="20" type="noConversion"/>
  </si>
  <si>
    <t>완전판APP</t>
    <phoneticPr fontId="20" type="noConversion"/>
  </si>
  <si>
    <t>시리즈IOS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</si>
</sst>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9" fillId="34" borderId="0" xfId="0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41" fontId="0" fillId="0" borderId="0" xfId="42" applyFont="1">
      <alignment vertical="center"/>
    </xf>
    <xf numFmtId="41" fontId="0" fillId="34" borderId="0" xfId="42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145"/>
  <sheetViews>
    <sheetView tabSelected="1" topLeftCell="V118" zoomScale="85" zoomScaleNormal="85" workbookViewId="0">
      <selection activeCell="AU138" sqref="AU138"/>
    </sheetView>
  </sheetViews>
  <sheetFormatPr defaultRowHeight="17.399999999999999" x14ac:dyDescent="0.4"/>
  <cols>
    <col min="1" max="1" width="9.3984375" style="1" customWidth="1"/>
    <col min="2" max="2" width="20" bestFit="1" customWidth="1"/>
    <col min="3" max="3" width="6.5" customWidth="1"/>
    <col min="4" max="4" width="7.19921875" customWidth="1"/>
    <col min="5" max="5" width="10" customWidth="1"/>
    <col min="6" max="6" width="10.296875" customWidth="1"/>
    <col min="7" max="7" width="10" bestFit="1" customWidth="1"/>
    <col min="8" max="8" width="13.59765625" customWidth="1"/>
    <col min="9" max="9" width="7.3984375" customWidth="1"/>
    <col min="10" max="10" width="4.296875" customWidth="1"/>
    <col min="11" max="11" width="4.796875" customWidth="1"/>
    <col min="12" max="12" width="7.19921875" customWidth="1"/>
    <col min="13" max="13" width="6.69921875" customWidth="1"/>
    <col min="14" max="14" width="6" customWidth="1"/>
    <col min="15" max="16" width="6.296875" customWidth="1"/>
    <col min="17" max="17" width="5" customWidth="1"/>
    <col min="18" max="18" width="4.796875" customWidth="1"/>
    <col min="19" max="19" width="7.19921875" customWidth="1"/>
    <col min="20" max="20" width="6.69921875" customWidth="1"/>
    <col min="21" max="21" width="6" customWidth="1"/>
    <col min="22" max="23" width="6.296875" customWidth="1"/>
    <col min="24" max="24" width="3.59765625" customWidth="1"/>
    <col min="25" max="25" width="5" customWidth="1"/>
    <col min="26" max="27" width="3.59765625" customWidth="1"/>
    <col min="28" max="28" width="5" customWidth="1"/>
    <col min="29" max="29" width="4.296875" customWidth="1"/>
    <col min="30" max="35" width="3.59765625" customWidth="1"/>
    <col min="36" max="36" width="12.796875" bestFit="1" customWidth="1"/>
    <col min="37" max="38" width="12.8984375" bestFit="1" customWidth="1"/>
    <col min="39" max="39" width="15.69921875" bestFit="1" customWidth="1"/>
    <col min="47" max="47" width="13.8984375" bestFit="1" customWidth="1"/>
    <col min="48" max="48" width="13.5" bestFit="1" customWidth="1"/>
    <col min="49" max="49" width="13.3984375" customWidth="1"/>
  </cols>
  <sheetData>
    <row r="1" spans="1:49" ht="38.4" x14ac:dyDescent="0.4">
      <c r="A1" s="2" t="s">
        <v>10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6</v>
      </c>
      <c r="I1" s="3" t="s">
        <v>7</v>
      </c>
      <c r="J1" s="12" t="s">
        <v>96</v>
      </c>
      <c r="K1" s="12" t="s">
        <v>97</v>
      </c>
      <c r="L1" s="12" t="s">
        <v>98</v>
      </c>
      <c r="M1" s="12" t="s">
        <v>99</v>
      </c>
      <c r="N1" s="12" t="s">
        <v>100</v>
      </c>
      <c r="O1" s="12" t="s">
        <v>101</v>
      </c>
      <c r="P1" s="12" t="s">
        <v>102</v>
      </c>
      <c r="Q1" s="12" t="s">
        <v>103</v>
      </c>
      <c r="R1" s="12" t="s">
        <v>104</v>
      </c>
      <c r="S1" s="12" t="s">
        <v>96</v>
      </c>
      <c r="T1" s="12" t="s">
        <v>97</v>
      </c>
      <c r="U1" s="12" t="s">
        <v>98</v>
      </c>
      <c r="V1" s="12" t="s">
        <v>99</v>
      </c>
      <c r="W1" s="12" t="s">
        <v>100</v>
      </c>
      <c r="X1" s="12" t="s">
        <v>101</v>
      </c>
      <c r="Y1" s="12" t="s">
        <v>102</v>
      </c>
      <c r="Z1" s="12" t="s">
        <v>103</v>
      </c>
      <c r="AA1" s="12" t="s">
        <v>104</v>
      </c>
      <c r="AB1" s="12" t="s">
        <v>96</v>
      </c>
      <c r="AC1" s="12" t="s">
        <v>105</v>
      </c>
      <c r="AD1" s="12" t="s">
        <v>106</v>
      </c>
      <c r="AE1" s="12" t="s">
        <v>96</v>
      </c>
      <c r="AF1" s="12" t="s">
        <v>105</v>
      </c>
      <c r="AG1" s="12" t="s">
        <v>106</v>
      </c>
      <c r="AH1" s="12" t="s">
        <v>96</v>
      </c>
      <c r="AI1" s="12" t="s">
        <v>105</v>
      </c>
      <c r="AJ1" s="12" t="s">
        <v>106</v>
      </c>
      <c r="AK1" s="12" t="s">
        <v>96</v>
      </c>
      <c r="AL1" s="12" t="s">
        <v>105</v>
      </c>
      <c r="AM1" s="12" t="s">
        <v>106</v>
      </c>
      <c r="AN1" s="13" t="s">
        <v>107</v>
      </c>
      <c r="AO1" s="12" t="s">
        <v>96</v>
      </c>
      <c r="AP1" s="12" t="s">
        <v>105</v>
      </c>
      <c r="AQ1" s="12" t="s">
        <v>106</v>
      </c>
      <c r="AR1" s="12" t="s">
        <v>96</v>
      </c>
      <c r="AS1" s="12" t="s">
        <v>105</v>
      </c>
      <c r="AT1" s="12" t="s">
        <v>106</v>
      </c>
      <c r="AU1" s="13" t="s">
        <v>108</v>
      </c>
      <c r="AV1" s="12" t="s">
        <v>109</v>
      </c>
      <c r="AW1" s="12" t="s">
        <v>110</v>
      </c>
    </row>
    <row r="2" spans="1:49" x14ac:dyDescent="0.4">
      <c r="A2" s="5" t="s">
        <v>154</v>
      </c>
      <c r="B2" s="5" t="s">
        <v>16</v>
      </c>
      <c r="C2" s="5">
        <v>355332</v>
      </c>
      <c r="D2" s="6"/>
      <c r="E2" s="5" t="s">
        <v>13</v>
      </c>
      <c r="F2" s="5" t="s">
        <v>15</v>
      </c>
      <c r="G2" s="5" t="s">
        <v>13</v>
      </c>
      <c r="H2" s="7" t="s">
        <v>9</v>
      </c>
      <c r="I2" s="7" t="s">
        <v>122</v>
      </c>
      <c r="J2" s="7">
        <v>28</v>
      </c>
      <c r="K2" s="7">
        <v>240</v>
      </c>
      <c r="L2" s="8">
        <v>2800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21</v>
      </c>
      <c r="T2" s="8">
        <v>4674</v>
      </c>
      <c r="U2" s="7">
        <v>0</v>
      </c>
      <c r="V2" s="7">
        <v>100</v>
      </c>
      <c r="W2" s="7">
        <v>0</v>
      </c>
      <c r="X2" s="8">
        <v>2400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8">
        <v>80881</v>
      </c>
      <c r="AF2" s="8">
        <v>7029300</v>
      </c>
      <c r="AG2" s="8">
        <v>1058800</v>
      </c>
      <c r="AH2" s="7">
        <v>0</v>
      </c>
      <c r="AI2" s="7">
        <v>0</v>
      </c>
      <c r="AJ2" s="7">
        <v>0</v>
      </c>
      <c r="AK2" s="7">
        <v>9</v>
      </c>
      <c r="AL2" s="7">
        <v>0</v>
      </c>
      <c r="AM2" s="7">
        <v>900</v>
      </c>
      <c r="AN2" s="7">
        <v>720</v>
      </c>
      <c r="AO2" s="7">
        <v>0</v>
      </c>
      <c r="AP2" s="7">
        <v>0</v>
      </c>
      <c r="AQ2" s="7">
        <v>0</v>
      </c>
      <c r="AR2" s="8">
        <v>9317</v>
      </c>
      <c r="AS2" s="8">
        <v>907700</v>
      </c>
      <c r="AT2" s="8">
        <v>24000</v>
      </c>
      <c r="AU2" s="10">
        <v>9026000</v>
      </c>
      <c r="AV2" s="14">
        <f>AU2-AN2</f>
        <v>9025280</v>
      </c>
      <c r="AW2" s="15">
        <f>AV2*70%</f>
        <v>6317696</v>
      </c>
    </row>
    <row r="3" spans="1:49" x14ac:dyDescent="0.4">
      <c r="A3" s="5" t="s">
        <v>154</v>
      </c>
      <c r="B3" s="5" t="s">
        <v>17</v>
      </c>
      <c r="C3" s="5">
        <v>159260</v>
      </c>
      <c r="D3" s="6"/>
      <c r="E3" s="5" t="s">
        <v>13</v>
      </c>
      <c r="F3" s="5" t="s">
        <v>18</v>
      </c>
      <c r="G3" s="5" t="s">
        <v>13</v>
      </c>
      <c r="H3" s="7" t="s">
        <v>8</v>
      </c>
      <c r="I3" s="7" t="s">
        <v>19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508</v>
      </c>
      <c r="AC3" s="8">
        <v>398400</v>
      </c>
      <c r="AD3" s="8">
        <v>57400</v>
      </c>
      <c r="AE3" s="7">
        <v>119</v>
      </c>
      <c r="AF3" s="8">
        <v>363000</v>
      </c>
      <c r="AG3" s="8">
        <v>16300</v>
      </c>
      <c r="AH3" s="7">
        <v>1</v>
      </c>
      <c r="AI3" s="7">
        <v>360</v>
      </c>
      <c r="AJ3" s="7">
        <v>0</v>
      </c>
      <c r="AK3" s="7">
        <v>0</v>
      </c>
      <c r="AL3" s="7">
        <v>0</v>
      </c>
      <c r="AM3" s="7">
        <v>0</v>
      </c>
      <c r="AN3" s="7">
        <v>108</v>
      </c>
      <c r="AO3" s="7">
        <v>56</v>
      </c>
      <c r="AP3" s="8">
        <v>47900</v>
      </c>
      <c r="AQ3" s="8">
        <v>1800</v>
      </c>
      <c r="AR3" s="7">
        <v>26</v>
      </c>
      <c r="AS3" s="8">
        <v>79900</v>
      </c>
      <c r="AT3" s="8">
        <v>1600</v>
      </c>
      <c r="AU3" s="10">
        <v>966660</v>
      </c>
      <c r="AV3" s="14">
        <f t="shared" ref="AV3:AV66" si="0">AU3-AN3</f>
        <v>966552</v>
      </c>
      <c r="AW3" s="15">
        <f t="shared" ref="AW3:AW66" si="1">AV3*70%</f>
        <v>676586.39999999991</v>
      </c>
    </row>
    <row r="4" spans="1:49" x14ac:dyDescent="0.4">
      <c r="A4" s="5" t="s">
        <v>154</v>
      </c>
      <c r="B4" s="5" t="s">
        <v>20</v>
      </c>
      <c r="C4" s="5">
        <v>161539</v>
      </c>
      <c r="D4" s="6"/>
      <c r="E4" s="5" t="s">
        <v>13</v>
      </c>
      <c r="F4" s="5" t="s">
        <v>18</v>
      </c>
      <c r="G4" s="5" t="s">
        <v>13</v>
      </c>
      <c r="H4" s="7" t="s">
        <v>8</v>
      </c>
      <c r="I4" s="7" t="s">
        <v>21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246</v>
      </c>
      <c r="AC4" s="8">
        <v>195200</v>
      </c>
      <c r="AD4" s="8">
        <v>25800</v>
      </c>
      <c r="AE4" s="7">
        <v>80</v>
      </c>
      <c r="AF4" s="8">
        <v>230500</v>
      </c>
      <c r="AG4" s="8">
        <v>22600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28</v>
      </c>
      <c r="AP4" s="8">
        <v>23600</v>
      </c>
      <c r="AQ4" s="8">
        <v>1100</v>
      </c>
      <c r="AR4" s="7">
        <v>20</v>
      </c>
      <c r="AS4" s="8">
        <v>60500</v>
      </c>
      <c r="AT4" s="7">
        <v>0</v>
      </c>
      <c r="AU4" s="10">
        <v>559300</v>
      </c>
      <c r="AV4" s="14">
        <f t="shared" si="0"/>
        <v>559300</v>
      </c>
      <c r="AW4" s="15">
        <f t="shared" si="1"/>
        <v>391510</v>
      </c>
    </row>
    <row r="5" spans="1:49" x14ac:dyDescent="0.4">
      <c r="A5" s="5" t="s">
        <v>154</v>
      </c>
      <c r="B5" s="5" t="s">
        <v>22</v>
      </c>
      <c r="C5" s="5">
        <v>159270</v>
      </c>
      <c r="D5" s="6"/>
      <c r="E5" s="5" t="s">
        <v>13</v>
      </c>
      <c r="F5" s="5" t="s">
        <v>18</v>
      </c>
      <c r="G5" s="5" t="s">
        <v>13</v>
      </c>
      <c r="H5" s="7" t="s">
        <v>12</v>
      </c>
      <c r="I5" s="7" t="s">
        <v>21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183</v>
      </c>
      <c r="AC5" s="8">
        <v>149000</v>
      </c>
      <c r="AD5" s="8">
        <v>15100</v>
      </c>
      <c r="AE5" s="7">
        <v>43</v>
      </c>
      <c r="AF5" s="8">
        <v>137600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44</v>
      </c>
      <c r="AP5" s="8">
        <v>38200</v>
      </c>
      <c r="AQ5" s="8">
        <v>1100</v>
      </c>
      <c r="AR5" s="7">
        <v>0</v>
      </c>
      <c r="AS5" s="7">
        <v>0</v>
      </c>
      <c r="AT5" s="7">
        <v>0</v>
      </c>
      <c r="AU5" s="10">
        <v>341000</v>
      </c>
      <c r="AV5" s="14">
        <f t="shared" si="0"/>
        <v>341000</v>
      </c>
      <c r="AW5" s="15">
        <f t="shared" si="1"/>
        <v>238699.99999999997</v>
      </c>
    </row>
    <row r="6" spans="1:49" x14ac:dyDescent="0.4">
      <c r="A6" s="5" t="s">
        <v>154</v>
      </c>
      <c r="B6" s="5" t="s">
        <v>34</v>
      </c>
      <c r="C6" s="5">
        <v>159268</v>
      </c>
      <c r="D6" s="6"/>
      <c r="E6" s="5" t="s">
        <v>13</v>
      </c>
      <c r="F6" s="5" t="s">
        <v>18</v>
      </c>
      <c r="G6" s="5" t="s">
        <v>13</v>
      </c>
      <c r="H6" s="7" t="s">
        <v>8</v>
      </c>
      <c r="I6" s="7" t="s">
        <v>35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107</v>
      </c>
      <c r="AC6" s="8">
        <v>64100</v>
      </c>
      <c r="AD6" s="8">
        <v>31700</v>
      </c>
      <c r="AE6" s="7">
        <v>41</v>
      </c>
      <c r="AF6" s="8">
        <v>118400</v>
      </c>
      <c r="AG6" s="8">
        <v>12800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27</v>
      </c>
      <c r="AP6" s="8">
        <v>23900</v>
      </c>
      <c r="AQ6" s="7">
        <v>0</v>
      </c>
      <c r="AR6" s="7">
        <v>0</v>
      </c>
      <c r="AS6" s="7">
        <v>0</v>
      </c>
      <c r="AT6" s="7">
        <v>0</v>
      </c>
      <c r="AU6" s="10">
        <v>250900</v>
      </c>
      <c r="AV6" s="14">
        <f t="shared" si="0"/>
        <v>250900</v>
      </c>
      <c r="AW6" s="15">
        <f t="shared" si="1"/>
        <v>175630</v>
      </c>
    </row>
    <row r="7" spans="1:49" x14ac:dyDescent="0.4">
      <c r="A7" s="5" t="s">
        <v>154</v>
      </c>
      <c r="B7" s="5" t="s">
        <v>30</v>
      </c>
      <c r="C7" s="5">
        <v>418829</v>
      </c>
      <c r="D7" s="6"/>
      <c r="E7" s="5" t="s">
        <v>13</v>
      </c>
      <c r="F7" s="5" t="s">
        <v>18</v>
      </c>
      <c r="G7" s="5" t="s">
        <v>13</v>
      </c>
      <c r="H7" s="7" t="s">
        <v>8</v>
      </c>
      <c r="I7" s="7" t="s">
        <v>31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76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8">
        <v>1766</v>
      </c>
      <c r="AF7" s="8">
        <v>127900</v>
      </c>
      <c r="AG7" s="8">
        <v>48700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36</v>
      </c>
      <c r="AS7" s="8">
        <v>3600</v>
      </c>
      <c r="AT7" s="7">
        <v>0</v>
      </c>
      <c r="AU7" s="10">
        <v>180200</v>
      </c>
      <c r="AV7" s="14">
        <f t="shared" si="0"/>
        <v>180200</v>
      </c>
      <c r="AW7" s="15">
        <f t="shared" si="1"/>
        <v>126139.99999999999</v>
      </c>
    </row>
    <row r="8" spans="1:49" x14ac:dyDescent="0.4">
      <c r="A8" s="5" t="s">
        <v>154</v>
      </c>
      <c r="B8" s="5" t="s">
        <v>28</v>
      </c>
      <c r="C8" s="5">
        <v>161447</v>
      </c>
      <c r="D8" s="6"/>
      <c r="E8" s="5" t="s">
        <v>13</v>
      </c>
      <c r="F8" s="5" t="s">
        <v>15</v>
      </c>
      <c r="G8" s="5" t="s">
        <v>13</v>
      </c>
      <c r="H8" s="7" t="s">
        <v>8</v>
      </c>
      <c r="I8" s="7" t="s">
        <v>29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129</v>
      </c>
      <c r="AC8" s="8">
        <v>87700</v>
      </c>
      <c r="AD8" s="8">
        <v>28400</v>
      </c>
      <c r="AE8" s="7">
        <v>18</v>
      </c>
      <c r="AF8" s="8">
        <v>57600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10">
        <v>173700</v>
      </c>
      <c r="AV8" s="14">
        <f t="shared" si="0"/>
        <v>173700</v>
      </c>
      <c r="AW8" s="15">
        <f t="shared" si="1"/>
        <v>121589.99999999999</v>
      </c>
    </row>
    <row r="9" spans="1:49" x14ac:dyDescent="0.4">
      <c r="A9" s="5" t="s">
        <v>154</v>
      </c>
      <c r="B9" s="5" t="s">
        <v>40</v>
      </c>
      <c r="C9" s="5">
        <v>159255</v>
      </c>
      <c r="D9" s="6"/>
      <c r="E9" s="5" t="s">
        <v>13</v>
      </c>
      <c r="F9" s="5" t="s">
        <v>18</v>
      </c>
      <c r="G9" s="5" t="s">
        <v>13</v>
      </c>
      <c r="H9" s="7" t="s">
        <v>9</v>
      </c>
      <c r="I9" s="7" t="s">
        <v>41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103</v>
      </c>
      <c r="AC9" s="8">
        <v>86100</v>
      </c>
      <c r="AD9" s="8">
        <v>6600</v>
      </c>
      <c r="AE9" s="7">
        <v>20</v>
      </c>
      <c r="AF9" s="8">
        <v>61500</v>
      </c>
      <c r="AG9" s="8">
        <v>2500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15</v>
      </c>
      <c r="AP9" s="8">
        <v>13500</v>
      </c>
      <c r="AQ9" s="7">
        <v>0</v>
      </c>
      <c r="AR9" s="7">
        <v>0</v>
      </c>
      <c r="AS9" s="7">
        <v>0</v>
      </c>
      <c r="AT9" s="7">
        <v>0</v>
      </c>
      <c r="AU9" s="10">
        <v>170200</v>
      </c>
      <c r="AV9" s="14">
        <f t="shared" si="0"/>
        <v>170200</v>
      </c>
      <c r="AW9" s="15">
        <f t="shared" si="1"/>
        <v>119139.99999999999</v>
      </c>
    </row>
    <row r="10" spans="1:49" x14ac:dyDescent="0.4">
      <c r="A10" s="5" t="s">
        <v>154</v>
      </c>
      <c r="B10" s="5" t="s">
        <v>36</v>
      </c>
      <c r="C10" s="5">
        <v>159258</v>
      </c>
      <c r="D10" s="6"/>
      <c r="E10" s="5" t="s">
        <v>13</v>
      </c>
      <c r="F10" s="5" t="s">
        <v>18</v>
      </c>
      <c r="G10" s="5" t="s">
        <v>13</v>
      </c>
      <c r="H10" s="7" t="s">
        <v>8</v>
      </c>
      <c r="I10" s="7" t="s">
        <v>35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100</v>
      </c>
      <c r="AC10" s="8">
        <v>84200</v>
      </c>
      <c r="AD10" s="8">
        <v>5800</v>
      </c>
      <c r="AE10" s="7">
        <v>16</v>
      </c>
      <c r="AF10" s="8">
        <v>44800</v>
      </c>
      <c r="AG10" s="8">
        <v>6400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26</v>
      </c>
      <c r="AP10" s="8">
        <v>23200</v>
      </c>
      <c r="AQ10" s="7">
        <v>200</v>
      </c>
      <c r="AR10" s="7">
        <v>0</v>
      </c>
      <c r="AS10" s="7">
        <v>0</v>
      </c>
      <c r="AT10" s="7">
        <v>0</v>
      </c>
      <c r="AU10" s="10">
        <v>164600</v>
      </c>
      <c r="AV10" s="14">
        <f t="shared" si="0"/>
        <v>164600</v>
      </c>
      <c r="AW10" s="15">
        <f t="shared" si="1"/>
        <v>115219.99999999999</v>
      </c>
    </row>
    <row r="11" spans="1:49" ht="19.2" x14ac:dyDescent="0.4">
      <c r="A11" s="5" t="s">
        <v>154</v>
      </c>
      <c r="B11" s="5" t="s">
        <v>23</v>
      </c>
      <c r="C11" s="5">
        <v>409392</v>
      </c>
      <c r="D11" s="6"/>
      <c r="E11" s="5" t="s">
        <v>13</v>
      </c>
      <c r="F11" s="5" t="s">
        <v>15</v>
      </c>
      <c r="G11" s="5" t="s">
        <v>24</v>
      </c>
      <c r="H11" s="7" t="s">
        <v>8</v>
      </c>
      <c r="I11" s="7" t="s">
        <v>25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81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8">
        <v>1397</v>
      </c>
      <c r="AF11" s="8">
        <v>116600</v>
      </c>
      <c r="AG11" s="8">
        <v>23100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231</v>
      </c>
      <c r="AS11" s="8">
        <v>22400</v>
      </c>
      <c r="AT11" s="7">
        <v>700</v>
      </c>
      <c r="AU11" s="10">
        <v>162800</v>
      </c>
      <c r="AV11" s="14">
        <f t="shared" si="0"/>
        <v>162800</v>
      </c>
      <c r="AW11" s="15">
        <f t="shared" si="1"/>
        <v>113960</v>
      </c>
    </row>
    <row r="12" spans="1:49" x14ac:dyDescent="0.4">
      <c r="A12" s="5" t="s">
        <v>154</v>
      </c>
      <c r="B12" s="5" t="s">
        <v>139</v>
      </c>
      <c r="C12" s="5">
        <v>406732</v>
      </c>
      <c r="D12" s="6"/>
      <c r="E12" s="5" t="s">
        <v>13</v>
      </c>
      <c r="F12" s="5" t="s">
        <v>14</v>
      </c>
      <c r="G12" s="5" t="s">
        <v>13</v>
      </c>
      <c r="H12" s="7" t="s">
        <v>8</v>
      </c>
      <c r="I12" s="7" t="s">
        <v>48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50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8">
        <v>1543</v>
      </c>
      <c r="AF12" s="8">
        <v>153700</v>
      </c>
      <c r="AG12" s="7">
        <v>600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9</v>
      </c>
      <c r="AS12" s="7">
        <v>900</v>
      </c>
      <c r="AT12" s="7">
        <v>0</v>
      </c>
      <c r="AU12" s="10">
        <v>155200</v>
      </c>
      <c r="AV12" s="14">
        <f t="shared" si="0"/>
        <v>155200</v>
      </c>
      <c r="AW12" s="15">
        <f t="shared" si="1"/>
        <v>108640</v>
      </c>
    </row>
    <row r="13" spans="1:49" ht="19.2" x14ac:dyDescent="0.4">
      <c r="A13" s="5" t="s">
        <v>154</v>
      </c>
      <c r="B13" s="5" t="s">
        <v>67</v>
      </c>
      <c r="C13" s="5">
        <v>408054</v>
      </c>
      <c r="D13" s="6"/>
      <c r="E13" s="5" t="s">
        <v>13</v>
      </c>
      <c r="F13" s="5" t="s">
        <v>18</v>
      </c>
      <c r="G13" s="5" t="s">
        <v>24</v>
      </c>
      <c r="H13" s="7" t="s">
        <v>12</v>
      </c>
      <c r="I13" s="7" t="s">
        <v>68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68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8">
        <v>1480</v>
      </c>
      <c r="AF13" s="8">
        <v>135900</v>
      </c>
      <c r="AG13" s="8">
        <v>12100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10">
        <v>148000</v>
      </c>
      <c r="AV13" s="14">
        <f t="shared" si="0"/>
        <v>148000</v>
      </c>
      <c r="AW13" s="15">
        <f t="shared" si="1"/>
        <v>103600</v>
      </c>
    </row>
    <row r="14" spans="1:49" x14ac:dyDescent="0.4">
      <c r="A14" s="5" t="s">
        <v>154</v>
      </c>
      <c r="B14" s="5" t="s">
        <v>148</v>
      </c>
      <c r="C14" s="5">
        <v>395747</v>
      </c>
      <c r="D14" s="6"/>
      <c r="E14" s="5" t="s">
        <v>13</v>
      </c>
      <c r="F14" s="5" t="s">
        <v>14</v>
      </c>
      <c r="G14" s="5" t="s">
        <v>13</v>
      </c>
      <c r="H14" s="7" t="s">
        <v>8</v>
      </c>
      <c r="I14" s="7" t="s">
        <v>149</v>
      </c>
      <c r="J14" s="7">
        <v>0</v>
      </c>
      <c r="K14" s="7">
        <v>9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35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8">
        <v>1368</v>
      </c>
      <c r="AF14" s="8">
        <v>136500</v>
      </c>
      <c r="AG14" s="7">
        <v>300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53</v>
      </c>
      <c r="AS14" s="8">
        <v>5100</v>
      </c>
      <c r="AT14" s="7">
        <v>200</v>
      </c>
      <c r="AU14" s="10">
        <v>142100</v>
      </c>
      <c r="AV14" s="14">
        <f t="shared" si="0"/>
        <v>142100</v>
      </c>
      <c r="AW14" s="15">
        <f t="shared" si="1"/>
        <v>99470</v>
      </c>
    </row>
    <row r="15" spans="1:49" x14ac:dyDescent="0.4">
      <c r="A15" s="5" t="s">
        <v>154</v>
      </c>
      <c r="B15" s="5" t="s">
        <v>43</v>
      </c>
      <c r="C15" s="5">
        <v>173863</v>
      </c>
      <c r="D15" s="6"/>
      <c r="E15" s="5" t="s">
        <v>13</v>
      </c>
      <c r="F15" s="5" t="s">
        <v>18</v>
      </c>
      <c r="G15" s="5" t="s">
        <v>13</v>
      </c>
      <c r="H15" s="7" t="s">
        <v>8</v>
      </c>
      <c r="I15" s="7" t="s">
        <v>44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132</v>
      </c>
      <c r="AC15" s="8">
        <v>112100</v>
      </c>
      <c r="AD15" s="8">
        <v>3300</v>
      </c>
      <c r="AE15" s="7">
        <v>0</v>
      </c>
      <c r="AF15" s="7">
        <v>0</v>
      </c>
      <c r="AG15" s="7">
        <v>0</v>
      </c>
      <c r="AH15" s="7">
        <v>5</v>
      </c>
      <c r="AI15" s="8">
        <v>5400</v>
      </c>
      <c r="AJ15" s="7">
        <v>0</v>
      </c>
      <c r="AK15" s="7">
        <v>0</v>
      </c>
      <c r="AL15" s="7">
        <v>0</v>
      </c>
      <c r="AM15" s="7">
        <v>0</v>
      </c>
      <c r="AN15" s="9">
        <v>1620</v>
      </c>
      <c r="AO15" s="7">
        <v>23</v>
      </c>
      <c r="AP15" s="8">
        <v>17900</v>
      </c>
      <c r="AQ15" s="7">
        <v>800</v>
      </c>
      <c r="AR15" s="7">
        <v>0</v>
      </c>
      <c r="AS15" s="7">
        <v>0</v>
      </c>
      <c r="AT15" s="7">
        <v>0</v>
      </c>
      <c r="AU15" s="10">
        <v>139500</v>
      </c>
      <c r="AV15" s="14">
        <f t="shared" si="0"/>
        <v>137880</v>
      </c>
      <c r="AW15" s="15">
        <f t="shared" si="1"/>
        <v>96516</v>
      </c>
    </row>
    <row r="16" spans="1:49" x14ac:dyDescent="0.4">
      <c r="A16" s="5" t="s">
        <v>154</v>
      </c>
      <c r="B16" s="5" t="s">
        <v>37</v>
      </c>
      <c r="C16" s="5">
        <v>326544</v>
      </c>
      <c r="D16" s="6"/>
      <c r="E16" s="5" t="s">
        <v>13</v>
      </c>
      <c r="F16" s="5" t="s">
        <v>38</v>
      </c>
      <c r="G16" s="5" t="s">
        <v>13</v>
      </c>
      <c r="H16" s="7" t="s">
        <v>8</v>
      </c>
      <c r="I16" s="7" t="s">
        <v>39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54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8">
        <v>1151</v>
      </c>
      <c r="AF16" s="8">
        <v>104400</v>
      </c>
      <c r="AG16" s="8">
        <v>10700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129</v>
      </c>
      <c r="AS16" s="8">
        <v>12900</v>
      </c>
      <c r="AT16" s="7">
        <v>0</v>
      </c>
      <c r="AU16" s="10">
        <v>128000</v>
      </c>
      <c r="AV16" s="14">
        <f t="shared" si="0"/>
        <v>128000</v>
      </c>
      <c r="AW16" s="15">
        <f t="shared" si="1"/>
        <v>89600</v>
      </c>
    </row>
    <row r="17" spans="1:49" x14ac:dyDescent="0.4">
      <c r="A17" s="5" t="s">
        <v>154</v>
      </c>
      <c r="B17" s="5" t="s">
        <v>58</v>
      </c>
      <c r="C17" s="5">
        <v>215737</v>
      </c>
      <c r="D17" s="6"/>
      <c r="E17" s="5" t="s">
        <v>13</v>
      </c>
      <c r="F17" s="5" t="s">
        <v>59</v>
      </c>
      <c r="G17" s="5" t="s">
        <v>13</v>
      </c>
      <c r="H17" s="7" t="s">
        <v>8</v>
      </c>
      <c r="I17" s="7" t="s">
        <v>60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183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8">
        <v>1066</v>
      </c>
      <c r="AF17" s="8">
        <v>105900</v>
      </c>
      <c r="AG17" s="7">
        <v>700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174</v>
      </c>
      <c r="AS17" s="8">
        <v>17200</v>
      </c>
      <c r="AT17" s="7">
        <v>200</v>
      </c>
      <c r="AU17" s="10">
        <v>124000</v>
      </c>
      <c r="AV17" s="14">
        <f t="shared" si="0"/>
        <v>124000</v>
      </c>
      <c r="AW17" s="15">
        <f t="shared" si="1"/>
        <v>86800</v>
      </c>
    </row>
    <row r="18" spans="1:49" x14ac:dyDescent="0.4">
      <c r="A18" s="5" t="s">
        <v>154</v>
      </c>
      <c r="B18" s="5" t="s">
        <v>42</v>
      </c>
      <c r="C18" s="5">
        <v>159266</v>
      </c>
      <c r="D18" s="6"/>
      <c r="E18" s="5" t="s">
        <v>13</v>
      </c>
      <c r="F18" s="5" t="s">
        <v>18</v>
      </c>
      <c r="G18" s="5" t="s">
        <v>13</v>
      </c>
      <c r="H18" s="7" t="s">
        <v>8</v>
      </c>
      <c r="I18" s="7" t="s">
        <v>35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87</v>
      </c>
      <c r="AC18" s="8">
        <v>66100</v>
      </c>
      <c r="AD18" s="8">
        <v>12200</v>
      </c>
      <c r="AE18" s="7">
        <v>11</v>
      </c>
      <c r="AF18" s="8">
        <v>32000</v>
      </c>
      <c r="AG18" s="8">
        <v>3200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7</v>
      </c>
      <c r="AP18" s="8">
        <v>6300</v>
      </c>
      <c r="AQ18" s="7">
        <v>0</v>
      </c>
      <c r="AR18" s="7">
        <v>0</v>
      </c>
      <c r="AS18" s="7">
        <v>0</v>
      </c>
      <c r="AT18" s="7">
        <v>0</v>
      </c>
      <c r="AU18" s="10">
        <v>119800</v>
      </c>
      <c r="AV18" s="14">
        <f t="shared" si="0"/>
        <v>119800</v>
      </c>
      <c r="AW18" s="15">
        <f t="shared" si="1"/>
        <v>83860</v>
      </c>
    </row>
    <row r="19" spans="1:49" x14ac:dyDescent="0.4">
      <c r="A19" s="5" t="s">
        <v>154</v>
      </c>
      <c r="B19" s="5" t="s">
        <v>26</v>
      </c>
      <c r="C19" s="5">
        <v>165741</v>
      </c>
      <c r="D19" s="6"/>
      <c r="E19" s="5" t="s">
        <v>13</v>
      </c>
      <c r="F19" s="5" t="s">
        <v>15</v>
      </c>
      <c r="G19" s="5" t="s">
        <v>13</v>
      </c>
      <c r="H19" s="7" t="s">
        <v>8</v>
      </c>
      <c r="I19" s="7" t="s">
        <v>27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123</v>
      </c>
      <c r="AC19" s="8">
        <v>98100</v>
      </c>
      <c r="AD19" s="8">
        <v>12600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10">
        <v>110700</v>
      </c>
      <c r="AV19" s="14">
        <f t="shared" si="0"/>
        <v>110700</v>
      </c>
      <c r="AW19" s="15">
        <f t="shared" si="1"/>
        <v>77490</v>
      </c>
    </row>
    <row r="20" spans="1:49" x14ac:dyDescent="0.4">
      <c r="A20" s="5" t="s">
        <v>154</v>
      </c>
      <c r="B20" s="5" t="s">
        <v>54</v>
      </c>
      <c r="C20" s="5">
        <v>159483</v>
      </c>
      <c r="D20" s="6"/>
      <c r="E20" s="5" t="s">
        <v>13</v>
      </c>
      <c r="F20" s="5" t="s">
        <v>15</v>
      </c>
      <c r="G20" s="5" t="s">
        <v>13</v>
      </c>
      <c r="H20" s="7" t="s">
        <v>8</v>
      </c>
      <c r="I20" s="7" t="s">
        <v>55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75</v>
      </c>
      <c r="AC20" s="8">
        <v>62400</v>
      </c>
      <c r="AD20" s="8">
        <v>4100</v>
      </c>
      <c r="AE20" s="7">
        <v>1</v>
      </c>
      <c r="AF20" s="8">
        <v>3200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39</v>
      </c>
      <c r="AP20" s="8">
        <v>33900</v>
      </c>
      <c r="AQ20" s="7">
        <v>400</v>
      </c>
      <c r="AR20" s="7">
        <v>0</v>
      </c>
      <c r="AS20" s="7">
        <v>0</v>
      </c>
      <c r="AT20" s="7">
        <v>0</v>
      </c>
      <c r="AU20" s="10">
        <v>104000</v>
      </c>
      <c r="AV20" s="14">
        <f t="shared" si="0"/>
        <v>104000</v>
      </c>
      <c r="AW20" s="15">
        <f t="shared" si="1"/>
        <v>72800</v>
      </c>
    </row>
    <row r="21" spans="1:49" x14ac:dyDescent="0.4">
      <c r="A21" s="5" t="s">
        <v>154</v>
      </c>
      <c r="B21" s="5" t="s">
        <v>56</v>
      </c>
      <c r="C21" s="5">
        <v>194565</v>
      </c>
      <c r="D21" s="6"/>
      <c r="E21" s="5" t="s">
        <v>13</v>
      </c>
      <c r="F21" s="5" t="s">
        <v>18</v>
      </c>
      <c r="G21" s="5" t="s">
        <v>13</v>
      </c>
      <c r="H21" s="7" t="s">
        <v>8</v>
      </c>
      <c r="I21" s="7" t="s">
        <v>57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22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606</v>
      </c>
      <c r="AF21" s="8">
        <v>53800</v>
      </c>
      <c r="AG21" s="8">
        <v>6800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400</v>
      </c>
      <c r="AS21" s="8">
        <v>38900</v>
      </c>
      <c r="AT21" s="8">
        <v>1100</v>
      </c>
      <c r="AU21" s="10">
        <v>100600</v>
      </c>
      <c r="AV21" s="14">
        <f t="shared" si="0"/>
        <v>100600</v>
      </c>
      <c r="AW21" s="15">
        <f t="shared" si="1"/>
        <v>70420</v>
      </c>
    </row>
    <row r="22" spans="1:49" x14ac:dyDescent="0.4">
      <c r="A22" s="5" t="s">
        <v>154</v>
      </c>
      <c r="B22" s="5" t="s">
        <v>52</v>
      </c>
      <c r="C22" s="5">
        <v>268655</v>
      </c>
      <c r="D22" s="6"/>
      <c r="E22" s="5" t="s">
        <v>13</v>
      </c>
      <c r="F22" s="5" t="s">
        <v>18</v>
      </c>
      <c r="G22" s="5" t="s">
        <v>13</v>
      </c>
      <c r="H22" s="7" t="s">
        <v>8</v>
      </c>
      <c r="I22" s="7" t="s">
        <v>53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1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60</v>
      </c>
      <c r="AC22" s="8">
        <v>37600</v>
      </c>
      <c r="AD22" s="8">
        <v>16400</v>
      </c>
      <c r="AE22" s="7">
        <v>5</v>
      </c>
      <c r="AF22" s="8">
        <v>16000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14</v>
      </c>
      <c r="AP22" s="8">
        <v>12400</v>
      </c>
      <c r="AQ22" s="7">
        <v>200</v>
      </c>
      <c r="AR22" s="7">
        <v>0</v>
      </c>
      <c r="AS22" s="7">
        <v>0</v>
      </c>
      <c r="AT22" s="7">
        <v>0</v>
      </c>
      <c r="AU22" s="10">
        <v>82600</v>
      </c>
      <c r="AV22" s="14">
        <f t="shared" si="0"/>
        <v>82600</v>
      </c>
      <c r="AW22" s="15">
        <f t="shared" si="1"/>
        <v>57819.999999999993</v>
      </c>
    </row>
    <row r="23" spans="1:49" x14ac:dyDescent="0.4">
      <c r="A23" s="5" t="s">
        <v>154</v>
      </c>
      <c r="B23" s="5" t="s">
        <v>45</v>
      </c>
      <c r="C23" s="5">
        <v>192737</v>
      </c>
      <c r="D23" s="6"/>
      <c r="E23" s="5" t="s">
        <v>13</v>
      </c>
      <c r="F23" s="5" t="s">
        <v>46</v>
      </c>
      <c r="G23" s="5" t="s">
        <v>13</v>
      </c>
      <c r="H23" s="7" t="s">
        <v>8</v>
      </c>
      <c r="I23" s="7" t="s">
        <v>47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84</v>
      </c>
      <c r="AC23" s="8">
        <v>66800</v>
      </c>
      <c r="AD23" s="8">
        <v>8800</v>
      </c>
      <c r="AE23" s="7">
        <v>2</v>
      </c>
      <c r="AF23" s="8">
        <v>6400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10">
        <v>82000</v>
      </c>
      <c r="AV23" s="14">
        <f t="shared" si="0"/>
        <v>82000</v>
      </c>
      <c r="AW23" s="15">
        <f t="shared" si="1"/>
        <v>57399.999999999993</v>
      </c>
    </row>
    <row r="24" spans="1:49" x14ac:dyDescent="0.4">
      <c r="A24" s="5" t="s">
        <v>154</v>
      </c>
      <c r="B24" s="5" t="s">
        <v>69</v>
      </c>
      <c r="C24" s="5">
        <v>192729</v>
      </c>
      <c r="D24" s="6"/>
      <c r="E24" s="5" t="s">
        <v>13</v>
      </c>
      <c r="F24" s="5" t="s">
        <v>46</v>
      </c>
      <c r="G24" s="5" t="s">
        <v>13</v>
      </c>
      <c r="H24" s="7" t="s">
        <v>8</v>
      </c>
      <c r="I24" s="7" t="s">
        <v>70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55</v>
      </c>
      <c r="AC24" s="8">
        <v>45700</v>
      </c>
      <c r="AD24" s="8">
        <v>3800</v>
      </c>
      <c r="AE24" s="7">
        <v>9</v>
      </c>
      <c r="AF24" s="8">
        <v>28800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2</v>
      </c>
      <c r="AP24" s="8">
        <v>1800</v>
      </c>
      <c r="AQ24" s="7">
        <v>0</v>
      </c>
      <c r="AR24" s="7">
        <v>0</v>
      </c>
      <c r="AS24" s="7">
        <v>0</v>
      </c>
      <c r="AT24" s="7">
        <v>0</v>
      </c>
      <c r="AU24" s="10">
        <v>80100</v>
      </c>
      <c r="AV24" s="14">
        <f t="shared" si="0"/>
        <v>80100</v>
      </c>
      <c r="AW24" s="15">
        <f t="shared" si="1"/>
        <v>56070</v>
      </c>
    </row>
    <row r="25" spans="1:49" x14ac:dyDescent="0.4">
      <c r="A25" s="5" t="s">
        <v>154</v>
      </c>
      <c r="B25" s="5" t="s">
        <v>63</v>
      </c>
      <c r="C25" s="5">
        <v>192732</v>
      </c>
      <c r="D25" s="6"/>
      <c r="E25" s="5" t="s">
        <v>13</v>
      </c>
      <c r="F25" s="5" t="s">
        <v>46</v>
      </c>
      <c r="G25" s="5" t="s">
        <v>13</v>
      </c>
      <c r="H25" s="7" t="s">
        <v>8</v>
      </c>
      <c r="I25" s="7" t="s">
        <v>47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33</v>
      </c>
      <c r="AC25" s="8">
        <v>29700</v>
      </c>
      <c r="AD25" s="7">
        <v>0</v>
      </c>
      <c r="AE25" s="7">
        <v>8</v>
      </c>
      <c r="AF25" s="8">
        <v>25600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14</v>
      </c>
      <c r="AP25" s="8">
        <v>10800</v>
      </c>
      <c r="AQ25" s="8">
        <v>1800</v>
      </c>
      <c r="AR25" s="7">
        <v>0</v>
      </c>
      <c r="AS25" s="7">
        <v>0</v>
      </c>
      <c r="AT25" s="7">
        <v>0</v>
      </c>
      <c r="AU25" s="10">
        <v>67900</v>
      </c>
      <c r="AV25" s="14">
        <f t="shared" si="0"/>
        <v>67900</v>
      </c>
      <c r="AW25" s="15">
        <f t="shared" si="1"/>
        <v>47530</v>
      </c>
    </row>
    <row r="26" spans="1:49" x14ac:dyDescent="0.4">
      <c r="A26" s="5" t="s">
        <v>154</v>
      </c>
      <c r="B26" s="5" t="s">
        <v>93</v>
      </c>
      <c r="C26" s="5">
        <v>258201</v>
      </c>
      <c r="D26" s="6"/>
      <c r="E26" s="5" t="s">
        <v>13</v>
      </c>
      <c r="F26" s="5" t="s">
        <v>59</v>
      </c>
      <c r="G26" s="5" t="s">
        <v>13</v>
      </c>
      <c r="H26" s="7" t="s">
        <v>8</v>
      </c>
      <c r="I26" s="7" t="s">
        <v>94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14</v>
      </c>
      <c r="AF26" s="8">
        <v>44600</v>
      </c>
      <c r="AG26" s="7">
        <v>200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16</v>
      </c>
      <c r="AP26" s="8">
        <v>14400</v>
      </c>
      <c r="AQ26" s="7">
        <v>0</v>
      </c>
      <c r="AR26" s="7">
        <v>1</v>
      </c>
      <c r="AS26" s="8">
        <v>3200</v>
      </c>
      <c r="AT26" s="7">
        <v>0</v>
      </c>
      <c r="AU26" s="10">
        <v>62400</v>
      </c>
      <c r="AV26" s="14">
        <f t="shared" si="0"/>
        <v>62400</v>
      </c>
      <c r="AW26" s="15">
        <f t="shared" si="1"/>
        <v>43680</v>
      </c>
    </row>
    <row r="27" spans="1:49" ht="19.2" x14ac:dyDescent="0.4">
      <c r="A27" s="5" t="s">
        <v>154</v>
      </c>
      <c r="B27" s="5" t="s">
        <v>75</v>
      </c>
      <c r="C27" s="5">
        <v>413545</v>
      </c>
      <c r="D27" s="6"/>
      <c r="E27" s="5" t="s">
        <v>13</v>
      </c>
      <c r="F27" s="5" t="s">
        <v>18</v>
      </c>
      <c r="G27" s="5" t="s">
        <v>24</v>
      </c>
      <c r="H27" s="7" t="s">
        <v>9</v>
      </c>
      <c r="I27" s="7" t="s">
        <v>76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22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416</v>
      </c>
      <c r="AF27" s="8">
        <v>28500</v>
      </c>
      <c r="AG27" s="8">
        <v>13100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192</v>
      </c>
      <c r="AS27" s="8">
        <v>18300</v>
      </c>
      <c r="AT27" s="7">
        <v>900</v>
      </c>
      <c r="AU27" s="10">
        <v>60800</v>
      </c>
      <c r="AV27" s="14">
        <f t="shared" si="0"/>
        <v>60800</v>
      </c>
      <c r="AW27" s="15">
        <f t="shared" si="1"/>
        <v>42560</v>
      </c>
    </row>
    <row r="28" spans="1:49" x14ac:dyDescent="0.4">
      <c r="A28" s="5" t="s">
        <v>154</v>
      </c>
      <c r="B28" s="5" t="s">
        <v>123</v>
      </c>
      <c r="C28" s="5">
        <v>174583</v>
      </c>
      <c r="D28" s="6"/>
      <c r="E28" s="5" t="s">
        <v>13</v>
      </c>
      <c r="F28" s="5" t="s">
        <v>15</v>
      </c>
      <c r="G28" s="5" t="s">
        <v>13</v>
      </c>
      <c r="H28" s="7" t="s">
        <v>8</v>
      </c>
      <c r="I28" s="7" t="s">
        <v>124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56</v>
      </c>
      <c r="AC28" s="8">
        <v>42300</v>
      </c>
      <c r="AD28" s="8">
        <v>8100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10">
        <v>50400</v>
      </c>
      <c r="AV28" s="14">
        <f t="shared" si="0"/>
        <v>50400</v>
      </c>
      <c r="AW28" s="15">
        <f t="shared" si="1"/>
        <v>35280</v>
      </c>
    </row>
    <row r="29" spans="1:49" x14ac:dyDescent="0.4">
      <c r="A29" s="5" t="s">
        <v>154</v>
      </c>
      <c r="B29" s="5" t="s">
        <v>130</v>
      </c>
      <c r="C29" s="5">
        <v>238494</v>
      </c>
      <c r="D29" s="6"/>
      <c r="E29" s="5" t="s">
        <v>13</v>
      </c>
      <c r="F29" s="5" t="s">
        <v>46</v>
      </c>
      <c r="G29" s="5" t="s">
        <v>13</v>
      </c>
      <c r="H29" s="7" t="s">
        <v>8</v>
      </c>
      <c r="I29" s="7" t="s">
        <v>131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44</v>
      </c>
      <c r="AC29" s="8">
        <v>34600</v>
      </c>
      <c r="AD29" s="8">
        <v>4200</v>
      </c>
      <c r="AE29" s="7">
        <v>1</v>
      </c>
      <c r="AF29" s="8">
        <v>3200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4</v>
      </c>
      <c r="AP29" s="8">
        <v>3500</v>
      </c>
      <c r="AQ29" s="7">
        <v>0</v>
      </c>
      <c r="AR29" s="7">
        <v>0</v>
      </c>
      <c r="AS29" s="7">
        <v>0</v>
      </c>
      <c r="AT29" s="7">
        <v>0</v>
      </c>
      <c r="AU29" s="10">
        <v>45500</v>
      </c>
      <c r="AV29" s="14">
        <f t="shared" si="0"/>
        <v>45500</v>
      </c>
      <c r="AW29" s="15">
        <f t="shared" si="1"/>
        <v>31849.999999999996</v>
      </c>
    </row>
    <row r="30" spans="1:49" ht="19.2" x14ac:dyDescent="0.4">
      <c r="A30" s="5" t="s">
        <v>154</v>
      </c>
      <c r="B30" s="5" t="s">
        <v>135</v>
      </c>
      <c r="C30" s="5">
        <v>408050</v>
      </c>
      <c r="D30" s="6"/>
      <c r="E30" s="5" t="s">
        <v>13</v>
      </c>
      <c r="F30" s="5" t="s">
        <v>15</v>
      </c>
      <c r="G30" s="5" t="s">
        <v>24</v>
      </c>
      <c r="H30" s="7" t="s">
        <v>8</v>
      </c>
      <c r="I30" s="7" t="s">
        <v>136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3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418</v>
      </c>
      <c r="AF30" s="8">
        <v>40600</v>
      </c>
      <c r="AG30" s="8">
        <v>1200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20</v>
      </c>
      <c r="AS30" s="8">
        <v>1900</v>
      </c>
      <c r="AT30" s="7">
        <v>100</v>
      </c>
      <c r="AU30" s="10">
        <v>43800</v>
      </c>
      <c r="AV30" s="14">
        <f t="shared" si="0"/>
        <v>43800</v>
      </c>
      <c r="AW30" s="15">
        <f t="shared" si="1"/>
        <v>30659.999999999996</v>
      </c>
    </row>
    <row r="31" spans="1:49" x14ac:dyDescent="0.4">
      <c r="A31" s="5" t="s">
        <v>154</v>
      </c>
      <c r="B31" s="5" t="s">
        <v>142</v>
      </c>
      <c r="C31" s="5">
        <v>300910</v>
      </c>
      <c r="D31" s="6"/>
      <c r="E31" s="5" t="s">
        <v>13</v>
      </c>
      <c r="F31" s="5" t="s">
        <v>59</v>
      </c>
      <c r="G31" s="5" t="s">
        <v>13</v>
      </c>
      <c r="H31" s="7" t="s">
        <v>8</v>
      </c>
      <c r="I31" s="7" t="s">
        <v>143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36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427</v>
      </c>
      <c r="AF31" s="8">
        <v>39000</v>
      </c>
      <c r="AG31" s="8">
        <v>3700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10">
        <v>42700</v>
      </c>
      <c r="AV31" s="14">
        <f t="shared" si="0"/>
        <v>42700</v>
      </c>
      <c r="AW31" s="15">
        <f t="shared" si="1"/>
        <v>29889.999999999996</v>
      </c>
    </row>
    <row r="32" spans="1:49" ht="19.2" x14ac:dyDescent="0.4">
      <c r="A32" s="5" t="s">
        <v>154</v>
      </c>
      <c r="B32" s="5" t="s">
        <v>95</v>
      </c>
      <c r="C32" s="5">
        <v>406370</v>
      </c>
      <c r="D32" s="6"/>
      <c r="E32" s="5" t="s">
        <v>13</v>
      </c>
      <c r="F32" s="5" t="s">
        <v>46</v>
      </c>
      <c r="G32" s="5" t="s">
        <v>24</v>
      </c>
      <c r="H32" s="7" t="s">
        <v>9</v>
      </c>
      <c r="I32" s="7" t="s">
        <v>78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10</v>
      </c>
      <c r="AC32" s="8">
        <v>8900</v>
      </c>
      <c r="AD32" s="7">
        <v>100</v>
      </c>
      <c r="AE32" s="7">
        <v>10</v>
      </c>
      <c r="AF32" s="8">
        <v>32000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10">
        <v>41000</v>
      </c>
      <c r="AV32" s="14">
        <f t="shared" si="0"/>
        <v>41000</v>
      </c>
      <c r="AW32" s="15">
        <f t="shared" si="1"/>
        <v>28699.999999999996</v>
      </c>
    </row>
    <row r="33" spans="1:49" x14ac:dyDescent="0.4">
      <c r="A33" s="5" t="s">
        <v>154</v>
      </c>
      <c r="B33" s="5" t="s">
        <v>77</v>
      </c>
      <c r="C33" s="5">
        <v>192728</v>
      </c>
      <c r="D33" s="6"/>
      <c r="E33" s="5" t="s">
        <v>13</v>
      </c>
      <c r="F33" s="5" t="s">
        <v>46</v>
      </c>
      <c r="G33" s="5" t="s">
        <v>13</v>
      </c>
      <c r="H33" s="7" t="s">
        <v>8</v>
      </c>
      <c r="I33" s="7" t="s">
        <v>47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15</v>
      </c>
      <c r="AC33" s="8">
        <v>13500</v>
      </c>
      <c r="AD33" s="7">
        <v>0</v>
      </c>
      <c r="AE33" s="7">
        <v>7</v>
      </c>
      <c r="AF33" s="8">
        <v>22400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10">
        <v>35900</v>
      </c>
      <c r="AV33" s="14">
        <f t="shared" si="0"/>
        <v>35900</v>
      </c>
      <c r="AW33" s="15">
        <f t="shared" si="1"/>
        <v>25130</v>
      </c>
    </row>
    <row r="34" spans="1:49" x14ac:dyDescent="0.4">
      <c r="A34" s="5" t="s">
        <v>154</v>
      </c>
      <c r="B34" s="5" t="s">
        <v>86</v>
      </c>
      <c r="C34" s="5">
        <v>287064</v>
      </c>
      <c r="D34" s="6"/>
      <c r="E34" s="5" t="s">
        <v>13</v>
      </c>
      <c r="F34" s="5" t="s">
        <v>87</v>
      </c>
      <c r="G34" s="5" t="s">
        <v>13</v>
      </c>
      <c r="H34" s="7" t="s">
        <v>8</v>
      </c>
      <c r="I34" s="7" t="s">
        <v>88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11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309</v>
      </c>
      <c r="AF34" s="8">
        <v>22900</v>
      </c>
      <c r="AG34" s="8">
        <v>8000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24</v>
      </c>
      <c r="AS34" s="8">
        <v>2200</v>
      </c>
      <c r="AT34" s="7">
        <v>200</v>
      </c>
      <c r="AU34" s="10">
        <v>33300</v>
      </c>
      <c r="AV34" s="14">
        <f t="shared" si="0"/>
        <v>33300</v>
      </c>
      <c r="AW34" s="15">
        <f t="shared" si="1"/>
        <v>23310</v>
      </c>
    </row>
    <row r="35" spans="1:49" x14ac:dyDescent="0.4">
      <c r="A35" s="5" t="s">
        <v>154</v>
      </c>
      <c r="B35" s="5" t="s">
        <v>71</v>
      </c>
      <c r="C35" s="5">
        <v>285993</v>
      </c>
      <c r="D35" s="6"/>
      <c r="E35" s="5" t="s">
        <v>13</v>
      </c>
      <c r="F35" s="5" t="s">
        <v>14</v>
      </c>
      <c r="G35" s="5" t="s">
        <v>13</v>
      </c>
      <c r="H35" s="7" t="s">
        <v>8</v>
      </c>
      <c r="I35" s="7" t="s">
        <v>72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25</v>
      </c>
      <c r="AC35" s="8">
        <v>19200</v>
      </c>
      <c r="AD35" s="8">
        <v>3300</v>
      </c>
      <c r="AE35" s="7">
        <v>1</v>
      </c>
      <c r="AF35" s="8">
        <v>3200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4</v>
      </c>
      <c r="AP35" s="8">
        <v>3600</v>
      </c>
      <c r="AQ35" s="7">
        <v>0</v>
      </c>
      <c r="AR35" s="7">
        <v>1</v>
      </c>
      <c r="AS35" s="8">
        <v>3200</v>
      </c>
      <c r="AT35" s="7">
        <v>0</v>
      </c>
      <c r="AU35" s="10">
        <v>32500</v>
      </c>
      <c r="AV35" s="14">
        <f t="shared" si="0"/>
        <v>32500</v>
      </c>
      <c r="AW35" s="15">
        <f t="shared" si="1"/>
        <v>22750</v>
      </c>
    </row>
    <row r="36" spans="1:49" x14ac:dyDescent="0.4">
      <c r="A36" s="5" t="s">
        <v>154</v>
      </c>
      <c r="B36" s="5" t="s">
        <v>66</v>
      </c>
      <c r="C36" s="5">
        <v>418830</v>
      </c>
      <c r="D36" s="6"/>
      <c r="E36" s="5" t="s">
        <v>13</v>
      </c>
      <c r="F36" s="5" t="s">
        <v>18</v>
      </c>
      <c r="G36" s="5" t="s">
        <v>13</v>
      </c>
      <c r="H36" s="7" t="s">
        <v>8</v>
      </c>
      <c r="I36" s="7" t="s">
        <v>31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295</v>
      </c>
      <c r="AF36" s="8">
        <v>23900</v>
      </c>
      <c r="AG36" s="8">
        <v>5600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7</v>
      </c>
      <c r="AS36" s="7">
        <v>700</v>
      </c>
      <c r="AT36" s="7">
        <v>0</v>
      </c>
      <c r="AU36" s="10">
        <v>30200</v>
      </c>
      <c r="AV36" s="14">
        <f t="shared" si="0"/>
        <v>30200</v>
      </c>
      <c r="AW36" s="15">
        <f t="shared" si="1"/>
        <v>21140</v>
      </c>
    </row>
    <row r="37" spans="1:49" x14ac:dyDescent="0.4">
      <c r="A37" s="5" t="s">
        <v>154</v>
      </c>
      <c r="B37" s="5" t="s">
        <v>73</v>
      </c>
      <c r="C37" s="5">
        <v>183137</v>
      </c>
      <c r="D37" s="6"/>
      <c r="E37" s="5" t="s">
        <v>13</v>
      </c>
      <c r="F37" s="5" t="s">
        <v>15</v>
      </c>
      <c r="G37" s="5" t="s">
        <v>13</v>
      </c>
      <c r="H37" s="7" t="s">
        <v>8</v>
      </c>
      <c r="I37" s="7" t="s">
        <v>74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30</v>
      </c>
      <c r="AC37" s="8">
        <v>27000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3</v>
      </c>
      <c r="AP37" s="8">
        <v>1800</v>
      </c>
      <c r="AQ37" s="7">
        <v>900</v>
      </c>
      <c r="AR37" s="7">
        <v>0</v>
      </c>
      <c r="AS37" s="7">
        <v>0</v>
      </c>
      <c r="AT37" s="7">
        <v>0</v>
      </c>
      <c r="AU37" s="10">
        <v>29700</v>
      </c>
      <c r="AV37" s="14">
        <f t="shared" si="0"/>
        <v>29700</v>
      </c>
      <c r="AW37" s="15">
        <f t="shared" si="1"/>
        <v>20790</v>
      </c>
    </row>
    <row r="38" spans="1:49" x14ac:dyDescent="0.4">
      <c r="A38" s="5" t="s">
        <v>154</v>
      </c>
      <c r="B38" s="5" t="s">
        <v>89</v>
      </c>
      <c r="C38" s="5">
        <v>285990</v>
      </c>
      <c r="D38" s="6"/>
      <c r="E38" s="5" t="s">
        <v>13</v>
      </c>
      <c r="F38" s="5" t="s">
        <v>14</v>
      </c>
      <c r="G38" s="5" t="s">
        <v>13</v>
      </c>
      <c r="H38" s="7" t="s">
        <v>8</v>
      </c>
      <c r="I38" s="7" t="s">
        <v>72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32</v>
      </c>
      <c r="AC38" s="8">
        <v>28400</v>
      </c>
      <c r="AD38" s="7">
        <v>400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10">
        <v>28800</v>
      </c>
      <c r="AV38" s="14">
        <f t="shared" si="0"/>
        <v>28800</v>
      </c>
      <c r="AW38" s="15">
        <f t="shared" si="1"/>
        <v>20160</v>
      </c>
    </row>
    <row r="39" spans="1:49" ht="19.2" x14ac:dyDescent="0.4">
      <c r="A39" s="5" t="s">
        <v>154</v>
      </c>
      <c r="B39" s="5" t="s">
        <v>112</v>
      </c>
      <c r="C39" s="5">
        <v>408450</v>
      </c>
      <c r="D39" s="6"/>
      <c r="E39" s="5" t="s">
        <v>13</v>
      </c>
      <c r="F39" s="5" t="s">
        <v>14</v>
      </c>
      <c r="G39" s="5" t="s">
        <v>24</v>
      </c>
      <c r="H39" s="7" t="s">
        <v>8</v>
      </c>
      <c r="I39" s="7" t="s">
        <v>91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13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136</v>
      </c>
      <c r="AF39" s="8">
        <v>13600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149</v>
      </c>
      <c r="AS39" s="8">
        <v>14700</v>
      </c>
      <c r="AT39" s="7">
        <v>200</v>
      </c>
      <c r="AU39" s="10">
        <v>28500</v>
      </c>
      <c r="AV39" s="14">
        <f t="shared" si="0"/>
        <v>28500</v>
      </c>
      <c r="AW39" s="15">
        <f t="shared" si="1"/>
        <v>19950</v>
      </c>
    </row>
    <row r="40" spans="1:49" x14ac:dyDescent="0.4">
      <c r="A40" s="5" t="s">
        <v>154</v>
      </c>
      <c r="B40" s="5" t="s">
        <v>64</v>
      </c>
      <c r="C40" s="5">
        <v>229857</v>
      </c>
      <c r="D40" s="6"/>
      <c r="E40" s="5" t="s">
        <v>13</v>
      </c>
      <c r="F40" s="5" t="s">
        <v>14</v>
      </c>
      <c r="G40" s="5" t="s">
        <v>13</v>
      </c>
      <c r="H40" s="7" t="s">
        <v>12</v>
      </c>
      <c r="I40" s="7" t="s">
        <v>65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29</v>
      </c>
      <c r="AC40" s="8">
        <v>26100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10">
        <v>26100</v>
      </c>
      <c r="AV40" s="14">
        <f t="shared" si="0"/>
        <v>26100</v>
      </c>
      <c r="AW40" s="15">
        <f t="shared" si="1"/>
        <v>18270</v>
      </c>
    </row>
    <row r="41" spans="1:49" x14ac:dyDescent="0.4">
      <c r="A41" s="5" t="s">
        <v>154</v>
      </c>
      <c r="B41" s="5" t="s">
        <v>61</v>
      </c>
      <c r="C41" s="5">
        <v>99966</v>
      </c>
      <c r="D41" s="6"/>
      <c r="E41" s="5" t="s">
        <v>13</v>
      </c>
      <c r="F41" s="5" t="s">
        <v>18</v>
      </c>
      <c r="G41" s="5" t="s">
        <v>13</v>
      </c>
      <c r="H41" s="7" t="s">
        <v>12</v>
      </c>
      <c r="I41" s="7" t="s">
        <v>62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108</v>
      </c>
      <c r="AF41" s="8">
        <v>7800</v>
      </c>
      <c r="AG41" s="8">
        <v>3000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113</v>
      </c>
      <c r="AS41" s="8">
        <v>11100</v>
      </c>
      <c r="AT41" s="7">
        <v>200</v>
      </c>
      <c r="AU41" s="10">
        <v>22100</v>
      </c>
      <c r="AV41" s="14">
        <f t="shared" si="0"/>
        <v>22100</v>
      </c>
      <c r="AW41" s="15">
        <f t="shared" si="1"/>
        <v>15469.999999999998</v>
      </c>
    </row>
    <row r="42" spans="1:49" ht="19.2" x14ac:dyDescent="0.4">
      <c r="A42" s="5" t="s">
        <v>154</v>
      </c>
      <c r="B42" s="5" t="s">
        <v>134</v>
      </c>
      <c r="C42" s="5">
        <v>408617</v>
      </c>
      <c r="D42" s="6"/>
      <c r="E42" s="5" t="s">
        <v>13</v>
      </c>
      <c r="F42" s="5" t="s">
        <v>14</v>
      </c>
      <c r="G42" s="5" t="s">
        <v>24</v>
      </c>
      <c r="H42" s="7" t="s">
        <v>12</v>
      </c>
      <c r="I42" s="7" t="s">
        <v>68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8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185</v>
      </c>
      <c r="AF42" s="8">
        <v>17800</v>
      </c>
      <c r="AG42" s="7">
        <v>700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10">
        <v>18500</v>
      </c>
      <c r="AV42" s="14">
        <f t="shared" si="0"/>
        <v>18500</v>
      </c>
      <c r="AW42" s="15">
        <f t="shared" si="1"/>
        <v>12950</v>
      </c>
    </row>
    <row r="43" spans="1:49" ht="19.2" x14ac:dyDescent="0.4">
      <c r="A43" s="5" t="s">
        <v>154</v>
      </c>
      <c r="B43" s="5" t="s">
        <v>82</v>
      </c>
      <c r="C43" s="5">
        <v>406388</v>
      </c>
      <c r="D43" s="6"/>
      <c r="E43" s="5" t="s">
        <v>13</v>
      </c>
      <c r="F43" s="5" t="s">
        <v>83</v>
      </c>
      <c r="G43" s="5" t="s">
        <v>24</v>
      </c>
      <c r="H43" s="7" t="s">
        <v>8</v>
      </c>
      <c r="I43" s="7" t="s">
        <v>48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181</v>
      </c>
      <c r="AF43" s="8">
        <v>18100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10">
        <v>18100</v>
      </c>
      <c r="AV43" s="14">
        <f t="shared" si="0"/>
        <v>18100</v>
      </c>
      <c r="AW43" s="15">
        <f t="shared" si="1"/>
        <v>12670</v>
      </c>
    </row>
    <row r="44" spans="1:49" x14ac:dyDescent="0.4">
      <c r="A44" s="5" t="s">
        <v>154</v>
      </c>
      <c r="B44" s="5" t="s">
        <v>32</v>
      </c>
      <c r="C44" s="5">
        <v>404358</v>
      </c>
      <c r="D44" s="6"/>
      <c r="E44" s="5" t="s">
        <v>13</v>
      </c>
      <c r="F44" s="5" t="s">
        <v>33</v>
      </c>
      <c r="G44" s="5" t="s">
        <v>13</v>
      </c>
      <c r="H44" s="7" t="s">
        <v>8</v>
      </c>
      <c r="I44" s="7" t="s">
        <v>111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152</v>
      </c>
      <c r="AF44" s="8">
        <v>14200</v>
      </c>
      <c r="AG44" s="8">
        <v>1000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10">
        <v>15200</v>
      </c>
      <c r="AV44" s="14">
        <f t="shared" si="0"/>
        <v>15200</v>
      </c>
      <c r="AW44" s="15">
        <f t="shared" si="1"/>
        <v>10640</v>
      </c>
    </row>
    <row r="45" spans="1:49" x14ac:dyDescent="0.4">
      <c r="A45" s="5" t="s">
        <v>154</v>
      </c>
      <c r="B45" s="5" t="s">
        <v>132</v>
      </c>
      <c r="C45" s="5">
        <v>169151</v>
      </c>
      <c r="D45" s="6"/>
      <c r="E45" s="5" t="s">
        <v>13</v>
      </c>
      <c r="F45" s="5" t="s">
        <v>15</v>
      </c>
      <c r="G45" s="5" t="s">
        <v>13</v>
      </c>
      <c r="H45" s="7" t="s">
        <v>8</v>
      </c>
      <c r="I45" s="7" t="s">
        <v>133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15</v>
      </c>
      <c r="AC45" s="8">
        <v>13500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10">
        <v>13500</v>
      </c>
      <c r="AV45" s="14">
        <f t="shared" si="0"/>
        <v>13500</v>
      </c>
      <c r="AW45" s="15">
        <f t="shared" si="1"/>
        <v>9450</v>
      </c>
    </row>
    <row r="46" spans="1:49" x14ac:dyDescent="0.4">
      <c r="A46" s="5" t="s">
        <v>154</v>
      </c>
      <c r="B46" s="5" t="s">
        <v>84</v>
      </c>
      <c r="C46" s="5">
        <v>196917</v>
      </c>
      <c r="D46" s="6"/>
      <c r="E46" s="5" t="s">
        <v>13</v>
      </c>
      <c r="F46" s="5" t="s">
        <v>46</v>
      </c>
      <c r="G46" s="5" t="s">
        <v>13</v>
      </c>
      <c r="H46" s="7" t="s">
        <v>8</v>
      </c>
      <c r="I46" s="7" t="s">
        <v>85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13</v>
      </c>
      <c r="AC46" s="8">
        <v>11700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10">
        <v>11700</v>
      </c>
      <c r="AV46" s="14">
        <f t="shared" si="0"/>
        <v>11700</v>
      </c>
      <c r="AW46" s="15">
        <f t="shared" si="1"/>
        <v>8189.9999999999991</v>
      </c>
    </row>
    <row r="47" spans="1:49" ht="19.2" x14ac:dyDescent="0.4">
      <c r="A47" s="5" t="s">
        <v>154</v>
      </c>
      <c r="B47" s="5" t="s">
        <v>119</v>
      </c>
      <c r="C47" s="5">
        <v>406368</v>
      </c>
      <c r="D47" s="6"/>
      <c r="E47" s="5" t="s">
        <v>13</v>
      </c>
      <c r="F47" s="5" t="s">
        <v>38</v>
      </c>
      <c r="G47" s="5" t="s">
        <v>24</v>
      </c>
      <c r="H47" s="7" t="s">
        <v>8</v>
      </c>
      <c r="I47" s="7" t="s">
        <v>78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3</v>
      </c>
      <c r="AF47" s="8">
        <v>9600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10">
        <v>9600</v>
      </c>
      <c r="AV47" s="14">
        <f t="shared" si="0"/>
        <v>9600</v>
      </c>
      <c r="AW47" s="15">
        <f t="shared" si="1"/>
        <v>6720</v>
      </c>
    </row>
    <row r="48" spans="1:49" x14ac:dyDescent="0.4">
      <c r="A48" s="5" t="s">
        <v>154</v>
      </c>
      <c r="B48" s="5" t="s">
        <v>92</v>
      </c>
      <c r="C48" s="5">
        <v>305089</v>
      </c>
      <c r="D48" s="6"/>
      <c r="E48" s="5" t="s">
        <v>13</v>
      </c>
      <c r="F48" s="5" t="s">
        <v>87</v>
      </c>
      <c r="G48" s="5" t="s">
        <v>13</v>
      </c>
      <c r="H48" s="7" t="s">
        <v>8</v>
      </c>
      <c r="I48" s="7" t="s">
        <v>11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9</v>
      </c>
      <c r="AC48" s="8">
        <v>8100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10">
        <v>8100</v>
      </c>
      <c r="AV48" s="14">
        <f t="shared" si="0"/>
        <v>8100</v>
      </c>
      <c r="AW48" s="15">
        <f t="shared" si="1"/>
        <v>5670</v>
      </c>
    </row>
    <row r="49" spans="1:49" x14ac:dyDescent="0.4">
      <c r="A49" s="5" t="s">
        <v>154</v>
      </c>
      <c r="B49" s="5" t="s">
        <v>81</v>
      </c>
      <c r="C49" s="5">
        <v>285994</v>
      </c>
      <c r="D49" s="6"/>
      <c r="E49" s="5" t="s">
        <v>13</v>
      </c>
      <c r="F49" s="5" t="s">
        <v>14</v>
      </c>
      <c r="G49" s="5" t="s">
        <v>13</v>
      </c>
      <c r="H49" s="7" t="s">
        <v>8</v>
      </c>
      <c r="I49" s="7" t="s">
        <v>72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6</v>
      </c>
      <c r="AC49" s="8">
        <v>5400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2</v>
      </c>
      <c r="AP49" s="8">
        <v>1800</v>
      </c>
      <c r="AQ49" s="7">
        <v>0</v>
      </c>
      <c r="AR49" s="7">
        <v>0</v>
      </c>
      <c r="AS49" s="7">
        <v>0</v>
      </c>
      <c r="AT49" s="7">
        <v>0</v>
      </c>
      <c r="AU49" s="10">
        <v>7200</v>
      </c>
      <c r="AV49" s="14">
        <f t="shared" si="0"/>
        <v>7200</v>
      </c>
      <c r="AW49" s="15">
        <f t="shared" si="1"/>
        <v>5040</v>
      </c>
    </row>
    <row r="50" spans="1:49" x14ac:dyDescent="0.4">
      <c r="A50" s="5" t="s">
        <v>154</v>
      </c>
      <c r="B50" s="5" t="s">
        <v>125</v>
      </c>
      <c r="C50" s="5">
        <v>189476</v>
      </c>
      <c r="D50" s="6"/>
      <c r="E50" s="5" t="s">
        <v>13</v>
      </c>
      <c r="F50" s="5" t="s">
        <v>46</v>
      </c>
      <c r="G50" s="5" t="s">
        <v>13</v>
      </c>
      <c r="H50" s="7" t="s">
        <v>8</v>
      </c>
      <c r="I50" s="7" t="s">
        <v>126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8</v>
      </c>
      <c r="AC50" s="8">
        <v>7200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10">
        <v>7200</v>
      </c>
      <c r="AV50" s="14">
        <f t="shared" si="0"/>
        <v>7200</v>
      </c>
      <c r="AW50" s="15">
        <f t="shared" si="1"/>
        <v>5040</v>
      </c>
    </row>
    <row r="51" spans="1:49" ht="19.2" x14ac:dyDescent="0.4">
      <c r="A51" s="5" t="s">
        <v>154</v>
      </c>
      <c r="B51" s="5" t="s">
        <v>90</v>
      </c>
      <c r="C51" s="5">
        <v>406353</v>
      </c>
      <c r="D51" s="6"/>
      <c r="E51" s="5" t="s">
        <v>13</v>
      </c>
      <c r="F51" s="5" t="s">
        <v>83</v>
      </c>
      <c r="G51" s="5" t="s">
        <v>24</v>
      </c>
      <c r="H51" s="7" t="s">
        <v>8</v>
      </c>
      <c r="I51" s="7" t="s">
        <v>78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7</v>
      </c>
      <c r="AC51" s="8">
        <v>6100</v>
      </c>
      <c r="AD51" s="7">
        <v>200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10">
        <v>6300</v>
      </c>
      <c r="AV51" s="14">
        <f t="shared" si="0"/>
        <v>6300</v>
      </c>
      <c r="AW51" s="15">
        <f t="shared" si="1"/>
        <v>4410</v>
      </c>
    </row>
    <row r="52" spans="1:49" x14ac:dyDescent="0.4">
      <c r="A52" s="5" t="s">
        <v>154</v>
      </c>
      <c r="B52" s="5" t="s">
        <v>49</v>
      </c>
      <c r="C52" s="5">
        <v>388417</v>
      </c>
      <c r="D52" s="6"/>
      <c r="E52" s="5" t="s">
        <v>13</v>
      </c>
      <c r="F52" s="5" t="s">
        <v>50</v>
      </c>
      <c r="G52" s="5" t="s">
        <v>13</v>
      </c>
      <c r="H52" s="7" t="s">
        <v>8</v>
      </c>
      <c r="I52" s="7" t="s">
        <v>51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17</v>
      </c>
      <c r="AF52" s="7">
        <v>200</v>
      </c>
      <c r="AG52" s="8">
        <v>1500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43</v>
      </c>
      <c r="AS52" s="8">
        <v>4300</v>
      </c>
      <c r="AT52" s="7">
        <v>0</v>
      </c>
      <c r="AU52" s="10">
        <v>6000</v>
      </c>
      <c r="AV52" s="14">
        <f t="shared" si="0"/>
        <v>6000</v>
      </c>
      <c r="AW52" s="15">
        <f t="shared" si="1"/>
        <v>4200</v>
      </c>
    </row>
    <row r="53" spans="1:49" x14ac:dyDescent="0.4">
      <c r="A53" s="5" t="s">
        <v>154</v>
      </c>
      <c r="B53" s="5" t="s">
        <v>79</v>
      </c>
      <c r="C53" s="5">
        <v>227013</v>
      </c>
      <c r="D53" s="6"/>
      <c r="E53" s="5" t="s">
        <v>13</v>
      </c>
      <c r="F53" s="5" t="s">
        <v>15</v>
      </c>
      <c r="G53" s="5" t="s">
        <v>13</v>
      </c>
      <c r="H53" s="7" t="s">
        <v>8</v>
      </c>
      <c r="I53" s="7" t="s">
        <v>80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10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48</v>
      </c>
      <c r="AF53" s="8">
        <v>4800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10">
        <v>4800</v>
      </c>
      <c r="AV53" s="14">
        <f t="shared" si="0"/>
        <v>4800</v>
      </c>
      <c r="AW53" s="15">
        <f t="shared" si="1"/>
        <v>3360</v>
      </c>
    </row>
    <row r="54" spans="1:49" x14ac:dyDescent="0.4">
      <c r="A54" s="5" t="s">
        <v>154</v>
      </c>
      <c r="B54" s="5" t="s">
        <v>115</v>
      </c>
      <c r="C54" s="5">
        <v>229599</v>
      </c>
      <c r="D54" s="6"/>
      <c r="E54" s="5" t="s">
        <v>13</v>
      </c>
      <c r="F54" s="5" t="s">
        <v>14</v>
      </c>
      <c r="G54" s="5" t="s">
        <v>13</v>
      </c>
      <c r="H54" s="7" t="s">
        <v>8</v>
      </c>
      <c r="I54" s="7" t="s">
        <v>116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5</v>
      </c>
      <c r="AC54" s="8">
        <v>4500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10">
        <v>4500</v>
      </c>
      <c r="AV54" s="14">
        <f t="shared" si="0"/>
        <v>4500</v>
      </c>
      <c r="AW54" s="15">
        <f t="shared" si="1"/>
        <v>3150</v>
      </c>
    </row>
    <row r="55" spans="1:49" x14ac:dyDescent="0.4">
      <c r="A55" s="5" t="s">
        <v>154</v>
      </c>
      <c r="B55" s="5" t="s">
        <v>137</v>
      </c>
      <c r="C55" s="5">
        <v>308470</v>
      </c>
      <c r="D55" s="6"/>
      <c r="E55" s="5" t="s">
        <v>13</v>
      </c>
      <c r="F55" s="5" t="s">
        <v>46</v>
      </c>
      <c r="G55" s="5" t="s">
        <v>13</v>
      </c>
      <c r="H55" s="7" t="s">
        <v>8</v>
      </c>
      <c r="I55" s="7" t="s">
        <v>138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18</v>
      </c>
      <c r="AF55" s="8">
        <v>1800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19</v>
      </c>
      <c r="AS55" s="8">
        <v>1900</v>
      </c>
      <c r="AT55" s="7">
        <v>0</v>
      </c>
      <c r="AU55" s="10">
        <v>3700</v>
      </c>
      <c r="AV55" s="14">
        <f t="shared" si="0"/>
        <v>3700</v>
      </c>
      <c r="AW55" s="15">
        <f t="shared" si="1"/>
        <v>2590</v>
      </c>
    </row>
    <row r="56" spans="1:49" x14ac:dyDescent="0.4">
      <c r="A56" s="5" t="s">
        <v>154</v>
      </c>
      <c r="B56" s="5" t="s">
        <v>127</v>
      </c>
      <c r="C56" s="5">
        <v>210381</v>
      </c>
      <c r="D56" s="6"/>
      <c r="E56" s="5" t="s">
        <v>13</v>
      </c>
      <c r="F56" s="5" t="s">
        <v>46</v>
      </c>
      <c r="G56" s="5" t="s">
        <v>13</v>
      </c>
      <c r="H56" s="7" t="s">
        <v>8</v>
      </c>
      <c r="I56" s="7" t="s">
        <v>128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33</v>
      </c>
      <c r="AF56" s="8">
        <v>3100</v>
      </c>
      <c r="AG56" s="7">
        <v>200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10">
        <v>3300</v>
      </c>
      <c r="AV56" s="14">
        <f t="shared" si="0"/>
        <v>3300</v>
      </c>
      <c r="AW56" s="15">
        <f t="shared" si="1"/>
        <v>2310</v>
      </c>
    </row>
    <row r="57" spans="1:49" ht="19.2" x14ac:dyDescent="0.4">
      <c r="A57" s="5" t="s">
        <v>154</v>
      </c>
      <c r="B57" s="5" t="s">
        <v>150</v>
      </c>
      <c r="C57" s="5">
        <v>408056</v>
      </c>
      <c r="D57" s="6"/>
      <c r="E57" s="5" t="s">
        <v>13</v>
      </c>
      <c r="F57" s="5" t="s">
        <v>15</v>
      </c>
      <c r="G57" s="5" t="s">
        <v>24</v>
      </c>
      <c r="H57" s="7" t="s">
        <v>8</v>
      </c>
      <c r="I57" s="7" t="s">
        <v>151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23</v>
      </c>
      <c r="AF57" s="8">
        <v>2300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10">
        <v>2300</v>
      </c>
      <c r="AV57" s="14">
        <f t="shared" si="0"/>
        <v>2300</v>
      </c>
      <c r="AW57" s="15">
        <f t="shared" si="1"/>
        <v>1610</v>
      </c>
    </row>
    <row r="58" spans="1:49" ht="19.2" x14ac:dyDescent="0.4">
      <c r="A58" s="5" t="s">
        <v>154</v>
      </c>
      <c r="B58" s="5" t="s">
        <v>152</v>
      </c>
      <c r="C58" s="5">
        <v>409409</v>
      </c>
      <c r="D58" s="6"/>
      <c r="E58" s="5" t="s">
        <v>13</v>
      </c>
      <c r="F58" s="5" t="s">
        <v>46</v>
      </c>
      <c r="G58" s="5" t="s">
        <v>24</v>
      </c>
      <c r="H58" s="7" t="s">
        <v>8</v>
      </c>
      <c r="I58" s="7" t="s">
        <v>25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11</v>
      </c>
      <c r="AF58" s="8">
        <v>1100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10">
        <v>1100</v>
      </c>
      <c r="AV58" s="14">
        <f t="shared" si="0"/>
        <v>1100</v>
      </c>
      <c r="AW58" s="15">
        <f t="shared" si="1"/>
        <v>770</v>
      </c>
    </row>
    <row r="59" spans="1:49" x14ac:dyDescent="0.4">
      <c r="A59" s="5" t="s">
        <v>154</v>
      </c>
      <c r="B59" s="5" t="s">
        <v>113</v>
      </c>
      <c r="C59" s="5">
        <v>239858</v>
      </c>
      <c r="D59" s="6"/>
      <c r="E59" s="5" t="s">
        <v>13</v>
      </c>
      <c r="F59" s="5" t="s">
        <v>14</v>
      </c>
      <c r="G59" s="5" t="s">
        <v>13</v>
      </c>
      <c r="H59" s="7" t="s">
        <v>8</v>
      </c>
      <c r="I59" s="7" t="s">
        <v>114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1</v>
      </c>
      <c r="AC59" s="7">
        <v>900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11">
        <v>900</v>
      </c>
      <c r="AV59" s="14">
        <f t="shared" si="0"/>
        <v>900</v>
      </c>
      <c r="AW59" s="15">
        <f t="shared" si="1"/>
        <v>630</v>
      </c>
    </row>
    <row r="60" spans="1:49" x14ac:dyDescent="0.4">
      <c r="A60" s="5" t="s">
        <v>154</v>
      </c>
      <c r="B60" s="5" t="s">
        <v>140</v>
      </c>
      <c r="C60" s="5">
        <v>272304</v>
      </c>
      <c r="D60" s="6"/>
      <c r="E60" s="5" t="s">
        <v>13</v>
      </c>
      <c r="F60" s="5" t="s">
        <v>14</v>
      </c>
      <c r="G60" s="5" t="s">
        <v>13</v>
      </c>
      <c r="H60" s="7" t="s">
        <v>8</v>
      </c>
      <c r="I60" s="7" t="s">
        <v>141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1</v>
      </c>
      <c r="AC60" s="7">
        <v>900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11">
        <v>900</v>
      </c>
      <c r="AV60" s="14">
        <f t="shared" si="0"/>
        <v>900</v>
      </c>
      <c r="AW60" s="15">
        <f t="shared" si="1"/>
        <v>630</v>
      </c>
    </row>
    <row r="61" spans="1:49" ht="19.2" x14ac:dyDescent="0.4">
      <c r="A61" s="5" t="s">
        <v>154</v>
      </c>
      <c r="B61" s="5" t="s">
        <v>129</v>
      </c>
      <c r="C61" s="5">
        <v>409391</v>
      </c>
      <c r="D61" s="6"/>
      <c r="E61" s="5" t="s">
        <v>13</v>
      </c>
      <c r="F61" s="5" t="s">
        <v>46</v>
      </c>
      <c r="G61" s="5" t="s">
        <v>24</v>
      </c>
      <c r="H61" s="7" t="s">
        <v>8</v>
      </c>
      <c r="I61" s="7" t="s">
        <v>25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7</v>
      </c>
      <c r="AF61" s="7">
        <v>0</v>
      </c>
      <c r="AG61" s="7">
        <v>700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11">
        <v>700</v>
      </c>
      <c r="AV61" s="14">
        <f t="shared" si="0"/>
        <v>700</v>
      </c>
      <c r="AW61" s="15">
        <f t="shared" si="1"/>
        <v>489.99999999999994</v>
      </c>
    </row>
    <row r="62" spans="1:49" x14ac:dyDescent="0.4">
      <c r="A62" s="5" t="s">
        <v>154</v>
      </c>
      <c r="B62" s="5" t="s">
        <v>144</v>
      </c>
      <c r="C62" s="5">
        <v>376036</v>
      </c>
      <c r="D62" s="6"/>
      <c r="E62" s="5" t="s">
        <v>13</v>
      </c>
      <c r="F62" s="5" t="s">
        <v>15</v>
      </c>
      <c r="G62" s="5" t="s">
        <v>13</v>
      </c>
      <c r="H62" s="7" t="s">
        <v>8</v>
      </c>
      <c r="I62" s="7" t="s">
        <v>145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5</v>
      </c>
      <c r="AF62" s="7">
        <v>0</v>
      </c>
      <c r="AG62" s="7">
        <v>500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11">
        <v>500</v>
      </c>
      <c r="AV62" s="14">
        <f t="shared" si="0"/>
        <v>500</v>
      </c>
      <c r="AW62" s="15">
        <f t="shared" si="1"/>
        <v>350</v>
      </c>
    </row>
    <row r="63" spans="1:49" x14ac:dyDescent="0.4">
      <c r="A63" s="5" t="s">
        <v>154</v>
      </c>
      <c r="B63" s="5" t="s">
        <v>120</v>
      </c>
      <c r="C63" s="5">
        <v>249762</v>
      </c>
      <c r="D63" s="6"/>
      <c r="E63" s="5" t="s">
        <v>13</v>
      </c>
      <c r="F63" s="5" t="s">
        <v>14</v>
      </c>
      <c r="G63" s="5" t="s">
        <v>13</v>
      </c>
      <c r="H63" s="7" t="s">
        <v>8</v>
      </c>
      <c r="I63" s="7" t="s">
        <v>121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4</v>
      </c>
      <c r="AF63" s="7">
        <v>0</v>
      </c>
      <c r="AG63" s="7">
        <v>400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11">
        <v>400</v>
      </c>
      <c r="AV63" s="14">
        <f t="shared" si="0"/>
        <v>400</v>
      </c>
      <c r="AW63" s="15">
        <f t="shared" si="1"/>
        <v>280</v>
      </c>
    </row>
    <row r="64" spans="1:49" x14ac:dyDescent="0.4">
      <c r="A64" s="5" t="s">
        <v>154</v>
      </c>
      <c r="B64" s="5" t="s">
        <v>146</v>
      </c>
      <c r="C64" s="5">
        <v>332843</v>
      </c>
      <c r="D64" s="6"/>
      <c r="E64" s="5" t="s">
        <v>13</v>
      </c>
      <c r="F64" s="5" t="s">
        <v>14</v>
      </c>
      <c r="G64" s="5" t="s">
        <v>13</v>
      </c>
      <c r="H64" s="7" t="s">
        <v>8</v>
      </c>
      <c r="I64" s="7" t="s">
        <v>147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2</v>
      </c>
      <c r="AF64" s="7">
        <v>0</v>
      </c>
      <c r="AG64" s="7">
        <v>200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11">
        <v>200</v>
      </c>
      <c r="AV64" s="14">
        <f t="shared" si="0"/>
        <v>200</v>
      </c>
      <c r="AW64" s="15">
        <f t="shared" si="1"/>
        <v>140</v>
      </c>
    </row>
    <row r="65" spans="1:49" ht="19.2" x14ac:dyDescent="0.4">
      <c r="A65" s="5" t="s">
        <v>154</v>
      </c>
      <c r="B65" s="5" t="s">
        <v>118</v>
      </c>
      <c r="C65" s="5">
        <v>408317</v>
      </c>
      <c r="D65" s="6"/>
      <c r="E65" s="5" t="s">
        <v>13</v>
      </c>
      <c r="F65" s="5" t="s">
        <v>46</v>
      </c>
      <c r="G65" s="5" t="s">
        <v>24</v>
      </c>
      <c r="H65" s="7" t="s">
        <v>9</v>
      </c>
      <c r="I65" s="7" t="s">
        <v>68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1</v>
      </c>
      <c r="AF65" s="7">
        <v>100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11">
        <v>100</v>
      </c>
      <c r="AV65" s="14">
        <f t="shared" si="0"/>
        <v>100</v>
      </c>
      <c r="AW65" s="15">
        <f t="shared" si="1"/>
        <v>70</v>
      </c>
    </row>
    <row r="66" spans="1:49" x14ac:dyDescent="0.4">
      <c r="A66" s="5" t="s">
        <v>155</v>
      </c>
      <c r="B66" s="5" t="s">
        <v>16</v>
      </c>
      <c r="C66" s="5">
        <v>355332</v>
      </c>
      <c r="D66" s="6"/>
      <c r="E66" s="5" t="s">
        <v>13</v>
      </c>
      <c r="F66" s="5" t="s">
        <v>15</v>
      </c>
      <c r="G66" s="5" t="s">
        <v>13</v>
      </c>
      <c r="H66" s="7" t="s">
        <v>9</v>
      </c>
      <c r="I66" s="7" t="s">
        <v>122</v>
      </c>
      <c r="J66" s="7">
        <v>7</v>
      </c>
      <c r="K66" s="7">
        <v>55</v>
      </c>
      <c r="L66" s="7">
        <v>700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275</v>
      </c>
      <c r="T66" s="7">
        <v>554</v>
      </c>
      <c r="U66" s="7">
        <v>0</v>
      </c>
      <c r="V66" s="8">
        <v>27500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8">
        <v>9499</v>
      </c>
      <c r="AF66" s="8">
        <v>853900</v>
      </c>
      <c r="AG66" s="8">
        <v>96000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8">
        <v>1526</v>
      </c>
      <c r="AS66" s="8">
        <v>149100</v>
      </c>
      <c r="AT66" s="8">
        <v>3500</v>
      </c>
      <c r="AU66" s="10">
        <v>1130700</v>
      </c>
      <c r="AV66" s="14">
        <f t="shared" si="0"/>
        <v>1130700</v>
      </c>
      <c r="AW66" s="15">
        <f t="shared" si="1"/>
        <v>791490</v>
      </c>
    </row>
    <row r="67" spans="1:49" ht="19.2" x14ac:dyDescent="0.4">
      <c r="A67" s="5" t="s">
        <v>155</v>
      </c>
      <c r="B67" s="5" t="s">
        <v>23</v>
      </c>
      <c r="C67" s="5">
        <v>409392</v>
      </c>
      <c r="D67" s="6"/>
      <c r="E67" s="5" t="s">
        <v>13</v>
      </c>
      <c r="F67" s="5" t="s">
        <v>15</v>
      </c>
      <c r="G67" s="5" t="s">
        <v>24</v>
      </c>
      <c r="H67" s="7" t="s">
        <v>8</v>
      </c>
      <c r="I67" s="7" t="s">
        <v>25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24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441</v>
      </c>
      <c r="AF67" s="8">
        <v>44100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10">
        <v>44100</v>
      </c>
      <c r="AV67" s="14">
        <f t="shared" ref="AV67:AV123" si="2">AU67-AN67</f>
        <v>44100</v>
      </c>
      <c r="AW67" s="15">
        <f t="shared" ref="AW67:AW123" si="3">AV67*70%</f>
        <v>30869.999999999996</v>
      </c>
    </row>
    <row r="68" spans="1:49" x14ac:dyDescent="0.4">
      <c r="A68" s="5" t="s">
        <v>155</v>
      </c>
      <c r="B68" s="5" t="s">
        <v>26</v>
      </c>
      <c r="C68" s="5">
        <v>165741</v>
      </c>
      <c r="D68" s="6"/>
      <c r="E68" s="5" t="s">
        <v>13</v>
      </c>
      <c r="F68" s="5" t="s">
        <v>15</v>
      </c>
      <c r="G68" s="5" t="s">
        <v>13</v>
      </c>
      <c r="H68" s="7" t="s">
        <v>8</v>
      </c>
      <c r="I68" s="7" t="s">
        <v>27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37</v>
      </c>
      <c r="AC68" s="8">
        <v>33300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10">
        <v>33300</v>
      </c>
      <c r="AV68" s="14">
        <f t="shared" si="2"/>
        <v>33300</v>
      </c>
      <c r="AW68" s="15">
        <f t="shared" si="3"/>
        <v>23310</v>
      </c>
    </row>
    <row r="69" spans="1:49" x14ac:dyDescent="0.4">
      <c r="A69" s="5" t="s">
        <v>155</v>
      </c>
      <c r="B69" s="5" t="s">
        <v>17</v>
      </c>
      <c r="C69" s="5">
        <v>159260</v>
      </c>
      <c r="D69" s="6"/>
      <c r="E69" s="5" t="s">
        <v>13</v>
      </c>
      <c r="F69" s="5" t="s">
        <v>18</v>
      </c>
      <c r="G69" s="5" t="s">
        <v>13</v>
      </c>
      <c r="H69" s="7" t="s">
        <v>8</v>
      </c>
      <c r="I69" s="7" t="s">
        <v>19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15</v>
      </c>
      <c r="AC69" s="8">
        <v>11500</v>
      </c>
      <c r="AD69" s="8">
        <v>1300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7</v>
      </c>
      <c r="AP69" s="8">
        <v>6100</v>
      </c>
      <c r="AQ69" s="7">
        <v>0</v>
      </c>
      <c r="AR69" s="7">
        <v>0</v>
      </c>
      <c r="AS69" s="7">
        <v>0</v>
      </c>
      <c r="AT69" s="7">
        <v>0</v>
      </c>
      <c r="AU69" s="10">
        <v>18900</v>
      </c>
      <c r="AV69" s="14">
        <f t="shared" si="2"/>
        <v>18900</v>
      </c>
      <c r="AW69" s="15">
        <f t="shared" si="3"/>
        <v>13230</v>
      </c>
    </row>
    <row r="70" spans="1:49" ht="19.2" x14ac:dyDescent="0.4">
      <c r="A70" s="5" t="s">
        <v>155</v>
      </c>
      <c r="B70" s="5" t="s">
        <v>153</v>
      </c>
      <c r="C70" s="5">
        <v>408332</v>
      </c>
      <c r="D70" s="6"/>
      <c r="E70" s="5" t="s">
        <v>13</v>
      </c>
      <c r="F70" s="5" t="s">
        <v>14</v>
      </c>
      <c r="G70" s="5" t="s">
        <v>24</v>
      </c>
      <c r="H70" s="7" t="s">
        <v>8</v>
      </c>
      <c r="I70" s="7" t="s">
        <v>136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151</v>
      </c>
      <c r="AF70" s="8">
        <v>15100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10">
        <v>15100</v>
      </c>
      <c r="AV70" s="14">
        <f t="shared" si="2"/>
        <v>15100</v>
      </c>
      <c r="AW70" s="15">
        <f t="shared" si="3"/>
        <v>10570</v>
      </c>
    </row>
    <row r="71" spans="1:49" x14ac:dyDescent="0.4">
      <c r="A71" s="5" t="s">
        <v>155</v>
      </c>
      <c r="B71" s="5" t="s">
        <v>123</v>
      </c>
      <c r="C71" s="5">
        <v>174583</v>
      </c>
      <c r="D71" s="6"/>
      <c r="E71" s="5" t="s">
        <v>13</v>
      </c>
      <c r="F71" s="5" t="s">
        <v>15</v>
      </c>
      <c r="G71" s="5" t="s">
        <v>13</v>
      </c>
      <c r="H71" s="7" t="s">
        <v>8</v>
      </c>
      <c r="I71" s="7" t="s">
        <v>124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15</v>
      </c>
      <c r="AC71" s="8">
        <v>13500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10">
        <v>13500</v>
      </c>
      <c r="AV71" s="14">
        <f t="shared" si="2"/>
        <v>13500</v>
      </c>
      <c r="AW71" s="15">
        <f t="shared" si="3"/>
        <v>9450</v>
      </c>
    </row>
    <row r="72" spans="1:49" x14ac:dyDescent="0.4">
      <c r="A72" s="5" t="s">
        <v>155</v>
      </c>
      <c r="B72" s="5" t="s">
        <v>69</v>
      </c>
      <c r="C72" s="5">
        <v>192729</v>
      </c>
      <c r="D72" s="6"/>
      <c r="E72" s="5" t="s">
        <v>13</v>
      </c>
      <c r="F72" s="5" t="s">
        <v>46</v>
      </c>
      <c r="G72" s="5" t="s">
        <v>13</v>
      </c>
      <c r="H72" s="7" t="s">
        <v>8</v>
      </c>
      <c r="I72" s="7" t="s">
        <v>70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10</v>
      </c>
      <c r="AP72" s="8">
        <v>8800</v>
      </c>
      <c r="AQ72" s="7">
        <v>200</v>
      </c>
      <c r="AR72" s="7">
        <v>1</v>
      </c>
      <c r="AS72" s="8">
        <v>3200</v>
      </c>
      <c r="AT72" s="7">
        <v>0</v>
      </c>
      <c r="AU72" s="10">
        <v>12200</v>
      </c>
      <c r="AV72" s="14">
        <f t="shared" si="2"/>
        <v>12200</v>
      </c>
      <c r="AW72" s="15">
        <f t="shared" si="3"/>
        <v>8540</v>
      </c>
    </row>
    <row r="73" spans="1:49" ht="19.2" x14ac:dyDescent="0.4">
      <c r="A73" s="5" t="s">
        <v>155</v>
      </c>
      <c r="B73" s="5" t="s">
        <v>129</v>
      </c>
      <c r="C73" s="5">
        <v>409391</v>
      </c>
      <c r="D73" s="6"/>
      <c r="E73" s="5" t="s">
        <v>13</v>
      </c>
      <c r="F73" s="5" t="s">
        <v>46</v>
      </c>
      <c r="G73" s="5" t="s">
        <v>24</v>
      </c>
      <c r="H73" s="7" t="s">
        <v>8</v>
      </c>
      <c r="I73" s="7" t="s">
        <v>25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118</v>
      </c>
      <c r="AF73" s="8">
        <v>11800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10">
        <v>11800</v>
      </c>
      <c r="AV73" s="14">
        <f t="shared" si="2"/>
        <v>11800</v>
      </c>
      <c r="AW73" s="15">
        <f t="shared" si="3"/>
        <v>8260</v>
      </c>
    </row>
    <row r="74" spans="1:49" x14ac:dyDescent="0.4">
      <c r="A74" s="5" t="s">
        <v>155</v>
      </c>
      <c r="B74" s="5" t="s">
        <v>86</v>
      </c>
      <c r="C74" s="5">
        <v>287064</v>
      </c>
      <c r="D74" s="6"/>
      <c r="E74" s="5" t="s">
        <v>13</v>
      </c>
      <c r="F74" s="5" t="s">
        <v>87</v>
      </c>
      <c r="G74" s="5" t="s">
        <v>13</v>
      </c>
      <c r="H74" s="7" t="s">
        <v>8</v>
      </c>
      <c r="I74" s="7" t="s">
        <v>88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12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115</v>
      </c>
      <c r="AF74" s="8">
        <v>11500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10">
        <v>11500</v>
      </c>
      <c r="AV74" s="14">
        <f t="shared" si="2"/>
        <v>11500</v>
      </c>
      <c r="AW74" s="15">
        <f t="shared" si="3"/>
        <v>8049.9999999999991</v>
      </c>
    </row>
    <row r="75" spans="1:49" x14ac:dyDescent="0.4">
      <c r="A75" s="5" t="s">
        <v>155</v>
      </c>
      <c r="B75" s="5" t="s">
        <v>28</v>
      </c>
      <c r="C75" s="5">
        <v>161447</v>
      </c>
      <c r="D75" s="6"/>
      <c r="E75" s="5" t="s">
        <v>13</v>
      </c>
      <c r="F75" s="5" t="s">
        <v>15</v>
      </c>
      <c r="G75" s="5" t="s">
        <v>13</v>
      </c>
      <c r="H75" s="7" t="s">
        <v>8</v>
      </c>
      <c r="I75" s="7" t="s">
        <v>29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12</v>
      </c>
      <c r="AC75" s="8">
        <v>10800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10">
        <v>10800</v>
      </c>
      <c r="AV75" s="14">
        <f t="shared" si="2"/>
        <v>10800</v>
      </c>
      <c r="AW75" s="15">
        <f t="shared" si="3"/>
        <v>7559.9999999999991</v>
      </c>
    </row>
    <row r="76" spans="1:49" x14ac:dyDescent="0.4">
      <c r="A76" s="5" t="s">
        <v>155</v>
      </c>
      <c r="B76" s="5" t="s">
        <v>92</v>
      </c>
      <c r="C76" s="5">
        <v>305089</v>
      </c>
      <c r="D76" s="6"/>
      <c r="E76" s="5" t="s">
        <v>13</v>
      </c>
      <c r="F76" s="5" t="s">
        <v>87</v>
      </c>
      <c r="G76" s="5" t="s">
        <v>13</v>
      </c>
      <c r="H76" s="7" t="s">
        <v>8</v>
      </c>
      <c r="I76" s="7" t="s">
        <v>11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10</v>
      </c>
      <c r="AC76" s="8">
        <v>9000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10">
        <v>9000</v>
      </c>
      <c r="AV76" s="14">
        <f t="shared" si="2"/>
        <v>9000</v>
      </c>
      <c r="AW76" s="15">
        <f t="shared" si="3"/>
        <v>6300</v>
      </c>
    </row>
    <row r="77" spans="1:49" x14ac:dyDescent="0.4">
      <c r="A77" s="5" t="s">
        <v>155</v>
      </c>
      <c r="B77" s="5" t="s">
        <v>93</v>
      </c>
      <c r="C77" s="5">
        <v>258201</v>
      </c>
      <c r="D77" s="6"/>
      <c r="E77" s="5" t="s">
        <v>13</v>
      </c>
      <c r="F77" s="5" t="s">
        <v>59</v>
      </c>
      <c r="G77" s="5" t="s">
        <v>13</v>
      </c>
      <c r="H77" s="7" t="s">
        <v>8</v>
      </c>
      <c r="I77" s="7" t="s">
        <v>94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10</v>
      </c>
      <c r="AC77" s="8">
        <v>9000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10">
        <v>9000</v>
      </c>
      <c r="AV77" s="14">
        <f t="shared" si="2"/>
        <v>9000</v>
      </c>
      <c r="AW77" s="15">
        <f t="shared" si="3"/>
        <v>6300</v>
      </c>
    </row>
    <row r="78" spans="1:49" ht="19.2" x14ac:dyDescent="0.4">
      <c r="A78" s="5" t="s">
        <v>155</v>
      </c>
      <c r="B78" s="5" t="s">
        <v>117</v>
      </c>
      <c r="C78" s="5">
        <v>408616</v>
      </c>
      <c r="D78" s="6"/>
      <c r="E78" s="5" t="s">
        <v>13</v>
      </c>
      <c r="F78" s="5" t="s">
        <v>14</v>
      </c>
      <c r="G78" s="5" t="s">
        <v>24</v>
      </c>
      <c r="H78" s="7" t="s">
        <v>8</v>
      </c>
      <c r="I78" s="7" t="s">
        <v>91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90</v>
      </c>
      <c r="AF78" s="8">
        <v>9000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10">
        <v>9000</v>
      </c>
      <c r="AV78" s="14">
        <f t="shared" si="2"/>
        <v>9000</v>
      </c>
      <c r="AW78" s="15">
        <f t="shared" si="3"/>
        <v>6300</v>
      </c>
    </row>
    <row r="79" spans="1:49" x14ac:dyDescent="0.4">
      <c r="A79" s="5" t="s">
        <v>155</v>
      </c>
      <c r="B79" s="5" t="s">
        <v>146</v>
      </c>
      <c r="C79" s="5">
        <v>332843</v>
      </c>
      <c r="D79" s="6"/>
      <c r="E79" s="5" t="s">
        <v>13</v>
      </c>
      <c r="F79" s="5" t="s">
        <v>14</v>
      </c>
      <c r="G79" s="5" t="s">
        <v>13</v>
      </c>
      <c r="H79" s="7" t="s">
        <v>8</v>
      </c>
      <c r="I79" s="7" t="s">
        <v>147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82</v>
      </c>
      <c r="AF79" s="8">
        <v>8200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10">
        <v>8200</v>
      </c>
      <c r="AV79" s="14">
        <f t="shared" si="2"/>
        <v>8200</v>
      </c>
      <c r="AW79" s="15">
        <f t="shared" si="3"/>
        <v>5740</v>
      </c>
    </row>
    <row r="80" spans="1:49" x14ac:dyDescent="0.4">
      <c r="A80" s="5" t="s">
        <v>155</v>
      </c>
      <c r="B80" s="5" t="s">
        <v>148</v>
      </c>
      <c r="C80" s="5">
        <v>395747</v>
      </c>
      <c r="D80" s="6"/>
      <c r="E80" s="5" t="s">
        <v>13</v>
      </c>
      <c r="F80" s="5" t="s">
        <v>14</v>
      </c>
      <c r="G80" s="5" t="s">
        <v>13</v>
      </c>
      <c r="H80" s="7" t="s">
        <v>8</v>
      </c>
      <c r="I80" s="7" t="s">
        <v>149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3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80</v>
      </c>
      <c r="AF80" s="8">
        <v>8000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10">
        <v>8000</v>
      </c>
      <c r="AV80" s="14">
        <f t="shared" si="2"/>
        <v>8000</v>
      </c>
      <c r="AW80" s="15">
        <f t="shared" si="3"/>
        <v>5600</v>
      </c>
    </row>
    <row r="81" spans="1:49" ht="19.2" x14ac:dyDescent="0.4">
      <c r="A81" s="5" t="s">
        <v>155</v>
      </c>
      <c r="B81" s="5" t="s">
        <v>67</v>
      </c>
      <c r="C81" s="5">
        <v>408054</v>
      </c>
      <c r="D81" s="6"/>
      <c r="E81" s="5" t="s">
        <v>13</v>
      </c>
      <c r="F81" s="5" t="s">
        <v>18</v>
      </c>
      <c r="G81" s="5" t="s">
        <v>24</v>
      </c>
      <c r="H81" s="7" t="s">
        <v>12</v>
      </c>
      <c r="I81" s="7" t="s">
        <v>68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6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76</v>
      </c>
      <c r="AF81" s="7">
        <v>0</v>
      </c>
      <c r="AG81" s="8">
        <v>7600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10">
        <v>7600</v>
      </c>
      <c r="AV81" s="14">
        <f t="shared" si="2"/>
        <v>7600</v>
      </c>
      <c r="AW81" s="15">
        <f t="shared" si="3"/>
        <v>5320</v>
      </c>
    </row>
    <row r="82" spans="1:49" x14ac:dyDescent="0.4">
      <c r="A82" s="5" t="s">
        <v>155</v>
      </c>
      <c r="B82" s="5" t="s">
        <v>22</v>
      </c>
      <c r="C82" s="5">
        <v>159270</v>
      </c>
      <c r="D82" s="6"/>
      <c r="E82" s="5" t="s">
        <v>13</v>
      </c>
      <c r="F82" s="5" t="s">
        <v>18</v>
      </c>
      <c r="G82" s="5" t="s">
        <v>13</v>
      </c>
      <c r="H82" s="7" t="s">
        <v>12</v>
      </c>
      <c r="I82" s="7" t="s">
        <v>21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7</v>
      </c>
      <c r="AP82" s="8">
        <v>6300</v>
      </c>
      <c r="AQ82" s="7">
        <v>0</v>
      </c>
      <c r="AR82" s="7">
        <v>0</v>
      </c>
      <c r="AS82" s="7">
        <v>0</v>
      </c>
      <c r="AT82" s="7">
        <v>0</v>
      </c>
      <c r="AU82" s="10">
        <v>6300</v>
      </c>
      <c r="AV82" s="14">
        <f t="shared" si="2"/>
        <v>6300</v>
      </c>
      <c r="AW82" s="15">
        <f t="shared" si="3"/>
        <v>4410</v>
      </c>
    </row>
    <row r="83" spans="1:49" x14ac:dyDescent="0.4">
      <c r="A83" s="5" t="s">
        <v>155</v>
      </c>
      <c r="B83" s="5" t="s">
        <v>54</v>
      </c>
      <c r="C83" s="5">
        <v>159483</v>
      </c>
      <c r="D83" s="6"/>
      <c r="E83" s="5" t="s">
        <v>13</v>
      </c>
      <c r="F83" s="5" t="s">
        <v>15</v>
      </c>
      <c r="G83" s="5" t="s">
        <v>13</v>
      </c>
      <c r="H83" s="7" t="s">
        <v>8</v>
      </c>
      <c r="I83" s="7" t="s">
        <v>55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6</v>
      </c>
      <c r="AC83" s="8">
        <v>5400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10">
        <v>5400</v>
      </c>
      <c r="AV83" s="14">
        <f t="shared" si="2"/>
        <v>5400</v>
      </c>
      <c r="AW83" s="15">
        <f t="shared" si="3"/>
        <v>3779.9999999999995</v>
      </c>
    </row>
    <row r="84" spans="1:49" x14ac:dyDescent="0.4">
      <c r="A84" s="5" t="s">
        <v>155</v>
      </c>
      <c r="B84" s="5" t="s">
        <v>40</v>
      </c>
      <c r="C84" s="5">
        <v>159255</v>
      </c>
      <c r="D84" s="6"/>
      <c r="E84" s="5" t="s">
        <v>13</v>
      </c>
      <c r="F84" s="5" t="s">
        <v>18</v>
      </c>
      <c r="G84" s="5" t="s">
        <v>13</v>
      </c>
      <c r="H84" s="7" t="s">
        <v>9</v>
      </c>
      <c r="I84" s="7" t="s">
        <v>41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6</v>
      </c>
      <c r="AC84" s="8">
        <v>5400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10">
        <v>5400</v>
      </c>
      <c r="AV84" s="14">
        <f t="shared" si="2"/>
        <v>5400</v>
      </c>
      <c r="AW84" s="15">
        <f t="shared" si="3"/>
        <v>3779.9999999999995</v>
      </c>
    </row>
    <row r="85" spans="1:49" x14ac:dyDescent="0.4">
      <c r="A85" s="5" t="s">
        <v>155</v>
      </c>
      <c r="B85" s="5" t="s">
        <v>89</v>
      </c>
      <c r="C85" s="5">
        <v>285990</v>
      </c>
      <c r="D85" s="6"/>
      <c r="E85" s="5" t="s">
        <v>13</v>
      </c>
      <c r="F85" s="5" t="s">
        <v>14</v>
      </c>
      <c r="G85" s="5" t="s">
        <v>13</v>
      </c>
      <c r="H85" s="7" t="s">
        <v>8</v>
      </c>
      <c r="I85" s="7" t="s">
        <v>72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6</v>
      </c>
      <c r="AC85" s="8">
        <v>5400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10">
        <v>5400</v>
      </c>
      <c r="AV85" s="14">
        <f t="shared" si="2"/>
        <v>5400</v>
      </c>
      <c r="AW85" s="15">
        <f t="shared" si="3"/>
        <v>3779.9999999999995</v>
      </c>
    </row>
    <row r="86" spans="1:49" x14ac:dyDescent="0.4">
      <c r="A86" s="5" t="s">
        <v>155</v>
      </c>
      <c r="B86" s="5" t="s">
        <v>64</v>
      </c>
      <c r="C86" s="5">
        <v>229857</v>
      </c>
      <c r="D86" s="6"/>
      <c r="E86" s="5" t="s">
        <v>13</v>
      </c>
      <c r="F86" s="5" t="s">
        <v>14</v>
      </c>
      <c r="G86" s="5" t="s">
        <v>13</v>
      </c>
      <c r="H86" s="7" t="s">
        <v>12</v>
      </c>
      <c r="I86" s="7" t="s">
        <v>65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4</v>
      </c>
      <c r="AC86" s="8">
        <v>3600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10">
        <v>3600</v>
      </c>
      <c r="AV86" s="14">
        <f t="shared" si="2"/>
        <v>3600</v>
      </c>
      <c r="AW86" s="15">
        <f t="shared" si="3"/>
        <v>2520</v>
      </c>
    </row>
    <row r="87" spans="1:49" ht="19.2" x14ac:dyDescent="0.4">
      <c r="A87" s="5" t="s">
        <v>155</v>
      </c>
      <c r="B87" s="5" t="s">
        <v>134</v>
      </c>
      <c r="C87" s="5">
        <v>408617</v>
      </c>
      <c r="D87" s="6"/>
      <c r="E87" s="5" t="s">
        <v>13</v>
      </c>
      <c r="F87" s="5" t="s">
        <v>14</v>
      </c>
      <c r="G87" s="5" t="s">
        <v>24</v>
      </c>
      <c r="H87" s="7" t="s">
        <v>12</v>
      </c>
      <c r="I87" s="7" t="s">
        <v>68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36</v>
      </c>
      <c r="AF87" s="8">
        <v>3600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10">
        <v>3600</v>
      </c>
      <c r="AV87" s="14">
        <f t="shared" si="2"/>
        <v>3600</v>
      </c>
      <c r="AW87" s="15">
        <f t="shared" si="3"/>
        <v>2520</v>
      </c>
    </row>
    <row r="88" spans="1:49" x14ac:dyDescent="0.4">
      <c r="A88" s="5" t="s">
        <v>155</v>
      </c>
      <c r="B88" s="5" t="s">
        <v>130</v>
      </c>
      <c r="C88" s="5">
        <v>238494</v>
      </c>
      <c r="D88" s="6"/>
      <c r="E88" s="5" t="s">
        <v>13</v>
      </c>
      <c r="F88" s="5" t="s">
        <v>46</v>
      </c>
      <c r="G88" s="5" t="s">
        <v>13</v>
      </c>
      <c r="H88" s="7" t="s">
        <v>8</v>
      </c>
      <c r="I88" s="7" t="s">
        <v>131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4</v>
      </c>
      <c r="AP88" s="8">
        <v>3600</v>
      </c>
      <c r="AQ88" s="7">
        <v>0</v>
      </c>
      <c r="AR88" s="7">
        <v>0</v>
      </c>
      <c r="AS88" s="7">
        <v>0</v>
      </c>
      <c r="AT88" s="7">
        <v>0</v>
      </c>
      <c r="AU88" s="10">
        <v>3600</v>
      </c>
      <c r="AV88" s="14">
        <f t="shared" si="2"/>
        <v>3600</v>
      </c>
      <c r="AW88" s="15">
        <f t="shared" si="3"/>
        <v>2520</v>
      </c>
    </row>
    <row r="89" spans="1:49" x14ac:dyDescent="0.4">
      <c r="A89" s="5" t="s">
        <v>155</v>
      </c>
      <c r="B89" s="5" t="s">
        <v>132</v>
      </c>
      <c r="C89" s="5">
        <v>169151</v>
      </c>
      <c r="D89" s="6"/>
      <c r="E89" s="5" t="s">
        <v>13</v>
      </c>
      <c r="F89" s="5" t="s">
        <v>15</v>
      </c>
      <c r="G89" s="5" t="s">
        <v>13</v>
      </c>
      <c r="H89" s="7" t="s">
        <v>8</v>
      </c>
      <c r="I89" s="7" t="s">
        <v>133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</v>
      </c>
      <c r="AF89" s="8">
        <v>3000</v>
      </c>
      <c r="AG89" s="7">
        <v>200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10">
        <v>3200</v>
      </c>
      <c r="AV89" s="14">
        <f t="shared" si="2"/>
        <v>3200</v>
      </c>
      <c r="AW89" s="15">
        <f t="shared" si="3"/>
        <v>2240</v>
      </c>
    </row>
    <row r="90" spans="1:49" x14ac:dyDescent="0.4">
      <c r="A90" s="5" t="s">
        <v>155</v>
      </c>
      <c r="B90" s="5" t="s">
        <v>58</v>
      </c>
      <c r="C90" s="5">
        <v>215737</v>
      </c>
      <c r="D90" s="6"/>
      <c r="E90" s="5" t="s">
        <v>13</v>
      </c>
      <c r="F90" s="5" t="s">
        <v>59</v>
      </c>
      <c r="G90" s="5" t="s">
        <v>13</v>
      </c>
      <c r="H90" s="7" t="s">
        <v>8</v>
      </c>
      <c r="I90" s="7" t="s">
        <v>60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30</v>
      </c>
      <c r="AF90" s="8">
        <v>3000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10">
        <v>3000</v>
      </c>
      <c r="AV90" s="14">
        <f t="shared" si="2"/>
        <v>3000</v>
      </c>
      <c r="AW90" s="15">
        <f t="shared" si="3"/>
        <v>2100</v>
      </c>
    </row>
    <row r="91" spans="1:49" x14ac:dyDescent="0.4">
      <c r="A91" s="5" t="s">
        <v>155</v>
      </c>
      <c r="B91" s="5" t="s">
        <v>20</v>
      </c>
      <c r="C91" s="5">
        <v>161539</v>
      </c>
      <c r="D91" s="6"/>
      <c r="E91" s="5" t="s">
        <v>13</v>
      </c>
      <c r="F91" s="5" t="s">
        <v>18</v>
      </c>
      <c r="G91" s="5" t="s">
        <v>13</v>
      </c>
      <c r="H91" s="7" t="s">
        <v>8</v>
      </c>
      <c r="I91" s="7" t="s">
        <v>21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3</v>
      </c>
      <c r="AC91" s="8">
        <v>2700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10">
        <v>2700</v>
      </c>
      <c r="AV91" s="14">
        <f t="shared" si="2"/>
        <v>2700</v>
      </c>
      <c r="AW91" s="15">
        <f t="shared" si="3"/>
        <v>1889.9999999999998</v>
      </c>
    </row>
    <row r="92" spans="1:49" x14ac:dyDescent="0.4">
      <c r="A92" s="5" t="s">
        <v>155</v>
      </c>
      <c r="B92" s="5" t="s">
        <v>49</v>
      </c>
      <c r="C92" s="5">
        <v>388417</v>
      </c>
      <c r="D92" s="6"/>
      <c r="E92" s="5" t="s">
        <v>13</v>
      </c>
      <c r="F92" s="5" t="s">
        <v>50</v>
      </c>
      <c r="G92" s="5" t="s">
        <v>13</v>
      </c>
      <c r="H92" s="7" t="s">
        <v>8</v>
      </c>
      <c r="I92" s="7" t="s">
        <v>51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15</v>
      </c>
      <c r="AF92" s="7">
        <v>0</v>
      </c>
      <c r="AG92" s="8">
        <v>1500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10">
        <v>1500</v>
      </c>
      <c r="AV92" s="14">
        <f t="shared" si="2"/>
        <v>1500</v>
      </c>
      <c r="AW92" s="15">
        <f t="shared" si="3"/>
        <v>1050</v>
      </c>
    </row>
    <row r="93" spans="1:49" x14ac:dyDescent="0.4">
      <c r="A93" s="5" t="s">
        <v>155</v>
      </c>
      <c r="B93" s="5" t="s">
        <v>73</v>
      </c>
      <c r="C93" s="5">
        <v>183137</v>
      </c>
      <c r="D93" s="6"/>
      <c r="E93" s="5" t="s">
        <v>13</v>
      </c>
      <c r="F93" s="5" t="s">
        <v>15</v>
      </c>
      <c r="G93" s="5" t="s">
        <v>13</v>
      </c>
      <c r="H93" s="7" t="s">
        <v>8</v>
      </c>
      <c r="I93" s="7" t="s">
        <v>74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1</v>
      </c>
      <c r="AC93" s="7">
        <v>900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11">
        <v>900</v>
      </c>
      <c r="AV93" s="14">
        <f t="shared" si="2"/>
        <v>900</v>
      </c>
      <c r="AW93" s="15">
        <f t="shared" si="3"/>
        <v>630</v>
      </c>
    </row>
    <row r="94" spans="1:49" x14ac:dyDescent="0.4">
      <c r="A94" s="5" t="s">
        <v>155</v>
      </c>
      <c r="B94" s="5" t="s">
        <v>56</v>
      </c>
      <c r="C94" s="5">
        <v>194565</v>
      </c>
      <c r="D94" s="6"/>
      <c r="E94" s="5" t="s">
        <v>13</v>
      </c>
      <c r="F94" s="5" t="s">
        <v>18</v>
      </c>
      <c r="G94" s="5" t="s">
        <v>13</v>
      </c>
      <c r="H94" s="7" t="s">
        <v>8</v>
      </c>
      <c r="I94" s="7" t="s">
        <v>57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4</v>
      </c>
      <c r="AF94" s="7">
        <v>400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11">
        <v>400</v>
      </c>
      <c r="AV94" s="14">
        <f t="shared" si="2"/>
        <v>400</v>
      </c>
      <c r="AW94" s="15">
        <f t="shared" si="3"/>
        <v>280</v>
      </c>
    </row>
    <row r="95" spans="1:49" x14ac:dyDescent="0.4">
      <c r="A95" s="5" t="s">
        <v>155</v>
      </c>
      <c r="B95" s="5" t="s">
        <v>37</v>
      </c>
      <c r="C95" s="5">
        <v>326544</v>
      </c>
      <c r="D95" s="6"/>
      <c r="E95" s="5" t="s">
        <v>13</v>
      </c>
      <c r="F95" s="5" t="s">
        <v>38</v>
      </c>
      <c r="G95" s="5" t="s">
        <v>13</v>
      </c>
      <c r="H95" s="7" t="s">
        <v>8</v>
      </c>
      <c r="I95" s="7" t="s">
        <v>39</v>
      </c>
      <c r="J95" s="7">
        <v>3</v>
      </c>
      <c r="K95" s="7">
        <v>0</v>
      </c>
      <c r="L95" s="7">
        <v>300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</v>
      </c>
      <c r="AF95" s="7">
        <v>100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11">
        <v>400</v>
      </c>
      <c r="AV95" s="14">
        <f t="shared" si="2"/>
        <v>400</v>
      </c>
      <c r="AW95" s="15">
        <f t="shared" si="3"/>
        <v>280</v>
      </c>
    </row>
    <row r="96" spans="1:49" x14ac:dyDescent="0.4">
      <c r="A96" s="5" t="s">
        <v>155</v>
      </c>
      <c r="B96" s="5" t="s">
        <v>79</v>
      </c>
      <c r="C96" s="5">
        <v>227013</v>
      </c>
      <c r="D96" s="6"/>
      <c r="E96" s="5" t="s">
        <v>13</v>
      </c>
      <c r="F96" s="5" t="s">
        <v>15</v>
      </c>
      <c r="G96" s="5" t="s">
        <v>13</v>
      </c>
      <c r="H96" s="7" t="s">
        <v>8</v>
      </c>
      <c r="I96" s="7" t="s">
        <v>80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2</v>
      </c>
      <c r="AF96" s="7">
        <v>0</v>
      </c>
      <c r="AG96" s="7">
        <v>200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11">
        <v>200</v>
      </c>
      <c r="AV96" s="14">
        <f t="shared" si="2"/>
        <v>200</v>
      </c>
      <c r="AW96" s="15">
        <f t="shared" si="3"/>
        <v>140</v>
      </c>
    </row>
    <row r="97" spans="1:49" ht="19.2" x14ac:dyDescent="0.4">
      <c r="A97" s="5" t="s">
        <v>155</v>
      </c>
      <c r="B97" s="5" t="s">
        <v>112</v>
      </c>
      <c r="C97" s="5">
        <v>408450</v>
      </c>
      <c r="D97" s="6"/>
      <c r="E97" s="5" t="s">
        <v>13</v>
      </c>
      <c r="F97" s="5" t="s">
        <v>14</v>
      </c>
      <c r="G97" s="5" t="s">
        <v>24</v>
      </c>
      <c r="H97" s="7" t="s">
        <v>8</v>
      </c>
      <c r="I97" s="7" t="s">
        <v>91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</v>
      </c>
      <c r="AF97" s="7">
        <v>0</v>
      </c>
      <c r="AG97" s="7">
        <v>100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11">
        <v>100</v>
      </c>
      <c r="AV97" s="14">
        <f t="shared" si="2"/>
        <v>100</v>
      </c>
      <c r="AW97" s="15">
        <f t="shared" si="3"/>
        <v>70</v>
      </c>
    </row>
    <row r="98" spans="1:49" x14ac:dyDescent="0.4">
      <c r="A98" s="5" t="s">
        <v>155</v>
      </c>
      <c r="B98" s="5" t="s">
        <v>139</v>
      </c>
      <c r="C98" s="5">
        <v>406732</v>
      </c>
      <c r="D98" s="6"/>
      <c r="E98" s="5" t="s">
        <v>13</v>
      </c>
      <c r="F98" s="5" t="s">
        <v>14</v>
      </c>
      <c r="G98" s="5" t="s">
        <v>13</v>
      </c>
      <c r="H98" s="7" t="s">
        <v>8</v>
      </c>
      <c r="I98" s="7" t="s">
        <v>48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</v>
      </c>
      <c r="AF98" s="7">
        <v>100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11">
        <v>100</v>
      </c>
      <c r="AV98" s="14">
        <f t="shared" si="2"/>
        <v>100</v>
      </c>
      <c r="AW98" s="15">
        <f t="shared" si="3"/>
        <v>70</v>
      </c>
    </row>
    <row r="99" spans="1:49" x14ac:dyDescent="0.4">
      <c r="A99" s="5" t="s">
        <v>156</v>
      </c>
      <c r="B99" s="5" t="s">
        <v>16</v>
      </c>
      <c r="C99" s="5">
        <v>355332</v>
      </c>
      <c r="D99" s="6"/>
      <c r="E99" s="5" t="s">
        <v>13</v>
      </c>
      <c r="F99" s="5" t="s">
        <v>15</v>
      </c>
      <c r="G99" s="5" t="s">
        <v>13</v>
      </c>
      <c r="H99" s="7" t="s">
        <v>9</v>
      </c>
      <c r="I99" s="7" t="s">
        <v>122</v>
      </c>
      <c r="J99" s="7">
        <v>16</v>
      </c>
      <c r="K99" s="7">
        <v>49</v>
      </c>
      <c r="L99" s="8">
        <v>1600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8">
        <v>1954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8">
        <v>12620</v>
      </c>
      <c r="AF99" s="8">
        <v>1195600</v>
      </c>
      <c r="AG99" s="8">
        <v>66400</v>
      </c>
      <c r="AH99" s="7">
        <v>0</v>
      </c>
      <c r="AI99" s="7">
        <v>0</v>
      </c>
      <c r="AJ99" s="7">
        <v>0</v>
      </c>
      <c r="AK99" s="8">
        <v>11264</v>
      </c>
      <c r="AL99" s="8">
        <v>1137412</v>
      </c>
      <c r="AM99" s="8">
        <v>184500</v>
      </c>
      <c r="AN99" s="9">
        <v>341223.6</v>
      </c>
      <c r="AO99" s="7">
        <v>0</v>
      </c>
      <c r="AP99" s="7">
        <v>0</v>
      </c>
      <c r="AQ99" s="7">
        <v>0</v>
      </c>
      <c r="AR99" s="8">
        <v>7190</v>
      </c>
      <c r="AS99" s="8">
        <v>704800</v>
      </c>
      <c r="AT99" s="8">
        <v>14200</v>
      </c>
      <c r="AU99" s="10">
        <v>3304512</v>
      </c>
      <c r="AV99" s="14">
        <f t="shared" si="2"/>
        <v>2963288.4</v>
      </c>
      <c r="AW99" s="15">
        <f t="shared" si="3"/>
        <v>2074301.88</v>
      </c>
    </row>
    <row r="100" spans="1:49" x14ac:dyDescent="0.4">
      <c r="A100" s="5" t="s">
        <v>156</v>
      </c>
      <c r="B100" s="5" t="s">
        <v>17</v>
      </c>
      <c r="C100" s="5">
        <v>159260</v>
      </c>
      <c r="D100" s="6"/>
      <c r="E100" s="5" t="s">
        <v>13</v>
      </c>
      <c r="F100" s="5" t="s">
        <v>18</v>
      </c>
      <c r="G100" s="5" t="s">
        <v>13</v>
      </c>
      <c r="H100" s="7" t="s">
        <v>8</v>
      </c>
      <c r="I100" s="7" t="s">
        <v>19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41</v>
      </c>
      <c r="AC100" s="8">
        <v>34700</v>
      </c>
      <c r="AD100" s="8">
        <v>1200</v>
      </c>
      <c r="AE100" s="7">
        <v>26</v>
      </c>
      <c r="AF100" s="8">
        <v>74100</v>
      </c>
      <c r="AG100" s="8">
        <v>4700</v>
      </c>
      <c r="AH100" s="7">
        <v>129</v>
      </c>
      <c r="AI100" s="8">
        <v>102819</v>
      </c>
      <c r="AJ100" s="8">
        <v>28800</v>
      </c>
      <c r="AK100" s="7">
        <v>17</v>
      </c>
      <c r="AL100" s="8">
        <v>51480</v>
      </c>
      <c r="AM100" s="8">
        <v>5900</v>
      </c>
      <c r="AN100" s="9">
        <v>46289.7</v>
      </c>
      <c r="AO100" s="7">
        <v>28</v>
      </c>
      <c r="AP100" s="8">
        <v>24800</v>
      </c>
      <c r="AQ100" s="7">
        <v>400</v>
      </c>
      <c r="AR100" s="7">
        <v>19</v>
      </c>
      <c r="AS100" s="8">
        <v>55600</v>
      </c>
      <c r="AT100" s="8">
        <v>2400</v>
      </c>
      <c r="AU100" s="10">
        <v>386899</v>
      </c>
      <c r="AV100" s="14">
        <f t="shared" si="2"/>
        <v>340609.3</v>
      </c>
      <c r="AW100" s="15">
        <f t="shared" si="3"/>
        <v>238426.50999999998</v>
      </c>
    </row>
    <row r="101" spans="1:49" x14ac:dyDescent="0.4">
      <c r="A101" s="5" t="s">
        <v>156</v>
      </c>
      <c r="B101" s="5" t="s">
        <v>22</v>
      </c>
      <c r="C101" s="5">
        <v>159270</v>
      </c>
      <c r="D101" s="6"/>
      <c r="E101" s="5" t="s">
        <v>13</v>
      </c>
      <c r="F101" s="5" t="s">
        <v>18</v>
      </c>
      <c r="G101" s="5" t="s">
        <v>13</v>
      </c>
      <c r="H101" s="7" t="s">
        <v>12</v>
      </c>
      <c r="I101" s="7" t="s">
        <v>21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42</v>
      </c>
      <c r="AC101" s="8">
        <v>31500</v>
      </c>
      <c r="AD101" s="8">
        <v>6100</v>
      </c>
      <c r="AE101" s="7">
        <v>7</v>
      </c>
      <c r="AF101" s="8">
        <v>19200</v>
      </c>
      <c r="AG101" s="8">
        <v>3200</v>
      </c>
      <c r="AH101" s="7">
        <v>12</v>
      </c>
      <c r="AI101" s="8">
        <v>11880</v>
      </c>
      <c r="AJ101" s="7">
        <v>200</v>
      </c>
      <c r="AK101" s="7">
        <v>16</v>
      </c>
      <c r="AL101" s="8">
        <v>63630</v>
      </c>
      <c r="AM101" s="7">
        <v>0</v>
      </c>
      <c r="AN101" s="9">
        <v>22653</v>
      </c>
      <c r="AO101" s="7">
        <v>7</v>
      </c>
      <c r="AP101" s="8">
        <v>6300</v>
      </c>
      <c r="AQ101" s="7">
        <v>0</v>
      </c>
      <c r="AR101" s="7">
        <v>13</v>
      </c>
      <c r="AS101" s="8">
        <v>40500</v>
      </c>
      <c r="AT101" s="8">
        <v>1100</v>
      </c>
      <c r="AU101" s="10">
        <v>183610</v>
      </c>
      <c r="AV101" s="14">
        <f t="shared" si="2"/>
        <v>160957</v>
      </c>
      <c r="AW101" s="15">
        <f t="shared" si="3"/>
        <v>112669.9</v>
      </c>
    </row>
    <row r="102" spans="1:49" x14ac:dyDescent="0.4">
      <c r="A102" s="5" t="s">
        <v>156</v>
      </c>
      <c r="B102" s="5" t="s">
        <v>28</v>
      </c>
      <c r="C102" s="5">
        <v>161447</v>
      </c>
      <c r="D102" s="6"/>
      <c r="E102" s="5" t="s">
        <v>13</v>
      </c>
      <c r="F102" s="5" t="s">
        <v>15</v>
      </c>
      <c r="G102" s="5" t="s">
        <v>13</v>
      </c>
      <c r="H102" s="7" t="s">
        <v>8</v>
      </c>
      <c r="I102" s="7" t="s">
        <v>29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18</v>
      </c>
      <c r="AC102" s="8">
        <v>11700</v>
      </c>
      <c r="AD102" s="8">
        <v>3500</v>
      </c>
      <c r="AE102" s="7">
        <v>17</v>
      </c>
      <c r="AF102" s="8">
        <v>54400</v>
      </c>
      <c r="AG102" s="7">
        <v>0</v>
      </c>
      <c r="AH102" s="7">
        <v>29</v>
      </c>
      <c r="AI102" s="8">
        <v>21600</v>
      </c>
      <c r="AJ102" s="8">
        <v>6400</v>
      </c>
      <c r="AK102" s="7">
        <v>18</v>
      </c>
      <c r="AL102" s="8">
        <v>69120</v>
      </c>
      <c r="AM102" s="7">
        <v>0</v>
      </c>
      <c r="AN102" s="9">
        <v>27216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10">
        <v>166720</v>
      </c>
      <c r="AV102" s="14">
        <f t="shared" si="2"/>
        <v>139504</v>
      </c>
      <c r="AW102" s="15">
        <f t="shared" si="3"/>
        <v>97652.799999999988</v>
      </c>
    </row>
    <row r="103" spans="1:49" x14ac:dyDescent="0.4">
      <c r="A103" s="5" t="s">
        <v>156</v>
      </c>
      <c r="B103" s="5" t="s">
        <v>36</v>
      </c>
      <c r="C103" s="5">
        <v>159258</v>
      </c>
      <c r="D103" s="6"/>
      <c r="E103" s="5" t="s">
        <v>13</v>
      </c>
      <c r="F103" s="5" t="s">
        <v>18</v>
      </c>
      <c r="G103" s="5" t="s">
        <v>13</v>
      </c>
      <c r="H103" s="7" t="s">
        <v>8</v>
      </c>
      <c r="I103" s="7" t="s">
        <v>35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28</v>
      </c>
      <c r="AC103" s="8">
        <v>13400</v>
      </c>
      <c r="AD103" s="8">
        <v>11300</v>
      </c>
      <c r="AE103" s="7">
        <v>12</v>
      </c>
      <c r="AF103" s="8">
        <v>38400</v>
      </c>
      <c r="AG103" s="7">
        <v>0</v>
      </c>
      <c r="AH103" s="7">
        <v>45</v>
      </c>
      <c r="AI103" s="8">
        <v>41280</v>
      </c>
      <c r="AJ103" s="8">
        <v>4900</v>
      </c>
      <c r="AK103" s="7">
        <v>0</v>
      </c>
      <c r="AL103" s="7">
        <v>0</v>
      </c>
      <c r="AM103" s="7">
        <v>0</v>
      </c>
      <c r="AN103" s="9">
        <v>12384</v>
      </c>
      <c r="AO103" s="7">
        <v>24</v>
      </c>
      <c r="AP103" s="8">
        <v>20200</v>
      </c>
      <c r="AQ103" s="7">
        <v>400</v>
      </c>
      <c r="AR103" s="7">
        <v>11</v>
      </c>
      <c r="AS103" s="8">
        <v>34300</v>
      </c>
      <c r="AT103" s="7">
        <v>900</v>
      </c>
      <c r="AU103" s="10">
        <v>165080</v>
      </c>
      <c r="AV103" s="14">
        <f t="shared" si="2"/>
        <v>152696</v>
      </c>
      <c r="AW103" s="15">
        <f t="shared" si="3"/>
        <v>106887.2</v>
      </c>
    </row>
    <row r="104" spans="1:49" x14ac:dyDescent="0.4">
      <c r="A104" s="5" t="s">
        <v>156</v>
      </c>
      <c r="B104" s="5" t="s">
        <v>20</v>
      </c>
      <c r="C104" s="5">
        <v>161539</v>
      </c>
      <c r="D104" s="6"/>
      <c r="E104" s="5" t="s">
        <v>13</v>
      </c>
      <c r="F104" s="5" t="s">
        <v>18</v>
      </c>
      <c r="G104" s="5" t="s">
        <v>13</v>
      </c>
      <c r="H104" s="7" t="s">
        <v>8</v>
      </c>
      <c r="I104" s="7" t="s">
        <v>21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3</v>
      </c>
      <c r="AC104" s="8">
        <v>2700</v>
      </c>
      <c r="AD104" s="7">
        <v>0</v>
      </c>
      <c r="AE104" s="7">
        <v>0</v>
      </c>
      <c r="AF104" s="7">
        <v>0</v>
      </c>
      <c r="AG104" s="7">
        <v>0</v>
      </c>
      <c r="AH104" s="7">
        <v>23</v>
      </c>
      <c r="AI104" s="8">
        <v>23160</v>
      </c>
      <c r="AJ104" s="7">
        <v>900</v>
      </c>
      <c r="AK104" s="7">
        <v>16</v>
      </c>
      <c r="AL104" s="8">
        <v>61440</v>
      </c>
      <c r="AM104" s="7">
        <v>0</v>
      </c>
      <c r="AN104" s="9">
        <v>25380</v>
      </c>
      <c r="AO104" s="7">
        <v>24</v>
      </c>
      <c r="AP104" s="8">
        <v>18000</v>
      </c>
      <c r="AQ104" s="8">
        <v>2900</v>
      </c>
      <c r="AR104" s="7">
        <v>0</v>
      </c>
      <c r="AS104" s="7">
        <v>0</v>
      </c>
      <c r="AT104" s="7">
        <v>0</v>
      </c>
      <c r="AU104" s="10">
        <v>109100</v>
      </c>
      <c r="AV104" s="14">
        <f t="shared" si="2"/>
        <v>83720</v>
      </c>
      <c r="AW104" s="15">
        <f t="shared" si="3"/>
        <v>58603.999999999993</v>
      </c>
    </row>
    <row r="105" spans="1:49" x14ac:dyDescent="0.4">
      <c r="A105" s="5" t="s">
        <v>156</v>
      </c>
      <c r="B105" s="5" t="s">
        <v>40</v>
      </c>
      <c r="C105" s="5">
        <v>159255</v>
      </c>
      <c r="D105" s="6"/>
      <c r="E105" s="5" t="s">
        <v>13</v>
      </c>
      <c r="F105" s="5" t="s">
        <v>18</v>
      </c>
      <c r="G105" s="5" t="s">
        <v>13</v>
      </c>
      <c r="H105" s="7" t="s">
        <v>9</v>
      </c>
      <c r="I105" s="7" t="s">
        <v>41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12</v>
      </c>
      <c r="AC105" s="8">
        <v>9000</v>
      </c>
      <c r="AD105" s="8">
        <v>1800</v>
      </c>
      <c r="AE105" s="7">
        <v>1</v>
      </c>
      <c r="AF105" s="8">
        <v>3200</v>
      </c>
      <c r="AG105" s="7">
        <v>0</v>
      </c>
      <c r="AH105" s="7">
        <v>28</v>
      </c>
      <c r="AI105" s="8">
        <v>30240</v>
      </c>
      <c r="AJ105" s="7">
        <v>0</v>
      </c>
      <c r="AK105" s="7">
        <v>4</v>
      </c>
      <c r="AL105" s="8">
        <v>15360</v>
      </c>
      <c r="AM105" s="7">
        <v>0</v>
      </c>
      <c r="AN105" s="9">
        <v>13680</v>
      </c>
      <c r="AO105" s="7">
        <v>0</v>
      </c>
      <c r="AP105" s="7">
        <v>0</v>
      </c>
      <c r="AQ105" s="7">
        <v>0</v>
      </c>
      <c r="AR105" s="7">
        <v>5</v>
      </c>
      <c r="AS105" s="8">
        <v>16000</v>
      </c>
      <c r="AT105" s="7">
        <v>0</v>
      </c>
      <c r="AU105" s="10">
        <v>75600</v>
      </c>
      <c r="AV105" s="14">
        <f t="shared" si="2"/>
        <v>61920</v>
      </c>
      <c r="AW105" s="15">
        <f t="shared" si="3"/>
        <v>43344</v>
      </c>
    </row>
    <row r="106" spans="1:49" x14ac:dyDescent="0.4">
      <c r="A106" s="5" t="s">
        <v>156</v>
      </c>
      <c r="B106" s="5" t="s">
        <v>34</v>
      </c>
      <c r="C106" s="5">
        <v>159268</v>
      </c>
      <c r="D106" s="6"/>
      <c r="E106" s="5" t="s">
        <v>13</v>
      </c>
      <c r="F106" s="5" t="s">
        <v>18</v>
      </c>
      <c r="G106" s="5" t="s">
        <v>13</v>
      </c>
      <c r="H106" s="7" t="s">
        <v>8</v>
      </c>
      <c r="I106" s="7" t="s">
        <v>35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26</v>
      </c>
      <c r="AC106" s="8">
        <v>23100</v>
      </c>
      <c r="AD106" s="7">
        <v>0</v>
      </c>
      <c r="AE106" s="7">
        <v>2</v>
      </c>
      <c r="AF106" s="8">
        <v>3200</v>
      </c>
      <c r="AG106" s="8">
        <v>3200</v>
      </c>
      <c r="AH106" s="7">
        <v>15</v>
      </c>
      <c r="AI106" s="8">
        <v>6480</v>
      </c>
      <c r="AJ106" s="8">
        <v>7500</v>
      </c>
      <c r="AK106" s="7">
        <v>0</v>
      </c>
      <c r="AL106" s="7">
        <v>0</v>
      </c>
      <c r="AM106" s="7">
        <v>0</v>
      </c>
      <c r="AN106" s="9">
        <v>1944</v>
      </c>
      <c r="AO106" s="7">
        <v>0</v>
      </c>
      <c r="AP106" s="7">
        <v>0</v>
      </c>
      <c r="AQ106" s="7">
        <v>0</v>
      </c>
      <c r="AR106" s="7">
        <v>10</v>
      </c>
      <c r="AS106" s="8">
        <v>31100</v>
      </c>
      <c r="AT106" s="7">
        <v>900</v>
      </c>
      <c r="AU106" s="10">
        <v>75480</v>
      </c>
      <c r="AV106" s="14">
        <f t="shared" si="2"/>
        <v>73536</v>
      </c>
      <c r="AW106" s="15">
        <f t="shared" si="3"/>
        <v>51475.199999999997</v>
      </c>
    </row>
    <row r="107" spans="1:49" x14ac:dyDescent="0.4">
      <c r="A107" s="5" t="s">
        <v>156</v>
      </c>
      <c r="B107" s="5" t="s">
        <v>26</v>
      </c>
      <c r="C107" s="5">
        <v>165741</v>
      </c>
      <c r="D107" s="6"/>
      <c r="E107" s="5" t="s">
        <v>13</v>
      </c>
      <c r="F107" s="5" t="s">
        <v>15</v>
      </c>
      <c r="G107" s="5" t="s">
        <v>13</v>
      </c>
      <c r="H107" s="7" t="s">
        <v>8</v>
      </c>
      <c r="I107" s="7" t="s">
        <v>27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45</v>
      </c>
      <c r="AI107" s="8">
        <v>48600</v>
      </c>
      <c r="AJ107" s="7">
        <v>0</v>
      </c>
      <c r="AK107" s="7">
        <v>0</v>
      </c>
      <c r="AL107" s="7">
        <v>0</v>
      </c>
      <c r="AM107" s="7">
        <v>0</v>
      </c>
      <c r="AN107" s="9">
        <v>14580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10">
        <v>48600</v>
      </c>
      <c r="AV107" s="14">
        <f t="shared" si="2"/>
        <v>34020</v>
      </c>
      <c r="AW107" s="15">
        <f t="shared" si="3"/>
        <v>23814</v>
      </c>
    </row>
    <row r="108" spans="1:49" x14ac:dyDescent="0.4">
      <c r="A108" s="5" t="s">
        <v>156</v>
      </c>
      <c r="B108" s="5" t="s">
        <v>92</v>
      </c>
      <c r="C108" s="5">
        <v>305089</v>
      </c>
      <c r="D108" s="6"/>
      <c r="E108" s="5" t="s">
        <v>13</v>
      </c>
      <c r="F108" s="5" t="s">
        <v>87</v>
      </c>
      <c r="G108" s="5" t="s">
        <v>13</v>
      </c>
      <c r="H108" s="7" t="s">
        <v>8</v>
      </c>
      <c r="I108" s="7" t="s">
        <v>11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</v>
      </c>
      <c r="AF108" s="7">
        <v>0</v>
      </c>
      <c r="AG108" s="8">
        <v>3000</v>
      </c>
      <c r="AH108" s="7">
        <v>1</v>
      </c>
      <c r="AI108" s="7">
        <v>120</v>
      </c>
      <c r="AJ108" s="7">
        <v>0</v>
      </c>
      <c r="AK108" s="7">
        <v>9</v>
      </c>
      <c r="AL108" s="8">
        <v>30960</v>
      </c>
      <c r="AM108" s="7">
        <v>0</v>
      </c>
      <c r="AN108" s="9">
        <v>9324</v>
      </c>
      <c r="AO108" s="7">
        <v>9</v>
      </c>
      <c r="AP108" s="8">
        <v>7100</v>
      </c>
      <c r="AQ108" s="7">
        <v>900</v>
      </c>
      <c r="AR108" s="7">
        <v>0</v>
      </c>
      <c r="AS108" s="7">
        <v>0</v>
      </c>
      <c r="AT108" s="7">
        <v>0</v>
      </c>
      <c r="AU108" s="10">
        <v>42080</v>
      </c>
      <c r="AV108" s="14">
        <f t="shared" si="2"/>
        <v>32756</v>
      </c>
      <c r="AW108" s="15">
        <f t="shared" si="3"/>
        <v>22929.199999999997</v>
      </c>
    </row>
    <row r="109" spans="1:49" x14ac:dyDescent="0.4">
      <c r="A109" s="5" t="s">
        <v>156</v>
      </c>
      <c r="B109" s="5" t="s">
        <v>32</v>
      </c>
      <c r="C109" s="5">
        <v>404358</v>
      </c>
      <c r="D109" s="6"/>
      <c r="E109" s="5" t="s">
        <v>13</v>
      </c>
      <c r="F109" s="5" t="s">
        <v>33</v>
      </c>
      <c r="G109" s="5" t="s">
        <v>13</v>
      </c>
      <c r="H109" s="7" t="s">
        <v>8</v>
      </c>
      <c r="I109" s="7" t="s">
        <v>111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5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317</v>
      </c>
      <c r="AF109" s="8">
        <v>29700</v>
      </c>
      <c r="AG109" s="8">
        <v>2000</v>
      </c>
      <c r="AH109" s="7">
        <v>0</v>
      </c>
      <c r="AI109" s="7">
        <v>0</v>
      </c>
      <c r="AJ109" s="7">
        <v>0</v>
      </c>
      <c r="AK109" s="7">
        <v>46</v>
      </c>
      <c r="AL109" s="7">
        <v>0</v>
      </c>
      <c r="AM109" s="8">
        <v>4600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10">
        <v>36300</v>
      </c>
      <c r="AV109" s="14">
        <f t="shared" si="2"/>
        <v>36300</v>
      </c>
      <c r="AW109" s="15">
        <f t="shared" si="3"/>
        <v>25410</v>
      </c>
    </row>
    <row r="110" spans="1:49" ht="19.2" x14ac:dyDescent="0.4">
      <c r="A110" s="5" t="s">
        <v>156</v>
      </c>
      <c r="B110" s="5" t="s">
        <v>75</v>
      </c>
      <c r="C110" s="5">
        <v>413545</v>
      </c>
      <c r="D110" s="6"/>
      <c r="E110" s="5" t="s">
        <v>13</v>
      </c>
      <c r="F110" s="5" t="s">
        <v>18</v>
      </c>
      <c r="G110" s="5" t="s">
        <v>24</v>
      </c>
      <c r="H110" s="7" t="s">
        <v>9</v>
      </c>
      <c r="I110" s="7" t="s">
        <v>76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10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104</v>
      </c>
      <c r="AL110" s="8">
        <v>12480</v>
      </c>
      <c r="AM110" s="7">
        <v>0</v>
      </c>
      <c r="AN110" s="9">
        <v>3744</v>
      </c>
      <c r="AO110" s="7">
        <v>0</v>
      </c>
      <c r="AP110" s="7">
        <v>0</v>
      </c>
      <c r="AQ110" s="7">
        <v>0</v>
      </c>
      <c r="AR110" s="7">
        <v>115</v>
      </c>
      <c r="AS110" s="8">
        <v>11300</v>
      </c>
      <c r="AT110" s="7">
        <v>200</v>
      </c>
      <c r="AU110" s="10">
        <v>23980</v>
      </c>
      <c r="AV110" s="14">
        <f t="shared" si="2"/>
        <v>20236</v>
      </c>
      <c r="AW110" s="15">
        <f t="shared" si="3"/>
        <v>14165.199999999999</v>
      </c>
    </row>
    <row r="111" spans="1:49" x14ac:dyDescent="0.4">
      <c r="A111" s="5" t="s">
        <v>156</v>
      </c>
      <c r="B111" s="5" t="s">
        <v>30</v>
      </c>
      <c r="C111" s="5">
        <v>418829</v>
      </c>
      <c r="D111" s="6"/>
      <c r="E111" s="5" t="s">
        <v>13</v>
      </c>
      <c r="F111" s="5" t="s">
        <v>18</v>
      </c>
      <c r="G111" s="5" t="s">
        <v>13</v>
      </c>
      <c r="H111" s="7" t="s">
        <v>8</v>
      </c>
      <c r="I111" s="7" t="s">
        <v>31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2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138</v>
      </c>
      <c r="AF111" s="8">
        <v>10800</v>
      </c>
      <c r="AG111" s="8">
        <v>3000</v>
      </c>
      <c r="AH111" s="7">
        <v>0</v>
      </c>
      <c r="AI111" s="7">
        <v>0</v>
      </c>
      <c r="AJ111" s="7">
        <v>0</v>
      </c>
      <c r="AK111" s="7">
        <v>51</v>
      </c>
      <c r="AL111" s="8">
        <v>5160</v>
      </c>
      <c r="AM111" s="7">
        <v>800</v>
      </c>
      <c r="AN111" s="9">
        <v>1548</v>
      </c>
      <c r="AO111" s="7">
        <v>0</v>
      </c>
      <c r="AP111" s="7">
        <v>0</v>
      </c>
      <c r="AQ111" s="7">
        <v>0</v>
      </c>
      <c r="AR111" s="7">
        <v>40</v>
      </c>
      <c r="AS111" s="8">
        <v>3400</v>
      </c>
      <c r="AT111" s="7">
        <v>600</v>
      </c>
      <c r="AU111" s="10">
        <v>23760</v>
      </c>
      <c r="AV111" s="14">
        <f t="shared" si="2"/>
        <v>22212</v>
      </c>
      <c r="AW111" s="15">
        <f t="shared" si="3"/>
        <v>15548.4</v>
      </c>
    </row>
    <row r="112" spans="1:49" x14ac:dyDescent="0.4">
      <c r="A112" s="5" t="s">
        <v>156</v>
      </c>
      <c r="B112" s="5" t="s">
        <v>37</v>
      </c>
      <c r="C112" s="5">
        <v>326544</v>
      </c>
      <c r="D112" s="6"/>
      <c r="E112" s="5" t="s">
        <v>13</v>
      </c>
      <c r="F112" s="5" t="s">
        <v>38</v>
      </c>
      <c r="G112" s="5" t="s">
        <v>13</v>
      </c>
      <c r="H112" s="7" t="s">
        <v>8</v>
      </c>
      <c r="I112" s="7" t="s">
        <v>39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20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103</v>
      </c>
      <c r="AF112" s="8">
        <v>5300</v>
      </c>
      <c r="AG112" s="8">
        <v>5000</v>
      </c>
      <c r="AH112" s="7">
        <v>0</v>
      </c>
      <c r="AI112" s="7">
        <v>0</v>
      </c>
      <c r="AJ112" s="7">
        <v>0</v>
      </c>
      <c r="AK112" s="7">
        <v>9</v>
      </c>
      <c r="AL112" s="8">
        <v>1080</v>
      </c>
      <c r="AM112" s="7">
        <v>0</v>
      </c>
      <c r="AN112" s="7">
        <v>324</v>
      </c>
      <c r="AO112" s="7">
        <v>0</v>
      </c>
      <c r="AP112" s="7">
        <v>0</v>
      </c>
      <c r="AQ112" s="7">
        <v>0</v>
      </c>
      <c r="AR112" s="7">
        <v>98</v>
      </c>
      <c r="AS112" s="8">
        <v>9800</v>
      </c>
      <c r="AT112" s="7">
        <v>0</v>
      </c>
      <c r="AU112" s="10">
        <v>21180</v>
      </c>
      <c r="AV112" s="14">
        <f t="shared" si="2"/>
        <v>20856</v>
      </c>
      <c r="AW112" s="15">
        <f t="shared" si="3"/>
        <v>14599.199999999999</v>
      </c>
    </row>
    <row r="113" spans="1:49" x14ac:dyDescent="0.4">
      <c r="A113" s="5" t="s">
        <v>156</v>
      </c>
      <c r="B113" s="5" t="s">
        <v>43</v>
      </c>
      <c r="C113" s="5">
        <v>173863</v>
      </c>
      <c r="D113" s="6"/>
      <c r="E113" s="5" t="s">
        <v>13</v>
      </c>
      <c r="F113" s="5" t="s">
        <v>18</v>
      </c>
      <c r="G113" s="5" t="s">
        <v>13</v>
      </c>
      <c r="H113" s="7" t="s">
        <v>8</v>
      </c>
      <c r="I113" s="7" t="s">
        <v>44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15</v>
      </c>
      <c r="AC113" s="8">
        <v>13500</v>
      </c>
      <c r="AD113" s="7">
        <v>0</v>
      </c>
      <c r="AE113" s="7">
        <v>0</v>
      </c>
      <c r="AF113" s="7">
        <v>0</v>
      </c>
      <c r="AG113" s="7">
        <v>0</v>
      </c>
      <c r="AH113" s="7">
        <v>4</v>
      </c>
      <c r="AI113" s="8">
        <v>3240</v>
      </c>
      <c r="AJ113" s="7">
        <v>200</v>
      </c>
      <c r="AK113" s="7">
        <v>0</v>
      </c>
      <c r="AL113" s="7">
        <v>0</v>
      </c>
      <c r="AM113" s="7">
        <v>0</v>
      </c>
      <c r="AN113" s="7">
        <v>972</v>
      </c>
      <c r="AO113" s="7">
        <v>4</v>
      </c>
      <c r="AP113" s="8">
        <v>3400</v>
      </c>
      <c r="AQ113" s="7">
        <v>0</v>
      </c>
      <c r="AR113" s="7">
        <v>0</v>
      </c>
      <c r="AS113" s="7">
        <v>0</v>
      </c>
      <c r="AT113" s="7">
        <v>0</v>
      </c>
      <c r="AU113" s="10">
        <v>20340</v>
      </c>
      <c r="AV113" s="14">
        <f t="shared" si="2"/>
        <v>19368</v>
      </c>
      <c r="AW113" s="15">
        <f t="shared" si="3"/>
        <v>13557.599999999999</v>
      </c>
    </row>
    <row r="114" spans="1:49" x14ac:dyDescent="0.4">
      <c r="A114" s="5" t="s">
        <v>156</v>
      </c>
      <c r="B114" s="5" t="s">
        <v>79</v>
      </c>
      <c r="C114" s="5">
        <v>227013</v>
      </c>
      <c r="D114" s="6"/>
      <c r="E114" s="5" t="s">
        <v>13</v>
      </c>
      <c r="F114" s="5" t="s">
        <v>15</v>
      </c>
      <c r="G114" s="5" t="s">
        <v>13</v>
      </c>
      <c r="H114" s="7" t="s">
        <v>8</v>
      </c>
      <c r="I114" s="7" t="s">
        <v>80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89</v>
      </c>
      <c r="AF114" s="8">
        <v>8900</v>
      </c>
      <c r="AG114" s="7">
        <v>0</v>
      </c>
      <c r="AH114" s="7">
        <v>0</v>
      </c>
      <c r="AI114" s="7">
        <v>0</v>
      </c>
      <c r="AJ114" s="7">
        <v>0</v>
      </c>
      <c r="AK114" s="7">
        <v>92</v>
      </c>
      <c r="AL114" s="8">
        <v>9480</v>
      </c>
      <c r="AM114" s="8">
        <v>1300</v>
      </c>
      <c r="AN114" s="9">
        <v>2844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10">
        <v>19680</v>
      </c>
      <c r="AV114" s="14">
        <f t="shared" si="2"/>
        <v>16836</v>
      </c>
      <c r="AW114" s="15">
        <f t="shared" si="3"/>
        <v>11785.199999999999</v>
      </c>
    </row>
    <row r="115" spans="1:49" x14ac:dyDescent="0.4">
      <c r="A115" s="5" t="s">
        <v>156</v>
      </c>
      <c r="B115" s="5" t="s">
        <v>58</v>
      </c>
      <c r="C115" s="5">
        <v>215737</v>
      </c>
      <c r="D115" s="6"/>
      <c r="E115" s="5" t="s">
        <v>13</v>
      </c>
      <c r="F115" s="5" t="s">
        <v>59</v>
      </c>
      <c r="G115" s="5" t="s">
        <v>13</v>
      </c>
      <c r="H115" s="7" t="s">
        <v>8</v>
      </c>
      <c r="I115" s="7" t="s">
        <v>60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188</v>
      </c>
      <c r="AF115" s="8">
        <v>18800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10">
        <v>18800</v>
      </c>
      <c r="AV115" s="14">
        <f t="shared" si="2"/>
        <v>18800</v>
      </c>
      <c r="AW115" s="15">
        <f t="shared" si="3"/>
        <v>13160</v>
      </c>
    </row>
    <row r="116" spans="1:49" x14ac:dyDescent="0.4">
      <c r="A116" s="5" t="s">
        <v>156</v>
      </c>
      <c r="B116" s="5" t="s">
        <v>42</v>
      </c>
      <c r="C116" s="5">
        <v>159266</v>
      </c>
      <c r="D116" s="6"/>
      <c r="E116" s="5" t="s">
        <v>13</v>
      </c>
      <c r="F116" s="5" t="s">
        <v>18</v>
      </c>
      <c r="G116" s="5" t="s">
        <v>13</v>
      </c>
      <c r="H116" s="7" t="s">
        <v>8</v>
      </c>
      <c r="I116" s="7" t="s">
        <v>35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9</v>
      </c>
      <c r="AC116" s="8">
        <v>7600</v>
      </c>
      <c r="AD116" s="7">
        <v>0</v>
      </c>
      <c r="AE116" s="7">
        <v>0</v>
      </c>
      <c r="AF116" s="7">
        <v>0</v>
      </c>
      <c r="AG116" s="7">
        <v>0</v>
      </c>
      <c r="AH116" s="7">
        <v>11</v>
      </c>
      <c r="AI116" s="8">
        <v>9720</v>
      </c>
      <c r="AJ116" s="8">
        <v>1400</v>
      </c>
      <c r="AK116" s="7">
        <v>0</v>
      </c>
      <c r="AL116" s="7">
        <v>0</v>
      </c>
      <c r="AM116" s="7">
        <v>0</v>
      </c>
      <c r="AN116" s="9">
        <v>2916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10">
        <v>18720</v>
      </c>
      <c r="AV116" s="14">
        <f t="shared" si="2"/>
        <v>15804</v>
      </c>
      <c r="AW116" s="15">
        <f t="shared" si="3"/>
        <v>11062.8</v>
      </c>
    </row>
    <row r="117" spans="1:49" x14ac:dyDescent="0.4">
      <c r="A117" s="5" t="s">
        <v>156</v>
      </c>
      <c r="B117" s="5" t="s">
        <v>77</v>
      </c>
      <c r="C117" s="5">
        <v>192728</v>
      </c>
      <c r="D117" s="6"/>
      <c r="E117" s="5" t="s">
        <v>13</v>
      </c>
      <c r="F117" s="5" t="s">
        <v>46</v>
      </c>
      <c r="G117" s="5" t="s">
        <v>13</v>
      </c>
      <c r="H117" s="7" t="s">
        <v>8</v>
      </c>
      <c r="I117" s="7" t="s">
        <v>47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5</v>
      </c>
      <c r="AF117" s="8">
        <v>15500</v>
      </c>
      <c r="AG117" s="7">
        <v>0</v>
      </c>
      <c r="AH117" s="7">
        <v>0</v>
      </c>
      <c r="AI117" s="7">
        <v>0</v>
      </c>
      <c r="AJ117" s="7">
        <v>0</v>
      </c>
      <c r="AK117" s="7">
        <v>1</v>
      </c>
      <c r="AL117" s="7">
        <v>0</v>
      </c>
      <c r="AM117" s="7">
        <v>500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10">
        <v>16000</v>
      </c>
      <c r="AV117" s="14">
        <f t="shared" si="2"/>
        <v>16000</v>
      </c>
      <c r="AW117" s="15">
        <f t="shared" si="3"/>
        <v>11200</v>
      </c>
    </row>
    <row r="118" spans="1:49" x14ac:dyDescent="0.4">
      <c r="A118" s="5" t="s">
        <v>156</v>
      </c>
      <c r="B118" s="5" t="s">
        <v>52</v>
      </c>
      <c r="C118" s="5">
        <v>268655</v>
      </c>
      <c r="D118" s="6"/>
      <c r="E118" s="5" t="s">
        <v>13</v>
      </c>
      <c r="F118" s="5" t="s">
        <v>18</v>
      </c>
      <c r="G118" s="5" t="s">
        <v>13</v>
      </c>
      <c r="H118" s="7" t="s">
        <v>8</v>
      </c>
      <c r="I118" s="7" t="s">
        <v>53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7</v>
      </c>
      <c r="AC118" s="8">
        <v>6300</v>
      </c>
      <c r="AD118" s="7">
        <v>0</v>
      </c>
      <c r="AE118" s="7">
        <v>0</v>
      </c>
      <c r="AF118" s="7">
        <v>0</v>
      </c>
      <c r="AG118" s="7">
        <v>0</v>
      </c>
      <c r="AH118" s="7">
        <v>7</v>
      </c>
      <c r="AI118" s="8">
        <v>7560</v>
      </c>
      <c r="AJ118" s="7">
        <v>0</v>
      </c>
      <c r="AK118" s="7">
        <v>0</v>
      </c>
      <c r="AL118" s="7">
        <v>0</v>
      </c>
      <c r="AM118" s="7">
        <v>0</v>
      </c>
      <c r="AN118" s="9">
        <v>2268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10">
        <v>13860</v>
      </c>
      <c r="AV118" s="14">
        <f t="shared" si="2"/>
        <v>11592</v>
      </c>
      <c r="AW118" s="15">
        <f t="shared" si="3"/>
        <v>8114.4</v>
      </c>
    </row>
    <row r="119" spans="1:49" x14ac:dyDescent="0.4">
      <c r="A119" s="5" t="s">
        <v>156</v>
      </c>
      <c r="B119" s="5" t="s">
        <v>63</v>
      </c>
      <c r="C119" s="5">
        <v>192732</v>
      </c>
      <c r="D119" s="6"/>
      <c r="E119" s="5" t="s">
        <v>13</v>
      </c>
      <c r="F119" s="5" t="s">
        <v>46</v>
      </c>
      <c r="G119" s="5" t="s">
        <v>13</v>
      </c>
      <c r="H119" s="7" t="s">
        <v>8</v>
      </c>
      <c r="I119" s="7" t="s">
        <v>47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3</v>
      </c>
      <c r="AF119" s="8">
        <v>9600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1</v>
      </c>
      <c r="AS119" s="8">
        <v>3200</v>
      </c>
      <c r="AT119" s="7">
        <v>0</v>
      </c>
      <c r="AU119" s="10">
        <v>12800</v>
      </c>
      <c r="AV119" s="14">
        <f t="shared" si="2"/>
        <v>12800</v>
      </c>
      <c r="AW119" s="15">
        <f t="shared" si="3"/>
        <v>8960</v>
      </c>
    </row>
    <row r="120" spans="1:49" x14ac:dyDescent="0.4">
      <c r="A120" s="5" t="s">
        <v>156</v>
      </c>
      <c r="B120" s="5" t="s">
        <v>45</v>
      </c>
      <c r="C120" s="5">
        <v>192737</v>
      </c>
      <c r="D120" s="6"/>
      <c r="E120" s="5" t="s">
        <v>13</v>
      </c>
      <c r="F120" s="5" t="s">
        <v>46</v>
      </c>
      <c r="G120" s="5" t="s">
        <v>13</v>
      </c>
      <c r="H120" s="7" t="s">
        <v>8</v>
      </c>
      <c r="I120" s="7" t="s">
        <v>47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9</v>
      </c>
      <c r="AC120" s="8">
        <v>8100</v>
      </c>
      <c r="AD120" s="7">
        <v>0</v>
      </c>
      <c r="AE120" s="7">
        <v>1</v>
      </c>
      <c r="AF120" s="7">
        <v>0</v>
      </c>
      <c r="AG120" s="8">
        <v>3200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10">
        <v>11300</v>
      </c>
      <c r="AV120" s="14">
        <f t="shared" si="2"/>
        <v>11300</v>
      </c>
      <c r="AW120" s="15">
        <f t="shared" si="3"/>
        <v>7909.9999999999991</v>
      </c>
    </row>
    <row r="121" spans="1:49" x14ac:dyDescent="0.4">
      <c r="A121" s="5" t="s">
        <v>156</v>
      </c>
      <c r="B121" s="5" t="s">
        <v>66</v>
      </c>
      <c r="C121" s="5">
        <v>418830</v>
      </c>
      <c r="D121" s="6"/>
      <c r="E121" s="5" t="s">
        <v>13</v>
      </c>
      <c r="F121" s="5" t="s">
        <v>18</v>
      </c>
      <c r="G121" s="5" t="s">
        <v>13</v>
      </c>
      <c r="H121" s="7" t="s">
        <v>8</v>
      </c>
      <c r="I121" s="7" t="s">
        <v>31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10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93</v>
      </c>
      <c r="AL121" s="8">
        <v>11160</v>
      </c>
      <c r="AM121" s="7">
        <v>0</v>
      </c>
      <c r="AN121" s="9">
        <v>3348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10">
        <v>11160</v>
      </c>
      <c r="AV121" s="14">
        <f t="shared" si="2"/>
        <v>7812</v>
      </c>
      <c r="AW121" s="15">
        <f t="shared" si="3"/>
        <v>5468.4</v>
      </c>
    </row>
    <row r="122" spans="1:49" x14ac:dyDescent="0.4">
      <c r="A122" s="5" t="s">
        <v>156</v>
      </c>
      <c r="B122" s="5" t="s">
        <v>84</v>
      </c>
      <c r="C122" s="5">
        <v>196917</v>
      </c>
      <c r="D122" s="6"/>
      <c r="E122" s="5" t="s">
        <v>13</v>
      </c>
      <c r="F122" s="5" t="s">
        <v>46</v>
      </c>
      <c r="G122" s="5" t="s">
        <v>13</v>
      </c>
      <c r="H122" s="7" t="s">
        <v>8</v>
      </c>
      <c r="I122" s="7" t="s">
        <v>85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4</v>
      </c>
      <c r="AC122" s="8">
        <v>3600</v>
      </c>
      <c r="AD122" s="7">
        <v>0</v>
      </c>
      <c r="AE122" s="7">
        <v>0</v>
      </c>
      <c r="AF122" s="7">
        <v>0</v>
      </c>
      <c r="AG122" s="7">
        <v>0</v>
      </c>
      <c r="AH122" s="7">
        <v>6</v>
      </c>
      <c r="AI122" s="8">
        <v>6480</v>
      </c>
      <c r="AJ122" s="7">
        <v>0</v>
      </c>
      <c r="AK122" s="7">
        <v>0</v>
      </c>
      <c r="AL122" s="7">
        <v>0</v>
      </c>
      <c r="AM122" s="7">
        <v>0</v>
      </c>
      <c r="AN122" s="9">
        <v>1944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10">
        <v>10080</v>
      </c>
      <c r="AV122" s="14">
        <f t="shared" si="2"/>
        <v>8136</v>
      </c>
      <c r="AW122" s="15">
        <f t="shared" si="3"/>
        <v>5695.2</v>
      </c>
    </row>
    <row r="123" spans="1:49" ht="19.2" x14ac:dyDescent="0.4">
      <c r="A123" s="5" t="s">
        <v>156</v>
      </c>
      <c r="B123" s="5" t="s">
        <v>95</v>
      </c>
      <c r="C123" s="5">
        <v>406370</v>
      </c>
      <c r="D123" s="6"/>
      <c r="E123" s="5" t="s">
        <v>13</v>
      </c>
      <c r="F123" s="5" t="s">
        <v>46</v>
      </c>
      <c r="G123" s="5" t="s">
        <v>24</v>
      </c>
      <c r="H123" s="7" t="s">
        <v>9</v>
      </c>
      <c r="I123" s="7" t="s">
        <v>78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9</v>
      </c>
      <c r="AI123" s="8">
        <v>9720</v>
      </c>
      <c r="AJ123" s="7">
        <v>0</v>
      </c>
      <c r="AK123" s="7">
        <v>0</v>
      </c>
      <c r="AL123" s="7">
        <v>0</v>
      </c>
      <c r="AM123" s="7">
        <v>0</v>
      </c>
      <c r="AN123" s="9">
        <v>2916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10">
        <v>9720</v>
      </c>
      <c r="AV123" s="14">
        <f t="shared" si="2"/>
        <v>6804</v>
      </c>
      <c r="AW123" s="15">
        <f t="shared" si="3"/>
        <v>4762.7999999999993</v>
      </c>
    </row>
    <row r="124" spans="1:49" x14ac:dyDescent="0.4">
      <c r="A124" s="5" t="s">
        <v>156</v>
      </c>
      <c r="B124" s="5" t="s">
        <v>86</v>
      </c>
      <c r="C124" s="5">
        <v>287064</v>
      </c>
      <c r="D124" s="6"/>
      <c r="E124" s="5" t="s">
        <v>13</v>
      </c>
      <c r="F124" s="5" t="s">
        <v>87</v>
      </c>
      <c r="G124" s="5" t="s">
        <v>13</v>
      </c>
      <c r="H124" s="7" t="s">
        <v>8</v>
      </c>
      <c r="I124" s="7" t="s">
        <v>88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10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90</v>
      </c>
      <c r="AF124" s="8">
        <v>5300</v>
      </c>
      <c r="AG124" s="8">
        <v>3700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10">
        <v>9000</v>
      </c>
      <c r="AV124" s="14">
        <f t="shared" ref="AV124:AV129" si="4">AU124-AN124</f>
        <v>9000</v>
      </c>
      <c r="AW124" s="15">
        <f t="shared" ref="AW124:AW129" si="5">AV124*70%</f>
        <v>6300</v>
      </c>
    </row>
    <row r="125" spans="1:49" x14ac:dyDescent="0.4">
      <c r="A125" s="5" t="s">
        <v>156</v>
      </c>
      <c r="B125" s="5" t="s">
        <v>132</v>
      </c>
      <c r="C125" s="5">
        <v>169151</v>
      </c>
      <c r="D125" s="6"/>
      <c r="E125" s="5" t="s">
        <v>13</v>
      </c>
      <c r="F125" s="5" t="s">
        <v>15</v>
      </c>
      <c r="G125" s="5" t="s">
        <v>13</v>
      </c>
      <c r="H125" s="7" t="s">
        <v>8</v>
      </c>
      <c r="I125" s="7" t="s">
        <v>133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8</v>
      </c>
      <c r="AI125" s="8">
        <v>8640</v>
      </c>
      <c r="AJ125" s="7">
        <v>0</v>
      </c>
      <c r="AK125" s="7">
        <v>0</v>
      </c>
      <c r="AL125" s="7">
        <v>0</v>
      </c>
      <c r="AM125" s="7">
        <v>0</v>
      </c>
      <c r="AN125" s="9">
        <v>2592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10">
        <v>8640</v>
      </c>
      <c r="AV125" s="14">
        <f t="shared" si="4"/>
        <v>6048</v>
      </c>
      <c r="AW125" s="15">
        <f t="shared" si="5"/>
        <v>4233.5999999999995</v>
      </c>
    </row>
    <row r="126" spans="1:49" x14ac:dyDescent="0.4">
      <c r="A126" s="5" t="s">
        <v>156</v>
      </c>
      <c r="B126" s="5" t="s">
        <v>69</v>
      </c>
      <c r="C126" s="5">
        <v>192729</v>
      </c>
      <c r="D126" s="6"/>
      <c r="E126" s="5" t="s">
        <v>13</v>
      </c>
      <c r="F126" s="5" t="s">
        <v>46</v>
      </c>
      <c r="G126" s="5" t="s">
        <v>13</v>
      </c>
      <c r="H126" s="7" t="s">
        <v>8</v>
      </c>
      <c r="I126" s="7" t="s">
        <v>70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6</v>
      </c>
      <c r="AC126" s="8">
        <v>5400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10">
        <v>5400</v>
      </c>
      <c r="AV126" s="14">
        <f t="shared" si="4"/>
        <v>5400</v>
      </c>
      <c r="AW126" s="15">
        <f t="shared" si="5"/>
        <v>3779.9999999999995</v>
      </c>
    </row>
    <row r="127" spans="1:49" x14ac:dyDescent="0.4">
      <c r="A127" s="5" t="s">
        <v>156</v>
      </c>
      <c r="B127" s="5" t="s">
        <v>148</v>
      </c>
      <c r="C127" s="5">
        <v>395747</v>
      </c>
      <c r="D127" s="6"/>
      <c r="E127" s="5" t="s">
        <v>13</v>
      </c>
      <c r="F127" s="5" t="s">
        <v>14</v>
      </c>
      <c r="G127" s="5" t="s">
        <v>13</v>
      </c>
      <c r="H127" s="7" t="s">
        <v>8</v>
      </c>
      <c r="I127" s="7" t="s">
        <v>149</v>
      </c>
      <c r="J127" s="7">
        <v>0</v>
      </c>
      <c r="K127" s="7">
        <v>1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1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39</v>
      </c>
      <c r="AF127" s="7">
        <v>800</v>
      </c>
      <c r="AG127" s="8">
        <v>3100</v>
      </c>
      <c r="AH127" s="7">
        <v>0</v>
      </c>
      <c r="AI127" s="7">
        <v>0</v>
      </c>
      <c r="AJ127" s="7">
        <v>0</v>
      </c>
      <c r="AK127" s="7">
        <v>3</v>
      </c>
      <c r="AL127" s="7">
        <v>360</v>
      </c>
      <c r="AM127" s="7">
        <v>0</v>
      </c>
      <c r="AN127" s="7">
        <v>108</v>
      </c>
      <c r="AO127" s="7">
        <v>0</v>
      </c>
      <c r="AP127" s="7">
        <v>0</v>
      </c>
      <c r="AQ127" s="7">
        <v>0</v>
      </c>
      <c r="AR127" s="7">
        <v>3</v>
      </c>
      <c r="AS127" s="7">
        <v>300</v>
      </c>
      <c r="AT127" s="7">
        <v>0</v>
      </c>
      <c r="AU127" s="10">
        <v>4560</v>
      </c>
      <c r="AV127" s="14">
        <f t="shared" si="4"/>
        <v>4452</v>
      </c>
      <c r="AW127" s="15">
        <f t="shared" si="5"/>
        <v>3116.3999999999996</v>
      </c>
    </row>
    <row r="128" spans="1:49" x14ac:dyDescent="0.4">
      <c r="A128" s="5" t="s">
        <v>156</v>
      </c>
      <c r="B128" s="5" t="s">
        <v>115</v>
      </c>
      <c r="C128" s="5">
        <v>229599</v>
      </c>
      <c r="D128" s="6"/>
      <c r="E128" s="5" t="s">
        <v>13</v>
      </c>
      <c r="F128" s="5" t="s">
        <v>14</v>
      </c>
      <c r="G128" s="5" t="s">
        <v>13</v>
      </c>
      <c r="H128" s="7" t="s">
        <v>8</v>
      </c>
      <c r="I128" s="7" t="s">
        <v>116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5</v>
      </c>
      <c r="AC128" s="8">
        <v>4500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10">
        <v>4500</v>
      </c>
      <c r="AV128" s="14">
        <f t="shared" si="4"/>
        <v>4500</v>
      </c>
      <c r="AW128" s="15">
        <f t="shared" si="5"/>
        <v>3150</v>
      </c>
    </row>
    <row r="129" spans="1:49" x14ac:dyDescent="0.4">
      <c r="A129" s="5" t="s">
        <v>156</v>
      </c>
      <c r="B129" s="5" t="s">
        <v>93</v>
      </c>
      <c r="C129" s="5">
        <v>258201</v>
      </c>
      <c r="D129" s="6"/>
      <c r="E129" s="5" t="s">
        <v>13</v>
      </c>
      <c r="F129" s="5" t="s">
        <v>59</v>
      </c>
      <c r="G129" s="5" t="s">
        <v>13</v>
      </c>
      <c r="H129" s="7" t="s">
        <v>8</v>
      </c>
      <c r="I129" s="7" t="s">
        <v>94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4</v>
      </c>
      <c r="AI129" s="8">
        <v>4320</v>
      </c>
      <c r="AJ129" s="7">
        <v>0</v>
      </c>
      <c r="AK129" s="7">
        <v>0</v>
      </c>
      <c r="AL129" s="7">
        <v>0</v>
      </c>
      <c r="AM129" s="7">
        <v>0</v>
      </c>
      <c r="AN129" s="9">
        <v>1296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10">
        <v>4320</v>
      </c>
      <c r="AV129" s="14">
        <f t="shared" si="4"/>
        <v>3024</v>
      </c>
      <c r="AW129" s="15">
        <f t="shared" si="5"/>
        <v>2116.7999999999997</v>
      </c>
    </row>
    <row r="130" spans="1:49" x14ac:dyDescent="0.4">
      <c r="A130" s="5" t="s">
        <v>156</v>
      </c>
      <c r="B130" s="5" t="s">
        <v>73</v>
      </c>
      <c r="C130" s="5">
        <v>183137</v>
      </c>
      <c r="D130" s="6"/>
      <c r="E130" s="5" t="s">
        <v>13</v>
      </c>
      <c r="F130" s="5" t="s">
        <v>15</v>
      </c>
      <c r="G130" s="5" t="s">
        <v>13</v>
      </c>
      <c r="H130" s="7" t="s">
        <v>8</v>
      </c>
      <c r="I130" s="7" t="s">
        <v>74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3</v>
      </c>
      <c r="AP130" s="8">
        <v>2700</v>
      </c>
      <c r="AQ130" s="7">
        <v>0</v>
      </c>
      <c r="AR130" s="7">
        <v>0</v>
      </c>
      <c r="AS130" s="7">
        <v>0</v>
      </c>
      <c r="AT130" s="7">
        <v>0</v>
      </c>
      <c r="AU130" s="10">
        <v>2700</v>
      </c>
      <c r="AV130" s="14">
        <f t="shared" ref="AV130:AV137" si="6">AU130-AN130</f>
        <v>2700</v>
      </c>
      <c r="AW130" s="15">
        <f t="shared" ref="AW130:AW137" si="7">AV130*70%</f>
        <v>1889.9999999999998</v>
      </c>
    </row>
    <row r="131" spans="1:49" x14ac:dyDescent="0.4">
      <c r="A131" s="5" t="s">
        <v>156</v>
      </c>
      <c r="B131" s="5" t="s">
        <v>130</v>
      </c>
      <c r="C131" s="5">
        <v>238494</v>
      </c>
      <c r="D131" s="6"/>
      <c r="E131" s="5" t="s">
        <v>13</v>
      </c>
      <c r="F131" s="5" t="s">
        <v>46</v>
      </c>
      <c r="G131" s="5" t="s">
        <v>13</v>
      </c>
      <c r="H131" s="7" t="s">
        <v>8</v>
      </c>
      <c r="I131" s="7" t="s">
        <v>131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2</v>
      </c>
      <c r="AC131" s="7">
        <v>900</v>
      </c>
      <c r="AD131" s="7">
        <v>900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10">
        <v>1800</v>
      </c>
      <c r="AV131" s="14">
        <f t="shared" si="6"/>
        <v>1800</v>
      </c>
      <c r="AW131" s="15">
        <f t="shared" si="7"/>
        <v>1260</v>
      </c>
    </row>
    <row r="132" spans="1:49" x14ac:dyDescent="0.4">
      <c r="A132" s="5" t="s">
        <v>156</v>
      </c>
      <c r="B132" s="5" t="s">
        <v>56</v>
      </c>
      <c r="C132" s="5">
        <v>194565</v>
      </c>
      <c r="D132" s="6"/>
      <c r="E132" s="5" t="s">
        <v>13</v>
      </c>
      <c r="F132" s="5" t="s">
        <v>18</v>
      </c>
      <c r="G132" s="5" t="s">
        <v>13</v>
      </c>
      <c r="H132" s="7" t="s">
        <v>8</v>
      </c>
      <c r="I132" s="7" t="s">
        <v>57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13</v>
      </c>
      <c r="AF132" s="8">
        <v>1300</v>
      </c>
      <c r="AG132" s="7">
        <v>0</v>
      </c>
      <c r="AH132" s="7">
        <v>0</v>
      </c>
      <c r="AI132" s="7">
        <v>0</v>
      </c>
      <c r="AJ132" s="7">
        <v>0</v>
      </c>
      <c r="AK132" s="7">
        <v>4</v>
      </c>
      <c r="AL132" s="7">
        <v>0</v>
      </c>
      <c r="AM132" s="7">
        <v>400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10">
        <v>1700</v>
      </c>
      <c r="AV132" s="14">
        <f t="shared" si="6"/>
        <v>1700</v>
      </c>
      <c r="AW132" s="15">
        <f t="shared" si="7"/>
        <v>1190</v>
      </c>
    </row>
    <row r="133" spans="1:49" x14ac:dyDescent="0.4">
      <c r="A133" s="5" t="s">
        <v>156</v>
      </c>
      <c r="B133" s="5" t="s">
        <v>139</v>
      </c>
      <c r="C133" s="5">
        <v>406732</v>
      </c>
      <c r="D133" s="6"/>
      <c r="E133" s="5" t="s">
        <v>13</v>
      </c>
      <c r="F133" s="5" t="s">
        <v>14</v>
      </c>
      <c r="G133" s="5" t="s">
        <v>13</v>
      </c>
      <c r="H133" s="7" t="s">
        <v>8</v>
      </c>
      <c r="I133" s="7" t="s">
        <v>48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11</v>
      </c>
      <c r="AL133" s="8">
        <v>1320</v>
      </c>
      <c r="AM133" s="7">
        <v>0</v>
      </c>
      <c r="AN133" s="7">
        <v>396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10">
        <v>1320</v>
      </c>
      <c r="AV133" s="14">
        <f t="shared" si="6"/>
        <v>924</v>
      </c>
      <c r="AW133" s="15">
        <f t="shared" si="7"/>
        <v>646.79999999999995</v>
      </c>
    </row>
    <row r="134" spans="1:49" x14ac:dyDescent="0.4">
      <c r="A134" s="5" t="s">
        <v>156</v>
      </c>
      <c r="B134" s="5" t="s">
        <v>89</v>
      </c>
      <c r="C134" s="5">
        <v>285990</v>
      </c>
      <c r="D134" s="6"/>
      <c r="E134" s="5" t="s">
        <v>13</v>
      </c>
      <c r="F134" s="5" t="s">
        <v>14</v>
      </c>
      <c r="G134" s="5" t="s">
        <v>13</v>
      </c>
      <c r="H134" s="7" t="s">
        <v>8</v>
      </c>
      <c r="I134" s="7" t="s">
        <v>72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1</v>
      </c>
      <c r="AI134" s="8">
        <v>1080</v>
      </c>
      <c r="AJ134" s="7">
        <v>0</v>
      </c>
      <c r="AK134" s="7">
        <v>0</v>
      </c>
      <c r="AL134" s="7">
        <v>0</v>
      </c>
      <c r="AM134" s="7">
        <v>0</v>
      </c>
      <c r="AN134" s="7">
        <v>324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10">
        <v>1080</v>
      </c>
      <c r="AV134" s="14">
        <f t="shared" si="6"/>
        <v>756</v>
      </c>
      <c r="AW134" s="15">
        <f t="shared" si="7"/>
        <v>529.19999999999993</v>
      </c>
    </row>
    <row r="135" spans="1:49" ht="19.2" x14ac:dyDescent="0.4">
      <c r="A135" s="5" t="s">
        <v>156</v>
      </c>
      <c r="B135" s="5" t="s">
        <v>82</v>
      </c>
      <c r="C135" s="5">
        <v>406388</v>
      </c>
      <c r="D135" s="6"/>
      <c r="E135" s="5" t="s">
        <v>13</v>
      </c>
      <c r="F135" s="5" t="s">
        <v>83</v>
      </c>
      <c r="G135" s="5" t="s">
        <v>24</v>
      </c>
      <c r="H135" s="7" t="s">
        <v>8</v>
      </c>
      <c r="I135" s="7" t="s">
        <v>48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7</v>
      </c>
      <c r="AL135" s="7">
        <v>0</v>
      </c>
      <c r="AM135" s="7">
        <v>700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11">
        <v>700</v>
      </c>
      <c r="AV135" s="14">
        <f t="shared" si="6"/>
        <v>700</v>
      </c>
      <c r="AW135" s="15">
        <f t="shared" si="7"/>
        <v>489.99999999999994</v>
      </c>
    </row>
    <row r="136" spans="1:49" ht="19.2" x14ac:dyDescent="0.4">
      <c r="A136" s="5" t="s">
        <v>156</v>
      </c>
      <c r="B136" s="5" t="s">
        <v>67</v>
      </c>
      <c r="C136" s="5">
        <v>408054</v>
      </c>
      <c r="D136" s="6"/>
      <c r="E136" s="5" t="s">
        <v>13</v>
      </c>
      <c r="F136" s="5" t="s">
        <v>18</v>
      </c>
      <c r="G136" s="5" t="s">
        <v>24</v>
      </c>
      <c r="H136" s="7" t="s">
        <v>12</v>
      </c>
      <c r="I136" s="7" t="s">
        <v>68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1</v>
      </c>
      <c r="AF136" s="7">
        <v>0</v>
      </c>
      <c r="AG136" s="7">
        <v>100</v>
      </c>
      <c r="AH136" s="7">
        <v>0</v>
      </c>
      <c r="AI136" s="7">
        <v>0</v>
      </c>
      <c r="AJ136" s="7">
        <v>0</v>
      </c>
      <c r="AK136" s="7">
        <v>1</v>
      </c>
      <c r="AL136" s="7">
        <v>120</v>
      </c>
      <c r="AM136" s="7">
        <v>0</v>
      </c>
      <c r="AN136" s="7">
        <v>36</v>
      </c>
      <c r="AO136" s="7">
        <v>0</v>
      </c>
      <c r="AP136" s="7">
        <v>0</v>
      </c>
      <c r="AQ136" s="7">
        <v>0</v>
      </c>
      <c r="AR136" s="7">
        <v>1</v>
      </c>
      <c r="AS136" s="7">
        <v>100</v>
      </c>
      <c r="AT136" s="7">
        <v>0</v>
      </c>
      <c r="AU136" s="11">
        <v>320</v>
      </c>
      <c r="AV136" s="14">
        <f t="shared" si="6"/>
        <v>284</v>
      </c>
      <c r="AW136" s="15">
        <f t="shared" si="7"/>
        <v>198.79999999999998</v>
      </c>
    </row>
    <row r="137" spans="1:49" x14ac:dyDescent="0.4">
      <c r="A137" s="5" t="s">
        <v>156</v>
      </c>
      <c r="B137" s="5" t="s">
        <v>127</v>
      </c>
      <c r="C137" s="5">
        <v>210381</v>
      </c>
      <c r="D137" s="6"/>
      <c r="E137" s="5" t="s">
        <v>13</v>
      </c>
      <c r="F137" s="5" t="s">
        <v>46</v>
      </c>
      <c r="G137" s="5" t="s">
        <v>13</v>
      </c>
      <c r="H137" s="7" t="s">
        <v>8</v>
      </c>
      <c r="I137" s="7" t="s">
        <v>128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2</v>
      </c>
      <c r="AL137" s="7">
        <v>0</v>
      </c>
      <c r="AM137" s="7">
        <v>200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11">
        <v>200</v>
      </c>
      <c r="AV137" s="14">
        <f t="shared" si="6"/>
        <v>200</v>
      </c>
      <c r="AW137" s="15">
        <f t="shared" si="7"/>
        <v>140</v>
      </c>
    </row>
    <row r="138" spans="1:49" x14ac:dyDescent="0.4">
      <c r="A138" s="5"/>
      <c r="B138" s="5"/>
      <c r="C138" s="5"/>
      <c r="D138" s="6"/>
      <c r="E138" s="5"/>
      <c r="F138" s="5"/>
      <c r="G138" s="5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8"/>
      <c r="AM138" s="7"/>
      <c r="AN138" s="7"/>
      <c r="AO138" s="7"/>
      <c r="AP138" s="7"/>
      <c r="AQ138" s="7"/>
      <c r="AR138" s="7"/>
      <c r="AS138" s="7"/>
      <c r="AT138" s="7"/>
      <c r="AU138" s="10">
        <f>SUM(AU2:AU137)</f>
        <v>20608461</v>
      </c>
      <c r="AV138" s="14"/>
      <c r="AW138" s="16">
        <f>SUM(AW2:AW137)</f>
        <v>14044633.890000001</v>
      </c>
    </row>
    <row r="139" spans="1:49" x14ac:dyDescent="0.4">
      <c r="A139" s="5"/>
      <c r="B139" s="5"/>
      <c r="C139" s="5"/>
      <c r="D139" s="6"/>
      <c r="E139" s="5"/>
      <c r="F139" s="5"/>
      <c r="G139" s="5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8"/>
      <c r="AD139" s="7"/>
      <c r="AE139" s="7"/>
      <c r="AF139" s="7"/>
      <c r="AG139" s="7"/>
      <c r="AH139" s="7"/>
      <c r="AI139" s="8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10"/>
      <c r="AV139" s="14"/>
      <c r="AW139" s="15"/>
    </row>
    <row r="140" spans="1:49" x14ac:dyDescent="0.4">
      <c r="A140" s="5"/>
      <c r="B140" s="5"/>
      <c r="C140" s="5"/>
      <c r="D140" s="6"/>
      <c r="E140" s="5"/>
      <c r="F140" s="5"/>
      <c r="G140" s="5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8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10"/>
      <c r="AV140" s="14"/>
      <c r="AW140" s="15"/>
    </row>
    <row r="141" spans="1:49" x14ac:dyDescent="0.4">
      <c r="A141" s="5"/>
      <c r="B141" s="5"/>
      <c r="C141" s="5"/>
      <c r="D141" s="6"/>
      <c r="E141" s="5"/>
      <c r="F141" s="5"/>
      <c r="G141" s="5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8"/>
      <c r="AN141" s="7"/>
      <c r="AO141" s="7"/>
      <c r="AP141" s="7"/>
      <c r="AQ141" s="7"/>
      <c r="AR141" s="7"/>
      <c r="AS141" s="7"/>
      <c r="AT141" s="7"/>
      <c r="AU141" s="10"/>
      <c r="AV141" s="14"/>
      <c r="AW141" s="15"/>
    </row>
    <row r="142" spans="1:49" x14ac:dyDescent="0.4">
      <c r="A142" s="5"/>
      <c r="B142" s="5"/>
      <c r="C142" s="5"/>
      <c r="D142" s="6"/>
      <c r="E142" s="5"/>
      <c r="F142" s="5"/>
      <c r="G142" s="5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8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10"/>
      <c r="AV142" s="14"/>
      <c r="AW142" s="15"/>
    </row>
    <row r="143" spans="1:49" x14ac:dyDescent="0.4">
      <c r="A143" s="5"/>
      <c r="B143" s="5"/>
      <c r="C143" s="5"/>
      <c r="D143" s="6"/>
      <c r="E143" s="5"/>
      <c r="F143" s="5"/>
      <c r="G143" s="5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8"/>
      <c r="AQ143" s="7"/>
      <c r="AR143" s="7"/>
      <c r="AS143" s="7"/>
      <c r="AT143" s="7"/>
      <c r="AU143" s="10"/>
      <c r="AV143" s="14"/>
      <c r="AW143" s="15"/>
    </row>
    <row r="144" spans="1:49" x14ac:dyDescent="0.4">
      <c r="A144" s="5"/>
      <c r="B144" s="5"/>
      <c r="C144" s="5"/>
      <c r="D144" s="6"/>
      <c r="E144" s="5"/>
      <c r="F144" s="5"/>
      <c r="G144" s="5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11"/>
      <c r="AV144" s="14"/>
      <c r="AW144" s="15"/>
    </row>
    <row r="145" spans="1:49" x14ac:dyDescent="0.4">
      <c r="A145" s="5"/>
      <c r="B145" s="5"/>
      <c r="C145" s="5"/>
      <c r="D145" s="6"/>
      <c r="E145" s="5"/>
      <c r="F145" s="5"/>
      <c r="G145" s="5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11"/>
      <c r="AV145" s="14"/>
      <c r="AW145" s="15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jihui</cp:lastModifiedBy>
  <dcterms:created xsi:type="dcterms:W3CDTF">2019-02-07T01:40:45Z</dcterms:created>
  <dcterms:modified xsi:type="dcterms:W3CDTF">2022-03-05T06:16:47Z</dcterms:modified>
</cp:coreProperties>
</file>