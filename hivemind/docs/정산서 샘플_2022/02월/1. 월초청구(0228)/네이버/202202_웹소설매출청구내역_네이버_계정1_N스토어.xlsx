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716"/>
  </bookViews>
  <sheets>
    <sheet name="합계 (2)" sheetId="283" r:id="rId1"/>
  </sheets>
  <definedNames>
    <definedName name="_xlnm._FilterDatabase" localSheetId="0" hidden="1">'합계 (2)'!$A$1:$AN$1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V57" i="283" l="1"/>
  <c r="AW57" i="283" s="1"/>
  <c r="AV58" i="283"/>
  <c r="AW58" i="283" s="1"/>
  <c r="AV59" i="283"/>
  <c r="AW59" i="283" s="1"/>
  <c r="AV60" i="283"/>
  <c r="AW60" i="283" s="1"/>
  <c r="AV61" i="283"/>
  <c r="AW61" i="283" s="1"/>
  <c r="AV62" i="283"/>
  <c r="AW62" i="283" s="1"/>
  <c r="AV63" i="283"/>
  <c r="AW63" i="283" s="1"/>
  <c r="AV64" i="283"/>
  <c r="AW64" i="283" s="1"/>
  <c r="AV65" i="283"/>
  <c r="AW65" i="283" s="1"/>
  <c r="AV66" i="283"/>
  <c r="AW66" i="283"/>
  <c r="AV3" i="283" l="1"/>
  <c r="AW3" i="283" s="1"/>
  <c r="AV4" i="283"/>
  <c r="AW4" i="283" s="1"/>
  <c r="AV5" i="283"/>
  <c r="AW5" i="283" s="1"/>
  <c r="AV6" i="283"/>
  <c r="AW6" i="283" s="1"/>
  <c r="AV7" i="283"/>
  <c r="AW7" i="283" s="1"/>
  <c r="AV8" i="283"/>
  <c r="AW8" i="283" s="1"/>
  <c r="AV9" i="283"/>
  <c r="AW9" i="283" s="1"/>
  <c r="AV10" i="283"/>
  <c r="AW10" i="283" s="1"/>
  <c r="AV11" i="283"/>
  <c r="AW11" i="283" s="1"/>
  <c r="AV12" i="283"/>
  <c r="AW12" i="283" s="1"/>
  <c r="AV13" i="283"/>
  <c r="AW13" i="283" s="1"/>
  <c r="AV14" i="283"/>
  <c r="AW14" i="283" s="1"/>
  <c r="AV15" i="283"/>
  <c r="AW15" i="283" s="1"/>
  <c r="AV16" i="283"/>
  <c r="AW16" i="283" s="1"/>
  <c r="AV17" i="283"/>
  <c r="AW17" i="283" s="1"/>
  <c r="AV18" i="283"/>
  <c r="AW18" i="283" s="1"/>
  <c r="AV19" i="283"/>
  <c r="AW19" i="283" s="1"/>
  <c r="AV20" i="283"/>
  <c r="AW20" i="283" s="1"/>
  <c r="AV21" i="283"/>
  <c r="AW21" i="283" s="1"/>
  <c r="AV22" i="283"/>
  <c r="AW22" i="283" s="1"/>
  <c r="AV23" i="283"/>
  <c r="AW23" i="283" s="1"/>
  <c r="AV24" i="283"/>
  <c r="AW24" i="283" s="1"/>
  <c r="AV25" i="283"/>
  <c r="AW25" i="283" s="1"/>
  <c r="AV26" i="283"/>
  <c r="AW26" i="283" s="1"/>
  <c r="AV27" i="283"/>
  <c r="AW27" i="283" s="1"/>
  <c r="AV28" i="283"/>
  <c r="AW28" i="283" s="1"/>
  <c r="AV29" i="283"/>
  <c r="AW29" i="283" s="1"/>
  <c r="AV30" i="283"/>
  <c r="AW30" i="283" s="1"/>
  <c r="AV31" i="283"/>
  <c r="AW31" i="283" s="1"/>
  <c r="AV32" i="283"/>
  <c r="AW32" i="283" s="1"/>
  <c r="AV33" i="283"/>
  <c r="AW33" i="283" s="1"/>
  <c r="AV34" i="283"/>
  <c r="AW34" i="283" s="1"/>
  <c r="AV35" i="283"/>
  <c r="AW35" i="283" s="1"/>
  <c r="AV36" i="283"/>
  <c r="AW36" i="283" s="1"/>
  <c r="AV37" i="283"/>
  <c r="AW37" i="283" s="1"/>
  <c r="AV38" i="283"/>
  <c r="AW38" i="283" s="1"/>
  <c r="AV39" i="283"/>
  <c r="AW39" i="283" s="1"/>
  <c r="AV40" i="283"/>
  <c r="AW40" i="283" s="1"/>
  <c r="AV41" i="283"/>
  <c r="AW41" i="283" s="1"/>
  <c r="AV42" i="283"/>
  <c r="AW42" i="283" s="1"/>
  <c r="AV43" i="283"/>
  <c r="AW43" i="283" s="1"/>
  <c r="AV44" i="283"/>
  <c r="AW44" i="283" s="1"/>
  <c r="AV45" i="283"/>
  <c r="AW45" i="283" s="1"/>
  <c r="AV46" i="283"/>
  <c r="AW46" i="283" s="1"/>
  <c r="AV47" i="283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2" i="283"/>
  <c r="AW2" i="283" s="1"/>
  <c r="AW67" i="283" l="1"/>
</calcChain>
</file>

<file path=xl/sharedStrings.xml><?xml version="1.0" encoding="utf-8"?>
<sst xmlns="http://schemas.openxmlformats.org/spreadsheetml/2006/main" count="504" uniqueCount="105">
  <si>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</si>
  <si>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</si>
  <si>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</si>
  <si>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</si>
  <si>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</si>
  <si>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</si>
  <si>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</si>
  <si>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</si>
  <si>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</si>
  <si>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</si>
  <si>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</si>
  <si>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스토리위즈</t>
  </si>
  <si>
    <t>12세 이상 이용가능</t>
  </si>
  <si>
    <t>김광수</t>
  </si>
  <si>
    <t>권용찬</t>
  </si>
  <si>
    <t>회귀의 전설</t>
  </si>
  <si>
    <t>21세기 대마법사 [단행본]</t>
  </si>
  <si>
    <t>2014.07.24</t>
  </si>
  <si>
    <t>김정률</t>
  </si>
  <si>
    <t>2014.10.21</t>
  </si>
  <si>
    <t>블레이드헌터 [단행본]</t>
  </si>
  <si>
    <t>전혁</t>
  </si>
  <si>
    <t>주식회사 스토리위즈</t>
  </si>
  <si>
    <t>2020.08.07</t>
  </si>
  <si>
    <t>다크메이지 [단행본]</t>
  </si>
  <si>
    <t>2014.10.23</t>
  </si>
  <si>
    <t>2015.05.27</t>
  </si>
  <si>
    <t>트루베니아 연대기 [단행본]</t>
  </si>
  <si>
    <t>2014.10.22</t>
  </si>
  <si>
    <t>데이몬 [단행본]</t>
  </si>
  <si>
    <t>2014.10.20</t>
  </si>
  <si>
    <t>소드엠페러 [단행본]</t>
  </si>
  <si>
    <t>독고진</t>
  </si>
  <si>
    <t>스트라이커</t>
  </si>
  <si>
    <t>2016.05.25</t>
  </si>
  <si>
    <t>2017.08.22</t>
  </si>
  <si>
    <t>2020.10.13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</si>
  <si>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</si>
  <si>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</si>
  <si>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</si>
  <si>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</si>
  <si>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</si>
  <si>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</si>
  <si>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</si>
  <si>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</si>
  <si>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</si>
  <si>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</si>
  <si>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</si>
  <si>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</si>
  <si>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</si>
  <si>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</si>
  <si>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</si>
  <si>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스피릿 소드</t>
  </si>
  <si>
    <t>2016.07.06</t>
  </si>
  <si>
    <t>2021.08.12</t>
  </si>
  <si>
    <t>철중쟁쟁 [단행본]</t>
  </si>
  <si>
    <t>2016.03.17</t>
  </si>
  <si>
    <t>만인지상 [단행본]</t>
  </si>
  <si>
    <t>트루베니아 연대기</t>
  </si>
  <si>
    <t>마스터 K [단행본]</t>
  </si>
  <si>
    <t>2014.07.02</t>
  </si>
  <si>
    <t>소드마스터의 환생 [독점]</t>
  </si>
  <si>
    <t>파란영</t>
  </si>
  <si>
    <t>2019.05.22</t>
  </si>
  <si>
    <t>스트라이커 [완전판] [단행본]</t>
  </si>
  <si>
    <t>2016.11.29</t>
  </si>
  <si>
    <t>신궁전설 [단행본]</t>
  </si>
  <si>
    <t>2015.05.28</t>
  </si>
  <si>
    <t>절륜공자 [단행본]</t>
  </si>
  <si>
    <t>두경</t>
  </si>
  <si>
    <t>신을 죽이러 갑니다</t>
  </si>
  <si>
    <t>2018.08.24</t>
  </si>
  <si>
    <t>절륜공자</t>
  </si>
  <si>
    <t>상계무적 [단행본]</t>
  </si>
  <si>
    <t>2015.07.03</t>
  </si>
  <si>
    <t>하프블러드 [단행본]</t>
  </si>
  <si>
    <t>검산도해</t>
  </si>
  <si>
    <t>2020.04.28</t>
  </si>
  <si>
    <t>2020.09.07</t>
  </si>
  <si>
    <t>마왕 데이몬 [단행본]</t>
  </si>
  <si>
    <t>아나크레온 [단행본]</t>
  </si>
  <si>
    <t>2014.11.18</t>
  </si>
  <si>
    <t>수적왕 [단행본]</t>
  </si>
  <si>
    <t>2016.03.15</t>
  </si>
  <si>
    <t>용중신권 [단행본]</t>
  </si>
  <si>
    <t>프리 나이트 [단행본]</t>
  </si>
  <si>
    <t>2014.10.01</t>
  </si>
  <si>
    <t>작가무림 [단행본]</t>
  </si>
  <si>
    <t>군주</t>
  </si>
  <si>
    <t>마신부활 [독점]</t>
  </si>
  <si>
    <t>만렙도끼</t>
  </si>
  <si>
    <t>2021.02.20</t>
  </si>
  <si>
    <t>철중쟁쟁</t>
  </si>
  <si>
    <t>천조를 가진 남자</t>
  </si>
  <si>
    <t>2017.11.15</t>
  </si>
  <si>
    <t>화산지애</t>
  </si>
  <si>
    <t>화산지애 [단행본]</t>
  </si>
  <si>
    <t>2015.03.05</t>
  </si>
  <si>
    <t>레이드 만물상점[완전판] [단행본]</t>
  </si>
  <si>
    <t>2016.06.16</t>
  </si>
  <si>
    <t>신규무사</t>
  </si>
  <si>
    <t>2018.11.06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</si>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</sst>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4" borderId="0" xfId="42" applyFont="1" applyFill="1" applyAlignment="1">
      <alignment horizontal="center" vertical="center" wrapText="1"/>
    </xf>
    <xf numFmtId="41" fontId="0" fillId="34" borderId="0" xfId="42" applyFont="1" applyFill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8"/>
  <sheetViews>
    <sheetView tabSelected="1" topLeftCell="T48" zoomScale="85" zoomScaleNormal="85" workbookViewId="0">
      <selection activeCell="AU67" sqref="AU67:AU68"/>
    </sheetView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7.8984375" customWidth="1"/>
    <col min="37" max="38" width="12.8984375" bestFit="1" customWidth="1"/>
    <col min="39" max="39" width="12.296875" bestFit="1" customWidth="1"/>
    <col min="47" max="47" width="12.796875" bestFit="1" customWidth="1"/>
    <col min="48" max="48" width="13.5" bestFit="1" customWidth="1"/>
    <col min="49" max="49" width="11.59765625" style="14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37</v>
      </c>
      <c r="T1" s="11" t="s">
        <v>38</v>
      </c>
      <c r="U1" s="11" t="s">
        <v>39</v>
      </c>
      <c r="V1" s="11" t="s">
        <v>40</v>
      </c>
      <c r="W1" s="11" t="s">
        <v>41</v>
      </c>
      <c r="X1" s="11" t="s">
        <v>42</v>
      </c>
      <c r="Y1" s="11" t="s">
        <v>43</v>
      </c>
      <c r="Z1" s="11" t="s">
        <v>44</v>
      </c>
      <c r="AA1" s="11" t="s">
        <v>45</v>
      </c>
      <c r="AB1" s="11" t="s">
        <v>37</v>
      </c>
      <c r="AC1" s="11" t="s">
        <v>46</v>
      </c>
      <c r="AD1" s="11" t="s">
        <v>47</v>
      </c>
      <c r="AE1" s="11" t="s">
        <v>37</v>
      </c>
      <c r="AF1" s="11" t="s">
        <v>46</v>
      </c>
      <c r="AG1" s="11" t="s">
        <v>47</v>
      </c>
      <c r="AH1" s="11" t="s">
        <v>37</v>
      </c>
      <c r="AI1" s="11" t="s">
        <v>46</v>
      </c>
      <c r="AJ1" s="11" t="s">
        <v>47</v>
      </c>
      <c r="AK1" s="11" t="s">
        <v>37</v>
      </c>
      <c r="AL1" s="11" t="s">
        <v>46</v>
      </c>
      <c r="AM1" s="11" t="s">
        <v>47</v>
      </c>
      <c r="AN1" s="12" t="s">
        <v>48</v>
      </c>
      <c r="AO1" s="11" t="s">
        <v>37</v>
      </c>
      <c r="AP1" s="11" t="s">
        <v>46</v>
      </c>
      <c r="AQ1" s="11" t="s">
        <v>47</v>
      </c>
      <c r="AR1" s="11" t="s">
        <v>37</v>
      </c>
      <c r="AS1" s="11" t="s">
        <v>46</v>
      </c>
      <c r="AT1" s="11" t="s">
        <v>47</v>
      </c>
      <c r="AU1" s="12" t="s">
        <v>49</v>
      </c>
      <c r="AV1" s="11" t="s">
        <v>50</v>
      </c>
      <c r="AW1" s="15" t="s">
        <v>51</v>
      </c>
    </row>
    <row r="2" spans="1:49" x14ac:dyDescent="0.4">
      <c r="A2" s="5" t="s">
        <v>102</v>
      </c>
      <c r="B2" s="5" t="s">
        <v>24</v>
      </c>
      <c r="C2" s="5">
        <v>159260</v>
      </c>
      <c r="D2" s="6"/>
      <c r="E2" s="5" t="s">
        <v>11</v>
      </c>
      <c r="F2" s="5" t="s">
        <v>18</v>
      </c>
      <c r="G2" s="5" t="s">
        <v>11</v>
      </c>
      <c r="H2" s="7" t="s">
        <v>8</v>
      </c>
      <c r="I2" s="7" t="s">
        <v>25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15</v>
      </c>
      <c r="AC2" s="8">
        <v>13500</v>
      </c>
      <c r="AD2" s="7">
        <v>0</v>
      </c>
      <c r="AE2" s="7">
        <v>1</v>
      </c>
      <c r="AF2" s="8">
        <v>3200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9">
        <v>16700</v>
      </c>
      <c r="AV2" s="13">
        <f>AU2-AN2</f>
        <v>16700</v>
      </c>
      <c r="AW2" s="14">
        <f>AV2*70%</f>
        <v>11690</v>
      </c>
    </row>
    <row r="3" spans="1:49" x14ac:dyDescent="0.4">
      <c r="A3" s="5" t="s">
        <v>102</v>
      </c>
      <c r="B3" s="5" t="s">
        <v>79</v>
      </c>
      <c r="C3" s="5">
        <v>159258</v>
      </c>
      <c r="D3" s="6"/>
      <c r="E3" s="5" t="s">
        <v>11</v>
      </c>
      <c r="F3" s="5" t="s">
        <v>18</v>
      </c>
      <c r="G3" s="5" t="s">
        <v>11</v>
      </c>
      <c r="H3" s="7" t="s">
        <v>8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15</v>
      </c>
      <c r="AC3" s="8">
        <v>13500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9">
        <v>13500</v>
      </c>
      <c r="AV3" s="13">
        <f t="shared" ref="AV3:AV56" si="0">AU3-AN3</f>
        <v>13500</v>
      </c>
      <c r="AW3" s="14">
        <f t="shared" ref="AW3:AW56" si="1">AV3*70%</f>
        <v>9450</v>
      </c>
    </row>
    <row r="4" spans="1:49" x14ac:dyDescent="0.4">
      <c r="A4" s="5" t="s">
        <v>102</v>
      </c>
      <c r="B4" s="5" t="s">
        <v>15</v>
      </c>
      <c r="C4" s="5">
        <v>355332</v>
      </c>
      <c r="D4" s="6"/>
      <c r="E4" s="5" t="s">
        <v>11</v>
      </c>
      <c r="F4" s="5" t="s">
        <v>13</v>
      </c>
      <c r="G4" s="5" t="s">
        <v>11</v>
      </c>
      <c r="H4" s="7" t="s">
        <v>9</v>
      </c>
      <c r="I4" s="7" t="s">
        <v>54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78</v>
      </c>
      <c r="AF4" s="8">
        <v>6700</v>
      </c>
      <c r="AG4" s="8">
        <v>1100</v>
      </c>
      <c r="AH4" s="7">
        <v>0</v>
      </c>
      <c r="AI4" s="7">
        <v>0</v>
      </c>
      <c r="AJ4" s="7">
        <v>0</v>
      </c>
      <c r="AK4" s="7">
        <v>1</v>
      </c>
      <c r="AL4" s="7">
        <v>0</v>
      </c>
      <c r="AM4" s="7">
        <v>100</v>
      </c>
      <c r="AN4" s="7">
        <v>0</v>
      </c>
      <c r="AO4" s="7">
        <v>0</v>
      </c>
      <c r="AP4" s="7">
        <v>0</v>
      </c>
      <c r="AQ4" s="7">
        <v>0</v>
      </c>
      <c r="AR4" s="7">
        <v>6</v>
      </c>
      <c r="AS4" s="7">
        <v>600</v>
      </c>
      <c r="AT4" s="7">
        <v>0</v>
      </c>
      <c r="AU4" s="9">
        <v>8500</v>
      </c>
      <c r="AV4" s="13">
        <f t="shared" si="0"/>
        <v>8500</v>
      </c>
      <c r="AW4" s="14">
        <f t="shared" si="1"/>
        <v>5950</v>
      </c>
    </row>
    <row r="5" spans="1:49" x14ac:dyDescent="0.4">
      <c r="A5" s="5" t="s">
        <v>102</v>
      </c>
      <c r="B5" s="5" t="s">
        <v>31</v>
      </c>
      <c r="C5" s="5">
        <v>161539</v>
      </c>
      <c r="D5" s="6"/>
      <c r="E5" s="5" t="s">
        <v>11</v>
      </c>
      <c r="F5" s="5" t="s">
        <v>18</v>
      </c>
      <c r="G5" s="5" t="s">
        <v>11</v>
      </c>
      <c r="H5" s="7" t="s">
        <v>8</v>
      </c>
      <c r="I5" s="7" t="s">
        <v>28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4</v>
      </c>
      <c r="AC5" s="8">
        <v>3600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5</v>
      </c>
      <c r="AP5" s="8">
        <v>4500</v>
      </c>
      <c r="AQ5" s="7">
        <v>0</v>
      </c>
      <c r="AR5" s="7">
        <v>0</v>
      </c>
      <c r="AS5" s="7">
        <v>0</v>
      </c>
      <c r="AT5" s="7">
        <v>0</v>
      </c>
      <c r="AU5" s="9">
        <v>8100</v>
      </c>
      <c r="AV5" s="13">
        <f t="shared" si="0"/>
        <v>8100</v>
      </c>
      <c r="AW5" s="14">
        <f t="shared" si="1"/>
        <v>5670</v>
      </c>
    </row>
    <row r="6" spans="1:49" x14ac:dyDescent="0.4">
      <c r="A6" s="5" t="s">
        <v>102</v>
      </c>
      <c r="B6" s="5" t="s">
        <v>80</v>
      </c>
      <c r="C6" s="5">
        <v>173863</v>
      </c>
      <c r="D6" s="6"/>
      <c r="E6" s="5" t="s">
        <v>11</v>
      </c>
      <c r="F6" s="5" t="s">
        <v>18</v>
      </c>
      <c r="G6" s="5" t="s">
        <v>11</v>
      </c>
      <c r="H6" s="7" t="s">
        <v>8</v>
      </c>
      <c r="I6" s="7" t="s">
        <v>81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6</v>
      </c>
      <c r="AC6" s="8">
        <v>3600</v>
      </c>
      <c r="AD6" s="8">
        <v>1800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5400</v>
      </c>
      <c r="AV6" s="13">
        <f t="shared" si="0"/>
        <v>5400</v>
      </c>
      <c r="AW6" s="14">
        <f t="shared" si="1"/>
        <v>3779.9999999999995</v>
      </c>
    </row>
    <row r="7" spans="1:49" x14ac:dyDescent="0.4">
      <c r="A7" s="5" t="s">
        <v>102</v>
      </c>
      <c r="B7" s="5" t="s">
        <v>29</v>
      </c>
      <c r="C7" s="5">
        <v>159255</v>
      </c>
      <c r="D7" s="6"/>
      <c r="E7" s="5" t="s">
        <v>11</v>
      </c>
      <c r="F7" s="5" t="s">
        <v>18</v>
      </c>
      <c r="G7" s="5" t="s">
        <v>11</v>
      </c>
      <c r="H7" s="7" t="s">
        <v>9</v>
      </c>
      <c r="I7" s="7" t="s">
        <v>30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5</v>
      </c>
      <c r="AC7" s="8">
        <v>4500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9">
        <v>4500</v>
      </c>
      <c r="AV7" s="13">
        <f t="shared" si="0"/>
        <v>4500</v>
      </c>
      <c r="AW7" s="14">
        <f t="shared" si="1"/>
        <v>3150</v>
      </c>
    </row>
    <row r="8" spans="1:49" x14ac:dyDescent="0.4">
      <c r="A8" s="5" t="s">
        <v>102</v>
      </c>
      <c r="B8" s="5" t="s">
        <v>27</v>
      </c>
      <c r="C8" s="5">
        <v>159270</v>
      </c>
      <c r="D8" s="6"/>
      <c r="E8" s="5" t="s">
        <v>11</v>
      </c>
      <c r="F8" s="5" t="s">
        <v>18</v>
      </c>
      <c r="G8" s="5" t="s">
        <v>11</v>
      </c>
      <c r="H8" s="7" t="s">
        <v>12</v>
      </c>
      <c r="I8" s="7" t="s">
        <v>28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5</v>
      </c>
      <c r="AC8" s="8">
        <v>4500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9">
        <v>4500</v>
      </c>
      <c r="AV8" s="13">
        <f t="shared" si="0"/>
        <v>4500</v>
      </c>
      <c r="AW8" s="14">
        <f t="shared" si="1"/>
        <v>3150</v>
      </c>
    </row>
    <row r="9" spans="1:49" x14ac:dyDescent="0.4">
      <c r="A9" s="5" t="s">
        <v>102</v>
      </c>
      <c r="B9" s="5" t="s">
        <v>73</v>
      </c>
      <c r="C9" s="5">
        <v>196917</v>
      </c>
      <c r="D9" s="6"/>
      <c r="E9" s="5" t="s">
        <v>11</v>
      </c>
      <c r="F9" s="5" t="s">
        <v>21</v>
      </c>
      <c r="G9" s="5" t="s">
        <v>11</v>
      </c>
      <c r="H9" s="7" t="s">
        <v>8</v>
      </c>
      <c r="I9" s="7" t="s">
        <v>74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4</v>
      </c>
      <c r="AC9" s="8">
        <v>3600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9">
        <v>3600</v>
      </c>
      <c r="AV9" s="13">
        <f t="shared" si="0"/>
        <v>3600</v>
      </c>
      <c r="AW9" s="14">
        <f t="shared" si="1"/>
        <v>2520</v>
      </c>
    </row>
    <row r="10" spans="1:49" x14ac:dyDescent="0.4">
      <c r="A10" s="5" t="s">
        <v>102</v>
      </c>
      <c r="B10" s="5" t="s">
        <v>66</v>
      </c>
      <c r="C10" s="5">
        <v>192729</v>
      </c>
      <c r="D10" s="6"/>
      <c r="E10" s="5" t="s">
        <v>11</v>
      </c>
      <c r="F10" s="5" t="s">
        <v>21</v>
      </c>
      <c r="G10" s="5" t="s">
        <v>11</v>
      </c>
      <c r="H10" s="7" t="s">
        <v>8</v>
      </c>
      <c r="I10" s="7" t="s">
        <v>67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4</v>
      </c>
      <c r="AC10" s="8">
        <v>3600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9">
        <v>3600</v>
      </c>
      <c r="AV10" s="13">
        <f t="shared" si="0"/>
        <v>3600</v>
      </c>
      <c r="AW10" s="14">
        <f t="shared" si="1"/>
        <v>2520</v>
      </c>
    </row>
    <row r="11" spans="1:49" x14ac:dyDescent="0.4">
      <c r="A11" s="5" t="s">
        <v>102</v>
      </c>
      <c r="B11" s="5" t="s">
        <v>20</v>
      </c>
      <c r="C11" s="5">
        <v>159266</v>
      </c>
      <c r="D11" s="6"/>
      <c r="E11" s="5" t="s">
        <v>11</v>
      </c>
      <c r="F11" s="5" t="s">
        <v>18</v>
      </c>
      <c r="G11" s="5" t="s">
        <v>11</v>
      </c>
      <c r="H11" s="7" t="s">
        <v>8</v>
      </c>
      <c r="I11" s="7" t="s">
        <v>19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4</v>
      </c>
      <c r="AC11" s="8">
        <v>3600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9">
        <v>3600</v>
      </c>
      <c r="AV11" s="13">
        <f t="shared" si="0"/>
        <v>3600</v>
      </c>
      <c r="AW11" s="14">
        <f t="shared" si="1"/>
        <v>2520</v>
      </c>
    </row>
    <row r="12" spans="1:49" ht="19.2" x14ac:dyDescent="0.4">
      <c r="A12" s="5" t="s">
        <v>102</v>
      </c>
      <c r="B12" s="5" t="s">
        <v>68</v>
      </c>
      <c r="C12" s="5">
        <v>406370</v>
      </c>
      <c r="D12" s="6"/>
      <c r="E12" s="5" t="s">
        <v>11</v>
      </c>
      <c r="F12" s="5" t="s">
        <v>21</v>
      </c>
      <c r="G12" s="5" t="s">
        <v>22</v>
      </c>
      <c r="H12" s="7" t="s">
        <v>9</v>
      </c>
      <c r="I12" s="7" t="s">
        <v>23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</v>
      </c>
      <c r="AC12" s="8">
        <v>2700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1</v>
      </c>
      <c r="AP12" s="7">
        <v>900</v>
      </c>
      <c r="AQ12" s="7">
        <v>0</v>
      </c>
      <c r="AR12" s="7">
        <v>0</v>
      </c>
      <c r="AS12" s="7">
        <v>0</v>
      </c>
      <c r="AT12" s="7">
        <v>0</v>
      </c>
      <c r="AU12" s="9">
        <v>3600</v>
      </c>
      <c r="AV12" s="13">
        <f t="shared" si="0"/>
        <v>3600</v>
      </c>
      <c r="AW12" s="14">
        <f t="shared" si="1"/>
        <v>2520</v>
      </c>
    </row>
    <row r="13" spans="1:49" x14ac:dyDescent="0.4">
      <c r="A13" s="5" t="s">
        <v>102</v>
      </c>
      <c r="B13" s="5" t="s">
        <v>57</v>
      </c>
      <c r="C13" s="5">
        <v>192737</v>
      </c>
      <c r="D13" s="6"/>
      <c r="E13" s="5" t="s">
        <v>11</v>
      </c>
      <c r="F13" s="5" t="s">
        <v>21</v>
      </c>
      <c r="G13" s="5" t="s">
        <v>11</v>
      </c>
      <c r="H13" s="7" t="s">
        <v>8</v>
      </c>
      <c r="I13" s="7" t="s">
        <v>26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3</v>
      </c>
      <c r="AC13" s="8">
        <v>2700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9">
        <v>2700</v>
      </c>
      <c r="AV13" s="13">
        <f t="shared" si="0"/>
        <v>2700</v>
      </c>
      <c r="AW13" s="14">
        <f t="shared" si="1"/>
        <v>1889.9999999999998</v>
      </c>
    </row>
    <row r="14" spans="1:49" x14ac:dyDescent="0.4">
      <c r="A14" s="5" t="s">
        <v>102</v>
      </c>
      <c r="B14" s="5" t="s">
        <v>75</v>
      </c>
      <c r="C14" s="5">
        <v>159268</v>
      </c>
      <c r="D14" s="6"/>
      <c r="E14" s="5" t="s">
        <v>11</v>
      </c>
      <c r="F14" s="5" t="s">
        <v>18</v>
      </c>
      <c r="G14" s="5" t="s">
        <v>11</v>
      </c>
      <c r="H14" s="7" t="s">
        <v>8</v>
      </c>
      <c r="I14" s="7" t="s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2</v>
      </c>
      <c r="AP14" s="8">
        <v>1800</v>
      </c>
      <c r="AQ14" s="7">
        <v>0</v>
      </c>
      <c r="AR14" s="7">
        <v>0</v>
      </c>
      <c r="AS14" s="7">
        <v>0</v>
      </c>
      <c r="AT14" s="7">
        <v>0</v>
      </c>
      <c r="AU14" s="9">
        <v>1800</v>
      </c>
      <c r="AV14" s="13">
        <f t="shared" si="0"/>
        <v>1800</v>
      </c>
      <c r="AW14" s="14">
        <f t="shared" si="1"/>
        <v>1260</v>
      </c>
    </row>
    <row r="15" spans="1:49" x14ac:dyDescent="0.4">
      <c r="A15" s="5" t="s">
        <v>102</v>
      </c>
      <c r="B15" s="5" t="s">
        <v>82</v>
      </c>
      <c r="C15" s="5">
        <v>229599</v>
      </c>
      <c r="D15" s="6"/>
      <c r="E15" s="5" t="s">
        <v>11</v>
      </c>
      <c r="F15" s="5" t="s">
        <v>14</v>
      </c>
      <c r="G15" s="5" t="s">
        <v>11</v>
      </c>
      <c r="H15" s="7" t="s">
        <v>8</v>
      </c>
      <c r="I15" s="7" t="s">
        <v>83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</v>
      </c>
      <c r="AC15" s="8">
        <v>1800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9">
        <v>1800</v>
      </c>
      <c r="AV15" s="13">
        <f t="shared" si="0"/>
        <v>1800</v>
      </c>
      <c r="AW15" s="14">
        <f t="shared" si="1"/>
        <v>1260</v>
      </c>
    </row>
    <row r="16" spans="1:49" x14ac:dyDescent="0.4">
      <c r="A16" s="5" t="s">
        <v>102</v>
      </c>
      <c r="B16" s="5" t="s">
        <v>52</v>
      </c>
      <c r="C16" s="5">
        <v>194565</v>
      </c>
      <c r="D16" s="6"/>
      <c r="E16" s="5" t="s">
        <v>11</v>
      </c>
      <c r="F16" s="5" t="s">
        <v>18</v>
      </c>
      <c r="G16" s="5" t="s">
        <v>11</v>
      </c>
      <c r="H16" s="7" t="s">
        <v>8</v>
      </c>
      <c r="I16" s="7" t="s">
        <v>53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17</v>
      </c>
      <c r="AF16" s="8">
        <v>1700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9">
        <v>1700</v>
      </c>
      <c r="AV16" s="13">
        <f t="shared" si="0"/>
        <v>1700</v>
      </c>
      <c r="AW16" s="14">
        <f t="shared" si="1"/>
        <v>1190</v>
      </c>
    </row>
    <row r="17" spans="1:49" x14ac:dyDescent="0.4">
      <c r="A17" s="5" t="s">
        <v>102</v>
      </c>
      <c r="B17" s="5" t="s">
        <v>70</v>
      </c>
      <c r="C17" s="5">
        <v>300910</v>
      </c>
      <c r="D17" s="6"/>
      <c r="E17" s="5" t="s">
        <v>11</v>
      </c>
      <c r="F17" s="5" t="s">
        <v>32</v>
      </c>
      <c r="G17" s="5" t="s">
        <v>11</v>
      </c>
      <c r="H17" s="7" t="s">
        <v>8</v>
      </c>
      <c r="I17" s="7" t="s">
        <v>71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13</v>
      </c>
      <c r="AF17" s="8">
        <v>1300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9">
        <v>1300</v>
      </c>
      <c r="AV17" s="13">
        <f t="shared" si="0"/>
        <v>1300</v>
      </c>
      <c r="AW17" s="14">
        <f t="shared" si="1"/>
        <v>909.99999999999989</v>
      </c>
    </row>
    <row r="18" spans="1:49" ht="19.2" x14ac:dyDescent="0.4">
      <c r="A18" s="5" t="s">
        <v>102</v>
      </c>
      <c r="B18" s="5" t="s">
        <v>87</v>
      </c>
      <c r="C18" s="5">
        <v>406353</v>
      </c>
      <c r="D18" s="6"/>
      <c r="E18" s="5" t="s">
        <v>11</v>
      </c>
      <c r="F18" s="5" t="s">
        <v>88</v>
      </c>
      <c r="G18" s="5" t="s">
        <v>22</v>
      </c>
      <c r="H18" s="7" t="s">
        <v>8</v>
      </c>
      <c r="I18" s="7" t="s">
        <v>23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900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10">
        <v>900</v>
      </c>
      <c r="AV18" s="13">
        <f t="shared" si="0"/>
        <v>900</v>
      </c>
      <c r="AW18" s="14">
        <f t="shared" si="1"/>
        <v>630</v>
      </c>
    </row>
    <row r="19" spans="1:49" x14ac:dyDescent="0.4">
      <c r="A19" s="5" t="s">
        <v>102</v>
      </c>
      <c r="B19" s="5" t="s">
        <v>59</v>
      </c>
      <c r="C19" s="5">
        <v>159483</v>
      </c>
      <c r="D19" s="6"/>
      <c r="E19" s="5" t="s">
        <v>11</v>
      </c>
      <c r="F19" s="5" t="s">
        <v>13</v>
      </c>
      <c r="G19" s="5" t="s">
        <v>11</v>
      </c>
      <c r="H19" s="7" t="s">
        <v>8</v>
      </c>
      <c r="I19" s="7" t="s">
        <v>60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900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10">
        <v>900</v>
      </c>
      <c r="AV19" s="13">
        <f t="shared" si="0"/>
        <v>900</v>
      </c>
      <c r="AW19" s="14">
        <f t="shared" si="1"/>
        <v>630</v>
      </c>
    </row>
    <row r="20" spans="1:49" x14ac:dyDescent="0.4">
      <c r="A20" s="5" t="s">
        <v>102</v>
      </c>
      <c r="B20" s="5" t="s">
        <v>84</v>
      </c>
      <c r="C20" s="5">
        <v>285990</v>
      </c>
      <c r="D20" s="6"/>
      <c r="E20" s="5" t="s">
        <v>11</v>
      </c>
      <c r="F20" s="5" t="s">
        <v>14</v>
      </c>
      <c r="G20" s="5" t="s">
        <v>11</v>
      </c>
      <c r="H20" s="7" t="s">
        <v>8</v>
      </c>
      <c r="I20" s="7" t="s">
        <v>35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900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10">
        <v>900</v>
      </c>
      <c r="AV20" s="13">
        <f t="shared" si="0"/>
        <v>900</v>
      </c>
      <c r="AW20" s="14">
        <f t="shared" si="1"/>
        <v>630</v>
      </c>
    </row>
    <row r="21" spans="1:49" x14ac:dyDescent="0.4">
      <c r="A21" s="5" t="s">
        <v>102</v>
      </c>
      <c r="B21" s="5" t="s">
        <v>85</v>
      </c>
      <c r="C21" s="5">
        <v>169151</v>
      </c>
      <c r="D21" s="6"/>
      <c r="E21" s="5" t="s">
        <v>11</v>
      </c>
      <c r="F21" s="5" t="s">
        <v>13</v>
      </c>
      <c r="G21" s="5" t="s">
        <v>11</v>
      </c>
      <c r="H21" s="7" t="s">
        <v>8</v>
      </c>
      <c r="I21" s="7" t="s">
        <v>86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900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10">
        <v>900</v>
      </c>
      <c r="AV21" s="13">
        <f t="shared" si="0"/>
        <v>900</v>
      </c>
      <c r="AW21" s="14">
        <f t="shared" si="1"/>
        <v>630</v>
      </c>
    </row>
    <row r="22" spans="1:49" x14ac:dyDescent="0.4">
      <c r="A22" s="5" t="s">
        <v>102</v>
      </c>
      <c r="B22" s="5" t="s">
        <v>89</v>
      </c>
      <c r="C22" s="5">
        <v>404358</v>
      </c>
      <c r="D22" s="6"/>
      <c r="E22" s="5" t="s">
        <v>11</v>
      </c>
      <c r="F22" s="5" t="s">
        <v>90</v>
      </c>
      <c r="G22" s="5" t="s">
        <v>11</v>
      </c>
      <c r="H22" s="7" t="s">
        <v>8</v>
      </c>
      <c r="I22" s="7" t="s">
        <v>91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8</v>
      </c>
      <c r="AF22" s="7">
        <v>800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10">
        <v>800</v>
      </c>
      <c r="AV22" s="13">
        <f t="shared" si="0"/>
        <v>800</v>
      </c>
      <c r="AW22" s="14">
        <f t="shared" si="1"/>
        <v>560</v>
      </c>
    </row>
    <row r="23" spans="1:49" ht="19.2" x14ac:dyDescent="0.4">
      <c r="A23" s="5" t="s">
        <v>102</v>
      </c>
      <c r="B23" s="5" t="s">
        <v>58</v>
      </c>
      <c r="C23" s="5">
        <v>408054</v>
      </c>
      <c r="D23" s="6"/>
      <c r="E23" s="5" t="s">
        <v>11</v>
      </c>
      <c r="F23" s="5" t="s">
        <v>18</v>
      </c>
      <c r="G23" s="5" t="s">
        <v>22</v>
      </c>
      <c r="H23" s="7" t="s">
        <v>12</v>
      </c>
      <c r="I23" s="7" t="s">
        <v>36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6</v>
      </c>
      <c r="AF23" s="7">
        <v>400</v>
      </c>
      <c r="AG23" s="7">
        <v>200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10">
        <v>600</v>
      </c>
      <c r="AV23" s="13">
        <f t="shared" si="0"/>
        <v>600</v>
      </c>
      <c r="AW23" s="14">
        <f t="shared" si="1"/>
        <v>420</v>
      </c>
    </row>
    <row r="24" spans="1:49" ht="19.2" x14ac:dyDescent="0.4">
      <c r="A24" s="5" t="s">
        <v>102</v>
      </c>
      <c r="B24" s="5" t="s">
        <v>92</v>
      </c>
      <c r="C24" s="5">
        <v>408617</v>
      </c>
      <c r="D24" s="6"/>
      <c r="E24" s="5" t="s">
        <v>11</v>
      </c>
      <c r="F24" s="5" t="s">
        <v>14</v>
      </c>
      <c r="G24" s="5" t="s">
        <v>22</v>
      </c>
      <c r="H24" s="7" t="s">
        <v>12</v>
      </c>
      <c r="I24" s="7" t="s">
        <v>36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5</v>
      </c>
      <c r="AF24" s="7">
        <v>500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10">
        <v>500</v>
      </c>
      <c r="AV24" s="13">
        <f t="shared" si="0"/>
        <v>500</v>
      </c>
      <c r="AW24" s="14">
        <f t="shared" si="1"/>
        <v>350</v>
      </c>
    </row>
    <row r="25" spans="1:49" x14ac:dyDescent="0.4">
      <c r="A25" s="5" t="s">
        <v>102</v>
      </c>
      <c r="B25" s="5" t="s">
        <v>93</v>
      </c>
      <c r="C25" s="5">
        <v>287064</v>
      </c>
      <c r="D25" s="6"/>
      <c r="E25" s="5" t="s">
        <v>11</v>
      </c>
      <c r="F25" s="5" t="s">
        <v>69</v>
      </c>
      <c r="G25" s="5" t="s">
        <v>11</v>
      </c>
      <c r="H25" s="7" t="s">
        <v>8</v>
      </c>
      <c r="I25" s="7" t="s">
        <v>94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100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2</v>
      </c>
      <c r="AS25" s="7">
        <v>200</v>
      </c>
      <c r="AT25" s="7">
        <v>0</v>
      </c>
      <c r="AU25" s="10">
        <v>300</v>
      </c>
      <c r="AV25" s="13">
        <f t="shared" si="0"/>
        <v>300</v>
      </c>
      <c r="AW25" s="14">
        <f t="shared" si="1"/>
        <v>210</v>
      </c>
    </row>
    <row r="26" spans="1:49" ht="19.2" x14ac:dyDescent="0.4">
      <c r="A26" s="5" t="s">
        <v>102</v>
      </c>
      <c r="B26" s="5" t="s">
        <v>72</v>
      </c>
      <c r="C26" s="5">
        <v>408317</v>
      </c>
      <c r="D26" s="6"/>
      <c r="E26" s="5" t="s">
        <v>11</v>
      </c>
      <c r="F26" s="5" t="s">
        <v>21</v>
      </c>
      <c r="G26" s="5" t="s">
        <v>22</v>
      </c>
      <c r="H26" s="7" t="s">
        <v>9</v>
      </c>
      <c r="I26" s="7" t="s">
        <v>36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3</v>
      </c>
      <c r="AF26" s="7">
        <v>300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10">
        <v>300</v>
      </c>
      <c r="AV26" s="13">
        <f t="shared" si="0"/>
        <v>300</v>
      </c>
      <c r="AW26" s="14">
        <f t="shared" si="1"/>
        <v>210</v>
      </c>
    </row>
    <row r="27" spans="1:49" ht="19.2" x14ac:dyDescent="0.4">
      <c r="A27" s="5" t="s">
        <v>102</v>
      </c>
      <c r="B27" s="5" t="s">
        <v>95</v>
      </c>
      <c r="C27" s="5">
        <v>408050</v>
      </c>
      <c r="D27" s="6"/>
      <c r="E27" s="5" t="s">
        <v>11</v>
      </c>
      <c r="F27" s="5" t="s">
        <v>13</v>
      </c>
      <c r="G27" s="5" t="s">
        <v>22</v>
      </c>
      <c r="H27" s="7" t="s">
        <v>8</v>
      </c>
      <c r="I27" s="7" t="s">
        <v>78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100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100</v>
      </c>
      <c r="AV27" s="13">
        <f t="shared" si="0"/>
        <v>100</v>
      </c>
      <c r="AW27" s="14">
        <f t="shared" si="1"/>
        <v>70</v>
      </c>
    </row>
    <row r="28" spans="1:49" x14ac:dyDescent="0.4">
      <c r="A28" s="5" t="s">
        <v>103</v>
      </c>
      <c r="B28" s="5" t="s">
        <v>15</v>
      </c>
      <c r="C28" s="5">
        <v>355332</v>
      </c>
      <c r="D28" s="6"/>
      <c r="E28" s="5" t="s">
        <v>11</v>
      </c>
      <c r="F28" s="5" t="s">
        <v>13</v>
      </c>
      <c r="G28" s="5" t="s">
        <v>11</v>
      </c>
      <c r="H28" s="7" t="s">
        <v>9</v>
      </c>
      <c r="I28" s="7" t="s">
        <v>54</v>
      </c>
      <c r="J28" s="7">
        <v>0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8">
        <v>2211</v>
      </c>
      <c r="AF28" s="8">
        <v>216300</v>
      </c>
      <c r="AG28" s="8">
        <v>4800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248</v>
      </c>
      <c r="AS28" s="8">
        <v>20800</v>
      </c>
      <c r="AT28" s="8">
        <v>4000</v>
      </c>
      <c r="AU28" s="9">
        <v>245900</v>
      </c>
      <c r="AV28" s="13">
        <f t="shared" si="0"/>
        <v>245900</v>
      </c>
      <c r="AW28" s="14">
        <f t="shared" si="1"/>
        <v>172130</v>
      </c>
    </row>
    <row r="29" spans="1:49" x14ac:dyDescent="0.4">
      <c r="A29" s="5" t="s">
        <v>103</v>
      </c>
      <c r="B29" s="5" t="s">
        <v>24</v>
      </c>
      <c r="C29" s="5">
        <v>159260</v>
      </c>
      <c r="D29" s="6"/>
      <c r="E29" s="5" t="s">
        <v>11</v>
      </c>
      <c r="F29" s="5" t="s">
        <v>18</v>
      </c>
      <c r="G29" s="5" t="s">
        <v>11</v>
      </c>
      <c r="H29" s="7" t="s">
        <v>8</v>
      </c>
      <c r="I29" s="7" t="s">
        <v>25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21</v>
      </c>
      <c r="AC29" s="8">
        <v>18900</v>
      </c>
      <c r="AD29" s="7">
        <v>0</v>
      </c>
      <c r="AE29" s="7">
        <v>10</v>
      </c>
      <c r="AF29" s="8">
        <v>30300</v>
      </c>
      <c r="AG29" s="8">
        <v>1700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9">
        <v>50900</v>
      </c>
      <c r="AV29" s="13">
        <f t="shared" si="0"/>
        <v>50900</v>
      </c>
      <c r="AW29" s="14">
        <f t="shared" si="1"/>
        <v>35630</v>
      </c>
    </row>
    <row r="30" spans="1:49" x14ac:dyDescent="0.4">
      <c r="A30" s="5" t="s">
        <v>103</v>
      </c>
      <c r="B30" s="5" t="s">
        <v>33</v>
      </c>
      <c r="C30" s="5">
        <v>215737</v>
      </c>
      <c r="D30" s="6"/>
      <c r="E30" s="5" t="s">
        <v>11</v>
      </c>
      <c r="F30" s="5" t="s">
        <v>32</v>
      </c>
      <c r="G30" s="5" t="s">
        <v>11</v>
      </c>
      <c r="H30" s="7" t="s">
        <v>8</v>
      </c>
      <c r="I30" s="7" t="s">
        <v>34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331</v>
      </c>
      <c r="AF30" s="8">
        <v>33100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3</v>
      </c>
      <c r="AS30" s="7">
        <v>300</v>
      </c>
      <c r="AT30" s="7">
        <v>0</v>
      </c>
      <c r="AU30" s="9">
        <v>33400</v>
      </c>
      <c r="AV30" s="13">
        <f t="shared" si="0"/>
        <v>33400</v>
      </c>
      <c r="AW30" s="14">
        <f t="shared" si="1"/>
        <v>23380</v>
      </c>
    </row>
    <row r="31" spans="1:49" ht="19.2" x14ac:dyDescent="0.4">
      <c r="A31" s="5" t="s">
        <v>103</v>
      </c>
      <c r="B31" s="5" t="s">
        <v>92</v>
      </c>
      <c r="C31" s="5">
        <v>408617</v>
      </c>
      <c r="D31" s="6"/>
      <c r="E31" s="5" t="s">
        <v>11</v>
      </c>
      <c r="F31" s="5" t="s">
        <v>14</v>
      </c>
      <c r="G31" s="5" t="s">
        <v>22</v>
      </c>
      <c r="H31" s="7" t="s">
        <v>12</v>
      </c>
      <c r="I31" s="7" t="s">
        <v>36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309</v>
      </c>
      <c r="AF31" s="8">
        <v>30900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9">
        <v>30900</v>
      </c>
      <c r="AV31" s="13">
        <f t="shared" si="0"/>
        <v>30900</v>
      </c>
      <c r="AW31" s="14">
        <f t="shared" si="1"/>
        <v>21630</v>
      </c>
    </row>
    <row r="32" spans="1:49" x14ac:dyDescent="0.4">
      <c r="A32" s="5" t="s">
        <v>103</v>
      </c>
      <c r="B32" s="5" t="s">
        <v>80</v>
      </c>
      <c r="C32" s="5">
        <v>173863</v>
      </c>
      <c r="D32" s="6"/>
      <c r="E32" s="5" t="s">
        <v>11</v>
      </c>
      <c r="F32" s="5" t="s">
        <v>18</v>
      </c>
      <c r="G32" s="5" t="s">
        <v>11</v>
      </c>
      <c r="H32" s="7" t="s">
        <v>8</v>
      </c>
      <c r="I32" s="7" t="s">
        <v>81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21</v>
      </c>
      <c r="AC32" s="8">
        <v>10300</v>
      </c>
      <c r="AD32" s="8">
        <v>8000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10</v>
      </c>
      <c r="AP32" s="8">
        <v>8500</v>
      </c>
      <c r="AQ32" s="7">
        <v>200</v>
      </c>
      <c r="AR32" s="7">
        <v>0</v>
      </c>
      <c r="AS32" s="7">
        <v>0</v>
      </c>
      <c r="AT32" s="7">
        <v>0</v>
      </c>
      <c r="AU32" s="9">
        <v>27000</v>
      </c>
      <c r="AV32" s="13">
        <f t="shared" si="0"/>
        <v>27000</v>
      </c>
      <c r="AW32" s="14">
        <f t="shared" si="1"/>
        <v>18900</v>
      </c>
    </row>
    <row r="33" spans="1:49" x14ac:dyDescent="0.4">
      <c r="A33" s="5" t="s">
        <v>103</v>
      </c>
      <c r="B33" s="5" t="s">
        <v>27</v>
      </c>
      <c r="C33" s="5">
        <v>159270</v>
      </c>
      <c r="D33" s="6"/>
      <c r="E33" s="5" t="s">
        <v>11</v>
      </c>
      <c r="F33" s="5" t="s">
        <v>18</v>
      </c>
      <c r="G33" s="5" t="s">
        <v>11</v>
      </c>
      <c r="H33" s="7" t="s">
        <v>12</v>
      </c>
      <c r="I33" s="7" t="s">
        <v>28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21</v>
      </c>
      <c r="AC33" s="8">
        <v>17100</v>
      </c>
      <c r="AD33" s="8">
        <v>1800</v>
      </c>
      <c r="AE33" s="7">
        <v>1</v>
      </c>
      <c r="AF33" s="8">
        <v>3200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1</v>
      </c>
      <c r="AP33" s="7">
        <v>900</v>
      </c>
      <c r="AQ33" s="7">
        <v>0</v>
      </c>
      <c r="AR33" s="7">
        <v>0</v>
      </c>
      <c r="AS33" s="7">
        <v>0</v>
      </c>
      <c r="AT33" s="7">
        <v>0</v>
      </c>
      <c r="AU33" s="9">
        <v>23000</v>
      </c>
      <c r="AV33" s="13">
        <f t="shared" si="0"/>
        <v>23000</v>
      </c>
      <c r="AW33" s="14">
        <f t="shared" si="1"/>
        <v>16099.999999999998</v>
      </c>
    </row>
    <row r="34" spans="1:49" x14ac:dyDescent="0.4">
      <c r="A34" s="5" t="s">
        <v>103</v>
      </c>
      <c r="B34" s="5" t="s">
        <v>59</v>
      </c>
      <c r="C34" s="5">
        <v>159483</v>
      </c>
      <c r="D34" s="6"/>
      <c r="E34" s="5" t="s">
        <v>11</v>
      </c>
      <c r="F34" s="5" t="s">
        <v>13</v>
      </c>
      <c r="G34" s="5" t="s">
        <v>11</v>
      </c>
      <c r="H34" s="7" t="s">
        <v>8</v>
      </c>
      <c r="I34" s="7" t="s">
        <v>60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19</v>
      </c>
      <c r="AC34" s="8">
        <v>17100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9">
        <v>17100</v>
      </c>
      <c r="AV34" s="13">
        <f t="shared" si="0"/>
        <v>17100</v>
      </c>
      <c r="AW34" s="14">
        <f t="shared" si="1"/>
        <v>11970</v>
      </c>
    </row>
    <row r="35" spans="1:49" x14ac:dyDescent="0.4">
      <c r="A35" s="5" t="s">
        <v>103</v>
      </c>
      <c r="B35" s="5" t="s">
        <v>52</v>
      </c>
      <c r="C35" s="5">
        <v>194565</v>
      </c>
      <c r="D35" s="6"/>
      <c r="E35" s="5" t="s">
        <v>11</v>
      </c>
      <c r="F35" s="5" t="s">
        <v>18</v>
      </c>
      <c r="G35" s="5" t="s">
        <v>11</v>
      </c>
      <c r="H35" s="7" t="s">
        <v>8</v>
      </c>
      <c r="I35" s="7" t="s">
        <v>53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157</v>
      </c>
      <c r="AF35" s="8">
        <v>15700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9">
        <v>15700</v>
      </c>
      <c r="AV35" s="13">
        <f t="shared" si="0"/>
        <v>15700</v>
      </c>
      <c r="AW35" s="14">
        <f t="shared" si="1"/>
        <v>10990</v>
      </c>
    </row>
    <row r="36" spans="1:49" x14ac:dyDescent="0.4">
      <c r="A36" s="5" t="s">
        <v>103</v>
      </c>
      <c r="B36" s="5" t="s">
        <v>29</v>
      </c>
      <c r="C36" s="5">
        <v>159255</v>
      </c>
      <c r="D36" s="6"/>
      <c r="E36" s="5" t="s">
        <v>11</v>
      </c>
      <c r="F36" s="5" t="s">
        <v>18</v>
      </c>
      <c r="G36" s="5" t="s">
        <v>11</v>
      </c>
      <c r="H36" s="7" t="s">
        <v>9</v>
      </c>
      <c r="I36" s="7" t="s">
        <v>30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6</v>
      </c>
      <c r="AC36" s="8">
        <v>5400</v>
      </c>
      <c r="AD36" s="7">
        <v>0</v>
      </c>
      <c r="AE36" s="7">
        <v>2</v>
      </c>
      <c r="AF36" s="8">
        <v>6400</v>
      </c>
      <c r="AG36" s="7">
        <v>0</v>
      </c>
      <c r="AH36" s="7">
        <v>2</v>
      </c>
      <c r="AI36" s="8">
        <v>2160</v>
      </c>
      <c r="AJ36" s="7">
        <v>0</v>
      </c>
      <c r="AK36" s="7">
        <v>0</v>
      </c>
      <c r="AL36" s="7">
        <v>0</v>
      </c>
      <c r="AM36" s="7">
        <v>0</v>
      </c>
      <c r="AN36" s="7">
        <v>648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9">
        <v>13960</v>
      </c>
      <c r="AV36" s="13">
        <f t="shared" si="0"/>
        <v>13312</v>
      </c>
      <c r="AW36" s="14">
        <f t="shared" si="1"/>
        <v>9318.4</v>
      </c>
    </row>
    <row r="37" spans="1:49" x14ac:dyDescent="0.4">
      <c r="A37" s="5" t="s">
        <v>103</v>
      </c>
      <c r="B37" s="5" t="s">
        <v>75</v>
      </c>
      <c r="C37" s="5">
        <v>159268</v>
      </c>
      <c r="D37" s="6"/>
      <c r="E37" s="5" t="s">
        <v>11</v>
      </c>
      <c r="F37" s="5" t="s">
        <v>18</v>
      </c>
      <c r="G37" s="5" t="s">
        <v>11</v>
      </c>
      <c r="H37" s="7" t="s">
        <v>8</v>
      </c>
      <c r="I37" s="7" t="s">
        <v>19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4</v>
      </c>
      <c r="AF37" s="8">
        <v>12800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1</v>
      </c>
      <c r="AP37" s="7">
        <v>900</v>
      </c>
      <c r="AQ37" s="7">
        <v>0</v>
      </c>
      <c r="AR37" s="7">
        <v>0</v>
      </c>
      <c r="AS37" s="7">
        <v>0</v>
      </c>
      <c r="AT37" s="7">
        <v>0</v>
      </c>
      <c r="AU37" s="9">
        <v>13700</v>
      </c>
      <c r="AV37" s="13">
        <f t="shared" si="0"/>
        <v>13700</v>
      </c>
      <c r="AW37" s="14">
        <f t="shared" si="1"/>
        <v>9590</v>
      </c>
    </row>
    <row r="38" spans="1:49" x14ac:dyDescent="0.4">
      <c r="A38" s="5" t="s">
        <v>103</v>
      </c>
      <c r="B38" s="5" t="s">
        <v>89</v>
      </c>
      <c r="C38" s="5">
        <v>404358</v>
      </c>
      <c r="D38" s="6"/>
      <c r="E38" s="5" t="s">
        <v>11</v>
      </c>
      <c r="F38" s="5" t="s">
        <v>90</v>
      </c>
      <c r="G38" s="5" t="s">
        <v>11</v>
      </c>
      <c r="H38" s="7" t="s">
        <v>8</v>
      </c>
      <c r="I38" s="7" t="s">
        <v>91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113</v>
      </c>
      <c r="AF38" s="8">
        <v>11300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9">
        <v>11300</v>
      </c>
      <c r="AV38" s="13">
        <f t="shared" si="0"/>
        <v>11300</v>
      </c>
      <c r="AW38" s="14">
        <f t="shared" si="1"/>
        <v>7909.9999999999991</v>
      </c>
    </row>
    <row r="39" spans="1:49" x14ac:dyDescent="0.4">
      <c r="A39" s="5" t="s">
        <v>103</v>
      </c>
      <c r="B39" s="5" t="s">
        <v>57</v>
      </c>
      <c r="C39" s="5">
        <v>192737</v>
      </c>
      <c r="D39" s="6"/>
      <c r="E39" s="5" t="s">
        <v>11</v>
      </c>
      <c r="F39" s="5" t="s">
        <v>21</v>
      </c>
      <c r="G39" s="5" t="s">
        <v>11</v>
      </c>
      <c r="H39" s="7" t="s">
        <v>8</v>
      </c>
      <c r="I39" s="7" t="s">
        <v>26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11</v>
      </c>
      <c r="AC39" s="8">
        <v>9900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9">
        <v>9900</v>
      </c>
      <c r="AV39" s="13">
        <f t="shared" si="0"/>
        <v>9900</v>
      </c>
      <c r="AW39" s="14">
        <f t="shared" si="1"/>
        <v>6930</v>
      </c>
    </row>
    <row r="40" spans="1:49" x14ac:dyDescent="0.4">
      <c r="A40" s="5" t="s">
        <v>103</v>
      </c>
      <c r="B40" s="5" t="s">
        <v>31</v>
      </c>
      <c r="C40" s="5">
        <v>161539</v>
      </c>
      <c r="D40" s="6"/>
      <c r="E40" s="5" t="s">
        <v>11</v>
      </c>
      <c r="F40" s="5" t="s">
        <v>18</v>
      </c>
      <c r="G40" s="5" t="s">
        <v>11</v>
      </c>
      <c r="H40" s="7" t="s">
        <v>8</v>
      </c>
      <c r="I40" s="7" t="s">
        <v>28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2</v>
      </c>
      <c r="AC40" s="7">
        <v>900</v>
      </c>
      <c r="AD40" s="7">
        <v>900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8</v>
      </c>
      <c r="AP40" s="8">
        <v>7200</v>
      </c>
      <c r="AQ40" s="7">
        <v>0</v>
      </c>
      <c r="AR40" s="7">
        <v>0</v>
      </c>
      <c r="AS40" s="7">
        <v>0</v>
      </c>
      <c r="AT40" s="7">
        <v>0</v>
      </c>
      <c r="AU40" s="9">
        <v>9000</v>
      </c>
      <c r="AV40" s="13">
        <f t="shared" si="0"/>
        <v>9000</v>
      </c>
      <c r="AW40" s="14">
        <f t="shared" si="1"/>
        <v>6300</v>
      </c>
    </row>
    <row r="41" spans="1:49" x14ac:dyDescent="0.4">
      <c r="A41" s="5" t="s">
        <v>103</v>
      </c>
      <c r="B41" s="5" t="s">
        <v>79</v>
      </c>
      <c r="C41" s="5">
        <v>159258</v>
      </c>
      <c r="D41" s="6"/>
      <c r="E41" s="5" t="s">
        <v>11</v>
      </c>
      <c r="F41" s="5" t="s">
        <v>18</v>
      </c>
      <c r="G41" s="5" t="s">
        <v>11</v>
      </c>
      <c r="H41" s="7" t="s">
        <v>8</v>
      </c>
      <c r="I41" s="7" t="s">
        <v>19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8</v>
      </c>
      <c r="AC41" s="8">
        <v>7200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9">
        <v>7200</v>
      </c>
      <c r="AV41" s="13">
        <f t="shared" si="0"/>
        <v>7200</v>
      </c>
      <c r="AW41" s="14">
        <f t="shared" si="1"/>
        <v>5040</v>
      </c>
    </row>
    <row r="42" spans="1:49" ht="19.2" x14ac:dyDescent="0.4">
      <c r="A42" s="5" t="s">
        <v>103</v>
      </c>
      <c r="B42" s="5" t="s">
        <v>68</v>
      </c>
      <c r="C42" s="5">
        <v>406370</v>
      </c>
      <c r="D42" s="6"/>
      <c r="E42" s="5" t="s">
        <v>11</v>
      </c>
      <c r="F42" s="5" t="s">
        <v>21</v>
      </c>
      <c r="G42" s="5" t="s">
        <v>22</v>
      </c>
      <c r="H42" s="7" t="s">
        <v>9</v>
      </c>
      <c r="I42" s="7" t="s">
        <v>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3</v>
      </c>
      <c r="AC42" s="8">
        <v>2700</v>
      </c>
      <c r="AD42" s="7">
        <v>0</v>
      </c>
      <c r="AE42" s="7">
        <v>1</v>
      </c>
      <c r="AF42" s="8">
        <v>3200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1</v>
      </c>
      <c r="AP42" s="7">
        <v>900</v>
      </c>
      <c r="AQ42" s="7">
        <v>0</v>
      </c>
      <c r="AR42" s="7">
        <v>0</v>
      </c>
      <c r="AS42" s="7">
        <v>0</v>
      </c>
      <c r="AT42" s="7">
        <v>0</v>
      </c>
      <c r="AU42" s="9">
        <v>6800</v>
      </c>
      <c r="AV42" s="13">
        <f t="shared" si="0"/>
        <v>6800</v>
      </c>
      <c r="AW42" s="14">
        <f t="shared" si="1"/>
        <v>4760</v>
      </c>
    </row>
    <row r="43" spans="1:49" x14ac:dyDescent="0.4">
      <c r="A43" s="5" t="s">
        <v>103</v>
      </c>
      <c r="B43" s="5" t="s">
        <v>66</v>
      </c>
      <c r="C43" s="5">
        <v>192729</v>
      </c>
      <c r="D43" s="6"/>
      <c r="E43" s="5" t="s">
        <v>11</v>
      </c>
      <c r="F43" s="5" t="s">
        <v>21</v>
      </c>
      <c r="G43" s="5" t="s">
        <v>11</v>
      </c>
      <c r="H43" s="7" t="s">
        <v>8</v>
      </c>
      <c r="I43" s="7" t="s">
        <v>67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7</v>
      </c>
      <c r="AC43" s="8">
        <v>6300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9">
        <v>6300</v>
      </c>
      <c r="AV43" s="13">
        <f t="shared" si="0"/>
        <v>6300</v>
      </c>
      <c r="AW43" s="14">
        <f t="shared" si="1"/>
        <v>4410</v>
      </c>
    </row>
    <row r="44" spans="1:49" ht="19.2" x14ac:dyDescent="0.4">
      <c r="A44" s="5" t="s">
        <v>103</v>
      </c>
      <c r="B44" s="5" t="s">
        <v>87</v>
      </c>
      <c r="C44" s="5">
        <v>406353</v>
      </c>
      <c r="D44" s="6"/>
      <c r="E44" s="5" t="s">
        <v>11</v>
      </c>
      <c r="F44" s="5" t="s">
        <v>88</v>
      </c>
      <c r="G44" s="5" t="s">
        <v>22</v>
      </c>
      <c r="H44" s="7" t="s">
        <v>8</v>
      </c>
      <c r="I44" s="7" t="s">
        <v>23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7</v>
      </c>
      <c r="AC44" s="8">
        <v>6300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9">
        <v>6300</v>
      </c>
      <c r="AV44" s="13">
        <f t="shared" si="0"/>
        <v>6300</v>
      </c>
      <c r="AW44" s="14">
        <f t="shared" si="1"/>
        <v>4410</v>
      </c>
    </row>
    <row r="45" spans="1:49" x14ac:dyDescent="0.4">
      <c r="A45" s="5" t="s">
        <v>103</v>
      </c>
      <c r="B45" s="5" t="s">
        <v>85</v>
      </c>
      <c r="C45" s="5">
        <v>169151</v>
      </c>
      <c r="D45" s="6"/>
      <c r="E45" s="5" t="s">
        <v>11</v>
      </c>
      <c r="F45" s="5" t="s">
        <v>13</v>
      </c>
      <c r="G45" s="5" t="s">
        <v>11</v>
      </c>
      <c r="H45" s="7" t="s">
        <v>8</v>
      </c>
      <c r="I45" s="7" t="s">
        <v>86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7</v>
      </c>
      <c r="AC45" s="8">
        <v>6300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9">
        <v>6300</v>
      </c>
      <c r="AV45" s="13">
        <f t="shared" si="0"/>
        <v>6300</v>
      </c>
      <c r="AW45" s="14">
        <f t="shared" si="1"/>
        <v>4410</v>
      </c>
    </row>
    <row r="46" spans="1:49" x14ac:dyDescent="0.4">
      <c r="A46" s="5" t="s">
        <v>103</v>
      </c>
      <c r="B46" s="5" t="s">
        <v>96</v>
      </c>
      <c r="C46" s="5">
        <v>183137</v>
      </c>
      <c r="D46" s="6"/>
      <c r="E46" s="5" t="s">
        <v>11</v>
      </c>
      <c r="F46" s="5" t="s">
        <v>13</v>
      </c>
      <c r="G46" s="5" t="s">
        <v>11</v>
      </c>
      <c r="H46" s="7" t="s">
        <v>8</v>
      </c>
      <c r="I46" s="7" t="s">
        <v>97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3</v>
      </c>
      <c r="AC46" s="8">
        <v>2700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4</v>
      </c>
      <c r="AP46" s="8">
        <v>3600</v>
      </c>
      <c r="AQ46" s="7">
        <v>0</v>
      </c>
      <c r="AR46" s="7">
        <v>0</v>
      </c>
      <c r="AS46" s="7">
        <v>0</v>
      </c>
      <c r="AT46" s="7">
        <v>0</v>
      </c>
      <c r="AU46" s="9">
        <v>6300</v>
      </c>
      <c r="AV46" s="13">
        <f t="shared" si="0"/>
        <v>6300</v>
      </c>
      <c r="AW46" s="14">
        <f t="shared" si="1"/>
        <v>4410</v>
      </c>
    </row>
    <row r="47" spans="1:49" x14ac:dyDescent="0.4">
      <c r="A47" s="5" t="s">
        <v>103</v>
      </c>
      <c r="B47" s="5" t="s">
        <v>16</v>
      </c>
      <c r="C47" s="5">
        <v>161447</v>
      </c>
      <c r="D47" s="6"/>
      <c r="E47" s="5" t="s">
        <v>11</v>
      </c>
      <c r="F47" s="5" t="s">
        <v>13</v>
      </c>
      <c r="G47" s="5" t="s">
        <v>11</v>
      </c>
      <c r="H47" s="7" t="s">
        <v>8</v>
      </c>
      <c r="I47" s="7" t="s">
        <v>17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6</v>
      </c>
      <c r="AC47" s="8">
        <v>5400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9">
        <v>5400</v>
      </c>
      <c r="AV47" s="13">
        <f t="shared" si="0"/>
        <v>5400</v>
      </c>
      <c r="AW47" s="14">
        <f t="shared" si="1"/>
        <v>3779.9999999999995</v>
      </c>
    </row>
    <row r="48" spans="1:49" ht="19.2" x14ac:dyDescent="0.4">
      <c r="A48" s="5" t="s">
        <v>103</v>
      </c>
      <c r="B48" s="5" t="s">
        <v>58</v>
      </c>
      <c r="C48" s="5">
        <v>408054</v>
      </c>
      <c r="D48" s="6"/>
      <c r="E48" s="5" t="s">
        <v>11</v>
      </c>
      <c r="F48" s="5" t="s">
        <v>18</v>
      </c>
      <c r="G48" s="5" t="s">
        <v>22</v>
      </c>
      <c r="H48" s="7" t="s">
        <v>12</v>
      </c>
      <c r="I48" s="7" t="s">
        <v>36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49</v>
      </c>
      <c r="AF48" s="8">
        <v>3900</v>
      </c>
      <c r="AG48" s="8">
        <v>1000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9">
        <v>4900</v>
      </c>
      <c r="AV48" s="13">
        <f t="shared" si="0"/>
        <v>4900</v>
      </c>
      <c r="AW48" s="14">
        <f t="shared" si="1"/>
        <v>3430</v>
      </c>
    </row>
    <row r="49" spans="1:49" x14ac:dyDescent="0.4">
      <c r="A49" s="5" t="s">
        <v>103</v>
      </c>
      <c r="B49" s="5" t="s">
        <v>20</v>
      </c>
      <c r="C49" s="5">
        <v>159266</v>
      </c>
      <c r="D49" s="6"/>
      <c r="E49" s="5" t="s">
        <v>11</v>
      </c>
      <c r="F49" s="5" t="s">
        <v>18</v>
      </c>
      <c r="G49" s="5" t="s">
        <v>11</v>
      </c>
      <c r="H49" s="7" t="s">
        <v>8</v>
      </c>
      <c r="I49" s="7" t="s">
        <v>19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5</v>
      </c>
      <c r="AC49" s="8">
        <v>4500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9">
        <v>4500</v>
      </c>
      <c r="AV49" s="13">
        <f t="shared" si="0"/>
        <v>4500</v>
      </c>
      <c r="AW49" s="14">
        <f t="shared" si="1"/>
        <v>3150</v>
      </c>
    </row>
    <row r="50" spans="1:49" x14ac:dyDescent="0.4">
      <c r="A50" s="5" t="s">
        <v>103</v>
      </c>
      <c r="B50" s="5" t="s">
        <v>55</v>
      </c>
      <c r="C50" s="5">
        <v>229857</v>
      </c>
      <c r="D50" s="6"/>
      <c r="E50" s="5" t="s">
        <v>11</v>
      </c>
      <c r="F50" s="5" t="s">
        <v>14</v>
      </c>
      <c r="G50" s="5" t="s">
        <v>11</v>
      </c>
      <c r="H50" s="7" t="s">
        <v>12</v>
      </c>
      <c r="I50" s="7" t="s">
        <v>56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5</v>
      </c>
      <c r="AC50" s="8">
        <v>4500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9">
        <v>4500</v>
      </c>
      <c r="AV50" s="13">
        <f t="shared" si="0"/>
        <v>4500</v>
      </c>
      <c r="AW50" s="14">
        <f t="shared" si="1"/>
        <v>3150</v>
      </c>
    </row>
    <row r="51" spans="1:49" x14ac:dyDescent="0.4">
      <c r="A51" s="5" t="s">
        <v>103</v>
      </c>
      <c r="B51" s="5" t="s">
        <v>98</v>
      </c>
      <c r="C51" s="5">
        <v>238494</v>
      </c>
      <c r="D51" s="6"/>
      <c r="E51" s="5" t="s">
        <v>11</v>
      </c>
      <c r="F51" s="5" t="s">
        <v>21</v>
      </c>
      <c r="G51" s="5" t="s">
        <v>11</v>
      </c>
      <c r="H51" s="7" t="s">
        <v>8</v>
      </c>
      <c r="I51" s="7" t="s">
        <v>99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4</v>
      </c>
      <c r="AP51" s="8">
        <v>3600</v>
      </c>
      <c r="AQ51" s="7">
        <v>0</v>
      </c>
      <c r="AR51" s="7">
        <v>0</v>
      </c>
      <c r="AS51" s="7">
        <v>0</v>
      </c>
      <c r="AT51" s="7">
        <v>0</v>
      </c>
      <c r="AU51" s="9">
        <v>3600</v>
      </c>
      <c r="AV51" s="13">
        <f t="shared" si="0"/>
        <v>3600</v>
      </c>
      <c r="AW51" s="14">
        <f t="shared" si="1"/>
        <v>2520</v>
      </c>
    </row>
    <row r="52" spans="1:49" x14ac:dyDescent="0.4">
      <c r="A52" s="5" t="s">
        <v>103</v>
      </c>
      <c r="B52" s="5" t="s">
        <v>70</v>
      </c>
      <c r="C52" s="5">
        <v>300910</v>
      </c>
      <c r="D52" s="6"/>
      <c r="E52" s="5" t="s">
        <v>11</v>
      </c>
      <c r="F52" s="5" t="s">
        <v>32</v>
      </c>
      <c r="G52" s="5" t="s">
        <v>11</v>
      </c>
      <c r="H52" s="7" t="s">
        <v>8</v>
      </c>
      <c r="I52" s="7" t="s">
        <v>71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35</v>
      </c>
      <c r="AF52" s="8">
        <v>3500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9">
        <v>3500</v>
      </c>
      <c r="AV52" s="13">
        <f t="shared" si="0"/>
        <v>3500</v>
      </c>
      <c r="AW52" s="14">
        <f t="shared" si="1"/>
        <v>2450</v>
      </c>
    </row>
    <row r="53" spans="1:49" x14ac:dyDescent="0.4">
      <c r="A53" s="5" t="s">
        <v>103</v>
      </c>
      <c r="B53" s="5" t="s">
        <v>64</v>
      </c>
      <c r="C53" s="5">
        <v>258201</v>
      </c>
      <c r="D53" s="6"/>
      <c r="E53" s="5" t="s">
        <v>11</v>
      </c>
      <c r="F53" s="5" t="s">
        <v>32</v>
      </c>
      <c r="G53" s="5" t="s">
        <v>11</v>
      </c>
      <c r="H53" s="7" t="s">
        <v>8</v>
      </c>
      <c r="I53" s="7" t="s">
        <v>65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3</v>
      </c>
      <c r="AC53" s="8">
        <v>2700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9">
        <v>2700</v>
      </c>
      <c r="AV53" s="13">
        <f t="shared" si="0"/>
        <v>2700</v>
      </c>
      <c r="AW53" s="14">
        <f t="shared" si="1"/>
        <v>1889.9999999999998</v>
      </c>
    </row>
    <row r="54" spans="1:49" x14ac:dyDescent="0.4">
      <c r="A54" s="5" t="s">
        <v>103</v>
      </c>
      <c r="B54" s="5" t="s">
        <v>82</v>
      </c>
      <c r="C54" s="5">
        <v>229599</v>
      </c>
      <c r="D54" s="6"/>
      <c r="E54" s="5" t="s">
        <v>11</v>
      </c>
      <c r="F54" s="5" t="s">
        <v>14</v>
      </c>
      <c r="G54" s="5" t="s">
        <v>11</v>
      </c>
      <c r="H54" s="7" t="s">
        <v>8</v>
      </c>
      <c r="I54" s="7" t="s">
        <v>83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3</v>
      </c>
      <c r="AC54" s="8">
        <v>2700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9">
        <v>2700</v>
      </c>
      <c r="AV54" s="13">
        <f t="shared" si="0"/>
        <v>2700</v>
      </c>
      <c r="AW54" s="14">
        <f t="shared" si="1"/>
        <v>1889.9999999999998</v>
      </c>
    </row>
    <row r="55" spans="1:49" ht="19.2" x14ac:dyDescent="0.4">
      <c r="A55" s="5" t="s">
        <v>103</v>
      </c>
      <c r="B55" s="5" t="s">
        <v>95</v>
      </c>
      <c r="C55" s="5">
        <v>408050</v>
      </c>
      <c r="D55" s="6"/>
      <c r="E55" s="5" t="s">
        <v>11</v>
      </c>
      <c r="F55" s="5" t="s">
        <v>13</v>
      </c>
      <c r="G55" s="5" t="s">
        <v>22</v>
      </c>
      <c r="H55" s="7" t="s">
        <v>8</v>
      </c>
      <c r="I55" s="7" t="s">
        <v>78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23</v>
      </c>
      <c r="AF55" s="8">
        <v>2300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9">
        <v>2300</v>
      </c>
      <c r="AV55" s="13">
        <f t="shared" si="0"/>
        <v>2300</v>
      </c>
      <c r="AW55" s="14">
        <f t="shared" si="1"/>
        <v>1610</v>
      </c>
    </row>
    <row r="56" spans="1:49" x14ac:dyDescent="0.4">
      <c r="A56" s="5" t="s">
        <v>103</v>
      </c>
      <c r="B56" s="5" t="s">
        <v>73</v>
      </c>
      <c r="C56" s="5">
        <v>196917</v>
      </c>
      <c r="D56" s="6"/>
      <c r="E56" s="5" t="s">
        <v>11</v>
      </c>
      <c r="F56" s="5" t="s">
        <v>21</v>
      </c>
      <c r="G56" s="5" t="s">
        <v>11</v>
      </c>
      <c r="H56" s="7" t="s">
        <v>8</v>
      </c>
      <c r="I56" s="7" t="s">
        <v>74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2</v>
      </c>
      <c r="AC56" s="8">
        <v>1800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9">
        <v>1800</v>
      </c>
      <c r="AV56" s="13">
        <f t="shared" si="0"/>
        <v>1800</v>
      </c>
      <c r="AW56" s="14">
        <f t="shared" si="1"/>
        <v>1260</v>
      </c>
    </row>
    <row r="57" spans="1:49" x14ac:dyDescent="0.4">
      <c r="A57" s="5" t="s">
        <v>103</v>
      </c>
      <c r="B57" s="5" t="s">
        <v>100</v>
      </c>
      <c r="C57" s="5">
        <v>332843</v>
      </c>
      <c r="D57" s="6"/>
      <c r="E57" s="5" t="s">
        <v>11</v>
      </c>
      <c r="F57" s="5" t="s">
        <v>14</v>
      </c>
      <c r="G57" s="5" t="s">
        <v>11</v>
      </c>
      <c r="H57" s="7" t="s">
        <v>8</v>
      </c>
      <c r="I57" s="7" t="s">
        <v>101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17</v>
      </c>
      <c r="AF57" s="8">
        <v>1700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9">
        <v>1700</v>
      </c>
      <c r="AV57" s="13">
        <f t="shared" ref="AV57:AV66" si="2">AU57-AN57</f>
        <v>1700</v>
      </c>
      <c r="AW57" s="14">
        <f t="shared" ref="AW57:AW66" si="3">AV57*70%</f>
        <v>1190</v>
      </c>
    </row>
    <row r="58" spans="1:49" x14ac:dyDescent="0.4">
      <c r="A58" s="5" t="s">
        <v>103</v>
      </c>
      <c r="B58" s="5" t="s">
        <v>61</v>
      </c>
      <c r="C58" s="5">
        <v>326544</v>
      </c>
      <c r="D58" s="6"/>
      <c r="E58" s="5" t="s">
        <v>11</v>
      </c>
      <c r="F58" s="5" t="s">
        <v>62</v>
      </c>
      <c r="G58" s="5" t="s">
        <v>11</v>
      </c>
      <c r="H58" s="7" t="s">
        <v>8</v>
      </c>
      <c r="I58" s="7" t="s">
        <v>63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3</v>
      </c>
      <c r="AF58" s="7">
        <v>300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300</v>
      </c>
      <c r="AV58" s="13">
        <f t="shared" si="2"/>
        <v>300</v>
      </c>
      <c r="AW58" s="14">
        <f t="shared" si="3"/>
        <v>210</v>
      </c>
    </row>
    <row r="59" spans="1:49" x14ac:dyDescent="0.4">
      <c r="A59" s="5" t="s">
        <v>103</v>
      </c>
      <c r="B59" s="5" t="s">
        <v>76</v>
      </c>
      <c r="C59" s="5">
        <v>395747</v>
      </c>
      <c r="D59" s="6"/>
      <c r="E59" s="5" t="s">
        <v>11</v>
      </c>
      <c r="F59" s="5" t="s">
        <v>14</v>
      </c>
      <c r="G59" s="5" t="s">
        <v>11</v>
      </c>
      <c r="H59" s="7" t="s">
        <v>8</v>
      </c>
      <c r="I59" s="7" t="s">
        <v>77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</v>
      </c>
      <c r="AF59" s="7">
        <v>100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100</v>
      </c>
      <c r="AV59" s="13">
        <f t="shared" si="2"/>
        <v>100</v>
      </c>
      <c r="AW59" s="14">
        <f t="shared" si="3"/>
        <v>70</v>
      </c>
    </row>
    <row r="60" spans="1:49" x14ac:dyDescent="0.4">
      <c r="A60" s="5" t="s">
        <v>103</v>
      </c>
      <c r="B60" s="5" t="s">
        <v>93</v>
      </c>
      <c r="C60" s="5">
        <v>287064</v>
      </c>
      <c r="D60" s="6"/>
      <c r="E60" s="5" t="s">
        <v>11</v>
      </c>
      <c r="F60" s="5" t="s">
        <v>69</v>
      </c>
      <c r="G60" s="5" t="s">
        <v>11</v>
      </c>
      <c r="H60" s="7" t="s">
        <v>8</v>
      </c>
      <c r="I60" s="7" t="s">
        <v>94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1</v>
      </c>
      <c r="AS60" s="7">
        <v>100</v>
      </c>
      <c r="AT60" s="7">
        <v>0</v>
      </c>
      <c r="AU60" s="10">
        <v>100</v>
      </c>
      <c r="AV60" s="13">
        <f t="shared" si="2"/>
        <v>100</v>
      </c>
      <c r="AW60" s="14">
        <f t="shared" si="3"/>
        <v>70</v>
      </c>
    </row>
    <row r="61" spans="1:49" x14ac:dyDescent="0.4">
      <c r="A61" s="5" t="s">
        <v>104</v>
      </c>
      <c r="B61" s="5" t="s">
        <v>96</v>
      </c>
      <c r="C61" s="5">
        <v>183137</v>
      </c>
      <c r="D61" s="6"/>
      <c r="E61" s="5" t="s">
        <v>11</v>
      </c>
      <c r="F61" s="5" t="s">
        <v>13</v>
      </c>
      <c r="G61" s="5" t="s">
        <v>11</v>
      </c>
      <c r="H61" s="7" t="s">
        <v>8</v>
      </c>
      <c r="I61" s="7" t="s">
        <v>97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3</v>
      </c>
      <c r="AC61" s="8">
        <v>2700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9">
        <v>2700</v>
      </c>
      <c r="AV61" s="13">
        <f t="shared" si="2"/>
        <v>2700</v>
      </c>
      <c r="AW61" s="14">
        <f t="shared" si="3"/>
        <v>1889.9999999999998</v>
      </c>
    </row>
    <row r="62" spans="1:49" x14ac:dyDescent="0.4">
      <c r="A62" s="5" t="s">
        <v>104</v>
      </c>
      <c r="B62" s="5" t="s">
        <v>15</v>
      </c>
      <c r="C62" s="5">
        <v>355332</v>
      </c>
      <c r="D62" s="6"/>
      <c r="E62" s="5" t="s">
        <v>11</v>
      </c>
      <c r="F62" s="5" t="s">
        <v>13</v>
      </c>
      <c r="G62" s="5" t="s">
        <v>11</v>
      </c>
      <c r="H62" s="7" t="s">
        <v>9</v>
      </c>
      <c r="I62" s="7" t="s">
        <v>54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21</v>
      </c>
      <c r="AF62" s="8">
        <v>2000</v>
      </c>
      <c r="AG62" s="7">
        <v>100</v>
      </c>
      <c r="AH62" s="7">
        <v>0</v>
      </c>
      <c r="AI62" s="7">
        <v>0</v>
      </c>
      <c r="AJ62" s="7">
        <v>0</v>
      </c>
      <c r="AK62" s="7">
        <v>4</v>
      </c>
      <c r="AL62" s="7">
        <v>360</v>
      </c>
      <c r="AM62" s="7">
        <v>100</v>
      </c>
      <c r="AN62" s="7">
        <v>108</v>
      </c>
      <c r="AO62" s="7">
        <v>0</v>
      </c>
      <c r="AP62" s="7">
        <v>0</v>
      </c>
      <c r="AQ62" s="7">
        <v>0</v>
      </c>
      <c r="AR62" s="7">
        <v>1</v>
      </c>
      <c r="AS62" s="7">
        <v>100</v>
      </c>
      <c r="AT62" s="7">
        <v>0</v>
      </c>
      <c r="AU62" s="9">
        <v>2660</v>
      </c>
      <c r="AV62" s="13">
        <f t="shared" si="2"/>
        <v>2552</v>
      </c>
      <c r="AW62" s="14">
        <f t="shared" si="3"/>
        <v>1786.3999999999999</v>
      </c>
    </row>
    <row r="63" spans="1:49" x14ac:dyDescent="0.4">
      <c r="A63" s="5" t="s">
        <v>104</v>
      </c>
      <c r="B63" s="5" t="s">
        <v>24</v>
      </c>
      <c r="C63" s="5">
        <v>159260</v>
      </c>
      <c r="D63" s="6"/>
      <c r="E63" s="5" t="s">
        <v>11</v>
      </c>
      <c r="F63" s="5" t="s">
        <v>18</v>
      </c>
      <c r="G63" s="5" t="s">
        <v>11</v>
      </c>
      <c r="H63" s="7" t="s">
        <v>8</v>
      </c>
      <c r="I63" s="7" t="s">
        <v>25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2</v>
      </c>
      <c r="AC63" s="8">
        <v>1800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9">
        <v>1800</v>
      </c>
      <c r="AV63" s="13">
        <f t="shared" si="2"/>
        <v>1800</v>
      </c>
      <c r="AW63" s="14">
        <f t="shared" si="3"/>
        <v>1260</v>
      </c>
    </row>
    <row r="64" spans="1:49" x14ac:dyDescent="0.4">
      <c r="A64" s="5" t="s">
        <v>104</v>
      </c>
      <c r="B64" s="5" t="s">
        <v>16</v>
      </c>
      <c r="C64" s="5">
        <v>161447</v>
      </c>
      <c r="D64" s="6"/>
      <c r="E64" s="5" t="s">
        <v>11</v>
      </c>
      <c r="F64" s="5" t="s">
        <v>13</v>
      </c>
      <c r="G64" s="5" t="s">
        <v>11</v>
      </c>
      <c r="H64" s="7" t="s">
        <v>8</v>
      </c>
      <c r="I64" s="7" t="s">
        <v>17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1</v>
      </c>
      <c r="AI64" s="8">
        <v>1080</v>
      </c>
      <c r="AJ64" s="7">
        <v>0</v>
      </c>
      <c r="AK64" s="7">
        <v>0</v>
      </c>
      <c r="AL64" s="7">
        <v>0</v>
      </c>
      <c r="AM64" s="7">
        <v>0</v>
      </c>
      <c r="AN64" s="7">
        <v>324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9">
        <v>1080</v>
      </c>
      <c r="AV64" s="13">
        <f t="shared" si="2"/>
        <v>756</v>
      </c>
      <c r="AW64" s="14">
        <f t="shared" si="3"/>
        <v>529.19999999999993</v>
      </c>
    </row>
    <row r="65" spans="1:49" x14ac:dyDescent="0.4">
      <c r="A65" s="5" t="s">
        <v>104</v>
      </c>
      <c r="B65" s="5" t="s">
        <v>79</v>
      </c>
      <c r="C65" s="5">
        <v>159258</v>
      </c>
      <c r="D65" s="6"/>
      <c r="E65" s="5" t="s">
        <v>11</v>
      </c>
      <c r="F65" s="5" t="s">
        <v>18</v>
      </c>
      <c r="G65" s="5" t="s">
        <v>11</v>
      </c>
      <c r="H65" s="7" t="s">
        <v>8</v>
      </c>
      <c r="I65" s="7" t="s">
        <v>19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600</v>
      </c>
      <c r="AD65" s="7">
        <v>0</v>
      </c>
      <c r="AE65" s="7">
        <v>0</v>
      </c>
      <c r="AF65" s="7">
        <v>0</v>
      </c>
      <c r="AG65" s="7">
        <v>0</v>
      </c>
      <c r="AH65" s="7">
        <v>1</v>
      </c>
      <c r="AI65" s="7">
        <v>360</v>
      </c>
      <c r="AJ65" s="7">
        <v>0</v>
      </c>
      <c r="AK65" s="7">
        <v>0</v>
      </c>
      <c r="AL65" s="7">
        <v>0</v>
      </c>
      <c r="AM65" s="7">
        <v>0</v>
      </c>
      <c r="AN65" s="7">
        <v>108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0">
        <v>960</v>
      </c>
      <c r="AV65" s="13">
        <f t="shared" si="2"/>
        <v>852</v>
      </c>
      <c r="AW65" s="14">
        <f t="shared" si="3"/>
        <v>596.4</v>
      </c>
    </row>
    <row r="66" spans="1:49" x14ac:dyDescent="0.4">
      <c r="A66" s="5" t="s">
        <v>104</v>
      </c>
      <c r="B66" s="5" t="s">
        <v>27</v>
      </c>
      <c r="C66" s="5">
        <v>159270</v>
      </c>
      <c r="D66" s="6"/>
      <c r="E66" s="5" t="s">
        <v>11</v>
      </c>
      <c r="F66" s="5" t="s">
        <v>18</v>
      </c>
      <c r="G66" s="5" t="s">
        <v>11</v>
      </c>
      <c r="H66" s="7" t="s">
        <v>12</v>
      </c>
      <c r="I66" s="7" t="s">
        <v>28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</v>
      </c>
      <c r="AC66" s="7">
        <v>900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900</v>
      </c>
      <c r="AV66" s="13">
        <f t="shared" si="2"/>
        <v>900</v>
      </c>
      <c r="AW66" s="14">
        <f t="shared" si="3"/>
        <v>630</v>
      </c>
    </row>
    <row r="67" spans="1:49" x14ac:dyDescent="0.4">
      <c r="AU67" s="17"/>
      <c r="AW67" s="16">
        <f>SUM(AW2:AW66)</f>
        <v>475350.40000000008</v>
      </c>
    </row>
    <row r="68" spans="1:49" x14ac:dyDescent="0.4">
      <c r="AU68" s="17"/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2022-03-05T06:16:44Z</dcterms:modified>
</cp:coreProperties>
</file>