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716"/>
  </bookViews>
  <sheets>
    <sheet name="합계 (2)" sheetId="283" r:id="rId1"/>
    <sheet name="밀리의 서재" sheetId="284" r:id="rId2"/>
    <sheet name="에필로그" sheetId="285" r:id="rId3"/>
    <sheet name="더컴퍼니" sheetId="286" r:id="rId4"/>
    <sheet name="아크스튜디오" sheetId="287" r:id="rId5"/>
  </sheets>
  <definedNames>
    <definedName name="_xlnm._FilterDatabase" localSheetId="0" hidden="1">'합계 (2)'!$A$1:$AX$61</definedName>
    <definedName name="_xlnm.Extract" localSheetId="3">더컴퍼니!$A$1:$AW$1</definedName>
    <definedName name="_xlnm.Extract" localSheetId="1">'밀리의 서재'!$A$1:$AW$1</definedName>
    <definedName name="_xlnm.Extract" localSheetId="4">아크스튜디오!$A$1:$AW$1</definedName>
    <definedName name="_xlnm.Extract" localSheetId="2">에필로그!$A$1:$AW$1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W4" i="287" l="1"/>
  <c r="AW23" i="286"/>
  <c r="AW25" i="285"/>
  <c r="AW15" i="284"/>
  <c r="AV47" i="283" l="1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  <c r="AV57" i="283"/>
  <c r="AW57" i="283" s="1"/>
  <c r="AV58" i="283"/>
  <c r="AW58" i="283" s="1"/>
  <c r="AV59" i="283"/>
  <c r="AW59" i="283" s="1"/>
  <c r="AV60" i="283"/>
  <c r="AW60" i="283" s="1"/>
  <c r="AV3" i="283" l="1"/>
  <c r="AV4" i="283"/>
  <c r="AV5" i="283"/>
  <c r="AV6" i="283"/>
  <c r="AV7" i="283"/>
  <c r="AV8" i="283"/>
  <c r="AV9" i="283"/>
  <c r="AV10" i="283"/>
  <c r="AV11" i="283"/>
  <c r="AV12" i="283"/>
  <c r="AV13" i="283"/>
  <c r="AV14" i="283"/>
  <c r="AV15" i="283"/>
  <c r="AV16" i="283"/>
  <c r="AV17" i="283"/>
  <c r="AV18" i="283"/>
  <c r="AV19" i="283"/>
  <c r="AV20" i="283"/>
  <c r="AV21" i="283"/>
  <c r="AV22" i="283"/>
  <c r="AV23" i="283"/>
  <c r="AV24" i="283"/>
  <c r="AV25" i="283"/>
  <c r="AV26" i="283"/>
  <c r="AV27" i="283"/>
  <c r="AV28" i="283"/>
  <c r="AV29" i="283"/>
  <c r="AV30" i="283"/>
  <c r="AV31" i="283"/>
  <c r="AV32" i="283"/>
  <c r="AV33" i="283"/>
  <c r="AV34" i="283"/>
  <c r="AV35" i="283"/>
  <c r="AV36" i="283"/>
  <c r="AV37" i="283"/>
  <c r="AV38" i="283"/>
  <c r="AV39" i="283"/>
  <c r="AV40" i="283"/>
  <c r="AV41" i="283"/>
  <c r="AV42" i="283"/>
  <c r="AV43" i="283"/>
  <c r="AV44" i="283"/>
  <c r="AV45" i="283"/>
  <c r="AV46" i="283"/>
  <c r="AV2" i="283"/>
  <c r="AW3" i="283" l="1"/>
  <c r="AW4" i="283"/>
  <c r="AW5" i="283"/>
  <c r="AW6" i="283"/>
  <c r="AW7" i="283"/>
  <c r="AW8" i="283"/>
  <c r="AW9" i="283"/>
  <c r="AW10" i="283"/>
  <c r="AW11" i="283"/>
  <c r="AW12" i="283"/>
  <c r="AW13" i="283"/>
  <c r="AW14" i="283"/>
  <c r="AW15" i="283"/>
  <c r="AW16" i="283"/>
  <c r="AW17" i="283"/>
  <c r="AW18" i="283"/>
  <c r="AW19" i="283"/>
  <c r="AW20" i="283"/>
  <c r="AW21" i="283"/>
  <c r="AW22" i="283"/>
  <c r="AW23" i="283"/>
  <c r="AW24" i="283"/>
  <c r="AW25" i="283"/>
  <c r="AW26" i="283"/>
  <c r="AW27" i="283"/>
  <c r="AW28" i="283"/>
  <c r="AW29" i="283"/>
  <c r="AW30" i="283"/>
  <c r="AW31" i="283"/>
  <c r="AW32" i="283"/>
  <c r="AW33" i="283"/>
  <c r="AW34" i="283"/>
  <c r="AW35" i="283"/>
  <c r="AW36" i="283"/>
  <c r="AW37" i="283"/>
  <c r="AW38" i="283"/>
  <c r="AW39" i="283"/>
  <c r="AW40" i="283"/>
  <c r="AW41" i="283"/>
  <c r="AW42" i="283"/>
  <c r="AW43" i="283"/>
  <c r="AW44" i="283"/>
  <c r="AW45" i="283"/>
  <c r="AW46" i="283"/>
  <c r="AW2" i="283" l="1"/>
  <c r="AW61" i="283" s="1"/>
</calcChain>
</file>

<file path=xl/sharedStrings.xml><?xml version="1.0" encoding="utf-8"?>
<sst xmlns="http://schemas.openxmlformats.org/spreadsheetml/2006/main" count="1071" uniqueCount="137">
  <si>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</si>
  <si>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</si>
  <si>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</si>
  <si>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</si>
  <si>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</si>
  <si>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</si>
  <si>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</si>
  <si>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</si>
  <si>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</si>
  <si>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</si>
  <si>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</si>
  <si>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</si>
  <si>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</si>
  <si>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</si>
  <si>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</si>
  <si>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</si>
  <si>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</si>
  <si>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</si>
  <si>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</si>
  <si>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</si>
  <si>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</si>
  <si>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</si>
  <si>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</si>
  <si>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</si>
  <si>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</si>
  <si>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</si>
  <si>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스토리위즈_2</t>
  </si>
  <si>
    <t>협행마</t>
  </si>
  <si>
    <t>용가리맛쿠키</t>
  </si>
  <si>
    <t>19세 이상 이용가능</t>
  </si>
  <si>
    <t>2020.04.09</t>
  </si>
  <si>
    <t>대공의 아내 [단행본]</t>
  </si>
  <si>
    <t>문시티</t>
  </si>
  <si>
    <t>2020.01.16</t>
  </si>
  <si>
    <t>더티독 외전 [BL][단행본]</t>
  </si>
  <si>
    <t>최재봉</t>
  </si>
  <si>
    <t>2020.05.18</t>
  </si>
  <si>
    <t>남창목가 [단행본]</t>
  </si>
  <si>
    <t>진태이</t>
  </si>
  <si>
    <t>강호, 미치다</t>
  </si>
  <si>
    <t>2019.09.18</t>
  </si>
  <si>
    <t>에필로그</t>
  </si>
  <si>
    <t>사냥꾼은 마왕이 되기 싫다 [독점]</t>
  </si>
  <si>
    <t>강명운</t>
  </si>
  <si>
    <t>바보가 만드는 멋진 세상 [개정판][단행본]</t>
  </si>
  <si>
    <t>2021.09.14</t>
  </si>
  <si>
    <t>계략적 관계 [독점]</t>
  </si>
  <si>
    <t>2021.10.13</t>
  </si>
  <si>
    <t>2021.08.13</t>
  </si>
  <si>
    <t>백범(白帆)</t>
  </si>
  <si>
    <t>진짜 사나이 [단행본]</t>
  </si>
  <si>
    <t>2021.12.15</t>
  </si>
  <si>
    <t>더티독 [BL][단행본]</t>
  </si>
  <si>
    <t>sJessi</t>
  </si>
  <si>
    <t>헌터 킹 [단행본]</t>
  </si>
  <si>
    <t>2021.12.10</t>
  </si>
  <si>
    <t>기획에 산다 [단행본]</t>
  </si>
  <si>
    <t>진짜 사나이</t>
  </si>
  <si>
    <t>기획에 산다</t>
  </si>
  <si>
    <t>2022.01.03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</si>
  <si>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</si>
  <si>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</si>
  <si>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</si>
  <si>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</si>
  <si>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</si>
  <si>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</si>
  <si>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분홍의 작약 [단행본]</t>
  </si>
  <si>
    <t>송여희</t>
  </si>
  <si>
    <t>2022.01.12</t>
  </si>
  <si>
    <t>모닝콜(Morning Call) [단행본]</t>
  </si>
  <si>
    <t>하이지</t>
  </si>
  <si>
    <t>2022.01.19</t>
  </si>
  <si>
    <t>붉은 정자-살라댕 [단행본]</t>
  </si>
  <si>
    <t>라벤더블루</t>
  </si>
  <si>
    <t>2022.01.10</t>
  </si>
  <si>
    <t>더 캡틴 [단행본]</t>
  </si>
  <si>
    <t>2022.01.21</t>
  </si>
  <si>
    <t>모어 댄 블루 (More than BLUE) [BL] [단행본]</t>
  </si>
  <si>
    <t>나나코</t>
  </si>
  <si>
    <t>2018.07.02</t>
  </si>
  <si>
    <t>집착의 맛</t>
  </si>
  <si>
    <t>2021.12.31</t>
  </si>
  <si>
    <t>더 캡틴</t>
  </si>
  <si>
    <t>위사무적 [단행본]</t>
  </si>
  <si>
    <t>2020.09.11</t>
  </si>
  <si>
    <t>SISSI</t>
  </si>
  <si>
    <t>신사동 그 사람 [BL][단행본]</t>
  </si>
  <si>
    <t>2021.04.17</t>
  </si>
  <si>
    <t>세이브 미(Save Me) [단행본]</t>
  </si>
  <si>
    <t>우유양</t>
  </si>
  <si>
    <t>2022.01.26</t>
  </si>
  <si>
    <t>연애의 시작 [단행본]</t>
  </si>
  <si>
    <t>차크</t>
  </si>
  <si>
    <t>2022.02.18</t>
  </si>
  <si>
    <t>흠뻑 적셔줄게 외전 [BL][단행본]</t>
  </si>
  <si>
    <t>묜수</t>
  </si>
  <si>
    <t>2020.11.14</t>
  </si>
  <si>
    <t>여름의 시작은 키스를 부른다 외전 [BL][단행본]</t>
  </si>
  <si>
    <t>키도</t>
  </si>
  <si>
    <t>2021.02.04</t>
  </si>
  <si>
    <t>남창목가 [외전 독점]</t>
  </si>
  <si>
    <t>2019.11.18</t>
  </si>
  <si>
    <t>끝까지, 지독하게</t>
  </si>
  <si>
    <t>2021.09.17</t>
  </si>
  <si>
    <t>N스토어(PC)</t>
    <phoneticPr fontId="20" type="noConversion"/>
  </si>
  <si>
    <t>헌터 킹</t>
  </si>
  <si>
    <t>꼭꼭 숨어라(Wherever you are)</t>
  </si>
  <si>
    <t>감또개</t>
  </si>
  <si>
    <t>2022.02.22</t>
  </si>
  <si>
    <t>남궁세가 건달공자 [단행본]</t>
  </si>
  <si>
    <t>2019.06.18</t>
  </si>
  <si>
    <t>바보가 만드는 멋진 세상 [개정판]</t>
  </si>
  <si>
    <t>PC뷰어(PC)</t>
    <phoneticPr fontId="20" type="noConversion"/>
  </si>
  <si>
    <t>향기로운 뿔 [단행본]</t>
  </si>
  <si>
    <t>이진희</t>
  </si>
  <si>
    <t>2022.02.16</t>
  </si>
  <si>
    <t>만나러 갈게 [단행본]</t>
  </si>
  <si>
    <t>박샛별</t>
  </si>
  <si>
    <t>2022.02.04</t>
  </si>
  <si>
    <t>로맨틱 아이디얼(Romantic Ideal) [BL][단행본]</t>
  </si>
  <si>
    <t>2019.01.24</t>
  </si>
  <si>
    <t>폭군의 공물 [BL][단행본]</t>
  </si>
  <si>
    <t>여러해살이풀</t>
  </si>
  <si>
    <t>2019.03.08</t>
  </si>
  <si>
    <t>미칠 광(狂), 너에게 미치다 [단행본]</t>
  </si>
  <si>
    <t>정연서</t>
  </si>
  <si>
    <t>2021.02.05</t>
  </si>
  <si>
    <t>익스클루시브(Exclusive) [BL][단행본]</t>
  </si>
  <si>
    <t>사틴</t>
  </si>
  <si>
    <t>도올의 신수 [단행본]</t>
  </si>
  <si>
    <t>2020.11.20</t>
  </si>
  <si>
    <t>베르사유의 장미 외전 [BL][단행본]</t>
  </si>
  <si>
    <t>2020.04.20</t>
  </si>
  <si>
    <t>N스토어(MW)</t>
    <phoneticPr fontId="20" type="noConversion"/>
  </si>
  <si>
    <t>밀리의 서재</t>
  </si>
  <si>
    <t>더컴퍼니</t>
  </si>
  <si>
    <t>아크스튜디오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</si>
</sst>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18" fillId="0" borderId="0" xfId="0" applyNumberFormat="1" applyFont="1" applyAlignment="1">
      <alignment vertical="center" wrapText="1"/>
    </xf>
    <xf numFmtId="41" fontId="0" fillId="35" borderId="0" xfId="42" applyFont="1" applyFill="1">
      <alignment vertical="center"/>
    </xf>
    <xf numFmtId="0" fontId="0" fillId="34" borderId="0" xfId="0" applyFill="1">
      <alignment vertical="center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2"/>
  <sheetViews>
    <sheetView tabSelected="1" zoomScale="81" zoomScaleNormal="81" workbookViewId="0">
      <selection activeCell="E38" sqref="E38"/>
    </sheetView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7.8984375" customWidth="1"/>
    <col min="38" max="39" width="12.8984375" bestFit="1" customWidth="1"/>
    <col min="40" max="40" width="12.296875" bestFit="1" customWidth="1"/>
    <col min="47" max="48" width="12.796875" bestFit="1" customWidth="1"/>
    <col min="49" max="49" width="13.5" bestFit="1" customWidth="1"/>
  </cols>
  <sheetData>
    <row r="1" spans="1:49" ht="25.8" customHeight="1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104</v>
      </c>
      <c r="B2" s="4" t="s">
        <v>63</v>
      </c>
      <c r="C2" s="4">
        <v>457534</v>
      </c>
      <c r="D2" s="5"/>
      <c r="E2" s="4" t="s">
        <v>26</v>
      </c>
      <c r="F2" s="4" t="s">
        <v>64</v>
      </c>
      <c r="G2" s="4" t="s">
        <v>134</v>
      </c>
      <c r="H2" s="6" t="s">
        <v>29</v>
      </c>
      <c r="I2" s="6" t="s">
        <v>65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5</v>
      </c>
      <c r="AF2" s="7">
        <v>8000</v>
      </c>
      <c r="AG2" s="7">
        <v>2000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</v>
      </c>
      <c r="AS2" s="7">
        <v>2000</v>
      </c>
      <c r="AT2" s="6">
        <v>0</v>
      </c>
      <c r="AU2" s="8">
        <v>12000</v>
      </c>
      <c r="AV2" s="12">
        <f>AU2-AN2</f>
        <v>12000</v>
      </c>
      <c r="AW2">
        <f>AV2*70%</f>
        <v>8400</v>
      </c>
    </row>
    <row r="3" spans="1:49" x14ac:dyDescent="0.4">
      <c r="A3" s="1" t="s">
        <v>104</v>
      </c>
      <c r="B3" s="4" t="s">
        <v>56</v>
      </c>
      <c r="C3" s="4">
        <v>451972</v>
      </c>
      <c r="D3" s="5"/>
      <c r="E3" s="4" t="s">
        <v>26</v>
      </c>
      <c r="F3" s="4" t="s">
        <v>49</v>
      </c>
      <c r="G3" s="4" t="s">
        <v>41</v>
      </c>
      <c r="H3" s="6" t="s">
        <v>8</v>
      </c>
      <c r="I3" s="6" t="s">
        <v>51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3</v>
      </c>
      <c r="AC3" s="7">
        <v>2700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9</v>
      </c>
      <c r="AP3" s="7">
        <v>8100</v>
      </c>
      <c r="AQ3" s="6">
        <v>0</v>
      </c>
      <c r="AR3" s="6">
        <v>0</v>
      </c>
      <c r="AS3" s="6">
        <v>0</v>
      </c>
      <c r="AT3" s="6">
        <v>0</v>
      </c>
      <c r="AU3" s="8">
        <v>10800</v>
      </c>
      <c r="AV3" s="12">
        <f t="shared" ref="AV3:AV46" si="0">AU3-AN3</f>
        <v>10800</v>
      </c>
      <c r="AW3">
        <f t="shared" ref="AW3:AW46" si="1">AV3*70%</f>
        <v>7559.9999999999991</v>
      </c>
    </row>
    <row r="4" spans="1:49" ht="19.2" x14ac:dyDescent="0.4">
      <c r="A4" s="1" t="s">
        <v>104</v>
      </c>
      <c r="B4" s="4" t="s">
        <v>44</v>
      </c>
      <c r="C4" s="4">
        <v>445576</v>
      </c>
      <c r="D4" s="5"/>
      <c r="E4" s="4" t="s">
        <v>26</v>
      </c>
      <c r="F4" s="4" t="s">
        <v>49</v>
      </c>
      <c r="G4" s="4" t="s">
        <v>41</v>
      </c>
      <c r="H4" s="6" t="s">
        <v>8</v>
      </c>
      <c r="I4" s="6" t="s">
        <v>45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1</v>
      </c>
      <c r="AC4" s="6">
        <v>900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6</v>
      </c>
      <c r="AP4" s="7">
        <v>3100</v>
      </c>
      <c r="AQ4" s="7">
        <v>2300</v>
      </c>
      <c r="AR4" s="6">
        <v>0</v>
      </c>
      <c r="AS4" s="6">
        <v>0</v>
      </c>
      <c r="AT4" s="6">
        <v>0</v>
      </c>
      <c r="AU4" s="8">
        <v>6300</v>
      </c>
      <c r="AV4" s="12">
        <f t="shared" si="0"/>
        <v>6300</v>
      </c>
      <c r="AW4">
        <f t="shared" si="1"/>
        <v>4410</v>
      </c>
    </row>
    <row r="5" spans="1:49" ht="19.2" x14ac:dyDescent="0.4">
      <c r="A5" s="1" t="s">
        <v>104</v>
      </c>
      <c r="B5" s="4" t="s">
        <v>91</v>
      </c>
      <c r="C5" s="4">
        <v>459229</v>
      </c>
      <c r="D5" s="5"/>
      <c r="E5" s="4" t="s">
        <v>26</v>
      </c>
      <c r="F5" s="4" t="s">
        <v>92</v>
      </c>
      <c r="G5" s="4" t="s">
        <v>134</v>
      </c>
      <c r="H5" s="6" t="s">
        <v>29</v>
      </c>
      <c r="I5" s="6" t="s">
        <v>93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2</v>
      </c>
      <c r="AF5" s="7">
        <v>6000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8">
        <v>6000</v>
      </c>
      <c r="AV5" s="12">
        <f t="shared" si="0"/>
        <v>6000</v>
      </c>
      <c r="AW5">
        <f t="shared" si="1"/>
        <v>4200</v>
      </c>
    </row>
    <row r="6" spans="1:49" ht="19.2" x14ac:dyDescent="0.4">
      <c r="A6" s="1" t="s">
        <v>104</v>
      </c>
      <c r="B6" s="4" t="s">
        <v>60</v>
      </c>
      <c r="C6" s="4">
        <v>457533</v>
      </c>
      <c r="D6" s="5"/>
      <c r="E6" s="4" t="s">
        <v>26</v>
      </c>
      <c r="F6" s="4" t="s">
        <v>61</v>
      </c>
      <c r="G6" s="4" t="s">
        <v>134</v>
      </c>
      <c r="H6" s="6" t="s">
        <v>29</v>
      </c>
      <c r="I6" s="6" t="s">
        <v>62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2</v>
      </c>
      <c r="AF6" s="7">
        <v>5000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5000</v>
      </c>
      <c r="AV6" s="12">
        <f t="shared" si="0"/>
        <v>5000</v>
      </c>
      <c r="AW6">
        <f t="shared" si="1"/>
        <v>3500</v>
      </c>
    </row>
    <row r="7" spans="1:49" x14ac:dyDescent="0.4">
      <c r="A7" s="1" t="s">
        <v>104</v>
      </c>
      <c r="B7" s="4" t="s">
        <v>88</v>
      </c>
      <c r="C7" s="4">
        <v>457676</v>
      </c>
      <c r="D7" s="5"/>
      <c r="E7" s="4" t="s">
        <v>26</v>
      </c>
      <c r="F7" s="4" t="s">
        <v>89</v>
      </c>
      <c r="G7" s="4" t="s">
        <v>134</v>
      </c>
      <c r="H7" s="6" t="s">
        <v>8</v>
      </c>
      <c r="I7" s="6" t="s">
        <v>90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2</v>
      </c>
      <c r="AF7" s="7">
        <v>2500</v>
      </c>
      <c r="AG7" s="7">
        <v>2500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8">
        <v>5000</v>
      </c>
      <c r="AV7" s="12">
        <f t="shared" si="0"/>
        <v>5000</v>
      </c>
      <c r="AW7">
        <f t="shared" si="1"/>
        <v>3500</v>
      </c>
    </row>
    <row r="8" spans="1:49" x14ac:dyDescent="0.4">
      <c r="A8" s="1" t="s">
        <v>104</v>
      </c>
      <c r="B8" s="4" t="s">
        <v>83</v>
      </c>
      <c r="C8" s="4">
        <v>408836</v>
      </c>
      <c r="D8" s="5"/>
      <c r="E8" s="4" t="s">
        <v>26</v>
      </c>
      <c r="F8" s="4" t="s">
        <v>27</v>
      </c>
      <c r="G8" s="4" t="s">
        <v>41</v>
      </c>
      <c r="H8" s="6" t="s">
        <v>8</v>
      </c>
      <c r="I8" s="6" t="s">
        <v>84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4</v>
      </c>
      <c r="AC8" s="7">
        <v>2800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8">
        <v>2800</v>
      </c>
      <c r="AV8" s="12">
        <f t="shared" si="0"/>
        <v>2800</v>
      </c>
      <c r="AW8">
        <f t="shared" si="1"/>
        <v>1959.9999999999998</v>
      </c>
    </row>
    <row r="9" spans="1:49" ht="19.2" x14ac:dyDescent="0.4">
      <c r="A9" s="1" t="s">
        <v>104</v>
      </c>
      <c r="B9" s="4" t="s">
        <v>86</v>
      </c>
      <c r="C9" s="4">
        <v>430442</v>
      </c>
      <c r="D9" s="5"/>
      <c r="E9" s="4" t="s">
        <v>26</v>
      </c>
      <c r="F9" s="4" t="s">
        <v>85</v>
      </c>
      <c r="G9" s="4" t="s">
        <v>135</v>
      </c>
      <c r="H9" s="6" t="s">
        <v>29</v>
      </c>
      <c r="I9" s="6" t="s">
        <v>87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1</v>
      </c>
      <c r="AS9" s="7">
        <v>2800</v>
      </c>
      <c r="AT9" s="6">
        <v>0</v>
      </c>
      <c r="AU9" s="8">
        <v>2800</v>
      </c>
      <c r="AV9" s="12">
        <f t="shared" si="0"/>
        <v>2800</v>
      </c>
      <c r="AW9">
        <f t="shared" si="1"/>
        <v>1959.9999999999998</v>
      </c>
    </row>
    <row r="10" spans="1:49" ht="19.2" x14ac:dyDescent="0.4">
      <c r="A10" s="1" t="s">
        <v>104</v>
      </c>
      <c r="B10" s="4" t="s">
        <v>66</v>
      </c>
      <c r="C10" s="4">
        <v>457239</v>
      </c>
      <c r="D10" s="5"/>
      <c r="E10" s="4" t="s">
        <v>26</v>
      </c>
      <c r="F10" s="4" t="s">
        <v>67</v>
      </c>
      <c r="G10" s="4" t="s">
        <v>134</v>
      </c>
      <c r="H10" s="6" t="s">
        <v>29</v>
      </c>
      <c r="I10" s="6" t="s">
        <v>68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</v>
      </c>
      <c r="AF10" s="7">
        <v>2000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8">
        <v>2000</v>
      </c>
      <c r="AV10" s="12">
        <f t="shared" si="0"/>
        <v>2000</v>
      </c>
      <c r="AW10">
        <f t="shared" si="1"/>
        <v>1400</v>
      </c>
    </row>
    <row r="11" spans="1:49" x14ac:dyDescent="0.4">
      <c r="A11" s="1" t="s">
        <v>104</v>
      </c>
      <c r="B11" s="4" t="s">
        <v>75</v>
      </c>
      <c r="C11" s="4">
        <v>455900</v>
      </c>
      <c r="D11" s="5"/>
      <c r="E11" s="4" t="s">
        <v>26</v>
      </c>
      <c r="F11" s="4" t="s">
        <v>49</v>
      </c>
      <c r="G11" s="4" t="s">
        <v>41</v>
      </c>
      <c r="H11" s="6" t="s">
        <v>8</v>
      </c>
      <c r="I11" s="6" t="s">
        <v>76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1</v>
      </c>
      <c r="AP11" s="6">
        <v>900</v>
      </c>
      <c r="AQ11" s="6">
        <v>0</v>
      </c>
      <c r="AR11" s="6">
        <v>0</v>
      </c>
      <c r="AS11" s="6">
        <v>0</v>
      </c>
      <c r="AT11" s="6">
        <v>0</v>
      </c>
      <c r="AU11" s="9">
        <v>900</v>
      </c>
      <c r="AV11" s="12">
        <f t="shared" si="0"/>
        <v>900</v>
      </c>
      <c r="AW11">
        <f t="shared" si="1"/>
        <v>630</v>
      </c>
    </row>
    <row r="12" spans="1:49" x14ac:dyDescent="0.4">
      <c r="A12" s="1" t="s">
        <v>104</v>
      </c>
      <c r="B12" s="4" t="s">
        <v>82</v>
      </c>
      <c r="C12" s="4">
        <v>455896</v>
      </c>
      <c r="D12" s="5"/>
      <c r="E12" s="4" t="s">
        <v>26</v>
      </c>
      <c r="F12" s="4" t="s">
        <v>49</v>
      </c>
      <c r="G12" s="4" t="s">
        <v>41</v>
      </c>
      <c r="H12" s="6" t="s">
        <v>8</v>
      </c>
      <c r="I12" s="6" t="s">
        <v>76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6</v>
      </c>
      <c r="AF12" s="6">
        <v>600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6">
        <v>100</v>
      </c>
      <c r="AT12" s="6">
        <v>0</v>
      </c>
      <c r="AU12" s="9">
        <v>700</v>
      </c>
      <c r="AV12" s="12">
        <f t="shared" si="0"/>
        <v>700</v>
      </c>
      <c r="AW12">
        <f t="shared" si="1"/>
        <v>489.99999999999994</v>
      </c>
    </row>
    <row r="13" spans="1:49" ht="19.2" x14ac:dyDescent="0.4">
      <c r="A13" s="1" t="s">
        <v>104</v>
      </c>
      <c r="B13" s="4" t="s">
        <v>94</v>
      </c>
      <c r="C13" s="4">
        <v>416209</v>
      </c>
      <c r="D13" s="5"/>
      <c r="E13" s="4" t="s">
        <v>26</v>
      </c>
      <c r="F13" s="4" t="s">
        <v>95</v>
      </c>
      <c r="G13" s="4" t="s">
        <v>135</v>
      </c>
      <c r="H13" s="6" t="s">
        <v>29</v>
      </c>
      <c r="I13" s="6" t="s">
        <v>96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6">
        <v>400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400</v>
      </c>
      <c r="AV13" s="12">
        <f t="shared" si="0"/>
        <v>400</v>
      </c>
      <c r="AW13">
        <f t="shared" si="1"/>
        <v>280</v>
      </c>
    </row>
    <row r="14" spans="1:49" ht="19.2" x14ac:dyDescent="0.4">
      <c r="A14" s="1" t="s">
        <v>104</v>
      </c>
      <c r="B14" s="4" t="s">
        <v>57</v>
      </c>
      <c r="C14" s="4">
        <v>453397</v>
      </c>
      <c r="D14" s="5"/>
      <c r="E14" s="4" t="s">
        <v>26</v>
      </c>
      <c r="F14" s="4" t="s">
        <v>49</v>
      </c>
      <c r="G14" s="4" t="s">
        <v>41</v>
      </c>
      <c r="H14" s="6" t="s">
        <v>9</v>
      </c>
      <c r="I14" s="6" t="s">
        <v>51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3</v>
      </c>
      <c r="AF14" s="6">
        <v>300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300</v>
      </c>
      <c r="AV14" s="12">
        <f t="shared" si="0"/>
        <v>300</v>
      </c>
      <c r="AW14">
        <f t="shared" si="1"/>
        <v>210</v>
      </c>
    </row>
    <row r="15" spans="1:49" ht="19.2" x14ac:dyDescent="0.4">
      <c r="A15" s="1" t="s">
        <v>104</v>
      </c>
      <c r="B15" s="4" t="s">
        <v>97</v>
      </c>
      <c r="C15" s="4">
        <v>423997</v>
      </c>
      <c r="D15" s="5"/>
      <c r="E15" s="4" t="s">
        <v>26</v>
      </c>
      <c r="F15" s="4" t="s">
        <v>98</v>
      </c>
      <c r="G15" s="4" t="s">
        <v>135</v>
      </c>
      <c r="H15" s="6" t="s">
        <v>29</v>
      </c>
      <c r="I15" s="6" t="s">
        <v>99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300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300</v>
      </c>
      <c r="AV15" s="12">
        <f t="shared" si="0"/>
        <v>300</v>
      </c>
      <c r="AW15">
        <f t="shared" si="1"/>
        <v>210</v>
      </c>
    </row>
    <row r="16" spans="1:49" x14ac:dyDescent="0.4">
      <c r="A16" s="1" t="s">
        <v>104</v>
      </c>
      <c r="B16" s="4" t="s">
        <v>100</v>
      </c>
      <c r="C16" s="4">
        <v>369060</v>
      </c>
      <c r="D16" s="5"/>
      <c r="E16" s="4" t="s">
        <v>26</v>
      </c>
      <c r="F16" s="4" t="s">
        <v>35</v>
      </c>
      <c r="G16" s="4" t="s">
        <v>41</v>
      </c>
      <c r="H16" s="6" t="s">
        <v>8</v>
      </c>
      <c r="I16" s="6" t="s">
        <v>101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2</v>
      </c>
      <c r="AF16" s="6">
        <v>100</v>
      </c>
      <c r="AG16" s="6">
        <v>100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200</v>
      </c>
      <c r="AV16" s="12">
        <f t="shared" si="0"/>
        <v>200</v>
      </c>
      <c r="AW16">
        <f t="shared" si="1"/>
        <v>140</v>
      </c>
    </row>
    <row r="17" spans="1:49" x14ac:dyDescent="0.4">
      <c r="A17" s="1" t="s">
        <v>104</v>
      </c>
      <c r="B17" s="4" t="s">
        <v>42</v>
      </c>
      <c r="C17" s="4">
        <v>440710</v>
      </c>
      <c r="D17" s="5"/>
      <c r="E17" s="4" t="s">
        <v>26</v>
      </c>
      <c r="F17" s="4" t="s">
        <v>43</v>
      </c>
      <c r="G17" s="4" t="s">
        <v>136</v>
      </c>
      <c r="H17" s="6" t="s">
        <v>8</v>
      </c>
      <c r="I17" s="6" t="s">
        <v>59</v>
      </c>
      <c r="J17" s="6">
        <v>0</v>
      </c>
      <c r="K17" s="6">
        <v>45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</v>
      </c>
      <c r="AF17" s="6">
        <v>100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100</v>
      </c>
      <c r="AV17" s="12">
        <f t="shared" si="0"/>
        <v>100</v>
      </c>
      <c r="AW17">
        <f t="shared" si="1"/>
        <v>70</v>
      </c>
    </row>
    <row r="18" spans="1:49" ht="19.2" x14ac:dyDescent="0.4">
      <c r="A18" s="1" t="s">
        <v>104</v>
      </c>
      <c r="B18" s="4" t="s">
        <v>102</v>
      </c>
      <c r="C18" s="4">
        <v>445954</v>
      </c>
      <c r="D18" s="5"/>
      <c r="E18" s="4" t="s">
        <v>26</v>
      </c>
      <c r="F18" s="4" t="s">
        <v>38</v>
      </c>
      <c r="G18" s="4" t="s">
        <v>135</v>
      </c>
      <c r="H18" s="6" t="s">
        <v>9</v>
      </c>
      <c r="I18" s="6" t="s">
        <v>103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6">
        <v>100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100</v>
      </c>
      <c r="AV18" s="12">
        <f t="shared" si="0"/>
        <v>100</v>
      </c>
      <c r="AW18">
        <f t="shared" si="1"/>
        <v>70</v>
      </c>
    </row>
    <row r="19" spans="1:49" ht="19.2" x14ac:dyDescent="0.4">
      <c r="A19" s="1" t="s">
        <v>104</v>
      </c>
      <c r="B19" s="4" t="s">
        <v>46</v>
      </c>
      <c r="C19" s="4">
        <v>448030</v>
      </c>
      <c r="D19" s="5"/>
      <c r="E19" s="4" t="s">
        <v>26</v>
      </c>
      <c r="F19" s="4" t="s">
        <v>38</v>
      </c>
      <c r="G19" s="4" t="s">
        <v>135</v>
      </c>
      <c r="H19" s="6" t="s">
        <v>9</v>
      </c>
      <c r="I19" s="6" t="s">
        <v>47</v>
      </c>
      <c r="J19" s="6">
        <v>0</v>
      </c>
      <c r="K19" s="6">
        <v>37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0</v>
      </c>
      <c r="AV19" s="12">
        <f t="shared" si="0"/>
        <v>0</v>
      </c>
      <c r="AW19">
        <f t="shared" si="1"/>
        <v>0</v>
      </c>
    </row>
    <row r="20" spans="1:49" x14ac:dyDescent="0.4">
      <c r="A20" s="1" t="s">
        <v>112</v>
      </c>
      <c r="B20" s="4" t="s">
        <v>82</v>
      </c>
      <c r="C20" s="4">
        <v>455896</v>
      </c>
      <c r="D20" s="5"/>
      <c r="E20" s="4" t="s">
        <v>26</v>
      </c>
      <c r="F20" s="4" t="s">
        <v>49</v>
      </c>
      <c r="G20" s="4" t="s">
        <v>41</v>
      </c>
      <c r="H20" s="6" t="s">
        <v>8</v>
      </c>
      <c r="I20" s="6" t="s">
        <v>76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335</v>
      </c>
      <c r="AF20" s="7">
        <v>30500</v>
      </c>
      <c r="AG20" s="7">
        <v>3000</v>
      </c>
      <c r="AH20" s="6">
        <v>0</v>
      </c>
      <c r="AI20" s="6">
        <v>0</v>
      </c>
      <c r="AJ20" s="6">
        <v>0</v>
      </c>
      <c r="AK20" s="6">
        <v>6</v>
      </c>
      <c r="AL20" s="6">
        <v>0</v>
      </c>
      <c r="AM20" s="6">
        <v>600</v>
      </c>
      <c r="AN20" s="6">
        <v>0</v>
      </c>
      <c r="AO20" s="6">
        <v>0</v>
      </c>
      <c r="AP20" s="6">
        <v>0</v>
      </c>
      <c r="AQ20" s="6">
        <v>0</v>
      </c>
      <c r="AR20" s="6">
        <v>47</v>
      </c>
      <c r="AS20" s="7">
        <v>4700</v>
      </c>
      <c r="AT20" s="6">
        <v>0</v>
      </c>
      <c r="AU20" s="8">
        <v>38800</v>
      </c>
      <c r="AV20" s="12">
        <f t="shared" si="0"/>
        <v>38800</v>
      </c>
      <c r="AW20">
        <f t="shared" si="1"/>
        <v>27160</v>
      </c>
    </row>
    <row r="21" spans="1:49" x14ac:dyDescent="0.4">
      <c r="A21" s="1" t="s">
        <v>112</v>
      </c>
      <c r="B21" s="4" t="s">
        <v>58</v>
      </c>
      <c r="C21" s="4">
        <v>451947</v>
      </c>
      <c r="D21" s="5"/>
      <c r="E21" s="4" t="s">
        <v>26</v>
      </c>
      <c r="F21" s="4" t="s">
        <v>49</v>
      </c>
      <c r="G21" s="4" t="s">
        <v>41</v>
      </c>
      <c r="H21" s="6" t="s">
        <v>8</v>
      </c>
      <c r="I21" s="6" t="s">
        <v>51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140</v>
      </c>
      <c r="AF21" s="7">
        <v>14000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8">
        <v>14000</v>
      </c>
      <c r="AV21" s="12">
        <f t="shared" si="0"/>
        <v>14000</v>
      </c>
      <c r="AW21">
        <f t="shared" si="1"/>
        <v>9800</v>
      </c>
    </row>
    <row r="22" spans="1:49" x14ac:dyDescent="0.4">
      <c r="A22" s="1" t="s">
        <v>112</v>
      </c>
      <c r="B22" s="4" t="s">
        <v>105</v>
      </c>
      <c r="C22" s="4">
        <v>454224</v>
      </c>
      <c r="D22" s="5"/>
      <c r="E22" s="4" t="s">
        <v>26</v>
      </c>
      <c r="F22" s="4" t="s">
        <v>49</v>
      </c>
      <c r="G22" s="4" t="s">
        <v>41</v>
      </c>
      <c r="H22" s="6" t="s">
        <v>8</v>
      </c>
      <c r="I22" s="6" t="s">
        <v>55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101</v>
      </c>
      <c r="AF22" s="7">
        <v>10100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8">
        <v>10100</v>
      </c>
      <c r="AV22" s="12">
        <f t="shared" si="0"/>
        <v>10100</v>
      </c>
      <c r="AW22">
        <f t="shared" si="1"/>
        <v>7070</v>
      </c>
    </row>
    <row r="23" spans="1:49" ht="19.2" x14ac:dyDescent="0.4">
      <c r="A23" s="1" t="s">
        <v>112</v>
      </c>
      <c r="B23" s="4" t="s">
        <v>57</v>
      </c>
      <c r="C23" s="4">
        <v>453397</v>
      </c>
      <c r="D23" s="5"/>
      <c r="E23" s="4" t="s">
        <v>26</v>
      </c>
      <c r="F23" s="4" t="s">
        <v>49</v>
      </c>
      <c r="G23" s="4" t="s">
        <v>41</v>
      </c>
      <c r="H23" s="6" t="s">
        <v>9</v>
      </c>
      <c r="I23" s="6" t="s">
        <v>51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93</v>
      </c>
      <c r="AF23" s="7">
        <v>9300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8">
        <v>9300</v>
      </c>
      <c r="AV23" s="12">
        <f t="shared" si="0"/>
        <v>9300</v>
      </c>
      <c r="AW23">
        <f t="shared" si="1"/>
        <v>6510</v>
      </c>
    </row>
    <row r="24" spans="1:49" ht="19.2" x14ac:dyDescent="0.4">
      <c r="A24" s="1" t="s">
        <v>112</v>
      </c>
      <c r="B24" s="4" t="s">
        <v>50</v>
      </c>
      <c r="C24" s="4">
        <v>453445</v>
      </c>
      <c r="D24" s="5"/>
      <c r="E24" s="4" t="s">
        <v>26</v>
      </c>
      <c r="F24" s="4" t="s">
        <v>49</v>
      </c>
      <c r="G24" s="4" t="s">
        <v>41</v>
      </c>
      <c r="H24" s="6" t="s">
        <v>9</v>
      </c>
      <c r="I24" s="6" t="s">
        <v>51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5</v>
      </c>
      <c r="AC24" s="7">
        <v>4500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3</v>
      </c>
      <c r="AP24" s="7">
        <v>2700</v>
      </c>
      <c r="AQ24" s="6">
        <v>0</v>
      </c>
      <c r="AR24" s="6">
        <v>0</v>
      </c>
      <c r="AS24" s="6">
        <v>0</v>
      </c>
      <c r="AT24" s="6">
        <v>0</v>
      </c>
      <c r="AU24" s="8">
        <v>7200</v>
      </c>
      <c r="AV24" s="12">
        <f t="shared" si="0"/>
        <v>7200</v>
      </c>
      <c r="AW24">
        <f t="shared" si="1"/>
        <v>5040</v>
      </c>
    </row>
    <row r="25" spans="1:49" x14ac:dyDescent="0.4">
      <c r="A25" s="1" t="s">
        <v>112</v>
      </c>
      <c r="B25" s="4" t="s">
        <v>75</v>
      </c>
      <c r="C25" s="4">
        <v>455900</v>
      </c>
      <c r="D25" s="5"/>
      <c r="E25" s="4" t="s">
        <v>26</v>
      </c>
      <c r="F25" s="4" t="s">
        <v>49</v>
      </c>
      <c r="G25" s="4" t="s">
        <v>41</v>
      </c>
      <c r="H25" s="6" t="s">
        <v>8</v>
      </c>
      <c r="I25" s="6" t="s">
        <v>76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5</v>
      </c>
      <c r="AC25" s="7">
        <v>3600</v>
      </c>
      <c r="AD25" s="6">
        <v>900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8">
        <v>4500</v>
      </c>
      <c r="AV25" s="12">
        <f t="shared" si="0"/>
        <v>4500</v>
      </c>
      <c r="AW25">
        <f t="shared" si="1"/>
        <v>3150</v>
      </c>
    </row>
    <row r="26" spans="1:49" ht="19.2" x14ac:dyDescent="0.4">
      <c r="A26" s="1" t="s">
        <v>112</v>
      </c>
      <c r="B26" s="4" t="s">
        <v>106</v>
      </c>
      <c r="C26" s="4">
        <v>460820</v>
      </c>
      <c r="D26" s="5"/>
      <c r="E26" s="4" t="s">
        <v>26</v>
      </c>
      <c r="F26" s="4" t="s">
        <v>107</v>
      </c>
      <c r="G26" s="4" t="s">
        <v>135</v>
      </c>
      <c r="H26" s="6" t="s">
        <v>9</v>
      </c>
      <c r="I26" s="6" t="s">
        <v>108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44</v>
      </c>
      <c r="AF26" s="7">
        <v>4400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8">
        <v>4400</v>
      </c>
      <c r="AV26" s="12">
        <f t="shared" si="0"/>
        <v>4400</v>
      </c>
      <c r="AW26">
        <f t="shared" si="1"/>
        <v>3080</v>
      </c>
    </row>
    <row r="27" spans="1:49" ht="19.2" x14ac:dyDescent="0.4">
      <c r="A27" s="1" t="s">
        <v>112</v>
      </c>
      <c r="B27" s="4" t="s">
        <v>102</v>
      </c>
      <c r="C27" s="4">
        <v>445954</v>
      </c>
      <c r="D27" s="5"/>
      <c r="E27" s="4" t="s">
        <v>26</v>
      </c>
      <c r="F27" s="4" t="s">
        <v>38</v>
      </c>
      <c r="G27" s="4" t="s">
        <v>135</v>
      </c>
      <c r="H27" s="6" t="s">
        <v>9</v>
      </c>
      <c r="I27" s="6" t="s">
        <v>103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32</v>
      </c>
      <c r="AF27" s="7">
        <v>3200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8">
        <v>3200</v>
      </c>
      <c r="AV27" s="12">
        <f t="shared" si="0"/>
        <v>3200</v>
      </c>
      <c r="AW27">
        <f t="shared" si="1"/>
        <v>2240</v>
      </c>
    </row>
    <row r="28" spans="1:49" ht="19.2" x14ac:dyDescent="0.4">
      <c r="A28" s="1" t="s">
        <v>112</v>
      </c>
      <c r="B28" s="4" t="s">
        <v>80</v>
      </c>
      <c r="C28" s="4">
        <v>456187</v>
      </c>
      <c r="D28" s="5"/>
      <c r="E28" s="4" t="s">
        <v>26</v>
      </c>
      <c r="F28" s="4" t="s">
        <v>53</v>
      </c>
      <c r="G28" s="4" t="s">
        <v>135</v>
      </c>
      <c r="H28" s="6" t="s">
        <v>9</v>
      </c>
      <c r="I28" s="6" t="s">
        <v>81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29</v>
      </c>
      <c r="AS28" s="7">
        <v>2900</v>
      </c>
      <c r="AT28" s="6">
        <v>0</v>
      </c>
      <c r="AU28" s="8">
        <v>2900</v>
      </c>
      <c r="AV28" s="12">
        <f t="shared" si="0"/>
        <v>2900</v>
      </c>
      <c r="AW28">
        <f t="shared" si="1"/>
        <v>2029.9999999999998</v>
      </c>
    </row>
    <row r="29" spans="1:49" ht="19.2" x14ac:dyDescent="0.4">
      <c r="A29" s="1" t="s">
        <v>112</v>
      </c>
      <c r="B29" s="4" t="s">
        <v>86</v>
      </c>
      <c r="C29" s="4">
        <v>430442</v>
      </c>
      <c r="D29" s="5"/>
      <c r="E29" s="4" t="s">
        <v>26</v>
      </c>
      <c r="F29" s="4" t="s">
        <v>85</v>
      </c>
      <c r="G29" s="4" t="s">
        <v>135</v>
      </c>
      <c r="H29" s="6" t="s">
        <v>29</v>
      </c>
      <c r="I29" s="6" t="s">
        <v>87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1</v>
      </c>
      <c r="AS29" s="7">
        <v>2800</v>
      </c>
      <c r="AT29" s="6">
        <v>0</v>
      </c>
      <c r="AU29" s="8">
        <v>2800</v>
      </c>
      <c r="AV29" s="12">
        <f t="shared" si="0"/>
        <v>2800</v>
      </c>
      <c r="AW29">
        <f t="shared" si="1"/>
        <v>1959.9999999999998</v>
      </c>
    </row>
    <row r="30" spans="1:49" x14ac:dyDescent="0.4">
      <c r="A30" s="1" t="s">
        <v>112</v>
      </c>
      <c r="B30" s="4" t="s">
        <v>37</v>
      </c>
      <c r="C30" s="4">
        <v>380954</v>
      </c>
      <c r="D30" s="5"/>
      <c r="E30" s="4" t="s">
        <v>26</v>
      </c>
      <c r="F30" s="4" t="s">
        <v>35</v>
      </c>
      <c r="G30" s="4" t="s">
        <v>41</v>
      </c>
      <c r="H30" s="6" t="s">
        <v>8</v>
      </c>
      <c r="I30" s="6" t="s">
        <v>36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3</v>
      </c>
      <c r="AC30" s="7">
        <v>2700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8">
        <v>2700</v>
      </c>
      <c r="AV30" s="12">
        <f t="shared" si="0"/>
        <v>2700</v>
      </c>
      <c r="AW30">
        <f t="shared" si="1"/>
        <v>1889.9999999999998</v>
      </c>
    </row>
    <row r="31" spans="1:49" x14ac:dyDescent="0.4">
      <c r="A31" s="1" t="s">
        <v>112</v>
      </c>
      <c r="B31" s="4" t="s">
        <v>83</v>
      </c>
      <c r="C31" s="4">
        <v>408836</v>
      </c>
      <c r="D31" s="5"/>
      <c r="E31" s="4" t="s">
        <v>26</v>
      </c>
      <c r="F31" s="4" t="s">
        <v>27</v>
      </c>
      <c r="G31" s="4" t="s">
        <v>41</v>
      </c>
      <c r="H31" s="6" t="s">
        <v>8</v>
      </c>
      <c r="I31" s="6" t="s">
        <v>84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3</v>
      </c>
      <c r="AC31" s="7">
        <v>2100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8">
        <v>2100</v>
      </c>
      <c r="AV31" s="12">
        <f t="shared" si="0"/>
        <v>2100</v>
      </c>
      <c r="AW31">
        <f t="shared" si="1"/>
        <v>1470</v>
      </c>
    </row>
    <row r="32" spans="1:49" x14ac:dyDescent="0.4">
      <c r="A32" s="1" t="s">
        <v>112</v>
      </c>
      <c r="B32" s="4" t="s">
        <v>39</v>
      </c>
      <c r="C32" s="4">
        <v>367415</v>
      </c>
      <c r="D32" s="5"/>
      <c r="E32" s="4" t="s">
        <v>26</v>
      </c>
      <c r="F32" s="4" t="s">
        <v>35</v>
      </c>
      <c r="G32" s="4" t="s">
        <v>41</v>
      </c>
      <c r="H32" s="6" t="s">
        <v>8</v>
      </c>
      <c r="I32" s="6" t="s">
        <v>40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20</v>
      </c>
      <c r="AF32" s="7">
        <v>2000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8">
        <v>2000</v>
      </c>
      <c r="AV32" s="12">
        <f t="shared" si="0"/>
        <v>2000</v>
      </c>
      <c r="AW32">
        <f t="shared" si="1"/>
        <v>1400</v>
      </c>
    </row>
    <row r="33" spans="1:49" x14ac:dyDescent="0.4">
      <c r="A33" s="1" t="s">
        <v>112</v>
      </c>
      <c r="B33" s="4" t="s">
        <v>54</v>
      </c>
      <c r="C33" s="4">
        <v>454228</v>
      </c>
      <c r="D33" s="5"/>
      <c r="E33" s="4" t="s">
        <v>26</v>
      </c>
      <c r="F33" s="4" t="s">
        <v>49</v>
      </c>
      <c r="G33" s="4" t="s">
        <v>41</v>
      </c>
      <c r="H33" s="6" t="s">
        <v>8</v>
      </c>
      <c r="I33" s="6" t="s">
        <v>55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2</v>
      </c>
      <c r="AC33" s="7">
        <v>1800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8">
        <v>1800</v>
      </c>
      <c r="AV33" s="12">
        <f t="shared" si="0"/>
        <v>1800</v>
      </c>
      <c r="AW33">
        <f t="shared" si="1"/>
        <v>1260</v>
      </c>
    </row>
    <row r="34" spans="1:49" ht="19.2" x14ac:dyDescent="0.4">
      <c r="A34" s="1" t="s">
        <v>112</v>
      </c>
      <c r="B34" s="4" t="s">
        <v>44</v>
      </c>
      <c r="C34" s="4">
        <v>445576</v>
      </c>
      <c r="D34" s="5"/>
      <c r="E34" s="4" t="s">
        <v>26</v>
      </c>
      <c r="F34" s="4" t="s">
        <v>49</v>
      </c>
      <c r="G34" s="4" t="s">
        <v>41</v>
      </c>
      <c r="H34" s="6" t="s">
        <v>8</v>
      </c>
      <c r="I34" s="6" t="s">
        <v>45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2</v>
      </c>
      <c r="AC34" s="7">
        <v>1800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8">
        <v>1800</v>
      </c>
      <c r="AV34" s="12">
        <f t="shared" si="0"/>
        <v>1800</v>
      </c>
      <c r="AW34">
        <f t="shared" si="1"/>
        <v>1260</v>
      </c>
    </row>
    <row r="35" spans="1:49" x14ac:dyDescent="0.4">
      <c r="A35" s="1" t="s">
        <v>112</v>
      </c>
      <c r="B35" s="4" t="s">
        <v>42</v>
      </c>
      <c r="C35" s="4">
        <v>440710</v>
      </c>
      <c r="D35" s="5"/>
      <c r="E35" s="4" t="s">
        <v>26</v>
      </c>
      <c r="F35" s="4" t="s">
        <v>43</v>
      </c>
      <c r="G35" s="4" t="s">
        <v>136</v>
      </c>
      <c r="H35" s="6" t="s">
        <v>8</v>
      </c>
      <c r="I35" s="6" t="s">
        <v>59</v>
      </c>
      <c r="J35" s="6">
        <v>0</v>
      </c>
      <c r="K35" s="6">
        <v>19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10</v>
      </c>
      <c r="AF35" s="7">
        <v>1000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8">
        <v>1000</v>
      </c>
      <c r="AV35" s="12">
        <f t="shared" si="0"/>
        <v>1000</v>
      </c>
      <c r="AW35">
        <f t="shared" si="1"/>
        <v>700</v>
      </c>
    </row>
    <row r="36" spans="1:49" x14ac:dyDescent="0.4">
      <c r="A36" s="1" t="s">
        <v>112</v>
      </c>
      <c r="B36" s="4" t="s">
        <v>109</v>
      </c>
      <c r="C36" s="4">
        <v>365225</v>
      </c>
      <c r="D36" s="5"/>
      <c r="E36" s="4" t="s">
        <v>26</v>
      </c>
      <c r="F36" s="4" t="s">
        <v>27</v>
      </c>
      <c r="G36" s="4" t="s">
        <v>41</v>
      </c>
      <c r="H36" s="6" t="s">
        <v>8</v>
      </c>
      <c r="I36" s="6" t="s">
        <v>110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</v>
      </c>
      <c r="AC36" s="6">
        <v>900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9">
        <v>900</v>
      </c>
      <c r="AV36" s="12">
        <f t="shared" si="0"/>
        <v>900</v>
      </c>
      <c r="AW36">
        <f t="shared" si="1"/>
        <v>630</v>
      </c>
    </row>
    <row r="37" spans="1:49" x14ac:dyDescent="0.4">
      <c r="A37" s="1" t="s">
        <v>112</v>
      </c>
      <c r="B37" s="4" t="s">
        <v>100</v>
      </c>
      <c r="C37" s="4">
        <v>369060</v>
      </c>
      <c r="D37" s="5"/>
      <c r="E37" s="4" t="s">
        <v>26</v>
      </c>
      <c r="F37" s="4" t="s">
        <v>35</v>
      </c>
      <c r="G37" s="4" t="s">
        <v>41</v>
      </c>
      <c r="H37" s="6" t="s">
        <v>8</v>
      </c>
      <c r="I37" s="6" t="s">
        <v>101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5</v>
      </c>
      <c r="AF37" s="6">
        <v>300</v>
      </c>
      <c r="AG37" s="6">
        <v>200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500</v>
      </c>
      <c r="AV37" s="12">
        <f t="shared" si="0"/>
        <v>500</v>
      </c>
      <c r="AW37">
        <f t="shared" si="1"/>
        <v>350</v>
      </c>
    </row>
    <row r="38" spans="1:49" x14ac:dyDescent="0.4">
      <c r="A38" s="1" t="s">
        <v>112</v>
      </c>
      <c r="B38" s="4" t="s">
        <v>111</v>
      </c>
      <c r="C38" s="4">
        <v>445598</v>
      </c>
      <c r="D38" s="5"/>
      <c r="E38" s="4" t="s">
        <v>26</v>
      </c>
      <c r="F38" s="4" t="s">
        <v>49</v>
      </c>
      <c r="G38" s="4" t="s">
        <v>41</v>
      </c>
      <c r="H38" s="6" t="s">
        <v>8</v>
      </c>
      <c r="I38" s="6" t="s">
        <v>45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4</v>
      </c>
      <c r="AF38" s="6">
        <v>400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400</v>
      </c>
      <c r="AV38" s="12">
        <f t="shared" si="0"/>
        <v>400</v>
      </c>
      <c r="AW38">
        <f t="shared" si="1"/>
        <v>280</v>
      </c>
    </row>
    <row r="39" spans="1:49" ht="19.2" x14ac:dyDescent="0.4">
      <c r="A39" s="1" t="s">
        <v>112</v>
      </c>
      <c r="B39" s="4" t="s">
        <v>46</v>
      </c>
      <c r="C39" s="4">
        <v>448030</v>
      </c>
      <c r="D39" s="5"/>
      <c r="E39" s="4" t="s">
        <v>26</v>
      </c>
      <c r="F39" s="4" t="s">
        <v>38</v>
      </c>
      <c r="G39" s="4" t="s">
        <v>135</v>
      </c>
      <c r="H39" s="6" t="s">
        <v>9</v>
      </c>
      <c r="I39" s="6" t="s">
        <v>47</v>
      </c>
      <c r="J39" s="6">
        <v>0</v>
      </c>
      <c r="K39" s="6">
        <v>8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0</v>
      </c>
      <c r="AV39" s="12">
        <f t="shared" si="0"/>
        <v>0</v>
      </c>
      <c r="AW39">
        <f t="shared" si="1"/>
        <v>0</v>
      </c>
    </row>
    <row r="40" spans="1:49" ht="19.2" x14ac:dyDescent="0.4">
      <c r="A40" s="1" t="s">
        <v>133</v>
      </c>
      <c r="B40" s="4" t="s">
        <v>91</v>
      </c>
      <c r="C40" s="4">
        <v>459229</v>
      </c>
      <c r="D40" s="5"/>
      <c r="E40" s="4" t="s">
        <v>26</v>
      </c>
      <c r="F40" s="4" t="s">
        <v>92</v>
      </c>
      <c r="G40" s="4" t="s">
        <v>134</v>
      </c>
      <c r="H40" s="6" t="s">
        <v>29</v>
      </c>
      <c r="I40" s="6" t="s">
        <v>93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21</v>
      </c>
      <c r="AF40" s="7">
        <v>54500</v>
      </c>
      <c r="AG40" s="7">
        <v>5800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3</v>
      </c>
      <c r="AS40" s="7">
        <v>8500</v>
      </c>
      <c r="AT40" s="6">
        <v>200</v>
      </c>
      <c r="AU40" s="8">
        <v>69000</v>
      </c>
      <c r="AV40" s="12">
        <f t="shared" si="0"/>
        <v>69000</v>
      </c>
      <c r="AW40">
        <f t="shared" si="1"/>
        <v>48300</v>
      </c>
    </row>
    <row r="41" spans="1:49" ht="19.2" x14ac:dyDescent="0.4">
      <c r="A41" s="1" t="s">
        <v>133</v>
      </c>
      <c r="B41" s="4" t="s">
        <v>63</v>
      </c>
      <c r="C41" s="4">
        <v>457534</v>
      </c>
      <c r="D41" s="5"/>
      <c r="E41" s="4" t="s">
        <v>26</v>
      </c>
      <c r="F41" s="4" t="s">
        <v>64</v>
      </c>
      <c r="G41" s="4" t="s">
        <v>134</v>
      </c>
      <c r="H41" s="6" t="s">
        <v>29</v>
      </c>
      <c r="I41" s="6" t="s">
        <v>65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18</v>
      </c>
      <c r="AF41" s="7">
        <v>34100</v>
      </c>
      <c r="AG41" s="7">
        <v>1000</v>
      </c>
      <c r="AH41" s="6">
        <v>0</v>
      </c>
      <c r="AI41" s="6">
        <v>0</v>
      </c>
      <c r="AJ41" s="6">
        <v>0</v>
      </c>
      <c r="AK41" s="6">
        <v>2</v>
      </c>
      <c r="AL41" s="7">
        <v>4800</v>
      </c>
      <c r="AM41" s="6">
        <v>0</v>
      </c>
      <c r="AN41" s="14">
        <v>1440</v>
      </c>
      <c r="AO41" s="6">
        <v>0</v>
      </c>
      <c r="AP41" s="6">
        <v>0</v>
      </c>
      <c r="AQ41" s="6">
        <v>0</v>
      </c>
      <c r="AR41" s="6">
        <v>1</v>
      </c>
      <c r="AS41" s="6">
        <v>900</v>
      </c>
      <c r="AT41" s="6">
        <v>0</v>
      </c>
      <c r="AU41" s="8">
        <v>40800</v>
      </c>
      <c r="AV41" s="12">
        <f t="shared" si="0"/>
        <v>39360</v>
      </c>
      <c r="AW41">
        <f t="shared" si="1"/>
        <v>27552</v>
      </c>
    </row>
    <row r="42" spans="1:49" ht="19.2" x14ac:dyDescent="0.4">
      <c r="A42" s="1" t="s">
        <v>133</v>
      </c>
      <c r="B42" s="4" t="s">
        <v>113</v>
      </c>
      <c r="C42" s="4">
        <v>459228</v>
      </c>
      <c r="D42" s="5"/>
      <c r="E42" s="4" t="s">
        <v>26</v>
      </c>
      <c r="F42" s="4" t="s">
        <v>114</v>
      </c>
      <c r="G42" s="4" t="s">
        <v>134</v>
      </c>
      <c r="H42" s="6" t="s">
        <v>29</v>
      </c>
      <c r="I42" s="6" t="s">
        <v>115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10</v>
      </c>
      <c r="AF42" s="7">
        <v>27000</v>
      </c>
      <c r="AG42" s="6">
        <v>200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1</v>
      </c>
      <c r="AS42" s="7">
        <v>1900</v>
      </c>
      <c r="AT42" s="6">
        <v>900</v>
      </c>
      <c r="AU42" s="8">
        <v>30000</v>
      </c>
      <c r="AV42" s="12">
        <f t="shared" si="0"/>
        <v>30000</v>
      </c>
      <c r="AW42">
        <f t="shared" si="1"/>
        <v>21000</v>
      </c>
    </row>
    <row r="43" spans="1:49" ht="19.2" x14ac:dyDescent="0.4">
      <c r="A43" s="1" t="s">
        <v>133</v>
      </c>
      <c r="B43" s="4" t="s">
        <v>60</v>
      </c>
      <c r="C43" s="4">
        <v>457533</v>
      </c>
      <c r="D43" s="5"/>
      <c r="E43" s="4" t="s">
        <v>26</v>
      </c>
      <c r="F43" s="4" t="s">
        <v>61</v>
      </c>
      <c r="G43" s="4" t="s">
        <v>134</v>
      </c>
      <c r="H43" s="6" t="s">
        <v>29</v>
      </c>
      <c r="I43" s="6" t="s">
        <v>62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9</v>
      </c>
      <c r="AF43" s="7">
        <v>17500</v>
      </c>
      <c r="AG43" s="7">
        <v>5000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1</v>
      </c>
      <c r="AS43" s="7">
        <v>2500</v>
      </c>
      <c r="AT43" s="6">
        <v>0</v>
      </c>
      <c r="AU43" s="8">
        <v>25000</v>
      </c>
      <c r="AV43" s="12">
        <f t="shared" si="0"/>
        <v>25000</v>
      </c>
      <c r="AW43">
        <f t="shared" si="1"/>
        <v>17500</v>
      </c>
    </row>
    <row r="44" spans="1:49" ht="19.2" x14ac:dyDescent="0.4">
      <c r="A44" s="1" t="s">
        <v>133</v>
      </c>
      <c r="B44" s="4" t="s">
        <v>31</v>
      </c>
      <c r="C44" s="4">
        <v>387161</v>
      </c>
      <c r="D44" s="5"/>
      <c r="E44" s="4" t="s">
        <v>26</v>
      </c>
      <c r="F44" s="4" t="s">
        <v>32</v>
      </c>
      <c r="G44" s="4" t="s">
        <v>135</v>
      </c>
      <c r="H44" s="6" t="s">
        <v>29</v>
      </c>
      <c r="I44" s="6" t="s">
        <v>33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3</v>
      </c>
      <c r="AF44" s="7">
        <v>4800</v>
      </c>
      <c r="AG44" s="6">
        <v>0</v>
      </c>
      <c r="AH44" s="6">
        <v>0</v>
      </c>
      <c r="AI44" s="6">
        <v>0</v>
      </c>
      <c r="AJ44" s="6">
        <v>0</v>
      </c>
      <c r="AK44" s="6">
        <v>4</v>
      </c>
      <c r="AL44" s="7">
        <v>2142</v>
      </c>
      <c r="AM44" s="7">
        <v>6200</v>
      </c>
      <c r="AN44" s="6">
        <v>642.6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8">
        <v>13142</v>
      </c>
      <c r="AV44" s="12">
        <f t="shared" si="0"/>
        <v>12499.4</v>
      </c>
      <c r="AW44">
        <f t="shared" si="1"/>
        <v>8749.58</v>
      </c>
    </row>
    <row r="45" spans="1:49" ht="19.2" x14ac:dyDescent="0.4">
      <c r="A45" s="1" t="s">
        <v>133</v>
      </c>
      <c r="B45" s="4" t="s">
        <v>72</v>
      </c>
      <c r="C45" s="4">
        <v>457068</v>
      </c>
      <c r="D45" s="5"/>
      <c r="E45" s="4" t="s">
        <v>26</v>
      </c>
      <c r="F45" s="4" t="s">
        <v>73</v>
      </c>
      <c r="G45" s="4" t="s">
        <v>134</v>
      </c>
      <c r="H45" s="6" t="s">
        <v>29</v>
      </c>
      <c r="I45" s="6" t="s">
        <v>74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4</v>
      </c>
      <c r="AF45" s="7">
        <v>10000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8">
        <v>10000</v>
      </c>
      <c r="AV45" s="12">
        <f t="shared" si="0"/>
        <v>10000</v>
      </c>
      <c r="AW45">
        <f t="shared" si="1"/>
        <v>7000</v>
      </c>
    </row>
    <row r="46" spans="1:49" ht="19.2" x14ac:dyDescent="0.4">
      <c r="A46" s="1" t="s">
        <v>133</v>
      </c>
      <c r="B46" s="4" t="s">
        <v>66</v>
      </c>
      <c r="C46" s="4">
        <v>457239</v>
      </c>
      <c r="D46" s="5"/>
      <c r="E46" s="4" t="s">
        <v>26</v>
      </c>
      <c r="F46" s="4" t="s">
        <v>67</v>
      </c>
      <c r="G46" s="4" t="s">
        <v>134</v>
      </c>
      <c r="H46" s="6" t="s">
        <v>29</v>
      </c>
      <c r="I46" s="6" t="s">
        <v>68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4</v>
      </c>
      <c r="AF46" s="7">
        <v>6000</v>
      </c>
      <c r="AG46" s="7">
        <v>2000</v>
      </c>
      <c r="AH46" s="6">
        <v>0</v>
      </c>
      <c r="AI46" s="6">
        <v>0</v>
      </c>
      <c r="AJ46" s="6">
        <v>0</v>
      </c>
      <c r="AK46" s="6">
        <v>1</v>
      </c>
      <c r="AL46" s="6">
        <v>0</v>
      </c>
      <c r="AM46" s="7">
        <v>2000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8">
        <v>10000</v>
      </c>
      <c r="AV46" s="12">
        <f t="shared" si="0"/>
        <v>10000</v>
      </c>
      <c r="AW46">
        <f t="shared" si="1"/>
        <v>7000</v>
      </c>
    </row>
    <row r="47" spans="1:49" x14ac:dyDescent="0.4">
      <c r="A47" s="1" t="s">
        <v>133</v>
      </c>
      <c r="B47" s="4" t="s">
        <v>116</v>
      </c>
      <c r="C47" s="4">
        <v>459224</v>
      </c>
      <c r="D47" s="5"/>
      <c r="E47" s="4" t="s">
        <v>26</v>
      </c>
      <c r="F47" s="4" t="s">
        <v>117</v>
      </c>
      <c r="G47" s="4" t="s">
        <v>134</v>
      </c>
      <c r="H47" s="6" t="s">
        <v>8</v>
      </c>
      <c r="I47" s="6" t="s">
        <v>118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2</v>
      </c>
      <c r="AF47" s="7">
        <v>4000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8">
        <v>4000</v>
      </c>
      <c r="AV47" s="12">
        <f t="shared" ref="AV47:AV60" si="2">AU47-AN47</f>
        <v>4000</v>
      </c>
      <c r="AW47">
        <f t="shared" ref="AW47:AW60" si="3">AV47*70%</f>
        <v>2800</v>
      </c>
    </row>
    <row r="48" spans="1:49" ht="19.2" x14ac:dyDescent="0.4">
      <c r="A48" s="1" t="s">
        <v>133</v>
      </c>
      <c r="B48" s="4" t="s">
        <v>119</v>
      </c>
      <c r="C48" s="4">
        <v>351091</v>
      </c>
      <c r="D48" s="5"/>
      <c r="E48" s="4" t="s">
        <v>26</v>
      </c>
      <c r="F48" s="4" t="s">
        <v>78</v>
      </c>
      <c r="G48" s="4" t="s">
        <v>135</v>
      </c>
      <c r="H48" s="6" t="s">
        <v>29</v>
      </c>
      <c r="I48" s="6" t="s">
        <v>120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7">
        <v>3600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8">
        <v>3600</v>
      </c>
      <c r="AV48" s="12">
        <f t="shared" si="2"/>
        <v>3600</v>
      </c>
      <c r="AW48">
        <f t="shared" si="3"/>
        <v>2520</v>
      </c>
    </row>
    <row r="49" spans="1:49" ht="19.2" x14ac:dyDescent="0.4">
      <c r="A49" s="1" t="s">
        <v>133</v>
      </c>
      <c r="B49" s="4" t="s">
        <v>121</v>
      </c>
      <c r="C49" s="4">
        <v>355068</v>
      </c>
      <c r="D49" s="5"/>
      <c r="E49" s="4" t="s">
        <v>26</v>
      </c>
      <c r="F49" s="4" t="s">
        <v>122</v>
      </c>
      <c r="G49" s="4" t="s">
        <v>135</v>
      </c>
      <c r="H49" s="6" t="s">
        <v>29</v>
      </c>
      <c r="I49" s="6" t="s">
        <v>123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1</v>
      </c>
      <c r="AF49" s="7">
        <v>3600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8">
        <v>3600</v>
      </c>
      <c r="AV49" s="12">
        <f t="shared" si="2"/>
        <v>3600</v>
      </c>
      <c r="AW49">
        <f t="shared" si="3"/>
        <v>2520</v>
      </c>
    </row>
    <row r="50" spans="1:49" ht="19.2" x14ac:dyDescent="0.4">
      <c r="A50" s="1" t="s">
        <v>133</v>
      </c>
      <c r="B50" s="4" t="s">
        <v>52</v>
      </c>
      <c r="C50" s="4">
        <v>395231</v>
      </c>
      <c r="D50" s="5"/>
      <c r="E50" s="4" t="s">
        <v>26</v>
      </c>
      <c r="F50" s="4" t="s">
        <v>28</v>
      </c>
      <c r="G50" s="4" t="s">
        <v>135</v>
      </c>
      <c r="H50" s="6" t="s">
        <v>29</v>
      </c>
      <c r="I50" s="6" t="s">
        <v>30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7">
        <v>2600</v>
      </c>
      <c r="AG50" s="6">
        <v>900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8">
        <v>3500</v>
      </c>
      <c r="AV50" s="12">
        <f t="shared" si="2"/>
        <v>3500</v>
      </c>
      <c r="AW50">
        <f t="shared" si="3"/>
        <v>2450</v>
      </c>
    </row>
    <row r="51" spans="1:49" ht="19.2" x14ac:dyDescent="0.4">
      <c r="A51" s="1" t="s">
        <v>133</v>
      </c>
      <c r="B51" s="4" t="s">
        <v>124</v>
      </c>
      <c r="C51" s="4">
        <v>424160</v>
      </c>
      <c r="D51" s="5"/>
      <c r="E51" s="4" t="s">
        <v>26</v>
      </c>
      <c r="F51" s="4" t="s">
        <v>125</v>
      </c>
      <c r="G51" s="4" t="s">
        <v>135</v>
      </c>
      <c r="H51" s="6" t="s">
        <v>29</v>
      </c>
      <c r="I51" s="6" t="s">
        <v>126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7">
        <v>3200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8">
        <v>3200</v>
      </c>
      <c r="AV51" s="12">
        <f t="shared" si="2"/>
        <v>3200</v>
      </c>
      <c r="AW51">
        <f t="shared" si="3"/>
        <v>2240</v>
      </c>
    </row>
    <row r="52" spans="1:49" ht="19.2" x14ac:dyDescent="0.4">
      <c r="A52" s="1" t="s">
        <v>133</v>
      </c>
      <c r="B52" s="4" t="s">
        <v>77</v>
      </c>
      <c r="C52" s="4">
        <v>316013</v>
      </c>
      <c r="D52" s="5"/>
      <c r="E52" s="4" t="s">
        <v>26</v>
      </c>
      <c r="F52" s="4" t="s">
        <v>78</v>
      </c>
      <c r="G52" s="4" t="s">
        <v>135</v>
      </c>
      <c r="H52" s="6" t="s">
        <v>29</v>
      </c>
      <c r="I52" s="6" t="s">
        <v>79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7">
        <v>3200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8">
        <v>3200</v>
      </c>
      <c r="AV52" s="12">
        <f t="shared" si="2"/>
        <v>3200</v>
      </c>
      <c r="AW52">
        <f t="shared" si="3"/>
        <v>2240</v>
      </c>
    </row>
    <row r="53" spans="1:49" ht="19.2" x14ac:dyDescent="0.4">
      <c r="A53" s="1" t="s">
        <v>133</v>
      </c>
      <c r="B53" s="4" t="s">
        <v>127</v>
      </c>
      <c r="C53" s="4">
        <v>442667</v>
      </c>
      <c r="D53" s="5"/>
      <c r="E53" s="4" t="s">
        <v>26</v>
      </c>
      <c r="F53" s="4" t="s">
        <v>128</v>
      </c>
      <c r="G53" s="4" t="s">
        <v>135</v>
      </c>
      <c r="H53" s="6" t="s">
        <v>29</v>
      </c>
      <c r="I53" s="6" t="s">
        <v>48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1</v>
      </c>
      <c r="AF53" s="7">
        <v>3000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8">
        <v>3000</v>
      </c>
      <c r="AV53" s="12">
        <f t="shared" si="2"/>
        <v>3000</v>
      </c>
      <c r="AW53">
        <f t="shared" si="3"/>
        <v>2100</v>
      </c>
    </row>
    <row r="54" spans="1:49" ht="19.2" x14ac:dyDescent="0.4">
      <c r="A54" s="1" t="s">
        <v>133</v>
      </c>
      <c r="B54" s="4" t="s">
        <v>69</v>
      </c>
      <c r="C54" s="4">
        <v>457673</v>
      </c>
      <c r="D54" s="5"/>
      <c r="E54" s="4" t="s">
        <v>26</v>
      </c>
      <c r="F54" s="4" t="s">
        <v>70</v>
      </c>
      <c r="G54" s="4" t="s">
        <v>134</v>
      </c>
      <c r="H54" s="6" t="s">
        <v>29</v>
      </c>
      <c r="I54" s="6" t="s">
        <v>71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7">
        <v>2000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8">
        <v>2000</v>
      </c>
      <c r="AV54" s="12">
        <f t="shared" si="2"/>
        <v>2000</v>
      </c>
      <c r="AW54">
        <f t="shared" si="3"/>
        <v>1400</v>
      </c>
    </row>
    <row r="55" spans="1:49" ht="19.2" x14ac:dyDescent="0.4">
      <c r="A55" s="1" t="s">
        <v>133</v>
      </c>
      <c r="B55" s="4" t="s">
        <v>50</v>
      </c>
      <c r="C55" s="4">
        <v>453445</v>
      </c>
      <c r="D55" s="5"/>
      <c r="E55" s="4" t="s">
        <v>26</v>
      </c>
      <c r="F55" s="4" t="s">
        <v>49</v>
      </c>
      <c r="G55" s="4" t="s">
        <v>41</v>
      </c>
      <c r="H55" s="6" t="s">
        <v>9</v>
      </c>
      <c r="I55" s="6" t="s">
        <v>51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2</v>
      </c>
      <c r="AC55" s="7">
        <v>1800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8">
        <v>1800</v>
      </c>
      <c r="AV55" s="12">
        <f t="shared" si="2"/>
        <v>1800</v>
      </c>
      <c r="AW55">
        <f t="shared" si="3"/>
        <v>1260</v>
      </c>
    </row>
    <row r="56" spans="1:49" ht="19.2" x14ac:dyDescent="0.4">
      <c r="A56" s="1" t="s">
        <v>133</v>
      </c>
      <c r="B56" s="4" t="s">
        <v>129</v>
      </c>
      <c r="C56" s="4">
        <v>417089</v>
      </c>
      <c r="D56" s="5"/>
      <c r="E56" s="4" t="s">
        <v>26</v>
      </c>
      <c r="F56" s="4" t="s">
        <v>53</v>
      </c>
      <c r="G56" s="4" t="s">
        <v>135</v>
      </c>
      <c r="H56" s="6" t="s">
        <v>29</v>
      </c>
      <c r="I56" s="6" t="s">
        <v>130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7">
        <v>1400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8">
        <v>1400</v>
      </c>
      <c r="AV56" s="12">
        <f t="shared" si="2"/>
        <v>1400</v>
      </c>
      <c r="AW56">
        <f t="shared" si="3"/>
        <v>979.99999999999989</v>
      </c>
    </row>
    <row r="57" spans="1:49" x14ac:dyDescent="0.4">
      <c r="A57" s="1" t="s">
        <v>133</v>
      </c>
      <c r="B57" s="4" t="s">
        <v>75</v>
      </c>
      <c r="C57" s="4">
        <v>455900</v>
      </c>
      <c r="D57" s="5"/>
      <c r="E57" s="4" t="s">
        <v>26</v>
      </c>
      <c r="F57" s="4" t="s">
        <v>49</v>
      </c>
      <c r="G57" s="4" t="s">
        <v>41</v>
      </c>
      <c r="H57" s="6" t="s">
        <v>8</v>
      </c>
      <c r="I57" s="6" t="s">
        <v>76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1</v>
      </c>
      <c r="AC57" s="6">
        <v>900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9">
        <v>900</v>
      </c>
      <c r="AV57" s="12">
        <f t="shared" si="2"/>
        <v>900</v>
      </c>
      <c r="AW57">
        <f t="shared" si="3"/>
        <v>630</v>
      </c>
    </row>
    <row r="58" spans="1:49" ht="19.2" x14ac:dyDescent="0.4">
      <c r="A58" s="1" t="s">
        <v>133</v>
      </c>
      <c r="B58" s="4" t="s">
        <v>131</v>
      </c>
      <c r="C58" s="4">
        <v>395765</v>
      </c>
      <c r="D58" s="5"/>
      <c r="E58" s="4" t="s">
        <v>26</v>
      </c>
      <c r="F58" s="4" t="s">
        <v>85</v>
      </c>
      <c r="G58" s="4" t="s">
        <v>135</v>
      </c>
      <c r="H58" s="6" t="s">
        <v>29</v>
      </c>
      <c r="I58" s="6" t="s">
        <v>132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6">
        <v>0</v>
      </c>
      <c r="AG58" s="6">
        <v>600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600</v>
      </c>
      <c r="AV58" s="12">
        <f t="shared" si="2"/>
        <v>600</v>
      </c>
      <c r="AW58">
        <f t="shared" si="3"/>
        <v>420</v>
      </c>
    </row>
    <row r="59" spans="1:49" ht="19.2" x14ac:dyDescent="0.4">
      <c r="A59" s="1" t="s">
        <v>133</v>
      </c>
      <c r="B59" s="4" t="s">
        <v>34</v>
      </c>
      <c r="C59" s="4">
        <v>395237</v>
      </c>
      <c r="D59" s="5"/>
      <c r="E59" s="4" t="s">
        <v>26</v>
      </c>
      <c r="F59" s="4" t="s">
        <v>28</v>
      </c>
      <c r="G59" s="4" t="s">
        <v>135</v>
      </c>
      <c r="H59" s="6" t="s">
        <v>29</v>
      </c>
      <c r="I59" s="6" t="s">
        <v>30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2</v>
      </c>
      <c r="AF59" s="6">
        <v>200</v>
      </c>
      <c r="AG59" s="6">
        <v>200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400</v>
      </c>
      <c r="AV59" s="12">
        <f t="shared" si="2"/>
        <v>400</v>
      </c>
      <c r="AW59">
        <f t="shared" si="3"/>
        <v>280</v>
      </c>
    </row>
    <row r="60" spans="1:49" ht="19.2" x14ac:dyDescent="0.4">
      <c r="A60" s="1" t="s">
        <v>133</v>
      </c>
      <c r="B60" s="4" t="s">
        <v>106</v>
      </c>
      <c r="C60" s="4">
        <v>460820</v>
      </c>
      <c r="D60" s="5"/>
      <c r="E60" s="4" t="s">
        <v>26</v>
      </c>
      <c r="F60" s="4" t="s">
        <v>107</v>
      </c>
      <c r="G60" s="4" t="s">
        <v>135</v>
      </c>
      <c r="H60" s="6" t="s">
        <v>9</v>
      </c>
      <c r="I60" s="6" t="s">
        <v>108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</v>
      </c>
      <c r="AF60" s="6">
        <v>100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100</v>
      </c>
      <c r="AV60" s="12">
        <f t="shared" si="2"/>
        <v>100</v>
      </c>
      <c r="AW60">
        <f t="shared" si="3"/>
        <v>70</v>
      </c>
    </row>
    <row r="61" spans="1:49" x14ac:dyDescent="0.4">
      <c r="AU61" s="13"/>
      <c r="AW61" s="15">
        <f>SUM(AW2:AW60)</f>
        <v>275281.57999999996</v>
      </c>
    </row>
    <row r="62" spans="1:49" x14ac:dyDescent="0.4">
      <c r="AU62" s="13"/>
    </row>
  </sheetData>
  <autoFilter ref="A1:AX61"/>
  <phoneticPr fontId="20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15"/>
  <sheetViews>
    <sheetView topLeftCell="O1" workbookViewId="0">
      <selection activeCell="AW15" sqref="AW15"/>
    </sheetView>
  </sheetViews>
  <sheetFormatPr defaultRowHeight="17.399999999999999" x14ac:dyDescent="0.4"/>
  <cols>
    <col min="1" max="1" width="12.796875" bestFit="1" customWidth="1"/>
    <col min="2" max="2" width="9.2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7.19921875" bestFit="1" customWidth="1"/>
    <col min="7" max="7" width="7.5976562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8" max="48" width="9.796875" bestFit="1" customWidth="1"/>
    <col min="49" max="49" width="7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104</v>
      </c>
      <c r="B2" s="4" t="s">
        <v>63</v>
      </c>
      <c r="C2" s="4">
        <v>457534</v>
      </c>
      <c r="D2" s="5"/>
      <c r="E2" s="4" t="s">
        <v>26</v>
      </c>
      <c r="F2" s="4" t="s">
        <v>64</v>
      </c>
      <c r="G2" s="4" t="s">
        <v>134</v>
      </c>
      <c r="H2" s="6" t="s">
        <v>29</v>
      </c>
      <c r="I2" s="6" t="s">
        <v>65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5</v>
      </c>
      <c r="AF2" s="7">
        <v>8000</v>
      </c>
      <c r="AG2" s="7">
        <v>2000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</v>
      </c>
      <c r="AS2" s="7">
        <v>2000</v>
      </c>
      <c r="AT2" s="6">
        <v>0</v>
      </c>
      <c r="AU2" s="8">
        <v>12000</v>
      </c>
      <c r="AV2" s="12">
        <v>12000</v>
      </c>
      <c r="AW2">
        <v>8400</v>
      </c>
    </row>
    <row r="3" spans="1:49" ht="19.2" x14ac:dyDescent="0.4">
      <c r="A3" s="1" t="s">
        <v>104</v>
      </c>
      <c r="B3" s="4" t="s">
        <v>91</v>
      </c>
      <c r="C3" s="4">
        <v>459229</v>
      </c>
      <c r="D3" s="5"/>
      <c r="E3" s="4" t="s">
        <v>26</v>
      </c>
      <c r="F3" s="4" t="s">
        <v>92</v>
      </c>
      <c r="G3" s="4" t="s">
        <v>134</v>
      </c>
      <c r="H3" s="6" t="s">
        <v>29</v>
      </c>
      <c r="I3" s="6" t="s">
        <v>93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2</v>
      </c>
      <c r="AF3" s="7">
        <v>6000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6000</v>
      </c>
      <c r="AV3" s="12">
        <v>6000</v>
      </c>
      <c r="AW3">
        <v>4200</v>
      </c>
    </row>
    <row r="4" spans="1:49" ht="19.2" x14ac:dyDescent="0.4">
      <c r="A4" s="1" t="s">
        <v>104</v>
      </c>
      <c r="B4" s="4" t="s">
        <v>60</v>
      </c>
      <c r="C4" s="4">
        <v>457533</v>
      </c>
      <c r="D4" s="5"/>
      <c r="E4" s="4" t="s">
        <v>26</v>
      </c>
      <c r="F4" s="4" t="s">
        <v>61</v>
      </c>
      <c r="G4" s="4" t="s">
        <v>134</v>
      </c>
      <c r="H4" s="6" t="s">
        <v>29</v>
      </c>
      <c r="I4" s="6" t="s">
        <v>62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2</v>
      </c>
      <c r="AF4" s="7">
        <v>5000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8">
        <v>5000</v>
      </c>
      <c r="AV4" s="12">
        <v>5000</v>
      </c>
      <c r="AW4">
        <v>3500</v>
      </c>
    </row>
    <row r="5" spans="1:49" x14ac:dyDescent="0.4">
      <c r="A5" s="1" t="s">
        <v>104</v>
      </c>
      <c r="B5" s="4" t="s">
        <v>88</v>
      </c>
      <c r="C5" s="4">
        <v>457676</v>
      </c>
      <c r="D5" s="5"/>
      <c r="E5" s="4" t="s">
        <v>26</v>
      </c>
      <c r="F5" s="4" t="s">
        <v>89</v>
      </c>
      <c r="G5" s="4" t="s">
        <v>134</v>
      </c>
      <c r="H5" s="6" t="s">
        <v>8</v>
      </c>
      <c r="I5" s="6" t="s">
        <v>90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2</v>
      </c>
      <c r="AF5" s="7">
        <v>2500</v>
      </c>
      <c r="AG5" s="7">
        <v>2500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8">
        <v>5000</v>
      </c>
      <c r="AV5" s="12">
        <v>5000</v>
      </c>
      <c r="AW5">
        <v>3500</v>
      </c>
    </row>
    <row r="6" spans="1:49" ht="19.2" x14ac:dyDescent="0.4">
      <c r="A6" s="1" t="s">
        <v>104</v>
      </c>
      <c r="B6" s="4" t="s">
        <v>66</v>
      </c>
      <c r="C6" s="4">
        <v>457239</v>
      </c>
      <c r="D6" s="5"/>
      <c r="E6" s="4" t="s">
        <v>26</v>
      </c>
      <c r="F6" s="4" t="s">
        <v>67</v>
      </c>
      <c r="G6" s="4" t="s">
        <v>134</v>
      </c>
      <c r="H6" s="6" t="s">
        <v>29</v>
      </c>
      <c r="I6" s="6" t="s">
        <v>68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7">
        <v>2000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2000</v>
      </c>
      <c r="AV6" s="12">
        <v>2000</v>
      </c>
      <c r="AW6">
        <v>1400</v>
      </c>
    </row>
    <row r="7" spans="1:49" ht="19.2" x14ac:dyDescent="0.4">
      <c r="A7" s="1" t="s">
        <v>133</v>
      </c>
      <c r="B7" s="4" t="s">
        <v>91</v>
      </c>
      <c r="C7" s="4">
        <v>459229</v>
      </c>
      <c r="D7" s="5"/>
      <c r="E7" s="4" t="s">
        <v>26</v>
      </c>
      <c r="F7" s="4" t="s">
        <v>92</v>
      </c>
      <c r="G7" s="4" t="s">
        <v>134</v>
      </c>
      <c r="H7" s="6" t="s">
        <v>29</v>
      </c>
      <c r="I7" s="6" t="s">
        <v>93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21</v>
      </c>
      <c r="AF7" s="7">
        <v>54500</v>
      </c>
      <c r="AG7" s="7">
        <v>5800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3</v>
      </c>
      <c r="AS7" s="7">
        <v>8500</v>
      </c>
      <c r="AT7" s="6">
        <v>200</v>
      </c>
      <c r="AU7" s="8">
        <v>69000</v>
      </c>
      <c r="AV7" s="12">
        <v>69000</v>
      </c>
      <c r="AW7">
        <v>48300</v>
      </c>
    </row>
    <row r="8" spans="1:49" ht="19.2" x14ac:dyDescent="0.4">
      <c r="A8" s="1" t="s">
        <v>133</v>
      </c>
      <c r="B8" s="4" t="s">
        <v>63</v>
      </c>
      <c r="C8" s="4">
        <v>457534</v>
      </c>
      <c r="D8" s="5"/>
      <c r="E8" s="4" t="s">
        <v>26</v>
      </c>
      <c r="F8" s="4" t="s">
        <v>64</v>
      </c>
      <c r="G8" s="4" t="s">
        <v>134</v>
      </c>
      <c r="H8" s="6" t="s">
        <v>29</v>
      </c>
      <c r="I8" s="6" t="s">
        <v>65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18</v>
      </c>
      <c r="AF8" s="7">
        <v>34100</v>
      </c>
      <c r="AG8" s="7">
        <v>1000</v>
      </c>
      <c r="AH8" s="6">
        <v>0</v>
      </c>
      <c r="AI8" s="6">
        <v>0</v>
      </c>
      <c r="AJ8" s="6">
        <v>0</v>
      </c>
      <c r="AK8" s="6">
        <v>2</v>
      </c>
      <c r="AL8" s="7">
        <v>4800</v>
      </c>
      <c r="AM8" s="6">
        <v>0</v>
      </c>
      <c r="AN8" s="14">
        <v>1440</v>
      </c>
      <c r="AO8" s="6">
        <v>0</v>
      </c>
      <c r="AP8" s="6">
        <v>0</v>
      </c>
      <c r="AQ8" s="6">
        <v>0</v>
      </c>
      <c r="AR8" s="6">
        <v>1</v>
      </c>
      <c r="AS8" s="6">
        <v>900</v>
      </c>
      <c r="AT8" s="6">
        <v>0</v>
      </c>
      <c r="AU8" s="8">
        <v>40800</v>
      </c>
      <c r="AV8" s="12">
        <v>39360</v>
      </c>
      <c r="AW8">
        <v>27552</v>
      </c>
    </row>
    <row r="9" spans="1:49" ht="19.2" x14ac:dyDescent="0.4">
      <c r="A9" s="1" t="s">
        <v>133</v>
      </c>
      <c r="B9" s="4" t="s">
        <v>113</v>
      </c>
      <c r="C9" s="4">
        <v>459228</v>
      </c>
      <c r="D9" s="5"/>
      <c r="E9" s="4" t="s">
        <v>26</v>
      </c>
      <c r="F9" s="4" t="s">
        <v>114</v>
      </c>
      <c r="G9" s="4" t="s">
        <v>134</v>
      </c>
      <c r="H9" s="6" t="s">
        <v>29</v>
      </c>
      <c r="I9" s="6" t="s">
        <v>115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10</v>
      </c>
      <c r="AF9" s="7">
        <v>27000</v>
      </c>
      <c r="AG9" s="6">
        <v>200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1</v>
      </c>
      <c r="AS9" s="7">
        <v>1900</v>
      </c>
      <c r="AT9" s="6">
        <v>900</v>
      </c>
      <c r="AU9" s="8">
        <v>30000</v>
      </c>
      <c r="AV9" s="12">
        <v>30000</v>
      </c>
      <c r="AW9">
        <v>21000</v>
      </c>
    </row>
    <row r="10" spans="1:49" ht="19.2" x14ac:dyDescent="0.4">
      <c r="A10" s="1" t="s">
        <v>133</v>
      </c>
      <c r="B10" s="4" t="s">
        <v>60</v>
      </c>
      <c r="C10" s="4">
        <v>457533</v>
      </c>
      <c r="D10" s="5"/>
      <c r="E10" s="4" t="s">
        <v>26</v>
      </c>
      <c r="F10" s="4" t="s">
        <v>61</v>
      </c>
      <c r="G10" s="4" t="s">
        <v>134</v>
      </c>
      <c r="H10" s="6" t="s">
        <v>29</v>
      </c>
      <c r="I10" s="6" t="s">
        <v>62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9</v>
      </c>
      <c r="AF10" s="7">
        <v>17500</v>
      </c>
      <c r="AG10" s="7">
        <v>5000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</v>
      </c>
      <c r="AS10" s="7">
        <v>2500</v>
      </c>
      <c r="AT10" s="6">
        <v>0</v>
      </c>
      <c r="AU10" s="8">
        <v>25000</v>
      </c>
      <c r="AV10" s="12">
        <v>25000</v>
      </c>
      <c r="AW10">
        <v>17500</v>
      </c>
    </row>
    <row r="11" spans="1:49" ht="19.2" x14ac:dyDescent="0.4">
      <c r="A11" s="1" t="s">
        <v>133</v>
      </c>
      <c r="B11" s="4" t="s">
        <v>72</v>
      </c>
      <c r="C11" s="4">
        <v>457068</v>
      </c>
      <c r="D11" s="5"/>
      <c r="E11" s="4" t="s">
        <v>26</v>
      </c>
      <c r="F11" s="4" t="s">
        <v>73</v>
      </c>
      <c r="G11" s="4" t="s">
        <v>134</v>
      </c>
      <c r="H11" s="6" t="s">
        <v>29</v>
      </c>
      <c r="I11" s="6" t="s">
        <v>74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4</v>
      </c>
      <c r="AF11" s="7">
        <v>10000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10000</v>
      </c>
      <c r="AV11" s="12">
        <v>10000</v>
      </c>
      <c r="AW11">
        <v>7000</v>
      </c>
    </row>
    <row r="12" spans="1:49" ht="19.2" x14ac:dyDescent="0.4">
      <c r="A12" s="1" t="s">
        <v>133</v>
      </c>
      <c r="B12" s="4" t="s">
        <v>66</v>
      </c>
      <c r="C12" s="4">
        <v>457239</v>
      </c>
      <c r="D12" s="5"/>
      <c r="E12" s="4" t="s">
        <v>26</v>
      </c>
      <c r="F12" s="4" t="s">
        <v>67</v>
      </c>
      <c r="G12" s="4" t="s">
        <v>134</v>
      </c>
      <c r="H12" s="6" t="s">
        <v>29</v>
      </c>
      <c r="I12" s="6" t="s">
        <v>68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4</v>
      </c>
      <c r="AF12" s="7">
        <v>6000</v>
      </c>
      <c r="AG12" s="7">
        <v>2000</v>
      </c>
      <c r="AH12" s="6">
        <v>0</v>
      </c>
      <c r="AI12" s="6">
        <v>0</v>
      </c>
      <c r="AJ12" s="6">
        <v>0</v>
      </c>
      <c r="AK12" s="6">
        <v>1</v>
      </c>
      <c r="AL12" s="6">
        <v>0</v>
      </c>
      <c r="AM12" s="7">
        <v>2000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10000</v>
      </c>
      <c r="AV12" s="12">
        <v>10000</v>
      </c>
      <c r="AW12">
        <v>7000</v>
      </c>
    </row>
    <row r="13" spans="1:49" x14ac:dyDescent="0.4">
      <c r="A13" s="1" t="s">
        <v>133</v>
      </c>
      <c r="B13" s="4" t="s">
        <v>116</v>
      </c>
      <c r="C13" s="4">
        <v>459224</v>
      </c>
      <c r="D13" s="5"/>
      <c r="E13" s="4" t="s">
        <v>26</v>
      </c>
      <c r="F13" s="4" t="s">
        <v>117</v>
      </c>
      <c r="G13" s="4" t="s">
        <v>134</v>
      </c>
      <c r="H13" s="6" t="s">
        <v>8</v>
      </c>
      <c r="I13" s="6" t="s">
        <v>118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2</v>
      </c>
      <c r="AF13" s="7">
        <v>4000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4000</v>
      </c>
      <c r="AV13" s="12">
        <v>4000</v>
      </c>
      <c r="AW13">
        <v>2800</v>
      </c>
    </row>
    <row r="14" spans="1:49" ht="19.2" x14ac:dyDescent="0.4">
      <c r="A14" s="1" t="s">
        <v>133</v>
      </c>
      <c r="B14" s="4" t="s">
        <v>69</v>
      </c>
      <c r="C14" s="4">
        <v>457673</v>
      </c>
      <c r="D14" s="5"/>
      <c r="E14" s="4" t="s">
        <v>26</v>
      </c>
      <c r="F14" s="4" t="s">
        <v>70</v>
      </c>
      <c r="G14" s="4" t="s">
        <v>134</v>
      </c>
      <c r="H14" s="6" t="s">
        <v>29</v>
      </c>
      <c r="I14" s="6" t="s">
        <v>71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</v>
      </c>
      <c r="AF14" s="7">
        <v>2000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2000</v>
      </c>
      <c r="AV14" s="12">
        <v>2000</v>
      </c>
      <c r="AW14">
        <v>1400</v>
      </c>
    </row>
    <row r="15" spans="1:49" x14ac:dyDescent="0.4">
      <c r="AW15" s="16">
        <f>SUM(AW2:AW14)</f>
        <v>153552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25"/>
  <sheetViews>
    <sheetView topLeftCell="P4" workbookViewId="0">
      <selection activeCell="AW25" sqref="AW25"/>
    </sheetView>
  </sheetViews>
  <sheetFormatPr defaultRowHeight="17.399999999999999" x14ac:dyDescent="0.4"/>
  <cols>
    <col min="1" max="1" width="12.7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6.7968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3.59765625" bestFit="1" customWidth="1"/>
    <col min="29" max="29" width="4.296875" bestFit="1" customWidth="1"/>
    <col min="30" max="31" width="3.59765625" bestFit="1" customWidth="1"/>
    <col min="32" max="32" width="4.296875" bestFit="1" customWidth="1"/>
    <col min="33" max="34" width="3.59765625" bestFit="1" customWidth="1"/>
    <col min="35" max="35" width="4.296875" bestFit="1" customWidth="1"/>
    <col min="36" max="37" width="3.59765625" bestFit="1" customWidth="1"/>
    <col min="38" max="38" width="4.296875" bestFit="1" customWidth="1"/>
    <col min="39" max="39" width="3.59765625" bestFit="1" customWidth="1"/>
    <col min="40" max="40" width="7.8984375" bestFit="1" customWidth="1"/>
    <col min="41" max="41" width="3.59765625" bestFit="1" customWidth="1"/>
    <col min="42" max="42" width="4.296875" bestFit="1" customWidth="1"/>
    <col min="43" max="44" width="3.59765625" bestFit="1" customWidth="1"/>
    <col min="45" max="45" width="4.296875" bestFit="1" customWidth="1"/>
    <col min="46" max="46" width="3.59765625" bestFit="1" customWidth="1"/>
    <col min="47" max="47" width="6.69921875" bestFit="1" customWidth="1"/>
    <col min="48" max="48" width="9.796875" bestFit="1" customWidth="1"/>
    <col min="49" max="49" width="6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x14ac:dyDescent="0.4">
      <c r="A2" s="1" t="s">
        <v>104</v>
      </c>
      <c r="B2" s="4" t="s">
        <v>56</v>
      </c>
      <c r="C2" s="4">
        <v>451972</v>
      </c>
      <c r="D2" s="5"/>
      <c r="E2" s="4" t="s">
        <v>26</v>
      </c>
      <c r="F2" s="4" t="s">
        <v>49</v>
      </c>
      <c r="G2" s="4" t="s">
        <v>41</v>
      </c>
      <c r="H2" s="6" t="s">
        <v>8</v>
      </c>
      <c r="I2" s="6" t="s">
        <v>51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3</v>
      </c>
      <c r="AC2" s="7">
        <v>2700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9</v>
      </c>
      <c r="AP2" s="7">
        <v>8100</v>
      </c>
      <c r="AQ2" s="6">
        <v>0</v>
      </c>
      <c r="AR2" s="6">
        <v>0</v>
      </c>
      <c r="AS2" s="6">
        <v>0</v>
      </c>
      <c r="AT2" s="6">
        <v>0</v>
      </c>
      <c r="AU2" s="8">
        <v>10800</v>
      </c>
      <c r="AV2" s="12">
        <v>10800</v>
      </c>
      <c r="AW2">
        <v>7559.9999999999991</v>
      </c>
    </row>
    <row r="3" spans="1:49" ht="19.2" x14ac:dyDescent="0.4">
      <c r="A3" s="1" t="s">
        <v>104</v>
      </c>
      <c r="B3" s="4" t="s">
        <v>44</v>
      </c>
      <c r="C3" s="4">
        <v>445576</v>
      </c>
      <c r="D3" s="5"/>
      <c r="E3" s="4" t="s">
        <v>26</v>
      </c>
      <c r="F3" s="4" t="s">
        <v>49</v>
      </c>
      <c r="G3" s="4" t="s">
        <v>41</v>
      </c>
      <c r="H3" s="6" t="s">
        <v>8</v>
      </c>
      <c r="I3" s="6" t="s">
        <v>45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1</v>
      </c>
      <c r="AC3" s="6">
        <v>900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6</v>
      </c>
      <c r="AP3" s="7">
        <v>3100</v>
      </c>
      <c r="AQ3" s="7">
        <v>2300</v>
      </c>
      <c r="AR3" s="6">
        <v>0</v>
      </c>
      <c r="AS3" s="6">
        <v>0</v>
      </c>
      <c r="AT3" s="6">
        <v>0</v>
      </c>
      <c r="AU3" s="8">
        <v>6300</v>
      </c>
      <c r="AV3" s="12">
        <v>6300</v>
      </c>
      <c r="AW3">
        <v>4410</v>
      </c>
    </row>
    <row r="4" spans="1:49" x14ac:dyDescent="0.4">
      <c r="A4" s="1" t="s">
        <v>104</v>
      </c>
      <c r="B4" s="4" t="s">
        <v>83</v>
      </c>
      <c r="C4" s="4">
        <v>408836</v>
      </c>
      <c r="D4" s="5"/>
      <c r="E4" s="4" t="s">
        <v>26</v>
      </c>
      <c r="F4" s="4" t="s">
        <v>27</v>
      </c>
      <c r="G4" s="4" t="s">
        <v>41</v>
      </c>
      <c r="H4" s="6" t="s">
        <v>8</v>
      </c>
      <c r="I4" s="6" t="s">
        <v>84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4</v>
      </c>
      <c r="AC4" s="7">
        <v>2800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8">
        <v>2800</v>
      </c>
      <c r="AV4" s="12">
        <v>2800</v>
      </c>
      <c r="AW4">
        <v>1959.9999999999998</v>
      </c>
    </row>
    <row r="5" spans="1:49" x14ac:dyDescent="0.4">
      <c r="A5" s="1" t="s">
        <v>104</v>
      </c>
      <c r="B5" s="4" t="s">
        <v>75</v>
      </c>
      <c r="C5" s="4">
        <v>455900</v>
      </c>
      <c r="D5" s="5"/>
      <c r="E5" s="4" t="s">
        <v>26</v>
      </c>
      <c r="F5" s="4" t="s">
        <v>49</v>
      </c>
      <c r="G5" s="4" t="s">
        <v>41</v>
      </c>
      <c r="H5" s="6" t="s">
        <v>8</v>
      </c>
      <c r="I5" s="6" t="s">
        <v>76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1</v>
      </c>
      <c r="AP5" s="6">
        <v>900</v>
      </c>
      <c r="AQ5" s="6">
        <v>0</v>
      </c>
      <c r="AR5" s="6">
        <v>0</v>
      </c>
      <c r="AS5" s="6">
        <v>0</v>
      </c>
      <c r="AT5" s="6">
        <v>0</v>
      </c>
      <c r="AU5" s="9">
        <v>900</v>
      </c>
      <c r="AV5" s="12">
        <v>900</v>
      </c>
      <c r="AW5">
        <v>630</v>
      </c>
    </row>
    <row r="6" spans="1:49" x14ac:dyDescent="0.4">
      <c r="A6" s="1" t="s">
        <v>104</v>
      </c>
      <c r="B6" s="4" t="s">
        <v>82</v>
      </c>
      <c r="C6" s="4">
        <v>455896</v>
      </c>
      <c r="D6" s="5"/>
      <c r="E6" s="4" t="s">
        <v>26</v>
      </c>
      <c r="F6" s="4" t="s">
        <v>49</v>
      </c>
      <c r="G6" s="4" t="s">
        <v>41</v>
      </c>
      <c r="H6" s="6" t="s">
        <v>8</v>
      </c>
      <c r="I6" s="6" t="s">
        <v>76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6</v>
      </c>
      <c r="AF6" s="6">
        <v>600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1</v>
      </c>
      <c r="AS6" s="6">
        <v>100</v>
      </c>
      <c r="AT6" s="6">
        <v>0</v>
      </c>
      <c r="AU6" s="9">
        <v>700</v>
      </c>
      <c r="AV6" s="12">
        <v>700</v>
      </c>
      <c r="AW6">
        <v>489.99999999999994</v>
      </c>
    </row>
    <row r="7" spans="1:49" ht="19.2" x14ac:dyDescent="0.4">
      <c r="A7" s="1" t="s">
        <v>104</v>
      </c>
      <c r="B7" s="4" t="s">
        <v>57</v>
      </c>
      <c r="C7" s="4">
        <v>453397</v>
      </c>
      <c r="D7" s="5"/>
      <c r="E7" s="4" t="s">
        <v>26</v>
      </c>
      <c r="F7" s="4" t="s">
        <v>49</v>
      </c>
      <c r="G7" s="4" t="s">
        <v>41</v>
      </c>
      <c r="H7" s="6" t="s">
        <v>9</v>
      </c>
      <c r="I7" s="6" t="s">
        <v>51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3</v>
      </c>
      <c r="AF7" s="6">
        <v>300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300</v>
      </c>
      <c r="AV7" s="12">
        <v>300</v>
      </c>
      <c r="AW7">
        <v>210</v>
      </c>
    </row>
    <row r="8" spans="1:49" x14ac:dyDescent="0.4">
      <c r="A8" s="1" t="s">
        <v>104</v>
      </c>
      <c r="B8" s="4" t="s">
        <v>100</v>
      </c>
      <c r="C8" s="4">
        <v>369060</v>
      </c>
      <c r="D8" s="5"/>
      <c r="E8" s="4" t="s">
        <v>26</v>
      </c>
      <c r="F8" s="4" t="s">
        <v>35</v>
      </c>
      <c r="G8" s="4" t="s">
        <v>41</v>
      </c>
      <c r="H8" s="6" t="s">
        <v>8</v>
      </c>
      <c r="I8" s="6" t="s">
        <v>101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2</v>
      </c>
      <c r="AF8" s="6">
        <v>100</v>
      </c>
      <c r="AG8" s="6">
        <v>100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200</v>
      </c>
      <c r="AV8" s="12">
        <v>200</v>
      </c>
      <c r="AW8">
        <v>140</v>
      </c>
    </row>
    <row r="9" spans="1:49" x14ac:dyDescent="0.4">
      <c r="A9" s="1" t="s">
        <v>112</v>
      </c>
      <c r="B9" s="4" t="s">
        <v>82</v>
      </c>
      <c r="C9" s="4">
        <v>455896</v>
      </c>
      <c r="D9" s="5"/>
      <c r="E9" s="4" t="s">
        <v>26</v>
      </c>
      <c r="F9" s="4" t="s">
        <v>49</v>
      </c>
      <c r="G9" s="4" t="s">
        <v>41</v>
      </c>
      <c r="H9" s="6" t="s">
        <v>8</v>
      </c>
      <c r="I9" s="6" t="s">
        <v>76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335</v>
      </c>
      <c r="AF9" s="7">
        <v>30500</v>
      </c>
      <c r="AG9" s="7">
        <v>3000</v>
      </c>
      <c r="AH9" s="6">
        <v>0</v>
      </c>
      <c r="AI9" s="6">
        <v>0</v>
      </c>
      <c r="AJ9" s="6">
        <v>0</v>
      </c>
      <c r="AK9" s="6">
        <v>6</v>
      </c>
      <c r="AL9" s="6">
        <v>0</v>
      </c>
      <c r="AM9" s="6">
        <v>600</v>
      </c>
      <c r="AN9" s="6">
        <v>0</v>
      </c>
      <c r="AO9" s="6">
        <v>0</v>
      </c>
      <c r="AP9" s="6">
        <v>0</v>
      </c>
      <c r="AQ9" s="6">
        <v>0</v>
      </c>
      <c r="AR9" s="6">
        <v>47</v>
      </c>
      <c r="AS9" s="7">
        <v>4700</v>
      </c>
      <c r="AT9" s="6">
        <v>0</v>
      </c>
      <c r="AU9" s="8">
        <v>38800</v>
      </c>
      <c r="AV9" s="12">
        <v>38800</v>
      </c>
      <c r="AW9">
        <v>27160</v>
      </c>
    </row>
    <row r="10" spans="1:49" x14ac:dyDescent="0.4">
      <c r="A10" s="1" t="s">
        <v>112</v>
      </c>
      <c r="B10" s="4" t="s">
        <v>58</v>
      </c>
      <c r="C10" s="4">
        <v>451947</v>
      </c>
      <c r="D10" s="5"/>
      <c r="E10" s="4" t="s">
        <v>26</v>
      </c>
      <c r="F10" s="4" t="s">
        <v>49</v>
      </c>
      <c r="G10" s="4" t="s">
        <v>41</v>
      </c>
      <c r="H10" s="6" t="s">
        <v>8</v>
      </c>
      <c r="I10" s="6" t="s">
        <v>51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140</v>
      </c>
      <c r="AF10" s="7">
        <v>14000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8">
        <v>14000</v>
      </c>
      <c r="AV10" s="12">
        <v>14000</v>
      </c>
      <c r="AW10">
        <v>9800</v>
      </c>
    </row>
    <row r="11" spans="1:49" x14ac:dyDescent="0.4">
      <c r="A11" s="1" t="s">
        <v>112</v>
      </c>
      <c r="B11" s="4" t="s">
        <v>105</v>
      </c>
      <c r="C11" s="4">
        <v>454224</v>
      </c>
      <c r="D11" s="5"/>
      <c r="E11" s="4" t="s">
        <v>26</v>
      </c>
      <c r="F11" s="4" t="s">
        <v>49</v>
      </c>
      <c r="G11" s="4" t="s">
        <v>41</v>
      </c>
      <c r="H11" s="6" t="s">
        <v>8</v>
      </c>
      <c r="I11" s="6" t="s">
        <v>55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101</v>
      </c>
      <c r="AF11" s="7">
        <v>10100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10100</v>
      </c>
      <c r="AV11" s="12">
        <v>10100</v>
      </c>
      <c r="AW11">
        <v>7070</v>
      </c>
    </row>
    <row r="12" spans="1:49" ht="19.2" x14ac:dyDescent="0.4">
      <c r="A12" s="1" t="s">
        <v>112</v>
      </c>
      <c r="B12" s="4" t="s">
        <v>57</v>
      </c>
      <c r="C12" s="4">
        <v>453397</v>
      </c>
      <c r="D12" s="5"/>
      <c r="E12" s="4" t="s">
        <v>26</v>
      </c>
      <c r="F12" s="4" t="s">
        <v>49</v>
      </c>
      <c r="G12" s="4" t="s">
        <v>41</v>
      </c>
      <c r="H12" s="6" t="s">
        <v>9</v>
      </c>
      <c r="I12" s="6" t="s">
        <v>51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93</v>
      </c>
      <c r="AF12" s="7">
        <v>9300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9300</v>
      </c>
      <c r="AV12" s="12">
        <v>9300</v>
      </c>
      <c r="AW12">
        <v>6510</v>
      </c>
    </row>
    <row r="13" spans="1:49" ht="19.2" x14ac:dyDescent="0.4">
      <c r="A13" s="1" t="s">
        <v>112</v>
      </c>
      <c r="B13" s="4" t="s">
        <v>50</v>
      </c>
      <c r="C13" s="4">
        <v>453445</v>
      </c>
      <c r="D13" s="5"/>
      <c r="E13" s="4" t="s">
        <v>26</v>
      </c>
      <c r="F13" s="4" t="s">
        <v>49</v>
      </c>
      <c r="G13" s="4" t="s">
        <v>41</v>
      </c>
      <c r="H13" s="6" t="s">
        <v>9</v>
      </c>
      <c r="I13" s="6" t="s">
        <v>51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5</v>
      </c>
      <c r="AC13" s="7">
        <v>4500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3</v>
      </c>
      <c r="AP13" s="7">
        <v>2700</v>
      </c>
      <c r="AQ13" s="6">
        <v>0</v>
      </c>
      <c r="AR13" s="6">
        <v>0</v>
      </c>
      <c r="AS13" s="6">
        <v>0</v>
      </c>
      <c r="AT13" s="6">
        <v>0</v>
      </c>
      <c r="AU13" s="8">
        <v>7200</v>
      </c>
      <c r="AV13" s="12">
        <v>7200</v>
      </c>
      <c r="AW13">
        <v>5040</v>
      </c>
    </row>
    <row r="14" spans="1:49" x14ac:dyDescent="0.4">
      <c r="A14" s="1" t="s">
        <v>112</v>
      </c>
      <c r="B14" s="4" t="s">
        <v>75</v>
      </c>
      <c r="C14" s="4">
        <v>455900</v>
      </c>
      <c r="D14" s="5"/>
      <c r="E14" s="4" t="s">
        <v>26</v>
      </c>
      <c r="F14" s="4" t="s">
        <v>49</v>
      </c>
      <c r="G14" s="4" t="s">
        <v>41</v>
      </c>
      <c r="H14" s="6" t="s">
        <v>8</v>
      </c>
      <c r="I14" s="6" t="s">
        <v>76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5</v>
      </c>
      <c r="AC14" s="7">
        <v>3600</v>
      </c>
      <c r="AD14" s="6">
        <v>900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4500</v>
      </c>
      <c r="AV14" s="12">
        <v>4500</v>
      </c>
      <c r="AW14">
        <v>3150</v>
      </c>
    </row>
    <row r="15" spans="1:49" x14ac:dyDescent="0.4">
      <c r="A15" s="1" t="s">
        <v>112</v>
      </c>
      <c r="B15" s="4" t="s">
        <v>37</v>
      </c>
      <c r="C15" s="4">
        <v>380954</v>
      </c>
      <c r="D15" s="5"/>
      <c r="E15" s="4" t="s">
        <v>26</v>
      </c>
      <c r="F15" s="4" t="s">
        <v>35</v>
      </c>
      <c r="G15" s="4" t="s">
        <v>41</v>
      </c>
      <c r="H15" s="6" t="s">
        <v>8</v>
      </c>
      <c r="I15" s="6" t="s">
        <v>36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3</v>
      </c>
      <c r="AC15" s="7">
        <v>2700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2700</v>
      </c>
      <c r="AV15" s="12">
        <v>2700</v>
      </c>
      <c r="AW15">
        <v>1889.9999999999998</v>
      </c>
    </row>
    <row r="16" spans="1:49" x14ac:dyDescent="0.4">
      <c r="A16" s="1" t="s">
        <v>112</v>
      </c>
      <c r="B16" s="4" t="s">
        <v>83</v>
      </c>
      <c r="C16" s="4">
        <v>408836</v>
      </c>
      <c r="D16" s="5"/>
      <c r="E16" s="4" t="s">
        <v>26</v>
      </c>
      <c r="F16" s="4" t="s">
        <v>27</v>
      </c>
      <c r="G16" s="4" t="s">
        <v>41</v>
      </c>
      <c r="H16" s="6" t="s">
        <v>8</v>
      </c>
      <c r="I16" s="6" t="s">
        <v>84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3</v>
      </c>
      <c r="AC16" s="7">
        <v>2100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8">
        <v>2100</v>
      </c>
      <c r="AV16" s="12">
        <v>2100</v>
      </c>
      <c r="AW16">
        <v>1470</v>
      </c>
    </row>
    <row r="17" spans="1:49" x14ac:dyDescent="0.4">
      <c r="A17" s="1" t="s">
        <v>112</v>
      </c>
      <c r="B17" s="4" t="s">
        <v>39</v>
      </c>
      <c r="C17" s="4">
        <v>367415</v>
      </c>
      <c r="D17" s="5"/>
      <c r="E17" s="4" t="s">
        <v>26</v>
      </c>
      <c r="F17" s="4" t="s">
        <v>35</v>
      </c>
      <c r="G17" s="4" t="s">
        <v>41</v>
      </c>
      <c r="H17" s="6" t="s">
        <v>8</v>
      </c>
      <c r="I17" s="6" t="s">
        <v>40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20</v>
      </c>
      <c r="AF17" s="7">
        <v>2000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8">
        <v>2000</v>
      </c>
      <c r="AV17" s="12">
        <v>2000</v>
      </c>
      <c r="AW17">
        <v>1400</v>
      </c>
    </row>
    <row r="18" spans="1:49" x14ac:dyDescent="0.4">
      <c r="A18" s="1" t="s">
        <v>112</v>
      </c>
      <c r="B18" s="4" t="s">
        <v>54</v>
      </c>
      <c r="C18" s="4">
        <v>454228</v>
      </c>
      <c r="D18" s="5"/>
      <c r="E18" s="4" t="s">
        <v>26</v>
      </c>
      <c r="F18" s="4" t="s">
        <v>49</v>
      </c>
      <c r="G18" s="4" t="s">
        <v>41</v>
      </c>
      <c r="H18" s="6" t="s">
        <v>8</v>
      </c>
      <c r="I18" s="6" t="s">
        <v>55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2</v>
      </c>
      <c r="AC18" s="7">
        <v>1800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8">
        <v>1800</v>
      </c>
      <c r="AV18" s="12">
        <v>1800</v>
      </c>
      <c r="AW18">
        <v>1260</v>
      </c>
    </row>
    <row r="19" spans="1:49" ht="19.2" x14ac:dyDescent="0.4">
      <c r="A19" s="1" t="s">
        <v>112</v>
      </c>
      <c r="B19" s="4" t="s">
        <v>44</v>
      </c>
      <c r="C19" s="4">
        <v>445576</v>
      </c>
      <c r="D19" s="5"/>
      <c r="E19" s="4" t="s">
        <v>26</v>
      </c>
      <c r="F19" s="4" t="s">
        <v>49</v>
      </c>
      <c r="G19" s="4" t="s">
        <v>41</v>
      </c>
      <c r="H19" s="6" t="s">
        <v>8</v>
      </c>
      <c r="I19" s="6" t="s">
        <v>45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2</v>
      </c>
      <c r="AC19" s="7">
        <v>1800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8">
        <v>1800</v>
      </c>
      <c r="AV19" s="12">
        <v>1800</v>
      </c>
      <c r="AW19">
        <v>1260</v>
      </c>
    </row>
    <row r="20" spans="1:49" x14ac:dyDescent="0.4">
      <c r="A20" s="1" t="s">
        <v>112</v>
      </c>
      <c r="B20" s="4" t="s">
        <v>109</v>
      </c>
      <c r="C20" s="4">
        <v>365225</v>
      </c>
      <c r="D20" s="5"/>
      <c r="E20" s="4" t="s">
        <v>26</v>
      </c>
      <c r="F20" s="4" t="s">
        <v>27</v>
      </c>
      <c r="G20" s="4" t="s">
        <v>41</v>
      </c>
      <c r="H20" s="6" t="s">
        <v>8</v>
      </c>
      <c r="I20" s="6" t="s">
        <v>110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1</v>
      </c>
      <c r="AC20" s="6">
        <v>900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900</v>
      </c>
      <c r="AV20" s="12">
        <v>900</v>
      </c>
      <c r="AW20">
        <v>630</v>
      </c>
    </row>
    <row r="21" spans="1:49" x14ac:dyDescent="0.4">
      <c r="A21" s="1" t="s">
        <v>112</v>
      </c>
      <c r="B21" s="4" t="s">
        <v>100</v>
      </c>
      <c r="C21" s="4">
        <v>369060</v>
      </c>
      <c r="D21" s="5"/>
      <c r="E21" s="4" t="s">
        <v>26</v>
      </c>
      <c r="F21" s="4" t="s">
        <v>35</v>
      </c>
      <c r="G21" s="4" t="s">
        <v>41</v>
      </c>
      <c r="H21" s="6" t="s">
        <v>8</v>
      </c>
      <c r="I21" s="6" t="s">
        <v>101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5</v>
      </c>
      <c r="AF21" s="6">
        <v>300</v>
      </c>
      <c r="AG21" s="6">
        <v>200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500</v>
      </c>
      <c r="AV21" s="12">
        <v>500</v>
      </c>
      <c r="AW21">
        <v>350</v>
      </c>
    </row>
    <row r="22" spans="1:49" x14ac:dyDescent="0.4">
      <c r="A22" s="1" t="s">
        <v>112</v>
      </c>
      <c r="B22" s="4" t="s">
        <v>111</v>
      </c>
      <c r="C22" s="4">
        <v>445598</v>
      </c>
      <c r="D22" s="5"/>
      <c r="E22" s="4" t="s">
        <v>26</v>
      </c>
      <c r="F22" s="4" t="s">
        <v>49</v>
      </c>
      <c r="G22" s="4" t="s">
        <v>41</v>
      </c>
      <c r="H22" s="6" t="s">
        <v>8</v>
      </c>
      <c r="I22" s="6" t="s">
        <v>45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4</v>
      </c>
      <c r="AF22" s="6">
        <v>400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400</v>
      </c>
      <c r="AV22" s="12">
        <v>400</v>
      </c>
      <c r="AW22">
        <v>280</v>
      </c>
    </row>
    <row r="23" spans="1:49" ht="19.2" x14ac:dyDescent="0.4">
      <c r="A23" s="1" t="s">
        <v>133</v>
      </c>
      <c r="B23" s="4" t="s">
        <v>50</v>
      </c>
      <c r="C23" s="4">
        <v>453445</v>
      </c>
      <c r="D23" s="5"/>
      <c r="E23" s="4" t="s">
        <v>26</v>
      </c>
      <c r="F23" s="4" t="s">
        <v>49</v>
      </c>
      <c r="G23" s="4" t="s">
        <v>41</v>
      </c>
      <c r="H23" s="6" t="s">
        <v>9</v>
      </c>
      <c r="I23" s="6" t="s">
        <v>51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2</v>
      </c>
      <c r="AC23" s="7">
        <v>1800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8">
        <v>1800</v>
      </c>
      <c r="AV23" s="12">
        <v>1800</v>
      </c>
      <c r="AW23">
        <v>1260</v>
      </c>
    </row>
    <row r="24" spans="1:49" x14ac:dyDescent="0.4">
      <c r="A24" s="1" t="s">
        <v>133</v>
      </c>
      <c r="B24" s="4" t="s">
        <v>75</v>
      </c>
      <c r="C24" s="4">
        <v>455900</v>
      </c>
      <c r="D24" s="5"/>
      <c r="E24" s="4" t="s">
        <v>26</v>
      </c>
      <c r="F24" s="4" t="s">
        <v>49</v>
      </c>
      <c r="G24" s="4" t="s">
        <v>41</v>
      </c>
      <c r="H24" s="6" t="s">
        <v>8</v>
      </c>
      <c r="I24" s="6" t="s">
        <v>76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1</v>
      </c>
      <c r="AC24" s="6">
        <v>900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900</v>
      </c>
      <c r="AV24" s="12">
        <v>900</v>
      </c>
      <c r="AW24">
        <v>630</v>
      </c>
    </row>
    <row r="25" spans="1:49" x14ac:dyDescent="0.4">
      <c r="AW25" s="16">
        <f>SUM(AW2:AW24)</f>
        <v>84560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23"/>
  <sheetViews>
    <sheetView topLeftCell="O4" workbookViewId="0">
      <selection activeCell="AW23" sqref="AW23"/>
    </sheetView>
  </sheetViews>
  <sheetFormatPr defaultRowHeight="17.399999999999999" x14ac:dyDescent="0.4"/>
  <cols>
    <col min="1" max="1" width="12.796875" bestFit="1" customWidth="1"/>
    <col min="2" max="2" width="9.19921875" bestFit="1" customWidth="1"/>
    <col min="3" max="3" width="6.5" bestFit="1" customWidth="1"/>
    <col min="4" max="4" width="7.19921875" bestFit="1" customWidth="1"/>
    <col min="5" max="6" width="8.39843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8" max="48" width="9.796875" bestFit="1" customWidth="1"/>
    <col min="49" max="49" width="8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104</v>
      </c>
      <c r="B2" s="4" t="s">
        <v>86</v>
      </c>
      <c r="C2" s="4">
        <v>430442</v>
      </c>
      <c r="D2" s="5"/>
      <c r="E2" s="4" t="s">
        <v>26</v>
      </c>
      <c r="F2" s="4" t="s">
        <v>85</v>
      </c>
      <c r="G2" s="4" t="s">
        <v>135</v>
      </c>
      <c r="H2" s="6" t="s">
        <v>29</v>
      </c>
      <c r="I2" s="6" t="s">
        <v>87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</v>
      </c>
      <c r="AS2" s="7">
        <v>2800</v>
      </c>
      <c r="AT2" s="6">
        <v>0</v>
      </c>
      <c r="AU2" s="8">
        <v>2800</v>
      </c>
      <c r="AV2" s="12">
        <v>2800</v>
      </c>
      <c r="AW2">
        <v>1959.9999999999998</v>
      </c>
    </row>
    <row r="3" spans="1:49" ht="19.2" x14ac:dyDescent="0.4">
      <c r="A3" s="1" t="s">
        <v>104</v>
      </c>
      <c r="B3" s="4" t="s">
        <v>94</v>
      </c>
      <c r="C3" s="4">
        <v>416209</v>
      </c>
      <c r="D3" s="5"/>
      <c r="E3" s="4" t="s">
        <v>26</v>
      </c>
      <c r="F3" s="4" t="s">
        <v>95</v>
      </c>
      <c r="G3" s="4" t="s">
        <v>135</v>
      </c>
      <c r="H3" s="6" t="s">
        <v>29</v>
      </c>
      <c r="I3" s="6" t="s">
        <v>96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400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9">
        <v>400</v>
      </c>
      <c r="AV3" s="12">
        <v>400</v>
      </c>
      <c r="AW3">
        <v>280</v>
      </c>
    </row>
    <row r="4" spans="1:49" ht="19.2" x14ac:dyDescent="0.4">
      <c r="A4" s="1" t="s">
        <v>104</v>
      </c>
      <c r="B4" s="4" t="s">
        <v>97</v>
      </c>
      <c r="C4" s="4">
        <v>423997</v>
      </c>
      <c r="D4" s="5"/>
      <c r="E4" s="4" t="s">
        <v>26</v>
      </c>
      <c r="F4" s="4" t="s">
        <v>98</v>
      </c>
      <c r="G4" s="4" t="s">
        <v>135</v>
      </c>
      <c r="H4" s="6" t="s">
        <v>29</v>
      </c>
      <c r="I4" s="6" t="s">
        <v>99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1</v>
      </c>
      <c r="AF4" s="6">
        <v>300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9">
        <v>300</v>
      </c>
      <c r="AV4" s="12">
        <v>300</v>
      </c>
      <c r="AW4">
        <v>210</v>
      </c>
    </row>
    <row r="5" spans="1:49" ht="19.2" x14ac:dyDescent="0.4">
      <c r="A5" s="1" t="s">
        <v>104</v>
      </c>
      <c r="B5" s="4" t="s">
        <v>102</v>
      </c>
      <c r="C5" s="4">
        <v>445954</v>
      </c>
      <c r="D5" s="5"/>
      <c r="E5" s="4" t="s">
        <v>26</v>
      </c>
      <c r="F5" s="4" t="s">
        <v>38</v>
      </c>
      <c r="G5" s="4" t="s">
        <v>135</v>
      </c>
      <c r="H5" s="6" t="s">
        <v>9</v>
      </c>
      <c r="I5" s="6" t="s">
        <v>103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</v>
      </c>
      <c r="AF5" s="6">
        <v>100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100</v>
      </c>
      <c r="AV5" s="12">
        <v>100</v>
      </c>
      <c r="AW5">
        <v>70</v>
      </c>
    </row>
    <row r="6" spans="1:49" ht="19.2" x14ac:dyDescent="0.4">
      <c r="A6" s="1" t="s">
        <v>104</v>
      </c>
      <c r="B6" s="4" t="s">
        <v>46</v>
      </c>
      <c r="C6" s="4">
        <v>448030</v>
      </c>
      <c r="D6" s="5"/>
      <c r="E6" s="4" t="s">
        <v>26</v>
      </c>
      <c r="F6" s="4" t="s">
        <v>38</v>
      </c>
      <c r="G6" s="4" t="s">
        <v>135</v>
      </c>
      <c r="H6" s="6" t="s">
        <v>9</v>
      </c>
      <c r="I6" s="6" t="s">
        <v>47</v>
      </c>
      <c r="J6" s="6">
        <v>0</v>
      </c>
      <c r="K6" s="6">
        <v>37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0</v>
      </c>
      <c r="AV6" s="12">
        <v>0</v>
      </c>
      <c r="AW6">
        <v>0</v>
      </c>
    </row>
    <row r="7" spans="1:49" ht="19.2" x14ac:dyDescent="0.4">
      <c r="A7" s="1" t="s">
        <v>112</v>
      </c>
      <c r="B7" s="4" t="s">
        <v>106</v>
      </c>
      <c r="C7" s="4">
        <v>460820</v>
      </c>
      <c r="D7" s="5"/>
      <c r="E7" s="4" t="s">
        <v>26</v>
      </c>
      <c r="F7" s="4" t="s">
        <v>107</v>
      </c>
      <c r="G7" s="4" t="s">
        <v>135</v>
      </c>
      <c r="H7" s="6" t="s">
        <v>9</v>
      </c>
      <c r="I7" s="6" t="s">
        <v>108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44</v>
      </c>
      <c r="AF7" s="7">
        <v>4400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8">
        <v>4400</v>
      </c>
      <c r="AV7" s="12">
        <v>4400</v>
      </c>
      <c r="AW7">
        <v>3080</v>
      </c>
    </row>
    <row r="8" spans="1:49" ht="19.2" x14ac:dyDescent="0.4">
      <c r="A8" s="1" t="s">
        <v>112</v>
      </c>
      <c r="B8" s="4" t="s">
        <v>102</v>
      </c>
      <c r="C8" s="4">
        <v>445954</v>
      </c>
      <c r="D8" s="5"/>
      <c r="E8" s="4" t="s">
        <v>26</v>
      </c>
      <c r="F8" s="4" t="s">
        <v>38</v>
      </c>
      <c r="G8" s="4" t="s">
        <v>135</v>
      </c>
      <c r="H8" s="6" t="s">
        <v>9</v>
      </c>
      <c r="I8" s="6" t="s">
        <v>103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32</v>
      </c>
      <c r="AF8" s="7">
        <v>3200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8">
        <v>3200</v>
      </c>
      <c r="AV8" s="12">
        <v>3200</v>
      </c>
      <c r="AW8">
        <v>2240</v>
      </c>
    </row>
    <row r="9" spans="1:49" ht="19.2" x14ac:dyDescent="0.4">
      <c r="A9" s="1" t="s">
        <v>112</v>
      </c>
      <c r="B9" s="4" t="s">
        <v>80</v>
      </c>
      <c r="C9" s="4">
        <v>456187</v>
      </c>
      <c r="D9" s="5"/>
      <c r="E9" s="4" t="s">
        <v>26</v>
      </c>
      <c r="F9" s="4" t="s">
        <v>53</v>
      </c>
      <c r="G9" s="4" t="s">
        <v>135</v>
      </c>
      <c r="H9" s="6" t="s">
        <v>9</v>
      </c>
      <c r="I9" s="6" t="s">
        <v>81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29</v>
      </c>
      <c r="AS9" s="7">
        <v>2900</v>
      </c>
      <c r="AT9" s="6">
        <v>0</v>
      </c>
      <c r="AU9" s="8">
        <v>2900</v>
      </c>
      <c r="AV9" s="12">
        <v>2900</v>
      </c>
      <c r="AW9">
        <v>2029.9999999999998</v>
      </c>
    </row>
    <row r="10" spans="1:49" ht="19.2" x14ac:dyDescent="0.4">
      <c r="A10" s="1" t="s">
        <v>112</v>
      </c>
      <c r="B10" s="4" t="s">
        <v>86</v>
      </c>
      <c r="C10" s="4">
        <v>430442</v>
      </c>
      <c r="D10" s="5"/>
      <c r="E10" s="4" t="s">
        <v>26</v>
      </c>
      <c r="F10" s="4" t="s">
        <v>85</v>
      </c>
      <c r="G10" s="4" t="s">
        <v>135</v>
      </c>
      <c r="H10" s="6" t="s">
        <v>29</v>
      </c>
      <c r="I10" s="6" t="s">
        <v>87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</v>
      </c>
      <c r="AS10" s="7">
        <v>2800</v>
      </c>
      <c r="AT10" s="6">
        <v>0</v>
      </c>
      <c r="AU10" s="8">
        <v>2800</v>
      </c>
      <c r="AV10" s="12">
        <v>2800</v>
      </c>
      <c r="AW10">
        <v>1959.9999999999998</v>
      </c>
    </row>
    <row r="11" spans="1:49" ht="19.2" x14ac:dyDescent="0.4">
      <c r="A11" s="1" t="s">
        <v>112</v>
      </c>
      <c r="B11" s="4" t="s">
        <v>46</v>
      </c>
      <c r="C11" s="4">
        <v>448030</v>
      </c>
      <c r="D11" s="5"/>
      <c r="E11" s="4" t="s">
        <v>26</v>
      </c>
      <c r="F11" s="4" t="s">
        <v>38</v>
      </c>
      <c r="G11" s="4" t="s">
        <v>135</v>
      </c>
      <c r="H11" s="6" t="s">
        <v>9</v>
      </c>
      <c r="I11" s="6" t="s">
        <v>47</v>
      </c>
      <c r="J11" s="6">
        <v>0</v>
      </c>
      <c r="K11" s="6">
        <v>8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0</v>
      </c>
      <c r="AV11" s="12">
        <v>0</v>
      </c>
      <c r="AW11">
        <v>0</v>
      </c>
    </row>
    <row r="12" spans="1:49" ht="19.2" x14ac:dyDescent="0.4">
      <c r="A12" s="1" t="s">
        <v>133</v>
      </c>
      <c r="B12" s="4" t="s">
        <v>31</v>
      </c>
      <c r="C12" s="4">
        <v>387161</v>
      </c>
      <c r="D12" s="5"/>
      <c r="E12" s="4" t="s">
        <v>26</v>
      </c>
      <c r="F12" s="4" t="s">
        <v>32</v>
      </c>
      <c r="G12" s="4" t="s">
        <v>135</v>
      </c>
      <c r="H12" s="6" t="s">
        <v>29</v>
      </c>
      <c r="I12" s="6" t="s">
        <v>33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3</v>
      </c>
      <c r="AF12" s="7">
        <v>4800</v>
      </c>
      <c r="AG12" s="6">
        <v>0</v>
      </c>
      <c r="AH12" s="6">
        <v>0</v>
      </c>
      <c r="AI12" s="6">
        <v>0</v>
      </c>
      <c r="AJ12" s="6">
        <v>0</v>
      </c>
      <c r="AK12" s="6">
        <v>4</v>
      </c>
      <c r="AL12" s="7">
        <v>2142</v>
      </c>
      <c r="AM12" s="7">
        <v>6200</v>
      </c>
      <c r="AN12" s="6">
        <v>642.6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13142</v>
      </c>
      <c r="AV12" s="12">
        <v>12499.4</v>
      </c>
      <c r="AW12">
        <v>8749.58</v>
      </c>
    </row>
    <row r="13" spans="1:49" ht="19.2" x14ac:dyDescent="0.4">
      <c r="A13" s="1" t="s">
        <v>133</v>
      </c>
      <c r="B13" s="4" t="s">
        <v>119</v>
      </c>
      <c r="C13" s="4">
        <v>351091</v>
      </c>
      <c r="D13" s="5"/>
      <c r="E13" s="4" t="s">
        <v>26</v>
      </c>
      <c r="F13" s="4" t="s">
        <v>78</v>
      </c>
      <c r="G13" s="4" t="s">
        <v>135</v>
      </c>
      <c r="H13" s="6" t="s">
        <v>29</v>
      </c>
      <c r="I13" s="6" t="s">
        <v>120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7">
        <v>3600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3600</v>
      </c>
      <c r="AV13" s="12">
        <v>3600</v>
      </c>
      <c r="AW13">
        <v>2520</v>
      </c>
    </row>
    <row r="14" spans="1:49" ht="19.2" x14ac:dyDescent="0.4">
      <c r="A14" s="1" t="s">
        <v>133</v>
      </c>
      <c r="B14" s="4" t="s">
        <v>121</v>
      </c>
      <c r="C14" s="4">
        <v>355068</v>
      </c>
      <c r="D14" s="5"/>
      <c r="E14" s="4" t="s">
        <v>26</v>
      </c>
      <c r="F14" s="4" t="s">
        <v>122</v>
      </c>
      <c r="G14" s="4" t="s">
        <v>135</v>
      </c>
      <c r="H14" s="6" t="s">
        <v>29</v>
      </c>
      <c r="I14" s="6" t="s">
        <v>123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</v>
      </c>
      <c r="AF14" s="7">
        <v>3600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3600</v>
      </c>
      <c r="AV14" s="12">
        <v>3600</v>
      </c>
      <c r="AW14">
        <v>2520</v>
      </c>
    </row>
    <row r="15" spans="1:49" ht="19.2" x14ac:dyDescent="0.4">
      <c r="A15" s="1" t="s">
        <v>133</v>
      </c>
      <c r="B15" s="4" t="s">
        <v>52</v>
      </c>
      <c r="C15" s="4">
        <v>395231</v>
      </c>
      <c r="D15" s="5"/>
      <c r="E15" s="4" t="s">
        <v>26</v>
      </c>
      <c r="F15" s="4" t="s">
        <v>28</v>
      </c>
      <c r="G15" s="4" t="s">
        <v>135</v>
      </c>
      <c r="H15" s="6" t="s">
        <v>29</v>
      </c>
      <c r="I15" s="6" t="s">
        <v>30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7">
        <v>2600</v>
      </c>
      <c r="AG15" s="6">
        <v>900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3500</v>
      </c>
      <c r="AV15" s="12">
        <v>3500</v>
      </c>
      <c r="AW15">
        <v>2450</v>
      </c>
    </row>
    <row r="16" spans="1:49" ht="19.2" x14ac:dyDescent="0.4">
      <c r="A16" s="1" t="s">
        <v>133</v>
      </c>
      <c r="B16" s="4" t="s">
        <v>124</v>
      </c>
      <c r="C16" s="4">
        <v>424160</v>
      </c>
      <c r="D16" s="5"/>
      <c r="E16" s="4" t="s">
        <v>26</v>
      </c>
      <c r="F16" s="4" t="s">
        <v>125</v>
      </c>
      <c r="G16" s="4" t="s">
        <v>135</v>
      </c>
      <c r="H16" s="6" t="s">
        <v>29</v>
      </c>
      <c r="I16" s="6" t="s">
        <v>126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7">
        <v>3200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8">
        <v>3200</v>
      </c>
      <c r="AV16" s="12">
        <v>3200</v>
      </c>
      <c r="AW16">
        <v>2240</v>
      </c>
    </row>
    <row r="17" spans="1:49" ht="19.2" x14ac:dyDescent="0.4">
      <c r="A17" s="1" t="s">
        <v>133</v>
      </c>
      <c r="B17" s="4" t="s">
        <v>77</v>
      </c>
      <c r="C17" s="4">
        <v>316013</v>
      </c>
      <c r="D17" s="5"/>
      <c r="E17" s="4" t="s">
        <v>26</v>
      </c>
      <c r="F17" s="4" t="s">
        <v>78</v>
      </c>
      <c r="G17" s="4" t="s">
        <v>135</v>
      </c>
      <c r="H17" s="6" t="s">
        <v>29</v>
      </c>
      <c r="I17" s="6" t="s">
        <v>79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</v>
      </c>
      <c r="AF17" s="7">
        <v>3200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8">
        <v>3200</v>
      </c>
      <c r="AV17" s="12">
        <v>3200</v>
      </c>
      <c r="AW17">
        <v>2240</v>
      </c>
    </row>
    <row r="18" spans="1:49" ht="19.2" x14ac:dyDescent="0.4">
      <c r="A18" s="1" t="s">
        <v>133</v>
      </c>
      <c r="B18" s="4" t="s">
        <v>127</v>
      </c>
      <c r="C18" s="4">
        <v>442667</v>
      </c>
      <c r="D18" s="5"/>
      <c r="E18" s="4" t="s">
        <v>26</v>
      </c>
      <c r="F18" s="4" t="s">
        <v>128</v>
      </c>
      <c r="G18" s="4" t="s">
        <v>135</v>
      </c>
      <c r="H18" s="6" t="s">
        <v>29</v>
      </c>
      <c r="I18" s="6" t="s">
        <v>48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7">
        <v>3000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8">
        <v>3000</v>
      </c>
      <c r="AV18" s="12">
        <v>3000</v>
      </c>
      <c r="AW18">
        <v>2100</v>
      </c>
    </row>
    <row r="19" spans="1:49" ht="19.2" x14ac:dyDescent="0.4">
      <c r="A19" s="1" t="s">
        <v>133</v>
      </c>
      <c r="B19" s="4" t="s">
        <v>129</v>
      </c>
      <c r="C19" s="4">
        <v>417089</v>
      </c>
      <c r="D19" s="5"/>
      <c r="E19" s="4" t="s">
        <v>26</v>
      </c>
      <c r="F19" s="4" t="s">
        <v>53</v>
      </c>
      <c r="G19" s="4" t="s">
        <v>135</v>
      </c>
      <c r="H19" s="6" t="s">
        <v>29</v>
      </c>
      <c r="I19" s="6" t="s">
        <v>130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</v>
      </c>
      <c r="AF19" s="7">
        <v>1400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8">
        <v>1400</v>
      </c>
      <c r="AV19" s="12">
        <v>1400</v>
      </c>
      <c r="AW19">
        <v>979.99999999999989</v>
      </c>
    </row>
    <row r="20" spans="1:49" ht="19.2" x14ac:dyDescent="0.4">
      <c r="A20" s="1" t="s">
        <v>133</v>
      </c>
      <c r="B20" s="4" t="s">
        <v>131</v>
      </c>
      <c r="C20" s="4">
        <v>395765</v>
      </c>
      <c r="D20" s="5"/>
      <c r="E20" s="4" t="s">
        <v>26</v>
      </c>
      <c r="F20" s="4" t="s">
        <v>85</v>
      </c>
      <c r="G20" s="4" t="s">
        <v>135</v>
      </c>
      <c r="H20" s="6" t="s">
        <v>29</v>
      </c>
      <c r="I20" s="6" t="s">
        <v>132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0</v>
      </c>
      <c r="AG20" s="6">
        <v>600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600</v>
      </c>
      <c r="AV20" s="12">
        <v>600</v>
      </c>
      <c r="AW20">
        <v>420</v>
      </c>
    </row>
    <row r="21" spans="1:49" ht="19.2" x14ac:dyDescent="0.4">
      <c r="A21" s="1" t="s">
        <v>133</v>
      </c>
      <c r="B21" s="4" t="s">
        <v>34</v>
      </c>
      <c r="C21" s="4">
        <v>395237</v>
      </c>
      <c r="D21" s="5"/>
      <c r="E21" s="4" t="s">
        <v>26</v>
      </c>
      <c r="F21" s="4" t="s">
        <v>28</v>
      </c>
      <c r="G21" s="4" t="s">
        <v>135</v>
      </c>
      <c r="H21" s="6" t="s">
        <v>29</v>
      </c>
      <c r="I21" s="6" t="s">
        <v>30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2</v>
      </c>
      <c r="AF21" s="6">
        <v>200</v>
      </c>
      <c r="AG21" s="6">
        <v>200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400</v>
      </c>
      <c r="AV21" s="12">
        <v>400</v>
      </c>
      <c r="AW21">
        <v>280</v>
      </c>
    </row>
    <row r="22" spans="1:49" ht="19.2" x14ac:dyDescent="0.4">
      <c r="A22" s="1" t="s">
        <v>133</v>
      </c>
      <c r="B22" s="4" t="s">
        <v>106</v>
      </c>
      <c r="C22" s="4">
        <v>460820</v>
      </c>
      <c r="D22" s="5"/>
      <c r="E22" s="4" t="s">
        <v>26</v>
      </c>
      <c r="F22" s="4" t="s">
        <v>107</v>
      </c>
      <c r="G22" s="4" t="s">
        <v>135</v>
      </c>
      <c r="H22" s="6" t="s">
        <v>9</v>
      </c>
      <c r="I22" s="6" t="s">
        <v>108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100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100</v>
      </c>
      <c r="AV22" s="12">
        <v>100</v>
      </c>
      <c r="AW22">
        <v>70</v>
      </c>
    </row>
    <row r="23" spans="1:49" x14ac:dyDescent="0.4">
      <c r="AW23" s="17">
        <f>SUM(AW2:AW22)</f>
        <v>36399.58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4"/>
  <sheetViews>
    <sheetView topLeftCell="O1" workbookViewId="0">
      <selection activeCell="AW4" sqref="AW4"/>
    </sheetView>
  </sheetViews>
  <sheetFormatPr defaultRowHeight="17.399999999999999" x14ac:dyDescent="0.4"/>
  <cols>
    <col min="1" max="1" width="11.39843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8.3984375" bestFit="1" customWidth="1"/>
    <col min="8" max="8" width="7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" bestFit="1" customWidth="1"/>
    <col min="49" max="49" width="5.8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x14ac:dyDescent="0.4">
      <c r="A2" s="1" t="s">
        <v>104</v>
      </c>
      <c r="B2" s="4" t="s">
        <v>42</v>
      </c>
      <c r="C2" s="4">
        <v>440710</v>
      </c>
      <c r="D2" s="5"/>
      <c r="E2" s="4" t="s">
        <v>26</v>
      </c>
      <c r="F2" s="4" t="s">
        <v>43</v>
      </c>
      <c r="G2" s="4" t="s">
        <v>136</v>
      </c>
      <c r="H2" s="6" t="s">
        <v>8</v>
      </c>
      <c r="I2" s="6" t="s">
        <v>59</v>
      </c>
      <c r="J2" s="6">
        <v>0</v>
      </c>
      <c r="K2" s="6">
        <v>45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100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100</v>
      </c>
      <c r="AV2" s="12">
        <v>100</v>
      </c>
      <c r="AW2">
        <v>70</v>
      </c>
    </row>
    <row r="3" spans="1:49" x14ac:dyDescent="0.4">
      <c r="A3" s="1" t="s">
        <v>112</v>
      </c>
      <c r="B3" s="4" t="s">
        <v>42</v>
      </c>
      <c r="C3" s="4">
        <v>440710</v>
      </c>
      <c r="D3" s="5"/>
      <c r="E3" s="4" t="s">
        <v>26</v>
      </c>
      <c r="F3" s="4" t="s">
        <v>43</v>
      </c>
      <c r="G3" s="4" t="s">
        <v>136</v>
      </c>
      <c r="H3" s="6" t="s">
        <v>8</v>
      </c>
      <c r="I3" s="6" t="s">
        <v>59</v>
      </c>
      <c r="J3" s="6">
        <v>0</v>
      </c>
      <c r="K3" s="6">
        <v>19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10</v>
      </c>
      <c r="AF3" s="7">
        <v>1000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1000</v>
      </c>
      <c r="AV3" s="12">
        <v>1000</v>
      </c>
      <c r="AW3">
        <v>700</v>
      </c>
    </row>
    <row r="4" spans="1:49" x14ac:dyDescent="0.4">
      <c r="AW4" s="16">
        <f>SUM(AW2:AW3)</f>
        <v>770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 (2)</vt:lpstr>
      <vt:lpstr>밀리의 서재</vt:lpstr>
      <vt:lpstr>에필로그</vt:lpstr>
      <vt:lpstr>더컴퍼니</vt:lpstr>
      <vt:lpstr>아크스튜디오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2022-03-06T06:24:40Z</dcterms:modified>
</cp:coreProperties>
</file>