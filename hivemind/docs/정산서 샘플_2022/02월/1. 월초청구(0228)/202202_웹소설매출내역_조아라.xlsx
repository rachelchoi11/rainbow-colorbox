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"/>
    </mc:Choice>
  </mc:AlternateContent>
  <bookViews>
    <workbookView xWindow="0" yWindow="0" windowWidth="23040" windowHeight="8952" tabRatio="930"/>
  </bookViews>
  <sheets>
    <sheet name="합계 (1)" sheetId="563" r:id="rId1"/>
    <sheet name="무장" sheetId="588" r:id="rId2"/>
    <sheet name="김정률" sheetId="589" r:id="rId3"/>
    <sheet name="독고진" sheetId="590" r:id="rId4"/>
    <sheet name="김광수" sheetId="591" r:id="rId5"/>
    <sheet name="권용찬" sheetId="596" r:id="rId6"/>
    <sheet name="파란영" sheetId="597" r:id="rId7"/>
    <sheet name="이동열" sheetId="598" r:id="rId8"/>
    <sheet name="예로나" sheetId="599" r:id="rId9"/>
    <sheet name="구유" sheetId="600" r:id="rId10"/>
    <sheet name="청빙" sheetId="601" r:id="rId11"/>
    <sheet name="루이세" sheetId="602" r:id="rId12"/>
    <sheet name="불고기자리" sheetId="603" r:id="rId13"/>
    <sheet name="한례" sheetId="604" r:id="rId14"/>
    <sheet name="찬동" sheetId="605" r:id="rId15"/>
    <sheet name="장유진" sheetId="606" r:id="rId16"/>
    <sheet name="세상" sheetId="607" r:id="rId17"/>
    <sheet name="온서" sheetId="608" r:id="rId18"/>
    <sheet name="만렙도끼" sheetId="609" r:id="rId19"/>
    <sheet name="무성매직" sheetId="610" r:id="rId20"/>
    <sheet name="단팥크림빵7" sheetId="611" r:id="rId21"/>
    <sheet name="덕킹" sheetId="612" r:id="rId22"/>
    <sheet name="담화공" sheetId="613" r:id="rId23"/>
    <sheet name="이한애비" sheetId="614" r:id="rId24"/>
    <sheet name="서강후" sheetId="615" r:id="rId25"/>
    <sheet name="모험왕선우" sheetId="616" r:id="rId26"/>
    <sheet name="폴딩" sheetId="617" r:id="rId27"/>
    <sheet name="왕십리글쟁이" sheetId="618" r:id="rId28"/>
    <sheet name="먼나무" sheetId="619" r:id="rId29"/>
    <sheet name="부엉이콩" sheetId="620" r:id="rId30"/>
  </sheets>
  <definedNames>
    <definedName name="_xlnm._FilterDatabase" localSheetId="0" hidden="1">'합계 (1)'!$A$1:$I$69</definedName>
    <definedName name="_xlnm.Extract" localSheetId="9">구유!$A$1:$I$1</definedName>
    <definedName name="_xlnm.Extract" localSheetId="5">권용찬!$A$1:$I$1</definedName>
    <definedName name="_xlnm.Extract" localSheetId="4">김광수!$A$1:$I$1</definedName>
    <definedName name="_xlnm.Extract" localSheetId="2">김정률!$A$1:$I$1</definedName>
    <definedName name="_xlnm.Extract" localSheetId="20">단팥크림빵7!$A$1:$I$1</definedName>
    <definedName name="_xlnm.Extract" localSheetId="22">담화공!$A$1:$I$1</definedName>
    <definedName name="_xlnm.Extract" localSheetId="21">덕킹!$A$1:$I$1</definedName>
    <definedName name="_xlnm.Extract" localSheetId="3">독고진!$A$1:$I$1</definedName>
    <definedName name="_xlnm.Extract" localSheetId="11">루이세!$A$1:$I$1</definedName>
    <definedName name="_xlnm.Extract" localSheetId="18">만렙도끼!$A$1:$I$1</definedName>
    <definedName name="_xlnm.Extract" localSheetId="28">먼나무!$A$1:$I$1</definedName>
    <definedName name="_xlnm.Extract" localSheetId="25">모험왕선우!$A$1:$I$1</definedName>
    <definedName name="_xlnm.Extract" localSheetId="19">무성매직!$A$1:$I$1</definedName>
    <definedName name="_xlnm.Extract" localSheetId="1">무장!$A$1:$I$1</definedName>
    <definedName name="_xlnm.Extract" localSheetId="29">부엉이콩!$A$1:$I$1</definedName>
    <definedName name="_xlnm.Extract" localSheetId="12">불고기자리!$A$1:$I$1</definedName>
    <definedName name="_xlnm.Extract" localSheetId="24">서강후!$A$1:$I$1</definedName>
    <definedName name="_xlnm.Extract" localSheetId="16">세상!$A$1:$I$1</definedName>
    <definedName name="_xlnm.Extract" localSheetId="8">예로나!$A$1:$I$1</definedName>
    <definedName name="_xlnm.Extract" localSheetId="17">온서!$A$1:$I$1</definedName>
    <definedName name="_xlnm.Extract" localSheetId="27">왕십리글쟁이!$A$1:$I$1</definedName>
    <definedName name="_xlnm.Extract" localSheetId="7">이동열!$A$1:$I$1</definedName>
    <definedName name="_xlnm.Extract" localSheetId="23">이한애비!$A$1:$I$1</definedName>
    <definedName name="_xlnm.Extract" localSheetId="15">장유진!$A$1:$I$1</definedName>
    <definedName name="_xlnm.Extract" localSheetId="14">찬동!$A$1:$I$1</definedName>
    <definedName name="_xlnm.Extract" localSheetId="10">청빙!$A$1:$I$1</definedName>
    <definedName name="_xlnm.Extract" localSheetId="6">파란영!$A$1:$I$1</definedName>
    <definedName name="_xlnm.Extract" localSheetId="26">폴딩!$A$1:$I$1</definedName>
    <definedName name="_xlnm.Extract" localSheetId="13">한례!$A$1:$I$1</definedName>
    <definedName name="_xlnm.Extract" localSheetId="0">'합계 (1)'!#REF!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588" l="1"/>
  <c r="G11" i="589"/>
  <c r="G4" i="590"/>
  <c r="G8" i="591"/>
  <c r="G6" i="596"/>
  <c r="G4" i="601"/>
  <c r="G63" i="563"/>
  <c r="E65" i="563" s="1"/>
  <c r="E67" i="563"/>
  <c r="E68" i="563" s="1"/>
  <c r="E69" i="563" l="1"/>
</calcChain>
</file>

<file path=xl/sharedStrings.xml><?xml version="1.0" encoding="utf-8"?>
<sst xmlns="http://schemas.openxmlformats.org/spreadsheetml/2006/main" count="599" uniqueCount="114">
  <si>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</si>
  <si>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</si>
  <si>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</si>
  <si>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</si>
  <si>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</si>
  <si>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</si>
  <si>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김광수</t>
  </si>
  <si>
    <t>무장</t>
  </si>
  <si>
    <t>예로나</t>
  </si>
  <si>
    <t>독고진</t>
  </si>
  <si>
    <t>다물</t>
  </si>
  <si>
    <t>이동열</t>
  </si>
  <si>
    <t>후원쿠폰정산금액</t>
    <phoneticPr fontId="2" type="noConversion"/>
  </si>
  <si>
    <t>권용찬</t>
  </si>
  <si>
    <t>청빙</t>
  </si>
  <si>
    <t>온서</t>
  </si>
  <si>
    <t>세상</t>
  </si>
  <si>
    <t>작가명</t>
  </si>
  <si>
    <t>단가</t>
  </si>
  <si>
    <t>작품명</t>
  </si>
  <si>
    <t>비율</t>
  </si>
  <si>
    <t>공작가의 남루한 신부</t>
  </si>
  <si>
    <t>임신부터 할까요?</t>
  </si>
  <si>
    <t>최종 보스 : 빛을 향해 달리는 그림자</t>
  </si>
  <si>
    <t>문답무용 - 삼국지 유비의 모사가 되었다</t>
  </si>
  <si>
    <t>판매건수</t>
  </si>
  <si>
    <t>작품코드</t>
  </si>
  <si>
    <t>정산금액</t>
  </si>
  <si>
    <t>스트라이커</t>
  </si>
  <si>
    <t>회귀의 전설</t>
  </si>
  <si>
    <t>조선대혁명</t>
  </si>
  <si>
    <t>형사의 게임</t>
  </si>
  <si>
    <t>로드 오브 머니</t>
  </si>
  <si>
    <t>SSS급 마왕의 귀환</t>
  </si>
  <si>
    <t>쿠폰(VAT포함)</t>
    <phoneticPr fontId="2" type="noConversion"/>
  </si>
  <si>
    <t>구유</t>
  </si>
  <si>
    <t>무성매직</t>
  </si>
  <si>
    <t>출판사명</t>
    <phoneticPr fontId="2" type="noConversion"/>
  </si>
  <si>
    <t>간신이 나라를 살림</t>
  </si>
  <si>
    <t>영웅전기 대고구려</t>
  </si>
  <si>
    <t>루이세</t>
  </si>
  <si>
    <t>호접몽전</t>
  </si>
  <si>
    <t>마계대공 연대기</t>
  </si>
  <si>
    <t>갓 오브 블랙필드 [2부 공개]</t>
  </si>
  <si>
    <t>필드의 제왕</t>
  </si>
  <si>
    <t>낚싯대 하나로 세계최강</t>
  </si>
  <si>
    <t>그라운드의 지배자</t>
  </si>
  <si>
    <t>소드마스터의 환생</t>
  </si>
  <si>
    <t>21세기 대마법사</t>
  </si>
  <si>
    <t>단팥크림빵7</t>
  </si>
  <si>
    <t>망작 리메이커</t>
  </si>
  <si>
    <t>난길</t>
  </si>
  <si>
    <t>덕킹</t>
  </si>
  <si>
    <t>파란영</t>
  </si>
  <si>
    <t>기사가문 망나니는 10클래스</t>
  </si>
  <si>
    <t>바람의 기사  아르테온</t>
  </si>
  <si>
    <t>마스터K</t>
  </si>
  <si>
    <t>마신부활</t>
  </si>
  <si>
    <t>[개정판] 영웅</t>
  </si>
  <si>
    <t>나 혼자만 일일 보상</t>
  </si>
  <si>
    <t>만렙도끼</t>
  </si>
  <si>
    <t>케이티</t>
  </si>
  <si>
    <t>e-온누리</t>
  </si>
  <si>
    <t>어울림</t>
  </si>
  <si>
    <t>퀘스트 in 무림</t>
  </si>
  <si>
    <t>스피릿소드</t>
  </si>
  <si>
    <t>용중신권</t>
  </si>
  <si>
    <t>아나크레온</t>
  </si>
  <si>
    <t>소드 엠페러</t>
  </si>
  <si>
    <t>신마협도</t>
  </si>
  <si>
    <t>인코딩 위저드</t>
  </si>
  <si>
    <t>질주무왕</t>
  </si>
  <si>
    <t>수적왕</t>
  </si>
  <si>
    <t>찬동</t>
  </si>
  <si>
    <t>폴딩</t>
  </si>
  <si>
    <t>데이몬</t>
  </si>
  <si>
    <t>서강후</t>
  </si>
  <si>
    <t>신을 죽이러 갑니다</t>
  </si>
  <si>
    <t>은천검제(2부 화산검제)</t>
  </si>
  <si>
    <t>레이디 스칼렛</t>
  </si>
  <si>
    <t>게임 속 유닛</t>
  </si>
  <si>
    <t>마왕 데이몬</t>
  </si>
  <si>
    <t>절대자의 귀환</t>
  </si>
  <si>
    <t>디버프 마스터</t>
  </si>
  <si>
    <t>이한애비</t>
  </si>
  <si>
    <t>블레이드 헌터</t>
  </si>
  <si>
    <t xml:space="preserve">하프 블러드 </t>
  </si>
  <si>
    <t>순백의 아가씨</t>
  </si>
  <si>
    <t>다크 메이지</t>
  </si>
  <si>
    <t>컬러 러쉬</t>
  </si>
  <si>
    <t>강호유정</t>
  </si>
  <si>
    <t>도폐풍운록</t>
  </si>
  <si>
    <t>선유문주</t>
  </si>
  <si>
    <t>유성하소월</t>
  </si>
  <si>
    <t>트루베니아 연대기</t>
  </si>
  <si>
    <t>호랑이 신을 길들여 버렸다</t>
  </si>
  <si>
    <t>칵테일로 레벨업</t>
  </si>
  <si>
    <t>신인류 좀비의 아포칼립스</t>
  </si>
  <si>
    <t>원코인 게이머 아포칼립스</t>
  </si>
  <si>
    <t>쉿  그놈을 부탁해</t>
  </si>
  <si>
    <t>슈퍼스타의 비밀 어플</t>
  </si>
  <si>
    <t>버그 걸린 드래곤</t>
  </si>
  <si>
    <t>한례</t>
  </si>
  <si>
    <t>담화공</t>
  </si>
  <si>
    <t>왕십리글쟁이</t>
  </si>
  <si>
    <t>김정률</t>
  </si>
  <si>
    <t>문지기</t>
  </si>
  <si>
    <t>이제훈</t>
  </si>
  <si>
    <t>불고기자리</t>
  </si>
  <si>
    <t>장유진</t>
  </si>
  <si>
    <t>모험왕선우</t>
  </si>
  <si>
    <t>먼나무</t>
  </si>
  <si>
    <t>부엉이콩</t>
  </si>
  <si>
    <t>케이티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</si>
</sst>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0" fontId="5" fillId="0" borderId="0" xfId="4">
      <alignment vertical="center"/>
    </xf>
    <xf numFmtId="9" fontId="5" fillId="0" borderId="0" xfId="4" applyNumberFormat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176" fontId="0" fillId="3" borderId="0" xfId="0" applyNumberFormat="1" applyFill="1">
      <alignment vertical="center"/>
    </xf>
  </cellXfs>
  <cellStyles count="5">
    <cellStyle name="쉼표 [0]" xfId="1" builtinId="6"/>
    <cellStyle name="표준" xfId="0" builtinId="0"/>
    <cellStyle name="표준_합계 (1)" xfId="4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9"/>
  <sheetViews>
    <sheetView tabSelected="1" topLeftCell="A40" zoomScale="70" zoomScaleNormal="70" workbookViewId="0">
      <selection activeCell="G66" sqref="G66"/>
    </sheetView>
  </sheetViews>
  <sheetFormatPr defaultColWidth="9" defaultRowHeight="17.399999999999999" x14ac:dyDescent="0.4"/>
  <cols>
    <col min="1" max="1" width="25.796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9" customWidth="1"/>
    <col min="8" max="8" width="9" style="2"/>
    <col min="9" max="9" width="9.5" style="2" bestFit="1" customWidth="1"/>
    <col min="10" max="16384" width="9" style="2"/>
  </cols>
  <sheetData>
    <row r="1" spans="1:8" ht="25.05" customHeight="1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43</v>
      </c>
      <c r="B2" s="16">
        <v>912105</v>
      </c>
      <c r="C2" s="16" t="s">
        <v>7</v>
      </c>
      <c r="D2" s="16">
        <v>100</v>
      </c>
      <c r="E2" s="16">
        <v>2444</v>
      </c>
      <c r="F2" s="17">
        <v>0.6</v>
      </c>
      <c r="G2" s="18">
        <v>146640</v>
      </c>
      <c r="H2" s="16" t="s">
        <v>61</v>
      </c>
    </row>
    <row r="3" spans="1:8" x14ac:dyDescent="0.4">
      <c r="A3" s="16" t="s">
        <v>46</v>
      </c>
      <c r="B3" s="16">
        <v>964887</v>
      </c>
      <c r="C3" s="16" t="s">
        <v>7</v>
      </c>
      <c r="D3" s="16">
        <v>100</v>
      </c>
      <c r="E3" s="16">
        <v>613</v>
      </c>
      <c r="F3" s="17">
        <v>0.6</v>
      </c>
      <c r="G3" s="18">
        <v>36780</v>
      </c>
      <c r="H3" s="16" t="s">
        <v>61</v>
      </c>
    </row>
    <row r="4" spans="1:8" ht="19.2" customHeight="1" x14ac:dyDescent="0.4">
      <c r="A4" s="16" t="s">
        <v>65</v>
      </c>
      <c r="B4" s="16">
        <v>1007729</v>
      </c>
      <c r="C4" s="16" t="s">
        <v>105</v>
      </c>
      <c r="D4" s="16">
        <v>100</v>
      </c>
      <c r="E4" s="16">
        <v>151</v>
      </c>
      <c r="F4" s="17">
        <v>0.6</v>
      </c>
      <c r="G4" s="18">
        <v>9060</v>
      </c>
      <c r="H4" s="16" t="s">
        <v>61</v>
      </c>
    </row>
    <row r="5" spans="1:8" x14ac:dyDescent="0.4">
      <c r="A5" s="16" t="s">
        <v>28</v>
      </c>
      <c r="B5" s="16">
        <v>1065178</v>
      </c>
      <c r="C5" s="16" t="s">
        <v>9</v>
      </c>
      <c r="D5" s="16">
        <v>100</v>
      </c>
      <c r="E5" s="16">
        <v>708</v>
      </c>
      <c r="F5" s="17">
        <v>0.6</v>
      </c>
      <c r="G5" s="18">
        <v>42480</v>
      </c>
      <c r="H5" s="16" t="s">
        <v>61</v>
      </c>
    </row>
    <row r="6" spans="1:8" x14ac:dyDescent="0.4">
      <c r="A6" s="16" t="s">
        <v>58</v>
      </c>
      <c r="B6" s="16">
        <v>1116313</v>
      </c>
      <c r="C6" s="16" t="s">
        <v>6</v>
      </c>
      <c r="D6" s="16">
        <v>100</v>
      </c>
      <c r="E6" s="16">
        <v>274</v>
      </c>
      <c r="F6" s="17">
        <v>0.6</v>
      </c>
      <c r="G6" s="18">
        <v>16440</v>
      </c>
      <c r="H6" s="16" t="s">
        <v>61</v>
      </c>
    </row>
    <row r="7" spans="1:8" x14ac:dyDescent="0.4">
      <c r="A7" s="16" t="s">
        <v>67</v>
      </c>
      <c r="B7" s="16">
        <v>1116330</v>
      </c>
      <c r="C7" s="16" t="s">
        <v>105</v>
      </c>
      <c r="D7" s="16">
        <v>100</v>
      </c>
      <c r="E7" s="16">
        <v>371</v>
      </c>
      <c r="F7" s="17">
        <v>0.6</v>
      </c>
      <c r="G7" s="18">
        <v>22260</v>
      </c>
      <c r="H7" s="16" t="s">
        <v>61</v>
      </c>
    </row>
    <row r="8" spans="1:8" x14ac:dyDescent="0.4">
      <c r="A8" s="16" t="s">
        <v>30</v>
      </c>
      <c r="B8" s="16">
        <v>1246252</v>
      </c>
      <c r="C8" s="16" t="s">
        <v>10</v>
      </c>
      <c r="D8" s="16">
        <v>100</v>
      </c>
      <c r="E8" s="16">
        <v>3894</v>
      </c>
      <c r="F8" s="17">
        <v>0.6</v>
      </c>
      <c r="G8" s="18">
        <v>233640</v>
      </c>
      <c r="H8" s="16" t="s">
        <v>62</v>
      </c>
    </row>
    <row r="9" spans="1:8" x14ac:dyDescent="0.4">
      <c r="A9" s="16" t="s">
        <v>39</v>
      </c>
      <c r="B9" s="16">
        <v>1247545</v>
      </c>
      <c r="C9" s="16" t="s">
        <v>10</v>
      </c>
      <c r="D9" s="16">
        <v>100</v>
      </c>
      <c r="E9" s="16">
        <v>54</v>
      </c>
      <c r="F9" s="17">
        <v>0.6</v>
      </c>
      <c r="G9" s="18">
        <v>3240</v>
      </c>
      <c r="H9" s="16" t="s">
        <v>62</v>
      </c>
    </row>
    <row r="10" spans="1:8" x14ac:dyDescent="0.4">
      <c r="A10" s="16" t="s">
        <v>44</v>
      </c>
      <c r="B10" s="16">
        <v>1247559</v>
      </c>
      <c r="C10" s="16" t="s">
        <v>51</v>
      </c>
      <c r="D10" s="16">
        <v>100</v>
      </c>
      <c r="E10" s="16">
        <v>234</v>
      </c>
      <c r="F10" s="17">
        <v>0.6</v>
      </c>
      <c r="G10" s="18">
        <v>14040</v>
      </c>
      <c r="H10" s="16" t="s">
        <v>63</v>
      </c>
    </row>
    <row r="11" spans="1:8" x14ac:dyDescent="0.4">
      <c r="A11" s="16" t="s">
        <v>31</v>
      </c>
      <c r="B11" s="16">
        <v>1248032</v>
      </c>
      <c r="C11" s="16" t="s">
        <v>7</v>
      </c>
      <c r="D11" s="16">
        <v>100</v>
      </c>
      <c r="E11" s="16">
        <v>82</v>
      </c>
      <c r="F11" s="17">
        <v>0.6</v>
      </c>
      <c r="G11" s="18">
        <v>4920</v>
      </c>
      <c r="H11" s="16" t="s">
        <v>61</v>
      </c>
    </row>
    <row r="12" spans="1:8" x14ac:dyDescent="0.4">
      <c r="A12" s="16" t="s">
        <v>64</v>
      </c>
      <c r="B12" s="16">
        <v>1248243</v>
      </c>
      <c r="C12" s="16" t="s">
        <v>106</v>
      </c>
      <c r="D12" s="16">
        <v>100</v>
      </c>
      <c r="E12" s="16">
        <v>174</v>
      </c>
      <c r="F12" s="17">
        <v>0.6</v>
      </c>
      <c r="G12" s="18">
        <v>10440</v>
      </c>
      <c r="H12" s="16" t="s">
        <v>63</v>
      </c>
    </row>
    <row r="13" spans="1:8" x14ac:dyDescent="0.4">
      <c r="A13" s="16" t="s">
        <v>70</v>
      </c>
      <c r="B13" s="16">
        <v>1248256</v>
      </c>
      <c r="C13" s="16" t="s">
        <v>107</v>
      </c>
      <c r="D13" s="16">
        <v>100</v>
      </c>
      <c r="E13" s="16">
        <v>1</v>
      </c>
      <c r="F13" s="17">
        <v>0.6</v>
      </c>
      <c r="G13" s="18">
        <v>60</v>
      </c>
      <c r="H13" s="16" t="s">
        <v>63</v>
      </c>
    </row>
    <row r="14" spans="1:8" x14ac:dyDescent="0.4">
      <c r="A14" s="16" t="s">
        <v>77</v>
      </c>
      <c r="B14" s="16">
        <v>1248488</v>
      </c>
      <c r="C14" s="16" t="s">
        <v>9</v>
      </c>
      <c r="D14" s="16">
        <v>100</v>
      </c>
      <c r="E14" s="16">
        <v>1</v>
      </c>
      <c r="F14" s="17">
        <v>0.6</v>
      </c>
      <c r="G14" s="18">
        <v>60</v>
      </c>
      <c r="H14" s="16" t="s">
        <v>61</v>
      </c>
    </row>
    <row r="15" spans="1:8" x14ac:dyDescent="0.4">
      <c r="A15" s="16" t="s">
        <v>55</v>
      </c>
      <c r="B15" s="16">
        <v>1401936</v>
      </c>
      <c r="C15" s="16" t="s">
        <v>6</v>
      </c>
      <c r="D15" s="16">
        <v>100</v>
      </c>
      <c r="E15" s="16">
        <v>370</v>
      </c>
      <c r="F15" s="17">
        <v>0.6</v>
      </c>
      <c r="G15" s="18">
        <v>22200</v>
      </c>
      <c r="H15" s="16" t="s">
        <v>61</v>
      </c>
    </row>
    <row r="16" spans="1:8" x14ac:dyDescent="0.4">
      <c r="A16" s="16" t="s">
        <v>68</v>
      </c>
      <c r="B16" s="16">
        <v>1402089</v>
      </c>
      <c r="C16" s="16" t="s">
        <v>105</v>
      </c>
      <c r="D16" s="16">
        <v>100</v>
      </c>
      <c r="E16" s="16">
        <v>1</v>
      </c>
      <c r="F16" s="17">
        <v>0.6</v>
      </c>
      <c r="G16" s="18">
        <v>60</v>
      </c>
      <c r="H16" s="16" t="s">
        <v>61</v>
      </c>
    </row>
    <row r="17" spans="1:8" x14ac:dyDescent="0.4">
      <c r="A17" s="16" t="s">
        <v>71</v>
      </c>
      <c r="B17" s="16">
        <v>1407102</v>
      </c>
      <c r="C17" s="16" t="s">
        <v>13</v>
      </c>
      <c r="D17" s="16">
        <v>100</v>
      </c>
      <c r="E17" s="16">
        <v>1</v>
      </c>
      <c r="F17" s="17">
        <v>0.6</v>
      </c>
      <c r="G17" s="18">
        <v>60</v>
      </c>
      <c r="H17" s="16" t="s">
        <v>61</v>
      </c>
    </row>
    <row r="18" spans="1:8" x14ac:dyDescent="0.4">
      <c r="A18" s="16" t="s">
        <v>72</v>
      </c>
      <c r="B18" s="16">
        <v>1407469</v>
      </c>
      <c r="C18" s="16" t="s">
        <v>13</v>
      </c>
      <c r="D18" s="16">
        <v>100</v>
      </c>
      <c r="E18" s="16">
        <v>76</v>
      </c>
      <c r="F18" s="17">
        <v>0.6</v>
      </c>
      <c r="G18" s="18">
        <v>4560</v>
      </c>
      <c r="H18" s="16" t="s">
        <v>61</v>
      </c>
    </row>
    <row r="19" spans="1:8" x14ac:dyDescent="0.4">
      <c r="A19" s="16" t="s">
        <v>69</v>
      </c>
      <c r="B19" s="16">
        <v>1407660</v>
      </c>
      <c r="C19" s="16" t="s">
        <v>13</v>
      </c>
      <c r="D19" s="16">
        <v>100</v>
      </c>
      <c r="E19" s="16">
        <v>1</v>
      </c>
      <c r="F19" s="17">
        <v>0.6</v>
      </c>
      <c r="G19" s="18">
        <v>60</v>
      </c>
      <c r="H19" s="16" t="s">
        <v>61</v>
      </c>
    </row>
    <row r="20" spans="1:8" x14ac:dyDescent="0.4">
      <c r="A20" s="16" t="s">
        <v>66</v>
      </c>
      <c r="B20" s="16">
        <v>1408437</v>
      </c>
      <c r="C20" s="16" t="s">
        <v>13</v>
      </c>
      <c r="D20" s="16">
        <v>100</v>
      </c>
      <c r="E20" s="16">
        <v>1</v>
      </c>
      <c r="F20" s="17">
        <v>0.6</v>
      </c>
      <c r="G20" s="18">
        <v>60</v>
      </c>
      <c r="H20" s="16" t="s">
        <v>61</v>
      </c>
    </row>
    <row r="21" spans="1:8" x14ac:dyDescent="0.4">
      <c r="A21" s="16" t="s">
        <v>32</v>
      </c>
      <c r="B21" s="16">
        <v>1427726</v>
      </c>
      <c r="C21" s="16" t="s">
        <v>7</v>
      </c>
      <c r="D21" s="16">
        <v>100</v>
      </c>
      <c r="E21" s="16">
        <v>254</v>
      </c>
      <c r="F21" s="17">
        <v>0.6</v>
      </c>
      <c r="G21" s="18">
        <v>15240</v>
      </c>
      <c r="H21" s="16" t="s">
        <v>61</v>
      </c>
    </row>
    <row r="22" spans="1:8" x14ac:dyDescent="0.4">
      <c r="A22" s="16" t="s">
        <v>48</v>
      </c>
      <c r="B22" s="16">
        <v>1428661</v>
      </c>
      <c r="C22" s="16" t="s">
        <v>6</v>
      </c>
      <c r="D22" s="16">
        <v>100</v>
      </c>
      <c r="E22" s="16">
        <v>766</v>
      </c>
      <c r="F22" s="17">
        <v>0.6</v>
      </c>
      <c r="G22" s="18">
        <v>45960</v>
      </c>
      <c r="H22" s="16" t="s">
        <v>61</v>
      </c>
    </row>
    <row r="23" spans="1:8" x14ac:dyDescent="0.4">
      <c r="A23" s="16" t="s">
        <v>56</v>
      </c>
      <c r="B23" s="16">
        <v>1428960</v>
      </c>
      <c r="C23" s="16" t="s">
        <v>6</v>
      </c>
      <c r="D23" s="16">
        <v>100</v>
      </c>
      <c r="E23" s="16">
        <v>268</v>
      </c>
      <c r="F23" s="17">
        <v>0.6</v>
      </c>
      <c r="G23" s="18">
        <v>16080</v>
      </c>
      <c r="H23" s="16" t="s">
        <v>61</v>
      </c>
    </row>
    <row r="24" spans="1:8" x14ac:dyDescent="0.4">
      <c r="A24" s="16" t="s">
        <v>47</v>
      </c>
      <c r="B24" s="16">
        <v>1429173</v>
      </c>
      <c r="C24" s="16" t="s">
        <v>53</v>
      </c>
      <c r="D24" s="16">
        <v>100</v>
      </c>
      <c r="E24" s="16">
        <v>103</v>
      </c>
      <c r="F24" s="17">
        <v>0.6</v>
      </c>
      <c r="G24" s="18">
        <v>6180</v>
      </c>
      <c r="H24" s="16" t="s">
        <v>61</v>
      </c>
    </row>
    <row r="25" spans="1:8" x14ac:dyDescent="0.4">
      <c r="A25" s="16" t="s">
        <v>59</v>
      </c>
      <c r="B25" s="16">
        <v>1430791</v>
      </c>
      <c r="C25" s="16" t="s">
        <v>11</v>
      </c>
      <c r="D25" s="16">
        <v>100</v>
      </c>
      <c r="E25" s="16">
        <v>1</v>
      </c>
      <c r="F25" s="17">
        <v>0.6</v>
      </c>
      <c r="G25" s="18">
        <v>60</v>
      </c>
      <c r="H25" s="16" t="s">
        <v>61</v>
      </c>
    </row>
    <row r="26" spans="1:8" x14ac:dyDescent="0.4">
      <c r="A26" s="16" t="s">
        <v>54</v>
      </c>
      <c r="B26" s="16">
        <v>1435306</v>
      </c>
      <c r="C26" s="16" t="s">
        <v>8</v>
      </c>
      <c r="D26" s="16">
        <v>100</v>
      </c>
      <c r="E26" s="16">
        <v>145</v>
      </c>
      <c r="F26" s="17">
        <v>0.6</v>
      </c>
      <c r="G26" s="18">
        <v>8700</v>
      </c>
      <c r="H26" s="16" t="s">
        <v>61</v>
      </c>
    </row>
    <row r="27" spans="1:8" x14ac:dyDescent="0.4">
      <c r="A27" s="16" t="s">
        <v>33</v>
      </c>
      <c r="B27" s="16">
        <v>1436755</v>
      </c>
      <c r="C27" s="16" t="s">
        <v>35</v>
      </c>
      <c r="D27" s="16">
        <v>100</v>
      </c>
      <c r="E27" s="16">
        <v>42</v>
      </c>
      <c r="F27" s="17">
        <v>0.6</v>
      </c>
      <c r="G27" s="18">
        <v>2520</v>
      </c>
      <c r="H27" s="16" t="s">
        <v>61</v>
      </c>
    </row>
    <row r="28" spans="1:8" x14ac:dyDescent="0.4">
      <c r="A28" s="16" t="s">
        <v>41</v>
      </c>
      <c r="B28" s="16">
        <v>1438404</v>
      </c>
      <c r="C28" s="16" t="s">
        <v>14</v>
      </c>
      <c r="D28" s="16">
        <v>100</v>
      </c>
      <c r="E28" s="16">
        <v>31</v>
      </c>
      <c r="F28" s="17">
        <v>0.6</v>
      </c>
      <c r="G28" s="18">
        <v>1860</v>
      </c>
      <c r="H28" s="16" t="s">
        <v>61</v>
      </c>
    </row>
    <row r="29" spans="1:8" x14ac:dyDescent="0.4">
      <c r="A29" s="16" t="s">
        <v>38</v>
      </c>
      <c r="B29" s="16">
        <v>1438625</v>
      </c>
      <c r="C29" s="16" t="s">
        <v>40</v>
      </c>
      <c r="D29" s="16">
        <v>100</v>
      </c>
      <c r="E29" s="16">
        <v>49</v>
      </c>
      <c r="F29" s="17">
        <v>0.6</v>
      </c>
      <c r="G29" s="18">
        <v>2940</v>
      </c>
      <c r="H29" s="16" t="s">
        <v>61</v>
      </c>
    </row>
    <row r="30" spans="1:8" x14ac:dyDescent="0.4">
      <c r="A30" s="16" t="s">
        <v>78</v>
      </c>
      <c r="B30" s="16">
        <v>1454669</v>
      </c>
      <c r="C30" s="16" t="s">
        <v>7</v>
      </c>
      <c r="D30" s="16">
        <v>100</v>
      </c>
      <c r="E30" s="16">
        <v>26</v>
      </c>
      <c r="F30" s="17">
        <v>0.6</v>
      </c>
      <c r="G30" s="18">
        <v>1560</v>
      </c>
      <c r="H30" s="16" t="s">
        <v>61</v>
      </c>
    </row>
    <row r="31" spans="1:8" x14ac:dyDescent="0.4">
      <c r="A31" s="16" t="s">
        <v>29</v>
      </c>
      <c r="B31" s="16">
        <v>1456873</v>
      </c>
      <c r="C31" s="16" t="s">
        <v>6</v>
      </c>
      <c r="D31" s="16">
        <v>100</v>
      </c>
      <c r="E31" s="16">
        <v>50366</v>
      </c>
      <c r="F31" s="17">
        <v>0.6</v>
      </c>
      <c r="G31" s="18">
        <v>3021960</v>
      </c>
      <c r="H31" s="16" t="s">
        <v>61</v>
      </c>
    </row>
    <row r="32" spans="1:8" x14ac:dyDescent="0.4">
      <c r="A32" s="16" t="s">
        <v>79</v>
      </c>
      <c r="B32" s="16">
        <v>1472933</v>
      </c>
      <c r="C32" s="16" t="s">
        <v>108</v>
      </c>
      <c r="D32" s="16">
        <v>100</v>
      </c>
      <c r="E32" s="16">
        <v>1</v>
      </c>
      <c r="F32" s="17">
        <v>0.6</v>
      </c>
      <c r="G32" s="18">
        <v>60</v>
      </c>
      <c r="H32" s="16" t="s">
        <v>61</v>
      </c>
    </row>
    <row r="33" spans="1:8" x14ac:dyDescent="0.4">
      <c r="A33" s="16" t="s">
        <v>87</v>
      </c>
      <c r="B33" s="16">
        <v>1476724</v>
      </c>
      <c r="C33" s="16" t="s">
        <v>102</v>
      </c>
      <c r="D33" s="16">
        <v>100</v>
      </c>
      <c r="E33" s="16">
        <v>24</v>
      </c>
      <c r="F33" s="17">
        <v>0.6</v>
      </c>
      <c r="G33" s="18">
        <v>1440</v>
      </c>
      <c r="H33" s="16" t="s">
        <v>61</v>
      </c>
    </row>
    <row r="34" spans="1:8" x14ac:dyDescent="0.4">
      <c r="A34" s="16" t="s">
        <v>94</v>
      </c>
      <c r="B34" s="16">
        <v>1476919</v>
      </c>
      <c r="C34" s="16" t="s">
        <v>105</v>
      </c>
      <c r="D34" s="16">
        <v>100</v>
      </c>
      <c r="E34" s="16">
        <v>275</v>
      </c>
      <c r="F34" s="17">
        <v>0.6</v>
      </c>
      <c r="G34" s="18">
        <v>16500</v>
      </c>
      <c r="H34" s="16" t="s">
        <v>61</v>
      </c>
    </row>
    <row r="35" spans="1:8" x14ac:dyDescent="0.4">
      <c r="A35" s="16" t="s">
        <v>80</v>
      </c>
      <c r="B35" s="16">
        <v>1477447</v>
      </c>
      <c r="C35" s="16" t="s">
        <v>73</v>
      </c>
      <c r="D35" s="16">
        <v>100</v>
      </c>
      <c r="E35" s="16">
        <v>25</v>
      </c>
      <c r="F35" s="17">
        <v>0.6</v>
      </c>
      <c r="G35" s="18">
        <v>1500</v>
      </c>
      <c r="H35" s="16" t="s">
        <v>61</v>
      </c>
    </row>
    <row r="36" spans="1:8" x14ac:dyDescent="0.4">
      <c r="A36" s="16" t="s">
        <v>42</v>
      </c>
      <c r="B36" s="16">
        <v>1487762</v>
      </c>
      <c r="C36" s="16" t="s">
        <v>6</v>
      </c>
      <c r="D36" s="16">
        <v>100</v>
      </c>
      <c r="E36" s="16">
        <v>242</v>
      </c>
      <c r="F36" s="17">
        <v>0.6</v>
      </c>
      <c r="G36" s="18">
        <v>14520</v>
      </c>
      <c r="H36" s="16" t="s">
        <v>61</v>
      </c>
    </row>
    <row r="37" spans="1:8" x14ac:dyDescent="0.4">
      <c r="A37" s="16" t="s">
        <v>85</v>
      </c>
      <c r="B37" s="16">
        <v>1487971</v>
      </c>
      <c r="C37" s="16" t="s">
        <v>105</v>
      </c>
      <c r="D37" s="16">
        <v>100</v>
      </c>
      <c r="E37" s="16">
        <v>225</v>
      </c>
      <c r="F37" s="17">
        <v>0.6</v>
      </c>
      <c r="G37" s="18">
        <v>13500</v>
      </c>
      <c r="H37" s="16" t="s">
        <v>61</v>
      </c>
    </row>
    <row r="38" spans="1:8" x14ac:dyDescent="0.4">
      <c r="A38" s="16" t="s">
        <v>88</v>
      </c>
      <c r="B38" s="16">
        <v>1488221</v>
      </c>
      <c r="C38" s="16" t="s">
        <v>105</v>
      </c>
      <c r="D38" s="16">
        <v>100</v>
      </c>
      <c r="E38" s="16">
        <v>58</v>
      </c>
      <c r="F38" s="17">
        <v>0.6</v>
      </c>
      <c r="G38" s="18">
        <v>3480</v>
      </c>
      <c r="H38" s="16" t="s">
        <v>61</v>
      </c>
    </row>
    <row r="39" spans="1:8" x14ac:dyDescent="0.4">
      <c r="A39" s="16" t="s">
        <v>75</v>
      </c>
      <c r="B39" s="16">
        <v>1488469</v>
      </c>
      <c r="C39" s="16" t="s">
        <v>105</v>
      </c>
      <c r="D39" s="16">
        <v>100</v>
      </c>
      <c r="E39" s="16">
        <v>130</v>
      </c>
      <c r="F39" s="17">
        <v>0.6</v>
      </c>
      <c r="G39" s="18">
        <v>7800</v>
      </c>
      <c r="H39" s="16" t="s">
        <v>61</v>
      </c>
    </row>
    <row r="40" spans="1:8" x14ac:dyDescent="0.4">
      <c r="A40" s="16" t="s">
        <v>86</v>
      </c>
      <c r="B40" s="16">
        <v>1496435</v>
      </c>
      <c r="C40" s="16" t="s">
        <v>105</v>
      </c>
      <c r="D40" s="16">
        <v>100</v>
      </c>
      <c r="E40" s="16">
        <v>249</v>
      </c>
      <c r="F40" s="17">
        <v>0.6</v>
      </c>
      <c r="G40" s="18">
        <v>14940</v>
      </c>
      <c r="H40" s="16" t="s">
        <v>61</v>
      </c>
    </row>
    <row r="41" spans="1:8" x14ac:dyDescent="0.4">
      <c r="A41" s="16" t="s">
        <v>81</v>
      </c>
      <c r="B41" s="16">
        <v>1496443</v>
      </c>
      <c r="C41" s="16" t="s">
        <v>105</v>
      </c>
      <c r="D41" s="16">
        <v>100</v>
      </c>
      <c r="E41" s="16">
        <v>375</v>
      </c>
      <c r="F41" s="17">
        <v>0.6</v>
      </c>
      <c r="G41" s="18">
        <v>22500</v>
      </c>
      <c r="H41" s="16" t="s">
        <v>61</v>
      </c>
    </row>
    <row r="42" spans="1:8" x14ac:dyDescent="0.4">
      <c r="A42" s="16" t="s">
        <v>82</v>
      </c>
      <c r="B42" s="16">
        <v>1517498</v>
      </c>
      <c r="C42" s="16" t="s">
        <v>109</v>
      </c>
      <c r="D42" s="16">
        <v>100</v>
      </c>
      <c r="E42" s="16">
        <v>6</v>
      </c>
      <c r="F42" s="17">
        <v>0.6</v>
      </c>
      <c r="G42" s="18">
        <v>360</v>
      </c>
      <c r="H42" s="16" t="s">
        <v>61</v>
      </c>
    </row>
    <row r="43" spans="1:8" x14ac:dyDescent="0.4">
      <c r="A43" s="16" t="s">
        <v>24</v>
      </c>
      <c r="B43" s="16">
        <v>1533756</v>
      </c>
      <c r="C43" s="16" t="s">
        <v>14</v>
      </c>
      <c r="D43" s="16">
        <v>100</v>
      </c>
      <c r="E43" s="16">
        <v>7</v>
      </c>
      <c r="F43" s="17">
        <v>0.6</v>
      </c>
      <c r="G43" s="18">
        <v>420</v>
      </c>
      <c r="H43" s="16" t="s">
        <v>61</v>
      </c>
    </row>
    <row r="44" spans="1:8" x14ac:dyDescent="0.4">
      <c r="A44" s="16" t="s">
        <v>89</v>
      </c>
      <c r="B44" s="16">
        <v>1537572</v>
      </c>
      <c r="C44" s="16" t="s">
        <v>16</v>
      </c>
      <c r="D44" s="16">
        <v>100</v>
      </c>
      <c r="E44" s="16">
        <v>94</v>
      </c>
      <c r="F44" s="17">
        <v>0.6</v>
      </c>
      <c r="G44" s="18">
        <v>5640</v>
      </c>
      <c r="H44" s="16" t="s">
        <v>61</v>
      </c>
    </row>
    <row r="45" spans="1:8" x14ac:dyDescent="0.4">
      <c r="A45" s="16" t="s">
        <v>23</v>
      </c>
      <c r="B45" s="16">
        <v>1537574</v>
      </c>
      <c r="C45" s="16" t="s">
        <v>7</v>
      </c>
      <c r="D45" s="16">
        <v>100</v>
      </c>
      <c r="E45" s="16">
        <v>801</v>
      </c>
      <c r="F45" s="17">
        <v>0.6</v>
      </c>
      <c r="G45" s="18">
        <v>48060</v>
      </c>
      <c r="H45" s="16" t="s">
        <v>61</v>
      </c>
    </row>
    <row r="46" spans="1:8" x14ac:dyDescent="0.4">
      <c r="A46" s="16" t="s">
        <v>22</v>
      </c>
      <c r="B46" s="16">
        <v>1544379</v>
      </c>
      <c r="C46" s="16" t="s">
        <v>15</v>
      </c>
      <c r="D46" s="16">
        <v>100</v>
      </c>
      <c r="E46" s="16">
        <v>198</v>
      </c>
      <c r="F46" s="17">
        <v>0.6</v>
      </c>
      <c r="G46" s="18">
        <v>11880</v>
      </c>
      <c r="H46" s="16" t="s">
        <v>61</v>
      </c>
    </row>
    <row r="47" spans="1:8" x14ac:dyDescent="0.4">
      <c r="A47" s="16" t="s">
        <v>57</v>
      </c>
      <c r="B47" s="16">
        <v>1544560</v>
      </c>
      <c r="C47" s="16" t="s">
        <v>60</v>
      </c>
      <c r="D47" s="16">
        <v>100</v>
      </c>
      <c r="E47" s="16">
        <v>76</v>
      </c>
      <c r="F47" s="17">
        <v>0.6</v>
      </c>
      <c r="G47" s="18">
        <v>4560</v>
      </c>
      <c r="H47" s="16" t="s">
        <v>61</v>
      </c>
    </row>
    <row r="48" spans="1:8" x14ac:dyDescent="0.4">
      <c r="A48" s="16" t="s">
        <v>21</v>
      </c>
      <c r="B48" s="16">
        <v>1552028</v>
      </c>
      <c r="C48" s="16" t="s">
        <v>36</v>
      </c>
      <c r="D48" s="16">
        <v>100</v>
      </c>
      <c r="E48" s="16">
        <v>344</v>
      </c>
      <c r="F48" s="17">
        <v>0.6</v>
      </c>
      <c r="G48" s="18">
        <v>20640</v>
      </c>
      <c r="H48" s="16" t="s">
        <v>61</v>
      </c>
    </row>
    <row r="49" spans="1:9" x14ac:dyDescent="0.4">
      <c r="A49" s="16" t="s">
        <v>45</v>
      </c>
      <c r="B49" s="16">
        <v>1585927</v>
      </c>
      <c r="C49" s="16" t="s">
        <v>49</v>
      </c>
      <c r="D49" s="16">
        <v>100</v>
      </c>
      <c r="E49" s="16">
        <v>9</v>
      </c>
      <c r="F49" s="17">
        <v>0.6</v>
      </c>
      <c r="G49" s="18">
        <v>540</v>
      </c>
      <c r="H49" s="16" t="s">
        <v>113</v>
      </c>
    </row>
    <row r="50" spans="1:9" x14ac:dyDescent="0.4">
      <c r="A50" s="16" t="s">
        <v>50</v>
      </c>
      <c r="B50" s="16">
        <v>1585929</v>
      </c>
      <c r="C50" s="16" t="s">
        <v>52</v>
      </c>
      <c r="D50" s="16">
        <v>100</v>
      </c>
      <c r="E50" s="16">
        <v>534</v>
      </c>
      <c r="F50" s="17">
        <v>0.6</v>
      </c>
      <c r="G50" s="18">
        <v>32040</v>
      </c>
      <c r="H50" s="16" t="s">
        <v>113</v>
      </c>
    </row>
    <row r="51" spans="1:9" x14ac:dyDescent="0.4">
      <c r="A51" s="16" t="s">
        <v>83</v>
      </c>
      <c r="B51" s="16">
        <v>1593965</v>
      </c>
      <c r="C51" s="16" t="s">
        <v>103</v>
      </c>
      <c r="D51" s="16">
        <v>100</v>
      </c>
      <c r="E51" s="16">
        <v>59097</v>
      </c>
      <c r="F51" s="17">
        <v>0.6</v>
      </c>
      <c r="G51" s="18">
        <v>3545820</v>
      </c>
      <c r="H51" s="16" t="s">
        <v>61</v>
      </c>
    </row>
    <row r="52" spans="1:9" x14ac:dyDescent="0.4">
      <c r="A52" s="16" t="s">
        <v>98</v>
      </c>
      <c r="B52" s="16">
        <v>1593968</v>
      </c>
      <c r="C52" s="16" t="s">
        <v>84</v>
      </c>
      <c r="D52" s="16">
        <v>100</v>
      </c>
      <c r="E52" s="16">
        <v>2007</v>
      </c>
      <c r="F52" s="17">
        <v>0.6</v>
      </c>
      <c r="G52" s="18">
        <v>120420</v>
      </c>
      <c r="H52" s="16" t="s">
        <v>113</v>
      </c>
    </row>
    <row r="53" spans="1:9" x14ac:dyDescent="0.4">
      <c r="A53" s="16" t="s">
        <v>96</v>
      </c>
      <c r="B53" s="16">
        <v>1593969</v>
      </c>
      <c r="C53" s="16" t="s">
        <v>76</v>
      </c>
      <c r="D53" s="16">
        <v>100</v>
      </c>
      <c r="E53" s="16">
        <v>3353</v>
      </c>
      <c r="F53" s="17">
        <v>0.6</v>
      </c>
      <c r="G53" s="18">
        <v>201180</v>
      </c>
      <c r="H53" s="16" t="s">
        <v>113</v>
      </c>
    </row>
    <row r="54" spans="1:9" x14ac:dyDescent="0.4">
      <c r="A54" s="16" t="s">
        <v>97</v>
      </c>
      <c r="B54" s="16">
        <v>1593970</v>
      </c>
      <c r="C54" s="16" t="s">
        <v>110</v>
      </c>
      <c r="D54" s="16">
        <v>100</v>
      </c>
      <c r="E54" s="16">
        <v>632</v>
      </c>
      <c r="F54" s="17">
        <v>0.6</v>
      </c>
      <c r="G54" s="18">
        <v>37920</v>
      </c>
      <c r="H54" s="16" t="s">
        <v>113</v>
      </c>
    </row>
    <row r="55" spans="1:9" x14ac:dyDescent="0.4">
      <c r="A55" s="16" t="s">
        <v>101</v>
      </c>
      <c r="B55" s="16">
        <v>1593994</v>
      </c>
      <c r="C55" s="16" t="s">
        <v>74</v>
      </c>
      <c r="D55" s="16">
        <v>100</v>
      </c>
      <c r="E55" s="16">
        <v>471</v>
      </c>
      <c r="F55" s="17">
        <v>0.6</v>
      </c>
      <c r="G55" s="18">
        <v>28260</v>
      </c>
      <c r="H55" s="16" t="s">
        <v>113</v>
      </c>
    </row>
    <row r="56" spans="1:9" x14ac:dyDescent="0.4">
      <c r="A56" s="16" t="s">
        <v>100</v>
      </c>
      <c r="B56" s="16">
        <v>1593995</v>
      </c>
      <c r="C56" s="16" t="s">
        <v>104</v>
      </c>
      <c r="D56" s="16">
        <v>100</v>
      </c>
      <c r="E56" s="16">
        <v>5377</v>
      </c>
      <c r="F56" s="17">
        <v>0.6</v>
      </c>
      <c r="G56" s="18">
        <v>322620</v>
      </c>
      <c r="H56" s="16" t="s">
        <v>113</v>
      </c>
    </row>
    <row r="57" spans="1:9" x14ac:dyDescent="0.4">
      <c r="A57" s="16" t="s">
        <v>99</v>
      </c>
      <c r="B57" s="16">
        <v>1599596</v>
      </c>
      <c r="C57" s="16" t="s">
        <v>111</v>
      </c>
      <c r="D57" s="16">
        <v>100</v>
      </c>
      <c r="E57" s="16">
        <v>71</v>
      </c>
      <c r="F57" s="17">
        <v>0.6</v>
      </c>
      <c r="G57" s="18">
        <v>4260</v>
      </c>
      <c r="H57" s="16" t="s">
        <v>113</v>
      </c>
    </row>
    <row r="58" spans="1:9" x14ac:dyDescent="0.4">
      <c r="A58" s="16" t="s">
        <v>93</v>
      </c>
      <c r="B58" s="16">
        <v>1599847</v>
      </c>
      <c r="C58" s="16" t="s">
        <v>7</v>
      </c>
      <c r="D58" s="16">
        <v>100</v>
      </c>
      <c r="E58" s="16">
        <v>139</v>
      </c>
      <c r="F58" s="17">
        <v>0.6</v>
      </c>
      <c r="G58" s="18">
        <v>8340</v>
      </c>
      <c r="H58" s="16" t="s">
        <v>61</v>
      </c>
    </row>
    <row r="59" spans="1:9" x14ac:dyDescent="0.4">
      <c r="A59" s="16" t="s">
        <v>90</v>
      </c>
      <c r="B59" s="16">
        <v>1599855</v>
      </c>
      <c r="C59" s="16" t="s">
        <v>7</v>
      </c>
      <c r="D59" s="16">
        <v>100</v>
      </c>
      <c r="E59" s="16">
        <v>187</v>
      </c>
      <c r="F59" s="17">
        <v>0.6</v>
      </c>
      <c r="G59" s="18">
        <v>11220</v>
      </c>
      <c r="H59" s="16" t="s">
        <v>61</v>
      </c>
    </row>
    <row r="60" spans="1:9" x14ac:dyDescent="0.4">
      <c r="A60" s="16" t="s">
        <v>95</v>
      </c>
      <c r="B60" s="16">
        <v>1602252</v>
      </c>
      <c r="C60" s="16" t="s">
        <v>112</v>
      </c>
      <c r="D60" s="16">
        <v>100</v>
      </c>
      <c r="E60" s="16">
        <v>31</v>
      </c>
      <c r="F60" s="17">
        <v>0.6</v>
      </c>
      <c r="G60" s="18">
        <v>1860</v>
      </c>
      <c r="H60" s="16" t="s">
        <v>113</v>
      </c>
    </row>
    <row r="61" spans="1:9" x14ac:dyDescent="0.4">
      <c r="A61" s="16" t="s">
        <v>92</v>
      </c>
      <c r="B61" s="16">
        <v>1604178</v>
      </c>
      <c r="C61" s="16" t="s">
        <v>7</v>
      </c>
      <c r="D61" s="16">
        <v>100</v>
      </c>
      <c r="E61" s="16">
        <v>55</v>
      </c>
      <c r="F61" s="17">
        <v>0.6</v>
      </c>
      <c r="G61" s="18">
        <v>3300</v>
      </c>
      <c r="H61" s="16" t="s">
        <v>61</v>
      </c>
    </row>
    <row r="62" spans="1:9" x14ac:dyDescent="0.4">
      <c r="A62" s="16" t="s">
        <v>91</v>
      </c>
      <c r="B62" s="16">
        <v>1604182</v>
      </c>
      <c r="C62" s="16" t="s">
        <v>7</v>
      </c>
      <c r="D62" s="16">
        <v>100</v>
      </c>
      <c r="E62" s="16">
        <v>60</v>
      </c>
      <c r="F62" s="17">
        <v>0.6</v>
      </c>
      <c r="G62" s="18">
        <v>3600</v>
      </c>
      <c r="H62" s="16" t="s">
        <v>61</v>
      </c>
    </row>
    <row r="63" spans="1:9" x14ac:dyDescent="0.4">
      <c r="A63" s="13"/>
      <c r="B63" s="14"/>
      <c r="C63" s="11"/>
      <c r="D63" s="11"/>
      <c r="E63" s="11"/>
      <c r="F63" s="12"/>
      <c r="G63" s="15">
        <f>SUM(G2:G62)</f>
        <v>8199300</v>
      </c>
    </row>
    <row r="64" spans="1:9" x14ac:dyDescent="0.4">
      <c r="I64" s="10"/>
    </row>
    <row r="65" spans="2:7" s="3" customFormat="1" x14ac:dyDescent="0.4">
      <c r="B65" s="2"/>
      <c r="C65" s="2"/>
      <c r="D65" s="7" t="s">
        <v>0</v>
      </c>
      <c r="E65" s="1">
        <f>G63</f>
        <v>8199300</v>
      </c>
      <c r="F65" s="5"/>
      <c r="G65" s="6"/>
    </row>
    <row r="66" spans="2:7" s="3" customFormat="1" x14ac:dyDescent="0.4">
      <c r="D66" s="7" t="s">
        <v>34</v>
      </c>
      <c r="E66" s="1">
        <v>0</v>
      </c>
      <c r="F66" s="3" t="s">
        <v>12</v>
      </c>
      <c r="G66" s="6" t="s">
        <v>4</v>
      </c>
    </row>
    <row r="67" spans="2:7" s="3" customFormat="1" x14ac:dyDescent="0.4">
      <c r="B67" s="2"/>
      <c r="C67" s="5"/>
      <c r="D67" s="7" t="s">
        <v>1</v>
      </c>
      <c r="E67" s="1">
        <f>E66/1.1</f>
        <v>0</v>
      </c>
      <c r="F67" s="2"/>
      <c r="G67" s="6" t="s">
        <v>5</v>
      </c>
    </row>
    <row r="68" spans="2:7" s="3" customFormat="1" x14ac:dyDescent="0.4">
      <c r="B68" s="2"/>
      <c r="C68" s="2"/>
      <c r="D68" s="7" t="s">
        <v>2</v>
      </c>
      <c r="E68" s="1">
        <f>E66-E67</f>
        <v>0</v>
      </c>
      <c r="G68" s="6"/>
    </row>
    <row r="69" spans="2:7" s="3" customFormat="1" x14ac:dyDescent="0.4">
      <c r="B69" s="2"/>
      <c r="C69" s="2"/>
      <c r="D69" s="8" t="s">
        <v>3</v>
      </c>
      <c r="E69" s="4">
        <f>E65+E67+E68</f>
        <v>8199300</v>
      </c>
      <c r="G69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2"/>
  <sheetViews>
    <sheetView zoomScale="91" zoomScaleNormal="91" workbookViewId="0">
      <selection activeCell="G12" sqref="G12"/>
    </sheetView>
  </sheetViews>
  <sheetFormatPr defaultRowHeight="17.399999999999999" x14ac:dyDescent="0.4"/>
  <cols>
    <col min="1" max="1" width="32.39843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43</v>
      </c>
      <c r="B2" s="16">
        <v>912105</v>
      </c>
      <c r="C2" s="16" t="s">
        <v>7</v>
      </c>
      <c r="D2" s="16">
        <v>100</v>
      </c>
      <c r="E2" s="16">
        <v>2444</v>
      </c>
      <c r="F2" s="17">
        <v>0.6</v>
      </c>
      <c r="G2" s="18">
        <v>146640</v>
      </c>
      <c r="H2" s="16" t="s">
        <v>61</v>
      </c>
    </row>
    <row r="3" spans="1:8" x14ac:dyDescent="0.4">
      <c r="A3" s="16" t="s">
        <v>46</v>
      </c>
      <c r="B3" s="16">
        <v>964887</v>
      </c>
      <c r="C3" s="16" t="s">
        <v>7</v>
      </c>
      <c r="D3" s="16">
        <v>100</v>
      </c>
      <c r="E3" s="16">
        <v>613</v>
      </c>
      <c r="F3" s="17">
        <v>0.6</v>
      </c>
      <c r="G3" s="18">
        <v>36780</v>
      </c>
      <c r="H3" s="16" t="s">
        <v>61</v>
      </c>
    </row>
    <row r="4" spans="1:8" x14ac:dyDescent="0.4">
      <c r="A4" s="16" t="s">
        <v>31</v>
      </c>
      <c r="B4" s="16">
        <v>1248032</v>
      </c>
      <c r="C4" s="16" t="s">
        <v>7</v>
      </c>
      <c r="D4" s="16">
        <v>100</v>
      </c>
      <c r="E4" s="16">
        <v>82</v>
      </c>
      <c r="F4" s="17">
        <v>0.6</v>
      </c>
      <c r="G4" s="18">
        <v>4920</v>
      </c>
      <c r="H4" s="16" t="s">
        <v>61</v>
      </c>
    </row>
    <row r="5" spans="1:8" x14ac:dyDescent="0.4">
      <c r="A5" s="16" t="s">
        <v>32</v>
      </c>
      <c r="B5" s="16">
        <v>1427726</v>
      </c>
      <c r="C5" s="16" t="s">
        <v>7</v>
      </c>
      <c r="D5" s="16">
        <v>100</v>
      </c>
      <c r="E5" s="16">
        <v>254</v>
      </c>
      <c r="F5" s="17">
        <v>0.6</v>
      </c>
      <c r="G5" s="18">
        <v>15240</v>
      </c>
      <c r="H5" s="16" t="s">
        <v>61</v>
      </c>
    </row>
    <row r="6" spans="1:8" x14ac:dyDescent="0.4">
      <c r="A6" s="16" t="s">
        <v>78</v>
      </c>
      <c r="B6" s="16">
        <v>1454669</v>
      </c>
      <c r="C6" s="16" t="s">
        <v>7</v>
      </c>
      <c r="D6" s="16">
        <v>100</v>
      </c>
      <c r="E6" s="16">
        <v>26</v>
      </c>
      <c r="F6" s="17">
        <v>0.6</v>
      </c>
      <c r="G6" s="18">
        <v>1560</v>
      </c>
      <c r="H6" s="16" t="s">
        <v>61</v>
      </c>
    </row>
    <row r="7" spans="1:8" x14ac:dyDescent="0.4">
      <c r="A7" s="16" t="s">
        <v>23</v>
      </c>
      <c r="B7" s="16">
        <v>1537574</v>
      </c>
      <c r="C7" s="16" t="s">
        <v>7</v>
      </c>
      <c r="D7" s="16">
        <v>100</v>
      </c>
      <c r="E7" s="16">
        <v>801</v>
      </c>
      <c r="F7" s="17">
        <v>0.6</v>
      </c>
      <c r="G7" s="18">
        <v>48060</v>
      </c>
      <c r="H7" s="16" t="s">
        <v>61</v>
      </c>
    </row>
    <row r="8" spans="1:8" x14ac:dyDescent="0.4">
      <c r="A8" s="16" t="s">
        <v>93</v>
      </c>
      <c r="B8" s="16">
        <v>1599847</v>
      </c>
      <c r="C8" s="16" t="s">
        <v>7</v>
      </c>
      <c r="D8" s="16">
        <v>100</v>
      </c>
      <c r="E8" s="16">
        <v>139</v>
      </c>
      <c r="F8" s="17">
        <v>0.6</v>
      </c>
      <c r="G8" s="18">
        <v>8340</v>
      </c>
      <c r="H8" s="16" t="s">
        <v>61</v>
      </c>
    </row>
    <row r="9" spans="1:8" x14ac:dyDescent="0.4">
      <c r="A9" s="16" t="s">
        <v>90</v>
      </c>
      <c r="B9" s="16">
        <v>1599855</v>
      </c>
      <c r="C9" s="16" t="s">
        <v>7</v>
      </c>
      <c r="D9" s="16">
        <v>100</v>
      </c>
      <c r="E9" s="16">
        <v>187</v>
      </c>
      <c r="F9" s="17">
        <v>0.6</v>
      </c>
      <c r="G9" s="18">
        <v>11220</v>
      </c>
      <c r="H9" s="16" t="s">
        <v>61</v>
      </c>
    </row>
    <row r="10" spans="1:8" x14ac:dyDescent="0.4">
      <c r="A10" s="16" t="s">
        <v>92</v>
      </c>
      <c r="B10" s="16">
        <v>1604178</v>
      </c>
      <c r="C10" s="16" t="s">
        <v>7</v>
      </c>
      <c r="D10" s="16">
        <v>100</v>
      </c>
      <c r="E10" s="16">
        <v>55</v>
      </c>
      <c r="F10" s="17">
        <v>0.6</v>
      </c>
      <c r="G10" s="18">
        <v>3300</v>
      </c>
      <c r="H10" s="16" t="s">
        <v>61</v>
      </c>
    </row>
    <row r="11" spans="1:8" x14ac:dyDescent="0.4">
      <c r="A11" s="16" t="s">
        <v>91</v>
      </c>
      <c r="B11" s="16">
        <v>1604182</v>
      </c>
      <c r="C11" s="16" t="s">
        <v>7</v>
      </c>
      <c r="D11" s="16">
        <v>100</v>
      </c>
      <c r="E11" s="16">
        <v>60</v>
      </c>
      <c r="F11" s="17">
        <v>0.6</v>
      </c>
      <c r="G11" s="18">
        <v>3600</v>
      </c>
      <c r="H11" s="16" t="s">
        <v>61</v>
      </c>
    </row>
    <row r="12" spans="1:8" x14ac:dyDescent="0.4">
      <c r="G12" s="20">
        <f>SUM(G2:G11)</f>
        <v>279660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1"/>
  <sheetViews>
    <sheetView zoomScale="89" zoomScaleNormal="89" workbookViewId="0">
      <selection activeCell="G11" sqref="G11"/>
    </sheetView>
  </sheetViews>
  <sheetFormatPr defaultRowHeight="17.399999999999999" x14ac:dyDescent="0.4"/>
  <cols>
    <col min="1" max="1" width="17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65</v>
      </c>
      <c r="B2" s="16">
        <v>1007729</v>
      </c>
      <c r="C2" s="16" t="s">
        <v>105</v>
      </c>
      <c r="D2" s="16">
        <v>100</v>
      </c>
      <c r="E2" s="16">
        <v>151</v>
      </c>
      <c r="F2" s="17">
        <v>0.6</v>
      </c>
      <c r="G2" s="18">
        <v>9060</v>
      </c>
      <c r="H2" s="16" t="s">
        <v>61</v>
      </c>
    </row>
    <row r="3" spans="1:8" x14ac:dyDescent="0.4">
      <c r="A3" s="16" t="s">
        <v>67</v>
      </c>
      <c r="B3" s="16">
        <v>1116330</v>
      </c>
      <c r="C3" s="16" t="s">
        <v>105</v>
      </c>
      <c r="D3" s="16">
        <v>100</v>
      </c>
      <c r="E3" s="16">
        <v>371</v>
      </c>
      <c r="F3" s="17">
        <v>0.6</v>
      </c>
      <c r="G3" s="18">
        <v>22260</v>
      </c>
      <c r="H3" s="16" t="s">
        <v>61</v>
      </c>
    </row>
    <row r="4" spans="1:8" x14ac:dyDescent="0.4">
      <c r="A4" s="16" t="s">
        <v>68</v>
      </c>
      <c r="B4" s="16">
        <v>1402089</v>
      </c>
      <c r="C4" s="16" t="s">
        <v>105</v>
      </c>
      <c r="D4" s="16">
        <v>100</v>
      </c>
      <c r="E4" s="16">
        <v>1</v>
      </c>
      <c r="F4" s="17">
        <v>0.6</v>
      </c>
      <c r="G4" s="18">
        <v>60</v>
      </c>
      <c r="H4" s="16" t="s">
        <v>61</v>
      </c>
    </row>
    <row r="5" spans="1:8" x14ac:dyDescent="0.4">
      <c r="A5" s="16" t="s">
        <v>94</v>
      </c>
      <c r="B5" s="16">
        <v>1476919</v>
      </c>
      <c r="C5" s="16" t="s">
        <v>105</v>
      </c>
      <c r="D5" s="16">
        <v>100</v>
      </c>
      <c r="E5" s="16">
        <v>275</v>
      </c>
      <c r="F5" s="17">
        <v>0.6</v>
      </c>
      <c r="G5" s="18">
        <v>16500</v>
      </c>
      <c r="H5" s="16" t="s">
        <v>61</v>
      </c>
    </row>
    <row r="6" spans="1:8" x14ac:dyDescent="0.4">
      <c r="A6" s="16" t="s">
        <v>85</v>
      </c>
      <c r="B6" s="16">
        <v>1487971</v>
      </c>
      <c r="C6" s="16" t="s">
        <v>105</v>
      </c>
      <c r="D6" s="16">
        <v>100</v>
      </c>
      <c r="E6" s="16">
        <v>225</v>
      </c>
      <c r="F6" s="17">
        <v>0.6</v>
      </c>
      <c r="G6" s="18">
        <v>13500</v>
      </c>
      <c r="H6" s="16" t="s">
        <v>61</v>
      </c>
    </row>
    <row r="7" spans="1:8" x14ac:dyDescent="0.4">
      <c r="A7" s="16" t="s">
        <v>88</v>
      </c>
      <c r="B7" s="16">
        <v>1488221</v>
      </c>
      <c r="C7" s="16" t="s">
        <v>105</v>
      </c>
      <c r="D7" s="16">
        <v>100</v>
      </c>
      <c r="E7" s="16">
        <v>58</v>
      </c>
      <c r="F7" s="17">
        <v>0.6</v>
      </c>
      <c r="G7" s="18">
        <v>3480</v>
      </c>
      <c r="H7" s="16" t="s">
        <v>61</v>
      </c>
    </row>
    <row r="8" spans="1:8" x14ac:dyDescent="0.4">
      <c r="A8" s="16" t="s">
        <v>75</v>
      </c>
      <c r="B8" s="16">
        <v>1488469</v>
      </c>
      <c r="C8" s="16" t="s">
        <v>105</v>
      </c>
      <c r="D8" s="16">
        <v>100</v>
      </c>
      <c r="E8" s="16">
        <v>130</v>
      </c>
      <c r="F8" s="17">
        <v>0.6</v>
      </c>
      <c r="G8" s="18">
        <v>7800</v>
      </c>
      <c r="H8" s="16" t="s">
        <v>61</v>
      </c>
    </row>
    <row r="9" spans="1:8" x14ac:dyDescent="0.4">
      <c r="A9" s="16" t="s">
        <v>86</v>
      </c>
      <c r="B9" s="16">
        <v>1496435</v>
      </c>
      <c r="C9" s="16" t="s">
        <v>105</v>
      </c>
      <c r="D9" s="16">
        <v>100</v>
      </c>
      <c r="E9" s="16">
        <v>249</v>
      </c>
      <c r="F9" s="17">
        <v>0.6</v>
      </c>
      <c r="G9" s="18">
        <v>14940</v>
      </c>
      <c r="H9" s="16" t="s">
        <v>61</v>
      </c>
    </row>
    <row r="10" spans="1:8" x14ac:dyDescent="0.4">
      <c r="A10" s="16" t="s">
        <v>81</v>
      </c>
      <c r="B10" s="16">
        <v>1496443</v>
      </c>
      <c r="C10" s="16" t="s">
        <v>105</v>
      </c>
      <c r="D10" s="16">
        <v>100</v>
      </c>
      <c r="E10" s="16">
        <v>375</v>
      </c>
      <c r="F10" s="17">
        <v>0.6</v>
      </c>
      <c r="G10" s="18">
        <v>22500</v>
      </c>
      <c r="H10" s="16" t="s">
        <v>61</v>
      </c>
    </row>
    <row r="11" spans="1:8" x14ac:dyDescent="0.4">
      <c r="G11" s="20">
        <f>SUM(G2:G10)</f>
        <v>110100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4"/>
  <sheetViews>
    <sheetView workbookViewId="0">
      <selection activeCell="G4" sqref="G4"/>
    </sheetView>
  </sheetViews>
  <sheetFormatPr defaultRowHeight="17.399999999999999" x14ac:dyDescent="0.4"/>
  <cols>
    <col min="1" max="1" width="17.5976562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28</v>
      </c>
      <c r="B2" s="16">
        <v>1065178</v>
      </c>
      <c r="C2" s="16" t="s">
        <v>9</v>
      </c>
      <c r="D2" s="16">
        <v>100</v>
      </c>
      <c r="E2" s="16">
        <v>708</v>
      </c>
      <c r="F2" s="17">
        <v>0.6</v>
      </c>
      <c r="G2" s="18">
        <v>42480</v>
      </c>
      <c r="H2" s="16" t="s">
        <v>61</v>
      </c>
    </row>
    <row r="3" spans="1:8" x14ac:dyDescent="0.4">
      <c r="A3" s="16" t="s">
        <v>77</v>
      </c>
      <c r="B3" s="16">
        <v>1248488</v>
      </c>
      <c r="C3" s="16" t="s">
        <v>9</v>
      </c>
      <c r="D3" s="16">
        <v>100</v>
      </c>
      <c r="E3" s="16">
        <v>1</v>
      </c>
      <c r="F3" s="17">
        <v>0.6</v>
      </c>
      <c r="G3" s="18">
        <v>60</v>
      </c>
      <c r="H3" s="16" t="s">
        <v>61</v>
      </c>
    </row>
    <row r="4" spans="1:8" x14ac:dyDescent="0.4">
      <c r="G4" s="20">
        <f>SUM(G2:G3)</f>
        <v>42540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8"/>
  <sheetViews>
    <sheetView zoomScale="85" zoomScaleNormal="85" workbookViewId="0">
      <selection activeCell="G8" sqref="G8"/>
    </sheetView>
  </sheetViews>
  <sheetFormatPr defaultRowHeight="17.399999999999999" x14ac:dyDescent="0.4"/>
  <cols>
    <col min="1" max="1" width="20.1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10.1992187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58</v>
      </c>
      <c r="B2" s="16">
        <v>1116313</v>
      </c>
      <c r="C2" s="16" t="s">
        <v>6</v>
      </c>
      <c r="D2" s="16">
        <v>100</v>
      </c>
      <c r="E2" s="16">
        <v>274</v>
      </c>
      <c r="F2" s="17">
        <v>0.6</v>
      </c>
      <c r="G2" s="18">
        <v>16440</v>
      </c>
      <c r="H2" s="16" t="s">
        <v>61</v>
      </c>
    </row>
    <row r="3" spans="1:8" x14ac:dyDescent="0.4">
      <c r="A3" s="16" t="s">
        <v>55</v>
      </c>
      <c r="B3" s="16">
        <v>1401936</v>
      </c>
      <c r="C3" s="16" t="s">
        <v>6</v>
      </c>
      <c r="D3" s="16">
        <v>100</v>
      </c>
      <c r="E3" s="16">
        <v>370</v>
      </c>
      <c r="F3" s="17">
        <v>0.6</v>
      </c>
      <c r="G3" s="18">
        <v>22200</v>
      </c>
      <c r="H3" s="16" t="s">
        <v>61</v>
      </c>
    </row>
    <row r="4" spans="1:8" x14ac:dyDescent="0.4">
      <c r="A4" s="16" t="s">
        <v>48</v>
      </c>
      <c r="B4" s="16">
        <v>1428661</v>
      </c>
      <c r="C4" s="16" t="s">
        <v>6</v>
      </c>
      <c r="D4" s="16">
        <v>100</v>
      </c>
      <c r="E4" s="16">
        <v>766</v>
      </c>
      <c r="F4" s="17">
        <v>0.6</v>
      </c>
      <c r="G4" s="18">
        <v>45960</v>
      </c>
      <c r="H4" s="16" t="s">
        <v>61</v>
      </c>
    </row>
    <row r="5" spans="1:8" x14ac:dyDescent="0.4">
      <c r="A5" s="16" t="s">
        <v>56</v>
      </c>
      <c r="B5" s="16">
        <v>1428960</v>
      </c>
      <c r="C5" s="16" t="s">
        <v>6</v>
      </c>
      <c r="D5" s="16">
        <v>100</v>
      </c>
      <c r="E5" s="16">
        <v>268</v>
      </c>
      <c r="F5" s="17">
        <v>0.6</v>
      </c>
      <c r="G5" s="18">
        <v>16080</v>
      </c>
      <c r="H5" s="16" t="s">
        <v>61</v>
      </c>
    </row>
    <row r="6" spans="1:8" x14ac:dyDescent="0.4">
      <c r="A6" s="16" t="s">
        <v>29</v>
      </c>
      <c r="B6" s="16">
        <v>1456873</v>
      </c>
      <c r="C6" s="16" t="s">
        <v>6</v>
      </c>
      <c r="D6" s="16">
        <v>100</v>
      </c>
      <c r="E6" s="16">
        <v>50366</v>
      </c>
      <c r="F6" s="17">
        <v>0.6</v>
      </c>
      <c r="G6" s="18">
        <v>3021960</v>
      </c>
      <c r="H6" s="16" t="s">
        <v>61</v>
      </c>
    </row>
    <row r="7" spans="1:8" x14ac:dyDescent="0.4">
      <c r="A7" s="16" t="s">
        <v>42</v>
      </c>
      <c r="B7" s="16">
        <v>1487762</v>
      </c>
      <c r="C7" s="16" t="s">
        <v>6</v>
      </c>
      <c r="D7" s="16">
        <v>100</v>
      </c>
      <c r="E7" s="16">
        <v>242</v>
      </c>
      <c r="F7" s="17">
        <v>0.6</v>
      </c>
      <c r="G7" s="18">
        <v>14520</v>
      </c>
      <c r="H7" s="16" t="s">
        <v>61</v>
      </c>
    </row>
    <row r="8" spans="1:8" x14ac:dyDescent="0.4">
      <c r="G8" s="20">
        <f>SUM(G2:G7)</f>
        <v>3137160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6"/>
  <sheetViews>
    <sheetView zoomScale="81" zoomScaleNormal="81" workbookViewId="0">
      <selection activeCell="G6" sqref="G6"/>
    </sheetView>
  </sheetViews>
  <sheetFormatPr defaultRowHeight="17.399999999999999" x14ac:dyDescent="0.4"/>
  <cols>
    <col min="1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71</v>
      </c>
      <c r="B2" s="16">
        <v>1407102</v>
      </c>
      <c r="C2" s="16" t="s">
        <v>13</v>
      </c>
      <c r="D2" s="16">
        <v>100</v>
      </c>
      <c r="E2" s="16">
        <v>1</v>
      </c>
      <c r="F2" s="17">
        <v>0.6</v>
      </c>
      <c r="G2" s="18">
        <v>60</v>
      </c>
      <c r="H2" s="16" t="s">
        <v>61</v>
      </c>
    </row>
    <row r="3" spans="1:8" x14ac:dyDescent="0.4">
      <c r="A3" s="16" t="s">
        <v>72</v>
      </c>
      <c r="B3" s="16">
        <v>1407469</v>
      </c>
      <c r="C3" s="16" t="s">
        <v>13</v>
      </c>
      <c r="D3" s="16">
        <v>100</v>
      </c>
      <c r="E3" s="16">
        <v>76</v>
      </c>
      <c r="F3" s="17">
        <v>0.6</v>
      </c>
      <c r="G3" s="18">
        <v>4560</v>
      </c>
      <c r="H3" s="16" t="s">
        <v>61</v>
      </c>
    </row>
    <row r="4" spans="1:8" x14ac:dyDescent="0.4">
      <c r="A4" s="16" t="s">
        <v>69</v>
      </c>
      <c r="B4" s="16">
        <v>1407660</v>
      </c>
      <c r="C4" s="16" t="s">
        <v>13</v>
      </c>
      <c r="D4" s="16">
        <v>100</v>
      </c>
      <c r="E4" s="16">
        <v>1</v>
      </c>
      <c r="F4" s="17">
        <v>0.6</v>
      </c>
      <c r="G4" s="18">
        <v>60</v>
      </c>
      <c r="H4" s="16" t="s">
        <v>61</v>
      </c>
    </row>
    <row r="5" spans="1:8" x14ac:dyDescent="0.4">
      <c r="A5" s="16" t="s">
        <v>66</v>
      </c>
      <c r="B5" s="16">
        <v>1408437</v>
      </c>
      <c r="C5" s="16" t="s">
        <v>13</v>
      </c>
      <c r="D5" s="16">
        <v>100</v>
      </c>
      <c r="E5" s="16">
        <v>1</v>
      </c>
      <c r="F5" s="17">
        <v>0.6</v>
      </c>
      <c r="G5" s="18">
        <v>60</v>
      </c>
      <c r="H5" s="16" t="s">
        <v>61</v>
      </c>
    </row>
    <row r="6" spans="1:8" x14ac:dyDescent="0.4">
      <c r="G6" s="20">
        <f>SUM(G2:G5)</f>
        <v>4740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2"/>
  <sheetViews>
    <sheetView workbookViewId="0"/>
  </sheetViews>
  <sheetFormatPr defaultRowHeight="17.399999999999999" x14ac:dyDescent="0.4"/>
  <cols>
    <col min="1" max="1" width="17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47</v>
      </c>
      <c r="B2" s="16">
        <v>1429173</v>
      </c>
      <c r="C2" s="16" t="s">
        <v>53</v>
      </c>
      <c r="D2" s="16">
        <v>100</v>
      </c>
      <c r="E2" s="16">
        <v>103</v>
      </c>
      <c r="F2" s="17">
        <v>0.6</v>
      </c>
      <c r="G2" s="18">
        <v>6180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"/>
  <sheetViews>
    <sheetView workbookViewId="0"/>
  </sheetViews>
  <sheetFormatPr defaultRowHeight="17.399999999999999" x14ac:dyDescent="0.4"/>
  <cols>
    <col min="1" max="1" width="18.296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59</v>
      </c>
      <c r="B2" s="16">
        <v>1430791</v>
      </c>
      <c r="C2" s="16" t="s">
        <v>11</v>
      </c>
      <c r="D2" s="16">
        <v>100</v>
      </c>
      <c r="E2" s="16">
        <v>1</v>
      </c>
      <c r="F2" s="17">
        <v>0.6</v>
      </c>
      <c r="G2" s="18">
        <v>60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2"/>
  <sheetViews>
    <sheetView workbookViewId="0"/>
  </sheetViews>
  <sheetFormatPr defaultRowHeight="17.399999999999999" x14ac:dyDescent="0.4"/>
  <cols>
    <col min="1" max="1" width="25.6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54</v>
      </c>
      <c r="B2" s="16">
        <v>1435306</v>
      </c>
      <c r="C2" s="16" t="s">
        <v>8</v>
      </c>
      <c r="D2" s="16">
        <v>100</v>
      </c>
      <c r="E2" s="16">
        <v>145</v>
      </c>
      <c r="F2" s="17">
        <v>0.6</v>
      </c>
      <c r="G2" s="18">
        <v>8700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2"/>
  <sheetViews>
    <sheetView workbookViewId="0"/>
  </sheetViews>
  <sheetFormatPr defaultRowHeight="17.399999999999999" x14ac:dyDescent="0.4"/>
  <cols>
    <col min="1" max="1" width="17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33</v>
      </c>
      <c r="B2" s="16">
        <v>1436755</v>
      </c>
      <c r="C2" s="16" t="s">
        <v>35</v>
      </c>
      <c r="D2" s="16">
        <v>100</v>
      </c>
      <c r="E2" s="16">
        <v>42</v>
      </c>
      <c r="F2" s="17">
        <v>0.6</v>
      </c>
      <c r="G2" s="18">
        <v>2520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4"/>
  <sheetViews>
    <sheetView zoomScale="86" zoomScaleNormal="86" workbookViewId="0">
      <selection activeCell="G4" sqref="G4"/>
    </sheetView>
  </sheetViews>
  <sheetFormatPr defaultRowHeight="17.399999999999999" x14ac:dyDescent="0.4"/>
  <cols>
    <col min="1" max="1" width="36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41</v>
      </c>
      <c r="B2" s="16">
        <v>1438404</v>
      </c>
      <c r="C2" s="16" t="s">
        <v>14</v>
      </c>
      <c r="D2" s="16">
        <v>100</v>
      </c>
      <c r="E2" s="16">
        <v>31</v>
      </c>
      <c r="F2" s="17">
        <v>0.6</v>
      </c>
      <c r="G2" s="18">
        <v>1860</v>
      </c>
      <c r="H2" s="16" t="s">
        <v>61</v>
      </c>
    </row>
    <row r="3" spans="1:8" x14ac:dyDescent="0.4">
      <c r="A3" s="16" t="s">
        <v>24</v>
      </c>
      <c r="B3" s="16">
        <v>1533756</v>
      </c>
      <c r="C3" s="16" t="s">
        <v>14</v>
      </c>
      <c r="D3" s="16">
        <v>100</v>
      </c>
      <c r="E3" s="16">
        <v>7</v>
      </c>
      <c r="F3" s="17">
        <v>0.6</v>
      </c>
      <c r="G3" s="18">
        <v>420</v>
      </c>
      <c r="H3" s="16" t="s">
        <v>61</v>
      </c>
    </row>
    <row r="4" spans="1:8" x14ac:dyDescent="0.4">
      <c r="G4" s="20">
        <f>SUM(G2:G3)</f>
        <v>2280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2"/>
  <sheetViews>
    <sheetView zoomScale="85" zoomScaleNormal="85" workbookViewId="0"/>
  </sheetViews>
  <sheetFormatPr defaultRowHeight="17.399999999999999" x14ac:dyDescent="0.4"/>
  <cols>
    <col min="1" max="1" width="17.5976562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38</v>
      </c>
      <c r="B2" s="16">
        <v>1438625</v>
      </c>
      <c r="C2" s="16" t="s">
        <v>40</v>
      </c>
      <c r="D2" s="16">
        <v>100</v>
      </c>
      <c r="E2" s="16">
        <v>49</v>
      </c>
      <c r="F2" s="17">
        <v>0.6</v>
      </c>
      <c r="G2" s="18">
        <v>2940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"/>
  <sheetViews>
    <sheetView zoomScale="76" zoomScaleNormal="76" workbookViewId="0"/>
  </sheetViews>
  <sheetFormatPr defaultRowHeight="17.399999999999999" x14ac:dyDescent="0.4"/>
  <cols>
    <col min="1" max="1" width="13" bestFit="1" customWidth="1"/>
    <col min="2" max="2" width="8.59765625" bestFit="1" customWidth="1"/>
    <col min="3" max="3" width="10.39843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79</v>
      </c>
      <c r="B2" s="16">
        <v>1472933</v>
      </c>
      <c r="C2" s="16" t="s">
        <v>108</v>
      </c>
      <c r="D2" s="16">
        <v>100</v>
      </c>
      <c r="E2" s="16">
        <v>1</v>
      </c>
      <c r="F2" s="17">
        <v>0.6</v>
      </c>
      <c r="G2" s="18">
        <v>60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2"/>
  <sheetViews>
    <sheetView zoomScale="82" zoomScaleNormal="82" workbookViewId="0"/>
  </sheetViews>
  <sheetFormatPr defaultRowHeight="17.399999999999999" x14ac:dyDescent="0.4"/>
  <cols>
    <col min="1" max="1" width="13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87</v>
      </c>
      <c r="B2" s="16">
        <v>1476724</v>
      </c>
      <c r="C2" s="16" t="s">
        <v>102</v>
      </c>
      <c r="D2" s="16">
        <v>100</v>
      </c>
      <c r="E2" s="16">
        <v>24</v>
      </c>
      <c r="F2" s="17">
        <v>0.6</v>
      </c>
      <c r="G2" s="18">
        <v>1440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2"/>
  <sheetViews>
    <sheetView zoomScale="86" zoomScaleNormal="86" workbookViewId="0"/>
  </sheetViews>
  <sheetFormatPr defaultRowHeight="17.399999999999999" x14ac:dyDescent="0.4"/>
  <cols>
    <col min="1" max="1" width="11.6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80</v>
      </c>
      <c r="B2" s="16">
        <v>1477447</v>
      </c>
      <c r="C2" s="16" t="s">
        <v>73</v>
      </c>
      <c r="D2" s="16">
        <v>100</v>
      </c>
      <c r="E2" s="16">
        <v>25</v>
      </c>
      <c r="F2" s="17">
        <v>0.6</v>
      </c>
      <c r="G2" s="18">
        <v>1500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2"/>
  <sheetViews>
    <sheetView zoomScale="83" zoomScaleNormal="83" workbookViewId="0"/>
  </sheetViews>
  <sheetFormatPr defaultRowHeight="17.399999999999999" x14ac:dyDescent="0.4"/>
  <cols>
    <col min="1" max="1" width="13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82</v>
      </c>
      <c r="B2" s="16">
        <v>1517498</v>
      </c>
      <c r="C2" s="16" t="s">
        <v>109</v>
      </c>
      <c r="D2" s="16">
        <v>100</v>
      </c>
      <c r="E2" s="16">
        <v>6</v>
      </c>
      <c r="F2" s="17">
        <v>0.6</v>
      </c>
      <c r="G2" s="18">
        <v>360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2"/>
  <sheetViews>
    <sheetView zoomScale="78" zoomScaleNormal="78" workbookViewId="0"/>
  </sheetViews>
  <sheetFormatPr defaultRowHeight="17.399999999999999" x14ac:dyDescent="0.4"/>
  <cols>
    <col min="1" max="1" width="9.1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89</v>
      </c>
      <c r="B2" s="16">
        <v>1537572</v>
      </c>
      <c r="C2" s="16" t="s">
        <v>16</v>
      </c>
      <c r="D2" s="16">
        <v>100</v>
      </c>
      <c r="E2" s="16">
        <v>94</v>
      </c>
      <c r="F2" s="17">
        <v>0.6</v>
      </c>
      <c r="G2" s="18">
        <v>5640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2"/>
  <sheetViews>
    <sheetView zoomScale="85" zoomScaleNormal="85" workbookViewId="0"/>
  </sheetViews>
  <sheetFormatPr defaultRowHeight="17.399999999999999" x14ac:dyDescent="0.4"/>
  <cols>
    <col min="1" max="1" width="15.89843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22</v>
      </c>
      <c r="B2" s="16">
        <v>1544379</v>
      </c>
      <c r="C2" s="16" t="s">
        <v>15</v>
      </c>
      <c r="D2" s="16">
        <v>100</v>
      </c>
      <c r="E2" s="16">
        <v>198</v>
      </c>
      <c r="F2" s="17">
        <v>0.6</v>
      </c>
      <c r="G2" s="18">
        <v>11880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2"/>
  <sheetViews>
    <sheetView zoomScale="91" zoomScaleNormal="91" workbookViewId="0"/>
  </sheetViews>
  <sheetFormatPr defaultRowHeight="17.399999999999999" x14ac:dyDescent="0.4"/>
  <cols>
    <col min="1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57</v>
      </c>
      <c r="B2" s="16">
        <v>1544560</v>
      </c>
      <c r="C2" s="16" t="s">
        <v>60</v>
      </c>
      <c r="D2" s="16">
        <v>100</v>
      </c>
      <c r="E2" s="16">
        <v>76</v>
      </c>
      <c r="F2" s="17">
        <v>0.6</v>
      </c>
      <c r="G2" s="18">
        <v>4560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2"/>
  <sheetViews>
    <sheetView zoomScale="86" zoomScaleNormal="86" workbookViewId="0"/>
  </sheetViews>
  <sheetFormatPr defaultRowHeight="17.399999999999999" x14ac:dyDescent="0.4"/>
  <cols>
    <col min="1" max="1" width="19.59765625" bestFit="1" customWidth="1"/>
    <col min="2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21</v>
      </c>
      <c r="B2" s="16">
        <v>1552028</v>
      </c>
      <c r="C2" s="16" t="s">
        <v>36</v>
      </c>
      <c r="D2" s="16">
        <v>100</v>
      </c>
      <c r="E2" s="16">
        <v>344</v>
      </c>
      <c r="F2" s="17">
        <v>0.6</v>
      </c>
      <c r="G2" s="18">
        <v>20640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2"/>
  <sheetViews>
    <sheetView zoomScale="82" zoomScaleNormal="82" workbookViewId="0"/>
  </sheetViews>
  <sheetFormatPr defaultRowHeight="17.399999999999999" x14ac:dyDescent="0.4"/>
  <cols>
    <col min="1" max="1" width="21.5" bestFit="1" customWidth="1"/>
    <col min="2" max="2" width="8.59765625" bestFit="1" customWidth="1"/>
    <col min="3" max="3" width="11.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45</v>
      </c>
      <c r="B2" s="16">
        <v>1585927</v>
      </c>
      <c r="C2" s="16" t="s">
        <v>49</v>
      </c>
      <c r="D2" s="16">
        <v>100</v>
      </c>
      <c r="E2" s="16">
        <v>9</v>
      </c>
      <c r="F2" s="17">
        <v>0.6</v>
      </c>
      <c r="G2" s="18">
        <v>540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2"/>
  <sheetViews>
    <sheetView zoomScale="81" zoomScaleNormal="81" workbookViewId="0"/>
  </sheetViews>
  <sheetFormatPr defaultRowHeight="17.399999999999999" x14ac:dyDescent="0.4"/>
  <cols>
    <col min="1" max="1" width="13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50</v>
      </c>
      <c r="B2" s="16">
        <v>1585929</v>
      </c>
      <c r="C2" s="16" t="s">
        <v>52</v>
      </c>
      <c r="D2" s="16">
        <v>100</v>
      </c>
      <c r="E2" s="16">
        <v>534</v>
      </c>
      <c r="F2" s="17">
        <v>0.6</v>
      </c>
      <c r="G2" s="18">
        <v>32040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2"/>
  <sheetViews>
    <sheetView zoomScale="75" zoomScaleNormal="75" workbookViewId="0"/>
  </sheetViews>
  <sheetFormatPr defaultRowHeight="17.399999999999999" x14ac:dyDescent="0.4"/>
  <cols>
    <col min="1" max="1" width="13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10.1992187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83</v>
      </c>
      <c r="B2" s="16">
        <v>1593965</v>
      </c>
      <c r="C2" s="16" t="s">
        <v>103</v>
      </c>
      <c r="D2" s="16">
        <v>100</v>
      </c>
      <c r="E2" s="16">
        <v>59097</v>
      </c>
      <c r="F2" s="17">
        <v>0.6</v>
      </c>
      <c r="G2" s="18">
        <v>3545820</v>
      </c>
      <c r="H2" s="16" t="s">
        <v>61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2"/>
  <sheetViews>
    <sheetView zoomScale="79" zoomScaleNormal="79" workbookViewId="0"/>
  </sheetViews>
  <sheetFormatPr defaultRowHeight="17.399999999999999" x14ac:dyDescent="0.4"/>
  <cols>
    <col min="1" max="1" width="23.5" bestFit="1" customWidth="1"/>
    <col min="2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98</v>
      </c>
      <c r="B2" s="16">
        <v>1593968</v>
      </c>
      <c r="C2" s="16" t="s">
        <v>84</v>
      </c>
      <c r="D2" s="16">
        <v>100</v>
      </c>
      <c r="E2" s="16">
        <v>2007</v>
      </c>
      <c r="F2" s="17">
        <v>0.6</v>
      </c>
      <c r="G2" s="18">
        <v>120420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H2"/>
  <sheetViews>
    <sheetView zoomScale="82" zoomScaleNormal="82" workbookViewId="0"/>
  </sheetViews>
  <sheetFormatPr defaultRowHeight="17.399999999999999" x14ac:dyDescent="0.4"/>
  <cols>
    <col min="1" max="1" width="1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96</v>
      </c>
      <c r="B2" s="16">
        <v>1593969</v>
      </c>
      <c r="C2" s="16" t="s">
        <v>76</v>
      </c>
      <c r="D2" s="16">
        <v>100</v>
      </c>
      <c r="E2" s="16">
        <v>3353</v>
      </c>
      <c r="F2" s="17">
        <v>0.6</v>
      </c>
      <c r="G2" s="18">
        <v>201180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H2"/>
  <sheetViews>
    <sheetView zoomScale="82" zoomScaleNormal="82" workbookViewId="0"/>
  </sheetViews>
  <sheetFormatPr defaultRowHeight="17.399999999999999" x14ac:dyDescent="0.4"/>
  <cols>
    <col min="1" max="1" width="23.5" bestFit="1" customWidth="1"/>
    <col min="2" max="2" width="8.59765625" bestFit="1" customWidth="1"/>
    <col min="3" max="3" width="10.39843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97</v>
      </c>
      <c r="B2" s="16">
        <v>1593970</v>
      </c>
      <c r="C2" s="16" t="s">
        <v>110</v>
      </c>
      <c r="D2" s="16">
        <v>100</v>
      </c>
      <c r="E2" s="16">
        <v>632</v>
      </c>
      <c r="F2" s="17">
        <v>0.6</v>
      </c>
      <c r="G2" s="18">
        <v>37920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H2"/>
  <sheetViews>
    <sheetView zoomScale="86" zoomScaleNormal="86" workbookViewId="0"/>
  </sheetViews>
  <sheetFormatPr defaultRowHeight="17.399999999999999" x14ac:dyDescent="0.4"/>
  <cols>
    <col min="1" max="1" width="15.69921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101</v>
      </c>
      <c r="B2" s="16">
        <v>1593994</v>
      </c>
      <c r="C2" s="16" t="s">
        <v>74</v>
      </c>
      <c r="D2" s="16">
        <v>100</v>
      </c>
      <c r="E2" s="16">
        <v>471</v>
      </c>
      <c r="F2" s="17">
        <v>0.6</v>
      </c>
      <c r="G2" s="18">
        <v>28260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H2"/>
  <sheetViews>
    <sheetView zoomScale="88" zoomScaleNormal="88" workbookViewId="0"/>
  </sheetViews>
  <sheetFormatPr defaultRowHeight="17.399999999999999" x14ac:dyDescent="0.4"/>
  <cols>
    <col min="1" max="1" width="19.59765625" bestFit="1" customWidth="1"/>
    <col min="2" max="2" width="8.59765625" bestFit="1" customWidth="1"/>
    <col min="3" max="3" width="12.39843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100</v>
      </c>
      <c r="B2" s="16">
        <v>1593995</v>
      </c>
      <c r="C2" s="16" t="s">
        <v>104</v>
      </c>
      <c r="D2" s="16">
        <v>100</v>
      </c>
      <c r="E2" s="16">
        <v>5377</v>
      </c>
      <c r="F2" s="17">
        <v>0.6</v>
      </c>
      <c r="G2" s="18">
        <v>322620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H2"/>
  <sheetViews>
    <sheetView zoomScale="88" zoomScaleNormal="88" workbookViewId="0"/>
  </sheetViews>
  <sheetFormatPr defaultRowHeight="17.399999999999999" x14ac:dyDescent="0.4"/>
  <cols>
    <col min="1" max="1" width="16.296875" bestFit="1" customWidth="1"/>
    <col min="2" max="2" width="8.59765625" bestFit="1" customWidth="1"/>
    <col min="3" max="3" width="6.79687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99</v>
      </c>
      <c r="B2" s="16">
        <v>1599596</v>
      </c>
      <c r="C2" s="16" t="s">
        <v>111</v>
      </c>
      <c r="D2" s="16">
        <v>100</v>
      </c>
      <c r="E2" s="16">
        <v>71</v>
      </c>
      <c r="F2" s="17">
        <v>0.6</v>
      </c>
      <c r="G2" s="18">
        <v>4260</v>
      </c>
      <c r="H2" s="16" t="s">
        <v>113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H2"/>
  <sheetViews>
    <sheetView zoomScale="85" zoomScaleNormal="85" workbookViewId="0"/>
  </sheetViews>
  <sheetFormatPr defaultRowHeight="17.399999999999999" x14ac:dyDescent="0.4"/>
  <cols>
    <col min="1" max="1" width="24.09765625" bestFit="1" customWidth="1"/>
    <col min="2" max="3" width="8.59765625" bestFit="1" customWidth="1"/>
    <col min="4" max="4" width="5" bestFit="1" customWidth="1"/>
    <col min="5" max="5" width="8.59765625" bestFit="1" customWidth="1"/>
    <col min="6" max="6" width="5" bestFit="1" customWidth="1"/>
    <col min="7" max="7" width="9.59765625" bestFit="1" customWidth="1"/>
    <col min="8" max="8" width="8.59765625" bestFit="1" customWidth="1"/>
  </cols>
  <sheetData>
    <row r="1" spans="1:8" x14ac:dyDescent="0.4">
      <c r="A1" s="9" t="s">
        <v>19</v>
      </c>
      <c r="B1" s="9" t="s">
        <v>26</v>
      </c>
      <c r="C1" s="9" t="s">
        <v>17</v>
      </c>
      <c r="D1" s="9" t="s">
        <v>18</v>
      </c>
      <c r="E1" s="9" t="s">
        <v>25</v>
      </c>
      <c r="F1" s="9" t="s">
        <v>20</v>
      </c>
      <c r="G1" s="18" t="s">
        <v>27</v>
      </c>
      <c r="H1" s="2" t="s">
        <v>37</v>
      </c>
    </row>
    <row r="2" spans="1:8" x14ac:dyDescent="0.4">
      <c r="A2" s="16" t="s">
        <v>95</v>
      </c>
      <c r="B2" s="16">
        <v>1602252</v>
      </c>
      <c r="C2" s="16" t="s">
        <v>112</v>
      </c>
      <c r="D2" s="16">
        <v>100</v>
      </c>
      <c r="E2" s="16">
        <v>31</v>
      </c>
      <c r="F2" s="17">
        <v>0.6</v>
      </c>
      <c r="G2" s="18">
        <v>1860</v>
      </c>
      <c r="H2" s="16" t="s">
        <v>113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30</vt:i4>
      </vt:variant>
      <vt:variant>
        <vt:lpstr>이름이 지정된 범위</vt:lpstr>
      </vt:variant>
      <vt:variant>
        <vt:i4>29</vt:i4>
      </vt:variant>
    </vt:vector>
  </HeadingPairs>
  <TitlesOfParts>
    <vt:vector size="59" baseType="lpstr">
      <vt:lpstr>합계 (1)</vt:lpstr>
      <vt:lpstr>무장</vt:lpstr>
      <vt:lpstr>김정률</vt:lpstr>
      <vt:lpstr>독고진</vt:lpstr>
      <vt:lpstr>김광수</vt:lpstr>
      <vt:lpstr>권용찬</vt:lpstr>
      <vt:lpstr>파란영</vt:lpstr>
      <vt:lpstr>이동열</vt:lpstr>
      <vt:lpstr>예로나</vt:lpstr>
      <vt:lpstr>구유</vt:lpstr>
      <vt:lpstr>청빙</vt:lpstr>
      <vt:lpstr>루이세</vt:lpstr>
      <vt:lpstr>불고기자리</vt:lpstr>
      <vt:lpstr>한례</vt:lpstr>
      <vt:lpstr>찬동</vt:lpstr>
      <vt:lpstr>장유진</vt:lpstr>
      <vt:lpstr>세상</vt:lpstr>
      <vt:lpstr>온서</vt:lpstr>
      <vt:lpstr>만렙도끼</vt:lpstr>
      <vt:lpstr>무성매직</vt:lpstr>
      <vt:lpstr>단팥크림빵7</vt:lpstr>
      <vt:lpstr>덕킹</vt:lpstr>
      <vt:lpstr>담화공</vt:lpstr>
      <vt:lpstr>이한애비</vt:lpstr>
      <vt:lpstr>서강후</vt:lpstr>
      <vt:lpstr>모험왕선우</vt:lpstr>
      <vt:lpstr>폴딩</vt:lpstr>
      <vt:lpstr>왕십리글쟁이</vt:lpstr>
      <vt:lpstr>먼나무</vt:lpstr>
      <vt:lpstr>부엉이콩</vt:lpstr>
      <vt:lpstr>구유!Extract</vt:lpstr>
      <vt:lpstr>권용찬!Extract</vt:lpstr>
      <vt:lpstr>김광수!Extract</vt:lpstr>
      <vt:lpstr>김정률!Extract</vt:lpstr>
      <vt:lpstr>단팥크림빵7!Extract</vt:lpstr>
      <vt:lpstr>담화공!Extract</vt:lpstr>
      <vt:lpstr>덕킹!Extract</vt:lpstr>
      <vt:lpstr>독고진!Extract</vt:lpstr>
      <vt:lpstr>루이세!Extract</vt:lpstr>
      <vt:lpstr>만렙도끼!Extract</vt:lpstr>
      <vt:lpstr>먼나무!Extract</vt:lpstr>
      <vt:lpstr>모험왕선우!Extract</vt:lpstr>
      <vt:lpstr>무성매직!Extract</vt:lpstr>
      <vt:lpstr>무장!Extract</vt:lpstr>
      <vt:lpstr>부엉이콩!Extract</vt:lpstr>
      <vt:lpstr>불고기자리!Extract</vt:lpstr>
      <vt:lpstr>서강후!Extract</vt:lpstr>
      <vt:lpstr>세상!Extract</vt:lpstr>
      <vt:lpstr>예로나!Extract</vt:lpstr>
      <vt:lpstr>온서!Extract</vt:lpstr>
      <vt:lpstr>왕십리글쟁이!Extract</vt:lpstr>
      <vt:lpstr>이동열!Extract</vt:lpstr>
      <vt:lpstr>이한애비!Extract</vt:lpstr>
      <vt:lpstr>장유진!Extract</vt:lpstr>
      <vt:lpstr>찬동!Extract</vt:lpstr>
      <vt:lpstr>청빙!Extract</vt:lpstr>
      <vt:lpstr>파란영!Extract</vt:lpstr>
      <vt:lpstr>폴딩!Extract</vt:lpstr>
      <vt:lpstr>한례!Extract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2019-01-07T11:02:09Z</dcterms:created>
  <dcterms:modified xsi:type="dcterms:W3CDTF">2022-02-21T06:59:10Z</dcterms:modified>
</cp:coreProperties>
</file>