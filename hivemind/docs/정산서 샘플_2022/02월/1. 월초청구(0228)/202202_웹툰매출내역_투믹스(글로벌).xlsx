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/>
  </bookViews>
  <sheets>
    <sheet name="합계(2)" sheetId="1" r:id="rId1"/>
    <sheet name="이상윤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6" i="2" l="1"/>
</calcChain>
</file>

<file path=xl/sharedStrings.xml><?xml version="1.0" encoding="utf-8"?>
<sst xmlns="http://schemas.openxmlformats.org/spreadsheetml/2006/main" count="43" uniqueCount="16">
  <si>
    <t>Total Amount to be distributed</t>
  </si>
  <si>
    <t>Provider Revenue Distribution</t>
  </si>
  <si>
    <t>Percentage Given (%)</t>
  </si>
  <si>
    <t>Withholding Tax</t>
  </si>
  <si>
    <t>After Withholding Tax Settlement</t>
  </si>
  <si>
    <t>English</t>
  </si>
  <si>
    <t>Deutsch</t>
  </si>
  <si>
    <t>Français</t>
  </si>
  <si>
    <t>Español(ES)</t>
  </si>
  <si>
    <t>판매월</t>
    <phoneticPr fontId="2" type="noConversion"/>
  </si>
  <si>
    <t>작품명</t>
    <phoneticPr fontId="2" type="noConversion"/>
  </si>
  <si>
    <t>언어</t>
    <phoneticPr fontId="2" type="noConversion"/>
  </si>
  <si>
    <t>호랑이 장가 드는 날</t>
    <phoneticPr fontId="2" type="noConversion"/>
  </si>
  <si>
    <t>일본어</t>
    <phoneticPr fontId="2" type="noConversion"/>
  </si>
  <si>
    <t>괴물아기</t>
    <phoneticPr fontId="2" type="noConversion"/>
  </si>
  <si>
    <t>22년 2월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</si>
</sst>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666666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7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right" vertical="top" wrapText="1"/>
    </xf>
    <xf numFmtId="10" fontId="4" fillId="2" borderId="1" xfId="0" applyNumberFormat="1" applyFont="1" applyFill="1" applyBorder="1" applyAlignment="1">
      <alignment horizontal="right" vertical="top" wrapText="1"/>
    </xf>
    <xf numFmtId="0" fontId="5" fillId="3" borderId="0" xfId="0" applyFont="1" applyFill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right" vertical="top" wrapText="1"/>
    </xf>
    <xf numFmtId="10" fontId="6" fillId="4" borderId="1" xfId="0" applyNumberFormat="1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right" vertical="top" wrapText="1"/>
    </xf>
    <xf numFmtId="10" fontId="6" fillId="2" borderId="1" xfId="0" applyNumberFormat="1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center" vertical="top" wrapText="1"/>
    </xf>
    <xf numFmtId="4" fontId="6" fillId="4" borderId="1" xfId="0" applyNumberFormat="1" applyFont="1" applyFill="1" applyBorder="1" applyAlignment="1">
      <alignment horizontal="right" vertical="top" wrapText="1"/>
    </xf>
    <xf numFmtId="4" fontId="6" fillId="2" borderId="1" xfId="0" applyNumberFormat="1" applyFont="1" applyFill="1" applyBorder="1" applyAlignment="1">
      <alignment horizontal="right" vertical="top" wrapText="1"/>
    </xf>
    <xf numFmtId="41" fontId="6" fillId="4" borderId="1" xfId="1" applyFont="1" applyFill="1" applyBorder="1" applyAlignment="1">
      <alignment horizontal="right" vertical="top" wrapText="1"/>
    </xf>
    <xf numFmtId="41" fontId="4" fillId="5" borderId="1" xfId="1" applyFont="1" applyFill="1" applyBorder="1" applyAlignment="1">
      <alignment horizontal="right" vertical="top" wrapText="1"/>
    </xf>
    <xf numFmtId="41" fontId="3" fillId="5" borderId="0" xfId="0" applyNumberFormat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B20" sqref="B20"/>
    </sheetView>
  </sheetViews>
  <sheetFormatPr defaultRowHeight="13.2" x14ac:dyDescent="0.4"/>
  <cols>
    <col min="1" max="1" width="8.796875" style="1"/>
    <col min="2" max="2" width="17.59765625" style="1" bestFit="1" customWidth="1"/>
    <col min="3" max="3" width="8" style="1" bestFit="1" customWidth="1"/>
    <col min="4" max="4" width="14" style="1" customWidth="1"/>
    <col min="5" max="6" width="9.19921875" style="1" bestFit="1" customWidth="1"/>
    <col min="7" max="7" width="7.5" style="1" bestFit="1" customWidth="1"/>
    <col min="8" max="8" width="8.19921875" style="1" bestFit="1" customWidth="1"/>
    <col min="9" max="16384" width="8.796875" style="1"/>
  </cols>
  <sheetData>
    <row r="1" spans="1:8" ht="53.4" thickBot="1" x14ac:dyDescent="0.45">
      <c r="A1" s="6" t="s">
        <v>9</v>
      </c>
      <c r="B1" s="6" t="s">
        <v>10</v>
      </c>
      <c r="C1" s="7" t="s">
        <v>11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</row>
    <row r="2" spans="1:8" ht="19.8" thickBot="1" x14ac:dyDescent="0.45">
      <c r="A2" s="1" t="s">
        <v>15</v>
      </c>
      <c r="B2" s="1" t="s">
        <v>12</v>
      </c>
      <c r="C2" s="2" t="s">
        <v>13</v>
      </c>
      <c r="D2" s="15">
        <v>9127.36</v>
      </c>
      <c r="E2" s="15">
        <v>5476.42</v>
      </c>
      <c r="F2" s="10">
        <v>0.6</v>
      </c>
      <c r="G2" s="9">
        <v>0</v>
      </c>
      <c r="H2" s="17">
        <v>5476.42</v>
      </c>
    </row>
    <row r="3" spans="1:8" ht="19.8" thickBot="1" x14ac:dyDescent="0.45">
      <c r="A3" s="1" t="s">
        <v>15</v>
      </c>
      <c r="B3" s="1" t="s">
        <v>14</v>
      </c>
      <c r="C3" s="11" t="s">
        <v>6</v>
      </c>
      <c r="D3" s="16">
        <v>22817.759999999998</v>
      </c>
      <c r="E3" s="16">
        <v>11408.88</v>
      </c>
      <c r="F3" s="13">
        <v>0.5</v>
      </c>
      <c r="G3" s="12">
        <v>0</v>
      </c>
      <c r="H3" s="16">
        <v>11408.88</v>
      </c>
    </row>
    <row r="4" spans="1:8" ht="19.8" thickBot="1" x14ac:dyDescent="0.45">
      <c r="A4" s="1" t="s">
        <v>15</v>
      </c>
      <c r="B4" s="1" t="s">
        <v>14</v>
      </c>
      <c r="C4" s="11" t="s">
        <v>5</v>
      </c>
      <c r="D4" s="16">
        <v>68909.119999999995</v>
      </c>
      <c r="E4" s="16">
        <v>34454.559999999998</v>
      </c>
      <c r="F4" s="13">
        <v>0.5</v>
      </c>
      <c r="G4" s="12">
        <v>0</v>
      </c>
      <c r="H4" s="16">
        <v>34454.559999999998</v>
      </c>
    </row>
    <row r="5" spans="1:8" ht="19.8" thickBot="1" x14ac:dyDescent="0.45">
      <c r="A5" s="1" t="s">
        <v>15</v>
      </c>
      <c r="B5" s="1" t="s">
        <v>14</v>
      </c>
      <c r="C5" s="11" t="s">
        <v>8</v>
      </c>
      <c r="D5" s="16">
        <v>41379.1</v>
      </c>
      <c r="E5" s="16">
        <v>20689.55</v>
      </c>
      <c r="F5" s="13">
        <v>0.5</v>
      </c>
      <c r="G5" s="12">
        <v>0</v>
      </c>
      <c r="H5" s="16">
        <v>20689.55</v>
      </c>
    </row>
    <row r="6" spans="1:8" ht="19.8" thickBot="1" x14ac:dyDescent="0.45">
      <c r="A6" s="1" t="s">
        <v>15</v>
      </c>
      <c r="B6" s="1" t="s">
        <v>14</v>
      </c>
      <c r="C6" s="14" t="s">
        <v>7</v>
      </c>
      <c r="D6" s="15">
        <v>46236.2</v>
      </c>
      <c r="E6" s="15">
        <v>23118.1</v>
      </c>
      <c r="F6" s="10">
        <v>0.5</v>
      </c>
      <c r="G6" s="9">
        <v>0</v>
      </c>
      <c r="H6" s="15">
        <v>23118.1</v>
      </c>
    </row>
    <row r="7" spans="1:8" ht="13.8" thickBot="1" x14ac:dyDescent="0.45">
      <c r="C7" s="3"/>
      <c r="D7" s="3"/>
      <c r="E7" s="4"/>
      <c r="F7" s="4"/>
      <c r="G7" s="5"/>
      <c r="H7" s="18">
        <f>SUM(H2:H6)</f>
        <v>95147.510000000009</v>
      </c>
    </row>
    <row r="8" spans="1:8" ht="13.8" thickBot="1" x14ac:dyDescent="0.45">
      <c r="C8" s="3"/>
      <c r="D8" s="3"/>
      <c r="E8" s="4"/>
      <c r="F8" s="4"/>
      <c r="G8" s="5"/>
      <c r="H8" s="4"/>
    </row>
    <row r="9" spans="1:8" ht="13.8" thickBot="1" x14ac:dyDescent="0.45">
      <c r="C9" s="3"/>
      <c r="D9" s="3"/>
      <c r="E9" s="4"/>
      <c r="F9" s="4"/>
      <c r="G9" s="5"/>
      <c r="H9" s="4"/>
    </row>
    <row r="10" spans="1:8" ht="13.8" thickBot="1" x14ac:dyDescent="0.45">
      <c r="C10" s="3"/>
      <c r="D10" s="3"/>
      <c r="E10" s="4"/>
      <c r="F10" s="4"/>
      <c r="G10" s="5"/>
      <c r="H10" s="4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A2" sqref="A2:H5"/>
    </sheetView>
  </sheetViews>
  <sheetFormatPr defaultRowHeight="13.2" x14ac:dyDescent="0.4"/>
  <cols>
    <col min="1" max="1" width="8.796875" style="1"/>
    <col min="2" max="2" width="17.59765625" style="1" bestFit="1" customWidth="1"/>
    <col min="3" max="3" width="8" style="1" bestFit="1" customWidth="1"/>
    <col min="4" max="4" width="14" style="1" customWidth="1"/>
    <col min="5" max="6" width="9.19921875" style="1" bestFit="1" customWidth="1"/>
    <col min="7" max="7" width="7.5" style="1" bestFit="1" customWidth="1"/>
    <col min="8" max="8" width="8.19921875" style="1" bestFit="1" customWidth="1"/>
    <col min="9" max="16384" width="8.796875" style="1"/>
  </cols>
  <sheetData>
    <row r="1" spans="1:8" ht="53.4" thickBot="1" x14ac:dyDescent="0.45">
      <c r="A1" s="6" t="s">
        <v>9</v>
      </c>
      <c r="B1" s="6" t="s">
        <v>10</v>
      </c>
      <c r="C1" s="7" t="s">
        <v>11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</row>
    <row r="2" spans="1:8" ht="13.8" thickBot="1" x14ac:dyDescent="0.45">
      <c r="A2" s="1" t="s">
        <v>15</v>
      </c>
      <c r="B2" s="1" t="s">
        <v>14</v>
      </c>
      <c r="C2" s="11" t="s">
        <v>6</v>
      </c>
      <c r="D2" s="16">
        <v>22817.759999999998</v>
      </c>
      <c r="E2" s="16">
        <v>11408.88</v>
      </c>
      <c r="F2" s="13">
        <v>0.5</v>
      </c>
      <c r="G2" s="12">
        <v>0</v>
      </c>
      <c r="H2" s="16">
        <v>11408.88</v>
      </c>
    </row>
    <row r="3" spans="1:8" ht="13.8" thickBot="1" x14ac:dyDescent="0.45">
      <c r="A3" s="1" t="s">
        <v>15</v>
      </c>
      <c r="B3" s="1" t="s">
        <v>14</v>
      </c>
      <c r="C3" s="11" t="s">
        <v>5</v>
      </c>
      <c r="D3" s="16">
        <v>68909.119999999995</v>
      </c>
      <c r="E3" s="16">
        <v>34454.559999999998</v>
      </c>
      <c r="F3" s="13">
        <v>0.5</v>
      </c>
      <c r="G3" s="12">
        <v>0</v>
      </c>
      <c r="H3" s="16">
        <v>34454.559999999998</v>
      </c>
    </row>
    <row r="4" spans="1:8" ht="13.8" thickBot="1" x14ac:dyDescent="0.45">
      <c r="A4" s="1" t="s">
        <v>15</v>
      </c>
      <c r="B4" s="1" t="s">
        <v>14</v>
      </c>
      <c r="C4" s="11" t="s">
        <v>8</v>
      </c>
      <c r="D4" s="16">
        <v>41379.1</v>
      </c>
      <c r="E4" s="16">
        <v>20689.55</v>
      </c>
      <c r="F4" s="13">
        <v>0.5</v>
      </c>
      <c r="G4" s="12">
        <v>0</v>
      </c>
      <c r="H4" s="16">
        <v>20689.55</v>
      </c>
    </row>
    <row r="5" spans="1:8" ht="13.8" thickBot="1" x14ac:dyDescent="0.45">
      <c r="A5" s="1" t="s">
        <v>15</v>
      </c>
      <c r="B5" s="1" t="s">
        <v>14</v>
      </c>
      <c r="C5" s="14" t="s">
        <v>7</v>
      </c>
      <c r="D5" s="15">
        <v>46236.2</v>
      </c>
      <c r="E5" s="15">
        <v>23118.1</v>
      </c>
      <c r="F5" s="10">
        <v>0.5</v>
      </c>
      <c r="G5" s="9">
        <v>0</v>
      </c>
      <c r="H5" s="15">
        <v>23118.1</v>
      </c>
    </row>
    <row r="6" spans="1:8" x14ac:dyDescent="0.4">
      <c r="H6" s="19">
        <f>SUM(H2:H5)</f>
        <v>89671.09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합계(2)</vt:lpstr>
      <vt:lpstr>이상윤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2021-12-06T02:56:08Z</dcterms:created>
  <dcterms:modified xsi:type="dcterms:W3CDTF">2022-03-05T07:09:26Z</dcterms:modified>
</cp:coreProperties>
</file>