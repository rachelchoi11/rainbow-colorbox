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/>
  </bookViews>
  <sheets>
    <sheet name="합계(2)" sheetId="1" r:id="rId1"/>
    <sheet name="스토리위즈" sheetId="3" r:id="rId2"/>
    <sheet name="더컴퍼니" sheetId="4" r:id="rId3"/>
    <sheet name="에필로그" sheetId="5" r:id="rId4"/>
  </sheets>
  <definedNames>
    <definedName name="_xlnm._FilterDatabase" localSheetId="0" hidden="1">'합계(2)'!$A$1:$K$20</definedName>
    <definedName name="_xlnm.Extract" localSheetId="2">더컴퍼니!$A$1:$K$1</definedName>
    <definedName name="_xlnm.Extract" localSheetId="1">스토리위즈!$A$1:$K$1</definedName>
    <definedName name="_xlnm.Extract" localSheetId="3">에필로그!$A$1:$K$1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I10" i="5" l="1"/>
  <c r="I7" i="4"/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I2" i="1"/>
  <c r="I20" i="1" s="1"/>
</calcChain>
</file>

<file path=xl/sharedStrings.xml><?xml version="1.0" encoding="utf-8"?>
<sst xmlns="http://schemas.openxmlformats.org/spreadsheetml/2006/main" count="228" uniqueCount="51">
  <si>
    <t>아이디</t>
  </si>
  <si>
    <t>작품명</t>
  </si>
  <si>
    <t>건일</t>
  </si>
  <si>
    <t>storywiz</t>
  </si>
  <si>
    <t>별빛 아래 우리</t>
  </si>
  <si>
    <t>사틴</t>
  </si>
  <si>
    <t>하루하루</t>
  </si>
  <si>
    <t>라에르</t>
  </si>
  <si>
    <t>비터, 비터(Bitter, Bitter)</t>
  </si>
  <si>
    <t>채플린</t>
  </si>
  <si>
    <t>붉은 가을이 깃드는 너에게</t>
  </si>
  <si>
    <t>온서</t>
  </si>
  <si>
    <t>임신부터 할까요?</t>
  </si>
  <si>
    <t>구이</t>
  </si>
  <si>
    <t>브레이크 포레스트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</si>
  <si>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</si>
  <si>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</si>
  <si>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</si>
  <si>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</si>
  <si>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</si>
  <si>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</si>
  <si>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</si>
  <si>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</si>
  <si>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웹툰</t>
    <phoneticPr fontId="2" type="noConversion"/>
  </si>
  <si>
    <t>웹소설</t>
    <phoneticPr fontId="2" type="noConversion"/>
  </si>
  <si>
    <t>웹소설</t>
    <phoneticPr fontId="2" type="noConversion"/>
  </si>
  <si>
    <t>웹소설</t>
    <phoneticPr fontId="2" type="noConversion"/>
  </si>
  <si>
    <t>백범(白帆)</t>
  </si>
  <si>
    <t>악당의 리턴</t>
  </si>
  <si>
    <t>진짜 사나이!</t>
  </si>
  <si>
    <t>기획에 산다</t>
  </si>
  <si>
    <t>헌터 킹</t>
  </si>
  <si>
    <t>바보가 만드는 멋진 세상 (개정판)</t>
  </si>
  <si>
    <t>더 캡틴</t>
  </si>
  <si>
    <t>웹소설</t>
    <phoneticPr fontId="2" type="noConversion"/>
  </si>
  <si>
    <t>먼나무</t>
  </si>
  <si>
    <t>쉿, 그놈을 부탁해</t>
  </si>
  <si>
    <t>부엉이콩</t>
  </si>
  <si>
    <t>호랑이 신을 길들여 버렸다</t>
  </si>
  <si>
    <t>나나코</t>
  </si>
  <si>
    <t>더블 파울(Double Foul)</t>
  </si>
  <si>
    <t>마연</t>
  </si>
  <si>
    <t>storywiz</t>
    <phoneticPr fontId="2" type="noConversion"/>
  </si>
  <si>
    <t>주먹 구십구</t>
  </si>
  <si>
    <t>기특혜 수익내역</t>
    <phoneticPr fontId="2" type="noConversion"/>
  </si>
  <si>
    <t>웹소설</t>
    <phoneticPr fontId="2" type="noConversion"/>
  </si>
  <si>
    <t>기특혜 수익내역</t>
    <phoneticPr fontId="2" type="noConversion"/>
  </si>
  <si>
    <t>출판사</t>
    <phoneticPr fontId="2" type="noConversion"/>
  </si>
  <si>
    <t>더컴퍼니</t>
  </si>
  <si>
    <t>에필로그</t>
  </si>
  <si>
    <t>스토리위즈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</si>
</sst>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);[Red]\(#,##0\)"/>
    <numFmt numFmtId="177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2" borderId="1">
      <alignment horizontal="center" vertical="center"/>
    </xf>
  </cellStyleXfs>
  <cellXfs count="16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176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177" fontId="0" fillId="0" borderId="1" xfId="0" applyNumberFormat="1" applyBorder="1"/>
    <xf numFmtId="176" fontId="0" fillId="3" borderId="0" xfId="0" applyNumberFormat="1" applyFill="1"/>
    <xf numFmtId="0" fontId="1" fillId="2" borderId="2" xfId="1" applyBorder="1" applyAlignment="1">
      <alignment horizontal="center" vertical="center"/>
    </xf>
  </cellXfs>
  <cellStyles count="2">
    <cellStyle name="tabletitle" xfId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0"/>
  <sheetViews>
    <sheetView tabSelected="1" workbookViewId="0">
      <selection activeCell="M9" sqref="M9"/>
    </sheetView>
  </sheetViews>
  <sheetFormatPr defaultRowHeight="17.399999999999999" x14ac:dyDescent="0.4"/>
  <cols>
    <col min="1" max="1" width="5.59765625" customWidth="1"/>
    <col min="2" max="2" width="9.5" customWidth="1"/>
    <col min="3" max="3" width="12.3984375" customWidth="1"/>
    <col min="4" max="4" width="9.59765625" customWidth="1"/>
    <col min="5" max="5" width="28.3984375" style="3" customWidth="1"/>
    <col min="6" max="6" width="22.296875" style="1" customWidth="1"/>
    <col min="7" max="7" width="9.19921875" style="2" bestFit="1" customWidth="1"/>
    <col min="9" max="9" width="10.8984375" customWidth="1"/>
    <col min="10" max="10" width="15.5" customWidth="1"/>
    <col min="11" max="11" width="12.5" customWidth="1"/>
  </cols>
  <sheetData>
    <row r="1" spans="1:11" x14ac:dyDescent="0.4">
      <c r="A1" s="4" t="s">
        <v>15</v>
      </c>
      <c r="B1" s="4" t="s">
        <v>16</v>
      </c>
      <c r="C1" s="4" t="s">
        <v>17</v>
      </c>
      <c r="D1" s="4" t="s">
        <v>0</v>
      </c>
      <c r="E1" s="4" t="s">
        <v>1</v>
      </c>
      <c r="F1" s="4" t="s">
        <v>18</v>
      </c>
      <c r="G1" s="4" t="s">
        <v>19</v>
      </c>
      <c r="H1" s="5" t="s">
        <v>20</v>
      </c>
      <c r="I1" s="4" t="s">
        <v>21</v>
      </c>
      <c r="J1" s="4" t="s">
        <v>22</v>
      </c>
      <c r="K1" s="15" t="s">
        <v>47</v>
      </c>
    </row>
    <row r="2" spans="1:11" x14ac:dyDescent="0.4">
      <c r="A2" s="6">
        <v>1</v>
      </c>
      <c r="B2" s="6" t="s">
        <v>23</v>
      </c>
      <c r="C2" s="6" t="s">
        <v>2</v>
      </c>
      <c r="D2" s="6" t="s">
        <v>3</v>
      </c>
      <c r="E2" s="6" t="s">
        <v>4</v>
      </c>
      <c r="F2" s="7">
        <v>2</v>
      </c>
      <c r="G2" s="7">
        <v>200</v>
      </c>
      <c r="H2" s="8">
        <v>0.7</v>
      </c>
      <c r="I2" s="9">
        <f>G2*H2</f>
        <v>140</v>
      </c>
      <c r="J2" s="10"/>
      <c r="K2" t="s">
        <v>50</v>
      </c>
    </row>
    <row r="3" spans="1:11" x14ac:dyDescent="0.4">
      <c r="A3" s="10">
        <f>A2+1</f>
        <v>2</v>
      </c>
      <c r="B3" s="11" t="s">
        <v>24</v>
      </c>
      <c r="C3" s="10" t="s">
        <v>5</v>
      </c>
      <c r="D3" s="10" t="s">
        <v>3</v>
      </c>
      <c r="E3" s="10" t="s">
        <v>6</v>
      </c>
      <c r="F3" s="12">
        <v>309</v>
      </c>
      <c r="G3" s="12">
        <v>30900</v>
      </c>
      <c r="H3" s="8">
        <v>0.7</v>
      </c>
      <c r="I3" s="9">
        <f t="shared" ref="I3:I19" si="0">G3*H3</f>
        <v>21630</v>
      </c>
      <c r="J3" s="10"/>
      <c r="K3" s="3" t="s">
        <v>48</v>
      </c>
    </row>
    <row r="4" spans="1:11" x14ac:dyDescent="0.4">
      <c r="A4" s="10">
        <f t="shared" ref="A4:A19" si="1">A3+1</f>
        <v>3</v>
      </c>
      <c r="B4" s="11" t="s">
        <v>25</v>
      </c>
      <c r="C4" s="10" t="s">
        <v>7</v>
      </c>
      <c r="D4" s="10" t="s">
        <v>3</v>
      </c>
      <c r="E4" s="10" t="s">
        <v>8</v>
      </c>
      <c r="F4" s="12">
        <v>851</v>
      </c>
      <c r="G4" s="12">
        <v>85100</v>
      </c>
      <c r="H4" s="8">
        <v>0.7</v>
      </c>
      <c r="I4" s="9">
        <f t="shared" si="0"/>
        <v>59569.999999999993</v>
      </c>
      <c r="J4" s="10"/>
      <c r="K4" s="3" t="s">
        <v>48</v>
      </c>
    </row>
    <row r="5" spans="1:11" x14ac:dyDescent="0.4">
      <c r="A5" s="10">
        <f t="shared" si="1"/>
        <v>4</v>
      </c>
      <c r="B5" s="11" t="s">
        <v>24</v>
      </c>
      <c r="C5" s="10" t="s">
        <v>9</v>
      </c>
      <c r="D5" s="10" t="s">
        <v>3</v>
      </c>
      <c r="E5" s="10" t="s">
        <v>10</v>
      </c>
      <c r="F5" s="12">
        <v>154</v>
      </c>
      <c r="G5" s="12">
        <v>15400</v>
      </c>
      <c r="H5" s="8">
        <v>0.7</v>
      </c>
      <c r="I5" s="9">
        <f t="shared" si="0"/>
        <v>10780</v>
      </c>
      <c r="J5" s="10"/>
      <c r="K5" s="3" t="s">
        <v>48</v>
      </c>
    </row>
    <row r="6" spans="1:11" s="3" customFormat="1" x14ac:dyDescent="0.4">
      <c r="A6" s="10">
        <f t="shared" si="1"/>
        <v>5</v>
      </c>
      <c r="B6" s="11" t="s">
        <v>26</v>
      </c>
      <c r="C6" s="10" t="s">
        <v>11</v>
      </c>
      <c r="D6" s="10" t="s">
        <v>3</v>
      </c>
      <c r="E6" s="10" t="s">
        <v>12</v>
      </c>
      <c r="F6" s="12">
        <v>2232</v>
      </c>
      <c r="G6" s="12">
        <v>223200</v>
      </c>
      <c r="H6" s="8">
        <v>0.7</v>
      </c>
      <c r="I6" s="9">
        <f t="shared" si="0"/>
        <v>156240</v>
      </c>
      <c r="J6" s="10"/>
      <c r="K6" s="3" t="s">
        <v>50</v>
      </c>
    </row>
    <row r="7" spans="1:11" x14ac:dyDescent="0.4">
      <c r="A7" s="10">
        <f t="shared" si="1"/>
        <v>6</v>
      </c>
      <c r="B7" s="11" t="s">
        <v>24</v>
      </c>
      <c r="C7" s="10" t="s">
        <v>13</v>
      </c>
      <c r="D7" s="10" t="s">
        <v>3</v>
      </c>
      <c r="E7" s="10" t="s">
        <v>14</v>
      </c>
      <c r="F7" s="12">
        <v>245</v>
      </c>
      <c r="G7" s="12">
        <v>24500</v>
      </c>
      <c r="H7" s="8">
        <v>0.7</v>
      </c>
      <c r="I7" s="9">
        <f t="shared" si="0"/>
        <v>17150</v>
      </c>
      <c r="J7" s="10"/>
      <c r="K7" s="3" t="s">
        <v>50</v>
      </c>
    </row>
    <row r="8" spans="1:11" x14ac:dyDescent="0.4">
      <c r="A8" s="10">
        <f t="shared" si="1"/>
        <v>7</v>
      </c>
      <c r="B8" s="11" t="s">
        <v>26</v>
      </c>
      <c r="C8" s="10" t="s">
        <v>27</v>
      </c>
      <c r="D8" s="10" t="s">
        <v>3</v>
      </c>
      <c r="E8" s="10" t="s">
        <v>28</v>
      </c>
      <c r="F8" s="12">
        <v>983</v>
      </c>
      <c r="G8" s="12">
        <v>98300</v>
      </c>
      <c r="H8" s="8">
        <v>0.7</v>
      </c>
      <c r="I8" s="9">
        <f t="shared" si="0"/>
        <v>68810</v>
      </c>
      <c r="J8" s="10"/>
      <c r="K8" s="3" t="s">
        <v>49</v>
      </c>
    </row>
    <row r="9" spans="1:11" x14ac:dyDescent="0.4">
      <c r="A9" s="10">
        <f t="shared" si="1"/>
        <v>8</v>
      </c>
      <c r="B9" s="11" t="s">
        <v>24</v>
      </c>
      <c r="C9" s="10" t="s">
        <v>27</v>
      </c>
      <c r="D9" s="10" t="s">
        <v>3</v>
      </c>
      <c r="E9" s="10" t="s">
        <v>29</v>
      </c>
      <c r="F9" s="12">
        <v>1172</v>
      </c>
      <c r="G9" s="12">
        <v>117200</v>
      </c>
      <c r="H9" s="8">
        <v>0.7</v>
      </c>
      <c r="I9" s="9">
        <f t="shared" si="0"/>
        <v>82040</v>
      </c>
      <c r="J9" s="10"/>
      <c r="K9" s="3" t="s">
        <v>49</v>
      </c>
    </row>
    <row r="10" spans="1:11" x14ac:dyDescent="0.4">
      <c r="A10" s="10">
        <f t="shared" si="1"/>
        <v>9</v>
      </c>
      <c r="B10" s="11" t="s">
        <v>26</v>
      </c>
      <c r="C10" s="10" t="s">
        <v>27</v>
      </c>
      <c r="D10" s="10" t="s">
        <v>3</v>
      </c>
      <c r="E10" s="10" t="s">
        <v>30</v>
      </c>
      <c r="F10" s="12">
        <v>41</v>
      </c>
      <c r="G10" s="12">
        <v>4100</v>
      </c>
      <c r="H10" s="8">
        <v>0.7</v>
      </c>
      <c r="I10" s="9">
        <f t="shared" si="0"/>
        <v>2870</v>
      </c>
      <c r="J10" s="10"/>
      <c r="K10" s="3" t="s">
        <v>49</v>
      </c>
    </row>
    <row r="11" spans="1:11" x14ac:dyDescent="0.4">
      <c r="A11" s="10">
        <f t="shared" si="1"/>
        <v>10</v>
      </c>
      <c r="B11" s="11" t="s">
        <v>24</v>
      </c>
      <c r="C11" s="10" t="s">
        <v>27</v>
      </c>
      <c r="D11" s="10" t="s">
        <v>3</v>
      </c>
      <c r="E11" s="10" t="s">
        <v>31</v>
      </c>
      <c r="F11" s="12">
        <v>18</v>
      </c>
      <c r="G11" s="12">
        <v>1800</v>
      </c>
      <c r="H11" s="8">
        <v>0.7</v>
      </c>
      <c r="I11" s="9">
        <f t="shared" si="0"/>
        <v>1260</v>
      </c>
      <c r="J11" s="10"/>
      <c r="K11" s="3" t="s">
        <v>49</v>
      </c>
    </row>
    <row r="12" spans="1:11" x14ac:dyDescent="0.4">
      <c r="A12" s="10">
        <f t="shared" si="1"/>
        <v>11</v>
      </c>
      <c r="B12" s="11" t="s">
        <v>24</v>
      </c>
      <c r="C12" s="10" t="s">
        <v>27</v>
      </c>
      <c r="D12" s="10" t="s">
        <v>3</v>
      </c>
      <c r="E12" s="10" t="s">
        <v>32</v>
      </c>
      <c r="F12" s="12">
        <v>350</v>
      </c>
      <c r="G12" s="12">
        <v>35000</v>
      </c>
      <c r="H12" s="8">
        <v>0.7</v>
      </c>
      <c r="I12" s="9">
        <f t="shared" si="0"/>
        <v>24500</v>
      </c>
      <c r="J12" s="10"/>
      <c r="K12" s="3" t="s">
        <v>49</v>
      </c>
    </row>
    <row r="13" spans="1:11" x14ac:dyDescent="0.4">
      <c r="A13" s="10">
        <f t="shared" si="1"/>
        <v>12</v>
      </c>
      <c r="B13" s="11" t="s">
        <v>26</v>
      </c>
      <c r="C13" s="10" t="s">
        <v>27</v>
      </c>
      <c r="D13" s="10" t="s">
        <v>3</v>
      </c>
      <c r="E13" s="10" t="s">
        <v>33</v>
      </c>
      <c r="F13" s="12">
        <v>140</v>
      </c>
      <c r="G13" s="12">
        <v>14000</v>
      </c>
      <c r="H13" s="8">
        <v>0.7</v>
      </c>
      <c r="I13" s="9">
        <f t="shared" si="0"/>
        <v>9800</v>
      </c>
      <c r="J13" s="10"/>
      <c r="K13" s="3" t="s">
        <v>49</v>
      </c>
    </row>
    <row r="14" spans="1:11" x14ac:dyDescent="0.4">
      <c r="A14" s="10">
        <f t="shared" si="1"/>
        <v>13</v>
      </c>
      <c r="B14" s="11" t="s">
        <v>34</v>
      </c>
      <c r="C14" s="10" t="s">
        <v>35</v>
      </c>
      <c r="D14" s="10" t="s">
        <v>3</v>
      </c>
      <c r="E14" s="10" t="s">
        <v>36</v>
      </c>
      <c r="F14" s="12">
        <v>2</v>
      </c>
      <c r="G14" s="12">
        <v>200</v>
      </c>
      <c r="H14" s="8">
        <v>0.7</v>
      </c>
      <c r="I14" s="9">
        <f t="shared" si="0"/>
        <v>140</v>
      </c>
      <c r="J14" s="10"/>
      <c r="K14" s="3" t="s">
        <v>50</v>
      </c>
    </row>
    <row r="15" spans="1:11" x14ac:dyDescent="0.4">
      <c r="A15" s="10">
        <f t="shared" si="1"/>
        <v>14</v>
      </c>
      <c r="B15" s="11" t="s">
        <v>26</v>
      </c>
      <c r="C15" s="10" t="s">
        <v>37</v>
      </c>
      <c r="D15" s="10" t="s">
        <v>3</v>
      </c>
      <c r="E15" s="10" t="s">
        <v>38</v>
      </c>
      <c r="F15" s="12">
        <v>154</v>
      </c>
      <c r="G15" s="12">
        <v>15400</v>
      </c>
      <c r="H15" s="8">
        <v>0.7</v>
      </c>
      <c r="I15" s="9">
        <f t="shared" si="0"/>
        <v>10780</v>
      </c>
      <c r="J15" s="10"/>
      <c r="K15" s="3" t="s">
        <v>50</v>
      </c>
    </row>
    <row r="16" spans="1:11" x14ac:dyDescent="0.4">
      <c r="A16" s="10">
        <f t="shared" si="1"/>
        <v>15</v>
      </c>
      <c r="B16" s="11" t="s">
        <v>34</v>
      </c>
      <c r="C16" s="10" t="s">
        <v>39</v>
      </c>
      <c r="D16" s="10" t="s">
        <v>3</v>
      </c>
      <c r="E16" s="10" t="s">
        <v>40</v>
      </c>
      <c r="F16" s="12">
        <v>135</v>
      </c>
      <c r="G16" s="12">
        <v>13500</v>
      </c>
      <c r="H16" s="8">
        <v>0.7</v>
      </c>
      <c r="I16" s="9">
        <f t="shared" si="0"/>
        <v>9450</v>
      </c>
      <c r="J16" s="10"/>
      <c r="K16" s="3" t="s">
        <v>48</v>
      </c>
    </row>
    <row r="17" spans="1:11" x14ac:dyDescent="0.4">
      <c r="A17" s="10">
        <f t="shared" si="1"/>
        <v>16</v>
      </c>
      <c r="B17" s="11" t="s">
        <v>34</v>
      </c>
      <c r="C17" s="10" t="s">
        <v>41</v>
      </c>
      <c r="D17" s="10" t="s">
        <v>42</v>
      </c>
      <c r="E17" s="10" t="s">
        <v>43</v>
      </c>
      <c r="F17" s="12">
        <v>9</v>
      </c>
      <c r="G17" s="12">
        <v>900</v>
      </c>
      <c r="H17" s="8">
        <v>0.7</v>
      </c>
      <c r="I17" s="9">
        <f t="shared" si="0"/>
        <v>630</v>
      </c>
      <c r="J17" s="10"/>
      <c r="K17" s="3" t="s">
        <v>48</v>
      </c>
    </row>
    <row r="18" spans="1:11" x14ac:dyDescent="0.4">
      <c r="A18" s="10">
        <f t="shared" si="1"/>
        <v>17</v>
      </c>
      <c r="B18" s="11" t="s">
        <v>24</v>
      </c>
      <c r="C18" s="10" t="s">
        <v>27</v>
      </c>
      <c r="D18" s="10" t="s">
        <v>3</v>
      </c>
      <c r="E18" s="10" t="s">
        <v>29</v>
      </c>
      <c r="F18" s="9">
        <v>162</v>
      </c>
      <c r="G18" s="13">
        <v>16200</v>
      </c>
      <c r="H18" s="8">
        <v>0.7</v>
      </c>
      <c r="I18" s="9">
        <f t="shared" si="0"/>
        <v>11340</v>
      </c>
      <c r="J18" s="10" t="s">
        <v>44</v>
      </c>
      <c r="K18" s="3" t="s">
        <v>49</v>
      </c>
    </row>
    <row r="19" spans="1:11" x14ac:dyDescent="0.4">
      <c r="A19" s="10">
        <f t="shared" si="1"/>
        <v>18</v>
      </c>
      <c r="B19" s="11" t="s">
        <v>45</v>
      </c>
      <c r="C19" s="10" t="s">
        <v>27</v>
      </c>
      <c r="D19" s="10" t="s">
        <v>3</v>
      </c>
      <c r="E19" s="10" t="s">
        <v>31</v>
      </c>
      <c r="F19" s="9">
        <v>95</v>
      </c>
      <c r="G19" s="13">
        <v>9500</v>
      </c>
      <c r="H19" s="8">
        <v>0.7</v>
      </c>
      <c r="I19" s="9">
        <f t="shared" si="0"/>
        <v>6650</v>
      </c>
      <c r="J19" s="10" t="s">
        <v>46</v>
      </c>
      <c r="K19" s="3" t="s">
        <v>49</v>
      </c>
    </row>
    <row r="20" spans="1:11" x14ac:dyDescent="0.4">
      <c r="I20" s="14">
        <f>SUM(I2:I19)</f>
        <v>493780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6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8.59765625" bestFit="1" customWidth="1"/>
    <col min="4" max="4" width="7.8984375" bestFit="1" customWidth="1"/>
    <col min="5" max="5" width="24.09765625" bestFit="1" customWidth="1"/>
    <col min="6" max="6" width="6.796875" bestFit="1" customWidth="1"/>
    <col min="7" max="7" width="8.3984375" bestFit="1" customWidth="1"/>
    <col min="8" max="8" width="6.796875" bestFit="1" customWidth="1"/>
    <col min="9" max="9" width="8.3984375" bestFit="1" customWidth="1"/>
    <col min="10" max="10" width="5" bestFit="1" customWidth="1"/>
    <col min="11" max="11" width="10.3984375" bestFit="1" customWidth="1"/>
  </cols>
  <sheetData>
    <row r="1" spans="1:11" x14ac:dyDescent="0.4">
      <c r="A1" s="4" t="s">
        <v>15</v>
      </c>
      <c r="B1" s="4" t="s">
        <v>16</v>
      </c>
      <c r="C1" s="4" t="s">
        <v>17</v>
      </c>
      <c r="D1" s="4" t="s">
        <v>0</v>
      </c>
      <c r="E1" s="4" t="s">
        <v>1</v>
      </c>
      <c r="F1" s="4" t="s">
        <v>18</v>
      </c>
      <c r="G1" s="4" t="s">
        <v>19</v>
      </c>
      <c r="H1" s="5" t="s">
        <v>20</v>
      </c>
      <c r="I1" s="4" t="s">
        <v>21</v>
      </c>
      <c r="J1" s="4" t="s">
        <v>22</v>
      </c>
      <c r="K1" s="15" t="s">
        <v>47</v>
      </c>
    </row>
    <row r="2" spans="1:11" x14ac:dyDescent="0.4">
      <c r="A2" s="6">
        <v>1</v>
      </c>
      <c r="B2" s="6" t="s">
        <v>23</v>
      </c>
      <c r="C2" s="6" t="s">
        <v>2</v>
      </c>
      <c r="D2" s="6" t="s">
        <v>3</v>
      </c>
      <c r="E2" s="6" t="s">
        <v>4</v>
      </c>
      <c r="F2" s="7">
        <v>2</v>
      </c>
      <c r="G2" s="7">
        <v>200</v>
      </c>
      <c r="H2" s="8">
        <v>0.7</v>
      </c>
      <c r="I2" s="9">
        <v>140</v>
      </c>
      <c r="J2" s="10"/>
      <c r="K2" s="3" t="s">
        <v>50</v>
      </c>
    </row>
    <row r="3" spans="1:11" x14ac:dyDescent="0.4">
      <c r="A3" s="10">
        <v>5</v>
      </c>
      <c r="B3" s="11" t="s">
        <v>26</v>
      </c>
      <c r="C3" s="10" t="s">
        <v>11</v>
      </c>
      <c r="D3" s="10" t="s">
        <v>3</v>
      </c>
      <c r="E3" s="10" t="s">
        <v>12</v>
      </c>
      <c r="F3" s="12">
        <v>2232</v>
      </c>
      <c r="G3" s="12">
        <v>223200</v>
      </c>
      <c r="H3" s="8">
        <v>0.7</v>
      </c>
      <c r="I3" s="9">
        <v>156240</v>
      </c>
      <c r="J3" s="10"/>
      <c r="K3" s="3" t="s">
        <v>50</v>
      </c>
    </row>
    <row r="4" spans="1:11" x14ac:dyDescent="0.4">
      <c r="A4" s="10">
        <v>6</v>
      </c>
      <c r="B4" s="11" t="s">
        <v>24</v>
      </c>
      <c r="C4" s="10" t="s">
        <v>13</v>
      </c>
      <c r="D4" s="10" t="s">
        <v>3</v>
      </c>
      <c r="E4" s="10" t="s">
        <v>14</v>
      </c>
      <c r="F4" s="12">
        <v>245</v>
      </c>
      <c r="G4" s="12">
        <v>24500</v>
      </c>
      <c r="H4" s="8">
        <v>0.7</v>
      </c>
      <c r="I4" s="9">
        <v>17150</v>
      </c>
      <c r="J4" s="10"/>
      <c r="K4" s="3" t="s">
        <v>50</v>
      </c>
    </row>
    <row r="5" spans="1:11" x14ac:dyDescent="0.4">
      <c r="A5" s="10">
        <v>13</v>
      </c>
      <c r="B5" s="11" t="s">
        <v>34</v>
      </c>
      <c r="C5" s="10" t="s">
        <v>35</v>
      </c>
      <c r="D5" s="10" t="s">
        <v>3</v>
      </c>
      <c r="E5" s="10" t="s">
        <v>36</v>
      </c>
      <c r="F5" s="12">
        <v>2</v>
      </c>
      <c r="G5" s="12">
        <v>200</v>
      </c>
      <c r="H5" s="8">
        <v>0.7</v>
      </c>
      <c r="I5" s="9">
        <v>140</v>
      </c>
      <c r="J5" s="10"/>
      <c r="K5" s="3" t="s">
        <v>50</v>
      </c>
    </row>
    <row r="6" spans="1:11" x14ac:dyDescent="0.4">
      <c r="A6" s="10">
        <v>14</v>
      </c>
      <c r="B6" s="11" t="s">
        <v>26</v>
      </c>
      <c r="C6" s="10" t="s">
        <v>37</v>
      </c>
      <c r="D6" s="10" t="s">
        <v>3</v>
      </c>
      <c r="E6" s="10" t="s">
        <v>38</v>
      </c>
      <c r="F6" s="12">
        <v>154</v>
      </c>
      <c r="G6" s="12">
        <v>15400</v>
      </c>
      <c r="H6" s="8">
        <v>0.7</v>
      </c>
      <c r="I6" s="9">
        <v>10780</v>
      </c>
      <c r="J6" s="10"/>
      <c r="K6" s="3" t="s">
        <v>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7"/>
  <sheetViews>
    <sheetView workbookViewId="0">
      <selection activeCell="I7" sqref="I7"/>
    </sheetView>
  </sheetViews>
  <sheetFormatPr defaultRowHeight="17.399999999999999" x14ac:dyDescent="0.4"/>
  <cols>
    <col min="1" max="1" width="5" bestFit="1" customWidth="1"/>
    <col min="2" max="3" width="6.796875" bestFit="1" customWidth="1"/>
    <col min="4" max="4" width="7.8984375" bestFit="1" customWidth="1"/>
    <col min="5" max="5" width="24.09765625" bestFit="1" customWidth="1"/>
    <col min="6" max="6" width="6.796875" bestFit="1" customWidth="1"/>
    <col min="7" max="7" width="7.3984375" bestFit="1" customWidth="1"/>
    <col min="8" max="8" width="6.796875" bestFit="1" customWidth="1"/>
    <col min="9" max="9" width="8.296875" bestFit="1" customWidth="1"/>
    <col min="10" max="10" width="5" bestFit="1" customWidth="1"/>
    <col min="11" max="11" width="8.59765625" bestFit="1" customWidth="1"/>
  </cols>
  <sheetData>
    <row r="1" spans="1:11" x14ac:dyDescent="0.4">
      <c r="A1" s="4" t="s">
        <v>15</v>
      </c>
      <c r="B1" s="4" t="s">
        <v>16</v>
      </c>
      <c r="C1" s="4" t="s">
        <v>17</v>
      </c>
      <c r="D1" s="4" t="s">
        <v>0</v>
      </c>
      <c r="E1" s="4" t="s">
        <v>1</v>
      </c>
      <c r="F1" s="4" t="s">
        <v>18</v>
      </c>
      <c r="G1" s="4" t="s">
        <v>19</v>
      </c>
      <c r="H1" s="5" t="s">
        <v>20</v>
      </c>
      <c r="I1" s="4" t="s">
        <v>21</v>
      </c>
      <c r="J1" s="4" t="s">
        <v>22</v>
      </c>
      <c r="K1" s="15" t="s">
        <v>47</v>
      </c>
    </row>
    <row r="2" spans="1:11" x14ac:dyDescent="0.4">
      <c r="A2" s="10">
        <v>2</v>
      </c>
      <c r="B2" s="11" t="s">
        <v>24</v>
      </c>
      <c r="C2" s="10" t="s">
        <v>5</v>
      </c>
      <c r="D2" s="10" t="s">
        <v>3</v>
      </c>
      <c r="E2" s="10" t="s">
        <v>6</v>
      </c>
      <c r="F2" s="12">
        <v>309</v>
      </c>
      <c r="G2" s="12">
        <v>30900</v>
      </c>
      <c r="H2" s="8">
        <v>0.7</v>
      </c>
      <c r="I2" s="9">
        <v>21630</v>
      </c>
      <c r="J2" s="10"/>
      <c r="K2" s="3" t="s">
        <v>48</v>
      </c>
    </row>
    <row r="3" spans="1:11" x14ac:dyDescent="0.4">
      <c r="A3" s="10">
        <v>3</v>
      </c>
      <c r="B3" s="11" t="s">
        <v>25</v>
      </c>
      <c r="C3" s="10" t="s">
        <v>7</v>
      </c>
      <c r="D3" s="10" t="s">
        <v>3</v>
      </c>
      <c r="E3" s="10" t="s">
        <v>8</v>
      </c>
      <c r="F3" s="12">
        <v>851</v>
      </c>
      <c r="G3" s="12">
        <v>85100</v>
      </c>
      <c r="H3" s="8">
        <v>0.7</v>
      </c>
      <c r="I3" s="9">
        <v>59569.999999999993</v>
      </c>
      <c r="J3" s="10"/>
      <c r="K3" s="3" t="s">
        <v>48</v>
      </c>
    </row>
    <row r="4" spans="1:11" x14ac:dyDescent="0.4">
      <c r="A4" s="10">
        <v>4</v>
      </c>
      <c r="B4" s="11" t="s">
        <v>24</v>
      </c>
      <c r="C4" s="10" t="s">
        <v>9</v>
      </c>
      <c r="D4" s="10" t="s">
        <v>3</v>
      </c>
      <c r="E4" s="10" t="s">
        <v>10</v>
      </c>
      <c r="F4" s="12">
        <v>154</v>
      </c>
      <c r="G4" s="12">
        <v>15400</v>
      </c>
      <c r="H4" s="8">
        <v>0.7</v>
      </c>
      <c r="I4" s="9">
        <v>10780</v>
      </c>
      <c r="J4" s="10"/>
      <c r="K4" s="3" t="s">
        <v>48</v>
      </c>
    </row>
    <row r="5" spans="1:11" x14ac:dyDescent="0.4">
      <c r="A5" s="10">
        <v>15</v>
      </c>
      <c r="B5" s="11" t="s">
        <v>34</v>
      </c>
      <c r="C5" s="10" t="s">
        <v>39</v>
      </c>
      <c r="D5" s="10" t="s">
        <v>3</v>
      </c>
      <c r="E5" s="10" t="s">
        <v>40</v>
      </c>
      <c r="F5" s="12">
        <v>135</v>
      </c>
      <c r="G5" s="12">
        <v>13500</v>
      </c>
      <c r="H5" s="8">
        <v>0.7</v>
      </c>
      <c r="I5" s="9">
        <v>9450</v>
      </c>
      <c r="J5" s="10"/>
      <c r="K5" s="3" t="s">
        <v>48</v>
      </c>
    </row>
    <row r="6" spans="1:11" x14ac:dyDescent="0.4">
      <c r="A6" s="10">
        <v>16</v>
      </c>
      <c r="B6" s="11" t="s">
        <v>34</v>
      </c>
      <c r="C6" s="10" t="s">
        <v>41</v>
      </c>
      <c r="D6" s="10" t="s">
        <v>42</v>
      </c>
      <c r="E6" s="10" t="s">
        <v>43</v>
      </c>
      <c r="F6" s="12">
        <v>9</v>
      </c>
      <c r="G6" s="12">
        <v>900</v>
      </c>
      <c r="H6" s="8">
        <v>0.7</v>
      </c>
      <c r="I6" s="9">
        <v>630</v>
      </c>
      <c r="J6" s="10"/>
      <c r="K6" s="3" t="s">
        <v>48</v>
      </c>
    </row>
    <row r="7" spans="1:11" x14ac:dyDescent="0.4">
      <c r="I7" s="14">
        <f>SUM(I2:I6)</f>
        <v>102060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0"/>
  <sheetViews>
    <sheetView workbookViewId="0">
      <selection activeCell="I10" sqref="I10"/>
    </sheetView>
  </sheetViews>
  <sheetFormatPr defaultRowHeight="17.399999999999999" x14ac:dyDescent="0.4"/>
  <cols>
    <col min="1" max="1" width="5" bestFit="1" customWidth="1"/>
    <col min="2" max="2" width="6.796875" bestFit="1" customWidth="1"/>
    <col min="3" max="3" width="9.59765625" bestFit="1" customWidth="1"/>
    <col min="4" max="4" width="7.8984375" bestFit="1" customWidth="1"/>
    <col min="5" max="5" width="29.796875" bestFit="1" customWidth="1"/>
    <col min="6" max="6" width="6.796875" bestFit="1" customWidth="1"/>
    <col min="7" max="7" width="8.3984375" bestFit="1" customWidth="1"/>
    <col min="8" max="8" width="6.796875" bestFit="1" customWidth="1"/>
    <col min="9" max="9" width="8.296875" bestFit="1" customWidth="1"/>
    <col min="10" max="10" width="15" bestFit="1" customWidth="1"/>
    <col min="11" max="11" width="8.59765625" bestFit="1" customWidth="1"/>
  </cols>
  <sheetData>
    <row r="1" spans="1:11" x14ac:dyDescent="0.4">
      <c r="A1" s="4" t="s">
        <v>15</v>
      </c>
      <c r="B1" s="4" t="s">
        <v>16</v>
      </c>
      <c r="C1" s="4" t="s">
        <v>17</v>
      </c>
      <c r="D1" s="4" t="s">
        <v>0</v>
      </c>
      <c r="E1" s="4" t="s">
        <v>1</v>
      </c>
      <c r="F1" s="4" t="s">
        <v>18</v>
      </c>
      <c r="G1" s="4" t="s">
        <v>19</v>
      </c>
      <c r="H1" s="5" t="s">
        <v>20</v>
      </c>
      <c r="I1" s="4" t="s">
        <v>21</v>
      </c>
      <c r="J1" s="4" t="s">
        <v>22</v>
      </c>
      <c r="K1" s="15" t="s">
        <v>47</v>
      </c>
    </row>
    <row r="2" spans="1:11" x14ac:dyDescent="0.4">
      <c r="A2" s="10">
        <v>7</v>
      </c>
      <c r="B2" s="11" t="s">
        <v>26</v>
      </c>
      <c r="C2" s="10" t="s">
        <v>27</v>
      </c>
      <c r="D2" s="10" t="s">
        <v>3</v>
      </c>
      <c r="E2" s="10" t="s">
        <v>28</v>
      </c>
      <c r="F2" s="12">
        <v>983</v>
      </c>
      <c r="G2" s="12">
        <v>98300</v>
      </c>
      <c r="H2" s="8">
        <v>0.7</v>
      </c>
      <c r="I2" s="9">
        <v>68810</v>
      </c>
      <c r="J2" s="10"/>
      <c r="K2" s="3" t="s">
        <v>49</v>
      </c>
    </row>
    <row r="3" spans="1:11" x14ac:dyDescent="0.4">
      <c r="A3" s="10">
        <v>8</v>
      </c>
      <c r="B3" s="11" t="s">
        <v>24</v>
      </c>
      <c r="C3" s="10" t="s">
        <v>27</v>
      </c>
      <c r="D3" s="10" t="s">
        <v>3</v>
      </c>
      <c r="E3" s="10" t="s">
        <v>29</v>
      </c>
      <c r="F3" s="12">
        <v>1172</v>
      </c>
      <c r="G3" s="12">
        <v>117200</v>
      </c>
      <c r="H3" s="8">
        <v>0.7</v>
      </c>
      <c r="I3" s="9">
        <v>82040</v>
      </c>
      <c r="J3" s="10"/>
      <c r="K3" s="3" t="s">
        <v>49</v>
      </c>
    </row>
    <row r="4" spans="1:11" x14ac:dyDescent="0.4">
      <c r="A4" s="10">
        <v>9</v>
      </c>
      <c r="B4" s="11" t="s">
        <v>26</v>
      </c>
      <c r="C4" s="10" t="s">
        <v>27</v>
      </c>
      <c r="D4" s="10" t="s">
        <v>3</v>
      </c>
      <c r="E4" s="10" t="s">
        <v>30</v>
      </c>
      <c r="F4" s="12">
        <v>41</v>
      </c>
      <c r="G4" s="12">
        <v>4100</v>
      </c>
      <c r="H4" s="8">
        <v>0.7</v>
      </c>
      <c r="I4" s="9">
        <v>2870</v>
      </c>
      <c r="J4" s="10"/>
      <c r="K4" s="3" t="s">
        <v>49</v>
      </c>
    </row>
    <row r="5" spans="1:11" x14ac:dyDescent="0.4">
      <c r="A5" s="10">
        <v>10</v>
      </c>
      <c r="B5" s="11" t="s">
        <v>24</v>
      </c>
      <c r="C5" s="10" t="s">
        <v>27</v>
      </c>
      <c r="D5" s="10" t="s">
        <v>3</v>
      </c>
      <c r="E5" s="10" t="s">
        <v>31</v>
      </c>
      <c r="F5" s="12">
        <v>18</v>
      </c>
      <c r="G5" s="12">
        <v>1800</v>
      </c>
      <c r="H5" s="8">
        <v>0.7</v>
      </c>
      <c r="I5" s="9">
        <v>1260</v>
      </c>
      <c r="J5" s="10"/>
      <c r="K5" s="3" t="s">
        <v>49</v>
      </c>
    </row>
    <row r="6" spans="1:11" x14ac:dyDescent="0.4">
      <c r="A6" s="10">
        <v>11</v>
      </c>
      <c r="B6" s="11" t="s">
        <v>24</v>
      </c>
      <c r="C6" s="10" t="s">
        <v>27</v>
      </c>
      <c r="D6" s="10" t="s">
        <v>3</v>
      </c>
      <c r="E6" s="10" t="s">
        <v>32</v>
      </c>
      <c r="F6" s="12">
        <v>350</v>
      </c>
      <c r="G6" s="12">
        <v>35000</v>
      </c>
      <c r="H6" s="8">
        <v>0.7</v>
      </c>
      <c r="I6" s="9">
        <v>24500</v>
      </c>
      <c r="J6" s="10"/>
      <c r="K6" s="3" t="s">
        <v>49</v>
      </c>
    </row>
    <row r="7" spans="1:11" x14ac:dyDescent="0.4">
      <c r="A7" s="10">
        <v>12</v>
      </c>
      <c r="B7" s="11" t="s">
        <v>26</v>
      </c>
      <c r="C7" s="10" t="s">
        <v>27</v>
      </c>
      <c r="D7" s="10" t="s">
        <v>3</v>
      </c>
      <c r="E7" s="10" t="s">
        <v>33</v>
      </c>
      <c r="F7" s="12">
        <v>140</v>
      </c>
      <c r="G7" s="12">
        <v>14000</v>
      </c>
      <c r="H7" s="8">
        <v>0.7</v>
      </c>
      <c r="I7" s="9">
        <v>9800</v>
      </c>
      <c r="J7" s="10"/>
      <c r="K7" s="3" t="s">
        <v>49</v>
      </c>
    </row>
    <row r="8" spans="1:11" x14ac:dyDescent="0.4">
      <c r="A8" s="10">
        <v>17</v>
      </c>
      <c r="B8" s="11" t="s">
        <v>24</v>
      </c>
      <c r="C8" s="10" t="s">
        <v>27</v>
      </c>
      <c r="D8" s="10" t="s">
        <v>3</v>
      </c>
      <c r="E8" s="10" t="s">
        <v>29</v>
      </c>
      <c r="F8" s="9">
        <v>162</v>
      </c>
      <c r="G8" s="13">
        <v>16200</v>
      </c>
      <c r="H8" s="8">
        <v>0.7</v>
      </c>
      <c r="I8" s="9">
        <v>11340</v>
      </c>
      <c r="J8" s="10" t="s">
        <v>44</v>
      </c>
      <c r="K8" s="3" t="s">
        <v>49</v>
      </c>
    </row>
    <row r="9" spans="1:11" x14ac:dyDescent="0.4">
      <c r="A9" s="10">
        <v>18</v>
      </c>
      <c r="B9" s="11" t="s">
        <v>34</v>
      </c>
      <c r="C9" s="10" t="s">
        <v>27</v>
      </c>
      <c r="D9" s="10" t="s">
        <v>3</v>
      </c>
      <c r="E9" s="10" t="s">
        <v>31</v>
      </c>
      <c r="F9" s="9">
        <v>95</v>
      </c>
      <c r="G9" s="13">
        <v>9500</v>
      </c>
      <c r="H9" s="8">
        <v>0.7</v>
      </c>
      <c r="I9" s="9">
        <v>6650</v>
      </c>
      <c r="J9" s="10" t="s">
        <v>44</v>
      </c>
      <c r="K9" s="3" t="s">
        <v>49</v>
      </c>
    </row>
    <row r="10" spans="1:11" x14ac:dyDescent="0.4">
      <c r="I10" s="14">
        <f>SUM(I2:I9)</f>
        <v>207270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합계(2)</vt:lpstr>
      <vt:lpstr>스토리위즈</vt:lpstr>
      <vt:lpstr>더컴퍼니</vt:lpstr>
      <vt:lpstr>에필로그</vt:lpstr>
      <vt:lpstr>더컴퍼니!Extract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jihui</cp:lastModifiedBy>
  <dcterms:created xsi:type="dcterms:W3CDTF">2019-04-01T11:26:31Z</dcterms:created>
  <dcterms:modified xsi:type="dcterms:W3CDTF">2022-03-06T06:15:09Z</dcterms:modified>
</cp:coreProperties>
</file>