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604"/>
  </bookViews>
  <sheets>
    <sheet name="합계(2)" sheetId="1" r:id="rId1"/>
  </sheets>
  <definedNames>
    <definedName name="_xlnm._FilterDatabase" localSheetId="0" hidden="1">'합계(2)'!$A$1:$O$1</definedName>
  </definedNames>
  <calcPr calcId="152511"/>
</workbook>
</file>

<file path=xl/calcChain.xml><?xml version="1.0" encoding="utf-8"?>
<calcChain xmlns="http://schemas.openxmlformats.org/spreadsheetml/2006/main">
  <c r="O14" i="1" l="1"/>
</calcChain>
</file>

<file path=xl/sharedStrings.xml><?xml version="1.0" encoding="utf-8"?>
<sst xmlns="http://schemas.openxmlformats.org/spreadsheetml/2006/main" count="51" uniqueCount="22">
  <si>
    <t>NO</t>
  </si>
  <si>
    <t>작가</t>
  </si>
  <si>
    <t>타이틀</t>
  </si>
  <si>
    <t>코인</t>
  </si>
  <si>
    <t>금액</t>
  </si>
  <si>
    <t>결제</t>
  </si>
  <si>
    <t>이벤트</t>
  </si>
  <si>
    <t>미나세 치호</t>
  </si>
  <si>
    <t>감옥실험</t>
  </si>
  <si>
    <t>아라시야마</t>
  </si>
  <si>
    <t>이세계 소환은 두 번째라구요</t>
  </si>
  <si>
    <t>건일</t>
  </si>
  <si>
    <t>별빛 아래 우리</t>
  </si>
  <si>
    <t>M</t>
  </si>
  <si>
    <t>A</t>
  </si>
  <si>
    <t>플랫폼</t>
  </si>
  <si>
    <t>정산비율</t>
  </si>
  <si>
    <t>정산액</t>
  </si>
  <si>
    <t>W</t>
  </si>
  <si>
    <t>수수료공제액</t>
    <phoneticPr fontId="19" type="noConversion"/>
  </si>
  <si>
    <t>Ice×FANFAN</t>
  </si>
  <si>
    <t>폭군의 눈물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</si>
</sst>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33" borderId="0" xfId="0" applyNumberFormat="1" applyFill="1">
      <alignment vertical="center"/>
    </xf>
    <xf numFmtId="0" fontId="20" fillId="0" borderId="11" xfId="0" applyFont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20" fillId="0" borderId="11" xfId="0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showGridLines="0" tabSelected="1" workbookViewId="0">
      <selection activeCell="O14" sqref="O14"/>
    </sheetView>
  </sheetViews>
  <sheetFormatPr defaultRowHeight="17.399999999999999" x14ac:dyDescent="0.4"/>
  <cols>
    <col min="1" max="1" width="4.69921875" customWidth="1"/>
    <col min="2" max="2" width="12.09765625" customWidth="1"/>
    <col min="3" max="3" width="14.59765625" customWidth="1"/>
    <col min="4" max="4" width="6.5" bestFit="1" customWidth="1"/>
    <col min="5" max="5" width="24" customWidth="1"/>
    <col min="6" max="7" width="11.296875" customWidth="1"/>
    <col min="8" max="8" width="9.8984375" customWidth="1"/>
    <col min="9" max="9" width="5.5" customWidth="1"/>
    <col min="10" max="10" width="8.5" customWidth="1"/>
    <col min="11" max="11" width="9.3984375" customWidth="1"/>
    <col min="12" max="12" width="10.3984375" customWidth="1"/>
    <col min="13" max="13" width="8" customWidth="1"/>
    <col min="14" max="14" width="10.09765625" customWidth="1"/>
    <col min="15" max="15" width="13.296875" customWidth="1"/>
    <col min="16" max="16" width="10" customWidth="1"/>
  </cols>
  <sheetData>
    <row r="1" spans="1:15" x14ac:dyDescent="0.4">
      <c r="A1" s="6" t="s">
        <v>0</v>
      </c>
      <c r="B1" s="6" t="s">
        <v>1</v>
      </c>
      <c r="C1" s="6" t="s">
        <v>2</v>
      </c>
      <c r="D1" s="6" t="s">
        <v>15</v>
      </c>
      <c r="E1" s="7" t="s">
        <v>3</v>
      </c>
      <c r="F1" s="7" t="s">
        <v>4</v>
      </c>
      <c r="G1" s="7" t="s">
        <v>3</v>
      </c>
      <c r="H1" s="7" t="s">
        <v>4</v>
      </c>
      <c r="I1" s="7" t="s">
        <v>3</v>
      </c>
      <c r="J1" s="7" t="s">
        <v>4</v>
      </c>
      <c r="K1" s="7" t="s">
        <v>5</v>
      </c>
      <c r="L1" s="7" t="s">
        <v>6</v>
      </c>
      <c r="M1" s="8" t="s">
        <v>19</v>
      </c>
      <c r="N1" s="6" t="s">
        <v>16</v>
      </c>
      <c r="O1" s="6" t="s">
        <v>17</v>
      </c>
    </row>
    <row r="2" spans="1:15" x14ac:dyDescent="0.4">
      <c r="A2" s="9">
        <v>2</v>
      </c>
      <c r="B2" s="9" t="s">
        <v>7</v>
      </c>
      <c r="C2" s="9" t="s">
        <v>8</v>
      </c>
      <c r="D2" s="2" t="s">
        <v>13</v>
      </c>
      <c r="E2" s="3">
        <v>20285</v>
      </c>
      <c r="F2" s="3">
        <v>2028500</v>
      </c>
      <c r="G2" s="4">
        <v>0</v>
      </c>
      <c r="H2" s="4">
        <v>0</v>
      </c>
      <c r="I2" s="3">
        <v>20285</v>
      </c>
      <c r="J2" s="3">
        <v>2028500</v>
      </c>
      <c r="K2" s="4">
        <v>0</v>
      </c>
      <c r="L2" s="4">
        <v>0</v>
      </c>
      <c r="M2" s="3">
        <v>2028500</v>
      </c>
      <c r="N2" s="5"/>
      <c r="O2" s="3">
        <v>1419950</v>
      </c>
    </row>
    <row r="3" spans="1:15" x14ac:dyDescent="0.4">
      <c r="A3" s="9">
        <v>3</v>
      </c>
      <c r="B3" s="9" t="s">
        <v>7</v>
      </c>
      <c r="C3" s="9" t="s">
        <v>8</v>
      </c>
      <c r="D3" s="2" t="s">
        <v>18</v>
      </c>
      <c r="E3" s="4">
        <v>468</v>
      </c>
      <c r="F3" s="3">
        <v>46800</v>
      </c>
      <c r="G3" s="4">
        <v>0</v>
      </c>
      <c r="H3" s="4">
        <v>0</v>
      </c>
      <c r="I3" s="4">
        <v>468</v>
      </c>
      <c r="J3" s="3">
        <v>46800</v>
      </c>
      <c r="K3" s="4">
        <v>0</v>
      </c>
      <c r="L3" s="4">
        <v>0</v>
      </c>
      <c r="M3" s="3">
        <v>46800</v>
      </c>
      <c r="N3" s="5"/>
      <c r="O3" s="3">
        <v>32760</v>
      </c>
    </row>
    <row r="4" spans="1:15" x14ac:dyDescent="0.4">
      <c r="A4" s="9">
        <v>4</v>
      </c>
      <c r="B4" s="9" t="s">
        <v>7</v>
      </c>
      <c r="C4" s="9" t="s">
        <v>8</v>
      </c>
      <c r="D4" s="2" t="s">
        <v>14</v>
      </c>
      <c r="E4" s="3">
        <v>3383</v>
      </c>
      <c r="F4" s="3">
        <v>338300</v>
      </c>
      <c r="G4" s="4">
        <v>0</v>
      </c>
      <c r="H4" s="4">
        <v>0</v>
      </c>
      <c r="I4" s="3">
        <v>3383</v>
      </c>
      <c r="J4" s="3">
        <v>338300</v>
      </c>
      <c r="K4" s="4">
        <v>0</v>
      </c>
      <c r="L4" s="4">
        <v>0</v>
      </c>
      <c r="M4" s="3">
        <v>338300</v>
      </c>
      <c r="N4" s="5"/>
      <c r="O4" s="3">
        <v>236810</v>
      </c>
    </row>
    <row r="5" spans="1:15" x14ac:dyDescent="0.4">
      <c r="A5" s="9">
        <v>3</v>
      </c>
      <c r="B5" s="9" t="s">
        <v>11</v>
      </c>
      <c r="C5" s="9" t="s">
        <v>12</v>
      </c>
      <c r="D5" s="2" t="s">
        <v>13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5"/>
      <c r="O5" s="4">
        <v>0</v>
      </c>
    </row>
    <row r="6" spans="1:15" x14ac:dyDescent="0.4">
      <c r="A6" s="9">
        <v>4</v>
      </c>
      <c r="B6" s="9" t="s">
        <v>11</v>
      </c>
      <c r="C6" s="9" t="s">
        <v>12</v>
      </c>
      <c r="D6" s="2" t="s">
        <v>18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5"/>
      <c r="O6" s="4">
        <v>0</v>
      </c>
    </row>
    <row r="7" spans="1:15" x14ac:dyDescent="0.4">
      <c r="A7" s="9">
        <v>5</v>
      </c>
      <c r="B7" s="9" t="s">
        <v>11</v>
      </c>
      <c r="C7" s="9" t="s">
        <v>12</v>
      </c>
      <c r="D7" s="2" t="s">
        <v>14</v>
      </c>
      <c r="E7" s="4">
        <v>12</v>
      </c>
      <c r="F7" s="3">
        <v>1200</v>
      </c>
      <c r="G7" s="4">
        <v>0</v>
      </c>
      <c r="H7" s="4">
        <v>0</v>
      </c>
      <c r="I7" s="4">
        <v>12</v>
      </c>
      <c r="J7" s="3">
        <v>1200</v>
      </c>
      <c r="K7" s="4">
        <v>0</v>
      </c>
      <c r="L7" s="4">
        <v>0</v>
      </c>
      <c r="M7" s="3">
        <v>1200</v>
      </c>
      <c r="N7" s="5"/>
      <c r="O7" s="4">
        <v>840</v>
      </c>
    </row>
    <row r="8" spans="1:15" x14ac:dyDescent="0.4">
      <c r="A8" s="9">
        <v>4</v>
      </c>
      <c r="B8" s="9" t="s">
        <v>20</v>
      </c>
      <c r="C8" s="9" t="s">
        <v>21</v>
      </c>
      <c r="D8" s="2" t="s">
        <v>13</v>
      </c>
      <c r="E8" s="4">
        <v>76</v>
      </c>
      <c r="F8" s="3">
        <v>7600</v>
      </c>
      <c r="G8" s="4">
        <v>0</v>
      </c>
      <c r="H8" s="4">
        <v>0</v>
      </c>
      <c r="I8" s="4">
        <v>76</v>
      </c>
      <c r="J8" s="3">
        <v>7600</v>
      </c>
      <c r="K8" s="4">
        <v>0</v>
      </c>
      <c r="L8" s="4">
        <v>0</v>
      </c>
      <c r="M8" s="3">
        <v>7600</v>
      </c>
      <c r="N8" s="5"/>
      <c r="O8" s="3">
        <v>5320</v>
      </c>
    </row>
    <row r="9" spans="1:15" x14ac:dyDescent="0.4">
      <c r="A9" s="9">
        <v>5</v>
      </c>
      <c r="B9" s="9" t="s">
        <v>20</v>
      </c>
      <c r="C9" s="9" t="s">
        <v>21</v>
      </c>
      <c r="D9" s="2" t="s">
        <v>18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5"/>
      <c r="O9" s="4">
        <v>0</v>
      </c>
    </row>
    <row r="10" spans="1:15" x14ac:dyDescent="0.4">
      <c r="A10" s="9">
        <v>6</v>
      </c>
      <c r="B10" s="9" t="s">
        <v>20</v>
      </c>
      <c r="C10" s="9" t="s">
        <v>21</v>
      </c>
      <c r="D10" s="2" t="s">
        <v>14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5"/>
      <c r="O10" s="4">
        <v>0</v>
      </c>
    </row>
    <row r="11" spans="1:15" x14ac:dyDescent="0.4">
      <c r="A11" s="9">
        <v>5</v>
      </c>
      <c r="B11" s="9" t="s">
        <v>9</v>
      </c>
      <c r="C11" s="9" t="s">
        <v>10</v>
      </c>
      <c r="D11" s="2" t="s">
        <v>13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5"/>
      <c r="O11" s="4">
        <v>0</v>
      </c>
    </row>
    <row r="12" spans="1:15" x14ac:dyDescent="0.4">
      <c r="A12" s="9">
        <v>6</v>
      </c>
      <c r="B12" s="9" t="s">
        <v>9</v>
      </c>
      <c r="C12" s="9" t="s">
        <v>10</v>
      </c>
      <c r="D12" s="2" t="s">
        <v>18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5"/>
      <c r="O12" s="4">
        <v>0</v>
      </c>
    </row>
    <row r="13" spans="1:15" x14ac:dyDescent="0.4">
      <c r="A13" s="9">
        <v>7</v>
      </c>
      <c r="B13" s="9" t="s">
        <v>9</v>
      </c>
      <c r="C13" s="9" t="s">
        <v>10</v>
      </c>
      <c r="D13" s="2" t="s">
        <v>14</v>
      </c>
      <c r="E13" s="4">
        <v>36</v>
      </c>
      <c r="F13" s="3">
        <v>3600</v>
      </c>
      <c r="G13" s="4">
        <v>0</v>
      </c>
      <c r="H13" s="4">
        <v>0</v>
      </c>
      <c r="I13" s="4">
        <v>36</v>
      </c>
      <c r="J13" s="3">
        <v>3600</v>
      </c>
      <c r="K13" s="4">
        <v>0</v>
      </c>
      <c r="L13" s="4">
        <v>0</v>
      </c>
      <c r="M13" s="3">
        <v>3600</v>
      </c>
      <c r="N13" s="5"/>
      <c r="O13" s="3">
        <v>2520</v>
      </c>
    </row>
    <row r="14" spans="1:15" x14ac:dyDescent="0.4">
      <c r="O14" s="1">
        <f>SUM(O2:O13)</f>
        <v>1698200</v>
      </c>
    </row>
  </sheetData>
  <autoFilter ref="A1:O1"/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kim</dc:creator>
  <cp:lastModifiedBy>jihui</cp:lastModifiedBy>
  <dcterms:created xsi:type="dcterms:W3CDTF">2021-01-06T07:05:45Z</dcterms:created>
  <dcterms:modified xsi:type="dcterms:W3CDTF">2022-03-05T07:14:37Z</dcterms:modified>
</cp:coreProperties>
</file>