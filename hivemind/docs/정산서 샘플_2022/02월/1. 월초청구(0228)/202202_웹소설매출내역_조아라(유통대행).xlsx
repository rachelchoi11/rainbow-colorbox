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131)\"/>
    </mc:Choice>
  </mc:AlternateContent>
  <bookViews>
    <workbookView xWindow="0" yWindow="0" windowWidth="23040" windowHeight="8952" tabRatio="930"/>
  </bookViews>
  <sheets>
    <sheet name="합계 (1)" sheetId="563" r:id="rId1"/>
    <sheet name="에필로그" sheetId="566" r:id="rId2"/>
    <sheet name="더컴퍼니" sheetId="567" r:id="rId3"/>
  </sheets>
  <definedNames>
    <definedName name="_xlnm._FilterDatabase" localSheetId="0" hidden="1">'합계 (1)'!$A$1:$H$46</definedName>
    <definedName name="_xlnm.Extract" localSheetId="2">더컴퍼니!$A$1:$H$1</definedName>
    <definedName name="_xlnm.Extract" localSheetId="1">에필로그!$A$1:$H$1</definedName>
    <definedName name="_xlnm.Extract" localSheetId="0">'합계 (1)'!#REF!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" i="567" l="1"/>
  <c r="G9" i="566"/>
  <c r="G39" i="563"/>
  <c r="E42" i="563" s="1"/>
  <c r="E44" i="563" l="1"/>
  <c r="E45" i="563" s="1"/>
  <c r="E46" i="563" l="1"/>
</calcChain>
</file>

<file path=xl/sharedStrings.xml><?xml version="1.0" encoding="utf-8"?>
<sst xmlns="http://schemas.openxmlformats.org/spreadsheetml/2006/main" count="254" uniqueCount="81">
  <si>
    <t>면세금액</t>
    <phoneticPr fontId="2" type="noConversion"/>
  </si>
  <si>
    <t>세금(VAT포함) 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</si>
  <si>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</si>
  <si>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</si>
  <si>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</si>
  <si>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</si>
  <si>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</si>
  <si>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후원쿠폰정산금액</t>
    <phoneticPr fontId="2" type="noConversion"/>
  </si>
  <si>
    <t>폭군의 공물</t>
  </si>
  <si>
    <t>나는 내 연인의 것</t>
  </si>
  <si>
    <t>이세계 최강 군바리</t>
  </si>
  <si>
    <t>정산금액</t>
  </si>
  <si>
    <t>판매건수</t>
  </si>
  <si>
    <t>작품코드</t>
  </si>
  <si>
    <t>신들의 성소</t>
  </si>
  <si>
    <t>작품명</t>
  </si>
  <si>
    <t>단가</t>
  </si>
  <si>
    <t>비율</t>
  </si>
  <si>
    <t>작가명</t>
  </si>
  <si>
    <t>협행마</t>
  </si>
  <si>
    <t>여러해살이풀</t>
  </si>
  <si>
    <t>SISSI</t>
  </si>
  <si>
    <t>강산</t>
  </si>
  <si>
    <t>jooki</t>
  </si>
  <si>
    <t>중년바나나</t>
  </si>
  <si>
    <t>진도넛</t>
  </si>
  <si>
    <t>법보다 주먹</t>
  </si>
  <si>
    <t xml:space="preserve">개만도 못한 </t>
  </si>
  <si>
    <t>출판사</t>
    <phoneticPr fontId="2" type="noConversion"/>
  </si>
  <si>
    <t>백범</t>
  </si>
  <si>
    <t>마지막 춤은  악인과 함께</t>
  </si>
  <si>
    <t>진짜 사나이!</t>
  </si>
  <si>
    <t>더 캡틴</t>
  </si>
  <si>
    <t>지니</t>
  </si>
  <si>
    <t>미칠 광(狂)  너에게 미치다</t>
  </si>
  <si>
    <t>녹아내리다</t>
  </si>
  <si>
    <t>남창목가</t>
  </si>
  <si>
    <t>육식주의자</t>
  </si>
  <si>
    <t>너드 공략집</t>
  </si>
  <si>
    <t>로맨스는 아닙니다</t>
  </si>
  <si>
    <t>선배님  흔들어주세요</t>
  </si>
  <si>
    <t>김매콤</t>
  </si>
  <si>
    <t>최재봉</t>
  </si>
  <si>
    <t>정연서</t>
  </si>
  <si>
    <t>투즈</t>
  </si>
  <si>
    <t>해양정원</t>
  </si>
  <si>
    <t>이다겸</t>
  </si>
  <si>
    <t>에필로그</t>
  </si>
  <si>
    <t>더컴퍼니</t>
  </si>
  <si>
    <t>너만 모르는 연애</t>
  </si>
  <si>
    <t>끝까지  지독하게</t>
  </si>
  <si>
    <t>뉴욕 키스 스캔들</t>
  </si>
  <si>
    <t>달을 쫓는 하운드</t>
  </si>
  <si>
    <t>군주  다시 귀환하다</t>
  </si>
  <si>
    <t>더블 파울(Double Foul)</t>
  </si>
  <si>
    <t>자비를 베푸소서(Miserere Nobis)</t>
  </si>
  <si>
    <t>술탄</t>
  </si>
  <si>
    <t>더티독</t>
  </si>
  <si>
    <t>하고 싶어</t>
  </si>
  <si>
    <t>모어 댄 블루</t>
  </si>
  <si>
    <t>라스트 스노우폴(Last Snowfall)</t>
  </si>
  <si>
    <t>붉은 가을이 깃드는 너에게</t>
  </si>
  <si>
    <t>비터  비터(Bitter  Bitter)</t>
  </si>
  <si>
    <t>사계(Four Season)</t>
  </si>
  <si>
    <t>달보드레</t>
  </si>
  <si>
    <t>하루하루</t>
  </si>
  <si>
    <t>미세한 매력</t>
  </si>
  <si>
    <t>홍염의 덫</t>
  </si>
  <si>
    <t>이 맛에 산다</t>
  </si>
  <si>
    <t>용병수칙</t>
  </si>
  <si>
    <t>이예즈</t>
  </si>
  <si>
    <t>나나코</t>
  </si>
  <si>
    <t>채플린</t>
  </si>
  <si>
    <t>설연</t>
  </si>
  <si>
    <t>시아</t>
  </si>
  <si>
    <t>용가리맛쿠키</t>
  </si>
  <si>
    <t>진태이</t>
  </si>
  <si>
    <t>카에트</t>
  </si>
  <si>
    <t>라에르</t>
  </si>
  <si>
    <t>사틴</t>
  </si>
  <si>
    <t>무슈슈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</si>
</sst>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4" borderId="1" xfId="2" applyFill="1" applyBorder="1">
      <alignment vertical="center"/>
    </xf>
    <xf numFmtId="0" fontId="5" fillId="3" borderId="1" xfId="2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176" fontId="5" fillId="3" borderId="0" xfId="1" applyFont="1" applyFill="1">
      <alignment vertical="center"/>
    </xf>
    <xf numFmtId="0" fontId="5" fillId="0" borderId="0" xfId="4">
      <alignment vertical="center"/>
    </xf>
    <xf numFmtId="9" fontId="5" fillId="0" borderId="0" xfId="4" applyNumberFormat="1">
      <alignment vertical="center"/>
    </xf>
    <xf numFmtId="0" fontId="5" fillId="0" borderId="0" xfId="5">
      <alignment vertical="center"/>
    </xf>
    <xf numFmtId="9" fontId="5" fillId="0" borderId="0" xfId="5" applyNumberFormat="1">
      <alignment vertical="center"/>
    </xf>
    <xf numFmtId="176" fontId="5" fillId="3" borderId="1" xfId="1" applyFont="1" applyFill="1" applyBorder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176" fontId="0" fillId="3" borderId="0" xfId="0" applyNumberFormat="1" applyFill="1">
      <alignment vertical="center"/>
    </xf>
  </cellXfs>
  <cellStyles count="6">
    <cellStyle name="쉼표 [0]" xfId="1" builtinId="6"/>
    <cellStyle name="표준" xfId="0" builtinId="0"/>
    <cellStyle name="표준_합계 (11)" xfId="4"/>
    <cellStyle name="표준_합계 (12)" xfId="5"/>
    <cellStyle name="표준_합계 (7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6"/>
  <sheetViews>
    <sheetView tabSelected="1" topLeftCell="A19" zoomScale="70" zoomScaleNormal="70" workbookViewId="0">
      <selection activeCell="G39" sqref="G39"/>
    </sheetView>
  </sheetViews>
  <sheetFormatPr defaultColWidth="9" defaultRowHeight="17.399999999999999" x14ac:dyDescent="0.4"/>
  <cols>
    <col min="1" max="1" width="29" style="3" customWidth="1"/>
    <col min="2" max="2" width="11.296875" style="2" customWidth="1"/>
    <col min="3" max="3" width="13.296875" style="2" customWidth="1"/>
    <col min="4" max="4" width="19.5" style="6" customWidth="1"/>
    <col min="5" max="5" width="12.5" style="2" customWidth="1"/>
    <col min="6" max="6" width="10.3984375" style="3" customWidth="1"/>
    <col min="7" max="7" width="17" style="20" customWidth="1"/>
    <col min="8" max="16384" width="9" style="2"/>
  </cols>
  <sheetData>
    <row r="1" spans="1:8" ht="25.05" customHeight="1" x14ac:dyDescent="0.4">
      <c r="A1" s="9" t="s">
        <v>15</v>
      </c>
      <c r="B1" s="9" t="s">
        <v>13</v>
      </c>
      <c r="C1" s="10" t="s">
        <v>18</v>
      </c>
      <c r="D1" s="9" t="s">
        <v>16</v>
      </c>
      <c r="E1" s="9" t="s">
        <v>12</v>
      </c>
      <c r="F1" s="9" t="s">
        <v>17</v>
      </c>
      <c r="G1" s="18" t="s">
        <v>11</v>
      </c>
      <c r="H1" s="10" t="s">
        <v>28</v>
      </c>
    </row>
    <row r="2" spans="1:8" x14ac:dyDescent="0.4">
      <c r="A2" s="16" t="s">
        <v>10</v>
      </c>
      <c r="B2" s="16">
        <v>1375113</v>
      </c>
      <c r="C2" s="16" t="s">
        <v>19</v>
      </c>
      <c r="D2" s="16">
        <v>100</v>
      </c>
      <c r="E2" s="16">
        <v>29</v>
      </c>
      <c r="F2" s="17">
        <v>0.6</v>
      </c>
      <c r="G2" s="19">
        <v>1740</v>
      </c>
      <c r="H2" s="16" t="s">
        <v>47</v>
      </c>
    </row>
    <row r="3" spans="1:8" x14ac:dyDescent="0.4">
      <c r="A3" s="16" t="s">
        <v>26</v>
      </c>
      <c r="B3" s="16">
        <v>1462888</v>
      </c>
      <c r="C3" s="16" t="s">
        <v>22</v>
      </c>
      <c r="D3" s="16">
        <v>100</v>
      </c>
      <c r="E3" s="16">
        <v>237</v>
      </c>
      <c r="F3" s="17">
        <v>0.6</v>
      </c>
      <c r="G3" s="19">
        <v>14220</v>
      </c>
      <c r="H3" s="16" t="s">
        <v>47</v>
      </c>
    </row>
    <row r="4" spans="1:8" ht="19.2" customHeight="1" x14ac:dyDescent="0.4">
      <c r="A4" s="16" t="s">
        <v>58</v>
      </c>
      <c r="B4" s="16">
        <v>1494931</v>
      </c>
      <c r="C4" s="16" t="s">
        <v>74</v>
      </c>
      <c r="D4" s="16">
        <v>100</v>
      </c>
      <c r="E4" s="16">
        <v>70</v>
      </c>
      <c r="F4" s="17">
        <v>0.6</v>
      </c>
      <c r="G4" s="19">
        <v>4200</v>
      </c>
      <c r="H4" s="16" t="s">
        <v>48</v>
      </c>
    </row>
    <row r="5" spans="1:8" x14ac:dyDescent="0.4">
      <c r="A5" s="16" t="s">
        <v>8</v>
      </c>
      <c r="B5" s="16">
        <v>1502380</v>
      </c>
      <c r="C5" s="16" t="s">
        <v>20</v>
      </c>
      <c r="D5" s="16">
        <v>100</v>
      </c>
      <c r="E5" s="16">
        <v>12</v>
      </c>
      <c r="F5" s="17">
        <v>0.6</v>
      </c>
      <c r="G5" s="19">
        <v>720</v>
      </c>
      <c r="H5" s="16" t="s">
        <v>48</v>
      </c>
    </row>
    <row r="6" spans="1:8" x14ac:dyDescent="0.4">
      <c r="A6" s="16" t="s">
        <v>59</v>
      </c>
      <c r="B6" s="16">
        <v>1502386</v>
      </c>
      <c r="C6" s="16" t="s">
        <v>71</v>
      </c>
      <c r="D6" s="16">
        <v>100</v>
      </c>
      <c r="E6" s="16">
        <v>4</v>
      </c>
      <c r="F6" s="17">
        <v>0.6</v>
      </c>
      <c r="G6" s="19">
        <v>240</v>
      </c>
      <c r="H6" s="16" t="s">
        <v>48</v>
      </c>
    </row>
    <row r="7" spans="1:8" x14ac:dyDescent="0.4">
      <c r="A7" s="16" t="s">
        <v>56</v>
      </c>
      <c r="B7" s="16">
        <v>1502852</v>
      </c>
      <c r="C7" s="16" t="s">
        <v>23</v>
      </c>
      <c r="D7" s="16">
        <v>100</v>
      </c>
      <c r="E7" s="16">
        <v>7</v>
      </c>
      <c r="F7" s="17">
        <v>0.6</v>
      </c>
      <c r="G7" s="19">
        <v>420</v>
      </c>
      <c r="H7" s="16" t="s">
        <v>48</v>
      </c>
    </row>
    <row r="8" spans="1:8" x14ac:dyDescent="0.4">
      <c r="A8" s="16" t="s">
        <v>57</v>
      </c>
      <c r="B8" s="16">
        <v>1504022</v>
      </c>
      <c r="C8" s="16" t="s">
        <v>75</v>
      </c>
      <c r="D8" s="16">
        <v>100</v>
      </c>
      <c r="E8" s="16">
        <v>89</v>
      </c>
      <c r="F8" s="17">
        <v>0.6</v>
      </c>
      <c r="G8" s="19">
        <v>5340</v>
      </c>
      <c r="H8" s="16" t="s">
        <v>48</v>
      </c>
    </row>
    <row r="9" spans="1:8" x14ac:dyDescent="0.4">
      <c r="A9" s="16" t="s">
        <v>9</v>
      </c>
      <c r="B9" s="16">
        <v>1506057</v>
      </c>
      <c r="C9" s="16" t="s">
        <v>21</v>
      </c>
      <c r="D9" s="16">
        <v>100</v>
      </c>
      <c r="E9" s="16">
        <v>26</v>
      </c>
      <c r="F9" s="17">
        <v>0.6</v>
      </c>
      <c r="G9" s="19">
        <v>1560</v>
      </c>
      <c r="H9" s="16" t="s">
        <v>48</v>
      </c>
    </row>
    <row r="10" spans="1:8" x14ac:dyDescent="0.4">
      <c r="A10" s="16" t="s">
        <v>30</v>
      </c>
      <c r="B10" s="16">
        <v>1506317</v>
      </c>
      <c r="C10" s="16" t="s">
        <v>21</v>
      </c>
      <c r="D10" s="16">
        <v>100</v>
      </c>
      <c r="E10" s="16">
        <v>45</v>
      </c>
      <c r="F10" s="17">
        <v>0.6</v>
      </c>
      <c r="G10" s="19">
        <v>2700</v>
      </c>
      <c r="H10" s="16" t="s">
        <v>48</v>
      </c>
    </row>
    <row r="11" spans="1:8" x14ac:dyDescent="0.4">
      <c r="A11" s="16" t="s">
        <v>50</v>
      </c>
      <c r="B11" s="16">
        <v>1506318</v>
      </c>
      <c r="C11" s="16" t="s">
        <v>76</v>
      </c>
      <c r="D11" s="16">
        <v>100</v>
      </c>
      <c r="E11" s="16">
        <v>58</v>
      </c>
      <c r="F11" s="17">
        <v>0.6</v>
      </c>
      <c r="G11" s="19">
        <v>3480</v>
      </c>
      <c r="H11" s="16" t="s">
        <v>48</v>
      </c>
    </row>
    <row r="12" spans="1:8" x14ac:dyDescent="0.4">
      <c r="A12" s="16" t="s">
        <v>52</v>
      </c>
      <c r="B12" s="16">
        <v>1506847</v>
      </c>
      <c r="C12" s="16" t="s">
        <v>72</v>
      </c>
      <c r="D12" s="16">
        <v>100</v>
      </c>
      <c r="E12" s="16">
        <v>23</v>
      </c>
      <c r="F12" s="17">
        <v>0.6</v>
      </c>
      <c r="G12" s="19">
        <v>1380</v>
      </c>
      <c r="H12" s="16" t="s">
        <v>48</v>
      </c>
    </row>
    <row r="13" spans="1:8" x14ac:dyDescent="0.4">
      <c r="A13" s="16" t="s">
        <v>63</v>
      </c>
      <c r="B13" s="16">
        <v>1507600</v>
      </c>
      <c r="C13" s="16" t="s">
        <v>71</v>
      </c>
      <c r="D13" s="16">
        <v>100</v>
      </c>
      <c r="E13" s="16">
        <v>1</v>
      </c>
      <c r="F13" s="17">
        <v>0.6</v>
      </c>
      <c r="G13" s="19">
        <v>60</v>
      </c>
      <c r="H13" s="16" t="s">
        <v>48</v>
      </c>
    </row>
    <row r="14" spans="1:8" x14ac:dyDescent="0.4">
      <c r="A14" s="16" t="s">
        <v>35</v>
      </c>
      <c r="B14" s="16">
        <v>1508642</v>
      </c>
      <c r="C14" s="16" t="s">
        <v>44</v>
      </c>
      <c r="D14" s="16">
        <v>100</v>
      </c>
      <c r="E14" s="16">
        <v>29</v>
      </c>
      <c r="F14" s="17">
        <v>0.6</v>
      </c>
      <c r="G14" s="19">
        <v>1740</v>
      </c>
      <c r="H14" s="16" t="s">
        <v>48</v>
      </c>
    </row>
    <row r="15" spans="1:8" x14ac:dyDescent="0.4">
      <c r="A15" s="16" t="s">
        <v>51</v>
      </c>
      <c r="B15" s="16">
        <v>1510249</v>
      </c>
      <c r="C15" s="16" t="s">
        <v>75</v>
      </c>
      <c r="D15" s="16">
        <v>100</v>
      </c>
      <c r="E15" s="16">
        <v>171</v>
      </c>
      <c r="F15" s="17">
        <v>0.6</v>
      </c>
      <c r="G15" s="19">
        <v>10260</v>
      </c>
      <c r="H15" s="16" t="s">
        <v>48</v>
      </c>
    </row>
    <row r="16" spans="1:8" x14ac:dyDescent="0.4">
      <c r="A16" s="16" t="s">
        <v>14</v>
      </c>
      <c r="B16" s="16">
        <v>1510546</v>
      </c>
      <c r="C16" s="16" t="s">
        <v>24</v>
      </c>
      <c r="D16" s="16">
        <v>100</v>
      </c>
      <c r="E16" s="16">
        <v>1</v>
      </c>
      <c r="F16" s="17">
        <v>0.6</v>
      </c>
      <c r="G16" s="19">
        <v>60</v>
      </c>
      <c r="H16" s="16" t="s">
        <v>48</v>
      </c>
    </row>
    <row r="17" spans="1:8" x14ac:dyDescent="0.4">
      <c r="A17" s="16" t="s">
        <v>36</v>
      </c>
      <c r="B17" s="16">
        <v>1511765</v>
      </c>
      <c r="C17" s="16" t="s">
        <v>42</v>
      </c>
      <c r="D17" s="16">
        <v>100</v>
      </c>
      <c r="E17" s="16">
        <v>180</v>
      </c>
      <c r="F17" s="17">
        <v>0.6</v>
      </c>
      <c r="G17" s="19">
        <v>10800</v>
      </c>
      <c r="H17" s="16" t="s">
        <v>47</v>
      </c>
    </row>
    <row r="18" spans="1:8" x14ac:dyDescent="0.4">
      <c r="A18" s="16" t="s">
        <v>68</v>
      </c>
      <c r="B18" s="16">
        <v>1511897</v>
      </c>
      <c r="C18" s="16" t="s">
        <v>70</v>
      </c>
      <c r="D18" s="16">
        <v>100</v>
      </c>
      <c r="E18" s="16">
        <v>7</v>
      </c>
      <c r="F18" s="17">
        <v>0.6</v>
      </c>
      <c r="G18" s="19">
        <v>420</v>
      </c>
      <c r="H18" s="16" t="s">
        <v>48</v>
      </c>
    </row>
    <row r="19" spans="1:8" x14ac:dyDescent="0.4">
      <c r="A19" s="16" t="s">
        <v>31</v>
      </c>
      <c r="B19" s="16">
        <v>1520021</v>
      </c>
      <c r="C19" s="16" t="s">
        <v>22</v>
      </c>
      <c r="D19" s="16">
        <v>100</v>
      </c>
      <c r="E19" s="16">
        <v>67</v>
      </c>
      <c r="F19" s="17">
        <v>0.6</v>
      </c>
      <c r="G19" s="19">
        <v>4020</v>
      </c>
      <c r="H19" s="16" t="s">
        <v>47</v>
      </c>
    </row>
    <row r="20" spans="1:8" x14ac:dyDescent="0.4">
      <c r="A20" s="16" t="s">
        <v>53</v>
      </c>
      <c r="B20" s="16">
        <v>1522809</v>
      </c>
      <c r="C20" s="16" t="s">
        <v>22</v>
      </c>
      <c r="D20" s="16">
        <v>100</v>
      </c>
      <c r="E20" s="16">
        <v>205</v>
      </c>
      <c r="F20" s="17">
        <v>0.6</v>
      </c>
      <c r="G20" s="19">
        <v>12300</v>
      </c>
      <c r="H20" s="16" t="s">
        <v>47</v>
      </c>
    </row>
    <row r="21" spans="1:8" x14ac:dyDescent="0.4">
      <c r="A21" s="16" t="s">
        <v>32</v>
      </c>
      <c r="B21" s="16">
        <v>1524614</v>
      </c>
      <c r="C21" s="16" t="s">
        <v>29</v>
      </c>
      <c r="D21" s="16">
        <v>100</v>
      </c>
      <c r="E21" s="16">
        <v>222</v>
      </c>
      <c r="F21" s="17">
        <v>0.6</v>
      </c>
      <c r="G21" s="19">
        <v>13320</v>
      </c>
      <c r="H21" s="16" t="s">
        <v>47</v>
      </c>
    </row>
    <row r="22" spans="1:8" x14ac:dyDescent="0.4">
      <c r="A22" s="16" t="s">
        <v>37</v>
      </c>
      <c r="B22" s="16">
        <v>1543706</v>
      </c>
      <c r="C22" s="16" t="s">
        <v>21</v>
      </c>
      <c r="D22" s="16">
        <v>100</v>
      </c>
      <c r="E22" s="16">
        <v>73</v>
      </c>
      <c r="F22" s="17">
        <v>0.6</v>
      </c>
      <c r="G22" s="19">
        <v>4380</v>
      </c>
      <c r="H22" s="16" t="s">
        <v>48</v>
      </c>
    </row>
    <row r="23" spans="1:8" x14ac:dyDescent="0.4">
      <c r="A23" s="16" t="s">
        <v>55</v>
      </c>
      <c r="B23" s="16">
        <v>1544386</v>
      </c>
      <c r="C23" s="16" t="s">
        <v>21</v>
      </c>
      <c r="D23" s="16">
        <v>100</v>
      </c>
      <c r="E23" s="16">
        <v>42</v>
      </c>
      <c r="F23" s="17">
        <v>0.6</v>
      </c>
      <c r="G23" s="19">
        <v>2520</v>
      </c>
      <c r="H23" s="16" t="s">
        <v>48</v>
      </c>
    </row>
    <row r="24" spans="1:8" x14ac:dyDescent="0.4">
      <c r="A24" s="16" t="s">
        <v>34</v>
      </c>
      <c r="B24" s="16">
        <v>1545187</v>
      </c>
      <c r="C24" s="16" t="s">
        <v>43</v>
      </c>
      <c r="D24" s="16">
        <v>100</v>
      </c>
      <c r="E24" s="16">
        <v>74</v>
      </c>
      <c r="F24" s="17">
        <v>0.6</v>
      </c>
      <c r="G24" s="19">
        <v>4440</v>
      </c>
      <c r="H24" s="16" t="s">
        <v>48</v>
      </c>
    </row>
    <row r="25" spans="1:8" x14ac:dyDescent="0.4">
      <c r="A25" s="16" t="s">
        <v>60</v>
      </c>
      <c r="B25" s="16">
        <v>1547200</v>
      </c>
      <c r="C25" s="16" t="s">
        <v>73</v>
      </c>
      <c r="D25" s="16">
        <v>100</v>
      </c>
      <c r="E25" s="16">
        <v>23</v>
      </c>
      <c r="F25" s="17">
        <v>0.6</v>
      </c>
      <c r="G25" s="19">
        <v>1380</v>
      </c>
      <c r="H25" s="16" t="s">
        <v>48</v>
      </c>
    </row>
    <row r="26" spans="1:8" x14ac:dyDescent="0.4">
      <c r="A26" s="16" t="s">
        <v>66</v>
      </c>
      <c r="B26" s="16">
        <v>1548849</v>
      </c>
      <c r="C26" s="16" t="s">
        <v>33</v>
      </c>
      <c r="D26" s="16">
        <v>100</v>
      </c>
      <c r="E26" s="16">
        <v>10</v>
      </c>
      <c r="F26" s="17">
        <v>0.6</v>
      </c>
      <c r="G26" s="19">
        <v>600</v>
      </c>
      <c r="H26" s="16" t="s">
        <v>48</v>
      </c>
    </row>
    <row r="27" spans="1:8" x14ac:dyDescent="0.4">
      <c r="A27" s="16" t="s">
        <v>27</v>
      </c>
      <c r="B27" s="16">
        <v>1569814</v>
      </c>
      <c r="C27" s="16" t="s">
        <v>25</v>
      </c>
      <c r="D27" s="16">
        <v>100</v>
      </c>
      <c r="E27" s="16">
        <v>7</v>
      </c>
      <c r="F27" s="17">
        <v>0.6</v>
      </c>
      <c r="G27" s="19">
        <v>420</v>
      </c>
      <c r="H27" s="16" t="s">
        <v>48</v>
      </c>
    </row>
    <row r="28" spans="1:8" x14ac:dyDescent="0.4">
      <c r="A28" s="16" t="s">
        <v>69</v>
      </c>
      <c r="B28" s="16">
        <v>1571061</v>
      </c>
      <c r="C28" s="16" t="s">
        <v>19</v>
      </c>
      <c r="D28" s="16">
        <v>100</v>
      </c>
      <c r="E28" s="16">
        <v>38</v>
      </c>
      <c r="F28" s="17">
        <v>0.6</v>
      </c>
      <c r="G28" s="19">
        <v>2280</v>
      </c>
      <c r="H28" s="16" t="s">
        <v>47</v>
      </c>
    </row>
    <row r="29" spans="1:8" x14ac:dyDescent="0.4">
      <c r="A29" s="16" t="s">
        <v>39</v>
      </c>
      <c r="B29" s="16">
        <v>1593714</v>
      </c>
      <c r="C29" s="16" t="s">
        <v>45</v>
      </c>
      <c r="D29" s="16">
        <v>100</v>
      </c>
      <c r="E29" s="16">
        <v>35</v>
      </c>
      <c r="F29" s="17">
        <v>0.6</v>
      </c>
      <c r="G29" s="19">
        <v>2100</v>
      </c>
      <c r="H29" s="16" t="s">
        <v>48</v>
      </c>
    </row>
    <row r="30" spans="1:8" x14ac:dyDescent="0.4">
      <c r="A30" s="16" t="s">
        <v>40</v>
      </c>
      <c r="B30" s="16">
        <v>1596625</v>
      </c>
      <c r="C30" s="16" t="s">
        <v>41</v>
      </c>
      <c r="D30" s="16">
        <v>100</v>
      </c>
      <c r="E30" s="16">
        <v>94</v>
      </c>
      <c r="F30" s="17">
        <v>0.6</v>
      </c>
      <c r="G30" s="19">
        <v>5640</v>
      </c>
      <c r="H30" s="16" t="s">
        <v>48</v>
      </c>
    </row>
    <row r="31" spans="1:8" x14ac:dyDescent="0.4">
      <c r="A31" s="16" t="s">
        <v>38</v>
      </c>
      <c r="B31" s="16">
        <v>1598025</v>
      </c>
      <c r="C31" s="16" t="s">
        <v>46</v>
      </c>
      <c r="D31" s="16">
        <v>100</v>
      </c>
      <c r="E31" s="16">
        <v>596</v>
      </c>
      <c r="F31" s="17">
        <v>0.6</v>
      </c>
      <c r="G31" s="19">
        <v>35760</v>
      </c>
      <c r="H31" s="16" t="s">
        <v>48</v>
      </c>
    </row>
    <row r="32" spans="1:8" x14ac:dyDescent="0.4">
      <c r="A32" s="16" t="s">
        <v>49</v>
      </c>
      <c r="B32" s="16">
        <v>1599593</v>
      </c>
      <c r="C32" s="16" t="s">
        <v>77</v>
      </c>
      <c r="D32" s="16">
        <v>100</v>
      </c>
      <c r="E32" s="16">
        <v>278</v>
      </c>
      <c r="F32" s="17">
        <v>0.6</v>
      </c>
      <c r="G32" s="19">
        <v>16680</v>
      </c>
      <c r="H32" s="16" t="s">
        <v>48</v>
      </c>
    </row>
    <row r="33" spans="1:8" x14ac:dyDescent="0.4">
      <c r="A33" s="16" t="s">
        <v>64</v>
      </c>
      <c r="B33" s="16">
        <v>1599594</v>
      </c>
      <c r="C33" s="16" t="s">
        <v>74</v>
      </c>
      <c r="D33" s="16">
        <v>100</v>
      </c>
      <c r="E33" s="16">
        <v>176</v>
      </c>
      <c r="F33" s="17">
        <v>0.6</v>
      </c>
      <c r="G33" s="19">
        <v>10560</v>
      </c>
      <c r="H33" s="16" t="s">
        <v>48</v>
      </c>
    </row>
    <row r="34" spans="1:8" x14ac:dyDescent="0.4">
      <c r="A34" s="16" t="s">
        <v>54</v>
      </c>
      <c r="B34" s="16">
        <v>1600927</v>
      </c>
      <c r="C34" s="16" t="s">
        <v>71</v>
      </c>
      <c r="D34" s="16">
        <v>100</v>
      </c>
      <c r="E34" s="16">
        <v>79</v>
      </c>
      <c r="F34" s="17">
        <v>0.6</v>
      </c>
      <c r="G34" s="19">
        <v>4740</v>
      </c>
      <c r="H34" s="16" t="s">
        <v>48</v>
      </c>
    </row>
    <row r="35" spans="1:8" x14ac:dyDescent="0.4">
      <c r="A35" s="16" t="s">
        <v>61</v>
      </c>
      <c r="B35" s="16">
        <v>1600928</v>
      </c>
      <c r="C35" s="16" t="s">
        <v>72</v>
      </c>
      <c r="D35" s="16">
        <v>100</v>
      </c>
      <c r="E35" s="16">
        <v>174</v>
      </c>
      <c r="F35" s="17">
        <v>0.6</v>
      </c>
      <c r="G35" s="19">
        <v>10440</v>
      </c>
      <c r="H35" s="16" t="s">
        <v>48</v>
      </c>
    </row>
    <row r="36" spans="1:8" x14ac:dyDescent="0.4">
      <c r="A36" s="16" t="s">
        <v>62</v>
      </c>
      <c r="B36" s="16">
        <v>1602246</v>
      </c>
      <c r="C36" s="16" t="s">
        <v>78</v>
      </c>
      <c r="D36" s="16">
        <v>100</v>
      </c>
      <c r="E36" s="16">
        <v>114</v>
      </c>
      <c r="F36" s="17">
        <v>0.6</v>
      </c>
      <c r="G36" s="19">
        <v>6840</v>
      </c>
      <c r="H36" s="16" t="s">
        <v>48</v>
      </c>
    </row>
    <row r="37" spans="1:8" x14ac:dyDescent="0.4">
      <c r="A37" s="16" t="s">
        <v>65</v>
      </c>
      <c r="B37" s="16">
        <v>1602249</v>
      </c>
      <c r="C37" s="16" t="s">
        <v>79</v>
      </c>
      <c r="D37" s="16">
        <v>100</v>
      </c>
      <c r="E37" s="16">
        <v>184</v>
      </c>
      <c r="F37" s="17">
        <v>0.6</v>
      </c>
      <c r="G37" s="19">
        <v>11040</v>
      </c>
      <c r="H37" s="16" t="s">
        <v>48</v>
      </c>
    </row>
    <row r="38" spans="1:8" x14ac:dyDescent="0.4">
      <c r="A38" s="16" t="s">
        <v>67</v>
      </c>
      <c r="B38" s="16">
        <v>1603768</v>
      </c>
      <c r="C38" s="16" t="s">
        <v>80</v>
      </c>
      <c r="D38" s="16">
        <v>100</v>
      </c>
      <c r="E38" s="16">
        <v>63</v>
      </c>
      <c r="F38" s="17">
        <v>0.6</v>
      </c>
      <c r="G38" s="19">
        <v>3780</v>
      </c>
      <c r="H38" s="16" t="s">
        <v>48</v>
      </c>
    </row>
    <row r="39" spans="1:8" x14ac:dyDescent="0.4">
      <c r="A39" s="14"/>
      <c r="B39" s="14"/>
      <c r="C39" s="14"/>
      <c r="D39" s="14"/>
      <c r="E39" s="14"/>
      <c r="F39" s="15"/>
      <c r="G39" s="13">
        <f>SUM(G2:G38)</f>
        <v>212580</v>
      </c>
      <c r="H39" s="14"/>
    </row>
    <row r="40" spans="1:8" x14ac:dyDescent="0.4">
      <c r="A40" s="14"/>
      <c r="B40" s="14"/>
      <c r="C40" s="14"/>
      <c r="D40" s="14"/>
      <c r="E40" s="14"/>
      <c r="F40" s="15"/>
      <c r="G40" s="19"/>
      <c r="H40" s="14"/>
    </row>
    <row r="41" spans="1:8" x14ac:dyDescent="0.4">
      <c r="A41" s="11"/>
      <c r="B41" s="11"/>
      <c r="C41" s="11"/>
      <c r="D41" s="11"/>
      <c r="E41" s="11"/>
      <c r="F41" s="12"/>
      <c r="G41" s="19"/>
    </row>
    <row r="42" spans="1:8" s="3" customFormat="1" x14ac:dyDescent="0.4">
      <c r="B42" s="2"/>
      <c r="C42" s="2"/>
      <c r="D42" s="7" t="s">
        <v>0</v>
      </c>
      <c r="E42" s="1">
        <f>G39</f>
        <v>212580</v>
      </c>
      <c r="F42" s="5"/>
      <c r="G42" s="6"/>
    </row>
    <row r="43" spans="1:8" s="3" customFormat="1" x14ac:dyDescent="0.4">
      <c r="D43" s="7" t="s">
        <v>1</v>
      </c>
      <c r="E43" s="1"/>
      <c r="F43" s="3" t="s">
        <v>5</v>
      </c>
      <c r="G43" s="6" t="s">
        <v>7</v>
      </c>
    </row>
    <row r="44" spans="1:8" s="3" customFormat="1" x14ac:dyDescent="0.4">
      <c r="B44" s="2"/>
      <c r="C44" s="5"/>
      <c r="D44" s="7" t="s">
        <v>2</v>
      </c>
      <c r="E44" s="1">
        <f>E43/1.1</f>
        <v>0</v>
      </c>
      <c r="F44" s="5" t="s">
        <v>6</v>
      </c>
      <c r="G44" s="6"/>
    </row>
    <row r="45" spans="1:8" s="3" customFormat="1" x14ac:dyDescent="0.4">
      <c r="B45" s="2"/>
      <c r="C45" s="2"/>
      <c r="D45" s="7" t="s">
        <v>3</v>
      </c>
      <c r="E45" s="1">
        <f>E43-E44</f>
        <v>0</v>
      </c>
      <c r="G45" s="6"/>
    </row>
    <row r="46" spans="1:8" s="3" customFormat="1" x14ac:dyDescent="0.4">
      <c r="B46" s="2"/>
      <c r="C46" s="2"/>
      <c r="D46" s="8" t="s">
        <v>4</v>
      </c>
      <c r="E46" s="4">
        <f>E42+E44+E45</f>
        <v>212580</v>
      </c>
      <c r="G46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9"/>
  <sheetViews>
    <sheetView workbookViewId="0">
      <selection activeCell="G9" sqref="G9"/>
    </sheetView>
  </sheetViews>
  <sheetFormatPr defaultRowHeight="17.399999999999999" x14ac:dyDescent="0.4"/>
  <cols>
    <col min="1" max="1" width="18.296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15</v>
      </c>
      <c r="B1" s="9" t="s">
        <v>13</v>
      </c>
      <c r="C1" s="10" t="s">
        <v>18</v>
      </c>
      <c r="D1" s="9" t="s">
        <v>16</v>
      </c>
      <c r="E1" s="9" t="s">
        <v>12</v>
      </c>
      <c r="F1" s="9" t="s">
        <v>17</v>
      </c>
      <c r="G1" s="18" t="s">
        <v>11</v>
      </c>
      <c r="H1" s="10" t="s">
        <v>28</v>
      </c>
    </row>
    <row r="2" spans="1:8" x14ac:dyDescent="0.4">
      <c r="A2" s="16" t="s">
        <v>10</v>
      </c>
      <c r="B2" s="16">
        <v>1375113</v>
      </c>
      <c r="C2" s="16" t="s">
        <v>19</v>
      </c>
      <c r="D2" s="16">
        <v>100</v>
      </c>
      <c r="E2" s="16">
        <v>29</v>
      </c>
      <c r="F2" s="17">
        <v>0.6</v>
      </c>
      <c r="G2" s="19">
        <v>1740</v>
      </c>
      <c r="H2" s="16" t="s">
        <v>47</v>
      </c>
    </row>
    <row r="3" spans="1:8" x14ac:dyDescent="0.4">
      <c r="A3" s="16" t="s">
        <v>26</v>
      </c>
      <c r="B3" s="16">
        <v>1462888</v>
      </c>
      <c r="C3" s="16" t="s">
        <v>22</v>
      </c>
      <c r="D3" s="16">
        <v>100</v>
      </c>
      <c r="E3" s="16">
        <v>237</v>
      </c>
      <c r="F3" s="17">
        <v>0.6</v>
      </c>
      <c r="G3" s="19">
        <v>14220</v>
      </c>
      <c r="H3" s="16" t="s">
        <v>47</v>
      </c>
    </row>
    <row r="4" spans="1:8" x14ac:dyDescent="0.4">
      <c r="A4" s="16" t="s">
        <v>36</v>
      </c>
      <c r="B4" s="16">
        <v>1511765</v>
      </c>
      <c r="C4" s="16" t="s">
        <v>42</v>
      </c>
      <c r="D4" s="16">
        <v>100</v>
      </c>
      <c r="E4" s="16">
        <v>180</v>
      </c>
      <c r="F4" s="17">
        <v>0.6</v>
      </c>
      <c r="G4" s="19">
        <v>10800</v>
      </c>
      <c r="H4" s="16" t="s">
        <v>47</v>
      </c>
    </row>
    <row r="5" spans="1:8" x14ac:dyDescent="0.4">
      <c r="A5" s="16" t="s">
        <v>31</v>
      </c>
      <c r="B5" s="16">
        <v>1520021</v>
      </c>
      <c r="C5" s="16" t="s">
        <v>22</v>
      </c>
      <c r="D5" s="16">
        <v>100</v>
      </c>
      <c r="E5" s="16">
        <v>67</v>
      </c>
      <c r="F5" s="17">
        <v>0.6</v>
      </c>
      <c r="G5" s="19">
        <v>4020</v>
      </c>
      <c r="H5" s="16" t="s">
        <v>47</v>
      </c>
    </row>
    <row r="6" spans="1:8" x14ac:dyDescent="0.4">
      <c r="A6" s="16" t="s">
        <v>53</v>
      </c>
      <c r="B6" s="16">
        <v>1522809</v>
      </c>
      <c r="C6" s="16" t="s">
        <v>22</v>
      </c>
      <c r="D6" s="16">
        <v>100</v>
      </c>
      <c r="E6" s="16">
        <v>205</v>
      </c>
      <c r="F6" s="17">
        <v>0.6</v>
      </c>
      <c r="G6" s="19">
        <v>12300</v>
      </c>
      <c r="H6" s="16" t="s">
        <v>47</v>
      </c>
    </row>
    <row r="7" spans="1:8" x14ac:dyDescent="0.4">
      <c r="A7" s="16" t="s">
        <v>32</v>
      </c>
      <c r="B7" s="16">
        <v>1524614</v>
      </c>
      <c r="C7" s="16" t="s">
        <v>29</v>
      </c>
      <c r="D7" s="16">
        <v>100</v>
      </c>
      <c r="E7" s="16">
        <v>222</v>
      </c>
      <c r="F7" s="17">
        <v>0.6</v>
      </c>
      <c r="G7" s="19">
        <v>13320</v>
      </c>
      <c r="H7" s="16" t="s">
        <v>47</v>
      </c>
    </row>
    <row r="8" spans="1:8" x14ac:dyDescent="0.4">
      <c r="A8" s="16" t="s">
        <v>69</v>
      </c>
      <c r="B8" s="16">
        <v>1571061</v>
      </c>
      <c r="C8" s="16" t="s">
        <v>19</v>
      </c>
      <c r="D8" s="16">
        <v>100</v>
      </c>
      <c r="E8" s="16">
        <v>38</v>
      </c>
      <c r="F8" s="17">
        <v>0.6</v>
      </c>
      <c r="G8" s="19">
        <v>2280</v>
      </c>
      <c r="H8" s="16" t="s">
        <v>47</v>
      </c>
    </row>
    <row r="9" spans="1:8" x14ac:dyDescent="0.4">
      <c r="G9" s="21">
        <f>SUM(G2:G8)</f>
        <v>58680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32"/>
  <sheetViews>
    <sheetView topLeftCell="A19" workbookViewId="0">
      <selection activeCell="G32" sqref="G32"/>
    </sheetView>
  </sheetViews>
  <sheetFormatPr defaultRowHeight="17.399999999999999" x14ac:dyDescent="0.4"/>
  <cols>
    <col min="1" max="1" width="29.69921875" bestFit="1" customWidth="1"/>
    <col min="2" max="2" width="8.59765625" bestFit="1" customWidth="1"/>
    <col min="3" max="3" width="12.39843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15</v>
      </c>
      <c r="B1" s="9" t="s">
        <v>13</v>
      </c>
      <c r="C1" s="10" t="s">
        <v>18</v>
      </c>
      <c r="D1" s="9" t="s">
        <v>16</v>
      </c>
      <c r="E1" s="9" t="s">
        <v>12</v>
      </c>
      <c r="F1" s="9" t="s">
        <v>17</v>
      </c>
      <c r="G1" s="18" t="s">
        <v>11</v>
      </c>
      <c r="H1" s="10" t="s">
        <v>28</v>
      </c>
    </row>
    <row r="2" spans="1:8" x14ac:dyDescent="0.4">
      <c r="A2" s="16" t="s">
        <v>58</v>
      </c>
      <c r="B2" s="16">
        <v>1494931</v>
      </c>
      <c r="C2" s="16" t="s">
        <v>74</v>
      </c>
      <c r="D2" s="16">
        <v>100</v>
      </c>
      <c r="E2" s="16">
        <v>70</v>
      </c>
      <c r="F2" s="17">
        <v>0.6</v>
      </c>
      <c r="G2" s="19">
        <v>4200</v>
      </c>
      <c r="H2" s="16" t="s">
        <v>48</v>
      </c>
    </row>
    <row r="3" spans="1:8" x14ac:dyDescent="0.4">
      <c r="A3" s="16" t="s">
        <v>8</v>
      </c>
      <c r="B3" s="16">
        <v>1502380</v>
      </c>
      <c r="C3" s="16" t="s">
        <v>20</v>
      </c>
      <c r="D3" s="16">
        <v>100</v>
      </c>
      <c r="E3" s="16">
        <v>12</v>
      </c>
      <c r="F3" s="17">
        <v>0.6</v>
      </c>
      <c r="G3" s="19">
        <v>720</v>
      </c>
      <c r="H3" s="16" t="s">
        <v>48</v>
      </c>
    </row>
    <row r="4" spans="1:8" x14ac:dyDescent="0.4">
      <c r="A4" s="16" t="s">
        <v>59</v>
      </c>
      <c r="B4" s="16">
        <v>1502386</v>
      </c>
      <c r="C4" s="16" t="s">
        <v>71</v>
      </c>
      <c r="D4" s="16">
        <v>100</v>
      </c>
      <c r="E4" s="16">
        <v>4</v>
      </c>
      <c r="F4" s="17">
        <v>0.6</v>
      </c>
      <c r="G4" s="19">
        <v>240</v>
      </c>
      <c r="H4" s="16" t="s">
        <v>48</v>
      </c>
    </row>
    <row r="5" spans="1:8" x14ac:dyDescent="0.4">
      <c r="A5" s="16" t="s">
        <v>56</v>
      </c>
      <c r="B5" s="16">
        <v>1502852</v>
      </c>
      <c r="C5" s="16" t="s">
        <v>23</v>
      </c>
      <c r="D5" s="16">
        <v>100</v>
      </c>
      <c r="E5" s="16">
        <v>7</v>
      </c>
      <c r="F5" s="17">
        <v>0.6</v>
      </c>
      <c r="G5" s="19">
        <v>420</v>
      </c>
      <c r="H5" s="16" t="s">
        <v>48</v>
      </c>
    </row>
    <row r="6" spans="1:8" x14ac:dyDescent="0.4">
      <c r="A6" s="16" t="s">
        <v>57</v>
      </c>
      <c r="B6" s="16">
        <v>1504022</v>
      </c>
      <c r="C6" s="16" t="s">
        <v>75</v>
      </c>
      <c r="D6" s="16">
        <v>100</v>
      </c>
      <c r="E6" s="16">
        <v>89</v>
      </c>
      <c r="F6" s="17">
        <v>0.6</v>
      </c>
      <c r="G6" s="19">
        <v>5340</v>
      </c>
      <c r="H6" s="16" t="s">
        <v>48</v>
      </c>
    </row>
    <row r="7" spans="1:8" x14ac:dyDescent="0.4">
      <c r="A7" s="16" t="s">
        <v>9</v>
      </c>
      <c r="B7" s="16">
        <v>1506057</v>
      </c>
      <c r="C7" s="16" t="s">
        <v>21</v>
      </c>
      <c r="D7" s="16">
        <v>100</v>
      </c>
      <c r="E7" s="16">
        <v>26</v>
      </c>
      <c r="F7" s="17">
        <v>0.6</v>
      </c>
      <c r="G7" s="19">
        <v>1560</v>
      </c>
      <c r="H7" s="16" t="s">
        <v>48</v>
      </c>
    </row>
    <row r="8" spans="1:8" x14ac:dyDescent="0.4">
      <c r="A8" s="16" t="s">
        <v>30</v>
      </c>
      <c r="B8" s="16">
        <v>1506317</v>
      </c>
      <c r="C8" s="16" t="s">
        <v>21</v>
      </c>
      <c r="D8" s="16">
        <v>100</v>
      </c>
      <c r="E8" s="16">
        <v>45</v>
      </c>
      <c r="F8" s="17">
        <v>0.6</v>
      </c>
      <c r="G8" s="19">
        <v>2700</v>
      </c>
      <c r="H8" s="16" t="s">
        <v>48</v>
      </c>
    </row>
    <row r="9" spans="1:8" x14ac:dyDescent="0.4">
      <c r="A9" s="16" t="s">
        <v>50</v>
      </c>
      <c r="B9" s="16">
        <v>1506318</v>
      </c>
      <c r="C9" s="16" t="s">
        <v>76</v>
      </c>
      <c r="D9" s="16">
        <v>100</v>
      </c>
      <c r="E9" s="16">
        <v>58</v>
      </c>
      <c r="F9" s="17">
        <v>0.6</v>
      </c>
      <c r="G9" s="19">
        <v>3480</v>
      </c>
      <c r="H9" s="16" t="s">
        <v>48</v>
      </c>
    </row>
    <row r="10" spans="1:8" x14ac:dyDescent="0.4">
      <c r="A10" s="16" t="s">
        <v>52</v>
      </c>
      <c r="B10" s="16">
        <v>1506847</v>
      </c>
      <c r="C10" s="16" t="s">
        <v>72</v>
      </c>
      <c r="D10" s="16">
        <v>100</v>
      </c>
      <c r="E10" s="16">
        <v>23</v>
      </c>
      <c r="F10" s="17">
        <v>0.6</v>
      </c>
      <c r="G10" s="19">
        <v>1380</v>
      </c>
      <c r="H10" s="16" t="s">
        <v>48</v>
      </c>
    </row>
    <row r="11" spans="1:8" x14ac:dyDescent="0.4">
      <c r="A11" s="16" t="s">
        <v>63</v>
      </c>
      <c r="B11" s="16">
        <v>1507600</v>
      </c>
      <c r="C11" s="16" t="s">
        <v>71</v>
      </c>
      <c r="D11" s="16">
        <v>100</v>
      </c>
      <c r="E11" s="16">
        <v>1</v>
      </c>
      <c r="F11" s="17">
        <v>0.6</v>
      </c>
      <c r="G11" s="19">
        <v>60</v>
      </c>
      <c r="H11" s="16" t="s">
        <v>48</v>
      </c>
    </row>
    <row r="12" spans="1:8" x14ac:dyDescent="0.4">
      <c r="A12" s="16" t="s">
        <v>35</v>
      </c>
      <c r="B12" s="16">
        <v>1508642</v>
      </c>
      <c r="C12" s="16" t="s">
        <v>44</v>
      </c>
      <c r="D12" s="16">
        <v>100</v>
      </c>
      <c r="E12" s="16">
        <v>29</v>
      </c>
      <c r="F12" s="17">
        <v>0.6</v>
      </c>
      <c r="G12" s="19">
        <v>1740</v>
      </c>
      <c r="H12" s="16" t="s">
        <v>48</v>
      </c>
    </row>
    <row r="13" spans="1:8" x14ac:dyDescent="0.4">
      <c r="A13" s="16" t="s">
        <v>51</v>
      </c>
      <c r="B13" s="16">
        <v>1510249</v>
      </c>
      <c r="C13" s="16" t="s">
        <v>75</v>
      </c>
      <c r="D13" s="16">
        <v>100</v>
      </c>
      <c r="E13" s="16">
        <v>171</v>
      </c>
      <c r="F13" s="17">
        <v>0.6</v>
      </c>
      <c r="G13" s="19">
        <v>10260</v>
      </c>
      <c r="H13" s="16" t="s">
        <v>48</v>
      </c>
    </row>
    <row r="14" spans="1:8" x14ac:dyDescent="0.4">
      <c r="A14" s="16" t="s">
        <v>14</v>
      </c>
      <c r="B14" s="16">
        <v>1510546</v>
      </c>
      <c r="C14" s="16" t="s">
        <v>24</v>
      </c>
      <c r="D14" s="16">
        <v>100</v>
      </c>
      <c r="E14" s="16">
        <v>1</v>
      </c>
      <c r="F14" s="17">
        <v>0.6</v>
      </c>
      <c r="G14" s="19">
        <v>60</v>
      </c>
      <c r="H14" s="16" t="s">
        <v>48</v>
      </c>
    </row>
    <row r="15" spans="1:8" x14ac:dyDescent="0.4">
      <c r="A15" s="16" t="s">
        <v>68</v>
      </c>
      <c r="B15" s="16">
        <v>1511897</v>
      </c>
      <c r="C15" s="16" t="s">
        <v>70</v>
      </c>
      <c r="D15" s="16">
        <v>100</v>
      </c>
      <c r="E15" s="16">
        <v>7</v>
      </c>
      <c r="F15" s="17">
        <v>0.6</v>
      </c>
      <c r="G15" s="19">
        <v>420</v>
      </c>
      <c r="H15" s="16" t="s">
        <v>48</v>
      </c>
    </row>
    <row r="16" spans="1:8" x14ac:dyDescent="0.4">
      <c r="A16" s="16" t="s">
        <v>37</v>
      </c>
      <c r="B16" s="16">
        <v>1543706</v>
      </c>
      <c r="C16" s="16" t="s">
        <v>21</v>
      </c>
      <c r="D16" s="16">
        <v>100</v>
      </c>
      <c r="E16" s="16">
        <v>73</v>
      </c>
      <c r="F16" s="17">
        <v>0.6</v>
      </c>
      <c r="G16" s="19">
        <v>4380</v>
      </c>
      <c r="H16" s="16" t="s">
        <v>48</v>
      </c>
    </row>
    <row r="17" spans="1:8" x14ac:dyDescent="0.4">
      <c r="A17" s="16" t="s">
        <v>55</v>
      </c>
      <c r="B17" s="16">
        <v>1544386</v>
      </c>
      <c r="C17" s="16" t="s">
        <v>21</v>
      </c>
      <c r="D17" s="16">
        <v>100</v>
      </c>
      <c r="E17" s="16">
        <v>42</v>
      </c>
      <c r="F17" s="17">
        <v>0.6</v>
      </c>
      <c r="G17" s="19">
        <v>2520</v>
      </c>
      <c r="H17" s="16" t="s">
        <v>48</v>
      </c>
    </row>
    <row r="18" spans="1:8" x14ac:dyDescent="0.4">
      <c r="A18" s="16" t="s">
        <v>34</v>
      </c>
      <c r="B18" s="16">
        <v>1545187</v>
      </c>
      <c r="C18" s="16" t="s">
        <v>43</v>
      </c>
      <c r="D18" s="16">
        <v>100</v>
      </c>
      <c r="E18" s="16">
        <v>74</v>
      </c>
      <c r="F18" s="17">
        <v>0.6</v>
      </c>
      <c r="G18" s="19">
        <v>4440</v>
      </c>
      <c r="H18" s="16" t="s">
        <v>48</v>
      </c>
    </row>
    <row r="19" spans="1:8" x14ac:dyDescent="0.4">
      <c r="A19" s="16" t="s">
        <v>60</v>
      </c>
      <c r="B19" s="16">
        <v>1547200</v>
      </c>
      <c r="C19" s="16" t="s">
        <v>73</v>
      </c>
      <c r="D19" s="16">
        <v>100</v>
      </c>
      <c r="E19" s="16">
        <v>23</v>
      </c>
      <c r="F19" s="17">
        <v>0.6</v>
      </c>
      <c r="G19" s="19">
        <v>1380</v>
      </c>
      <c r="H19" s="16" t="s">
        <v>48</v>
      </c>
    </row>
    <row r="20" spans="1:8" x14ac:dyDescent="0.4">
      <c r="A20" s="16" t="s">
        <v>66</v>
      </c>
      <c r="B20" s="16">
        <v>1548849</v>
      </c>
      <c r="C20" s="16" t="s">
        <v>33</v>
      </c>
      <c r="D20" s="16">
        <v>100</v>
      </c>
      <c r="E20" s="16">
        <v>10</v>
      </c>
      <c r="F20" s="17">
        <v>0.6</v>
      </c>
      <c r="G20" s="19">
        <v>600</v>
      </c>
      <c r="H20" s="16" t="s">
        <v>48</v>
      </c>
    </row>
    <row r="21" spans="1:8" x14ac:dyDescent="0.4">
      <c r="A21" s="16" t="s">
        <v>27</v>
      </c>
      <c r="B21" s="16">
        <v>1569814</v>
      </c>
      <c r="C21" s="16" t="s">
        <v>25</v>
      </c>
      <c r="D21" s="16">
        <v>100</v>
      </c>
      <c r="E21" s="16">
        <v>7</v>
      </c>
      <c r="F21" s="17">
        <v>0.6</v>
      </c>
      <c r="G21" s="19">
        <v>420</v>
      </c>
      <c r="H21" s="16" t="s">
        <v>48</v>
      </c>
    </row>
    <row r="22" spans="1:8" x14ac:dyDescent="0.4">
      <c r="A22" s="16" t="s">
        <v>39</v>
      </c>
      <c r="B22" s="16">
        <v>1593714</v>
      </c>
      <c r="C22" s="16" t="s">
        <v>45</v>
      </c>
      <c r="D22" s="16">
        <v>100</v>
      </c>
      <c r="E22" s="16">
        <v>35</v>
      </c>
      <c r="F22" s="17">
        <v>0.6</v>
      </c>
      <c r="G22" s="19">
        <v>2100</v>
      </c>
      <c r="H22" s="16" t="s">
        <v>48</v>
      </c>
    </row>
    <row r="23" spans="1:8" x14ac:dyDescent="0.4">
      <c r="A23" s="16" t="s">
        <v>40</v>
      </c>
      <c r="B23" s="16">
        <v>1596625</v>
      </c>
      <c r="C23" s="16" t="s">
        <v>41</v>
      </c>
      <c r="D23" s="16">
        <v>100</v>
      </c>
      <c r="E23" s="16">
        <v>94</v>
      </c>
      <c r="F23" s="17">
        <v>0.6</v>
      </c>
      <c r="G23" s="19">
        <v>5640</v>
      </c>
      <c r="H23" s="16" t="s">
        <v>48</v>
      </c>
    </row>
    <row r="24" spans="1:8" x14ac:dyDescent="0.4">
      <c r="A24" s="16" t="s">
        <v>38</v>
      </c>
      <c r="B24" s="16">
        <v>1598025</v>
      </c>
      <c r="C24" s="16" t="s">
        <v>46</v>
      </c>
      <c r="D24" s="16">
        <v>100</v>
      </c>
      <c r="E24" s="16">
        <v>596</v>
      </c>
      <c r="F24" s="17">
        <v>0.6</v>
      </c>
      <c r="G24" s="19">
        <v>35760</v>
      </c>
      <c r="H24" s="16" t="s">
        <v>48</v>
      </c>
    </row>
    <row r="25" spans="1:8" x14ac:dyDescent="0.4">
      <c r="A25" s="16" t="s">
        <v>49</v>
      </c>
      <c r="B25" s="16">
        <v>1599593</v>
      </c>
      <c r="C25" s="16" t="s">
        <v>77</v>
      </c>
      <c r="D25" s="16">
        <v>100</v>
      </c>
      <c r="E25" s="16">
        <v>278</v>
      </c>
      <c r="F25" s="17">
        <v>0.6</v>
      </c>
      <c r="G25" s="19">
        <v>16680</v>
      </c>
      <c r="H25" s="16" t="s">
        <v>48</v>
      </c>
    </row>
    <row r="26" spans="1:8" x14ac:dyDescent="0.4">
      <c r="A26" s="16" t="s">
        <v>64</v>
      </c>
      <c r="B26" s="16">
        <v>1599594</v>
      </c>
      <c r="C26" s="16" t="s">
        <v>74</v>
      </c>
      <c r="D26" s="16">
        <v>100</v>
      </c>
      <c r="E26" s="16">
        <v>176</v>
      </c>
      <c r="F26" s="17">
        <v>0.6</v>
      </c>
      <c r="G26" s="19">
        <v>10560</v>
      </c>
      <c r="H26" s="16" t="s">
        <v>48</v>
      </c>
    </row>
    <row r="27" spans="1:8" x14ac:dyDescent="0.4">
      <c r="A27" s="16" t="s">
        <v>54</v>
      </c>
      <c r="B27" s="16">
        <v>1600927</v>
      </c>
      <c r="C27" s="16" t="s">
        <v>71</v>
      </c>
      <c r="D27" s="16">
        <v>100</v>
      </c>
      <c r="E27" s="16">
        <v>79</v>
      </c>
      <c r="F27" s="17">
        <v>0.6</v>
      </c>
      <c r="G27" s="19">
        <v>4740</v>
      </c>
      <c r="H27" s="16" t="s">
        <v>48</v>
      </c>
    </row>
    <row r="28" spans="1:8" x14ac:dyDescent="0.4">
      <c r="A28" s="16" t="s">
        <v>61</v>
      </c>
      <c r="B28" s="16">
        <v>1600928</v>
      </c>
      <c r="C28" s="16" t="s">
        <v>72</v>
      </c>
      <c r="D28" s="16">
        <v>100</v>
      </c>
      <c r="E28" s="16">
        <v>174</v>
      </c>
      <c r="F28" s="17">
        <v>0.6</v>
      </c>
      <c r="G28" s="19">
        <v>10440</v>
      </c>
      <c r="H28" s="16" t="s">
        <v>48</v>
      </c>
    </row>
    <row r="29" spans="1:8" x14ac:dyDescent="0.4">
      <c r="A29" s="16" t="s">
        <v>62</v>
      </c>
      <c r="B29" s="16">
        <v>1602246</v>
      </c>
      <c r="C29" s="16" t="s">
        <v>78</v>
      </c>
      <c r="D29" s="16">
        <v>100</v>
      </c>
      <c r="E29" s="16">
        <v>114</v>
      </c>
      <c r="F29" s="17">
        <v>0.6</v>
      </c>
      <c r="G29" s="19">
        <v>6840</v>
      </c>
      <c r="H29" s="16" t="s">
        <v>48</v>
      </c>
    </row>
    <row r="30" spans="1:8" x14ac:dyDescent="0.4">
      <c r="A30" s="16" t="s">
        <v>65</v>
      </c>
      <c r="B30" s="16">
        <v>1602249</v>
      </c>
      <c r="C30" s="16" t="s">
        <v>79</v>
      </c>
      <c r="D30" s="16">
        <v>100</v>
      </c>
      <c r="E30" s="16">
        <v>184</v>
      </c>
      <c r="F30" s="17">
        <v>0.6</v>
      </c>
      <c r="G30" s="19">
        <v>11040</v>
      </c>
      <c r="H30" s="16" t="s">
        <v>48</v>
      </c>
    </row>
    <row r="31" spans="1:8" x14ac:dyDescent="0.4">
      <c r="A31" s="16" t="s">
        <v>67</v>
      </c>
      <c r="B31" s="16">
        <v>1603768</v>
      </c>
      <c r="C31" s="16" t="s">
        <v>80</v>
      </c>
      <c r="D31" s="16">
        <v>100</v>
      </c>
      <c r="E31" s="16">
        <v>63</v>
      </c>
      <c r="F31" s="17">
        <v>0.6</v>
      </c>
      <c r="G31" s="19">
        <v>3780</v>
      </c>
      <c r="H31" s="16" t="s">
        <v>48</v>
      </c>
    </row>
    <row r="32" spans="1:8" x14ac:dyDescent="0.4">
      <c r="G32" s="21">
        <f>SUM(G2:G31)</f>
        <v>153900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 (1)</vt:lpstr>
      <vt:lpstr>에필로그</vt:lpstr>
      <vt:lpstr>더컴퍼니</vt:lpstr>
      <vt:lpstr>더컴퍼니!Extract</vt:lpstr>
      <vt:lpstr>에필로그!Extract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2019-01-07T11:02:09Z</dcterms:created>
  <dcterms:modified xsi:type="dcterms:W3CDTF">2022-02-21T07:06:02Z</dcterms:modified>
</cp:coreProperties>
</file>