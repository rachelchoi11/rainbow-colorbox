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3. 노블코믹스\"/>
    </mc:Choice>
  </mc:AlternateContent>
  <bookViews>
    <workbookView xWindow="0" yWindow="0" windowWidth="23040" windowHeight="8952" tabRatio="898"/>
  </bookViews>
  <sheets>
    <sheet name="정산서" sheetId="16" r:id="rId1"/>
    <sheet name="상세내역" sheetId="17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6" l="1"/>
  <c r="D15" i="16"/>
  <c r="C15" i="16"/>
  <c r="F14" i="16"/>
  <c r="F15" i="16" s="1"/>
  <c r="C6" i="16" s="1"/>
  <c r="B6" i="16"/>
  <c r="E6" i="16" l="1"/>
</calcChain>
</file>

<file path=xl/sharedStrings.xml><?xml version="1.0" encoding="utf-8"?>
<sst xmlns="http://schemas.openxmlformats.org/spreadsheetml/2006/main" count="117" uniqueCount="58">
  <si>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</si>
  <si>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</si>
  <si>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</si>
  <si>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</si>
  <si>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</si>
  <si>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</si>
  <si>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</si>
  <si>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</si>
  <si>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내용</t>
    <phoneticPr fontId="2" type="noConversion"/>
  </si>
  <si>
    <t>순번</t>
    <phoneticPr fontId="2" type="noConversion"/>
  </si>
  <si>
    <t>판매월</t>
    <phoneticPr fontId="2" type="noConversion"/>
  </si>
  <si>
    <t>제목</t>
  </si>
  <si>
    <t>저자</t>
  </si>
  <si>
    <t>출판사</t>
  </si>
  <si>
    <t>취소 건수</t>
    <phoneticPr fontId="2" type="noConversion"/>
  </si>
  <si>
    <t>매출
(구매금액+대여금액-취소금액-제휴사 수수료)</t>
  </si>
  <si>
    <t>저작권자 정산율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</si>
  <si>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</si>
  <si>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</si>
  <si>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</si>
  <si>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</si>
  <si>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</si>
  <si>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레진</t>
  </si>
  <si>
    <t>불고기자리&amp;별찌</t>
  </si>
  <si>
    <t>미스터블루 만화</t>
  </si>
  <si>
    <t>버프툰 웹툰</t>
  </si>
  <si>
    <t>봄툰</t>
  </si>
  <si>
    <t>카카오페이지</t>
  </si>
  <si>
    <t>불고기자리,별찌</t>
  </si>
  <si>
    <t>코미코 웹툰</t>
  </si>
  <si>
    <t>해외 네이버 글로벌</t>
  </si>
  <si>
    <t>해외 코미코 태국</t>
  </si>
  <si>
    <t>Fisces,Byuljji</t>
  </si>
  <si>
    <t>리디북스</t>
  </si>
  <si>
    <t>불고기자리</t>
  </si>
  <si>
    <t>2022년 02월 정산</t>
    <phoneticPr fontId="2" type="noConversion"/>
  </si>
  <si>
    <t>면세</t>
    <phoneticPr fontId="2" type="noConversion"/>
  </si>
  <si>
    <t>2. 정산내역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</si>
  <si>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</si>
  <si>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</si>
  <si>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</si>
  <si>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</si>
  <si>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>합계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</si>
  <si>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</si>
  <si>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</si>
  <si>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서비스</t>
    <phoneticPr fontId="2" type="noConversion"/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</si>
  <si>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</si>
  <si>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</si>
  <si>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</si>
  <si>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</si>
  <si>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금액</t>
    <phoneticPr fontId="2" type="noConversion"/>
  </si>
  <si>
    <t>결제수수료 보정액</t>
  </si>
  <si>
    <t>저작권자 정산금</t>
    <phoneticPr fontId="2" type="noConversion"/>
  </si>
  <si>
    <t>2022-01</t>
  </si>
  <si>
    <t>레이디 스칼렛 [연재]</t>
  </si>
  <si>
    <t xml:space="preserve">레이디 스칼렛 </t>
  </si>
  <si>
    <t>원스토어 만화</t>
  </si>
  <si>
    <t>레이디 스칼렛_2022 01 LINE WEBTOON_FR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</si>
</sst>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showGridLines="0" tabSelected="1" workbookViewId="0">
      <selection activeCell="E7" sqref="E7"/>
    </sheetView>
  </sheetViews>
  <sheetFormatPr defaultColWidth="0" defaultRowHeight="0" customHeight="1" zeroHeight="1" x14ac:dyDescent="0.4"/>
  <cols>
    <col min="1" max="1" width="3.3984375" style="1" customWidth="1"/>
    <col min="2" max="2" width="25.796875" style="1" customWidth="1"/>
    <col min="3" max="7" width="16.5" style="1" customWidth="1"/>
    <col min="8" max="8" width="3.3984375" style="1" customWidth="1"/>
    <col min="9" max="11" width="8.69921875" style="1" hidden="1" customWidth="1"/>
    <col min="12" max="14" width="0" style="1" hidden="1" customWidth="1"/>
    <col min="15" max="16384" width="8.69921875" hidden="1"/>
  </cols>
  <sheetData>
    <row r="1" spans="1:9" ht="49.95" customHeight="1" x14ac:dyDescent="0.4">
      <c r="A1" s="26" t="s">
        <v>35</v>
      </c>
      <c r="B1" s="26"/>
      <c r="C1" s="26"/>
      <c r="D1" s="26"/>
      <c r="E1" s="26"/>
      <c r="F1" s="26"/>
      <c r="G1" s="26"/>
      <c r="H1" s="26"/>
    </row>
    <row r="2" spans="1:9" ht="16.95" customHeight="1" x14ac:dyDescent="0.4"/>
    <row r="3" spans="1:9" ht="16.95" customHeight="1" x14ac:dyDescent="0.4"/>
    <row r="4" spans="1:9" ht="18" thickBot="1" x14ac:dyDescent="0.45">
      <c r="B4" s="13" t="s">
        <v>0</v>
      </c>
    </row>
    <row r="5" spans="1:9" ht="19.95" customHeight="1" x14ac:dyDescent="0.4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19.95" customHeight="1" thickBot="1" x14ac:dyDescent="0.45">
      <c r="B6" s="6" t="str">
        <f>RIGHT(A1,6)</f>
        <v>02월 정산</v>
      </c>
      <c r="C6" s="7">
        <f>IF(F15&gt;0,ROUND(F15,0),"발행없음")</f>
        <v>159202</v>
      </c>
      <c r="D6" s="7">
        <v>0</v>
      </c>
      <c r="E6" s="7">
        <f>C6+D6</f>
        <v>159202</v>
      </c>
      <c r="F6" s="8" t="s">
        <v>36</v>
      </c>
      <c r="G6" s="9">
        <v>44651</v>
      </c>
    </row>
    <row r="7" spans="1:9" ht="16.95" customHeight="1" x14ac:dyDescent="0.4"/>
    <row r="8" spans="1:9" ht="16.95" customHeight="1" x14ac:dyDescent="0.4"/>
    <row r="9" spans="1:9" ht="16.95" customHeight="1" x14ac:dyDescent="0.4"/>
    <row r="10" spans="1:9" ht="16.95" customHeight="1" x14ac:dyDescent="0.4"/>
    <row r="11" spans="1:9" ht="16.95" customHeight="1" x14ac:dyDescent="0.4"/>
    <row r="12" spans="1:9" ht="19.95" customHeight="1" thickBot="1" x14ac:dyDescent="0.45">
      <c r="B12" s="13" t="s">
        <v>37</v>
      </c>
    </row>
    <row r="13" spans="1:9" ht="19.95" customHeight="1" x14ac:dyDescent="0.4">
      <c r="B13" s="2" t="s">
        <v>8</v>
      </c>
      <c r="C13" s="3" t="s">
        <v>38</v>
      </c>
      <c r="D13" s="3" t="s">
        <v>39</v>
      </c>
      <c r="E13" s="3" t="s">
        <v>40</v>
      </c>
      <c r="F13" s="4" t="s">
        <v>41</v>
      </c>
    </row>
    <row r="14" spans="1:9" ht="19.95" customHeight="1" x14ac:dyDescent="0.4">
      <c r="B14" s="11" t="s">
        <v>18</v>
      </c>
      <c r="C14" s="5">
        <v>1592022.5812699997</v>
      </c>
      <c r="D14" s="5">
        <v>159202.25812700001</v>
      </c>
      <c r="E14" s="10">
        <v>0</v>
      </c>
      <c r="F14" s="12">
        <f>D14-E14</f>
        <v>159202.25812700001</v>
      </c>
    </row>
    <row r="15" spans="1:9" ht="19.95" customHeight="1" thickBot="1" x14ac:dyDescent="0.45">
      <c r="B15" s="14" t="s">
        <v>42</v>
      </c>
      <c r="C15" s="15">
        <f>SUM(C14:C14)</f>
        <v>1592022.5812699997</v>
      </c>
      <c r="D15" s="15">
        <f>SUM(D14:D14)</f>
        <v>159202.25812700001</v>
      </c>
      <c r="E15" s="16">
        <f>SUM(E14:E14)</f>
        <v>0</v>
      </c>
      <c r="F15" s="17">
        <f>SUM(F14:F14)</f>
        <v>159202.25812700001</v>
      </c>
    </row>
    <row r="16" spans="1:9" ht="16.95" customHeight="1" x14ac:dyDescent="0.4"/>
    <row r="17" spans="2:14" ht="16.95" customHeight="1" x14ac:dyDescent="0.4"/>
    <row r="18" spans="2:14" ht="16.95" customHeight="1" x14ac:dyDescent="0.4">
      <c r="B18" s="1" t="s">
        <v>17</v>
      </c>
      <c r="I18"/>
      <c r="J18"/>
      <c r="K18"/>
      <c r="L18"/>
      <c r="M18"/>
      <c r="N18"/>
    </row>
    <row r="19" spans="2:14" ht="16.95" customHeight="1" x14ac:dyDescent="0.4">
      <c r="B19" s="1" t="s">
        <v>43</v>
      </c>
      <c r="I19"/>
      <c r="J19"/>
      <c r="K19"/>
      <c r="L19"/>
      <c r="M19"/>
      <c r="N19"/>
    </row>
    <row r="20" spans="2:14" ht="16.95" customHeight="1" x14ac:dyDescent="0.4">
      <c r="B20" s="1" t="s">
        <v>44</v>
      </c>
    </row>
    <row r="21" spans="2:14" ht="16.95" customHeight="1" x14ac:dyDescent="0.4"/>
    <row r="22" spans="2:14" ht="16.95" customHeight="1" x14ac:dyDescent="0.4"/>
    <row r="23" spans="2:14" ht="16.95" customHeight="1" x14ac:dyDescent="0.4"/>
    <row r="24" spans="2:14" ht="16.95" customHeight="1" x14ac:dyDescent="0.4"/>
    <row r="25" spans="2:14" ht="16.95" customHeight="1" x14ac:dyDescent="0.4"/>
    <row r="26" spans="2:14" ht="16.95" customHeight="1" x14ac:dyDescent="0.4"/>
    <row r="27" spans="2:14" ht="16.95" customHeight="1" x14ac:dyDescent="0.4"/>
    <row r="28" spans="2:14" ht="16.95" customHeight="1" x14ac:dyDescent="0.4"/>
    <row r="29" spans="2:14" ht="16.95" customHeight="1" x14ac:dyDescent="0.4"/>
    <row r="30" spans="2:14" ht="16.95" customHeight="1" x14ac:dyDescent="0.4"/>
    <row r="31" spans="2:14" ht="16.95" customHeight="1" x14ac:dyDescent="0.4"/>
    <row r="32" spans="2:14" ht="16.95" customHeight="1" x14ac:dyDescent="0.4"/>
    <row r="33" ht="16.95" customHeight="1" x14ac:dyDescent="0.4"/>
    <row r="34" ht="16.95" customHeight="1" x14ac:dyDescent="0.4"/>
    <row r="35" ht="16.95" customHeight="1" x14ac:dyDescent="0.4"/>
    <row r="36" ht="16.95" customHeight="1" x14ac:dyDescent="0.4"/>
    <row r="37" ht="16.95" customHeight="1" x14ac:dyDescent="0.4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D20" sqref="D20"/>
    </sheetView>
  </sheetViews>
  <sheetFormatPr defaultRowHeight="17.399999999999999" x14ac:dyDescent="0.4"/>
  <cols>
    <col min="1" max="2" width="8.796875" style="23"/>
    <col min="3" max="3" width="14.59765625" style="23" bestFit="1" customWidth="1"/>
    <col min="4" max="4" width="20.59765625" style="1" customWidth="1"/>
    <col min="5" max="6" width="9.09765625" style="1" customWidth="1"/>
    <col min="7" max="13" width="8.796875" style="24"/>
    <col min="14" max="14" width="33.5" style="24" bestFit="1" customWidth="1"/>
    <col min="15" max="15" width="12.296875" style="25" bestFit="1" customWidth="1"/>
    <col min="16" max="16" width="13.59765625" style="24" bestFit="1" customWidth="1"/>
  </cols>
  <sheetData>
    <row r="1" spans="1:37" ht="34.049999999999997" customHeight="1" x14ac:dyDescent="0.4">
      <c r="A1" s="19" t="s">
        <v>9</v>
      </c>
      <c r="B1" s="19" t="s">
        <v>10</v>
      </c>
      <c r="C1" s="19" t="s">
        <v>45</v>
      </c>
      <c r="D1" s="19" t="s">
        <v>11</v>
      </c>
      <c r="E1" s="19" t="s">
        <v>12</v>
      </c>
      <c r="F1" s="19" t="s">
        <v>13</v>
      </c>
      <c r="G1" s="20" t="s">
        <v>46</v>
      </c>
      <c r="H1" s="20" t="s">
        <v>47</v>
      </c>
      <c r="I1" s="21" t="s">
        <v>48</v>
      </c>
      <c r="J1" s="21" t="s">
        <v>49</v>
      </c>
      <c r="K1" s="20" t="s">
        <v>14</v>
      </c>
      <c r="L1" s="20" t="s">
        <v>50</v>
      </c>
      <c r="M1" s="20" t="s">
        <v>51</v>
      </c>
      <c r="N1" s="21" t="s">
        <v>15</v>
      </c>
      <c r="O1" s="22" t="s">
        <v>16</v>
      </c>
      <c r="P1" s="20" t="s">
        <v>52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x14ac:dyDescent="0.4">
      <c r="A2" s="23">
        <v>1</v>
      </c>
      <c r="B2" s="23" t="s">
        <v>53</v>
      </c>
      <c r="C2" s="23" t="s">
        <v>19</v>
      </c>
      <c r="D2" s="1" t="s">
        <v>20</v>
      </c>
      <c r="E2" s="1" t="s">
        <v>23</v>
      </c>
      <c r="F2" s="1" t="s">
        <v>21</v>
      </c>
      <c r="G2" s="24">
        <v>62</v>
      </c>
      <c r="H2" s="24">
        <v>24800</v>
      </c>
      <c r="I2" s="24">
        <v>231</v>
      </c>
      <c r="J2" s="24">
        <v>46200</v>
      </c>
      <c r="N2" s="24">
        <v>49700</v>
      </c>
      <c r="O2" s="25">
        <v>0.1</v>
      </c>
      <c r="P2" s="24">
        <v>4970</v>
      </c>
    </row>
    <row r="3" spans="1:37" x14ac:dyDescent="0.4">
      <c r="A3" s="23">
        <v>2</v>
      </c>
      <c r="B3" s="23" t="s">
        <v>53</v>
      </c>
      <c r="C3" s="23" t="s">
        <v>19</v>
      </c>
      <c r="D3" s="1" t="s">
        <v>20</v>
      </c>
      <c r="E3" s="1" t="s">
        <v>23</v>
      </c>
      <c r="F3" s="1" t="s">
        <v>21</v>
      </c>
      <c r="G3" s="24">
        <v>13</v>
      </c>
      <c r="H3" s="24">
        <v>6240</v>
      </c>
      <c r="I3" s="24">
        <v>64</v>
      </c>
      <c r="J3" s="24">
        <v>15310</v>
      </c>
      <c r="N3" s="24">
        <v>10559.5</v>
      </c>
      <c r="O3" s="25">
        <v>0.1</v>
      </c>
      <c r="P3" s="24">
        <v>1055.95</v>
      </c>
    </row>
    <row r="4" spans="1:37" x14ac:dyDescent="0.4">
      <c r="A4" s="23">
        <v>3</v>
      </c>
      <c r="B4" s="23" t="s">
        <v>53</v>
      </c>
      <c r="C4" s="23" t="s">
        <v>22</v>
      </c>
      <c r="D4" s="1" t="s">
        <v>54</v>
      </c>
      <c r="E4" s="1" t="s">
        <v>23</v>
      </c>
      <c r="F4" s="1" t="s">
        <v>21</v>
      </c>
      <c r="H4" s="24">
        <v>50850</v>
      </c>
      <c r="N4" s="24">
        <v>50850</v>
      </c>
      <c r="O4" s="25">
        <v>0.1</v>
      </c>
      <c r="P4" s="24">
        <v>5085</v>
      </c>
    </row>
    <row r="5" spans="1:37" x14ac:dyDescent="0.4">
      <c r="A5" s="23">
        <v>4</v>
      </c>
      <c r="B5" s="23" t="s">
        <v>53</v>
      </c>
      <c r="C5" s="23" t="s">
        <v>33</v>
      </c>
      <c r="D5" s="1" t="s">
        <v>20</v>
      </c>
      <c r="E5" s="1" t="s">
        <v>34</v>
      </c>
      <c r="F5" s="1" t="s">
        <v>21</v>
      </c>
      <c r="G5" s="24">
        <v>50</v>
      </c>
      <c r="H5" s="24">
        <v>20000</v>
      </c>
      <c r="I5" s="24">
        <v>213</v>
      </c>
      <c r="J5" s="24">
        <v>42600</v>
      </c>
      <c r="K5" s="24">
        <v>0</v>
      </c>
      <c r="L5" s="24">
        <v>0</v>
      </c>
      <c r="M5" s="24">
        <v>-724.02999999999975</v>
      </c>
      <c r="N5" s="24">
        <v>43313.178999999996</v>
      </c>
      <c r="O5" s="25">
        <v>0.1</v>
      </c>
      <c r="P5" s="24">
        <v>4331.3179</v>
      </c>
    </row>
    <row r="6" spans="1:37" x14ac:dyDescent="0.4">
      <c r="A6" s="23">
        <v>5</v>
      </c>
      <c r="B6" s="23" t="s">
        <v>53</v>
      </c>
      <c r="C6" s="23" t="s">
        <v>24</v>
      </c>
      <c r="D6" s="1" t="s">
        <v>55</v>
      </c>
      <c r="E6" s="1" t="s">
        <v>23</v>
      </c>
      <c r="F6" s="1" t="s">
        <v>21</v>
      </c>
      <c r="G6" s="24">
        <v>103</v>
      </c>
      <c r="H6" s="24">
        <v>20600</v>
      </c>
      <c r="N6" s="24">
        <v>12360</v>
      </c>
      <c r="O6" s="25">
        <v>0.1</v>
      </c>
      <c r="P6" s="24">
        <v>1236</v>
      </c>
    </row>
    <row r="7" spans="1:37" x14ac:dyDescent="0.4">
      <c r="A7" s="23">
        <v>6</v>
      </c>
      <c r="B7" s="23" t="s">
        <v>53</v>
      </c>
      <c r="C7" s="23" t="s">
        <v>25</v>
      </c>
      <c r="D7" s="1" t="s">
        <v>20</v>
      </c>
      <c r="E7" s="1" t="s">
        <v>23</v>
      </c>
      <c r="F7" s="1" t="s">
        <v>21</v>
      </c>
      <c r="H7" s="24">
        <v>400</v>
      </c>
      <c r="N7" s="24">
        <v>79.999999999999986</v>
      </c>
      <c r="O7" s="25">
        <v>0.1</v>
      </c>
      <c r="P7" s="24">
        <v>7.9999999999999991</v>
      </c>
    </row>
    <row r="8" spans="1:37" x14ac:dyDescent="0.4">
      <c r="A8" s="23">
        <v>7</v>
      </c>
      <c r="B8" s="23" t="s">
        <v>53</v>
      </c>
      <c r="C8" s="23" t="s">
        <v>25</v>
      </c>
      <c r="D8" s="1" t="s">
        <v>20</v>
      </c>
      <c r="E8" s="1" t="s">
        <v>23</v>
      </c>
      <c r="F8" s="1" t="s">
        <v>21</v>
      </c>
      <c r="H8" s="24">
        <v>400</v>
      </c>
      <c r="J8" s="24">
        <v>800</v>
      </c>
      <c r="N8" s="24">
        <v>756</v>
      </c>
      <c r="O8" s="25">
        <v>0.1</v>
      </c>
      <c r="P8" s="24">
        <v>75.600000000000009</v>
      </c>
    </row>
    <row r="9" spans="1:37" x14ac:dyDescent="0.4">
      <c r="A9" s="23">
        <v>8</v>
      </c>
      <c r="B9" s="23" t="s">
        <v>53</v>
      </c>
      <c r="C9" s="23" t="s">
        <v>26</v>
      </c>
      <c r="D9" s="1" t="s">
        <v>20</v>
      </c>
      <c r="E9" s="1" t="s">
        <v>23</v>
      </c>
      <c r="F9" s="1" t="s">
        <v>21</v>
      </c>
      <c r="H9" s="24">
        <v>15840</v>
      </c>
      <c r="N9" s="24">
        <v>8553.6</v>
      </c>
      <c r="O9" s="25">
        <v>0.1</v>
      </c>
      <c r="P9" s="24">
        <v>855.36000000000013</v>
      </c>
    </row>
    <row r="10" spans="1:37" x14ac:dyDescent="0.4">
      <c r="A10" s="23">
        <v>9</v>
      </c>
      <c r="B10" s="23" t="s">
        <v>53</v>
      </c>
      <c r="C10" s="23" t="s">
        <v>26</v>
      </c>
      <c r="D10" s="1" t="s">
        <v>20</v>
      </c>
      <c r="E10" s="1" t="s">
        <v>23</v>
      </c>
      <c r="F10" s="1" t="s">
        <v>21</v>
      </c>
      <c r="H10" s="24">
        <v>48960</v>
      </c>
      <c r="N10" s="24">
        <v>20563.2</v>
      </c>
      <c r="O10" s="25">
        <v>0.1</v>
      </c>
      <c r="P10" s="24">
        <v>2056.3200000000002</v>
      </c>
    </row>
    <row r="11" spans="1:37" x14ac:dyDescent="0.4">
      <c r="A11" s="23">
        <v>10</v>
      </c>
      <c r="B11" s="23" t="s">
        <v>53</v>
      </c>
      <c r="C11" s="23" t="s">
        <v>56</v>
      </c>
      <c r="D11" s="1" t="s">
        <v>20</v>
      </c>
      <c r="E11" s="1" t="s">
        <v>23</v>
      </c>
      <c r="F11" s="1" t="s">
        <v>21</v>
      </c>
      <c r="G11" s="24">
        <v>29</v>
      </c>
      <c r="H11" s="24">
        <v>10200</v>
      </c>
      <c r="K11" s="24">
        <v>0</v>
      </c>
      <c r="L11" s="24">
        <v>0</v>
      </c>
      <c r="N11" s="24">
        <v>7140</v>
      </c>
      <c r="O11" s="25">
        <v>0.1</v>
      </c>
      <c r="P11" s="24">
        <v>714</v>
      </c>
    </row>
    <row r="12" spans="1:37" x14ac:dyDescent="0.4">
      <c r="A12" s="23">
        <v>11</v>
      </c>
      <c r="B12" s="23" t="s">
        <v>53</v>
      </c>
      <c r="C12" s="23" t="s">
        <v>27</v>
      </c>
      <c r="D12" s="1" t="s">
        <v>20</v>
      </c>
      <c r="E12" s="1" t="s">
        <v>28</v>
      </c>
      <c r="F12" s="1" t="s">
        <v>21</v>
      </c>
      <c r="H12" s="24">
        <v>1375050</v>
      </c>
      <c r="N12" s="24">
        <v>962534.99999999988</v>
      </c>
      <c r="O12" s="25">
        <v>0.1</v>
      </c>
      <c r="P12" s="24">
        <v>96253.5</v>
      </c>
    </row>
    <row r="13" spans="1:37" x14ac:dyDescent="0.4">
      <c r="A13" s="23">
        <v>12</v>
      </c>
      <c r="B13" s="23" t="s">
        <v>53</v>
      </c>
      <c r="C13" s="23" t="s">
        <v>27</v>
      </c>
      <c r="D13" s="1" t="s">
        <v>20</v>
      </c>
      <c r="E13" s="1" t="s">
        <v>28</v>
      </c>
      <c r="F13" s="1" t="s">
        <v>21</v>
      </c>
      <c r="H13" s="24">
        <v>77600</v>
      </c>
      <c r="N13" s="24">
        <v>46560</v>
      </c>
      <c r="O13" s="25">
        <v>0.1</v>
      </c>
      <c r="P13" s="24">
        <v>4656</v>
      </c>
    </row>
    <row r="14" spans="1:37" x14ac:dyDescent="0.4">
      <c r="A14" s="23">
        <v>13</v>
      </c>
      <c r="B14" s="23" t="s">
        <v>53</v>
      </c>
      <c r="C14" s="23" t="s">
        <v>29</v>
      </c>
      <c r="D14" s="1" t="s">
        <v>20</v>
      </c>
      <c r="E14" s="1" t="s">
        <v>32</v>
      </c>
      <c r="F14" s="1" t="s">
        <v>21</v>
      </c>
      <c r="G14" s="24">
        <v>710</v>
      </c>
      <c r="H14" s="24">
        <v>71000</v>
      </c>
      <c r="I14" s="24">
        <v>576</v>
      </c>
      <c r="J14" s="24">
        <v>57600</v>
      </c>
      <c r="N14" s="24">
        <v>90020</v>
      </c>
      <c r="O14" s="25">
        <v>0.1</v>
      </c>
      <c r="P14" s="24">
        <v>9002</v>
      </c>
    </row>
    <row r="15" spans="1:37" x14ac:dyDescent="0.4">
      <c r="A15" s="23">
        <v>14</v>
      </c>
      <c r="B15" s="23" t="s">
        <v>53</v>
      </c>
      <c r="C15" s="23" t="s">
        <v>29</v>
      </c>
      <c r="D15" s="1" t="s">
        <v>20</v>
      </c>
      <c r="E15" s="1" t="s">
        <v>32</v>
      </c>
      <c r="F15" s="1" t="s">
        <v>21</v>
      </c>
      <c r="G15" s="24">
        <v>26</v>
      </c>
      <c r="H15" s="24">
        <v>2600</v>
      </c>
      <c r="I15" s="24">
        <v>222</v>
      </c>
      <c r="J15" s="24">
        <v>22200</v>
      </c>
      <c r="N15" s="24">
        <v>12152</v>
      </c>
      <c r="O15" s="25">
        <v>0.1</v>
      </c>
      <c r="P15" s="24">
        <v>1215.2</v>
      </c>
    </row>
    <row r="16" spans="1:37" x14ac:dyDescent="0.4">
      <c r="A16" s="23">
        <v>15</v>
      </c>
      <c r="B16" s="23" t="s">
        <v>53</v>
      </c>
      <c r="C16" s="23" t="s">
        <v>30</v>
      </c>
      <c r="D16" s="1" t="s">
        <v>57</v>
      </c>
      <c r="E16" s="1" t="s">
        <v>23</v>
      </c>
      <c r="F16" s="1" t="s">
        <v>21</v>
      </c>
      <c r="H16" s="24">
        <v>262978</v>
      </c>
      <c r="N16" s="24">
        <v>262978</v>
      </c>
      <c r="O16" s="25">
        <v>0.1</v>
      </c>
      <c r="P16" s="24">
        <v>26297.800000000003</v>
      </c>
    </row>
    <row r="17" spans="1:16" x14ac:dyDescent="0.4">
      <c r="A17" s="23">
        <v>16</v>
      </c>
      <c r="B17" s="23" t="s">
        <v>53</v>
      </c>
      <c r="C17" s="23" t="s">
        <v>31</v>
      </c>
      <c r="D17" s="1" t="s">
        <v>20</v>
      </c>
      <c r="E17" s="1" t="s">
        <v>23</v>
      </c>
      <c r="F17" s="1" t="s">
        <v>21</v>
      </c>
      <c r="H17" s="24">
        <v>14789.470500000005</v>
      </c>
      <c r="N17" s="24">
        <v>13902.102270000003</v>
      </c>
      <c r="O17" s="25">
        <v>0.1</v>
      </c>
      <c r="P17" s="24">
        <v>1390.2102270000005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jihui</cp:lastModifiedBy>
  <cp:lastPrinted>2021-11-10T23:56:12Z</cp:lastPrinted>
  <dcterms:created xsi:type="dcterms:W3CDTF">2021-10-28T04:20:52Z</dcterms:created>
  <dcterms:modified xsi:type="dcterms:W3CDTF">2022-02-25T00:04:09Z</dcterms:modified>
</cp:coreProperties>
</file>